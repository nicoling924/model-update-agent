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38700" windowHeight="15345" tabRatio="600" firstSheet="0" activeTab="0" autoFilterDateGrouping="1"/>
  </bookViews>
  <sheets>
    <sheet name="VA-Disclaimer" sheetId="1" state="visible" r:id="rId1"/>
    <sheet name="Fair Value - H" sheetId="2" state="visible" r:id="rId2"/>
    <sheet name="Fair Value - A" sheetId="3" state="visible" r:id="rId3"/>
    <sheet name="Model" sheetId="4" state="visible" r:id="rId4"/>
    <sheet name="Driver" sheetId="5" state="visible" r:id="rId5"/>
    <sheet name="Sensitvity" sheetId="6" state="visible" r:id="rId6"/>
    <sheet name="Cons" sheetId="7" state="visible" r:id="rId7"/>
    <sheet name="Raw financials" sheetId="8" state="visible" r:id="rId8"/>
    <sheet name="Appendix" sheetId="9" state="visible" r:id="rId9"/>
    <sheet name="AH discount" sheetId="10" state="visible" r:id="rId10"/>
  </sheets>
  <definedNames>
    <definedName name="__FDS_HYPERLINK_TOGGLE_STATE__" hidden="1">"ON"</definedName>
    <definedName name="_ccVersion">1.41</definedName>
    <definedName name="_Fill" hidden="1">#REF!</definedName>
    <definedName name="_Fill2" hidden="1">#REF!</definedName>
    <definedName name="_HJAppendixVersion">2</definedName>
    <definedName name="_kd01">#REF!</definedName>
    <definedName name="_kd02">#REF!</definedName>
    <definedName name="_kd03">#REF!</definedName>
    <definedName name="_kd04">#REF!</definedName>
    <definedName name="_kd05">#REF!</definedName>
    <definedName name="_kd06">#REF!</definedName>
    <definedName name="_kd07">#REF!</definedName>
    <definedName name="_kd08">#REF!</definedName>
    <definedName name="_kd09">#REF!</definedName>
    <definedName name="_kd10">#REF!</definedName>
    <definedName name="_kd11">#REF!</definedName>
    <definedName name="_kd12">#REF!</definedName>
    <definedName name="_kd13">#REF!</definedName>
    <definedName name="_kd14">#REF!</definedName>
    <definedName name="_kd15">#REF!</definedName>
    <definedName name="_kd16">#REF!</definedName>
    <definedName name="_kd17">#REF!</definedName>
    <definedName name="_kd18">#REF!</definedName>
    <definedName name="_kd19">#REF!</definedName>
    <definedName name="_kd20">#REF!</definedName>
    <definedName name="_kd21">#REF!</definedName>
    <definedName name="_kd22">#REF!</definedName>
    <definedName name="_kd23">#REF!</definedName>
    <definedName name="_kd24">#REF!</definedName>
    <definedName name="_kd25">#REF!</definedName>
    <definedName name="_Model_Path">"\\Ubsprod.msad.ubs.net\groupshares\GLOBAL\IB_RESEARCH_HKG\POWER\Models\Archives\Dongfang Electric Model 9.xlsx"</definedName>
    <definedName name="_pc01">#REF!</definedName>
    <definedName name="_pc02">#REF!</definedName>
    <definedName name="_pc03">#REF!</definedName>
    <definedName name="_pc04">#REF!</definedName>
    <definedName name="_pr05">#REF!</definedName>
    <definedName name="_Regression_Int" hidden="1">1</definedName>
    <definedName name="A">#REF!</definedName>
    <definedName name="AA">#REF!</definedName>
    <definedName name="aca">#REF!</definedName>
    <definedName name="acl">#REF!</definedName>
    <definedName name="ad00_">#REF!</definedName>
    <definedName name="ad01_">#REF!</definedName>
    <definedName name="ad02_">#REF!</definedName>
    <definedName name="ad03_">#REF!</definedName>
    <definedName name="ad04_">#REF!</definedName>
    <definedName name="ad05_">#REF!</definedName>
    <definedName name="ad06_">#REF!</definedName>
    <definedName name="ad07_">#REF!</definedName>
    <definedName name="ad08_">#REF!</definedName>
    <definedName name="ad09_">#REF!</definedName>
    <definedName name="Add__Cash">#REF!</definedName>
    <definedName name="Add__Listed_Investments">#REF!</definedName>
    <definedName name="Add__Other_Investments">#REF!</definedName>
    <definedName name="afa">#REF!</definedName>
    <definedName name="afc">#REF!</definedName>
    <definedName name="agd">#REF!</definedName>
    <definedName name="aie">#REF!</definedName>
    <definedName name="AK_ASAT">"F"</definedName>
    <definedName name="AK_BRKR">"XXX"</definedName>
    <definedName name="AK_CCY">"Raw"</definedName>
    <definedName name="AK_CDAT">"T-1WD"</definedName>
    <definedName name="AK_FDAT">"T-0Y-FWD"</definedName>
    <definedName name="AK_FSRC">"FX"</definedName>
    <definedName name="AK_IMT">"MEAN"</definedName>
    <definedName name="AK_SRC">"WIRE"</definedName>
    <definedName name="AK_TCCY">"USD"</definedName>
    <definedName name="AK_TSRC">"HSBC"</definedName>
    <definedName name="alogin">#REF!</definedName>
    <definedName name="AnchorPoint">#REF!</definedName>
    <definedName name="and">#REF!</definedName>
    <definedName name="anf">#REF!</definedName>
    <definedName name="anl">#REF!</definedName>
    <definedName name="aratio">#REF!</definedName>
    <definedName name="asf">#REF!</definedName>
    <definedName name="at00_">#REF!</definedName>
    <definedName name="at01_">#REF!</definedName>
    <definedName name="at02_">#REF!</definedName>
    <definedName name="at03_">#REF!</definedName>
    <definedName name="at04_">#REF!</definedName>
    <definedName name="at05_">#REF!</definedName>
    <definedName name="at06_">#REF!</definedName>
    <definedName name="at07_">#REF!</definedName>
    <definedName name="at08_">#REF!</definedName>
    <definedName name="at09_">#REF!</definedName>
    <definedName name="ata">#REF!</definedName>
    <definedName name="ate">#REF!</definedName>
    <definedName name="att">#REF!</definedName>
    <definedName name="atype">#REF!</definedName>
    <definedName name="B">#REF!</definedName>
    <definedName name="BanksOnly">#REF!,#REF!,#REF!,#REF!,#REF!,#REF!,#REF!,#REF!,#REF!,#REF!</definedName>
    <definedName name="bb">#REF!</definedName>
    <definedName name="bba">#REF!</definedName>
    <definedName name="bbf">#REF!</definedName>
    <definedName name="bbx">#REF!</definedName>
    <definedName name="bfa">#REF!</definedName>
    <definedName name="BLPH1" hidden="1">#REF!</definedName>
    <definedName name="BLPH1A3">#REF!</definedName>
    <definedName name="BLPH2" hidden="1">#REF!</definedName>
    <definedName name="BLPH2A3">#REF!</definedName>
    <definedName name="BLPH3" hidden="1">#REF!</definedName>
    <definedName name="BLPH3A3">#REF!</definedName>
    <definedName name="bni">#REF!</definedName>
    <definedName name="C_">#REF!</definedName>
    <definedName name="capacity">#REF!</definedName>
    <definedName name="Capacity_Reserve">#REF!</definedName>
    <definedName name="CC">#REF!</definedName>
    <definedName name="cc_ReportCurrencyUnit">"HK$"</definedName>
    <definedName name="cc_ReportCurrencyUnitFactor">1</definedName>
    <definedName name="ccode">#REF!</definedName>
    <definedName name="cellYears1">#REF!</definedName>
    <definedName name="cellYears1c">#REF!</definedName>
    <definedName name="cellYears2">#REF!</definedName>
    <definedName name="cellYears2c">#REF!</definedName>
    <definedName name="Changes">#REF!</definedName>
    <definedName name="CHART1">"Chart 2"</definedName>
    <definedName name="cnn">#REF!</definedName>
    <definedName name="Cons">#REF!</definedName>
    <definedName name="Consensus">#REF!</definedName>
    <definedName name="cover">#REF!</definedName>
    <definedName name="CtyList">#REF!</definedName>
    <definedName name="cu102.ShareScalingFactor" hidden="1">1000000</definedName>
    <definedName name="cu103.EmployeeScalingFactor" hidden="1">1000</definedName>
    <definedName name="cu107.DPSSymbol" hidden="1">"Rmb"</definedName>
    <definedName name="cu107.EPSSymbol" hidden="1">"Rmb"</definedName>
    <definedName name="cu71.ScalingFactor" hidden="1">1000</definedName>
    <definedName name="CurrencyTable">#REF!</definedName>
    <definedName name="CurrList">#REF!</definedName>
    <definedName name="CurrPrice">#REF!</definedName>
    <definedName name="CurrPrice2">#REF!</definedName>
    <definedName name="CUSTransactionID" hidden="1">1141644869.884</definedName>
    <definedName name="D">#REF!</definedName>
    <definedName name="DataMultilink">#REF!</definedName>
    <definedName name="DB">"WIREHKPROD"</definedName>
    <definedName name="DCF">#REF!</definedName>
    <definedName name="DCF_1">#REF!</definedName>
    <definedName name="DCF_2">#REF!</definedName>
    <definedName name="DCF_Table">#REF!</definedName>
    <definedName name="DCF1A">#REF!</definedName>
    <definedName name="DCF1B">#REF!</definedName>
    <definedName name="DCF2A">#REF!</definedName>
    <definedName name="DCF2B">#REF!</definedName>
    <definedName name="DCF3A">#REF!</definedName>
    <definedName name="DCF3B">#REF!</definedName>
    <definedName name="DCF4A">#REF!</definedName>
    <definedName name="DCF4B">#REF!</definedName>
    <definedName name="DCF5B">#REF!</definedName>
    <definedName name="DCF6A">#REF!</definedName>
    <definedName name="DCF6B">#REF!</definedName>
    <definedName name="DCF7A">#REF!</definedName>
    <definedName name="DCF7B">#REF!</definedName>
    <definedName name="DCF8A">#REF!</definedName>
    <definedName name="DCF8B">#REF!</definedName>
    <definedName name="DCF9A">#REF!</definedName>
    <definedName name="DCF9B">#REF!</definedName>
    <definedName name="DCFassum">#REF!</definedName>
    <definedName name="DCFshort">#REF!</definedName>
    <definedName name="DCFTOOLSNAME1">#REF!</definedName>
    <definedName name="dcfv">#REF!</definedName>
    <definedName name="DD">#REF!</definedName>
    <definedName name="DFCanalysis">#REF!</definedName>
    <definedName name="dtoev">#REF!</definedName>
    <definedName name="EB_BS_AccountPayable">#REF!</definedName>
    <definedName name="EB_BS_AccountReceivable">#REF!</definedName>
    <definedName name="EB_BS_BondPayable">#REF!</definedName>
    <definedName name="EB_BS_Cash">#REF!</definedName>
    <definedName name="EB_BS_ConstructionInProcess">#REF!</definedName>
    <definedName name="EB_BS_CurrentAssets">#REF!</definedName>
    <definedName name="EB_BS_CurrentLiabilities">#REF!</definedName>
    <definedName name="EB_BS_Date">#REF!</definedName>
    <definedName name="EB_BS_Depreciation">#REF!</definedName>
    <definedName name="EB_BS_END">#REF!</definedName>
    <definedName name="EB_BS_Equity">#REF!</definedName>
    <definedName name="EB_BS_ExcessCash">#REF!</definedName>
    <definedName name="EB_BS_FixedAssets">#REF!</definedName>
    <definedName name="EB_BS_FixedAssetsNetValue">#REF!</definedName>
    <definedName name="EB_BS_FixedAssetsOriginalValue">#REF!</definedName>
    <definedName name="EB_BS_ImpairmentOfFixedAsstes">#REF!</definedName>
    <definedName name="EB_BS_Inventories">#REF!</definedName>
    <definedName name="EB_BS_LongTermDebts">#REF!</definedName>
    <definedName name="EB_BS_LongTermLiabilities">#REF!</definedName>
    <definedName name="EB_BS_Margin">#REF!</definedName>
    <definedName name="EB_BS_MinorityInterests">#REF!</definedName>
    <definedName name="EB_BS_NetFixedAssets">#REF!</definedName>
    <definedName name="EB_BS_NotesPayable">#REF!</definedName>
    <definedName name="EB_BS_NotesReceivable">#REF!</definedName>
    <definedName name="EB_BS_OperatingCash">#REF!</definedName>
    <definedName name="EB_BS_OtherAssets">#REF!</definedName>
    <definedName name="EB_BS_OtherCurrentAsstes">#REF!</definedName>
    <definedName name="EB_BS_OtherCurrentDebts">#REF!</definedName>
    <definedName name="EB_BS_OtherFixedAsstes">#REF!</definedName>
    <definedName name="EB_BS_OtherLiabilities">#REF!</definedName>
    <definedName name="EB_BS_OtherLongTermDebts">#REF!</definedName>
    <definedName name="EB_BS_RetainedEarning">#REF!</definedName>
    <definedName name="EB_BS_ShareCapital">#REF!</definedName>
    <definedName name="EB_BS_ShortTermDebts">#REF!</definedName>
    <definedName name="EB_BS_ShortTermInvestment">#REF!</definedName>
    <definedName name="EB_BS_START">#REF!</definedName>
    <definedName name="EB_BS_THISYEAR">#REF!</definedName>
    <definedName name="EB_BS_THISYEAR_A1">#REF!</definedName>
    <definedName name="EB_BS_THISYEAR_A2">#REF!</definedName>
    <definedName name="EB_BS_THISYEAR_A3">#REF!</definedName>
    <definedName name="EB_BS_THISYEAR_F1">#REF!</definedName>
    <definedName name="EB_BS_THISYEAR_F2">#REF!</definedName>
    <definedName name="EB_BS_THISYEAR_F3">#REF!</definedName>
    <definedName name="EB_BS_THISYEAR_F4">#REF!</definedName>
    <definedName name="EB_BS_TotalAssets">#REF!</definedName>
    <definedName name="EB_BS_TotalLiabilities">#REF!</definedName>
    <definedName name="EB_BS_TotalLiabilitiesAndEquity">#REF!</definedName>
    <definedName name="EB_BSR_AccountPayableOnRevenue">#REF!</definedName>
    <definedName name="EB_BSR_AccountReceivableOnRevenue">#REF!</definedName>
    <definedName name="EB_BSR_Depreciation">#REF!</definedName>
    <definedName name="EB_BSR_DepreciationRate">#REF!</definedName>
    <definedName name="EB_BSR_FixedAssetsOriginalValueOnRevenue">#REF!</definedName>
    <definedName name="EB_BSR_InventoryOnRevenue">#REF!</definedName>
    <definedName name="EB_BSR_NetFixedAssetsOnRevenue">#REF!</definedName>
    <definedName name="EB_BSR_NotesReceivableOnRevenue">#REF!</definedName>
    <definedName name="EB_BSR_OperatingCashOnRevenue">#REF!</definedName>
    <definedName name="EB_BSR_OtherAssetsOnRevenue">#REF!</definedName>
    <definedName name="EB_BSR_OtherCurrentAssetsOnRevenue">#REF!</definedName>
    <definedName name="EB_BSR_OtherCurrentLiabilitiesOnRevenue">#REF!</definedName>
    <definedName name="EB_BSR_OtherLiabilitiesOnRevenue">#REF!</definedName>
    <definedName name="EB_BSR_ShortTermDebtsOnRevenue">#REF!</definedName>
    <definedName name="EB_CF_CAPEX">#REF!</definedName>
    <definedName name="EB_CF_CFF">#REF!</definedName>
    <definedName name="EB_CF_CFI">#REF!</definedName>
    <definedName name="EB_CF_CFO">#REF!</definedName>
    <definedName name="EB_CF_Date">#REF!</definedName>
    <definedName name="EB_CF_Depreciation">#REF!</definedName>
    <definedName name="EB_CF_Divident">#REF!</definedName>
    <definedName name="EB_CF_EBIT">#REF!</definedName>
    <definedName name="EB_CF_FinancialExpensesAfterTax">#REF!</definedName>
    <definedName name="EB_CF_IncreasingInEquity">#REF!</definedName>
    <definedName name="EB_CF_IncreasingInExcessSecurities">#REF!</definedName>
    <definedName name="EB_CF_IncreasingInOtherAssetsMinusOtherLiabilities">#REF!</definedName>
    <definedName name="EB_CF_IncreasingInWorkingCapital">#REF!</definedName>
    <definedName name="EB_CF_LoanAndBondPayable">#REF!</definedName>
    <definedName name="EB_CF_MinorityIncome">#REF!</definedName>
    <definedName name="EB_CF_NonOperatingCashFlow">#REF!</definedName>
    <definedName name="EB_CF_NOPLAT">#REF!</definedName>
    <definedName name="EB_CF_OPFCF">#REF!</definedName>
    <definedName name="EB_CF_TaxOnEBIT">#REF!</definedName>
    <definedName name="EB_CF_THISYEAR">#REF!</definedName>
    <definedName name="EB_CF_THISYEAR_A1">#REF!</definedName>
    <definedName name="EB_CF_THISYEAR_A2">#REF!</definedName>
    <definedName name="EB_CF_THISYEAR_F1">#REF!</definedName>
    <definedName name="EB_CF_THISYEAR_F2">#REF!</definedName>
    <definedName name="EB_CF_THISYEAR_F3">#REF!</definedName>
    <definedName name="EB_CF_THISYEAR_F4">#REF!</definedName>
    <definedName name="EB_Cover_Author">#REF!</definedName>
    <definedName name="EB_Cover_Date">#REF!</definedName>
    <definedName name="EB_Cover_Phone">#REF!</definedName>
    <definedName name="EB_Cover_Title">#REF!</definedName>
    <definedName name="EB_CurrentPrice">#REF!</definedName>
    <definedName name="EB_CurrentReportID">#REF!</definedName>
    <definedName name="EB_CurrentReportYear">#REF!</definedName>
    <definedName name="EB_CurrentYear">#REF!</definedName>
    <definedName name="EB_EP_EVA">#REF!</definedName>
    <definedName name="EB_EquityPricePerShare">#REF!</definedName>
    <definedName name="EB_ExplicitForecastValue">#REF!</definedName>
    <definedName name="EB_FCF_EVA">#REF!</definedName>
    <definedName name="EB_FR_AccountPayableTurnOver">#REF!</definedName>
    <definedName name="EB_FR_AccountReceivableTurnOver">#REF!</definedName>
    <definedName name="EB_FR_ActiveMoneyTurnOver">#REF!</definedName>
    <definedName name="EB_FR_ActualTaxRate">#REF!</definedName>
    <definedName name="EB_FR_AdnimistrativeExpensesOnRevenue">#REF!</definedName>
    <definedName name="EB_FR_CAPEXOnDepreciation">#REF!</definedName>
    <definedName name="EB_FR_CAPEXOnFixedAssets">#REF!</definedName>
    <definedName name="EB_FR_CostOfEquity">#REF!</definedName>
    <definedName name="EB_FR_CostOnRevenue">#REF!</definedName>
    <definedName name="EB_FR_CurrentAssetsTurnOver">#REF!</definedName>
    <definedName name="EB_FR_CurrentRatio">#REF!</definedName>
    <definedName name="EB_FR_DebtOnAssets">#REF!</definedName>
    <definedName name="EB_FR_DebtOnEquity">#REF!</definedName>
    <definedName name="EB_FR_EBITDAGrowth">#REF!</definedName>
    <definedName name="EB_FR_EBITDAOnRevenue">#REF!</definedName>
    <definedName name="EB_FR_EBITGrowth">#REF!</definedName>
    <definedName name="EB_FR_EBITOnRevenue">#REF!</definedName>
    <definedName name="EB_FR_ExtraordinaryItemsOnIncome">#REF!</definedName>
    <definedName name="EB_FR_FixedAssetsTurnOver">#REF!</definedName>
    <definedName name="EB_FR_GrossRatio">#REF!</definedName>
    <definedName name="EB_FR_ICGrowth">#REF!</definedName>
    <definedName name="EB_FR_ICTurnOverTimes">#REF!</definedName>
    <definedName name="EB_FR_ImpliedGrowthRate">#REF!</definedName>
    <definedName name="EB_FR_InventoryTurnOver">#REF!</definedName>
    <definedName name="EB_FR_InvestmentIncomeOnIncome">#REF!</definedName>
    <definedName name="EB_FR_NetDebtOnEquity">#REF!</definedName>
    <definedName name="EB_FR_NetIncomeGrowth">#REF!</definedName>
    <definedName name="EB_FR_NetIncomeOnRevenue">#REF!</definedName>
    <definedName name="EB_FR_NetLiabilities">#REF!</definedName>
    <definedName name="EB_FR_NOPLATGrowth">#REF!</definedName>
    <definedName name="EB_FR_NOPLATOnRevenue">#REF!</definedName>
    <definedName name="EB_FR_OperatingExpensesOnRevenue">#REF!</definedName>
    <definedName name="EB_FR_OperatingIncomeGrowth">#REF!</definedName>
    <definedName name="EB_FR_OperatingTaxOnRevenue">#REF!</definedName>
    <definedName name="EB_FR_OtherAssetsNetValueTurnOver">#REF!</definedName>
    <definedName name="EB_FR_PayOutRatio">#REF!</definedName>
    <definedName name="EB_FR_QuickRatio">#REF!</definedName>
    <definedName name="EB_FR_RetainedRatio">#REF!</definedName>
    <definedName name="EB_FR_RevenueGrowth">#REF!</definedName>
    <definedName name="EB_FR_ROA">#REF!</definedName>
    <definedName name="EB_FR_ROE">#REF!</definedName>
    <definedName name="EB_FR_ROEMinusCostOfEquity">#REF!</definedName>
    <definedName name="EB_FR_ROEOnCostOfEquity">#REF!</definedName>
    <definedName name="EB_FR_ROIC">#REF!</definedName>
    <definedName name="EB_FR_ROICBeforTax">#REF!</definedName>
    <definedName name="EB_FR_THISYEAR">#REF!</definedName>
    <definedName name="EB_FR_THISYEAR_A1">#REF!</definedName>
    <definedName name="EB_FR_THISYEAR_A2">#REF!</definedName>
    <definedName name="EB_FR_THISYEAR_A3">#REF!</definedName>
    <definedName name="EB_FR_THISYEAR_F1">#REF!</definedName>
    <definedName name="EB_FR_THISYEAR_F2">#REF!</definedName>
    <definedName name="EB_FR_THISYEAR_F3">#REF!</definedName>
    <definedName name="EB_FR_THISYEAR_F4">#REF!</definedName>
    <definedName name="EB_FR_TotalAssetsTurnOver">#REF!</definedName>
    <definedName name="EB_GrowthRate">#REF!</definedName>
    <definedName name="EB_IS_AdministrativeExpenses">#REF!</definedName>
    <definedName name="EB_IS_CostOfSales">#REF!</definedName>
    <definedName name="EB_IS_Date">#REF!</definedName>
    <definedName name="EB_IS_Discount">#REF!</definedName>
    <definedName name="EB_IS_Dividend">#REF!</definedName>
    <definedName name="EB_IS_END">#REF!</definedName>
    <definedName name="EB_IS_ExtraordinaryItems">#REF!</definedName>
    <definedName name="EB_IS_FinancialExpenses">#REF!</definedName>
    <definedName name="EB_IS_GrossProfit">#REF!</definedName>
    <definedName name="EB_IS_Income">#REF!</definedName>
    <definedName name="EB_IS_InvestmentIncome">#REF!</definedName>
    <definedName name="EB_IS_MinorityIncome">#REF!</definedName>
    <definedName name="EB_IS_NetIncome">#REF!</definedName>
    <definedName name="EB_IS_NetRevenue">#REF!</definedName>
    <definedName name="EB_IS_OperatingExpenses">#REF!</definedName>
    <definedName name="EB_IS_OperatingIncome">#REF!</definedName>
    <definedName name="EB_IS_OperatingTax">#REF!</definedName>
    <definedName name="EB_IS_OtherIncome">#REF!</definedName>
    <definedName name="EB_IS_ReductionOfInventory">#REF!</definedName>
    <definedName name="EB_IS_Revenue">#REF!</definedName>
    <definedName name="EB_IS_START">#REF!</definedName>
    <definedName name="EB_IS_Tax">#REF!</definedName>
    <definedName name="EB_IS_THISYEAR">#REF!</definedName>
    <definedName name="EB_IS_THISYEAR_A1">#REF!</definedName>
    <definedName name="EB_IS_THISYEAR_A2">#REF!</definedName>
    <definedName name="EB_IS_THISYEAR_A3">#REF!</definedName>
    <definedName name="EB_IS_THISYEAR_F1">#REF!</definedName>
    <definedName name="EB_IS_THISYEAR_F2">#REF!</definedName>
    <definedName name="EB_IS_THISYEAR_F3">#REF!</definedName>
    <definedName name="EB_IS_THISYEAR_F4">#REF!</definedName>
    <definedName name="EB_ISR_AdministrativeExpensesOnRevenue">#REF!</definedName>
    <definedName name="EB_ISR_ExcessCashAndSecuritiesInterestRate">#REF!</definedName>
    <definedName name="EB_ISR_ExtraordinaryItems">#REF!</definedName>
    <definedName name="EB_ISR_GrossMargin">#REF!</definedName>
    <definedName name="EB_ISR_IncomeTaxRate">#REF!</definedName>
    <definedName name="EB_ISR_InvestmentIncome">#REF!</definedName>
    <definedName name="EB_ISR_LongTermInterestRate">#REF!</definedName>
    <definedName name="EB_ISR_MinorityInterest">#REF!</definedName>
    <definedName name="EB_ISR_OperatingExpensesOnRevenue">#REF!</definedName>
    <definedName name="EB_ISR_OperatingTaxOnRevenue">#REF!</definedName>
    <definedName name="EB_ISR_OtherIncome">#REF!</definedName>
    <definedName name="EB_ISR_PayoutRatio">#REF!</definedName>
    <definedName name="EB_ISR_ReductionOfInventory">#REF!</definedName>
    <definedName name="EB_ISR_RevenueGrowth">#REF!</definedName>
    <definedName name="EB_ISR_ShortTermInterestRate">#REF!</definedName>
    <definedName name="EB_OutstandingShare">#REF!</definedName>
    <definedName name="EB_PriceDate">#REF!</definedName>
    <definedName name="EB_ReportID">#REF!</definedName>
    <definedName name="EB_StockCode">#REF!</definedName>
    <definedName name="EB_StockName">#REF!</definedName>
    <definedName name="EB_TerminalValuation">#REF!</definedName>
    <definedName name="EB_UNIT">#REF!</definedName>
    <definedName name="EB_Version">#REF!</definedName>
    <definedName name="EB_VR_AdministrativeExpenses">#REF!</definedName>
    <definedName name="EB_VR_Beta">#REF!</definedName>
    <definedName name="EB_VR_BondPayable">#REF!</definedName>
    <definedName name="EB_VR_BVPS">#REF!</definedName>
    <definedName name="EB_VR_CAGR">#REF!</definedName>
    <definedName name="EB_VR_CapitalExpenses">#REF!</definedName>
    <definedName name="EB_VR_CoreEV">#REF!</definedName>
    <definedName name="EB_VR_CostOfEquity">#REF!</definedName>
    <definedName name="EB_VR_CostOfSalesAndOperatingTax">#REF!</definedName>
    <definedName name="EB_VR_Depreciation">#REF!</definedName>
    <definedName name="EB_VR_DividentYield">#REF!</definedName>
    <definedName name="EB_VR_DPS">#REF!</definedName>
    <definedName name="EB_VR_EBIT">#REF!</definedName>
    <definedName name="EB_VR_EBITDA">#REF!</definedName>
    <definedName name="EB_VR_EconomicProfit">#REF!</definedName>
    <definedName name="EB_VR_EPS">#REF!</definedName>
    <definedName name="EB_VR_Equity">#REF!</definedName>
    <definedName name="EB_VR_EquityValue">#REF!</definedName>
    <definedName name="EB_VR_EV">#REF!</definedName>
    <definedName name="EB_VR_EVOnEBIT">#REF!</definedName>
    <definedName name="EB_VR_EVOnEBITDA">#REF!</definedName>
    <definedName name="EB_VR_EVOnIC">#REF!</definedName>
    <definedName name="EB_VR_EVOnNOPLAT">#REF!</definedName>
    <definedName name="EB_VR_EVOnSales">#REF!</definedName>
    <definedName name="EB_VR_ExcessCash">#REF!</definedName>
    <definedName name="EB_VR_ExtraordinaryItems">#REF!</definedName>
    <definedName name="EB_VR_FCFPS">#REF!</definedName>
    <definedName name="EB_VR_FinancialExpensesAfterTax">#REF!</definedName>
    <definedName name="EB_VR_FixedAssetsNetValue">#REF!</definedName>
    <definedName name="EB_VR_FreeLoan">#REF!</definedName>
    <definedName name="EB_VR_ImpliedGrowthRate">#REF!</definedName>
    <definedName name="EB_VR_IncreasingInIC">#REF!</definedName>
    <definedName name="EB_VR_InvestCapital">#REF!</definedName>
    <definedName name="EB_VR_InvestmentIncome">#REF!</definedName>
    <definedName name="EB_VR_LongTermAndShortTermLiabilities">#REF!</definedName>
    <definedName name="EB_VR_MinorityIncome">#REF!</definedName>
    <definedName name="EB_VR_MinorityInterests">#REF!</definedName>
    <definedName name="EB_VR_NetProfit">#REF!</definedName>
    <definedName name="EB_VR_NetProfitAdjusted">#REF!</definedName>
    <definedName name="EB_VR_NetRevenue">#REF!</definedName>
    <definedName name="EB_VR_NonOperatingInvestCapital">#REF!</definedName>
    <definedName name="EB_VR_NOPLAT">#REF!</definedName>
    <definedName name="EB_VR_NotFreeLiabilities">#REF!</definedName>
    <definedName name="EB_VR_OperatingActiveMoney">#REF!</definedName>
    <definedName name="EB_VR_OperatingCurrentAsstes">#REF!</definedName>
    <definedName name="EB_VR_OperatingExpenses">#REF!</definedName>
    <definedName name="EB_VR_OtherAsstesMinusOtherLiabilities">#REF!</definedName>
    <definedName name="EB_VR_OtherIncome">#REF!</definedName>
    <definedName name="EB_VR_OutstandingShare">#REF!</definedName>
    <definedName name="EB_VR_PB">#REF!</definedName>
    <definedName name="EB_VR_PE">#REF!</definedName>
    <definedName name="EB_VR_PEG">#REF!</definedName>
    <definedName name="EB_VR_PFCF">#REF!</definedName>
    <definedName name="EB_VR_PS">#REF!</definedName>
    <definedName name="EB_VR_ReductionOfInventory">#REF!</definedName>
    <definedName name="EB_VR_REP">#REF!</definedName>
    <definedName name="EB_VR_ReturnOfMarket">#REF!</definedName>
    <definedName name="EB_VR_RiskFree">#REF!</definedName>
    <definedName name="EB_VR_RiskPremium">#REF!</definedName>
    <definedName name="EB_VR_ROIC">#REF!</definedName>
    <definedName name="EB_VR_ROICMinusWACC">#REF!</definedName>
    <definedName name="EB_VR_ROICOnWACC">#REF!</definedName>
    <definedName name="EB_VR_ShortTermInvestment">#REF!</definedName>
    <definedName name="EB_VR_SPS">#REF!</definedName>
    <definedName name="EB_VR_TaxOnEBIT">#REF!</definedName>
    <definedName name="EB_VR_THISYEAR">#REF!</definedName>
    <definedName name="EB_VR_THISYEAR_A1">#REF!</definedName>
    <definedName name="EB_VR_THISYEAR_A2">#REF!</definedName>
    <definedName name="EB_VR_THISYEAR_A3">#REF!</definedName>
    <definedName name="EB_VR_THISYEAR_F1">#REF!</definedName>
    <definedName name="EB_VR_THISYEAR_F2">#REF!</definedName>
    <definedName name="EB_VR_THISYEAR_F3">#REF!</definedName>
    <definedName name="EB_VR_THISYEAR_F4">#REF!</definedName>
    <definedName name="EB_VR_WACC">#REF!</definedName>
    <definedName name="EB_WACC_DDE">#REF!</definedName>
    <definedName name="EB_WACC_EDE">#REF!</definedName>
    <definedName name="EE">#REF!</definedName>
    <definedName name="EEE">#REF!</definedName>
    <definedName name="Equity_Del_Item">#REF!</definedName>
    <definedName name="Equity_Ins_Item">#REF!</definedName>
    <definedName name="erp">#REF!</definedName>
    <definedName name="etr">#REF!</definedName>
    <definedName name="ev">#REF!</definedName>
    <definedName name="ext">#REF!</definedName>
    <definedName name="extel">#REF!</definedName>
    <definedName name="F">#REF!</definedName>
    <definedName name="F.2017.12">#REF!</definedName>
    <definedName name="F.2019.12">#REF!</definedName>
    <definedName name="F.2021.12">#REF!</definedName>
    <definedName name="F.2022.12">#REF!</definedName>
    <definedName name="FF">#REF!</definedName>
    <definedName name="Fieldnames">#REF!</definedName>
    <definedName name="FINCriteriaType">1</definedName>
    <definedName name="Finished_products_name">OFFSET(#REF!,0,#REF!-1)</definedName>
    <definedName name="FIOPS">#REF!,#REF!</definedName>
    <definedName name="foractual">#REF!</definedName>
    <definedName name="forlimit">#REF!</definedName>
    <definedName name="Fuel_Mix">#REF!</definedName>
    <definedName name="fullname">#REF!</definedName>
    <definedName name="FXsensitivity">#REF!</definedName>
    <definedName name="FY1993_">#REF!</definedName>
    <definedName name="FY1994_">#REF!</definedName>
    <definedName name="FY1995_">#REF!</definedName>
    <definedName name="FY1996_">#REF!</definedName>
    <definedName name="FY1997_">#REF!</definedName>
    <definedName name="FY1998_">#REF!</definedName>
    <definedName name="FY1999_">#REF!</definedName>
    <definedName name="FY2000_">#REF!</definedName>
    <definedName name="FY2001_">#REF!</definedName>
    <definedName name="FY2002_">#REF!</definedName>
    <definedName name="FY2003_">#REF!</definedName>
    <definedName name="FY2004_">#REF!</definedName>
    <definedName name="FY2005_">#REF!</definedName>
    <definedName name="fye">#REF!</definedName>
    <definedName name="G">#REF!</definedName>
    <definedName name="GG">#REF!</definedName>
    <definedName name="Guidance">#REF!</definedName>
    <definedName name="holder1">#REF!</definedName>
    <definedName name="holder2">#REF!</definedName>
    <definedName name="holder3">#REF!</definedName>
    <definedName name="holder4">#REF!</definedName>
    <definedName name="holder5">#REF!</definedName>
    <definedName name="ian">#REF!</definedName>
    <definedName name="iar">#REF!</definedName>
    <definedName name="iba">#REF!</definedName>
    <definedName name="ibc">#REF!</definedName>
    <definedName name="ibes">#REF!</definedName>
    <definedName name="ibf">#REF!</definedName>
    <definedName name="ica">#REF!</definedName>
    <definedName name="icd">#REF!</definedName>
    <definedName name="icf">#REF!</definedName>
    <definedName name="ICP">0</definedName>
    <definedName name="ictsymbol">"won"</definedName>
    <definedName name="icusymbol">"won"</definedName>
    <definedName name="ida">#REF!</definedName>
    <definedName name="iex">#REF!</definedName>
    <definedName name="ifd">#REF!</definedName>
    <definedName name="iff">#REF!</definedName>
    <definedName name="ifl">#REF!</definedName>
    <definedName name="ifn">#REF!</definedName>
    <definedName name="ihd">#REF!</definedName>
    <definedName name="ild">#REF!</definedName>
    <definedName name="ilp">#REF!</definedName>
    <definedName name="ime">#REF!</definedName>
    <definedName name="inm">#REF!</definedName>
    <definedName name="ip1_">#REF!</definedName>
    <definedName name="ip2_">#REF!</definedName>
    <definedName name="ip3_">#REF!</definedName>
    <definedName name="ip4_">#REF!</definedName>
    <definedName name="ip5_">#REF!</definedName>
    <definedName name="ipoprice">#REF!</definedName>
    <definedName name="ipr">#REF!</definedName>
    <definedName name="ipu">#REF!</definedName>
    <definedName name="ipv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MES_REVISION_DATE_" hidden="1">40515.9430208333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r">#REF!</definedName>
    <definedName name="ira">#REF!</definedName>
    <definedName name="irc">#REF!</definedName>
    <definedName name="ire">#REF!</definedName>
    <definedName name="irf">#REF!</definedName>
    <definedName name="irg">#REF!</definedName>
    <definedName name="irp">#REF!</definedName>
    <definedName name="is1_">#REF!</definedName>
    <definedName name="is2_">#REF!</definedName>
    <definedName name="is3_">#REF!</definedName>
    <definedName name="is4_">#REF!</definedName>
    <definedName name="is5_">#REF!</definedName>
    <definedName name="ishares">#REF!</definedName>
    <definedName name="isi">#REF!</definedName>
    <definedName name="isl">#REF!</definedName>
    <definedName name="isn">#REF!</definedName>
    <definedName name="ist">#REF!</definedName>
    <definedName name="isu">#REF!</definedName>
    <definedName name="isy">#REF!</definedName>
    <definedName name="itp">#REF!</definedName>
    <definedName name="iub">#REF!</definedName>
    <definedName name="iue">#REF!</definedName>
    <definedName name="iuesymbol">"won"</definedName>
    <definedName name="iun">#REF!</definedName>
    <definedName name="iunsymbol">"wonbn"</definedName>
    <definedName name="ius">#REF!</definedName>
    <definedName name="iusSymbol">#REF!</definedName>
    <definedName name="iva">#REF!</definedName>
    <definedName name="iwb">#REF!</definedName>
    <definedName name="jet">#REF!</definedName>
    <definedName name="listdate">#REF!</definedName>
    <definedName name="Long">#REF!</definedName>
    <definedName name="lshares">#REF!</definedName>
    <definedName name="ltgr">#REF!</definedName>
    <definedName name="Macro11">#REF!</definedName>
    <definedName name="mgp">#REF!</definedName>
    <definedName name="MktList">#REF!</definedName>
    <definedName name="Model_path_1">"S:\ELECTRIC_UTILITIES\CS Wind\CS Wind-Model test.xlsx"</definedName>
    <definedName name="MONTH">#REF!</definedName>
    <definedName name="MONTH1">#REF!</definedName>
    <definedName name="nbd">#REF!</definedName>
    <definedName name="nbn">#REF!</definedName>
    <definedName name="oai">#REF!</definedName>
    <definedName name="oan">#REF!</definedName>
    <definedName name="oar">#REF!</definedName>
    <definedName name="occ">#REF!</definedName>
    <definedName name="ofn">#REF!</definedName>
    <definedName name="ogm">#REF!</definedName>
    <definedName name="ogn">#REF!</definedName>
    <definedName name="oir">#REF!</definedName>
    <definedName name="ois">#REF!</definedName>
    <definedName name="oit">#REF!</definedName>
    <definedName name="oln">#REF!</definedName>
    <definedName name="olr">#REF!</definedName>
    <definedName name="olt">#REF!</definedName>
    <definedName name="omv">#REF!</definedName>
    <definedName name="onb">#REF!</definedName>
    <definedName name="onp">#REF!</definedName>
    <definedName name="ooa">#REF!</definedName>
    <definedName name="oop">#REF!</definedName>
    <definedName name="oot">#REF!</definedName>
    <definedName name="opi">#REF!</definedName>
    <definedName name="opt">#REF!</definedName>
    <definedName name="orw">#REF!</definedName>
    <definedName name="osn">#REF!</definedName>
    <definedName name="ost">#REF!</definedName>
    <definedName name="oti">#REF!</definedName>
    <definedName name="otl">#REF!</definedName>
    <definedName name="otp">#REF!</definedName>
    <definedName name="ots">#REF!</definedName>
    <definedName name="ott">#REF!</definedName>
    <definedName name="par">#REF!</definedName>
    <definedName name="pat">#REF!</definedName>
    <definedName name="pbd">#REF!</definedName>
    <definedName name="pdb">#REF!</definedName>
    <definedName name="pde">#REF!</definedName>
    <definedName name="pno">#REF!</definedName>
    <definedName name="pr00">#REF!</definedName>
    <definedName name="prd">#REF!</definedName>
    <definedName name="Pref2shares">#REF!</definedName>
    <definedName name="PrefDisc">#REF!</definedName>
    <definedName name="Prelims">#REF!</definedName>
    <definedName name="Price">#REF!</definedName>
    <definedName name="Price2">#REF!</definedName>
    <definedName name="PriceTarget">#REF!</definedName>
    <definedName name="PriceTarget2">#REF!</definedName>
    <definedName name="PRINT_AREA_MI">#REF!</definedName>
    <definedName name="PRINT_TITLES_MI">#N/A</definedName>
    <definedName name="Product_volume">OFFSET(#REF!,0,#REF!-1)</definedName>
    <definedName name="Product_volume_name">OFFSET(#REF!,0,#REF!-1)</definedName>
    <definedName name="ptc">#REF!</definedName>
    <definedName name="pto">#REF!</definedName>
    <definedName name="Q1.2021.03">#REF!</definedName>
    <definedName name="Q1.2022.03">#REF!</definedName>
    <definedName name="Q2.2021.06">#REF!</definedName>
    <definedName name="Q2.2022.06">#REF!</definedName>
    <definedName name="Q3.2021.09">#REF!</definedName>
    <definedName name="Q3.2022.09">#REF!</definedName>
    <definedName name="Q4.2021.12">#REF!</definedName>
    <definedName name="Q4.2022.12">#REF!</definedName>
    <definedName name="rec">#REF!</definedName>
    <definedName name="Rec.Asset_Debt">0</definedName>
    <definedName name="recal0">#REF!</definedName>
    <definedName name="recal1">#REF!</definedName>
    <definedName name="recal10">#REF!</definedName>
    <definedName name="recal11">#REF!</definedName>
    <definedName name="recal2">#REF!</definedName>
    <definedName name="recal3">#REF!</definedName>
    <definedName name="recal4">#REF!</definedName>
    <definedName name="recal5">#REF!</definedName>
    <definedName name="recal6">#REF!</definedName>
    <definedName name="recal7">#REF!</definedName>
    <definedName name="recal8">#REF!</definedName>
    <definedName name="recal9">#REF!</definedName>
    <definedName name="recdate">#REF!</definedName>
    <definedName name="RecList">#REF!</definedName>
    <definedName name="Results">#REF!</definedName>
    <definedName name="ric">#REF!</definedName>
    <definedName name="rica">#REF!</definedName>
    <definedName name="ricf">#REF!</definedName>
    <definedName name="ricx">#REF!</definedName>
    <definedName name="ROIC">#REF!</definedName>
    <definedName name="s">#REF!</definedName>
    <definedName name="SalesPrice">#REF!</definedName>
    <definedName name="SalesRevenue">#REF!</definedName>
    <definedName name="SalesVolume">#REF!</definedName>
    <definedName name="SectorList">#REF!</definedName>
    <definedName name="SectorTable">#REF!</definedName>
    <definedName name="senAna">#REF!</definedName>
    <definedName name="Share_price">#REF!</definedName>
    <definedName name="shortname">#REF!</definedName>
    <definedName name="SOTP">#REF!</definedName>
    <definedName name="SOTP_Table">#REF!</definedName>
    <definedName name="Stock_dividend">0</definedName>
    <definedName name="StockDetails">#REF!</definedName>
    <definedName name="stype">#REF!</definedName>
    <definedName name="Summary">#REF!</definedName>
    <definedName name="SummaryFin">#REF!</definedName>
    <definedName name="SuspendRefUpd" hidden="1">FALSE</definedName>
    <definedName name="SwitchStock">#REF!</definedName>
    <definedName name="Table_Sensitivity">#REF!</definedName>
    <definedName name="target">#REF!</definedName>
    <definedName name="Tariff">#REF!</definedName>
    <definedName name="Tariff2">#REF!</definedName>
    <definedName name="Tariffs">#REF!</definedName>
    <definedName name="tcd">#REF!</definedName>
    <definedName name="tcf">#REF!</definedName>
    <definedName name="tci">#REF!</definedName>
    <definedName name="tcs">#REF!</definedName>
    <definedName name="Template.WIRE">"DBACCESS"</definedName>
    <definedName name="Template.WIRE.DBAccess.CalcMode">"Async"</definedName>
    <definedName name="tev">#REF!</definedName>
    <definedName name="tin">#REF!</definedName>
    <definedName name="Today">#REF!</definedName>
    <definedName name="Trace">FALSE</definedName>
    <definedName name="tre">#REF!</definedName>
    <definedName name="tzs">#REF!</definedName>
    <definedName name="UBSAUTHOR_TABLE001" comment="Created for UBS Author">Appendix!$B$2:$C$13</definedName>
    <definedName name="UBSAUTHOR_TABLE002" comment="Created for UBS Author">Appendix!$B$3:$C$13</definedName>
    <definedName name="UBSAUTHOR_TABLE003" comment="Created for UBS Author">Appendix!$E$15:$H$22</definedName>
    <definedName name="UBSAUTHOR_TABLE004" comment="Created for UBS Author">Appendix!$E$15:$H$23</definedName>
    <definedName name="UBSAUTHOR_TABLE005" comment="Created for UBS Author">'Fair Value - H'!$A$2:$G$16</definedName>
    <definedName name="UpgradeVersion">"v3.54"</definedName>
    <definedName name="Utilization_hours">#REF!</definedName>
    <definedName name="vae">#REF!</definedName>
    <definedName name="validate_Equity_Data">#REF!</definedName>
    <definedName name="Value_of_Core_Operations">#REF!</definedName>
    <definedName name="vay">#REF!</definedName>
    <definedName name="Version.WIRE">1</definedName>
    <definedName name="vev">#REF!</definedName>
    <definedName name="vey">#REF!</definedName>
    <definedName name="vgd">#REF!</definedName>
    <definedName name="vsCons">#REF!</definedName>
    <definedName name="vsp">#REF!</definedName>
    <definedName name="WACC">#REF!</definedName>
    <definedName name="website">#REF!</definedName>
    <definedName name="WTGnos">#REF!</definedName>
    <definedName name="WTGsize">#REF!</definedName>
    <definedName name="x" hidden="1">#REF!</definedName>
    <definedName name="xei">#REF!</definedName>
    <definedName name="xitem">#REF!</definedName>
    <definedName name="xunits">#REF!</definedName>
    <definedName name="year">#REF!</definedName>
    <definedName name="_Fill" localSheetId="1" hidden="1">#REF!</definedName>
    <definedName name="_Model_Path" localSheetId="1">"\\ubsprod.msad.ubs.net\groupshares\GLOBAL\IB_RESEARCH_SEO\ELECTRIC_UTILITIES\Hyundai Electric\HD Elec-Model test.xlsx"</definedName>
    <definedName name="A" localSheetId="1">#REF!</definedName>
    <definedName name="AA" localSheetId="1">#REF!</definedName>
    <definedName name="B" localSheetId="1">#REF!</definedName>
    <definedName name="BB" localSheetId="1">#REF!</definedName>
    <definedName name="C_" localSheetId="1">#REF!</definedName>
    <definedName name="CC" localSheetId="1">#REF!</definedName>
    <definedName name="Changes" localSheetId="1">#REF!</definedName>
    <definedName name="cu107.DPSSymbol" localSheetId="1">"Won"</definedName>
    <definedName name="cu107.EPSSymbol" localSheetId="1">"Won"</definedName>
    <definedName name="cu71.ScalingFactor" localSheetId="1">1000000000</definedName>
    <definedName name="CurrPrice" localSheetId="1">#REF!</definedName>
    <definedName name="CurrPrice2" localSheetId="1">#REF!</definedName>
    <definedName name="CUSTransactionID" localSheetId="1" hidden="1">982604247.152</definedName>
    <definedName name="D" localSheetId="1">#REF!</definedName>
    <definedName name="DCFassum" localSheetId="1">#REF!</definedName>
    <definedName name="DCFshort" localSheetId="1">#REF!</definedName>
    <definedName name="DD" localSheetId="1">#REF!</definedName>
    <definedName name="DFCanalysis" localSheetId="1">#REF!</definedName>
    <definedName name="EE" localSheetId="1">#REF!</definedName>
    <definedName name="EEE" localSheetId="1">#REF!</definedName>
    <definedName name="Equity_Del_Item" localSheetId="1">#REF!</definedName>
    <definedName name="Equity_Ins_Item" localSheetId="1">#REF!</definedName>
    <definedName name="F" localSheetId="1">#REF!</definedName>
    <definedName name="F.2019.12" localSheetId="1">#REF!</definedName>
    <definedName name="FF" localSheetId="1">#REF!</definedName>
    <definedName name="FXsensitivity" localSheetId="1">#REF!</definedName>
    <definedName name="G" localSheetId="1">#REF!</definedName>
    <definedName name="GG" localSheetId="1">#REF!</definedName>
    <definedName name="Guidance" localSheetId="1">#REF!</definedName>
    <definedName name="Macro11" localSheetId="1">#REF!</definedName>
    <definedName name="Pref2shares" localSheetId="1">#REF!</definedName>
    <definedName name="PrefDisc" localSheetId="1">#REF!</definedName>
    <definedName name="Prelims" localSheetId="1">#REF!</definedName>
    <definedName name="Price" localSheetId="1">#REF!</definedName>
    <definedName name="Price2" localSheetId="1">#REF!</definedName>
    <definedName name="PRINT_AREA_MI" localSheetId="1">#REF!</definedName>
    <definedName name="ROIC" localSheetId="1">#REF!</definedName>
    <definedName name="SOTP_Table" localSheetId="1">#REF!</definedName>
    <definedName name="Summary" localSheetId="1">#REF!</definedName>
    <definedName name="SummaryFin" localSheetId="1">#REF!</definedName>
    <definedName name="Table_Sensitivity" localSheetId="1">#REF!</definedName>
    <definedName name="Today" localSheetId="1">#REF!</definedName>
    <definedName name="validate_Equity_Data" localSheetId="1">#REF!</definedName>
    <definedName name="vsCons" localSheetId="1">#REF!</definedName>
    <definedName name="WACC" localSheetId="1">#REF!</definedName>
    <definedName name="x" localSheetId="1" hidden="1">#REF!</definedName>
    <definedName name="_xlnm.Print_Area" localSheetId="1">'Fair Value - H'!$A$2:$G$15</definedName>
    <definedName name="_Fill" localSheetId="2" hidden="1">#REF!</definedName>
    <definedName name="_Model_Path" localSheetId="2">"\\ubsprod.msad.ubs.net\groupshares\GLOBAL\IB_RESEARCH_SEO\ELECTRIC_UTILITIES\Hyundai Electric\HD Elec-Model test.xlsx"</definedName>
    <definedName name="A" localSheetId="2">#REF!</definedName>
    <definedName name="AA" localSheetId="2">#REF!</definedName>
    <definedName name="B" localSheetId="2">#REF!</definedName>
    <definedName name="BB" localSheetId="2">#REF!</definedName>
    <definedName name="C_" localSheetId="2">#REF!</definedName>
    <definedName name="CC" localSheetId="2">#REF!</definedName>
    <definedName name="Changes" localSheetId="2">#REF!</definedName>
    <definedName name="cu107.DPSSymbol" localSheetId="2">"Won"</definedName>
    <definedName name="cu107.EPSSymbol" localSheetId="2">"Won"</definedName>
    <definedName name="cu71.ScalingFactor" localSheetId="2">1000000000</definedName>
    <definedName name="CurrPrice" localSheetId="2">#REF!</definedName>
    <definedName name="CurrPrice2" localSheetId="2">#REF!</definedName>
    <definedName name="CUSTransactionID" localSheetId="2" hidden="1">982604247.152</definedName>
    <definedName name="D" localSheetId="2">#REF!</definedName>
    <definedName name="DCFassum" localSheetId="2">#REF!</definedName>
    <definedName name="DCFshort" localSheetId="2">#REF!</definedName>
    <definedName name="DD" localSheetId="2">#REF!</definedName>
    <definedName name="DFCanalysis" localSheetId="2">#REF!</definedName>
    <definedName name="EE" localSheetId="2">#REF!</definedName>
    <definedName name="EEE" localSheetId="2">#REF!</definedName>
    <definedName name="F" localSheetId="2">#REF!</definedName>
    <definedName name="F.2019.12" localSheetId="2">#REF!</definedName>
    <definedName name="FF" localSheetId="2">#REF!</definedName>
    <definedName name="FXsensitivity" localSheetId="2">#REF!</definedName>
    <definedName name="G" localSheetId="2">#REF!</definedName>
    <definedName name="GG" localSheetId="2">#REF!</definedName>
    <definedName name="Guidance" localSheetId="2">#REF!</definedName>
    <definedName name="Pref2shares" localSheetId="2">#REF!</definedName>
    <definedName name="PrefDisc" localSheetId="2">#REF!</definedName>
    <definedName name="Prelims" localSheetId="2">#REF!</definedName>
    <definedName name="Price" localSheetId="2">#REF!</definedName>
    <definedName name="Price2" localSheetId="2">#REF!</definedName>
    <definedName name="PRINT_AREA_MI" localSheetId="2">#REF!</definedName>
    <definedName name="ROIC" localSheetId="2">#REF!</definedName>
    <definedName name="SOTP_Table" localSheetId="2">#REF!</definedName>
    <definedName name="Summary" localSheetId="2">#REF!</definedName>
    <definedName name="SummaryFin" localSheetId="2">#REF!</definedName>
    <definedName name="Table_Sensitivity" localSheetId="2">#REF!</definedName>
    <definedName name="Today" localSheetId="2">#REF!</definedName>
    <definedName name="vsCons" localSheetId="2">#REF!</definedName>
    <definedName name="WACC" localSheetId="2">#REF!</definedName>
    <definedName name="x" localSheetId="2" hidden="1">#REF!</definedName>
    <definedName name="_xlnm.Print_Area" localSheetId="2">'Fair Value - A'!$A$2:$G$15</definedName>
    <definedName name="_xlnm.Print_Area" localSheetId="3">'Model'!$A$2:$U$45</definedName>
    <definedName name="_xlnm.Print_Area" localSheetId="4">'Driver'!$A$1:$L$80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29">
    <numFmt numFmtId="164" formatCode="#,##0_);\(#,##0\);\-\-_)"/>
    <numFmt numFmtId="165" formatCode="0.00_);[Red]\(0.00\)"/>
    <numFmt numFmtId="166" formatCode="#,##0.0_);\(#,##0.0\);\-\-_)"/>
    <numFmt numFmtId="167" formatCode="#,##0.000000_);\(#,##0.000000\);#,##0.000000_)"/>
    <numFmt numFmtId="168" formatCode="_ * #,##0_ ;_ * \-#,##0_ ;_ * &quot;-&quot;??_ ;_ @_ "/>
    <numFmt numFmtId="169" formatCode="0.0%"/>
    <numFmt numFmtId="170" formatCode="#,###_);\(#,###\);\-\-_)"/>
    <numFmt numFmtId="171" formatCode="_ * #,##0.0_ ;_ * \-#,##0.0_ ;_ * &quot;-&quot;??_ ;_ @_ "/>
    <numFmt numFmtId="172" formatCode="#,##0.00_);\(#,##0.00\);\-\-_)"/>
    <numFmt numFmtId="173" formatCode="#,##0.00_ ;[Red]\-#,##0.00\ "/>
    <numFmt numFmtId="174" formatCode="_ * #,##0.00_ ;_ * \-#,##0.00_ ;_ * &quot;-&quot;??_ ;_ @_ "/>
    <numFmt numFmtId="175" formatCode="0&quot;E&quot;"/>
    <numFmt numFmtId="176" formatCode="_(* #,##0.000_);_(* \(#,##0.000\);_(* &quot;-&quot;??_);_(@_)"/>
    <numFmt numFmtId="177" formatCode="#,##0.000_);\(#,##0.000\);\-\-_)"/>
    <numFmt numFmtId="178" formatCode="_(* #,##0_);_(* \(#,##0\);_(* &quot;--&quot;_);_(@_)"/>
    <numFmt numFmtId="179" formatCode="yyyy\-mm\-dd;@"/>
    <numFmt numFmtId="180" formatCode="_(* ###0_);_(* \(###0\);_(* &quot;--&quot;_);_(@_)"/>
    <numFmt numFmtId="181" formatCode="General&quot;E&quot;_)"/>
    <numFmt numFmtId="182" formatCode="#,##0.0_ "/>
    <numFmt numFmtId="183" formatCode="_(* #,##0.00_);_(* \(#,##0.00\);_(* &quot;--&quot;_);_(@_)"/>
    <numFmt numFmtId="184" formatCode="_(0.0%_);_(* \-0.0%_);_(* 0.0%_);_(@_)"/>
    <numFmt numFmtId="185" formatCode="_(* #,##0.0_);_(* \(#,##0.0\);_(* &quot;--&quot;_);_(@_)"/>
    <numFmt numFmtId="186" formatCode="_(* 0.0%_);_(* \-0.0%_);_(* &quot;--&quot;_);_(* @_)"/>
    <numFmt numFmtId="187" formatCode="0&quot;e&quot;"/>
    <numFmt numFmtId="188" formatCode="0.0%_);\(0.0%\);\-\-_)"/>
    <numFmt numFmtId="189" formatCode=";;;"/>
    <numFmt numFmtId="190" formatCode="_(* #,##0_);_(* \(#,##0\);_(* &quot;-&quot;??_);_(@_)"/>
    <numFmt numFmtId="191" formatCode="0.0&quot;ppt&quot;"/>
    <numFmt numFmtId="192" formatCode="_(* #,##0\x_);_(* \(#,##0\x\);_(* &quot;--&quot;_);_(@_)"/>
  </numFmts>
  <fonts count="6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Frutiger 45 Light"/>
      <family val="2"/>
      <sz val="10"/>
    </font>
    <font>
      <name val="Frutiger 45 Light"/>
      <family val="2"/>
      <b val="1"/>
      <sz val="10"/>
    </font>
    <font>
      <name val="宋体"/>
      <charset val="134"/>
      <family val="3"/>
      <sz val="12"/>
    </font>
    <font>
      <name val="宋体"/>
      <sz val="12"/>
    </font>
    <font>
      <name val="Frutiger 45 Light"/>
      <family val="2"/>
      <color rgb="FFC00000"/>
      <sz val="10"/>
    </font>
    <font>
      <name val="Frutiger 45 Light"/>
      <family val="2"/>
      <color rgb="FFFF0000"/>
      <sz val="10"/>
    </font>
    <font>
      <name val="Frutiger 45 Light"/>
      <family val="2"/>
      <b val="1"/>
      <color rgb="FFC00000"/>
      <sz val="10"/>
    </font>
    <font>
      <name val="Frutiger 45 Light"/>
      <family val="2"/>
      <i val="1"/>
      <sz val="10"/>
    </font>
    <font>
      <name val="Frutiger 45 Light"/>
      <family val="2"/>
      <color rgb="FF0000FF"/>
      <sz val="10"/>
    </font>
    <font>
      <name val="MS Sans Serif"/>
      <family val="2"/>
      <sz val="10"/>
    </font>
    <font>
      <name val="Frutiger 45 Light"/>
      <family val="2"/>
      <sz val="11"/>
    </font>
    <font>
      <name val="Frutiger 45 Light"/>
      <family val="2"/>
      <b val="1"/>
      <sz val="11"/>
    </font>
    <font>
      <name val="Frutiger 45 Light"/>
      <family val="2"/>
      <b val="1"/>
      <i val="1"/>
      <sz val="16"/>
    </font>
    <font>
      <name val="Frutiger 45 Light"/>
      <charset val="134"/>
      <family val="2"/>
      <sz val="11"/>
    </font>
    <font>
      <name val="DengXian"/>
      <charset val="134"/>
      <family val="2"/>
      <sz val="11"/>
    </font>
    <font>
      <name val="Arial"/>
      <family val="2"/>
      <color theme="1"/>
      <sz val="8"/>
    </font>
    <font>
      <name val="Frutiger 45 Light"/>
      <family val="2"/>
      <color theme="1"/>
      <sz val="10"/>
    </font>
    <font>
      <name val="Frutiger 45 Light"/>
      <family val="2"/>
      <b val="1"/>
      <color theme="0"/>
      <sz val="10"/>
    </font>
    <font>
      <name val="Calibri"/>
      <family val="2"/>
      <sz val="10"/>
    </font>
    <font>
      <name val="Frutiger 45 Light"/>
      <family val="2"/>
      <b val="1"/>
      <color rgb="FFFF0000"/>
      <sz val="10"/>
    </font>
    <font>
      <name val="Frutiger 45 Light"/>
      <family val="2"/>
      <color rgb="FF00B050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DengXian"/>
      <charset val="134"/>
      <family val="2"/>
      <color rgb="FFC00000"/>
      <sz val="10"/>
    </font>
    <font>
      <name val="Frutiger 45 Light"/>
      <charset val="134"/>
      <family val="2"/>
      <color rgb="FFC00000"/>
      <sz val="10"/>
    </font>
    <font>
      <name val="Frutiger 45 Light"/>
      <family val="2"/>
      <b val="1"/>
      <color rgb="FF0000FF"/>
      <sz val="10"/>
    </font>
    <font>
      <name val="Frutiger 45 Light"/>
      <family val="2"/>
      <i val="1"/>
      <color rgb="FFC00000"/>
      <sz val="10"/>
    </font>
    <font>
      <name val="Arial Narrow"/>
      <family val="2"/>
      <sz val="10"/>
    </font>
    <font>
      <name val="Aptos Narrow"/>
      <charset val="134"/>
      <family val="3"/>
      <sz val="9"/>
      <scheme val="minor"/>
    </font>
    <font>
      <name val="Arial"/>
      <family val="2"/>
      <color theme="1"/>
      <sz val="10"/>
    </font>
    <font>
      <name val="Arial Narrow"/>
      <family val="2"/>
      <b val="1"/>
      <color theme="1"/>
      <sz val="10"/>
    </font>
    <font>
      <name val="Arial Narrow"/>
      <family val="2"/>
      <color theme="1"/>
      <sz val="9"/>
    </font>
    <font>
      <name val="Frutiger 45 Light"/>
      <family val="2"/>
      <i val="1"/>
      <color rgb="FF0070C0"/>
      <sz val="10"/>
    </font>
    <font>
      <name val="Frutiger 45 Light"/>
      <family val="2"/>
      <b val="1"/>
      <color theme="1"/>
      <sz val="10"/>
    </font>
    <font>
      <name val="Frutiger 45 Light"/>
      <family val="2"/>
      <color theme="4"/>
      <sz val="10"/>
    </font>
    <font>
      <name val="Frutiger 45 Light"/>
      <family val="2"/>
      <b val="1"/>
      <color theme="3"/>
      <sz val="10"/>
    </font>
    <font>
      <name val="Frutiger 45 Light"/>
      <family val="2"/>
      <i val="1"/>
      <color rgb="FFFF0000"/>
      <sz val="10"/>
    </font>
    <font>
      <name val="Frutiger 45 Light"/>
      <family val="2"/>
      <b val="1"/>
      <i val="1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i val="1"/>
      <color rgb="FF0000FF"/>
      <sz val="10"/>
    </font>
    <font>
      <name val="Arial"/>
      <family val="2"/>
      <i val="1"/>
      <sz val="10"/>
    </font>
    <font>
      <name val="Arial"/>
      <family val="2"/>
      <color rgb="FFFF0000"/>
      <sz val="10"/>
    </font>
    <font>
      <name val="Arial"/>
      <family val="2"/>
      <i val="1"/>
      <sz val="10"/>
      <u val="single"/>
    </font>
    <font>
      <name val="Arial"/>
      <family val="2"/>
      <i val="1"/>
      <color rgb="FFFF0000"/>
      <sz val="10"/>
    </font>
    <font>
      <name val="Aptos Narrow"/>
      <family val="2"/>
      <color theme="1"/>
      <sz val="12"/>
      <scheme val="minor"/>
    </font>
    <font>
      <name val="Frutiger 45 Light"/>
      <family val="2"/>
      <b val="1"/>
      <sz val="8"/>
    </font>
    <font>
      <name val="Frutiger 45 Light"/>
      <family val="2"/>
      <sz val="8"/>
    </font>
    <font>
      <name val="Frutiger 45 Light"/>
      <family val="2"/>
      <b val="1"/>
      <sz val="6"/>
    </font>
    <font>
      <name val="Frutiger 45 Light"/>
      <family val="2"/>
      <sz val="6"/>
    </font>
    <font>
      <name val="Aptos Narrow"/>
      <family val="2"/>
      <b val="1"/>
      <color theme="1"/>
      <sz val="12"/>
      <scheme val="minor"/>
    </font>
    <font>
      <name val="Frutiger 45 Light"/>
      <family val="2"/>
      <b val="1"/>
      <i val="1"/>
      <color rgb="FFC00000"/>
      <sz val="10"/>
    </font>
    <font>
      <name val="Frutiger 45 Light"/>
      <family val="2"/>
      <b val="1"/>
      <i val="1"/>
      <color theme="0"/>
      <sz val="10"/>
    </font>
    <font>
      <name val="Frutiger 45 Light"/>
      <family val="2"/>
      <i val="1"/>
      <color theme="1"/>
      <sz val="10"/>
    </font>
    <font>
      <name val="Frutiger 45 Light"/>
      <family val="2"/>
      <b val="1"/>
      <i val="1"/>
      <color theme="1"/>
      <sz val="10"/>
    </font>
    <font>
      <name val="Frutiger 45 Light"/>
      <family val="2"/>
      <b val="1"/>
      <i val="1"/>
      <color rgb="FFFF0000"/>
      <sz val="10"/>
    </font>
    <font>
      <name val="Frutiger 45 Light"/>
      <family val="2"/>
      <i val="1"/>
      <color rgb="FF00B050"/>
      <sz val="10"/>
    </font>
    <font>
      <name val="Frutiger 45 Light"/>
      <family val="2"/>
      <sz val="9"/>
    </font>
    <font>
      <name val="Frutiger 45 Light"/>
      <family val="2"/>
      <b val="1"/>
      <sz val="9"/>
    </font>
    <font>
      <name val="Frutiger 45 Light"/>
      <family val="2"/>
      <color rgb="FF00B050"/>
      <sz val="9"/>
    </font>
  </fonts>
  <fills count="12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E60000"/>
      </left>
      <right/>
      <top style="thin">
        <color rgb="FFE60000"/>
      </top>
      <bottom style="thin">
        <color rgb="FFE60000"/>
      </bottom>
      <diagonal/>
    </border>
    <border>
      <left/>
      <right style="thin">
        <color rgb="FFE60000"/>
      </right>
      <top style="thin">
        <color rgb="FFE60000"/>
      </top>
      <bottom style="thin">
        <color rgb="FFE6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1" fillId="0" borderId="0"/>
    <xf numFmtId="0" fontId="1" fillId="0" borderId="0"/>
    <xf numFmtId="0" fontId="2" fillId="0" borderId="0"/>
    <xf numFmtId="43" fontId="2" fillId="0" borderId="0"/>
    <xf numFmtId="9" fontId="2" fillId="0" borderId="0"/>
    <xf numFmtId="9" fontId="5" fillId="0" borderId="0" applyAlignment="1">
      <alignment vertical="center"/>
    </xf>
    <xf numFmtId="0" fontId="6" fillId="0" borderId="0" applyAlignment="1">
      <alignment vertical="center"/>
    </xf>
    <xf numFmtId="0" fontId="18" fillId="0" borderId="0"/>
    <xf numFmtId="174" fontId="5" fillId="0" borderId="0" applyAlignment="1">
      <alignment vertical="center"/>
    </xf>
    <xf numFmtId="174" fontId="5" fillId="0" borderId="0" applyAlignment="1">
      <alignment vertical="center"/>
    </xf>
    <xf numFmtId="9" fontId="5" fillId="0" borderId="0" applyAlignment="1">
      <alignment vertical="center"/>
    </xf>
    <xf numFmtId="0" fontId="12" fillId="0" borderId="0" applyAlignment="1" applyProtection="1">
      <alignment horizontal="center" wrapText="1"/>
      <protection locked="1" hidden="1"/>
    </xf>
    <xf numFmtId="9" fontId="1" fillId="0" borderId="0" applyAlignment="1">
      <alignment vertical="center"/>
    </xf>
    <xf numFmtId="0" fontId="30" fillId="0" borderId="0" applyAlignment="1" applyProtection="1">
      <alignment vertical="top"/>
      <protection locked="0" hidden="0"/>
    </xf>
    <xf numFmtId="0" fontId="32" fillId="0" borderId="0"/>
    <xf numFmtId="178" fontId="34" fillId="0" borderId="0"/>
    <xf numFmtId="43" fontId="1" fillId="0" borderId="0"/>
    <xf numFmtId="0" fontId="2" fillId="0" borderId="0"/>
    <xf numFmtId="0" fontId="48" fillId="0" borderId="0"/>
  </cellStyleXfs>
  <cellXfs count="577">
    <xf numFmtId="0" fontId="0" fillId="0" borderId="0" pivotButton="0" quotePrefix="0" xfId="0"/>
    <xf numFmtId="40" fontId="13" fillId="0" borderId="0" pivotButton="0" quotePrefix="0" xfId="2"/>
    <xf numFmtId="0" fontId="13" fillId="0" borderId="0" pivotButton="0" quotePrefix="0" xfId="2"/>
    <xf numFmtId="0" fontId="14" fillId="0" borderId="0" pivotButton="0" quotePrefix="0" xfId="2"/>
    <xf numFmtId="0" fontId="15" fillId="3" borderId="0" pivotButton="0" quotePrefix="0" xfId="2"/>
    <xf numFmtId="0" fontId="16" fillId="0" borderId="0" pivotButton="0" quotePrefix="0" xfId="2"/>
    <xf numFmtId="0" fontId="3" fillId="0" borderId="0" applyAlignment="1" pivotButton="0" quotePrefix="0" xfId="6">
      <alignment vertical="center"/>
    </xf>
    <xf numFmtId="0" fontId="3" fillId="0" borderId="0" pivotButton="0" quotePrefix="0" xfId="7"/>
    <xf numFmtId="9" fontId="3" fillId="0" borderId="0" applyAlignment="1" pivotButton="0" quotePrefix="0" xfId="5">
      <alignment vertical="center"/>
    </xf>
    <xf numFmtId="1" fontId="3" fillId="0" borderId="0" applyAlignment="1" pivotButton="0" quotePrefix="0" xfId="6">
      <alignment vertical="center"/>
    </xf>
    <xf numFmtId="164" fontId="3" fillId="0" borderId="0" applyAlignment="1" pivotButton="0" quotePrefix="0" xfId="6">
      <alignment vertical="center"/>
    </xf>
    <xf numFmtId="164" fontId="11" fillId="0" borderId="0" applyAlignment="1" pivotButton="0" quotePrefix="0" xfId="6">
      <alignment vertical="center"/>
    </xf>
    <xf numFmtId="164" fontId="3" fillId="0" borderId="0" applyAlignment="1" pivotButton="0" quotePrefix="0" xfId="8">
      <alignment vertical="center"/>
    </xf>
    <xf numFmtId="164" fontId="3" fillId="0" borderId="0" applyAlignment="1" pivotButton="0" quotePrefix="0" xfId="8">
      <alignment vertical="center"/>
    </xf>
    <xf numFmtId="164" fontId="4" fillId="0" borderId="1" applyAlignment="1" pivotButton="0" quotePrefix="0" xfId="8">
      <alignment vertical="center"/>
    </xf>
    <xf numFmtId="164" fontId="4" fillId="0" borderId="0" applyAlignment="1" pivotButton="0" quotePrefix="0" xfId="8">
      <alignment vertical="center"/>
    </xf>
    <xf numFmtId="164" fontId="4" fillId="0" borderId="1" applyAlignment="1" pivotButton="0" quotePrefix="0" xfId="8">
      <alignment vertical="center"/>
    </xf>
    <xf numFmtId="0" fontId="4" fillId="0" borderId="1" applyAlignment="1" pivotButton="0" quotePrefix="0" xfId="6">
      <alignment vertical="center"/>
    </xf>
    <xf numFmtId="164" fontId="3" fillId="0" borderId="0" applyAlignment="1" pivotButton="0" quotePrefix="0" xfId="8">
      <alignment vertical="center"/>
    </xf>
    <xf numFmtId="164" fontId="4" fillId="0" borderId="2" applyAlignment="1" pivotButton="0" quotePrefix="0" xfId="8">
      <alignment vertical="center"/>
    </xf>
    <xf numFmtId="164" fontId="4" fillId="0" borderId="2" applyAlignment="1" pivotButton="0" quotePrefix="0" xfId="8">
      <alignment vertical="center"/>
    </xf>
    <xf numFmtId="0" fontId="4" fillId="0" borderId="2" applyAlignment="1" pivotButton="0" quotePrefix="0" xfId="6">
      <alignment vertical="center"/>
    </xf>
    <xf numFmtId="164" fontId="11" fillId="0" borderId="0" applyAlignment="1" pivotButton="0" quotePrefix="0" xfId="8">
      <alignment vertical="center"/>
    </xf>
    <xf numFmtId="164" fontId="11" fillId="2" borderId="0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164" fontId="8" fillId="0" borderId="0" applyAlignment="1" pivotButton="0" quotePrefix="0" xfId="8">
      <alignment vertical="center"/>
    </xf>
    <xf numFmtId="164" fontId="3" fillId="2" borderId="0" applyAlignment="1" pivotButton="0" quotePrefix="0" xfId="8">
      <alignment vertical="center"/>
    </xf>
    <xf numFmtId="0" fontId="4" fillId="0" borderId="0" applyAlignment="1" pivotButton="0" quotePrefix="0" xfId="6">
      <alignment vertical="center"/>
    </xf>
    <xf numFmtId="0" fontId="19" fillId="4" borderId="0" applyAlignment="1" pivotButton="0" quotePrefix="0" xfId="6">
      <alignment vertical="center"/>
    </xf>
    <xf numFmtId="0" fontId="19" fillId="0" borderId="0" applyAlignment="1" pivotButton="0" quotePrefix="0" xfId="6">
      <alignment vertical="center"/>
    </xf>
    <xf numFmtId="0" fontId="20" fillId="4" borderId="0" applyAlignment="1" pivotButton="0" quotePrefix="0" xfId="6">
      <alignment vertical="center"/>
    </xf>
    <xf numFmtId="9" fontId="3" fillId="0" borderId="0" applyAlignment="1" pivotButton="0" quotePrefix="0" xfId="6">
      <alignment vertical="center"/>
    </xf>
    <xf numFmtId="9" fontId="3" fillId="0" borderId="0" applyAlignment="1" pivotButton="0" quotePrefix="0" xfId="5">
      <alignment vertical="center"/>
    </xf>
    <xf numFmtId="9" fontId="3" fillId="0" borderId="0" applyAlignment="1" pivotButton="0" quotePrefix="0" xfId="5">
      <alignment vertical="center"/>
    </xf>
    <xf numFmtId="165" fontId="3" fillId="0" borderId="0" applyAlignment="1" pivotButton="0" quotePrefix="0" xfId="6">
      <alignment vertical="center"/>
    </xf>
    <xf numFmtId="166" fontId="8" fillId="0" borderId="0" applyAlignment="1" pivotButton="0" quotePrefix="0" xfId="8">
      <alignment vertical="center"/>
    </xf>
    <xf numFmtId="0" fontId="8" fillId="0" borderId="0" applyAlignment="1" pivotButton="0" quotePrefix="0" xfId="6">
      <alignment vertical="center"/>
    </xf>
    <xf numFmtId="167" fontId="3" fillId="0" borderId="0" applyAlignment="1" pivotButton="0" quotePrefix="0" xfId="6">
      <alignment vertical="center"/>
    </xf>
    <xf numFmtId="168" fontId="4" fillId="0" borderId="2" applyAlignment="1" pivotButton="0" quotePrefix="0" xfId="8">
      <alignment vertical="center"/>
    </xf>
    <xf numFmtId="168" fontId="4" fillId="0" borderId="0" applyAlignment="1" pivotButton="0" quotePrefix="0" xfId="8">
      <alignment vertical="center"/>
    </xf>
    <xf numFmtId="168" fontId="4" fillId="0" borderId="2" applyAlignment="1" pivotButton="0" quotePrefix="0" xfId="8">
      <alignment vertical="center"/>
    </xf>
    <xf numFmtId="164" fontId="3" fillId="0" borderId="0" applyAlignment="1" pivotButton="0" quotePrefix="0" xfId="9">
      <alignment vertical="center"/>
    </xf>
    <xf numFmtId="168" fontId="4" fillId="0" borderId="1" applyAlignment="1" pivotButton="0" quotePrefix="0" xfId="6">
      <alignment vertical="center"/>
    </xf>
    <xf numFmtId="169" fontId="3" fillId="0" borderId="0" applyAlignment="1" pivotButton="0" quotePrefix="0" xfId="5">
      <alignment vertical="center"/>
    </xf>
    <xf numFmtId="168" fontId="4" fillId="0" borderId="2" applyAlignment="1" pivotButton="0" quotePrefix="0" xfId="6">
      <alignment vertical="center"/>
    </xf>
    <xf numFmtId="168" fontId="3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1" fontId="8" fillId="0" borderId="0" applyAlignment="1" pivotButton="0" quotePrefix="0" xfId="8">
      <alignment vertical="center"/>
    </xf>
    <xf numFmtId="171" fontId="8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0" fontId="11" fillId="0" borderId="0" applyAlignment="1" pivotButton="0" quotePrefix="0" xfId="8">
      <alignment vertical="center"/>
    </xf>
    <xf numFmtId="170" fontId="11" fillId="0" borderId="0" applyAlignment="1" pivotButton="0" quotePrefix="0" xfId="8">
      <alignment vertical="center"/>
    </xf>
    <xf numFmtId="172" fontId="3" fillId="0" borderId="0" applyAlignment="1" pivotButton="0" quotePrefix="0" xfId="8">
      <alignment vertical="center"/>
    </xf>
    <xf numFmtId="173" fontId="4" fillId="0" borderId="0" applyAlignment="1" pivotButton="0" quotePrefix="0" xfId="6">
      <alignment vertical="center"/>
    </xf>
    <xf numFmtId="174" fontId="3" fillId="0" borderId="0" applyAlignment="1" pivotButton="0" quotePrefix="0" xfId="8">
      <alignment vertical="center"/>
    </xf>
    <xf numFmtId="9" fontId="11" fillId="0" borderId="0" applyAlignment="1" pivotButton="0" quotePrefix="0" xfId="8">
      <alignment vertical="center"/>
    </xf>
    <xf numFmtId="9" fontId="11" fillId="2" borderId="0" applyAlignment="1" pivotButton="0" quotePrefix="0" xfId="8">
      <alignment vertical="center"/>
    </xf>
    <xf numFmtId="9" fontId="3" fillId="0" borderId="0" applyAlignment="1" pivotButton="0" quotePrefix="0" xfId="8">
      <alignment vertical="center"/>
    </xf>
    <xf numFmtId="174" fontId="3" fillId="0" borderId="0" applyAlignment="1" pivotButton="0" quotePrefix="0" xfId="8">
      <alignment vertical="center"/>
    </xf>
    <xf numFmtId="174" fontId="3" fillId="0" borderId="0" applyAlignment="1" pivotButton="0" quotePrefix="0" xfId="8">
      <alignment vertical="center"/>
    </xf>
    <xf numFmtId="169" fontId="22" fillId="0" borderId="0" applyAlignment="1" pivotButton="0" quotePrefix="0" xfId="8">
      <alignment vertical="center"/>
    </xf>
    <xf numFmtId="169" fontId="22" fillId="0" borderId="0" applyAlignment="1" pivotButton="0" quotePrefix="0" xfId="8">
      <alignment vertical="center"/>
    </xf>
    <xf numFmtId="169" fontId="22" fillId="0" borderId="0" applyAlignment="1" pivotButton="0" quotePrefix="0" xfId="8">
      <alignment vertical="center"/>
    </xf>
    <xf numFmtId="173" fontId="22" fillId="0" borderId="0" applyAlignment="1" pivotButton="0" quotePrefix="0" xfId="6">
      <alignment horizontal="left" vertical="center" indent="1"/>
    </xf>
    <xf numFmtId="9" fontId="23" fillId="0" borderId="0" applyAlignment="1" pivotButton="0" quotePrefix="0" xfId="8">
      <alignment vertical="center"/>
    </xf>
    <xf numFmtId="9" fontId="23" fillId="0" borderId="0" applyAlignment="1" pivotButton="0" quotePrefix="0" xfId="8">
      <alignment vertical="center"/>
    </xf>
    <xf numFmtId="9" fontId="23" fillId="0" borderId="0" applyAlignment="1" pivotButton="0" quotePrefix="0" xfId="8">
      <alignment vertical="center"/>
    </xf>
    <xf numFmtId="173" fontId="23" fillId="0" borderId="0" applyAlignment="1" pivotButton="0" quotePrefix="0" xfId="6">
      <alignment horizontal="left" vertical="center" indent="1"/>
    </xf>
    <xf numFmtId="170" fontId="3" fillId="0" borderId="0" applyAlignment="1" pivotButton="0" quotePrefix="0" xfId="6">
      <alignment vertical="center"/>
    </xf>
    <xf numFmtId="170" fontId="4" fillId="0" borderId="2" applyAlignment="1" pivotButton="0" quotePrefix="0" xfId="8">
      <alignment vertical="center"/>
    </xf>
    <xf numFmtId="173" fontId="4" fillId="0" borderId="2" applyAlignment="1" pivotButton="0" quotePrefix="0" xfId="6">
      <alignment vertical="center"/>
    </xf>
    <xf numFmtId="173" fontId="3" fillId="0" borderId="0" applyAlignment="1" pivotButton="0" quotePrefix="0" xfId="6">
      <alignment vertical="center"/>
    </xf>
    <xf numFmtId="9" fontId="3" fillId="0" borderId="0" applyAlignment="1" pivotButton="0" quotePrefix="0" xfId="5">
      <alignment vertical="center"/>
    </xf>
    <xf numFmtId="170" fontId="4" fillId="0" borderId="0" applyAlignment="1" pivotButton="0" quotePrefix="0" xfId="8">
      <alignment vertical="center"/>
    </xf>
    <xf numFmtId="9" fontId="11" fillId="0" borderId="0" applyAlignment="1" pivotButton="0" quotePrefix="0" xfId="8">
      <alignment vertical="center"/>
    </xf>
    <xf numFmtId="9" fontId="11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2" fontId="3" fillId="0" borderId="0" applyAlignment="1" pivotButton="0" quotePrefix="0" xfId="8">
      <alignment vertical="center"/>
    </xf>
    <xf numFmtId="169" fontId="23" fillId="0" borderId="0" applyAlignment="1" pivotButton="0" quotePrefix="0" xfId="8">
      <alignment vertical="center"/>
    </xf>
    <xf numFmtId="164" fontId="4" fillId="0" borderId="0" applyAlignment="1" pivotButton="0" quotePrefix="0" xfId="8">
      <alignment vertical="center"/>
    </xf>
    <xf numFmtId="169" fontId="3" fillId="0" borderId="0" applyAlignment="1" pivotButton="0" quotePrefix="0" xfId="6">
      <alignment vertical="center"/>
    </xf>
    <xf numFmtId="9" fontId="23" fillId="0" borderId="0" applyAlignment="1" pivotButton="0" quotePrefix="0" xfId="5">
      <alignment vertical="center"/>
    </xf>
    <xf numFmtId="9" fontId="11" fillId="0" borderId="0" applyAlignment="1" pivotButton="0" quotePrefix="0" xfId="5">
      <alignment vertical="center"/>
    </xf>
    <xf numFmtId="9" fontId="11" fillId="0" borderId="0" applyAlignment="1" pivotButton="0" quotePrefix="0" xfId="5">
      <alignment vertical="center"/>
    </xf>
    <xf numFmtId="9" fontId="23" fillId="0" borderId="0" applyAlignment="1" pivotButton="0" quotePrefix="0" xfId="5">
      <alignment horizontal="left" vertical="center" indent="1"/>
    </xf>
    <xf numFmtId="170" fontId="4" fillId="0" borderId="0" applyAlignment="1" pivotButton="0" quotePrefix="0" xfId="8">
      <alignment vertical="center"/>
    </xf>
    <xf numFmtId="9" fontId="22" fillId="0" borderId="0" applyAlignment="1" pivotButton="0" quotePrefix="0" xfId="8">
      <alignment vertical="center"/>
    </xf>
    <xf numFmtId="170" fontId="4" fillId="0" borderId="0" applyAlignment="1" pivotButton="0" quotePrefix="0" xfId="8">
      <alignment vertical="center"/>
    </xf>
    <xf numFmtId="0" fontId="3" fillId="0" borderId="0" applyAlignment="1" pivotButton="0" quotePrefix="0" xfId="6">
      <alignment horizontal="right" vertical="center"/>
    </xf>
    <xf numFmtId="0" fontId="3" fillId="0" borderId="0" applyAlignment="1" pivotButton="0" quotePrefix="0" xfId="6">
      <alignment horizontal="left" vertical="center"/>
    </xf>
    <xf numFmtId="14" fontId="20" fillId="5" borderId="0" applyAlignment="1" pivotButton="0" quotePrefix="0" xfId="6">
      <alignment horizontal="center" vertical="center"/>
    </xf>
    <xf numFmtId="175" fontId="20" fillId="5" borderId="0" applyAlignment="1" pivotButton="0" quotePrefix="0" xfId="6">
      <alignment horizontal="center" vertical="center"/>
    </xf>
    <xf numFmtId="175" fontId="20" fillId="0" borderId="0" applyAlignment="1" pivotButton="0" quotePrefix="0" xfId="6">
      <alignment horizontal="center" vertical="center"/>
    </xf>
    <xf numFmtId="175" fontId="20" fillId="6" borderId="0" applyAlignment="1" pivotButton="0" quotePrefix="0" xfId="6">
      <alignment horizontal="center" vertical="center"/>
    </xf>
    <xf numFmtId="0" fontId="20" fillId="5" borderId="0" applyAlignment="1" pivotButton="0" quotePrefix="0" xfId="6">
      <alignment horizontal="center" vertical="center"/>
    </xf>
    <xf numFmtId="0" fontId="20" fillId="5" borderId="0" applyAlignment="1" pivotButton="0" quotePrefix="0" xfId="6">
      <alignment vertical="center"/>
    </xf>
    <xf numFmtId="176" fontId="3" fillId="0" borderId="0" applyAlignment="1" pivotButton="0" quotePrefix="0" xfId="6">
      <alignment vertical="center"/>
    </xf>
    <xf numFmtId="43" fontId="3" fillId="0" borderId="0" applyAlignment="1" pivotButton="0" quotePrefix="0" xfId="6">
      <alignment vertical="center"/>
    </xf>
    <xf numFmtId="0" fontId="7" fillId="0" borderId="0" applyAlignment="1" pivotButton="0" quotePrefix="0" xfId="6">
      <alignment vertical="center"/>
    </xf>
    <xf numFmtId="168" fontId="11" fillId="2" borderId="0" applyAlignment="1" pivotButton="0" quotePrefix="0" xfId="9">
      <alignment vertical="center"/>
    </xf>
    <xf numFmtId="168" fontId="23" fillId="0" borderId="0" applyAlignment="1" pivotButton="0" quotePrefix="0" xfId="9">
      <alignment vertical="center"/>
    </xf>
    <xf numFmtId="170" fontId="7" fillId="0" borderId="0" applyAlignment="1" pivotButton="0" quotePrefix="0" xfId="9">
      <alignment vertical="center"/>
    </xf>
    <xf numFmtId="170" fontId="23" fillId="0" borderId="0" applyAlignment="1" pivotButton="0" quotePrefix="0" xfId="9">
      <alignment vertical="center"/>
    </xf>
    <xf numFmtId="0" fontId="26" fillId="0" borderId="0" applyAlignment="1" pivotButton="0" quotePrefix="0" xfId="6">
      <alignment vertical="center"/>
    </xf>
    <xf numFmtId="0" fontId="28" fillId="0" borderId="0" applyAlignment="1" pivotButton="0" quotePrefix="0" xfId="6">
      <alignment vertical="center"/>
    </xf>
    <xf numFmtId="164" fontId="3" fillId="0" borderId="0" applyAlignment="1" pivotButton="0" quotePrefix="0" xfId="9">
      <alignment vertical="center"/>
    </xf>
    <xf numFmtId="164" fontId="8" fillId="0" borderId="0" applyAlignment="1" pivotButton="0" quotePrefix="0" xfId="9">
      <alignment vertical="center"/>
    </xf>
    <xf numFmtId="164" fontId="4" fillId="0" borderId="2" applyAlignment="1" pivotButton="0" quotePrefix="0" xfId="9">
      <alignment vertical="center"/>
    </xf>
    <xf numFmtId="164" fontId="11" fillId="2" borderId="0" applyAlignment="1" pivotButton="0" quotePrefix="0" xfId="9">
      <alignment vertical="center"/>
    </xf>
    <xf numFmtId="9" fontId="11" fillId="2" borderId="0" applyAlignment="1" pivotButton="0" quotePrefix="0" xfId="9">
      <alignment vertical="center"/>
    </xf>
    <xf numFmtId="9" fontId="23" fillId="0" borderId="0" applyAlignment="1" pivotButton="0" quotePrefix="0" xfId="9">
      <alignment vertical="center"/>
    </xf>
    <xf numFmtId="4" fontId="3" fillId="0" borderId="0" applyAlignment="1" pivotButton="0" quotePrefix="0" xfId="6">
      <alignment vertical="center"/>
    </xf>
    <xf numFmtId="164" fontId="3" fillId="0" borderId="2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0" fontId="9" fillId="0" borderId="0" applyAlignment="1" pivotButton="0" quotePrefix="0" xfId="6">
      <alignment vertical="center"/>
    </xf>
    <xf numFmtId="164" fontId="4" fillId="0" borderId="0" applyAlignment="1" pivotButton="0" quotePrefix="0" xfId="9">
      <alignment vertical="center"/>
    </xf>
    <xf numFmtId="164" fontId="11" fillId="0" borderId="0" applyAlignment="1" pivotButton="0" quotePrefix="0" xfId="9">
      <alignment vertical="center"/>
    </xf>
    <xf numFmtId="164" fontId="4" fillId="0" borderId="2" applyAlignment="1" pivotButton="0" quotePrefix="0" xfId="9">
      <alignment vertical="center"/>
    </xf>
    <xf numFmtId="3" fontId="3" fillId="0" borderId="0" applyAlignment="1" pivotButton="0" quotePrefix="0" xfId="6">
      <alignment vertical="center"/>
    </xf>
    <xf numFmtId="9" fontId="23" fillId="0" borderId="0" applyAlignment="1" pivotButton="0" quotePrefix="0" xfId="9">
      <alignment vertical="center"/>
    </xf>
    <xf numFmtId="169" fontId="11" fillId="2" borderId="0" applyAlignment="1" pivotButton="0" quotePrefix="0" xfId="9">
      <alignment vertical="center"/>
    </xf>
    <xf numFmtId="172" fontId="3" fillId="0" borderId="0" applyAlignment="1" pivotButton="0" quotePrefix="0" xfId="9">
      <alignment vertical="center"/>
    </xf>
    <xf numFmtId="169" fontId="4" fillId="0" borderId="0" applyAlignment="1" pivotButton="0" quotePrefix="0" xfId="9">
      <alignment vertical="center"/>
    </xf>
    <xf numFmtId="9" fontId="3" fillId="0" borderId="0" applyAlignment="1" pivotButton="0" quotePrefix="0" xfId="9">
      <alignment vertical="center"/>
    </xf>
    <xf numFmtId="0" fontId="10" fillId="0" borderId="0" applyAlignment="1" pivotButton="0" quotePrefix="0" xfId="6">
      <alignment vertical="center"/>
    </xf>
    <xf numFmtId="9" fontId="10" fillId="0" borderId="0" applyAlignment="1" pivotButton="0" quotePrefix="0" xfId="5">
      <alignment vertical="center"/>
    </xf>
    <xf numFmtId="0" fontId="29" fillId="0" borderId="0" applyAlignment="1" pivotButton="0" quotePrefix="0" xfId="6">
      <alignment vertical="center"/>
    </xf>
    <xf numFmtId="172" fontId="10" fillId="0" borderId="0" applyAlignment="1" pivotButton="0" quotePrefix="0" xfId="9">
      <alignment vertical="center"/>
    </xf>
    <xf numFmtId="164" fontId="10" fillId="0" borderId="0" applyAlignment="1" pivotButton="0" quotePrefix="0" xfId="9">
      <alignment vertical="center"/>
    </xf>
    <xf numFmtId="14" fontId="3" fillId="0" borderId="0" applyAlignment="1" pivotButton="0" quotePrefix="0" xfId="6">
      <alignment vertical="center"/>
    </xf>
    <xf numFmtId="166" fontId="3" fillId="0" borderId="0" applyAlignment="1" pivotButton="0" quotePrefix="0" xfId="9">
      <alignment vertical="center"/>
    </xf>
    <xf numFmtId="9" fontId="4" fillId="0" borderId="0" applyAlignment="1" pivotButton="0" quotePrefix="0" xfId="9">
      <alignment vertical="center"/>
    </xf>
    <xf numFmtId="9" fontId="4" fillId="0" borderId="2" applyAlignment="1" pivotButton="0" quotePrefix="0" xfId="9">
      <alignment vertical="center"/>
    </xf>
    <xf numFmtId="9" fontId="3" fillId="0" borderId="0" applyAlignment="1" pivotButton="0" quotePrefix="0" xfId="9">
      <alignment vertical="center"/>
    </xf>
    <xf numFmtId="9" fontId="3" fillId="0" borderId="0" applyAlignment="1" pivotButton="0" quotePrefix="0" xfId="9">
      <alignment vertical="center"/>
    </xf>
    <xf numFmtId="2" fontId="3" fillId="0" borderId="0" applyAlignment="1" pivotButton="0" quotePrefix="0" xfId="6">
      <alignment vertical="center"/>
    </xf>
    <xf numFmtId="4" fontId="7" fillId="0" borderId="0" applyAlignment="1" pivotButton="0" quotePrefix="0" xfId="6">
      <alignment vertical="center"/>
    </xf>
    <xf numFmtId="9" fontId="11" fillId="2" borderId="0" applyAlignment="1" pivotButton="0" quotePrefix="0" xfId="5">
      <alignment vertical="center"/>
    </xf>
    <xf numFmtId="164" fontId="4" fillId="0" borderId="0" applyAlignment="1" pivotButton="0" quotePrefix="0" xfId="9">
      <alignment vertical="center"/>
    </xf>
    <xf numFmtId="170" fontId="4" fillId="0" borderId="0" applyAlignment="1" pivotButton="0" quotePrefix="0" xfId="9">
      <alignment vertical="center"/>
    </xf>
    <xf numFmtId="172" fontId="4" fillId="0" borderId="0" applyAlignment="1" pivotButton="0" quotePrefix="0" xfId="9">
      <alignment vertical="center"/>
    </xf>
    <xf numFmtId="4" fontId="3" fillId="0" borderId="0" applyAlignment="1" pivotButton="0" quotePrefix="0" xfId="6">
      <alignment horizontal="right" vertical="center"/>
    </xf>
    <xf numFmtId="3" fontId="3" fillId="2" borderId="0" applyAlignment="1" pivotButton="0" quotePrefix="0" xfId="6">
      <alignment vertical="center"/>
    </xf>
    <xf numFmtId="0" fontId="3" fillId="2" borderId="0" applyAlignment="1" pivotButton="0" quotePrefix="0" xfId="6">
      <alignment vertical="center"/>
    </xf>
    <xf numFmtId="169" fontId="3" fillId="0" borderId="0" applyAlignment="1" pivotButton="0" quotePrefix="0" xfId="10">
      <alignment vertical="center"/>
    </xf>
    <xf numFmtId="9" fontId="3" fillId="0" borderId="0" applyAlignment="1" pivotButton="0" quotePrefix="0" xfId="10">
      <alignment vertical="center"/>
    </xf>
    <xf numFmtId="15" fontId="3" fillId="0" borderId="0" applyAlignment="1" pivotButton="0" quotePrefix="0" xfId="6">
      <alignment horizontal="left" vertical="center"/>
    </xf>
    <xf numFmtId="9" fontId="3" fillId="0" borderId="0" applyAlignment="1" pivotButton="0" quotePrefix="0" xfId="10">
      <alignment vertical="center"/>
    </xf>
    <xf numFmtId="164" fontId="3" fillId="0" borderId="0" applyAlignment="1" pivotButton="0" quotePrefix="0" xfId="9">
      <alignment vertical="center"/>
    </xf>
    <xf numFmtId="164" fontId="10" fillId="0" borderId="0" applyAlignment="1" pivotButton="0" quotePrefix="0" xfId="9">
      <alignment vertical="center"/>
    </xf>
    <xf numFmtId="9" fontId="10" fillId="0" borderId="0" applyAlignment="1" pivotButton="0" quotePrefix="0" xfId="12">
      <alignment vertical="center"/>
    </xf>
    <xf numFmtId="9" fontId="4" fillId="0" borderId="0" applyAlignment="1" pivotButton="0" quotePrefix="0" xfId="12">
      <alignment vertical="center"/>
    </xf>
    <xf numFmtId="166" fontId="3" fillId="0" borderId="0" applyAlignment="1" pivotButton="0" quotePrefix="0" xfId="8">
      <alignment vertical="center"/>
    </xf>
    <xf numFmtId="9" fontId="3" fillId="0" borderId="0" applyAlignment="1" pivotButton="0" quotePrefix="0" xfId="12">
      <alignment vertical="center"/>
    </xf>
    <xf numFmtId="0" fontId="3" fillId="2" borderId="0" applyAlignment="1" pivotButton="0" quotePrefix="0" xfId="6">
      <alignment horizontal="right" vertical="center"/>
    </xf>
    <xf numFmtId="4" fontId="26" fillId="0" borderId="0" applyAlignment="1" pivotButton="0" quotePrefix="0" xfId="6">
      <alignment vertical="center"/>
    </xf>
    <xf numFmtId="4" fontId="27" fillId="0" borderId="0" applyAlignment="1" pivotButton="0" quotePrefix="0" xfId="6">
      <alignment vertical="center"/>
    </xf>
    <xf numFmtId="177" fontId="3" fillId="0" borderId="0" applyAlignment="1" pivotButton="0" quotePrefix="0" xfId="8">
      <alignment vertical="center"/>
    </xf>
    <xf numFmtId="178" fontId="33" fillId="0" borderId="0" applyAlignment="1" pivotButton="0" quotePrefix="0" xfId="15">
      <alignment horizontal="right" vertical="center"/>
    </xf>
    <xf numFmtId="179" fontId="14" fillId="0" borderId="0" pivotButton="0" quotePrefix="0" xfId="2"/>
    <xf numFmtId="40" fontId="14" fillId="0" borderId="0" pivotButton="0" quotePrefix="0" xfId="2"/>
    <xf numFmtId="40" fontId="13" fillId="9" borderId="0" pivotButton="0" quotePrefix="0" xfId="2"/>
    <xf numFmtId="173" fontId="3" fillId="0" borderId="0" applyAlignment="1" pivotButton="0" quotePrefix="0" xfId="0">
      <alignment vertical="center"/>
    </xf>
    <xf numFmtId="173" fontId="23" fillId="0" borderId="0" applyAlignment="1" pivotButton="0" quotePrefix="0" xfId="0">
      <alignment horizontal="left" vertical="center" indent="1"/>
    </xf>
    <xf numFmtId="172" fontId="8" fillId="0" borderId="0" applyAlignment="1" pivotButton="0" quotePrefix="0" xfId="9">
      <alignment vertical="center"/>
    </xf>
    <xf numFmtId="164" fontId="3" fillId="0" borderId="2" applyAlignment="1" pivotButton="0" quotePrefix="0" xfId="9">
      <alignment vertical="center"/>
    </xf>
    <xf numFmtId="9" fontId="35" fillId="0" borderId="0" applyAlignment="1" pivotButton="0" quotePrefix="0" xfId="12">
      <alignment vertical="center"/>
    </xf>
    <xf numFmtId="9" fontId="4" fillId="0" borderId="0" applyAlignment="1" pivotButton="0" quotePrefix="0" xfId="8">
      <alignment vertical="center"/>
    </xf>
    <xf numFmtId="178" fontId="19" fillId="0" borderId="0" applyAlignment="1" pivotButton="0" quotePrefix="0" xfId="14">
      <alignment vertical="center"/>
    </xf>
    <xf numFmtId="178" fontId="19" fillId="0" borderId="0" applyAlignment="1" pivotButton="0" quotePrefix="0" xfId="14">
      <alignment horizontal="right" vertical="center"/>
    </xf>
    <xf numFmtId="180" fontId="36" fillId="8" borderId="3" applyAlignment="1" pivotButton="0" quotePrefix="0" xfId="14">
      <alignment vertical="center"/>
    </xf>
    <xf numFmtId="181" fontId="36" fillId="8" borderId="3" applyAlignment="1" pivotButton="0" quotePrefix="0" xfId="14">
      <alignment horizontal="right" vertical="center"/>
    </xf>
    <xf numFmtId="0" fontId="19" fillId="0" borderId="0" applyAlignment="1" pivotButton="0" quotePrefix="0" xfId="14">
      <alignment horizontal="right" vertical="center"/>
    </xf>
    <xf numFmtId="180" fontId="36" fillId="8" borderId="3" applyAlignment="1" pivotButton="0" quotePrefix="0" xfId="14">
      <alignment horizontal="right" vertical="center"/>
    </xf>
    <xf numFmtId="178" fontId="19" fillId="0" borderId="0" applyAlignment="1" pivotButton="0" quotePrefix="0" xfId="14">
      <alignment horizontal="left" vertical="center"/>
    </xf>
    <xf numFmtId="14" fontId="19" fillId="0" borderId="0" applyAlignment="1" pivotButton="0" quotePrefix="0" xfId="14">
      <alignment horizontal="right" vertical="center"/>
    </xf>
    <xf numFmtId="0" fontId="19" fillId="0" borderId="0" applyAlignment="1" pivotButton="0" quotePrefix="0" xfId="14">
      <alignment horizontal="left" vertical="center"/>
    </xf>
    <xf numFmtId="0" fontId="36" fillId="0" borderId="0" applyAlignment="1" pivotButton="0" quotePrefix="0" xfId="14">
      <alignment horizontal="left" vertical="center"/>
    </xf>
    <xf numFmtId="182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vertical="center"/>
    </xf>
    <xf numFmtId="183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horizontal="left" vertical="center"/>
    </xf>
    <xf numFmtId="178" fontId="36" fillId="0" borderId="0" applyAlignment="1" pivotButton="0" quotePrefix="0" xfId="14">
      <alignment horizontal="right" vertical="center"/>
    </xf>
    <xf numFmtId="178" fontId="36" fillId="0" borderId="2" applyAlignment="1" pivotButton="0" quotePrefix="0" xfId="14">
      <alignment vertical="center"/>
    </xf>
    <xf numFmtId="183" fontId="36" fillId="0" borderId="2" applyAlignment="1" pivotButton="0" quotePrefix="0" xfId="14">
      <alignment horizontal="right" vertical="center"/>
    </xf>
    <xf numFmtId="178" fontId="19" fillId="0" borderId="2" applyAlignment="1" pivotButton="0" quotePrefix="0" xfId="14">
      <alignment horizontal="left" vertical="center"/>
    </xf>
    <xf numFmtId="178" fontId="19" fillId="0" borderId="2" applyAlignment="1" pivotButton="0" quotePrefix="0" xfId="14">
      <alignment horizontal="right" vertical="center"/>
    </xf>
    <xf numFmtId="184" fontId="3" fillId="0" borderId="2" applyAlignment="1" pivotButton="0" quotePrefix="0" xfId="14">
      <alignment horizontal="right" vertical="center"/>
    </xf>
    <xf numFmtId="0" fontId="8" fillId="0" borderId="0" applyAlignment="1" pivotButton="0" quotePrefix="0" xfId="14">
      <alignment horizontal="left" vertical="center"/>
    </xf>
    <xf numFmtId="184" fontId="11" fillId="0" borderId="0" applyAlignment="1" pivotButton="0" quotePrefix="0" xfId="14">
      <alignment horizontal="right" vertical="center"/>
    </xf>
    <xf numFmtId="184" fontId="3" fillId="0" borderId="0" applyAlignment="1" pivotButton="0" quotePrefix="0" xfId="14">
      <alignment horizontal="right" vertical="center"/>
    </xf>
    <xf numFmtId="178" fontId="36" fillId="0" borderId="4" applyAlignment="1" pivotButton="0" quotePrefix="0" xfId="14">
      <alignment vertical="center"/>
    </xf>
    <xf numFmtId="169" fontId="19" fillId="0" borderId="0" applyAlignment="1" pivotButton="0" quotePrefix="0" xfId="12">
      <alignment horizontal="right" vertical="center"/>
    </xf>
    <xf numFmtId="178" fontId="38" fillId="0" borderId="0" applyAlignment="1" pivotButton="0" quotePrefix="0" xfId="14">
      <alignment vertical="center"/>
    </xf>
    <xf numFmtId="185" fontId="11" fillId="0" borderId="0" applyAlignment="1" pivotButton="0" quotePrefix="0" xfId="14">
      <alignment horizontal="right" vertical="center"/>
    </xf>
    <xf numFmtId="186" fontId="4" fillId="0" borderId="2" applyAlignment="1" pivotButton="0" quotePrefix="0" xfId="14">
      <alignment horizontal="right" vertical="center"/>
    </xf>
    <xf numFmtId="0" fontId="36" fillId="0" borderId="0" applyAlignment="1" pivotButton="0" quotePrefix="0" xfId="14">
      <alignment horizontal="right" vertical="center"/>
    </xf>
    <xf numFmtId="0" fontId="19" fillId="0" borderId="0" applyAlignment="1" pivotButton="0" quotePrefix="0" xfId="14">
      <alignment vertical="center"/>
    </xf>
    <xf numFmtId="183" fontId="37" fillId="0" borderId="0" applyAlignment="1" pivotButton="0" quotePrefix="0" xfId="14">
      <alignment horizontal="right" vertical="center"/>
    </xf>
    <xf numFmtId="9" fontId="19" fillId="0" borderId="0" applyAlignment="1" pivotButton="0" quotePrefix="0" xfId="14">
      <alignment vertical="center"/>
    </xf>
    <xf numFmtId="164" fontId="8" fillId="0" borderId="0" applyAlignment="1" pivotButton="0" quotePrefix="0" xfId="9">
      <alignment vertical="center"/>
    </xf>
    <xf numFmtId="1" fontId="4" fillId="0" borderId="0" applyAlignment="1" pivotButton="0" quotePrefix="0" xfId="6">
      <alignment vertical="center"/>
    </xf>
    <xf numFmtId="169" fontId="8" fillId="0" borderId="0" applyAlignment="1" pivotButton="0" quotePrefix="0" xfId="5">
      <alignment vertical="center"/>
    </xf>
    <xf numFmtId="0" fontId="35" fillId="0" borderId="0" applyAlignment="1" pivotButton="0" quotePrefix="0" xfId="6">
      <alignment vertical="center"/>
    </xf>
    <xf numFmtId="164" fontId="35" fillId="0" borderId="0" applyAlignment="1" pivotButton="0" quotePrefix="0" xfId="9">
      <alignment vertical="center"/>
    </xf>
    <xf numFmtId="164" fontId="4" fillId="0" borderId="0" applyAlignment="1" pivotButton="0" quotePrefix="0" xfId="6">
      <alignment vertical="center"/>
    </xf>
    <xf numFmtId="0" fontId="40" fillId="0" borderId="0" applyAlignment="1" pivotButton="0" quotePrefix="0" xfId="6">
      <alignment vertical="center"/>
    </xf>
    <xf numFmtId="0" fontId="2" fillId="0" borderId="0" pivotButton="0" quotePrefix="0" xfId="0"/>
    <xf numFmtId="187" fontId="41" fillId="0" borderId="0" applyAlignment="1" pivotButton="0" quotePrefix="0" xfId="0">
      <alignment horizontal="right"/>
    </xf>
    <xf numFmtId="0" fontId="2" fillId="0" borderId="3" pivotButton="0" quotePrefix="0" xfId="0"/>
    <xf numFmtId="0" fontId="42" fillId="0" borderId="0" pivotButton="0" quotePrefix="0" xfId="0"/>
    <xf numFmtId="43" fontId="2" fillId="0" borderId="0" pivotButton="0" quotePrefix="0" xfId="0"/>
    <xf numFmtId="37" fontId="2" fillId="0" borderId="0" pivotButton="0" quotePrefix="0" xfId="0"/>
    <xf numFmtId="49" fontId="42" fillId="0" borderId="0" pivotButton="0" quotePrefix="0" xfId="0"/>
    <xf numFmtId="43" fontId="43" fillId="0" borderId="0" applyAlignment="1" pivotButton="0" quotePrefix="0" xfId="0">
      <alignment horizontal="left" indent="1"/>
    </xf>
    <xf numFmtId="188" fontId="44" fillId="8" borderId="7" pivotButton="0" quotePrefix="0" xfId="12"/>
    <xf numFmtId="188" fontId="44" fillId="0" borderId="0" pivotButton="0" quotePrefix="0" xfId="12"/>
    <xf numFmtId="189" fontId="2" fillId="0" borderId="0" pivotButton="0" quotePrefix="0" xfId="0"/>
    <xf numFmtId="1" fontId="2" fillId="0" borderId="0" pivotButton="0" quotePrefix="0" xfId="17"/>
    <xf numFmtId="190" fontId="44" fillId="0" borderId="0" pivotButton="0" quotePrefix="0" xfId="16"/>
    <xf numFmtId="190" fontId="2" fillId="0" borderId="0" pivotButton="0" quotePrefix="0" xfId="16"/>
    <xf numFmtId="188" fontId="44" fillId="0" borderId="0" pivotButton="0" quotePrefix="0" xfId="12"/>
    <xf numFmtId="49" fontId="46" fillId="0" borderId="0" pivotButton="0" quotePrefix="0" xfId="0"/>
    <xf numFmtId="0" fontId="46" fillId="0" borderId="0" pivotButton="0" quotePrefix="0" xfId="17"/>
    <xf numFmtId="188" fontId="46" fillId="0" borderId="0" pivotButton="0" quotePrefix="0" xfId="17"/>
    <xf numFmtId="0" fontId="45" fillId="0" borderId="6" pivotButton="0" quotePrefix="0" xfId="0"/>
    <xf numFmtId="0" fontId="45" fillId="0" borderId="3" pivotButton="0" quotePrefix="0" xfId="0"/>
    <xf numFmtId="9" fontId="42" fillId="0" borderId="3" pivotButton="0" quotePrefix="0" xfId="16"/>
    <xf numFmtId="9" fontId="2" fillId="8" borderId="7" pivotButton="0" quotePrefix="0" xfId="16"/>
    <xf numFmtId="43" fontId="47" fillId="0" borderId="0" applyAlignment="1" pivotButton="0" quotePrefix="0" xfId="0">
      <alignment horizontal="left" indent="1"/>
    </xf>
    <xf numFmtId="169" fontId="0" fillId="0" borderId="0" pivotButton="0" quotePrefix="0" xfId="0"/>
    <xf numFmtId="9" fontId="0" fillId="0" borderId="0" pivotButton="0" quotePrefix="0" xfId="0"/>
    <xf numFmtId="4" fontId="4" fillId="0" borderId="0" applyAlignment="1" pivotButton="0" quotePrefix="0" xfId="9">
      <alignment vertical="center"/>
    </xf>
    <xf numFmtId="0" fontId="36" fillId="0" borderId="0" applyAlignment="1" pivotButton="0" quotePrefix="0" xfId="14">
      <alignment vertical="center"/>
    </xf>
    <xf numFmtId="9" fontId="36" fillId="0" borderId="0" applyAlignment="1" pivotButton="0" quotePrefix="0" xfId="14">
      <alignment horizontal="right" vertical="center"/>
    </xf>
    <xf numFmtId="164" fontId="3" fillId="10" borderId="0" applyAlignment="1" pivotButton="0" quotePrefix="0" xfId="8">
      <alignment vertical="center"/>
    </xf>
    <xf numFmtId="9" fontId="19" fillId="0" borderId="0" applyAlignment="1" pivotButton="0" quotePrefix="0" xfId="14">
      <alignment horizontal="right" vertical="center"/>
    </xf>
    <xf numFmtId="0" fontId="48" fillId="0" borderId="0" pivotButton="0" quotePrefix="0" xfId="18"/>
    <xf numFmtId="9" fontId="48" fillId="0" borderId="0" pivotButton="0" quotePrefix="0" xfId="18"/>
    <xf numFmtId="4" fontId="48" fillId="0" borderId="0" pivotButton="0" quotePrefix="0" xfId="18"/>
    <xf numFmtId="3" fontId="48" fillId="0" borderId="0" pivotButton="0" quotePrefix="0" xfId="18"/>
    <xf numFmtId="4" fontId="4" fillId="0" borderId="0" applyAlignment="1" pivotButton="0" quotePrefix="0" xfId="8">
      <alignment vertical="center"/>
    </xf>
    <xf numFmtId="0" fontId="49" fillId="0" borderId="0" applyAlignment="1" pivotButton="0" quotePrefix="0" xfId="6">
      <alignment vertical="center"/>
    </xf>
    <xf numFmtId="0" fontId="50" fillId="0" borderId="0" applyAlignment="1" pivotButton="0" quotePrefix="0" xfId="6">
      <alignment vertical="center"/>
    </xf>
    <xf numFmtId="0" fontId="49" fillId="7" borderId="0" applyAlignment="1" pivotButton="0" quotePrefix="0" xfId="6">
      <alignment vertical="center"/>
    </xf>
    <xf numFmtId="0" fontId="50" fillId="0" borderId="0" applyAlignment="1" pivotButton="0" quotePrefix="0" xfId="6">
      <alignment vertical="center" wrapText="1"/>
    </xf>
    <xf numFmtId="0" fontId="50" fillId="7" borderId="0" applyAlignment="1" pivotButton="0" quotePrefix="0" xfId="6">
      <alignment vertical="center"/>
    </xf>
    <xf numFmtId="0" fontId="50" fillId="7" borderId="0" applyAlignment="1" pivotButton="0" quotePrefix="0" xfId="6">
      <alignment vertical="center" wrapText="1"/>
    </xf>
    <xf numFmtId="0" fontId="50" fillId="0" borderId="0" applyAlignment="1" pivotButton="0" quotePrefix="0" xfId="6">
      <alignment horizontal="left" vertical="center" wrapText="1"/>
    </xf>
    <xf numFmtId="0" fontId="51" fillId="7" borderId="0" applyAlignment="1" pivotButton="0" quotePrefix="0" xfId="6">
      <alignment vertical="center"/>
    </xf>
    <xf numFmtId="0" fontId="52" fillId="0" borderId="0" applyAlignment="1" pivotButton="0" quotePrefix="0" xfId="6">
      <alignment vertical="center"/>
    </xf>
    <xf numFmtId="0" fontId="52" fillId="0" borderId="0" applyAlignment="1" pivotButton="0" quotePrefix="0" xfId="6">
      <alignment vertical="center" wrapText="1"/>
    </xf>
    <xf numFmtId="0" fontId="52" fillId="7" borderId="0" applyAlignment="1" pivotButton="0" quotePrefix="0" xfId="6">
      <alignment vertical="center"/>
    </xf>
    <xf numFmtId="0" fontId="52" fillId="7" borderId="0" applyAlignment="1" pivotButton="0" quotePrefix="0" xfId="6">
      <alignment vertical="center" wrapText="1"/>
    </xf>
    <xf numFmtId="185" fontId="28" fillId="0" borderId="0" applyAlignment="1" pivotButton="0" quotePrefix="0" xfId="14">
      <alignment horizontal="right" vertical="center"/>
    </xf>
    <xf numFmtId="0" fontId="8" fillId="0" borderId="0" applyAlignment="1" pivotButton="0" quotePrefix="0" xfId="6">
      <alignment horizontal="left" vertical="center"/>
    </xf>
    <xf numFmtId="170" fontId="4" fillId="0" borderId="0" applyAlignment="1" pivotButton="0" quotePrefix="0" xfId="9">
      <alignment horizontal="left" vertical="center"/>
    </xf>
    <xf numFmtId="169" fontId="3" fillId="0" borderId="0" applyAlignment="1" pivotButton="0" quotePrefix="0" xfId="5">
      <alignment horizontal="left" vertical="center"/>
    </xf>
    <xf numFmtId="169" fontId="10" fillId="0" borderId="0" applyAlignment="1" pivotButton="0" quotePrefix="0" xfId="5">
      <alignment horizontal="left" vertical="center"/>
    </xf>
    <xf numFmtId="169" fontId="39" fillId="0" borderId="0" applyAlignment="1" pivotButton="0" quotePrefix="0" xfId="5">
      <alignment horizontal="left" vertical="center"/>
    </xf>
    <xf numFmtId="169" fontId="8" fillId="0" borderId="0" applyAlignment="1" pivotButton="0" quotePrefix="0" xfId="5">
      <alignment horizontal="left" vertical="center"/>
    </xf>
    <xf numFmtId="2" fontId="3" fillId="0" borderId="0" applyAlignment="1" pivotButton="0" quotePrefix="0" xfId="6">
      <alignment horizontal="left" vertical="center"/>
    </xf>
    <xf numFmtId="9" fontId="3" fillId="0" borderId="0" applyAlignment="1" pivotButton="0" quotePrefix="0" xfId="6">
      <alignment horizontal="left" vertical="center"/>
    </xf>
    <xf numFmtId="169" fontId="3" fillId="0" borderId="0" applyAlignment="1" pivotButton="0" quotePrefix="0" xfId="6">
      <alignment horizontal="left" vertical="center"/>
    </xf>
    <xf numFmtId="169" fontId="8" fillId="0" borderId="0" applyAlignment="1" pivotButton="0" quotePrefix="0" xfId="6">
      <alignment horizontal="left" vertical="center"/>
    </xf>
    <xf numFmtId="9" fontId="3" fillId="0" borderId="0" applyAlignment="1" pivotButton="0" quotePrefix="0" xfId="5">
      <alignment horizontal="left" vertical="center"/>
    </xf>
    <xf numFmtId="9" fontId="10" fillId="0" borderId="0" applyAlignment="1" pivotButton="0" quotePrefix="0" xfId="5">
      <alignment horizontal="left" vertical="center"/>
    </xf>
    <xf numFmtId="4" fontId="3" fillId="0" borderId="0" applyAlignment="1" pivotButton="0" quotePrefix="0" xfId="6">
      <alignment horizontal="left" vertical="center"/>
    </xf>
    <xf numFmtId="164" fontId="3" fillId="0" borderId="0" applyAlignment="1" pivotButton="0" quotePrefix="0" xfId="6">
      <alignment horizontal="left" vertical="center"/>
    </xf>
    <xf numFmtId="170" fontId="7" fillId="0" borderId="0" applyAlignment="1" pivotButton="0" quotePrefix="0" xfId="9">
      <alignment horizontal="left" vertical="center"/>
    </xf>
    <xf numFmtId="4" fontId="8" fillId="0" borderId="0" applyAlignment="1" pivotButton="0" quotePrefix="0" xfId="6">
      <alignment horizontal="left" vertical="center"/>
    </xf>
    <xf numFmtId="4" fontId="6" fillId="0" borderId="0" applyAlignment="1" pivotButton="0" quotePrefix="0" xfId="6">
      <alignment horizontal="left" vertical="center"/>
    </xf>
    <xf numFmtId="170" fontId="23" fillId="0" borderId="0" applyAlignment="1" pivotButton="0" quotePrefix="0" xfId="9">
      <alignment horizontal="left" vertical="center"/>
    </xf>
    <xf numFmtId="0" fontId="7" fillId="0" borderId="0" applyAlignment="1" pivotButton="0" quotePrefix="0" xfId="6">
      <alignment horizontal="left" vertical="center"/>
    </xf>
    <xf numFmtId="170" fontId="27" fillId="0" borderId="0" applyAlignment="1" pivotButton="0" quotePrefix="0" xfId="9">
      <alignment horizontal="left" vertical="center"/>
    </xf>
    <xf numFmtId="0" fontId="26" fillId="0" borderId="0" applyAlignment="1" pivotButton="0" quotePrefix="0" xfId="6">
      <alignment horizontal="left" vertical="center"/>
    </xf>
    <xf numFmtId="4" fontId="19" fillId="0" borderId="0" applyAlignment="1" pivotButton="0" quotePrefix="0" xfId="14">
      <alignment horizontal="right" vertical="center"/>
    </xf>
    <xf numFmtId="4" fontId="0" fillId="0" borderId="0" pivotButton="0" quotePrefix="0" xfId="0"/>
    <xf numFmtId="3" fontId="0" fillId="0" borderId="0" pivotButton="0" quotePrefix="0" xfId="0"/>
    <xf numFmtId="14" fontId="0" fillId="0" borderId="0" pivotButton="0" quotePrefix="0" xfId="0"/>
    <xf numFmtId="14" fontId="48" fillId="0" borderId="0" pivotButton="0" quotePrefix="0" xfId="18"/>
    <xf numFmtId="0" fontId="53" fillId="0" borderId="0" pivotButton="0" quotePrefix="0" xfId="18"/>
    <xf numFmtId="9" fontId="53" fillId="0" borderId="0" pivotButton="0" quotePrefix="0" xfId="18"/>
    <xf numFmtId="0" fontId="49" fillId="7" borderId="0" applyAlignment="1" pivotButton="0" quotePrefix="0" xfId="6">
      <alignment horizontal="right" vertical="center"/>
    </xf>
    <xf numFmtId="169" fontId="23" fillId="0" borderId="0" applyAlignment="1" pivotButton="0" quotePrefix="0" xfId="8">
      <alignment vertical="center"/>
    </xf>
    <xf numFmtId="164" fontId="3" fillId="9" borderId="0" applyAlignment="1" pivotButton="0" quotePrefix="0" xfId="9">
      <alignment vertical="center"/>
    </xf>
    <xf numFmtId="168" fontId="4" fillId="0" borderId="0" applyAlignment="1" pivotButton="0" quotePrefix="0" xfId="6">
      <alignment vertical="center"/>
    </xf>
    <xf numFmtId="9" fontId="3" fillId="0" borderId="0" applyAlignment="1" pivotButton="0" quotePrefix="0" xfId="5">
      <alignment horizontal="left" vertical="center"/>
    </xf>
    <xf numFmtId="9" fontId="4" fillId="0" borderId="0" applyAlignment="1" pivotButton="0" quotePrefix="0" xfId="6">
      <alignment vertical="center"/>
    </xf>
    <xf numFmtId="9" fontId="13" fillId="0" borderId="0" pivotButton="0" quotePrefix="0" xfId="2"/>
    <xf numFmtId="170" fontId="29" fillId="0" borderId="0" applyAlignment="1" pivotButton="0" quotePrefix="0" xfId="8">
      <alignment vertical="center"/>
    </xf>
    <xf numFmtId="9" fontId="29" fillId="0" borderId="0" applyAlignment="1" pivotButton="0" quotePrefix="0" xfId="8">
      <alignment vertical="center"/>
    </xf>
    <xf numFmtId="9" fontId="29" fillId="0" borderId="0" applyAlignment="1" pivotButton="0" quotePrefix="0" xfId="5">
      <alignment vertical="center"/>
    </xf>
    <xf numFmtId="170" fontId="54" fillId="0" borderId="0" applyAlignment="1" pivotButton="0" quotePrefix="0" xfId="8">
      <alignment vertical="center"/>
    </xf>
    <xf numFmtId="9" fontId="54" fillId="0" borderId="0" applyAlignment="1" pivotButton="0" quotePrefix="0" xfId="8">
      <alignment vertical="center"/>
    </xf>
    <xf numFmtId="175" fontId="55" fillId="5" borderId="0" applyAlignment="1" pivotButton="0" quotePrefix="0" xfId="6">
      <alignment horizontal="center" vertical="center"/>
    </xf>
    <xf numFmtId="0" fontId="56" fillId="4" borderId="0" applyAlignment="1" pivotButton="0" quotePrefix="0" xfId="6">
      <alignment vertical="center"/>
    </xf>
    <xf numFmtId="9" fontId="57" fillId="0" borderId="0" applyAlignment="1" pivotButton="0" quotePrefix="0" xfId="8">
      <alignment vertical="center"/>
    </xf>
    <xf numFmtId="169" fontId="57" fillId="0" borderId="0" applyAlignment="1" pivotButton="0" quotePrefix="0" xfId="8">
      <alignment vertical="center"/>
    </xf>
    <xf numFmtId="169" fontId="58" fillId="0" borderId="0" applyAlignment="1" pivotButton="0" quotePrefix="0" xfId="8">
      <alignment vertical="center"/>
    </xf>
    <xf numFmtId="174" fontId="10" fillId="0" borderId="0" applyAlignment="1" pivotButton="0" quotePrefix="0" xfId="8">
      <alignment vertical="center"/>
    </xf>
    <xf numFmtId="164" fontId="10" fillId="0" borderId="0" applyAlignment="1" pivotButton="0" quotePrefix="0" xfId="8">
      <alignment vertical="center"/>
    </xf>
    <xf numFmtId="170" fontId="10" fillId="0" borderId="0" applyAlignment="1" pivotButton="0" quotePrefix="0" xfId="8">
      <alignment vertical="center"/>
    </xf>
    <xf numFmtId="170" fontId="10" fillId="0" borderId="0" applyAlignment="1" pivotButton="0" quotePrefix="0" xfId="8">
      <alignment vertical="center"/>
    </xf>
    <xf numFmtId="164" fontId="10" fillId="0" borderId="0" applyAlignment="1" pivotButton="0" quotePrefix="0" xfId="8">
      <alignment vertical="center"/>
    </xf>
    <xf numFmtId="164" fontId="29" fillId="0" borderId="0" applyAlignment="1" pivotButton="0" quotePrefix="0" xfId="8">
      <alignment vertical="center"/>
    </xf>
    <xf numFmtId="164" fontId="29" fillId="0" borderId="0" applyAlignment="1" pivotButton="0" quotePrefix="0" xfId="8">
      <alignment vertical="center"/>
    </xf>
    <xf numFmtId="168" fontId="54" fillId="0" borderId="0" applyAlignment="1" pivotButton="0" quotePrefix="0" xfId="8">
      <alignment vertical="center"/>
    </xf>
    <xf numFmtId="168" fontId="54" fillId="0" borderId="0" applyAlignment="1" pivotButton="0" quotePrefix="0" xfId="6">
      <alignment vertical="center"/>
    </xf>
    <xf numFmtId="164" fontId="54" fillId="0" borderId="0" applyAlignment="1" pivotButton="0" quotePrefix="0" xfId="8">
      <alignment vertical="center"/>
    </xf>
    <xf numFmtId="166" fontId="29" fillId="0" borderId="0" applyAlignment="1" pivotButton="0" quotePrefix="0" xfId="8">
      <alignment vertical="center"/>
    </xf>
    <xf numFmtId="2" fontId="29" fillId="0" borderId="0" applyAlignment="1" pivotButton="0" quotePrefix="0" xfId="6">
      <alignment vertical="center"/>
    </xf>
    <xf numFmtId="164" fontId="29" fillId="0" borderId="0" applyAlignment="1" pivotButton="0" quotePrefix="0" xfId="6">
      <alignment vertical="center"/>
    </xf>
    <xf numFmtId="9" fontId="29" fillId="0" borderId="0" applyAlignment="1" pivotButton="0" quotePrefix="0" xfId="6">
      <alignment vertical="center"/>
    </xf>
    <xf numFmtId="0" fontId="29" fillId="4" borderId="0" applyAlignment="1" pivotButton="0" quotePrefix="0" xfId="6">
      <alignment vertical="center"/>
    </xf>
    <xf numFmtId="164" fontId="10" fillId="0" borderId="0" applyAlignment="1" pivotButton="0" quotePrefix="0" xfId="6">
      <alignment vertical="center"/>
    </xf>
    <xf numFmtId="9" fontId="59" fillId="0" borderId="0" applyAlignment="1" pivotButton="0" quotePrefix="0" xfId="8">
      <alignment vertical="center"/>
    </xf>
    <xf numFmtId="169" fontId="29" fillId="0" borderId="0" applyAlignment="1" pivotButton="0" quotePrefix="0" xfId="8">
      <alignment vertical="center"/>
    </xf>
    <xf numFmtId="191" fontId="29" fillId="0" borderId="0" applyAlignment="1" pivotButton="0" quotePrefix="0" xfId="8">
      <alignment vertical="center"/>
    </xf>
    <xf numFmtId="191" fontId="54" fillId="0" borderId="0" applyAlignment="1" pivotButton="0" quotePrefix="0" xfId="8">
      <alignment vertical="center"/>
    </xf>
    <xf numFmtId="175" fontId="20" fillId="11" borderId="0" applyAlignment="1" pivotButton="0" quotePrefix="0" xfId="6">
      <alignment horizontal="center" vertical="center"/>
    </xf>
    <xf numFmtId="164" fontId="4" fillId="0" borderId="0" applyAlignment="1" pivotButton="0" quotePrefix="0" xfId="9">
      <alignment vertical="center"/>
    </xf>
    <xf numFmtId="0" fontId="20" fillId="11" borderId="0" applyAlignment="1" pivotButton="0" quotePrefix="0" xfId="6">
      <alignment horizontal="center" vertical="center"/>
    </xf>
    <xf numFmtId="164" fontId="3" fillId="0" borderId="0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172" fontId="8" fillId="0" borderId="0" applyAlignment="1" pivotButton="0" quotePrefix="0" xfId="9">
      <alignment vertical="center"/>
    </xf>
    <xf numFmtId="9" fontId="23" fillId="0" borderId="0" applyAlignment="1" pivotButton="0" quotePrefix="0" xfId="9">
      <alignment vertical="center"/>
    </xf>
    <xf numFmtId="9" fontId="10" fillId="0" borderId="0" applyAlignment="1" pivotButton="0" quotePrefix="0" xfId="5">
      <alignment vertical="center"/>
    </xf>
    <xf numFmtId="172" fontId="10" fillId="0" borderId="0" applyAlignment="1" pivotButton="0" quotePrefix="0" xfId="9">
      <alignment vertical="center"/>
    </xf>
    <xf numFmtId="169" fontId="4" fillId="0" borderId="0" applyAlignment="1" pivotButton="0" quotePrefix="0" xfId="9">
      <alignment vertical="center"/>
    </xf>
    <xf numFmtId="168" fontId="23" fillId="0" borderId="0" applyAlignment="1" pivotButton="0" quotePrefix="0" xfId="9">
      <alignment vertical="center"/>
    </xf>
    <xf numFmtId="192" fontId="28" fillId="0" borderId="0" applyAlignment="1" pivotButton="0" quotePrefix="0" xfId="14">
      <alignment horizontal="right" vertical="center"/>
    </xf>
    <xf numFmtId="183" fontId="36" fillId="0" borderId="5" applyAlignment="1" pivotButton="0" quotePrefix="0" xfId="14">
      <alignment horizontal="right" vertical="center"/>
    </xf>
    <xf numFmtId="175" fontId="20" fillId="11" borderId="0" applyAlignment="1" pivotButton="0" quotePrefix="0" xfId="0">
      <alignment horizontal="center" vertical="center"/>
    </xf>
    <xf numFmtId="170" fontId="9" fillId="0" borderId="0" applyAlignment="1" pivotButton="0" quotePrefix="0" xfId="8">
      <alignment vertical="center"/>
    </xf>
    <xf numFmtId="9" fontId="9" fillId="0" borderId="0" applyAlignment="1" pivotButton="0" quotePrefix="0" xfId="12">
      <alignment vertical="center"/>
    </xf>
    <xf numFmtId="9" fontId="7" fillId="0" borderId="0" applyAlignment="1" pivotButton="0" quotePrefix="0" xfId="8">
      <alignment vertical="center"/>
    </xf>
    <xf numFmtId="9" fontId="7" fillId="0" borderId="0" applyAlignment="1" pivotButton="0" quotePrefix="0" xfId="12">
      <alignment vertical="center"/>
    </xf>
    <xf numFmtId="164" fontId="7" fillId="0" borderId="0" applyAlignment="1" pivotButton="0" quotePrefix="0" xfId="8">
      <alignment vertical="center"/>
    </xf>
    <xf numFmtId="170" fontId="9" fillId="0" borderId="2" applyAlignment="1" pivotButton="0" quotePrefix="0" xfId="8">
      <alignment vertical="center"/>
    </xf>
    <xf numFmtId="9" fontId="9" fillId="0" borderId="2" applyAlignment="1" pivotButton="0" quotePrefix="0" xfId="12">
      <alignment vertical="center"/>
    </xf>
    <xf numFmtId="9" fontId="7" fillId="0" borderId="0" applyAlignment="1" pivotButton="0" quotePrefix="0" xfId="5">
      <alignment vertical="center"/>
    </xf>
    <xf numFmtId="9" fontId="7" fillId="0" borderId="0" applyAlignment="1" pivotButton="0" quotePrefix="0" xfId="12">
      <alignment vertical="center"/>
    </xf>
    <xf numFmtId="164" fontId="9" fillId="0" borderId="2" applyAlignment="1" pivotButton="0" quotePrefix="0" xfId="8">
      <alignment vertical="center"/>
    </xf>
    <xf numFmtId="164" fontId="7" fillId="0" borderId="0" applyAlignment="1" pivotButton="0" quotePrefix="0" xfId="8">
      <alignment vertical="center"/>
    </xf>
    <xf numFmtId="170" fontId="7" fillId="0" borderId="0" applyAlignment="1" pivotButton="0" quotePrefix="0" xfId="8">
      <alignment vertical="center"/>
    </xf>
    <xf numFmtId="9" fontId="7" fillId="0" borderId="0" applyAlignment="1" pivotButton="0" quotePrefix="0" xfId="12">
      <alignment vertical="center"/>
    </xf>
    <xf numFmtId="9" fontId="7" fillId="0" borderId="0" applyAlignment="1" pivotButton="0" quotePrefix="0" xfId="8">
      <alignment vertical="center"/>
    </xf>
    <xf numFmtId="169" fontId="9" fillId="0" borderId="0" applyAlignment="1" pivotButton="0" quotePrefix="0" xfId="8">
      <alignment vertical="center"/>
    </xf>
    <xf numFmtId="174" fontId="7" fillId="0" borderId="0" applyAlignment="1" pivotButton="0" quotePrefix="0" xfId="8">
      <alignment vertical="center"/>
    </xf>
    <xf numFmtId="174" fontId="7" fillId="0" borderId="0" applyAlignment="1" pivotButton="0" quotePrefix="0" xfId="8">
      <alignment vertical="center"/>
    </xf>
    <xf numFmtId="9" fontId="7" fillId="2" borderId="0" applyAlignment="1" pivotButton="0" quotePrefix="0" xfId="8">
      <alignment vertical="center"/>
    </xf>
    <xf numFmtId="170" fontId="7" fillId="0" borderId="0" applyAlignment="1" pivotButton="0" quotePrefix="0" xfId="8">
      <alignment vertical="center"/>
    </xf>
    <xf numFmtId="171" fontId="7" fillId="0" borderId="0" applyAlignment="1" pivotButton="0" quotePrefix="0" xfId="8">
      <alignment vertical="center"/>
    </xf>
    <xf numFmtId="0" fontId="7" fillId="4" borderId="0" applyAlignment="1" pivotButton="0" quotePrefix="0" xfId="6">
      <alignment vertical="center"/>
    </xf>
    <xf numFmtId="164" fontId="7" fillId="2" borderId="0" applyAlignment="1" pivotButton="0" quotePrefix="0" xfId="8">
      <alignment vertical="center"/>
    </xf>
    <xf numFmtId="168" fontId="9" fillId="0" borderId="0" applyAlignment="1" pivotButton="0" quotePrefix="0" xfId="8">
      <alignment vertical="center"/>
    </xf>
    <xf numFmtId="164" fontId="9" fillId="0" borderId="0" applyAlignment="1" pivotButton="0" quotePrefix="0" xfId="8">
      <alignment vertical="center"/>
    </xf>
    <xf numFmtId="167" fontId="7" fillId="0" borderId="0" applyAlignment="1" pivotButton="0" quotePrefix="0" xfId="6">
      <alignment vertical="center"/>
    </xf>
    <xf numFmtId="166" fontId="7" fillId="0" borderId="0" applyAlignment="1" pivotButton="0" quotePrefix="0" xfId="8">
      <alignment vertical="center"/>
    </xf>
    <xf numFmtId="165" fontId="7" fillId="0" borderId="0" applyAlignment="1" pivotButton="0" quotePrefix="0" xfId="6">
      <alignment vertical="center"/>
    </xf>
    <xf numFmtId="164" fontId="7" fillId="0" borderId="0" applyAlignment="1" pivotButton="0" quotePrefix="0" xfId="6">
      <alignment vertical="center"/>
    </xf>
    <xf numFmtId="9" fontId="7" fillId="0" borderId="0" applyAlignment="1" pivotButton="0" quotePrefix="0" xfId="6">
      <alignment vertical="center"/>
    </xf>
    <xf numFmtId="164" fontId="9" fillId="0" borderId="0" applyAlignment="1" pivotButton="0" quotePrefix="0" xfId="8">
      <alignment vertical="center"/>
    </xf>
    <xf numFmtId="164" fontId="9" fillId="0" borderId="0" applyAlignment="1" pivotButton="0" quotePrefix="0" xfId="6">
      <alignment vertical="center"/>
    </xf>
    <xf numFmtId="9" fontId="9" fillId="0" borderId="0" applyAlignment="1" pivotButton="0" quotePrefix="0" xfId="12">
      <alignment vertical="center"/>
    </xf>
    <xf numFmtId="9" fontId="7" fillId="2" borderId="0" applyAlignment="1" pivotButton="0" quotePrefix="0" xfId="12">
      <alignment vertical="center"/>
    </xf>
    <xf numFmtId="9" fontId="7" fillId="4" borderId="0" applyAlignment="1" pivotButton="0" quotePrefix="0" xfId="12">
      <alignment vertical="center"/>
    </xf>
    <xf numFmtId="9" fontId="9" fillId="0" borderId="0" applyAlignment="1" pivotButton="0" quotePrefix="0" xfId="12">
      <alignment vertical="center"/>
    </xf>
    <xf numFmtId="9" fontId="9" fillId="0" borderId="0" applyAlignment="1" pivotButton="0" quotePrefix="0" xfId="12">
      <alignment vertical="center"/>
    </xf>
    <xf numFmtId="168" fontId="9" fillId="0" borderId="2" applyAlignment="1" pivotButton="0" quotePrefix="0" xfId="8">
      <alignment vertical="center"/>
    </xf>
    <xf numFmtId="164" fontId="9" fillId="0" borderId="1" applyAlignment="1" pivotButton="0" quotePrefix="0" xfId="8">
      <alignment vertical="center"/>
    </xf>
    <xf numFmtId="170" fontId="9" fillId="0" borderId="0" applyAlignment="1" pivotButton="0" quotePrefix="0" xfId="8">
      <alignment vertical="center"/>
    </xf>
    <xf numFmtId="168" fontId="9" fillId="0" borderId="2" applyAlignment="1" pivotButton="0" quotePrefix="0" xfId="6">
      <alignment vertical="center"/>
    </xf>
    <xf numFmtId="168" fontId="9" fillId="0" borderId="0" applyAlignment="1" pivotButton="0" quotePrefix="0" xfId="6">
      <alignment vertical="center"/>
    </xf>
    <xf numFmtId="168" fontId="9" fillId="0" borderId="1" applyAlignment="1" pivotButton="0" quotePrefix="0" xfId="6">
      <alignment vertical="center"/>
    </xf>
    <xf numFmtId="170" fontId="29" fillId="0" borderId="0" applyAlignment="1" pivotButton="0" quotePrefix="0" xfId="8">
      <alignment vertical="center"/>
    </xf>
    <xf numFmtId="9" fontId="29" fillId="0" borderId="0" applyAlignment="1" pivotButton="0" quotePrefix="0" xfId="8">
      <alignment vertical="center"/>
    </xf>
    <xf numFmtId="170" fontId="54" fillId="0" borderId="0" applyAlignment="1" pivotButton="0" quotePrefix="0" xfId="8">
      <alignment vertical="center"/>
    </xf>
    <xf numFmtId="9" fontId="54" fillId="0" borderId="0" applyAlignment="1" pivotButton="0" quotePrefix="0" xfId="8">
      <alignment vertical="center"/>
    </xf>
    <xf numFmtId="9" fontId="29" fillId="0" borderId="0" applyAlignment="1" pivotButton="0" quotePrefix="0" xfId="12">
      <alignment vertical="center"/>
    </xf>
    <xf numFmtId="9" fontId="54" fillId="0" borderId="0" applyAlignment="1" pivotButton="0" quotePrefix="0" xfId="12">
      <alignment vertical="center"/>
    </xf>
    <xf numFmtId="9" fontId="29" fillId="0" borderId="0" applyAlignment="1" pivotButton="0" quotePrefix="0" xfId="12">
      <alignment vertical="center"/>
    </xf>
    <xf numFmtId="170" fontId="4" fillId="9" borderId="0" applyAlignment="1" pivotButton="0" quotePrefix="0" xfId="8">
      <alignment vertical="center"/>
    </xf>
    <xf numFmtId="9" fontId="23" fillId="9" borderId="0" applyAlignment="1" pivotButton="0" quotePrefix="0" xfId="8">
      <alignment vertical="center"/>
    </xf>
    <xf numFmtId="164" fontId="3" fillId="9" borderId="0" applyAlignment="1" pivotButton="0" quotePrefix="0" xfId="8">
      <alignment vertical="center"/>
    </xf>
    <xf numFmtId="170" fontId="4" fillId="9" borderId="0" applyAlignment="1" pivotButton="0" quotePrefix="0" xfId="8">
      <alignment vertical="center"/>
    </xf>
    <xf numFmtId="9" fontId="23" fillId="9" borderId="0" applyAlignment="1" pivotButton="0" quotePrefix="0" xfId="5">
      <alignment vertical="center"/>
    </xf>
    <xf numFmtId="164" fontId="4" fillId="9" borderId="0" applyAlignment="1" pivotButton="0" quotePrefix="0" xfId="8">
      <alignment vertical="center"/>
    </xf>
    <xf numFmtId="170" fontId="3" fillId="9" borderId="0" applyAlignment="1" pivotButton="0" quotePrefix="0" xfId="8">
      <alignment vertical="center"/>
    </xf>
    <xf numFmtId="169" fontId="22" fillId="9" borderId="0" applyAlignment="1" pivotButton="0" quotePrefix="0" xfId="8">
      <alignment vertical="center"/>
    </xf>
    <xf numFmtId="168" fontId="4" fillId="9" borderId="0" applyAlignment="1" pivotButton="0" quotePrefix="0" xfId="8">
      <alignment vertical="center"/>
    </xf>
    <xf numFmtId="0" fontId="3" fillId="9" borderId="0" applyAlignment="1" pivotButton="0" quotePrefix="0" xfId="6">
      <alignment vertical="center"/>
    </xf>
    <xf numFmtId="168" fontId="4" fillId="9" borderId="0" applyAlignment="1" pivotButton="0" quotePrefix="0" xfId="6">
      <alignment vertical="center"/>
    </xf>
    <xf numFmtId="0" fontId="60" fillId="0" borderId="0" applyAlignment="1" pivotButton="0" quotePrefix="0" xfId="6">
      <alignment vertical="center"/>
    </xf>
    <xf numFmtId="164" fontId="60" fillId="0" borderId="0" applyAlignment="1" pivotButton="0" quotePrefix="0" xfId="6">
      <alignment vertical="center"/>
    </xf>
    <xf numFmtId="9" fontId="62" fillId="0" borderId="0" applyAlignment="1" pivotButton="0" quotePrefix="0" xfId="8">
      <alignment vertical="center"/>
    </xf>
    <xf numFmtId="164" fontId="61" fillId="0" borderId="0" applyAlignment="1" pivotButton="0" quotePrefix="0" xfId="6">
      <alignment vertical="center"/>
    </xf>
    <xf numFmtId="9" fontId="60" fillId="0" borderId="0" applyAlignment="1" pivotButton="0" quotePrefix="0" xfId="6">
      <alignment vertical="center"/>
    </xf>
    <xf numFmtId="9" fontId="61" fillId="0" borderId="0" applyAlignment="1" pivotButton="0" quotePrefix="0" xfId="6">
      <alignment vertical="center"/>
    </xf>
    <xf numFmtId="164" fontId="60" fillId="9" borderId="0" applyAlignment="1" pivotButton="0" quotePrefix="0" xfId="8">
      <alignment vertical="center"/>
    </xf>
    <xf numFmtId="164" fontId="61" fillId="9" borderId="0" applyAlignment="1" pivotButton="0" quotePrefix="0" xfId="8">
      <alignment vertical="center"/>
    </xf>
    <xf numFmtId="0" fontId="60" fillId="9" borderId="0" applyAlignment="1" pivotButton="0" quotePrefix="0" xfId="6">
      <alignment vertical="center"/>
    </xf>
    <xf numFmtId="169" fontId="40" fillId="0" borderId="0" applyAlignment="1" pivotButton="0" quotePrefix="0" xfId="6">
      <alignment horizontal="center" vertical="center"/>
    </xf>
    <xf numFmtId="0" fontId="4" fillId="0" borderId="0" applyAlignment="1" pivotButton="0" quotePrefix="0" xfId="6">
      <alignment horizontal="center" vertical="center"/>
    </xf>
    <xf numFmtId="0" fontId="53" fillId="0" borderId="0" pivotButton="0" quotePrefix="0" xfId="18"/>
    <xf numFmtId="178" fontId="19" fillId="0" borderId="0" applyAlignment="1" pivotButton="0" quotePrefix="0" xfId="14">
      <alignment horizontal="right" vertical="center"/>
    </xf>
    <xf numFmtId="178" fontId="19" fillId="0" borderId="0" applyAlignment="1" pivotButton="0" quotePrefix="0" xfId="14">
      <alignment vertical="center"/>
    </xf>
    <xf numFmtId="180" fontId="36" fillId="8" borderId="3" applyAlignment="1" pivotButton="0" quotePrefix="0" xfId="14">
      <alignment vertical="center"/>
    </xf>
    <xf numFmtId="181" fontId="36" fillId="8" borderId="3" applyAlignment="1" pivotButton="0" quotePrefix="0" xfId="14">
      <alignment horizontal="right" vertical="center"/>
    </xf>
    <xf numFmtId="180" fontId="36" fillId="8" borderId="3" applyAlignment="1" pivotButton="0" quotePrefix="0" xfId="14">
      <alignment horizontal="right" vertical="center"/>
    </xf>
    <xf numFmtId="178" fontId="19" fillId="0" borderId="0" applyAlignment="1" pivotButton="0" quotePrefix="0" xfId="14">
      <alignment horizontal="left" vertical="center"/>
    </xf>
    <xf numFmtId="182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vertical="center"/>
    </xf>
    <xf numFmtId="192" fontId="28" fillId="0" borderId="0" applyAlignment="1" pivotButton="0" quotePrefix="0" xfId="14">
      <alignment horizontal="right" vertical="center"/>
    </xf>
    <xf numFmtId="183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horizontal="left" vertical="center"/>
    </xf>
    <xf numFmtId="178" fontId="36" fillId="0" borderId="0" applyAlignment="1" pivotButton="0" quotePrefix="0" xfId="14">
      <alignment horizontal="right" vertical="center"/>
    </xf>
    <xf numFmtId="185" fontId="28" fillId="0" borderId="0" applyAlignment="1" pivotButton="0" quotePrefix="0" xfId="14">
      <alignment horizontal="right" vertical="center"/>
    </xf>
    <xf numFmtId="178" fontId="36" fillId="0" borderId="2" applyAlignment="1" pivotButton="0" quotePrefix="0" xfId="14">
      <alignment vertical="center"/>
    </xf>
    <xf numFmtId="183" fontId="36" fillId="0" borderId="2" applyAlignment="1" pivotButton="0" quotePrefix="0" xfId="14">
      <alignment horizontal="right" vertical="center"/>
    </xf>
    <xf numFmtId="178" fontId="19" fillId="0" borderId="2" applyAlignment="1" pivotButton="0" quotePrefix="0" xfId="14">
      <alignment horizontal="left" vertical="center"/>
    </xf>
    <xf numFmtId="178" fontId="19" fillId="0" borderId="2" applyAlignment="1" pivotButton="0" quotePrefix="0" xfId="14">
      <alignment horizontal="right" vertical="center"/>
    </xf>
    <xf numFmtId="183" fontId="37" fillId="0" borderId="0" applyAlignment="1" pivotButton="0" quotePrefix="0" xfId="14">
      <alignment horizontal="right" vertical="center"/>
    </xf>
    <xf numFmtId="178" fontId="36" fillId="0" borderId="4" applyAlignment="1" pivotButton="0" quotePrefix="0" xfId="14">
      <alignment vertical="center"/>
    </xf>
    <xf numFmtId="183" fontId="36" fillId="0" borderId="5" applyAlignment="1" pivotButton="0" quotePrefix="0" xfId="14">
      <alignment horizontal="right" vertical="center"/>
    </xf>
    <xf numFmtId="169" fontId="19" fillId="0" borderId="0" applyAlignment="1" pivotButton="0" quotePrefix="0" xfId="12">
      <alignment horizontal="right" vertical="center"/>
    </xf>
    <xf numFmtId="178" fontId="38" fillId="0" borderId="0" applyAlignment="1" pivotButton="0" quotePrefix="0" xfId="14">
      <alignment vertical="center"/>
    </xf>
    <xf numFmtId="185" fontId="11" fillId="0" borderId="0" applyAlignment="1" pivotButton="0" quotePrefix="0" xfId="14">
      <alignment horizontal="right" vertical="center"/>
    </xf>
    <xf numFmtId="186" fontId="4" fillId="0" borderId="2" applyAlignment="1" pivotButton="0" quotePrefix="0" xfId="14">
      <alignment horizontal="right" vertical="center"/>
    </xf>
    <xf numFmtId="178" fontId="33" fillId="0" borderId="0" applyAlignment="1" pivotButton="0" quotePrefix="0" xfId="15">
      <alignment horizontal="right" vertical="center"/>
    </xf>
    <xf numFmtId="173" fontId="4" fillId="0" borderId="0" applyAlignment="1" pivotButton="0" quotePrefix="0" xfId="6">
      <alignment vertical="center"/>
    </xf>
    <xf numFmtId="169" fontId="3" fillId="0" borderId="0" applyAlignment="1" pivotButton="0" quotePrefix="0" xfId="6">
      <alignment vertical="center"/>
    </xf>
    <xf numFmtId="169" fontId="3" fillId="0" borderId="0" applyAlignment="1" pivotButton="0" quotePrefix="0" xfId="5">
      <alignment vertical="center"/>
    </xf>
    <xf numFmtId="170" fontId="4" fillId="0" borderId="0" applyAlignment="1" pivotButton="0" quotePrefix="0" xfId="8">
      <alignment vertical="center"/>
    </xf>
    <xf numFmtId="169" fontId="40" fillId="0" borderId="0" applyAlignment="1" pivotButton="0" quotePrefix="0" xfId="6">
      <alignment horizontal="center" vertical="center"/>
    </xf>
    <xf numFmtId="176" fontId="3" fillId="0" borderId="0" applyAlignment="1" pivotButton="0" quotePrefix="0" xfId="6">
      <alignment vertical="center"/>
    </xf>
    <xf numFmtId="175" fontId="20" fillId="6" borderId="0" applyAlignment="1" pivotButton="0" quotePrefix="0" xfId="6">
      <alignment horizontal="center" vertical="center"/>
    </xf>
    <xf numFmtId="175" fontId="20" fillId="11" borderId="0" applyAlignment="1" pivotButton="0" quotePrefix="0" xfId="0">
      <alignment horizontal="center" vertical="center"/>
    </xf>
    <xf numFmtId="175" fontId="20" fillId="0" borderId="0" applyAlignment="1" pivotButton="0" quotePrefix="0" xfId="6">
      <alignment horizontal="center" vertical="center"/>
    </xf>
    <xf numFmtId="175" fontId="20" fillId="5" borderId="0" applyAlignment="1" pivotButton="0" quotePrefix="0" xfId="6">
      <alignment horizontal="center" vertical="center"/>
    </xf>
    <xf numFmtId="175" fontId="20" fillId="11" borderId="0" applyAlignment="1" pivotButton="0" quotePrefix="0" xfId="6">
      <alignment horizontal="center" vertical="center"/>
    </xf>
    <xf numFmtId="175" fontId="55" fillId="5" borderId="0" applyAlignment="1" pivotButton="0" quotePrefix="0" xfId="6">
      <alignment horizontal="center" vertical="center"/>
    </xf>
    <xf numFmtId="170" fontId="9" fillId="0" borderId="0" applyAlignment="1" pivotButton="0" quotePrefix="0" xfId="8">
      <alignment vertical="center"/>
    </xf>
    <xf numFmtId="170" fontId="54" fillId="0" borderId="0" applyAlignment="1" pivotButton="0" quotePrefix="0" xfId="8">
      <alignment vertical="center"/>
    </xf>
    <xf numFmtId="170" fontId="3" fillId="0" borderId="0" applyAlignment="1" pivotButton="0" quotePrefix="0" xfId="6">
      <alignment vertical="center"/>
    </xf>
    <xf numFmtId="170" fontId="4" fillId="9" borderId="0" applyAlignment="1" pivotButton="0" quotePrefix="0" xfId="8">
      <alignment vertical="center"/>
    </xf>
    <xf numFmtId="173" fontId="23" fillId="0" borderId="0" applyAlignment="1" pivotButton="0" quotePrefix="0" xfId="6">
      <alignment horizontal="left" vertical="center" indent="1"/>
    </xf>
    <xf numFmtId="173" fontId="3" fillId="0" borderId="0" applyAlignment="1" pivotButton="0" quotePrefix="0" xfId="6">
      <alignment vertical="center"/>
    </xf>
    <xf numFmtId="164" fontId="3" fillId="0" borderId="0" applyAlignment="1" pivotButton="0" quotePrefix="0" xfId="8">
      <alignment vertical="center"/>
    </xf>
    <xf numFmtId="164" fontId="7" fillId="0" borderId="0" applyAlignment="1" pivotButton="0" quotePrefix="0" xfId="8">
      <alignment vertical="center"/>
    </xf>
    <xf numFmtId="170" fontId="29" fillId="0" borderId="0" applyAlignment="1" pivotButton="0" quotePrefix="0" xfId="8">
      <alignment vertical="center"/>
    </xf>
    <xf numFmtId="164" fontId="3" fillId="9" borderId="0" applyAlignment="1" pivotButton="0" quotePrefix="0" xfId="8">
      <alignment vertical="center"/>
    </xf>
    <xf numFmtId="173" fontId="4" fillId="0" borderId="2" applyAlignment="1" pivotButton="0" quotePrefix="0" xfId="6">
      <alignment vertical="center"/>
    </xf>
    <xf numFmtId="170" fontId="4" fillId="0" borderId="2" applyAlignment="1" pivotButton="0" quotePrefix="0" xfId="8">
      <alignment vertical="center"/>
    </xf>
    <xf numFmtId="170" fontId="9" fillId="0" borderId="2" applyAlignment="1" pivotButton="0" quotePrefix="0" xfId="8">
      <alignment vertical="center"/>
    </xf>
    <xf numFmtId="169" fontId="23" fillId="0" borderId="0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164" fontId="4" fillId="0" borderId="2" applyAlignment="1" pivotButton="0" quotePrefix="0" xfId="8">
      <alignment vertical="center"/>
    </xf>
    <xf numFmtId="164" fontId="9" fillId="0" borderId="2" applyAlignment="1" pivotButton="0" quotePrefix="0" xfId="8">
      <alignment vertical="center"/>
    </xf>
    <xf numFmtId="164" fontId="4" fillId="0" borderId="0" applyAlignment="1" pivotButton="0" quotePrefix="0" xfId="8">
      <alignment vertical="center"/>
    </xf>
    <xf numFmtId="164" fontId="4" fillId="9" borderId="0" applyAlignment="1" pivotButton="0" quotePrefix="0" xfId="8">
      <alignment vertical="center"/>
    </xf>
    <xf numFmtId="172" fontId="3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0" fontId="7" fillId="0" borderId="0" applyAlignment="1" pivotButton="0" quotePrefix="0" xfId="8">
      <alignment vertical="center"/>
    </xf>
    <xf numFmtId="170" fontId="3" fillId="9" borderId="0" applyAlignment="1" pivotButton="0" quotePrefix="0" xfId="8">
      <alignment vertical="center"/>
    </xf>
    <xf numFmtId="173" fontId="22" fillId="0" borderId="0" applyAlignment="1" pivotButton="0" quotePrefix="0" xfId="6">
      <alignment horizontal="left" vertical="center" indent="1"/>
    </xf>
    <xf numFmtId="169" fontId="22" fillId="0" borderId="0" applyAlignment="1" pivotButton="0" quotePrefix="0" xfId="8">
      <alignment vertical="center"/>
    </xf>
    <xf numFmtId="169" fontId="9" fillId="0" borderId="0" applyAlignment="1" pivotButton="0" quotePrefix="0" xfId="8">
      <alignment vertical="center"/>
    </xf>
    <xf numFmtId="169" fontId="57" fillId="0" borderId="0" applyAlignment="1" pivotButton="0" quotePrefix="0" xfId="8">
      <alignment vertical="center"/>
    </xf>
    <xf numFmtId="169" fontId="22" fillId="9" borderId="0" applyAlignment="1" pivotButton="0" quotePrefix="0" xfId="8">
      <alignment vertical="center"/>
    </xf>
    <xf numFmtId="173" fontId="3" fillId="0" borderId="0" applyAlignment="1" pivotButton="0" quotePrefix="0" xfId="0">
      <alignment vertical="center"/>
    </xf>
    <xf numFmtId="169" fontId="58" fillId="0" borderId="0" applyAlignment="1" pivotButton="0" quotePrefix="0" xfId="8">
      <alignment vertical="center"/>
    </xf>
    <xf numFmtId="173" fontId="23" fillId="0" borderId="0" applyAlignment="1" pivotButton="0" quotePrefix="0" xfId="0">
      <alignment horizontal="left" vertical="center" indent="1"/>
    </xf>
    <xf numFmtId="166" fontId="3" fillId="0" borderId="0" applyAlignment="1" pivotButton="0" quotePrefix="0" xfId="8">
      <alignment vertical="center"/>
    </xf>
    <xf numFmtId="177" fontId="3" fillId="0" borderId="0" applyAlignment="1" pivotButton="0" quotePrefix="0" xfId="8">
      <alignment vertical="center"/>
    </xf>
    <xf numFmtId="174" fontId="3" fillId="0" borderId="0" applyAlignment="1" pivotButton="0" quotePrefix="0" xfId="8">
      <alignment vertical="center"/>
    </xf>
    <xf numFmtId="174" fontId="7" fillId="0" borderId="0" applyAlignment="1" pivotButton="0" quotePrefix="0" xfId="8">
      <alignment vertical="center"/>
    </xf>
    <xf numFmtId="174" fontId="10" fillId="0" borderId="0" applyAlignment="1" pivotButton="0" quotePrefix="0" xfId="8">
      <alignment vertical="center"/>
    </xf>
    <xf numFmtId="164" fontId="3" fillId="0" borderId="0" applyAlignment="1" pivotButton="0" quotePrefix="0" xfId="9">
      <alignment vertical="center"/>
    </xf>
    <xf numFmtId="164" fontId="10" fillId="0" borderId="0" applyAlignment="1" pivotButton="0" quotePrefix="0" xfId="8">
      <alignment vertical="center"/>
    </xf>
    <xf numFmtId="170" fontId="10" fillId="0" borderId="0" applyAlignment="1" pivotButton="0" quotePrefix="0" xfId="8">
      <alignment vertical="center"/>
    </xf>
    <xf numFmtId="170" fontId="11" fillId="0" borderId="0" applyAlignment="1" pivotButton="0" quotePrefix="0" xfId="8">
      <alignment vertical="center"/>
    </xf>
    <xf numFmtId="171" fontId="8" fillId="0" borderId="0" applyAlignment="1" pivotButton="0" quotePrefix="0" xfId="8">
      <alignment vertical="center"/>
    </xf>
    <xf numFmtId="171" fontId="7" fillId="0" borderId="0" applyAlignment="1" pivotButton="0" quotePrefix="0" xfId="8">
      <alignment vertical="center"/>
    </xf>
    <xf numFmtId="168" fontId="3" fillId="0" borderId="0" applyAlignment="1" pivotButton="0" quotePrefix="0" xfId="8">
      <alignment vertical="center"/>
    </xf>
    <xf numFmtId="169" fontId="29" fillId="0" borderId="0" applyAlignment="1" pivotButton="0" quotePrefix="0" xfId="8">
      <alignment vertical="center"/>
    </xf>
    <xf numFmtId="164" fontId="29" fillId="0" borderId="0" applyAlignment="1" pivotButton="0" quotePrefix="0" xfId="8">
      <alignment vertical="center"/>
    </xf>
    <xf numFmtId="164" fontId="11" fillId="2" borderId="0" applyAlignment="1" pivotButton="0" quotePrefix="0" xfId="8">
      <alignment vertical="center"/>
    </xf>
    <xf numFmtId="168" fontId="4" fillId="0" borderId="2" applyAlignment="1" pivotButton="0" quotePrefix="0" xfId="8">
      <alignment vertical="center"/>
    </xf>
    <xf numFmtId="168" fontId="9" fillId="0" borderId="2" applyAlignment="1" pivotButton="0" quotePrefix="0" xfId="8">
      <alignment vertical="center"/>
    </xf>
    <xf numFmtId="168" fontId="4" fillId="0" borderId="0" applyAlignment="1" pivotButton="0" quotePrefix="0" xfId="8">
      <alignment vertical="center"/>
    </xf>
    <xf numFmtId="168" fontId="9" fillId="0" borderId="0" applyAlignment="1" pivotButton="0" quotePrefix="0" xfId="8">
      <alignment vertical="center"/>
    </xf>
    <xf numFmtId="168" fontId="54" fillId="0" borderId="0" applyAlignment="1" pivotButton="0" quotePrefix="0" xfId="8">
      <alignment vertical="center"/>
    </xf>
    <xf numFmtId="168" fontId="4" fillId="9" borderId="0" applyAlignment="1" pivotButton="0" quotePrefix="0" xfId="8">
      <alignment vertical="center"/>
    </xf>
    <xf numFmtId="164" fontId="3" fillId="10" borderId="0" applyAlignment="1" pivotButton="0" quotePrefix="0" xfId="8">
      <alignment vertical="center"/>
    </xf>
    <xf numFmtId="168" fontId="4" fillId="0" borderId="2" applyAlignment="1" pivotButton="0" quotePrefix="0" xfId="6">
      <alignment vertical="center"/>
    </xf>
    <xf numFmtId="168" fontId="9" fillId="0" borderId="2" applyAlignment="1" pivotButton="0" quotePrefix="0" xfId="6">
      <alignment vertical="center"/>
    </xf>
    <xf numFmtId="168" fontId="4" fillId="0" borderId="0" applyAlignment="1" pivotButton="0" quotePrefix="0" xfId="6">
      <alignment vertical="center"/>
    </xf>
    <xf numFmtId="168" fontId="9" fillId="0" borderId="0" applyAlignment="1" pivotButton="0" quotePrefix="0" xfId="6">
      <alignment vertical="center"/>
    </xf>
    <xf numFmtId="168" fontId="54" fillId="0" borderId="0" applyAlignment="1" pivotButton="0" quotePrefix="0" xfId="6">
      <alignment vertical="center"/>
    </xf>
    <xf numFmtId="168" fontId="4" fillId="9" borderId="0" applyAlignment="1" pivotButton="0" quotePrefix="0" xfId="6">
      <alignment vertical="center"/>
    </xf>
    <xf numFmtId="168" fontId="4" fillId="0" borderId="1" applyAlignment="1" pivotButton="0" quotePrefix="0" xfId="6">
      <alignment vertical="center"/>
    </xf>
    <xf numFmtId="168" fontId="9" fillId="0" borderId="1" applyAlignment="1" pivotButton="0" quotePrefix="0" xfId="6">
      <alignment vertical="center"/>
    </xf>
    <xf numFmtId="164" fontId="3" fillId="0" borderId="0" applyAlignment="1" pivotButton="0" quotePrefix="0" xfId="6">
      <alignment vertical="center"/>
    </xf>
    <xf numFmtId="164" fontId="4" fillId="0" borderId="1" applyAlignment="1" pivotButton="0" quotePrefix="0" xfId="8">
      <alignment vertical="center"/>
    </xf>
    <xf numFmtId="164" fontId="9" fillId="0" borderId="1" applyAlignment="1" pivotButton="0" quotePrefix="0" xfId="8">
      <alignment vertical="center"/>
    </xf>
    <xf numFmtId="164" fontId="9" fillId="0" borderId="0" applyAlignment="1" pivotButton="0" quotePrefix="0" xfId="8">
      <alignment vertical="center"/>
    </xf>
    <xf numFmtId="164" fontId="54" fillId="0" borderId="0" applyAlignment="1" pivotButton="0" quotePrefix="0" xfId="8">
      <alignment vertical="center"/>
    </xf>
    <xf numFmtId="167" fontId="3" fillId="0" borderId="0" applyAlignment="1" pivotButton="0" quotePrefix="0" xfId="6">
      <alignment vertical="center"/>
    </xf>
    <xf numFmtId="167" fontId="7" fillId="0" borderId="0" applyAlignment="1" pivotButton="0" quotePrefix="0" xfId="6">
      <alignment vertical="center"/>
    </xf>
    <xf numFmtId="166" fontId="8" fillId="0" borderId="0" applyAlignment="1" pivotButton="0" quotePrefix="0" xfId="8">
      <alignment vertical="center"/>
    </xf>
    <xf numFmtId="166" fontId="7" fillId="0" borderId="0" applyAlignment="1" pivotButton="0" quotePrefix="0" xfId="8">
      <alignment vertical="center"/>
    </xf>
    <xf numFmtId="164" fontId="8" fillId="0" borderId="0" applyAlignment="1" pivotButton="0" quotePrefix="0" xfId="8">
      <alignment vertical="center"/>
    </xf>
    <xf numFmtId="166" fontId="29" fillId="0" borderId="0" applyAlignment="1" pivotButton="0" quotePrefix="0" xfId="8">
      <alignment vertical="center"/>
    </xf>
    <xf numFmtId="165" fontId="3" fillId="0" borderId="0" applyAlignment="1" pivotButton="0" quotePrefix="0" xfId="6">
      <alignment vertical="center"/>
    </xf>
    <xf numFmtId="165" fontId="7" fillId="0" borderId="0" applyAlignment="1" pivotButton="0" quotePrefix="0" xfId="6">
      <alignment vertical="center"/>
    </xf>
    <xf numFmtId="164" fontId="7" fillId="0" borderId="0" applyAlignment="1" pivotButton="0" quotePrefix="0" xfId="6">
      <alignment vertical="center"/>
    </xf>
    <xf numFmtId="164" fontId="29" fillId="0" borderId="0" applyAlignment="1" pivotButton="0" quotePrefix="0" xfId="6">
      <alignment vertical="center"/>
    </xf>
    <xf numFmtId="164" fontId="60" fillId="9" borderId="0" applyAlignment="1" pivotButton="0" quotePrefix="0" xfId="8">
      <alignment vertical="center"/>
    </xf>
    <xf numFmtId="164" fontId="3" fillId="2" borderId="0" applyAlignment="1" pivotButton="0" quotePrefix="0" xfId="8">
      <alignment vertical="center"/>
    </xf>
    <xf numFmtId="164" fontId="7" fillId="2" borderId="0" applyAlignment="1" pivotButton="0" quotePrefix="0" xfId="8">
      <alignment vertical="center"/>
    </xf>
    <xf numFmtId="164" fontId="61" fillId="9" borderId="0" applyAlignment="1" pivotButton="0" quotePrefix="0" xfId="8">
      <alignment vertical="center"/>
    </xf>
    <xf numFmtId="164" fontId="11" fillId="0" borderId="0" applyAlignment="1" pivotButton="0" quotePrefix="0" xfId="6">
      <alignment vertical="center"/>
    </xf>
    <xf numFmtId="164" fontId="60" fillId="0" borderId="0" applyAlignment="1" pivotButton="0" quotePrefix="0" xfId="6">
      <alignment vertical="center"/>
    </xf>
    <xf numFmtId="164" fontId="10" fillId="0" borderId="0" applyAlignment="1" pivotButton="0" quotePrefix="0" xfId="6">
      <alignment vertical="center"/>
    </xf>
    <xf numFmtId="164" fontId="4" fillId="0" borderId="0" applyAlignment="1" pivotButton="0" quotePrefix="0" xfId="6">
      <alignment vertical="center"/>
    </xf>
    <xf numFmtId="164" fontId="9" fillId="0" borderId="0" applyAlignment="1" pivotButton="0" quotePrefix="0" xfId="6">
      <alignment vertical="center"/>
    </xf>
    <xf numFmtId="164" fontId="61" fillId="0" borderId="0" applyAlignment="1" pivotButton="0" quotePrefix="0" xfId="6">
      <alignment vertical="center"/>
    </xf>
    <xf numFmtId="172" fontId="3" fillId="0" borderId="0" applyAlignment="1" pivotButton="0" quotePrefix="0" xfId="9">
      <alignment vertical="center"/>
    </xf>
    <xf numFmtId="170" fontId="4" fillId="0" borderId="0" applyAlignment="1" pivotButton="0" quotePrefix="0" xfId="9">
      <alignment horizontal="left" vertical="center"/>
    </xf>
    <xf numFmtId="170" fontId="4" fillId="0" borderId="0" applyAlignment="1" pivotButton="0" quotePrefix="0" xfId="9">
      <alignment vertical="center"/>
    </xf>
    <xf numFmtId="172" fontId="4" fillId="0" borderId="0" applyAlignment="1" pivotButton="0" quotePrefix="0" xfId="9">
      <alignment vertical="center"/>
    </xf>
    <xf numFmtId="169" fontId="3" fillId="0" borderId="0" applyAlignment="1" pivotButton="0" quotePrefix="0" xfId="5">
      <alignment horizontal="left" vertical="center"/>
    </xf>
    <xf numFmtId="164" fontId="3" fillId="9" borderId="0" applyAlignment="1" pivotButton="0" quotePrefix="0" xfId="9">
      <alignment vertical="center"/>
    </xf>
    <xf numFmtId="164" fontId="4" fillId="0" borderId="2" applyAlignment="1" pivotButton="0" quotePrefix="0" xfId="9">
      <alignment vertical="center"/>
    </xf>
    <xf numFmtId="164" fontId="4" fillId="0" borderId="0" applyAlignment="1" pivotButton="0" quotePrefix="0" xfId="9">
      <alignment vertical="center"/>
    </xf>
    <xf numFmtId="169" fontId="8" fillId="0" borderId="0" applyAlignment="1" pivotButton="0" quotePrefix="0" xfId="5">
      <alignment horizontal="left" vertical="center"/>
    </xf>
    <xf numFmtId="169" fontId="39" fillId="0" borderId="0" applyAlignment="1" pivotButton="0" quotePrefix="0" xfId="5">
      <alignment horizontal="left" vertical="center"/>
    </xf>
    <xf numFmtId="169" fontId="8" fillId="0" borderId="0" applyAlignment="1" pivotButton="0" quotePrefix="0" xfId="5">
      <alignment vertical="center"/>
    </xf>
    <xf numFmtId="166" fontId="3" fillId="0" borderId="0" applyAlignment="1" pivotButton="0" quotePrefix="0" xfId="9">
      <alignment vertical="center"/>
    </xf>
    <xf numFmtId="169" fontId="3" fillId="0" borderId="0" applyAlignment="1" pivotButton="0" quotePrefix="0" xfId="6">
      <alignment horizontal="left" vertical="center"/>
    </xf>
    <xf numFmtId="191" fontId="29" fillId="0" borderId="0" applyAlignment="1" pivotButton="0" quotePrefix="0" xfId="8">
      <alignment vertical="center"/>
    </xf>
    <xf numFmtId="169" fontId="8" fillId="0" borderId="0" applyAlignment="1" pivotButton="0" quotePrefix="0" xfId="6">
      <alignment horizontal="left" vertical="center"/>
    </xf>
    <xf numFmtId="191" fontId="54" fillId="0" borderId="0" applyAlignment="1" pivotButton="0" quotePrefix="0" xfId="8">
      <alignment vertical="center"/>
    </xf>
    <xf numFmtId="169" fontId="4" fillId="0" borderId="0" applyAlignment="1" pivotButton="0" quotePrefix="0" xfId="9">
      <alignment vertical="center"/>
    </xf>
    <xf numFmtId="172" fontId="10" fillId="0" borderId="0" applyAlignment="1" pivotButton="0" quotePrefix="0" xfId="9">
      <alignment vertical="center"/>
    </xf>
    <xf numFmtId="164" fontId="10" fillId="0" borderId="0" applyAlignment="1" pivotButton="0" quotePrefix="0" xfId="9">
      <alignment vertical="center"/>
    </xf>
    <xf numFmtId="164" fontId="11" fillId="2" borderId="0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169" fontId="11" fillId="2" borderId="0" applyAlignment="1" pivotButton="0" quotePrefix="0" xfId="9">
      <alignment vertical="center"/>
    </xf>
    <xf numFmtId="170" fontId="7" fillId="0" borderId="0" applyAlignment="1" pivotButton="0" quotePrefix="0" xfId="9">
      <alignment vertical="center"/>
    </xf>
    <xf numFmtId="170" fontId="23" fillId="0" borderId="0" applyAlignment="1" pivotButton="0" quotePrefix="0" xfId="9">
      <alignment vertical="center"/>
    </xf>
    <xf numFmtId="172" fontId="8" fillId="0" borderId="0" applyAlignment="1" pivotButton="0" quotePrefix="0" xfId="9">
      <alignment vertical="center"/>
    </xf>
    <xf numFmtId="164" fontId="3" fillId="0" borderId="0" applyAlignment="1" pivotButton="0" quotePrefix="0" xfId="6">
      <alignment horizontal="left" vertical="center"/>
    </xf>
    <xf numFmtId="164" fontId="11" fillId="0" borderId="0" applyAlignment="1" pivotButton="0" quotePrefix="0" xfId="9">
      <alignment vertical="center"/>
    </xf>
    <xf numFmtId="170" fontId="7" fillId="0" borderId="0" applyAlignment="1" pivotButton="0" quotePrefix="0" xfId="9">
      <alignment horizontal="left" vertical="center"/>
    </xf>
    <xf numFmtId="164" fontId="3" fillId="0" borderId="2" applyAlignment="1" pivotButton="0" quotePrefix="0" xfId="9">
      <alignment vertical="center"/>
    </xf>
    <xf numFmtId="170" fontId="23" fillId="0" borderId="0" applyAlignment="1" pivotButton="0" quotePrefix="0" xfId="9">
      <alignment horizontal="left" vertical="center"/>
    </xf>
    <xf numFmtId="164" fontId="8" fillId="0" borderId="0" applyAlignment="1" pivotButton="0" quotePrefix="0" xfId="9">
      <alignment vertical="center"/>
    </xf>
    <xf numFmtId="168" fontId="23" fillId="0" borderId="0" applyAlignment="1" pivotButton="0" quotePrefix="0" xfId="9">
      <alignment vertical="center"/>
    </xf>
    <xf numFmtId="168" fontId="11" fillId="2" borderId="0" applyAlignment="1" pivotButton="0" quotePrefix="0" xfId="9">
      <alignment vertical="center"/>
    </xf>
    <xf numFmtId="170" fontId="27" fillId="0" borderId="0" applyAlignment="1" pivotButton="0" quotePrefix="0" xfId="9">
      <alignment horizontal="left" vertical="center"/>
    </xf>
    <xf numFmtId="169" fontId="10" fillId="0" borderId="0" applyAlignment="1" pivotButton="0" quotePrefix="0" xfId="5">
      <alignment horizontal="left" vertical="center"/>
    </xf>
    <xf numFmtId="164" fontId="35" fillId="0" borderId="0" applyAlignment="1" pivotButton="0" quotePrefix="0" xfId="9">
      <alignment vertical="center"/>
    </xf>
    <xf numFmtId="169" fontId="0" fillId="0" borderId="0" pivotButton="0" quotePrefix="0" xfId="0"/>
    <xf numFmtId="187" fontId="41" fillId="0" borderId="0" applyAlignment="1" pivotButton="0" quotePrefix="0" xfId="0">
      <alignment horizontal="right"/>
    </xf>
    <xf numFmtId="188" fontId="44" fillId="8" borderId="7" pivotButton="0" quotePrefix="0" xfId="12"/>
    <xf numFmtId="188" fontId="44" fillId="0" borderId="0" pivotButton="0" quotePrefix="0" xfId="12"/>
    <xf numFmtId="189" fontId="2" fillId="0" borderId="0" pivotButton="0" quotePrefix="0" xfId="0"/>
    <xf numFmtId="190" fontId="44" fillId="0" borderId="0" pivotButton="0" quotePrefix="0" xfId="16"/>
    <xf numFmtId="190" fontId="2" fillId="0" borderId="0" pivotButton="0" quotePrefix="0" xfId="16"/>
    <xf numFmtId="188" fontId="46" fillId="0" borderId="0" pivotButton="0" quotePrefix="0" xfId="17"/>
    <xf numFmtId="179" fontId="14" fillId="0" borderId="0" pivotButton="0" quotePrefix="0" xfId="2"/>
    <xf numFmtId="169" fontId="3" fillId="0" borderId="0" applyAlignment="1" pivotButton="0" quotePrefix="0" xfId="10">
      <alignment vertical="center"/>
    </xf>
  </cellXfs>
  <cellStyles count="19">
    <cellStyle name="Normal" xfId="0" builtinId="0"/>
    <cellStyle name="Normal 5 4 3" xfId="1"/>
    <cellStyle name="Normal 4 2" xfId="2"/>
    <cellStyle name="Comma 12 2" xfId="3"/>
    <cellStyle name="Percent 2 4" xfId="4"/>
    <cellStyle name="Percent 2" xfId="5"/>
    <cellStyle name="Normal 2" xfId="6"/>
    <cellStyle name="Normal 31 5" xfId="7"/>
    <cellStyle name="Comma 2" xfId="8"/>
    <cellStyle name="Comma 10" xfId="9"/>
    <cellStyle name="Percent 10" xfId="10"/>
    <cellStyle name="ColHeading" xfId="11"/>
    <cellStyle name="Percent" xfId="12" builtinId="5"/>
    <cellStyle name="Hyperlink 2" xfId="13"/>
    <cellStyle name="Normal 3" xfId="14"/>
    <cellStyle name="Normal 2 2" xfId="15"/>
    <cellStyle name="Comma" xfId="16" builtinId="3"/>
    <cellStyle name="Normal_Xinao" xfId="17"/>
    <cellStyle name="Normal 4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explosion val="4"/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Driver!$A$7:$A$13</f>
              <strCache>
                <ptCount val="7"/>
                <pt idx="0">
                  <v xml:space="preserve">    Gas Turbine</v>
                </pt>
                <pt idx="1">
                  <v xml:space="preserve">    Nuclear power equipment</v>
                </pt>
                <pt idx="2">
                  <v xml:space="preserve">    Thermal power equipment</v>
                </pt>
                <pt idx="3">
                  <v>Wind</v>
                </pt>
                <pt idx="4">
                  <v>Hydro</v>
                </pt>
                <pt idx="5">
                  <v>Modern manufacturing service industry (mostly O&amp;M maintenance services)</v>
                </pt>
                <pt idx="6">
                  <v>Others (Engineering and others)</v>
                </pt>
              </strCache>
            </strRef>
          </cat>
          <val>
            <numRef>
              <f>Driver!$I$7:$I$13</f>
              <numCache>
                <formatCode>#,##0_);\(#,##0\);\-\-_)</formatCode>
                <ptCount val="7"/>
                <pt idx="0">
                  <v>7258</v>
                </pt>
                <pt idx="1">
                  <v>4876.71</v>
                </pt>
                <pt idx="2">
                  <v>16223.49</v>
                </pt>
                <pt idx="3">
                  <v>13647.604279</v>
                </pt>
                <pt idx="4">
                  <v>2955.365721</v>
                </pt>
                <pt idx="5">
                  <v>7564.4065</v>
                </pt>
                <pt idx="6">
                  <v>17169.5635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explosion val="4"/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Driver!$A$62:$A$68</f>
              <strCache>
                <ptCount val="7"/>
                <pt idx="0">
                  <v xml:space="preserve">    Gas Turbine</v>
                </pt>
                <pt idx="1">
                  <v xml:space="preserve">    Nuclear power equipment</v>
                </pt>
                <pt idx="2">
                  <v xml:space="preserve">    Thermal power equipment</v>
                </pt>
                <pt idx="3">
                  <v>Wind</v>
                </pt>
                <pt idx="4">
                  <v>Hydro</v>
                </pt>
                <pt idx="5">
                  <v>Modern manufacturing service industry (mostly O&amp;M maintenance services)</v>
                </pt>
                <pt idx="6">
                  <v>Others (Engineering and others)</v>
                </pt>
              </strCache>
            </strRef>
          </cat>
          <val>
            <numRef>
              <f>Driver!$I$62:$I$68</f>
              <numCache>
                <formatCode>0%</formatCode>
                <ptCount val="7"/>
                <pt idx="0">
                  <v>0.06149719521990421</v>
                </pt>
                <pt idx="1">
                  <v>0.1083553701209813</v>
                </pt>
                <pt idx="2">
                  <v>0.2692256144959393</v>
                </pt>
                <pt idx="3">
                  <v>0.006388515606297419</v>
                </pt>
                <pt idx="4">
                  <v>0.05140502041310543</v>
                </pt>
                <pt idx="5">
                  <v>0.3384827198002039</v>
                </pt>
                <pt idx="6">
                  <v>0.164645564343568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Driver!$A$29</f>
              <strCache>
                <ptCount val="1"/>
                <pt idx="0">
                  <v xml:space="preserve">    Gas Turbine</v>
                </pt>
              </strCache>
            </strRef>
          </tx>
          <spPr>
            <a:solidFill>
              <a:srgbClr val="4D3C2F"/>
            </a:solidFill>
            <a:ln>
              <a:solidFill>
                <a:srgbClr val="4D3C2F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Driver!$B$29:$N$29</f>
              <numCache>
                <formatCode>0%</formatCode>
                <ptCount val="10"/>
                <pt idx="0">
                  <v>0.05415355631151786</v>
                </pt>
                <pt idx="1">
                  <v>0.03626160805384117</v>
                </pt>
                <pt idx="2">
                  <v>0.03307852092943598</v>
                </pt>
                <pt idx="3">
                  <v>0.06245289576988562</v>
                </pt>
                <pt idx="4">
                  <v>0.1041392556209802</v>
                </pt>
                <pt idx="5">
                  <v>0.09813485278274722</v>
                </pt>
                <pt idx="6">
                  <v>0.09712689681886837</v>
                </pt>
                <pt idx="7">
                  <v>0.1294645528734901</v>
                </pt>
                <pt idx="8">
                  <v>0.1384703316038574</v>
                </pt>
                <pt idx="9">
                  <v>0.1412731111570937</v>
                </pt>
              </numCache>
            </numRef>
          </val>
        </ser>
        <ser>
          <idx val="1"/>
          <order val="1"/>
          <tx>
            <strRef>
              <f>Driver!$A$30</f>
              <strCache>
                <ptCount val="1"/>
                <pt idx="0">
                  <v xml:space="preserve">    Nuclear power equipment</v>
                </pt>
              </strCache>
            </strRef>
          </tx>
          <spPr>
            <a:solidFill>
              <a:srgbClr val="CFBD9B"/>
            </a:solidFill>
            <a:ln>
              <a:solidFill>
                <a:srgbClr val="CFBD9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Driver!$B$30:$N$30</f>
              <numCache>
                <formatCode>0%</formatCode>
                <ptCount val="10"/>
                <pt idx="0">
                  <v>0.04841365485006921</v>
                </pt>
                <pt idx="1">
                  <v>0.04661310516263666</v>
                </pt>
                <pt idx="2">
                  <v>0.03716139680603485</v>
                </pt>
                <pt idx="3">
                  <v>0.04783655514044044</v>
                </pt>
                <pt idx="4">
                  <v>0.06997202387426153</v>
                </pt>
                <pt idx="5">
                  <v>0.07792627361512018</v>
                </pt>
                <pt idx="6">
                  <v>0.09114877037199971</v>
                </pt>
                <pt idx="7">
                  <v>0.0976362680463094</v>
                </pt>
                <pt idx="8">
                  <v>0.1072484887886453</v>
                </pt>
                <pt idx="9">
                  <v>0.1185083616975403</v>
                </pt>
              </numCache>
            </numRef>
          </val>
        </ser>
        <ser>
          <idx val="2"/>
          <order val="2"/>
          <tx>
            <strRef>
              <f>Driver!$A$31</f>
              <strCache>
                <ptCount val="1"/>
                <pt idx="0">
                  <v xml:space="preserve">    Thermal power equipment</v>
                </pt>
              </strCache>
            </strRef>
          </tx>
          <spPr>
            <a:solidFill>
              <a:srgbClr val="C07156"/>
            </a:solidFill>
            <a:ln>
              <a:solidFill>
                <a:srgbClr val="C07156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Driver!$B$31:$N$31</f>
              <numCache>
                <formatCode>0%</formatCode>
                <ptCount val="10"/>
                <pt idx="0">
                  <v>0.1965513921004472</v>
                </pt>
                <pt idx="1">
                  <v>0.1845285060363867</v>
                </pt>
                <pt idx="2">
                  <v>0.1950489168274826</v>
                </pt>
                <pt idx="3">
                  <v>0.2290388339098048</v>
                </pt>
                <pt idx="4">
                  <v>0.2327779239700215</v>
                </pt>
                <pt idx="5">
                  <v>0.2093857928443837</v>
                </pt>
                <pt idx="6">
                  <v>0.1978153836857496</v>
                </pt>
                <pt idx="7">
                  <v>0.1779916813685634</v>
                </pt>
                <pt idx="8">
                  <v>0.1642324614571139</v>
                </pt>
                <pt idx="9">
                  <v>0.1524390034612214</v>
                </pt>
              </numCache>
            </numRef>
          </val>
        </ser>
        <ser>
          <idx val="3"/>
          <order val="3"/>
          <tx>
            <strRef>
              <f>Driver!$A$32</f>
              <strCache>
                <ptCount val="1"/>
                <pt idx="0">
                  <v>Wind</v>
                </pt>
              </strCache>
            </strRef>
          </tx>
          <spPr>
            <a:solidFill>
              <a:srgbClr val="EDC860"/>
            </a:solidFill>
            <a:ln>
              <a:solidFill>
                <a:srgbClr val="EDC86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Driver!$B$32:$N$32</f>
              <numCache>
                <formatCode>0%</formatCode>
                <ptCount val="10"/>
                <pt idx="0">
                  <v>0.2039536387622519</v>
                </pt>
                <pt idx="1">
                  <v>0.2647937565833953</v>
                </pt>
                <pt idx="2">
                  <v>0.2244669800304012</v>
                </pt>
                <pt idx="3">
                  <v>0.1899756965282009</v>
                </pt>
                <pt idx="4">
                  <v>0.195818593362464</v>
                </pt>
                <pt idx="5">
                  <v>0.2348540659159296</v>
                </pt>
                <pt idx="6">
                  <v>0.2324418489545894</v>
                </pt>
                <pt idx="7">
                  <v>0.2290669880780662</v>
                </pt>
                <pt idx="8">
                  <v>0.2314889916501108</v>
                </pt>
                <pt idx="9">
                  <v>0.2353292894326048</v>
                </pt>
              </numCache>
            </numRef>
          </val>
        </ser>
        <ser>
          <idx val="4"/>
          <order val="4"/>
          <tx>
            <strRef>
              <f>Driver!$A$33</f>
              <strCache>
                <ptCount val="1"/>
                <pt idx="0">
                  <v>Hydro</v>
                </pt>
              </strCache>
            </strRef>
          </tx>
          <spPr>
            <a:solidFill>
              <a:srgbClr val="B0B0B0"/>
            </a:solidFill>
            <a:ln>
              <a:solidFill>
                <a:srgbClr val="B0B0B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Driver!$B$33:$N$33</f>
              <numCache>
                <formatCode>0%</formatCode>
                <ptCount val="10"/>
                <pt idx="0">
                  <v>0.06655048283568299</v>
                </pt>
                <pt idx="1">
                  <v>0.05178346548047572</v>
                </pt>
                <pt idx="2">
                  <v>0.04496543157262623</v>
                </pt>
                <pt idx="3">
                  <v>0.03808401214702008</v>
                </pt>
                <pt idx="4">
                  <v>0.04240418659034188</v>
                </pt>
                <pt idx="5">
                  <v>0.03995926976433075</v>
                </pt>
                <pt idx="6">
                  <v>0.03954884285555077</v>
                </pt>
                <pt idx="7">
                  <v>0.03728007780534871</v>
                </pt>
                <pt idx="8">
                  <v>0.03603624182043029</v>
                </pt>
                <pt idx="9">
                  <v>0.03504128127806675</v>
                </pt>
              </numCache>
            </numRef>
          </val>
        </ser>
        <ser>
          <idx val="5"/>
          <order val="5"/>
          <tx>
            <strRef>
              <f>Driver!$A$34</f>
              <strCache>
                <ptCount val="1"/>
                <pt idx="0">
                  <v>Modern manufacturing service industry (mostly O&amp;M maintenance services)</v>
                </pt>
              </strCache>
            </strRef>
          </tx>
          <spPr>
            <a:solidFill>
              <a:srgbClr val="A43725"/>
            </a:solidFill>
            <a:ln>
              <a:solidFill>
                <a:srgbClr val="A43725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Driver!$B$34:$N$34</f>
              <numCache>
                <formatCode>0%</formatCode>
                <ptCount val="10"/>
                <pt idx="0">
                  <v>0.1317024890565023</v>
                </pt>
                <pt idx="1">
                  <v>0.08288158580836932</v>
                </pt>
                <pt idx="2">
                  <v>0.0765644827066721</v>
                </pt>
                <pt idx="3">
                  <v>0.08872514960872072</v>
                </pt>
                <pt idx="4">
                  <v>0.1085356382094935</v>
                </pt>
                <pt idx="5">
                  <v>0.1223644896841889</v>
                </pt>
                <pt idx="6">
                  <v>0.1404665822599958</v>
                </pt>
                <pt idx="7">
                  <v>0.1507495026976498</v>
                </pt>
                <pt idx="8">
                  <v>0.1615828634490246</v>
                </pt>
                <pt idx="9">
                  <v>0.1708708051254978</v>
                </pt>
              </numCache>
            </numRef>
          </val>
        </ser>
        <ser>
          <idx val="6"/>
          <order val="6"/>
          <tx>
            <strRef>
              <f>Driver!$A$35</f>
              <strCache>
                <ptCount val="1"/>
                <pt idx="0">
                  <v>Others (Engineering and others)</v>
                </pt>
              </strCache>
            </strRef>
          </tx>
          <spPr>
            <a:solidFill>
              <a:srgbClr val="2B2B2B"/>
            </a:solidFill>
            <a:ln>
              <a:solidFill>
                <a:srgbClr val="2B2B2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Driver!$B$35:$N$35</f>
              <numCache>
                <formatCode>0%</formatCode>
                <ptCount val="10"/>
                <pt idx="0">
                  <v>0.2986659348336113</v>
                </pt>
                <pt idx="1">
                  <v>0.3331383911172026</v>
                </pt>
                <pt idx="2">
                  <v>0.3887142711273471</v>
                </pt>
                <pt idx="3">
                  <v>0.3438868568959275</v>
                </pt>
                <pt idx="4">
                  <v>0.2463523783724374</v>
                </pt>
                <pt idx="5">
                  <v>0.2173752553932996</v>
                </pt>
                <pt idx="6">
                  <v>0.2014516750532463</v>
                </pt>
                <pt idx="7">
                  <v>0.1778109291305725</v>
                </pt>
                <pt idx="8">
                  <v>0.1609406212308176</v>
                </pt>
                <pt idx="9">
                  <v>0.1465381478479751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67589104"/>
        <axId val="667604464"/>
      </barChart>
      <catAx>
        <axId val="6675891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667604464"/>
        <crosses val="autoZero"/>
        <auto val="1"/>
        <lblAlgn val="ctr"/>
        <lblOffset val="100"/>
        <noMultiLvlLbl val="0"/>
      </catAx>
      <valAx>
        <axId val="667604464"/>
        <scaling>
          <orientation val="minMax"/>
        </scaling>
        <delete val="0"/>
        <axPos val="l"/>
        <majorGridlines>
          <spPr>
            <a:ln w="9525" cap="flat" cmpd="sng" algn="ctr">
              <a:noFill/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667589104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>
      <a:sysClr val="window" lastClr="FFFFFF"/>
    </a:solidFill>
    <a:ln w="25400" cap="flat" cmpd="sng" algn="ctr">
      <a:noFill/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Driver!$A$62</f>
              <strCache>
                <ptCount val="1"/>
                <pt idx="0">
                  <v xml:space="preserve">    Gas Turbine</v>
                </pt>
              </strCache>
            </strRef>
          </tx>
          <spPr>
            <a:solidFill>
              <a:srgbClr val="4D3C2F"/>
            </a:solidFill>
            <a:ln>
              <a:solidFill>
                <a:srgbClr val="4D3C2F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Driver!$B$62:$N$62</f>
              <numCache>
                <formatCode>0%</formatCode>
                <ptCount val="10"/>
                <pt idx="0">
                  <v>0.03919616970278612</v>
                </pt>
                <pt idx="1">
                  <v>0.03639638615582028</v>
                </pt>
                <pt idx="2">
                  <v>-0.0008903662373122813</v>
                </pt>
                <pt idx="3">
                  <v>0.04029959451793852</v>
                </pt>
                <pt idx="4">
                  <v>0.06149719521990421</v>
                </pt>
                <pt idx="5">
                  <v>0.06456742328491008</v>
                </pt>
                <pt idx="6">
                  <v>0.06433270257731132</v>
                </pt>
                <pt idx="7">
                  <v>0.1525461602555678</v>
                </pt>
                <pt idx="8">
                  <v>0.1722940359326076</v>
                </pt>
                <pt idx="9">
                  <v>0.1768634171887557</v>
                </pt>
              </numCache>
            </numRef>
          </val>
        </ser>
        <ser>
          <idx val="1"/>
          <order val="1"/>
          <tx>
            <strRef>
              <f>Driver!$A$63</f>
              <strCache>
                <ptCount val="1"/>
                <pt idx="0">
                  <v xml:space="preserve">    Nuclear power equipment</v>
                </pt>
              </strCache>
            </strRef>
          </tx>
          <spPr>
            <a:solidFill>
              <a:srgbClr val="CFBD9B"/>
            </a:solidFill>
            <a:ln>
              <a:solidFill>
                <a:srgbClr val="CFBD9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Driver!$B$63:$N$63</f>
              <numCache>
                <formatCode>0%</formatCode>
                <ptCount val="10"/>
                <pt idx="0">
                  <v>0.04264068158575824</v>
                </pt>
                <pt idx="1">
                  <v>0.06317450810229465</v>
                </pt>
                <pt idx="2">
                  <v>0.06648067905265034</v>
                </pt>
                <pt idx="3">
                  <v>0.05899711470450229</v>
                </pt>
                <pt idx="4">
                  <v>0.1083553701209813</v>
                </pt>
                <pt idx="5">
                  <v>0.1179463938069663</v>
                </pt>
                <pt idx="6">
                  <v>0.1295677567617247</v>
                </pt>
                <pt idx="7">
                  <v>0.1245008736132043</v>
                </pt>
                <pt idx="8">
                  <v>0.1297592150269812</v>
                </pt>
                <pt idx="9">
                  <v>0.1382664290661145</v>
                </pt>
              </numCache>
            </numRef>
          </val>
        </ser>
        <ser>
          <idx val="2"/>
          <order val="2"/>
          <tx>
            <strRef>
              <f>Driver!$A$64</f>
              <strCache>
                <ptCount val="1"/>
                <pt idx="0">
                  <v xml:space="preserve">    Thermal power equipment</v>
                </pt>
              </strCache>
            </strRef>
          </tx>
          <spPr>
            <a:solidFill>
              <a:srgbClr val="C07156"/>
            </a:solidFill>
            <a:ln>
              <a:solidFill>
                <a:srgbClr val="C07156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Driver!$B$64:$N$64</f>
              <numCache>
                <formatCode>0%</formatCode>
                <ptCount val="10"/>
                <pt idx="0">
                  <v>0.2303071910718251</v>
                </pt>
                <pt idx="1">
                  <v>0.2040602190778272</v>
                </pt>
                <pt idx="2">
                  <v>0.241586039057399</v>
                </pt>
                <pt idx="3">
                  <v>0.2850594917117786</v>
                </pt>
                <pt idx="4">
                  <v>0.2692256144959393</v>
                </pt>
                <pt idx="5">
                  <v>0.2447911386182535</v>
                </pt>
                <pt idx="6">
                  <v>0.2128598261964462</v>
                </pt>
                <pt idx="7">
                  <v>0.1684462917298171</v>
                </pt>
                <pt idx="8">
                  <v>0.1446392148023083</v>
                </pt>
                <pt idx="9">
                  <v>0.1270233453691867</v>
                </pt>
              </numCache>
            </numRef>
          </val>
        </ser>
        <ser>
          <idx val="3"/>
          <order val="3"/>
          <tx>
            <strRef>
              <f>Driver!$A$65</f>
              <strCache>
                <ptCount val="1"/>
                <pt idx="0">
                  <v>Wind</v>
                </pt>
              </strCache>
            </strRef>
          </tx>
          <spPr>
            <a:solidFill>
              <a:srgbClr val="EDC860"/>
            </a:solidFill>
            <a:ln>
              <a:solidFill>
                <a:srgbClr val="EDC86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Driver!$B$65:$N$65</f>
              <numCache>
                <formatCode>0%</formatCode>
                <ptCount val="10"/>
                <pt idx="0">
                  <v>0.1216660985201663</v>
                </pt>
                <pt idx="1">
                  <v>0.1867721903192172</v>
                </pt>
                <pt idx="2">
                  <v>0.1399752130943195</v>
                </pt>
                <pt idx="3">
                  <v>0.1072195322704895</v>
                </pt>
                <pt idx="4">
                  <v>0.006388515606297419</v>
                </pt>
                <pt idx="5">
                  <v>0.02182225308768371</v>
                </pt>
                <pt idx="6">
                  <v>0.04627163200729446</v>
                </pt>
                <pt idx="7">
                  <v>0.062978948718315</v>
                </pt>
                <pt idx="8">
                  <v>0.08074052342867187</v>
                </pt>
                <pt idx="9">
                  <v>0.09835160052916268</v>
                </pt>
              </numCache>
            </numRef>
          </val>
        </ser>
        <ser>
          <idx val="4"/>
          <order val="4"/>
          <tx>
            <strRef>
              <f>Driver!$A$66</f>
              <strCache>
                <ptCount val="1"/>
                <pt idx="0">
                  <v>Hydro</v>
                </pt>
              </strCache>
            </strRef>
          </tx>
          <spPr>
            <a:solidFill>
              <a:srgbClr val="B0B0B0"/>
            </a:solidFill>
            <a:ln>
              <a:solidFill>
                <a:srgbClr val="B0B0B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Driver!$B$66:$N$66</f>
              <numCache>
                <formatCode>0%</formatCode>
                <ptCount val="10"/>
                <pt idx="0">
                  <v>0.04917931534981394</v>
                </pt>
                <pt idx="1">
                  <v>0.05018686429284994</v>
                </pt>
                <pt idx="2">
                  <v>0.05281974545418572</v>
                </pt>
                <pt idx="3">
                  <v>0.03625563808099837</v>
                </pt>
                <pt idx="4">
                  <v>0.05140502041310543</v>
                </pt>
                <pt idx="5">
                  <v>0.04638190047484425</v>
                </pt>
                <pt idx="6">
                  <v>0.04225225931831341</v>
                </pt>
                <pt idx="7">
                  <v>0.03502846240000791</v>
                </pt>
                <pt idx="8">
                  <v>0.03151004773017421</v>
                </pt>
                <pt idx="9">
                  <v>0.02899011499218004</v>
                </pt>
              </numCache>
            </numRef>
          </val>
        </ser>
        <ser>
          <idx val="5"/>
          <order val="5"/>
          <tx>
            <strRef>
              <f>Driver!$A$67</f>
              <strCache>
                <ptCount val="1"/>
                <pt idx="0">
                  <v>Modern manufacturing service industry (mostly O&amp;M maintenance services)</v>
                </pt>
              </strCache>
            </strRef>
          </tx>
          <spPr>
            <a:solidFill>
              <a:srgbClr val="A43725"/>
            </a:solidFill>
            <a:ln>
              <a:solidFill>
                <a:srgbClr val="A43725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Driver!$B$67:$N$67</f>
              <numCache>
                <formatCode>0%</formatCode>
                <ptCount val="10"/>
                <pt idx="0">
                  <v>0.2608302296171008</v>
                </pt>
                <pt idx="1">
                  <v>0.2013789259284359</v>
                </pt>
                <pt idx="2">
                  <v>0.2277622196949012</v>
                </pt>
                <pt idx="3">
                  <v>0.2352486641502034</v>
                </pt>
                <pt idx="4">
                  <v>0.3384827198002039</v>
                </pt>
                <pt idx="5">
                  <v>0.3653875442029722</v>
                </pt>
                <pt idx="6">
                  <v>0.3860615140716752</v>
                </pt>
                <pt idx="7">
                  <v>0.3643908731489631</v>
                </pt>
                <pt idx="8">
                  <v>0.3634730431950507</v>
                </pt>
                <pt idx="9">
                  <v>0.3636680641306886</v>
                </pt>
              </numCache>
            </numRef>
          </val>
        </ser>
        <ser>
          <idx val="6"/>
          <order val="6"/>
          <tx>
            <strRef>
              <f>Driver!$A$68</f>
              <strCache>
                <ptCount val="1"/>
                <pt idx="0">
                  <v>Others (Engineering and others)</v>
                </pt>
              </strCache>
            </strRef>
          </tx>
          <spPr>
            <a:solidFill>
              <a:srgbClr val="2B2B2B"/>
            </a:solidFill>
            <a:ln>
              <a:solidFill>
                <a:srgbClr val="2B2B2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Driver!$B$68:$N$68</f>
              <numCache>
                <formatCode>0%</formatCode>
                <ptCount val="10"/>
                <pt idx="0">
                  <v>0.256171999813522</v>
                </pt>
                <pt idx="1">
                  <v>0.2580276271698474</v>
                </pt>
                <pt idx="2">
                  <v>0.2722763628420493</v>
                </pt>
                <pt idx="3">
                  <v>0.2369199645640895</v>
                </pt>
                <pt idx="4">
                  <v>0.164645564343568</v>
                </pt>
                <pt idx="5">
                  <v>0.1391033465243701</v>
                </pt>
                <pt idx="6">
                  <v>0.1186543090672348</v>
                </pt>
                <pt idx="7">
                  <v>0.09210839013412485</v>
                </pt>
                <pt idx="8">
                  <v>0.07758391988420615</v>
                </pt>
                <pt idx="9">
                  <v>0.06683702872391187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67589104"/>
        <axId val="667604464"/>
      </barChart>
      <catAx>
        <axId val="6675891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667604464"/>
        <crosses val="autoZero"/>
        <auto val="1"/>
        <lblAlgn val="ctr"/>
        <lblOffset val="100"/>
        <noMultiLvlLbl val="0"/>
      </catAx>
      <valAx>
        <axId val="667604464"/>
        <scaling>
          <orientation val="minMax"/>
        </scaling>
        <delete val="0"/>
        <axPos val="l"/>
        <majorGridlines>
          <spPr>
            <a:ln w="9525" cap="flat" cmpd="sng" algn="ctr">
              <a:noFill/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667589104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>
      <a:sysClr val="window" lastClr="FFFFFF"/>
    </a:solidFill>
    <a:ln w="25400" cap="flat" cmpd="sng" algn="ctr">
      <a:noFill/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strike="noStrike" kern="1200" baseline="0">
                      <a:solidFill>
                        <a:schemeClr val="bg1"/>
                      </a:solidFill>
                      <a:latin typeface="Frutiger 45 Light" panose="020B0603020202020204" pitchFamily="34" charset="0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zh-CN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strike="noStrike" kern="1200" baseline="0">
                      <a:solidFill>
                        <a:schemeClr val="bg1"/>
                      </a:solidFill>
                      <a:latin typeface="Frutiger 45 Light" panose="020B0603020202020204" pitchFamily="34" charset="0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zh-CN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rutiger 45 Light" panose="020B0603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Appendix!$B$24:$B$26</f>
              <strCache>
                <ptCount val="3"/>
                <pt idx="0">
                  <v>Dongfang Electric Corporation (Group)</v>
                </pt>
                <pt idx="1">
                  <v>Northbound</v>
                </pt>
                <pt idx="2">
                  <v>Other institutions and retailors</v>
                </pt>
              </strCache>
            </strRef>
          </cat>
          <val>
            <numRef>
              <f>Appendix!$C$24:$C$26</f>
              <numCache>
                <formatCode>0%</formatCode>
                <ptCount val="3"/>
                <pt idx="0">
                  <v>0.5687</v>
                </pt>
                <pt idx="1">
                  <v>0.0504</v>
                </pt>
                <pt idx="2">
                  <v>0.3809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rutiger 45 Light" panose="020B0603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Appendix!$B$40:$B$44</f>
              <strCache>
                <ptCount val="5"/>
                <pt idx="0">
                  <v>Production</v>
                </pt>
                <pt idx="1">
                  <v>Sales</v>
                </pt>
                <pt idx="2">
                  <v>Technology</v>
                </pt>
                <pt idx="3">
                  <v>Finance</v>
                </pt>
                <pt idx="4">
                  <v>Admin</v>
                </pt>
              </strCache>
            </strRef>
          </cat>
          <val>
            <numRef>
              <f>Appendix!$D$40:$D$44</f>
              <numCache>
                <formatCode>0%</formatCode>
                <ptCount val="5"/>
                <pt idx="0">
                  <v>0.3549603504685854</v>
                </pt>
                <pt idx="1">
                  <v>0.05578661343093218</v>
                </pt>
                <pt idx="2">
                  <v>0.4927632673432041</v>
                </pt>
                <pt idx="3">
                  <v>0.02090611656407697</v>
                </pt>
                <pt idx="4">
                  <v>0.07558365219320136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25400" cap="flat" cmpd="sng" algn="ctr">
      <a:noFill/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bg1"/>
                    </a:solidFill>
                    <a:latin typeface="Frutiger 45 Light" panose="020B0603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Appendix!$B$50:$B$52</f>
              <strCache>
                <ptCount val="3"/>
                <pt idx="0">
                  <v>Dongfang Electric Corporation (Group)</v>
                </pt>
                <pt idx="1">
                  <v>Southbound</v>
                </pt>
                <pt idx="2">
                  <v>Other institutions and retailors</v>
                </pt>
              </strCache>
            </strRef>
          </cat>
          <val>
            <numRef>
              <f>Appendix!$C$50:$C$52</f>
              <numCache>
                <formatCode>0%</formatCode>
                <ptCount val="3"/>
                <pt idx="0">
                  <v>0.5132</v>
                </pt>
                <pt idx="1">
                  <v>0.378</v>
                </pt>
                <pt idx="2">
                  <v>0.1088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463391376646857"/>
          <y val="0.03636363636363636"/>
          <w val="0.9079427724944517"/>
          <h val="0.6172050823192555"/>
        </manualLayout>
      </layout>
      <lineChart>
        <grouping val="standard"/>
        <varyColors val="0"/>
        <ser>
          <idx val="0"/>
          <order val="0"/>
          <tx>
            <strRef>
              <f>'AH discount'!$B$2</f>
              <strCache>
                <ptCount val="1"/>
                <pt idx="0">
                  <v>Dongfang H share discount to A share</v>
                </pt>
              </strCache>
            </strRef>
          </tx>
          <spPr>
            <a:ln w="28575" cap="rnd">
              <a:solidFill>
                <a:srgbClr val="4D3C2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discount'!$B$3:$B$4766</f>
              <numCache>
                <formatCode>0%</formatCode>
                <ptCount val="4764"/>
                <pt idx="0">
                  <v>-0.3333333333333334</v>
                </pt>
                <pt idx="1">
                  <v>-0.3670886075949368</v>
                </pt>
                <pt idx="2">
                  <v>-0.3548387096774194</v>
                </pt>
                <pt idx="3">
                  <v>-0.375</v>
                </pt>
                <pt idx="4">
                  <v>-0.375</v>
                </pt>
                <pt idx="5">
                  <v>-0.3506493506493507</v>
                </pt>
                <pt idx="6">
                  <v>-0.3506493506493507</v>
                </pt>
                <pt idx="7">
                  <v>-0.358974358974359</v>
                </pt>
                <pt idx="8">
                  <v>-0.3243243243243243</v>
                </pt>
                <pt idx="9">
                  <v>-0.3243243243243243</v>
                </pt>
                <pt idx="10">
                  <v>-0.3377483443708609</v>
                </pt>
                <pt idx="11">
                  <v>-0.3464052287581699</v>
                </pt>
                <pt idx="12">
                  <v>-0.3288590604026845</v>
                </pt>
                <pt idx="13">
                  <v>-0.3421052631578947</v>
                </pt>
                <pt idx="14">
                  <v>-0.3197278911564626</v>
                </pt>
                <pt idx="15">
                  <v>-0.3333333333333334</v>
                </pt>
                <pt idx="16">
                  <v>-0.2424242424242424</v>
                </pt>
                <pt idx="17">
                  <v>-0.1666666666666666</v>
                </pt>
                <pt idx="18">
                  <v>-0.2</v>
                </pt>
                <pt idx="19">
                  <v>-0.1596638655462185</v>
                </pt>
                <pt idx="20">
                  <v>-0.2</v>
                </pt>
                <pt idx="21">
                  <v>-0.2125984251968505</v>
                </pt>
                <pt idx="22">
                  <v>-0.2063492063492064</v>
                </pt>
                <pt idx="23">
                  <v>-0.1525423728813559</v>
                </pt>
                <pt idx="24">
                  <v>-0.1596638655462185</v>
                </pt>
                <pt idx="25">
                  <v>-0.2125984251968505</v>
                </pt>
                <pt idx="26">
                  <v>-0.1596638655462185</v>
                </pt>
                <pt idx="27">
                  <v>-0.1666666666666666</v>
                </pt>
                <pt idx="28">
                  <v>-0.1379310344827586</v>
                </pt>
                <pt idx="29">
                  <v>-0.0990990990990992</v>
                </pt>
                <pt idx="30">
                  <v>-0.1525423728813559</v>
                </pt>
                <pt idx="31">
                  <v>-0.1935483870967741</v>
                </pt>
                <pt idx="32">
                  <v>-0.21875</v>
                </pt>
                <pt idx="33">
                  <v>-0.2125984251968505</v>
                </pt>
                <pt idx="34">
                  <v>-0.1935483870967741</v>
                </pt>
                <pt idx="35">
                  <v>-0.2307692307692308</v>
                </pt>
                <pt idx="36">
                  <v>-0.21875</v>
                </pt>
                <pt idx="37">
                  <v>-0.2248062015503877</v>
                </pt>
                <pt idx="38">
                  <v>-0.2248062015503877</v>
                </pt>
                <pt idx="39">
                  <v>-0.2307692307692308</v>
                </pt>
                <pt idx="40">
                  <v>-0.1735537190082644</v>
                </pt>
                <pt idx="41">
                  <v>-0.1150442477876106</v>
                </pt>
                <pt idx="42">
                  <v>-0.0990990990990992</v>
                </pt>
                <pt idx="43">
                  <v>-0.0825688073394496</v>
                </pt>
                <pt idx="44">
                  <v>-0.1228070175438596</v>
                </pt>
                <pt idx="45">
                  <v>-0.1228070175438596</v>
                </pt>
                <pt idx="46">
                  <v>-0.0990990990990992</v>
                </pt>
                <pt idx="47">
                  <v>-0.1071428571428572</v>
                </pt>
                <pt idx="48">
                  <v>-0.1228070175438596</v>
                </pt>
                <pt idx="49">
                  <v>-0.0990990990990992</v>
                </pt>
                <pt idx="50">
                  <v>-0.0825688073394496</v>
                </pt>
                <pt idx="51">
                  <v>-0.06542056074766356</v>
                </pt>
                <pt idx="52">
                  <v>-0.05660377358490576</v>
                </pt>
                <pt idx="53">
                  <v>-0.05660377358490576</v>
                </pt>
                <pt idx="54">
                  <v>-0.03846153846153855</v>
                </pt>
                <pt idx="55">
                  <v>0.05263157894736836</v>
                </pt>
                <pt idx="56">
                  <v>0.1111111111111112</v>
                </pt>
                <pt idx="57">
                  <v>0.1235955056179776</v>
                </pt>
                <pt idx="58">
                  <v>0.1235955056179776</v>
                </pt>
                <pt idx="59">
                  <v>0.1111111111111112</v>
                </pt>
                <pt idx="60">
                  <v>0.1363636363636365</v>
                </pt>
                <pt idx="61">
                  <v>0.1494252873563218</v>
                </pt>
                <pt idx="62">
                  <v>0.1764705882352942</v>
                </pt>
                <pt idx="63">
                  <v>0.1627906976744187</v>
                </pt>
                <pt idx="64">
                  <v>0.1363636363636365</v>
                </pt>
                <pt idx="65">
                  <v>0.1363636363636365</v>
                </pt>
                <pt idx="66">
                  <v>0.1363636363636365</v>
                </pt>
                <pt idx="67">
                  <v>0.1235955056179776</v>
                </pt>
                <pt idx="68">
                  <v>0.09890109890109877</v>
                </pt>
                <pt idx="69">
                  <v>0.1363636363636365</v>
                </pt>
                <pt idx="70">
                  <v>0.1627906976744187</v>
                </pt>
                <pt idx="71">
                  <v>0.1627906976744187</v>
                </pt>
                <pt idx="72">
                  <v>0.05263157894736836</v>
                </pt>
                <pt idx="73">
                  <v>0.1111111111111112</v>
                </pt>
                <pt idx="74">
                  <v>0.09890109890109877</v>
                </pt>
                <pt idx="75">
                  <v>0.08695652173913038</v>
                </pt>
                <pt idx="76">
                  <v>0.0309278350515465</v>
                </pt>
                <pt idx="77">
                  <v>-0.029126213592233</v>
                </pt>
                <pt idx="78">
                  <v>-0.03846153846153855</v>
                </pt>
                <pt idx="79">
                  <v>-0.01960784313725494</v>
                </pt>
                <pt idx="80">
                  <v>-0.0990990990990992</v>
                </pt>
                <pt idx="81">
                  <v>-0.2063492063492064</v>
                </pt>
                <pt idx="82">
                  <v>-0.1525423728813559</v>
                </pt>
                <pt idx="83">
                  <v>-0.0825688073394496</v>
                </pt>
                <pt idx="84">
                  <v>-0.09090909090909094</v>
                </pt>
                <pt idx="85">
                  <v>-0.1379310344827586</v>
                </pt>
                <pt idx="86">
                  <v>-0.1525423728813559</v>
                </pt>
                <pt idx="87">
                  <v>-0.0825688073394496</v>
                </pt>
                <pt idx="88">
                  <v>-0.05660377358490576</v>
                </pt>
                <pt idx="89">
                  <v>-0.029126213592233</v>
                </pt>
                <pt idx="90">
                  <v>-0.029126213592233</v>
                </pt>
                <pt idx="91">
                  <v>-0.029126213592233</v>
                </pt>
                <pt idx="92">
                  <v>0</v>
                </pt>
                <pt idx="93">
                  <v>0</v>
                </pt>
                <pt idx="94">
                  <v>-0.05660377358490576</v>
                </pt>
                <pt idx="95">
                  <v>-0.07407407407407418</v>
                </pt>
                <pt idx="96">
                  <v>-0.05660377358490576</v>
                </pt>
                <pt idx="97">
                  <v>-0.07407407407407418</v>
                </pt>
                <pt idx="98">
                  <v>-0.01960784313725494</v>
                </pt>
                <pt idx="99">
                  <v>-0.07407407407407418</v>
                </pt>
                <pt idx="100">
                  <v>-0.05660377358490576</v>
                </pt>
                <pt idx="101">
                  <v>-0.0825688073394496</v>
                </pt>
                <pt idx="102">
                  <v>-0.1379310344827586</v>
                </pt>
                <pt idx="103">
                  <v>-0.1525423728813559</v>
                </pt>
                <pt idx="104">
                  <v>-0.1379310344827586</v>
                </pt>
                <pt idx="105">
                  <v>-0.1596638655462185</v>
                </pt>
                <pt idx="106">
                  <v>-0.2</v>
                </pt>
                <pt idx="107">
                  <v>-0.2125984251968505</v>
                </pt>
                <pt idx="108">
                  <v>-0.2</v>
                </pt>
                <pt idx="109">
                  <v>-0.2</v>
                </pt>
                <pt idx="110">
                  <v>-0.1735537190082644</v>
                </pt>
                <pt idx="111">
                  <v>-0.1935483870967741</v>
                </pt>
                <pt idx="112">
                  <v>-0.1869918699186992</v>
                </pt>
                <pt idx="113">
                  <v>-0.180327868852459</v>
                </pt>
                <pt idx="114">
                  <v>-0.1596638655462185</v>
                </pt>
                <pt idx="115">
                  <v>-0.1150442477876106</v>
                </pt>
                <pt idx="116">
                  <v>-0.1452991452991452</v>
                </pt>
                <pt idx="117">
                  <v>-0.1452991452991452</v>
                </pt>
                <pt idx="118">
                  <v>-0.1596638655462185</v>
                </pt>
                <pt idx="119">
                  <v>-0.1666666666666666</v>
                </pt>
                <pt idx="120">
                  <v>-0.1596638655462185</v>
                </pt>
                <pt idx="121">
                  <v>-0.1596638655462185</v>
                </pt>
                <pt idx="122">
                  <v>-0.2248062015503877</v>
                </pt>
                <pt idx="123">
                  <v>-0.2248062015503877</v>
                </pt>
                <pt idx="124">
                  <v>-0.1869918699186992</v>
                </pt>
                <pt idx="125">
                  <v>-0.2481203007518797</v>
                </pt>
                <pt idx="126">
                  <v>-0.2481203007518797</v>
                </pt>
                <pt idx="127">
                  <v>-0.21875</v>
                </pt>
                <pt idx="128">
                  <v>-0.2248062015503877</v>
                </pt>
                <pt idx="129">
                  <v>-0.1735537190082644</v>
                </pt>
                <pt idx="130">
                  <v>-0.1666666666666666</v>
                </pt>
                <pt idx="131">
                  <v>-0.1525423728813559</v>
                </pt>
                <pt idx="132">
                  <v>-0.1666666666666666</v>
                </pt>
                <pt idx="133">
                  <v>-0.2063492063492064</v>
                </pt>
                <pt idx="134">
                  <v>-0.1596638655462185</v>
                </pt>
                <pt idx="135">
                  <v>-0.1666666666666666</v>
                </pt>
                <pt idx="136">
                  <v>-0.1379310344827586</v>
                </pt>
                <pt idx="137">
                  <v>-0.1304347826086956</v>
                </pt>
                <pt idx="138">
                  <v>-0.1735537190082644</v>
                </pt>
                <pt idx="139">
                  <v>-0.1735537190082644</v>
                </pt>
                <pt idx="140">
                  <v>-0.1379310344827586</v>
                </pt>
                <pt idx="141">
                  <v>-0.1228070175438596</v>
                </pt>
                <pt idx="142">
                  <v>-0.1596638655462185</v>
                </pt>
                <pt idx="143">
                  <v>-0.1379310344827586</v>
                </pt>
                <pt idx="144">
                  <v>-0.1666666666666666</v>
                </pt>
                <pt idx="145">
                  <v>-0.1596638655462185</v>
                </pt>
                <pt idx="146">
                  <v>-0.1304347826086956</v>
                </pt>
                <pt idx="147">
                  <v>-0.1452991452991452</v>
                </pt>
                <pt idx="148">
                  <v>-0.1596638655462185</v>
                </pt>
                <pt idx="149">
                  <v>-0.1735537190082644</v>
                </pt>
                <pt idx="150">
                  <v>-0.1735537190082644</v>
                </pt>
                <pt idx="151">
                  <v>-0.1869918699186992</v>
                </pt>
                <pt idx="152">
                  <v>-0.1869918699186992</v>
                </pt>
                <pt idx="153">
                  <v>-0.2248062015503877</v>
                </pt>
                <pt idx="154">
                  <v>-0.2481203007518797</v>
                </pt>
                <pt idx="155">
                  <v>-0.2481203007518797</v>
                </pt>
                <pt idx="156">
                  <v>-0.2753623188405796</v>
                </pt>
                <pt idx="157">
                  <v>-0.2537313432835822</v>
                </pt>
                <pt idx="158">
                  <v>-0.2481203007518797</v>
                </pt>
                <pt idx="159">
                  <v>-0.2307692307692308</v>
                </pt>
                <pt idx="160">
                  <v>-0.1869918699186992</v>
                </pt>
                <pt idx="161">
                  <v>-0.2248062015503877</v>
                </pt>
                <pt idx="162">
                  <v>-0.21875</v>
                </pt>
                <pt idx="163">
                  <v>-0.2125984251968505</v>
                </pt>
                <pt idx="164">
                  <v>-0.2063492063492064</v>
                </pt>
                <pt idx="165">
                  <v>-0.2248062015503877</v>
                </pt>
                <pt idx="166">
                  <v>-0.2481203007518797</v>
                </pt>
                <pt idx="167">
                  <v>-0.2592592592592593</v>
                </pt>
                <pt idx="168">
                  <v>-0.2481203007518797</v>
                </pt>
                <pt idx="169">
                  <v>-0.2481203007518797</v>
                </pt>
                <pt idx="170">
                  <v>-0.2753623188405796</v>
                </pt>
                <pt idx="171">
                  <v>-0.2647058823529412</v>
                </pt>
                <pt idx="172">
                  <v>-0.2700729927007299</v>
                </pt>
                <pt idx="173">
                  <v>-0.2907801418439716</v>
                </pt>
                <pt idx="174">
                  <v>-0.3055555555555556</v>
                </pt>
                <pt idx="175">
                  <v>-0.3506493506493507</v>
                </pt>
                <pt idx="176">
                  <v>-0.375</v>
                </pt>
                <pt idx="177">
                  <v>-0.3865030674846626</v>
                </pt>
                <pt idx="178">
                  <v>-0.3630573248407644</v>
                </pt>
                <pt idx="179">
                  <v>-0.3197278911564626</v>
                </pt>
                <pt idx="180">
                  <v>-0.3055555555555556</v>
                </pt>
                <pt idx="181">
                  <v>-0.3288590604026845</v>
                </pt>
                <pt idx="182">
                  <v>-0.315068493150685</v>
                </pt>
                <pt idx="183">
                  <v>-0.2957746478873239</v>
                </pt>
                <pt idx="184">
                  <v>-0.2753623188405796</v>
                </pt>
                <pt idx="185">
                  <v>-0.2957746478873239</v>
                </pt>
                <pt idx="186">
                  <v>-0.3243243243243243</v>
                </pt>
                <pt idx="187">
                  <v>-0.3103448275862069</v>
                </pt>
                <pt idx="188">
                  <v>-0.3006993006993006</v>
                </pt>
                <pt idx="189">
                  <v>-0.2753623188405796</v>
                </pt>
                <pt idx="190">
                  <v>-0.2424242424242424</v>
                </pt>
                <pt idx="191">
                  <v>-0.2063492063492064</v>
                </pt>
                <pt idx="192">
                  <v>-0.2248062015503877</v>
                </pt>
                <pt idx="193">
                  <v>-0.2366412213740459</v>
                </pt>
                <pt idx="194">
                  <v>-0.2307692307692308</v>
                </pt>
                <pt idx="195">
                  <v>-0.2307692307692308</v>
                </pt>
                <pt idx="196">
                  <v>-0.2307692307692308</v>
                </pt>
                <pt idx="197">
                  <v>-0.2424242424242424</v>
                </pt>
                <pt idx="198">
                  <v>-0.2424242424242424</v>
                </pt>
                <pt idx="199">
                  <v>-0.2307692307692308</v>
                </pt>
                <pt idx="200">
                  <v>-0.21875</v>
                </pt>
                <pt idx="201">
                  <v>-0.2248062015503877</v>
                </pt>
                <pt idx="202">
                  <v>-0.21875</v>
                </pt>
                <pt idx="203">
                  <v>-0.2248062015503877</v>
                </pt>
                <pt idx="204">
                  <v>-0.1935483870967741</v>
                </pt>
                <pt idx="205">
                  <v>-0.1666666666666666</v>
                </pt>
                <pt idx="206">
                  <v>-0.180327868852459</v>
                </pt>
                <pt idx="207">
                  <v>-0.1869918699186992</v>
                </pt>
                <pt idx="208">
                  <v>-0.2125984251968505</v>
                </pt>
                <pt idx="209">
                  <v>-0.1869918699186992</v>
                </pt>
                <pt idx="210">
                  <v>-0.180327868852459</v>
                </pt>
                <pt idx="211">
                  <v>-0.180327868852459</v>
                </pt>
                <pt idx="212">
                  <v>-0.2125984251968505</v>
                </pt>
                <pt idx="213">
                  <v>-0.1525423728813559</v>
                </pt>
                <pt idx="214">
                  <v>-0.2063492063492064</v>
                </pt>
                <pt idx="215">
                  <v>-0.2248062015503877</v>
                </pt>
                <pt idx="216">
                  <v>-0.2063492063492064</v>
                </pt>
                <pt idx="217">
                  <v>-0.2307692307692308</v>
                </pt>
                <pt idx="218">
                  <v>-0.2125984251968505</v>
                </pt>
                <pt idx="219">
                  <v>-0.2366412213740459</v>
                </pt>
                <pt idx="220">
                  <v>-0.2753623188405796</v>
                </pt>
                <pt idx="221">
                  <v>-0.2857142857142857</v>
                </pt>
                <pt idx="222">
                  <v>-0.2857142857142857</v>
                </pt>
                <pt idx="223">
                  <v>-0.2700729927007299</v>
                </pt>
                <pt idx="224">
                  <v>-0.2537313432835822</v>
                </pt>
                <pt idx="225">
                  <v>-0.2481203007518797</v>
                </pt>
                <pt idx="226">
                  <v>-0.2592592592592593</v>
                </pt>
                <pt idx="227">
                  <v>-0.2424242424242424</v>
                </pt>
                <pt idx="228">
                  <v>-0.2366412213740459</v>
                </pt>
                <pt idx="229">
                  <v>-0.2248062015503877</v>
                </pt>
                <pt idx="230">
                  <v>-0.2537313432835822</v>
                </pt>
                <pt idx="231">
                  <v>-0.3103448275862069</v>
                </pt>
                <pt idx="232">
                  <v>-0.2248062015503877</v>
                </pt>
                <pt idx="233">
                  <v>-0.2307692307692308</v>
                </pt>
                <pt idx="234">
                  <v>-0.2307692307692308</v>
                </pt>
                <pt idx="235">
                  <v>-0.2307692307692308</v>
                </pt>
                <pt idx="236">
                  <v>-0.2307692307692308</v>
                </pt>
                <pt idx="237">
                  <v>-0.2307692307692308</v>
                </pt>
                <pt idx="238">
                  <v>-0.2307692307692308</v>
                </pt>
                <pt idx="239">
                  <v>-0.2307692307692308</v>
                </pt>
                <pt idx="240">
                  <v>-0.2307692307692308</v>
                </pt>
                <pt idx="241">
                  <v>-0.2307692307692308</v>
                </pt>
                <pt idx="242">
                  <v>-0.2307692307692308</v>
                </pt>
                <pt idx="243">
                  <v>-0.2307692307692308</v>
                </pt>
                <pt idx="244">
                  <v>-0.2307692307692308</v>
                </pt>
                <pt idx="245">
                  <v>-0.2307692307692308</v>
                </pt>
                <pt idx="246">
                  <v>-0.2307692307692308</v>
                </pt>
                <pt idx="247">
                  <v>-0.2307692307692308</v>
                </pt>
                <pt idx="248">
                  <v>-0.2307692307692308</v>
                </pt>
                <pt idx="249">
                  <v>-0.2307692307692308</v>
                </pt>
                <pt idx="250">
                  <v>-0.2366412213740459</v>
                </pt>
                <pt idx="251">
                  <v>-0.2366412213740459</v>
                </pt>
                <pt idx="252">
                  <v>-0.2366412213740459</v>
                </pt>
                <pt idx="253">
                  <v>-0.2366412213740459</v>
                </pt>
                <pt idx="254">
                  <v>-0.2366412213740459</v>
                </pt>
                <pt idx="255">
                  <v>-0.2366412213740459</v>
                </pt>
                <pt idx="256">
                  <v>-0.2366412213740459</v>
                </pt>
                <pt idx="257">
                  <v>-0.2366412213740459</v>
                </pt>
                <pt idx="258">
                  <v>-0.2366412213740459</v>
                </pt>
                <pt idx="259">
                  <v>-0.2366412213740459</v>
                </pt>
                <pt idx="260">
                  <v>-0.2366412213740459</v>
                </pt>
                <pt idx="261">
                  <v>-0.2366412213740459</v>
                </pt>
                <pt idx="262">
                  <v>-0.2366412213740459</v>
                </pt>
                <pt idx="263">
                  <v>-0.00990099009900991</v>
                </pt>
                <pt idx="264">
                  <v>-0.00990099009900991</v>
                </pt>
                <pt idx="265">
                  <v>-0.09090909090909094</v>
                </pt>
                <pt idx="266">
                  <v>-0.1452991452991452</v>
                </pt>
                <pt idx="267">
                  <v>-0.1525423728813559</v>
                </pt>
                <pt idx="268">
                  <v>-0.2125984251968505</v>
                </pt>
                <pt idx="269">
                  <v>-0.2366412213740459</v>
                </pt>
                <pt idx="270">
                  <v>-0.2753623188405796</v>
                </pt>
                <pt idx="271">
                  <v>-0.3333333333333334</v>
                </pt>
                <pt idx="272">
                  <v>-0.2857142857142857</v>
                </pt>
                <pt idx="273">
                  <v>-0.1935483870967741</v>
                </pt>
                <pt idx="274">
                  <v>-0.2307692307692308</v>
                </pt>
                <pt idx="275">
                  <v>-0.2366412213740459</v>
                </pt>
                <pt idx="276">
                  <v>-0.2424242424242424</v>
                </pt>
                <pt idx="277">
                  <v>-0.2647058823529412</v>
                </pt>
                <pt idx="278">
                  <v>-0.3377483443708609</v>
                </pt>
                <pt idx="279">
                  <v>-0.315068493150685</v>
                </pt>
                <pt idx="280">
                  <v>-0.315068493150685</v>
                </pt>
                <pt idx="281">
                  <v>-0.3197278911564626</v>
                </pt>
                <pt idx="282">
                  <v>-0.3333333333333334</v>
                </pt>
                <pt idx="283">
                  <v>-0.3103448275862069</v>
                </pt>
                <pt idx="284">
                  <v>-0.3103448275862069</v>
                </pt>
                <pt idx="285">
                  <v>-0.3006993006993006</v>
                </pt>
                <pt idx="286">
                  <v>-0.2647058823529412</v>
                </pt>
                <pt idx="287">
                  <v>-0.2537313432835822</v>
                </pt>
                <pt idx="288">
                  <v>-0.2366412213740459</v>
                </pt>
                <pt idx="289">
                  <v>-0.2647058823529412</v>
                </pt>
                <pt idx="290">
                  <v>-0.21875</v>
                </pt>
                <pt idx="291">
                  <v>-0.2366412213740459</v>
                </pt>
                <pt idx="292">
                  <v>-0.2366412213740459</v>
                </pt>
                <pt idx="293">
                  <v>-0.2063492063492064</v>
                </pt>
                <pt idx="294">
                  <v>-0.1735537190082644</v>
                </pt>
                <pt idx="295">
                  <v>-0.2537313432835822</v>
                </pt>
                <pt idx="296">
                  <v>-0.2424242424242424</v>
                </pt>
                <pt idx="297">
                  <v>-0.2481203007518797</v>
                </pt>
                <pt idx="298">
                  <v>-0.2957746478873239</v>
                </pt>
                <pt idx="299">
                  <v>-0.3243243243243243</v>
                </pt>
                <pt idx="300">
                  <v>-0.358974358974359</v>
                </pt>
                <pt idx="301">
                  <v>-0.358974358974359</v>
                </pt>
                <pt idx="302">
                  <v>-0.358974358974359</v>
                </pt>
                <pt idx="303">
                  <v>-0.358974358974359</v>
                </pt>
                <pt idx="304">
                  <v>-0.315068493150685</v>
                </pt>
                <pt idx="305">
                  <v>-0.4011976047904191</v>
                </pt>
                <pt idx="306">
                  <v>-0.4219653179190751</v>
                </pt>
                <pt idx="307">
                  <v>-0.3975903614457831</v>
                </pt>
                <pt idx="308">
                  <v>-0.4047619047619048</v>
                </pt>
                <pt idx="309">
                  <v>-0.4219653179190751</v>
                </pt>
                <pt idx="310">
                  <v>-0.4413407821229051</v>
                </pt>
                <pt idx="311">
                  <v>-0.4252873563218391</v>
                </pt>
                <pt idx="312">
                  <v>-0.4505494505494506</v>
                </pt>
                <pt idx="313">
                  <v>-0.4475138121546961</v>
                </pt>
                <pt idx="314">
                  <v>-0.4382022471910112</v>
                </pt>
                <pt idx="315">
                  <v>-0.4350282485875706</v>
                </pt>
                <pt idx="316">
                  <v>-0.4011976047904191</v>
                </pt>
                <pt idx="317">
                  <v>-0.3827160493827161</v>
                </pt>
                <pt idx="318">
                  <v>-0.3902439024390244</v>
                </pt>
                <pt idx="319">
                  <v>-0.3788819875776398</v>
                </pt>
                <pt idx="320">
                  <v>-0.358974358974359</v>
                </pt>
                <pt idx="321">
                  <v>-0.3506493506493507</v>
                </pt>
                <pt idx="322">
                  <v>-0.3377483443708609</v>
                </pt>
                <pt idx="323">
                  <v>-0.3243243243243243</v>
                </pt>
                <pt idx="324">
                  <v>-0.2957746478873239</v>
                </pt>
                <pt idx="325">
                  <v>-0.3288590604026845</v>
                </pt>
                <pt idx="326">
                  <v>-0.3506493506493507</v>
                </pt>
                <pt idx="327">
                  <v>-0.3464052287581699</v>
                </pt>
                <pt idx="328">
                  <v>-0.3333333333333334</v>
                </pt>
                <pt idx="329">
                  <v>-0.3548387096774194</v>
                </pt>
                <pt idx="330">
                  <v>-0.3464052287581699</v>
                </pt>
                <pt idx="331">
                  <v>-0.3464052287581699</v>
                </pt>
                <pt idx="332">
                  <v>-0.3006993006993006</v>
                </pt>
                <pt idx="333">
                  <v>-0.3670886075949368</v>
                </pt>
                <pt idx="334">
                  <v>-0.3670886075949368</v>
                </pt>
                <pt idx="335">
                  <v>-0.3333333333333334</v>
                </pt>
                <pt idx="336">
                  <v>-0.3548387096774194</v>
                </pt>
                <pt idx="337">
                  <v>-0.3788819875776398</v>
                </pt>
                <pt idx="338">
                  <v>-0.3103448275862069</v>
                </pt>
                <pt idx="339">
                  <v>-0.3333333333333334</v>
                </pt>
                <pt idx="340">
                  <v>-0.3670886075949368</v>
                </pt>
                <pt idx="341">
                  <v>-0.3506493506493507</v>
                </pt>
                <pt idx="342">
                  <v>-0.3710691823899371</v>
                </pt>
                <pt idx="343">
                  <v>-0.4152046783625731</v>
                </pt>
                <pt idx="344">
                  <v>-0.4219653179190751</v>
                </pt>
                <pt idx="345">
                  <v>-0.4186046511627907</v>
                </pt>
                <pt idx="346">
                  <v>-0.375</v>
                </pt>
                <pt idx="347">
                  <v>-0.4186046511627907</v>
                </pt>
                <pt idx="348">
                  <v>-0.4764397905759162</v>
                </pt>
                <pt idx="349">
                  <v>-0.4764397905759162</v>
                </pt>
                <pt idx="350">
                  <v>-0.4382022471910112</v>
                </pt>
                <pt idx="351">
                  <v>-0.3865030674846626</v>
                </pt>
                <pt idx="352">
                  <v>-0.3377483443708609</v>
                </pt>
                <pt idx="353">
                  <v>-0.3670886075949368</v>
                </pt>
                <pt idx="354">
                  <v>-0.3865030674846626</v>
                </pt>
                <pt idx="355">
                  <v>-0.375</v>
                </pt>
                <pt idx="356">
                  <v>-0.3630573248407644</v>
                </pt>
                <pt idx="357">
                  <v>-0.3377483443708609</v>
                </pt>
                <pt idx="358">
                  <v>-0.3377483443708609</v>
                </pt>
                <pt idx="359">
                  <v>-0.3197278911564626</v>
                </pt>
                <pt idx="360">
                  <v>-0.3055555555555556</v>
                </pt>
                <pt idx="361">
                  <v>-0.2</v>
                </pt>
                <pt idx="362">
                  <v>-0.2424242424242424</v>
                </pt>
                <pt idx="363">
                  <v>-0.2592592592592593</v>
                </pt>
                <pt idx="364">
                  <v>-0.21875</v>
                </pt>
                <pt idx="365">
                  <v>-0.2592592592592593</v>
                </pt>
                <pt idx="366">
                  <v>-0.2592592592592593</v>
                </pt>
                <pt idx="367">
                  <v>-0.2366412213740459</v>
                </pt>
                <pt idx="368">
                  <v>-0.2</v>
                </pt>
                <pt idx="369">
                  <v>-0.1869918699186992</v>
                </pt>
                <pt idx="370">
                  <v>-0.2063492063492064</v>
                </pt>
                <pt idx="371">
                  <v>-0.21875</v>
                </pt>
                <pt idx="372">
                  <v>-0.2063492063492064</v>
                </pt>
                <pt idx="373">
                  <v>-0.2424242424242424</v>
                </pt>
                <pt idx="374">
                  <v>-0.2592592592592593</v>
                </pt>
                <pt idx="375">
                  <v>-0.2366412213740459</v>
                </pt>
                <pt idx="376">
                  <v>-0.2647058823529412</v>
                </pt>
                <pt idx="377">
                  <v>-0.2805755395683452</v>
                </pt>
                <pt idx="378">
                  <v>-0.2957746478873239</v>
                </pt>
                <pt idx="379">
                  <v>-0.2753623188405796</v>
                </pt>
                <pt idx="380">
                  <v>-0.2857142857142857</v>
                </pt>
                <pt idx="381">
                  <v>-0.2957746478873239</v>
                </pt>
                <pt idx="382">
                  <v>-0.3197278911564626</v>
                </pt>
                <pt idx="383">
                  <v>-0.3377483443708609</v>
                </pt>
                <pt idx="384">
                  <v>-0.3464052287581699</v>
                </pt>
                <pt idx="385">
                  <v>-0.375</v>
                </pt>
                <pt idx="386">
                  <v>-0.3865030674846626</v>
                </pt>
                <pt idx="387">
                  <v>-0.4117647058823529</v>
                </pt>
                <pt idx="388">
                  <v>-0.3788819875776398</v>
                </pt>
                <pt idx="389">
                  <v>-0.3548387096774194</v>
                </pt>
                <pt idx="390">
                  <v>-0.3865030674846626</v>
                </pt>
                <pt idx="391">
                  <v>-0.408284023668639</v>
                </pt>
                <pt idx="392">
                  <v>-0.3630573248407644</v>
                </pt>
                <pt idx="393">
                  <v>-0.358974358974359</v>
                </pt>
                <pt idx="394">
                  <v>-0.3421052631578947</v>
                </pt>
                <pt idx="395">
                  <v>-0.3197278911564626</v>
                </pt>
                <pt idx="396">
                  <v>-0.2700729927007299</v>
                </pt>
                <pt idx="397">
                  <v>-0.3006993006993006</v>
                </pt>
                <pt idx="398">
                  <v>-0.2307692307692308</v>
                </pt>
                <pt idx="399">
                  <v>-0.2481203007518797</v>
                </pt>
                <pt idx="400">
                  <v>-0.2907801418439716</v>
                </pt>
                <pt idx="401">
                  <v>-0.2647058823529412</v>
                </pt>
                <pt idx="402">
                  <v>-0.3288590604026845</v>
                </pt>
                <pt idx="403">
                  <v>-0.3197278911564626</v>
                </pt>
                <pt idx="404">
                  <v>-0.2857142857142857</v>
                </pt>
                <pt idx="405">
                  <v>-0.2957746478873239</v>
                </pt>
                <pt idx="406">
                  <v>-0.3464052287581699</v>
                </pt>
                <pt idx="407">
                  <v>-0.2957746478873239</v>
                </pt>
                <pt idx="408">
                  <v>-0.3421052631578947</v>
                </pt>
                <pt idx="409">
                  <v>-0.3288590604026845</v>
                </pt>
                <pt idx="410">
                  <v>-0.3548387096774194</v>
                </pt>
                <pt idx="411">
                  <v>-0.3865030674846626</v>
                </pt>
                <pt idx="412">
                  <v>-0.358974358974359</v>
                </pt>
                <pt idx="413">
                  <v>-0.3506493506493507</v>
                </pt>
                <pt idx="414">
                  <v>-0.3333333333333334</v>
                </pt>
                <pt idx="415">
                  <v>-0.3288590604026845</v>
                </pt>
                <pt idx="416">
                  <v>-0.315068493150685</v>
                </pt>
                <pt idx="417">
                  <v>-0.3055555555555556</v>
                </pt>
                <pt idx="418">
                  <v>-0.3055555555555556</v>
                </pt>
                <pt idx="419">
                  <v>-0.2700729927007299</v>
                </pt>
                <pt idx="420">
                  <v>-0.2700729927007299</v>
                </pt>
                <pt idx="421">
                  <v>-0.2248062015503877</v>
                </pt>
                <pt idx="422">
                  <v>-0.1735537190082644</v>
                </pt>
                <pt idx="423">
                  <v>-0.1379310344827586</v>
                </pt>
                <pt idx="424">
                  <v>-0.1596638655462185</v>
                </pt>
                <pt idx="425">
                  <v>-0.1596638655462185</v>
                </pt>
                <pt idx="426">
                  <v>-0.1379310344827586</v>
                </pt>
                <pt idx="427">
                  <v>-0.1228070175438596</v>
                </pt>
                <pt idx="428">
                  <v>-0.1596638655462185</v>
                </pt>
                <pt idx="429">
                  <v>-0.1379310344827586</v>
                </pt>
                <pt idx="430">
                  <v>-0.1525423728813559</v>
                </pt>
                <pt idx="431">
                  <v>-0.1304347826086956</v>
                </pt>
                <pt idx="432">
                  <v>-0.1304347826086956</v>
                </pt>
                <pt idx="433">
                  <v>-0.1304347826086956</v>
                </pt>
                <pt idx="434">
                  <v>-0.1525423728813559</v>
                </pt>
                <pt idx="435">
                  <v>-0.2063492063492064</v>
                </pt>
                <pt idx="436">
                  <v>-0.1304347826086956</v>
                </pt>
                <pt idx="437">
                  <v>-0.07407407407407418</v>
                </pt>
                <pt idx="438">
                  <v>-0.1071428571428572</v>
                </pt>
                <pt idx="439">
                  <v>-0.1071428571428572</v>
                </pt>
                <pt idx="440">
                  <v>-0.1071428571428572</v>
                </pt>
                <pt idx="441">
                  <v>-0.09090909090909094</v>
                </pt>
                <pt idx="442">
                  <v>-0.07407407407407418</v>
                </pt>
                <pt idx="443">
                  <v>-0.1228070175438596</v>
                </pt>
                <pt idx="444">
                  <v>-0.1150442477876106</v>
                </pt>
                <pt idx="445">
                  <v>-0.05660377358490576</v>
                </pt>
                <pt idx="446">
                  <v>-0.06542056074766356</v>
                </pt>
                <pt idx="447">
                  <v>-0.1071428571428572</v>
                </pt>
                <pt idx="448">
                  <v>-0.09090909090909094</v>
                </pt>
                <pt idx="449">
                  <v>-0.1150442477876106</v>
                </pt>
                <pt idx="450">
                  <v>-0.1228070175438596</v>
                </pt>
                <pt idx="451">
                  <v>-0.1379310344827586</v>
                </pt>
                <pt idx="452">
                  <v>-0.1304347826086956</v>
                </pt>
                <pt idx="453">
                  <v>-0.2248062015503877</v>
                </pt>
                <pt idx="454">
                  <v>-0.2647058823529412</v>
                </pt>
                <pt idx="455">
                  <v>-0.3464052287581699</v>
                </pt>
                <pt idx="456">
                  <v>-0.358974358974359</v>
                </pt>
                <pt idx="457">
                  <v>-0.3288590604026845</v>
                </pt>
                <pt idx="458">
                  <v>-0.2481203007518797</v>
                </pt>
                <pt idx="459">
                  <v>-0.2424242424242424</v>
                </pt>
                <pt idx="460">
                  <v>-0.2063492063492064</v>
                </pt>
                <pt idx="461">
                  <v>-0.1525423728813559</v>
                </pt>
                <pt idx="462">
                  <v>-0.1452991452991452</v>
                </pt>
                <pt idx="463">
                  <v>-0.0825688073394496</v>
                </pt>
                <pt idx="464">
                  <v>-0.1304347826086956</v>
                </pt>
                <pt idx="465">
                  <v>-0.1379310344827586</v>
                </pt>
                <pt idx="466">
                  <v>-0.1452991452991452</v>
                </pt>
                <pt idx="467">
                  <v>-0.1452991452991452</v>
                </pt>
                <pt idx="468">
                  <v>-0.1735537190082644</v>
                </pt>
                <pt idx="469">
                  <v>-0.1935483870967741</v>
                </pt>
                <pt idx="470">
                  <v>-0.2248062015503877</v>
                </pt>
                <pt idx="471">
                  <v>-0.2125984251968505</v>
                </pt>
                <pt idx="472">
                  <v>-0.2592592592592593</v>
                </pt>
                <pt idx="473">
                  <v>-0.2805755395683452</v>
                </pt>
                <pt idx="474">
                  <v>-0.2647058823529412</v>
                </pt>
                <pt idx="475">
                  <v>-0.180327868852459</v>
                </pt>
                <pt idx="476">
                  <v>-0.2481203007518797</v>
                </pt>
                <pt idx="477">
                  <v>-0.2248062015503877</v>
                </pt>
                <pt idx="478">
                  <v>-0.2248062015503877</v>
                </pt>
                <pt idx="479">
                  <v>-0.2248062015503877</v>
                </pt>
                <pt idx="480">
                  <v>-0.2248062015503877</v>
                </pt>
                <pt idx="481">
                  <v>-0.3055555555555556</v>
                </pt>
                <pt idx="482">
                  <v>-0.3103448275862069</v>
                </pt>
                <pt idx="483">
                  <v>-0.3103448275862069</v>
                </pt>
                <pt idx="484">
                  <v>-0.3243243243243243</v>
                </pt>
                <pt idx="485">
                  <v>-0.315068493150685</v>
                </pt>
                <pt idx="486">
                  <v>-0.3243243243243243</v>
                </pt>
                <pt idx="487">
                  <v>-0.3333333333333334</v>
                </pt>
                <pt idx="488">
                  <v>-0.358974358974359</v>
                </pt>
                <pt idx="489">
                  <v>-0.3902439024390244</v>
                </pt>
                <pt idx="490">
                  <v>-0.3902439024390244</v>
                </pt>
                <pt idx="491">
                  <v>-0.4382022471910112</v>
                </pt>
                <pt idx="492">
                  <v>-0.4444444444444444</v>
                </pt>
                <pt idx="493">
                  <v>-0.4382022471910112</v>
                </pt>
                <pt idx="494">
                  <v>-0.4413407821229051</v>
                </pt>
                <pt idx="495">
                  <v>-0.4764397905759162</v>
                </pt>
                <pt idx="496">
                  <v>-0.5098039215686274</v>
                </pt>
                <pt idx="497">
                  <v>-0.4949494949494949</v>
                </pt>
                <pt idx="498">
                  <v>-0.5169082125603864</v>
                </pt>
                <pt idx="499">
                  <v>-0.5305164319248826</v>
                </pt>
                <pt idx="500">
                  <v>-0.5024875621890547</v>
                </pt>
                <pt idx="501">
                  <v>-0.5</v>
                </pt>
                <pt idx="502">
                  <v>-0.5238095238095238</v>
                </pt>
                <pt idx="503">
                  <v>-0.5215311004784688</v>
                </pt>
                <pt idx="504">
                  <v>-0.4736842105263158</v>
                </pt>
                <pt idx="505">
                  <v>-0.4505494505494506</v>
                </pt>
                <pt idx="506">
                  <v>-0.4475138121546961</v>
                </pt>
                <pt idx="507">
                  <v>-0.4252873563218391</v>
                </pt>
                <pt idx="508">
                  <v>-0.4444444444444444</v>
                </pt>
                <pt idx="509">
                  <v>-0.4475138121546961</v>
                </pt>
                <pt idx="510">
                  <v>-0.4736842105263158</v>
                </pt>
                <pt idx="511">
                  <v>-0.4845360824742267</v>
                </pt>
                <pt idx="512">
                  <v>-0.4845360824742267</v>
                </pt>
                <pt idx="513">
                  <v>-0.5024875621890547</v>
                </pt>
                <pt idx="514">
                  <v>-0.5169082125603864</v>
                </pt>
                <pt idx="515">
                  <v>-0.5238095238095238</v>
                </pt>
                <pt idx="516">
                  <v>-0.5024875621890547</v>
                </pt>
                <pt idx="517">
                  <v>-0.4845360824742267</v>
                </pt>
                <pt idx="518">
                  <v>-0.4818652849740932</v>
                </pt>
                <pt idx="519">
                  <v>-0.4791666666666666</v>
                </pt>
                <pt idx="520">
                  <v>-0.5</v>
                </pt>
                <pt idx="521">
                  <v>-0.5283018867924529</v>
                </pt>
                <pt idx="522">
                  <v>-0.5535714285714286</v>
                </pt>
                <pt idx="523">
                  <v>-0.5535714285714286</v>
                </pt>
                <pt idx="524">
                  <v>-0.5475113122171946</v>
                </pt>
                <pt idx="525">
                  <v>-0.5614035087719298</v>
                </pt>
                <pt idx="526">
                  <v>-0.5391705069124424</v>
                </pt>
                <pt idx="527">
                  <v>-0.5121951219512195</v>
                </pt>
                <pt idx="528">
                  <v>-0.504950495049505</v>
                </pt>
                <pt idx="529">
                  <v>-0.5073891625615763</v>
                </pt>
                <pt idx="530">
                  <v>-0.5454545454545454</v>
                </pt>
                <pt idx="531">
                  <v>-0.5475113122171946</v>
                </pt>
                <pt idx="532">
                  <v>-0.5726495726495726</v>
                </pt>
                <pt idx="533">
                  <v>-0.574468085106383</v>
                </pt>
                <pt idx="534">
                  <v>-0.5815899581589958</v>
                </pt>
                <pt idx="535">
                  <v>-0.5815899581589958</v>
                </pt>
                <pt idx="536">
                  <v>-0.5815899581589958</v>
                </pt>
                <pt idx="537">
                  <v>-0.5283018867924529</v>
                </pt>
                <pt idx="538">
                  <v>-0.5370370370370371</v>
                </pt>
                <pt idx="539">
                  <v>-0.4764397905759162</v>
                </pt>
                <pt idx="540">
                  <v>-0.4535519125683061</v>
                </pt>
                <pt idx="541">
                  <v>-0.4318181818181818</v>
                </pt>
                <pt idx="542">
                  <v>-0.375</v>
                </pt>
                <pt idx="543">
                  <v>-0.3288590604026845</v>
                </pt>
                <pt idx="544">
                  <v>-0.3939393939393939</v>
                </pt>
                <pt idx="545">
                  <v>-0.4219653179190751</v>
                </pt>
                <pt idx="546">
                  <v>-0.3506493506493507</v>
                </pt>
                <pt idx="547">
                  <v>-0.3630573248407644</v>
                </pt>
                <pt idx="548">
                  <v>-0.3827160493827161</v>
                </pt>
                <pt idx="549">
                  <v>-0.3939393939393939</v>
                </pt>
                <pt idx="550">
                  <v>-0.3865030674846626</v>
                </pt>
                <pt idx="551">
                  <v>-0.3670886075949368</v>
                </pt>
                <pt idx="552">
                  <v>-0.3865030674846626</v>
                </pt>
                <pt idx="553">
                  <v>-0.3197278911564626</v>
                </pt>
                <pt idx="554">
                  <v>-0.315068493150685</v>
                </pt>
                <pt idx="555">
                  <v>-0.2957746478873239</v>
                </pt>
                <pt idx="556">
                  <v>-0.2957746478873239</v>
                </pt>
                <pt idx="557">
                  <v>-0.2805755395683452</v>
                </pt>
                <pt idx="558">
                  <v>-0.2753623188405796</v>
                </pt>
                <pt idx="559">
                  <v>-0.2907801418439716</v>
                </pt>
                <pt idx="560">
                  <v>-0.2700729927007299</v>
                </pt>
                <pt idx="561">
                  <v>-0.2907801418439716</v>
                </pt>
                <pt idx="562">
                  <v>-0.3506493506493507</v>
                </pt>
                <pt idx="563">
                  <v>-0.3710691823899371</v>
                </pt>
                <pt idx="564">
                  <v>-0.3421052631578947</v>
                </pt>
                <pt idx="565">
                  <v>-0.3630573248407644</v>
                </pt>
                <pt idx="566">
                  <v>-0.3865030674846626</v>
                </pt>
                <pt idx="567">
                  <v>-0.3902439024390244</v>
                </pt>
                <pt idx="568">
                  <v>-0.3902439024390244</v>
                </pt>
                <pt idx="569">
                  <v>-0.4011976047904191</v>
                </pt>
                <pt idx="570">
                  <v>-0.4011976047904191</v>
                </pt>
                <pt idx="571">
                  <v>-0.4011976047904191</v>
                </pt>
                <pt idx="572">
                  <v>-0.4871794871794871</v>
                </pt>
                <pt idx="573">
                  <v>-0.4505494505494506</v>
                </pt>
                <pt idx="574">
                  <v>-0.4252873563218391</v>
                </pt>
                <pt idx="575">
                  <v>-0.3506493506493507</v>
                </pt>
                <pt idx="576">
                  <v>-0.3288590604026845</v>
                </pt>
                <pt idx="577">
                  <v>-0.2647058823529412</v>
                </pt>
                <pt idx="578">
                  <v>-0.2907801418439716</v>
                </pt>
                <pt idx="579">
                  <v>-0.3103448275862069</v>
                </pt>
                <pt idx="580">
                  <v>-0.315068493150685</v>
                </pt>
                <pt idx="581">
                  <v>-0.3243243243243243</v>
                </pt>
                <pt idx="582">
                  <v>-0.2753623188405796</v>
                </pt>
                <pt idx="583">
                  <v>-0.3103448275862069</v>
                </pt>
                <pt idx="584">
                  <v>-0.3288590604026845</v>
                </pt>
                <pt idx="585">
                  <v>-0.3288590604026845</v>
                </pt>
                <pt idx="586">
                  <v>-0.3377483443708609</v>
                </pt>
                <pt idx="587">
                  <v>-0.3333333333333334</v>
                </pt>
                <pt idx="588">
                  <v>-0.3006993006993006</v>
                </pt>
                <pt idx="589">
                  <v>-0.2957746478873239</v>
                </pt>
                <pt idx="590">
                  <v>-0.3197278911564626</v>
                </pt>
                <pt idx="591">
                  <v>-0.358974358974359</v>
                </pt>
                <pt idx="592">
                  <v>-0.2805755395683452</v>
                </pt>
                <pt idx="593">
                  <v>-0.1935483870967741</v>
                </pt>
                <pt idx="594">
                  <v>-0.1869918699186992</v>
                </pt>
                <pt idx="595">
                  <v>-0.1304347826086956</v>
                </pt>
                <pt idx="596">
                  <v>-0.2125984251968505</v>
                </pt>
                <pt idx="597">
                  <v>-0.2125984251968505</v>
                </pt>
                <pt idx="598">
                  <v>-0.2647058823529412</v>
                </pt>
                <pt idx="599">
                  <v>-0.3333333333333334</v>
                </pt>
                <pt idx="600">
                  <v>-0.3288590604026845</v>
                </pt>
                <pt idx="601">
                  <v>-0.3197278911564626</v>
                </pt>
                <pt idx="602">
                  <v>-0.3243243243243243</v>
                </pt>
                <pt idx="603">
                  <v>-0.3243243243243243</v>
                </pt>
                <pt idx="604">
                  <v>-0.3333333333333334</v>
                </pt>
                <pt idx="605">
                  <v>-0.3865030674846626</v>
                </pt>
                <pt idx="606">
                  <v>-0.3333333333333334</v>
                </pt>
                <pt idx="607">
                  <v>-0.3464052287581699</v>
                </pt>
                <pt idx="608">
                  <v>-0.3506493506493507</v>
                </pt>
                <pt idx="609">
                  <v>-0.358974358974359</v>
                </pt>
                <pt idx="610">
                  <v>-0.3464052287581699</v>
                </pt>
                <pt idx="611">
                  <v>-0.3197278911564626</v>
                </pt>
                <pt idx="612">
                  <v>-0.3421052631578947</v>
                </pt>
                <pt idx="613">
                  <v>-0.3288590604026845</v>
                </pt>
                <pt idx="614">
                  <v>-0.2907801418439716</v>
                </pt>
                <pt idx="615">
                  <v>-0.2481203007518797</v>
                </pt>
                <pt idx="616">
                  <v>-0.2753623188405796</v>
                </pt>
                <pt idx="617">
                  <v>-0.2700729927007299</v>
                </pt>
                <pt idx="618">
                  <v>-0.2424242424242424</v>
                </pt>
                <pt idx="619">
                  <v>-0.2481203007518797</v>
                </pt>
                <pt idx="620">
                  <v>-0.2125984251968505</v>
                </pt>
                <pt idx="621">
                  <v>-0.2424242424242424</v>
                </pt>
                <pt idx="622">
                  <v>-0.2307692307692308</v>
                </pt>
                <pt idx="623">
                  <v>-0.21875</v>
                </pt>
                <pt idx="624">
                  <v>-0.1935483870967741</v>
                </pt>
                <pt idx="625">
                  <v>-0.2125984251968505</v>
                </pt>
                <pt idx="626">
                  <v>-0.2125984251968505</v>
                </pt>
                <pt idx="627">
                  <v>-0.2307692307692308</v>
                </pt>
                <pt idx="628">
                  <v>-0.2307692307692308</v>
                </pt>
                <pt idx="629">
                  <v>-0.2307692307692308</v>
                </pt>
                <pt idx="630">
                  <v>-0.2366412213740459</v>
                </pt>
                <pt idx="631">
                  <v>-0.2424242424242424</v>
                </pt>
                <pt idx="632">
                  <v>-0.2248062015503877</v>
                </pt>
                <pt idx="633">
                  <v>-0.21875</v>
                </pt>
                <pt idx="634">
                  <v>-0.2</v>
                </pt>
                <pt idx="635">
                  <v>-0.1666666666666666</v>
                </pt>
                <pt idx="636">
                  <v>-0.1596638655462185</v>
                </pt>
                <pt idx="637">
                  <v>-0.1071428571428572</v>
                </pt>
                <pt idx="638">
                  <v>-0.1869918699186992</v>
                </pt>
                <pt idx="639">
                  <v>-0.2248062015503877</v>
                </pt>
                <pt idx="640">
                  <v>-0.2063492063492064</v>
                </pt>
                <pt idx="641">
                  <v>-0.2063492063492064</v>
                </pt>
                <pt idx="642">
                  <v>-0.2125984251968505</v>
                </pt>
                <pt idx="643">
                  <v>-0.2125984251968505</v>
                </pt>
                <pt idx="644">
                  <v>-0.2366412213740459</v>
                </pt>
                <pt idx="645">
                  <v>-0.1869918699186992</v>
                </pt>
                <pt idx="646">
                  <v>-0.2</v>
                </pt>
                <pt idx="647">
                  <v>-0.1935483870967741</v>
                </pt>
                <pt idx="648">
                  <v>-0.2248062015503877</v>
                </pt>
                <pt idx="649">
                  <v>-0.2248062015503877</v>
                </pt>
                <pt idx="650">
                  <v>-0.2307692307692308</v>
                </pt>
                <pt idx="651">
                  <v>-0.2307692307692308</v>
                </pt>
                <pt idx="652">
                  <v>-0.180327868852459</v>
                </pt>
                <pt idx="653">
                  <v>-0.21875</v>
                </pt>
                <pt idx="654">
                  <v>-0.2753623188405796</v>
                </pt>
                <pt idx="655">
                  <v>-0.2592592592592593</v>
                </pt>
                <pt idx="656">
                  <v>-0.2537313432835822</v>
                </pt>
                <pt idx="657">
                  <v>-0.2592592592592593</v>
                </pt>
                <pt idx="658">
                  <v>-0.2424242424242424</v>
                </pt>
                <pt idx="659">
                  <v>-0.2857142857142857</v>
                </pt>
                <pt idx="660">
                  <v>-0.2805755395683452</v>
                </pt>
                <pt idx="661">
                  <v>-0.2307692307692308</v>
                </pt>
                <pt idx="662">
                  <v>-0.2647058823529412</v>
                </pt>
                <pt idx="663">
                  <v>-0.2424242424242424</v>
                </pt>
                <pt idx="664">
                  <v>-0.2592592592592593</v>
                </pt>
                <pt idx="665">
                  <v>-0.2647058823529412</v>
                </pt>
                <pt idx="666">
                  <v>-0.2753623188405796</v>
                </pt>
                <pt idx="667">
                  <v>-0.2753623188405796</v>
                </pt>
                <pt idx="668">
                  <v>-0.2753623188405796</v>
                </pt>
                <pt idx="669">
                  <v>-0.2424242424242424</v>
                </pt>
                <pt idx="670">
                  <v>-0.2805755395683452</v>
                </pt>
                <pt idx="671">
                  <v>-0.2537313432835822</v>
                </pt>
                <pt idx="672">
                  <v>-0.2248062015503877</v>
                </pt>
                <pt idx="673">
                  <v>-0.2424242424242424</v>
                </pt>
                <pt idx="674">
                  <v>-0.2307692307692308</v>
                </pt>
                <pt idx="675">
                  <v>-0.2307692307692308</v>
                </pt>
                <pt idx="676">
                  <v>-0.2592592592592593</v>
                </pt>
                <pt idx="677">
                  <v>-0.2366412213740459</v>
                </pt>
                <pt idx="678">
                  <v>-0.2125984251968505</v>
                </pt>
                <pt idx="679">
                  <v>-0.21875</v>
                </pt>
                <pt idx="680">
                  <v>-0.2647058823529412</v>
                </pt>
                <pt idx="681">
                  <v>-0.4871794871794871</v>
                </pt>
                <pt idx="682">
                  <v>-0.4475138121546961</v>
                </pt>
                <pt idx="683">
                  <v>-0.4764397905759162</v>
                </pt>
                <pt idx="684">
                  <v>-0.358974358974359</v>
                </pt>
                <pt idx="685">
                  <v>-0.2307692307692308</v>
                </pt>
                <pt idx="686">
                  <v>-0.2366412213740459</v>
                </pt>
                <pt idx="687">
                  <v>-0.2307692307692308</v>
                </pt>
                <pt idx="688">
                  <v>-0.2366412213740459</v>
                </pt>
                <pt idx="689">
                  <v>-0.3103448275862069</v>
                </pt>
                <pt idx="690">
                  <v>-0.3006993006993006</v>
                </pt>
                <pt idx="691">
                  <v>-0.2647058823529412</v>
                </pt>
                <pt idx="692">
                  <v>-0.2753623188405796</v>
                </pt>
                <pt idx="693">
                  <v>-0.2592592592592593</v>
                </pt>
                <pt idx="694">
                  <v>-0.3197278911564626</v>
                </pt>
                <pt idx="695">
                  <v>-0.3827160493827161</v>
                </pt>
                <pt idx="696">
                  <v>-0.4505494505494506</v>
                </pt>
                <pt idx="697">
                  <v>-0.4382022471910112</v>
                </pt>
                <pt idx="698">
                  <v>-0.4350282485875706</v>
                </pt>
                <pt idx="699">
                  <v>-0.4505494505494506</v>
                </pt>
                <pt idx="700">
                  <v>-0.4117647058823529</v>
                </pt>
                <pt idx="701">
                  <v>-0.4252873563218391</v>
                </pt>
                <pt idx="702">
                  <v>-0.375</v>
                </pt>
                <pt idx="703">
                  <v>-0.3548387096774194</v>
                </pt>
                <pt idx="704">
                  <v>-0.3827160493827161</v>
                </pt>
                <pt idx="705">
                  <v>-0.3939393939393939</v>
                </pt>
                <pt idx="706">
                  <v>-0.4186046511627907</v>
                </pt>
                <pt idx="707">
                  <v>-0.4708994708994708</v>
                </pt>
                <pt idx="708">
                  <v>-0.4623655913978495</v>
                </pt>
                <pt idx="709">
                  <v>-0.4565217391304348</v>
                </pt>
                <pt idx="710">
                  <v>-0.4152046783625731</v>
                </pt>
                <pt idx="711">
                  <v>-0.4047619047619048</v>
                </pt>
                <pt idx="712">
                  <v>-0.375</v>
                </pt>
                <pt idx="713">
                  <v>-0.4047619047619048</v>
                </pt>
                <pt idx="714">
                  <v>-0.3788819875776398</v>
                </pt>
                <pt idx="715">
                  <v>-0.4413407821229051</v>
                </pt>
                <pt idx="716">
                  <v>-0.4318181818181818</v>
                </pt>
                <pt idx="717">
                  <v>-0.4285714285714286</v>
                </pt>
                <pt idx="718">
                  <v>-0.4047619047619048</v>
                </pt>
                <pt idx="719">
                  <v>-0.4318181818181818</v>
                </pt>
                <pt idx="720">
                  <v>-0.4565217391304348</v>
                </pt>
                <pt idx="721">
                  <v>-0.4350282485875706</v>
                </pt>
                <pt idx="722">
                  <v>-0.4219653179190751</v>
                </pt>
                <pt idx="723">
                  <v>-0.4505494505494506</v>
                </pt>
                <pt idx="724">
                  <v>-0.4505494505494506</v>
                </pt>
                <pt idx="725">
                  <v>-0.4505494505494506</v>
                </pt>
                <pt idx="726">
                  <v>-0.4791666666666666</v>
                </pt>
                <pt idx="727">
                  <v>-0.4623655913978495</v>
                </pt>
                <pt idx="728">
                  <v>-0.4252873563218391</v>
                </pt>
                <pt idx="729">
                  <v>-0.4252873563218391</v>
                </pt>
                <pt idx="730">
                  <v>-0.4047619047619048</v>
                </pt>
                <pt idx="731">
                  <v>-0.4444444444444444</v>
                </pt>
                <pt idx="732">
                  <v>-0.4565217391304348</v>
                </pt>
                <pt idx="733">
                  <v>-0.4505494505494506</v>
                </pt>
                <pt idx="734">
                  <v>-0.4475138121546961</v>
                </pt>
                <pt idx="735">
                  <v>-0.4594594594594595</v>
                </pt>
                <pt idx="736">
                  <v>-0.4764397905759162</v>
                </pt>
                <pt idx="737">
                  <v>-0.4949494949494949</v>
                </pt>
                <pt idx="738">
                  <v>-0.5145631067961165</v>
                </pt>
                <pt idx="739">
                  <v>-0.504950495049505</v>
                </pt>
                <pt idx="740">
                  <v>-0.5098039215686274</v>
                </pt>
                <pt idx="741">
                  <v>-0.504950495049505</v>
                </pt>
                <pt idx="742">
                  <v>-0.4974874371859297</v>
                </pt>
                <pt idx="743">
                  <v>-0.5238095238095238</v>
                </pt>
                <pt idx="744">
                  <v>-0.4871794871794871</v>
                </pt>
                <pt idx="745">
                  <v>-0.5169082125603864</v>
                </pt>
                <pt idx="746">
                  <v>-0.5283018867924529</v>
                </pt>
                <pt idx="747">
                  <v>-0.5024875621890547</v>
                </pt>
                <pt idx="748">
                  <v>-0.5098039215686274</v>
                </pt>
                <pt idx="749">
                  <v>-0.5073891625615763</v>
                </pt>
                <pt idx="750">
                  <v>-0.4871794871794871</v>
                </pt>
                <pt idx="751">
                  <v>-0.5</v>
                </pt>
                <pt idx="752">
                  <v>-0.5</v>
                </pt>
                <pt idx="753">
                  <v>-0.5412844036697249</v>
                </pt>
                <pt idx="754">
                  <v>-0.5575221238938053</v>
                </pt>
                <pt idx="755">
                  <v>-0.5594713656387665</v>
                </pt>
                <pt idx="756">
                  <v>-0.5495495495495496</v>
                </pt>
                <pt idx="757">
                  <v>-0.5708154506437768</v>
                </pt>
                <pt idx="758">
                  <v>-0.6</v>
                </pt>
                <pt idx="759">
                  <v>-0.6124031007751938</v>
                </pt>
                <pt idx="760">
                  <v>-0.6124031007751938</v>
                </pt>
                <pt idx="761">
                  <v>-0.6240601503759399</v>
                </pt>
                <pt idx="762">
                  <v>-0.6197718631178707</v>
                </pt>
                <pt idx="763">
                  <v>-0.6</v>
                </pt>
                <pt idx="764">
                  <v>-0.6309963099630996</v>
                </pt>
                <pt idx="765">
                  <v>-0.646643109540636</v>
                </pt>
                <pt idx="766">
                  <v>-0.6108949416342413</v>
                </pt>
                <pt idx="767">
                  <v>-0.6197718631178707</v>
                </pt>
                <pt idx="768">
                  <v>-0.6197718631178707</v>
                </pt>
                <pt idx="769">
                  <v>-0.5934959349593496</v>
                </pt>
                <pt idx="770">
                  <v>-0.6015936254980079</v>
                </pt>
                <pt idx="771">
                  <v>-0.5918367346938775</v>
                </pt>
                <pt idx="772">
                  <v>-0.596774193548387</v>
                </pt>
                <pt idx="773">
                  <v>-0.5934959349593496</v>
                </pt>
                <pt idx="774">
                  <v>-0.6</v>
                </pt>
                <pt idx="775">
                  <v>-0.6108949416342413</v>
                </pt>
                <pt idx="776">
                  <v>-0.6240601503759399</v>
                </pt>
                <pt idx="777">
                  <v>-0.6282527881040891</v>
                </pt>
                <pt idx="778">
                  <v>-0.6389891696750902</v>
                </pt>
                <pt idx="779">
                  <v>-0.6254681647940075</v>
                </pt>
                <pt idx="780">
                  <v>-0.6078431372549019</v>
                </pt>
                <pt idx="781">
                  <v>-0.5815899581589958</v>
                </pt>
                <pt idx="782">
                  <v>-0.5951417004048583</v>
                </pt>
                <pt idx="783">
                  <v>-0.5815899581589958</v>
                </pt>
                <pt idx="784">
                  <v>-0.6078431372549019</v>
                </pt>
                <pt idx="785">
                  <v>-0.5934959349593496</v>
                </pt>
                <pt idx="786">
                  <v>-0.5884773662551441</v>
                </pt>
                <pt idx="787">
                  <v>-0.5614035087719298</v>
                </pt>
                <pt idx="788">
                  <v>-0.5633187772925764</v>
                </pt>
                <pt idx="789">
                  <v>-0.5575221238938053</v>
                </pt>
                <pt idx="790">
                  <v>-0.5594713656387665</v>
                </pt>
                <pt idx="791">
                  <v>-0.5670995670995671</v>
                </pt>
                <pt idx="792">
                  <v>-0.5670995670995671</v>
                </pt>
                <pt idx="793">
                  <v>-0.5670995670995671</v>
                </pt>
                <pt idx="794">
                  <v>-0.5815899581589958</v>
                </pt>
                <pt idx="795">
                  <v>-0.5726495726495726</v>
                </pt>
                <pt idx="796">
                  <v>-0.5670995670995671</v>
                </pt>
                <pt idx="797">
                  <v>-0.5815899581589958</v>
                </pt>
                <pt idx="798">
                  <v>-0.5689655172413792</v>
                </pt>
                <pt idx="799">
                  <v>-0.5495495495495496</v>
                </pt>
                <pt idx="800">
                  <v>-0.5327102803738317</v>
                </pt>
                <pt idx="801">
                  <v>-0.54337899543379</v>
                </pt>
                <pt idx="802">
                  <v>-0.5689655172413792</v>
                </pt>
                <pt idx="803">
                  <v>-0.5575221238938053</v>
                </pt>
                <pt idx="804">
                  <v>-0.5633187772925764</v>
                </pt>
                <pt idx="805">
                  <v>-0.5798319327731092</v>
                </pt>
                <pt idx="806">
                  <v>-0.5780590717299579</v>
                </pt>
                <pt idx="807">
                  <v>-0.5555555555555556</v>
                </pt>
                <pt idx="808">
                  <v>-0.5327102803738317</v>
                </pt>
                <pt idx="809">
                  <v>-0.5305164319248826</v>
                </pt>
                <pt idx="810">
                  <v>-0.5614035087719298</v>
                </pt>
                <pt idx="811">
                  <v>-0.5575221238938053</v>
                </pt>
                <pt idx="812">
                  <v>-0.5145631067961165</v>
                </pt>
                <pt idx="813">
                  <v>-0.5412844036697249</v>
                </pt>
                <pt idx="814">
                  <v>-0.5098039215686274</v>
                </pt>
                <pt idx="815">
                  <v>-0.5</v>
                </pt>
                <pt idx="816">
                  <v>-0.4949494949494949</v>
                </pt>
                <pt idx="817">
                  <v>-0.5283018867924529</v>
                </pt>
                <pt idx="818">
                  <v>-0.5238095238095238</v>
                </pt>
                <pt idx="819">
                  <v>-0.5024875621890547</v>
                </pt>
                <pt idx="820">
                  <v>-0.4318181818181818</v>
                </pt>
                <pt idx="821">
                  <v>-0.4505494505494506</v>
                </pt>
                <pt idx="822">
                  <v>-0.4413407821229051</v>
                </pt>
                <pt idx="823">
                  <v>-0.4285714285714286</v>
                </pt>
                <pt idx="824">
                  <v>-0.4413407821229051</v>
                </pt>
                <pt idx="825">
                  <v>-0.3939393939393939</v>
                </pt>
                <pt idx="826">
                  <v>-0.3975903614457831</v>
                </pt>
                <pt idx="827">
                  <v>-0.408284023668639</v>
                </pt>
                <pt idx="828">
                  <v>-0.375</v>
                </pt>
                <pt idx="829">
                  <v>-0.3288590604026845</v>
                </pt>
                <pt idx="830">
                  <v>-0.3421052631578947</v>
                </pt>
                <pt idx="831">
                  <v>-0.4186046511627907</v>
                </pt>
                <pt idx="832">
                  <v>-0.4011976047904191</v>
                </pt>
                <pt idx="833">
                  <v>-0.3975903614457831</v>
                </pt>
                <pt idx="834">
                  <v>-0.4117647058823529</v>
                </pt>
                <pt idx="835">
                  <v>-0.4444444444444444</v>
                </pt>
                <pt idx="836">
                  <v>-0.4505494505494506</v>
                </pt>
                <pt idx="837">
                  <v>-0.4382022471910112</v>
                </pt>
                <pt idx="838">
                  <v>-0.4186046511627907</v>
                </pt>
                <pt idx="839">
                  <v>-0.4152046783625731</v>
                </pt>
                <pt idx="840">
                  <v>-0.3939393939393939</v>
                </pt>
                <pt idx="841">
                  <v>-0.408284023668639</v>
                </pt>
                <pt idx="842">
                  <v>-0.4152046783625731</v>
                </pt>
                <pt idx="843">
                  <v>-0.3788819875776398</v>
                </pt>
                <pt idx="844">
                  <v>-0.3421052631578947</v>
                </pt>
                <pt idx="845">
                  <v>-0.358974358974359</v>
                </pt>
                <pt idx="846">
                  <v>-0.3710691823899371</v>
                </pt>
                <pt idx="847">
                  <v>-0.3710691823899371</v>
                </pt>
                <pt idx="848">
                  <v>-0.4011976047904191</v>
                </pt>
                <pt idx="849">
                  <v>-0.4047619047619048</v>
                </pt>
                <pt idx="850">
                  <v>-0.3975903614457831</v>
                </pt>
                <pt idx="851">
                  <v>-0.4252873563218391</v>
                </pt>
                <pt idx="852">
                  <v>-0.4413407821229051</v>
                </pt>
                <pt idx="853">
                  <v>-0.4382022471910112</v>
                </pt>
                <pt idx="854">
                  <v>-0.4152046783625731</v>
                </pt>
                <pt idx="855">
                  <v>-0.4252873563218391</v>
                </pt>
                <pt idx="856">
                  <v>-0.4285714285714286</v>
                </pt>
                <pt idx="857">
                  <v>-0.4252873563218391</v>
                </pt>
                <pt idx="858">
                  <v>-0.4219653179190751</v>
                </pt>
                <pt idx="859">
                  <v>-0.4285714285714286</v>
                </pt>
                <pt idx="860">
                  <v>-0.3788819875776398</v>
                </pt>
                <pt idx="861">
                  <v>-0.358974358974359</v>
                </pt>
                <pt idx="862">
                  <v>-0.315068493150685</v>
                </pt>
                <pt idx="863">
                  <v>-0.2957746478873239</v>
                </pt>
                <pt idx="864">
                  <v>-0.2592592592592593</v>
                </pt>
                <pt idx="865">
                  <v>-0.2700729927007299</v>
                </pt>
                <pt idx="866">
                  <v>-0.2481203007518797</v>
                </pt>
                <pt idx="867">
                  <v>-0.1735537190082644</v>
                </pt>
                <pt idx="868">
                  <v>-0.2248062015503877</v>
                </pt>
                <pt idx="869">
                  <v>-0.2307692307692308</v>
                </pt>
                <pt idx="870">
                  <v>-0.2</v>
                </pt>
                <pt idx="871">
                  <v>-0.1596638655462185</v>
                </pt>
                <pt idx="872">
                  <v>-0.2366412213740459</v>
                </pt>
                <pt idx="873">
                  <v>-0.3006993006993006</v>
                </pt>
                <pt idx="874">
                  <v>-0.2957746478873239</v>
                </pt>
                <pt idx="875">
                  <v>-0.2753623188405796</v>
                </pt>
                <pt idx="876">
                  <v>-0.2366412213740459</v>
                </pt>
                <pt idx="877">
                  <v>-0.1935483870967741</v>
                </pt>
                <pt idx="878">
                  <v>-0.2125984251968505</v>
                </pt>
                <pt idx="879">
                  <v>-0.2063492063492064</v>
                </pt>
                <pt idx="880">
                  <v>-0.1596638655462185</v>
                </pt>
                <pt idx="881">
                  <v>-0.2063492063492064</v>
                </pt>
                <pt idx="882">
                  <v>-0.1735537190082644</v>
                </pt>
                <pt idx="883">
                  <v>-0.1869918699186992</v>
                </pt>
                <pt idx="884">
                  <v>-0.2</v>
                </pt>
                <pt idx="885">
                  <v>-0.1379310344827586</v>
                </pt>
                <pt idx="886">
                  <v>-0.09090909090909094</v>
                </pt>
                <pt idx="887">
                  <v>-0.1525423728813559</v>
                </pt>
                <pt idx="888">
                  <v>-0.2</v>
                </pt>
                <pt idx="889">
                  <v>-0.1869918699186992</v>
                </pt>
                <pt idx="890">
                  <v>-0.1525423728813559</v>
                </pt>
                <pt idx="891">
                  <v>-0.180327868852459</v>
                </pt>
                <pt idx="892">
                  <v>-0.21875</v>
                </pt>
                <pt idx="893">
                  <v>-0.1935483870967741</v>
                </pt>
                <pt idx="894">
                  <v>-0.1869918699186992</v>
                </pt>
                <pt idx="895">
                  <v>-0.1071428571428572</v>
                </pt>
                <pt idx="896">
                  <v>-0.1452991452991452</v>
                </pt>
                <pt idx="897">
                  <v>-0.180327868852459</v>
                </pt>
                <pt idx="898">
                  <v>-0.1452991452991452</v>
                </pt>
                <pt idx="899">
                  <v>-0.0990990990990992</v>
                </pt>
                <pt idx="900">
                  <v>-0.1525423728813559</v>
                </pt>
                <pt idx="901">
                  <v>-0.1596638655462185</v>
                </pt>
                <pt idx="902">
                  <v>-0.1071428571428572</v>
                </pt>
                <pt idx="903">
                  <v>-0.1071428571428572</v>
                </pt>
                <pt idx="904">
                  <v>-0.09090909090909094</v>
                </pt>
                <pt idx="905">
                  <v>-0.180327868852459</v>
                </pt>
                <pt idx="906">
                  <v>-0.180327868852459</v>
                </pt>
                <pt idx="907">
                  <v>-0.180327868852459</v>
                </pt>
                <pt idx="908">
                  <v>-0.2</v>
                </pt>
                <pt idx="909">
                  <v>-0.2063492063492064</v>
                </pt>
                <pt idx="910">
                  <v>-0.2366412213740459</v>
                </pt>
                <pt idx="911">
                  <v>-0.2366412213740459</v>
                </pt>
                <pt idx="912">
                  <v>-0.2647058823529412</v>
                </pt>
                <pt idx="913">
                  <v>-0.2125984251968505</v>
                </pt>
                <pt idx="914">
                  <v>-0.2063492063492064</v>
                </pt>
                <pt idx="915">
                  <v>-0.21875</v>
                </pt>
                <pt idx="916">
                  <v>-0.2</v>
                </pt>
                <pt idx="917">
                  <v>-0.1735537190082644</v>
                </pt>
                <pt idx="918">
                  <v>-0.1935483870967741</v>
                </pt>
                <pt idx="919">
                  <v>-0.2</v>
                </pt>
                <pt idx="920">
                  <v>-0.180327868852459</v>
                </pt>
                <pt idx="921">
                  <v>-0.1935483870967741</v>
                </pt>
                <pt idx="922">
                  <v>-0.1735537190082644</v>
                </pt>
                <pt idx="923">
                  <v>-0.1735537190082644</v>
                </pt>
                <pt idx="924">
                  <v>-0.1735537190082644</v>
                </pt>
                <pt idx="925">
                  <v>-0.1525423728813559</v>
                </pt>
                <pt idx="926">
                  <v>-0.1869918699186992</v>
                </pt>
                <pt idx="927">
                  <v>-0.21875</v>
                </pt>
                <pt idx="928">
                  <v>-0.2592592592592593</v>
                </pt>
                <pt idx="929">
                  <v>-0.2647058823529412</v>
                </pt>
                <pt idx="930">
                  <v>-0.2647058823529412</v>
                </pt>
                <pt idx="931">
                  <v>-0.2647058823529412</v>
                </pt>
                <pt idx="932">
                  <v>-0.2700729927007299</v>
                </pt>
                <pt idx="933">
                  <v>-0.2307692307692308</v>
                </pt>
                <pt idx="934">
                  <v>-0.2307692307692308</v>
                </pt>
                <pt idx="935">
                  <v>-0.2125984251968505</v>
                </pt>
                <pt idx="936">
                  <v>-0.1935483870967741</v>
                </pt>
                <pt idx="937">
                  <v>-0.21875</v>
                </pt>
                <pt idx="938">
                  <v>-0.2063492063492064</v>
                </pt>
                <pt idx="939">
                  <v>-0.21875</v>
                </pt>
                <pt idx="940">
                  <v>-0.2063492063492064</v>
                </pt>
                <pt idx="941">
                  <v>-0.2248062015503877</v>
                </pt>
                <pt idx="942">
                  <v>-0.2307692307692308</v>
                </pt>
                <pt idx="943">
                  <v>-0.2592592592592593</v>
                </pt>
                <pt idx="944">
                  <v>-0.2592592592592593</v>
                </pt>
                <pt idx="945">
                  <v>-0.2481203007518797</v>
                </pt>
                <pt idx="946">
                  <v>-0.2700729927007299</v>
                </pt>
                <pt idx="947">
                  <v>-0.21875</v>
                </pt>
                <pt idx="948">
                  <v>-0.2366412213740459</v>
                </pt>
                <pt idx="949">
                  <v>-0.2307692307692308</v>
                </pt>
                <pt idx="950">
                  <v>-0.2</v>
                </pt>
                <pt idx="951">
                  <v>-0.2366412213740459</v>
                </pt>
                <pt idx="952">
                  <v>-0.2366412213740459</v>
                </pt>
                <pt idx="953">
                  <v>-0.180327868852459</v>
                </pt>
                <pt idx="954">
                  <v>-0.1935483870967741</v>
                </pt>
                <pt idx="955">
                  <v>-0.2</v>
                </pt>
                <pt idx="956">
                  <v>-0.2307692307692308</v>
                </pt>
                <pt idx="957">
                  <v>-0.2307692307692308</v>
                </pt>
                <pt idx="958">
                  <v>-0.2248062015503877</v>
                </pt>
                <pt idx="959">
                  <v>-0.21875</v>
                </pt>
                <pt idx="960">
                  <v>-0.2366412213740459</v>
                </pt>
                <pt idx="961">
                  <v>-0.2481203007518797</v>
                </pt>
                <pt idx="962">
                  <v>-0.2248062015503877</v>
                </pt>
                <pt idx="963">
                  <v>-0.1935483870967741</v>
                </pt>
                <pt idx="964">
                  <v>-0.1525423728813559</v>
                </pt>
                <pt idx="965">
                  <v>-0.1666666666666666</v>
                </pt>
                <pt idx="966">
                  <v>-0.180327868852459</v>
                </pt>
                <pt idx="967">
                  <v>-0.1935483870967741</v>
                </pt>
                <pt idx="968">
                  <v>-0.1935483870967741</v>
                </pt>
                <pt idx="969">
                  <v>-0.2</v>
                </pt>
                <pt idx="970">
                  <v>-0.21875</v>
                </pt>
                <pt idx="971">
                  <v>-0.2125984251968505</v>
                </pt>
                <pt idx="972">
                  <v>-0.1869918699186992</v>
                </pt>
                <pt idx="973">
                  <v>-0.1869918699186992</v>
                </pt>
                <pt idx="974">
                  <v>-0.1666666666666666</v>
                </pt>
                <pt idx="975">
                  <v>-0.1596638655462185</v>
                </pt>
                <pt idx="976">
                  <v>-0.1071428571428572</v>
                </pt>
                <pt idx="977">
                  <v>-0.1735537190082644</v>
                </pt>
                <pt idx="978">
                  <v>-0.1869918699186992</v>
                </pt>
                <pt idx="979">
                  <v>-0.1869918699186992</v>
                </pt>
                <pt idx="980">
                  <v>-0.1869918699186992</v>
                </pt>
                <pt idx="981">
                  <v>-0.1735537190082644</v>
                </pt>
                <pt idx="982">
                  <v>-0.1735537190082644</v>
                </pt>
                <pt idx="983">
                  <v>-0.180327868852459</v>
                </pt>
                <pt idx="984">
                  <v>-0.1666666666666666</v>
                </pt>
                <pt idx="985">
                  <v>-0.180327868852459</v>
                </pt>
                <pt idx="986">
                  <v>-0.2424242424242424</v>
                </pt>
                <pt idx="987">
                  <v>-0.2424242424242424</v>
                </pt>
                <pt idx="988">
                  <v>-0.1935483870967741</v>
                </pt>
                <pt idx="989">
                  <v>-0.1869918699186992</v>
                </pt>
                <pt idx="990">
                  <v>-0.2</v>
                </pt>
                <pt idx="991">
                  <v>-0.2366412213740459</v>
                </pt>
                <pt idx="992">
                  <v>-0.2424242424242424</v>
                </pt>
                <pt idx="993">
                  <v>-0.2647058823529412</v>
                </pt>
                <pt idx="994">
                  <v>-0.2366412213740459</v>
                </pt>
                <pt idx="995">
                  <v>-0.21875</v>
                </pt>
                <pt idx="996">
                  <v>-0.2366412213740459</v>
                </pt>
                <pt idx="997">
                  <v>-0.2647058823529412</v>
                </pt>
                <pt idx="998">
                  <v>-0.2366412213740459</v>
                </pt>
                <pt idx="999">
                  <v>-0.2424242424242424</v>
                </pt>
                <pt idx="1000">
                  <v>-0.2125984251968505</v>
                </pt>
                <pt idx="1001">
                  <v>-0.2</v>
                </pt>
                <pt idx="1002">
                  <v>-0.2</v>
                </pt>
                <pt idx="1003">
                  <v>-0.2248062015503877</v>
                </pt>
                <pt idx="1004">
                  <v>-0.21875</v>
                </pt>
                <pt idx="1005">
                  <v>-0.2063492063492064</v>
                </pt>
                <pt idx="1006">
                  <v>-0.2125984251968505</v>
                </pt>
                <pt idx="1007">
                  <v>-0.1935483870967741</v>
                </pt>
                <pt idx="1008">
                  <v>-0.2</v>
                </pt>
                <pt idx="1009">
                  <v>-0.2125984251968505</v>
                </pt>
                <pt idx="1010">
                  <v>-0.2125984251968505</v>
                </pt>
                <pt idx="1011">
                  <v>-0.180327868852459</v>
                </pt>
                <pt idx="1012">
                  <v>-0.1666666666666666</v>
                </pt>
                <pt idx="1013">
                  <v>-0.1596638655462185</v>
                </pt>
                <pt idx="1014">
                  <v>-0.1666666666666666</v>
                </pt>
                <pt idx="1015">
                  <v>-0.1735537190082644</v>
                </pt>
                <pt idx="1016">
                  <v>-0.1735537190082644</v>
                </pt>
                <pt idx="1017">
                  <v>-0.1452991452991452</v>
                </pt>
                <pt idx="1018">
                  <v>-0.1379310344827586</v>
                </pt>
                <pt idx="1019">
                  <v>-0.1304347826086956</v>
                </pt>
                <pt idx="1020">
                  <v>-0.1452991452991452</v>
                </pt>
                <pt idx="1021">
                  <v>-0.1304347826086956</v>
                </pt>
                <pt idx="1022">
                  <v>-0.1525423728813559</v>
                </pt>
                <pt idx="1023">
                  <v>-0.1596638655462185</v>
                </pt>
                <pt idx="1024">
                  <v>-0.1452991452991452</v>
                </pt>
                <pt idx="1025">
                  <v>-0.1452991452991452</v>
                </pt>
                <pt idx="1026">
                  <v>-0.1228070175438596</v>
                </pt>
                <pt idx="1027">
                  <v>-0.1228070175438596</v>
                </pt>
                <pt idx="1028">
                  <v>-0.1228070175438596</v>
                </pt>
                <pt idx="1029">
                  <v>-0.1228070175438596</v>
                </pt>
                <pt idx="1030">
                  <v>-0.1228070175438596</v>
                </pt>
                <pt idx="1031">
                  <v>-0.1666666666666666</v>
                </pt>
                <pt idx="1032">
                  <v>-0.1666666666666666</v>
                </pt>
                <pt idx="1033">
                  <v>-0.1666666666666666</v>
                </pt>
                <pt idx="1034">
                  <v>-0.0825688073394496</v>
                </pt>
                <pt idx="1035">
                  <v>-0.0990990990990992</v>
                </pt>
                <pt idx="1036">
                  <v>-0.1228070175438596</v>
                </pt>
                <pt idx="1037">
                  <v>-0.1596638655462185</v>
                </pt>
                <pt idx="1038">
                  <v>-0.1596638655462185</v>
                </pt>
                <pt idx="1039">
                  <v>-0.1228070175438596</v>
                </pt>
                <pt idx="1040">
                  <v>-0.1150442477876106</v>
                </pt>
                <pt idx="1041">
                  <v>-0.09090909090909094</v>
                </pt>
                <pt idx="1042">
                  <v>-0.1071428571428572</v>
                </pt>
                <pt idx="1043">
                  <v>-0.1596638655462185</v>
                </pt>
                <pt idx="1044">
                  <v>-0.1525423728813559</v>
                </pt>
                <pt idx="1045">
                  <v>-0.1666666666666666</v>
                </pt>
                <pt idx="1046">
                  <v>-0.1525423728813559</v>
                </pt>
                <pt idx="1047">
                  <v>-0.1304347826086956</v>
                </pt>
                <pt idx="1048">
                  <v>-0.1304347826086956</v>
                </pt>
                <pt idx="1049">
                  <v>-0.1304347826086956</v>
                </pt>
                <pt idx="1050">
                  <v>-0.1379310344827586</v>
                </pt>
                <pt idx="1051">
                  <v>-0.0990990990990992</v>
                </pt>
                <pt idx="1052">
                  <v>-0.0990990990990992</v>
                </pt>
                <pt idx="1053">
                  <v>-0.1379310344827586</v>
                </pt>
                <pt idx="1054">
                  <v>-0.1452991452991452</v>
                </pt>
                <pt idx="1055">
                  <v>-0.1304347826086956</v>
                </pt>
                <pt idx="1056">
                  <v>-0.1071428571428572</v>
                </pt>
                <pt idx="1057">
                  <v>-0.09090909090909094</v>
                </pt>
                <pt idx="1058">
                  <v>-0.029126213592233</v>
                </pt>
                <pt idx="1059">
                  <v>-0.05660377358490576</v>
                </pt>
                <pt idx="1060">
                  <v>-0.04761904761904767</v>
                </pt>
                <pt idx="1061">
                  <v>-0.5192307692307693</v>
                </pt>
                <pt idx="1062">
                  <v>-0.5</v>
                </pt>
                <pt idx="1063">
                  <v>-0.5260663507109005</v>
                </pt>
                <pt idx="1064">
                  <v>-0.5412844036697249</v>
                </pt>
                <pt idx="1065">
                  <v>-0.5412844036697249</v>
                </pt>
                <pt idx="1066">
                  <v>-0.5780590717299579</v>
                </pt>
                <pt idx="1067">
                  <v>-0.5833333333333333</v>
                </pt>
                <pt idx="1068">
                  <v>-0.5901639344262295</v>
                </pt>
                <pt idx="1069">
                  <v>-0.5689655172413792</v>
                </pt>
                <pt idx="1070">
                  <v>-0.5670995670995671</v>
                </pt>
                <pt idx="1071">
                  <v>-0.5192307692307693</v>
                </pt>
                <pt idx="1072">
                  <v>-0.5283018867924529</v>
                </pt>
                <pt idx="1073">
                  <v>-0.54337899543379</v>
                </pt>
                <pt idx="1074">
                  <v>-0.5169082125603864</v>
                </pt>
                <pt idx="1075">
                  <v>-0.5145631067961165</v>
                </pt>
                <pt idx="1076">
                  <v>-0.5073891625615763</v>
                </pt>
                <pt idx="1077">
                  <v>-0.5024875621890547</v>
                </pt>
                <pt idx="1078">
                  <v>-0.5555555555555556</v>
                </pt>
                <pt idx="1079">
                  <v>-0.576271186440678</v>
                </pt>
                <pt idx="1080">
                  <v>-0.5670995670995671</v>
                </pt>
                <pt idx="1081">
                  <v>-0.5689655172413792</v>
                </pt>
                <pt idx="1082">
                  <v>-0.5708154506437768</v>
                </pt>
                <pt idx="1083">
                  <v>-0.5283018867924529</v>
                </pt>
                <pt idx="1084">
                  <v>-0.5475113122171946</v>
                </pt>
                <pt idx="1085">
                  <v>-0.5215311004784688</v>
                </pt>
                <pt idx="1086">
                  <v>-0.5327102803738317</v>
                </pt>
                <pt idx="1087">
                  <v>-0.5327102803738317</v>
                </pt>
                <pt idx="1088">
                  <v>-0.5238095238095238</v>
                </pt>
                <pt idx="1089">
                  <v>-0.504950495049505</v>
                </pt>
                <pt idx="1090">
                  <v>-0.5145631067961165</v>
                </pt>
                <pt idx="1091">
                  <v>-0.5145631067961165</v>
                </pt>
                <pt idx="1092">
                  <v>-0.00990099009900991</v>
                </pt>
                <pt idx="1093">
                  <v>0.07526881720430101</v>
                </pt>
                <pt idx="1094">
                  <v>0.0309278350515465</v>
                </pt>
                <pt idx="1095">
                  <v>-0.00990099009900991</v>
                </pt>
                <pt idx="1096">
                  <v>0.02040816326530615</v>
                </pt>
                <pt idx="1097">
                  <v>-0.00990099009900991</v>
                </pt>
                <pt idx="1098">
                  <v>0</v>
                </pt>
                <pt idx="1099">
                  <v>0.01010101010101017</v>
                </pt>
                <pt idx="1100">
                  <v>0.02040816326530615</v>
                </pt>
                <pt idx="1101">
                  <v>0.04166666666666674</v>
                </pt>
                <pt idx="1102">
                  <v>0.05263157894736836</v>
                </pt>
                <pt idx="1103">
                  <v>0.0309278350515465</v>
                </pt>
                <pt idx="1104">
                  <v>0.04166666666666674</v>
                </pt>
                <pt idx="1105">
                  <v>0.04166666666666674</v>
                </pt>
                <pt idx="1106">
                  <v>0.02040816326530615</v>
                </pt>
                <pt idx="1107">
                  <v>-0.01960784313725494</v>
                </pt>
                <pt idx="1108">
                  <v>-0.06542056074766356</v>
                </pt>
                <pt idx="1109">
                  <v>-0.06542056074766356</v>
                </pt>
                <pt idx="1110">
                  <v>-0.05660377358490576</v>
                </pt>
                <pt idx="1111">
                  <v>-0.03846153846153855</v>
                </pt>
                <pt idx="1112">
                  <v>-0.00990099009900991</v>
                </pt>
                <pt idx="1113">
                  <v>-0.00990099009900991</v>
                </pt>
                <pt idx="1114">
                  <v>0.04166666666666674</v>
                </pt>
                <pt idx="1115">
                  <v>0.02040816326530615</v>
                </pt>
                <pt idx="1116">
                  <v>-0.00990099009900991</v>
                </pt>
                <pt idx="1117">
                  <v>-0.03846153846153855</v>
                </pt>
                <pt idx="1118">
                  <v>0.01010101010101017</v>
                </pt>
                <pt idx="1119">
                  <v>0.02040816326530615</v>
                </pt>
                <pt idx="1120">
                  <v>-0.00990099009900991</v>
                </pt>
                <pt idx="1121">
                  <v>-0.00990099009900991</v>
                </pt>
                <pt idx="1122">
                  <v>-0.04761904761904767</v>
                </pt>
                <pt idx="1123">
                  <v>-0.07407407407407418</v>
                </pt>
                <pt idx="1124">
                  <v>-0.05660377358490576</v>
                </pt>
                <pt idx="1125">
                  <v>-0.06542056074766356</v>
                </pt>
                <pt idx="1126">
                  <v>-0.05660377358490576</v>
                </pt>
                <pt idx="1127">
                  <v>-0.03846153846153855</v>
                </pt>
                <pt idx="1128">
                  <v>-0.05660377358490576</v>
                </pt>
                <pt idx="1129">
                  <v>-0.0825688073394496</v>
                </pt>
                <pt idx="1130">
                  <v>-0.05660377358490576</v>
                </pt>
                <pt idx="1131">
                  <v>-0.04761904761904767</v>
                </pt>
                <pt idx="1132">
                  <v>-0.03846153846153855</v>
                </pt>
                <pt idx="1133">
                  <v>-0.029126213592233</v>
                </pt>
                <pt idx="1134">
                  <v>-0.04761904761904767</v>
                </pt>
                <pt idx="1135">
                  <v>0.0309278350515465</v>
                </pt>
                <pt idx="1136">
                  <v>0.05263157894736836</v>
                </pt>
                <pt idx="1137">
                  <v>0.04166666666666674</v>
                </pt>
                <pt idx="1138">
                  <v>-0.01960784313725494</v>
                </pt>
                <pt idx="1139">
                  <v>-0.01960784313725494</v>
                </pt>
                <pt idx="1140">
                  <v>-0.01960784313725494</v>
                </pt>
                <pt idx="1141">
                  <v>0.0309278350515465</v>
                </pt>
                <pt idx="1142">
                  <v>0</v>
                </pt>
                <pt idx="1143">
                  <v>0.02040816326530615</v>
                </pt>
                <pt idx="1144">
                  <v>-0.00990099009900991</v>
                </pt>
                <pt idx="1145">
                  <v>-0.00990099009900991</v>
                </pt>
                <pt idx="1146">
                  <v>0</v>
                </pt>
                <pt idx="1147">
                  <v>0</v>
                </pt>
                <pt idx="1148">
                  <v>0</v>
                </pt>
                <pt idx="1149">
                  <v>0.04166666666666674</v>
                </pt>
                <pt idx="1150">
                  <v>-0.029126213592233</v>
                </pt>
                <pt idx="1151">
                  <v>-0.01960784313725494</v>
                </pt>
                <pt idx="1152">
                  <v>-0.00990099009900991</v>
                </pt>
                <pt idx="1153">
                  <v>0.01010101010101017</v>
                </pt>
                <pt idx="1154">
                  <v>-0.0825688073394496</v>
                </pt>
                <pt idx="1155">
                  <v>-0.09090909090909094</v>
                </pt>
                <pt idx="1156">
                  <v>-0.05660377358490576</v>
                </pt>
                <pt idx="1157">
                  <v>-0.07407407407407418</v>
                </pt>
                <pt idx="1158">
                  <v>-0.01960784313725494</v>
                </pt>
                <pt idx="1159">
                  <v>-0.00990099009900991</v>
                </pt>
                <pt idx="1160">
                  <v>0.01010101010101017</v>
                </pt>
                <pt idx="1161">
                  <v>-0.04761904761904767</v>
                </pt>
                <pt idx="1162">
                  <v>-0.09090909090909094</v>
                </pt>
                <pt idx="1163">
                  <v>-0.09090909090909094</v>
                </pt>
                <pt idx="1164">
                  <v>-0.0990990990990992</v>
                </pt>
                <pt idx="1165">
                  <v>-0.1150442477876106</v>
                </pt>
                <pt idx="1166">
                  <v>-0.1228070175438596</v>
                </pt>
                <pt idx="1167">
                  <v>-0.1304347826086956</v>
                </pt>
                <pt idx="1168">
                  <v>-0.1071428571428572</v>
                </pt>
                <pt idx="1169">
                  <v>-0.1071428571428572</v>
                </pt>
                <pt idx="1170">
                  <v>-0.06542056074766356</v>
                </pt>
                <pt idx="1171">
                  <v>-0.03846153846153855</v>
                </pt>
                <pt idx="1172">
                  <v>0.01010101010101017</v>
                </pt>
                <pt idx="1173">
                  <v>-0.01960784313725494</v>
                </pt>
                <pt idx="1174">
                  <v>-0.04761904761904767</v>
                </pt>
                <pt idx="1175">
                  <v>-0.029126213592233</v>
                </pt>
                <pt idx="1176">
                  <v>-0.01960784313725494</v>
                </pt>
                <pt idx="1177">
                  <v>-0.05660377358490576</v>
                </pt>
                <pt idx="1178">
                  <v>-0.05660377358490576</v>
                </pt>
                <pt idx="1179">
                  <v>0.02040816326530615</v>
                </pt>
                <pt idx="1180">
                  <v>-0.01960784313725494</v>
                </pt>
                <pt idx="1181">
                  <v>-0.05660377358490576</v>
                </pt>
                <pt idx="1182">
                  <v>-0.06542056074766356</v>
                </pt>
                <pt idx="1183">
                  <v>-0.01960784313725494</v>
                </pt>
                <pt idx="1184">
                  <v>-0.029126213592233</v>
                </pt>
                <pt idx="1185">
                  <v>-0.03846153846153855</v>
                </pt>
                <pt idx="1186">
                  <v>-0.029126213592233</v>
                </pt>
                <pt idx="1187">
                  <v>-0.05660377358490576</v>
                </pt>
                <pt idx="1188">
                  <v>-0.03846153846153855</v>
                </pt>
                <pt idx="1189">
                  <v>-0.04761904761904767</v>
                </pt>
                <pt idx="1190">
                  <v>0.02040816326530615</v>
                </pt>
                <pt idx="1191">
                  <v>0.0309278350515465</v>
                </pt>
                <pt idx="1192">
                  <v>0.02040816326530615</v>
                </pt>
                <pt idx="1193">
                  <v>0.04166666666666674</v>
                </pt>
                <pt idx="1194">
                  <v>0.06382978723404253</v>
                </pt>
                <pt idx="1195">
                  <v>0.05263157894736836</v>
                </pt>
                <pt idx="1196">
                  <v>0.01010101010101017</v>
                </pt>
                <pt idx="1197">
                  <v>-0.029126213592233</v>
                </pt>
                <pt idx="1198">
                  <v>0.0309278350515465</v>
                </pt>
                <pt idx="1199">
                  <v>-0.03846153846153855</v>
                </pt>
                <pt idx="1200">
                  <v>-0.0825688073394496</v>
                </pt>
                <pt idx="1201">
                  <v>-0.07407407407407418</v>
                </pt>
                <pt idx="1202">
                  <v>-0.09090909090909094</v>
                </pt>
                <pt idx="1203">
                  <v>-0.1071428571428572</v>
                </pt>
                <pt idx="1204">
                  <v>-0.1452991452991452</v>
                </pt>
                <pt idx="1205">
                  <v>-0.1525423728813559</v>
                </pt>
                <pt idx="1206">
                  <v>-0.1379310344827586</v>
                </pt>
                <pt idx="1207">
                  <v>-0.1150442477876106</v>
                </pt>
                <pt idx="1208">
                  <v>-0.1071428571428572</v>
                </pt>
                <pt idx="1209">
                  <v>-0.06542056074766356</v>
                </pt>
                <pt idx="1210">
                  <v>-0.06542056074766356</v>
                </pt>
                <pt idx="1211">
                  <v>-0.029126213592233</v>
                </pt>
                <pt idx="1212">
                  <v>-0.05660377358490576</v>
                </pt>
                <pt idx="1213">
                  <v>-0.04761904761904767</v>
                </pt>
                <pt idx="1214">
                  <v>-0.06542056074766356</v>
                </pt>
                <pt idx="1215">
                  <v>-0.07407407407407418</v>
                </pt>
                <pt idx="1216">
                  <v>-0.0990990990990992</v>
                </pt>
                <pt idx="1217">
                  <v>-0.07407407407407418</v>
                </pt>
                <pt idx="1218">
                  <v>-0.05660377358490576</v>
                </pt>
                <pt idx="1219">
                  <v>-0.0825688073394496</v>
                </pt>
                <pt idx="1220">
                  <v>-0.05660377358490576</v>
                </pt>
                <pt idx="1221">
                  <v>-0.05660377358490576</v>
                </pt>
                <pt idx="1222">
                  <v>-0.03846153846153855</v>
                </pt>
                <pt idx="1223">
                  <v>0</v>
                </pt>
                <pt idx="1224">
                  <v>0.02040816326530615</v>
                </pt>
                <pt idx="1225">
                  <v>0</v>
                </pt>
                <pt idx="1226">
                  <v>-0.03846153846153855</v>
                </pt>
                <pt idx="1227">
                  <v>-0.05660377358490576</v>
                </pt>
                <pt idx="1228">
                  <v>-0.07407407407407418</v>
                </pt>
                <pt idx="1229">
                  <v>-0.09090909090909094</v>
                </pt>
                <pt idx="1230">
                  <v>-0.07407407407407418</v>
                </pt>
                <pt idx="1231">
                  <v>-0.0990990990990992</v>
                </pt>
                <pt idx="1232">
                  <v>-0.1525423728813559</v>
                </pt>
                <pt idx="1233">
                  <v>-0.1596638655462185</v>
                </pt>
                <pt idx="1234">
                  <v>-0.1666666666666666</v>
                </pt>
                <pt idx="1235">
                  <v>-0.1666666666666666</v>
                </pt>
                <pt idx="1236">
                  <v>-0.2424242424242424</v>
                </pt>
                <pt idx="1237">
                  <v>-0.2753623188405796</v>
                </pt>
                <pt idx="1238">
                  <v>-0.2857142857142857</v>
                </pt>
                <pt idx="1239">
                  <v>-0.2481203007518797</v>
                </pt>
                <pt idx="1240">
                  <v>-0.2481203007518797</v>
                </pt>
                <pt idx="1241">
                  <v>-0.2647058823529412</v>
                </pt>
                <pt idx="1242">
                  <v>-0.2592592592592593</v>
                </pt>
                <pt idx="1243">
                  <v>-0.2424242424242424</v>
                </pt>
                <pt idx="1244">
                  <v>-0.2592592592592593</v>
                </pt>
                <pt idx="1245">
                  <v>-0.2647058823529412</v>
                </pt>
                <pt idx="1246">
                  <v>-0.2647058823529412</v>
                </pt>
                <pt idx="1247">
                  <v>-0.2805755395683452</v>
                </pt>
                <pt idx="1248">
                  <v>-0.2753623188405796</v>
                </pt>
                <pt idx="1249">
                  <v>-0.2857142857142857</v>
                </pt>
                <pt idx="1250">
                  <v>-0.2805755395683452</v>
                </pt>
                <pt idx="1251">
                  <v>-0.2537313432835822</v>
                </pt>
                <pt idx="1252">
                  <v>-0.21875</v>
                </pt>
                <pt idx="1253">
                  <v>-0.2125984251968505</v>
                </pt>
                <pt idx="1254">
                  <v>-0.2424242424242424</v>
                </pt>
                <pt idx="1255">
                  <v>-0.2424242424242424</v>
                </pt>
                <pt idx="1256">
                  <v>-0.2307692307692308</v>
                </pt>
                <pt idx="1257">
                  <v>-0.2248062015503877</v>
                </pt>
                <pt idx="1258">
                  <v>-0.2307692307692308</v>
                </pt>
                <pt idx="1259">
                  <v>-0.2592592592592593</v>
                </pt>
                <pt idx="1260">
                  <v>-0.2592592592592593</v>
                </pt>
                <pt idx="1261">
                  <v>-0.2424242424242424</v>
                </pt>
                <pt idx="1262">
                  <v>-0.2537313432835822</v>
                </pt>
                <pt idx="1263">
                  <v>-0.2647058823529412</v>
                </pt>
                <pt idx="1264">
                  <v>-0.2248062015503877</v>
                </pt>
                <pt idx="1265">
                  <v>-0.2063492063492064</v>
                </pt>
                <pt idx="1266">
                  <v>-0.2125984251968505</v>
                </pt>
                <pt idx="1267">
                  <v>-0.2063492063492064</v>
                </pt>
                <pt idx="1268">
                  <v>-0.2125984251968505</v>
                </pt>
                <pt idx="1269">
                  <v>-0.2307692307692308</v>
                </pt>
                <pt idx="1270">
                  <v>-0.1666666666666666</v>
                </pt>
                <pt idx="1271">
                  <v>-0.180327868852459</v>
                </pt>
                <pt idx="1272">
                  <v>-0.180327868852459</v>
                </pt>
                <pt idx="1273">
                  <v>-0.1935483870967741</v>
                </pt>
                <pt idx="1274">
                  <v>-0.1452991452991452</v>
                </pt>
                <pt idx="1275">
                  <v>-0.1935483870967741</v>
                </pt>
                <pt idx="1276">
                  <v>-0.2248062015503877</v>
                </pt>
                <pt idx="1277">
                  <v>-0.2</v>
                </pt>
                <pt idx="1278">
                  <v>-0.2</v>
                </pt>
                <pt idx="1279">
                  <v>-0.2</v>
                </pt>
                <pt idx="1280">
                  <v>-0.2063492063492064</v>
                </pt>
                <pt idx="1281">
                  <v>-0.2063492063492064</v>
                </pt>
                <pt idx="1282">
                  <v>-0.1869918699186992</v>
                </pt>
                <pt idx="1283">
                  <v>-0.1869918699186992</v>
                </pt>
                <pt idx="1284">
                  <v>-0.1869918699186992</v>
                </pt>
                <pt idx="1285">
                  <v>-0.1869918699186992</v>
                </pt>
                <pt idx="1286">
                  <v>-0.1869918699186992</v>
                </pt>
                <pt idx="1287">
                  <v>-0.1869918699186992</v>
                </pt>
                <pt idx="1288">
                  <v>-0.1525423728813559</v>
                </pt>
                <pt idx="1289">
                  <v>-0.1452991452991452</v>
                </pt>
                <pt idx="1290">
                  <v>-0.1304347826086956</v>
                </pt>
                <pt idx="1291">
                  <v>-0.1869918699186992</v>
                </pt>
                <pt idx="1292">
                  <v>-0.1935483870967741</v>
                </pt>
                <pt idx="1293">
                  <v>-0.1379310344827586</v>
                </pt>
                <pt idx="1294">
                  <v>-0.0990990990990992</v>
                </pt>
                <pt idx="1295">
                  <v>-0.09090909090909094</v>
                </pt>
                <pt idx="1296">
                  <v>-0.0990990990990992</v>
                </pt>
                <pt idx="1297">
                  <v>-0.0990990990990992</v>
                </pt>
                <pt idx="1298">
                  <v>-0.1071428571428572</v>
                </pt>
                <pt idx="1299">
                  <v>-0.1228070175438596</v>
                </pt>
                <pt idx="1300">
                  <v>-0.1304347826086956</v>
                </pt>
                <pt idx="1301">
                  <v>-0.1150442477876106</v>
                </pt>
                <pt idx="1302">
                  <v>-0.06542056074766356</v>
                </pt>
                <pt idx="1303">
                  <v>-0.07407407407407418</v>
                </pt>
                <pt idx="1304">
                  <v>-0.06542056074766356</v>
                </pt>
                <pt idx="1305">
                  <v>-0.0825688073394496</v>
                </pt>
                <pt idx="1306">
                  <v>-0.04761904761904767</v>
                </pt>
                <pt idx="1307">
                  <v>-0.04761904761904767</v>
                </pt>
                <pt idx="1308">
                  <v>-0.04761904761904767</v>
                </pt>
                <pt idx="1309">
                  <v>-0.029126213592233</v>
                </pt>
                <pt idx="1310">
                  <v>-0.03846153846153855</v>
                </pt>
                <pt idx="1311">
                  <v>-0.03846153846153855</v>
                </pt>
                <pt idx="1312">
                  <v>-0.05660377358490576</v>
                </pt>
                <pt idx="1313">
                  <v>-0.04761904761904767</v>
                </pt>
                <pt idx="1314">
                  <v>-0.03846153846153855</v>
                </pt>
                <pt idx="1315">
                  <v>-0.06542056074766356</v>
                </pt>
                <pt idx="1316">
                  <v>-0.06542056074766356</v>
                </pt>
                <pt idx="1317">
                  <v>-0.0990990990990992</v>
                </pt>
                <pt idx="1318">
                  <v>-0.0825688073394496</v>
                </pt>
                <pt idx="1319">
                  <v>-0.1071428571428572</v>
                </pt>
                <pt idx="1320">
                  <v>-0.1071428571428572</v>
                </pt>
                <pt idx="1321">
                  <v>-0.0825688073394496</v>
                </pt>
                <pt idx="1322">
                  <v>-0.06542056074766356</v>
                </pt>
                <pt idx="1323">
                  <v>-0.0825688073394496</v>
                </pt>
                <pt idx="1324">
                  <v>-0.06542056074766356</v>
                </pt>
                <pt idx="1325">
                  <v>-0.04761904761904767</v>
                </pt>
                <pt idx="1326">
                  <v>-0.04761904761904767</v>
                </pt>
                <pt idx="1327">
                  <v>-0.029126213592233</v>
                </pt>
                <pt idx="1328">
                  <v>-0.05660377358490576</v>
                </pt>
                <pt idx="1329">
                  <v>-0.07407407407407418</v>
                </pt>
                <pt idx="1330">
                  <v>-0.07407407407407418</v>
                </pt>
                <pt idx="1331">
                  <v>-0.05660377358490576</v>
                </pt>
                <pt idx="1332">
                  <v>-0.05660377358490576</v>
                </pt>
                <pt idx="1333">
                  <v>-0.05660377358490576</v>
                </pt>
                <pt idx="1334">
                  <v>-0.05660377358490576</v>
                </pt>
                <pt idx="1335">
                  <v>-0.07407407407407418</v>
                </pt>
                <pt idx="1336">
                  <v>-0.0825688073394496</v>
                </pt>
                <pt idx="1337">
                  <v>-0.07407407407407418</v>
                </pt>
                <pt idx="1338">
                  <v>-0.07407407407407418</v>
                </pt>
                <pt idx="1339">
                  <v>-0.06542056074766356</v>
                </pt>
                <pt idx="1340">
                  <v>-0.0825688073394496</v>
                </pt>
                <pt idx="1341">
                  <v>-0.0990990990990992</v>
                </pt>
                <pt idx="1342">
                  <v>-0.1228070175438596</v>
                </pt>
                <pt idx="1343">
                  <v>-0.1452991452991452</v>
                </pt>
                <pt idx="1344">
                  <v>-0.1379310344827586</v>
                </pt>
                <pt idx="1345">
                  <v>-0.1596638655462185</v>
                </pt>
                <pt idx="1346">
                  <v>-0.1525423728813559</v>
                </pt>
                <pt idx="1347">
                  <v>-0.1525423728813559</v>
                </pt>
                <pt idx="1348">
                  <v>-0.1379310344827586</v>
                </pt>
                <pt idx="1349">
                  <v>-0.0990990990990992</v>
                </pt>
                <pt idx="1350">
                  <v>-0.0825688073394496</v>
                </pt>
                <pt idx="1351">
                  <v>-0.06542056074766356</v>
                </pt>
                <pt idx="1352">
                  <v>-0.029126213592233</v>
                </pt>
                <pt idx="1353">
                  <v>-0.029126213592233</v>
                </pt>
                <pt idx="1354">
                  <v>-0.04761904761904767</v>
                </pt>
                <pt idx="1355">
                  <v>-0.06542056074766356</v>
                </pt>
                <pt idx="1356">
                  <v>-0.0825688073394496</v>
                </pt>
                <pt idx="1357">
                  <v>-0.1071428571428572</v>
                </pt>
                <pt idx="1358">
                  <v>-0.0990990990990992</v>
                </pt>
                <pt idx="1359">
                  <v>-0.1228070175438596</v>
                </pt>
                <pt idx="1360">
                  <v>-0.1379310344827586</v>
                </pt>
                <pt idx="1361">
                  <v>-0.1735537190082644</v>
                </pt>
                <pt idx="1362">
                  <v>-0.2</v>
                </pt>
                <pt idx="1363">
                  <v>-0.2307692307692308</v>
                </pt>
                <pt idx="1364">
                  <v>-0.2063492063492064</v>
                </pt>
                <pt idx="1365">
                  <v>-0.1666666666666666</v>
                </pt>
                <pt idx="1366">
                  <v>-0.1150442477876106</v>
                </pt>
                <pt idx="1367">
                  <v>-0.09090909090909094</v>
                </pt>
                <pt idx="1368">
                  <v>-0.0990990990990992</v>
                </pt>
                <pt idx="1369">
                  <v>-0.1452991452991452</v>
                </pt>
                <pt idx="1370">
                  <v>-0.1452991452991452</v>
                </pt>
                <pt idx="1371">
                  <v>-0.1304347826086956</v>
                </pt>
                <pt idx="1372">
                  <v>-0.0990990990990992</v>
                </pt>
                <pt idx="1373">
                  <v>-0.1150442477876106</v>
                </pt>
                <pt idx="1374">
                  <v>-0.1379310344827586</v>
                </pt>
                <pt idx="1375">
                  <v>-0.1150442477876106</v>
                </pt>
                <pt idx="1376">
                  <v>-0.1150442477876106</v>
                </pt>
                <pt idx="1377">
                  <v>-0.09090909090909094</v>
                </pt>
                <pt idx="1378">
                  <v>-0.06542056074766356</v>
                </pt>
                <pt idx="1379">
                  <v>-0.1150442477876106</v>
                </pt>
                <pt idx="1380">
                  <v>-0.1379310344827586</v>
                </pt>
                <pt idx="1381">
                  <v>-0.1379310344827586</v>
                </pt>
                <pt idx="1382">
                  <v>-0.1379310344827586</v>
                </pt>
                <pt idx="1383">
                  <v>-0.1379310344827586</v>
                </pt>
                <pt idx="1384">
                  <v>-0.1525423728813559</v>
                </pt>
                <pt idx="1385">
                  <v>-0.1525423728813559</v>
                </pt>
                <pt idx="1386">
                  <v>-0.1869918699186992</v>
                </pt>
                <pt idx="1387">
                  <v>-0.180327868852459</v>
                </pt>
                <pt idx="1388">
                  <v>-0.1525423728813559</v>
                </pt>
                <pt idx="1389">
                  <v>-0.180327868852459</v>
                </pt>
                <pt idx="1390">
                  <v>-0.2</v>
                </pt>
                <pt idx="1391">
                  <v>-0.1869918699186992</v>
                </pt>
                <pt idx="1392">
                  <v>-0.1935483870967741</v>
                </pt>
                <pt idx="1393">
                  <v>-0.2</v>
                </pt>
                <pt idx="1394">
                  <v>-0.2537313432835822</v>
                </pt>
                <pt idx="1395">
                  <v>-0.2424242424242424</v>
                </pt>
                <pt idx="1396">
                  <v>-0.2424242424242424</v>
                </pt>
                <pt idx="1397">
                  <v>-0.2424242424242424</v>
                </pt>
                <pt idx="1398">
                  <v>-0.2647058823529412</v>
                </pt>
                <pt idx="1399">
                  <v>-0.2857142857142857</v>
                </pt>
                <pt idx="1400">
                  <v>-0.2424242424242424</v>
                </pt>
                <pt idx="1401">
                  <v>-0.2537313432835822</v>
                </pt>
                <pt idx="1402">
                  <v>-0.21875</v>
                </pt>
                <pt idx="1403">
                  <v>-0.2424242424242424</v>
                </pt>
                <pt idx="1404">
                  <v>-0.1735537190082644</v>
                </pt>
                <pt idx="1405">
                  <v>-0.2366412213740459</v>
                </pt>
                <pt idx="1406">
                  <v>-0.2125984251968505</v>
                </pt>
                <pt idx="1407">
                  <v>-0.2125984251968505</v>
                </pt>
                <pt idx="1408">
                  <v>-0.1869918699186992</v>
                </pt>
                <pt idx="1409">
                  <v>-0.1735537190082644</v>
                </pt>
                <pt idx="1410">
                  <v>-0.1596638655462185</v>
                </pt>
                <pt idx="1411">
                  <v>-0.1379310344827586</v>
                </pt>
                <pt idx="1412">
                  <v>-0.0825688073394496</v>
                </pt>
                <pt idx="1413">
                  <v>-0.1666666666666666</v>
                </pt>
                <pt idx="1414">
                  <v>-0.2</v>
                </pt>
                <pt idx="1415">
                  <v>-0.2</v>
                </pt>
                <pt idx="1416">
                  <v>-0.180327868852459</v>
                </pt>
                <pt idx="1417">
                  <v>-0.1935483870967741</v>
                </pt>
                <pt idx="1418">
                  <v>-0.1379310344827586</v>
                </pt>
                <pt idx="1419">
                  <v>-0.1228070175438596</v>
                </pt>
                <pt idx="1420">
                  <v>-0.1379310344827586</v>
                </pt>
                <pt idx="1421">
                  <v>-0.1379310344827586</v>
                </pt>
                <pt idx="1422">
                  <v>-0.21875</v>
                </pt>
                <pt idx="1423">
                  <v>-0.1666666666666666</v>
                </pt>
                <pt idx="1424">
                  <v>-0.1304347826086956</v>
                </pt>
                <pt idx="1425">
                  <v>-0.1735537190082644</v>
                </pt>
                <pt idx="1426">
                  <v>-0.1596638655462185</v>
                </pt>
                <pt idx="1427">
                  <v>-0.1666666666666666</v>
                </pt>
                <pt idx="1428">
                  <v>-0.1596638655462185</v>
                </pt>
                <pt idx="1429">
                  <v>-0.2125984251968505</v>
                </pt>
                <pt idx="1430">
                  <v>-0.2125984251968505</v>
                </pt>
                <pt idx="1431">
                  <v>-0.2805755395683452</v>
                </pt>
                <pt idx="1432">
                  <v>-0.2592592592592593</v>
                </pt>
                <pt idx="1433">
                  <v>-0.2537313432835822</v>
                </pt>
                <pt idx="1434">
                  <v>-0.2481203007518797</v>
                </pt>
                <pt idx="1435">
                  <v>-0.2125984251968505</v>
                </pt>
                <pt idx="1436">
                  <v>-0.180327868852459</v>
                </pt>
                <pt idx="1437">
                  <v>-0.1379310344827586</v>
                </pt>
                <pt idx="1438">
                  <v>-0.1596638655462185</v>
                </pt>
                <pt idx="1439">
                  <v>-0.1525423728813559</v>
                </pt>
                <pt idx="1440">
                  <v>-0.1596638655462185</v>
                </pt>
                <pt idx="1441">
                  <v>-0.1596638655462185</v>
                </pt>
                <pt idx="1442">
                  <v>-0.1666666666666666</v>
                </pt>
                <pt idx="1443">
                  <v>-0.2125984251968505</v>
                </pt>
                <pt idx="1444">
                  <v>-0.2</v>
                </pt>
                <pt idx="1445">
                  <v>-0.1525423728813559</v>
                </pt>
                <pt idx="1446">
                  <v>-0.1735537190082644</v>
                </pt>
                <pt idx="1447">
                  <v>-0.1869918699186992</v>
                </pt>
                <pt idx="1448">
                  <v>-0.2</v>
                </pt>
                <pt idx="1449">
                  <v>-0.2424242424242424</v>
                </pt>
                <pt idx="1450">
                  <v>-0.2424242424242424</v>
                </pt>
                <pt idx="1451">
                  <v>-0.2125984251968505</v>
                </pt>
                <pt idx="1452">
                  <v>-0.2307692307692308</v>
                </pt>
                <pt idx="1453">
                  <v>-0.2</v>
                </pt>
                <pt idx="1454">
                  <v>-0.2</v>
                </pt>
                <pt idx="1455">
                  <v>-0.2</v>
                </pt>
                <pt idx="1456">
                  <v>-0.1869918699186992</v>
                </pt>
                <pt idx="1457">
                  <v>-0.180327868852459</v>
                </pt>
                <pt idx="1458">
                  <v>-0.1935483870967741</v>
                </pt>
                <pt idx="1459">
                  <v>-0.1596638655462185</v>
                </pt>
                <pt idx="1460">
                  <v>-0.1150442477876106</v>
                </pt>
                <pt idx="1461">
                  <v>-0.1150442477876106</v>
                </pt>
                <pt idx="1462">
                  <v>-0.1150442477876106</v>
                </pt>
                <pt idx="1463">
                  <v>-0.1596638655462185</v>
                </pt>
                <pt idx="1464">
                  <v>-0.1525423728813559</v>
                </pt>
                <pt idx="1465">
                  <v>-0.1596638655462185</v>
                </pt>
                <pt idx="1466">
                  <v>-0.1525423728813559</v>
                </pt>
                <pt idx="1467">
                  <v>-0.1228070175438596</v>
                </pt>
                <pt idx="1468">
                  <v>-0.1379310344827586</v>
                </pt>
                <pt idx="1469">
                  <v>-0.1379310344827586</v>
                </pt>
                <pt idx="1470">
                  <v>-0.1228070175438596</v>
                </pt>
                <pt idx="1471">
                  <v>-0.1379310344827586</v>
                </pt>
                <pt idx="1472">
                  <v>-0.1935483870967741</v>
                </pt>
                <pt idx="1473">
                  <v>-0.2</v>
                </pt>
                <pt idx="1474">
                  <v>-0.1935483870967741</v>
                </pt>
                <pt idx="1475">
                  <v>-0.2125984251968505</v>
                </pt>
                <pt idx="1476">
                  <v>-0.2063492063492064</v>
                </pt>
                <pt idx="1477">
                  <v>-0.2307692307692308</v>
                </pt>
                <pt idx="1478">
                  <v>-0.2063492063492064</v>
                </pt>
                <pt idx="1479">
                  <v>-0.2</v>
                </pt>
                <pt idx="1480">
                  <v>-0.180327868852459</v>
                </pt>
                <pt idx="1481">
                  <v>-0.2248062015503877</v>
                </pt>
                <pt idx="1482">
                  <v>-0.2307692307692308</v>
                </pt>
                <pt idx="1483">
                  <v>-0.2481203007518797</v>
                </pt>
                <pt idx="1484">
                  <v>-0.2248062015503877</v>
                </pt>
                <pt idx="1485">
                  <v>-0.2307692307692308</v>
                </pt>
                <pt idx="1486">
                  <v>-0.21875</v>
                </pt>
                <pt idx="1487">
                  <v>-0.2424242424242424</v>
                </pt>
                <pt idx="1488">
                  <v>-0.2753623188405796</v>
                </pt>
                <pt idx="1489">
                  <v>-0.2805755395683452</v>
                </pt>
                <pt idx="1490">
                  <v>-0.2805755395683452</v>
                </pt>
                <pt idx="1491">
                  <v>-0.3197278911564626</v>
                </pt>
                <pt idx="1492">
                  <v>-0.3103448275862069</v>
                </pt>
                <pt idx="1493">
                  <v>-0.2907801418439716</v>
                </pt>
                <pt idx="1494">
                  <v>-0.2857142857142857</v>
                </pt>
                <pt idx="1495">
                  <v>-0.3006993006993006</v>
                </pt>
                <pt idx="1496">
                  <v>-0.2857142857142857</v>
                </pt>
                <pt idx="1497">
                  <v>-0.2805755395683452</v>
                </pt>
                <pt idx="1498">
                  <v>-0.2857142857142857</v>
                </pt>
                <pt idx="1499">
                  <v>-0.2805755395683452</v>
                </pt>
                <pt idx="1500">
                  <v>-0.2700729927007299</v>
                </pt>
                <pt idx="1501">
                  <v>-0.2753623188405796</v>
                </pt>
                <pt idx="1502">
                  <v>-0.2537313432835822</v>
                </pt>
                <pt idx="1503">
                  <v>-0.2857142857142857</v>
                </pt>
                <pt idx="1504">
                  <v>-0.2857142857142857</v>
                </pt>
                <pt idx="1505">
                  <v>-0.2957746478873239</v>
                </pt>
                <pt idx="1506">
                  <v>-0.3055555555555556</v>
                </pt>
                <pt idx="1507">
                  <v>-0.3055555555555556</v>
                </pt>
                <pt idx="1508">
                  <v>-0.3288590604026845</v>
                </pt>
                <pt idx="1509">
                  <v>-0.3377483443708609</v>
                </pt>
                <pt idx="1510">
                  <v>-0.3377483443708609</v>
                </pt>
                <pt idx="1511">
                  <v>-0.3103448275862069</v>
                </pt>
                <pt idx="1512">
                  <v>-0.3243243243243243</v>
                </pt>
                <pt idx="1513">
                  <v>-0.3103448275862069</v>
                </pt>
                <pt idx="1514">
                  <v>-0.3243243243243243</v>
                </pt>
                <pt idx="1515">
                  <v>-0.3197278911564626</v>
                </pt>
                <pt idx="1516">
                  <v>-0.2957746478873239</v>
                </pt>
                <pt idx="1517">
                  <v>-0.2805755395683452</v>
                </pt>
                <pt idx="1518">
                  <v>-0.2805755395683452</v>
                </pt>
                <pt idx="1519">
                  <v>-0.2805755395683452</v>
                </pt>
                <pt idx="1520">
                  <v>-0.2805755395683452</v>
                </pt>
                <pt idx="1521">
                  <v>-0.2907801418439716</v>
                </pt>
                <pt idx="1522">
                  <v>-0.2857142857142857</v>
                </pt>
                <pt idx="1523">
                  <v>-0.2857142857142857</v>
                </pt>
                <pt idx="1524">
                  <v>-0.2907801418439716</v>
                </pt>
                <pt idx="1525">
                  <v>-0.2805755395683452</v>
                </pt>
                <pt idx="1526">
                  <v>-0.2857142857142857</v>
                </pt>
                <pt idx="1527">
                  <v>-0.3055555555555556</v>
                </pt>
                <pt idx="1528">
                  <v>-0.2857142857142857</v>
                </pt>
                <pt idx="1529">
                  <v>-0.2857142857142857</v>
                </pt>
                <pt idx="1530">
                  <v>-0.2805755395683452</v>
                </pt>
                <pt idx="1531">
                  <v>-0.2647058823529412</v>
                </pt>
                <pt idx="1532">
                  <v>-0.2307692307692308</v>
                </pt>
                <pt idx="1533">
                  <v>-0.21875</v>
                </pt>
                <pt idx="1534">
                  <v>-0.2700729927007299</v>
                </pt>
                <pt idx="1535">
                  <v>-0.2647058823529412</v>
                </pt>
                <pt idx="1536">
                  <v>-0.2647058823529412</v>
                </pt>
                <pt idx="1537">
                  <v>-0.2753623188405796</v>
                </pt>
                <pt idx="1538">
                  <v>-0.2805755395683452</v>
                </pt>
                <pt idx="1539">
                  <v>-0.2753623188405796</v>
                </pt>
                <pt idx="1540">
                  <v>-0.3006993006993006</v>
                </pt>
                <pt idx="1541">
                  <v>-0.315068493150685</v>
                </pt>
                <pt idx="1542">
                  <v>-0.315068493150685</v>
                </pt>
                <pt idx="1543">
                  <v>-0.2907801418439716</v>
                </pt>
                <pt idx="1544">
                  <v>-0.3103448275862069</v>
                </pt>
                <pt idx="1545">
                  <v>-0.3055555555555556</v>
                </pt>
                <pt idx="1546">
                  <v>-0.3288590604026845</v>
                </pt>
                <pt idx="1547">
                  <v>-0.3548387096774194</v>
                </pt>
                <pt idx="1548">
                  <v>-0.3506493506493507</v>
                </pt>
                <pt idx="1549">
                  <v>-0.3506493506493507</v>
                </pt>
                <pt idx="1550">
                  <v>-0.3506493506493507</v>
                </pt>
                <pt idx="1551">
                  <v>-0.3670886075949368</v>
                </pt>
                <pt idx="1552">
                  <v>-0.3670886075949368</v>
                </pt>
                <pt idx="1553">
                  <v>-0.3333333333333334</v>
                </pt>
                <pt idx="1554">
                  <v>-0.3333333333333334</v>
                </pt>
                <pt idx="1555">
                  <v>-0.3333333333333334</v>
                </pt>
                <pt idx="1556">
                  <v>-0.315068493150685</v>
                </pt>
                <pt idx="1557">
                  <v>-0.3421052631578947</v>
                </pt>
                <pt idx="1558">
                  <v>-0.3548387096774194</v>
                </pt>
                <pt idx="1559">
                  <v>-0.358974358974359</v>
                </pt>
                <pt idx="1560">
                  <v>-0.3243243243243243</v>
                </pt>
                <pt idx="1561">
                  <v>-0.315068493150685</v>
                </pt>
                <pt idx="1562">
                  <v>-0.3103448275862069</v>
                </pt>
                <pt idx="1563">
                  <v>-0.3103448275862069</v>
                </pt>
                <pt idx="1564">
                  <v>-0.3197278911564626</v>
                </pt>
                <pt idx="1565">
                  <v>-0.3197278911564626</v>
                </pt>
                <pt idx="1566">
                  <v>-0.3197278911564626</v>
                </pt>
                <pt idx="1567">
                  <v>-0.3197278911564626</v>
                </pt>
                <pt idx="1568">
                  <v>-0.315068493150685</v>
                </pt>
                <pt idx="1569">
                  <v>-0.3055555555555556</v>
                </pt>
                <pt idx="1570">
                  <v>-0.3055555555555556</v>
                </pt>
                <pt idx="1571">
                  <v>-0.3006993006993006</v>
                </pt>
                <pt idx="1572">
                  <v>-0.3055555555555556</v>
                </pt>
                <pt idx="1573">
                  <v>-0.2907801418439716</v>
                </pt>
                <pt idx="1574">
                  <v>-0.2857142857142857</v>
                </pt>
                <pt idx="1575">
                  <v>-0.2857142857142857</v>
                </pt>
                <pt idx="1576">
                  <v>-0.2857142857142857</v>
                </pt>
                <pt idx="1577">
                  <v>-0.2647058823529412</v>
                </pt>
                <pt idx="1578">
                  <v>-0.2592592592592593</v>
                </pt>
                <pt idx="1579">
                  <v>-0.2481203007518797</v>
                </pt>
                <pt idx="1580">
                  <v>-0.2424242424242424</v>
                </pt>
                <pt idx="1581">
                  <v>-0.2481203007518797</v>
                </pt>
                <pt idx="1582">
                  <v>-0.2592592592592593</v>
                </pt>
                <pt idx="1583">
                  <v>-0.2700729927007299</v>
                </pt>
                <pt idx="1584">
                  <v>-0.2857142857142857</v>
                </pt>
                <pt idx="1585">
                  <v>-0.315068493150685</v>
                </pt>
                <pt idx="1586">
                  <v>-0.3103448275862069</v>
                </pt>
                <pt idx="1587">
                  <v>-0.3288590604026845</v>
                </pt>
                <pt idx="1588">
                  <v>-0.3243243243243243</v>
                </pt>
                <pt idx="1589">
                  <v>-0.3288590604026845</v>
                </pt>
                <pt idx="1590">
                  <v>-0.3506493506493507</v>
                </pt>
                <pt idx="1591">
                  <v>-0.3788819875776398</v>
                </pt>
                <pt idx="1592">
                  <v>-0.4186046511627907</v>
                </pt>
                <pt idx="1593">
                  <v>-0.4444444444444444</v>
                </pt>
                <pt idx="1594">
                  <v>-0.4505494505494506</v>
                </pt>
                <pt idx="1595">
                  <v>-0.4186046511627907</v>
                </pt>
                <pt idx="1596">
                  <v>-0.4252873563218391</v>
                </pt>
                <pt idx="1597">
                  <v>-0.3939393939393939</v>
                </pt>
                <pt idx="1598">
                  <v>-0.3710691823899371</v>
                </pt>
                <pt idx="1599">
                  <v>-0.3788819875776398</v>
                </pt>
                <pt idx="1600">
                  <v>-0.375</v>
                </pt>
                <pt idx="1601">
                  <v>-0.3670886075949368</v>
                </pt>
                <pt idx="1602">
                  <v>-0.3197278911564626</v>
                </pt>
                <pt idx="1603">
                  <v>-0.2857142857142857</v>
                </pt>
                <pt idx="1604">
                  <v>-0.3103448275862069</v>
                </pt>
                <pt idx="1605">
                  <v>-0.315068493150685</v>
                </pt>
                <pt idx="1606">
                  <v>-0.2957746478873239</v>
                </pt>
                <pt idx="1607">
                  <v>-0.2957746478873239</v>
                </pt>
                <pt idx="1608">
                  <v>-0.2957746478873239</v>
                </pt>
                <pt idx="1609">
                  <v>-0.3197278911564626</v>
                </pt>
                <pt idx="1610">
                  <v>-0.315068493150685</v>
                </pt>
                <pt idx="1611">
                  <v>-0.3243243243243243</v>
                </pt>
                <pt idx="1612">
                  <v>-0.3197278911564626</v>
                </pt>
                <pt idx="1613">
                  <v>-0.3421052631578947</v>
                </pt>
                <pt idx="1614">
                  <v>-0.3827160493827161</v>
                </pt>
                <pt idx="1615">
                  <v>-0.3902439024390244</v>
                </pt>
                <pt idx="1616">
                  <v>-0.3788819875776398</v>
                </pt>
                <pt idx="1617">
                  <v>-0.3630573248407644</v>
                </pt>
                <pt idx="1618">
                  <v>-0.3788819875776398</v>
                </pt>
                <pt idx="1619">
                  <v>-0.3865030674846626</v>
                </pt>
                <pt idx="1620">
                  <v>-0.3865030674846626</v>
                </pt>
                <pt idx="1621">
                  <v>-0.3670886075949368</v>
                </pt>
                <pt idx="1622">
                  <v>-0.358974358974359</v>
                </pt>
                <pt idx="1623">
                  <v>-0.3788819875776398</v>
                </pt>
                <pt idx="1624">
                  <v>-0.3865030674846626</v>
                </pt>
                <pt idx="1625">
                  <v>-0.3788819875776398</v>
                </pt>
                <pt idx="1626">
                  <v>-0.3788819875776398</v>
                </pt>
                <pt idx="1627">
                  <v>-0.3975903614457831</v>
                </pt>
                <pt idx="1628">
                  <v>-0.3975903614457831</v>
                </pt>
                <pt idx="1629">
                  <v>-0.3902439024390244</v>
                </pt>
                <pt idx="1630">
                  <v>-0.3548387096774194</v>
                </pt>
                <pt idx="1631">
                  <v>-0.3333333333333334</v>
                </pt>
                <pt idx="1632">
                  <v>-0.3506493506493507</v>
                </pt>
                <pt idx="1633">
                  <v>-0.3421052631578947</v>
                </pt>
                <pt idx="1634">
                  <v>-0.3243243243243243</v>
                </pt>
                <pt idx="1635">
                  <v>-0.315068493150685</v>
                </pt>
                <pt idx="1636">
                  <v>-0.315068493150685</v>
                </pt>
                <pt idx="1637">
                  <v>-0.3055555555555556</v>
                </pt>
                <pt idx="1638">
                  <v>-0.3333333333333334</v>
                </pt>
                <pt idx="1639">
                  <v>-0.358974358974359</v>
                </pt>
                <pt idx="1640">
                  <v>-0.3670886075949368</v>
                </pt>
                <pt idx="1641">
                  <v>-0.3333333333333334</v>
                </pt>
                <pt idx="1642">
                  <v>-0.3506493506493507</v>
                </pt>
                <pt idx="1643">
                  <v>-0.3333333333333334</v>
                </pt>
                <pt idx="1644">
                  <v>-0.3377483443708609</v>
                </pt>
                <pt idx="1645">
                  <v>-0.3333333333333334</v>
                </pt>
                <pt idx="1646">
                  <v>-0.2805755395683452</v>
                </pt>
                <pt idx="1647">
                  <v>-0.2700729927007299</v>
                </pt>
                <pt idx="1648">
                  <v>-0.2857142857142857</v>
                </pt>
                <pt idx="1649">
                  <v>-0.2424242424242424</v>
                </pt>
                <pt idx="1650">
                  <v>-0.21875</v>
                </pt>
                <pt idx="1651">
                  <v>-0.2248062015503877</v>
                </pt>
                <pt idx="1652">
                  <v>-0.2248062015503877</v>
                </pt>
                <pt idx="1653">
                  <v>-0.2366412213740459</v>
                </pt>
                <pt idx="1654">
                  <v>-0.2424242424242424</v>
                </pt>
                <pt idx="1655">
                  <v>-0.2366412213740459</v>
                </pt>
                <pt idx="1656">
                  <v>-0.2366412213740459</v>
                </pt>
                <pt idx="1657">
                  <v>-0.2248062015503877</v>
                </pt>
                <pt idx="1658">
                  <v>-0.2063492063492064</v>
                </pt>
                <pt idx="1659">
                  <v>-0.180327868852459</v>
                </pt>
                <pt idx="1660">
                  <v>-0.1735537190082644</v>
                </pt>
                <pt idx="1661">
                  <v>-0.1869918699186992</v>
                </pt>
                <pt idx="1662">
                  <v>-0.2063492063492064</v>
                </pt>
                <pt idx="1663">
                  <v>-0.1869918699186992</v>
                </pt>
                <pt idx="1664">
                  <v>-0.1666666666666666</v>
                </pt>
                <pt idx="1665">
                  <v>-0.1735537190082644</v>
                </pt>
                <pt idx="1666">
                  <v>-0.1935483870967741</v>
                </pt>
                <pt idx="1667">
                  <v>-0.180327868852459</v>
                </pt>
                <pt idx="1668">
                  <v>-0.1666666666666666</v>
                </pt>
                <pt idx="1669">
                  <v>-0.1150442477876106</v>
                </pt>
                <pt idx="1670">
                  <v>-0.1228070175438596</v>
                </pt>
                <pt idx="1671">
                  <v>-0.1228070175438596</v>
                </pt>
                <pt idx="1672">
                  <v>-0.1304347826086956</v>
                </pt>
                <pt idx="1673">
                  <v>-0.1452991452991452</v>
                </pt>
                <pt idx="1674">
                  <v>-0.1304347826086956</v>
                </pt>
                <pt idx="1675">
                  <v>-0.1071428571428572</v>
                </pt>
                <pt idx="1676">
                  <v>-0.1071428571428572</v>
                </pt>
                <pt idx="1677">
                  <v>-0.0990990990990992</v>
                </pt>
                <pt idx="1678">
                  <v>-0.07407407407407418</v>
                </pt>
                <pt idx="1679">
                  <v>-0.06542056074766356</v>
                </pt>
                <pt idx="1680">
                  <v>-0.06542056074766356</v>
                </pt>
                <pt idx="1681">
                  <v>-0.05660377358490576</v>
                </pt>
                <pt idx="1682">
                  <v>-0.07407407407407418</v>
                </pt>
                <pt idx="1683">
                  <v>-0.09090909090909094</v>
                </pt>
                <pt idx="1684">
                  <v>-0.09090909090909094</v>
                </pt>
                <pt idx="1685">
                  <v>-0.0990990990990992</v>
                </pt>
                <pt idx="1686">
                  <v>-0.04761904761904767</v>
                </pt>
                <pt idx="1687">
                  <v>-0.03846153846153855</v>
                </pt>
                <pt idx="1688">
                  <v>-0.01960784313725494</v>
                </pt>
                <pt idx="1689">
                  <v>-0.029126213592233</v>
                </pt>
                <pt idx="1690">
                  <v>-0.05660377358490576</v>
                </pt>
                <pt idx="1691">
                  <v>-0.07407407407407418</v>
                </pt>
                <pt idx="1692">
                  <v>-0.029126213592233</v>
                </pt>
                <pt idx="1693">
                  <v>0</v>
                </pt>
                <pt idx="1694">
                  <v>-0.01960784313725494</v>
                </pt>
                <pt idx="1695">
                  <v>-0.029126213592233</v>
                </pt>
                <pt idx="1696">
                  <v>-0.01960784313725494</v>
                </pt>
                <pt idx="1697">
                  <v>-0.01960784313725494</v>
                </pt>
                <pt idx="1698">
                  <v>-0.01960784313725494</v>
                </pt>
                <pt idx="1699">
                  <v>-0.06542056074766356</v>
                </pt>
                <pt idx="1700">
                  <v>-0.07407407407407418</v>
                </pt>
                <pt idx="1701">
                  <v>-0.09090909090909094</v>
                </pt>
                <pt idx="1702">
                  <v>-0.00990099009900991</v>
                </pt>
                <pt idx="1703">
                  <v>-0.00990099009900991</v>
                </pt>
                <pt idx="1704">
                  <v>-0.04761904761904767</v>
                </pt>
                <pt idx="1705">
                  <v>-0.05660377358490576</v>
                </pt>
                <pt idx="1706">
                  <v>-0.0825688073394496</v>
                </pt>
                <pt idx="1707">
                  <v>-0.07407407407407418</v>
                </pt>
                <pt idx="1708">
                  <v>-0.1228070175438596</v>
                </pt>
                <pt idx="1709">
                  <v>-0.1304347826086956</v>
                </pt>
                <pt idx="1710">
                  <v>-0.1596638655462185</v>
                </pt>
                <pt idx="1711">
                  <v>-0.1525423728813559</v>
                </pt>
                <pt idx="1712">
                  <v>-0.1379310344827586</v>
                </pt>
                <pt idx="1713">
                  <v>-0.1525423728813559</v>
                </pt>
                <pt idx="1714">
                  <v>-0.1228070175438596</v>
                </pt>
                <pt idx="1715">
                  <v>-0.1304347826086956</v>
                </pt>
                <pt idx="1716">
                  <v>-0.1150442477876106</v>
                </pt>
                <pt idx="1717">
                  <v>-0.1304347826086956</v>
                </pt>
                <pt idx="1718">
                  <v>-0.1596638655462185</v>
                </pt>
                <pt idx="1719">
                  <v>-0.1525423728813559</v>
                </pt>
                <pt idx="1720">
                  <v>-0.1452991452991452</v>
                </pt>
                <pt idx="1721">
                  <v>-0.1666666666666666</v>
                </pt>
                <pt idx="1722">
                  <v>-0.1666666666666666</v>
                </pt>
                <pt idx="1723">
                  <v>-0.1525423728813559</v>
                </pt>
                <pt idx="1724">
                  <v>-0.1735537190082644</v>
                </pt>
                <pt idx="1725">
                  <v>-0.1735537190082644</v>
                </pt>
                <pt idx="1726">
                  <v>-0.1735537190082644</v>
                </pt>
                <pt idx="1727">
                  <v>-0.1869918699186992</v>
                </pt>
                <pt idx="1728">
                  <v>-0.1735537190082644</v>
                </pt>
                <pt idx="1729">
                  <v>-0.1935483870967741</v>
                </pt>
                <pt idx="1730">
                  <v>-0.1869918699186992</v>
                </pt>
                <pt idx="1731">
                  <v>-0.1666666666666666</v>
                </pt>
                <pt idx="1732">
                  <v>-0.1452991452991452</v>
                </pt>
                <pt idx="1733">
                  <v>-0.1596638655462185</v>
                </pt>
                <pt idx="1734">
                  <v>-0.1596638655462185</v>
                </pt>
                <pt idx="1735">
                  <v>-0.180327868852459</v>
                </pt>
                <pt idx="1736">
                  <v>-0.180327868852459</v>
                </pt>
                <pt idx="1737">
                  <v>-0.180327868852459</v>
                </pt>
                <pt idx="1738">
                  <v>-0.1735537190082644</v>
                </pt>
                <pt idx="1739">
                  <v>-0.1935483870967741</v>
                </pt>
                <pt idx="1740">
                  <v>-0.1735537190082644</v>
                </pt>
                <pt idx="1741">
                  <v>-0.1666666666666666</v>
                </pt>
                <pt idx="1742">
                  <v>-0.1666666666666666</v>
                </pt>
                <pt idx="1743">
                  <v>-0.2063492063492064</v>
                </pt>
                <pt idx="1744">
                  <v>-0.1935483870967741</v>
                </pt>
                <pt idx="1745">
                  <v>-0.1666666666666666</v>
                </pt>
                <pt idx="1746">
                  <v>-0.1735537190082644</v>
                </pt>
                <pt idx="1747">
                  <v>-0.1869918699186992</v>
                </pt>
                <pt idx="1748">
                  <v>-0.2</v>
                </pt>
                <pt idx="1749">
                  <v>-0.1935483870967741</v>
                </pt>
                <pt idx="1750">
                  <v>-0.21875</v>
                </pt>
                <pt idx="1751">
                  <v>-0.2125984251968505</v>
                </pt>
                <pt idx="1752">
                  <v>-0.21875</v>
                </pt>
                <pt idx="1753">
                  <v>-0.21875</v>
                </pt>
                <pt idx="1754">
                  <v>-0.2125984251968505</v>
                </pt>
                <pt idx="1755">
                  <v>-0.2424242424242424</v>
                </pt>
                <pt idx="1756">
                  <v>-0.2366412213740459</v>
                </pt>
                <pt idx="1757">
                  <v>-0.2366412213740459</v>
                </pt>
                <pt idx="1758">
                  <v>-0.2366412213740459</v>
                </pt>
                <pt idx="1759">
                  <v>-0.2366412213740459</v>
                </pt>
                <pt idx="1760">
                  <v>-0.2592592592592593</v>
                </pt>
                <pt idx="1761">
                  <v>-0.3006993006993006</v>
                </pt>
                <pt idx="1762">
                  <v>-0.2857142857142857</v>
                </pt>
                <pt idx="1763">
                  <v>-0.2805755395683452</v>
                </pt>
                <pt idx="1764">
                  <v>-0.2857142857142857</v>
                </pt>
                <pt idx="1765">
                  <v>-0.2857142857142857</v>
                </pt>
                <pt idx="1766">
                  <v>-0.2647058823529412</v>
                </pt>
                <pt idx="1767">
                  <v>-0.2805755395683452</v>
                </pt>
                <pt idx="1768">
                  <v>-0.2753623188405796</v>
                </pt>
                <pt idx="1769">
                  <v>-0.2805755395683452</v>
                </pt>
                <pt idx="1770">
                  <v>-0.2857142857142857</v>
                </pt>
                <pt idx="1771">
                  <v>-0.2907801418439716</v>
                </pt>
                <pt idx="1772">
                  <v>-0.2805755395683452</v>
                </pt>
                <pt idx="1773">
                  <v>-0.2424242424242424</v>
                </pt>
                <pt idx="1774">
                  <v>-0.2481203007518797</v>
                </pt>
                <pt idx="1775">
                  <v>-0.2481203007518797</v>
                </pt>
                <pt idx="1776">
                  <v>-0.2307692307692308</v>
                </pt>
                <pt idx="1777">
                  <v>-0.2063492063492064</v>
                </pt>
                <pt idx="1778">
                  <v>-0.2125984251968505</v>
                </pt>
                <pt idx="1779">
                  <v>-0.1525423728813559</v>
                </pt>
                <pt idx="1780">
                  <v>-0.1666666666666666</v>
                </pt>
                <pt idx="1781">
                  <v>-0.180327868852459</v>
                </pt>
                <pt idx="1782">
                  <v>-0.180327868852459</v>
                </pt>
                <pt idx="1783">
                  <v>-0.1869918699186992</v>
                </pt>
                <pt idx="1784">
                  <v>-0.1596638655462185</v>
                </pt>
                <pt idx="1785">
                  <v>-0.180327868852459</v>
                </pt>
                <pt idx="1786">
                  <v>-0.1935483870967741</v>
                </pt>
                <pt idx="1787">
                  <v>-0.1935483870967741</v>
                </pt>
                <pt idx="1788">
                  <v>-0.2063492063492064</v>
                </pt>
                <pt idx="1789">
                  <v>-0.1735537190082644</v>
                </pt>
                <pt idx="1790">
                  <v>-0.1935483870967741</v>
                </pt>
                <pt idx="1791">
                  <v>-0.1935483870967741</v>
                </pt>
                <pt idx="1792">
                  <v>-0.21875</v>
                </pt>
                <pt idx="1793">
                  <v>-0.2125984251968505</v>
                </pt>
                <pt idx="1794">
                  <v>-0.2248062015503877</v>
                </pt>
                <pt idx="1795">
                  <v>-0.2366412213740459</v>
                </pt>
                <pt idx="1796">
                  <v>-0.2248062015503877</v>
                </pt>
                <pt idx="1797">
                  <v>-0.2647058823529412</v>
                </pt>
                <pt idx="1798">
                  <v>-0.2537313432835822</v>
                </pt>
                <pt idx="1799">
                  <v>-0.2647058823529412</v>
                </pt>
                <pt idx="1800">
                  <v>-0.2647058823529412</v>
                </pt>
                <pt idx="1801">
                  <v>-0.2700729927007299</v>
                </pt>
                <pt idx="1802">
                  <v>-0.2366412213740459</v>
                </pt>
                <pt idx="1803">
                  <v>-0.2366412213740459</v>
                </pt>
                <pt idx="1804">
                  <v>-0.2366412213740459</v>
                </pt>
                <pt idx="1805">
                  <v>-0.2424242424242424</v>
                </pt>
                <pt idx="1806">
                  <v>-0.2366412213740459</v>
                </pt>
                <pt idx="1807">
                  <v>-0.2424242424242424</v>
                </pt>
                <pt idx="1808">
                  <v>-0.2307692307692308</v>
                </pt>
                <pt idx="1809">
                  <v>-0.2424242424242424</v>
                </pt>
                <pt idx="1810">
                  <v>-0.2307692307692308</v>
                </pt>
                <pt idx="1811">
                  <v>-0.2307692307692308</v>
                </pt>
                <pt idx="1812">
                  <v>-0.1869918699186992</v>
                </pt>
                <pt idx="1813">
                  <v>-0.2</v>
                </pt>
                <pt idx="1814">
                  <v>-0.1935483870967741</v>
                </pt>
                <pt idx="1815">
                  <v>-0.1935483870967741</v>
                </pt>
                <pt idx="1816">
                  <v>-0.180327868852459</v>
                </pt>
                <pt idx="1817">
                  <v>-0.1596638655462185</v>
                </pt>
                <pt idx="1818">
                  <v>-0.1935483870967741</v>
                </pt>
                <pt idx="1819">
                  <v>-0.2</v>
                </pt>
                <pt idx="1820">
                  <v>-0.1869918699186992</v>
                </pt>
                <pt idx="1821">
                  <v>-0.1735537190082644</v>
                </pt>
                <pt idx="1822">
                  <v>-0.21875</v>
                </pt>
                <pt idx="1823">
                  <v>-0.21875</v>
                </pt>
                <pt idx="1824">
                  <v>-0.1735537190082644</v>
                </pt>
                <pt idx="1825">
                  <v>-0.2</v>
                </pt>
                <pt idx="1826">
                  <v>-0.1869918699186992</v>
                </pt>
                <pt idx="1827">
                  <v>-0.1869918699186992</v>
                </pt>
                <pt idx="1828">
                  <v>-0.1666666666666666</v>
                </pt>
                <pt idx="1829">
                  <v>-0.1379310344827586</v>
                </pt>
                <pt idx="1830">
                  <v>-0.1596638655462185</v>
                </pt>
                <pt idx="1831">
                  <v>-0.1666666666666666</v>
                </pt>
                <pt idx="1832">
                  <v>-0.1304347826086956</v>
                </pt>
                <pt idx="1833">
                  <v>-0.1150442477876106</v>
                </pt>
                <pt idx="1834">
                  <v>-0.1150442477876106</v>
                </pt>
                <pt idx="1835">
                  <v>-0.1071428571428572</v>
                </pt>
                <pt idx="1836">
                  <v>-0.1304347826086956</v>
                </pt>
                <pt idx="1837">
                  <v>-0.1228070175438596</v>
                </pt>
                <pt idx="1838">
                  <v>-0.1304347826086956</v>
                </pt>
                <pt idx="1839">
                  <v>-0.1379310344827586</v>
                </pt>
                <pt idx="1840">
                  <v>-0.1379310344827586</v>
                </pt>
                <pt idx="1841">
                  <v>-0.1452991452991452</v>
                </pt>
                <pt idx="1842">
                  <v>-0.1525423728813559</v>
                </pt>
                <pt idx="1843">
                  <v>-0.1452991452991452</v>
                </pt>
                <pt idx="1844">
                  <v>-0.1525423728813559</v>
                </pt>
                <pt idx="1845">
                  <v>-0.1596638655462185</v>
                </pt>
                <pt idx="1846">
                  <v>-0.1379310344827586</v>
                </pt>
                <pt idx="1847">
                  <v>-0.1379310344827586</v>
                </pt>
                <pt idx="1848">
                  <v>-0.1304347826086956</v>
                </pt>
                <pt idx="1849">
                  <v>-0.1150442477876106</v>
                </pt>
                <pt idx="1850">
                  <v>-0.1228070175438596</v>
                </pt>
                <pt idx="1851">
                  <v>-0.1452991452991452</v>
                </pt>
                <pt idx="1852">
                  <v>-0.1452991452991452</v>
                </pt>
                <pt idx="1853">
                  <v>-0.1452991452991452</v>
                </pt>
                <pt idx="1854">
                  <v>-0.1452991452991452</v>
                </pt>
                <pt idx="1855">
                  <v>-0.1735537190082644</v>
                </pt>
                <pt idx="1856">
                  <v>-0.180327868852459</v>
                </pt>
                <pt idx="1857">
                  <v>-0.2063492063492064</v>
                </pt>
                <pt idx="1858">
                  <v>-0.2</v>
                </pt>
                <pt idx="1859">
                  <v>-0.21875</v>
                </pt>
                <pt idx="1860">
                  <v>-0.2248062015503877</v>
                </pt>
                <pt idx="1861">
                  <v>-0.2125984251968505</v>
                </pt>
                <pt idx="1862">
                  <v>-0.2125984251968505</v>
                </pt>
                <pt idx="1863">
                  <v>-0.180327868852459</v>
                </pt>
                <pt idx="1864">
                  <v>-0.1935483870967741</v>
                </pt>
                <pt idx="1865">
                  <v>-0.2125984251968505</v>
                </pt>
                <pt idx="1866">
                  <v>-0.1869918699186992</v>
                </pt>
                <pt idx="1867">
                  <v>-0.1869918699186992</v>
                </pt>
                <pt idx="1868">
                  <v>-0.2125984251968505</v>
                </pt>
                <pt idx="1869">
                  <v>-0.21875</v>
                </pt>
                <pt idx="1870">
                  <v>-0.2</v>
                </pt>
                <pt idx="1871">
                  <v>-0.2</v>
                </pt>
                <pt idx="1872">
                  <v>-0.2</v>
                </pt>
                <pt idx="1873">
                  <v>-0.2366412213740459</v>
                </pt>
                <pt idx="1874">
                  <v>-0.2481203007518797</v>
                </pt>
                <pt idx="1875">
                  <v>-0.2481203007518797</v>
                </pt>
                <pt idx="1876">
                  <v>-0.21875</v>
                </pt>
                <pt idx="1877">
                  <v>-0.21875</v>
                </pt>
                <pt idx="1878">
                  <v>-0.2366412213740459</v>
                </pt>
                <pt idx="1879">
                  <v>-0.2366412213740459</v>
                </pt>
                <pt idx="1880">
                  <v>-0.2424242424242424</v>
                </pt>
                <pt idx="1881">
                  <v>-0.2307692307692308</v>
                </pt>
                <pt idx="1882">
                  <v>-0.2481203007518797</v>
                </pt>
                <pt idx="1883">
                  <v>-0.2481203007518797</v>
                </pt>
                <pt idx="1884">
                  <v>-0.2366412213740459</v>
                </pt>
                <pt idx="1885">
                  <v>-0.2307692307692308</v>
                </pt>
                <pt idx="1886">
                  <v>-0.21875</v>
                </pt>
                <pt idx="1887">
                  <v>-0.2125984251968505</v>
                </pt>
                <pt idx="1888">
                  <v>-0.2248062015503877</v>
                </pt>
                <pt idx="1889">
                  <v>-0.21875</v>
                </pt>
                <pt idx="1890">
                  <v>-0.2063492063492064</v>
                </pt>
                <pt idx="1891">
                  <v>-0.1869918699186992</v>
                </pt>
                <pt idx="1892">
                  <v>-0.180327868852459</v>
                </pt>
                <pt idx="1893">
                  <v>-0.1666666666666666</v>
                </pt>
                <pt idx="1894">
                  <v>-0.1596638655462185</v>
                </pt>
                <pt idx="1895">
                  <v>-0.1666666666666666</v>
                </pt>
                <pt idx="1896">
                  <v>-0.1452991452991452</v>
                </pt>
                <pt idx="1897">
                  <v>-0.1228070175438596</v>
                </pt>
                <pt idx="1898">
                  <v>-0.1304347826086956</v>
                </pt>
                <pt idx="1899">
                  <v>-0.09090909090909094</v>
                </pt>
                <pt idx="1900">
                  <v>-0.0825688073394496</v>
                </pt>
                <pt idx="1901">
                  <v>-0.0825688073394496</v>
                </pt>
                <pt idx="1902">
                  <v>-0.0990990990990992</v>
                </pt>
                <pt idx="1903">
                  <v>-0.07407407407407418</v>
                </pt>
                <pt idx="1904">
                  <v>-0.06542056074766356</v>
                </pt>
                <pt idx="1905">
                  <v>-0.0825688073394496</v>
                </pt>
                <pt idx="1906">
                  <v>-0.09090909090909094</v>
                </pt>
                <pt idx="1907">
                  <v>-0.09090909090909094</v>
                </pt>
                <pt idx="1908">
                  <v>-0.0990990990990992</v>
                </pt>
                <pt idx="1909">
                  <v>-0.0825688073394496</v>
                </pt>
                <pt idx="1910">
                  <v>-0.0825688073394496</v>
                </pt>
                <pt idx="1911">
                  <v>-0.0990990990990992</v>
                </pt>
                <pt idx="1912">
                  <v>-0.0990990990990992</v>
                </pt>
                <pt idx="1913">
                  <v>-0.09090909090909094</v>
                </pt>
                <pt idx="1914">
                  <v>-0.1071428571428572</v>
                </pt>
                <pt idx="1915">
                  <v>-0.1304347826086956</v>
                </pt>
                <pt idx="1916">
                  <v>-0.1228070175438596</v>
                </pt>
                <pt idx="1917">
                  <v>-0.1228070175438596</v>
                </pt>
                <pt idx="1918">
                  <v>-0.09090909090909094</v>
                </pt>
                <pt idx="1919">
                  <v>-0.07407407407407418</v>
                </pt>
                <pt idx="1920">
                  <v>-0.1071428571428572</v>
                </pt>
                <pt idx="1921">
                  <v>-0.1071428571428572</v>
                </pt>
                <pt idx="1922">
                  <v>-0.1452991452991452</v>
                </pt>
                <pt idx="1923">
                  <v>-0.1452991452991452</v>
                </pt>
                <pt idx="1924">
                  <v>-0.1379310344827586</v>
                </pt>
                <pt idx="1925">
                  <v>-0.180327868852459</v>
                </pt>
                <pt idx="1926">
                  <v>-0.1869918699186992</v>
                </pt>
                <pt idx="1927">
                  <v>-0.1869918699186992</v>
                </pt>
                <pt idx="1928">
                  <v>-0.180327868852459</v>
                </pt>
                <pt idx="1929">
                  <v>-0.180327868852459</v>
                </pt>
                <pt idx="1930">
                  <v>-0.1735537190082644</v>
                </pt>
                <pt idx="1931">
                  <v>-0.1525423728813559</v>
                </pt>
                <pt idx="1932">
                  <v>-0.1304347826086956</v>
                </pt>
                <pt idx="1933">
                  <v>-0.1596638655462185</v>
                </pt>
                <pt idx="1934">
                  <v>-0.1452991452991452</v>
                </pt>
                <pt idx="1935">
                  <v>-0.1452991452991452</v>
                </pt>
                <pt idx="1936">
                  <v>-0.1452991452991452</v>
                </pt>
                <pt idx="1937">
                  <v>-0.1452991452991452</v>
                </pt>
                <pt idx="1938">
                  <v>-0.1596638655462185</v>
                </pt>
                <pt idx="1939">
                  <v>-0.1525423728813559</v>
                </pt>
                <pt idx="1940">
                  <v>-0.1525423728813559</v>
                </pt>
                <pt idx="1941">
                  <v>-0.1452991452991452</v>
                </pt>
                <pt idx="1942">
                  <v>-0.1525423728813559</v>
                </pt>
                <pt idx="1943">
                  <v>-0.1869918699186992</v>
                </pt>
                <pt idx="1944">
                  <v>-0.1525423728813559</v>
                </pt>
                <pt idx="1945">
                  <v>-0.1596638655462185</v>
                </pt>
                <pt idx="1946">
                  <v>-0.1666666666666666</v>
                </pt>
                <pt idx="1947">
                  <v>-0.1735537190082644</v>
                </pt>
                <pt idx="1948">
                  <v>-0.1869918699186992</v>
                </pt>
                <pt idx="1949">
                  <v>-0.1935483870967741</v>
                </pt>
                <pt idx="1950">
                  <v>-0.1935483870967741</v>
                </pt>
                <pt idx="1951">
                  <v>-0.1666666666666666</v>
                </pt>
                <pt idx="1952">
                  <v>-0.1735537190082644</v>
                </pt>
                <pt idx="1953">
                  <v>-0.2</v>
                </pt>
                <pt idx="1954">
                  <v>-0.1935483870967741</v>
                </pt>
                <pt idx="1955">
                  <v>-0.2</v>
                </pt>
                <pt idx="1956">
                  <v>-0.2063492063492064</v>
                </pt>
                <pt idx="1957">
                  <v>-0.21875</v>
                </pt>
                <pt idx="1958">
                  <v>-0.2248062015503877</v>
                </pt>
                <pt idx="1959">
                  <v>-0.2248062015503877</v>
                </pt>
                <pt idx="1960">
                  <v>-0.2366412213740459</v>
                </pt>
                <pt idx="1961">
                  <v>-0.2481203007518797</v>
                </pt>
                <pt idx="1962">
                  <v>-0.2307692307692308</v>
                </pt>
                <pt idx="1963">
                  <v>-0.2307692307692308</v>
                </pt>
                <pt idx="1964">
                  <v>-0.2248062015503877</v>
                </pt>
                <pt idx="1965">
                  <v>-0.2537313432835822</v>
                </pt>
                <pt idx="1966">
                  <v>-0.2592592592592593</v>
                </pt>
                <pt idx="1967">
                  <v>-0.2647058823529412</v>
                </pt>
                <pt idx="1968">
                  <v>-0.2700729927007299</v>
                </pt>
                <pt idx="1969">
                  <v>-0.2647058823529412</v>
                </pt>
                <pt idx="1970">
                  <v>-0.2481203007518797</v>
                </pt>
                <pt idx="1971">
                  <v>-0.2481203007518797</v>
                </pt>
                <pt idx="1972">
                  <v>-0.2424242424242424</v>
                </pt>
                <pt idx="1973">
                  <v>-0.2125984251968505</v>
                </pt>
                <pt idx="1974">
                  <v>-0.21875</v>
                </pt>
                <pt idx="1975">
                  <v>-0.1666666666666666</v>
                </pt>
                <pt idx="1976">
                  <v>-0.1596638655462185</v>
                </pt>
                <pt idx="1977">
                  <v>-0.1935483870967741</v>
                </pt>
                <pt idx="1978">
                  <v>-0.1935483870967741</v>
                </pt>
                <pt idx="1979">
                  <v>-0.1666666666666666</v>
                </pt>
                <pt idx="1980">
                  <v>-0.1935483870967741</v>
                </pt>
                <pt idx="1981">
                  <v>-0.1596638655462185</v>
                </pt>
                <pt idx="1982">
                  <v>-0.1596638655462185</v>
                </pt>
                <pt idx="1983">
                  <v>-0.1869918699186992</v>
                </pt>
                <pt idx="1984">
                  <v>-0.2307692307692308</v>
                </pt>
                <pt idx="1985">
                  <v>-0.2481203007518797</v>
                </pt>
                <pt idx="1986">
                  <v>-0.2537313432835822</v>
                </pt>
                <pt idx="1987">
                  <v>-0.2366412213740459</v>
                </pt>
                <pt idx="1988">
                  <v>-0.2366412213740459</v>
                </pt>
                <pt idx="1989">
                  <v>-0.2366412213740459</v>
                </pt>
                <pt idx="1990">
                  <v>-0.2125984251968505</v>
                </pt>
                <pt idx="1991">
                  <v>-0.2537313432835822</v>
                </pt>
                <pt idx="1992">
                  <v>-0.2537313432835822</v>
                </pt>
                <pt idx="1993">
                  <v>-0.2424242424242424</v>
                </pt>
                <pt idx="1994">
                  <v>-0.2481203007518797</v>
                </pt>
                <pt idx="1995">
                  <v>-0.2700729927007299</v>
                </pt>
                <pt idx="1996">
                  <v>-0.2537313432835822</v>
                </pt>
                <pt idx="1997">
                  <v>-0.2307692307692308</v>
                </pt>
                <pt idx="1998">
                  <v>-0.2481203007518797</v>
                </pt>
                <pt idx="1999">
                  <v>-0.2424242424242424</v>
                </pt>
                <pt idx="2000">
                  <v>-0.2</v>
                </pt>
                <pt idx="2001">
                  <v>-0.21875</v>
                </pt>
                <pt idx="2002">
                  <v>-0.2307692307692308</v>
                </pt>
                <pt idx="2003">
                  <v>-0.2366412213740459</v>
                </pt>
                <pt idx="2004">
                  <v>-0.2125984251968505</v>
                </pt>
                <pt idx="2005">
                  <v>-0.2063492063492064</v>
                </pt>
                <pt idx="2006">
                  <v>-0.2063492063492064</v>
                </pt>
                <pt idx="2007">
                  <v>-0.2248062015503877</v>
                </pt>
                <pt idx="2008">
                  <v>-0.2248062015503877</v>
                </pt>
                <pt idx="2009">
                  <v>-0.2248062015503877</v>
                </pt>
                <pt idx="2010">
                  <v>-0.2248062015503877</v>
                </pt>
                <pt idx="2011">
                  <v>-0.2248062015503877</v>
                </pt>
                <pt idx="2012">
                  <v>-0.1735537190082644</v>
                </pt>
                <pt idx="2013">
                  <v>-0.180327868852459</v>
                </pt>
                <pt idx="2014">
                  <v>-0.180327868852459</v>
                </pt>
                <pt idx="2015">
                  <v>-0.1596638655462185</v>
                </pt>
                <pt idx="2016">
                  <v>-0.1666666666666666</v>
                </pt>
                <pt idx="2017">
                  <v>-0.2</v>
                </pt>
                <pt idx="2018">
                  <v>-0.180327868852459</v>
                </pt>
                <pt idx="2019">
                  <v>-0.2063492063492064</v>
                </pt>
                <pt idx="2020">
                  <v>-0.2063492063492064</v>
                </pt>
                <pt idx="2021">
                  <v>-0.2</v>
                </pt>
                <pt idx="2022">
                  <v>-0.21875</v>
                </pt>
                <pt idx="2023">
                  <v>-0.2125984251968505</v>
                </pt>
                <pt idx="2024">
                  <v>-0.21875</v>
                </pt>
                <pt idx="2025">
                  <v>-0.2</v>
                </pt>
                <pt idx="2026">
                  <v>-0.180327868852459</v>
                </pt>
                <pt idx="2027">
                  <v>-0.1666666666666666</v>
                </pt>
                <pt idx="2028">
                  <v>-0.180327868852459</v>
                </pt>
                <pt idx="2029">
                  <v>-0.1666666666666666</v>
                </pt>
                <pt idx="2030">
                  <v>-0.1666666666666666</v>
                </pt>
                <pt idx="2031">
                  <v>-0.1735537190082644</v>
                </pt>
                <pt idx="2032">
                  <v>-0.1735537190082644</v>
                </pt>
                <pt idx="2033">
                  <v>-0.180327868852459</v>
                </pt>
                <pt idx="2034">
                  <v>-0.1869918699186992</v>
                </pt>
                <pt idx="2035">
                  <v>-0.1869918699186992</v>
                </pt>
                <pt idx="2036">
                  <v>-0.180327868852459</v>
                </pt>
                <pt idx="2037">
                  <v>-0.1596638655462185</v>
                </pt>
                <pt idx="2038">
                  <v>-0.1666666666666666</v>
                </pt>
                <pt idx="2039">
                  <v>-0.1304347826086956</v>
                </pt>
                <pt idx="2040">
                  <v>-0.1304347826086956</v>
                </pt>
                <pt idx="2041">
                  <v>-0.1304347826086956</v>
                </pt>
                <pt idx="2042">
                  <v>-0.1452991452991452</v>
                </pt>
                <pt idx="2043">
                  <v>-0.1150442477876106</v>
                </pt>
                <pt idx="2044">
                  <v>-0.1150442477876106</v>
                </pt>
                <pt idx="2045">
                  <v>-0.1304347826086956</v>
                </pt>
                <pt idx="2046">
                  <v>-0.1304347826086956</v>
                </pt>
                <pt idx="2047">
                  <v>-0.1228070175438596</v>
                </pt>
                <pt idx="2048">
                  <v>-0.1150442477876106</v>
                </pt>
                <pt idx="2049">
                  <v>-0.1379310344827586</v>
                </pt>
                <pt idx="2050">
                  <v>-0.1379310344827586</v>
                </pt>
                <pt idx="2051">
                  <v>-0.1228070175438596</v>
                </pt>
                <pt idx="2052">
                  <v>-0.1071428571428572</v>
                </pt>
                <pt idx="2053">
                  <v>-0.1150442477876106</v>
                </pt>
                <pt idx="2054">
                  <v>-0.1228070175438596</v>
                </pt>
                <pt idx="2055">
                  <v>-0.1071428571428572</v>
                </pt>
                <pt idx="2056">
                  <v>-0.1150442477876106</v>
                </pt>
                <pt idx="2057">
                  <v>-0.1071428571428572</v>
                </pt>
                <pt idx="2058">
                  <v>-0.1071428571428572</v>
                </pt>
                <pt idx="2059">
                  <v>-0.1071428571428572</v>
                </pt>
                <pt idx="2060">
                  <v>-0.0990990990990992</v>
                </pt>
                <pt idx="2061">
                  <v>-0.0825688073394496</v>
                </pt>
                <pt idx="2062">
                  <v>-0.0825688073394496</v>
                </pt>
                <pt idx="2063">
                  <v>-0.0990990990990992</v>
                </pt>
                <pt idx="2064">
                  <v>-0.1071428571428572</v>
                </pt>
                <pt idx="2065">
                  <v>-0.1071428571428572</v>
                </pt>
                <pt idx="2066">
                  <v>-0.06542056074766356</v>
                </pt>
                <pt idx="2067">
                  <v>-0.0825688073394496</v>
                </pt>
                <pt idx="2068">
                  <v>-0.1150442477876106</v>
                </pt>
                <pt idx="2069">
                  <v>-0.1304347826086956</v>
                </pt>
                <pt idx="2070">
                  <v>-0.1379310344827586</v>
                </pt>
                <pt idx="2071">
                  <v>-0.1452991452991452</v>
                </pt>
                <pt idx="2072">
                  <v>-0.1150442477876106</v>
                </pt>
                <pt idx="2073">
                  <v>-0.1228070175438596</v>
                </pt>
                <pt idx="2074">
                  <v>-0.1071428571428572</v>
                </pt>
                <pt idx="2075">
                  <v>-0.1150442477876106</v>
                </pt>
                <pt idx="2076">
                  <v>-0.1228070175438596</v>
                </pt>
                <pt idx="2077">
                  <v>-0.1379310344827586</v>
                </pt>
                <pt idx="2078">
                  <v>-0.1452991452991452</v>
                </pt>
                <pt idx="2079">
                  <v>-0.1379310344827586</v>
                </pt>
                <pt idx="2080">
                  <v>-0.1525423728813559</v>
                </pt>
                <pt idx="2081">
                  <v>-0.1525423728813559</v>
                </pt>
                <pt idx="2082">
                  <v>-0.1525423728813559</v>
                </pt>
                <pt idx="2083">
                  <v>-0.1596638655462185</v>
                </pt>
                <pt idx="2084">
                  <v>-0.1525423728813559</v>
                </pt>
                <pt idx="2085">
                  <v>-0.1525423728813559</v>
                </pt>
                <pt idx="2086">
                  <v>-0.1452991452991452</v>
                </pt>
                <pt idx="2087">
                  <v>-0.1525423728813559</v>
                </pt>
                <pt idx="2088">
                  <v>-0.1525423728813559</v>
                </pt>
                <pt idx="2089">
                  <v>-0.1379310344827586</v>
                </pt>
                <pt idx="2090">
                  <v>-0.1379310344827586</v>
                </pt>
                <pt idx="2091">
                  <v>-0.1379310344827586</v>
                </pt>
                <pt idx="2092">
                  <v>-0.1452991452991452</v>
                </pt>
                <pt idx="2093">
                  <v>-0.1525423728813559</v>
                </pt>
                <pt idx="2094">
                  <v>-0.1379310344827586</v>
                </pt>
                <pt idx="2095">
                  <v>-0.1525423728813559</v>
                </pt>
                <pt idx="2096">
                  <v>-0.1666666666666666</v>
                </pt>
                <pt idx="2097">
                  <v>-0.1735537190082644</v>
                </pt>
                <pt idx="2098">
                  <v>-0.1666666666666666</v>
                </pt>
                <pt idx="2099">
                  <v>-0.1596638655462185</v>
                </pt>
                <pt idx="2100">
                  <v>-0.1666666666666666</v>
                </pt>
                <pt idx="2101">
                  <v>-0.180327868852459</v>
                </pt>
                <pt idx="2102">
                  <v>-0.1935483870967741</v>
                </pt>
                <pt idx="2103">
                  <v>-0.1935483870967741</v>
                </pt>
                <pt idx="2104">
                  <v>-0.2063492063492064</v>
                </pt>
                <pt idx="2105">
                  <v>-0.2063492063492064</v>
                </pt>
                <pt idx="2106">
                  <v>-0.2125984251968505</v>
                </pt>
                <pt idx="2107">
                  <v>-0.2248062015503877</v>
                </pt>
                <pt idx="2108">
                  <v>-0.2248062015503877</v>
                </pt>
                <pt idx="2109">
                  <v>-0.2366412213740459</v>
                </pt>
                <pt idx="2110">
                  <v>-0.2248062015503877</v>
                </pt>
                <pt idx="2111">
                  <v>-0.2307692307692308</v>
                </pt>
                <pt idx="2112">
                  <v>-0.2366412213740459</v>
                </pt>
                <pt idx="2113">
                  <v>-0.2307692307692308</v>
                </pt>
                <pt idx="2114">
                  <v>-0.2248062015503877</v>
                </pt>
                <pt idx="2115">
                  <v>-0.2307692307692308</v>
                </pt>
                <pt idx="2116">
                  <v>-0.21875</v>
                </pt>
                <pt idx="2117">
                  <v>-0.2063492063492064</v>
                </pt>
                <pt idx="2118">
                  <v>-0.2248062015503877</v>
                </pt>
                <pt idx="2119">
                  <v>-0.21875</v>
                </pt>
                <pt idx="2120">
                  <v>-0.2307692307692308</v>
                </pt>
                <pt idx="2121">
                  <v>-0.21875</v>
                </pt>
                <pt idx="2122">
                  <v>-0.21875</v>
                </pt>
                <pt idx="2123">
                  <v>-0.2366412213740459</v>
                </pt>
                <pt idx="2124">
                  <v>-0.2063492063492064</v>
                </pt>
                <pt idx="2125">
                  <v>-0.2125984251968505</v>
                </pt>
                <pt idx="2126">
                  <v>-0.2125984251968505</v>
                </pt>
                <pt idx="2127">
                  <v>-0.2307692307692308</v>
                </pt>
                <pt idx="2128">
                  <v>-0.2481203007518797</v>
                </pt>
                <pt idx="2129">
                  <v>-0.2248062015503877</v>
                </pt>
                <pt idx="2130">
                  <v>-0.21875</v>
                </pt>
                <pt idx="2131">
                  <v>-0.2125984251968505</v>
                </pt>
                <pt idx="2132">
                  <v>-0.21875</v>
                </pt>
                <pt idx="2133">
                  <v>-0.2366412213740459</v>
                </pt>
                <pt idx="2134">
                  <v>-0.2063492063492064</v>
                </pt>
                <pt idx="2135">
                  <v>-0.2125984251968505</v>
                </pt>
                <pt idx="2136">
                  <v>-0.21875</v>
                </pt>
                <pt idx="2137">
                  <v>-0.2424242424242424</v>
                </pt>
                <pt idx="2138">
                  <v>-0.2753623188405796</v>
                </pt>
                <pt idx="2139">
                  <v>-0.2753623188405796</v>
                </pt>
                <pt idx="2140">
                  <v>-0.2753623188405796</v>
                </pt>
                <pt idx="2141">
                  <v>-0.3006993006993006</v>
                </pt>
                <pt idx="2142">
                  <v>-0.3103448275862069</v>
                </pt>
                <pt idx="2143">
                  <v>-0.3103448275862069</v>
                </pt>
                <pt idx="2144">
                  <v>-0.3288590604026845</v>
                </pt>
                <pt idx="2145">
                  <v>-0.3197278911564626</v>
                </pt>
                <pt idx="2146">
                  <v>-0.3333333333333334</v>
                </pt>
                <pt idx="2147">
                  <v>-0.3288590604026845</v>
                </pt>
                <pt idx="2148">
                  <v>-0.3243243243243243</v>
                </pt>
                <pt idx="2149">
                  <v>-0.2907801418439716</v>
                </pt>
                <pt idx="2150">
                  <v>-0.2592592592592593</v>
                </pt>
                <pt idx="2151">
                  <v>-0.2647058823529412</v>
                </pt>
                <pt idx="2152">
                  <v>-0.3006993006993006</v>
                </pt>
                <pt idx="2153">
                  <v>-0.3333333333333334</v>
                </pt>
                <pt idx="2154">
                  <v>-0.3288590604026845</v>
                </pt>
                <pt idx="2155">
                  <v>-0.2907801418439716</v>
                </pt>
                <pt idx="2156">
                  <v>-0.315068493150685</v>
                </pt>
                <pt idx="2157">
                  <v>-0.3103448275862069</v>
                </pt>
                <pt idx="2158">
                  <v>-0.3288590604026845</v>
                </pt>
                <pt idx="2159">
                  <v>-0.3243243243243243</v>
                </pt>
                <pt idx="2160">
                  <v>-0.3243243243243243</v>
                </pt>
                <pt idx="2161">
                  <v>-0.3197278911564626</v>
                </pt>
                <pt idx="2162">
                  <v>-0.3464052287581699</v>
                </pt>
                <pt idx="2163">
                  <v>-0.3670886075949368</v>
                </pt>
                <pt idx="2164">
                  <v>-0.4047619047619048</v>
                </pt>
                <pt idx="2165">
                  <v>-0.408284023668639</v>
                </pt>
                <pt idx="2166">
                  <v>-0.4117647058823529</v>
                </pt>
                <pt idx="2167">
                  <v>-0.4285714285714286</v>
                </pt>
                <pt idx="2168">
                  <v>-0.4186046511627907</v>
                </pt>
                <pt idx="2169">
                  <v>-0.4285714285714286</v>
                </pt>
                <pt idx="2170">
                  <v>-0.4219653179190751</v>
                </pt>
                <pt idx="2171">
                  <v>-0.4318181818181818</v>
                </pt>
                <pt idx="2172">
                  <v>-0.4382022471910112</v>
                </pt>
                <pt idx="2173">
                  <v>-0.4475138121546961</v>
                </pt>
                <pt idx="2174">
                  <v>-0.4382022471910112</v>
                </pt>
                <pt idx="2175">
                  <v>-0.4680851063829787</v>
                </pt>
                <pt idx="2176">
                  <v>-0.4708994708994708</v>
                </pt>
                <pt idx="2177">
                  <v>-0.46524064171123</v>
                </pt>
                <pt idx="2178">
                  <v>-0.4350282485875706</v>
                </pt>
                <pt idx="2179">
                  <v>-0.4475138121546961</v>
                </pt>
                <pt idx="2180">
                  <v>-0.4475138121546961</v>
                </pt>
                <pt idx="2181">
                  <v>-0.4475138121546961</v>
                </pt>
                <pt idx="2182">
                  <v>-0.46524064171123</v>
                </pt>
                <pt idx="2183">
                  <v>-0.4535519125683061</v>
                </pt>
                <pt idx="2184">
                  <v>-0.4535519125683061</v>
                </pt>
                <pt idx="2185">
                  <v>-0.4535519125683061</v>
                </pt>
                <pt idx="2186">
                  <v>-0.4444444444444444</v>
                </pt>
                <pt idx="2187">
                  <v>-0.4791666666666666</v>
                </pt>
                <pt idx="2188">
                  <v>-0.4736842105263158</v>
                </pt>
                <pt idx="2189">
                  <v>-0.4680851063829787</v>
                </pt>
                <pt idx="2190">
                  <v>-0.4623655913978495</v>
                </pt>
                <pt idx="2191">
                  <v>-0.4594594594594595</v>
                </pt>
                <pt idx="2192">
                  <v>-0.4623655913978495</v>
                </pt>
                <pt idx="2193">
                  <v>-0.4594594594594595</v>
                </pt>
                <pt idx="2194">
                  <v>-0.4594594594594595</v>
                </pt>
                <pt idx="2195">
                  <v>-0.4413407821229051</v>
                </pt>
                <pt idx="2196">
                  <v>-0.4475138121546961</v>
                </pt>
                <pt idx="2197">
                  <v>-0.4623655913978495</v>
                </pt>
                <pt idx="2198">
                  <v>-0.4680851063829787</v>
                </pt>
                <pt idx="2199">
                  <v>-0.4535519125683061</v>
                </pt>
                <pt idx="2200">
                  <v>-0.4382022471910112</v>
                </pt>
                <pt idx="2201">
                  <v>-0.4594594594594595</v>
                </pt>
                <pt idx="2202">
                  <v>-0.4350282485875706</v>
                </pt>
                <pt idx="2203">
                  <v>-0.4285714285714286</v>
                </pt>
                <pt idx="2204">
                  <v>-0.3788819875776398</v>
                </pt>
                <pt idx="2205">
                  <v>-0.3710691823899371</v>
                </pt>
                <pt idx="2206">
                  <v>-0.358974358974359</v>
                </pt>
                <pt idx="2207">
                  <v>-0.3506493506493507</v>
                </pt>
                <pt idx="2208">
                  <v>-0.3421052631578947</v>
                </pt>
                <pt idx="2209">
                  <v>-0.3506493506493507</v>
                </pt>
                <pt idx="2210">
                  <v>-0.3421052631578947</v>
                </pt>
                <pt idx="2211">
                  <v>-0.3548387096774194</v>
                </pt>
                <pt idx="2212">
                  <v>-0.3506493506493507</v>
                </pt>
                <pt idx="2213">
                  <v>-0.3464052287581699</v>
                </pt>
                <pt idx="2214">
                  <v>-0.3548387096774194</v>
                </pt>
                <pt idx="2215">
                  <v>-0.3548387096774194</v>
                </pt>
                <pt idx="2216">
                  <v>-0.3464052287581699</v>
                </pt>
                <pt idx="2217">
                  <v>-0.3421052631578947</v>
                </pt>
                <pt idx="2218">
                  <v>-0.3506493506493507</v>
                </pt>
                <pt idx="2219">
                  <v>-0.3630573248407644</v>
                </pt>
                <pt idx="2220">
                  <v>-0.3788819875776398</v>
                </pt>
                <pt idx="2221">
                  <v>-0.3865030674846626</v>
                </pt>
                <pt idx="2222">
                  <v>-0.4011976047904191</v>
                </pt>
                <pt idx="2223">
                  <v>-0.3939393939393939</v>
                </pt>
                <pt idx="2224">
                  <v>-0.3788819875776398</v>
                </pt>
                <pt idx="2225">
                  <v>-0.3902439024390244</v>
                </pt>
                <pt idx="2226">
                  <v>-0.4152046783625731</v>
                </pt>
                <pt idx="2227">
                  <v>-0.4011976047904191</v>
                </pt>
                <pt idx="2228">
                  <v>-0.4047619047619048</v>
                </pt>
                <pt idx="2229">
                  <v>-0.4152046783625731</v>
                </pt>
                <pt idx="2230">
                  <v>-0.4350282485875706</v>
                </pt>
                <pt idx="2231">
                  <v>-0.4413407821229051</v>
                </pt>
                <pt idx="2232">
                  <v>-0.4318181818181818</v>
                </pt>
                <pt idx="2233">
                  <v>-0.4444444444444444</v>
                </pt>
                <pt idx="2234">
                  <v>-0.4565217391304348</v>
                </pt>
                <pt idx="2235">
                  <v>-0.46524064171123</v>
                </pt>
                <pt idx="2236">
                  <v>-0.4623655913978495</v>
                </pt>
                <pt idx="2237">
                  <v>-0.4594594594594595</v>
                </pt>
                <pt idx="2238">
                  <v>-0.4623655913978495</v>
                </pt>
                <pt idx="2239">
                  <v>-0.4736842105263158</v>
                </pt>
                <pt idx="2240">
                  <v>-0.4623655913978495</v>
                </pt>
                <pt idx="2241">
                  <v>-0.4535519125683061</v>
                </pt>
                <pt idx="2242">
                  <v>-0.46524064171123</v>
                </pt>
                <pt idx="2243">
                  <v>-0.4535519125683061</v>
                </pt>
                <pt idx="2244">
                  <v>-0.4535519125683061</v>
                </pt>
                <pt idx="2245">
                  <v>-0.4535519125683061</v>
                </pt>
                <pt idx="2246">
                  <v>-0.408284023668639</v>
                </pt>
                <pt idx="2247">
                  <v>-0.3333333333333334</v>
                </pt>
                <pt idx="2248">
                  <v>-0.3506493506493507</v>
                </pt>
                <pt idx="2249">
                  <v>-0.3333333333333334</v>
                </pt>
                <pt idx="2250">
                  <v>-0.3827160493827161</v>
                </pt>
                <pt idx="2251">
                  <v>-0.3865030674846626</v>
                </pt>
                <pt idx="2252">
                  <v>-0.358974358974359</v>
                </pt>
                <pt idx="2253">
                  <v>-0.4219653179190751</v>
                </pt>
                <pt idx="2254">
                  <v>-0.4565217391304348</v>
                </pt>
                <pt idx="2255">
                  <v>-0.4382022471910112</v>
                </pt>
                <pt idx="2256">
                  <v>-0.46524064171123</v>
                </pt>
                <pt idx="2257">
                  <v>-0.4708994708994708</v>
                </pt>
                <pt idx="2258">
                  <v>-0.4680851063829787</v>
                </pt>
                <pt idx="2259">
                  <v>-0.4736842105263158</v>
                </pt>
                <pt idx="2260">
                  <v>-0.46524064171123</v>
                </pt>
                <pt idx="2261">
                  <v>-0.4764397905759162</v>
                </pt>
                <pt idx="2262">
                  <v>-0.4897959183673469</v>
                </pt>
                <pt idx="2263">
                  <v>-0.4845360824742267</v>
                </pt>
                <pt idx="2264">
                  <v>-0.4818652849740932</v>
                </pt>
                <pt idx="2265">
                  <v>-0.4736842105263158</v>
                </pt>
                <pt idx="2266">
                  <v>-0.4791666666666666</v>
                </pt>
                <pt idx="2267">
                  <v>-0.4680851063829787</v>
                </pt>
                <pt idx="2268">
                  <v>-0.4949494949494949</v>
                </pt>
                <pt idx="2269">
                  <v>-0.5215311004784688</v>
                </pt>
                <pt idx="2270">
                  <v>-0.5073891625615763</v>
                </pt>
                <pt idx="2271">
                  <v>-0.5</v>
                </pt>
                <pt idx="2272">
                  <v>-0.4818652849740932</v>
                </pt>
                <pt idx="2273">
                  <v>-0.4923857868020305</v>
                </pt>
                <pt idx="2274">
                  <v>-0.4949494949494949</v>
                </pt>
                <pt idx="2275">
                  <v>-0.4949494949494949</v>
                </pt>
                <pt idx="2276">
                  <v>-0.5121951219512195</v>
                </pt>
                <pt idx="2277">
                  <v>-0.5192307692307693</v>
                </pt>
                <pt idx="2278">
                  <v>-0.5192307692307693</v>
                </pt>
                <pt idx="2279">
                  <v>-0.5238095238095238</v>
                </pt>
                <pt idx="2280">
                  <v>-0.5283018867924529</v>
                </pt>
                <pt idx="2281">
                  <v>-0.4974874371859297</v>
                </pt>
                <pt idx="2282">
                  <v>-0.4974874371859297</v>
                </pt>
                <pt idx="2283">
                  <v>-0.5098039215686274</v>
                </pt>
                <pt idx="2284">
                  <v>-0.5215311004784688</v>
                </pt>
                <pt idx="2285">
                  <v>-0.5305164319248826</v>
                </pt>
                <pt idx="2286">
                  <v>-0.5412844036697249</v>
                </pt>
                <pt idx="2287">
                  <v>-0.5475113122171946</v>
                </pt>
                <pt idx="2288">
                  <v>-0.5575221238938053</v>
                </pt>
                <pt idx="2289">
                  <v>-0.6</v>
                </pt>
                <pt idx="2290">
                  <v>-0.5780590717299579</v>
                </pt>
                <pt idx="2291">
                  <v>-0.5633187772925764</v>
                </pt>
                <pt idx="2292">
                  <v>-0.5594713656387665</v>
                </pt>
                <pt idx="2293">
                  <v>-0.5652173913043478</v>
                </pt>
                <pt idx="2294">
                  <v>-0.5850622406639004</v>
                </pt>
                <pt idx="2295">
                  <v>-0.5726495726495726</v>
                </pt>
                <pt idx="2296">
                  <v>-0.5535714285714286</v>
                </pt>
                <pt idx="2297">
                  <v>-0.5</v>
                </pt>
                <pt idx="2298">
                  <v>-0.5073891625615763</v>
                </pt>
                <pt idx="2299">
                  <v>-0.5121951219512195</v>
                </pt>
                <pt idx="2300">
                  <v>-0.4818652849740932</v>
                </pt>
                <pt idx="2301">
                  <v>-0.4350282485875706</v>
                </pt>
                <pt idx="2302">
                  <v>-0.4047619047619048</v>
                </pt>
                <pt idx="2303">
                  <v>-0.4444444444444444</v>
                </pt>
                <pt idx="2304">
                  <v>-0.4444444444444444</v>
                </pt>
                <pt idx="2305">
                  <v>-0.358974358974359</v>
                </pt>
                <pt idx="2306">
                  <v>-0.3103448275862069</v>
                </pt>
                <pt idx="2307">
                  <v>-0.3865030674846626</v>
                </pt>
                <pt idx="2308">
                  <v>-0.375</v>
                </pt>
                <pt idx="2309">
                  <v>-0.3865030674846626</v>
                </pt>
                <pt idx="2310">
                  <v>-0.3630573248407644</v>
                </pt>
                <pt idx="2311">
                  <v>-0.3710691823899371</v>
                </pt>
                <pt idx="2312">
                  <v>-0.4117647058823529</v>
                </pt>
                <pt idx="2313">
                  <v>-0.4505494505494506</v>
                </pt>
                <pt idx="2314">
                  <v>-0.4350282485875706</v>
                </pt>
                <pt idx="2315">
                  <v>-0.4382022471910112</v>
                </pt>
                <pt idx="2316">
                  <v>-0.4680851063829787</v>
                </pt>
                <pt idx="2317">
                  <v>-0.4845360824742267</v>
                </pt>
                <pt idx="2318">
                  <v>-0.4974874371859297</v>
                </pt>
                <pt idx="2319">
                  <v>-0.4845360824742267</v>
                </pt>
                <pt idx="2320">
                  <v>-0.5169082125603864</v>
                </pt>
                <pt idx="2321">
                  <v>-0.5121951219512195</v>
                </pt>
                <pt idx="2322">
                  <v>-0.4974874371859297</v>
                </pt>
                <pt idx="2323">
                  <v>-0.4871794871794871</v>
                </pt>
                <pt idx="2324">
                  <v>-0.5169082125603864</v>
                </pt>
                <pt idx="2325">
                  <v>-0.5169082125603864</v>
                </pt>
                <pt idx="2326">
                  <v>-0.5024875621890547</v>
                </pt>
                <pt idx="2327">
                  <v>-0.4897959183673469</v>
                </pt>
                <pt idx="2328">
                  <v>-0.5305164319248826</v>
                </pt>
                <pt idx="2329">
                  <v>-0.5145631067961165</v>
                </pt>
                <pt idx="2330">
                  <v>-0.5238095238095238</v>
                </pt>
                <pt idx="2331">
                  <v>-0.5305164319248826</v>
                </pt>
                <pt idx="2332">
                  <v>-0.5260663507109005</v>
                </pt>
                <pt idx="2333">
                  <v>-0.5121951219512195</v>
                </pt>
                <pt idx="2334">
                  <v>-0.4974874371859297</v>
                </pt>
                <pt idx="2335">
                  <v>-0.504950495049505</v>
                </pt>
                <pt idx="2336">
                  <v>-0.5024875621890547</v>
                </pt>
                <pt idx="2337">
                  <v>-0.5121951219512195</v>
                </pt>
                <pt idx="2338">
                  <v>-0.4871794871794871</v>
                </pt>
                <pt idx="2339">
                  <v>-0.4974874371859297</v>
                </pt>
                <pt idx="2340">
                  <v>-0.4897959183673469</v>
                </pt>
                <pt idx="2341">
                  <v>-0.4923857868020305</v>
                </pt>
                <pt idx="2342">
                  <v>-0.5</v>
                </pt>
                <pt idx="2343">
                  <v>-0.4444444444444444</v>
                </pt>
                <pt idx="2344">
                  <v>-0.4047619047619048</v>
                </pt>
                <pt idx="2345">
                  <v>-0.4011976047904191</v>
                </pt>
                <pt idx="2346">
                  <v>-0.4350282485875706</v>
                </pt>
                <pt idx="2347">
                  <v>-0.4565217391304348</v>
                </pt>
                <pt idx="2348">
                  <v>-0.4708994708994708</v>
                </pt>
                <pt idx="2349">
                  <v>-0.4949494949494949</v>
                </pt>
                <pt idx="2350">
                  <v>-0.4974874371859297</v>
                </pt>
                <pt idx="2351">
                  <v>-0.4923857868020305</v>
                </pt>
                <pt idx="2352">
                  <v>-0.4791666666666666</v>
                </pt>
                <pt idx="2353">
                  <v>-0.4791666666666666</v>
                </pt>
                <pt idx="2354">
                  <v>-0.4764397905759162</v>
                </pt>
                <pt idx="2355">
                  <v>-0.4764397905759162</v>
                </pt>
                <pt idx="2356">
                  <v>-0.4350282485875706</v>
                </pt>
                <pt idx="2357">
                  <v>-0.46524064171123</v>
                </pt>
                <pt idx="2358">
                  <v>-0.4475138121546961</v>
                </pt>
                <pt idx="2359">
                  <v>-0.4475138121546961</v>
                </pt>
                <pt idx="2360">
                  <v>-0.4680851063829787</v>
                </pt>
                <pt idx="2361">
                  <v>-0.4680851063829787</v>
                </pt>
                <pt idx="2362">
                  <v>-0.4845360824742267</v>
                </pt>
                <pt idx="2363">
                  <v>-0.4949494949494949</v>
                </pt>
                <pt idx="2364">
                  <v>-0.4736842105263158</v>
                </pt>
                <pt idx="2365">
                  <v>-0.4736842105263158</v>
                </pt>
                <pt idx="2366">
                  <v>-0.4818652849740932</v>
                </pt>
                <pt idx="2367">
                  <v>-0.4791666666666666</v>
                </pt>
                <pt idx="2368">
                  <v>-0.4708994708994708</v>
                </pt>
                <pt idx="2369">
                  <v>-0.4565217391304348</v>
                </pt>
                <pt idx="2370">
                  <v>-0.4565217391304348</v>
                </pt>
                <pt idx="2371">
                  <v>-0.46524064171123</v>
                </pt>
                <pt idx="2372">
                  <v>-0.4535519125683061</v>
                </pt>
                <pt idx="2373">
                  <v>-0.4535519125683061</v>
                </pt>
                <pt idx="2374">
                  <v>-0.4845360824742267</v>
                </pt>
                <pt idx="2375">
                  <v>-0.4818652849740932</v>
                </pt>
                <pt idx="2376">
                  <v>-0.4923857868020305</v>
                </pt>
                <pt idx="2377">
                  <v>-0.4923857868020305</v>
                </pt>
                <pt idx="2378">
                  <v>-0.4764397905759162</v>
                </pt>
                <pt idx="2379">
                  <v>-0.4791666666666666</v>
                </pt>
                <pt idx="2380">
                  <v>-0.4764397905759162</v>
                </pt>
                <pt idx="2381">
                  <v>-0.4791666666666666</v>
                </pt>
                <pt idx="2382">
                  <v>-0.4708994708994708</v>
                </pt>
                <pt idx="2383">
                  <v>-0.4736842105263158</v>
                </pt>
                <pt idx="2384">
                  <v>-0.4764397905759162</v>
                </pt>
                <pt idx="2385">
                  <v>-0.4897959183673469</v>
                </pt>
                <pt idx="2386">
                  <v>-0.4845360824742267</v>
                </pt>
                <pt idx="2387">
                  <v>-0.4871794871794871</v>
                </pt>
                <pt idx="2388">
                  <v>-0.5024875621890547</v>
                </pt>
                <pt idx="2389">
                  <v>-0.5121951219512195</v>
                </pt>
                <pt idx="2390">
                  <v>-0.5192307692307693</v>
                </pt>
                <pt idx="2391">
                  <v>-0.5327102803738317</v>
                </pt>
                <pt idx="2392">
                  <v>-0.5305164319248826</v>
                </pt>
                <pt idx="2393">
                  <v>-0.5305164319248826</v>
                </pt>
                <pt idx="2394">
                  <v>-0.5215311004784688</v>
                </pt>
                <pt idx="2395">
                  <v>-0.5283018867924529</v>
                </pt>
                <pt idx="2396">
                  <v>-0.5260663507109005</v>
                </pt>
                <pt idx="2397">
                  <v>-0.5169082125603864</v>
                </pt>
                <pt idx="2398">
                  <v>-0.5215311004784688</v>
                </pt>
                <pt idx="2399">
                  <v>-0.5073891625615763</v>
                </pt>
                <pt idx="2400">
                  <v>-0.5098039215686274</v>
                </pt>
                <pt idx="2401">
                  <v>-0.5121951219512195</v>
                </pt>
                <pt idx="2402">
                  <v>-0.5215311004784688</v>
                </pt>
                <pt idx="2403">
                  <v>-0.5215311004784688</v>
                </pt>
                <pt idx="2404">
                  <v>-0.5024875621890547</v>
                </pt>
                <pt idx="2405">
                  <v>-0.504950495049505</v>
                </pt>
                <pt idx="2406">
                  <v>-0.5024875621890547</v>
                </pt>
                <pt idx="2407">
                  <v>-0.5121951219512195</v>
                </pt>
                <pt idx="2408">
                  <v>-0.5121951219512195</v>
                </pt>
                <pt idx="2409">
                  <v>-0.5024875621890547</v>
                </pt>
                <pt idx="2410">
                  <v>-0.5192307692307693</v>
                </pt>
                <pt idx="2411">
                  <v>-0.5098039215686274</v>
                </pt>
                <pt idx="2412">
                  <v>-0.5121951219512195</v>
                </pt>
                <pt idx="2413">
                  <v>-0.5215311004784688</v>
                </pt>
                <pt idx="2414">
                  <v>-0.5305164319248826</v>
                </pt>
                <pt idx="2415">
                  <v>-0.5283018867924529</v>
                </pt>
                <pt idx="2416">
                  <v>-0.5215311004784688</v>
                </pt>
                <pt idx="2417">
                  <v>-0.5215311004784688</v>
                </pt>
                <pt idx="2418">
                  <v>-0.5238095238095238</v>
                </pt>
                <pt idx="2419">
                  <v>-0.5238095238095238</v>
                </pt>
                <pt idx="2420">
                  <v>-0.5283018867924529</v>
                </pt>
                <pt idx="2421">
                  <v>-0.5305164319248826</v>
                </pt>
                <pt idx="2422">
                  <v>-0.5192307692307693</v>
                </pt>
                <pt idx="2423">
                  <v>-0.5305164319248826</v>
                </pt>
                <pt idx="2424">
                  <v>-0.5305164319248826</v>
                </pt>
                <pt idx="2425">
                  <v>-0.5121951219512195</v>
                </pt>
                <pt idx="2426">
                  <v>-0.5169082125603864</v>
                </pt>
                <pt idx="2427">
                  <v>-0.5169082125603864</v>
                </pt>
                <pt idx="2428">
                  <v>-0.5145631067961165</v>
                </pt>
                <pt idx="2429">
                  <v>-0.4923857868020305</v>
                </pt>
                <pt idx="2430">
                  <v>-0.4974874371859297</v>
                </pt>
                <pt idx="2431">
                  <v>-0.5121951219512195</v>
                </pt>
                <pt idx="2432">
                  <v>-0.5</v>
                </pt>
                <pt idx="2433">
                  <v>-0.504950495049505</v>
                </pt>
                <pt idx="2434">
                  <v>-0.5</v>
                </pt>
                <pt idx="2435">
                  <v>-0.5327102803738317</v>
                </pt>
                <pt idx="2436">
                  <v>-0.5121951219512195</v>
                </pt>
                <pt idx="2437">
                  <v>-0.5192307692307693</v>
                </pt>
                <pt idx="2438">
                  <v>-0.5145631067961165</v>
                </pt>
                <pt idx="2439">
                  <v>-0.5145631067961165</v>
                </pt>
                <pt idx="2440">
                  <v>-0.5145631067961165</v>
                </pt>
                <pt idx="2441">
                  <v>-0.5555555555555556</v>
                </pt>
                <pt idx="2442">
                  <v>-0.5515695067264574</v>
                </pt>
                <pt idx="2443">
                  <v>-0.5555555555555556</v>
                </pt>
                <pt idx="2444">
                  <v>-0.5475113122171946</v>
                </pt>
                <pt idx="2445">
                  <v>-0.5238095238095238</v>
                </pt>
                <pt idx="2446">
                  <v>-0.5283018867924529</v>
                </pt>
                <pt idx="2447">
                  <v>-0.4974874371859297</v>
                </pt>
                <pt idx="2448">
                  <v>-0.5024875621890547</v>
                </pt>
                <pt idx="2449">
                  <v>-0.5</v>
                </pt>
                <pt idx="2450">
                  <v>-0.5121951219512195</v>
                </pt>
                <pt idx="2451">
                  <v>-0.5238095238095238</v>
                </pt>
                <pt idx="2452">
                  <v>-0.5238095238095238</v>
                </pt>
                <pt idx="2453">
                  <v>-0.5238095238095238</v>
                </pt>
                <pt idx="2454">
                  <v>-0.5305164319248826</v>
                </pt>
                <pt idx="2455">
                  <v>-0.5412844036697249</v>
                </pt>
                <pt idx="2456">
                  <v>-0.5391705069124424</v>
                </pt>
                <pt idx="2457">
                  <v>-0.5215311004784688</v>
                </pt>
                <pt idx="2458">
                  <v>-0.5192307692307693</v>
                </pt>
                <pt idx="2459">
                  <v>-0.5283018867924529</v>
                </pt>
                <pt idx="2460">
                  <v>-0.5145631067961165</v>
                </pt>
                <pt idx="2461">
                  <v>-0.5348837209302326</v>
                </pt>
                <pt idx="2462">
                  <v>-0.5169082125603864</v>
                </pt>
                <pt idx="2463">
                  <v>-0.5169082125603864</v>
                </pt>
                <pt idx="2464">
                  <v>-0.5121951219512195</v>
                </pt>
                <pt idx="2465">
                  <v>-0.504950495049505</v>
                </pt>
                <pt idx="2466">
                  <v>-0.5192307692307693</v>
                </pt>
                <pt idx="2467">
                  <v>-0.5098039215686274</v>
                </pt>
                <pt idx="2468">
                  <v>-0.4897959183673469</v>
                </pt>
                <pt idx="2469">
                  <v>-0.4897959183673469</v>
                </pt>
                <pt idx="2470">
                  <v>-0.4949494949494949</v>
                </pt>
                <pt idx="2471">
                  <v>-0.4949494949494949</v>
                </pt>
                <pt idx="2472">
                  <v>-0.4897959183673469</v>
                </pt>
                <pt idx="2473">
                  <v>-0.4818652849740932</v>
                </pt>
                <pt idx="2474">
                  <v>-0.4897959183673469</v>
                </pt>
                <pt idx="2475">
                  <v>-0.4897959183673469</v>
                </pt>
                <pt idx="2476">
                  <v>-0.4923857868020305</v>
                </pt>
                <pt idx="2477">
                  <v>-0.4949494949494949</v>
                </pt>
                <pt idx="2478">
                  <v>-0.4923857868020305</v>
                </pt>
                <pt idx="2479">
                  <v>-0.4871794871794871</v>
                </pt>
                <pt idx="2480">
                  <v>-0.4949494949494949</v>
                </pt>
                <pt idx="2481">
                  <v>-0.5024875621890547</v>
                </pt>
                <pt idx="2482">
                  <v>-0.5098039215686274</v>
                </pt>
                <pt idx="2483">
                  <v>-0.5098039215686274</v>
                </pt>
                <pt idx="2484">
                  <v>-0.5098039215686274</v>
                </pt>
                <pt idx="2485">
                  <v>-0.5024875621890547</v>
                </pt>
                <pt idx="2486">
                  <v>-0.5121951219512195</v>
                </pt>
                <pt idx="2487">
                  <v>-0.5238095238095238</v>
                </pt>
                <pt idx="2488">
                  <v>-0.5260663507109005</v>
                </pt>
                <pt idx="2489">
                  <v>-0.5370370370370371</v>
                </pt>
                <pt idx="2490">
                  <v>-0.5454545454545454</v>
                </pt>
                <pt idx="2491">
                  <v>-0.5454545454545454</v>
                </pt>
                <pt idx="2492">
                  <v>-0.5283018867924529</v>
                </pt>
                <pt idx="2493">
                  <v>-0.5283018867924529</v>
                </pt>
                <pt idx="2494">
                  <v>-0.5169082125603864</v>
                </pt>
                <pt idx="2495">
                  <v>-0.504950495049505</v>
                </pt>
                <pt idx="2496">
                  <v>-0.5073891625615763</v>
                </pt>
                <pt idx="2497">
                  <v>-0.5121951219512195</v>
                </pt>
                <pt idx="2498">
                  <v>-0.5073891625615763</v>
                </pt>
                <pt idx="2499">
                  <v>-0.5</v>
                </pt>
                <pt idx="2500">
                  <v>-0.4897959183673469</v>
                </pt>
                <pt idx="2501">
                  <v>-0.4764397905759162</v>
                </pt>
                <pt idx="2502">
                  <v>-0.4845360824742267</v>
                </pt>
                <pt idx="2503">
                  <v>-0.4764397905759162</v>
                </pt>
                <pt idx="2504">
                  <v>-0.5024875621890547</v>
                </pt>
                <pt idx="2505">
                  <v>-0.4949494949494949</v>
                </pt>
                <pt idx="2506">
                  <v>-0.4974874371859297</v>
                </pt>
                <pt idx="2507">
                  <v>-0.5121951219512195</v>
                </pt>
                <pt idx="2508">
                  <v>-0.5283018867924529</v>
                </pt>
                <pt idx="2509">
                  <v>-0.5260663507109005</v>
                </pt>
                <pt idx="2510">
                  <v>-0.5327102803738317</v>
                </pt>
                <pt idx="2511">
                  <v>-0.5260663507109005</v>
                </pt>
                <pt idx="2512">
                  <v>-0.5238095238095238</v>
                </pt>
                <pt idx="2513">
                  <v>-0.5215311004784688</v>
                </pt>
                <pt idx="2514">
                  <v>-0.5238095238095238</v>
                </pt>
                <pt idx="2515">
                  <v>-0.5238095238095238</v>
                </pt>
                <pt idx="2516">
                  <v>-0.5238095238095238</v>
                </pt>
                <pt idx="2517">
                  <v>-0.5169082125603864</v>
                </pt>
                <pt idx="2518">
                  <v>-0.5098039215686274</v>
                </pt>
                <pt idx="2519">
                  <v>-0.5</v>
                </pt>
                <pt idx="2520">
                  <v>-0.5</v>
                </pt>
                <pt idx="2521">
                  <v>-0.5098039215686274</v>
                </pt>
                <pt idx="2522">
                  <v>-0.5098039215686274</v>
                </pt>
                <pt idx="2523">
                  <v>-0.5145631067961165</v>
                </pt>
                <pt idx="2524">
                  <v>-0.5073891625615763</v>
                </pt>
                <pt idx="2525">
                  <v>-0.5024875621890547</v>
                </pt>
                <pt idx="2526">
                  <v>-0.4974874371859297</v>
                </pt>
                <pt idx="2527">
                  <v>-0.5</v>
                </pt>
                <pt idx="2528">
                  <v>-0.504950495049505</v>
                </pt>
                <pt idx="2529">
                  <v>-0.4897959183673469</v>
                </pt>
                <pt idx="2530">
                  <v>-0.4974874371859297</v>
                </pt>
                <pt idx="2531">
                  <v>-0.4974874371859297</v>
                </pt>
                <pt idx="2532">
                  <v>-0.5</v>
                </pt>
                <pt idx="2533">
                  <v>-0.4897959183673469</v>
                </pt>
                <pt idx="2534">
                  <v>-0.4897959183673469</v>
                </pt>
                <pt idx="2535">
                  <v>-0.4949494949494949</v>
                </pt>
                <pt idx="2536">
                  <v>-0.4974874371859297</v>
                </pt>
                <pt idx="2537">
                  <v>-0.4871794871794871</v>
                </pt>
                <pt idx="2538">
                  <v>-0.5073891625615763</v>
                </pt>
                <pt idx="2539">
                  <v>-0.5024875621890547</v>
                </pt>
                <pt idx="2540">
                  <v>-0.5</v>
                </pt>
                <pt idx="2541">
                  <v>-0.4845360824742267</v>
                </pt>
                <pt idx="2542">
                  <v>-0.4764397905759162</v>
                </pt>
                <pt idx="2543">
                  <v>-0.4818652849740932</v>
                </pt>
                <pt idx="2544">
                  <v>-0.4818652849740932</v>
                </pt>
                <pt idx="2545">
                  <v>-0.4818652849740932</v>
                </pt>
                <pt idx="2546">
                  <v>-0.4818652849740932</v>
                </pt>
                <pt idx="2547">
                  <v>-0.4764397905759162</v>
                </pt>
                <pt idx="2548">
                  <v>-0.4708994708994708</v>
                </pt>
                <pt idx="2549">
                  <v>-0.4708994708994708</v>
                </pt>
                <pt idx="2550">
                  <v>-0.4736842105263158</v>
                </pt>
                <pt idx="2551">
                  <v>-0.4949494949494949</v>
                </pt>
                <pt idx="2552">
                  <v>-0.4923857868020305</v>
                </pt>
                <pt idx="2553">
                  <v>-0.4871794871794871</v>
                </pt>
                <pt idx="2554">
                  <v>-0.4871794871794871</v>
                </pt>
                <pt idx="2555">
                  <v>-0.4764397905759162</v>
                </pt>
                <pt idx="2556">
                  <v>-0.4818652849740932</v>
                </pt>
                <pt idx="2557">
                  <v>-0.4845360824742267</v>
                </pt>
                <pt idx="2558">
                  <v>-0.4736842105263158</v>
                </pt>
                <pt idx="2559">
                  <v>-0.4791666666666666</v>
                </pt>
                <pt idx="2560">
                  <v>-0.4736842105263158</v>
                </pt>
                <pt idx="2561">
                  <v>-0.4736842105263158</v>
                </pt>
                <pt idx="2562">
                  <v>-0.4736842105263158</v>
                </pt>
                <pt idx="2563">
                  <v>-0.4764397905759162</v>
                </pt>
                <pt idx="2564">
                  <v>-0.4791666666666666</v>
                </pt>
                <pt idx="2565">
                  <v>-0.4791666666666666</v>
                </pt>
                <pt idx="2566">
                  <v>-0.4736842105263158</v>
                </pt>
                <pt idx="2567">
                  <v>-0.4594594594594595</v>
                </pt>
                <pt idx="2568">
                  <v>-0.4623655913978495</v>
                </pt>
                <pt idx="2569">
                  <v>-0.46524064171123</v>
                </pt>
                <pt idx="2570">
                  <v>-0.4565217391304348</v>
                </pt>
                <pt idx="2571">
                  <v>-0.4565217391304348</v>
                </pt>
                <pt idx="2572">
                  <v>-0.4764397905759162</v>
                </pt>
                <pt idx="2573">
                  <v>-0.4708994708994708</v>
                </pt>
                <pt idx="2574">
                  <v>-0.4680851063829787</v>
                </pt>
                <pt idx="2575">
                  <v>-0.4708994708994708</v>
                </pt>
                <pt idx="2576">
                  <v>-0.46524064171123</v>
                </pt>
                <pt idx="2577">
                  <v>-0.4736842105263158</v>
                </pt>
                <pt idx="2578">
                  <v>-0.46524064171123</v>
                </pt>
                <pt idx="2579">
                  <v>-0.4623655913978495</v>
                </pt>
                <pt idx="2580">
                  <v>-0.4565217391304348</v>
                </pt>
                <pt idx="2581">
                  <v>-0.4594594594594595</v>
                </pt>
                <pt idx="2582">
                  <v>-0.4680851063829787</v>
                </pt>
                <pt idx="2583">
                  <v>-0.4594594594594595</v>
                </pt>
                <pt idx="2584">
                  <v>-0.4623655913978495</v>
                </pt>
                <pt idx="2585">
                  <v>-0.4708994708994708</v>
                </pt>
                <pt idx="2586">
                  <v>-0.46524064171123</v>
                </pt>
                <pt idx="2587">
                  <v>-0.4764397905759162</v>
                </pt>
                <pt idx="2588">
                  <v>-0.4680851063829787</v>
                </pt>
                <pt idx="2589">
                  <v>-0.46524064171123</v>
                </pt>
                <pt idx="2590">
                  <v>-0.4708994708994708</v>
                </pt>
                <pt idx="2591">
                  <v>-0.4736842105263158</v>
                </pt>
                <pt idx="2592">
                  <v>-0.4764397905759162</v>
                </pt>
                <pt idx="2593">
                  <v>-0.4708994708994708</v>
                </pt>
                <pt idx="2594">
                  <v>-0.4623655913978495</v>
                </pt>
                <pt idx="2595">
                  <v>-0.4623655913978495</v>
                </pt>
                <pt idx="2596">
                  <v>-0.4535519125683061</v>
                </pt>
                <pt idx="2597">
                  <v>-0.4623655913978495</v>
                </pt>
                <pt idx="2598">
                  <v>-0.4350282485875706</v>
                </pt>
                <pt idx="2599">
                  <v>-0.4152046783625731</v>
                </pt>
                <pt idx="2600">
                  <v>-0.4318181818181818</v>
                </pt>
                <pt idx="2601">
                  <v>-0.4505494505494506</v>
                </pt>
                <pt idx="2602">
                  <v>-0.4444444444444444</v>
                </pt>
                <pt idx="2603">
                  <v>-0.4318181818181818</v>
                </pt>
                <pt idx="2604">
                  <v>-0.4285714285714286</v>
                </pt>
                <pt idx="2605">
                  <v>-0.4186046511627907</v>
                </pt>
                <pt idx="2606">
                  <v>-0.4219653179190751</v>
                </pt>
                <pt idx="2607">
                  <v>-0.4285714285714286</v>
                </pt>
                <pt idx="2608">
                  <v>-0.4413407821229051</v>
                </pt>
                <pt idx="2609">
                  <v>-0.4413407821229051</v>
                </pt>
                <pt idx="2610">
                  <v>-0.4444444444444444</v>
                </pt>
                <pt idx="2611">
                  <v>-0.4444444444444444</v>
                </pt>
                <pt idx="2612">
                  <v>-0.4505494505494506</v>
                </pt>
                <pt idx="2613">
                  <v>-0.4505494505494506</v>
                </pt>
                <pt idx="2614">
                  <v>-0.4318181818181818</v>
                </pt>
                <pt idx="2615">
                  <v>-0.4413407821229051</v>
                </pt>
                <pt idx="2616">
                  <v>-0.4535519125683061</v>
                </pt>
                <pt idx="2617">
                  <v>-0.4475138121546961</v>
                </pt>
                <pt idx="2618">
                  <v>-0.4505494505494506</v>
                </pt>
                <pt idx="2619">
                  <v>-0.4535519125683061</v>
                </pt>
                <pt idx="2620">
                  <v>-0.4505494505494506</v>
                </pt>
                <pt idx="2621">
                  <v>-0.4444444444444444</v>
                </pt>
                <pt idx="2622">
                  <v>-0.4444444444444444</v>
                </pt>
                <pt idx="2623">
                  <v>-0.4475138121546961</v>
                </pt>
                <pt idx="2624">
                  <v>-0.4413407821229051</v>
                </pt>
                <pt idx="2625">
                  <v>-0.4505494505494506</v>
                </pt>
                <pt idx="2626">
                  <v>-0.4535519125683061</v>
                </pt>
                <pt idx="2627">
                  <v>-0.4444444444444444</v>
                </pt>
                <pt idx="2628">
                  <v>-0.4594594594594595</v>
                </pt>
                <pt idx="2629">
                  <v>-0.4594594594594595</v>
                </pt>
                <pt idx="2630">
                  <v>-0.4594594594594595</v>
                </pt>
                <pt idx="2631">
                  <v>-0.46524064171123</v>
                </pt>
                <pt idx="2632">
                  <v>-0.46524064171123</v>
                </pt>
                <pt idx="2633">
                  <v>-0.46524064171123</v>
                </pt>
                <pt idx="2634">
                  <v>-0.4594594594594595</v>
                </pt>
                <pt idx="2635">
                  <v>-0.4680851063829787</v>
                </pt>
                <pt idx="2636">
                  <v>-0.4623655913978495</v>
                </pt>
                <pt idx="2637">
                  <v>-0.4708994708994708</v>
                </pt>
                <pt idx="2638">
                  <v>-0.4708994708994708</v>
                </pt>
                <pt idx="2639">
                  <v>-0.4708994708994708</v>
                </pt>
                <pt idx="2640">
                  <v>-0.46524064171123</v>
                </pt>
                <pt idx="2641">
                  <v>-0.46524064171123</v>
                </pt>
                <pt idx="2642">
                  <v>-0.46524064171123</v>
                </pt>
                <pt idx="2643">
                  <v>-0.4565217391304348</v>
                </pt>
                <pt idx="2644">
                  <v>-0.4505494505494506</v>
                </pt>
                <pt idx="2645">
                  <v>-0.4535519125683061</v>
                </pt>
                <pt idx="2646">
                  <v>-0.4505494505494506</v>
                </pt>
                <pt idx="2647">
                  <v>-0.4475138121546961</v>
                </pt>
                <pt idx="2648">
                  <v>-0.4505494505494506</v>
                </pt>
                <pt idx="2649">
                  <v>-0.4594594594594595</v>
                </pt>
                <pt idx="2650">
                  <v>-0.4444444444444444</v>
                </pt>
                <pt idx="2651">
                  <v>-0.4444444444444444</v>
                </pt>
                <pt idx="2652">
                  <v>-0.4505494505494506</v>
                </pt>
                <pt idx="2653">
                  <v>-0.4623655913978495</v>
                </pt>
                <pt idx="2654">
                  <v>-0.4623655913978495</v>
                </pt>
                <pt idx="2655">
                  <v>-0.4565217391304348</v>
                </pt>
                <pt idx="2656">
                  <v>-0.4505494505494506</v>
                </pt>
                <pt idx="2657">
                  <v>-0.4475138121546961</v>
                </pt>
                <pt idx="2658">
                  <v>-0.4680851063829787</v>
                </pt>
                <pt idx="2659">
                  <v>-0.4186046511627907</v>
                </pt>
                <pt idx="2660">
                  <v>-0.4186046511627907</v>
                </pt>
                <pt idx="2661">
                  <v>-0.4117647058823529</v>
                </pt>
                <pt idx="2662">
                  <v>-0.4152046783625731</v>
                </pt>
                <pt idx="2663">
                  <v>-0.4382022471910112</v>
                </pt>
                <pt idx="2664">
                  <v>-0.4475138121546961</v>
                </pt>
                <pt idx="2665">
                  <v>-0.4382022471910112</v>
                </pt>
                <pt idx="2666">
                  <v>-0.4475138121546961</v>
                </pt>
                <pt idx="2667">
                  <v>-0.4475138121546961</v>
                </pt>
                <pt idx="2668">
                  <v>-0.4475138121546961</v>
                </pt>
                <pt idx="2669">
                  <v>-0.4475138121546961</v>
                </pt>
                <pt idx="2670">
                  <v>-0.4350282485875706</v>
                </pt>
                <pt idx="2671">
                  <v>-0.4382022471910112</v>
                </pt>
                <pt idx="2672">
                  <v>-0.4318181818181818</v>
                </pt>
                <pt idx="2673">
                  <v>-0.4252873563218391</v>
                </pt>
                <pt idx="2674">
                  <v>-0.4186046511627907</v>
                </pt>
                <pt idx="2675">
                  <v>-0.4219653179190751</v>
                </pt>
                <pt idx="2676">
                  <v>-0.4152046783625731</v>
                </pt>
                <pt idx="2677">
                  <v>-0.408284023668639</v>
                </pt>
                <pt idx="2678">
                  <v>-0.3902439024390244</v>
                </pt>
                <pt idx="2679">
                  <v>-0.3902439024390244</v>
                </pt>
                <pt idx="2680">
                  <v>-0.3865030674846626</v>
                </pt>
                <pt idx="2681">
                  <v>-0.375</v>
                </pt>
                <pt idx="2682">
                  <v>-0.4011976047904191</v>
                </pt>
                <pt idx="2683">
                  <v>-0.3788819875776398</v>
                </pt>
                <pt idx="2684">
                  <v>-0.3670886075949368</v>
                </pt>
                <pt idx="2685">
                  <v>-0.358974358974359</v>
                </pt>
                <pt idx="2686">
                  <v>-0.3710691823899371</v>
                </pt>
                <pt idx="2687">
                  <v>-0.3710691823899371</v>
                </pt>
                <pt idx="2688">
                  <v>-0.358974358974359</v>
                </pt>
                <pt idx="2689">
                  <v>-0.3710691823899371</v>
                </pt>
                <pt idx="2690">
                  <v>-0.3670886075949368</v>
                </pt>
                <pt idx="2691">
                  <v>-0.408284023668639</v>
                </pt>
                <pt idx="2692">
                  <v>-0.4186046511627907</v>
                </pt>
                <pt idx="2693">
                  <v>-0.3939393939393939</v>
                </pt>
                <pt idx="2694">
                  <v>-0.3788819875776398</v>
                </pt>
                <pt idx="2695">
                  <v>-0.3827160493827161</v>
                </pt>
                <pt idx="2696">
                  <v>-0.3827160493827161</v>
                </pt>
                <pt idx="2697">
                  <v>-0.358974358974359</v>
                </pt>
                <pt idx="2698">
                  <v>-0.3710691823899371</v>
                </pt>
                <pt idx="2699">
                  <v>-0.3630573248407644</v>
                </pt>
                <pt idx="2700">
                  <v>-0.358974358974359</v>
                </pt>
                <pt idx="2701">
                  <v>-0.3827160493827161</v>
                </pt>
                <pt idx="2702">
                  <v>-0.375</v>
                </pt>
                <pt idx="2703">
                  <v>-0.3710691823899371</v>
                </pt>
                <pt idx="2704">
                  <v>-0.3506493506493507</v>
                </pt>
                <pt idx="2705">
                  <v>-0.3464052287581699</v>
                </pt>
                <pt idx="2706">
                  <v>-0.3710691823899371</v>
                </pt>
                <pt idx="2707">
                  <v>-0.3506493506493507</v>
                </pt>
                <pt idx="2708">
                  <v>-0.3333333333333334</v>
                </pt>
                <pt idx="2709">
                  <v>-0.3197278911564626</v>
                </pt>
                <pt idx="2710">
                  <v>-0.3421052631578947</v>
                </pt>
                <pt idx="2711">
                  <v>-0.3421052631578947</v>
                </pt>
                <pt idx="2712">
                  <v>-0.3421052631578947</v>
                </pt>
                <pt idx="2713">
                  <v>-0.3197278911564626</v>
                </pt>
                <pt idx="2714">
                  <v>-0.3197278911564626</v>
                </pt>
                <pt idx="2715">
                  <v>-0.315068493150685</v>
                </pt>
                <pt idx="2716">
                  <v>-0.3333333333333334</v>
                </pt>
                <pt idx="2717">
                  <v>-0.2805755395683452</v>
                </pt>
                <pt idx="2718">
                  <v>-0.2907801418439716</v>
                </pt>
                <pt idx="2719">
                  <v>-0.2805755395683452</v>
                </pt>
                <pt idx="2720">
                  <v>-0.2857142857142857</v>
                </pt>
                <pt idx="2721">
                  <v>-0.3055555555555556</v>
                </pt>
                <pt idx="2722">
                  <v>-0.3006993006993006</v>
                </pt>
                <pt idx="2723">
                  <v>-0.2957746478873239</v>
                </pt>
                <pt idx="2724">
                  <v>-0.3055555555555556</v>
                </pt>
                <pt idx="2725">
                  <v>-0.3006993006993006</v>
                </pt>
                <pt idx="2726">
                  <v>-0.315068493150685</v>
                </pt>
                <pt idx="2727">
                  <v>-0.3103448275862069</v>
                </pt>
                <pt idx="2728">
                  <v>-0.3288590604026845</v>
                </pt>
                <pt idx="2729">
                  <v>-0.3377483443708609</v>
                </pt>
                <pt idx="2730">
                  <v>-0.3333333333333334</v>
                </pt>
                <pt idx="2731">
                  <v>-0.3506493506493507</v>
                </pt>
                <pt idx="2732">
                  <v>-0.3548387096774194</v>
                </pt>
                <pt idx="2733">
                  <v>-0.3548387096774194</v>
                </pt>
                <pt idx="2734">
                  <v>-0.3548387096774194</v>
                </pt>
                <pt idx="2735">
                  <v>-0.358974358974359</v>
                </pt>
                <pt idx="2736">
                  <v>-0.3788819875776398</v>
                </pt>
                <pt idx="2737">
                  <v>-0.375</v>
                </pt>
                <pt idx="2738">
                  <v>-0.3865030674846626</v>
                </pt>
                <pt idx="2739">
                  <v>-0.3865030674846626</v>
                </pt>
                <pt idx="2740">
                  <v>-0.3865030674846626</v>
                </pt>
                <pt idx="2741">
                  <v>-0.3902439024390244</v>
                </pt>
                <pt idx="2742">
                  <v>-0.3865030674846626</v>
                </pt>
                <pt idx="2743">
                  <v>-0.3710691823899371</v>
                </pt>
                <pt idx="2744">
                  <v>-0.3865030674846626</v>
                </pt>
                <pt idx="2745">
                  <v>-0.3865030674846626</v>
                </pt>
                <pt idx="2746">
                  <v>-0.3548387096774194</v>
                </pt>
                <pt idx="2747">
                  <v>-0.3506493506493507</v>
                </pt>
                <pt idx="2748">
                  <v>-0.3548387096774194</v>
                </pt>
                <pt idx="2749">
                  <v>-0.358974358974359</v>
                </pt>
                <pt idx="2750">
                  <v>-0.375</v>
                </pt>
                <pt idx="2751">
                  <v>-0.375</v>
                </pt>
                <pt idx="2752">
                  <v>-0.375</v>
                </pt>
                <pt idx="2753">
                  <v>-0.3670886075949368</v>
                </pt>
                <pt idx="2754">
                  <v>-0.3788819875776398</v>
                </pt>
                <pt idx="2755">
                  <v>-0.3788819875776398</v>
                </pt>
                <pt idx="2756">
                  <v>-0.375</v>
                </pt>
                <pt idx="2757">
                  <v>-0.375</v>
                </pt>
                <pt idx="2758">
                  <v>-0.3827160493827161</v>
                </pt>
                <pt idx="2759">
                  <v>-0.3827160493827161</v>
                </pt>
                <pt idx="2760">
                  <v>-0.3939393939393939</v>
                </pt>
                <pt idx="2761">
                  <v>-0.3421052631578947</v>
                </pt>
                <pt idx="2762">
                  <v>-0.3670886075949368</v>
                </pt>
                <pt idx="2763">
                  <v>-0.3630573248407644</v>
                </pt>
                <pt idx="2764">
                  <v>-0.3630573248407644</v>
                </pt>
                <pt idx="2765">
                  <v>-0.358974358974359</v>
                </pt>
                <pt idx="2766">
                  <v>-0.3548387096774194</v>
                </pt>
                <pt idx="2767">
                  <v>-0.358974358974359</v>
                </pt>
                <pt idx="2768">
                  <v>-0.3670886075949368</v>
                </pt>
                <pt idx="2769">
                  <v>-0.3710691823899371</v>
                </pt>
                <pt idx="2770">
                  <v>-0.3548387096774194</v>
                </pt>
                <pt idx="2771">
                  <v>-0.3710691823899371</v>
                </pt>
                <pt idx="2772">
                  <v>-0.375</v>
                </pt>
                <pt idx="2773">
                  <v>-0.3710691823899371</v>
                </pt>
                <pt idx="2774">
                  <v>-0.3788819875776398</v>
                </pt>
                <pt idx="2775">
                  <v>-0.3421052631578947</v>
                </pt>
                <pt idx="2776">
                  <v>-0.3464052287581699</v>
                </pt>
                <pt idx="2777">
                  <v>-0.3421052631578947</v>
                </pt>
                <pt idx="2778">
                  <v>-0.3464052287581699</v>
                </pt>
                <pt idx="2779">
                  <v>-0.3548387096774194</v>
                </pt>
                <pt idx="2780">
                  <v>-0.3710691823899371</v>
                </pt>
                <pt idx="2781">
                  <v>-0.3670886075949368</v>
                </pt>
                <pt idx="2782">
                  <v>-0.3710691823899371</v>
                </pt>
                <pt idx="2783">
                  <v>-0.375</v>
                </pt>
                <pt idx="2784">
                  <v>-0.375</v>
                </pt>
                <pt idx="2785">
                  <v>-0.3421052631578947</v>
                </pt>
                <pt idx="2786">
                  <v>-0.3464052287581699</v>
                </pt>
                <pt idx="2787">
                  <v>-0.3421052631578947</v>
                </pt>
                <pt idx="2788">
                  <v>-0.3464052287581699</v>
                </pt>
                <pt idx="2789">
                  <v>-0.358974358974359</v>
                </pt>
                <pt idx="2790">
                  <v>-0.3506493506493507</v>
                </pt>
                <pt idx="2791">
                  <v>-0.3630573248407644</v>
                </pt>
                <pt idx="2792">
                  <v>-0.3630573248407644</v>
                </pt>
                <pt idx="2793">
                  <v>-0.3670886075949368</v>
                </pt>
                <pt idx="2794">
                  <v>-0.3630573248407644</v>
                </pt>
                <pt idx="2795">
                  <v>-0.3670886075949368</v>
                </pt>
                <pt idx="2796">
                  <v>-0.3710691823899371</v>
                </pt>
                <pt idx="2797">
                  <v>-0.3710691823899371</v>
                </pt>
                <pt idx="2798">
                  <v>-0.3710691823899371</v>
                </pt>
                <pt idx="2799">
                  <v>-0.3710691823899371</v>
                </pt>
                <pt idx="2800">
                  <v>-0.3710691823899371</v>
                </pt>
                <pt idx="2801">
                  <v>-0.3288590604026845</v>
                </pt>
                <pt idx="2802">
                  <v>-0.3006993006993006</v>
                </pt>
                <pt idx="2803">
                  <v>-0.3103448275862069</v>
                </pt>
                <pt idx="2804">
                  <v>-0.3333333333333334</v>
                </pt>
                <pt idx="2805">
                  <v>-0.3377483443708609</v>
                </pt>
                <pt idx="2806">
                  <v>-0.3506493506493507</v>
                </pt>
                <pt idx="2807">
                  <v>-0.3630573248407644</v>
                </pt>
                <pt idx="2808">
                  <v>-0.358974358974359</v>
                </pt>
                <pt idx="2809">
                  <v>-0.3464052287581699</v>
                </pt>
                <pt idx="2810">
                  <v>-0.3006993006993006</v>
                </pt>
                <pt idx="2811">
                  <v>-0.3055555555555556</v>
                </pt>
                <pt idx="2812">
                  <v>-0.3243243243243243</v>
                </pt>
                <pt idx="2813">
                  <v>-0.3243243243243243</v>
                </pt>
                <pt idx="2814">
                  <v>-0.3197278911564626</v>
                </pt>
                <pt idx="2815">
                  <v>-0.3197278911564626</v>
                </pt>
                <pt idx="2816">
                  <v>-0.3006993006993006</v>
                </pt>
                <pt idx="2817">
                  <v>-0.3006993006993006</v>
                </pt>
                <pt idx="2818">
                  <v>-0.3006993006993006</v>
                </pt>
                <pt idx="2819">
                  <v>-0.3055555555555556</v>
                </pt>
                <pt idx="2820">
                  <v>-0.3243243243243243</v>
                </pt>
                <pt idx="2821">
                  <v>-0.3333333333333334</v>
                </pt>
                <pt idx="2822">
                  <v>-0.3197278911564626</v>
                </pt>
                <pt idx="2823">
                  <v>-0.3333333333333334</v>
                </pt>
                <pt idx="2824">
                  <v>-0.3103448275862069</v>
                </pt>
                <pt idx="2825">
                  <v>-0.3333333333333334</v>
                </pt>
                <pt idx="2826">
                  <v>-0.3333333333333334</v>
                </pt>
                <pt idx="2827">
                  <v>-0.3243243243243243</v>
                </pt>
                <pt idx="2828">
                  <v>-0.3243243243243243</v>
                </pt>
                <pt idx="2829">
                  <v>-0.3243243243243243</v>
                </pt>
                <pt idx="2830">
                  <v>-0.3103448275862069</v>
                </pt>
                <pt idx="2831">
                  <v>-0.3243243243243243</v>
                </pt>
                <pt idx="2832">
                  <v>-0.3464052287581699</v>
                </pt>
                <pt idx="2833">
                  <v>-0.3548387096774194</v>
                </pt>
                <pt idx="2834">
                  <v>-0.3464052287581699</v>
                </pt>
                <pt idx="2835">
                  <v>-0.3377483443708609</v>
                </pt>
                <pt idx="2836">
                  <v>-0.3548387096774194</v>
                </pt>
                <pt idx="2837">
                  <v>-0.3670886075949368</v>
                </pt>
                <pt idx="2838">
                  <v>-0.3788819875776398</v>
                </pt>
                <pt idx="2839">
                  <v>-0.3630573248407644</v>
                </pt>
                <pt idx="2840">
                  <v>-0.3464052287581699</v>
                </pt>
                <pt idx="2841">
                  <v>-0.3548387096774194</v>
                </pt>
                <pt idx="2842">
                  <v>-0.358974358974359</v>
                </pt>
                <pt idx="2843">
                  <v>-0.358974358974359</v>
                </pt>
                <pt idx="2844">
                  <v>-0.3506493506493507</v>
                </pt>
                <pt idx="2845">
                  <v>-0.3377483443708609</v>
                </pt>
                <pt idx="2846">
                  <v>-0.3333333333333334</v>
                </pt>
                <pt idx="2847">
                  <v>-0.3288590604026845</v>
                </pt>
                <pt idx="2848">
                  <v>-0.3243243243243243</v>
                </pt>
                <pt idx="2849">
                  <v>-0.3288590604026845</v>
                </pt>
                <pt idx="2850">
                  <v>-0.3197278911564626</v>
                </pt>
                <pt idx="2851">
                  <v>-0.3377483443708609</v>
                </pt>
                <pt idx="2852">
                  <v>-0.358974358974359</v>
                </pt>
                <pt idx="2853">
                  <v>-0.3710691823899371</v>
                </pt>
                <pt idx="2854">
                  <v>-0.3630573248407644</v>
                </pt>
                <pt idx="2855">
                  <v>-0.3630573248407644</v>
                </pt>
                <pt idx="2856">
                  <v>-0.3710691823899371</v>
                </pt>
                <pt idx="2857">
                  <v>-0.3670886075949368</v>
                </pt>
                <pt idx="2858">
                  <v>-0.3670886075949368</v>
                </pt>
                <pt idx="2859">
                  <v>-0.3710691823899371</v>
                </pt>
                <pt idx="2860">
                  <v>-0.3670886075949368</v>
                </pt>
                <pt idx="2861">
                  <v>-0.3630573248407644</v>
                </pt>
                <pt idx="2862">
                  <v>-0.358974358974359</v>
                </pt>
                <pt idx="2863">
                  <v>-0.3421052631578947</v>
                </pt>
                <pt idx="2864">
                  <v>-0.3464052287581699</v>
                </pt>
                <pt idx="2865">
                  <v>-0.3506493506493507</v>
                </pt>
                <pt idx="2866">
                  <v>-0.3506493506493507</v>
                </pt>
                <pt idx="2867">
                  <v>-0.3548387096774194</v>
                </pt>
                <pt idx="2868">
                  <v>-0.3670886075949368</v>
                </pt>
                <pt idx="2869">
                  <v>-0.3710691823899371</v>
                </pt>
                <pt idx="2870">
                  <v>-0.3827160493827161</v>
                </pt>
                <pt idx="2871">
                  <v>-0.3865030674846626</v>
                </pt>
                <pt idx="2872">
                  <v>-0.3939393939393939</v>
                </pt>
                <pt idx="2873">
                  <v>-0.4011976047904191</v>
                </pt>
                <pt idx="2874">
                  <v>-0.408284023668639</v>
                </pt>
                <pt idx="2875">
                  <v>-0.3975903614457831</v>
                </pt>
                <pt idx="2876">
                  <v>-0.3975903614457831</v>
                </pt>
                <pt idx="2877">
                  <v>-0.4117647058823529</v>
                </pt>
                <pt idx="2878">
                  <v>-0.4011976047904191</v>
                </pt>
                <pt idx="2879">
                  <v>-0.3975903614457831</v>
                </pt>
                <pt idx="2880">
                  <v>-0.4047619047619048</v>
                </pt>
                <pt idx="2881">
                  <v>-0.4186046511627907</v>
                </pt>
                <pt idx="2882">
                  <v>-0.4285714285714286</v>
                </pt>
                <pt idx="2883">
                  <v>-0.4252873563218391</v>
                </pt>
                <pt idx="2884">
                  <v>-0.4413407821229051</v>
                </pt>
                <pt idx="2885">
                  <v>-0.46524064171123</v>
                </pt>
                <pt idx="2886">
                  <v>-0.4565217391304348</v>
                </pt>
                <pt idx="2887">
                  <v>-0.46524064171123</v>
                </pt>
                <pt idx="2888">
                  <v>-0.4764397905759162</v>
                </pt>
                <pt idx="2889">
                  <v>-0.4818652849740932</v>
                </pt>
                <pt idx="2890">
                  <v>-0.4565217391304348</v>
                </pt>
                <pt idx="2891">
                  <v>-0.4535519125683061</v>
                </pt>
                <pt idx="2892">
                  <v>-0.4680851063829787</v>
                </pt>
                <pt idx="2893">
                  <v>-0.4708994708994708</v>
                </pt>
                <pt idx="2894">
                  <v>-0.4871794871794871</v>
                </pt>
                <pt idx="2895">
                  <v>-0.4818652849740932</v>
                </pt>
                <pt idx="2896">
                  <v>-0.4845360824742267</v>
                </pt>
                <pt idx="2897">
                  <v>-0.4708994708994708</v>
                </pt>
                <pt idx="2898">
                  <v>-0.4708994708994708</v>
                </pt>
                <pt idx="2899">
                  <v>-0.5</v>
                </pt>
                <pt idx="2900">
                  <v>-0.5098039215686274</v>
                </pt>
                <pt idx="2901">
                  <v>-0.5098039215686274</v>
                </pt>
                <pt idx="2902">
                  <v>-0.5073891625615763</v>
                </pt>
                <pt idx="2903">
                  <v>-0.4974874371859297</v>
                </pt>
                <pt idx="2904">
                  <v>-0.4923857868020305</v>
                </pt>
                <pt idx="2905">
                  <v>-0.504950495049505</v>
                </pt>
                <pt idx="2906">
                  <v>-0.5024875621890547</v>
                </pt>
                <pt idx="2907">
                  <v>-0.5098039215686274</v>
                </pt>
                <pt idx="2908">
                  <v>-0.5192307692307693</v>
                </pt>
                <pt idx="2909">
                  <v>-0.5169082125603864</v>
                </pt>
                <pt idx="2910">
                  <v>-0.5073891625615763</v>
                </pt>
                <pt idx="2911">
                  <v>-0.5145631067961165</v>
                </pt>
                <pt idx="2912">
                  <v>-0.5145631067961165</v>
                </pt>
                <pt idx="2913">
                  <v>-0.5145631067961165</v>
                </pt>
                <pt idx="2914">
                  <v>-0.5145631067961165</v>
                </pt>
                <pt idx="2915">
                  <v>-0.5215311004784688</v>
                </pt>
                <pt idx="2916">
                  <v>-0.5238095238095238</v>
                </pt>
                <pt idx="2917">
                  <v>-0.5121951219512195</v>
                </pt>
                <pt idx="2918">
                  <v>-0.5073891625615763</v>
                </pt>
                <pt idx="2919">
                  <v>-0.5</v>
                </pt>
                <pt idx="2920">
                  <v>-0.504950495049505</v>
                </pt>
                <pt idx="2921">
                  <v>-0.5073891625615763</v>
                </pt>
                <pt idx="2922">
                  <v>-0.4923857868020305</v>
                </pt>
                <pt idx="2923">
                  <v>-0.4818652849740932</v>
                </pt>
                <pt idx="2924">
                  <v>-0.4871794871794871</v>
                </pt>
                <pt idx="2925">
                  <v>-0.4949494949494949</v>
                </pt>
                <pt idx="2926">
                  <v>-0.4708994708994708</v>
                </pt>
                <pt idx="2927">
                  <v>-0.4764397905759162</v>
                </pt>
                <pt idx="2928">
                  <v>-0.4818652849740932</v>
                </pt>
                <pt idx="2929">
                  <v>-0.4736842105263158</v>
                </pt>
                <pt idx="2930">
                  <v>-0.4736842105263158</v>
                </pt>
                <pt idx="2931">
                  <v>-0.4871794871794871</v>
                </pt>
                <pt idx="2932">
                  <v>-0.4949494949494949</v>
                </pt>
                <pt idx="2933">
                  <v>-0.4923857868020305</v>
                </pt>
                <pt idx="2934">
                  <v>-0.4535519125683061</v>
                </pt>
                <pt idx="2935">
                  <v>-0.4505494505494506</v>
                </pt>
                <pt idx="2936">
                  <v>-0.4413407821229051</v>
                </pt>
                <pt idx="2937">
                  <v>-0.4708994708994708</v>
                </pt>
                <pt idx="2938">
                  <v>-0.4764397905759162</v>
                </pt>
                <pt idx="2939">
                  <v>-0.46524064171123</v>
                </pt>
                <pt idx="2940">
                  <v>-0.4535519125683061</v>
                </pt>
                <pt idx="2941">
                  <v>-0.4680851063829787</v>
                </pt>
                <pt idx="2942">
                  <v>-0.4974874371859297</v>
                </pt>
                <pt idx="2943">
                  <v>-0.5169082125603864</v>
                </pt>
                <pt idx="2944">
                  <v>-0.5145631067961165</v>
                </pt>
                <pt idx="2945">
                  <v>-0.4974874371859297</v>
                </pt>
                <pt idx="2946">
                  <v>-0.4974874371859297</v>
                </pt>
                <pt idx="2947">
                  <v>-0.4818652849740932</v>
                </pt>
                <pt idx="2948">
                  <v>-0.4764397905759162</v>
                </pt>
                <pt idx="2949">
                  <v>-0.4623655913978495</v>
                </pt>
                <pt idx="2950">
                  <v>-0.4475138121546961</v>
                </pt>
                <pt idx="2951">
                  <v>-0.4594594594594595</v>
                </pt>
                <pt idx="2952">
                  <v>-0.4594594594594595</v>
                </pt>
                <pt idx="2953">
                  <v>-0.4444444444444444</v>
                </pt>
                <pt idx="2954">
                  <v>-0.4475138121546961</v>
                </pt>
                <pt idx="2955">
                  <v>-0.4413407821229051</v>
                </pt>
                <pt idx="2956">
                  <v>-0.4594594594594595</v>
                </pt>
                <pt idx="2957">
                  <v>-0.4444444444444444</v>
                </pt>
                <pt idx="2958">
                  <v>-0.4444444444444444</v>
                </pt>
                <pt idx="2959">
                  <v>-0.4565217391304348</v>
                </pt>
                <pt idx="2960">
                  <v>-0.4594594594594595</v>
                </pt>
                <pt idx="2961">
                  <v>-0.4565217391304348</v>
                </pt>
                <pt idx="2962">
                  <v>-0.4475138121546961</v>
                </pt>
                <pt idx="2963">
                  <v>-0.4535519125683061</v>
                </pt>
                <pt idx="2964">
                  <v>-0.4565217391304348</v>
                </pt>
                <pt idx="2965">
                  <v>-0.4623655913978495</v>
                </pt>
                <pt idx="2966">
                  <v>-0.46524064171123</v>
                </pt>
                <pt idx="2967">
                  <v>-0.4736842105263158</v>
                </pt>
                <pt idx="2968">
                  <v>-0.4764397905759162</v>
                </pt>
                <pt idx="2969">
                  <v>-0.4736842105263158</v>
                </pt>
                <pt idx="2970">
                  <v>-0.4505494505494506</v>
                </pt>
                <pt idx="2971">
                  <v>-0.4475138121546961</v>
                </pt>
                <pt idx="2972">
                  <v>-0.4444444444444444</v>
                </pt>
                <pt idx="2973">
                  <v>-0.4594594594594595</v>
                </pt>
                <pt idx="2974">
                  <v>-0.4565217391304348</v>
                </pt>
                <pt idx="2975">
                  <v>-0.4565217391304348</v>
                </pt>
                <pt idx="2976">
                  <v>-0.4565217391304348</v>
                </pt>
                <pt idx="2977">
                  <v>-0.4680851063829787</v>
                </pt>
                <pt idx="2978">
                  <v>-0.4444444444444444</v>
                </pt>
                <pt idx="2979">
                  <v>-0.4413407821229051</v>
                </pt>
                <pt idx="2980">
                  <v>-0.4413407821229051</v>
                </pt>
                <pt idx="2981">
                  <v>-0.4252873563218391</v>
                </pt>
                <pt idx="2982">
                  <v>-0.4252873563218391</v>
                </pt>
                <pt idx="2983">
                  <v>-0.4285714285714286</v>
                </pt>
                <pt idx="2984">
                  <v>-0.4382022471910112</v>
                </pt>
                <pt idx="2985">
                  <v>-0.4535519125683061</v>
                </pt>
                <pt idx="2986">
                  <v>-0.4594594594594595</v>
                </pt>
                <pt idx="2987">
                  <v>-0.4382022471910112</v>
                </pt>
                <pt idx="2988">
                  <v>-0.4444444444444444</v>
                </pt>
                <pt idx="2989">
                  <v>-0.4382022471910112</v>
                </pt>
                <pt idx="2990">
                  <v>-0.4444444444444444</v>
                </pt>
                <pt idx="2991">
                  <v>-0.4505494505494506</v>
                </pt>
                <pt idx="2992">
                  <v>-0.4565217391304348</v>
                </pt>
                <pt idx="2993">
                  <v>-0.4413407821229051</v>
                </pt>
                <pt idx="2994">
                  <v>-0.4475138121546961</v>
                </pt>
                <pt idx="2995">
                  <v>-0.4475138121546961</v>
                </pt>
                <pt idx="2996">
                  <v>-0.4535519125683061</v>
                </pt>
                <pt idx="2997">
                  <v>-0.4505494505494506</v>
                </pt>
                <pt idx="2998">
                  <v>-0.4475138121546961</v>
                </pt>
                <pt idx="2999">
                  <v>-0.4565217391304348</v>
                </pt>
                <pt idx="3000">
                  <v>-0.4565217391304348</v>
                </pt>
                <pt idx="3001">
                  <v>-0.4623655913978495</v>
                </pt>
                <pt idx="3002">
                  <v>-0.46524064171123</v>
                </pt>
                <pt idx="3003">
                  <v>-0.4708994708994708</v>
                </pt>
                <pt idx="3004">
                  <v>-0.4680851063829787</v>
                </pt>
                <pt idx="3005">
                  <v>-0.4708994708994708</v>
                </pt>
                <pt idx="3006">
                  <v>-0.4680851063829787</v>
                </pt>
                <pt idx="3007">
                  <v>-0.4594594594594595</v>
                </pt>
                <pt idx="3008">
                  <v>-0.4594594594594595</v>
                </pt>
                <pt idx="3009">
                  <v>-0.4623655913978495</v>
                </pt>
                <pt idx="3010">
                  <v>-0.4594594594594595</v>
                </pt>
                <pt idx="3011">
                  <v>-0.4594594594594595</v>
                </pt>
                <pt idx="3012">
                  <v>-0.4535519125683061</v>
                </pt>
                <pt idx="3013">
                  <v>-0.4535519125683061</v>
                </pt>
                <pt idx="3014">
                  <v>-0.4444444444444444</v>
                </pt>
                <pt idx="3015">
                  <v>-0.4350282485875706</v>
                </pt>
                <pt idx="3016">
                  <v>-0.4382022471910112</v>
                </pt>
                <pt idx="3017">
                  <v>-0.4318181818181818</v>
                </pt>
                <pt idx="3018">
                  <v>-0.4350282485875706</v>
                </pt>
                <pt idx="3019">
                  <v>-0.4285714285714286</v>
                </pt>
                <pt idx="3020">
                  <v>-0.4219653179190751</v>
                </pt>
                <pt idx="3021">
                  <v>-0.4219653179190751</v>
                </pt>
                <pt idx="3022">
                  <v>-0.4252873563218391</v>
                </pt>
                <pt idx="3023">
                  <v>-0.4252873563218391</v>
                </pt>
                <pt idx="3024">
                  <v>-0.4186046511627907</v>
                </pt>
                <pt idx="3025">
                  <v>-0.4318181818181818</v>
                </pt>
                <pt idx="3026">
                  <v>-0.4382022471910112</v>
                </pt>
                <pt idx="3027">
                  <v>-0.4117647058823529</v>
                </pt>
                <pt idx="3028">
                  <v>-0.408284023668639</v>
                </pt>
                <pt idx="3029">
                  <v>-0.3939393939393939</v>
                </pt>
                <pt idx="3030">
                  <v>-0.3939393939393939</v>
                </pt>
                <pt idx="3031">
                  <v>-0.4011976047904191</v>
                </pt>
                <pt idx="3032">
                  <v>-0.4186046511627907</v>
                </pt>
                <pt idx="3033">
                  <v>-0.4219653179190751</v>
                </pt>
                <pt idx="3034">
                  <v>-0.4152046783625731</v>
                </pt>
                <pt idx="3035">
                  <v>-0.4117647058823529</v>
                </pt>
                <pt idx="3036">
                  <v>-0.4117647058823529</v>
                </pt>
                <pt idx="3037">
                  <v>-0.4186046511627907</v>
                </pt>
                <pt idx="3038">
                  <v>-0.4252873563218391</v>
                </pt>
                <pt idx="3039">
                  <v>-0.4186046511627907</v>
                </pt>
                <pt idx="3040">
                  <v>-0.4285714285714286</v>
                </pt>
                <pt idx="3041">
                  <v>-0.4285714285714286</v>
                </pt>
                <pt idx="3042">
                  <v>-0.4318181818181818</v>
                </pt>
                <pt idx="3043">
                  <v>-0.4285714285714286</v>
                </pt>
                <pt idx="3044">
                  <v>-0.4117647058823529</v>
                </pt>
                <pt idx="3045">
                  <v>-0.4219653179190751</v>
                </pt>
                <pt idx="3046">
                  <v>-0.4219653179190751</v>
                </pt>
                <pt idx="3047">
                  <v>-0.4285714285714286</v>
                </pt>
                <pt idx="3048">
                  <v>-0.4186046511627907</v>
                </pt>
                <pt idx="3049">
                  <v>-0.4186046511627907</v>
                </pt>
                <pt idx="3050">
                  <v>-0.4186046511627907</v>
                </pt>
                <pt idx="3051">
                  <v>-0.4219653179190751</v>
                </pt>
                <pt idx="3052">
                  <v>-0.4252873563218391</v>
                </pt>
                <pt idx="3053">
                  <v>-0.4252873563218391</v>
                </pt>
                <pt idx="3054">
                  <v>-0.4350282485875706</v>
                </pt>
                <pt idx="3055">
                  <v>-0.4318181818181818</v>
                </pt>
                <pt idx="3056">
                  <v>-0.4252873563218391</v>
                </pt>
                <pt idx="3057">
                  <v>-0.4318181818181818</v>
                </pt>
                <pt idx="3058">
                  <v>-0.4252873563218391</v>
                </pt>
                <pt idx="3059">
                  <v>-0.4219653179190751</v>
                </pt>
                <pt idx="3060">
                  <v>-0.4219653179190751</v>
                </pt>
                <pt idx="3061">
                  <v>-0.4186046511627907</v>
                </pt>
                <pt idx="3062">
                  <v>-0.4252873563218391</v>
                </pt>
                <pt idx="3063">
                  <v>-0.4252873563218391</v>
                </pt>
                <pt idx="3064">
                  <v>-0.4186046511627907</v>
                </pt>
                <pt idx="3065">
                  <v>-0.4252873563218391</v>
                </pt>
                <pt idx="3066">
                  <v>-0.4285714285714286</v>
                </pt>
                <pt idx="3067">
                  <v>-0.4413407821229051</v>
                </pt>
                <pt idx="3068">
                  <v>-0.4505494505494506</v>
                </pt>
                <pt idx="3069">
                  <v>-0.4505494505494506</v>
                </pt>
                <pt idx="3070">
                  <v>-0.4505494505494506</v>
                </pt>
                <pt idx="3071">
                  <v>-0.4565217391304348</v>
                </pt>
                <pt idx="3072">
                  <v>-0.4623655913978495</v>
                </pt>
                <pt idx="3073">
                  <v>-0.4535519125683061</v>
                </pt>
                <pt idx="3074">
                  <v>-0.4535519125683061</v>
                </pt>
                <pt idx="3075">
                  <v>-0.4475138121546961</v>
                </pt>
                <pt idx="3076">
                  <v>-0.4505494505494506</v>
                </pt>
                <pt idx="3077">
                  <v>-0.4623655913978495</v>
                </pt>
                <pt idx="3078">
                  <v>-0.4475138121546961</v>
                </pt>
                <pt idx="3079">
                  <v>-0.4475138121546961</v>
                </pt>
                <pt idx="3080">
                  <v>-0.4708994708994708</v>
                </pt>
                <pt idx="3081">
                  <v>-0.4680851063829787</v>
                </pt>
                <pt idx="3082">
                  <v>-0.4736842105263158</v>
                </pt>
                <pt idx="3083">
                  <v>-0.4736842105263158</v>
                </pt>
                <pt idx="3084">
                  <v>-0.4871794871794871</v>
                </pt>
                <pt idx="3085">
                  <v>-0.4949494949494949</v>
                </pt>
                <pt idx="3086">
                  <v>-0.5024875621890547</v>
                </pt>
                <pt idx="3087">
                  <v>-0.5098039215686274</v>
                </pt>
                <pt idx="3088">
                  <v>-0.5169082125603864</v>
                </pt>
                <pt idx="3089">
                  <v>-0.5024875621890547</v>
                </pt>
                <pt idx="3090">
                  <v>-0.4818652849740932</v>
                </pt>
                <pt idx="3091">
                  <v>-0.4923857868020305</v>
                </pt>
                <pt idx="3092">
                  <v>-0.4923857868020305</v>
                </pt>
                <pt idx="3093">
                  <v>-0.4897959183673469</v>
                </pt>
                <pt idx="3094">
                  <v>-0.4764397905759162</v>
                </pt>
                <pt idx="3095">
                  <v>-0.4845360824742267</v>
                </pt>
                <pt idx="3096">
                  <v>-0.4845360824742267</v>
                </pt>
                <pt idx="3097">
                  <v>-0.4708994708994708</v>
                </pt>
                <pt idx="3098">
                  <v>-0.4680851063829787</v>
                </pt>
                <pt idx="3099">
                  <v>-0.4764397905759162</v>
                </pt>
                <pt idx="3100">
                  <v>-0.4791666666666666</v>
                </pt>
                <pt idx="3101">
                  <v>-0.4949494949494949</v>
                </pt>
                <pt idx="3102">
                  <v>-0.5073891625615763</v>
                </pt>
                <pt idx="3103">
                  <v>-0.4897959183673469</v>
                </pt>
                <pt idx="3104">
                  <v>-0.4871794871794871</v>
                </pt>
                <pt idx="3105">
                  <v>-0.4764397905759162</v>
                </pt>
                <pt idx="3106">
                  <v>-0.46524064171123</v>
                </pt>
                <pt idx="3107">
                  <v>-0.46524064171123</v>
                </pt>
                <pt idx="3108">
                  <v>-0.4764397905759162</v>
                </pt>
                <pt idx="3109">
                  <v>-0.4708994708994708</v>
                </pt>
                <pt idx="3110">
                  <v>-0.4708994708994708</v>
                </pt>
                <pt idx="3111">
                  <v>-0.4818652849740932</v>
                </pt>
                <pt idx="3112">
                  <v>-0.4845360824742267</v>
                </pt>
                <pt idx="3113">
                  <v>-0.4818652849740932</v>
                </pt>
                <pt idx="3114">
                  <v>-0.4871794871794871</v>
                </pt>
                <pt idx="3115">
                  <v>-0.4871794871794871</v>
                </pt>
                <pt idx="3116">
                  <v>-0.4871794871794871</v>
                </pt>
                <pt idx="3117">
                  <v>-0.4818652849740932</v>
                </pt>
                <pt idx="3118">
                  <v>-0.4845360824742267</v>
                </pt>
                <pt idx="3119">
                  <v>-0.4791666666666666</v>
                </pt>
                <pt idx="3120">
                  <v>-0.4897959183673469</v>
                </pt>
                <pt idx="3121">
                  <v>-0.4764397905759162</v>
                </pt>
                <pt idx="3122">
                  <v>-0.4764397905759162</v>
                </pt>
                <pt idx="3123">
                  <v>-0.4680851063829787</v>
                </pt>
                <pt idx="3124">
                  <v>-0.4818652849740932</v>
                </pt>
                <pt idx="3125">
                  <v>-0.4791666666666666</v>
                </pt>
                <pt idx="3126">
                  <v>-0.4736842105263158</v>
                </pt>
                <pt idx="3127">
                  <v>-0.4949494949494949</v>
                </pt>
                <pt idx="3128">
                  <v>-0.4923857868020305</v>
                </pt>
                <pt idx="3129">
                  <v>-0.4818652849740932</v>
                </pt>
                <pt idx="3130">
                  <v>-0.4845360824742267</v>
                </pt>
                <pt idx="3131">
                  <v>-0.4791666666666666</v>
                </pt>
                <pt idx="3132">
                  <v>-0.4818652849740932</v>
                </pt>
                <pt idx="3133">
                  <v>-0.4923857868020305</v>
                </pt>
                <pt idx="3134">
                  <v>-0.4949494949494949</v>
                </pt>
                <pt idx="3135">
                  <v>-0.5073891625615763</v>
                </pt>
                <pt idx="3136">
                  <v>-0.504950495049505</v>
                </pt>
                <pt idx="3137">
                  <v>-0.4923857868020305</v>
                </pt>
                <pt idx="3138">
                  <v>-0.4871794871794871</v>
                </pt>
                <pt idx="3139">
                  <v>-0.4845360824742267</v>
                </pt>
                <pt idx="3140">
                  <v>-0.4949494949494949</v>
                </pt>
                <pt idx="3141">
                  <v>-0.4923857868020305</v>
                </pt>
                <pt idx="3142">
                  <v>-0.4949494949494949</v>
                </pt>
                <pt idx="3143">
                  <v>-0.5</v>
                </pt>
                <pt idx="3144">
                  <v>-0.4974874371859297</v>
                </pt>
                <pt idx="3145">
                  <v>-0.4949494949494949</v>
                </pt>
                <pt idx="3146">
                  <v>-0.4974874371859297</v>
                </pt>
                <pt idx="3147">
                  <v>-0.4923857868020305</v>
                </pt>
                <pt idx="3148">
                  <v>-0.4897959183673469</v>
                </pt>
                <pt idx="3149">
                  <v>-0.4923857868020305</v>
                </pt>
                <pt idx="3150">
                  <v>-0.4871794871794871</v>
                </pt>
                <pt idx="3151">
                  <v>-0.4949494949494949</v>
                </pt>
                <pt idx="3152">
                  <v>-0.4923857868020305</v>
                </pt>
                <pt idx="3153">
                  <v>-0.4949494949494949</v>
                </pt>
                <pt idx="3154">
                  <v>-0.4897959183673469</v>
                </pt>
                <pt idx="3155">
                  <v>-0.4974874371859297</v>
                </pt>
                <pt idx="3156">
                  <v>-0.4974874371859297</v>
                </pt>
                <pt idx="3157">
                  <v>-0.4974874371859297</v>
                </pt>
                <pt idx="3158">
                  <v>-0.4871794871794871</v>
                </pt>
                <pt idx="3159">
                  <v>-0.5</v>
                </pt>
                <pt idx="3160">
                  <v>-0.4949494949494949</v>
                </pt>
                <pt idx="3161">
                  <v>-0.4949494949494949</v>
                </pt>
                <pt idx="3162">
                  <v>-0.4974874371859297</v>
                </pt>
                <pt idx="3163">
                  <v>-0.4897959183673469</v>
                </pt>
                <pt idx="3164">
                  <v>-0.4923857868020305</v>
                </pt>
                <pt idx="3165">
                  <v>-0.4923857868020305</v>
                </pt>
                <pt idx="3166">
                  <v>-0.4871794871794871</v>
                </pt>
                <pt idx="3167">
                  <v>-0.4791666666666666</v>
                </pt>
                <pt idx="3168">
                  <v>-0.4791666666666666</v>
                </pt>
                <pt idx="3169">
                  <v>-0.4818652849740932</v>
                </pt>
                <pt idx="3170">
                  <v>-0.4791666666666666</v>
                </pt>
                <pt idx="3171">
                  <v>-0.4897959183673469</v>
                </pt>
                <pt idx="3172">
                  <v>-0.4764397905759162</v>
                </pt>
                <pt idx="3173">
                  <v>-0.4871794871794871</v>
                </pt>
                <pt idx="3174">
                  <v>-0.4736842105263158</v>
                </pt>
                <pt idx="3175">
                  <v>-0.4818652849740932</v>
                </pt>
                <pt idx="3176">
                  <v>-0.4505494505494506</v>
                </pt>
                <pt idx="3177">
                  <v>-0.4736842105263158</v>
                </pt>
                <pt idx="3178">
                  <v>-0.4791666666666666</v>
                </pt>
                <pt idx="3179">
                  <v>-0.4818652849740932</v>
                </pt>
                <pt idx="3180">
                  <v>-0.46524064171123</v>
                </pt>
                <pt idx="3181">
                  <v>-0.4594594594594595</v>
                </pt>
                <pt idx="3182">
                  <v>-0.4535519125683061</v>
                </pt>
                <pt idx="3183">
                  <v>-0.4444444444444444</v>
                </pt>
                <pt idx="3184">
                  <v>-0.4505494505494506</v>
                </pt>
                <pt idx="3185">
                  <v>-0.4444444444444444</v>
                </pt>
                <pt idx="3186">
                  <v>-0.4413407821229051</v>
                </pt>
                <pt idx="3187">
                  <v>-0.4444444444444444</v>
                </pt>
                <pt idx="3188">
                  <v>-0.4535519125683061</v>
                </pt>
                <pt idx="3189">
                  <v>-0.4594594594594595</v>
                </pt>
                <pt idx="3190">
                  <v>-0.4565217391304348</v>
                </pt>
                <pt idx="3191">
                  <v>-0.4413407821229051</v>
                </pt>
                <pt idx="3192">
                  <v>-0.4413407821229051</v>
                </pt>
                <pt idx="3193">
                  <v>-0.4623655913978495</v>
                </pt>
                <pt idx="3194">
                  <v>-0.4623655913978495</v>
                </pt>
                <pt idx="3195">
                  <v>-0.4680851063829787</v>
                </pt>
                <pt idx="3196">
                  <v>-0.4736842105263158</v>
                </pt>
                <pt idx="3197">
                  <v>-0.4680851063829787</v>
                </pt>
                <pt idx="3198">
                  <v>-0.4623655913978495</v>
                </pt>
                <pt idx="3199">
                  <v>-0.4475138121546961</v>
                </pt>
                <pt idx="3200">
                  <v>-0.4623655913978495</v>
                </pt>
                <pt idx="3201">
                  <v>-0.46524064171123</v>
                </pt>
                <pt idx="3202">
                  <v>-0.46524064171123</v>
                </pt>
                <pt idx="3203">
                  <v>-0.4791666666666666</v>
                </pt>
                <pt idx="3204">
                  <v>-0.4736842105263158</v>
                </pt>
                <pt idx="3205">
                  <v>-0.46524064171123</v>
                </pt>
                <pt idx="3206">
                  <v>-0.46524064171123</v>
                </pt>
                <pt idx="3207">
                  <v>-0.4565217391304348</v>
                </pt>
                <pt idx="3208">
                  <v>-0.46524064171123</v>
                </pt>
                <pt idx="3209">
                  <v>-0.46524064171123</v>
                </pt>
                <pt idx="3210">
                  <v>-0.46524064171123</v>
                </pt>
                <pt idx="3211">
                  <v>-0.4708994708994708</v>
                </pt>
                <pt idx="3212">
                  <v>-0.4736842105263158</v>
                </pt>
                <pt idx="3213">
                  <v>-0.4736842105263158</v>
                </pt>
                <pt idx="3214">
                  <v>-0.4736842105263158</v>
                </pt>
                <pt idx="3215">
                  <v>-0.4764397905759162</v>
                </pt>
                <pt idx="3216">
                  <v>-0.4764397905759162</v>
                </pt>
                <pt idx="3217">
                  <v>-0.4845360824742267</v>
                </pt>
                <pt idx="3218">
                  <v>-0.4818652849740932</v>
                </pt>
                <pt idx="3219">
                  <v>-0.46524064171123</v>
                </pt>
                <pt idx="3220">
                  <v>-0.4708994708994708</v>
                </pt>
                <pt idx="3221">
                  <v>-0.4845360824742267</v>
                </pt>
                <pt idx="3222">
                  <v>-0.4923857868020305</v>
                </pt>
                <pt idx="3223">
                  <v>-0.4949494949494949</v>
                </pt>
                <pt idx="3224">
                  <v>-0.4818652849740932</v>
                </pt>
                <pt idx="3225">
                  <v>-0.5283018867924529</v>
                </pt>
                <pt idx="3226">
                  <v>-0.5495495495495496</v>
                </pt>
                <pt idx="3227">
                  <v>-0.576271186440678</v>
                </pt>
                <pt idx="3228">
                  <v>-0.5867768595041323</v>
                </pt>
                <pt idx="3229">
                  <v>-0.6153846153846154</v>
                </pt>
                <pt idx="3230">
                  <v>-0.5983935742971889</v>
                </pt>
                <pt idx="3231">
                  <v>-0.5983935742971889</v>
                </pt>
                <pt idx="3232">
                  <v>-0.5983935742971889</v>
                </pt>
                <pt idx="3233">
                  <v>-0.5850622406639004</v>
                </pt>
                <pt idx="3234">
                  <v>-0.5918367346938775</v>
                </pt>
                <pt idx="3235">
                  <v>-0.5780590717299579</v>
                </pt>
                <pt idx="3236">
                  <v>-0.5798319327731092</v>
                </pt>
                <pt idx="3237">
                  <v>-0.5633187772925764</v>
                </pt>
                <pt idx="3238">
                  <v>-0.5708154506437768</v>
                </pt>
                <pt idx="3239">
                  <v>-0.5633187772925764</v>
                </pt>
                <pt idx="3240">
                  <v>-0.5708154506437768</v>
                </pt>
                <pt idx="3241">
                  <v>-0.5689655172413792</v>
                </pt>
                <pt idx="3242">
                  <v>-0.5726495726495726</v>
                </pt>
                <pt idx="3243">
                  <v>-0.576271186440678</v>
                </pt>
                <pt idx="3244">
                  <v>-0.576271186440678</v>
                </pt>
                <pt idx="3245">
                  <v>-0.5708154506437768</v>
                </pt>
                <pt idx="3246">
                  <v>-0.5780590717299579</v>
                </pt>
                <pt idx="3247">
                  <v>-0.5689655172413792</v>
                </pt>
                <pt idx="3248">
                  <v>-0.5215311004784688</v>
                </pt>
                <pt idx="3249">
                  <v>-0.5555555555555556</v>
                </pt>
                <pt idx="3250">
                  <v>-0.5633187772925764</v>
                </pt>
                <pt idx="3251">
                  <v>-0.5515695067264574</v>
                </pt>
                <pt idx="3252">
                  <v>-0.5495495495495496</v>
                </pt>
                <pt idx="3253">
                  <v>-0.5614035087719298</v>
                </pt>
                <pt idx="3254">
                  <v>-0.5850622406639004</v>
                </pt>
                <pt idx="3255">
                  <v>-0.5726495726495726</v>
                </pt>
                <pt idx="3256">
                  <v>-0.5633187772925764</v>
                </pt>
                <pt idx="3257">
                  <v>-0.5633187772925764</v>
                </pt>
                <pt idx="3258">
                  <v>-0.5633187772925764</v>
                </pt>
                <pt idx="3259">
                  <v>-0.5575221238938053</v>
                </pt>
                <pt idx="3260">
                  <v>-0.5535714285714286</v>
                </pt>
                <pt idx="3261">
                  <v>-0.5454545454545454</v>
                </pt>
                <pt idx="3262">
                  <v>-0.5515695067264574</v>
                </pt>
                <pt idx="3263">
                  <v>-0.5454545454545454</v>
                </pt>
                <pt idx="3264">
                  <v>-0.5515695067264574</v>
                </pt>
                <pt idx="3265">
                  <v>-0.5575221238938053</v>
                </pt>
                <pt idx="3266">
                  <v>-0.5652173913043478</v>
                </pt>
                <pt idx="3267">
                  <v>-0.5652173913043478</v>
                </pt>
                <pt idx="3268">
                  <v>-0.5689655172413792</v>
                </pt>
                <pt idx="3269">
                  <v>-0.5708154506437768</v>
                </pt>
                <pt idx="3270">
                  <v>-0.5575221238938053</v>
                </pt>
                <pt idx="3271">
                  <v>-0.5633187772925764</v>
                </pt>
                <pt idx="3272">
                  <v>-0.5708154506437768</v>
                </pt>
                <pt idx="3273">
                  <v>-0.5708154506437768</v>
                </pt>
                <pt idx="3274">
                  <v>-0.5780590717299579</v>
                </pt>
                <pt idx="3275">
                  <v>-0.5726495726495726</v>
                </pt>
                <pt idx="3276">
                  <v>-0.5708154506437768</v>
                </pt>
                <pt idx="3277">
                  <v>-0.5780590717299579</v>
                </pt>
                <pt idx="3278">
                  <v>-0.5780590717299579</v>
                </pt>
                <pt idx="3279">
                  <v>-0.5867768595041323</v>
                </pt>
                <pt idx="3280">
                  <v>-0.5850622406639004</v>
                </pt>
                <pt idx="3281">
                  <v>-0.5780590717299579</v>
                </pt>
                <pt idx="3282">
                  <v>-0.5815899581589958</v>
                </pt>
                <pt idx="3283">
                  <v>-0.5689655172413792</v>
                </pt>
                <pt idx="3284">
                  <v>-0.574468085106383</v>
                </pt>
                <pt idx="3285">
                  <v>-0.5850622406639004</v>
                </pt>
                <pt idx="3286">
                  <v>-0.5833333333333333</v>
                </pt>
                <pt idx="3287">
                  <v>-0.5726495726495726</v>
                </pt>
                <pt idx="3288">
                  <v>-0.5815899581589958</v>
                </pt>
                <pt idx="3289">
                  <v>-0.5815899581589958</v>
                </pt>
                <pt idx="3290">
                  <v>-0.5833333333333333</v>
                </pt>
                <pt idx="3291">
                  <v>-0.5798319327731092</v>
                </pt>
                <pt idx="3292">
                  <v>-0.5798319327731092</v>
                </pt>
                <pt idx="3293">
                  <v>-0.5850622406639004</v>
                </pt>
                <pt idx="3294">
                  <v>-0.5850622406639004</v>
                </pt>
                <pt idx="3295">
                  <v>-0.5951417004048583</v>
                </pt>
                <pt idx="3296">
                  <v>-0.5815899581589958</v>
                </pt>
                <pt idx="3297">
                  <v>-0.5780590717299579</v>
                </pt>
                <pt idx="3298">
                  <v>-0.5815899581589958</v>
                </pt>
                <pt idx="3299">
                  <v>-0.5815899581589958</v>
                </pt>
                <pt idx="3300">
                  <v>-0.5918367346938775</v>
                </pt>
                <pt idx="3301">
                  <v>-0.5884773662551441</v>
                </pt>
                <pt idx="3302">
                  <v>-0.5850622406639004</v>
                </pt>
                <pt idx="3303">
                  <v>-0.5884773662551441</v>
                </pt>
                <pt idx="3304">
                  <v>-0.5815899581589958</v>
                </pt>
                <pt idx="3305">
                  <v>-0.5780590717299579</v>
                </pt>
                <pt idx="3306">
                  <v>-0.574468085106383</v>
                </pt>
                <pt idx="3307">
                  <v>-0.574468085106383</v>
                </pt>
                <pt idx="3308">
                  <v>-0.576271186440678</v>
                </pt>
                <pt idx="3309">
                  <v>-0.5884773662551441</v>
                </pt>
                <pt idx="3310">
                  <v>-0.5867768595041323</v>
                </pt>
                <pt idx="3311">
                  <v>-0.576271186440678</v>
                </pt>
                <pt idx="3312">
                  <v>-0.574468085106383</v>
                </pt>
                <pt idx="3313">
                  <v>-0.576271186440678</v>
                </pt>
                <pt idx="3314">
                  <v>-0.5798319327731092</v>
                </pt>
                <pt idx="3315">
                  <v>-0.5833333333333333</v>
                </pt>
                <pt idx="3316">
                  <v>-0.5833333333333333</v>
                </pt>
                <pt idx="3317">
                  <v>-0.5815899581589958</v>
                </pt>
                <pt idx="3318">
                  <v>-0.5833333333333333</v>
                </pt>
                <pt idx="3319">
                  <v>-0.5867768595041323</v>
                </pt>
                <pt idx="3320">
                  <v>-0.5867768595041323</v>
                </pt>
                <pt idx="3321">
                  <v>-0.5850622406639004</v>
                </pt>
                <pt idx="3322">
                  <v>-0.5833333333333333</v>
                </pt>
                <pt idx="3323">
                  <v>-0.5798319327731092</v>
                </pt>
                <pt idx="3324">
                  <v>-0.5850622406639004</v>
                </pt>
                <pt idx="3325">
                  <v>-0.5833333333333333</v>
                </pt>
                <pt idx="3326">
                  <v>-0.5689655172413792</v>
                </pt>
                <pt idx="3327">
                  <v>-0.5515695067264574</v>
                </pt>
                <pt idx="3328">
                  <v>-0.5670995670995671</v>
                </pt>
                <pt idx="3329">
                  <v>-0.5614035087719298</v>
                </pt>
                <pt idx="3330">
                  <v>-0.5670995670995671</v>
                </pt>
                <pt idx="3331">
                  <v>-0.574468085106383</v>
                </pt>
                <pt idx="3332">
                  <v>-0.5614035087719298</v>
                </pt>
                <pt idx="3333">
                  <v>-0.5633187772925764</v>
                </pt>
                <pt idx="3334">
                  <v>-0.5594713656387665</v>
                </pt>
                <pt idx="3335">
                  <v>-0.5633187772925764</v>
                </pt>
                <pt idx="3336">
                  <v>-0.5708154506437768</v>
                </pt>
                <pt idx="3337">
                  <v>-0.5670995670995671</v>
                </pt>
                <pt idx="3338">
                  <v>-0.574468085106383</v>
                </pt>
                <pt idx="3339">
                  <v>-0.574468085106383</v>
                </pt>
                <pt idx="3340">
                  <v>-0.5726495726495726</v>
                </pt>
                <pt idx="3341">
                  <v>-0.576271186440678</v>
                </pt>
                <pt idx="3342">
                  <v>-0.5726495726495726</v>
                </pt>
                <pt idx="3343">
                  <v>-0.5708154506437768</v>
                </pt>
                <pt idx="3344">
                  <v>-0.5708154506437768</v>
                </pt>
                <pt idx="3345">
                  <v>-0.5689655172413792</v>
                </pt>
                <pt idx="3346">
                  <v>-0.5652173913043478</v>
                </pt>
                <pt idx="3347">
                  <v>-0.5652173913043478</v>
                </pt>
                <pt idx="3348">
                  <v>-0.5708154506437768</v>
                </pt>
                <pt idx="3349">
                  <v>-0.5633187772925764</v>
                </pt>
                <pt idx="3350">
                  <v>-0.5575221238938053</v>
                </pt>
                <pt idx="3351">
                  <v>-0.5633187772925764</v>
                </pt>
                <pt idx="3352">
                  <v>-0.5670995670995671</v>
                </pt>
                <pt idx="3353">
                  <v>-0.5652173913043478</v>
                </pt>
                <pt idx="3354">
                  <v>-0.5633187772925764</v>
                </pt>
                <pt idx="3355">
                  <v>-0.5555555555555556</v>
                </pt>
                <pt idx="3356">
                  <v>-0.5515695067264574</v>
                </pt>
                <pt idx="3357">
                  <v>-0.5555555555555556</v>
                </pt>
                <pt idx="3358">
                  <v>-0.5555555555555556</v>
                </pt>
                <pt idx="3359">
                  <v>-0.5555555555555556</v>
                </pt>
                <pt idx="3360">
                  <v>-0.5495495495495496</v>
                </pt>
                <pt idx="3361">
                  <v>-0.5515695067264574</v>
                </pt>
                <pt idx="3362">
                  <v>-0.5515695067264574</v>
                </pt>
                <pt idx="3363">
                  <v>-0.5515695067264574</v>
                </pt>
                <pt idx="3364">
                  <v>-0.5535714285714286</v>
                </pt>
                <pt idx="3365">
                  <v>-0.5555555555555556</v>
                </pt>
                <pt idx="3366">
                  <v>-0.5515695067264574</v>
                </pt>
                <pt idx="3367">
                  <v>-0.5555555555555556</v>
                </pt>
                <pt idx="3368">
                  <v>-0.5594713656387665</v>
                </pt>
                <pt idx="3369">
                  <v>-0.5555555555555556</v>
                </pt>
                <pt idx="3370">
                  <v>-0.5614035087719298</v>
                </pt>
                <pt idx="3371">
                  <v>-0.5708154506437768</v>
                </pt>
                <pt idx="3372">
                  <v>-0.5726495726495726</v>
                </pt>
                <pt idx="3373">
                  <v>-0.5780590717299579</v>
                </pt>
                <pt idx="3374">
                  <v>-0.5708154506437768</v>
                </pt>
                <pt idx="3375">
                  <v>-0.574468085106383</v>
                </pt>
                <pt idx="3376">
                  <v>-0.574468085106383</v>
                </pt>
                <pt idx="3377">
                  <v>-0.574468085106383</v>
                </pt>
                <pt idx="3378">
                  <v>-0.574468085106383</v>
                </pt>
                <pt idx="3379">
                  <v>-0.5726495726495726</v>
                </pt>
                <pt idx="3380">
                  <v>-0.5780590717299579</v>
                </pt>
                <pt idx="3381">
                  <v>-0.576271186440678</v>
                </pt>
                <pt idx="3382">
                  <v>-0.5708154506437768</v>
                </pt>
                <pt idx="3383">
                  <v>-0.5780590717299579</v>
                </pt>
                <pt idx="3384">
                  <v>-0.5815899581589958</v>
                </pt>
                <pt idx="3385">
                  <v>-0.5815899581589958</v>
                </pt>
                <pt idx="3386">
                  <v>-0.5815899581589958</v>
                </pt>
                <pt idx="3387">
                  <v>-0.5815899581589958</v>
                </pt>
                <pt idx="3388">
                  <v>-0.5815899581589958</v>
                </pt>
                <pt idx="3389">
                  <v>-0.576271186440678</v>
                </pt>
                <pt idx="3390">
                  <v>-0.5726495726495726</v>
                </pt>
                <pt idx="3391">
                  <v>-0.5670995670995671</v>
                </pt>
                <pt idx="3392">
                  <v>-0.5833333333333333</v>
                </pt>
                <pt idx="3393">
                  <v>-0.574468085106383</v>
                </pt>
                <pt idx="3394">
                  <v>-0.5708154506437768</v>
                </pt>
                <pt idx="3395">
                  <v>-0.5535714285714286</v>
                </pt>
                <pt idx="3396">
                  <v>-0.5515695067264574</v>
                </pt>
                <pt idx="3397">
                  <v>-0.5515695067264574</v>
                </pt>
                <pt idx="3398">
                  <v>-0.5535714285714286</v>
                </pt>
                <pt idx="3399">
                  <v>-0.5535714285714286</v>
                </pt>
                <pt idx="3400">
                  <v>-0.5535714285714286</v>
                </pt>
                <pt idx="3401">
                  <v>-0.5412844036697249</v>
                </pt>
                <pt idx="3402">
                  <v>-0.5412844036697249</v>
                </pt>
                <pt idx="3403">
                  <v>-0.5412844036697249</v>
                </pt>
                <pt idx="3404">
                  <v>-0.5327102803738317</v>
                </pt>
                <pt idx="3405">
                  <v>-0.5412844036697249</v>
                </pt>
                <pt idx="3406">
                  <v>-0.5495495495495496</v>
                </pt>
                <pt idx="3407">
                  <v>-0.5475113122171946</v>
                </pt>
                <pt idx="3408">
                  <v>-0.5555555555555556</v>
                </pt>
                <pt idx="3409">
                  <v>-0.5535714285714286</v>
                </pt>
                <pt idx="3410">
                  <v>-0.5575221238938053</v>
                </pt>
                <pt idx="3411">
                  <v>-0.5412844036697249</v>
                </pt>
                <pt idx="3412">
                  <v>-0.5495495495495496</v>
                </pt>
                <pt idx="3413">
                  <v>-0.54337899543379</v>
                </pt>
                <pt idx="3414">
                  <v>-0.5475113122171946</v>
                </pt>
                <pt idx="3415">
                  <v>-0.54337899543379</v>
                </pt>
                <pt idx="3416">
                  <v>-0.5495495495495496</v>
                </pt>
                <pt idx="3417">
                  <v>-0.5689655172413792</v>
                </pt>
                <pt idx="3418">
                  <v>-0.5614035087719298</v>
                </pt>
                <pt idx="3419">
                  <v>-0.5652173913043478</v>
                </pt>
                <pt idx="3420">
                  <v>-0.5633187772925764</v>
                </pt>
                <pt idx="3421">
                  <v>-0.5348837209302326</v>
                </pt>
                <pt idx="3422">
                  <v>-0.5370370370370371</v>
                </pt>
                <pt idx="3423">
                  <v>-0.5283018867924529</v>
                </pt>
                <pt idx="3424">
                  <v>-0.5348837209302326</v>
                </pt>
                <pt idx="3425">
                  <v>-0.5515695067264574</v>
                </pt>
                <pt idx="3426">
                  <v>-0.5454545454545454</v>
                </pt>
                <pt idx="3427">
                  <v>-0.5454545454545454</v>
                </pt>
                <pt idx="3428">
                  <v>-0.5575221238938053</v>
                </pt>
                <pt idx="3429">
                  <v>-0.5594713656387665</v>
                </pt>
                <pt idx="3430">
                  <v>-0.5575221238938053</v>
                </pt>
                <pt idx="3431">
                  <v>-0.5708154506437768</v>
                </pt>
                <pt idx="3432">
                  <v>-0.576271186440678</v>
                </pt>
                <pt idx="3433">
                  <v>-0.5884773662551441</v>
                </pt>
                <pt idx="3434">
                  <v>-0.5901639344262295</v>
                </pt>
                <pt idx="3435">
                  <v>-0.596774193548387</v>
                </pt>
                <pt idx="3436">
                  <v>-0.5918367346938775</v>
                </pt>
                <pt idx="3437">
                  <v>-0.5850622406639004</v>
                </pt>
                <pt idx="3438">
                  <v>-0.5815899581589958</v>
                </pt>
                <pt idx="3439">
                  <v>-0.5780590717299579</v>
                </pt>
                <pt idx="3440">
                  <v>-0.5867768595041323</v>
                </pt>
                <pt idx="3441">
                  <v>-0.6</v>
                </pt>
                <pt idx="3442">
                  <v>-0.6</v>
                </pt>
                <pt idx="3443">
                  <v>-0.5983935742971889</v>
                </pt>
                <pt idx="3444">
                  <v>-0.6</v>
                </pt>
                <pt idx="3445">
                  <v>-0.6047430830039525</v>
                </pt>
                <pt idx="3446">
                  <v>-0.6062992125984252</v>
                </pt>
                <pt idx="3447">
                  <v>-0.5934959349593496</v>
                </pt>
                <pt idx="3448">
                  <v>-0.6124031007751938</v>
                </pt>
                <pt idx="3449">
                  <v>-0.5934959349593496</v>
                </pt>
                <pt idx="3450">
                  <v>-0.5901639344262295</v>
                </pt>
                <pt idx="3451">
                  <v>-0.6</v>
                </pt>
                <pt idx="3452">
                  <v>-0.5983935742971889</v>
                </pt>
                <pt idx="3453">
                  <v>-0.6124031007751938</v>
                </pt>
                <pt idx="3454">
                  <v>-0.6138996138996139</v>
                </pt>
                <pt idx="3455">
                  <v>-0.6168582375478927</v>
                </pt>
                <pt idx="3456">
                  <v>-0.6183206106870229</v>
                </pt>
                <pt idx="3457">
                  <v>-0.6153846153846154</v>
                </pt>
                <pt idx="3458">
                  <v>-0.6062992125984252</v>
                </pt>
                <pt idx="3459">
                  <v>-0.6015936254980079</v>
                </pt>
                <pt idx="3460">
                  <v>-0.6015936254980079</v>
                </pt>
                <pt idx="3461">
                  <v>-0.5850622406639004</v>
                </pt>
                <pt idx="3462">
                  <v>-0.5850622406639004</v>
                </pt>
                <pt idx="3463">
                  <v>-0.5884773662551441</v>
                </pt>
                <pt idx="3464">
                  <v>-0.5850622406639004</v>
                </pt>
                <pt idx="3465">
                  <v>-0.5867768595041323</v>
                </pt>
                <pt idx="3466">
                  <v>-0.5884773662551441</v>
                </pt>
                <pt idx="3467">
                  <v>-0.5850622406639004</v>
                </pt>
                <pt idx="3468">
                  <v>-0.5850622406639004</v>
                </pt>
                <pt idx="3469">
                  <v>-0.5850622406639004</v>
                </pt>
                <pt idx="3470">
                  <v>-0.576271186440678</v>
                </pt>
                <pt idx="3471">
                  <v>-0.5867768595041323</v>
                </pt>
                <pt idx="3472">
                  <v>-0.596774193548387</v>
                </pt>
                <pt idx="3473">
                  <v>-0.5867768595041323</v>
                </pt>
                <pt idx="3474">
                  <v>-0.5689655172413792</v>
                </pt>
                <pt idx="3475">
                  <v>-0.576271186440678</v>
                </pt>
                <pt idx="3476">
                  <v>-0.5798319327731092</v>
                </pt>
                <pt idx="3477">
                  <v>-0.5833333333333333</v>
                </pt>
                <pt idx="3478">
                  <v>-0.5780590717299579</v>
                </pt>
                <pt idx="3479">
                  <v>-0.5614035087719298</v>
                </pt>
                <pt idx="3480">
                  <v>-0.54337899543379</v>
                </pt>
                <pt idx="3481">
                  <v>-0.5412844036697249</v>
                </pt>
                <pt idx="3482">
                  <v>-0.5412844036697249</v>
                </pt>
                <pt idx="3483">
                  <v>-0.5934959349593496</v>
                </pt>
                <pt idx="3484">
                  <v>-0.5934959349593496</v>
                </pt>
                <pt idx="3485">
                  <v>-0.596774193548387</v>
                </pt>
                <pt idx="3486">
                  <v>-0.5934959349593496</v>
                </pt>
                <pt idx="3487">
                  <v>-0.596774193548387</v>
                </pt>
                <pt idx="3488">
                  <v>-0.5983935742971889</v>
                </pt>
                <pt idx="3489">
                  <v>-0.6</v>
                </pt>
                <pt idx="3490">
                  <v>-0.6047430830039525</v>
                </pt>
                <pt idx="3491">
                  <v>-0.6078431372549019</v>
                </pt>
                <pt idx="3492">
                  <v>-0.6047430830039525</v>
                </pt>
                <pt idx="3493">
                  <v>-0.6031746031746033</v>
                </pt>
                <pt idx="3494">
                  <v>-0.6062992125984252</v>
                </pt>
                <pt idx="3495">
                  <v>-0.6124031007751938</v>
                </pt>
                <pt idx="3496">
                  <v>-0.6</v>
                </pt>
                <pt idx="3497">
                  <v>-0.609375</v>
                </pt>
                <pt idx="3498">
                  <v>-0.6031746031746033</v>
                </pt>
                <pt idx="3499">
                  <v>-0.6047430830039525</v>
                </pt>
                <pt idx="3500">
                  <v>-0.6047430830039525</v>
                </pt>
                <pt idx="3501">
                  <v>-0.6062992125984252</v>
                </pt>
                <pt idx="3502">
                  <v>-0.6015936254980079</v>
                </pt>
                <pt idx="3503">
                  <v>-0.596774193548387</v>
                </pt>
                <pt idx="3504">
                  <v>-0.6</v>
                </pt>
                <pt idx="3505">
                  <v>-0.5983935742971889</v>
                </pt>
                <pt idx="3506">
                  <v>-0.5815899581589958</v>
                </pt>
                <pt idx="3507">
                  <v>-0.5815899581589958</v>
                </pt>
                <pt idx="3508">
                  <v>-0.576271186440678</v>
                </pt>
                <pt idx="3509">
                  <v>-0.5918367346938775</v>
                </pt>
                <pt idx="3510">
                  <v>-0.596774193548387</v>
                </pt>
                <pt idx="3511">
                  <v>-0.5983935742971889</v>
                </pt>
                <pt idx="3512">
                  <v>-0.5934959349593496</v>
                </pt>
                <pt idx="3513">
                  <v>-0.5934959349593496</v>
                </pt>
                <pt idx="3514">
                  <v>-0.5833333333333333</v>
                </pt>
                <pt idx="3515">
                  <v>-0.5934959349593496</v>
                </pt>
                <pt idx="3516">
                  <v>-0.5918367346938775</v>
                </pt>
                <pt idx="3517">
                  <v>-0.5850622406639004</v>
                </pt>
                <pt idx="3518">
                  <v>-0.5884773662551441</v>
                </pt>
                <pt idx="3519">
                  <v>-0.5798319327731092</v>
                </pt>
                <pt idx="3520">
                  <v>-0.5815899581589958</v>
                </pt>
                <pt idx="3521">
                  <v>-0.5815899581589958</v>
                </pt>
                <pt idx="3522">
                  <v>-0.5867768595041323</v>
                </pt>
                <pt idx="3523">
                  <v>-0.5850622406639004</v>
                </pt>
                <pt idx="3524">
                  <v>-0.5726495726495726</v>
                </pt>
                <pt idx="3525">
                  <v>-0.576271186440678</v>
                </pt>
                <pt idx="3526">
                  <v>-0.5614035087719298</v>
                </pt>
                <pt idx="3527">
                  <v>-0.5833333333333333</v>
                </pt>
                <pt idx="3528">
                  <v>-0.596774193548387</v>
                </pt>
                <pt idx="3529">
                  <v>-0.5951417004048583</v>
                </pt>
                <pt idx="3530">
                  <v>-0.6078431372549019</v>
                </pt>
                <pt idx="3531">
                  <v>-0.6062992125984252</v>
                </pt>
                <pt idx="3532">
                  <v>-0.6031746031746033</v>
                </pt>
                <pt idx="3533">
                  <v>-0.6</v>
                </pt>
                <pt idx="3534">
                  <v>-0.6031746031746033</v>
                </pt>
                <pt idx="3535">
                  <v>-0.6015936254980079</v>
                </pt>
                <pt idx="3536">
                  <v>-0.6047430830039525</v>
                </pt>
                <pt idx="3537">
                  <v>-0.6108949416342413</v>
                </pt>
                <pt idx="3538">
                  <v>-0.609375</v>
                </pt>
                <pt idx="3539">
                  <v>-0.6108949416342413</v>
                </pt>
                <pt idx="3540">
                  <v>-0.6062992125984252</v>
                </pt>
                <pt idx="3541">
                  <v>-0.6108949416342413</v>
                </pt>
                <pt idx="3542">
                  <v>-0.6168582375478927</v>
                </pt>
                <pt idx="3543">
                  <v>-0.6153846153846154</v>
                </pt>
                <pt idx="3544">
                  <v>-0.6138996138996139</v>
                </pt>
                <pt idx="3545">
                  <v>-0.6138996138996139</v>
                </pt>
                <pt idx="3546">
                  <v>-0.6078431372549019</v>
                </pt>
                <pt idx="3547">
                  <v>-0.6124031007751938</v>
                </pt>
                <pt idx="3548">
                  <v>-0.6153846153846154</v>
                </pt>
                <pt idx="3549">
                  <v>-0.6153846153846154</v>
                </pt>
                <pt idx="3550">
                  <v>-0.6078431372549019</v>
                </pt>
                <pt idx="3551">
                  <v>-0.6015936254980079</v>
                </pt>
                <pt idx="3552">
                  <v>-0.6031746031746033</v>
                </pt>
                <pt idx="3553">
                  <v>-0.6047430830039525</v>
                </pt>
                <pt idx="3554">
                  <v>-0.609375</v>
                </pt>
                <pt idx="3555">
                  <v>-0.6078431372549019</v>
                </pt>
                <pt idx="3556">
                  <v>-0.6124031007751938</v>
                </pt>
                <pt idx="3557">
                  <v>-0.6062992125984252</v>
                </pt>
                <pt idx="3558">
                  <v>-0.5983935742971889</v>
                </pt>
                <pt idx="3559">
                  <v>-0.5884773662551441</v>
                </pt>
                <pt idx="3560">
                  <v>-0.5951417004048583</v>
                </pt>
                <pt idx="3561">
                  <v>-0.5983935742971889</v>
                </pt>
                <pt idx="3562">
                  <v>-0.6</v>
                </pt>
                <pt idx="3563">
                  <v>-0.6015936254980079</v>
                </pt>
                <pt idx="3564">
                  <v>-0.6108949416342413</v>
                </pt>
                <pt idx="3565">
                  <v>-0.6168582375478927</v>
                </pt>
                <pt idx="3566">
                  <v>-0.6197718631178707</v>
                </pt>
                <pt idx="3567">
                  <v>-0.609375</v>
                </pt>
                <pt idx="3568">
                  <v>-0.6031746031746033</v>
                </pt>
                <pt idx="3569">
                  <v>-0.5833333333333333</v>
                </pt>
                <pt idx="3570">
                  <v>-0.5918367346938775</v>
                </pt>
                <pt idx="3571">
                  <v>-0.5726495726495726</v>
                </pt>
                <pt idx="3572">
                  <v>-0.5515695067264574</v>
                </pt>
                <pt idx="3573">
                  <v>-0.5535714285714286</v>
                </pt>
                <pt idx="3574">
                  <v>-0.5515695067264574</v>
                </pt>
                <pt idx="3575">
                  <v>-0.5575221238938053</v>
                </pt>
                <pt idx="3576">
                  <v>-0.5652173913043478</v>
                </pt>
                <pt idx="3577">
                  <v>-0.5555555555555556</v>
                </pt>
                <pt idx="3578">
                  <v>-0.5412844036697249</v>
                </pt>
                <pt idx="3579">
                  <v>-0.5454545454545454</v>
                </pt>
                <pt idx="3580">
                  <v>-0.5260663507109005</v>
                </pt>
                <pt idx="3581">
                  <v>-0.5454545454545454</v>
                </pt>
                <pt idx="3582">
                  <v>-0.5495495495495496</v>
                </pt>
                <pt idx="3583">
                  <v>-0.5454545454545454</v>
                </pt>
                <pt idx="3584">
                  <v>-0.5121951219512195</v>
                </pt>
                <pt idx="3585">
                  <v>-0.5305164319248826</v>
                </pt>
                <pt idx="3586">
                  <v>-0.5024875621890547</v>
                </pt>
                <pt idx="3587">
                  <v>-0.46524064171123</v>
                </pt>
                <pt idx="3588">
                  <v>-0.4764397905759162</v>
                </pt>
                <pt idx="3589">
                  <v>-0.4764397905759162</v>
                </pt>
                <pt idx="3590">
                  <v>-0.4791666666666666</v>
                </pt>
                <pt idx="3591">
                  <v>-0.4923857868020305</v>
                </pt>
                <pt idx="3592">
                  <v>-0.4845360824742267</v>
                </pt>
                <pt idx="3593">
                  <v>-0.5169082125603864</v>
                </pt>
                <pt idx="3594">
                  <v>-0.4974874371859297</v>
                </pt>
                <pt idx="3595">
                  <v>-0.5098039215686274</v>
                </pt>
                <pt idx="3596">
                  <v>-0.5145631067961165</v>
                </pt>
                <pt idx="3597">
                  <v>-0.5024875621890547</v>
                </pt>
                <pt idx="3598">
                  <v>-0.5024875621890547</v>
                </pt>
                <pt idx="3599">
                  <v>-0.5215311004784688</v>
                </pt>
                <pt idx="3600">
                  <v>-0.5391705069124424</v>
                </pt>
                <pt idx="3601">
                  <v>-0.5260663507109005</v>
                </pt>
                <pt idx="3602">
                  <v>-0.5575221238938053</v>
                </pt>
                <pt idx="3603">
                  <v>-0.5475113122171946</v>
                </pt>
                <pt idx="3604">
                  <v>-0.5495495495495496</v>
                </pt>
                <pt idx="3605">
                  <v>-0.54337899543379</v>
                </pt>
                <pt idx="3606">
                  <v>-0.5412844036697249</v>
                </pt>
                <pt idx="3607">
                  <v>-0.5454545454545454</v>
                </pt>
                <pt idx="3608">
                  <v>-0.54337899543379</v>
                </pt>
                <pt idx="3609">
                  <v>-0.5495495495495496</v>
                </pt>
                <pt idx="3610">
                  <v>-0.5475113122171946</v>
                </pt>
                <pt idx="3611">
                  <v>-0.5370370370370371</v>
                </pt>
                <pt idx="3612">
                  <v>-0.5475113122171946</v>
                </pt>
                <pt idx="3613">
                  <v>-0.5475113122171946</v>
                </pt>
                <pt idx="3614">
                  <v>-0.5515695067264574</v>
                </pt>
                <pt idx="3615">
                  <v>-0.5475113122171946</v>
                </pt>
                <pt idx="3616">
                  <v>-0.5535714285714286</v>
                </pt>
                <pt idx="3617">
                  <v>-0.5633187772925764</v>
                </pt>
                <pt idx="3618">
                  <v>-0.5348837209302326</v>
                </pt>
                <pt idx="3619">
                  <v>-0.5283018867924529</v>
                </pt>
                <pt idx="3620">
                  <v>-0.5370370370370371</v>
                </pt>
                <pt idx="3621">
                  <v>-0.5454545454545454</v>
                </pt>
                <pt idx="3622">
                  <v>-0.5169082125603864</v>
                </pt>
                <pt idx="3623">
                  <v>-0.5391705069124424</v>
                </pt>
                <pt idx="3624">
                  <v>-0.5370370370370371</v>
                </pt>
                <pt idx="3625">
                  <v>-0.5169082125603864</v>
                </pt>
                <pt idx="3626">
                  <v>-0.5215311004784688</v>
                </pt>
                <pt idx="3627">
                  <v>-0.5391705069124424</v>
                </pt>
                <pt idx="3628">
                  <v>-0.5495495495495496</v>
                </pt>
                <pt idx="3629">
                  <v>-0.5454545454545454</v>
                </pt>
                <pt idx="3630">
                  <v>-0.5454545454545454</v>
                </pt>
                <pt idx="3631">
                  <v>-0.5475113122171946</v>
                </pt>
                <pt idx="3632">
                  <v>-0.5412844036697249</v>
                </pt>
                <pt idx="3633">
                  <v>-0.5305164319248826</v>
                </pt>
                <pt idx="3634">
                  <v>-0.54337899543379</v>
                </pt>
                <pt idx="3635">
                  <v>-0.5454545454545454</v>
                </pt>
                <pt idx="3636">
                  <v>-0.5495495495495496</v>
                </pt>
                <pt idx="3637">
                  <v>-0.5454545454545454</v>
                </pt>
                <pt idx="3638">
                  <v>-0.5192307692307693</v>
                </pt>
                <pt idx="3639">
                  <v>-0.5412844036697249</v>
                </pt>
                <pt idx="3640">
                  <v>-0.5412844036697249</v>
                </pt>
                <pt idx="3641">
                  <v>-0.5391705069124424</v>
                </pt>
                <pt idx="3642">
                  <v>-0.5391705069124424</v>
                </pt>
                <pt idx="3643">
                  <v>-0.54337899543379</v>
                </pt>
                <pt idx="3644">
                  <v>-0.5238095238095238</v>
                </pt>
                <pt idx="3645">
                  <v>-0.5215311004784688</v>
                </pt>
                <pt idx="3646">
                  <v>-0.5215311004784688</v>
                </pt>
                <pt idx="3647">
                  <v>-0.5215311004784688</v>
                </pt>
                <pt idx="3648">
                  <v>-0.5495495495495496</v>
                </pt>
                <pt idx="3649">
                  <v>-0.5475113122171946</v>
                </pt>
                <pt idx="3650">
                  <v>-0.5348837209302326</v>
                </pt>
                <pt idx="3651">
                  <v>-0.5098039215686274</v>
                </pt>
                <pt idx="3652">
                  <v>-0.504950495049505</v>
                </pt>
                <pt idx="3653">
                  <v>-0.4923857868020305</v>
                </pt>
                <pt idx="3654">
                  <v>-0.5</v>
                </pt>
                <pt idx="3655">
                  <v>-0.5145631067961165</v>
                </pt>
                <pt idx="3656">
                  <v>-0.5024875621890547</v>
                </pt>
                <pt idx="3657">
                  <v>-0.504950495049505</v>
                </pt>
                <pt idx="3658">
                  <v>-0.4974874371859297</v>
                </pt>
                <pt idx="3659">
                  <v>-0.4736842105263158</v>
                </pt>
                <pt idx="3660">
                  <v>-0.4791666666666666</v>
                </pt>
                <pt idx="3661">
                  <v>-0.5</v>
                </pt>
                <pt idx="3662">
                  <v>-0.4791666666666666</v>
                </pt>
                <pt idx="3663">
                  <v>-0.4623655913978495</v>
                </pt>
                <pt idx="3664">
                  <v>-0.4818652849740932</v>
                </pt>
                <pt idx="3665">
                  <v>-0.4897959183673469</v>
                </pt>
                <pt idx="3666">
                  <v>-0.5024875621890547</v>
                </pt>
                <pt idx="3667">
                  <v>-0.5024875621890547</v>
                </pt>
                <pt idx="3668">
                  <v>-0.4897959183673469</v>
                </pt>
                <pt idx="3669">
                  <v>-0.4845360824742267</v>
                </pt>
                <pt idx="3670">
                  <v>-0.4708994708994708</v>
                </pt>
                <pt idx="3671">
                  <v>-0.4949494949494949</v>
                </pt>
                <pt idx="3672">
                  <v>-0.4680851063829787</v>
                </pt>
                <pt idx="3673">
                  <v>-0.4845360824742267</v>
                </pt>
                <pt idx="3674">
                  <v>-0.46524064171123</v>
                </pt>
                <pt idx="3675">
                  <v>-0.4623655913978495</v>
                </pt>
                <pt idx="3676">
                  <v>-0.4680851063829787</v>
                </pt>
                <pt idx="3677">
                  <v>-0.5024875621890547</v>
                </pt>
                <pt idx="3678">
                  <v>-0.5121951219512195</v>
                </pt>
                <pt idx="3679">
                  <v>-0.5305164319248826</v>
                </pt>
                <pt idx="3680">
                  <v>-0.5024875621890547</v>
                </pt>
                <pt idx="3681">
                  <v>-0.5145631067961165</v>
                </pt>
                <pt idx="3682">
                  <v>-0.5098039215686274</v>
                </pt>
                <pt idx="3683">
                  <v>-0.5238095238095238</v>
                </pt>
                <pt idx="3684">
                  <v>-0.5169082125603864</v>
                </pt>
                <pt idx="3685">
                  <v>-0.5215311004784688</v>
                </pt>
                <pt idx="3686">
                  <v>-0.5192307692307693</v>
                </pt>
                <pt idx="3687">
                  <v>-0.5454545454545454</v>
                </pt>
                <pt idx="3688">
                  <v>-0.4897959183673469</v>
                </pt>
                <pt idx="3689">
                  <v>-0.5</v>
                </pt>
                <pt idx="3690">
                  <v>-0.4897959183673469</v>
                </pt>
                <pt idx="3691">
                  <v>-0.5169082125603864</v>
                </pt>
                <pt idx="3692">
                  <v>-0.504950495049505</v>
                </pt>
                <pt idx="3693">
                  <v>-0.5</v>
                </pt>
                <pt idx="3694">
                  <v>-0.504950495049505</v>
                </pt>
                <pt idx="3695">
                  <v>-0.5145631067961165</v>
                </pt>
                <pt idx="3696">
                  <v>-0.504950495049505</v>
                </pt>
                <pt idx="3697">
                  <v>-0.5098039215686274</v>
                </pt>
                <pt idx="3698">
                  <v>-0.5145631067961165</v>
                </pt>
                <pt idx="3699">
                  <v>-0.5283018867924529</v>
                </pt>
                <pt idx="3700">
                  <v>-0.5192307692307693</v>
                </pt>
                <pt idx="3701">
                  <v>-0.5238095238095238</v>
                </pt>
                <pt idx="3702">
                  <v>-0.5238095238095238</v>
                </pt>
                <pt idx="3703">
                  <v>-0.5098039215686274</v>
                </pt>
                <pt idx="3704">
                  <v>-0.5238095238095238</v>
                </pt>
                <pt idx="3705">
                  <v>-0.5</v>
                </pt>
                <pt idx="3706">
                  <v>-0.5</v>
                </pt>
                <pt idx="3707">
                  <v>-0.5</v>
                </pt>
                <pt idx="3708">
                  <v>-0.5169082125603864</v>
                </pt>
                <pt idx="3709">
                  <v>-0.5283018867924529</v>
                </pt>
                <pt idx="3710">
                  <v>-0.5327102803738317</v>
                </pt>
                <pt idx="3711">
                  <v>-0.5283018867924529</v>
                </pt>
                <pt idx="3712">
                  <v>-0.5098039215686274</v>
                </pt>
                <pt idx="3713">
                  <v>-0.5260663507109005</v>
                </pt>
                <pt idx="3714">
                  <v>-0.5238095238095238</v>
                </pt>
                <pt idx="3715">
                  <v>-0.5238095238095238</v>
                </pt>
                <pt idx="3716">
                  <v>-0.5192307692307693</v>
                </pt>
                <pt idx="3717">
                  <v>-0.5098039215686274</v>
                </pt>
                <pt idx="3718">
                  <v>-0.5121951219512195</v>
                </pt>
                <pt idx="3719">
                  <v>-0.5145631067961165</v>
                </pt>
                <pt idx="3720">
                  <v>-0.5121951219512195</v>
                </pt>
                <pt idx="3721">
                  <v>-0.5121951219512195</v>
                </pt>
                <pt idx="3722">
                  <v>-0.504950495049505</v>
                </pt>
                <pt idx="3723">
                  <v>-0.5121951219512195</v>
                </pt>
                <pt idx="3724">
                  <v>-0.504950495049505</v>
                </pt>
                <pt idx="3725">
                  <v>-0.5215311004784688</v>
                </pt>
                <pt idx="3726">
                  <v>-0.4923857868020305</v>
                </pt>
                <pt idx="3727">
                  <v>-0.5073891625615763</v>
                </pt>
                <pt idx="3728">
                  <v>-0.4949494949494949</v>
                </pt>
                <pt idx="3729">
                  <v>-0.5098039215686274</v>
                </pt>
                <pt idx="3730">
                  <v>-0.504950495049505</v>
                </pt>
                <pt idx="3731">
                  <v>-0.5073891625615763</v>
                </pt>
                <pt idx="3732">
                  <v>-0.5145631067961165</v>
                </pt>
                <pt idx="3733">
                  <v>-0.5121951219512195</v>
                </pt>
                <pt idx="3734">
                  <v>-0.4974874371859297</v>
                </pt>
                <pt idx="3735">
                  <v>-0.4974874371859297</v>
                </pt>
                <pt idx="3736">
                  <v>-0.5169082125603864</v>
                </pt>
                <pt idx="3737">
                  <v>-0.5073891625615763</v>
                </pt>
                <pt idx="3738">
                  <v>-0.5</v>
                </pt>
                <pt idx="3739">
                  <v>-0.504950495049505</v>
                </pt>
                <pt idx="3740">
                  <v>-0.5024875621890547</v>
                </pt>
                <pt idx="3741">
                  <v>-0.504950495049505</v>
                </pt>
                <pt idx="3742">
                  <v>-0.4923857868020305</v>
                </pt>
                <pt idx="3743">
                  <v>-0.504950495049505</v>
                </pt>
                <pt idx="3744">
                  <v>-0.5121951219512195</v>
                </pt>
                <pt idx="3745">
                  <v>-0.5098039215686274</v>
                </pt>
                <pt idx="3746">
                  <v>-0.5</v>
                </pt>
                <pt idx="3747">
                  <v>-0.4897959183673469</v>
                </pt>
                <pt idx="3748">
                  <v>-0.5</v>
                </pt>
                <pt idx="3749">
                  <v>-0.4923857868020305</v>
                </pt>
                <pt idx="3750">
                  <v>-0.4871794871794871</v>
                </pt>
                <pt idx="3751">
                  <v>-0.4818652849740932</v>
                </pt>
                <pt idx="3752">
                  <v>-0.4736842105263158</v>
                </pt>
                <pt idx="3753">
                  <v>-0.4818652849740932</v>
                </pt>
                <pt idx="3754">
                  <v>-0.4974874371859297</v>
                </pt>
                <pt idx="3755">
                  <v>-0.5073891625615763</v>
                </pt>
                <pt idx="3756">
                  <v>-0.5073891625615763</v>
                </pt>
                <pt idx="3757">
                  <v>-0.5</v>
                </pt>
                <pt idx="3758">
                  <v>-0.504950495049505</v>
                </pt>
                <pt idx="3759">
                  <v>-0.5145631067961165</v>
                </pt>
                <pt idx="3760">
                  <v>-0.5145631067961165</v>
                </pt>
                <pt idx="3761">
                  <v>-0.504950495049505</v>
                </pt>
                <pt idx="3762">
                  <v>-0.5145631067961165</v>
                </pt>
                <pt idx="3763">
                  <v>-0.5121951219512195</v>
                </pt>
                <pt idx="3764">
                  <v>-0.5283018867924529</v>
                </pt>
                <pt idx="3765">
                  <v>-0.5283018867924529</v>
                </pt>
                <pt idx="3766">
                  <v>-0.5098039215686274</v>
                </pt>
                <pt idx="3767">
                  <v>-0.5169082125603864</v>
                </pt>
                <pt idx="3768">
                  <v>-0.5283018867924529</v>
                </pt>
                <pt idx="3769">
                  <v>-0.5169082125603864</v>
                </pt>
                <pt idx="3770">
                  <v>-0.5348837209302326</v>
                </pt>
                <pt idx="3771">
                  <v>-0.5370370370370371</v>
                </pt>
                <pt idx="3772">
                  <v>-0.5327102803738317</v>
                </pt>
                <pt idx="3773">
                  <v>-0.5348837209302326</v>
                </pt>
                <pt idx="3774">
                  <v>-0.5327102803738317</v>
                </pt>
                <pt idx="3775">
                  <v>-0.5515695067264574</v>
                </pt>
                <pt idx="3776">
                  <v>-0.5515695067264574</v>
                </pt>
                <pt idx="3777">
                  <v>-0.5670995670995671</v>
                </pt>
                <pt idx="3778">
                  <v>-0.576271186440678</v>
                </pt>
                <pt idx="3779">
                  <v>-0.5708154506437768</v>
                </pt>
                <pt idx="3780">
                  <v>-0.5535714285714286</v>
                </pt>
                <pt idx="3781">
                  <v>-0.5495495495495496</v>
                </pt>
                <pt idx="3782">
                  <v>-0.5555555555555556</v>
                </pt>
                <pt idx="3783">
                  <v>-0.5575221238938053</v>
                </pt>
                <pt idx="3784">
                  <v>-0.5475113122171946</v>
                </pt>
                <pt idx="3785">
                  <v>-0.5454545454545454</v>
                </pt>
                <pt idx="3786">
                  <v>-0.5305164319248826</v>
                </pt>
                <pt idx="3787">
                  <v>-0.5145631067961165</v>
                </pt>
                <pt idx="3788">
                  <v>-0.5121951219512195</v>
                </pt>
                <pt idx="3789">
                  <v>-0.5098039215686274</v>
                </pt>
                <pt idx="3790">
                  <v>-0.5024875621890547</v>
                </pt>
                <pt idx="3791">
                  <v>-0.5073891625615763</v>
                </pt>
                <pt idx="3792">
                  <v>-0.5121951219512195</v>
                </pt>
                <pt idx="3793">
                  <v>-0.5215311004784688</v>
                </pt>
                <pt idx="3794">
                  <v>-0.5169082125603864</v>
                </pt>
                <pt idx="3795">
                  <v>-0.5169082125603864</v>
                </pt>
                <pt idx="3796">
                  <v>-0.5305164319248826</v>
                </pt>
                <pt idx="3797">
                  <v>-0.54337899543379</v>
                </pt>
                <pt idx="3798">
                  <v>-0.5283018867924529</v>
                </pt>
                <pt idx="3799">
                  <v>-0.4949494949494949</v>
                </pt>
                <pt idx="3800">
                  <v>-0.46524064171123</v>
                </pt>
                <pt idx="3801">
                  <v>-0.5024875621890547</v>
                </pt>
                <pt idx="3802">
                  <v>-0.46524064171123</v>
                </pt>
                <pt idx="3803">
                  <v>-0.4623655913978495</v>
                </pt>
                <pt idx="3804">
                  <v>-0.4708994708994708</v>
                </pt>
                <pt idx="3805">
                  <v>-0.46524064171123</v>
                </pt>
                <pt idx="3806">
                  <v>-0.46524064171123</v>
                </pt>
                <pt idx="3807">
                  <v>-0.4535519125683061</v>
                </pt>
                <pt idx="3808">
                  <v>-0.4413407821229051</v>
                </pt>
                <pt idx="3809">
                  <v>-0.4444444444444444</v>
                </pt>
                <pt idx="3810">
                  <v>-0.4011976047904191</v>
                </pt>
                <pt idx="3811">
                  <v>-0.3865030674846626</v>
                </pt>
                <pt idx="3812">
                  <v>-0.3630573248407644</v>
                </pt>
                <pt idx="3813">
                  <v>-0.3243243243243243</v>
                </pt>
                <pt idx="3814">
                  <v>-0.3630573248407644</v>
                </pt>
                <pt idx="3815">
                  <v>-0.3827160493827161</v>
                </pt>
                <pt idx="3816">
                  <v>-0.3548387096774194</v>
                </pt>
                <pt idx="3817">
                  <v>-0.375</v>
                </pt>
                <pt idx="3818">
                  <v>-0.3827160493827161</v>
                </pt>
                <pt idx="3819">
                  <v>-0.4047619047619048</v>
                </pt>
                <pt idx="3820">
                  <v>-0.3975903614457831</v>
                </pt>
                <pt idx="3821">
                  <v>-0.4382022471910112</v>
                </pt>
                <pt idx="3822">
                  <v>-0.4382022471910112</v>
                </pt>
                <pt idx="3823">
                  <v>-0.4117647058823529</v>
                </pt>
                <pt idx="3824">
                  <v>-0.4350282485875706</v>
                </pt>
                <pt idx="3825">
                  <v>-0.3902439024390244</v>
                </pt>
                <pt idx="3826">
                  <v>-0.4186046511627907</v>
                </pt>
                <pt idx="3827">
                  <v>-0.408284023668639</v>
                </pt>
                <pt idx="3828">
                  <v>-0.4152046783625731</v>
                </pt>
                <pt idx="3829">
                  <v>-0.4350282485875706</v>
                </pt>
                <pt idx="3830">
                  <v>-0.4350282485875706</v>
                </pt>
                <pt idx="3831">
                  <v>-0.4186046511627907</v>
                </pt>
                <pt idx="3832">
                  <v>-0.4186046511627907</v>
                </pt>
                <pt idx="3833">
                  <v>-0.4186046511627907</v>
                </pt>
                <pt idx="3834">
                  <v>-0.4444444444444444</v>
                </pt>
                <pt idx="3835">
                  <v>-0.4382022471910112</v>
                </pt>
                <pt idx="3836">
                  <v>-0.4186046511627907</v>
                </pt>
                <pt idx="3837">
                  <v>-0.4285714285714286</v>
                </pt>
                <pt idx="3838">
                  <v>-0.4318181818181818</v>
                </pt>
                <pt idx="3839">
                  <v>-0.4444444444444444</v>
                </pt>
                <pt idx="3840">
                  <v>-0.4413407821229051</v>
                </pt>
                <pt idx="3841">
                  <v>-0.4413407821229051</v>
                </pt>
                <pt idx="3842">
                  <v>-0.4382022471910112</v>
                </pt>
                <pt idx="3843">
                  <v>-0.4565217391304348</v>
                </pt>
                <pt idx="3844">
                  <v>-0.4382022471910112</v>
                </pt>
                <pt idx="3845">
                  <v>-0.4565217391304348</v>
                </pt>
                <pt idx="3846">
                  <v>-0.4791666666666666</v>
                </pt>
                <pt idx="3847">
                  <v>-0.4845360824742267</v>
                </pt>
                <pt idx="3848">
                  <v>-0.4565217391304348</v>
                </pt>
                <pt idx="3849">
                  <v>-0.4413407821229051</v>
                </pt>
                <pt idx="3850">
                  <v>-0.4475138121546961</v>
                </pt>
                <pt idx="3851">
                  <v>-0.4505494505494506</v>
                </pt>
                <pt idx="3852">
                  <v>-0.4535519125683061</v>
                </pt>
                <pt idx="3853">
                  <v>-0.4413407821229051</v>
                </pt>
                <pt idx="3854">
                  <v>-0.4594594594594595</v>
                </pt>
                <pt idx="3855">
                  <v>-0.4535519125683061</v>
                </pt>
                <pt idx="3856">
                  <v>-0.4680851063829787</v>
                </pt>
                <pt idx="3857">
                  <v>-0.4818652849740932</v>
                </pt>
                <pt idx="3858">
                  <v>-0.4818652849740932</v>
                </pt>
                <pt idx="3859">
                  <v>-0.504950495049505</v>
                </pt>
                <pt idx="3860">
                  <v>-0.5098039215686274</v>
                </pt>
                <pt idx="3861">
                  <v>-0.5121951219512195</v>
                </pt>
                <pt idx="3862">
                  <v>-0.5024875621890547</v>
                </pt>
                <pt idx="3863">
                  <v>-0.5098039215686274</v>
                </pt>
                <pt idx="3864">
                  <v>-0.5260663507109005</v>
                </pt>
                <pt idx="3865">
                  <v>-0.5098039215686274</v>
                </pt>
                <pt idx="3866">
                  <v>-0.5</v>
                </pt>
                <pt idx="3867">
                  <v>-0.4974874371859297</v>
                </pt>
                <pt idx="3868">
                  <v>-0.504950495049505</v>
                </pt>
                <pt idx="3869">
                  <v>-0.4949494949494949</v>
                </pt>
                <pt idx="3870">
                  <v>-0.5073891625615763</v>
                </pt>
                <pt idx="3871">
                  <v>-0.5</v>
                </pt>
                <pt idx="3872">
                  <v>-0.4897959183673469</v>
                </pt>
                <pt idx="3873">
                  <v>-0.4764397905759162</v>
                </pt>
                <pt idx="3874">
                  <v>-0.4818652849740932</v>
                </pt>
                <pt idx="3875">
                  <v>-0.4871794871794871</v>
                </pt>
                <pt idx="3876">
                  <v>-0.4871794871794871</v>
                </pt>
                <pt idx="3877">
                  <v>-0.5024875621890547</v>
                </pt>
                <pt idx="3878">
                  <v>-0.4736842105263158</v>
                </pt>
                <pt idx="3879">
                  <v>-0.4845360824742267</v>
                </pt>
                <pt idx="3880">
                  <v>-0.5</v>
                </pt>
                <pt idx="3881">
                  <v>-0.5098039215686274</v>
                </pt>
                <pt idx="3882">
                  <v>-0.5121951219512195</v>
                </pt>
                <pt idx="3883">
                  <v>-0.504950495049505</v>
                </pt>
                <pt idx="3884">
                  <v>-0.4897959183673469</v>
                </pt>
                <pt idx="3885">
                  <v>-0.4897959183673469</v>
                </pt>
                <pt idx="3886">
                  <v>-0.4923857868020305</v>
                </pt>
                <pt idx="3887">
                  <v>-0.4949494949494949</v>
                </pt>
                <pt idx="3888">
                  <v>-0.5073891625615763</v>
                </pt>
                <pt idx="3889">
                  <v>-0.5</v>
                </pt>
                <pt idx="3890">
                  <v>-0.4897959183673469</v>
                </pt>
                <pt idx="3891">
                  <v>-0.5</v>
                </pt>
                <pt idx="3892">
                  <v>-0.5024875621890547</v>
                </pt>
                <pt idx="3893">
                  <v>-0.4923857868020305</v>
                </pt>
                <pt idx="3894">
                  <v>-0.4923857868020305</v>
                </pt>
                <pt idx="3895">
                  <v>-0.5024875621890547</v>
                </pt>
                <pt idx="3896">
                  <v>-0.4974874371859297</v>
                </pt>
                <pt idx="3897">
                  <v>-0.4949494949494949</v>
                </pt>
                <pt idx="3898">
                  <v>-0.4791666666666666</v>
                </pt>
                <pt idx="3899">
                  <v>-0.4923857868020305</v>
                </pt>
                <pt idx="3900">
                  <v>-0.5</v>
                </pt>
                <pt idx="3901">
                  <v>-0.504950495049505</v>
                </pt>
                <pt idx="3902">
                  <v>-0.5073891625615763</v>
                </pt>
                <pt idx="3903">
                  <v>-0.5</v>
                </pt>
                <pt idx="3904">
                  <v>-0.5260663507109005</v>
                </pt>
                <pt idx="3905">
                  <v>-0.5073891625615763</v>
                </pt>
                <pt idx="3906">
                  <v>-0.5121951219512195</v>
                </pt>
                <pt idx="3907">
                  <v>-0.5145631067961165</v>
                </pt>
                <pt idx="3908">
                  <v>-0.5073891625615763</v>
                </pt>
                <pt idx="3909">
                  <v>-0.4764397905759162</v>
                </pt>
                <pt idx="3910">
                  <v>-0.4818652849740932</v>
                </pt>
                <pt idx="3911">
                  <v>-0.4897959183673469</v>
                </pt>
                <pt idx="3912">
                  <v>-0.4736842105263158</v>
                </pt>
                <pt idx="3913">
                  <v>-0.4535519125683061</v>
                </pt>
                <pt idx="3914">
                  <v>-0.4505494505494506</v>
                </pt>
                <pt idx="3915">
                  <v>-0.4764397905759162</v>
                </pt>
                <pt idx="3916">
                  <v>-0.4871794871794871</v>
                </pt>
                <pt idx="3917">
                  <v>-0.4845360824742267</v>
                </pt>
                <pt idx="3918">
                  <v>-0.5</v>
                </pt>
                <pt idx="3919">
                  <v>-0.5098039215686274</v>
                </pt>
                <pt idx="3920">
                  <v>-0.5121951219512195</v>
                </pt>
                <pt idx="3921">
                  <v>-0.504950495049505</v>
                </pt>
                <pt idx="3922">
                  <v>-0.5098039215686274</v>
                </pt>
                <pt idx="3923">
                  <v>-0.5073891625615763</v>
                </pt>
                <pt idx="3924">
                  <v>-0.5121951219512195</v>
                </pt>
                <pt idx="3925">
                  <v>-0.5098039215686274</v>
                </pt>
                <pt idx="3926">
                  <v>-0.5192307692307693</v>
                </pt>
                <pt idx="3927">
                  <v>-0.5121951219512195</v>
                </pt>
                <pt idx="3928">
                  <v>-0.5192307692307693</v>
                </pt>
                <pt idx="3929">
                  <v>-0.5238095238095238</v>
                </pt>
                <pt idx="3930">
                  <v>-0.5305164319248826</v>
                </pt>
                <pt idx="3931">
                  <v>-0.5215311004784688</v>
                </pt>
                <pt idx="3932">
                  <v>-0.5283018867924529</v>
                </pt>
                <pt idx="3933">
                  <v>-0.5283018867924529</v>
                </pt>
                <pt idx="3934">
                  <v>-0.5515695067264574</v>
                </pt>
                <pt idx="3935">
                  <v>-0.5475113122171946</v>
                </pt>
                <pt idx="3936">
                  <v>-0.5260663507109005</v>
                </pt>
                <pt idx="3937">
                  <v>-0.504950495049505</v>
                </pt>
                <pt idx="3938">
                  <v>-0.5192307692307693</v>
                </pt>
                <pt idx="3939">
                  <v>-0.5145631067961165</v>
                </pt>
                <pt idx="3940">
                  <v>-0.5024875621890547</v>
                </pt>
                <pt idx="3941">
                  <v>-0.5073891625615763</v>
                </pt>
                <pt idx="3942">
                  <v>-0.5</v>
                </pt>
                <pt idx="3943">
                  <v>-0.5098039215686274</v>
                </pt>
                <pt idx="3944">
                  <v>-0.504950495049505</v>
                </pt>
                <pt idx="3945">
                  <v>-0.4949494949494949</v>
                </pt>
                <pt idx="3946">
                  <v>-0.4974874371859297</v>
                </pt>
                <pt idx="3947">
                  <v>-0.4764397905759162</v>
                </pt>
                <pt idx="3948">
                  <v>-0.4736842105263158</v>
                </pt>
                <pt idx="3949">
                  <v>-0.5192307692307693</v>
                </pt>
                <pt idx="3950">
                  <v>-0.5215311004784688</v>
                </pt>
                <pt idx="3951">
                  <v>-0.5098039215686274</v>
                </pt>
                <pt idx="3952">
                  <v>-0.5121951219512195</v>
                </pt>
                <pt idx="3953">
                  <v>-0.5073891625615763</v>
                </pt>
                <pt idx="3954">
                  <v>-0.4897959183673469</v>
                </pt>
                <pt idx="3955">
                  <v>-0.4764397905759162</v>
                </pt>
                <pt idx="3956">
                  <v>-0.4764397905759162</v>
                </pt>
                <pt idx="3957">
                  <v>-0.4764397905759162</v>
                </pt>
                <pt idx="3958">
                  <v>-0.4791666666666666</v>
                </pt>
                <pt idx="3959">
                  <v>-0.4791666666666666</v>
                </pt>
                <pt idx="3960">
                  <v>-0.4680851063829787</v>
                </pt>
                <pt idx="3961">
                  <v>-0.4623655913978495</v>
                </pt>
                <pt idx="3962">
                  <v>-0.4475138121546961</v>
                </pt>
                <pt idx="3963">
                  <v>-0.4382022471910112</v>
                </pt>
                <pt idx="3964">
                  <v>-0.4382022471910112</v>
                </pt>
                <pt idx="3965">
                  <v>-0.4252873563218391</v>
                </pt>
                <pt idx="3966">
                  <v>-0.4285714285714286</v>
                </pt>
                <pt idx="3967">
                  <v>-0.4382022471910112</v>
                </pt>
                <pt idx="3968">
                  <v>-0.4413407821229051</v>
                </pt>
                <pt idx="3969">
                  <v>-0.4413407821229051</v>
                </pt>
                <pt idx="3970">
                  <v>-0.4623655913978495</v>
                </pt>
                <pt idx="3971">
                  <v>-0.4505494505494506</v>
                </pt>
                <pt idx="3972">
                  <v>-0.4736842105263158</v>
                </pt>
                <pt idx="3973">
                  <v>-0.4565217391304348</v>
                </pt>
                <pt idx="3974">
                  <v>-0.4565217391304348</v>
                </pt>
                <pt idx="3975">
                  <v>-0.4350282485875706</v>
                </pt>
                <pt idx="3976">
                  <v>-0.4413407821229051</v>
                </pt>
                <pt idx="3977">
                  <v>-0.4475138121546961</v>
                </pt>
                <pt idx="3978">
                  <v>-0.4565217391304348</v>
                </pt>
                <pt idx="3979">
                  <v>-0.46524064171123</v>
                </pt>
                <pt idx="3980">
                  <v>-0.4594594594594595</v>
                </pt>
                <pt idx="3981">
                  <v>-0.4818652849740932</v>
                </pt>
                <pt idx="3982">
                  <v>-0.4708994708994708</v>
                </pt>
                <pt idx="3983">
                  <v>-0.46524064171123</v>
                </pt>
                <pt idx="3984">
                  <v>-0.46524064171123</v>
                </pt>
                <pt idx="3985">
                  <v>-0.4535519125683061</v>
                </pt>
                <pt idx="3986">
                  <v>-0.4565217391304348</v>
                </pt>
                <pt idx="3987">
                  <v>-0.4623655913978495</v>
                </pt>
                <pt idx="3988">
                  <v>-0.4791666666666666</v>
                </pt>
                <pt idx="3989">
                  <v>-0.4708994708994708</v>
                </pt>
                <pt idx="3990">
                  <v>-0.4764397905759162</v>
                </pt>
                <pt idx="3991">
                  <v>-0.4845360824742267</v>
                </pt>
                <pt idx="3992">
                  <v>-0.4791666666666666</v>
                </pt>
                <pt idx="3993">
                  <v>-0.4897959183673469</v>
                </pt>
                <pt idx="3994">
                  <v>-0.4949494949494949</v>
                </pt>
                <pt idx="3995">
                  <v>-0.4923857868020305</v>
                </pt>
                <pt idx="3996">
                  <v>-0.5098039215686274</v>
                </pt>
                <pt idx="3997">
                  <v>-0.5024875621890547</v>
                </pt>
                <pt idx="3998">
                  <v>-0.5145631067961165</v>
                </pt>
                <pt idx="3999">
                  <v>-0.5192307692307693</v>
                </pt>
                <pt idx="4000">
                  <v>-0.5145631067961165</v>
                </pt>
                <pt idx="4001">
                  <v>-0.5121951219512195</v>
                </pt>
                <pt idx="4002">
                  <v>-0.5145631067961165</v>
                </pt>
                <pt idx="4003">
                  <v>-0.5024875621890547</v>
                </pt>
                <pt idx="4004">
                  <v>-0.5</v>
                </pt>
                <pt idx="4005">
                  <v>-0.5</v>
                </pt>
                <pt idx="4006">
                  <v>-0.5121951219512195</v>
                </pt>
                <pt idx="4007">
                  <v>-0.5121951219512195</v>
                </pt>
                <pt idx="4008">
                  <v>-0.5121951219512195</v>
                </pt>
                <pt idx="4009">
                  <v>-0.5073891625615763</v>
                </pt>
                <pt idx="4010">
                  <v>-0.5098039215686274</v>
                </pt>
                <pt idx="4011">
                  <v>-0.5073891625615763</v>
                </pt>
                <pt idx="4012">
                  <v>-0.4923857868020305</v>
                </pt>
                <pt idx="4013">
                  <v>-0.4974874371859297</v>
                </pt>
                <pt idx="4014">
                  <v>-0.5098039215686274</v>
                </pt>
                <pt idx="4015">
                  <v>-0.4818652849740932</v>
                </pt>
                <pt idx="4016">
                  <v>-0.4923857868020305</v>
                </pt>
                <pt idx="4017">
                  <v>-0.4974874371859297</v>
                </pt>
                <pt idx="4018">
                  <v>-0.4845360824742267</v>
                </pt>
                <pt idx="4019">
                  <v>-0.5</v>
                </pt>
                <pt idx="4020">
                  <v>-0.504950495049505</v>
                </pt>
                <pt idx="4021">
                  <v>-0.5145631067961165</v>
                </pt>
                <pt idx="4022">
                  <v>-0.5192307692307693</v>
                </pt>
                <pt idx="4023">
                  <v>-0.4974874371859297</v>
                </pt>
                <pt idx="4024">
                  <v>-0.5024875621890547</v>
                </pt>
                <pt idx="4025">
                  <v>-0.5145631067961165</v>
                </pt>
                <pt idx="4026">
                  <v>-0.504950495049505</v>
                </pt>
                <pt idx="4027">
                  <v>-0.5098039215686274</v>
                </pt>
                <pt idx="4028">
                  <v>-0.5192307692307693</v>
                </pt>
                <pt idx="4029">
                  <v>-0.504950495049505</v>
                </pt>
                <pt idx="4030">
                  <v>-0.5</v>
                </pt>
                <pt idx="4031">
                  <v>-0.5024875621890547</v>
                </pt>
                <pt idx="4032">
                  <v>-0.5024875621890547</v>
                </pt>
                <pt idx="4033">
                  <v>-0.5098039215686274</v>
                </pt>
                <pt idx="4034">
                  <v>-0.5073891625615763</v>
                </pt>
                <pt idx="4035">
                  <v>-0.5238095238095238</v>
                </pt>
                <pt idx="4036">
                  <v>-0.5238095238095238</v>
                </pt>
                <pt idx="4037">
                  <v>-0.5192307692307693</v>
                </pt>
                <pt idx="4038">
                  <v>-0.5305164319248826</v>
                </pt>
                <pt idx="4039">
                  <v>-0.5169082125603864</v>
                </pt>
                <pt idx="4040">
                  <v>-0.504950495049505</v>
                </pt>
                <pt idx="4041">
                  <v>-0.5</v>
                </pt>
                <pt idx="4042">
                  <v>-0.4974874371859297</v>
                </pt>
                <pt idx="4043">
                  <v>-0.5073891625615763</v>
                </pt>
                <pt idx="4044">
                  <v>-0.5215311004784688</v>
                </pt>
                <pt idx="4045">
                  <v>-0.5260663507109005</v>
                </pt>
                <pt idx="4046">
                  <v>-0.5327102803738317</v>
                </pt>
                <pt idx="4047">
                  <v>-0.5192307692307693</v>
                </pt>
                <pt idx="4048">
                  <v>-0.5192307692307693</v>
                </pt>
                <pt idx="4049">
                  <v>-0.504950495049505</v>
                </pt>
                <pt idx="4050">
                  <v>-0.5348837209302326</v>
                </pt>
                <pt idx="4051">
                  <v>-0.4949494949494949</v>
                </pt>
                <pt idx="4052">
                  <v>-0.5024875621890547</v>
                </pt>
                <pt idx="4053">
                  <v>-0.5073891625615763</v>
                </pt>
                <pt idx="4054">
                  <v>-0.5145631067961165</v>
                </pt>
                <pt idx="4055">
                  <v>-0.5098039215686274</v>
                </pt>
                <pt idx="4056">
                  <v>-0.5169082125603864</v>
                </pt>
                <pt idx="4057">
                  <v>-0.5024875621890547</v>
                </pt>
                <pt idx="4058">
                  <v>-0.5098039215686274</v>
                </pt>
                <pt idx="4059">
                  <v>-0.5098039215686274</v>
                </pt>
                <pt idx="4060">
                  <v>-0.5238095238095238</v>
                </pt>
                <pt idx="4061">
                  <v>-0.5073891625615763</v>
                </pt>
                <pt idx="4062">
                  <v>-0.504950495049505</v>
                </pt>
                <pt idx="4063">
                  <v>-0.5073891625615763</v>
                </pt>
                <pt idx="4064">
                  <v>-0.5073891625615763</v>
                </pt>
                <pt idx="4065">
                  <v>-0.5145631067961165</v>
                </pt>
                <pt idx="4066">
                  <v>-0.5192307692307693</v>
                </pt>
                <pt idx="4067">
                  <v>-0.5145631067961165</v>
                </pt>
                <pt idx="4068">
                  <v>-0.5169082125603864</v>
                </pt>
                <pt idx="4069">
                  <v>-0.5238095238095238</v>
                </pt>
                <pt idx="4070">
                  <v>-0.5327102803738317</v>
                </pt>
                <pt idx="4071">
                  <v>-0.5260663507109005</v>
                </pt>
                <pt idx="4072">
                  <v>-0.5475113122171946</v>
                </pt>
                <pt idx="4073">
                  <v>-0.5535714285714286</v>
                </pt>
                <pt idx="4074">
                  <v>-0.5535714285714286</v>
                </pt>
                <pt idx="4075">
                  <v>-0.5495495495495496</v>
                </pt>
                <pt idx="4076">
                  <v>-0.5412844036697249</v>
                </pt>
                <pt idx="4077">
                  <v>-0.5515695067264574</v>
                </pt>
                <pt idx="4078">
                  <v>-0.5260663507109005</v>
                </pt>
                <pt idx="4079">
                  <v>-0.54337899543379</v>
                </pt>
                <pt idx="4080">
                  <v>-0.5370370370370371</v>
                </pt>
                <pt idx="4081">
                  <v>-0.5215311004784688</v>
                </pt>
                <pt idx="4082">
                  <v>-0.5495495495495496</v>
                </pt>
                <pt idx="4083">
                  <v>-0.5454545454545454</v>
                </pt>
                <pt idx="4084">
                  <v>-0.5327102803738317</v>
                </pt>
                <pt idx="4085">
                  <v>-0.5454545454545454</v>
                </pt>
                <pt idx="4086">
                  <v>-0.5594713656387665</v>
                </pt>
                <pt idx="4087">
                  <v>-0.5327102803738317</v>
                </pt>
                <pt idx="4088">
                  <v>-0.5192307692307693</v>
                </pt>
                <pt idx="4089">
                  <v>-0.5283018867924529</v>
                </pt>
                <pt idx="4090">
                  <v>-0.5073891625615763</v>
                </pt>
                <pt idx="4091">
                  <v>-0.5</v>
                </pt>
                <pt idx="4092">
                  <v>-0.5098039215686274</v>
                </pt>
                <pt idx="4093">
                  <v>-0.5192307692307693</v>
                </pt>
                <pt idx="4094">
                  <v>-0.5260663507109005</v>
                </pt>
                <pt idx="4095">
                  <v>-0.5192307692307693</v>
                </pt>
                <pt idx="4096">
                  <v>-0.5169082125603864</v>
                </pt>
                <pt idx="4097">
                  <v>-0.5169082125603864</v>
                </pt>
                <pt idx="4098">
                  <v>-0.5073891625615763</v>
                </pt>
                <pt idx="4099">
                  <v>-0.5024875621890547</v>
                </pt>
                <pt idx="4100">
                  <v>-0.4974874371859297</v>
                </pt>
                <pt idx="4101">
                  <v>-0.5024875621890547</v>
                </pt>
                <pt idx="4102">
                  <v>-0.4764397905759162</v>
                </pt>
                <pt idx="4103">
                  <v>-0.4897959183673469</v>
                </pt>
                <pt idx="4104">
                  <v>-0.4764397905759162</v>
                </pt>
                <pt idx="4105">
                  <v>-0.4708994708994708</v>
                </pt>
                <pt idx="4106">
                  <v>-0.4764397905759162</v>
                </pt>
                <pt idx="4107">
                  <v>-0.4680851063829787</v>
                </pt>
                <pt idx="4108">
                  <v>-0.4535519125683061</v>
                </pt>
                <pt idx="4109">
                  <v>-0.4680851063829787</v>
                </pt>
                <pt idx="4110">
                  <v>-0.4736842105263158</v>
                </pt>
                <pt idx="4111">
                  <v>-0.46524064171123</v>
                </pt>
                <pt idx="4112">
                  <v>-0.4680851063829787</v>
                </pt>
                <pt idx="4113">
                  <v>-0.4535519125683061</v>
                </pt>
                <pt idx="4114">
                  <v>-0.4680851063829787</v>
                </pt>
                <pt idx="4115">
                  <v>-0.46524064171123</v>
                </pt>
                <pt idx="4116">
                  <v>-0.4444444444444444</v>
                </pt>
                <pt idx="4117">
                  <v>-0.4594594594594595</v>
                </pt>
                <pt idx="4118">
                  <v>-0.4475138121546961</v>
                </pt>
                <pt idx="4119">
                  <v>-0.4382022471910112</v>
                </pt>
                <pt idx="4120">
                  <v>-0.4505494505494506</v>
                </pt>
                <pt idx="4121">
                  <v>-0.4382022471910112</v>
                </pt>
                <pt idx="4122">
                  <v>-0.4444444444444444</v>
                </pt>
                <pt idx="4123">
                  <v>-0.4444444444444444</v>
                </pt>
                <pt idx="4124">
                  <v>-0.4444444444444444</v>
                </pt>
                <pt idx="4125">
                  <v>-0.4350282485875706</v>
                </pt>
                <pt idx="4126">
                  <v>-0.4186046511627907</v>
                </pt>
                <pt idx="4127">
                  <v>-0.4186046511627907</v>
                </pt>
                <pt idx="4128">
                  <v>-0.4186046511627907</v>
                </pt>
                <pt idx="4129">
                  <v>-0.4535519125683061</v>
                </pt>
                <pt idx="4130">
                  <v>-0.4475138121546961</v>
                </pt>
                <pt idx="4131">
                  <v>-0.4350282485875706</v>
                </pt>
                <pt idx="4132">
                  <v>-0.4505494505494506</v>
                </pt>
                <pt idx="4133">
                  <v>-0.4535519125683061</v>
                </pt>
                <pt idx="4134">
                  <v>-0.4535519125683061</v>
                </pt>
                <pt idx="4135">
                  <v>-0.4444444444444444</v>
                </pt>
                <pt idx="4136">
                  <v>-0.4318181818181818</v>
                </pt>
                <pt idx="4137">
                  <v>-0.4413407821229051</v>
                </pt>
                <pt idx="4138">
                  <v>-0.4186046511627907</v>
                </pt>
                <pt idx="4139">
                  <v>-0.408284023668639</v>
                </pt>
                <pt idx="4140">
                  <v>-0.408284023668639</v>
                </pt>
                <pt idx="4141">
                  <v>-0.4047619047619048</v>
                </pt>
                <pt idx="4142">
                  <v>-0.4318181818181818</v>
                </pt>
                <pt idx="4143">
                  <v>-0.4219653179190751</v>
                </pt>
                <pt idx="4144">
                  <v>-0.4318181818181818</v>
                </pt>
                <pt idx="4145">
                  <v>-0.4152046783625731</v>
                </pt>
                <pt idx="4146">
                  <v>-0.4252873563218391</v>
                </pt>
                <pt idx="4147">
                  <v>-0.4382022471910112</v>
                </pt>
                <pt idx="4148">
                  <v>-0.4475138121546961</v>
                </pt>
                <pt idx="4149">
                  <v>-0.4413407821229051</v>
                </pt>
                <pt idx="4150">
                  <v>-0.4318181818181818</v>
                </pt>
                <pt idx="4151">
                  <v>-0.4350282485875706</v>
                </pt>
                <pt idx="4152">
                  <v>-0.4350282485875706</v>
                </pt>
                <pt idx="4153">
                  <v>-0.4285714285714286</v>
                </pt>
                <pt idx="4154">
                  <v>-0.4285714285714286</v>
                </pt>
                <pt idx="4155">
                  <v>-0.4413407821229051</v>
                </pt>
                <pt idx="4156">
                  <v>-0.4444444444444444</v>
                </pt>
                <pt idx="4157">
                  <v>-0.4505494505494506</v>
                </pt>
                <pt idx="4158">
                  <v>-0.4444444444444444</v>
                </pt>
                <pt idx="4159">
                  <v>-0.4318181818181818</v>
                </pt>
                <pt idx="4160">
                  <v>-0.4219653179190751</v>
                </pt>
                <pt idx="4161">
                  <v>-0.4219653179190751</v>
                </pt>
                <pt idx="4162">
                  <v>-0.4285714285714286</v>
                </pt>
                <pt idx="4163">
                  <v>-0.4252873563218391</v>
                </pt>
                <pt idx="4164">
                  <v>-0.4219653179190751</v>
                </pt>
                <pt idx="4165">
                  <v>-0.4152046783625731</v>
                </pt>
                <pt idx="4166">
                  <v>-0.4152046783625731</v>
                </pt>
                <pt idx="4167">
                  <v>-0.4350282485875706</v>
                </pt>
                <pt idx="4168">
                  <v>-0.4186046511627907</v>
                </pt>
                <pt idx="4169">
                  <v>-0.4152046783625731</v>
                </pt>
                <pt idx="4170">
                  <v>-0.4152046783625731</v>
                </pt>
                <pt idx="4171">
                  <v>-0.4252873563218391</v>
                </pt>
                <pt idx="4172">
                  <v>-0.4252873563218391</v>
                </pt>
                <pt idx="4173">
                  <v>-0.4186046511627907</v>
                </pt>
                <pt idx="4174">
                  <v>-0.4252873563218391</v>
                </pt>
                <pt idx="4175">
                  <v>-0.4382022471910112</v>
                </pt>
                <pt idx="4176">
                  <v>-0.4285714285714286</v>
                </pt>
                <pt idx="4177">
                  <v>-0.4186046511627907</v>
                </pt>
                <pt idx="4178">
                  <v>-0.4186046511627907</v>
                </pt>
                <pt idx="4179">
                  <v>-0.408284023668639</v>
                </pt>
                <pt idx="4180">
                  <v>-0.3939393939393939</v>
                </pt>
                <pt idx="4181">
                  <v>-0.4011976047904191</v>
                </pt>
                <pt idx="4182">
                  <v>-0.3902439024390244</v>
                </pt>
                <pt idx="4183">
                  <v>-0.3902439024390244</v>
                </pt>
                <pt idx="4184">
                  <v>-0.4011976047904191</v>
                </pt>
                <pt idx="4185">
                  <v>-0.408284023668639</v>
                </pt>
                <pt idx="4186">
                  <v>-0.4219653179190751</v>
                </pt>
                <pt idx="4187">
                  <v>-0.4047619047619048</v>
                </pt>
                <pt idx="4188">
                  <v>-0.4047619047619048</v>
                </pt>
                <pt idx="4189">
                  <v>-0.4047619047619048</v>
                </pt>
                <pt idx="4190">
                  <v>-0.4152046783625731</v>
                </pt>
                <pt idx="4191">
                  <v>-0.4117647058823529</v>
                </pt>
                <pt idx="4192">
                  <v>-0.4117647058823529</v>
                </pt>
                <pt idx="4193">
                  <v>-0.4252873563218391</v>
                </pt>
                <pt idx="4194">
                  <v>-0.4252873563218391</v>
                </pt>
                <pt idx="4195">
                  <v>-0.4252873563218391</v>
                </pt>
                <pt idx="4196">
                  <v>-0.4186046511627907</v>
                </pt>
                <pt idx="4197">
                  <v>-0.4285714285714286</v>
                </pt>
                <pt idx="4198">
                  <v>-0.4350282485875706</v>
                </pt>
                <pt idx="4199">
                  <v>-0.4350282485875706</v>
                </pt>
                <pt idx="4200">
                  <v>-0.4252873563218391</v>
                </pt>
                <pt idx="4201">
                  <v>-0.4285714285714286</v>
                </pt>
                <pt idx="4202">
                  <v>-0.4285714285714286</v>
                </pt>
                <pt idx="4203">
                  <v>-0.4152046783625731</v>
                </pt>
                <pt idx="4204">
                  <v>-0.4186046511627907</v>
                </pt>
                <pt idx="4205">
                  <v>-0.4186046511627907</v>
                </pt>
                <pt idx="4206">
                  <v>-0.4318181818181818</v>
                </pt>
                <pt idx="4207">
                  <v>-0.4252873563218391</v>
                </pt>
                <pt idx="4208">
                  <v>-0.4285714285714286</v>
                </pt>
                <pt idx="4209">
                  <v>-0.4382022471910112</v>
                </pt>
                <pt idx="4210">
                  <v>-0.4350282485875706</v>
                </pt>
                <pt idx="4211">
                  <v>-0.4444444444444444</v>
                </pt>
                <pt idx="4212">
                  <v>-0.4444444444444444</v>
                </pt>
                <pt idx="4213">
                  <v>-0.4505494505494506</v>
                </pt>
                <pt idx="4214">
                  <v>-0.4535519125683061</v>
                </pt>
                <pt idx="4215">
                  <v>-0.4594594594594595</v>
                </pt>
                <pt idx="4216">
                  <v>-0.4565217391304348</v>
                </pt>
                <pt idx="4217">
                  <v>-0.4736842105263158</v>
                </pt>
                <pt idx="4218">
                  <v>-0.4680851063829787</v>
                </pt>
                <pt idx="4219">
                  <v>-0.4764397905759162</v>
                </pt>
                <pt idx="4220">
                  <v>-0.4680851063829787</v>
                </pt>
                <pt idx="4221">
                  <v>-0.4680851063829787</v>
                </pt>
                <pt idx="4222">
                  <v>-0.4764397905759162</v>
                </pt>
                <pt idx="4223">
                  <v>-0.4680851063829787</v>
                </pt>
                <pt idx="4224">
                  <v>-0.4708994708994708</v>
                </pt>
                <pt idx="4225">
                  <v>-0.4791666666666666</v>
                </pt>
                <pt idx="4226">
                  <v>-0.4791666666666666</v>
                </pt>
                <pt idx="4227">
                  <v>-0.4818652849740932</v>
                </pt>
                <pt idx="4228">
                  <v>-0.4791666666666666</v>
                </pt>
                <pt idx="4229">
                  <v>-0.4818652849740932</v>
                </pt>
                <pt idx="4230">
                  <v>-0.4764397905759162</v>
                </pt>
                <pt idx="4231">
                  <v>-0.4708994708994708</v>
                </pt>
                <pt idx="4232">
                  <v>-0.4680851063829787</v>
                </pt>
                <pt idx="4233">
                  <v>-0.4708994708994708</v>
                </pt>
                <pt idx="4234">
                  <v>-0.46524064171123</v>
                </pt>
                <pt idx="4235">
                  <v>-0.4594594594594595</v>
                </pt>
                <pt idx="4236">
                  <v>-0.4736842105263158</v>
                </pt>
                <pt idx="4237">
                  <v>-0.4594594594594595</v>
                </pt>
                <pt idx="4238">
                  <v>-0.4505494505494506</v>
                </pt>
                <pt idx="4239">
                  <v>-0.4535519125683061</v>
                </pt>
                <pt idx="4240">
                  <v>-0.4535519125683061</v>
                </pt>
                <pt idx="4241">
                  <v>-0.46524064171123</v>
                </pt>
                <pt idx="4242">
                  <v>-0.4680851063829787</v>
                </pt>
                <pt idx="4243">
                  <v>-0.4708994708994708</v>
                </pt>
                <pt idx="4244">
                  <v>-0.4680851063829787</v>
                </pt>
                <pt idx="4245">
                  <v>-0.4871794871794871</v>
                </pt>
                <pt idx="4246">
                  <v>-0.4818652849740932</v>
                </pt>
                <pt idx="4247">
                  <v>-0.4818652849740932</v>
                </pt>
                <pt idx="4248">
                  <v>-0.4871794871794871</v>
                </pt>
                <pt idx="4249">
                  <v>-0.504950495049505</v>
                </pt>
                <pt idx="4250">
                  <v>-0.4949494949494949</v>
                </pt>
                <pt idx="4251">
                  <v>-0.4974874371859297</v>
                </pt>
                <pt idx="4252">
                  <v>-0.4845360824742267</v>
                </pt>
                <pt idx="4253">
                  <v>-0.4845360824742267</v>
                </pt>
                <pt idx="4254">
                  <v>-0.4923857868020305</v>
                </pt>
                <pt idx="4255">
                  <v>-0.4949494949494949</v>
                </pt>
                <pt idx="4256">
                  <v>-0.4791666666666666</v>
                </pt>
                <pt idx="4257">
                  <v>-0.4736842105263158</v>
                </pt>
                <pt idx="4258">
                  <v>-0.4871794871794871</v>
                </pt>
                <pt idx="4259">
                  <v>-0.4791666666666666</v>
                </pt>
                <pt idx="4260">
                  <v>-0.4791666666666666</v>
                </pt>
                <pt idx="4261">
                  <v>-0.4845360824742267</v>
                </pt>
                <pt idx="4262">
                  <v>-0.4845360824742267</v>
                </pt>
                <pt idx="4263">
                  <v>-0.4818652849740932</v>
                </pt>
                <pt idx="4264">
                  <v>-0.4897959183673469</v>
                </pt>
                <pt idx="4265">
                  <v>-0.4974874371859297</v>
                </pt>
                <pt idx="4266">
                  <v>-0.4949494949494949</v>
                </pt>
                <pt idx="4267">
                  <v>-0.5</v>
                </pt>
                <pt idx="4268">
                  <v>-0.4974874371859297</v>
                </pt>
                <pt idx="4269">
                  <v>-0.5</v>
                </pt>
                <pt idx="4270">
                  <v>-0.504950495049505</v>
                </pt>
                <pt idx="4271">
                  <v>-0.4974874371859297</v>
                </pt>
                <pt idx="4272">
                  <v>-0.504950495049505</v>
                </pt>
                <pt idx="4273">
                  <v>-0.5073891625615763</v>
                </pt>
                <pt idx="4274">
                  <v>-0.5098039215686274</v>
                </pt>
                <pt idx="4275">
                  <v>-0.5024875621890547</v>
                </pt>
                <pt idx="4276">
                  <v>-0.5024875621890547</v>
                </pt>
                <pt idx="4277">
                  <v>-0.5073891625615763</v>
                </pt>
                <pt idx="4278">
                  <v>-0.5024875621890547</v>
                </pt>
                <pt idx="4279">
                  <v>-0.5</v>
                </pt>
                <pt idx="4280">
                  <v>-0.5121951219512195</v>
                </pt>
                <pt idx="4281">
                  <v>-0.5073891625615763</v>
                </pt>
                <pt idx="4282">
                  <v>-0.5121951219512195</v>
                </pt>
                <pt idx="4283">
                  <v>-0.5121951219512195</v>
                </pt>
                <pt idx="4284">
                  <v>-0.5169082125603864</v>
                </pt>
                <pt idx="4285">
                  <v>-0.5145631067961165</v>
                </pt>
                <pt idx="4286">
                  <v>-0.5145631067961165</v>
                </pt>
                <pt idx="4287">
                  <v>-0.5098039215686274</v>
                </pt>
                <pt idx="4288">
                  <v>-0.4871794871794871</v>
                </pt>
                <pt idx="4289">
                  <v>-0.4871794871794871</v>
                </pt>
                <pt idx="4290">
                  <v>-0.4974874371859297</v>
                </pt>
                <pt idx="4291">
                  <v>-0.4949494949494949</v>
                </pt>
                <pt idx="4292">
                  <v>-0.5073891625615763</v>
                </pt>
                <pt idx="4293">
                  <v>-0.5073891625615763</v>
                </pt>
                <pt idx="4294">
                  <v>-0.5073891625615763</v>
                </pt>
                <pt idx="4295">
                  <v>-0.4845360824742267</v>
                </pt>
                <pt idx="4296">
                  <v>-0.4923857868020305</v>
                </pt>
                <pt idx="4297">
                  <v>-0.4871794871794871</v>
                </pt>
                <pt idx="4298">
                  <v>-0.4949494949494949</v>
                </pt>
                <pt idx="4299">
                  <v>-0.4949494949494949</v>
                </pt>
                <pt idx="4300">
                  <v>-0.4974874371859297</v>
                </pt>
                <pt idx="4301">
                  <v>-0.4923857868020305</v>
                </pt>
                <pt idx="4302">
                  <v>-0.504950495049505</v>
                </pt>
                <pt idx="4303">
                  <v>-0.4923857868020305</v>
                </pt>
                <pt idx="4304">
                  <v>-0.4818652849740932</v>
                </pt>
                <pt idx="4305">
                  <v>-0.4949494949494949</v>
                </pt>
                <pt idx="4306">
                  <v>-0.4871794871794871</v>
                </pt>
                <pt idx="4307">
                  <v>-0.4897959183673469</v>
                </pt>
                <pt idx="4308">
                  <v>-0.4818652849740932</v>
                </pt>
                <pt idx="4309">
                  <v>-0.4845360824742267</v>
                </pt>
                <pt idx="4310">
                  <v>-0.4949494949494949</v>
                </pt>
                <pt idx="4311">
                  <v>-0.5</v>
                </pt>
                <pt idx="4312">
                  <v>-0.504950495049505</v>
                </pt>
                <pt idx="4313">
                  <v>-0.5098039215686274</v>
                </pt>
                <pt idx="4314">
                  <v>-0.5391705069124424</v>
                </pt>
                <pt idx="4315">
                  <v>-0.5238095238095238</v>
                </pt>
                <pt idx="4316">
                  <v>-0.5169082125603864</v>
                </pt>
                <pt idx="4317">
                  <v>-0.5192307692307693</v>
                </pt>
                <pt idx="4318">
                  <v>-0.5305164319248826</v>
                </pt>
                <pt idx="4319">
                  <v>-0.5327102803738317</v>
                </pt>
                <pt idx="4320">
                  <v>-0.5305164319248826</v>
                </pt>
                <pt idx="4321">
                  <v>-0.5370370370370371</v>
                </pt>
                <pt idx="4322">
                  <v>-0.5348837209302326</v>
                </pt>
                <pt idx="4323">
                  <v>-0.5475113122171946</v>
                </pt>
                <pt idx="4324">
                  <v>-0.5475113122171946</v>
                </pt>
                <pt idx="4325">
                  <v>-0.5348837209302326</v>
                </pt>
                <pt idx="4326">
                  <v>-0.5327102803738317</v>
                </pt>
                <pt idx="4327">
                  <v>-0.5391705069124424</v>
                </pt>
                <pt idx="4328">
                  <v>-0.5370370370370371</v>
                </pt>
                <pt idx="4329">
                  <v>-0.5391705069124424</v>
                </pt>
                <pt idx="4330">
                  <v>-0.5370370370370371</v>
                </pt>
                <pt idx="4331">
                  <v>-0.5454545454545454</v>
                </pt>
                <pt idx="4332">
                  <v>-0.5475113122171946</v>
                </pt>
                <pt idx="4333">
                  <v>-0.5327102803738317</v>
                </pt>
                <pt idx="4334">
                  <v>-0.5283018867924529</v>
                </pt>
                <pt idx="4335">
                  <v>-0.5305164319248826</v>
                </pt>
                <pt idx="4336">
                  <v>-0.5348837209302326</v>
                </pt>
                <pt idx="4337">
                  <v>-0.54337899543379</v>
                </pt>
                <pt idx="4338">
                  <v>-0.5454545454545454</v>
                </pt>
                <pt idx="4339">
                  <v>-0.54337899543379</v>
                </pt>
                <pt idx="4340">
                  <v>-0.5348837209302326</v>
                </pt>
                <pt idx="4341">
                  <v>-0.5283018867924529</v>
                </pt>
                <pt idx="4342">
                  <v>-0.5238095238095238</v>
                </pt>
                <pt idx="4343">
                  <v>-0.5305164319248826</v>
                </pt>
                <pt idx="4344">
                  <v>-0.5283018867924529</v>
                </pt>
                <pt idx="4345">
                  <v>-0.5260663507109005</v>
                </pt>
                <pt idx="4346">
                  <v>-0.5238095238095238</v>
                </pt>
                <pt idx="4347">
                  <v>-0.5260663507109005</v>
                </pt>
                <pt idx="4348">
                  <v>-0.5327102803738317</v>
                </pt>
                <pt idx="4349">
                  <v>-0.5412844036697249</v>
                </pt>
                <pt idx="4350">
                  <v>-0.5495495495495496</v>
                </pt>
                <pt idx="4351">
                  <v>-0.5575221238938053</v>
                </pt>
                <pt idx="4352">
                  <v>-0.5633187772925764</v>
                </pt>
                <pt idx="4353">
                  <v>-0.5633187772925764</v>
                </pt>
                <pt idx="4354">
                  <v>-0.5633187772925764</v>
                </pt>
                <pt idx="4355">
                  <v>-0.5652173913043478</v>
                </pt>
                <pt idx="4356">
                  <v>-0.5575221238938053</v>
                </pt>
                <pt idx="4357">
                  <v>-0.5575221238938053</v>
                </pt>
                <pt idx="4358">
                  <v>-0.5670995670995671</v>
                </pt>
                <pt idx="4359">
                  <v>-0.5780590717299579</v>
                </pt>
                <pt idx="4360">
                  <v>-0.5726495726495726</v>
                </pt>
                <pt idx="4361">
                  <v>-0.5708154506437768</v>
                </pt>
                <pt idx="4362">
                  <v>-0.5670995670995671</v>
                </pt>
                <pt idx="4363">
                  <v>-0.5614035087719298</v>
                </pt>
                <pt idx="4364">
                  <v>-0.5594713656387665</v>
                </pt>
                <pt idx="4365">
                  <v>-0.5652173913043478</v>
                </pt>
                <pt idx="4366">
                  <v>-0.5575221238938053</v>
                </pt>
                <pt idx="4367">
                  <v>-0.5535714285714286</v>
                </pt>
                <pt idx="4368">
                  <v>-0.5614035087719298</v>
                </pt>
                <pt idx="4369">
                  <v>-0.5614035087719298</v>
                </pt>
                <pt idx="4370">
                  <v>-0.5614035087719298</v>
                </pt>
                <pt idx="4371">
                  <v>-0.5555555555555556</v>
                </pt>
                <pt idx="4372">
                  <v>-0.5535714285714286</v>
                </pt>
                <pt idx="4373">
                  <v>-0.5575221238938053</v>
                </pt>
                <pt idx="4374">
                  <v>-0.5575221238938053</v>
                </pt>
                <pt idx="4375">
                  <v>-0.5575221238938053</v>
                </pt>
                <pt idx="4376">
                  <v>-0.5614035087719298</v>
                </pt>
                <pt idx="4377">
                  <v>-0.5555555555555556</v>
                </pt>
                <pt idx="4378">
                  <v>-0.5689655172413792</v>
                </pt>
                <pt idx="4379">
                  <v>-0.5614035087719298</v>
                </pt>
                <pt idx="4380">
                  <v>-0.5670995670995671</v>
                </pt>
                <pt idx="4381">
                  <v>-0.5670995670995671</v>
                </pt>
                <pt idx="4382">
                  <v>-0.5614035087719298</v>
                </pt>
                <pt idx="4383">
                  <v>-0.5614035087719298</v>
                </pt>
                <pt idx="4384">
                  <v>-0.5780590717299579</v>
                </pt>
                <pt idx="4385">
                  <v>-0.576271186440678</v>
                </pt>
                <pt idx="4386">
                  <v>-0.5798319327731092</v>
                </pt>
                <pt idx="4387">
                  <v>-0.6015936254980079</v>
                </pt>
                <pt idx="4388">
                  <v>-0.5901639344262295</v>
                </pt>
                <pt idx="4389">
                  <v>-0.5934959349593496</v>
                </pt>
                <pt idx="4390">
                  <v>-0.5867768595041323</v>
                </pt>
                <pt idx="4391">
                  <v>-0.5850622406639004</v>
                </pt>
                <pt idx="4392">
                  <v>-0.5798319327731092</v>
                </pt>
                <pt idx="4393">
                  <v>-0.5689655172413792</v>
                </pt>
                <pt idx="4394">
                  <v>-0.5670995670995671</v>
                </pt>
                <pt idx="4395">
                  <v>-0.576271186440678</v>
                </pt>
                <pt idx="4396">
                  <v>-0.5454545454545454</v>
                </pt>
                <pt idx="4397">
                  <v>-0.5412844036697249</v>
                </pt>
                <pt idx="4398">
                  <v>-0.54337899543379</v>
                </pt>
                <pt idx="4399">
                  <v>-0.5475113122171946</v>
                </pt>
                <pt idx="4400">
                  <v>-0.5555555555555556</v>
                </pt>
                <pt idx="4401">
                  <v>-0.5535714285714286</v>
                </pt>
                <pt idx="4402">
                  <v>-0.5535714285714286</v>
                </pt>
                <pt idx="4403">
                  <v>-0.5370370370370371</v>
                </pt>
                <pt idx="4404">
                  <v>-0.5370370370370371</v>
                </pt>
                <pt idx="4405">
                  <v>-0.5121951219512195</v>
                </pt>
                <pt idx="4406">
                  <v>-0.5305164319248826</v>
                </pt>
                <pt idx="4407">
                  <v>-0.5073891625615763</v>
                </pt>
                <pt idx="4408">
                  <v>-0.5098039215686274</v>
                </pt>
                <pt idx="4409">
                  <v>-0.5215311004784688</v>
                </pt>
                <pt idx="4410">
                  <v>-0.5192307692307693</v>
                </pt>
                <pt idx="4411">
                  <v>-0.5192307692307693</v>
                </pt>
                <pt idx="4412">
                  <v>-0.5121951219512195</v>
                </pt>
                <pt idx="4413">
                  <v>-0.5283018867924529</v>
                </pt>
                <pt idx="4414">
                  <v>-0.5348837209302326</v>
                </pt>
                <pt idx="4415">
                  <v>-0.5238095238095238</v>
                </pt>
                <pt idx="4416">
                  <v>-0.5238095238095238</v>
                </pt>
                <pt idx="4417">
                  <v>-0.5098039215686274</v>
                </pt>
                <pt idx="4418">
                  <v>-0.504950495049505</v>
                </pt>
                <pt idx="4419">
                  <v>-0.504950495049505</v>
                </pt>
                <pt idx="4420">
                  <v>-0.5098039215686274</v>
                </pt>
                <pt idx="4421">
                  <v>-0.5145631067961165</v>
                </pt>
                <pt idx="4422">
                  <v>-0.504950495049505</v>
                </pt>
                <pt idx="4423">
                  <v>-0.5121951219512195</v>
                </pt>
                <pt idx="4424">
                  <v>-0.5169082125603864</v>
                </pt>
                <pt idx="4425">
                  <v>-0.5073891625615763</v>
                </pt>
                <pt idx="4426">
                  <v>-0.4974874371859297</v>
                </pt>
                <pt idx="4427">
                  <v>-0.4871794871794871</v>
                </pt>
                <pt idx="4428">
                  <v>-0.504950495049505</v>
                </pt>
                <pt idx="4429">
                  <v>-0.5169082125603864</v>
                </pt>
                <pt idx="4430">
                  <v>-0.5192307692307693</v>
                </pt>
                <pt idx="4431">
                  <v>-0.5192307692307693</v>
                </pt>
                <pt idx="4432">
                  <v>-0.5192307692307693</v>
                </pt>
                <pt idx="4433">
                  <v>-0.5073891625615763</v>
                </pt>
                <pt idx="4434">
                  <v>-0.4974874371859297</v>
                </pt>
                <pt idx="4435">
                  <v>-0.5024875621890547</v>
                </pt>
                <pt idx="4436">
                  <v>-0.5024875621890547</v>
                </pt>
                <pt idx="4437">
                  <v>-0.4818652849740932</v>
                </pt>
                <pt idx="4438">
                  <v>-0.46524064171123</v>
                </pt>
                <pt idx="4439">
                  <v>-0.46524064171123</v>
                </pt>
                <pt idx="4440">
                  <v>-0.4818652849740932</v>
                </pt>
                <pt idx="4441">
                  <v>-0.4764397905759162</v>
                </pt>
                <pt idx="4442">
                  <v>-0.4623655913978495</v>
                </pt>
                <pt idx="4443">
                  <v>-0.4475138121546961</v>
                </pt>
                <pt idx="4444">
                  <v>-0.4594594594594595</v>
                </pt>
                <pt idx="4445">
                  <v>-0.4535519125683061</v>
                </pt>
                <pt idx="4446">
                  <v>-0.4475138121546961</v>
                </pt>
                <pt idx="4447">
                  <v>-0.4475138121546961</v>
                </pt>
                <pt idx="4448">
                  <v>-0.4413407821229051</v>
                </pt>
                <pt idx="4449">
                  <v>-0.4285714285714286</v>
                </pt>
                <pt idx="4450">
                  <v>-0.4413407821229051</v>
                </pt>
                <pt idx="4451">
                  <v>-0.4252873563218391</v>
                </pt>
                <pt idx="4452">
                  <v>-0.4219653179190751</v>
                </pt>
                <pt idx="4453">
                  <v>-0.4285714285714286</v>
                </pt>
                <pt idx="4454">
                  <v>-0.4186046511627907</v>
                </pt>
                <pt idx="4455">
                  <v>-0.4011976047904191</v>
                </pt>
                <pt idx="4456">
                  <v>-0.3939393939393939</v>
                </pt>
                <pt idx="4457">
                  <v>-0.3827160493827161</v>
                </pt>
                <pt idx="4458">
                  <v>-0.3827160493827161</v>
                </pt>
                <pt idx="4459">
                  <v>-0.3827160493827161</v>
                </pt>
                <pt idx="4460">
                  <v>-0.3827160493827161</v>
                </pt>
                <pt idx="4461">
                  <v>-0.3710691823899371</v>
                </pt>
                <pt idx="4462">
                  <v>-0.375</v>
                </pt>
                <pt idx="4463">
                  <v>-0.3827160493827161</v>
                </pt>
                <pt idx="4464">
                  <v>-0.3939393939393939</v>
                </pt>
                <pt idx="4465">
                  <v>-0.4011976047904191</v>
                </pt>
                <pt idx="4466">
                  <v>-0.3865030674846626</v>
                </pt>
                <pt idx="4467">
                  <v>-0.3630573248407644</v>
                </pt>
                <pt idx="4468">
                  <v>-0.3506493506493507</v>
                </pt>
                <pt idx="4469">
                  <v>-0.3670886075949368</v>
                </pt>
                <pt idx="4470">
                  <v>-0.3670886075949368</v>
                </pt>
                <pt idx="4471">
                  <v>-0.375</v>
                </pt>
                <pt idx="4472">
                  <v>-0.3630573248407644</v>
                </pt>
                <pt idx="4473">
                  <v>-0.3630573248407644</v>
                </pt>
                <pt idx="4474">
                  <v>-0.3788819875776398</v>
                </pt>
                <pt idx="4475">
                  <v>-0.375</v>
                </pt>
                <pt idx="4476">
                  <v>-0.358974358974359</v>
                </pt>
                <pt idx="4477">
                  <v>-0.3827160493827161</v>
                </pt>
                <pt idx="4478">
                  <v>-0.375</v>
                </pt>
                <pt idx="4479">
                  <v>-0.3630573248407644</v>
                </pt>
                <pt idx="4480">
                  <v>-0.3548387096774194</v>
                </pt>
                <pt idx="4481">
                  <v>-0.3670886075949368</v>
                </pt>
                <pt idx="4482">
                  <v>-0.358974358974359</v>
                </pt>
                <pt idx="4483">
                  <v>-0.3464052287581699</v>
                </pt>
                <pt idx="4484">
                  <v>-0.3506493506493507</v>
                </pt>
                <pt idx="4485">
                  <v>-0.3506493506493507</v>
                </pt>
                <pt idx="4486">
                  <v>-0.3506493506493507</v>
                </pt>
                <pt idx="4487">
                  <v>-0.358974358974359</v>
                </pt>
                <pt idx="4488">
                  <v>-0.3788819875776398</v>
                </pt>
                <pt idx="4489">
                  <v>-0.3865030674846626</v>
                </pt>
                <pt idx="4490">
                  <v>-0.3865030674846626</v>
                </pt>
                <pt idx="4491">
                  <v>-0.3865030674846626</v>
                </pt>
                <pt idx="4492">
                  <v>-0.3865030674846626</v>
                </pt>
                <pt idx="4493">
                  <v>-0.4047619047619048</v>
                </pt>
                <pt idx="4494">
                  <v>-0.3939393939393939</v>
                </pt>
                <pt idx="4495">
                  <v>-0.3975903614457831</v>
                </pt>
                <pt idx="4496">
                  <v>-0.4011976047904191</v>
                </pt>
                <pt idx="4497">
                  <v>-0.3939393939393939</v>
                </pt>
                <pt idx="4498">
                  <v>-0.4047619047619048</v>
                </pt>
                <pt idx="4499">
                  <v>-0.3975903614457831</v>
                </pt>
                <pt idx="4500">
                  <v>-0.4047619047619048</v>
                </pt>
                <pt idx="4501">
                  <v>-0.3975903614457831</v>
                </pt>
                <pt idx="4502">
                  <v>-0.4047619047619048</v>
                </pt>
                <pt idx="4503">
                  <v>-0.4186046511627907</v>
                </pt>
                <pt idx="4504">
                  <v>-0.4219653179190751</v>
                </pt>
                <pt idx="4505">
                  <v>-0.4252873563218391</v>
                </pt>
                <pt idx="4506">
                  <v>-0.4252873563218391</v>
                </pt>
                <pt idx="4507">
                  <v>-0.4285714285714286</v>
                </pt>
                <pt idx="4508">
                  <v>-0.4219653179190751</v>
                </pt>
                <pt idx="4509">
                  <v>-0.4350282485875706</v>
                </pt>
                <pt idx="4510">
                  <v>-0.4117647058823529</v>
                </pt>
                <pt idx="4511">
                  <v>-0.4047619047619048</v>
                </pt>
                <pt idx="4512">
                  <v>-0.4186046511627907</v>
                </pt>
                <pt idx="4513">
                  <v>-0.4152046783625731</v>
                </pt>
                <pt idx="4514">
                  <v>-0.4219653179190751</v>
                </pt>
                <pt idx="4515">
                  <v>-0.408284023668639</v>
                </pt>
                <pt idx="4516">
                  <v>-0.4047619047619048</v>
                </pt>
                <pt idx="4517">
                  <v>-0.4152046783625731</v>
                </pt>
                <pt idx="4518">
                  <v>-0.4047619047619048</v>
                </pt>
                <pt idx="4519">
                  <v>-0.4011976047904191</v>
                </pt>
                <pt idx="4520">
                  <v>-0.408284023668639</v>
                </pt>
                <pt idx="4521">
                  <v>-0.3975903614457831</v>
                </pt>
                <pt idx="4522">
                  <v>-0.408284023668639</v>
                </pt>
                <pt idx="4523">
                  <v>-0.4318181818181818</v>
                </pt>
                <pt idx="4524">
                  <v>-0.4117647058823529</v>
                </pt>
                <pt idx="4525">
                  <v>-0.4047619047619048</v>
                </pt>
                <pt idx="4526">
                  <v>-0.3975903614457831</v>
                </pt>
                <pt idx="4527">
                  <v>-0.4011976047904191</v>
                </pt>
                <pt idx="4528">
                  <v>-0.4047619047619048</v>
                </pt>
                <pt idx="4529">
                  <v>-0.4011976047904191</v>
                </pt>
                <pt idx="4530">
                  <v>-0.4047619047619048</v>
                </pt>
                <pt idx="4531">
                  <v>-0.4047619047619048</v>
                </pt>
                <pt idx="4532">
                  <v>-0.3902439024390244</v>
                </pt>
                <pt idx="4533">
                  <v>-0.4047619047619048</v>
                </pt>
                <pt idx="4534">
                  <v>-0.4011976047904191</v>
                </pt>
                <pt idx="4535">
                  <v>-0.3975903614457831</v>
                </pt>
                <pt idx="4536">
                  <v>-0.4152046783625731</v>
                </pt>
                <pt idx="4537">
                  <v>-0.4152046783625731</v>
                </pt>
                <pt idx="4538">
                  <v>-0.4252873563218391</v>
                </pt>
                <pt idx="4539">
                  <v>-0.4285714285714286</v>
                </pt>
                <pt idx="4540">
                  <v>-0.4285714285714286</v>
                </pt>
                <pt idx="4541">
                  <v>-0.4285714285714286</v>
                </pt>
                <pt idx="4542">
                  <v>-0.4350282485875706</v>
                </pt>
                <pt idx="4543">
                  <v>-0.4413407821229051</v>
                </pt>
                <pt idx="4544">
                  <v>-0.4382022471910112</v>
                </pt>
                <pt idx="4545">
                  <v>-0.4252873563218391</v>
                </pt>
                <pt idx="4546">
                  <v>-0.4252873563218391</v>
                </pt>
                <pt idx="4547">
                  <v>-0.4252873563218391</v>
                </pt>
                <pt idx="4548">
                  <v>-0.4186046511627907</v>
                </pt>
                <pt idx="4549">
                  <v>-0.4047619047619048</v>
                </pt>
                <pt idx="4550">
                  <v>-0.3865030674846626</v>
                </pt>
                <pt idx="4551">
                  <v>-0.3939393939393939</v>
                </pt>
                <pt idx="4552">
                  <v>-0.375</v>
                </pt>
                <pt idx="4553">
                  <v>-0.3939393939393939</v>
                </pt>
                <pt idx="4554">
                  <v>-0.3939393939393939</v>
                </pt>
                <pt idx="4555">
                  <v>-0.4117647058823529</v>
                </pt>
                <pt idx="4556">
                  <v>-0.4011976047904191</v>
                </pt>
                <pt idx="4557">
                  <v>-0.4011976047904191</v>
                </pt>
                <pt idx="4558">
                  <v>-0.4011976047904191</v>
                </pt>
                <pt idx="4559">
                  <v>-0.3902439024390244</v>
                </pt>
                <pt idx="4560">
                  <v>-0.3865030674846626</v>
                </pt>
                <pt idx="4561">
                  <v>-0.3939393939393939</v>
                </pt>
                <pt idx="4562">
                  <v>-0.3865030674846626</v>
                </pt>
                <pt idx="4563">
                  <v>-0.3670886075949368</v>
                </pt>
                <pt idx="4564">
                  <v>-0.375</v>
                </pt>
                <pt idx="4565">
                  <v>-0.3788819875776398</v>
                </pt>
                <pt idx="4566">
                  <v>-0.3827160493827161</v>
                </pt>
                <pt idx="4567">
                  <v>-0.3788819875776398</v>
                </pt>
                <pt idx="4568">
                  <v>-0.3939393939393939</v>
                </pt>
                <pt idx="4569">
                  <v>-0.3865030674846626</v>
                </pt>
                <pt idx="4570">
                  <v>-0.3827160493827161</v>
                </pt>
                <pt idx="4571">
                  <v>-0.3902439024390244</v>
                </pt>
                <pt idx="4572">
                  <v>-0.4047619047619048</v>
                </pt>
                <pt idx="4573">
                  <v>-0.3902439024390244</v>
                </pt>
                <pt idx="4574">
                  <v>-0.3902439024390244</v>
                </pt>
                <pt idx="4575">
                  <v>-0.3865030674846626</v>
                </pt>
                <pt idx="4576">
                  <v>-0.3975903614457831</v>
                </pt>
                <pt idx="4577">
                  <v>-0.3975903614457831</v>
                </pt>
                <pt idx="4578">
                  <v>-0.3975903614457831</v>
                </pt>
                <pt idx="4579">
                  <v>-0.408284023668639</v>
                </pt>
                <pt idx="4580">
                  <v>-0.4350282485875706</v>
                </pt>
                <pt idx="4581">
                  <v>-0.4318181818181818</v>
                </pt>
                <pt idx="4582">
                  <v>-0.4318181818181818</v>
                </pt>
                <pt idx="4583">
                  <v>-0.4285714285714286</v>
                </pt>
                <pt idx="4584">
                  <v>-0.4318181818181818</v>
                </pt>
                <pt idx="4585">
                  <v>-0.4318181818181818</v>
                </pt>
                <pt idx="4586">
                  <v>-0.4219653179190751</v>
                </pt>
                <pt idx="4587">
                  <v>-0.4413407821229051</v>
                </pt>
                <pt idx="4588">
                  <v>-0.4475138121546961</v>
                </pt>
                <pt idx="4589">
                  <v>-0.4413407821229051</v>
                </pt>
                <pt idx="4590">
                  <v>-0.4350282485875706</v>
                </pt>
                <pt idx="4591">
                  <v>-0.4350282485875706</v>
                </pt>
                <pt idx="4592">
                  <v>-0.4350282485875706</v>
                </pt>
                <pt idx="4593">
                  <v>-0.4318181818181818</v>
                </pt>
                <pt idx="4594">
                  <v>-0.4413407821229051</v>
                </pt>
                <pt idx="4595">
                  <v>-0.4318181818181818</v>
                </pt>
                <pt idx="4596">
                  <v>-0.4350282485875706</v>
                </pt>
                <pt idx="4597">
                  <v>-0.4318181818181818</v>
                </pt>
                <pt idx="4598">
                  <v>-0.4318181818181818</v>
                </pt>
                <pt idx="4599">
                  <v>-0.4117647058823529</v>
                </pt>
                <pt idx="4600">
                  <v>-0.4252873563218391</v>
                </pt>
                <pt idx="4601">
                  <v>-0.4252873563218391</v>
                </pt>
                <pt idx="4602">
                  <v>-0.4252873563218391</v>
                </pt>
                <pt idx="4603">
                  <v>-0.4350282485875706</v>
                </pt>
                <pt idx="4604">
                  <v>-0.4285714285714286</v>
                </pt>
                <pt idx="4605">
                  <v>-0.4318181818181818</v>
                </pt>
                <pt idx="4606">
                  <v>-0.4318181818181818</v>
                </pt>
                <pt idx="4607">
                  <v>-0.4252873563218391</v>
                </pt>
                <pt idx="4608">
                  <v>-0.4252873563218391</v>
                </pt>
                <pt idx="4609">
                  <v>-0.4219653179190751</v>
                </pt>
                <pt idx="4610">
                  <v>-0.4219653179190751</v>
                </pt>
                <pt idx="4611">
                  <v>-0.4219653179190751</v>
                </pt>
                <pt idx="4612">
                  <v>-0.4219653179190751</v>
                </pt>
                <pt idx="4613">
                  <v>-0.4413407821229051</v>
                </pt>
                <pt idx="4614">
                  <v>-0.4382022471910112</v>
                </pt>
                <pt idx="4615">
                  <v>-0.4350282485875706</v>
                </pt>
                <pt idx="4616">
                  <v>-0.4252873563218391</v>
                </pt>
                <pt idx="4617">
                  <v>-0.4152046783625731</v>
                </pt>
                <pt idx="4618">
                  <v>-0.4152046783625731</v>
                </pt>
                <pt idx="4619">
                  <v>-0.4152046783625731</v>
                </pt>
                <pt idx="4620">
                  <v>-0.408284023668639</v>
                </pt>
                <pt idx="4621">
                  <v>-0.4117647058823529</v>
                </pt>
                <pt idx="4622">
                  <v>-0.4117647058823529</v>
                </pt>
                <pt idx="4623">
                  <v>-0.4186046511627907</v>
                </pt>
                <pt idx="4624">
                  <v>-0.4285714285714286</v>
                </pt>
                <pt idx="4625">
                  <v>-0.4186046511627907</v>
                </pt>
                <pt idx="4626">
                  <v>-0.4011976047904191</v>
                </pt>
                <pt idx="4627">
                  <v>-0.408284023668639</v>
                </pt>
                <pt idx="4628">
                  <v>-0.4186046511627907</v>
                </pt>
                <pt idx="4629">
                  <v>-0.4117647058823529</v>
                </pt>
                <pt idx="4630">
                  <v>-0.4152046783625731</v>
                </pt>
                <pt idx="4631">
                  <v>-0.4186046511627907</v>
                </pt>
                <pt idx="4632">
                  <v>-0.4186046511627907</v>
                </pt>
                <pt idx="4633">
                  <v>-0.408284023668639</v>
                </pt>
                <pt idx="4634">
                  <v>-0.4318181818181818</v>
                </pt>
                <pt idx="4635">
                  <v>-0.4252873563218391</v>
                </pt>
                <pt idx="4636">
                  <v>-0.4252873563218391</v>
                </pt>
                <pt idx="4637">
                  <v>-0.4285714285714286</v>
                </pt>
                <pt idx="4638">
                  <v>-0.4117647058823529</v>
                </pt>
                <pt idx="4639">
                  <v>-0.4047619047619048</v>
                </pt>
                <pt idx="4640">
                  <v>-0.4152046783625731</v>
                </pt>
                <pt idx="4641">
                  <v>-0.4011976047904191</v>
                </pt>
                <pt idx="4642">
                  <v>-0.3975903614457831</v>
                </pt>
                <pt idx="4643">
                  <v>-0.3902439024390244</v>
                </pt>
                <pt idx="4644">
                  <v>-0.3788819875776398</v>
                </pt>
                <pt idx="4645">
                  <v>-0.3710691823899371</v>
                </pt>
                <pt idx="4646">
                  <v>-0.375</v>
                </pt>
                <pt idx="4647">
                  <v>-0.375</v>
                </pt>
                <pt idx="4648">
                  <v>-0.3865030674846626</v>
                </pt>
                <pt idx="4649">
                  <v>-0.3865030674846626</v>
                </pt>
                <pt idx="4650">
                  <v>-0.3788819875776398</v>
                </pt>
                <pt idx="4651">
                  <v>-0.3939393939393939</v>
                </pt>
                <pt idx="4652">
                  <v>-0.3902439024390244</v>
                </pt>
                <pt idx="4653">
                  <v>-0.3827160493827161</v>
                </pt>
                <pt idx="4654">
                  <v>-0.3827160493827161</v>
                </pt>
                <pt idx="4655">
                  <v>-0.3827160493827161</v>
                </pt>
                <pt idx="4656">
                  <v>-0.3865030674846626</v>
                </pt>
                <pt idx="4657">
                  <v>-0.3865030674846626</v>
                </pt>
                <pt idx="4658">
                  <v>-0.3827160493827161</v>
                </pt>
                <pt idx="4659">
                  <v>-0.3939393939393939</v>
                </pt>
                <pt idx="4660">
                  <v>-0.3630573248407644</v>
                </pt>
                <pt idx="4661">
                  <v>-0.3827160493827161</v>
                </pt>
                <pt idx="4662">
                  <v>-0.3827160493827161</v>
                </pt>
                <pt idx="4663">
                  <v>-0.3827160493827161</v>
                </pt>
                <pt idx="4664">
                  <v>-0.3865030674846626</v>
                </pt>
                <pt idx="4665">
                  <v>-0.3788819875776398</v>
                </pt>
                <pt idx="4666">
                  <v>-0.3902439024390244</v>
                </pt>
                <pt idx="4667">
                  <v>-0.3865030674846626</v>
                </pt>
                <pt idx="4668">
                  <v>-0.3710691823899371</v>
                </pt>
                <pt idx="4669">
                  <v>-0.375</v>
                </pt>
                <pt idx="4670">
                  <v>-0.3939393939393939</v>
                </pt>
                <pt idx="4671">
                  <v>-0.3939393939393939</v>
                </pt>
                <pt idx="4672">
                  <v>-0.3975903614457831</v>
                </pt>
                <pt idx="4673">
                  <v>-0.3902439024390244</v>
                </pt>
                <pt idx="4674">
                  <v>-0.3827160493827161</v>
                </pt>
                <pt idx="4675">
                  <v>-0.375</v>
                </pt>
                <pt idx="4676">
                  <v>-0.4117647058823529</v>
                </pt>
                <pt idx="4677">
                  <v>-0.4047619047619048</v>
                </pt>
                <pt idx="4678">
                  <v>-0.4117647058823529</v>
                </pt>
                <pt idx="4679">
                  <v>-0.4047619047619048</v>
                </pt>
                <pt idx="4680">
                  <v>-0.3939393939393939</v>
                </pt>
                <pt idx="4681">
                  <v>-0.3827160493827161</v>
                </pt>
                <pt idx="4682">
                  <v>-0.3630573248407644</v>
                </pt>
                <pt idx="4683">
                  <v>-0.3827160493827161</v>
                </pt>
                <pt idx="4684">
                  <v>-0.3630573248407644</v>
                </pt>
                <pt idx="4685">
                  <v>-0.3630573248407644</v>
                </pt>
                <pt idx="4686">
                  <v>-0.3630573248407644</v>
                </pt>
                <pt idx="4687">
                  <v>-0.3630573248407644</v>
                </pt>
                <pt idx="4688">
                  <v>-0.3630573248407644</v>
                </pt>
                <pt idx="4689">
                  <v>-0.3670886075949368</v>
                </pt>
                <pt idx="4690">
                  <v>-0.3710691823899371</v>
                </pt>
                <pt idx="4691">
                  <v>-0.3548387096774194</v>
                </pt>
                <pt idx="4692">
                  <v>-0.3421052631578947</v>
                </pt>
                <pt idx="4693">
                  <v>-0.3548387096774194</v>
                </pt>
                <pt idx="4694">
                  <v>-0.3243243243243243</v>
                </pt>
                <pt idx="4695">
                  <v>-0.3333333333333334</v>
                </pt>
                <pt idx="4696">
                  <v>-0.3197278911564626</v>
                </pt>
                <pt idx="4697">
                  <v>-0.3197278911564626</v>
                </pt>
                <pt idx="4698">
                  <v>-0.3103448275862069</v>
                </pt>
                <pt idx="4699">
                  <v>-0.3197278911564626</v>
                </pt>
                <pt idx="4700">
                  <v>-0.3197278911564626</v>
                </pt>
                <pt idx="4701">
                  <v>-0.3006993006993006</v>
                </pt>
                <pt idx="4702">
                  <v>-0.3055555555555556</v>
                </pt>
                <pt idx="4703">
                  <v>-0.3243243243243243</v>
                </pt>
                <pt idx="4704">
                  <v>-0.315068493150685</v>
                </pt>
                <pt idx="4705">
                  <v>-0.315068493150685</v>
                </pt>
                <pt idx="4706">
                  <v>-0.315068493150685</v>
                </pt>
                <pt idx="4707">
                  <v>-0.3055555555555556</v>
                </pt>
                <pt idx="4708">
                  <v>-0.3055555555555556</v>
                </pt>
                <pt idx="4709">
                  <v>-0.3006993006993006</v>
                </pt>
                <pt idx="4710">
                  <v>-0.2957746478873239</v>
                </pt>
                <pt idx="4711">
                  <v>-0.3055555555555556</v>
                </pt>
                <pt idx="4712">
                  <v>-0.3103448275862069</v>
                </pt>
                <pt idx="4713">
                  <v>-0.3006993006993006</v>
                </pt>
                <pt idx="4714">
                  <v>-0.3006993006993006</v>
                </pt>
                <pt idx="4715">
                  <v>-0.3055555555555556</v>
                </pt>
                <pt idx="4716">
                  <v>-0.2907801418439716</v>
                </pt>
                <pt idx="4717">
                  <v>-0.2805755395683452</v>
                </pt>
                <pt idx="4718">
                  <v>-0.2857142857142857</v>
                </pt>
                <pt idx="4719">
                  <v>-0.2700729927007299</v>
                </pt>
                <pt idx="4720">
                  <v>-0.2647058823529412</v>
                </pt>
                <pt idx="4721">
                  <v>-0.2366412213740459</v>
                </pt>
                <pt idx="4722">
                  <v>-0.2248062015503877</v>
                </pt>
                <pt idx="4723">
                  <v>-0.21875</v>
                </pt>
                <pt idx="4724">
                  <v>-0.2063492063492064</v>
                </pt>
                <pt idx="4725">
                  <v>-0.2366412213740459</v>
                </pt>
                <pt idx="4726">
                  <v>-0.2592592592592593</v>
                </pt>
                <pt idx="4727">
                  <v>-0.2366412213740459</v>
                </pt>
                <pt idx="4728">
                  <v>-0.2647058823529412</v>
                </pt>
                <pt idx="4729">
                  <v>-0.2592592592592593</v>
                </pt>
                <pt idx="4730">
                  <v>-0.2424242424242424</v>
                </pt>
                <pt idx="4731">
                  <v>-0.2537313432835822</v>
                </pt>
                <pt idx="4732">
                  <v>-0.2700729927007299</v>
                </pt>
                <pt idx="4733">
                  <v>-0.2700729927007299</v>
                </pt>
                <pt idx="4734">
                  <v>-0.2592592592592593</v>
                </pt>
                <pt idx="4735">
                  <v>-0.2647058823529412</v>
                </pt>
                <pt idx="4736">
                  <v>-0.2700729927007299</v>
                </pt>
                <pt idx="4737">
                  <v>-0.2592592592592593</v>
                </pt>
                <pt idx="4738">
                  <v>-0.2805755395683452</v>
                </pt>
                <pt idx="4739">
                  <v>-0.2805755395683452</v>
                </pt>
                <pt idx="4740">
                  <v>-0.2805755395683452</v>
                </pt>
                <pt idx="4741">
                  <v>-0.2805755395683452</v>
                </pt>
                <pt idx="4742">
                  <v>-0.2805755395683452</v>
                </pt>
                <pt idx="4743">
                  <v>-0.2857142857142857</v>
                </pt>
                <pt idx="4744">
                  <v>-0.2805755395683452</v>
                </pt>
                <pt idx="4745">
                  <v>-0.2805755395683452</v>
                </pt>
                <pt idx="4746">
                  <v>-0.2424242424242424</v>
                </pt>
                <pt idx="4747">
                  <v>0.1363636363636365</v>
                </pt>
                <pt idx="4748">
                  <v>0.01010101010101017</v>
                </pt>
                <pt idx="4749">
                  <v>-0.180327868852459</v>
                </pt>
                <pt idx="4750">
                  <v>-0.180327868852459</v>
                </pt>
                <pt idx="4751">
                  <v>-0.1525423728813559</v>
                </pt>
                <pt idx="4752">
                  <v>-0.1304347826086956</v>
                </pt>
                <pt idx="4753">
                  <v>-0.1525423728813559</v>
                </pt>
                <pt idx="4754">
                  <v>-0.1525423728813559</v>
                </pt>
                <pt idx="4755">
                  <v>-0.1666666666666666</v>
                </pt>
                <pt idx="4756">
                  <v>-0.1735537190082644</v>
                </pt>
                <pt idx="4757">
                  <v>-0.1666666666666666</v>
                </pt>
                <pt idx="4758">
                  <v>-0.1525423728813559</v>
                </pt>
                <pt idx="4759">
                  <v>-0.1596638655462185</v>
                </pt>
                <pt idx="4760">
                  <v>-0.1596638655462185</v>
                </pt>
                <pt idx="4761">
                  <v>-0.1596638655462185</v>
                </pt>
                <pt idx="4762">
                  <v>-0.1596638655462185</v>
                </pt>
                <pt idx="4763">
                  <v>-0.1525423728813559</v>
                </pt>
              </numCache>
            </numRef>
          </val>
          <smooth val="0"/>
        </ser>
        <ser>
          <idx val="1"/>
          <order val="1"/>
          <tx>
            <strRef>
              <f>'AH discount'!$C$2</f>
              <strCache>
                <ptCount val="1"/>
                <pt idx="0">
                  <v>average</v>
                </pt>
              </strCache>
            </strRef>
          </tx>
          <spPr>
            <a:ln w="28575" cap="rnd">
              <a:solidFill>
                <a:srgbClr val="CFBD9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discount'!$C$3:$C$4766</f>
              <numCache>
                <formatCode>0%</formatCode>
                <ptCount val="4764"/>
                <pt idx="0">
                  <v>-0.363767645546866</v>
                </pt>
                <pt idx="1">
                  <v>-0.363767645546866</v>
                </pt>
                <pt idx="2">
                  <v>-0.363767645546866</v>
                </pt>
                <pt idx="3">
                  <v>-0.363767645546866</v>
                </pt>
                <pt idx="4">
                  <v>-0.363767645546866</v>
                </pt>
                <pt idx="5">
                  <v>-0.363767645546866</v>
                </pt>
                <pt idx="6">
                  <v>-0.363767645546866</v>
                </pt>
                <pt idx="7">
                  <v>-0.363767645546866</v>
                </pt>
                <pt idx="8">
                  <v>-0.363767645546866</v>
                </pt>
                <pt idx="9">
                  <v>-0.363767645546866</v>
                </pt>
                <pt idx="10">
                  <v>-0.363767645546866</v>
                </pt>
                <pt idx="11">
                  <v>-0.363767645546866</v>
                </pt>
                <pt idx="12">
                  <v>-0.363767645546866</v>
                </pt>
                <pt idx="13">
                  <v>-0.363767645546866</v>
                </pt>
                <pt idx="14">
                  <v>-0.363767645546866</v>
                </pt>
                <pt idx="15">
                  <v>-0.363767645546866</v>
                </pt>
                <pt idx="16">
                  <v>-0.363767645546866</v>
                </pt>
                <pt idx="17">
                  <v>-0.363767645546866</v>
                </pt>
                <pt idx="18">
                  <v>-0.363767645546866</v>
                </pt>
                <pt idx="19">
                  <v>-0.363767645546866</v>
                </pt>
                <pt idx="20">
                  <v>-0.363767645546866</v>
                </pt>
                <pt idx="21">
                  <v>-0.363767645546866</v>
                </pt>
                <pt idx="22">
                  <v>-0.363767645546866</v>
                </pt>
                <pt idx="23">
                  <v>-0.363767645546866</v>
                </pt>
                <pt idx="24">
                  <v>-0.363767645546866</v>
                </pt>
                <pt idx="25">
                  <v>-0.363767645546866</v>
                </pt>
                <pt idx="26">
                  <v>-0.363767645546866</v>
                </pt>
                <pt idx="27">
                  <v>-0.363767645546866</v>
                </pt>
                <pt idx="28">
                  <v>-0.363767645546866</v>
                </pt>
                <pt idx="29">
                  <v>-0.363767645546866</v>
                </pt>
                <pt idx="30">
                  <v>-0.363767645546866</v>
                </pt>
                <pt idx="31">
                  <v>-0.363767645546866</v>
                </pt>
                <pt idx="32">
                  <v>-0.363767645546866</v>
                </pt>
                <pt idx="33">
                  <v>-0.363767645546866</v>
                </pt>
                <pt idx="34">
                  <v>-0.363767645546866</v>
                </pt>
                <pt idx="35">
                  <v>-0.363767645546866</v>
                </pt>
                <pt idx="36">
                  <v>-0.363767645546866</v>
                </pt>
                <pt idx="37">
                  <v>-0.363767645546866</v>
                </pt>
                <pt idx="38">
                  <v>-0.363767645546866</v>
                </pt>
                <pt idx="39">
                  <v>-0.363767645546866</v>
                </pt>
                <pt idx="40">
                  <v>-0.363767645546866</v>
                </pt>
                <pt idx="41">
                  <v>-0.363767645546866</v>
                </pt>
                <pt idx="42">
                  <v>-0.363767645546866</v>
                </pt>
                <pt idx="43">
                  <v>-0.363767645546866</v>
                </pt>
                <pt idx="44">
                  <v>-0.363767645546866</v>
                </pt>
                <pt idx="45">
                  <v>-0.363767645546866</v>
                </pt>
                <pt idx="46">
                  <v>-0.363767645546866</v>
                </pt>
                <pt idx="47">
                  <v>-0.363767645546866</v>
                </pt>
                <pt idx="48">
                  <v>-0.363767645546866</v>
                </pt>
                <pt idx="49">
                  <v>-0.363767645546866</v>
                </pt>
                <pt idx="50">
                  <v>-0.363767645546866</v>
                </pt>
                <pt idx="51">
                  <v>-0.363767645546866</v>
                </pt>
                <pt idx="52">
                  <v>-0.363767645546866</v>
                </pt>
                <pt idx="53">
                  <v>-0.363767645546866</v>
                </pt>
                <pt idx="54">
                  <v>-0.363767645546866</v>
                </pt>
                <pt idx="55">
                  <v>-0.363767645546866</v>
                </pt>
                <pt idx="56">
                  <v>-0.363767645546866</v>
                </pt>
                <pt idx="57">
                  <v>-0.363767645546866</v>
                </pt>
                <pt idx="58">
                  <v>-0.363767645546866</v>
                </pt>
                <pt idx="59">
                  <v>-0.363767645546866</v>
                </pt>
                <pt idx="60">
                  <v>-0.363767645546866</v>
                </pt>
                <pt idx="61">
                  <v>-0.363767645546866</v>
                </pt>
                <pt idx="62">
                  <v>-0.363767645546866</v>
                </pt>
                <pt idx="63">
                  <v>-0.363767645546866</v>
                </pt>
                <pt idx="64">
                  <v>-0.363767645546866</v>
                </pt>
                <pt idx="65">
                  <v>-0.363767645546866</v>
                </pt>
                <pt idx="66">
                  <v>-0.363767645546866</v>
                </pt>
                <pt idx="67">
                  <v>-0.363767645546866</v>
                </pt>
                <pt idx="68">
                  <v>-0.363767645546866</v>
                </pt>
                <pt idx="69">
                  <v>-0.363767645546866</v>
                </pt>
                <pt idx="70">
                  <v>-0.363767645546866</v>
                </pt>
                <pt idx="71">
                  <v>-0.363767645546866</v>
                </pt>
                <pt idx="72">
                  <v>-0.363767645546866</v>
                </pt>
                <pt idx="73">
                  <v>-0.363767645546866</v>
                </pt>
                <pt idx="74">
                  <v>-0.363767645546866</v>
                </pt>
                <pt idx="75">
                  <v>-0.363767645546866</v>
                </pt>
                <pt idx="76">
                  <v>-0.363767645546866</v>
                </pt>
                <pt idx="77">
                  <v>-0.363767645546866</v>
                </pt>
                <pt idx="78">
                  <v>-0.363767645546866</v>
                </pt>
                <pt idx="79">
                  <v>-0.363767645546866</v>
                </pt>
                <pt idx="80">
                  <v>-0.363767645546866</v>
                </pt>
                <pt idx="81">
                  <v>-0.363767645546866</v>
                </pt>
                <pt idx="82">
                  <v>-0.363767645546866</v>
                </pt>
                <pt idx="83">
                  <v>-0.363767645546866</v>
                </pt>
                <pt idx="84">
                  <v>-0.363767645546866</v>
                </pt>
                <pt idx="85">
                  <v>-0.363767645546866</v>
                </pt>
                <pt idx="86">
                  <v>-0.363767645546866</v>
                </pt>
                <pt idx="87">
                  <v>-0.363767645546866</v>
                </pt>
                <pt idx="88">
                  <v>-0.363767645546866</v>
                </pt>
                <pt idx="89">
                  <v>-0.363767645546866</v>
                </pt>
                <pt idx="90">
                  <v>-0.363767645546866</v>
                </pt>
                <pt idx="91">
                  <v>-0.363767645546866</v>
                </pt>
                <pt idx="92">
                  <v>-0.363767645546866</v>
                </pt>
                <pt idx="93">
                  <v>-0.363767645546866</v>
                </pt>
                <pt idx="94">
                  <v>-0.363767645546866</v>
                </pt>
                <pt idx="95">
                  <v>-0.363767645546866</v>
                </pt>
                <pt idx="96">
                  <v>-0.363767645546866</v>
                </pt>
                <pt idx="97">
                  <v>-0.363767645546866</v>
                </pt>
                <pt idx="98">
                  <v>-0.363767645546866</v>
                </pt>
                <pt idx="99">
                  <v>-0.363767645546866</v>
                </pt>
                <pt idx="100">
                  <v>-0.363767645546866</v>
                </pt>
                <pt idx="101">
                  <v>-0.363767645546866</v>
                </pt>
                <pt idx="102">
                  <v>-0.363767645546866</v>
                </pt>
                <pt idx="103">
                  <v>-0.363767645546866</v>
                </pt>
                <pt idx="104">
                  <v>-0.363767645546866</v>
                </pt>
                <pt idx="105">
                  <v>-0.363767645546866</v>
                </pt>
                <pt idx="106">
                  <v>-0.363767645546866</v>
                </pt>
                <pt idx="107">
                  <v>-0.363767645546866</v>
                </pt>
                <pt idx="108">
                  <v>-0.363767645546866</v>
                </pt>
                <pt idx="109">
                  <v>-0.363767645546866</v>
                </pt>
                <pt idx="110">
                  <v>-0.363767645546866</v>
                </pt>
                <pt idx="111">
                  <v>-0.363767645546866</v>
                </pt>
                <pt idx="112">
                  <v>-0.363767645546866</v>
                </pt>
                <pt idx="113">
                  <v>-0.363767645546866</v>
                </pt>
                <pt idx="114">
                  <v>-0.363767645546866</v>
                </pt>
                <pt idx="115">
                  <v>-0.363767645546866</v>
                </pt>
                <pt idx="116">
                  <v>-0.363767645546866</v>
                </pt>
                <pt idx="117">
                  <v>-0.363767645546866</v>
                </pt>
                <pt idx="118">
                  <v>-0.363767645546866</v>
                </pt>
                <pt idx="119">
                  <v>-0.363767645546866</v>
                </pt>
                <pt idx="120">
                  <v>-0.363767645546866</v>
                </pt>
                <pt idx="121">
                  <v>-0.363767645546866</v>
                </pt>
                <pt idx="122">
                  <v>-0.363767645546866</v>
                </pt>
                <pt idx="123">
                  <v>-0.363767645546866</v>
                </pt>
                <pt idx="124">
                  <v>-0.363767645546866</v>
                </pt>
                <pt idx="125">
                  <v>-0.363767645546866</v>
                </pt>
                <pt idx="126">
                  <v>-0.363767645546866</v>
                </pt>
                <pt idx="127">
                  <v>-0.363767645546866</v>
                </pt>
                <pt idx="128">
                  <v>-0.363767645546866</v>
                </pt>
                <pt idx="129">
                  <v>-0.363767645546866</v>
                </pt>
                <pt idx="130">
                  <v>-0.363767645546866</v>
                </pt>
                <pt idx="131">
                  <v>-0.363767645546866</v>
                </pt>
                <pt idx="132">
                  <v>-0.363767645546866</v>
                </pt>
                <pt idx="133">
                  <v>-0.363767645546866</v>
                </pt>
                <pt idx="134">
                  <v>-0.363767645546866</v>
                </pt>
                <pt idx="135">
                  <v>-0.363767645546866</v>
                </pt>
                <pt idx="136">
                  <v>-0.363767645546866</v>
                </pt>
                <pt idx="137">
                  <v>-0.363767645546866</v>
                </pt>
                <pt idx="138">
                  <v>-0.363767645546866</v>
                </pt>
                <pt idx="139">
                  <v>-0.363767645546866</v>
                </pt>
                <pt idx="140">
                  <v>-0.363767645546866</v>
                </pt>
                <pt idx="141">
                  <v>-0.363767645546866</v>
                </pt>
                <pt idx="142">
                  <v>-0.363767645546866</v>
                </pt>
                <pt idx="143">
                  <v>-0.363767645546866</v>
                </pt>
                <pt idx="144">
                  <v>-0.363767645546866</v>
                </pt>
                <pt idx="145">
                  <v>-0.363767645546866</v>
                </pt>
                <pt idx="146">
                  <v>-0.363767645546866</v>
                </pt>
                <pt idx="147">
                  <v>-0.363767645546866</v>
                </pt>
                <pt idx="148">
                  <v>-0.363767645546866</v>
                </pt>
                <pt idx="149">
                  <v>-0.363767645546866</v>
                </pt>
                <pt idx="150">
                  <v>-0.363767645546866</v>
                </pt>
                <pt idx="151">
                  <v>-0.363767645546866</v>
                </pt>
                <pt idx="152">
                  <v>-0.363767645546866</v>
                </pt>
                <pt idx="153">
                  <v>-0.363767645546866</v>
                </pt>
                <pt idx="154">
                  <v>-0.363767645546866</v>
                </pt>
                <pt idx="155">
                  <v>-0.363767645546866</v>
                </pt>
                <pt idx="156">
                  <v>-0.363767645546866</v>
                </pt>
                <pt idx="157">
                  <v>-0.363767645546866</v>
                </pt>
                <pt idx="158">
                  <v>-0.363767645546866</v>
                </pt>
                <pt idx="159">
                  <v>-0.363767645546866</v>
                </pt>
                <pt idx="160">
                  <v>-0.363767645546866</v>
                </pt>
                <pt idx="161">
                  <v>-0.363767645546866</v>
                </pt>
                <pt idx="162">
                  <v>-0.363767645546866</v>
                </pt>
                <pt idx="163">
                  <v>-0.363767645546866</v>
                </pt>
                <pt idx="164">
                  <v>-0.363767645546866</v>
                </pt>
                <pt idx="165">
                  <v>-0.363767645546866</v>
                </pt>
                <pt idx="166">
                  <v>-0.363767645546866</v>
                </pt>
                <pt idx="167">
                  <v>-0.363767645546866</v>
                </pt>
                <pt idx="168">
                  <v>-0.363767645546866</v>
                </pt>
                <pt idx="169">
                  <v>-0.363767645546866</v>
                </pt>
                <pt idx="170">
                  <v>-0.363767645546866</v>
                </pt>
                <pt idx="171">
                  <v>-0.363767645546866</v>
                </pt>
                <pt idx="172">
                  <v>-0.363767645546866</v>
                </pt>
                <pt idx="173">
                  <v>-0.363767645546866</v>
                </pt>
                <pt idx="174">
                  <v>-0.363767645546866</v>
                </pt>
                <pt idx="175">
                  <v>-0.363767645546866</v>
                </pt>
                <pt idx="176">
                  <v>-0.363767645546866</v>
                </pt>
                <pt idx="177">
                  <v>-0.363767645546866</v>
                </pt>
                <pt idx="178">
                  <v>-0.363767645546866</v>
                </pt>
                <pt idx="179">
                  <v>-0.363767645546866</v>
                </pt>
                <pt idx="180">
                  <v>-0.363767645546866</v>
                </pt>
                <pt idx="181">
                  <v>-0.363767645546866</v>
                </pt>
                <pt idx="182">
                  <v>-0.363767645546866</v>
                </pt>
                <pt idx="183">
                  <v>-0.363767645546866</v>
                </pt>
                <pt idx="184">
                  <v>-0.363767645546866</v>
                </pt>
                <pt idx="185">
                  <v>-0.363767645546866</v>
                </pt>
                <pt idx="186">
                  <v>-0.363767645546866</v>
                </pt>
                <pt idx="187">
                  <v>-0.363767645546866</v>
                </pt>
                <pt idx="188">
                  <v>-0.363767645546866</v>
                </pt>
                <pt idx="189">
                  <v>-0.363767645546866</v>
                </pt>
                <pt idx="190">
                  <v>-0.363767645546866</v>
                </pt>
                <pt idx="191">
                  <v>-0.363767645546866</v>
                </pt>
                <pt idx="192">
                  <v>-0.363767645546866</v>
                </pt>
                <pt idx="193">
                  <v>-0.363767645546866</v>
                </pt>
                <pt idx="194">
                  <v>-0.363767645546866</v>
                </pt>
                <pt idx="195">
                  <v>-0.363767645546866</v>
                </pt>
                <pt idx="196">
                  <v>-0.363767645546866</v>
                </pt>
                <pt idx="197">
                  <v>-0.363767645546866</v>
                </pt>
                <pt idx="198">
                  <v>-0.363767645546866</v>
                </pt>
                <pt idx="199">
                  <v>-0.363767645546866</v>
                </pt>
                <pt idx="200">
                  <v>-0.363767645546866</v>
                </pt>
                <pt idx="201">
                  <v>-0.363767645546866</v>
                </pt>
                <pt idx="202">
                  <v>-0.363767645546866</v>
                </pt>
                <pt idx="203">
                  <v>-0.363767645546866</v>
                </pt>
                <pt idx="204">
                  <v>-0.363767645546866</v>
                </pt>
                <pt idx="205">
                  <v>-0.363767645546866</v>
                </pt>
                <pt idx="206">
                  <v>-0.363767645546866</v>
                </pt>
                <pt idx="207">
                  <v>-0.363767645546866</v>
                </pt>
                <pt idx="208">
                  <v>-0.363767645546866</v>
                </pt>
                <pt idx="209">
                  <v>-0.363767645546866</v>
                </pt>
                <pt idx="210">
                  <v>-0.363767645546866</v>
                </pt>
                <pt idx="211">
                  <v>-0.363767645546866</v>
                </pt>
                <pt idx="212">
                  <v>-0.363767645546866</v>
                </pt>
                <pt idx="213">
                  <v>-0.363767645546866</v>
                </pt>
                <pt idx="214">
                  <v>-0.363767645546866</v>
                </pt>
                <pt idx="215">
                  <v>-0.363767645546866</v>
                </pt>
                <pt idx="216">
                  <v>-0.363767645546866</v>
                </pt>
                <pt idx="217">
                  <v>-0.363767645546866</v>
                </pt>
                <pt idx="218">
                  <v>-0.363767645546866</v>
                </pt>
                <pt idx="219">
                  <v>-0.363767645546866</v>
                </pt>
                <pt idx="220">
                  <v>-0.363767645546866</v>
                </pt>
                <pt idx="221">
                  <v>-0.363767645546866</v>
                </pt>
                <pt idx="222">
                  <v>-0.363767645546866</v>
                </pt>
                <pt idx="223">
                  <v>-0.363767645546866</v>
                </pt>
                <pt idx="224">
                  <v>-0.363767645546866</v>
                </pt>
                <pt idx="225">
                  <v>-0.363767645546866</v>
                </pt>
                <pt idx="226">
                  <v>-0.363767645546866</v>
                </pt>
                <pt idx="227">
                  <v>-0.363767645546866</v>
                </pt>
                <pt idx="228">
                  <v>-0.363767645546866</v>
                </pt>
                <pt idx="229">
                  <v>-0.363767645546866</v>
                </pt>
                <pt idx="230">
                  <v>-0.363767645546866</v>
                </pt>
                <pt idx="231">
                  <v>-0.363767645546866</v>
                </pt>
                <pt idx="232">
                  <v>-0.363767645546866</v>
                </pt>
                <pt idx="233">
                  <v>-0.363767645546866</v>
                </pt>
                <pt idx="234">
                  <v>-0.363767645546866</v>
                </pt>
                <pt idx="235">
                  <v>-0.363767645546866</v>
                </pt>
                <pt idx="236">
                  <v>-0.363767645546866</v>
                </pt>
                <pt idx="237">
                  <v>-0.363767645546866</v>
                </pt>
                <pt idx="238">
                  <v>-0.363767645546866</v>
                </pt>
                <pt idx="239">
                  <v>-0.363767645546866</v>
                </pt>
                <pt idx="240">
                  <v>-0.363767645546866</v>
                </pt>
                <pt idx="241">
                  <v>-0.363767645546866</v>
                </pt>
                <pt idx="242">
                  <v>-0.363767645546866</v>
                </pt>
                <pt idx="243">
                  <v>-0.363767645546866</v>
                </pt>
                <pt idx="244">
                  <v>-0.363767645546866</v>
                </pt>
                <pt idx="245">
                  <v>-0.363767645546866</v>
                </pt>
                <pt idx="246">
                  <v>-0.363767645546866</v>
                </pt>
                <pt idx="247">
                  <v>-0.363767645546866</v>
                </pt>
                <pt idx="248">
                  <v>-0.363767645546866</v>
                </pt>
                <pt idx="249">
                  <v>-0.363767645546866</v>
                </pt>
                <pt idx="250">
                  <v>-0.363767645546866</v>
                </pt>
                <pt idx="251">
                  <v>-0.363767645546866</v>
                </pt>
                <pt idx="252">
                  <v>-0.363767645546866</v>
                </pt>
                <pt idx="253">
                  <v>-0.363767645546866</v>
                </pt>
                <pt idx="254">
                  <v>-0.363767645546866</v>
                </pt>
                <pt idx="255">
                  <v>-0.363767645546866</v>
                </pt>
                <pt idx="256">
                  <v>-0.363767645546866</v>
                </pt>
                <pt idx="257">
                  <v>-0.363767645546866</v>
                </pt>
                <pt idx="258">
                  <v>-0.363767645546866</v>
                </pt>
                <pt idx="259">
                  <v>-0.363767645546866</v>
                </pt>
                <pt idx="260">
                  <v>-0.363767645546866</v>
                </pt>
                <pt idx="261">
                  <v>-0.363767645546866</v>
                </pt>
                <pt idx="262">
                  <v>-0.363767645546866</v>
                </pt>
                <pt idx="263">
                  <v>-0.363767645546866</v>
                </pt>
                <pt idx="264">
                  <v>-0.363767645546866</v>
                </pt>
                <pt idx="265">
                  <v>-0.363767645546866</v>
                </pt>
                <pt idx="266">
                  <v>-0.363767645546866</v>
                </pt>
                <pt idx="267">
                  <v>-0.363767645546866</v>
                </pt>
                <pt idx="268">
                  <v>-0.363767645546866</v>
                </pt>
                <pt idx="269">
                  <v>-0.363767645546866</v>
                </pt>
                <pt idx="270">
                  <v>-0.363767645546866</v>
                </pt>
                <pt idx="271">
                  <v>-0.363767645546866</v>
                </pt>
                <pt idx="272">
                  <v>-0.363767645546866</v>
                </pt>
                <pt idx="273">
                  <v>-0.363767645546866</v>
                </pt>
                <pt idx="274">
                  <v>-0.363767645546866</v>
                </pt>
                <pt idx="275">
                  <v>-0.363767645546866</v>
                </pt>
                <pt idx="276">
                  <v>-0.363767645546866</v>
                </pt>
                <pt idx="277">
                  <v>-0.363767645546866</v>
                </pt>
                <pt idx="278">
                  <v>-0.363767645546866</v>
                </pt>
                <pt idx="279">
                  <v>-0.363767645546866</v>
                </pt>
                <pt idx="280">
                  <v>-0.363767645546866</v>
                </pt>
                <pt idx="281">
                  <v>-0.363767645546866</v>
                </pt>
                <pt idx="282">
                  <v>-0.363767645546866</v>
                </pt>
                <pt idx="283">
                  <v>-0.363767645546866</v>
                </pt>
                <pt idx="284">
                  <v>-0.363767645546866</v>
                </pt>
                <pt idx="285">
                  <v>-0.363767645546866</v>
                </pt>
                <pt idx="286">
                  <v>-0.363767645546866</v>
                </pt>
                <pt idx="287">
                  <v>-0.363767645546866</v>
                </pt>
                <pt idx="288">
                  <v>-0.363767645546866</v>
                </pt>
                <pt idx="289">
                  <v>-0.363767645546866</v>
                </pt>
                <pt idx="290">
                  <v>-0.363767645546866</v>
                </pt>
                <pt idx="291">
                  <v>-0.363767645546866</v>
                </pt>
                <pt idx="292">
                  <v>-0.363767645546866</v>
                </pt>
                <pt idx="293">
                  <v>-0.363767645546866</v>
                </pt>
                <pt idx="294">
                  <v>-0.363767645546866</v>
                </pt>
                <pt idx="295">
                  <v>-0.363767645546866</v>
                </pt>
                <pt idx="296">
                  <v>-0.363767645546866</v>
                </pt>
                <pt idx="297">
                  <v>-0.363767645546866</v>
                </pt>
                <pt idx="298">
                  <v>-0.363767645546866</v>
                </pt>
                <pt idx="299">
                  <v>-0.363767645546866</v>
                </pt>
                <pt idx="300">
                  <v>-0.363767645546866</v>
                </pt>
                <pt idx="301">
                  <v>-0.363767645546866</v>
                </pt>
                <pt idx="302">
                  <v>-0.363767645546866</v>
                </pt>
                <pt idx="303">
                  <v>-0.363767645546866</v>
                </pt>
                <pt idx="304">
                  <v>-0.363767645546866</v>
                </pt>
                <pt idx="305">
                  <v>-0.363767645546866</v>
                </pt>
                <pt idx="306">
                  <v>-0.363767645546866</v>
                </pt>
                <pt idx="307">
                  <v>-0.363767645546866</v>
                </pt>
                <pt idx="308">
                  <v>-0.363767645546866</v>
                </pt>
                <pt idx="309">
                  <v>-0.363767645546866</v>
                </pt>
                <pt idx="310">
                  <v>-0.363767645546866</v>
                </pt>
                <pt idx="311">
                  <v>-0.363767645546866</v>
                </pt>
                <pt idx="312">
                  <v>-0.363767645546866</v>
                </pt>
                <pt idx="313">
                  <v>-0.363767645546866</v>
                </pt>
                <pt idx="314">
                  <v>-0.363767645546866</v>
                </pt>
                <pt idx="315">
                  <v>-0.363767645546866</v>
                </pt>
                <pt idx="316">
                  <v>-0.363767645546866</v>
                </pt>
                <pt idx="317">
                  <v>-0.363767645546866</v>
                </pt>
                <pt idx="318">
                  <v>-0.363767645546866</v>
                </pt>
                <pt idx="319">
                  <v>-0.363767645546866</v>
                </pt>
                <pt idx="320">
                  <v>-0.363767645546866</v>
                </pt>
                <pt idx="321">
                  <v>-0.363767645546866</v>
                </pt>
                <pt idx="322">
                  <v>-0.363767645546866</v>
                </pt>
                <pt idx="323">
                  <v>-0.363767645546866</v>
                </pt>
                <pt idx="324">
                  <v>-0.363767645546866</v>
                </pt>
                <pt idx="325">
                  <v>-0.363767645546866</v>
                </pt>
                <pt idx="326">
                  <v>-0.363767645546866</v>
                </pt>
                <pt idx="327">
                  <v>-0.363767645546866</v>
                </pt>
                <pt idx="328">
                  <v>-0.363767645546866</v>
                </pt>
                <pt idx="329">
                  <v>-0.363767645546866</v>
                </pt>
                <pt idx="330">
                  <v>-0.363767645546866</v>
                </pt>
                <pt idx="331">
                  <v>-0.363767645546866</v>
                </pt>
                <pt idx="332">
                  <v>-0.363767645546866</v>
                </pt>
                <pt idx="333">
                  <v>-0.363767645546866</v>
                </pt>
                <pt idx="334">
                  <v>-0.363767645546866</v>
                </pt>
                <pt idx="335">
                  <v>-0.363767645546866</v>
                </pt>
                <pt idx="336">
                  <v>-0.363767645546866</v>
                </pt>
                <pt idx="337">
                  <v>-0.363767645546866</v>
                </pt>
                <pt idx="338">
                  <v>-0.363767645546866</v>
                </pt>
                <pt idx="339">
                  <v>-0.363767645546866</v>
                </pt>
                <pt idx="340">
                  <v>-0.363767645546866</v>
                </pt>
                <pt idx="341">
                  <v>-0.363767645546866</v>
                </pt>
                <pt idx="342">
                  <v>-0.363767645546866</v>
                </pt>
                <pt idx="343">
                  <v>-0.363767645546866</v>
                </pt>
                <pt idx="344">
                  <v>-0.363767645546866</v>
                </pt>
                <pt idx="345">
                  <v>-0.363767645546866</v>
                </pt>
                <pt idx="346">
                  <v>-0.363767645546866</v>
                </pt>
                <pt idx="347">
                  <v>-0.363767645546866</v>
                </pt>
                <pt idx="348">
                  <v>-0.363767645546866</v>
                </pt>
                <pt idx="349">
                  <v>-0.363767645546866</v>
                </pt>
                <pt idx="350">
                  <v>-0.363767645546866</v>
                </pt>
                <pt idx="351">
                  <v>-0.363767645546866</v>
                </pt>
                <pt idx="352">
                  <v>-0.363767645546866</v>
                </pt>
                <pt idx="353">
                  <v>-0.363767645546866</v>
                </pt>
                <pt idx="354">
                  <v>-0.363767645546866</v>
                </pt>
                <pt idx="355">
                  <v>-0.363767645546866</v>
                </pt>
                <pt idx="356">
                  <v>-0.363767645546866</v>
                </pt>
                <pt idx="357">
                  <v>-0.363767645546866</v>
                </pt>
                <pt idx="358">
                  <v>-0.363767645546866</v>
                </pt>
                <pt idx="359">
                  <v>-0.363767645546866</v>
                </pt>
                <pt idx="360">
                  <v>-0.363767645546866</v>
                </pt>
                <pt idx="361">
                  <v>-0.363767645546866</v>
                </pt>
                <pt idx="362">
                  <v>-0.363767645546866</v>
                </pt>
                <pt idx="363">
                  <v>-0.363767645546866</v>
                </pt>
                <pt idx="364">
                  <v>-0.363767645546866</v>
                </pt>
                <pt idx="365">
                  <v>-0.363767645546866</v>
                </pt>
                <pt idx="366">
                  <v>-0.363767645546866</v>
                </pt>
                <pt idx="367">
                  <v>-0.363767645546866</v>
                </pt>
                <pt idx="368">
                  <v>-0.363767645546866</v>
                </pt>
                <pt idx="369">
                  <v>-0.363767645546866</v>
                </pt>
                <pt idx="370">
                  <v>-0.363767645546866</v>
                </pt>
                <pt idx="371">
                  <v>-0.363767645546866</v>
                </pt>
                <pt idx="372">
                  <v>-0.363767645546866</v>
                </pt>
                <pt idx="373">
                  <v>-0.363767645546866</v>
                </pt>
                <pt idx="374">
                  <v>-0.363767645546866</v>
                </pt>
                <pt idx="375">
                  <v>-0.363767645546866</v>
                </pt>
                <pt idx="376">
                  <v>-0.363767645546866</v>
                </pt>
                <pt idx="377">
                  <v>-0.363767645546866</v>
                </pt>
                <pt idx="378">
                  <v>-0.363767645546866</v>
                </pt>
                <pt idx="379">
                  <v>-0.363767645546866</v>
                </pt>
                <pt idx="380">
                  <v>-0.363767645546866</v>
                </pt>
                <pt idx="381">
                  <v>-0.363767645546866</v>
                </pt>
                <pt idx="382">
                  <v>-0.363767645546866</v>
                </pt>
                <pt idx="383">
                  <v>-0.363767645546866</v>
                </pt>
                <pt idx="384">
                  <v>-0.363767645546866</v>
                </pt>
                <pt idx="385">
                  <v>-0.363767645546866</v>
                </pt>
                <pt idx="386">
                  <v>-0.363767645546866</v>
                </pt>
                <pt idx="387">
                  <v>-0.363767645546866</v>
                </pt>
                <pt idx="388">
                  <v>-0.363767645546866</v>
                </pt>
                <pt idx="389">
                  <v>-0.363767645546866</v>
                </pt>
                <pt idx="390">
                  <v>-0.363767645546866</v>
                </pt>
                <pt idx="391">
                  <v>-0.363767645546866</v>
                </pt>
                <pt idx="392">
                  <v>-0.363767645546866</v>
                </pt>
                <pt idx="393">
                  <v>-0.363767645546866</v>
                </pt>
                <pt idx="394">
                  <v>-0.363767645546866</v>
                </pt>
                <pt idx="395">
                  <v>-0.363767645546866</v>
                </pt>
                <pt idx="396">
                  <v>-0.363767645546866</v>
                </pt>
                <pt idx="397">
                  <v>-0.363767645546866</v>
                </pt>
                <pt idx="398">
                  <v>-0.363767645546866</v>
                </pt>
                <pt idx="399">
                  <v>-0.363767645546866</v>
                </pt>
                <pt idx="400">
                  <v>-0.363767645546866</v>
                </pt>
                <pt idx="401">
                  <v>-0.363767645546866</v>
                </pt>
                <pt idx="402">
                  <v>-0.363767645546866</v>
                </pt>
                <pt idx="403">
                  <v>-0.363767645546866</v>
                </pt>
                <pt idx="404">
                  <v>-0.363767645546866</v>
                </pt>
                <pt idx="405">
                  <v>-0.363767645546866</v>
                </pt>
                <pt idx="406">
                  <v>-0.363767645546866</v>
                </pt>
                <pt idx="407">
                  <v>-0.363767645546866</v>
                </pt>
                <pt idx="408">
                  <v>-0.363767645546866</v>
                </pt>
                <pt idx="409">
                  <v>-0.363767645546866</v>
                </pt>
                <pt idx="410">
                  <v>-0.363767645546866</v>
                </pt>
                <pt idx="411">
                  <v>-0.363767645546866</v>
                </pt>
                <pt idx="412">
                  <v>-0.363767645546866</v>
                </pt>
                <pt idx="413">
                  <v>-0.363767645546866</v>
                </pt>
                <pt idx="414">
                  <v>-0.363767645546866</v>
                </pt>
                <pt idx="415">
                  <v>-0.363767645546866</v>
                </pt>
                <pt idx="416">
                  <v>-0.363767645546866</v>
                </pt>
                <pt idx="417">
                  <v>-0.363767645546866</v>
                </pt>
                <pt idx="418">
                  <v>-0.363767645546866</v>
                </pt>
                <pt idx="419">
                  <v>-0.363767645546866</v>
                </pt>
                <pt idx="420">
                  <v>-0.363767645546866</v>
                </pt>
                <pt idx="421">
                  <v>-0.363767645546866</v>
                </pt>
                <pt idx="422">
                  <v>-0.363767645546866</v>
                </pt>
                <pt idx="423">
                  <v>-0.363767645546866</v>
                </pt>
                <pt idx="424">
                  <v>-0.363767645546866</v>
                </pt>
                <pt idx="425">
                  <v>-0.363767645546866</v>
                </pt>
                <pt idx="426">
                  <v>-0.363767645546866</v>
                </pt>
                <pt idx="427">
                  <v>-0.363767645546866</v>
                </pt>
                <pt idx="428">
                  <v>-0.363767645546866</v>
                </pt>
                <pt idx="429">
                  <v>-0.363767645546866</v>
                </pt>
                <pt idx="430">
                  <v>-0.363767645546866</v>
                </pt>
                <pt idx="431">
                  <v>-0.363767645546866</v>
                </pt>
                <pt idx="432">
                  <v>-0.363767645546866</v>
                </pt>
                <pt idx="433">
                  <v>-0.363767645546866</v>
                </pt>
                <pt idx="434">
                  <v>-0.363767645546866</v>
                </pt>
                <pt idx="435">
                  <v>-0.363767645546866</v>
                </pt>
                <pt idx="436">
                  <v>-0.363767645546866</v>
                </pt>
                <pt idx="437">
                  <v>-0.363767645546866</v>
                </pt>
                <pt idx="438">
                  <v>-0.363767645546866</v>
                </pt>
                <pt idx="439">
                  <v>-0.363767645546866</v>
                </pt>
                <pt idx="440">
                  <v>-0.363767645546866</v>
                </pt>
                <pt idx="441">
                  <v>-0.363767645546866</v>
                </pt>
                <pt idx="442">
                  <v>-0.363767645546866</v>
                </pt>
                <pt idx="443">
                  <v>-0.363767645546866</v>
                </pt>
                <pt idx="444">
                  <v>-0.363767645546866</v>
                </pt>
                <pt idx="445">
                  <v>-0.363767645546866</v>
                </pt>
                <pt idx="446">
                  <v>-0.363767645546866</v>
                </pt>
                <pt idx="447">
                  <v>-0.363767645546866</v>
                </pt>
                <pt idx="448">
                  <v>-0.363767645546866</v>
                </pt>
                <pt idx="449">
                  <v>-0.363767645546866</v>
                </pt>
                <pt idx="450">
                  <v>-0.363767645546866</v>
                </pt>
                <pt idx="451">
                  <v>-0.363767645546866</v>
                </pt>
                <pt idx="452">
                  <v>-0.363767645546866</v>
                </pt>
                <pt idx="453">
                  <v>-0.363767645546866</v>
                </pt>
                <pt idx="454">
                  <v>-0.363767645546866</v>
                </pt>
                <pt idx="455">
                  <v>-0.363767645546866</v>
                </pt>
                <pt idx="456">
                  <v>-0.363767645546866</v>
                </pt>
                <pt idx="457">
                  <v>-0.363767645546866</v>
                </pt>
                <pt idx="458">
                  <v>-0.363767645546866</v>
                </pt>
                <pt idx="459">
                  <v>-0.363767645546866</v>
                </pt>
                <pt idx="460">
                  <v>-0.363767645546866</v>
                </pt>
                <pt idx="461">
                  <v>-0.363767645546866</v>
                </pt>
                <pt idx="462">
                  <v>-0.363767645546866</v>
                </pt>
                <pt idx="463">
                  <v>-0.363767645546866</v>
                </pt>
                <pt idx="464">
                  <v>-0.363767645546866</v>
                </pt>
                <pt idx="465">
                  <v>-0.363767645546866</v>
                </pt>
                <pt idx="466">
                  <v>-0.363767645546866</v>
                </pt>
                <pt idx="467">
                  <v>-0.363767645546866</v>
                </pt>
                <pt idx="468">
                  <v>-0.363767645546866</v>
                </pt>
                <pt idx="469">
                  <v>-0.363767645546866</v>
                </pt>
                <pt idx="470">
                  <v>-0.363767645546866</v>
                </pt>
                <pt idx="471">
                  <v>-0.363767645546866</v>
                </pt>
                <pt idx="472">
                  <v>-0.363767645546866</v>
                </pt>
                <pt idx="473">
                  <v>-0.363767645546866</v>
                </pt>
                <pt idx="474">
                  <v>-0.363767645546866</v>
                </pt>
                <pt idx="475">
                  <v>-0.363767645546866</v>
                </pt>
                <pt idx="476">
                  <v>-0.363767645546866</v>
                </pt>
                <pt idx="477">
                  <v>-0.363767645546866</v>
                </pt>
                <pt idx="478">
                  <v>-0.363767645546866</v>
                </pt>
                <pt idx="479">
                  <v>-0.363767645546866</v>
                </pt>
                <pt idx="480">
                  <v>-0.363767645546866</v>
                </pt>
                <pt idx="481">
                  <v>-0.363767645546866</v>
                </pt>
                <pt idx="482">
                  <v>-0.363767645546866</v>
                </pt>
                <pt idx="483">
                  <v>-0.363767645546866</v>
                </pt>
                <pt idx="484">
                  <v>-0.363767645546866</v>
                </pt>
                <pt idx="485">
                  <v>-0.363767645546866</v>
                </pt>
                <pt idx="486">
                  <v>-0.363767645546866</v>
                </pt>
                <pt idx="487">
                  <v>-0.363767645546866</v>
                </pt>
                <pt idx="488">
                  <v>-0.363767645546866</v>
                </pt>
                <pt idx="489">
                  <v>-0.363767645546866</v>
                </pt>
                <pt idx="490">
                  <v>-0.363767645546866</v>
                </pt>
                <pt idx="491">
                  <v>-0.363767645546866</v>
                </pt>
                <pt idx="492">
                  <v>-0.363767645546866</v>
                </pt>
                <pt idx="493">
                  <v>-0.363767645546866</v>
                </pt>
                <pt idx="494">
                  <v>-0.363767645546866</v>
                </pt>
                <pt idx="495">
                  <v>-0.363767645546866</v>
                </pt>
                <pt idx="496">
                  <v>-0.363767645546866</v>
                </pt>
                <pt idx="497">
                  <v>-0.363767645546866</v>
                </pt>
                <pt idx="498">
                  <v>-0.363767645546866</v>
                </pt>
                <pt idx="499">
                  <v>-0.363767645546866</v>
                </pt>
                <pt idx="500">
                  <v>-0.363767645546866</v>
                </pt>
                <pt idx="501">
                  <v>-0.363767645546866</v>
                </pt>
                <pt idx="502">
                  <v>-0.363767645546866</v>
                </pt>
                <pt idx="503">
                  <v>-0.363767645546866</v>
                </pt>
                <pt idx="504">
                  <v>-0.363767645546866</v>
                </pt>
                <pt idx="505">
                  <v>-0.363767645546866</v>
                </pt>
                <pt idx="506">
                  <v>-0.363767645546866</v>
                </pt>
                <pt idx="507">
                  <v>-0.363767645546866</v>
                </pt>
                <pt idx="508">
                  <v>-0.363767645546866</v>
                </pt>
                <pt idx="509">
                  <v>-0.363767645546866</v>
                </pt>
                <pt idx="510">
                  <v>-0.363767645546866</v>
                </pt>
                <pt idx="511">
                  <v>-0.363767645546866</v>
                </pt>
                <pt idx="512">
                  <v>-0.363767645546866</v>
                </pt>
                <pt idx="513">
                  <v>-0.363767645546866</v>
                </pt>
                <pt idx="514">
                  <v>-0.363767645546866</v>
                </pt>
                <pt idx="515">
                  <v>-0.363767645546866</v>
                </pt>
                <pt idx="516">
                  <v>-0.363767645546866</v>
                </pt>
                <pt idx="517">
                  <v>-0.363767645546866</v>
                </pt>
                <pt idx="518">
                  <v>-0.363767645546866</v>
                </pt>
                <pt idx="519">
                  <v>-0.363767645546866</v>
                </pt>
                <pt idx="520">
                  <v>-0.363767645546866</v>
                </pt>
                <pt idx="521">
                  <v>-0.363767645546866</v>
                </pt>
                <pt idx="522">
                  <v>-0.363767645546866</v>
                </pt>
                <pt idx="523">
                  <v>-0.363767645546866</v>
                </pt>
                <pt idx="524">
                  <v>-0.363767645546866</v>
                </pt>
                <pt idx="525">
                  <v>-0.363767645546866</v>
                </pt>
                <pt idx="526">
                  <v>-0.363767645546866</v>
                </pt>
                <pt idx="527">
                  <v>-0.363767645546866</v>
                </pt>
                <pt idx="528">
                  <v>-0.363767645546866</v>
                </pt>
                <pt idx="529">
                  <v>-0.363767645546866</v>
                </pt>
                <pt idx="530">
                  <v>-0.363767645546866</v>
                </pt>
                <pt idx="531">
                  <v>-0.363767645546866</v>
                </pt>
                <pt idx="532">
                  <v>-0.363767645546866</v>
                </pt>
                <pt idx="533">
                  <v>-0.363767645546866</v>
                </pt>
                <pt idx="534">
                  <v>-0.363767645546866</v>
                </pt>
                <pt idx="535">
                  <v>-0.363767645546866</v>
                </pt>
                <pt idx="536">
                  <v>-0.363767645546866</v>
                </pt>
                <pt idx="537">
                  <v>-0.363767645546866</v>
                </pt>
                <pt idx="538">
                  <v>-0.363767645546866</v>
                </pt>
                <pt idx="539">
                  <v>-0.363767645546866</v>
                </pt>
                <pt idx="540">
                  <v>-0.363767645546866</v>
                </pt>
                <pt idx="541">
                  <v>-0.363767645546866</v>
                </pt>
                <pt idx="542">
                  <v>-0.363767645546866</v>
                </pt>
                <pt idx="543">
                  <v>-0.363767645546866</v>
                </pt>
                <pt idx="544">
                  <v>-0.363767645546866</v>
                </pt>
                <pt idx="545">
                  <v>-0.363767645546866</v>
                </pt>
                <pt idx="546">
                  <v>-0.363767645546866</v>
                </pt>
                <pt idx="547">
                  <v>-0.363767645546866</v>
                </pt>
                <pt idx="548">
                  <v>-0.363767645546866</v>
                </pt>
                <pt idx="549">
                  <v>-0.363767645546866</v>
                </pt>
                <pt idx="550">
                  <v>-0.363767645546866</v>
                </pt>
                <pt idx="551">
                  <v>-0.363767645546866</v>
                </pt>
                <pt idx="552">
                  <v>-0.363767645546866</v>
                </pt>
                <pt idx="553">
                  <v>-0.363767645546866</v>
                </pt>
                <pt idx="554">
                  <v>-0.363767645546866</v>
                </pt>
                <pt idx="555">
                  <v>-0.363767645546866</v>
                </pt>
                <pt idx="556">
                  <v>-0.363767645546866</v>
                </pt>
                <pt idx="557">
                  <v>-0.363767645546866</v>
                </pt>
                <pt idx="558">
                  <v>-0.363767645546866</v>
                </pt>
                <pt idx="559">
                  <v>-0.363767645546866</v>
                </pt>
                <pt idx="560">
                  <v>-0.363767645546866</v>
                </pt>
                <pt idx="561">
                  <v>-0.363767645546866</v>
                </pt>
                <pt idx="562">
                  <v>-0.363767645546866</v>
                </pt>
                <pt idx="563">
                  <v>-0.363767645546866</v>
                </pt>
                <pt idx="564">
                  <v>-0.363767645546866</v>
                </pt>
                <pt idx="565">
                  <v>-0.363767645546866</v>
                </pt>
                <pt idx="566">
                  <v>-0.363767645546866</v>
                </pt>
                <pt idx="567">
                  <v>-0.363767645546866</v>
                </pt>
                <pt idx="568">
                  <v>-0.363767645546866</v>
                </pt>
                <pt idx="569">
                  <v>-0.363767645546866</v>
                </pt>
                <pt idx="570">
                  <v>-0.363767645546866</v>
                </pt>
                <pt idx="571">
                  <v>-0.363767645546866</v>
                </pt>
                <pt idx="572">
                  <v>-0.363767645546866</v>
                </pt>
                <pt idx="573">
                  <v>-0.363767645546866</v>
                </pt>
                <pt idx="574">
                  <v>-0.363767645546866</v>
                </pt>
                <pt idx="575">
                  <v>-0.363767645546866</v>
                </pt>
                <pt idx="576">
                  <v>-0.363767645546866</v>
                </pt>
                <pt idx="577">
                  <v>-0.363767645546866</v>
                </pt>
                <pt idx="578">
                  <v>-0.363767645546866</v>
                </pt>
                <pt idx="579">
                  <v>-0.363767645546866</v>
                </pt>
                <pt idx="580">
                  <v>-0.363767645546866</v>
                </pt>
                <pt idx="581">
                  <v>-0.363767645546866</v>
                </pt>
                <pt idx="582">
                  <v>-0.363767645546866</v>
                </pt>
                <pt idx="583">
                  <v>-0.363767645546866</v>
                </pt>
                <pt idx="584">
                  <v>-0.363767645546866</v>
                </pt>
                <pt idx="585">
                  <v>-0.363767645546866</v>
                </pt>
                <pt idx="586">
                  <v>-0.363767645546866</v>
                </pt>
                <pt idx="587">
                  <v>-0.363767645546866</v>
                </pt>
                <pt idx="588">
                  <v>-0.363767645546866</v>
                </pt>
                <pt idx="589">
                  <v>-0.363767645546866</v>
                </pt>
                <pt idx="590">
                  <v>-0.363767645546866</v>
                </pt>
                <pt idx="591">
                  <v>-0.363767645546866</v>
                </pt>
                <pt idx="592">
                  <v>-0.363767645546866</v>
                </pt>
                <pt idx="593">
                  <v>-0.363767645546866</v>
                </pt>
                <pt idx="594">
                  <v>-0.363767645546866</v>
                </pt>
                <pt idx="595">
                  <v>-0.363767645546866</v>
                </pt>
                <pt idx="596">
                  <v>-0.363767645546866</v>
                </pt>
                <pt idx="597">
                  <v>-0.363767645546866</v>
                </pt>
                <pt idx="598">
                  <v>-0.363767645546866</v>
                </pt>
                <pt idx="599">
                  <v>-0.363767645546866</v>
                </pt>
                <pt idx="600">
                  <v>-0.363767645546866</v>
                </pt>
                <pt idx="601">
                  <v>-0.363767645546866</v>
                </pt>
                <pt idx="602">
                  <v>-0.363767645546866</v>
                </pt>
                <pt idx="603">
                  <v>-0.363767645546866</v>
                </pt>
                <pt idx="604">
                  <v>-0.363767645546866</v>
                </pt>
                <pt idx="605">
                  <v>-0.363767645546866</v>
                </pt>
                <pt idx="606">
                  <v>-0.363767645546866</v>
                </pt>
                <pt idx="607">
                  <v>-0.363767645546866</v>
                </pt>
                <pt idx="608">
                  <v>-0.363767645546866</v>
                </pt>
                <pt idx="609">
                  <v>-0.363767645546866</v>
                </pt>
                <pt idx="610">
                  <v>-0.363767645546866</v>
                </pt>
                <pt idx="611">
                  <v>-0.363767645546866</v>
                </pt>
                <pt idx="612">
                  <v>-0.363767645546866</v>
                </pt>
                <pt idx="613">
                  <v>-0.363767645546866</v>
                </pt>
                <pt idx="614">
                  <v>-0.363767645546866</v>
                </pt>
                <pt idx="615">
                  <v>-0.363767645546866</v>
                </pt>
                <pt idx="616">
                  <v>-0.363767645546866</v>
                </pt>
                <pt idx="617">
                  <v>-0.363767645546866</v>
                </pt>
                <pt idx="618">
                  <v>-0.363767645546866</v>
                </pt>
                <pt idx="619">
                  <v>-0.363767645546866</v>
                </pt>
                <pt idx="620">
                  <v>-0.363767645546866</v>
                </pt>
                <pt idx="621">
                  <v>-0.363767645546866</v>
                </pt>
                <pt idx="622">
                  <v>-0.363767645546866</v>
                </pt>
                <pt idx="623">
                  <v>-0.363767645546866</v>
                </pt>
                <pt idx="624">
                  <v>-0.363767645546866</v>
                </pt>
                <pt idx="625">
                  <v>-0.363767645546866</v>
                </pt>
                <pt idx="626">
                  <v>-0.363767645546866</v>
                </pt>
                <pt idx="627">
                  <v>-0.363767645546866</v>
                </pt>
                <pt idx="628">
                  <v>-0.363767645546866</v>
                </pt>
                <pt idx="629">
                  <v>-0.363767645546866</v>
                </pt>
                <pt idx="630">
                  <v>-0.363767645546866</v>
                </pt>
                <pt idx="631">
                  <v>-0.363767645546866</v>
                </pt>
                <pt idx="632">
                  <v>-0.363767645546866</v>
                </pt>
                <pt idx="633">
                  <v>-0.363767645546866</v>
                </pt>
                <pt idx="634">
                  <v>-0.363767645546866</v>
                </pt>
                <pt idx="635">
                  <v>-0.363767645546866</v>
                </pt>
                <pt idx="636">
                  <v>-0.363767645546866</v>
                </pt>
                <pt idx="637">
                  <v>-0.363767645546866</v>
                </pt>
                <pt idx="638">
                  <v>-0.363767645546866</v>
                </pt>
                <pt idx="639">
                  <v>-0.363767645546866</v>
                </pt>
                <pt idx="640">
                  <v>-0.363767645546866</v>
                </pt>
                <pt idx="641">
                  <v>-0.363767645546866</v>
                </pt>
                <pt idx="642">
                  <v>-0.363767645546866</v>
                </pt>
                <pt idx="643">
                  <v>-0.363767645546866</v>
                </pt>
                <pt idx="644">
                  <v>-0.363767645546866</v>
                </pt>
                <pt idx="645">
                  <v>-0.363767645546866</v>
                </pt>
                <pt idx="646">
                  <v>-0.363767645546866</v>
                </pt>
                <pt idx="647">
                  <v>-0.363767645546866</v>
                </pt>
                <pt idx="648">
                  <v>-0.363767645546866</v>
                </pt>
                <pt idx="649">
                  <v>-0.363767645546866</v>
                </pt>
                <pt idx="650">
                  <v>-0.363767645546866</v>
                </pt>
                <pt idx="651">
                  <v>-0.363767645546866</v>
                </pt>
                <pt idx="652">
                  <v>-0.363767645546866</v>
                </pt>
                <pt idx="653">
                  <v>-0.363767645546866</v>
                </pt>
                <pt idx="654">
                  <v>-0.363767645546866</v>
                </pt>
                <pt idx="655">
                  <v>-0.363767645546866</v>
                </pt>
                <pt idx="656">
                  <v>-0.363767645546866</v>
                </pt>
                <pt idx="657">
                  <v>-0.363767645546866</v>
                </pt>
                <pt idx="658">
                  <v>-0.363767645546866</v>
                </pt>
                <pt idx="659">
                  <v>-0.363767645546866</v>
                </pt>
                <pt idx="660">
                  <v>-0.363767645546866</v>
                </pt>
                <pt idx="661">
                  <v>-0.363767645546866</v>
                </pt>
                <pt idx="662">
                  <v>-0.363767645546866</v>
                </pt>
                <pt idx="663">
                  <v>-0.363767645546866</v>
                </pt>
                <pt idx="664">
                  <v>-0.363767645546866</v>
                </pt>
                <pt idx="665">
                  <v>-0.363767645546866</v>
                </pt>
                <pt idx="666">
                  <v>-0.363767645546866</v>
                </pt>
                <pt idx="667">
                  <v>-0.363767645546866</v>
                </pt>
                <pt idx="668">
                  <v>-0.363767645546866</v>
                </pt>
                <pt idx="669">
                  <v>-0.363767645546866</v>
                </pt>
                <pt idx="670">
                  <v>-0.363767645546866</v>
                </pt>
                <pt idx="671">
                  <v>-0.363767645546866</v>
                </pt>
                <pt idx="672">
                  <v>-0.363767645546866</v>
                </pt>
                <pt idx="673">
                  <v>-0.363767645546866</v>
                </pt>
                <pt idx="674">
                  <v>-0.363767645546866</v>
                </pt>
                <pt idx="675">
                  <v>-0.363767645546866</v>
                </pt>
                <pt idx="676">
                  <v>-0.363767645546866</v>
                </pt>
                <pt idx="677">
                  <v>-0.363767645546866</v>
                </pt>
                <pt idx="678">
                  <v>-0.363767645546866</v>
                </pt>
                <pt idx="679">
                  <v>-0.363767645546866</v>
                </pt>
                <pt idx="680">
                  <v>-0.363767645546866</v>
                </pt>
                <pt idx="681">
                  <v>-0.363767645546866</v>
                </pt>
                <pt idx="682">
                  <v>-0.363767645546866</v>
                </pt>
                <pt idx="683">
                  <v>-0.363767645546866</v>
                </pt>
                <pt idx="684">
                  <v>-0.363767645546866</v>
                </pt>
                <pt idx="685">
                  <v>-0.363767645546866</v>
                </pt>
                <pt idx="686">
                  <v>-0.363767645546866</v>
                </pt>
                <pt idx="687">
                  <v>-0.363767645546866</v>
                </pt>
                <pt idx="688">
                  <v>-0.363767645546866</v>
                </pt>
                <pt idx="689">
                  <v>-0.363767645546866</v>
                </pt>
                <pt idx="690">
                  <v>-0.363767645546866</v>
                </pt>
                <pt idx="691">
                  <v>-0.363767645546866</v>
                </pt>
                <pt idx="692">
                  <v>-0.363767645546866</v>
                </pt>
                <pt idx="693">
                  <v>-0.363767645546866</v>
                </pt>
                <pt idx="694">
                  <v>-0.363767645546866</v>
                </pt>
                <pt idx="695">
                  <v>-0.363767645546866</v>
                </pt>
                <pt idx="696">
                  <v>-0.363767645546866</v>
                </pt>
                <pt idx="697">
                  <v>-0.363767645546866</v>
                </pt>
                <pt idx="698">
                  <v>-0.363767645546866</v>
                </pt>
                <pt idx="699">
                  <v>-0.363767645546866</v>
                </pt>
                <pt idx="700">
                  <v>-0.363767645546866</v>
                </pt>
                <pt idx="701">
                  <v>-0.363767645546866</v>
                </pt>
                <pt idx="702">
                  <v>-0.363767645546866</v>
                </pt>
                <pt idx="703">
                  <v>-0.363767645546866</v>
                </pt>
                <pt idx="704">
                  <v>-0.363767645546866</v>
                </pt>
                <pt idx="705">
                  <v>-0.363767645546866</v>
                </pt>
                <pt idx="706">
                  <v>-0.363767645546866</v>
                </pt>
                <pt idx="707">
                  <v>-0.363767645546866</v>
                </pt>
                <pt idx="708">
                  <v>-0.363767645546866</v>
                </pt>
                <pt idx="709">
                  <v>-0.363767645546866</v>
                </pt>
                <pt idx="710">
                  <v>-0.363767645546866</v>
                </pt>
                <pt idx="711">
                  <v>-0.363767645546866</v>
                </pt>
                <pt idx="712">
                  <v>-0.363767645546866</v>
                </pt>
                <pt idx="713">
                  <v>-0.363767645546866</v>
                </pt>
                <pt idx="714">
                  <v>-0.363767645546866</v>
                </pt>
                <pt idx="715">
                  <v>-0.363767645546866</v>
                </pt>
                <pt idx="716">
                  <v>-0.363767645546866</v>
                </pt>
                <pt idx="717">
                  <v>-0.363767645546866</v>
                </pt>
                <pt idx="718">
                  <v>-0.363767645546866</v>
                </pt>
                <pt idx="719">
                  <v>-0.363767645546866</v>
                </pt>
                <pt idx="720">
                  <v>-0.363767645546866</v>
                </pt>
                <pt idx="721">
                  <v>-0.363767645546866</v>
                </pt>
                <pt idx="722">
                  <v>-0.363767645546866</v>
                </pt>
                <pt idx="723">
                  <v>-0.363767645546866</v>
                </pt>
                <pt idx="724">
                  <v>-0.363767645546866</v>
                </pt>
                <pt idx="725">
                  <v>-0.363767645546866</v>
                </pt>
                <pt idx="726">
                  <v>-0.363767645546866</v>
                </pt>
                <pt idx="727">
                  <v>-0.363767645546866</v>
                </pt>
                <pt idx="728">
                  <v>-0.363767645546866</v>
                </pt>
                <pt idx="729">
                  <v>-0.363767645546866</v>
                </pt>
                <pt idx="730">
                  <v>-0.363767645546866</v>
                </pt>
                <pt idx="731">
                  <v>-0.363767645546866</v>
                </pt>
                <pt idx="732">
                  <v>-0.363767645546866</v>
                </pt>
                <pt idx="733">
                  <v>-0.363767645546866</v>
                </pt>
                <pt idx="734">
                  <v>-0.363767645546866</v>
                </pt>
                <pt idx="735">
                  <v>-0.363767645546866</v>
                </pt>
                <pt idx="736">
                  <v>-0.363767645546866</v>
                </pt>
                <pt idx="737">
                  <v>-0.363767645546866</v>
                </pt>
                <pt idx="738">
                  <v>-0.363767645546866</v>
                </pt>
                <pt idx="739">
                  <v>-0.363767645546866</v>
                </pt>
                <pt idx="740">
                  <v>-0.363767645546866</v>
                </pt>
                <pt idx="741">
                  <v>-0.363767645546866</v>
                </pt>
                <pt idx="742">
                  <v>-0.363767645546866</v>
                </pt>
                <pt idx="743">
                  <v>-0.363767645546866</v>
                </pt>
                <pt idx="744">
                  <v>-0.363767645546866</v>
                </pt>
                <pt idx="745">
                  <v>-0.363767645546866</v>
                </pt>
                <pt idx="746">
                  <v>-0.363767645546866</v>
                </pt>
                <pt idx="747">
                  <v>-0.363767645546866</v>
                </pt>
                <pt idx="748">
                  <v>-0.363767645546866</v>
                </pt>
                <pt idx="749">
                  <v>-0.363767645546866</v>
                </pt>
                <pt idx="750">
                  <v>-0.363767645546866</v>
                </pt>
                <pt idx="751">
                  <v>-0.363767645546866</v>
                </pt>
                <pt idx="752">
                  <v>-0.363767645546866</v>
                </pt>
                <pt idx="753">
                  <v>-0.363767645546866</v>
                </pt>
                <pt idx="754">
                  <v>-0.363767645546866</v>
                </pt>
                <pt idx="755">
                  <v>-0.363767645546866</v>
                </pt>
                <pt idx="756">
                  <v>-0.363767645546866</v>
                </pt>
                <pt idx="757">
                  <v>-0.363767645546866</v>
                </pt>
                <pt idx="758">
                  <v>-0.363767645546866</v>
                </pt>
                <pt idx="759">
                  <v>-0.363767645546866</v>
                </pt>
                <pt idx="760">
                  <v>-0.363767645546866</v>
                </pt>
                <pt idx="761">
                  <v>-0.363767645546866</v>
                </pt>
                <pt idx="762">
                  <v>-0.363767645546866</v>
                </pt>
                <pt idx="763">
                  <v>-0.363767645546866</v>
                </pt>
                <pt idx="764">
                  <v>-0.363767645546866</v>
                </pt>
                <pt idx="765">
                  <v>-0.363767645546866</v>
                </pt>
                <pt idx="766">
                  <v>-0.363767645546866</v>
                </pt>
                <pt idx="767">
                  <v>-0.363767645546866</v>
                </pt>
                <pt idx="768">
                  <v>-0.363767645546866</v>
                </pt>
                <pt idx="769">
                  <v>-0.363767645546866</v>
                </pt>
                <pt idx="770">
                  <v>-0.363767645546866</v>
                </pt>
                <pt idx="771">
                  <v>-0.363767645546866</v>
                </pt>
                <pt idx="772">
                  <v>-0.363767645546866</v>
                </pt>
                <pt idx="773">
                  <v>-0.363767645546866</v>
                </pt>
                <pt idx="774">
                  <v>-0.363767645546866</v>
                </pt>
                <pt idx="775">
                  <v>-0.363767645546866</v>
                </pt>
                <pt idx="776">
                  <v>-0.363767645546866</v>
                </pt>
                <pt idx="777">
                  <v>-0.363767645546866</v>
                </pt>
                <pt idx="778">
                  <v>-0.363767645546866</v>
                </pt>
                <pt idx="779">
                  <v>-0.363767645546866</v>
                </pt>
                <pt idx="780">
                  <v>-0.363767645546866</v>
                </pt>
                <pt idx="781">
                  <v>-0.363767645546866</v>
                </pt>
                <pt idx="782">
                  <v>-0.363767645546866</v>
                </pt>
                <pt idx="783">
                  <v>-0.363767645546866</v>
                </pt>
                <pt idx="784">
                  <v>-0.363767645546866</v>
                </pt>
                <pt idx="785">
                  <v>-0.363767645546866</v>
                </pt>
                <pt idx="786">
                  <v>-0.363767645546866</v>
                </pt>
                <pt idx="787">
                  <v>-0.363767645546866</v>
                </pt>
                <pt idx="788">
                  <v>-0.363767645546866</v>
                </pt>
                <pt idx="789">
                  <v>-0.363767645546866</v>
                </pt>
                <pt idx="790">
                  <v>-0.363767645546866</v>
                </pt>
                <pt idx="791">
                  <v>-0.363767645546866</v>
                </pt>
                <pt idx="792">
                  <v>-0.363767645546866</v>
                </pt>
                <pt idx="793">
                  <v>-0.363767645546866</v>
                </pt>
                <pt idx="794">
                  <v>-0.363767645546866</v>
                </pt>
                <pt idx="795">
                  <v>-0.363767645546866</v>
                </pt>
                <pt idx="796">
                  <v>-0.363767645546866</v>
                </pt>
                <pt idx="797">
                  <v>-0.363767645546866</v>
                </pt>
                <pt idx="798">
                  <v>-0.363767645546866</v>
                </pt>
                <pt idx="799">
                  <v>-0.363767645546866</v>
                </pt>
                <pt idx="800">
                  <v>-0.363767645546866</v>
                </pt>
                <pt idx="801">
                  <v>-0.363767645546866</v>
                </pt>
                <pt idx="802">
                  <v>-0.363767645546866</v>
                </pt>
                <pt idx="803">
                  <v>-0.363767645546866</v>
                </pt>
                <pt idx="804">
                  <v>-0.363767645546866</v>
                </pt>
                <pt idx="805">
                  <v>-0.363767645546866</v>
                </pt>
                <pt idx="806">
                  <v>-0.363767645546866</v>
                </pt>
                <pt idx="807">
                  <v>-0.363767645546866</v>
                </pt>
                <pt idx="808">
                  <v>-0.363767645546866</v>
                </pt>
                <pt idx="809">
                  <v>-0.363767645546866</v>
                </pt>
                <pt idx="810">
                  <v>-0.363767645546866</v>
                </pt>
                <pt idx="811">
                  <v>-0.363767645546866</v>
                </pt>
                <pt idx="812">
                  <v>-0.363767645546866</v>
                </pt>
                <pt idx="813">
                  <v>-0.363767645546866</v>
                </pt>
                <pt idx="814">
                  <v>-0.363767645546866</v>
                </pt>
                <pt idx="815">
                  <v>-0.363767645546866</v>
                </pt>
                <pt idx="816">
                  <v>-0.363767645546866</v>
                </pt>
                <pt idx="817">
                  <v>-0.363767645546866</v>
                </pt>
                <pt idx="818">
                  <v>-0.363767645546866</v>
                </pt>
                <pt idx="819">
                  <v>-0.363767645546866</v>
                </pt>
                <pt idx="820">
                  <v>-0.363767645546866</v>
                </pt>
                <pt idx="821">
                  <v>-0.363767645546866</v>
                </pt>
                <pt idx="822">
                  <v>-0.363767645546866</v>
                </pt>
                <pt idx="823">
                  <v>-0.363767645546866</v>
                </pt>
                <pt idx="824">
                  <v>-0.363767645546866</v>
                </pt>
                <pt idx="825">
                  <v>-0.363767645546866</v>
                </pt>
                <pt idx="826">
                  <v>-0.363767645546866</v>
                </pt>
                <pt idx="827">
                  <v>-0.363767645546866</v>
                </pt>
                <pt idx="828">
                  <v>-0.363767645546866</v>
                </pt>
                <pt idx="829">
                  <v>-0.363767645546866</v>
                </pt>
                <pt idx="830">
                  <v>-0.363767645546866</v>
                </pt>
                <pt idx="831">
                  <v>-0.363767645546866</v>
                </pt>
                <pt idx="832">
                  <v>-0.363767645546866</v>
                </pt>
                <pt idx="833">
                  <v>-0.363767645546866</v>
                </pt>
                <pt idx="834">
                  <v>-0.363767645546866</v>
                </pt>
                <pt idx="835">
                  <v>-0.363767645546866</v>
                </pt>
                <pt idx="836">
                  <v>-0.363767645546866</v>
                </pt>
                <pt idx="837">
                  <v>-0.363767645546866</v>
                </pt>
                <pt idx="838">
                  <v>-0.363767645546866</v>
                </pt>
                <pt idx="839">
                  <v>-0.363767645546866</v>
                </pt>
                <pt idx="840">
                  <v>-0.363767645546866</v>
                </pt>
                <pt idx="841">
                  <v>-0.363767645546866</v>
                </pt>
                <pt idx="842">
                  <v>-0.363767645546866</v>
                </pt>
                <pt idx="843">
                  <v>-0.363767645546866</v>
                </pt>
                <pt idx="844">
                  <v>-0.363767645546866</v>
                </pt>
                <pt idx="845">
                  <v>-0.363767645546866</v>
                </pt>
                <pt idx="846">
                  <v>-0.363767645546866</v>
                </pt>
                <pt idx="847">
                  <v>-0.363767645546866</v>
                </pt>
                <pt idx="848">
                  <v>-0.363767645546866</v>
                </pt>
                <pt idx="849">
                  <v>-0.363767645546866</v>
                </pt>
                <pt idx="850">
                  <v>-0.363767645546866</v>
                </pt>
                <pt idx="851">
                  <v>-0.363767645546866</v>
                </pt>
                <pt idx="852">
                  <v>-0.363767645546866</v>
                </pt>
                <pt idx="853">
                  <v>-0.363767645546866</v>
                </pt>
                <pt idx="854">
                  <v>-0.363767645546866</v>
                </pt>
                <pt idx="855">
                  <v>-0.363767645546866</v>
                </pt>
                <pt idx="856">
                  <v>-0.363767645546866</v>
                </pt>
                <pt idx="857">
                  <v>-0.363767645546866</v>
                </pt>
                <pt idx="858">
                  <v>-0.363767645546866</v>
                </pt>
                <pt idx="859">
                  <v>-0.363767645546866</v>
                </pt>
                <pt idx="860">
                  <v>-0.363767645546866</v>
                </pt>
                <pt idx="861">
                  <v>-0.363767645546866</v>
                </pt>
                <pt idx="862">
                  <v>-0.363767645546866</v>
                </pt>
                <pt idx="863">
                  <v>-0.363767645546866</v>
                </pt>
                <pt idx="864">
                  <v>-0.363767645546866</v>
                </pt>
                <pt idx="865">
                  <v>-0.363767645546866</v>
                </pt>
                <pt idx="866">
                  <v>-0.363767645546866</v>
                </pt>
                <pt idx="867">
                  <v>-0.363767645546866</v>
                </pt>
                <pt idx="868">
                  <v>-0.363767645546866</v>
                </pt>
                <pt idx="869">
                  <v>-0.363767645546866</v>
                </pt>
                <pt idx="870">
                  <v>-0.363767645546866</v>
                </pt>
                <pt idx="871">
                  <v>-0.363767645546866</v>
                </pt>
                <pt idx="872">
                  <v>-0.363767645546866</v>
                </pt>
                <pt idx="873">
                  <v>-0.363767645546866</v>
                </pt>
                <pt idx="874">
                  <v>-0.363767645546866</v>
                </pt>
                <pt idx="875">
                  <v>-0.363767645546866</v>
                </pt>
                <pt idx="876">
                  <v>-0.363767645546866</v>
                </pt>
                <pt idx="877">
                  <v>-0.363767645546866</v>
                </pt>
                <pt idx="878">
                  <v>-0.363767645546866</v>
                </pt>
                <pt idx="879">
                  <v>-0.363767645546866</v>
                </pt>
                <pt idx="880">
                  <v>-0.363767645546866</v>
                </pt>
                <pt idx="881">
                  <v>-0.363767645546866</v>
                </pt>
                <pt idx="882">
                  <v>-0.363767645546866</v>
                </pt>
                <pt idx="883">
                  <v>-0.363767645546866</v>
                </pt>
                <pt idx="884">
                  <v>-0.363767645546866</v>
                </pt>
                <pt idx="885">
                  <v>-0.363767645546866</v>
                </pt>
                <pt idx="886">
                  <v>-0.363767645546866</v>
                </pt>
                <pt idx="887">
                  <v>-0.363767645546866</v>
                </pt>
                <pt idx="888">
                  <v>-0.363767645546866</v>
                </pt>
                <pt idx="889">
                  <v>-0.363767645546866</v>
                </pt>
                <pt idx="890">
                  <v>-0.363767645546866</v>
                </pt>
                <pt idx="891">
                  <v>-0.363767645546866</v>
                </pt>
                <pt idx="892">
                  <v>-0.363767645546866</v>
                </pt>
                <pt idx="893">
                  <v>-0.363767645546866</v>
                </pt>
                <pt idx="894">
                  <v>-0.363767645546866</v>
                </pt>
                <pt idx="895">
                  <v>-0.363767645546866</v>
                </pt>
                <pt idx="896">
                  <v>-0.363767645546866</v>
                </pt>
                <pt idx="897">
                  <v>-0.363767645546866</v>
                </pt>
                <pt idx="898">
                  <v>-0.363767645546866</v>
                </pt>
                <pt idx="899">
                  <v>-0.363767645546866</v>
                </pt>
                <pt idx="900">
                  <v>-0.363767645546866</v>
                </pt>
                <pt idx="901">
                  <v>-0.363767645546866</v>
                </pt>
                <pt idx="902">
                  <v>-0.363767645546866</v>
                </pt>
                <pt idx="903">
                  <v>-0.363767645546866</v>
                </pt>
                <pt idx="904">
                  <v>-0.363767645546866</v>
                </pt>
                <pt idx="905">
                  <v>-0.363767645546866</v>
                </pt>
                <pt idx="906">
                  <v>-0.363767645546866</v>
                </pt>
                <pt idx="907">
                  <v>-0.363767645546866</v>
                </pt>
                <pt idx="908">
                  <v>-0.363767645546866</v>
                </pt>
                <pt idx="909">
                  <v>-0.363767645546866</v>
                </pt>
                <pt idx="910">
                  <v>-0.363767645546866</v>
                </pt>
                <pt idx="911">
                  <v>-0.363767645546866</v>
                </pt>
                <pt idx="912">
                  <v>-0.363767645546866</v>
                </pt>
                <pt idx="913">
                  <v>-0.363767645546866</v>
                </pt>
                <pt idx="914">
                  <v>-0.363767645546866</v>
                </pt>
                <pt idx="915">
                  <v>-0.363767645546866</v>
                </pt>
                <pt idx="916">
                  <v>-0.363767645546866</v>
                </pt>
                <pt idx="917">
                  <v>-0.363767645546866</v>
                </pt>
                <pt idx="918">
                  <v>-0.363767645546866</v>
                </pt>
                <pt idx="919">
                  <v>-0.363767645546866</v>
                </pt>
                <pt idx="920">
                  <v>-0.363767645546866</v>
                </pt>
                <pt idx="921">
                  <v>-0.363767645546866</v>
                </pt>
                <pt idx="922">
                  <v>-0.363767645546866</v>
                </pt>
                <pt idx="923">
                  <v>-0.363767645546866</v>
                </pt>
                <pt idx="924">
                  <v>-0.363767645546866</v>
                </pt>
                <pt idx="925">
                  <v>-0.363767645546866</v>
                </pt>
                <pt idx="926">
                  <v>-0.363767645546866</v>
                </pt>
                <pt idx="927">
                  <v>-0.363767645546866</v>
                </pt>
                <pt idx="928">
                  <v>-0.363767645546866</v>
                </pt>
                <pt idx="929">
                  <v>-0.363767645546866</v>
                </pt>
                <pt idx="930">
                  <v>-0.363767645546866</v>
                </pt>
                <pt idx="931">
                  <v>-0.363767645546866</v>
                </pt>
                <pt idx="932">
                  <v>-0.363767645546866</v>
                </pt>
                <pt idx="933">
                  <v>-0.363767645546866</v>
                </pt>
                <pt idx="934">
                  <v>-0.363767645546866</v>
                </pt>
                <pt idx="935">
                  <v>-0.363767645546866</v>
                </pt>
                <pt idx="936">
                  <v>-0.363767645546866</v>
                </pt>
                <pt idx="937">
                  <v>-0.363767645546866</v>
                </pt>
                <pt idx="938">
                  <v>-0.363767645546866</v>
                </pt>
                <pt idx="939">
                  <v>-0.363767645546866</v>
                </pt>
                <pt idx="940">
                  <v>-0.363767645546866</v>
                </pt>
                <pt idx="941">
                  <v>-0.363767645546866</v>
                </pt>
                <pt idx="942">
                  <v>-0.363767645546866</v>
                </pt>
                <pt idx="943">
                  <v>-0.363767645546866</v>
                </pt>
                <pt idx="944">
                  <v>-0.363767645546866</v>
                </pt>
                <pt idx="945">
                  <v>-0.363767645546866</v>
                </pt>
                <pt idx="946">
                  <v>-0.363767645546866</v>
                </pt>
                <pt idx="947">
                  <v>-0.363767645546866</v>
                </pt>
                <pt idx="948">
                  <v>-0.363767645546866</v>
                </pt>
                <pt idx="949">
                  <v>-0.363767645546866</v>
                </pt>
                <pt idx="950">
                  <v>-0.363767645546866</v>
                </pt>
                <pt idx="951">
                  <v>-0.363767645546866</v>
                </pt>
                <pt idx="952">
                  <v>-0.363767645546866</v>
                </pt>
                <pt idx="953">
                  <v>-0.363767645546866</v>
                </pt>
                <pt idx="954">
                  <v>-0.363767645546866</v>
                </pt>
                <pt idx="955">
                  <v>-0.363767645546866</v>
                </pt>
                <pt idx="956">
                  <v>-0.363767645546866</v>
                </pt>
                <pt idx="957">
                  <v>-0.363767645546866</v>
                </pt>
                <pt idx="958">
                  <v>-0.363767645546866</v>
                </pt>
                <pt idx="959">
                  <v>-0.363767645546866</v>
                </pt>
                <pt idx="960">
                  <v>-0.363767645546866</v>
                </pt>
                <pt idx="961">
                  <v>-0.363767645546866</v>
                </pt>
                <pt idx="962">
                  <v>-0.363767645546866</v>
                </pt>
                <pt idx="963">
                  <v>-0.363767645546866</v>
                </pt>
                <pt idx="964">
                  <v>-0.363767645546866</v>
                </pt>
                <pt idx="965">
                  <v>-0.363767645546866</v>
                </pt>
                <pt idx="966">
                  <v>-0.363767645546866</v>
                </pt>
                <pt idx="967">
                  <v>-0.363767645546866</v>
                </pt>
                <pt idx="968">
                  <v>-0.363767645546866</v>
                </pt>
                <pt idx="969">
                  <v>-0.363767645546866</v>
                </pt>
                <pt idx="970">
                  <v>-0.363767645546866</v>
                </pt>
                <pt idx="971">
                  <v>-0.363767645546866</v>
                </pt>
                <pt idx="972">
                  <v>-0.363767645546866</v>
                </pt>
                <pt idx="973">
                  <v>-0.363767645546866</v>
                </pt>
                <pt idx="974">
                  <v>-0.363767645546866</v>
                </pt>
                <pt idx="975">
                  <v>-0.363767645546866</v>
                </pt>
                <pt idx="976">
                  <v>-0.363767645546866</v>
                </pt>
                <pt idx="977">
                  <v>-0.363767645546866</v>
                </pt>
                <pt idx="978">
                  <v>-0.363767645546866</v>
                </pt>
                <pt idx="979">
                  <v>-0.363767645546866</v>
                </pt>
                <pt idx="980">
                  <v>-0.363767645546866</v>
                </pt>
                <pt idx="981">
                  <v>-0.363767645546866</v>
                </pt>
                <pt idx="982">
                  <v>-0.363767645546866</v>
                </pt>
                <pt idx="983">
                  <v>-0.363767645546866</v>
                </pt>
                <pt idx="984">
                  <v>-0.363767645546866</v>
                </pt>
                <pt idx="985">
                  <v>-0.363767645546866</v>
                </pt>
                <pt idx="986">
                  <v>-0.363767645546866</v>
                </pt>
                <pt idx="987">
                  <v>-0.363767645546866</v>
                </pt>
                <pt idx="988">
                  <v>-0.363767645546866</v>
                </pt>
                <pt idx="989">
                  <v>-0.363767645546866</v>
                </pt>
                <pt idx="990">
                  <v>-0.363767645546866</v>
                </pt>
                <pt idx="991">
                  <v>-0.363767645546866</v>
                </pt>
                <pt idx="992">
                  <v>-0.363767645546866</v>
                </pt>
                <pt idx="993">
                  <v>-0.363767645546866</v>
                </pt>
                <pt idx="994">
                  <v>-0.363767645546866</v>
                </pt>
                <pt idx="995">
                  <v>-0.363767645546866</v>
                </pt>
                <pt idx="996">
                  <v>-0.363767645546866</v>
                </pt>
                <pt idx="997">
                  <v>-0.363767645546866</v>
                </pt>
                <pt idx="998">
                  <v>-0.363767645546866</v>
                </pt>
                <pt idx="999">
                  <v>-0.363767645546866</v>
                </pt>
                <pt idx="1000">
                  <v>-0.363767645546866</v>
                </pt>
                <pt idx="1001">
                  <v>-0.363767645546866</v>
                </pt>
                <pt idx="1002">
                  <v>-0.363767645546866</v>
                </pt>
                <pt idx="1003">
                  <v>-0.363767645546866</v>
                </pt>
                <pt idx="1004">
                  <v>-0.363767645546866</v>
                </pt>
                <pt idx="1005">
                  <v>-0.363767645546866</v>
                </pt>
                <pt idx="1006">
                  <v>-0.363767645546866</v>
                </pt>
                <pt idx="1007">
                  <v>-0.363767645546866</v>
                </pt>
                <pt idx="1008">
                  <v>-0.363767645546866</v>
                </pt>
                <pt idx="1009">
                  <v>-0.363767645546866</v>
                </pt>
                <pt idx="1010">
                  <v>-0.363767645546866</v>
                </pt>
                <pt idx="1011">
                  <v>-0.363767645546866</v>
                </pt>
                <pt idx="1012">
                  <v>-0.363767645546866</v>
                </pt>
                <pt idx="1013">
                  <v>-0.363767645546866</v>
                </pt>
                <pt idx="1014">
                  <v>-0.363767645546866</v>
                </pt>
                <pt idx="1015">
                  <v>-0.363767645546866</v>
                </pt>
                <pt idx="1016">
                  <v>-0.363767645546866</v>
                </pt>
                <pt idx="1017">
                  <v>-0.363767645546866</v>
                </pt>
                <pt idx="1018">
                  <v>-0.363767645546866</v>
                </pt>
                <pt idx="1019">
                  <v>-0.363767645546866</v>
                </pt>
                <pt idx="1020">
                  <v>-0.363767645546866</v>
                </pt>
                <pt idx="1021">
                  <v>-0.363767645546866</v>
                </pt>
                <pt idx="1022">
                  <v>-0.363767645546866</v>
                </pt>
                <pt idx="1023">
                  <v>-0.363767645546866</v>
                </pt>
                <pt idx="1024">
                  <v>-0.363767645546866</v>
                </pt>
                <pt idx="1025">
                  <v>-0.363767645546866</v>
                </pt>
                <pt idx="1026">
                  <v>-0.363767645546866</v>
                </pt>
                <pt idx="1027">
                  <v>-0.363767645546866</v>
                </pt>
                <pt idx="1028">
                  <v>-0.363767645546866</v>
                </pt>
                <pt idx="1029">
                  <v>-0.363767645546866</v>
                </pt>
                <pt idx="1030">
                  <v>-0.363767645546866</v>
                </pt>
                <pt idx="1031">
                  <v>-0.363767645546866</v>
                </pt>
                <pt idx="1032">
                  <v>-0.363767645546866</v>
                </pt>
                <pt idx="1033">
                  <v>-0.363767645546866</v>
                </pt>
                <pt idx="1034">
                  <v>-0.363767645546866</v>
                </pt>
                <pt idx="1035">
                  <v>-0.363767645546866</v>
                </pt>
                <pt idx="1036">
                  <v>-0.363767645546866</v>
                </pt>
                <pt idx="1037">
                  <v>-0.363767645546866</v>
                </pt>
                <pt idx="1038">
                  <v>-0.363767645546866</v>
                </pt>
                <pt idx="1039">
                  <v>-0.363767645546866</v>
                </pt>
                <pt idx="1040">
                  <v>-0.363767645546866</v>
                </pt>
                <pt idx="1041">
                  <v>-0.363767645546866</v>
                </pt>
                <pt idx="1042">
                  <v>-0.363767645546866</v>
                </pt>
                <pt idx="1043">
                  <v>-0.363767645546866</v>
                </pt>
                <pt idx="1044">
                  <v>-0.363767645546866</v>
                </pt>
                <pt idx="1045">
                  <v>-0.363767645546866</v>
                </pt>
                <pt idx="1046">
                  <v>-0.363767645546866</v>
                </pt>
                <pt idx="1047">
                  <v>-0.363767645546866</v>
                </pt>
                <pt idx="1048">
                  <v>-0.363767645546866</v>
                </pt>
                <pt idx="1049">
                  <v>-0.363767645546866</v>
                </pt>
                <pt idx="1050">
                  <v>-0.363767645546866</v>
                </pt>
                <pt idx="1051">
                  <v>-0.363767645546866</v>
                </pt>
                <pt idx="1052">
                  <v>-0.363767645546866</v>
                </pt>
                <pt idx="1053">
                  <v>-0.363767645546866</v>
                </pt>
                <pt idx="1054">
                  <v>-0.363767645546866</v>
                </pt>
                <pt idx="1055">
                  <v>-0.363767645546866</v>
                </pt>
                <pt idx="1056">
                  <v>-0.363767645546866</v>
                </pt>
                <pt idx="1057">
                  <v>-0.363767645546866</v>
                </pt>
                <pt idx="1058">
                  <v>-0.363767645546866</v>
                </pt>
                <pt idx="1059">
                  <v>-0.363767645546866</v>
                </pt>
                <pt idx="1060">
                  <v>-0.363767645546866</v>
                </pt>
                <pt idx="1061">
                  <v>-0.363767645546866</v>
                </pt>
                <pt idx="1062">
                  <v>-0.363767645546866</v>
                </pt>
                <pt idx="1063">
                  <v>-0.363767645546866</v>
                </pt>
                <pt idx="1064">
                  <v>-0.363767645546866</v>
                </pt>
                <pt idx="1065">
                  <v>-0.363767645546866</v>
                </pt>
                <pt idx="1066">
                  <v>-0.363767645546866</v>
                </pt>
                <pt idx="1067">
                  <v>-0.363767645546866</v>
                </pt>
                <pt idx="1068">
                  <v>-0.363767645546866</v>
                </pt>
                <pt idx="1069">
                  <v>-0.363767645546866</v>
                </pt>
                <pt idx="1070">
                  <v>-0.363767645546866</v>
                </pt>
                <pt idx="1071">
                  <v>-0.363767645546866</v>
                </pt>
                <pt idx="1072">
                  <v>-0.363767645546866</v>
                </pt>
                <pt idx="1073">
                  <v>-0.363767645546866</v>
                </pt>
                <pt idx="1074">
                  <v>-0.363767645546866</v>
                </pt>
                <pt idx="1075">
                  <v>-0.363767645546866</v>
                </pt>
                <pt idx="1076">
                  <v>-0.363767645546866</v>
                </pt>
                <pt idx="1077">
                  <v>-0.363767645546866</v>
                </pt>
                <pt idx="1078">
                  <v>-0.363767645546866</v>
                </pt>
                <pt idx="1079">
                  <v>-0.363767645546866</v>
                </pt>
                <pt idx="1080">
                  <v>-0.363767645546866</v>
                </pt>
                <pt idx="1081">
                  <v>-0.363767645546866</v>
                </pt>
                <pt idx="1082">
                  <v>-0.363767645546866</v>
                </pt>
                <pt idx="1083">
                  <v>-0.363767645546866</v>
                </pt>
                <pt idx="1084">
                  <v>-0.363767645546866</v>
                </pt>
                <pt idx="1085">
                  <v>-0.363767645546866</v>
                </pt>
                <pt idx="1086">
                  <v>-0.363767645546866</v>
                </pt>
                <pt idx="1087">
                  <v>-0.363767645546866</v>
                </pt>
                <pt idx="1088">
                  <v>-0.363767645546866</v>
                </pt>
                <pt idx="1089">
                  <v>-0.363767645546866</v>
                </pt>
                <pt idx="1090">
                  <v>-0.363767645546866</v>
                </pt>
                <pt idx="1091">
                  <v>-0.363767645546866</v>
                </pt>
                <pt idx="1092">
                  <v>-0.363767645546866</v>
                </pt>
                <pt idx="1093">
                  <v>-0.363767645546866</v>
                </pt>
                <pt idx="1094">
                  <v>-0.363767645546866</v>
                </pt>
                <pt idx="1095">
                  <v>-0.363767645546866</v>
                </pt>
                <pt idx="1096">
                  <v>-0.363767645546866</v>
                </pt>
                <pt idx="1097">
                  <v>-0.363767645546866</v>
                </pt>
                <pt idx="1098">
                  <v>-0.363767645546866</v>
                </pt>
                <pt idx="1099">
                  <v>-0.363767645546866</v>
                </pt>
                <pt idx="1100">
                  <v>-0.363767645546866</v>
                </pt>
                <pt idx="1101">
                  <v>-0.363767645546866</v>
                </pt>
                <pt idx="1102">
                  <v>-0.363767645546866</v>
                </pt>
                <pt idx="1103">
                  <v>-0.363767645546866</v>
                </pt>
                <pt idx="1104">
                  <v>-0.363767645546866</v>
                </pt>
                <pt idx="1105">
                  <v>-0.363767645546866</v>
                </pt>
                <pt idx="1106">
                  <v>-0.363767645546866</v>
                </pt>
                <pt idx="1107">
                  <v>-0.363767645546866</v>
                </pt>
                <pt idx="1108">
                  <v>-0.363767645546866</v>
                </pt>
                <pt idx="1109">
                  <v>-0.363767645546866</v>
                </pt>
                <pt idx="1110">
                  <v>-0.363767645546866</v>
                </pt>
                <pt idx="1111">
                  <v>-0.363767645546866</v>
                </pt>
                <pt idx="1112">
                  <v>-0.363767645546866</v>
                </pt>
                <pt idx="1113">
                  <v>-0.363767645546866</v>
                </pt>
                <pt idx="1114">
                  <v>-0.363767645546866</v>
                </pt>
                <pt idx="1115">
                  <v>-0.363767645546866</v>
                </pt>
                <pt idx="1116">
                  <v>-0.363767645546866</v>
                </pt>
                <pt idx="1117">
                  <v>-0.363767645546866</v>
                </pt>
                <pt idx="1118">
                  <v>-0.363767645546866</v>
                </pt>
                <pt idx="1119">
                  <v>-0.363767645546866</v>
                </pt>
                <pt idx="1120">
                  <v>-0.363767645546866</v>
                </pt>
                <pt idx="1121">
                  <v>-0.363767645546866</v>
                </pt>
                <pt idx="1122">
                  <v>-0.363767645546866</v>
                </pt>
                <pt idx="1123">
                  <v>-0.363767645546866</v>
                </pt>
                <pt idx="1124">
                  <v>-0.363767645546866</v>
                </pt>
                <pt idx="1125">
                  <v>-0.363767645546866</v>
                </pt>
                <pt idx="1126">
                  <v>-0.363767645546866</v>
                </pt>
                <pt idx="1127">
                  <v>-0.363767645546866</v>
                </pt>
                <pt idx="1128">
                  <v>-0.363767645546866</v>
                </pt>
                <pt idx="1129">
                  <v>-0.363767645546866</v>
                </pt>
                <pt idx="1130">
                  <v>-0.363767645546866</v>
                </pt>
                <pt idx="1131">
                  <v>-0.363767645546866</v>
                </pt>
                <pt idx="1132">
                  <v>-0.363767645546866</v>
                </pt>
                <pt idx="1133">
                  <v>-0.363767645546866</v>
                </pt>
                <pt idx="1134">
                  <v>-0.363767645546866</v>
                </pt>
                <pt idx="1135">
                  <v>-0.363767645546866</v>
                </pt>
                <pt idx="1136">
                  <v>-0.363767645546866</v>
                </pt>
                <pt idx="1137">
                  <v>-0.363767645546866</v>
                </pt>
                <pt idx="1138">
                  <v>-0.363767645546866</v>
                </pt>
                <pt idx="1139">
                  <v>-0.363767645546866</v>
                </pt>
                <pt idx="1140">
                  <v>-0.363767645546866</v>
                </pt>
                <pt idx="1141">
                  <v>-0.363767645546866</v>
                </pt>
                <pt idx="1142">
                  <v>-0.363767645546866</v>
                </pt>
                <pt idx="1143">
                  <v>-0.363767645546866</v>
                </pt>
                <pt idx="1144">
                  <v>-0.363767645546866</v>
                </pt>
                <pt idx="1145">
                  <v>-0.363767645546866</v>
                </pt>
                <pt idx="1146">
                  <v>-0.363767645546866</v>
                </pt>
                <pt idx="1147">
                  <v>-0.363767645546866</v>
                </pt>
                <pt idx="1148">
                  <v>-0.363767645546866</v>
                </pt>
                <pt idx="1149">
                  <v>-0.363767645546866</v>
                </pt>
                <pt idx="1150">
                  <v>-0.363767645546866</v>
                </pt>
                <pt idx="1151">
                  <v>-0.363767645546866</v>
                </pt>
                <pt idx="1152">
                  <v>-0.363767645546866</v>
                </pt>
                <pt idx="1153">
                  <v>-0.363767645546866</v>
                </pt>
                <pt idx="1154">
                  <v>-0.363767645546866</v>
                </pt>
                <pt idx="1155">
                  <v>-0.363767645546866</v>
                </pt>
                <pt idx="1156">
                  <v>-0.363767645546866</v>
                </pt>
                <pt idx="1157">
                  <v>-0.363767645546866</v>
                </pt>
                <pt idx="1158">
                  <v>-0.363767645546866</v>
                </pt>
                <pt idx="1159">
                  <v>-0.363767645546866</v>
                </pt>
                <pt idx="1160">
                  <v>-0.363767645546866</v>
                </pt>
                <pt idx="1161">
                  <v>-0.363767645546866</v>
                </pt>
                <pt idx="1162">
                  <v>-0.363767645546866</v>
                </pt>
                <pt idx="1163">
                  <v>-0.363767645546866</v>
                </pt>
                <pt idx="1164">
                  <v>-0.363767645546866</v>
                </pt>
                <pt idx="1165">
                  <v>-0.363767645546866</v>
                </pt>
                <pt idx="1166">
                  <v>-0.363767645546866</v>
                </pt>
                <pt idx="1167">
                  <v>-0.363767645546866</v>
                </pt>
                <pt idx="1168">
                  <v>-0.363767645546866</v>
                </pt>
                <pt idx="1169">
                  <v>-0.363767645546866</v>
                </pt>
                <pt idx="1170">
                  <v>-0.363767645546866</v>
                </pt>
                <pt idx="1171">
                  <v>-0.363767645546866</v>
                </pt>
                <pt idx="1172">
                  <v>-0.363767645546866</v>
                </pt>
                <pt idx="1173">
                  <v>-0.363767645546866</v>
                </pt>
                <pt idx="1174">
                  <v>-0.363767645546866</v>
                </pt>
                <pt idx="1175">
                  <v>-0.363767645546866</v>
                </pt>
                <pt idx="1176">
                  <v>-0.363767645546866</v>
                </pt>
                <pt idx="1177">
                  <v>-0.363767645546866</v>
                </pt>
                <pt idx="1178">
                  <v>-0.363767645546866</v>
                </pt>
                <pt idx="1179">
                  <v>-0.363767645546866</v>
                </pt>
                <pt idx="1180">
                  <v>-0.363767645546866</v>
                </pt>
                <pt idx="1181">
                  <v>-0.363767645546866</v>
                </pt>
                <pt idx="1182">
                  <v>-0.363767645546866</v>
                </pt>
                <pt idx="1183">
                  <v>-0.363767645546866</v>
                </pt>
                <pt idx="1184">
                  <v>-0.363767645546866</v>
                </pt>
                <pt idx="1185">
                  <v>-0.363767645546866</v>
                </pt>
                <pt idx="1186">
                  <v>-0.363767645546866</v>
                </pt>
                <pt idx="1187">
                  <v>-0.363767645546866</v>
                </pt>
                <pt idx="1188">
                  <v>-0.363767645546866</v>
                </pt>
                <pt idx="1189">
                  <v>-0.363767645546866</v>
                </pt>
                <pt idx="1190">
                  <v>-0.363767645546866</v>
                </pt>
                <pt idx="1191">
                  <v>-0.363767645546866</v>
                </pt>
                <pt idx="1192">
                  <v>-0.363767645546866</v>
                </pt>
                <pt idx="1193">
                  <v>-0.363767645546866</v>
                </pt>
                <pt idx="1194">
                  <v>-0.363767645546866</v>
                </pt>
                <pt idx="1195">
                  <v>-0.363767645546866</v>
                </pt>
                <pt idx="1196">
                  <v>-0.363767645546866</v>
                </pt>
                <pt idx="1197">
                  <v>-0.363767645546866</v>
                </pt>
                <pt idx="1198">
                  <v>-0.363767645546866</v>
                </pt>
                <pt idx="1199">
                  <v>-0.363767645546866</v>
                </pt>
                <pt idx="1200">
                  <v>-0.363767645546866</v>
                </pt>
                <pt idx="1201">
                  <v>-0.363767645546866</v>
                </pt>
                <pt idx="1202">
                  <v>-0.363767645546866</v>
                </pt>
                <pt idx="1203">
                  <v>-0.363767645546866</v>
                </pt>
                <pt idx="1204">
                  <v>-0.363767645546866</v>
                </pt>
                <pt idx="1205">
                  <v>-0.363767645546866</v>
                </pt>
                <pt idx="1206">
                  <v>-0.363767645546866</v>
                </pt>
                <pt idx="1207">
                  <v>-0.363767645546866</v>
                </pt>
                <pt idx="1208">
                  <v>-0.363767645546866</v>
                </pt>
                <pt idx="1209">
                  <v>-0.363767645546866</v>
                </pt>
                <pt idx="1210">
                  <v>-0.363767645546866</v>
                </pt>
                <pt idx="1211">
                  <v>-0.363767645546866</v>
                </pt>
                <pt idx="1212">
                  <v>-0.363767645546866</v>
                </pt>
                <pt idx="1213">
                  <v>-0.363767645546866</v>
                </pt>
                <pt idx="1214">
                  <v>-0.363767645546866</v>
                </pt>
                <pt idx="1215">
                  <v>-0.363767645546866</v>
                </pt>
                <pt idx="1216">
                  <v>-0.363767645546866</v>
                </pt>
                <pt idx="1217">
                  <v>-0.363767645546866</v>
                </pt>
                <pt idx="1218">
                  <v>-0.363767645546866</v>
                </pt>
                <pt idx="1219">
                  <v>-0.363767645546866</v>
                </pt>
                <pt idx="1220">
                  <v>-0.363767645546866</v>
                </pt>
                <pt idx="1221">
                  <v>-0.363767645546866</v>
                </pt>
                <pt idx="1222">
                  <v>-0.363767645546866</v>
                </pt>
                <pt idx="1223">
                  <v>-0.363767645546866</v>
                </pt>
                <pt idx="1224">
                  <v>-0.363767645546866</v>
                </pt>
                <pt idx="1225">
                  <v>-0.363767645546866</v>
                </pt>
                <pt idx="1226">
                  <v>-0.363767645546866</v>
                </pt>
                <pt idx="1227">
                  <v>-0.363767645546866</v>
                </pt>
                <pt idx="1228">
                  <v>-0.363767645546866</v>
                </pt>
                <pt idx="1229">
                  <v>-0.363767645546866</v>
                </pt>
                <pt idx="1230">
                  <v>-0.363767645546866</v>
                </pt>
                <pt idx="1231">
                  <v>-0.363767645546866</v>
                </pt>
                <pt idx="1232">
                  <v>-0.363767645546866</v>
                </pt>
                <pt idx="1233">
                  <v>-0.363767645546866</v>
                </pt>
                <pt idx="1234">
                  <v>-0.363767645546866</v>
                </pt>
                <pt idx="1235">
                  <v>-0.363767645546866</v>
                </pt>
                <pt idx="1236">
                  <v>-0.363767645546866</v>
                </pt>
                <pt idx="1237">
                  <v>-0.363767645546866</v>
                </pt>
                <pt idx="1238">
                  <v>-0.363767645546866</v>
                </pt>
                <pt idx="1239">
                  <v>-0.363767645546866</v>
                </pt>
                <pt idx="1240">
                  <v>-0.363767645546866</v>
                </pt>
                <pt idx="1241">
                  <v>-0.363767645546866</v>
                </pt>
                <pt idx="1242">
                  <v>-0.363767645546866</v>
                </pt>
                <pt idx="1243">
                  <v>-0.363767645546866</v>
                </pt>
                <pt idx="1244">
                  <v>-0.363767645546866</v>
                </pt>
                <pt idx="1245">
                  <v>-0.363767645546866</v>
                </pt>
                <pt idx="1246">
                  <v>-0.363767645546866</v>
                </pt>
                <pt idx="1247">
                  <v>-0.363767645546866</v>
                </pt>
                <pt idx="1248">
                  <v>-0.363767645546866</v>
                </pt>
                <pt idx="1249">
                  <v>-0.363767645546866</v>
                </pt>
                <pt idx="1250">
                  <v>-0.363767645546866</v>
                </pt>
                <pt idx="1251">
                  <v>-0.363767645546866</v>
                </pt>
                <pt idx="1252">
                  <v>-0.363767645546866</v>
                </pt>
                <pt idx="1253">
                  <v>-0.363767645546866</v>
                </pt>
                <pt idx="1254">
                  <v>-0.363767645546866</v>
                </pt>
                <pt idx="1255">
                  <v>-0.363767645546866</v>
                </pt>
                <pt idx="1256">
                  <v>-0.363767645546866</v>
                </pt>
                <pt idx="1257">
                  <v>-0.363767645546866</v>
                </pt>
                <pt idx="1258">
                  <v>-0.363767645546866</v>
                </pt>
                <pt idx="1259">
                  <v>-0.363767645546866</v>
                </pt>
                <pt idx="1260">
                  <v>-0.363767645546866</v>
                </pt>
                <pt idx="1261">
                  <v>-0.363767645546866</v>
                </pt>
                <pt idx="1262">
                  <v>-0.363767645546866</v>
                </pt>
                <pt idx="1263">
                  <v>-0.363767645546866</v>
                </pt>
                <pt idx="1264">
                  <v>-0.363767645546866</v>
                </pt>
                <pt idx="1265">
                  <v>-0.363767645546866</v>
                </pt>
                <pt idx="1266">
                  <v>-0.363767645546866</v>
                </pt>
                <pt idx="1267">
                  <v>-0.363767645546866</v>
                </pt>
                <pt idx="1268">
                  <v>-0.363767645546866</v>
                </pt>
                <pt idx="1269">
                  <v>-0.363767645546866</v>
                </pt>
                <pt idx="1270">
                  <v>-0.363767645546866</v>
                </pt>
                <pt idx="1271">
                  <v>-0.363767645546866</v>
                </pt>
                <pt idx="1272">
                  <v>-0.363767645546866</v>
                </pt>
                <pt idx="1273">
                  <v>-0.363767645546866</v>
                </pt>
                <pt idx="1274">
                  <v>-0.363767645546866</v>
                </pt>
                <pt idx="1275">
                  <v>-0.363767645546866</v>
                </pt>
                <pt idx="1276">
                  <v>-0.363767645546866</v>
                </pt>
                <pt idx="1277">
                  <v>-0.363767645546866</v>
                </pt>
                <pt idx="1278">
                  <v>-0.363767645546866</v>
                </pt>
                <pt idx="1279">
                  <v>-0.363767645546866</v>
                </pt>
                <pt idx="1280">
                  <v>-0.363767645546866</v>
                </pt>
                <pt idx="1281">
                  <v>-0.363767645546866</v>
                </pt>
                <pt idx="1282">
                  <v>-0.363767645546866</v>
                </pt>
                <pt idx="1283">
                  <v>-0.363767645546866</v>
                </pt>
                <pt idx="1284">
                  <v>-0.363767645546866</v>
                </pt>
                <pt idx="1285">
                  <v>-0.363767645546866</v>
                </pt>
                <pt idx="1286">
                  <v>-0.363767645546866</v>
                </pt>
                <pt idx="1287">
                  <v>-0.363767645546866</v>
                </pt>
                <pt idx="1288">
                  <v>-0.363767645546866</v>
                </pt>
                <pt idx="1289">
                  <v>-0.363767645546866</v>
                </pt>
                <pt idx="1290">
                  <v>-0.363767645546866</v>
                </pt>
                <pt idx="1291">
                  <v>-0.363767645546866</v>
                </pt>
                <pt idx="1292">
                  <v>-0.363767645546866</v>
                </pt>
                <pt idx="1293">
                  <v>-0.363767645546866</v>
                </pt>
                <pt idx="1294">
                  <v>-0.363767645546866</v>
                </pt>
                <pt idx="1295">
                  <v>-0.363767645546866</v>
                </pt>
                <pt idx="1296">
                  <v>-0.363767645546866</v>
                </pt>
                <pt idx="1297">
                  <v>-0.363767645546866</v>
                </pt>
                <pt idx="1298">
                  <v>-0.363767645546866</v>
                </pt>
                <pt idx="1299">
                  <v>-0.363767645546866</v>
                </pt>
                <pt idx="1300">
                  <v>-0.363767645546866</v>
                </pt>
                <pt idx="1301">
                  <v>-0.363767645546866</v>
                </pt>
                <pt idx="1302">
                  <v>-0.363767645546866</v>
                </pt>
                <pt idx="1303">
                  <v>-0.363767645546866</v>
                </pt>
                <pt idx="1304">
                  <v>-0.363767645546866</v>
                </pt>
                <pt idx="1305">
                  <v>-0.363767645546866</v>
                </pt>
                <pt idx="1306">
                  <v>-0.363767645546866</v>
                </pt>
                <pt idx="1307">
                  <v>-0.363767645546866</v>
                </pt>
                <pt idx="1308">
                  <v>-0.363767645546866</v>
                </pt>
                <pt idx="1309">
                  <v>-0.363767645546866</v>
                </pt>
                <pt idx="1310">
                  <v>-0.363767645546866</v>
                </pt>
                <pt idx="1311">
                  <v>-0.363767645546866</v>
                </pt>
                <pt idx="1312">
                  <v>-0.363767645546866</v>
                </pt>
                <pt idx="1313">
                  <v>-0.363767645546866</v>
                </pt>
                <pt idx="1314">
                  <v>-0.363767645546866</v>
                </pt>
                <pt idx="1315">
                  <v>-0.363767645546866</v>
                </pt>
                <pt idx="1316">
                  <v>-0.363767645546866</v>
                </pt>
                <pt idx="1317">
                  <v>-0.363767645546866</v>
                </pt>
                <pt idx="1318">
                  <v>-0.363767645546866</v>
                </pt>
                <pt idx="1319">
                  <v>-0.363767645546866</v>
                </pt>
                <pt idx="1320">
                  <v>-0.363767645546866</v>
                </pt>
                <pt idx="1321">
                  <v>-0.363767645546866</v>
                </pt>
                <pt idx="1322">
                  <v>-0.363767645546866</v>
                </pt>
                <pt idx="1323">
                  <v>-0.363767645546866</v>
                </pt>
                <pt idx="1324">
                  <v>-0.363767645546866</v>
                </pt>
                <pt idx="1325">
                  <v>-0.363767645546866</v>
                </pt>
                <pt idx="1326">
                  <v>-0.363767645546866</v>
                </pt>
                <pt idx="1327">
                  <v>-0.363767645546866</v>
                </pt>
                <pt idx="1328">
                  <v>-0.363767645546866</v>
                </pt>
                <pt idx="1329">
                  <v>-0.363767645546866</v>
                </pt>
                <pt idx="1330">
                  <v>-0.363767645546866</v>
                </pt>
                <pt idx="1331">
                  <v>-0.363767645546866</v>
                </pt>
                <pt idx="1332">
                  <v>-0.363767645546866</v>
                </pt>
                <pt idx="1333">
                  <v>-0.363767645546866</v>
                </pt>
                <pt idx="1334">
                  <v>-0.363767645546866</v>
                </pt>
                <pt idx="1335">
                  <v>-0.363767645546866</v>
                </pt>
                <pt idx="1336">
                  <v>-0.363767645546866</v>
                </pt>
                <pt idx="1337">
                  <v>-0.363767645546866</v>
                </pt>
                <pt idx="1338">
                  <v>-0.363767645546866</v>
                </pt>
                <pt idx="1339">
                  <v>-0.363767645546866</v>
                </pt>
                <pt idx="1340">
                  <v>-0.363767645546866</v>
                </pt>
                <pt idx="1341">
                  <v>-0.363767645546866</v>
                </pt>
                <pt idx="1342">
                  <v>-0.363767645546866</v>
                </pt>
                <pt idx="1343">
                  <v>-0.363767645546866</v>
                </pt>
                <pt idx="1344">
                  <v>-0.363767645546866</v>
                </pt>
                <pt idx="1345">
                  <v>-0.363767645546866</v>
                </pt>
                <pt idx="1346">
                  <v>-0.363767645546866</v>
                </pt>
                <pt idx="1347">
                  <v>-0.363767645546866</v>
                </pt>
                <pt idx="1348">
                  <v>-0.363767645546866</v>
                </pt>
                <pt idx="1349">
                  <v>-0.363767645546866</v>
                </pt>
                <pt idx="1350">
                  <v>-0.363767645546866</v>
                </pt>
                <pt idx="1351">
                  <v>-0.363767645546866</v>
                </pt>
                <pt idx="1352">
                  <v>-0.363767645546866</v>
                </pt>
                <pt idx="1353">
                  <v>-0.363767645546866</v>
                </pt>
                <pt idx="1354">
                  <v>-0.363767645546866</v>
                </pt>
                <pt idx="1355">
                  <v>-0.363767645546866</v>
                </pt>
                <pt idx="1356">
                  <v>-0.363767645546866</v>
                </pt>
                <pt idx="1357">
                  <v>-0.363767645546866</v>
                </pt>
                <pt idx="1358">
                  <v>-0.363767645546866</v>
                </pt>
                <pt idx="1359">
                  <v>-0.363767645546866</v>
                </pt>
                <pt idx="1360">
                  <v>-0.363767645546866</v>
                </pt>
                <pt idx="1361">
                  <v>-0.363767645546866</v>
                </pt>
                <pt idx="1362">
                  <v>-0.363767645546866</v>
                </pt>
                <pt idx="1363">
                  <v>-0.363767645546866</v>
                </pt>
                <pt idx="1364">
                  <v>-0.363767645546866</v>
                </pt>
                <pt idx="1365">
                  <v>-0.363767645546866</v>
                </pt>
                <pt idx="1366">
                  <v>-0.363767645546866</v>
                </pt>
                <pt idx="1367">
                  <v>-0.363767645546866</v>
                </pt>
                <pt idx="1368">
                  <v>-0.363767645546866</v>
                </pt>
                <pt idx="1369">
                  <v>-0.363767645546866</v>
                </pt>
                <pt idx="1370">
                  <v>-0.363767645546866</v>
                </pt>
                <pt idx="1371">
                  <v>-0.363767645546866</v>
                </pt>
                <pt idx="1372">
                  <v>-0.363767645546866</v>
                </pt>
                <pt idx="1373">
                  <v>-0.363767645546866</v>
                </pt>
                <pt idx="1374">
                  <v>-0.363767645546866</v>
                </pt>
                <pt idx="1375">
                  <v>-0.363767645546866</v>
                </pt>
                <pt idx="1376">
                  <v>-0.363767645546866</v>
                </pt>
                <pt idx="1377">
                  <v>-0.363767645546866</v>
                </pt>
                <pt idx="1378">
                  <v>-0.363767645546866</v>
                </pt>
                <pt idx="1379">
                  <v>-0.363767645546866</v>
                </pt>
                <pt idx="1380">
                  <v>-0.363767645546866</v>
                </pt>
                <pt idx="1381">
                  <v>-0.363767645546866</v>
                </pt>
                <pt idx="1382">
                  <v>-0.363767645546866</v>
                </pt>
                <pt idx="1383">
                  <v>-0.363767645546866</v>
                </pt>
                <pt idx="1384">
                  <v>-0.363767645546866</v>
                </pt>
                <pt idx="1385">
                  <v>-0.363767645546866</v>
                </pt>
                <pt idx="1386">
                  <v>-0.363767645546866</v>
                </pt>
                <pt idx="1387">
                  <v>-0.363767645546866</v>
                </pt>
                <pt idx="1388">
                  <v>-0.363767645546866</v>
                </pt>
                <pt idx="1389">
                  <v>-0.363767645546866</v>
                </pt>
                <pt idx="1390">
                  <v>-0.363767645546866</v>
                </pt>
                <pt idx="1391">
                  <v>-0.363767645546866</v>
                </pt>
                <pt idx="1392">
                  <v>-0.363767645546866</v>
                </pt>
                <pt idx="1393">
                  <v>-0.363767645546866</v>
                </pt>
                <pt idx="1394">
                  <v>-0.363767645546866</v>
                </pt>
                <pt idx="1395">
                  <v>-0.363767645546866</v>
                </pt>
                <pt idx="1396">
                  <v>-0.363767645546866</v>
                </pt>
                <pt idx="1397">
                  <v>-0.363767645546866</v>
                </pt>
                <pt idx="1398">
                  <v>-0.363767645546866</v>
                </pt>
                <pt idx="1399">
                  <v>-0.363767645546866</v>
                </pt>
                <pt idx="1400">
                  <v>-0.363767645546866</v>
                </pt>
                <pt idx="1401">
                  <v>-0.363767645546866</v>
                </pt>
                <pt idx="1402">
                  <v>-0.363767645546866</v>
                </pt>
                <pt idx="1403">
                  <v>-0.363767645546866</v>
                </pt>
                <pt idx="1404">
                  <v>-0.363767645546866</v>
                </pt>
                <pt idx="1405">
                  <v>-0.363767645546866</v>
                </pt>
                <pt idx="1406">
                  <v>-0.363767645546866</v>
                </pt>
                <pt idx="1407">
                  <v>-0.363767645546866</v>
                </pt>
                <pt idx="1408">
                  <v>-0.363767645546866</v>
                </pt>
                <pt idx="1409">
                  <v>-0.363767645546866</v>
                </pt>
                <pt idx="1410">
                  <v>-0.363767645546866</v>
                </pt>
                <pt idx="1411">
                  <v>-0.363767645546866</v>
                </pt>
                <pt idx="1412">
                  <v>-0.363767645546866</v>
                </pt>
                <pt idx="1413">
                  <v>-0.363767645546866</v>
                </pt>
                <pt idx="1414">
                  <v>-0.363767645546866</v>
                </pt>
                <pt idx="1415">
                  <v>-0.363767645546866</v>
                </pt>
                <pt idx="1416">
                  <v>-0.363767645546866</v>
                </pt>
                <pt idx="1417">
                  <v>-0.363767645546866</v>
                </pt>
                <pt idx="1418">
                  <v>-0.363767645546866</v>
                </pt>
                <pt idx="1419">
                  <v>-0.363767645546866</v>
                </pt>
                <pt idx="1420">
                  <v>-0.363767645546866</v>
                </pt>
                <pt idx="1421">
                  <v>-0.363767645546866</v>
                </pt>
                <pt idx="1422">
                  <v>-0.363767645546866</v>
                </pt>
                <pt idx="1423">
                  <v>-0.363767645546866</v>
                </pt>
                <pt idx="1424">
                  <v>-0.363767645546866</v>
                </pt>
                <pt idx="1425">
                  <v>-0.363767645546866</v>
                </pt>
                <pt idx="1426">
                  <v>-0.363767645546866</v>
                </pt>
                <pt idx="1427">
                  <v>-0.363767645546866</v>
                </pt>
                <pt idx="1428">
                  <v>-0.363767645546866</v>
                </pt>
                <pt idx="1429">
                  <v>-0.363767645546866</v>
                </pt>
                <pt idx="1430">
                  <v>-0.363767645546866</v>
                </pt>
                <pt idx="1431">
                  <v>-0.363767645546866</v>
                </pt>
                <pt idx="1432">
                  <v>-0.363767645546866</v>
                </pt>
                <pt idx="1433">
                  <v>-0.363767645546866</v>
                </pt>
                <pt idx="1434">
                  <v>-0.363767645546866</v>
                </pt>
                <pt idx="1435">
                  <v>-0.363767645546866</v>
                </pt>
                <pt idx="1436">
                  <v>-0.363767645546866</v>
                </pt>
                <pt idx="1437">
                  <v>-0.363767645546866</v>
                </pt>
                <pt idx="1438">
                  <v>-0.363767645546866</v>
                </pt>
                <pt idx="1439">
                  <v>-0.363767645546866</v>
                </pt>
                <pt idx="1440">
                  <v>-0.363767645546866</v>
                </pt>
                <pt idx="1441">
                  <v>-0.363767645546866</v>
                </pt>
                <pt idx="1442">
                  <v>-0.363767645546866</v>
                </pt>
                <pt idx="1443">
                  <v>-0.363767645546866</v>
                </pt>
                <pt idx="1444">
                  <v>-0.363767645546866</v>
                </pt>
                <pt idx="1445">
                  <v>-0.363767645546866</v>
                </pt>
                <pt idx="1446">
                  <v>-0.363767645546866</v>
                </pt>
                <pt idx="1447">
                  <v>-0.363767645546866</v>
                </pt>
                <pt idx="1448">
                  <v>-0.363767645546866</v>
                </pt>
                <pt idx="1449">
                  <v>-0.363767645546866</v>
                </pt>
                <pt idx="1450">
                  <v>-0.363767645546866</v>
                </pt>
                <pt idx="1451">
                  <v>-0.363767645546866</v>
                </pt>
                <pt idx="1452">
                  <v>-0.363767645546866</v>
                </pt>
                <pt idx="1453">
                  <v>-0.363767645546866</v>
                </pt>
                <pt idx="1454">
                  <v>-0.363767645546866</v>
                </pt>
                <pt idx="1455">
                  <v>-0.363767645546866</v>
                </pt>
                <pt idx="1456">
                  <v>-0.363767645546866</v>
                </pt>
                <pt idx="1457">
                  <v>-0.363767645546866</v>
                </pt>
                <pt idx="1458">
                  <v>-0.363767645546866</v>
                </pt>
                <pt idx="1459">
                  <v>-0.363767645546866</v>
                </pt>
                <pt idx="1460">
                  <v>-0.363767645546866</v>
                </pt>
                <pt idx="1461">
                  <v>-0.363767645546866</v>
                </pt>
                <pt idx="1462">
                  <v>-0.363767645546866</v>
                </pt>
                <pt idx="1463">
                  <v>-0.363767645546866</v>
                </pt>
                <pt idx="1464">
                  <v>-0.363767645546866</v>
                </pt>
                <pt idx="1465">
                  <v>-0.363767645546866</v>
                </pt>
                <pt idx="1466">
                  <v>-0.363767645546866</v>
                </pt>
                <pt idx="1467">
                  <v>-0.363767645546866</v>
                </pt>
                <pt idx="1468">
                  <v>-0.363767645546866</v>
                </pt>
                <pt idx="1469">
                  <v>-0.363767645546866</v>
                </pt>
                <pt idx="1470">
                  <v>-0.363767645546866</v>
                </pt>
                <pt idx="1471">
                  <v>-0.363767645546866</v>
                </pt>
                <pt idx="1472">
                  <v>-0.363767645546866</v>
                </pt>
                <pt idx="1473">
                  <v>-0.363767645546866</v>
                </pt>
                <pt idx="1474">
                  <v>-0.363767645546866</v>
                </pt>
                <pt idx="1475">
                  <v>-0.363767645546866</v>
                </pt>
                <pt idx="1476">
                  <v>-0.363767645546866</v>
                </pt>
                <pt idx="1477">
                  <v>-0.363767645546866</v>
                </pt>
                <pt idx="1478">
                  <v>-0.363767645546866</v>
                </pt>
                <pt idx="1479">
                  <v>-0.363767645546866</v>
                </pt>
                <pt idx="1480">
                  <v>-0.363767645546866</v>
                </pt>
                <pt idx="1481">
                  <v>-0.363767645546866</v>
                </pt>
                <pt idx="1482">
                  <v>-0.363767645546866</v>
                </pt>
                <pt idx="1483">
                  <v>-0.363767645546866</v>
                </pt>
                <pt idx="1484">
                  <v>-0.363767645546866</v>
                </pt>
                <pt idx="1485">
                  <v>-0.363767645546866</v>
                </pt>
                <pt idx="1486">
                  <v>-0.363767645546866</v>
                </pt>
                <pt idx="1487">
                  <v>-0.363767645546866</v>
                </pt>
                <pt idx="1488">
                  <v>-0.363767645546866</v>
                </pt>
                <pt idx="1489">
                  <v>-0.363767645546866</v>
                </pt>
                <pt idx="1490">
                  <v>-0.363767645546866</v>
                </pt>
                <pt idx="1491">
                  <v>-0.363767645546866</v>
                </pt>
                <pt idx="1492">
                  <v>-0.363767645546866</v>
                </pt>
                <pt idx="1493">
                  <v>-0.363767645546866</v>
                </pt>
                <pt idx="1494">
                  <v>-0.363767645546866</v>
                </pt>
                <pt idx="1495">
                  <v>-0.363767645546866</v>
                </pt>
                <pt idx="1496">
                  <v>-0.363767645546866</v>
                </pt>
                <pt idx="1497">
                  <v>-0.363767645546866</v>
                </pt>
                <pt idx="1498">
                  <v>-0.363767645546866</v>
                </pt>
                <pt idx="1499">
                  <v>-0.363767645546866</v>
                </pt>
                <pt idx="1500">
                  <v>-0.363767645546866</v>
                </pt>
                <pt idx="1501">
                  <v>-0.363767645546866</v>
                </pt>
                <pt idx="1502">
                  <v>-0.363767645546866</v>
                </pt>
                <pt idx="1503">
                  <v>-0.363767645546866</v>
                </pt>
                <pt idx="1504">
                  <v>-0.363767645546866</v>
                </pt>
                <pt idx="1505">
                  <v>-0.363767645546866</v>
                </pt>
                <pt idx="1506">
                  <v>-0.363767645546866</v>
                </pt>
                <pt idx="1507">
                  <v>-0.363767645546866</v>
                </pt>
                <pt idx="1508">
                  <v>-0.363767645546866</v>
                </pt>
                <pt idx="1509">
                  <v>-0.363767645546866</v>
                </pt>
                <pt idx="1510">
                  <v>-0.363767645546866</v>
                </pt>
                <pt idx="1511">
                  <v>-0.363767645546866</v>
                </pt>
                <pt idx="1512">
                  <v>-0.363767645546866</v>
                </pt>
                <pt idx="1513">
                  <v>-0.363767645546866</v>
                </pt>
                <pt idx="1514">
                  <v>-0.363767645546866</v>
                </pt>
                <pt idx="1515">
                  <v>-0.363767645546866</v>
                </pt>
                <pt idx="1516">
                  <v>-0.363767645546866</v>
                </pt>
                <pt idx="1517">
                  <v>-0.363767645546866</v>
                </pt>
                <pt idx="1518">
                  <v>-0.363767645546866</v>
                </pt>
                <pt idx="1519">
                  <v>-0.363767645546866</v>
                </pt>
                <pt idx="1520">
                  <v>-0.363767645546866</v>
                </pt>
                <pt idx="1521">
                  <v>-0.363767645546866</v>
                </pt>
                <pt idx="1522">
                  <v>-0.363767645546866</v>
                </pt>
                <pt idx="1523">
                  <v>-0.363767645546866</v>
                </pt>
                <pt idx="1524">
                  <v>-0.363767645546866</v>
                </pt>
                <pt idx="1525">
                  <v>-0.363767645546866</v>
                </pt>
                <pt idx="1526">
                  <v>-0.363767645546866</v>
                </pt>
                <pt idx="1527">
                  <v>-0.363767645546866</v>
                </pt>
                <pt idx="1528">
                  <v>-0.363767645546866</v>
                </pt>
                <pt idx="1529">
                  <v>-0.363767645546866</v>
                </pt>
                <pt idx="1530">
                  <v>-0.363767645546866</v>
                </pt>
                <pt idx="1531">
                  <v>-0.363767645546866</v>
                </pt>
                <pt idx="1532">
                  <v>-0.363767645546866</v>
                </pt>
                <pt idx="1533">
                  <v>-0.363767645546866</v>
                </pt>
                <pt idx="1534">
                  <v>-0.363767645546866</v>
                </pt>
                <pt idx="1535">
                  <v>-0.363767645546866</v>
                </pt>
                <pt idx="1536">
                  <v>-0.363767645546866</v>
                </pt>
                <pt idx="1537">
                  <v>-0.363767645546866</v>
                </pt>
                <pt idx="1538">
                  <v>-0.363767645546866</v>
                </pt>
                <pt idx="1539">
                  <v>-0.363767645546866</v>
                </pt>
                <pt idx="1540">
                  <v>-0.363767645546866</v>
                </pt>
                <pt idx="1541">
                  <v>-0.363767645546866</v>
                </pt>
                <pt idx="1542">
                  <v>-0.363767645546866</v>
                </pt>
                <pt idx="1543">
                  <v>-0.363767645546866</v>
                </pt>
                <pt idx="1544">
                  <v>-0.363767645546866</v>
                </pt>
                <pt idx="1545">
                  <v>-0.363767645546866</v>
                </pt>
                <pt idx="1546">
                  <v>-0.363767645546866</v>
                </pt>
                <pt idx="1547">
                  <v>-0.363767645546866</v>
                </pt>
                <pt idx="1548">
                  <v>-0.363767645546866</v>
                </pt>
                <pt idx="1549">
                  <v>-0.363767645546866</v>
                </pt>
                <pt idx="1550">
                  <v>-0.363767645546866</v>
                </pt>
                <pt idx="1551">
                  <v>-0.363767645546866</v>
                </pt>
                <pt idx="1552">
                  <v>-0.363767645546866</v>
                </pt>
                <pt idx="1553">
                  <v>-0.363767645546866</v>
                </pt>
                <pt idx="1554">
                  <v>-0.363767645546866</v>
                </pt>
                <pt idx="1555">
                  <v>-0.363767645546866</v>
                </pt>
                <pt idx="1556">
                  <v>-0.363767645546866</v>
                </pt>
                <pt idx="1557">
                  <v>-0.363767645546866</v>
                </pt>
                <pt idx="1558">
                  <v>-0.363767645546866</v>
                </pt>
                <pt idx="1559">
                  <v>-0.363767645546866</v>
                </pt>
                <pt idx="1560">
                  <v>-0.363767645546866</v>
                </pt>
                <pt idx="1561">
                  <v>-0.363767645546866</v>
                </pt>
                <pt idx="1562">
                  <v>-0.363767645546866</v>
                </pt>
                <pt idx="1563">
                  <v>-0.363767645546866</v>
                </pt>
                <pt idx="1564">
                  <v>-0.363767645546866</v>
                </pt>
                <pt idx="1565">
                  <v>-0.363767645546866</v>
                </pt>
                <pt idx="1566">
                  <v>-0.363767645546866</v>
                </pt>
                <pt idx="1567">
                  <v>-0.363767645546866</v>
                </pt>
                <pt idx="1568">
                  <v>-0.363767645546866</v>
                </pt>
                <pt idx="1569">
                  <v>-0.363767645546866</v>
                </pt>
                <pt idx="1570">
                  <v>-0.363767645546866</v>
                </pt>
                <pt idx="1571">
                  <v>-0.363767645546866</v>
                </pt>
                <pt idx="1572">
                  <v>-0.363767645546866</v>
                </pt>
                <pt idx="1573">
                  <v>-0.363767645546866</v>
                </pt>
                <pt idx="1574">
                  <v>-0.363767645546866</v>
                </pt>
                <pt idx="1575">
                  <v>-0.363767645546866</v>
                </pt>
                <pt idx="1576">
                  <v>-0.363767645546866</v>
                </pt>
                <pt idx="1577">
                  <v>-0.363767645546866</v>
                </pt>
                <pt idx="1578">
                  <v>-0.363767645546866</v>
                </pt>
                <pt idx="1579">
                  <v>-0.363767645546866</v>
                </pt>
                <pt idx="1580">
                  <v>-0.363767645546866</v>
                </pt>
                <pt idx="1581">
                  <v>-0.363767645546866</v>
                </pt>
                <pt idx="1582">
                  <v>-0.363767645546866</v>
                </pt>
                <pt idx="1583">
                  <v>-0.363767645546866</v>
                </pt>
                <pt idx="1584">
                  <v>-0.363767645546866</v>
                </pt>
                <pt idx="1585">
                  <v>-0.363767645546866</v>
                </pt>
                <pt idx="1586">
                  <v>-0.363767645546866</v>
                </pt>
                <pt idx="1587">
                  <v>-0.363767645546866</v>
                </pt>
                <pt idx="1588">
                  <v>-0.363767645546866</v>
                </pt>
                <pt idx="1589">
                  <v>-0.363767645546866</v>
                </pt>
                <pt idx="1590">
                  <v>-0.363767645546866</v>
                </pt>
                <pt idx="1591">
                  <v>-0.363767645546866</v>
                </pt>
                <pt idx="1592">
                  <v>-0.363767645546866</v>
                </pt>
                <pt idx="1593">
                  <v>-0.363767645546866</v>
                </pt>
                <pt idx="1594">
                  <v>-0.363767645546866</v>
                </pt>
                <pt idx="1595">
                  <v>-0.363767645546866</v>
                </pt>
                <pt idx="1596">
                  <v>-0.363767645546866</v>
                </pt>
                <pt idx="1597">
                  <v>-0.363767645546866</v>
                </pt>
                <pt idx="1598">
                  <v>-0.363767645546866</v>
                </pt>
                <pt idx="1599">
                  <v>-0.363767645546866</v>
                </pt>
                <pt idx="1600">
                  <v>-0.363767645546866</v>
                </pt>
                <pt idx="1601">
                  <v>-0.363767645546866</v>
                </pt>
                <pt idx="1602">
                  <v>-0.363767645546866</v>
                </pt>
                <pt idx="1603">
                  <v>-0.363767645546866</v>
                </pt>
                <pt idx="1604">
                  <v>-0.363767645546866</v>
                </pt>
                <pt idx="1605">
                  <v>-0.363767645546866</v>
                </pt>
                <pt idx="1606">
                  <v>-0.363767645546866</v>
                </pt>
                <pt idx="1607">
                  <v>-0.363767645546866</v>
                </pt>
                <pt idx="1608">
                  <v>-0.363767645546866</v>
                </pt>
                <pt idx="1609">
                  <v>-0.363767645546866</v>
                </pt>
                <pt idx="1610">
                  <v>-0.363767645546866</v>
                </pt>
                <pt idx="1611">
                  <v>-0.363767645546866</v>
                </pt>
                <pt idx="1612">
                  <v>-0.363767645546866</v>
                </pt>
                <pt idx="1613">
                  <v>-0.363767645546866</v>
                </pt>
                <pt idx="1614">
                  <v>-0.363767645546866</v>
                </pt>
                <pt idx="1615">
                  <v>-0.363767645546866</v>
                </pt>
                <pt idx="1616">
                  <v>-0.363767645546866</v>
                </pt>
                <pt idx="1617">
                  <v>-0.363767645546866</v>
                </pt>
                <pt idx="1618">
                  <v>-0.363767645546866</v>
                </pt>
                <pt idx="1619">
                  <v>-0.363767645546866</v>
                </pt>
                <pt idx="1620">
                  <v>-0.363767645546866</v>
                </pt>
                <pt idx="1621">
                  <v>-0.363767645546866</v>
                </pt>
                <pt idx="1622">
                  <v>-0.363767645546866</v>
                </pt>
                <pt idx="1623">
                  <v>-0.363767645546866</v>
                </pt>
                <pt idx="1624">
                  <v>-0.363767645546866</v>
                </pt>
                <pt idx="1625">
                  <v>-0.363767645546866</v>
                </pt>
                <pt idx="1626">
                  <v>-0.363767645546866</v>
                </pt>
                <pt idx="1627">
                  <v>-0.363767645546866</v>
                </pt>
                <pt idx="1628">
                  <v>-0.363767645546866</v>
                </pt>
                <pt idx="1629">
                  <v>-0.363767645546866</v>
                </pt>
                <pt idx="1630">
                  <v>-0.363767645546866</v>
                </pt>
                <pt idx="1631">
                  <v>-0.363767645546866</v>
                </pt>
                <pt idx="1632">
                  <v>-0.363767645546866</v>
                </pt>
                <pt idx="1633">
                  <v>-0.363767645546866</v>
                </pt>
                <pt idx="1634">
                  <v>-0.363767645546866</v>
                </pt>
                <pt idx="1635">
                  <v>-0.363767645546866</v>
                </pt>
                <pt idx="1636">
                  <v>-0.363767645546866</v>
                </pt>
                <pt idx="1637">
                  <v>-0.363767645546866</v>
                </pt>
                <pt idx="1638">
                  <v>-0.363767645546866</v>
                </pt>
                <pt idx="1639">
                  <v>-0.363767645546866</v>
                </pt>
                <pt idx="1640">
                  <v>-0.363767645546866</v>
                </pt>
                <pt idx="1641">
                  <v>-0.363767645546866</v>
                </pt>
                <pt idx="1642">
                  <v>-0.363767645546866</v>
                </pt>
                <pt idx="1643">
                  <v>-0.363767645546866</v>
                </pt>
                <pt idx="1644">
                  <v>-0.363767645546866</v>
                </pt>
                <pt idx="1645">
                  <v>-0.363767645546866</v>
                </pt>
                <pt idx="1646">
                  <v>-0.363767645546866</v>
                </pt>
                <pt idx="1647">
                  <v>-0.363767645546866</v>
                </pt>
                <pt idx="1648">
                  <v>-0.363767645546866</v>
                </pt>
                <pt idx="1649">
                  <v>-0.363767645546866</v>
                </pt>
                <pt idx="1650">
                  <v>-0.363767645546866</v>
                </pt>
                <pt idx="1651">
                  <v>-0.363767645546866</v>
                </pt>
                <pt idx="1652">
                  <v>-0.363767645546866</v>
                </pt>
                <pt idx="1653">
                  <v>-0.363767645546866</v>
                </pt>
                <pt idx="1654">
                  <v>-0.363767645546866</v>
                </pt>
                <pt idx="1655">
                  <v>-0.363767645546866</v>
                </pt>
                <pt idx="1656">
                  <v>-0.363767645546866</v>
                </pt>
                <pt idx="1657">
                  <v>-0.363767645546866</v>
                </pt>
                <pt idx="1658">
                  <v>-0.363767645546866</v>
                </pt>
                <pt idx="1659">
                  <v>-0.363767645546866</v>
                </pt>
                <pt idx="1660">
                  <v>-0.363767645546866</v>
                </pt>
                <pt idx="1661">
                  <v>-0.363767645546866</v>
                </pt>
                <pt idx="1662">
                  <v>-0.363767645546866</v>
                </pt>
                <pt idx="1663">
                  <v>-0.363767645546866</v>
                </pt>
                <pt idx="1664">
                  <v>-0.363767645546866</v>
                </pt>
                <pt idx="1665">
                  <v>-0.363767645546866</v>
                </pt>
                <pt idx="1666">
                  <v>-0.363767645546866</v>
                </pt>
                <pt idx="1667">
                  <v>-0.363767645546866</v>
                </pt>
                <pt idx="1668">
                  <v>-0.363767645546866</v>
                </pt>
                <pt idx="1669">
                  <v>-0.363767645546866</v>
                </pt>
                <pt idx="1670">
                  <v>-0.363767645546866</v>
                </pt>
                <pt idx="1671">
                  <v>-0.363767645546866</v>
                </pt>
                <pt idx="1672">
                  <v>-0.363767645546866</v>
                </pt>
                <pt idx="1673">
                  <v>-0.363767645546866</v>
                </pt>
                <pt idx="1674">
                  <v>-0.363767645546866</v>
                </pt>
                <pt idx="1675">
                  <v>-0.363767645546866</v>
                </pt>
                <pt idx="1676">
                  <v>-0.363767645546866</v>
                </pt>
                <pt idx="1677">
                  <v>-0.363767645546866</v>
                </pt>
                <pt idx="1678">
                  <v>-0.363767645546866</v>
                </pt>
                <pt idx="1679">
                  <v>-0.363767645546866</v>
                </pt>
                <pt idx="1680">
                  <v>-0.363767645546866</v>
                </pt>
                <pt idx="1681">
                  <v>-0.363767645546866</v>
                </pt>
                <pt idx="1682">
                  <v>-0.363767645546866</v>
                </pt>
                <pt idx="1683">
                  <v>-0.363767645546866</v>
                </pt>
                <pt idx="1684">
                  <v>-0.363767645546866</v>
                </pt>
                <pt idx="1685">
                  <v>-0.363767645546866</v>
                </pt>
                <pt idx="1686">
                  <v>-0.363767645546866</v>
                </pt>
                <pt idx="1687">
                  <v>-0.363767645546866</v>
                </pt>
                <pt idx="1688">
                  <v>-0.363767645546866</v>
                </pt>
                <pt idx="1689">
                  <v>-0.363767645546866</v>
                </pt>
                <pt idx="1690">
                  <v>-0.363767645546866</v>
                </pt>
                <pt idx="1691">
                  <v>-0.363767645546866</v>
                </pt>
                <pt idx="1692">
                  <v>-0.363767645546866</v>
                </pt>
                <pt idx="1693">
                  <v>-0.363767645546866</v>
                </pt>
                <pt idx="1694">
                  <v>-0.363767645546866</v>
                </pt>
                <pt idx="1695">
                  <v>-0.363767645546866</v>
                </pt>
                <pt idx="1696">
                  <v>-0.363767645546866</v>
                </pt>
                <pt idx="1697">
                  <v>-0.363767645546866</v>
                </pt>
                <pt idx="1698">
                  <v>-0.363767645546866</v>
                </pt>
                <pt idx="1699">
                  <v>-0.363767645546866</v>
                </pt>
                <pt idx="1700">
                  <v>-0.363767645546866</v>
                </pt>
                <pt idx="1701">
                  <v>-0.363767645546866</v>
                </pt>
                <pt idx="1702">
                  <v>-0.363767645546866</v>
                </pt>
                <pt idx="1703">
                  <v>-0.363767645546866</v>
                </pt>
                <pt idx="1704">
                  <v>-0.363767645546866</v>
                </pt>
                <pt idx="1705">
                  <v>-0.363767645546866</v>
                </pt>
                <pt idx="1706">
                  <v>-0.363767645546866</v>
                </pt>
                <pt idx="1707">
                  <v>-0.363767645546866</v>
                </pt>
                <pt idx="1708">
                  <v>-0.363767645546866</v>
                </pt>
                <pt idx="1709">
                  <v>-0.363767645546866</v>
                </pt>
                <pt idx="1710">
                  <v>-0.363767645546866</v>
                </pt>
                <pt idx="1711">
                  <v>-0.363767645546866</v>
                </pt>
                <pt idx="1712">
                  <v>-0.363767645546866</v>
                </pt>
                <pt idx="1713">
                  <v>-0.363767645546866</v>
                </pt>
                <pt idx="1714">
                  <v>-0.363767645546866</v>
                </pt>
                <pt idx="1715">
                  <v>-0.363767645546866</v>
                </pt>
                <pt idx="1716">
                  <v>-0.363767645546866</v>
                </pt>
                <pt idx="1717">
                  <v>-0.363767645546866</v>
                </pt>
                <pt idx="1718">
                  <v>-0.363767645546866</v>
                </pt>
                <pt idx="1719">
                  <v>-0.363767645546866</v>
                </pt>
                <pt idx="1720">
                  <v>-0.363767645546866</v>
                </pt>
                <pt idx="1721">
                  <v>-0.363767645546866</v>
                </pt>
                <pt idx="1722">
                  <v>-0.363767645546866</v>
                </pt>
                <pt idx="1723">
                  <v>-0.363767645546866</v>
                </pt>
                <pt idx="1724">
                  <v>-0.363767645546866</v>
                </pt>
                <pt idx="1725">
                  <v>-0.363767645546866</v>
                </pt>
                <pt idx="1726">
                  <v>-0.363767645546866</v>
                </pt>
                <pt idx="1727">
                  <v>-0.363767645546866</v>
                </pt>
                <pt idx="1728">
                  <v>-0.363767645546866</v>
                </pt>
                <pt idx="1729">
                  <v>-0.363767645546866</v>
                </pt>
                <pt idx="1730">
                  <v>-0.363767645546866</v>
                </pt>
                <pt idx="1731">
                  <v>-0.363767645546866</v>
                </pt>
                <pt idx="1732">
                  <v>-0.363767645546866</v>
                </pt>
                <pt idx="1733">
                  <v>-0.363767645546866</v>
                </pt>
                <pt idx="1734">
                  <v>-0.363767645546866</v>
                </pt>
                <pt idx="1735">
                  <v>-0.363767645546866</v>
                </pt>
                <pt idx="1736">
                  <v>-0.363767645546866</v>
                </pt>
                <pt idx="1737">
                  <v>-0.363767645546866</v>
                </pt>
                <pt idx="1738">
                  <v>-0.363767645546866</v>
                </pt>
                <pt idx="1739">
                  <v>-0.363767645546866</v>
                </pt>
                <pt idx="1740">
                  <v>-0.363767645546866</v>
                </pt>
                <pt idx="1741">
                  <v>-0.363767645546866</v>
                </pt>
                <pt idx="1742">
                  <v>-0.363767645546866</v>
                </pt>
                <pt idx="1743">
                  <v>-0.363767645546866</v>
                </pt>
                <pt idx="1744">
                  <v>-0.363767645546866</v>
                </pt>
                <pt idx="1745">
                  <v>-0.363767645546866</v>
                </pt>
                <pt idx="1746">
                  <v>-0.363767645546866</v>
                </pt>
                <pt idx="1747">
                  <v>-0.363767645546866</v>
                </pt>
                <pt idx="1748">
                  <v>-0.363767645546866</v>
                </pt>
                <pt idx="1749">
                  <v>-0.363767645546866</v>
                </pt>
                <pt idx="1750">
                  <v>-0.363767645546866</v>
                </pt>
                <pt idx="1751">
                  <v>-0.363767645546866</v>
                </pt>
                <pt idx="1752">
                  <v>-0.363767645546866</v>
                </pt>
                <pt idx="1753">
                  <v>-0.363767645546866</v>
                </pt>
                <pt idx="1754">
                  <v>-0.363767645546866</v>
                </pt>
                <pt idx="1755">
                  <v>-0.363767645546866</v>
                </pt>
                <pt idx="1756">
                  <v>-0.363767645546866</v>
                </pt>
                <pt idx="1757">
                  <v>-0.363767645546866</v>
                </pt>
                <pt idx="1758">
                  <v>-0.363767645546866</v>
                </pt>
                <pt idx="1759">
                  <v>-0.363767645546866</v>
                </pt>
                <pt idx="1760">
                  <v>-0.363767645546866</v>
                </pt>
                <pt idx="1761">
                  <v>-0.363767645546866</v>
                </pt>
                <pt idx="1762">
                  <v>-0.363767645546866</v>
                </pt>
                <pt idx="1763">
                  <v>-0.363767645546866</v>
                </pt>
                <pt idx="1764">
                  <v>-0.363767645546866</v>
                </pt>
                <pt idx="1765">
                  <v>-0.363767645546866</v>
                </pt>
                <pt idx="1766">
                  <v>-0.363767645546866</v>
                </pt>
                <pt idx="1767">
                  <v>-0.363767645546866</v>
                </pt>
                <pt idx="1768">
                  <v>-0.363767645546866</v>
                </pt>
                <pt idx="1769">
                  <v>-0.363767645546866</v>
                </pt>
                <pt idx="1770">
                  <v>-0.363767645546866</v>
                </pt>
                <pt idx="1771">
                  <v>-0.363767645546866</v>
                </pt>
                <pt idx="1772">
                  <v>-0.363767645546866</v>
                </pt>
                <pt idx="1773">
                  <v>-0.363767645546866</v>
                </pt>
                <pt idx="1774">
                  <v>-0.363767645546866</v>
                </pt>
                <pt idx="1775">
                  <v>-0.363767645546866</v>
                </pt>
                <pt idx="1776">
                  <v>-0.363767645546866</v>
                </pt>
                <pt idx="1777">
                  <v>-0.363767645546866</v>
                </pt>
                <pt idx="1778">
                  <v>-0.363767645546866</v>
                </pt>
                <pt idx="1779">
                  <v>-0.363767645546866</v>
                </pt>
                <pt idx="1780">
                  <v>-0.363767645546866</v>
                </pt>
                <pt idx="1781">
                  <v>-0.363767645546866</v>
                </pt>
                <pt idx="1782">
                  <v>-0.363767645546866</v>
                </pt>
                <pt idx="1783">
                  <v>-0.363767645546866</v>
                </pt>
                <pt idx="1784">
                  <v>-0.363767645546866</v>
                </pt>
                <pt idx="1785">
                  <v>-0.363767645546866</v>
                </pt>
                <pt idx="1786">
                  <v>-0.363767645546866</v>
                </pt>
                <pt idx="1787">
                  <v>-0.363767645546866</v>
                </pt>
                <pt idx="1788">
                  <v>-0.363767645546866</v>
                </pt>
                <pt idx="1789">
                  <v>-0.363767645546866</v>
                </pt>
                <pt idx="1790">
                  <v>-0.363767645546866</v>
                </pt>
                <pt idx="1791">
                  <v>-0.363767645546866</v>
                </pt>
                <pt idx="1792">
                  <v>-0.363767645546866</v>
                </pt>
                <pt idx="1793">
                  <v>-0.363767645546866</v>
                </pt>
                <pt idx="1794">
                  <v>-0.363767645546866</v>
                </pt>
                <pt idx="1795">
                  <v>-0.363767645546866</v>
                </pt>
                <pt idx="1796">
                  <v>-0.363767645546866</v>
                </pt>
                <pt idx="1797">
                  <v>-0.363767645546866</v>
                </pt>
                <pt idx="1798">
                  <v>-0.363767645546866</v>
                </pt>
                <pt idx="1799">
                  <v>-0.363767645546866</v>
                </pt>
                <pt idx="1800">
                  <v>-0.363767645546866</v>
                </pt>
                <pt idx="1801">
                  <v>-0.363767645546866</v>
                </pt>
                <pt idx="1802">
                  <v>-0.363767645546866</v>
                </pt>
                <pt idx="1803">
                  <v>-0.363767645546866</v>
                </pt>
                <pt idx="1804">
                  <v>-0.363767645546866</v>
                </pt>
                <pt idx="1805">
                  <v>-0.363767645546866</v>
                </pt>
                <pt idx="1806">
                  <v>-0.363767645546866</v>
                </pt>
                <pt idx="1807">
                  <v>-0.363767645546866</v>
                </pt>
                <pt idx="1808">
                  <v>-0.363767645546866</v>
                </pt>
                <pt idx="1809">
                  <v>-0.363767645546866</v>
                </pt>
                <pt idx="1810">
                  <v>-0.363767645546866</v>
                </pt>
                <pt idx="1811">
                  <v>-0.363767645546866</v>
                </pt>
                <pt idx="1812">
                  <v>-0.363767645546866</v>
                </pt>
                <pt idx="1813">
                  <v>-0.363767645546866</v>
                </pt>
                <pt idx="1814">
                  <v>-0.363767645546866</v>
                </pt>
                <pt idx="1815">
                  <v>-0.363767645546866</v>
                </pt>
                <pt idx="1816">
                  <v>-0.363767645546866</v>
                </pt>
                <pt idx="1817">
                  <v>-0.363767645546866</v>
                </pt>
                <pt idx="1818">
                  <v>-0.363767645546866</v>
                </pt>
                <pt idx="1819">
                  <v>-0.363767645546866</v>
                </pt>
                <pt idx="1820">
                  <v>-0.363767645546866</v>
                </pt>
                <pt idx="1821">
                  <v>-0.363767645546866</v>
                </pt>
                <pt idx="1822">
                  <v>-0.363767645546866</v>
                </pt>
                <pt idx="1823">
                  <v>-0.363767645546866</v>
                </pt>
                <pt idx="1824">
                  <v>-0.363767645546866</v>
                </pt>
                <pt idx="1825">
                  <v>-0.363767645546866</v>
                </pt>
                <pt idx="1826">
                  <v>-0.363767645546866</v>
                </pt>
                <pt idx="1827">
                  <v>-0.363767645546866</v>
                </pt>
                <pt idx="1828">
                  <v>-0.363767645546866</v>
                </pt>
                <pt idx="1829">
                  <v>-0.363767645546866</v>
                </pt>
                <pt idx="1830">
                  <v>-0.363767645546866</v>
                </pt>
                <pt idx="1831">
                  <v>-0.363767645546866</v>
                </pt>
                <pt idx="1832">
                  <v>-0.363767645546866</v>
                </pt>
                <pt idx="1833">
                  <v>-0.363767645546866</v>
                </pt>
                <pt idx="1834">
                  <v>-0.363767645546866</v>
                </pt>
                <pt idx="1835">
                  <v>-0.363767645546866</v>
                </pt>
                <pt idx="1836">
                  <v>-0.363767645546866</v>
                </pt>
                <pt idx="1837">
                  <v>-0.363767645546866</v>
                </pt>
                <pt idx="1838">
                  <v>-0.363767645546866</v>
                </pt>
                <pt idx="1839">
                  <v>-0.363767645546866</v>
                </pt>
                <pt idx="1840">
                  <v>-0.363767645546866</v>
                </pt>
                <pt idx="1841">
                  <v>-0.363767645546866</v>
                </pt>
                <pt idx="1842">
                  <v>-0.363767645546866</v>
                </pt>
                <pt idx="1843">
                  <v>-0.363767645546866</v>
                </pt>
                <pt idx="1844">
                  <v>-0.363767645546866</v>
                </pt>
                <pt idx="1845">
                  <v>-0.363767645546866</v>
                </pt>
                <pt idx="1846">
                  <v>-0.363767645546866</v>
                </pt>
                <pt idx="1847">
                  <v>-0.363767645546866</v>
                </pt>
                <pt idx="1848">
                  <v>-0.363767645546866</v>
                </pt>
                <pt idx="1849">
                  <v>-0.363767645546866</v>
                </pt>
                <pt idx="1850">
                  <v>-0.363767645546866</v>
                </pt>
                <pt idx="1851">
                  <v>-0.363767645546866</v>
                </pt>
                <pt idx="1852">
                  <v>-0.363767645546866</v>
                </pt>
                <pt idx="1853">
                  <v>-0.363767645546866</v>
                </pt>
                <pt idx="1854">
                  <v>-0.363767645546866</v>
                </pt>
                <pt idx="1855">
                  <v>-0.363767645546866</v>
                </pt>
                <pt idx="1856">
                  <v>-0.363767645546866</v>
                </pt>
                <pt idx="1857">
                  <v>-0.363767645546866</v>
                </pt>
                <pt idx="1858">
                  <v>-0.363767645546866</v>
                </pt>
                <pt idx="1859">
                  <v>-0.363767645546866</v>
                </pt>
                <pt idx="1860">
                  <v>-0.363767645546866</v>
                </pt>
                <pt idx="1861">
                  <v>-0.363767645546866</v>
                </pt>
                <pt idx="1862">
                  <v>-0.363767645546866</v>
                </pt>
                <pt idx="1863">
                  <v>-0.363767645546866</v>
                </pt>
                <pt idx="1864">
                  <v>-0.363767645546866</v>
                </pt>
                <pt idx="1865">
                  <v>-0.363767645546866</v>
                </pt>
                <pt idx="1866">
                  <v>-0.363767645546866</v>
                </pt>
                <pt idx="1867">
                  <v>-0.363767645546866</v>
                </pt>
                <pt idx="1868">
                  <v>-0.363767645546866</v>
                </pt>
                <pt idx="1869">
                  <v>-0.363767645546866</v>
                </pt>
                <pt idx="1870">
                  <v>-0.363767645546866</v>
                </pt>
                <pt idx="1871">
                  <v>-0.363767645546866</v>
                </pt>
                <pt idx="1872">
                  <v>-0.363767645546866</v>
                </pt>
                <pt idx="1873">
                  <v>-0.363767645546866</v>
                </pt>
                <pt idx="1874">
                  <v>-0.363767645546866</v>
                </pt>
                <pt idx="1875">
                  <v>-0.363767645546866</v>
                </pt>
                <pt idx="1876">
                  <v>-0.363767645546866</v>
                </pt>
                <pt idx="1877">
                  <v>-0.363767645546866</v>
                </pt>
                <pt idx="1878">
                  <v>-0.363767645546866</v>
                </pt>
                <pt idx="1879">
                  <v>-0.363767645546866</v>
                </pt>
                <pt idx="1880">
                  <v>-0.363767645546866</v>
                </pt>
                <pt idx="1881">
                  <v>-0.363767645546866</v>
                </pt>
                <pt idx="1882">
                  <v>-0.363767645546866</v>
                </pt>
                <pt idx="1883">
                  <v>-0.363767645546866</v>
                </pt>
                <pt idx="1884">
                  <v>-0.363767645546866</v>
                </pt>
                <pt idx="1885">
                  <v>-0.363767645546866</v>
                </pt>
                <pt idx="1886">
                  <v>-0.363767645546866</v>
                </pt>
                <pt idx="1887">
                  <v>-0.363767645546866</v>
                </pt>
                <pt idx="1888">
                  <v>-0.363767645546866</v>
                </pt>
                <pt idx="1889">
                  <v>-0.363767645546866</v>
                </pt>
                <pt idx="1890">
                  <v>-0.363767645546866</v>
                </pt>
                <pt idx="1891">
                  <v>-0.363767645546866</v>
                </pt>
                <pt idx="1892">
                  <v>-0.363767645546866</v>
                </pt>
                <pt idx="1893">
                  <v>-0.363767645546866</v>
                </pt>
                <pt idx="1894">
                  <v>-0.363767645546866</v>
                </pt>
                <pt idx="1895">
                  <v>-0.363767645546866</v>
                </pt>
                <pt idx="1896">
                  <v>-0.363767645546866</v>
                </pt>
                <pt idx="1897">
                  <v>-0.363767645546866</v>
                </pt>
                <pt idx="1898">
                  <v>-0.363767645546866</v>
                </pt>
                <pt idx="1899">
                  <v>-0.363767645546866</v>
                </pt>
                <pt idx="1900">
                  <v>-0.363767645546866</v>
                </pt>
                <pt idx="1901">
                  <v>-0.363767645546866</v>
                </pt>
                <pt idx="1902">
                  <v>-0.363767645546866</v>
                </pt>
                <pt idx="1903">
                  <v>-0.363767645546866</v>
                </pt>
                <pt idx="1904">
                  <v>-0.363767645546866</v>
                </pt>
                <pt idx="1905">
                  <v>-0.363767645546866</v>
                </pt>
                <pt idx="1906">
                  <v>-0.363767645546866</v>
                </pt>
                <pt idx="1907">
                  <v>-0.363767645546866</v>
                </pt>
                <pt idx="1908">
                  <v>-0.363767645546866</v>
                </pt>
                <pt idx="1909">
                  <v>-0.363767645546866</v>
                </pt>
                <pt idx="1910">
                  <v>-0.363767645546866</v>
                </pt>
                <pt idx="1911">
                  <v>-0.363767645546866</v>
                </pt>
                <pt idx="1912">
                  <v>-0.363767645546866</v>
                </pt>
                <pt idx="1913">
                  <v>-0.363767645546866</v>
                </pt>
                <pt idx="1914">
                  <v>-0.363767645546866</v>
                </pt>
                <pt idx="1915">
                  <v>-0.363767645546866</v>
                </pt>
                <pt idx="1916">
                  <v>-0.363767645546866</v>
                </pt>
                <pt idx="1917">
                  <v>-0.363767645546866</v>
                </pt>
                <pt idx="1918">
                  <v>-0.363767645546866</v>
                </pt>
                <pt idx="1919">
                  <v>-0.363767645546866</v>
                </pt>
                <pt idx="1920">
                  <v>-0.363767645546866</v>
                </pt>
                <pt idx="1921">
                  <v>-0.363767645546866</v>
                </pt>
                <pt idx="1922">
                  <v>-0.363767645546866</v>
                </pt>
                <pt idx="1923">
                  <v>-0.363767645546866</v>
                </pt>
                <pt idx="1924">
                  <v>-0.363767645546866</v>
                </pt>
                <pt idx="1925">
                  <v>-0.363767645546866</v>
                </pt>
                <pt idx="1926">
                  <v>-0.363767645546866</v>
                </pt>
                <pt idx="1927">
                  <v>-0.363767645546866</v>
                </pt>
                <pt idx="1928">
                  <v>-0.363767645546866</v>
                </pt>
                <pt idx="1929">
                  <v>-0.363767645546866</v>
                </pt>
                <pt idx="1930">
                  <v>-0.363767645546866</v>
                </pt>
                <pt idx="1931">
                  <v>-0.363767645546866</v>
                </pt>
                <pt idx="1932">
                  <v>-0.363767645546866</v>
                </pt>
                <pt idx="1933">
                  <v>-0.363767645546866</v>
                </pt>
                <pt idx="1934">
                  <v>-0.363767645546866</v>
                </pt>
                <pt idx="1935">
                  <v>-0.363767645546866</v>
                </pt>
                <pt idx="1936">
                  <v>-0.363767645546866</v>
                </pt>
                <pt idx="1937">
                  <v>-0.363767645546866</v>
                </pt>
                <pt idx="1938">
                  <v>-0.363767645546866</v>
                </pt>
                <pt idx="1939">
                  <v>-0.363767645546866</v>
                </pt>
                <pt idx="1940">
                  <v>-0.363767645546866</v>
                </pt>
                <pt idx="1941">
                  <v>-0.363767645546866</v>
                </pt>
                <pt idx="1942">
                  <v>-0.363767645546866</v>
                </pt>
                <pt idx="1943">
                  <v>-0.363767645546866</v>
                </pt>
                <pt idx="1944">
                  <v>-0.363767645546866</v>
                </pt>
                <pt idx="1945">
                  <v>-0.363767645546866</v>
                </pt>
                <pt idx="1946">
                  <v>-0.363767645546866</v>
                </pt>
                <pt idx="1947">
                  <v>-0.363767645546866</v>
                </pt>
                <pt idx="1948">
                  <v>-0.363767645546866</v>
                </pt>
                <pt idx="1949">
                  <v>-0.363767645546866</v>
                </pt>
                <pt idx="1950">
                  <v>-0.363767645546866</v>
                </pt>
                <pt idx="1951">
                  <v>-0.363767645546866</v>
                </pt>
                <pt idx="1952">
                  <v>-0.363767645546866</v>
                </pt>
                <pt idx="1953">
                  <v>-0.363767645546866</v>
                </pt>
                <pt idx="1954">
                  <v>-0.363767645546866</v>
                </pt>
                <pt idx="1955">
                  <v>-0.363767645546866</v>
                </pt>
                <pt idx="1956">
                  <v>-0.363767645546866</v>
                </pt>
                <pt idx="1957">
                  <v>-0.363767645546866</v>
                </pt>
                <pt idx="1958">
                  <v>-0.363767645546866</v>
                </pt>
                <pt idx="1959">
                  <v>-0.363767645546866</v>
                </pt>
                <pt idx="1960">
                  <v>-0.363767645546866</v>
                </pt>
                <pt idx="1961">
                  <v>-0.363767645546866</v>
                </pt>
                <pt idx="1962">
                  <v>-0.363767645546866</v>
                </pt>
                <pt idx="1963">
                  <v>-0.363767645546866</v>
                </pt>
                <pt idx="1964">
                  <v>-0.363767645546866</v>
                </pt>
                <pt idx="1965">
                  <v>-0.363767645546866</v>
                </pt>
                <pt idx="1966">
                  <v>-0.363767645546866</v>
                </pt>
                <pt idx="1967">
                  <v>-0.363767645546866</v>
                </pt>
                <pt idx="1968">
                  <v>-0.363767645546866</v>
                </pt>
                <pt idx="1969">
                  <v>-0.363767645546866</v>
                </pt>
                <pt idx="1970">
                  <v>-0.363767645546866</v>
                </pt>
                <pt idx="1971">
                  <v>-0.363767645546866</v>
                </pt>
                <pt idx="1972">
                  <v>-0.363767645546866</v>
                </pt>
                <pt idx="1973">
                  <v>-0.363767645546866</v>
                </pt>
                <pt idx="1974">
                  <v>-0.363767645546866</v>
                </pt>
                <pt idx="1975">
                  <v>-0.363767645546866</v>
                </pt>
                <pt idx="1976">
                  <v>-0.363767645546866</v>
                </pt>
                <pt idx="1977">
                  <v>-0.363767645546866</v>
                </pt>
                <pt idx="1978">
                  <v>-0.363767645546866</v>
                </pt>
                <pt idx="1979">
                  <v>-0.363767645546866</v>
                </pt>
                <pt idx="1980">
                  <v>-0.363767645546866</v>
                </pt>
                <pt idx="1981">
                  <v>-0.363767645546866</v>
                </pt>
                <pt idx="1982">
                  <v>-0.363767645546866</v>
                </pt>
                <pt idx="1983">
                  <v>-0.363767645546866</v>
                </pt>
                <pt idx="1984">
                  <v>-0.363767645546866</v>
                </pt>
                <pt idx="1985">
                  <v>-0.363767645546866</v>
                </pt>
                <pt idx="1986">
                  <v>-0.363767645546866</v>
                </pt>
                <pt idx="1987">
                  <v>-0.363767645546866</v>
                </pt>
                <pt idx="1988">
                  <v>-0.363767645546866</v>
                </pt>
                <pt idx="1989">
                  <v>-0.363767645546866</v>
                </pt>
                <pt idx="1990">
                  <v>-0.363767645546866</v>
                </pt>
                <pt idx="1991">
                  <v>-0.363767645546866</v>
                </pt>
                <pt idx="1992">
                  <v>-0.363767645546866</v>
                </pt>
                <pt idx="1993">
                  <v>-0.363767645546866</v>
                </pt>
                <pt idx="1994">
                  <v>-0.363767645546866</v>
                </pt>
                <pt idx="1995">
                  <v>-0.363767645546866</v>
                </pt>
                <pt idx="1996">
                  <v>-0.363767645546866</v>
                </pt>
                <pt idx="1997">
                  <v>-0.363767645546866</v>
                </pt>
                <pt idx="1998">
                  <v>-0.363767645546866</v>
                </pt>
                <pt idx="1999">
                  <v>-0.363767645546866</v>
                </pt>
                <pt idx="2000">
                  <v>-0.363767645546866</v>
                </pt>
                <pt idx="2001">
                  <v>-0.363767645546866</v>
                </pt>
                <pt idx="2002">
                  <v>-0.363767645546866</v>
                </pt>
                <pt idx="2003">
                  <v>-0.363767645546866</v>
                </pt>
                <pt idx="2004">
                  <v>-0.363767645546866</v>
                </pt>
                <pt idx="2005">
                  <v>-0.363767645546866</v>
                </pt>
                <pt idx="2006">
                  <v>-0.363767645546866</v>
                </pt>
                <pt idx="2007">
                  <v>-0.363767645546866</v>
                </pt>
                <pt idx="2008">
                  <v>-0.363767645546866</v>
                </pt>
                <pt idx="2009">
                  <v>-0.363767645546866</v>
                </pt>
                <pt idx="2010">
                  <v>-0.363767645546866</v>
                </pt>
                <pt idx="2011">
                  <v>-0.363767645546866</v>
                </pt>
                <pt idx="2012">
                  <v>-0.363767645546866</v>
                </pt>
                <pt idx="2013">
                  <v>-0.363767645546866</v>
                </pt>
                <pt idx="2014">
                  <v>-0.363767645546866</v>
                </pt>
                <pt idx="2015">
                  <v>-0.363767645546866</v>
                </pt>
                <pt idx="2016">
                  <v>-0.363767645546866</v>
                </pt>
                <pt idx="2017">
                  <v>-0.363767645546866</v>
                </pt>
                <pt idx="2018">
                  <v>-0.363767645546866</v>
                </pt>
                <pt idx="2019">
                  <v>-0.363767645546866</v>
                </pt>
                <pt idx="2020">
                  <v>-0.363767645546866</v>
                </pt>
                <pt idx="2021">
                  <v>-0.363767645546866</v>
                </pt>
                <pt idx="2022">
                  <v>-0.363767645546866</v>
                </pt>
                <pt idx="2023">
                  <v>-0.363767645546866</v>
                </pt>
                <pt idx="2024">
                  <v>-0.363767645546866</v>
                </pt>
                <pt idx="2025">
                  <v>-0.363767645546866</v>
                </pt>
                <pt idx="2026">
                  <v>-0.363767645546866</v>
                </pt>
                <pt idx="2027">
                  <v>-0.363767645546866</v>
                </pt>
                <pt idx="2028">
                  <v>-0.363767645546866</v>
                </pt>
                <pt idx="2029">
                  <v>-0.363767645546866</v>
                </pt>
                <pt idx="2030">
                  <v>-0.363767645546866</v>
                </pt>
                <pt idx="2031">
                  <v>-0.363767645546866</v>
                </pt>
                <pt idx="2032">
                  <v>-0.363767645546866</v>
                </pt>
                <pt idx="2033">
                  <v>-0.363767645546866</v>
                </pt>
                <pt idx="2034">
                  <v>-0.363767645546866</v>
                </pt>
                <pt idx="2035">
                  <v>-0.363767645546866</v>
                </pt>
                <pt idx="2036">
                  <v>-0.363767645546866</v>
                </pt>
                <pt idx="2037">
                  <v>-0.363767645546866</v>
                </pt>
                <pt idx="2038">
                  <v>-0.363767645546866</v>
                </pt>
                <pt idx="2039">
                  <v>-0.363767645546866</v>
                </pt>
                <pt idx="2040">
                  <v>-0.363767645546866</v>
                </pt>
                <pt idx="2041">
                  <v>-0.363767645546866</v>
                </pt>
                <pt idx="2042">
                  <v>-0.363767645546866</v>
                </pt>
                <pt idx="2043">
                  <v>-0.363767645546866</v>
                </pt>
                <pt idx="2044">
                  <v>-0.363767645546866</v>
                </pt>
                <pt idx="2045">
                  <v>-0.363767645546866</v>
                </pt>
                <pt idx="2046">
                  <v>-0.363767645546866</v>
                </pt>
                <pt idx="2047">
                  <v>-0.363767645546866</v>
                </pt>
                <pt idx="2048">
                  <v>-0.363767645546866</v>
                </pt>
                <pt idx="2049">
                  <v>-0.363767645546866</v>
                </pt>
                <pt idx="2050">
                  <v>-0.363767645546866</v>
                </pt>
                <pt idx="2051">
                  <v>-0.363767645546866</v>
                </pt>
                <pt idx="2052">
                  <v>-0.363767645546866</v>
                </pt>
                <pt idx="2053">
                  <v>-0.363767645546866</v>
                </pt>
                <pt idx="2054">
                  <v>-0.363767645546866</v>
                </pt>
                <pt idx="2055">
                  <v>-0.363767645546866</v>
                </pt>
                <pt idx="2056">
                  <v>-0.363767645546866</v>
                </pt>
                <pt idx="2057">
                  <v>-0.363767645546866</v>
                </pt>
                <pt idx="2058">
                  <v>-0.363767645546866</v>
                </pt>
                <pt idx="2059">
                  <v>-0.363767645546866</v>
                </pt>
                <pt idx="2060">
                  <v>-0.363767645546866</v>
                </pt>
                <pt idx="2061">
                  <v>-0.363767645546866</v>
                </pt>
                <pt idx="2062">
                  <v>-0.363767645546866</v>
                </pt>
                <pt idx="2063">
                  <v>-0.363767645546866</v>
                </pt>
                <pt idx="2064">
                  <v>-0.363767645546866</v>
                </pt>
                <pt idx="2065">
                  <v>-0.363767645546866</v>
                </pt>
                <pt idx="2066">
                  <v>-0.363767645546866</v>
                </pt>
                <pt idx="2067">
                  <v>-0.363767645546866</v>
                </pt>
                <pt idx="2068">
                  <v>-0.363767645546866</v>
                </pt>
                <pt idx="2069">
                  <v>-0.363767645546866</v>
                </pt>
                <pt idx="2070">
                  <v>-0.363767645546866</v>
                </pt>
                <pt idx="2071">
                  <v>-0.363767645546866</v>
                </pt>
                <pt idx="2072">
                  <v>-0.363767645546866</v>
                </pt>
                <pt idx="2073">
                  <v>-0.363767645546866</v>
                </pt>
                <pt idx="2074">
                  <v>-0.363767645546866</v>
                </pt>
                <pt idx="2075">
                  <v>-0.363767645546866</v>
                </pt>
                <pt idx="2076">
                  <v>-0.363767645546866</v>
                </pt>
                <pt idx="2077">
                  <v>-0.363767645546866</v>
                </pt>
                <pt idx="2078">
                  <v>-0.363767645546866</v>
                </pt>
                <pt idx="2079">
                  <v>-0.363767645546866</v>
                </pt>
                <pt idx="2080">
                  <v>-0.363767645546866</v>
                </pt>
                <pt idx="2081">
                  <v>-0.363767645546866</v>
                </pt>
                <pt idx="2082">
                  <v>-0.363767645546866</v>
                </pt>
                <pt idx="2083">
                  <v>-0.363767645546866</v>
                </pt>
                <pt idx="2084">
                  <v>-0.363767645546866</v>
                </pt>
                <pt idx="2085">
                  <v>-0.363767645546866</v>
                </pt>
                <pt idx="2086">
                  <v>-0.363767645546866</v>
                </pt>
                <pt idx="2087">
                  <v>-0.363767645546866</v>
                </pt>
                <pt idx="2088">
                  <v>-0.363767645546866</v>
                </pt>
                <pt idx="2089">
                  <v>-0.363767645546866</v>
                </pt>
                <pt idx="2090">
                  <v>-0.363767645546866</v>
                </pt>
                <pt idx="2091">
                  <v>-0.363767645546866</v>
                </pt>
                <pt idx="2092">
                  <v>-0.363767645546866</v>
                </pt>
                <pt idx="2093">
                  <v>-0.363767645546866</v>
                </pt>
                <pt idx="2094">
                  <v>-0.363767645546866</v>
                </pt>
                <pt idx="2095">
                  <v>-0.363767645546866</v>
                </pt>
                <pt idx="2096">
                  <v>-0.363767645546866</v>
                </pt>
                <pt idx="2097">
                  <v>-0.363767645546866</v>
                </pt>
                <pt idx="2098">
                  <v>-0.363767645546866</v>
                </pt>
                <pt idx="2099">
                  <v>-0.363767645546866</v>
                </pt>
                <pt idx="2100">
                  <v>-0.363767645546866</v>
                </pt>
                <pt idx="2101">
                  <v>-0.363767645546866</v>
                </pt>
                <pt idx="2102">
                  <v>-0.363767645546866</v>
                </pt>
                <pt idx="2103">
                  <v>-0.363767645546866</v>
                </pt>
                <pt idx="2104">
                  <v>-0.363767645546866</v>
                </pt>
                <pt idx="2105">
                  <v>-0.363767645546866</v>
                </pt>
                <pt idx="2106">
                  <v>-0.363767645546866</v>
                </pt>
                <pt idx="2107">
                  <v>-0.363767645546866</v>
                </pt>
                <pt idx="2108">
                  <v>-0.363767645546866</v>
                </pt>
                <pt idx="2109">
                  <v>-0.363767645546866</v>
                </pt>
                <pt idx="2110">
                  <v>-0.363767645546866</v>
                </pt>
                <pt idx="2111">
                  <v>-0.363767645546866</v>
                </pt>
                <pt idx="2112">
                  <v>-0.363767645546866</v>
                </pt>
                <pt idx="2113">
                  <v>-0.363767645546866</v>
                </pt>
                <pt idx="2114">
                  <v>-0.363767645546866</v>
                </pt>
                <pt idx="2115">
                  <v>-0.363767645546866</v>
                </pt>
                <pt idx="2116">
                  <v>-0.363767645546866</v>
                </pt>
                <pt idx="2117">
                  <v>-0.363767645546866</v>
                </pt>
                <pt idx="2118">
                  <v>-0.363767645546866</v>
                </pt>
                <pt idx="2119">
                  <v>-0.363767645546866</v>
                </pt>
                <pt idx="2120">
                  <v>-0.363767645546866</v>
                </pt>
                <pt idx="2121">
                  <v>-0.363767645546866</v>
                </pt>
                <pt idx="2122">
                  <v>-0.363767645546866</v>
                </pt>
                <pt idx="2123">
                  <v>-0.363767645546866</v>
                </pt>
                <pt idx="2124">
                  <v>-0.363767645546866</v>
                </pt>
                <pt idx="2125">
                  <v>-0.363767645546866</v>
                </pt>
                <pt idx="2126">
                  <v>-0.363767645546866</v>
                </pt>
                <pt idx="2127">
                  <v>-0.363767645546866</v>
                </pt>
                <pt idx="2128">
                  <v>-0.363767645546866</v>
                </pt>
                <pt idx="2129">
                  <v>-0.363767645546866</v>
                </pt>
                <pt idx="2130">
                  <v>-0.363767645546866</v>
                </pt>
                <pt idx="2131">
                  <v>-0.363767645546866</v>
                </pt>
                <pt idx="2132">
                  <v>-0.363767645546866</v>
                </pt>
                <pt idx="2133">
                  <v>-0.363767645546866</v>
                </pt>
                <pt idx="2134">
                  <v>-0.363767645546866</v>
                </pt>
                <pt idx="2135">
                  <v>-0.363767645546866</v>
                </pt>
                <pt idx="2136">
                  <v>-0.363767645546866</v>
                </pt>
                <pt idx="2137">
                  <v>-0.363767645546866</v>
                </pt>
                <pt idx="2138">
                  <v>-0.363767645546866</v>
                </pt>
                <pt idx="2139">
                  <v>-0.363767645546866</v>
                </pt>
                <pt idx="2140">
                  <v>-0.363767645546866</v>
                </pt>
                <pt idx="2141">
                  <v>-0.363767645546866</v>
                </pt>
                <pt idx="2142">
                  <v>-0.363767645546866</v>
                </pt>
                <pt idx="2143">
                  <v>-0.363767645546866</v>
                </pt>
                <pt idx="2144">
                  <v>-0.363767645546866</v>
                </pt>
                <pt idx="2145">
                  <v>-0.363767645546866</v>
                </pt>
                <pt idx="2146">
                  <v>-0.363767645546866</v>
                </pt>
                <pt idx="2147">
                  <v>-0.363767645546866</v>
                </pt>
                <pt idx="2148">
                  <v>-0.363767645546866</v>
                </pt>
                <pt idx="2149">
                  <v>-0.363767645546866</v>
                </pt>
                <pt idx="2150">
                  <v>-0.363767645546866</v>
                </pt>
                <pt idx="2151">
                  <v>-0.363767645546866</v>
                </pt>
                <pt idx="2152">
                  <v>-0.363767645546866</v>
                </pt>
                <pt idx="2153">
                  <v>-0.363767645546866</v>
                </pt>
                <pt idx="2154">
                  <v>-0.363767645546866</v>
                </pt>
                <pt idx="2155">
                  <v>-0.363767645546866</v>
                </pt>
                <pt idx="2156">
                  <v>-0.363767645546866</v>
                </pt>
                <pt idx="2157">
                  <v>-0.363767645546866</v>
                </pt>
                <pt idx="2158">
                  <v>-0.363767645546866</v>
                </pt>
                <pt idx="2159">
                  <v>-0.363767645546866</v>
                </pt>
                <pt idx="2160">
                  <v>-0.363767645546866</v>
                </pt>
                <pt idx="2161">
                  <v>-0.363767645546866</v>
                </pt>
                <pt idx="2162">
                  <v>-0.363767645546866</v>
                </pt>
                <pt idx="2163">
                  <v>-0.363767645546866</v>
                </pt>
                <pt idx="2164">
                  <v>-0.363767645546866</v>
                </pt>
                <pt idx="2165">
                  <v>-0.363767645546866</v>
                </pt>
                <pt idx="2166">
                  <v>-0.363767645546866</v>
                </pt>
                <pt idx="2167">
                  <v>-0.363767645546866</v>
                </pt>
                <pt idx="2168">
                  <v>-0.363767645546866</v>
                </pt>
                <pt idx="2169">
                  <v>-0.363767645546866</v>
                </pt>
                <pt idx="2170">
                  <v>-0.363767645546866</v>
                </pt>
                <pt idx="2171">
                  <v>-0.363767645546866</v>
                </pt>
                <pt idx="2172">
                  <v>-0.363767645546866</v>
                </pt>
                <pt idx="2173">
                  <v>-0.363767645546866</v>
                </pt>
                <pt idx="2174">
                  <v>-0.363767645546866</v>
                </pt>
                <pt idx="2175">
                  <v>-0.363767645546866</v>
                </pt>
                <pt idx="2176">
                  <v>-0.363767645546866</v>
                </pt>
                <pt idx="2177">
                  <v>-0.363767645546866</v>
                </pt>
                <pt idx="2178">
                  <v>-0.363767645546866</v>
                </pt>
                <pt idx="2179">
                  <v>-0.363767645546866</v>
                </pt>
                <pt idx="2180">
                  <v>-0.363767645546866</v>
                </pt>
                <pt idx="2181">
                  <v>-0.363767645546866</v>
                </pt>
                <pt idx="2182">
                  <v>-0.363767645546866</v>
                </pt>
                <pt idx="2183">
                  <v>-0.363767645546866</v>
                </pt>
                <pt idx="2184">
                  <v>-0.363767645546866</v>
                </pt>
                <pt idx="2185">
                  <v>-0.363767645546866</v>
                </pt>
                <pt idx="2186">
                  <v>-0.363767645546866</v>
                </pt>
                <pt idx="2187">
                  <v>-0.363767645546866</v>
                </pt>
                <pt idx="2188">
                  <v>-0.363767645546866</v>
                </pt>
                <pt idx="2189">
                  <v>-0.363767645546866</v>
                </pt>
                <pt idx="2190">
                  <v>-0.363767645546866</v>
                </pt>
                <pt idx="2191">
                  <v>-0.363767645546866</v>
                </pt>
                <pt idx="2192">
                  <v>-0.363767645546866</v>
                </pt>
                <pt idx="2193">
                  <v>-0.363767645546866</v>
                </pt>
                <pt idx="2194">
                  <v>-0.363767645546866</v>
                </pt>
                <pt idx="2195">
                  <v>-0.363767645546866</v>
                </pt>
                <pt idx="2196">
                  <v>-0.363767645546866</v>
                </pt>
                <pt idx="2197">
                  <v>-0.363767645546866</v>
                </pt>
                <pt idx="2198">
                  <v>-0.363767645546866</v>
                </pt>
                <pt idx="2199">
                  <v>-0.363767645546866</v>
                </pt>
                <pt idx="2200">
                  <v>-0.363767645546866</v>
                </pt>
                <pt idx="2201">
                  <v>-0.363767645546866</v>
                </pt>
                <pt idx="2202">
                  <v>-0.363767645546866</v>
                </pt>
                <pt idx="2203">
                  <v>-0.363767645546866</v>
                </pt>
                <pt idx="2204">
                  <v>-0.363767645546866</v>
                </pt>
                <pt idx="2205">
                  <v>-0.363767645546866</v>
                </pt>
                <pt idx="2206">
                  <v>-0.363767645546866</v>
                </pt>
                <pt idx="2207">
                  <v>-0.363767645546866</v>
                </pt>
                <pt idx="2208">
                  <v>-0.363767645546866</v>
                </pt>
                <pt idx="2209">
                  <v>-0.363767645546866</v>
                </pt>
                <pt idx="2210">
                  <v>-0.363767645546866</v>
                </pt>
                <pt idx="2211">
                  <v>-0.363767645546866</v>
                </pt>
                <pt idx="2212">
                  <v>-0.363767645546866</v>
                </pt>
                <pt idx="2213">
                  <v>-0.363767645546866</v>
                </pt>
                <pt idx="2214">
                  <v>-0.363767645546866</v>
                </pt>
                <pt idx="2215">
                  <v>-0.363767645546866</v>
                </pt>
                <pt idx="2216">
                  <v>-0.363767645546866</v>
                </pt>
                <pt idx="2217">
                  <v>-0.363767645546866</v>
                </pt>
                <pt idx="2218">
                  <v>-0.363767645546866</v>
                </pt>
                <pt idx="2219">
                  <v>-0.363767645546866</v>
                </pt>
                <pt idx="2220">
                  <v>-0.363767645546866</v>
                </pt>
                <pt idx="2221">
                  <v>-0.363767645546866</v>
                </pt>
                <pt idx="2222">
                  <v>-0.363767645546866</v>
                </pt>
                <pt idx="2223">
                  <v>-0.363767645546866</v>
                </pt>
                <pt idx="2224">
                  <v>-0.363767645546866</v>
                </pt>
                <pt idx="2225">
                  <v>-0.363767645546866</v>
                </pt>
                <pt idx="2226">
                  <v>-0.363767645546866</v>
                </pt>
                <pt idx="2227">
                  <v>-0.363767645546866</v>
                </pt>
                <pt idx="2228">
                  <v>-0.363767645546866</v>
                </pt>
                <pt idx="2229">
                  <v>-0.363767645546866</v>
                </pt>
                <pt idx="2230">
                  <v>-0.363767645546866</v>
                </pt>
                <pt idx="2231">
                  <v>-0.363767645546866</v>
                </pt>
                <pt idx="2232">
                  <v>-0.363767645546866</v>
                </pt>
                <pt idx="2233">
                  <v>-0.363767645546866</v>
                </pt>
                <pt idx="2234">
                  <v>-0.363767645546866</v>
                </pt>
                <pt idx="2235">
                  <v>-0.363767645546866</v>
                </pt>
                <pt idx="2236">
                  <v>-0.363767645546866</v>
                </pt>
                <pt idx="2237">
                  <v>-0.363767645546866</v>
                </pt>
                <pt idx="2238">
                  <v>-0.363767645546866</v>
                </pt>
                <pt idx="2239">
                  <v>-0.363767645546866</v>
                </pt>
                <pt idx="2240">
                  <v>-0.363767645546866</v>
                </pt>
                <pt idx="2241">
                  <v>-0.363767645546866</v>
                </pt>
                <pt idx="2242">
                  <v>-0.363767645546866</v>
                </pt>
                <pt idx="2243">
                  <v>-0.363767645546866</v>
                </pt>
                <pt idx="2244">
                  <v>-0.363767645546866</v>
                </pt>
                <pt idx="2245">
                  <v>-0.363767645546866</v>
                </pt>
                <pt idx="2246">
                  <v>-0.363767645546866</v>
                </pt>
                <pt idx="2247">
                  <v>-0.363767645546866</v>
                </pt>
                <pt idx="2248">
                  <v>-0.363767645546866</v>
                </pt>
                <pt idx="2249">
                  <v>-0.363767645546866</v>
                </pt>
                <pt idx="2250">
                  <v>-0.363767645546866</v>
                </pt>
                <pt idx="2251">
                  <v>-0.363767645546866</v>
                </pt>
                <pt idx="2252">
                  <v>-0.363767645546866</v>
                </pt>
                <pt idx="2253">
                  <v>-0.363767645546866</v>
                </pt>
                <pt idx="2254">
                  <v>-0.363767645546866</v>
                </pt>
                <pt idx="2255">
                  <v>-0.363767645546866</v>
                </pt>
                <pt idx="2256">
                  <v>-0.363767645546866</v>
                </pt>
                <pt idx="2257">
                  <v>-0.363767645546866</v>
                </pt>
                <pt idx="2258">
                  <v>-0.363767645546866</v>
                </pt>
                <pt idx="2259">
                  <v>-0.363767645546866</v>
                </pt>
                <pt idx="2260">
                  <v>-0.363767645546866</v>
                </pt>
                <pt idx="2261">
                  <v>-0.363767645546866</v>
                </pt>
                <pt idx="2262">
                  <v>-0.363767645546866</v>
                </pt>
                <pt idx="2263">
                  <v>-0.363767645546866</v>
                </pt>
                <pt idx="2264">
                  <v>-0.363767645546866</v>
                </pt>
                <pt idx="2265">
                  <v>-0.363767645546866</v>
                </pt>
                <pt idx="2266">
                  <v>-0.363767645546866</v>
                </pt>
                <pt idx="2267">
                  <v>-0.363767645546866</v>
                </pt>
                <pt idx="2268">
                  <v>-0.363767645546866</v>
                </pt>
                <pt idx="2269">
                  <v>-0.363767645546866</v>
                </pt>
                <pt idx="2270">
                  <v>-0.363767645546866</v>
                </pt>
                <pt idx="2271">
                  <v>-0.363767645546866</v>
                </pt>
                <pt idx="2272">
                  <v>-0.363767645546866</v>
                </pt>
                <pt idx="2273">
                  <v>-0.363767645546866</v>
                </pt>
                <pt idx="2274">
                  <v>-0.363767645546866</v>
                </pt>
                <pt idx="2275">
                  <v>-0.363767645546866</v>
                </pt>
                <pt idx="2276">
                  <v>-0.363767645546866</v>
                </pt>
                <pt idx="2277">
                  <v>-0.363767645546866</v>
                </pt>
                <pt idx="2278">
                  <v>-0.363767645546866</v>
                </pt>
                <pt idx="2279">
                  <v>-0.363767645546866</v>
                </pt>
                <pt idx="2280">
                  <v>-0.363767645546866</v>
                </pt>
                <pt idx="2281">
                  <v>-0.363767645546866</v>
                </pt>
                <pt idx="2282">
                  <v>-0.363767645546866</v>
                </pt>
                <pt idx="2283">
                  <v>-0.363767645546866</v>
                </pt>
                <pt idx="2284">
                  <v>-0.363767645546866</v>
                </pt>
                <pt idx="2285">
                  <v>-0.363767645546866</v>
                </pt>
                <pt idx="2286">
                  <v>-0.363767645546866</v>
                </pt>
                <pt idx="2287">
                  <v>-0.363767645546866</v>
                </pt>
                <pt idx="2288">
                  <v>-0.363767645546866</v>
                </pt>
                <pt idx="2289">
                  <v>-0.363767645546866</v>
                </pt>
                <pt idx="2290">
                  <v>-0.363767645546866</v>
                </pt>
                <pt idx="2291">
                  <v>-0.363767645546866</v>
                </pt>
                <pt idx="2292">
                  <v>-0.363767645546866</v>
                </pt>
                <pt idx="2293">
                  <v>-0.363767645546866</v>
                </pt>
                <pt idx="2294">
                  <v>-0.363767645546866</v>
                </pt>
                <pt idx="2295">
                  <v>-0.363767645546866</v>
                </pt>
                <pt idx="2296">
                  <v>-0.363767645546866</v>
                </pt>
                <pt idx="2297">
                  <v>-0.363767645546866</v>
                </pt>
                <pt idx="2298">
                  <v>-0.363767645546866</v>
                </pt>
                <pt idx="2299">
                  <v>-0.363767645546866</v>
                </pt>
                <pt idx="2300">
                  <v>-0.363767645546866</v>
                </pt>
                <pt idx="2301">
                  <v>-0.363767645546866</v>
                </pt>
                <pt idx="2302">
                  <v>-0.363767645546866</v>
                </pt>
                <pt idx="2303">
                  <v>-0.363767645546866</v>
                </pt>
                <pt idx="2304">
                  <v>-0.363767645546866</v>
                </pt>
                <pt idx="2305">
                  <v>-0.363767645546866</v>
                </pt>
                <pt idx="2306">
                  <v>-0.363767645546866</v>
                </pt>
                <pt idx="2307">
                  <v>-0.363767645546866</v>
                </pt>
                <pt idx="2308">
                  <v>-0.363767645546866</v>
                </pt>
                <pt idx="2309">
                  <v>-0.363767645546866</v>
                </pt>
                <pt idx="2310">
                  <v>-0.363767645546866</v>
                </pt>
                <pt idx="2311">
                  <v>-0.363767645546866</v>
                </pt>
                <pt idx="2312">
                  <v>-0.363767645546866</v>
                </pt>
                <pt idx="2313">
                  <v>-0.363767645546866</v>
                </pt>
                <pt idx="2314">
                  <v>-0.363767645546866</v>
                </pt>
                <pt idx="2315">
                  <v>-0.363767645546866</v>
                </pt>
                <pt idx="2316">
                  <v>-0.363767645546866</v>
                </pt>
                <pt idx="2317">
                  <v>-0.363767645546866</v>
                </pt>
                <pt idx="2318">
                  <v>-0.363767645546866</v>
                </pt>
                <pt idx="2319">
                  <v>-0.363767645546866</v>
                </pt>
                <pt idx="2320">
                  <v>-0.363767645546866</v>
                </pt>
                <pt idx="2321">
                  <v>-0.363767645546866</v>
                </pt>
                <pt idx="2322">
                  <v>-0.363767645546866</v>
                </pt>
                <pt idx="2323">
                  <v>-0.363767645546866</v>
                </pt>
                <pt idx="2324">
                  <v>-0.363767645546866</v>
                </pt>
                <pt idx="2325">
                  <v>-0.363767645546866</v>
                </pt>
                <pt idx="2326">
                  <v>-0.363767645546866</v>
                </pt>
                <pt idx="2327">
                  <v>-0.363767645546866</v>
                </pt>
                <pt idx="2328">
                  <v>-0.363767645546866</v>
                </pt>
                <pt idx="2329">
                  <v>-0.363767645546866</v>
                </pt>
                <pt idx="2330">
                  <v>-0.363767645546866</v>
                </pt>
                <pt idx="2331">
                  <v>-0.363767645546866</v>
                </pt>
                <pt idx="2332">
                  <v>-0.363767645546866</v>
                </pt>
                <pt idx="2333">
                  <v>-0.363767645546866</v>
                </pt>
                <pt idx="2334">
                  <v>-0.363767645546866</v>
                </pt>
                <pt idx="2335">
                  <v>-0.363767645546866</v>
                </pt>
                <pt idx="2336">
                  <v>-0.363767645546866</v>
                </pt>
                <pt idx="2337">
                  <v>-0.363767645546866</v>
                </pt>
                <pt idx="2338">
                  <v>-0.363767645546866</v>
                </pt>
                <pt idx="2339">
                  <v>-0.363767645546866</v>
                </pt>
                <pt idx="2340">
                  <v>-0.363767645546866</v>
                </pt>
                <pt idx="2341">
                  <v>-0.363767645546866</v>
                </pt>
                <pt idx="2342">
                  <v>-0.363767645546866</v>
                </pt>
                <pt idx="2343">
                  <v>-0.363767645546866</v>
                </pt>
                <pt idx="2344">
                  <v>-0.363767645546866</v>
                </pt>
                <pt idx="2345">
                  <v>-0.363767645546866</v>
                </pt>
                <pt idx="2346">
                  <v>-0.363767645546866</v>
                </pt>
                <pt idx="2347">
                  <v>-0.363767645546866</v>
                </pt>
                <pt idx="2348">
                  <v>-0.363767645546866</v>
                </pt>
                <pt idx="2349">
                  <v>-0.363767645546866</v>
                </pt>
                <pt idx="2350">
                  <v>-0.363767645546866</v>
                </pt>
                <pt idx="2351">
                  <v>-0.363767645546866</v>
                </pt>
                <pt idx="2352">
                  <v>-0.363767645546866</v>
                </pt>
                <pt idx="2353">
                  <v>-0.363767645546866</v>
                </pt>
                <pt idx="2354">
                  <v>-0.363767645546866</v>
                </pt>
                <pt idx="2355">
                  <v>-0.363767645546866</v>
                </pt>
                <pt idx="2356">
                  <v>-0.363767645546866</v>
                </pt>
                <pt idx="2357">
                  <v>-0.363767645546866</v>
                </pt>
                <pt idx="2358">
                  <v>-0.363767645546866</v>
                </pt>
                <pt idx="2359">
                  <v>-0.363767645546866</v>
                </pt>
                <pt idx="2360">
                  <v>-0.363767645546866</v>
                </pt>
                <pt idx="2361">
                  <v>-0.363767645546866</v>
                </pt>
                <pt idx="2362">
                  <v>-0.363767645546866</v>
                </pt>
                <pt idx="2363">
                  <v>-0.363767645546866</v>
                </pt>
                <pt idx="2364">
                  <v>-0.363767645546866</v>
                </pt>
                <pt idx="2365">
                  <v>-0.363767645546866</v>
                </pt>
                <pt idx="2366">
                  <v>-0.363767645546866</v>
                </pt>
                <pt idx="2367">
                  <v>-0.363767645546866</v>
                </pt>
                <pt idx="2368">
                  <v>-0.363767645546866</v>
                </pt>
                <pt idx="2369">
                  <v>-0.363767645546866</v>
                </pt>
                <pt idx="2370">
                  <v>-0.363767645546866</v>
                </pt>
                <pt idx="2371">
                  <v>-0.363767645546866</v>
                </pt>
                <pt idx="2372">
                  <v>-0.363767645546866</v>
                </pt>
                <pt idx="2373">
                  <v>-0.363767645546866</v>
                </pt>
                <pt idx="2374">
                  <v>-0.363767645546866</v>
                </pt>
                <pt idx="2375">
                  <v>-0.363767645546866</v>
                </pt>
                <pt idx="2376">
                  <v>-0.363767645546866</v>
                </pt>
                <pt idx="2377">
                  <v>-0.363767645546866</v>
                </pt>
                <pt idx="2378">
                  <v>-0.363767645546866</v>
                </pt>
                <pt idx="2379">
                  <v>-0.363767645546866</v>
                </pt>
                <pt idx="2380">
                  <v>-0.363767645546866</v>
                </pt>
                <pt idx="2381">
                  <v>-0.363767645546866</v>
                </pt>
                <pt idx="2382">
                  <v>-0.363767645546866</v>
                </pt>
                <pt idx="2383">
                  <v>-0.363767645546866</v>
                </pt>
                <pt idx="2384">
                  <v>-0.363767645546866</v>
                </pt>
                <pt idx="2385">
                  <v>-0.363767645546866</v>
                </pt>
                <pt idx="2386">
                  <v>-0.363767645546866</v>
                </pt>
                <pt idx="2387">
                  <v>-0.363767645546866</v>
                </pt>
                <pt idx="2388">
                  <v>-0.363767645546866</v>
                </pt>
                <pt idx="2389">
                  <v>-0.363767645546866</v>
                </pt>
                <pt idx="2390">
                  <v>-0.363767645546866</v>
                </pt>
                <pt idx="2391">
                  <v>-0.363767645546866</v>
                </pt>
                <pt idx="2392">
                  <v>-0.363767645546866</v>
                </pt>
                <pt idx="2393">
                  <v>-0.363767645546866</v>
                </pt>
                <pt idx="2394">
                  <v>-0.363767645546866</v>
                </pt>
                <pt idx="2395">
                  <v>-0.363767645546866</v>
                </pt>
                <pt idx="2396">
                  <v>-0.363767645546866</v>
                </pt>
                <pt idx="2397">
                  <v>-0.363767645546866</v>
                </pt>
                <pt idx="2398">
                  <v>-0.363767645546866</v>
                </pt>
                <pt idx="2399">
                  <v>-0.363767645546866</v>
                </pt>
                <pt idx="2400">
                  <v>-0.363767645546866</v>
                </pt>
                <pt idx="2401">
                  <v>-0.363767645546866</v>
                </pt>
                <pt idx="2402">
                  <v>-0.363767645546866</v>
                </pt>
                <pt idx="2403">
                  <v>-0.363767645546866</v>
                </pt>
                <pt idx="2404">
                  <v>-0.363767645546866</v>
                </pt>
                <pt idx="2405">
                  <v>-0.363767645546866</v>
                </pt>
                <pt idx="2406">
                  <v>-0.363767645546866</v>
                </pt>
                <pt idx="2407">
                  <v>-0.363767645546866</v>
                </pt>
                <pt idx="2408">
                  <v>-0.363767645546866</v>
                </pt>
                <pt idx="2409">
                  <v>-0.363767645546866</v>
                </pt>
                <pt idx="2410">
                  <v>-0.363767645546866</v>
                </pt>
                <pt idx="2411">
                  <v>-0.363767645546866</v>
                </pt>
                <pt idx="2412">
                  <v>-0.363767645546866</v>
                </pt>
                <pt idx="2413">
                  <v>-0.363767645546866</v>
                </pt>
                <pt idx="2414">
                  <v>-0.363767645546866</v>
                </pt>
                <pt idx="2415">
                  <v>-0.363767645546866</v>
                </pt>
                <pt idx="2416">
                  <v>-0.363767645546866</v>
                </pt>
                <pt idx="2417">
                  <v>-0.363767645546866</v>
                </pt>
                <pt idx="2418">
                  <v>-0.363767645546866</v>
                </pt>
                <pt idx="2419">
                  <v>-0.363767645546866</v>
                </pt>
                <pt idx="2420">
                  <v>-0.363767645546866</v>
                </pt>
                <pt idx="2421">
                  <v>-0.363767645546866</v>
                </pt>
                <pt idx="2422">
                  <v>-0.363767645546866</v>
                </pt>
                <pt idx="2423">
                  <v>-0.363767645546866</v>
                </pt>
                <pt idx="2424">
                  <v>-0.363767645546866</v>
                </pt>
                <pt idx="2425">
                  <v>-0.363767645546866</v>
                </pt>
                <pt idx="2426">
                  <v>-0.363767645546866</v>
                </pt>
                <pt idx="2427">
                  <v>-0.363767645546866</v>
                </pt>
                <pt idx="2428">
                  <v>-0.363767645546866</v>
                </pt>
                <pt idx="2429">
                  <v>-0.363767645546866</v>
                </pt>
                <pt idx="2430">
                  <v>-0.363767645546866</v>
                </pt>
                <pt idx="2431">
                  <v>-0.363767645546866</v>
                </pt>
                <pt idx="2432">
                  <v>-0.363767645546866</v>
                </pt>
                <pt idx="2433">
                  <v>-0.363767645546866</v>
                </pt>
                <pt idx="2434">
                  <v>-0.363767645546866</v>
                </pt>
                <pt idx="2435">
                  <v>-0.363767645546866</v>
                </pt>
                <pt idx="2436">
                  <v>-0.363767645546866</v>
                </pt>
                <pt idx="2437">
                  <v>-0.363767645546866</v>
                </pt>
                <pt idx="2438">
                  <v>-0.363767645546866</v>
                </pt>
                <pt idx="2439">
                  <v>-0.363767645546866</v>
                </pt>
                <pt idx="2440">
                  <v>-0.363767645546866</v>
                </pt>
                <pt idx="2441">
                  <v>-0.363767645546866</v>
                </pt>
                <pt idx="2442">
                  <v>-0.363767645546866</v>
                </pt>
                <pt idx="2443">
                  <v>-0.363767645546866</v>
                </pt>
                <pt idx="2444">
                  <v>-0.363767645546866</v>
                </pt>
                <pt idx="2445">
                  <v>-0.363767645546866</v>
                </pt>
                <pt idx="2446">
                  <v>-0.363767645546866</v>
                </pt>
                <pt idx="2447">
                  <v>-0.363767645546866</v>
                </pt>
                <pt idx="2448">
                  <v>-0.363767645546866</v>
                </pt>
                <pt idx="2449">
                  <v>-0.363767645546866</v>
                </pt>
                <pt idx="2450">
                  <v>-0.363767645546866</v>
                </pt>
                <pt idx="2451">
                  <v>-0.363767645546866</v>
                </pt>
                <pt idx="2452">
                  <v>-0.363767645546866</v>
                </pt>
                <pt idx="2453">
                  <v>-0.363767645546866</v>
                </pt>
                <pt idx="2454">
                  <v>-0.363767645546866</v>
                </pt>
                <pt idx="2455">
                  <v>-0.363767645546866</v>
                </pt>
                <pt idx="2456">
                  <v>-0.363767645546866</v>
                </pt>
                <pt idx="2457">
                  <v>-0.363767645546866</v>
                </pt>
                <pt idx="2458">
                  <v>-0.363767645546866</v>
                </pt>
                <pt idx="2459">
                  <v>-0.363767645546866</v>
                </pt>
                <pt idx="2460">
                  <v>-0.363767645546866</v>
                </pt>
                <pt idx="2461">
                  <v>-0.363767645546866</v>
                </pt>
                <pt idx="2462">
                  <v>-0.363767645546866</v>
                </pt>
                <pt idx="2463">
                  <v>-0.363767645546866</v>
                </pt>
                <pt idx="2464">
                  <v>-0.363767645546866</v>
                </pt>
                <pt idx="2465">
                  <v>-0.363767645546866</v>
                </pt>
                <pt idx="2466">
                  <v>-0.363767645546866</v>
                </pt>
                <pt idx="2467">
                  <v>-0.363767645546866</v>
                </pt>
                <pt idx="2468">
                  <v>-0.363767645546866</v>
                </pt>
                <pt idx="2469">
                  <v>-0.363767645546866</v>
                </pt>
                <pt idx="2470">
                  <v>-0.363767645546866</v>
                </pt>
                <pt idx="2471">
                  <v>-0.363767645546866</v>
                </pt>
                <pt idx="2472">
                  <v>-0.363767645546866</v>
                </pt>
                <pt idx="2473">
                  <v>-0.363767645546866</v>
                </pt>
                <pt idx="2474">
                  <v>-0.363767645546866</v>
                </pt>
                <pt idx="2475">
                  <v>-0.363767645546866</v>
                </pt>
                <pt idx="2476">
                  <v>-0.363767645546866</v>
                </pt>
                <pt idx="2477">
                  <v>-0.363767645546866</v>
                </pt>
                <pt idx="2478">
                  <v>-0.363767645546866</v>
                </pt>
                <pt idx="2479">
                  <v>-0.363767645546866</v>
                </pt>
                <pt idx="2480">
                  <v>-0.363767645546866</v>
                </pt>
                <pt idx="2481">
                  <v>-0.363767645546866</v>
                </pt>
                <pt idx="2482">
                  <v>-0.363767645546866</v>
                </pt>
                <pt idx="2483">
                  <v>-0.363767645546866</v>
                </pt>
                <pt idx="2484">
                  <v>-0.363767645546866</v>
                </pt>
                <pt idx="2485">
                  <v>-0.363767645546866</v>
                </pt>
                <pt idx="2486">
                  <v>-0.363767645546866</v>
                </pt>
                <pt idx="2487">
                  <v>-0.363767645546866</v>
                </pt>
                <pt idx="2488">
                  <v>-0.363767645546866</v>
                </pt>
                <pt idx="2489">
                  <v>-0.363767645546866</v>
                </pt>
                <pt idx="2490">
                  <v>-0.363767645546866</v>
                </pt>
                <pt idx="2491">
                  <v>-0.363767645546866</v>
                </pt>
                <pt idx="2492">
                  <v>-0.363767645546866</v>
                </pt>
                <pt idx="2493">
                  <v>-0.363767645546866</v>
                </pt>
                <pt idx="2494">
                  <v>-0.363767645546866</v>
                </pt>
                <pt idx="2495">
                  <v>-0.363767645546866</v>
                </pt>
                <pt idx="2496">
                  <v>-0.363767645546866</v>
                </pt>
                <pt idx="2497">
                  <v>-0.363767645546866</v>
                </pt>
                <pt idx="2498">
                  <v>-0.363767645546866</v>
                </pt>
                <pt idx="2499">
                  <v>-0.363767645546866</v>
                </pt>
                <pt idx="2500">
                  <v>-0.363767645546866</v>
                </pt>
                <pt idx="2501">
                  <v>-0.363767645546866</v>
                </pt>
                <pt idx="2502">
                  <v>-0.363767645546866</v>
                </pt>
                <pt idx="2503">
                  <v>-0.363767645546866</v>
                </pt>
                <pt idx="2504">
                  <v>-0.363767645546866</v>
                </pt>
                <pt idx="2505">
                  <v>-0.363767645546866</v>
                </pt>
                <pt idx="2506">
                  <v>-0.363767645546866</v>
                </pt>
                <pt idx="2507">
                  <v>-0.363767645546866</v>
                </pt>
                <pt idx="2508">
                  <v>-0.363767645546866</v>
                </pt>
                <pt idx="2509">
                  <v>-0.363767645546866</v>
                </pt>
                <pt idx="2510">
                  <v>-0.363767645546866</v>
                </pt>
                <pt idx="2511">
                  <v>-0.363767645546866</v>
                </pt>
                <pt idx="2512">
                  <v>-0.363767645546866</v>
                </pt>
                <pt idx="2513">
                  <v>-0.363767645546866</v>
                </pt>
                <pt idx="2514">
                  <v>-0.363767645546866</v>
                </pt>
                <pt idx="2515">
                  <v>-0.363767645546866</v>
                </pt>
                <pt idx="2516">
                  <v>-0.363767645546866</v>
                </pt>
                <pt idx="2517">
                  <v>-0.363767645546866</v>
                </pt>
                <pt idx="2518">
                  <v>-0.363767645546866</v>
                </pt>
                <pt idx="2519">
                  <v>-0.363767645546866</v>
                </pt>
                <pt idx="2520">
                  <v>-0.363767645546866</v>
                </pt>
                <pt idx="2521">
                  <v>-0.363767645546866</v>
                </pt>
                <pt idx="2522">
                  <v>-0.363767645546866</v>
                </pt>
                <pt idx="2523">
                  <v>-0.363767645546866</v>
                </pt>
                <pt idx="2524">
                  <v>-0.363767645546866</v>
                </pt>
                <pt idx="2525">
                  <v>-0.363767645546866</v>
                </pt>
                <pt idx="2526">
                  <v>-0.363767645546866</v>
                </pt>
                <pt idx="2527">
                  <v>-0.363767645546866</v>
                </pt>
                <pt idx="2528">
                  <v>-0.363767645546866</v>
                </pt>
                <pt idx="2529">
                  <v>-0.363767645546866</v>
                </pt>
                <pt idx="2530">
                  <v>-0.363767645546866</v>
                </pt>
                <pt idx="2531">
                  <v>-0.363767645546866</v>
                </pt>
                <pt idx="2532">
                  <v>-0.363767645546866</v>
                </pt>
                <pt idx="2533">
                  <v>-0.363767645546866</v>
                </pt>
                <pt idx="2534">
                  <v>-0.363767645546866</v>
                </pt>
                <pt idx="2535">
                  <v>-0.363767645546866</v>
                </pt>
                <pt idx="2536">
                  <v>-0.363767645546866</v>
                </pt>
                <pt idx="2537">
                  <v>-0.363767645546866</v>
                </pt>
                <pt idx="2538">
                  <v>-0.363767645546866</v>
                </pt>
                <pt idx="2539">
                  <v>-0.363767645546866</v>
                </pt>
                <pt idx="2540">
                  <v>-0.363767645546866</v>
                </pt>
                <pt idx="2541">
                  <v>-0.363767645546866</v>
                </pt>
                <pt idx="2542">
                  <v>-0.363767645546866</v>
                </pt>
                <pt idx="2543">
                  <v>-0.363767645546866</v>
                </pt>
                <pt idx="2544">
                  <v>-0.363767645546866</v>
                </pt>
                <pt idx="2545">
                  <v>-0.363767645546866</v>
                </pt>
                <pt idx="2546">
                  <v>-0.363767645546866</v>
                </pt>
                <pt idx="2547">
                  <v>-0.363767645546866</v>
                </pt>
                <pt idx="2548">
                  <v>-0.363767645546866</v>
                </pt>
                <pt idx="2549">
                  <v>-0.363767645546866</v>
                </pt>
                <pt idx="2550">
                  <v>-0.363767645546866</v>
                </pt>
                <pt idx="2551">
                  <v>-0.363767645546866</v>
                </pt>
                <pt idx="2552">
                  <v>-0.363767645546866</v>
                </pt>
                <pt idx="2553">
                  <v>-0.363767645546866</v>
                </pt>
                <pt idx="2554">
                  <v>-0.363767645546866</v>
                </pt>
                <pt idx="2555">
                  <v>-0.363767645546866</v>
                </pt>
                <pt idx="2556">
                  <v>-0.363767645546866</v>
                </pt>
                <pt idx="2557">
                  <v>-0.363767645546866</v>
                </pt>
                <pt idx="2558">
                  <v>-0.363767645546866</v>
                </pt>
                <pt idx="2559">
                  <v>-0.363767645546866</v>
                </pt>
                <pt idx="2560">
                  <v>-0.363767645546866</v>
                </pt>
                <pt idx="2561">
                  <v>-0.363767645546866</v>
                </pt>
                <pt idx="2562">
                  <v>-0.363767645546866</v>
                </pt>
                <pt idx="2563">
                  <v>-0.363767645546866</v>
                </pt>
                <pt idx="2564">
                  <v>-0.363767645546866</v>
                </pt>
                <pt idx="2565">
                  <v>-0.363767645546866</v>
                </pt>
                <pt idx="2566">
                  <v>-0.363767645546866</v>
                </pt>
                <pt idx="2567">
                  <v>-0.363767645546866</v>
                </pt>
                <pt idx="2568">
                  <v>-0.363767645546866</v>
                </pt>
                <pt idx="2569">
                  <v>-0.363767645546866</v>
                </pt>
                <pt idx="2570">
                  <v>-0.363767645546866</v>
                </pt>
                <pt idx="2571">
                  <v>-0.363767645546866</v>
                </pt>
                <pt idx="2572">
                  <v>-0.363767645546866</v>
                </pt>
                <pt idx="2573">
                  <v>-0.363767645546866</v>
                </pt>
                <pt idx="2574">
                  <v>-0.363767645546866</v>
                </pt>
                <pt idx="2575">
                  <v>-0.363767645546866</v>
                </pt>
                <pt idx="2576">
                  <v>-0.363767645546866</v>
                </pt>
                <pt idx="2577">
                  <v>-0.363767645546866</v>
                </pt>
                <pt idx="2578">
                  <v>-0.363767645546866</v>
                </pt>
                <pt idx="2579">
                  <v>-0.363767645546866</v>
                </pt>
                <pt idx="2580">
                  <v>-0.363767645546866</v>
                </pt>
                <pt idx="2581">
                  <v>-0.363767645546866</v>
                </pt>
                <pt idx="2582">
                  <v>-0.363767645546866</v>
                </pt>
                <pt idx="2583">
                  <v>-0.363767645546866</v>
                </pt>
                <pt idx="2584">
                  <v>-0.363767645546866</v>
                </pt>
                <pt idx="2585">
                  <v>-0.363767645546866</v>
                </pt>
                <pt idx="2586">
                  <v>-0.363767645546866</v>
                </pt>
                <pt idx="2587">
                  <v>-0.363767645546866</v>
                </pt>
                <pt idx="2588">
                  <v>-0.363767645546866</v>
                </pt>
                <pt idx="2589">
                  <v>-0.363767645546866</v>
                </pt>
                <pt idx="2590">
                  <v>-0.363767645546866</v>
                </pt>
                <pt idx="2591">
                  <v>-0.363767645546866</v>
                </pt>
                <pt idx="2592">
                  <v>-0.363767645546866</v>
                </pt>
                <pt idx="2593">
                  <v>-0.363767645546866</v>
                </pt>
                <pt idx="2594">
                  <v>-0.363767645546866</v>
                </pt>
                <pt idx="2595">
                  <v>-0.363767645546866</v>
                </pt>
                <pt idx="2596">
                  <v>-0.363767645546866</v>
                </pt>
                <pt idx="2597">
                  <v>-0.363767645546866</v>
                </pt>
                <pt idx="2598">
                  <v>-0.363767645546866</v>
                </pt>
                <pt idx="2599">
                  <v>-0.363767645546866</v>
                </pt>
                <pt idx="2600">
                  <v>-0.363767645546866</v>
                </pt>
                <pt idx="2601">
                  <v>-0.363767645546866</v>
                </pt>
                <pt idx="2602">
                  <v>-0.363767645546866</v>
                </pt>
                <pt idx="2603">
                  <v>-0.363767645546866</v>
                </pt>
                <pt idx="2604">
                  <v>-0.363767645546866</v>
                </pt>
                <pt idx="2605">
                  <v>-0.363767645546866</v>
                </pt>
                <pt idx="2606">
                  <v>-0.363767645546866</v>
                </pt>
                <pt idx="2607">
                  <v>-0.363767645546866</v>
                </pt>
                <pt idx="2608">
                  <v>-0.363767645546866</v>
                </pt>
                <pt idx="2609">
                  <v>-0.363767645546866</v>
                </pt>
                <pt idx="2610">
                  <v>-0.363767645546866</v>
                </pt>
                <pt idx="2611">
                  <v>-0.363767645546866</v>
                </pt>
                <pt idx="2612">
                  <v>-0.363767645546866</v>
                </pt>
                <pt idx="2613">
                  <v>-0.363767645546866</v>
                </pt>
                <pt idx="2614">
                  <v>-0.363767645546866</v>
                </pt>
                <pt idx="2615">
                  <v>-0.363767645546866</v>
                </pt>
                <pt idx="2616">
                  <v>-0.363767645546866</v>
                </pt>
                <pt idx="2617">
                  <v>-0.363767645546866</v>
                </pt>
                <pt idx="2618">
                  <v>-0.363767645546866</v>
                </pt>
                <pt idx="2619">
                  <v>-0.363767645546866</v>
                </pt>
                <pt idx="2620">
                  <v>-0.363767645546866</v>
                </pt>
                <pt idx="2621">
                  <v>-0.363767645546866</v>
                </pt>
                <pt idx="2622">
                  <v>-0.363767645546866</v>
                </pt>
                <pt idx="2623">
                  <v>-0.363767645546866</v>
                </pt>
                <pt idx="2624">
                  <v>-0.363767645546866</v>
                </pt>
                <pt idx="2625">
                  <v>-0.363767645546866</v>
                </pt>
                <pt idx="2626">
                  <v>-0.363767645546866</v>
                </pt>
                <pt idx="2627">
                  <v>-0.363767645546866</v>
                </pt>
                <pt idx="2628">
                  <v>-0.363767645546866</v>
                </pt>
                <pt idx="2629">
                  <v>-0.363767645546866</v>
                </pt>
                <pt idx="2630">
                  <v>-0.363767645546866</v>
                </pt>
                <pt idx="2631">
                  <v>-0.363767645546866</v>
                </pt>
                <pt idx="2632">
                  <v>-0.363767645546866</v>
                </pt>
                <pt idx="2633">
                  <v>-0.363767645546866</v>
                </pt>
                <pt idx="2634">
                  <v>-0.363767645546866</v>
                </pt>
                <pt idx="2635">
                  <v>-0.363767645546866</v>
                </pt>
                <pt idx="2636">
                  <v>-0.363767645546866</v>
                </pt>
                <pt idx="2637">
                  <v>-0.363767645546866</v>
                </pt>
                <pt idx="2638">
                  <v>-0.363767645546866</v>
                </pt>
                <pt idx="2639">
                  <v>-0.363767645546866</v>
                </pt>
                <pt idx="2640">
                  <v>-0.363767645546866</v>
                </pt>
                <pt idx="2641">
                  <v>-0.363767645546866</v>
                </pt>
                <pt idx="2642">
                  <v>-0.363767645546866</v>
                </pt>
                <pt idx="2643">
                  <v>-0.363767645546866</v>
                </pt>
                <pt idx="2644">
                  <v>-0.363767645546866</v>
                </pt>
                <pt idx="2645">
                  <v>-0.363767645546866</v>
                </pt>
                <pt idx="2646">
                  <v>-0.363767645546866</v>
                </pt>
                <pt idx="2647">
                  <v>-0.363767645546866</v>
                </pt>
                <pt idx="2648">
                  <v>-0.363767645546866</v>
                </pt>
                <pt idx="2649">
                  <v>-0.363767645546866</v>
                </pt>
                <pt idx="2650">
                  <v>-0.363767645546866</v>
                </pt>
                <pt idx="2651">
                  <v>-0.363767645546866</v>
                </pt>
                <pt idx="2652">
                  <v>-0.363767645546866</v>
                </pt>
                <pt idx="2653">
                  <v>-0.363767645546866</v>
                </pt>
                <pt idx="2654">
                  <v>-0.363767645546866</v>
                </pt>
                <pt idx="2655">
                  <v>-0.363767645546866</v>
                </pt>
                <pt idx="2656">
                  <v>-0.363767645546866</v>
                </pt>
                <pt idx="2657">
                  <v>-0.363767645546866</v>
                </pt>
                <pt idx="2658">
                  <v>-0.363767645546866</v>
                </pt>
                <pt idx="2659">
                  <v>-0.363767645546866</v>
                </pt>
                <pt idx="2660">
                  <v>-0.363767645546866</v>
                </pt>
                <pt idx="2661">
                  <v>-0.363767645546866</v>
                </pt>
                <pt idx="2662">
                  <v>-0.363767645546866</v>
                </pt>
                <pt idx="2663">
                  <v>-0.363767645546866</v>
                </pt>
                <pt idx="2664">
                  <v>-0.363767645546866</v>
                </pt>
                <pt idx="2665">
                  <v>-0.363767645546866</v>
                </pt>
                <pt idx="2666">
                  <v>-0.363767645546866</v>
                </pt>
                <pt idx="2667">
                  <v>-0.363767645546866</v>
                </pt>
                <pt idx="2668">
                  <v>-0.363767645546866</v>
                </pt>
                <pt idx="2669">
                  <v>-0.363767645546866</v>
                </pt>
                <pt idx="2670">
                  <v>-0.363767645546866</v>
                </pt>
                <pt idx="2671">
                  <v>-0.363767645546866</v>
                </pt>
                <pt idx="2672">
                  <v>-0.363767645546866</v>
                </pt>
                <pt idx="2673">
                  <v>-0.363767645546866</v>
                </pt>
                <pt idx="2674">
                  <v>-0.363767645546866</v>
                </pt>
                <pt idx="2675">
                  <v>-0.363767645546866</v>
                </pt>
                <pt idx="2676">
                  <v>-0.363767645546866</v>
                </pt>
                <pt idx="2677">
                  <v>-0.363767645546866</v>
                </pt>
                <pt idx="2678">
                  <v>-0.363767645546866</v>
                </pt>
                <pt idx="2679">
                  <v>-0.363767645546866</v>
                </pt>
                <pt idx="2680">
                  <v>-0.363767645546866</v>
                </pt>
                <pt idx="2681">
                  <v>-0.363767645546866</v>
                </pt>
                <pt idx="2682">
                  <v>-0.363767645546866</v>
                </pt>
                <pt idx="2683">
                  <v>-0.363767645546866</v>
                </pt>
                <pt idx="2684">
                  <v>-0.363767645546866</v>
                </pt>
                <pt idx="2685">
                  <v>-0.363767645546866</v>
                </pt>
                <pt idx="2686">
                  <v>-0.363767645546866</v>
                </pt>
                <pt idx="2687">
                  <v>-0.363767645546866</v>
                </pt>
                <pt idx="2688">
                  <v>-0.363767645546866</v>
                </pt>
                <pt idx="2689">
                  <v>-0.363767645546866</v>
                </pt>
                <pt idx="2690">
                  <v>-0.363767645546866</v>
                </pt>
                <pt idx="2691">
                  <v>-0.363767645546866</v>
                </pt>
                <pt idx="2692">
                  <v>-0.363767645546866</v>
                </pt>
                <pt idx="2693">
                  <v>-0.363767645546866</v>
                </pt>
                <pt idx="2694">
                  <v>-0.363767645546866</v>
                </pt>
                <pt idx="2695">
                  <v>-0.363767645546866</v>
                </pt>
                <pt idx="2696">
                  <v>-0.363767645546866</v>
                </pt>
                <pt idx="2697">
                  <v>-0.363767645546866</v>
                </pt>
                <pt idx="2698">
                  <v>-0.363767645546866</v>
                </pt>
                <pt idx="2699">
                  <v>-0.363767645546866</v>
                </pt>
                <pt idx="2700">
                  <v>-0.363767645546866</v>
                </pt>
                <pt idx="2701">
                  <v>-0.363767645546866</v>
                </pt>
                <pt idx="2702">
                  <v>-0.363767645546866</v>
                </pt>
                <pt idx="2703">
                  <v>-0.363767645546866</v>
                </pt>
                <pt idx="2704">
                  <v>-0.363767645546866</v>
                </pt>
                <pt idx="2705">
                  <v>-0.363767645546866</v>
                </pt>
                <pt idx="2706">
                  <v>-0.363767645546866</v>
                </pt>
                <pt idx="2707">
                  <v>-0.363767645546866</v>
                </pt>
                <pt idx="2708">
                  <v>-0.363767645546866</v>
                </pt>
                <pt idx="2709">
                  <v>-0.363767645546866</v>
                </pt>
                <pt idx="2710">
                  <v>-0.363767645546866</v>
                </pt>
                <pt idx="2711">
                  <v>-0.363767645546866</v>
                </pt>
                <pt idx="2712">
                  <v>-0.363767645546866</v>
                </pt>
                <pt idx="2713">
                  <v>-0.363767645546866</v>
                </pt>
                <pt idx="2714">
                  <v>-0.363767645546866</v>
                </pt>
                <pt idx="2715">
                  <v>-0.363767645546866</v>
                </pt>
                <pt idx="2716">
                  <v>-0.363767645546866</v>
                </pt>
                <pt idx="2717">
                  <v>-0.363767645546866</v>
                </pt>
                <pt idx="2718">
                  <v>-0.363767645546866</v>
                </pt>
                <pt idx="2719">
                  <v>-0.363767645546866</v>
                </pt>
                <pt idx="2720">
                  <v>-0.363767645546866</v>
                </pt>
                <pt idx="2721">
                  <v>-0.363767645546866</v>
                </pt>
                <pt idx="2722">
                  <v>-0.363767645546866</v>
                </pt>
                <pt idx="2723">
                  <v>-0.363767645546866</v>
                </pt>
                <pt idx="2724">
                  <v>-0.363767645546866</v>
                </pt>
                <pt idx="2725">
                  <v>-0.363767645546866</v>
                </pt>
                <pt idx="2726">
                  <v>-0.363767645546866</v>
                </pt>
                <pt idx="2727">
                  <v>-0.363767645546866</v>
                </pt>
                <pt idx="2728">
                  <v>-0.363767645546866</v>
                </pt>
                <pt idx="2729">
                  <v>-0.363767645546866</v>
                </pt>
                <pt idx="2730">
                  <v>-0.363767645546866</v>
                </pt>
                <pt idx="2731">
                  <v>-0.363767645546866</v>
                </pt>
                <pt idx="2732">
                  <v>-0.363767645546866</v>
                </pt>
                <pt idx="2733">
                  <v>-0.363767645546866</v>
                </pt>
                <pt idx="2734">
                  <v>-0.363767645546866</v>
                </pt>
                <pt idx="2735">
                  <v>-0.363767645546866</v>
                </pt>
                <pt idx="2736">
                  <v>-0.363767645546866</v>
                </pt>
                <pt idx="2737">
                  <v>-0.363767645546866</v>
                </pt>
                <pt idx="2738">
                  <v>-0.363767645546866</v>
                </pt>
                <pt idx="2739">
                  <v>-0.363767645546866</v>
                </pt>
                <pt idx="2740">
                  <v>-0.363767645546866</v>
                </pt>
                <pt idx="2741">
                  <v>-0.363767645546866</v>
                </pt>
                <pt idx="2742">
                  <v>-0.363767645546866</v>
                </pt>
                <pt idx="2743">
                  <v>-0.363767645546866</v>
                </pt>
                <pt idx="2744">
                  <v>-0.363767645546866</v>
                </pt>
                <pt idx="2745">
                  <v>-0.363767645546866</v>
                </pt>
                <pt idx="2746">
                  <v>-0.363767645546866</v>
                </pt>
                <pt idx="2747">
                  <v>-0.363767645546866</v>
                </pt>
                <pt idx="2748">
                  <v>-0.363767645546866</v>
                </pt>
                <pt idx="2749">
                  <v>-0.363767645546866</v>
                </pt>
                <pt idx="2750">
                  <v>-0.363767645546866</v>
                </pt>
                <pt idx="2751">
                  <v>-0.363767645546866</v>
                </pt>
                <pt idx="2752">
                  <v>-0.363767645546866</v>
                </pt>
                <pt idx="2753">
                  <v>-0.363767645546866</v>
                </pt>
                <pt idx="2754">
                  <v>-0.363767645546866</v>
                </pt>
                <pt idx="2755">
                  <v>-0.363767645546866</v>
                </pt>
                <pt idx="2756">
                  <v>-0.363767645546866</v>
                </pt>
                <pt idx="2757">
                  <v>-0.363767645546866</v>
                </pt>
                <pt idx="2758">
                  <v>-0.363767645546866</v>
                </pt>
                <pt idx="2759">
                  <v>-0.363767645546866</v>
                </pt>
                <pt idx="2760">
                  <v>-0.363767645546866</v>
                </pt>
                <pt idx="2761">
                  <v>-0.363767645546866</v>
                </pt>
                <pt idx="2762">
                  <v>-0.363767645546866</v>
                </pt>
                <pt idx="2763">
                  <v>-0.363767645546866</v>
                </pt>
                <pt idx="2764">
                  <v>-0.363767645546866</v>
                </pt>
                <pt idx="2765">
                  <v>-0.363767645546866</v>
                </pt>
                <pt idx="2766">
                  <v>-0.363767645546866</v>
                </pt>
                <pt idx="2767">
                  <v>-0.363767645546866</v>
                </pt>
                <pt idx="2768">
                  <v>-0.363767645546866</v>
                </pt>
                <pt idx="2769">
                  <v>-0.363767645546866</v>
                </pt>
                <pt idx="2770">
                  <v>-0.363767645546866</v>
                </pt>
                <pt idx="2771">
                  <v>-0.363767645546866</v>
                </pt>
                <pt idx="2772">
                  <v>-0.363767645546866</v>
                </pt>
                <pt idx="2773">
                  <v>-0.363767645546866</v>
                </pt>
                <pt idx="2774">
                  <v>-0.363767645546866</v>
                </pt>
                <pt idx="2775">
                  <v>-0.363767645546866</v>
                </pt>
                <pt idx="2776">
                  <v>-0.363767645546866</v>
                </pt>
                <pt idx="2777">
                  <v>-0.363767645546866</v>
                </pt>
                <pt idx="2778">
                  <v>-0.363767645546866</v>
                </pt>
                <pt idx="2779">
                  <v>-0.363767645546866</v>
                </pt>
                <pt idx="2780">
                  <v>-0.363767645546866</v>
                </pt>
                <pt idx="2781">
                  <v>-0.363767645546866</v>
                </pt>
                <pt idx="2782">
                  <v>-0.363767645546866</v>
                </pt>
                <pt idx="2783">
                  <v>-0.363767645546866</v>
                </pt>
                <pt idx="2784">
                  <v>-0.363767645546866</v>
                </pt>
                <pt idx="2785">
                  <v>-0.363767645546866</v>
                </pt>
                <pt idx="2786">
                  <v>-0.363767645546866</v>
                </pt>
                <pt idx="2787">
                  <v>-0.363767645546866</v>
                </pt>
                <pt idx="2788">
                  <v>-0.363767645546866</v>
                </pt>
                <pt idx="2789">
                  <v>-0.363767645546866</v>
                </pt>
                <pt idx="2790">
                  <v>-0.363767645546866</v>
                </pt>
                <pt idx="2791">
                  <v>-0.363767645546866</v>
                </pt>
                <pt idx="2792">
                  <v>-0.363767645546866</v>
                </pt>
                <pt idx="2793">
                  <v>-0.363767645546866</v>
                </pt>
                <pt idx="2794">
                  <v>-0.363767645546866</v>
                </pt>
                <pt idx="2795">
                  <v>-0.363767645546866</v>
                </pt>
                <pt idx="2796">
                  <v>-0.363767645546866</v>
                </pt>
                <pt idx="2797">
                  <v>-0.363767645546866</v>
                </pt>
                <pt idx="2798">
                  <v>-0.363767645546866</v>
                </pt>
                <pt idx="2799">
                  <v>-0.363767645546866</v>
                </pt>
                <pt idx="2800">
                  <v>-0.363767645546866</v>
                </pt>
                <pt idx="2801">
                  <v>-0.363767645546866</v>
                </pt>
                <pt idx="2802">
                  <v>-0.363767645546866</v>
                </pt>
                <pt idx="2803">
                  <v>-0.363767645546866</v>
                </pt>
                <pt idx="2804">
                  <v>-0.363767645546866</v>
                </pt>
                <pt idx="2805">
                  <v>-0.363767645546866</v>
                </pt>
                <pt idx="2806">
                  <v>-0.363767645546866</v>
                </pt>
                <pt idx="2807">
                  <v>-0.363767645546866</v>
                </pt>
                <pt idx="2808">
                  <v>-0.363767645546866</v>
                </pt>
                <pt idx="2809">
                  <v>-0.363767645546866</v>
                </pt>
                <pt idx="2810">
                  <v>-0.363767645546866</v>
                </pt>
                <pt idx="2811">
                  <v>-0.363767645546866</v>
                </pt>
                <pt idx="2812">
                  <v>-0.363767645546866</v>
                </pt>
                <pt idx="2813">
                  <v>-0.363767645546866</v>
                </pt>
                <pt idx="2814">
                  <v>-0.363767645546866</v>
                </pt>
                <pt idx="2815">
                  <v>-0.363767645546866</v>
                </pt>
                <pt idx="2816">
                  <v>-0.363767645546866</v>
                </pt>
                <pt idx="2817">
                  <v>-0.363767645546866</v>
                </pt>
                <pt idx="2818">
                  <v>-0.363767645546866</v>
                </pt>
                <pt idx="2819">
                  <v>-0.363767645546866</v>
                </pt>
                <pt idx="2820">
                  <v>-0.363767645546866</v>
                </pt>
                <pt idx="2821">
                  <v>-0.363767645546866</v>
                </pt>
                <pt idx="2822">
                  <v>-0.363767645546866</v>
                </pt>
                <pt idx="2823">
                  <v>-0.363767645546866</v>
                </pt>
                <pt idx="2824">
                  <v>-0.363767645546866</v>
                </pt>
                <pt idx="2825">
                  <v>-0.363767645546866</v>
                </pt>
                <pt idx="2826">
                  <v>-0.363767645546866</v>
                </pt>
                <pt idx="2827">
                  <v>-0.363767645546866</v>
                </pt>
                <pt idx="2828">
                  <v>-0.363767645546866</v>
                </pt>
                <pt idx="2829">
                  <v>-0.363767645546866</v>
                </pt>
                <pt idx="2830">
                  <v>-0.363767645546866</v>
                </pt>
                <pt idx="2831">
                  <v>-0.363767645546866</v>
                </pt>
                <pt idx="2832">
                  <v>-0.363767645546866</v>
                </pt>
                <pt idx="2833">
                  <v>-0.363767645546866</v>
                </pt>
                <pt idx="2834">
                  <v>-0.363767645546866</v>
                </pt>
                <pt idx="2835">
                  <v>-0.363767645546866</v>
                </pt>
                <pt idx="2836">
                  <v>-0.363767645546866</v>
                </pt>
                <pt idx="2837">
                  <v>-0.363767645546866</v>
                </pt>
                <pt idx="2838">
                  <v>-0.363767645546866</v>
                </pt>
                <pt idx="2839">
                  <v>-0.363767645546866</v>
                </pt>
                <pt idx="2840">
                  <v>-0.363767645546866</v>
                </pt>
                <pt idx="2841">
                  <v>-0.363767645546866</v>
                </pt>
                <pt idx="2842">
                  <v>-0.363767645546866</v>
                </pt>
                <pt idx="2843">
                  <v>-0.363767645546866</v>
                </pt>
                <pt idx="2844">
                  <v>-0.363767645546866</v>
                </pt>
                <pt idx="2845">
                  <v>-0.363767645546866</v>
                </pt>
                <pt idx="2846">
                  <v>-0.363767645546866</v>
                </pt>
                <pt idx="2847">
                  <v>-0.363767645546866</v>
                </pt>
                <pt idx="2848">
                  <v>-0.363767645546866</v>
                </pt>
                <pt idx="2849">
                  <v>-0.363767645546866</v>
                </pt>
                <pt idx="2850">
                  <v>-0.363767645546866</v>
                </pt>
                <pt idx="2851">
                  <v>-0.363767645546866</v>
                </pt>
                <pt idx="2852">
                  <v>-0.363767645546866</v>
                </pt>
                <pt idx="2853">
                  <v>-0.363767645546866</v>
                </pt>
                <pt idx="2854">
                  <v>-0.363767645546866</v>
                </pt>
                <pt idx="2855">
                  <v>-0.363767645546866</v>
                </pt>
                <pt idx="2856">
                  <v>-0.363767645546866</v>
                </pt>
                <pt idx="2857">
                  <v>-0.363767645546866</v>
                </pt>
                <pt idx="2858">
                  <v>-0.363767645546866</v>
                </pt>
                <pt idx="2859">
                  <v>-0.363767645546866</v>
                </pt>
                <pt idx="2860">
                  <v>-0.363767645546866</v>
                </pt>
                <pt idx="2861">
                  <v>-0.363767645546866</v>
                </pt>
                <pt idx="2862">
                  <v>-0.363767645546866</v>
                </pt>
                <pt idx="2863">
                  <v>-0.363767645546866</v>
                </pt>
                <pt idx="2864">
                  <v>-0.363767645546866</v>
                </pt>
                <pt idx="2865">
                  <v>-0.363767645546866</v>
                </pt>
                <pt idx="2866">
                  <v>-0.363767645546866</v>
                </pt>
                <pt idx="2867">
                  <v>-0.363767645546866</v>
                </pt>
                <pt idx="2868">
                  <v>-0.363767645546866</v>
                </pt>
                <pt idx="2869">
                  <v>-0.363767645546866</v>
                </pt>
                <pt idx="2870">
                  <v>-0.363767645546866</v>
                </pt>
                <pt idx="2871">
                  <v>-0.363767645546866</v>
                </pt>
                <pt idx="2872">
                  <v>-0.363767645546866</v>
                </pt>
                <pt idx="2873">
                  <v>-0.363767645546866</v>
                </pt>
                <pt idx="2874">
                  <v>-0.363767645546866</v>
                </pt>
                <pt idx="2875">
                  <v>-0.363767645546866</v>
                </pt>
                <pt idx="2876">
                  <v>-0.363767645546866</v>
                </pt>
                <pt idx="2877">
                  <v>-0.363767645546866</v>
                </pt>
                <pt idx="2878">
                  <v>-0.363767645546866</v>
                </pt>
                <pt idx="2879">
                  <v>-0.363767645546866</v>
                </pt>
                <pt idx="2880">
                  <v>-0.363767645546866</v>
                </pt>
                <pt idx="2881">
                  <v>-0.363767645546866</v>
                </pt>
                <pt idx="2882">
                  <v>-0.363767645546866</v>
                </pt>
                <pt idx="2883">
                  <v>-0.363767645546866</v>
                </pt>
                <pt idx="2884">
                  <v>-0.363767645546866</v>
                </pt>
                <pt idx="2885">
                  <v>-0.363767645546866</v>
                </pt>
                <pt idx="2886">
                  <v>-0.363767645546866</v>
                </pt>
                <pt idx="2887">
                  <v>-0.363767645546866</v>
                </pt>
                <pt idx="2888">
                  <v>-0.363767645546866</v>
                </pt>
                <pt idx="2889">
                  <v>-0.363767645546866</v>
                </pt>
                <pt idx="2890">
                  <v>-0.363767645546866</v>
                </pt>
                <pt idx="2891">
                  <v>-0.363767645546866</v>
                </pt>
                <pt idx="2892">
                  <v>-0.363767645546866</v>
                </pt>
                <pt idx="2893">
                  <v>-0.363767645546866</v>
                </pt>
                <pt idx="2894">
                  <v>-0.363767645546866</v>
                </pt>
                <pt idx="2895">
                  <v>-0.363767645546866</v>
                </pt>
                <pt idx="2896">
                  <v>-0.363767645546866</v>
                </pt>
                <pt idx="2897">
                  <v>-0.363767645546866</v>
                </pt>
                <pt idx="2898">
                  <v>-0.363767645546866</v>
                </pt>
                <pt idx="2899">
                  <v>-0.363767645546866</v>
                </pt>
                <pt idx="2900">
                  <v>-0.363767645546866</v>
                </pt>
                <pt idx="2901">
                  <v>-0.363767645546866</v>
                </pt>
                <pt idx="2902">
                  <v>-0.363767645546866</v>
                </pt>
                <pt idx="2903">
                  <v>-0.363767645546866</v>
                </pt>
                <pt idx="2904">
                  <v>-0.363767645546866</v>
                </pt>
                <pt idx="2905">
                  <v>-0.363767645546866</v>
                </pt>
                <pt idx="2906">
                  <v>-0.363767645546866</v>
                </pt>
                <pt idx="2907">
                  <v>-0.363767645546866</v>
                </pt>
                <pt idx="2908">
                  <v>-0.363767645546866</v>
                </pt>
                <pt idx="2909">
                  <v>-0.363767645546866</v>
                </pt>
                <pt idx="2910">
                  <v>-0.363767645546866</v>
                </pt>
                <pt idx="2911">
                  <v>-0.363767645546866</v>
                </pt>
                <pt idx="2912">
                  <v>-0.363767645546866</v>
                </pt>
                <pt idx="2913">
                  <v>-0.363767645546866</v>
                </pt>
                <pt idx="2914">
                  <v>-0.363767645546866</v>
                </pt>
                <pt idx="2915">
                  <v>-0.363767645546866</v>
                </pt>
                <pt idx="2916">
                  <v>-0.363767645546866</v>
                </pt>
                <pt idx="2917">
                  <v>-0.363767645546866</v>
                </pt>
                <pt idx="2918">
                  <v>-0.363767645546866</v>
                </pt>
                <pt idx="2919">
                  <v>-0.363767645546866</v>
                </pt>
                <pt idx="2920">
                  <v>-0.363767645546866</v>
                </pt>
                <pt idx="2921">
                  <v>-0.363767645546866</v>
                </pt>
                <pt idx="2922">
                  <v>-0.363767645546866</v>
                </pt>
                <pt idx="2923">
                  <v>-0.363767645546866</v>
                </pt>
                <pt idx="2924">
                  <v>-0.363767645546866</v>
                </pt>
                <pt idx="2925">
                  <v>-0.363767645546866</v>
                </pt>
                <pt idx="2926">
                  <v>-0.363767645546866</v>
                </pt>
                <pt idx="2927">
                  <v>-0.363767645546866</v>
                </pt>
                <pt idx="2928">
                  <v>-0.363767645546866</v>
                </pt>
                <pt idx="2929">
                  <v>-0.363767645546866</v>
                </pt>
                <pt idx="2930">
                  <v>-0.363767645546866</v>
                </pt>
                <pt idx="2931">
                  <v>-0.363767645546866</v>
                </pt>
                <pt idx="2932">
                  <v>-0.363767645546866</v>
                </pt>
                <pt idx="2933">
                  <v>-0.363767645546866</v>
                </pt>
                <pt idx="2934">
                  <v>-0.363767645546866</v>
                </pt>
                <pt idx="2935">
                  <v>-0.363767645546866</v>
                </pt>
                <pt idx="2936">
                  <v>-0.363767645546866</v>
                </pt>
                <pt idx="2937">
                  <v>-0.363767645546866</v>
                </pt>
                <pt idx="2938">
                  <v>-0.363767645546866</v>
                </pt>
                <pt idx="2939">
                  <v>-0.363767645546866</v>
                </pt>
                <pt idx="2940">
                  <v>-0.363767645546866</v>
                </pt>
                <pt idx="2941">
                  <v>-0.363767645546866</v>
                </pt>
                <pt idx="2942">
                  <v>-0.363767645546866</v>
                </pt>
                <pt idx="2943">
                  <v>-0.363767645546866</v>
                </pt>
                <pt idx="2944">
                  <v>-0.363767645546866</v>
                </pt>
                <pt idx="2945">
                  <v>-0.363767645546866</v>
                </pt>
                <pt idx="2946">
                  <v>-0.363767645546866</v>
                </pt>
                <pt idx="2947">
                  <v>-0.363767645546866</v>
                </pt>
                <pt idx="2948">
                  <v>-0.363767645546866</v>
                </pt>
                <pt idx="2949">
                  <v>-0.363767645546866</v>
                </pt>
                <pt idx="2950">
                  <v>-0.363767645546866</v>
                </pt>
                <pt idx="2951">
                  <v>-0.363767645546866</v>
                </pt>
                <pt idx="2952">
                  <v>-0.363767645546866</v>
                </pt>
                <pt idx="2953">
                  <v>-0.363767645546866</v>
                </pt>
                <pt idx="2954">
                  <v>-0.363767645546866</v>
                </pt>
                <pt idx="2955">
                  <v>-0.363767645546866</v>
                </pt>
                <pt idx="2956">
                  <v>-0.363767645546866</v>
                </pt>
                <pt idx="2957">
                  <v>-0.363767645546866</v>
                </pt>
                <pt idx="2958">
                  <v>-0.363767645546866</v>
                </pt>
                <pt idx="2959">
                  <v>-0.363767645546866</v>
                </pt>
                <pt idx="2960">
                  <v>-0.363767645546866</v>
                </pt>
                <pt idx="2961">
                  <v>-0.363767645546866</v>
                </pt>
                <pt idx="2962">
                  <v>-0.363767645546866</v>
                </pt>
                <pt idx="2963">
                  <v>-0.363767645546866</v>
                </pt>
                <pt idx="2964">
                  <v>-0.363767645546866</v>
                </pt>
                <pt idx="2965">
                  <v>-0.363767645546866</v>
                </pt>
                <pt idx="2966">
                  <v>-0.363767645546866</v>
                </pt>
                <pt idx="2967">
                  <v>-0.363767645546866</v>
                </pt>
                <pt idx="2968">
                  <v>-0.363767645546866</v>
                </pt>
                <pt idx="2969">
                  <v>-0.363767645546866</v>
                </pt>
                <pt idx="2970">
                  <v>-0.363767645546866</v>
                </pt>
                <pt idx="2971">
                  <v>-0.363767645546866</v>
                </pt>
                <pt idx="2972">
                  <v>-0.363767645546866</v>
                </pt>
                <pt idx="2973">
                  <v>-0.363767645546866</v>
                </pt>
                <pt idx="2974">
                  <v>-0.363767645546866</v>
                </pt>
                <pt idx="2975">
                  <v>-0.363767645546866</v>
                </pt>
                <pt idx="2976">
                  <v>-0.363767645546866</v>
                </pt>
                <pt idx="2977">
                  <v>-0.363767645546866</v>
                </pt>
                <pt idx="2978">
                  <v>-0.363767645546866</v>
                </pt>
                <pt idx="2979">
                  <v>-0.363767645546866</v>
                </pt>
                <pt idx="2980">
                  <v>-0.363767645546866</v>
                </pt>
                <pt idx="2981">
                  <v>-0.363767645546866</v>
                </pt>
                <pt idx="2982">
                  <v>-0.363767645546866</v>
                </pt>
                <pt idx="2983">
                  <v>-0.363767645546866</v>
                </pt>
                <pt idx="2984">
                  <v>-0.363767645546866</v>
                </pt>
                <pt idx="2985">
                  <v>-0.363767645546866</v>
                </pt>
                <pt idx="2986">
                  <v>-0.363767645546866</v>
                </pt>
                <pt idx="2987">
                  <v>-0.363767645546866</v>
                </pt>
                <pt idx="2988">
                  <v>-0.363767645546866</v>
                </pt>
                <pt idx="2989">
                  <v>-0.363767645546866</v>
                </pt>
                <pt idx="2990">
                  <v>-0.363767645546866</v>
                </pt>
                <pt idx="2991">
                  <v>-0.363767645546866</v>
                </pt>
                <pt idx="2992">
                  <v>-0.363767645546866</v>
                </pt>
                <pt idx="2993">
                  <v>-0.363767645546866</v>
                </pt>
                <pt idx="2994">
                  <v>-0.363767645546866</v>
                </pt>
                <pt idx="2995">
                  <v>-0.363767645546866</v>
                </pt>
                <pt idx="2996">
                  <v>-0.363767645546866</v>
                </pt>
                <pt idx="2997">
                  <v>-0.363767645546866</v>
                </pt>
                <pt idx="2998">
                  <v>-0.363767645546866</v>
                </pt>
                <pt idx="2999">
                  <v>-0.363767645546866</v>
                </pt>
                <pt idx="3000">
                  <v>-0.363767645546866</v>
                </pt>
                <pt idx="3001">
                  <v>-0.363767645546866</v>
                </pt>
                <pt idx="3002">
                  <v>-0.363767645546866</v>
                </pt>
                <pt idx="3003">
                  <v>-0.363767645546866</v>
                </pt>
                <pt idx="3004">
                  <v>-0.363767645546866</v>
                </pt>
                <pt idx="3005">
                  <v>-0.363767645546866</v>
                </pt>
                <pt idx="3006">
                  <v>-0.363767645546866</v>
                </pt>
                <pt idx="3007">
                  <v>-0.363767645546866</v>
                </pt>
                <pt idx="3008">
                  <v>-0.363767645546866</v>
                </pt>
                <pt idx="3009">
                  <v>-0.363767645546866</v>
                </pt>
                <pt idx="3010">
                  <v>-0.363767645546866</v>
                </pt>
                <pt idx="3011">
                  <v>-0.363767645546866</v>
                </pt>
                <pt idx="3012">
                  <v>-0.363767645546866</v>
                </pt>
                <pt idx="3013">
                  <v>-0.363767645546866</v>
                </pt>
                <pt idx="3014">
                  <v>-0.363767645546866</v>
                </pt>
                <pt idx="3015">
                  <v>-0.363767645546866</v>
                </pt>
                <pt idx="3016">
                  <v>-0.363767645546866</v>
                </pt>
                <pt idx="3017">
                  <v>-0.363767645546866</v>
                </pt>
                <pt idx="3018">
                  <v>-0.363767645546866</v>
                </pt>
                <pt idx="3019">
                  <v>-0.363767645546866</v>
                </pt>
                <pt idx="3020">
                  <v>-0.363767645546866</v>
                </pt>
                <pt idx="3021">
                  <v>-0.363767645546866</v>
                </pt>
                <pt idx="3022">
                  <v>-0.363767645546866</v>
                </pt>
                <pt idx="3023">
                  <v>-0.363767645546866</v>
                </pt>
                <pt idx="3024">
                  <v>-0.363767645546866</v>
                </pt>
                <pt idx="3025">
                  <v>-0.363767645546866</v>
                </pt>
                <pt idx="3026">
                  <v>-0.363767645546866</v>
                </pt>
                <pt idx="3027">
                  <v>-0.363767645546866</v>
                </pt>
                <pt idx="3028">
                  <v>-0.363767645546866</v>
                </pt>
                <pt idx="3029">
                  <v>-0.363767645546866</v>
                </pt>
                <pt idx="3030">
                  <v>-0.363767645546866</v>
                </pt>
                <pt idx="3031">
                  <v>-0.363767645546866</v>
                </pt>
                <pt idx="3032">
                  <v>-0.363767645546866</v>
                </pt>
                <pt idx="3033">
                  <v>-0.363767645546866</v>
                </pt>
                <pt idx="3034">
                  <v>-0.363767645546866</v>
                </pt>
                <pt idx="3035">
                  <v>-0.363767645546866</v>
                </pt>
                <pt idx="3036">
                  <v>-0.363767645546866</v>
                </pt>
                <pt idx="3037">
                  <v>-0.363767645546866</v>
                </pt>
                <pt idx="3038">
                  <v>-0.363767645546866</v>
                </pt>
                <pt idx="3039">
                  <v>-0.363767645546866</v>
                </pt>
                <pt idx="3040">
                  <v>-0.363767645546866</v>
                </pt>
                <pt idx="3041">
                  <v>-0.363767645546866</v>
                </pt>
                <pt idx="3042">
                  <v>-0.363767645546866</v>
                </pt>
                <pt idx="3043">
                  <v>-0.363767645546866</v>
                </pt>
                <pt idx="3044">
                  <v>-0.363767645546866</v>
                </pt>
                <pt idx="3045">
                  <v>-0.363767645546866</v>
                </pt>
                <pt idx="3046">
                  <v>-0.363767645546866</v>
                </pt>
                <pt idx="3047">
                  <v>-0.363767645546866</v>
                </pt>
                <pt idx="3048">
                  <v>-0.363767645546866</v>
                </pt>
                <pt idx="3049">
                  <v>-0.363767645546866</v>
                </pt>
                <pt idx="3050">
                  <v>-0.363767645546866</v>
                </pt>
                <pt idx="3051">
                  <v>-0.363767645546866</v>
                </pt>
                <pt idx="3052">
                  <v>-0.363767645546866</v>
                </pt>
                <pt idx="3053">
                  <v>-0.363767645546866</v>
                </pt>
                <pt idx="3054">
                  <v>-0.363767645546866</v>
                </pt>
                <pt idx="3055">
                  <v>-0.363767645546866</v>
                </pt>
                <pt idx="3056">
                  <v>-0.363767645546866</v>
                </pt>
                <pt idx="3057">
                  <v>-0.363767645546866</v>
                </pt>
                <pt idx="3058">
                  <v>-0.363767645546866</v>
                </pt>
                <pt idx="3059">
                  <v>-0.363767645546866</v>
                </pt>
                <pt idx="3060">
                  <v>-0.363767645546866</v>
                </pt>
                <pt idx="3061">
                  <v>-0.363767645546866</v>
                </pt>
                <pt idx="3062">
                  <v>-0.363767645546866</v>
                </pt>
                <pt idx="3063">
                  <v>-0.363767645546866</v>
                </pt>
                <pt idx="3064">
                  <v>-0.363767645546866</v>
                </pt>
                <pt idx="3065">
                  <v>-0.363767645546866</v>
                </pt>
                <pt idx="3066">
                  <v>-0.363767645546866</v>
                </pt>
                <pt idx="3067">
                  <v>-0.363767645546866</v>
                </pt>
                <pt idx="3068">
                  <v>-0.363767645546866</v>
                </pt>
                <pt idx="3069">
                  <v>-0.363767645546866</v>
                </pt>
                <pt idx="3070">
                  <v>-0.363767645546866</v>
                </pt>
                <pt idx="3071">
                  <v>-0.363767645546866</v>
                </pt>
                <pt idx="3072">
                  <v>-0.363767645546866</v>
                </pt>
                <pt idx="3073">
                  <v>-0.363767645546866</v>
                </pt>
                <pt idx="3074">
                  <v>-0.363767645546866</v>
                </pt>
                <pt idx="3075">
                  <v>-0.363767645546866</v>
                </pt>
                <pt idx="3076">
                  <v>-0.363767645546866</v>
                </pt>
                <pt idx="3077">
                  <v>-0.363767645546866</v>
                </pt>
                <pt idx="3078">
                  <v>-0.363767645546866</v>
                </pt>
                <pt idx="3079">
                  <v>-0.363767645546866</v>
                </pt>
                <pt idx="3080">
                  <v>-0.363767645546866</v>
                </pt>
                <pt idx="3081">
                  <v>-0.363767645546866</v>
                </pt>
                <pt idx="3082">
                  <v>-0.363767645546866</v>
                </pt>
                <pt idx="3083">
                  <v>-0.363767645546866</v>
                </pt>
                <pt idx="3084">
                  <v>-0.363767645546866</v>
                </pt>
                <pt idx="3085">
                  <v>-0.363767645546866</v>
                </pt>
                <pt idx="3086">
                  <v>-0.363767645546866</v>
                </pt>
                <pt idx="3087">
                  <v>-0.363767645546866</v>
                </pt>
                <pt idx="3088">
                  <v>-0.363767645546866</v>
                </pt>
                <pt idx="3089">
                  <v>-0.363767645546866</v>
                </pt>
                <pt idx="3090">
                  <v>-0.363767645546866</v>
                </pt>
                <pt idx="3091">
                  <v>-0.363767645546866</v>
                </pt>
                <pt idx="3092">
                  <v>-0.363767645546866</v>
                </pt>
                <pt idx="3093">
                  <v>-0.363767645546866</v>
                </pt>
                <pt idx="3094">
                  <v>-0.363767645546866</v>
                </pt>
                <pt idx="3095">
                  <v>-0.363767645546866</v>
                </pt>
                <pt idx="3096">
                  <v>-0.363767645546866</v>
                </pt>
                <pt idx="3097">
                  <v>-0.363767645546866</v>
                </pt>
                <pt idx="3098">
                  <v>-0.363767645546866</v>
                </pt>
                <pt idx="3099">
                  <v>-0.363767645546866</v>
                </pt>
                <pt idx="3100">
                  <v>-0.363767645546866</v>
                </pt>
                <pt idx="3101">
                  <v>-0.363767645546866</v>
                </pt>
                <pt idx="3102">
                  <v>-0.363767645546866</v>
                </pt>
                <pt idx="3103">
                  <v>-0.363767645546866</v>
                </pt>
                <pt idx="3104">
                  <v>-0.363767645546866</v>
                </pt>
                <pt idx="3105">
                  <v>-0.363767645546866</v>
                </pt>
                <pt idx="3106">
                  <v>-0.363767645546866</v>
                </pt>
                <pt idx="3107">
                  <v>-0.363767645546866</v>
                </pt>
                <pt idx="3108">
                  <v>-0.363767645546866</v>
                </pt>
                <pt idx="3109">
                  <v>-0.363767645546866</v>
                </pt>
                <pt idx="3110">
                  <v>-0.363767645546866</v>
                </pt>
                <pt idx="3111">
                  <v>-0.363767645546866</v>
                </pt>
                <pt idx="3112">
                  <v>-0.363767645546866</v>
                </pt>
                <pt idx="3113">
                  <v>-0.363767645546866</v>
                </pt>
                <pt idx="3114">
                  <v>-0.363767645546866</v>
                </pt>
                <pt idx="3115">
                  <v>-0.363767645546866</v>
                </pt>
                <pt idx="3116">
                  <v>-0.363767645546866</v>
                </pt>
                <pt idx="3117">
                  <v>-0.363767645546866</v>
                </pt>
                <pt idx="3118">
                  <v>-0.363767645546866</v>
                </pt>
                <pt idx="3119">
                  <v>-0.363767645546866</v>
                </pt>
                <pt idx="3120">
                  <v>-0.363767645546866</v>
                </pt>
                <pt idx="3121">
                  <v>-0.363767645546866</v>
                </pt>
                <pt idx="3122">
                  <v>-0.363767645546866</v>
                </pt>
                <pt idx="3123">
                  <v>-0.363767645546866</v>
                </pt>
                <pt idx="3124">
                  <v>-0.363767645546866</v>
                </pt>
                <pt idx="3125">
                  <v>-0.363767645546866</v>
                </pt>
                <pt idx="3126">
                  <v>-0.363767645546866</v>
                </pt>
                <pt idx="3127">
                  <v>-0.363767645546866</v>
                </pt>
                <pt idx="3128">
                  <v>-0.363767645546866</v>
                </pt>
                <pt idx="3129">
                  <v>-0.363767645546866</v>
                </pt>
                <pt idx="3130">
                  <v>-0.363767645546866</v>
                </pt>
                <pt idx="3131">
                  <v>-0.363767645546866</v>
                </pt>
                <pt idx="3132">
                  <v>-0.363767645546866</v>
                </pt>
                <pt idx="3133">
                  <v>-0.363767645546866</v>
                </pt>
                <pt idx="3134">
                  <v>-0.363767645546866</v>
                </pt>
                <pt idx="3135">
                  <v>-0.363767645546866</v>
                </pt>
                <pt idx="3136">
                  <v>-0.363767645546866</v>
                </pt>
                <pt idx="3137">
                  <v>-0.363767645546866</v>
                </pt>
                <pt idx="3138">
                  <v>-0.363767645546866</v>
                </pt>
                <pt idx="3139">
                  <v>-0.363767645546866</v>
                </pt>
                <pt idx="3140">
                  <v>-0.363767645546866</v>
                </pt>
                <pt idx="3141">
                  <v>-0.363767645546866</v>
                </pt>
                <pt idx="3142">
                  <v>-0.363767645546866</v>
                </pt>
                <pt idx="3143">
                  <v>-0.363767645546866</v>
                </pt>
                <pt idx="3144">
                  <v>-0.363767645546866</v>
                </pt>
                <pt idx="3145">
                  <v>-0.363767645546866</v>
                </pt>
                <pt idx="3146">
                  <v>-0.363767645546866</v>
                </pt>
                <pt idx="3147">
                  <v>-0.363767645546866</v>
                </pt>
                <pt idx="3148">
                  <v>-0.363767645546866</v>
                </pt>
                <pt idx="3149">
                  <v>-0.363767645546866</v>
                </pt>
                <pt idx="3150">
                  <v>-0.363767645546866</v>
                </pt>
                <pt idx="3151">
                  <v>-0.363767645546866</v>
                </pt>
                <pt idx="3152">
                  <v>-0.363767645546866</v>
                </pt>
                <pt idx="3153">
                  <v>-0.363767645546866</v>
                </pt>
                <pt idx="3154">
                  <v>-0.363767645546866</v>
                </pt>
                <pt idx="3155">
                  <v>-0.363767645546866</v>
                </pt>
                <pt idx="3156">
                  <v>-0.363767645546866</v>
                </pt>
                <pt idx="3157">
                  <v>-0.363767645546866</v>
                </pt>
                <pt idx="3158">
                  <v>-0.363767645546866</v>
                </pt>
                <pt idx="3159">
                  <v>-0.363767645546866</v>
                </pt>
                <pt idx="3160">
                  <v>-0.363767645546866</v>
                </pt>
                <pt idx="3161">
                  <v>-0.363767645546866</v>
                </pt>
                <pt idx="3162">
                  <v>-0.363767645546866</v>
                </pt>
                <pt idx="3163">
                  <v>-0.363767645546866</v>
                </pt>
                <pt idx="3164">
                  <v>-0.363767645546866</v>
                </pt>
                <pt idx="3165">
                  <v>-0.363767645546866</v>
                </pt>
                <pt idx="3166">
                  <v>-0.363767645546866</v>
                </pt>
                <pt idx="3167">
                  <v>-0.363767645546866</v>
                </pt>
                <pt idx="3168">
                  <v>-0.363767645546866</v>
                </pt>
                <pt idx="3169">
                  <v>-0.363767645546866</v>
                </pt>
                <pt idx="3170">
                  <v>-0.363767645546866</v>
                </pt>
                <pt idx="3171">
                  <v>-0.363767645546866</v>
                </pt>
                <pt idx="3172">
                  <v>-0.363767645546866</v>
                </pt>
                <pt idx="3173">
                  <v>-0.363767645546866</v>
                </pt>
                <pt idx="3174">
                  <v>-0.363767645546866</v>
                </pt>
                <pt idx="3175">
                  <v>-0.363767645546866</v>
                </pt>
                <pt idx="3176">
                  <v>-0.363767645546866</v>
                </pt>
                <pt idx="3177">
                  <v>-0.363767645546866</v>
                </pt>
                <pt idx="3178">
                  <v>-0.363767645546866</v>
                </pt>
                <pt idx="3179">
                  <v>-0.363767645546866</v>
                </pt>
                <pt idx="3180">
                  <v>-0.363767645546866</v>
                </pt>
                <pt idx="3181">
                  <v>-0.363767645546866</v>
                </pt>
                <pt idx="3182">
                  <v>-0.363767645546866</v>
                </pt>
                <pt idx="3183">
                  <v>-0.363767645546866</v>
                </pt>
                <pt idx="3184">
                  <v>-0.363767645546866</v>
                </pt>
                <pt idx="3185">
                  <v>-0.363767645546866</v>
                </pt>
                <pt idx="3186">
                  <v>-0.363767645546866</v>
                </pt>
                <pt idx="3187">
                  <v>-0.363767645546866</v>
                </pt>
                <pt idx="3188">
                  <v>-0.363767645546866</v>
                </pt>
                <pt idx="3189">
                  <v>-0.363767645546866</v>
                </pt>
                <pt idx="3190">
                  <v>-0.363767645546866</v>
                </pt>
                <pt idx="3191">
                  <v>-0.363767645546866</v>
                </pt>
                <pt idx="3192">
                  <v>-0.363767645546866</v>
                </pt>
                <pt idx="3193">
                  <v>-0.363767645546866</v>
                </pt>
                <pt idx="3194">
                  <v>-0.363767645546866</v>
                </pt>
                <pt idx="3195">
                  <v>-0.363767645546866</v>
                </pt>
                <pt idx="3196">
                  <v>-0.363767645546866</v>
                </pt>
                <pt idx="3197">
                  <v>-0.363767645546866</v>
                </pt>
                <pt idx="3198">
                  <v>-0.363767645546866</v>
                </pt>
                <pt idx="3199">
                  <v>-0.363767645546866</v>
                </pt>
                <pt idx="3200">
                  <v>-0.363767645546866</v>
                </pt>
                <pt idx="3201">
                  <v>-0.363767645546866</v>
                </pt>
                <pt idx="3202">
                  <v>-0.363767645546866</v>
                </pt>
                <pt idx="3203">
                  <v>-0.363767645546866</v>
                </pt>
                <pt idx="3204">
                  <v>-0.363767645546866</v>
                </pt>
                <pt idx="3205">
                  <v>-0.363767645546866</v>
                </pt>
                <pt idx="3206">
                  <v>-0.363767645546866</v>
                </pt>
                <pt idx="3207">
                  <v>-0.363767645546866</v>
                </pt>
                <pt idx="3208">
                  <v>-0.363767645546866</v>
                </pt>
                <pt idx="3209">
                  <v>-0.363767645546866</v>
                </pt>
                <pt idx="3210">
                  <v>-0.363767645546866</v>
                </pt>
                <pt idx="3211">
                  <v>-0.363767645546866</v>
                </pt>
                <pt idx="3212">
                  <v>-0.363767645546866</v>
                </pt>
                <pt idx="3213">
                  <v>-0.363767645546866</v>
                </pt>
                <pt idx="3214">
                  <v>-0.363767645546866</v>
                </pt>
                <pt idx="3215">
                  <v>-0.363767645546866</v>
                </pt>
                <pt idx="3216">
                  <v>-0.363767645546866</v>
                </pt>
                <pt idx="3217">
                  <v>-0.363767645546866</v>
                </pt>
                <pt idx="3218">
                  <v>-0.363767645546866</v>
                </pt>
                <pt idx="3219">
                  <v>-0.363767645546866</v>
                </pt>
                <pt idx="3220">
                  <v>-0.363767645546866</v>
                </pt>
                <pt idx="3221">
                  <v>-0.363767645546866</v>
                </pt>
                <pt idx="3222">
                  <v>-0.363767645546866</v>
                </pt>
                <pt idx="3223">
                  <v>-0.363767645546866</v>
                </pt>
                <pt idx="3224">
                  <v>-0.363767645546866</v>
                </pt>
                <pt idx="3225">
                  <v>-0.363767645546866</v>
                </pt>
                <pt idx="3226">
                  <v>-0.363767645546866</v>
                </pt>
                <pt idx="3227">
                  <v>-0.363767645546866</v>
                </pt>
                <pt idx="3228">
                  <v>-0.363767645546866</v>
                </pt>
                <pt idx="3229">
                  <v>-0.363767645546866</v>
                </pt>
                <pt idx="3230">
                  <v>-0.363767645546866</v>
                </pt>
                <pt idx="3231">
                  <v>-0.363767645546866</v>
                </pt>
                <pt idx="3232">
                  <v>-0.363767645546866</v>
                </pt>
                <pt idx="3233">
                  <v>-0.363767645546866</v>
                </pt>
                <pt idx="3234">
                  <v>-0.363767645546866</v>
                </pt>
                <pt idx="3235">
                  <v>-0.363767645546866</v>
                </pt>
                <pt idx="3236">
                  <v>-0.363767645546866</v>
                </pt>
                <pt idx="3237">
                  <v>-0.363767645546866</v>
                </pt>
                <pt idx="3238">
                  <v>-0.363767645546866</v>
                </pt>
                <pt idx="3239">
                  <v>-0.363767645546866</v>
                </pt>
                <pt idx="3240">
                  <v>-0.363767645546866</v>
                </pt>
                <pt idx="3241">
                  <v>-0.363767645546866</v>
                </pt>
                <pt idx="3242">
                  <v>-0.363767645546866</v>
                </pt>
                <pt idx="3243">
                  <v>-0.363767645546866</v>
                </pt>
                <pt idx="3244">
                  <v>-0.363767645546866</v>
                </pt>
                <pt idx="3245">
                  <v>-0.363767645546866</v>
                </pt>
                <pt idx="3246">
                  <v>-0.363767645546866</v>
                </pt>
                <pt idx="3247">
                  <v>-0.363767645546866</v>
                </pt>
                <pt idx="3248">
                  <v>-0.363767645546866</v>
                </pt>
                <pt idx="3249">
                  <v>-0.363767645546866</v>
                </pt>
                <pt idx="3250">
                  <v>-0.363767645546866</v>
                </pt>
                <pt idx="3251">
                  <v>-0.363767645546866</v>
                </pt>
                <pt idx="3252">
                  <v>-0.363767645546866</v>
                </pt>
                <pt idx="3253">
                  <v>-0.363767645546866</v>
                </pt>
                <pt idx="3254">
                  <v>-0.363767645546866</v>
                </pt>
                <pt idx="3255">
                  <v>-0.363767645546866</v>
                </pt>
                <pt idx="3256">
                  <v>-0.363767645546866</v>
                </pt>
                <pt idx="3257">
                  <v>-0.363767645546866</v>
                </pt>
                <pt idx="3258">
                  <v>-0.363767645546866</v>
                </pt>
                <pt idx="3259">
                  <v>-0.363767645546866</v>
                </pt>
                <pt idx="3260">
                  <v>-0.363767645546866</v>
                </pt>
                <pt idx="3261">
                  <v>-0.363767645546866</v>
                </pt>
                <pt idx="3262">
                  <v>-0.363767645546866</v>
                </pt>
                <pt idx="3263">
                  <v>-0.363767645546866</v>
                </pt>
                <pt idx="3264">
                  <v>-0.363767645546866</v>
                </pt>
                <pt idx="3265">
                  <v>-0.363767645546866</v>
                </pt>
                <pt idx="3266">
                  <v>-0.363767645546866</v>
                </pt>
                <pt idx="3267">
                  <v>-0.363767645546866</v>
                </pt>
                <pt idx="3268">
                  <v>-0.363767645546866</v>
                </pt>
                <pt idx="3269">
                  <v>-0.363767645546866</v>
                </pt>
                <pt idx="3270">
                  <v>-0.363767645546866</v>
                </pt>
                <pt idx="3271">
                  <v>-0.363767645546866</v>
                </pt>
                <pt idx="3272">
                  <v>-0.363767645546866</v>
                </pt>
                <pt idx="3273">
                  <v>-0.363767645546866</v>
                </pt>
                <pt idx="3274">
                  <v>-0.363767645546866</v>
                </pt>
                <pt idx="3275">
                  <v>-0.363767645546866</v>
                </pt>
                <pt idx="3276">
                  <v>-0.363767645546866</v>
                </pt>
                <pt idx="3277">
                  <v>-0.363767645546866</v>
                </pt>
                <pt idx="3278">
                  <v>-0.363767645546866</v>
                </pt>
                <pt idx="3279">
                  <v>-0.363767645546866</v>
                </pt>
                <pt idx="3280">
                  <v>-0.363767645546866</v>
                </pt>
                <pt idx="3281">
                  <v>-0.363767645546866</v>
                </pt>
                <pt idx="3282">
                  <v>-0.363767645546866</v>
                </pt>
                <pt idx="3283">
                  <v>-0.363767645546866</v>
                </pt>
                <pt idx="3284">
                  <v>-0.363767645546866</v>
                </pt>
                <pt idx="3285">
                  <v>-0.363767645546866</v>
                </pt>
                <pt idx="3286">
                  <v>-0.363767645546866</v>
                </pt>
                <pt idx="3287">
                  <v>-0.363767645546866</v>
                </pt>
                <pt idx="3288">
                  <v>-0.363767645546866</v>
                </pt>
                <pt idx="3289">
                  <v>-0.363767645546866</v>
                </pt>
                <pt idx="3290">
                  <v>-0.363767645546866</v>
                </pt>
                <pt idx="3291">
                  <v>-0.363767645546866</v>
                </pt>
                <pt idx="3292">
                  <v>-0.363767645546866</v>
                </pt>
                <pt idx="3293">
                  <v>-0.363767645546866</v>
                </pt>
                <pt idx="3294">
                  <v>-0.363767645546866</v>
                </pt>
                <pt idx="3295">
                  <v>-0.363767645546866</v>
                </pt>
                <pt idx="3296">
                  <v>-0.363767645546866</v>
                </pt>
                <pt idx="3297">
                  <v>-0.363767645546866</v>
                </pt>
                <pt idx="3298">
                  <v>-0.363767645546866</v>
                </pt>
                <pt idx="3299">
                  <v>-0.363767645546866</v>
                </pt>
                <pt idx="3300">
                  <v>-0.363767645546866</v>
                </pt>
                <pt idx="3301">
                  <v>-0.363767645546866</v>
                </pt>
                <pt idx="3302">
                  <v>-0.363767645546866</v>
                </pt>
                <pt idx="3303">
                  <v>-0.363767645546866</v>
                </pt>
                <pt idx="3304">
                  <v>-0.363767645546866</v>
                </pt>
                <pt idx="3305">
                  <v>-0.363767645546866</v>
                </pt>
                <pt idx="3306">
                  <v>-0.363767645546866</v>
                </pt>
                <pt idx="3307">
                  <v>-0.363767645546866</v>
                </pt>
                <pt idx="3308">
                  <v>-0.363767645546866</v>
                </pt>
                <pt idx="3309">
                  <v>-0.363767645546866</v>
                </pt>
                <pt idx="3310">
                  <v>-0.363767645546866</v>
                </pt>
                <pt idx="3311">
                  <v>-0.363767645546866</v>
                </pt>
                <pt idx="3312">
                  <v>-0.363767645546866</v>
                </pt>
                <pt idx="3313">
                  <v>-0.363767645546866</v>
                </pt>
                <pt idx="3314">
                  <v>-0.363767645546866</v>
                </pt>
                <pt idx="3315">
                  <v>-0.363767645546866</v>
                </pt>
                <pt idx="3316">
                  <v>-0.363767645546866</v>
                </pt>
                <pt idx="3317">
                  <v>-0.363767645546866</v>
                </pt>
                <pt idx="3318">
                  <v>-0.363767645546866</v>
                </pt>
                <pt idx="3319">
                  <v>-0.363767645546866</v>
                </pt>
                <pt idx="3320">
                  <v>-0.363767645546866</v>
                </pt>
                <pt idx="3321">
                  <v>-0.363767645546866</v>
                </pt>
                <pt idx="3322">
                  <v>-0.363767645546866</v>
                </pt>
                <pt idx="3323">
                  <v>-0.363767645546866</v>
                </pt>
                <pt idx="3324">
                  <v>-0.363767645546866</v>
                </pt>
                <pt idx="3325">
                  <v>-0.363767645546866</v>
                </pt>
                <pt idx="3326">
                  <v>-0.363767645546866</v>
                </pt>
                <pt idx="3327">
                  <v>-0.363767645546866</v>
                </pt>
                <pt idx="3328">
                  <v>-0.363767645546866</v>
                </pt>
                <pt idx="3329">
                  <v>-0.363767645546866</v>
                </pt>
                <pt idx="3330">
                  <v>-0.363767645546866</v>
                </pt>
                <pt idx="3331">
                  <v>-0.363767645546866</v>
                </pt>
                <pt idx="3332">
                  <v>-0.363767645546866</v>
                </pt>
                <pt idx="3333">
                  <v>-0.363767645546866</v>
                </pt>
                <pt idx="3334">
                  <v>-0.363767645546866</v>
                </pt>
                <pt idx="3335">
                  <v>-0.363767645546866</v>
                </pt>
                <pt idx="3336">
                  <v>-0.363767645546866</v>
                </pt>
                <pt idx="3337">
                  <v>-0.363767645546866</v>
                </pt>
                <pt idx="3338">
                  <v>-0.363767645546866</v>
                </pt>
                <pt idx="3339">
                  <v>-0.363767645546866</v>
                </pt>
                <pt idx="3340">
                  <v>-0.363767645546866</v>
                </pt>
                <pt idx="3341">
                  <v>-0.363767645546866</v>
                </pt>
                <pt idx="3342">
                  <v>-0.363767645546866</v>
                </pt>
                <pt idx="3343">
                  <v>-0.363767645546866</v>
                </pt>
                <pt idx="3344">
                  <v>-0.363767645546866</v>
                </pt>
                <pt idx="3345">
                  <v>-0.363767645546866</v>
                </pt>
                <pt idx="3346">
                  <v>-0.363767645546866</v>
                </pt>
                <pt idx="3347">
                  <v>-0.363767645546866</v>
                </pt>
                <pt idx="3348">
                  <v>-0.363767645546866</v>
                </pt>
                <pt idx="3349">
                  <v>-0.363767645546866</v>
                </pt>
                <pt idx="3350">
                  <v>-0.363767645546866</v>
                </pt>
                <pt idx="3351">
                  <v>-0.363767645546866</v>
                </pt>
                <pt idx="3352">
                  <v>-0.363767645546866</v>
                </pt>
                <pt idx="3353">
                  <v>-0.363767645546866</v>
                </pt>
                <pt idx="3354">
                  <v>-0.363767645546866</v>
                </pt>
                <pt idx="3355">
                  <v>-0.363767645546866</v>
                </pt>
                <pt idx="3356">
                  <v>-0.363767645546866</v>
                </pt>
                <pt idx="3357">
                  <v>-0.363767645546866</v>
                </pt>
                <pt idx="3358">
                  <v>-0.363767645546866</v>
                </pt>
                <pt idx="3359">
                  <v>-0.363767645546866</v>
                </pt>
                <pt idx="3360">
                  <v>-0.363767645546866</v>
                </pt>
                <pt idx="3361">
                  <v>-0.363767645546866</v>
                </pt>
                <pt idx="3362">
                  <v>-0.363767645546866</v>
                </pt>
                <pt idx="3363">
                  <v>-0.363767645546866</v>
                </pt>
                <pt idx="3364">
                  <v>-0.363767645546866</v>
                </pt>
                <pt idx="3365">
                  <v>-0.363767645546866</v>
                </pt>
                <pt idx="3366">
                  <v>-0.363767645546866</v>
                </pt>
                <pt idx="3367">
                  <v>-0.363767645546866</v>
                </pt>
                <pt idx="3368">
                  <v>-0.363767645546866</v>
                </pt>
                <pt idx="3369">
                  <v>-0.363767645546866</v>
                </pt>
                <pt idx="3370">
                  <v>-0.363767645546866</v>
                </pt>
                <pt idx="3371">
                  <v>-0.363767645546866</v>
                </pt>
                <pt idx="3372">
                  <v>-0.363767645546866</v>
                </pt>
                <pt idx="3373">
                  <v>-0.363767645546866</v>
                </pt>
                <pt idx="3374">
                  <v>-0.363767645546866</v>
                </pt>
                <pt idx="3375">
                  <v>-0.363767645546866</v>
                </pt>
                <pt idx="3376">
                  <v>-0.363767645546866</v>
                </pt>
                <pt idx="3377">
                  <v>-0.363767645546866</v>
                </pt>
                <pt idx="3378">
                  <v>-0.363767645546866</v>
                </pt>
                <pt idx="3379">
                  <v>-0.363767645546866</v>
                </pt>
                <pt idx="3380">
                  <v>-0.363767645546866</v>
                </pt>
                <pt idx="3381">
                  <v>-0.363767645546866</v>
                </pt>
                <pt idx="3382">
                  <v>-0.363767645546866</v>
                </pt>
                <pt idx="3383">
                  <v>-0.363767645546866</v>
                </pt>
                <pt idx="3384">
                  <v>-0.363767645546866</v>
                </pt>
                <pt idx="3385">
                  <v>-0.363767645546866</v>
                </pt>
                <pt idx="3386">
                  <v>-0.363767645546866</v>
                </pt>
                <pt idx="3387">
                  <v>-0.363767645546866</v>
                </pt>
                <pt idx="3388">
                  <v>-0.363767645546866</v>
                </pt>
                <pt idx="3389">
                  <v>-0.363767645546866</v>
                </pt>
                <pt idx="3390">
                  <v>-0.363767645546866</v>
                </pt>
                <pt idx="3391">
                  <v>-0.363767645546866</v>
                </pt>
                <pt idx="3392">
                  <v>-0.363767645546866</v>
                </pt>
                <pt idx="3393">
                  <v>-0.363767645546866</v>
                </pt>
                <pt idx="3394">
                  <v>-0.363767645546866</v>
                </pt>
                <pt idx="3395">
                  <v>-0.363767645546866</v>
                </pt>
                <pt idx="3396">
                  <v>-0.363767645546866</v>
                </pt>
                <pt idx="3397">
                  <v>-0.363767645546866</v>
                </pt>
                <pt idx="3398">
                  <v>-0.363767645546866</v>
                </pt>
                <pt idx="3399">
                  <v>-0.363767645546866</v>
                </pt>
                <pt idx="3400">
                  <v>-0.363767645546866</v>
                </pt>
                <pt idx="3401">
                  <v>-0.363767645546866</v>
                </pt>
                <pt idx="3402">
                  <v>-0.363767645546866</v>
                </pt>
                <pt idx="3403">
                  <v>-0.363767645546866</v>
                </pt>
                <pt idx="3404">
                  <v>-0.363767645546866</v>
                </pt>
                <pt idx="3405">
                  <v>-0.363767645546866</v>
                </pt>
                <pt idx="3406">
                  <v>-0.363767645546866</v>
                </pt>
                <pt idx="3407">
                  <v>-0.363767645546866</v>
                </pt>
                <pt idx="3408">
                  <v>-0.363767645546866</v>
                </pt>
                <pt idx="3409">
                  <v>-0.363767645546866</v>
                </pt>
                <pt idx="3410">
                  <v>-0.363767645546866</v>
                </pt>
                <pt idx="3411">
                  <v>-0.363767645546866</v>
                </pt>
                <pt idx="3412">
                  <v>-0.363767645546866</v>
                </pt>
                <pt idx="3413">
                  <v>-0.363767645546866</v>
                </pt>
                <pt idx="3414">
                  <v>-0.363767645546866</v>
                </pt>
                <pt idx="3415">
                  <v>-0.363767645546866</v>
                </pt>
                <pt idx="3416">
                  <v>-0.363767645546866</v>
                </pt>
                <pt idx="3417">
                  <v>-0.363767645546866</v>
                </pt>
                <pt idx="3418">
                  <v>-0.363767645546866</v>
                </pt>
                <pt idx="3419">
                  <v>-0.363767645546866</v>
                </pt>
                <pt idx="3420">
                  <v>-0.363767645546866</v>
                </pt>
                <pt idx="3421">
                  <v>-0.363767645546866</v>
                </pt>
                <pt idx="3422">
                  <v>-0.363767645546866</v>
                </pt>
                <pt idx="3423">
                  <v>-0.363767645546866</v>
                </pt>
                <pt idx="3424">
                  <v>-0.363767645546866</v>
                </pt>
                <pt idx="3425">
                  <v>-0.363767645546866</v>
                </pt>
                <pt idx="3426">
                  <v>-0.363767645546866</v>
                </pt>
                <pt idx="3427">
                  <v>-0.363767645546866</v>
                </pt>
                <pt idx="3428">
                  <v>-0.363767645546866</v>
                </pt>
                <pt idx="3429">
                  <v>-0.363767645546866</v>
                </pt>
                <pt idx="3430">
                  <v>-0.363767645546866</v>
                </pt>
                <pt idx="3431">
                  <v>-0.363767645546866</v>
                </pt>
                <pt idx="3432">
                  <v>-0.363767645546866</v>
                </pt>
                <pt idx="3433">
                  <v>-0.363767645546866</v>
                </pt>
                <pt idx="3434">
                  <v>-0.363767645546866</v>
                </pt>
                <pt idx="3435">
                  <v>-0.363767645546866</v>
                </pt>
                <pt idx="3436">
                  <v>-0.363767645546866</v>
                </pt>
                <pt idx="3437">
                  <v>-0.363767645546866</v>
                </pt>
                <pt idx="3438">
                  <v>-0.363767645546866</v>
                </pt>
                <pt idx="3439">
                  <v>-0.363767645546866</v>
                </pt>
                <pt idx="3440">
                  <v>-0.363767645546866</v>
                </pt>
                <pt idx="3441">
                  <v>-0.363767645546866</v>
                </pt>
                <pt idx="3442">
                  <v>-0.363767645546866</v>
                </pt>
                <pt idx="3443">
                  <v>-0.363767645546866</v>
                </pt>
                <pt idx="3444">
                  <v>-0.363767645546866</v>
                </pt>
                <pt idx="3445">
                  <v>-0.363767645546866</v>
                </pt>
                <pt idx="3446">
                  <v>-0.363767645546866</v>
                </pt>
                <pt idx="3447">
                  <v>-0.363767645546866</v>
                </pt>
                <pt idx="3448">
                  <v>-0.363767645546866</v>
                </pt>
                <pt idx="3449">
                  <v>-0.363767645546866</v>
                </pt>
                <pt idx="3450">
                  <v>-0.363767645546866</v>
                </pt>
                <pt idx="3451">
                  <v>-0.363767645546866</v>
                </pt>
                <pt idx="3452">
                  <v>-0.363767645546866</v>
                </pt>
                <pt idx="3453">
                  <v>-0.363767645546866</v>
                </pt>
                <pt idx="3454">
                  <v>-0.363767645546866</v>
                </pt>
                <pt idx="3455">
                  <v>-0.363767645546866</v>
                </pt>
                <pt idx="3456">
                  <v>-0.363767645546866</v>
                </pt>
                <pt idx="3457">
                  <v>-0.363767645546866</v>
                </pt>
                <pt idx="3458">
                  <v>-0.363767645546866</v>
                </pt>
                <pt idx="3459">
                  <v>-0.363767645546866</v>
                </pt>
                <pt idx="3460">
                  <v>-0.363767645546866</v>
                </pt>
                <pt idx="3461">
                  <v>-0.363767645546866</v>
                </pt>
                <pt idx="3462">
                  <v>-0.363767645546866</v>
                </pt>
                <pt idx="3463">
                  <v>-0.363767645546866</v>
                </pt>
                <pt idx="3464">
                  <v>-0.363767645546866</v>
                </pt>
                <pt idx="3465">
                  <v>-0.363767645546866</v>
                </pt>
                <pt idx="3466">
                  <v>-0.363767645546866</v>
                </pt>
                <pt idx="3467">
                  <v>-0.363767645546866</v>
                </pt>
                <pt idx="3468">
                  <v>-0.363767645546866</v>
                </pt>
                <pt idx="3469">
                  <v>-0.363767645546866</v>
                </pt>
                <pt idx="3470">
                  <v>-0.363767645546866</v>
                </pt>
                <pt idx="3471">
                  <v>-0.363767645546866</v>
                </pt>
                <pt idx="3472">
                  <v>-0.363767645546866</v>
                </pt>
                <pt idx="3473">
                  <v>-0.363767645546866</v>
                </pt>
                <pt idx="3474">
                  <v>-0.363767645546866</v>
                </pt>
                <pt idx="3475">
                  <v>-0.363767645546866</v>
                </pt>
                <pt idx="3476">
                  <v>-0.363767645546866</v>
                </pt>
                <pt idx="3477">
                  <v>-0.363767645546866</v>
                </pt>
                <pt idx="3478">
                  <v>-0.363767645546866</v>
                </pt>
                <pt idx="3479">
                  <v>-0.363767645546866</v>
                </pt>
                <pt idx="3480">
                  <v>-0.363767645546866</v>
                </pt>
                <pt idx="3481">
                  <v>-0.363767645546866</v>
                </pt>
                <pt idx="3482">
                  <v>-0.363767645546866</v>
                </pt>
                <pt idx="3483">
                  <v>-0.363767645546866</v>
                </pt>
                <pt idx="3484">
                  <v>-0.363767645546866</v>
                </pt>
                <pt idx="3485">
                  <v>-0.363767645546866</v>
                </pt>
                <pt idx="3486">
                  <v>-0.363767645546866</v>
                </pt>
                <pt idx="3487">
                  <v>-0.363767645546866</v>
                </pt>
                <pt idx="3488">
                  <v>-0.363767645546866</v>
                </pt>
                <pt idx="3489">
                  <v>-0.363767645546866</v>
                </pt>
                <pt idx="3490">
                  <v>-0.363767645546866</v>
                </pt>
                <pt idx="3491">
                  <v>-0.363767645546866</v>
                </pt>
                <pt idx="3492">
                  <v>-0.363767645546866</v>
                </pt>
                <pt idx="3493">
                  <v>-0.363767645546866</v>
                </pt>
                <pt idx="3494">
                  <v>-0.363767645546866</v>
                </pt>
                <pt idx="3495">
                  <v>-0.363767645546866</v>
                </pt>
                <pt idx="3496">
                  <v>-0.363767645546866</v>
                </pt>
                <pt idx="3497">
                  <v>-0.363767645546866</v>
                </pt>
                <pt idx="3498">
                  <v>-0.363767645546866</v>
                </pt>
                <pt idx="3499">
                  <v>-0.363767645546866</v>
                </pt>
                <pt idx="3500">
                  <v>-0.363767645546866</v>
                </pt>
                <pt idx="3501">
                  <v>-0.363767645546866</v>
                </pt>
                <pt idx="3502">
                  <v>-0.363767645546866</v>
                </pt>
                <pt idx="3503">
                  <v>-0.363767645546866</v>
                </pt>
                <pt idx="3504">
                  <v>-0.363767645546866</v>
                </pt>
                <pt idx="3505">
                  <v>-0.363767645546866</v>
                </pt>
                <pt idx="3506">
                  <v>-0.363767645546866</v>
                </pt>
                <pt idx="3507">
                  <v>-0.363767645546866</v>
                </pt>
                <pt idx="3508">
                  <v>-0.363767645546866</v>
                </pt>
                <pt idx="3509">
                  <v>-0.363767645546866</v>
                </pt>
                <pt idx="3510">
                  <v>-0.363767645546866</v>
                </pt>
                <pt idx="3511">
                  <v>-0.363767645546866</v>
                </pt>
                <pt idx="3512">
                  <v>-0.363767645546866</v>
                </pt>
                <pt idx="3513">
                  <v>-0.363767645546866</v>
                </pt>
                <pt idx="3514">
                  <v>-0.363767645546866</v>
                </pt>
                <pt idx="3515">
                  <v>-0.363767645546866</v>
                </pt>
                <pt idx="3516">
                  <v>-0.363767645546866</v>
                </pt>
                <pt idx="3517">
                  <v>-0.363767645546866</v>
                </pt>
                <pt idx="3518">
                  <v>-0.363767645546866</v>
                </pt>
                <pt idx="3519">
                  <v>-0.363767645546866</v>
                </pt>
                <pt idx="3520">
                  <v>-0.363767645546866</v>
                </pt>
                <pt idx="3521">
                  <v>-0.363767645546866</v>
                </pt>
                <pt idx="3522">
                  <v>-0.363767645546866</v>
                </pt>
                <pt idx="3523">
                  <v>-0.363767645546866</v>
                </pt>
                <pt idx="3524">
                  <v>-0.363767645546866</v>
                </pt>
                <pt idx="3525">
                  <v>-0.363767645546866</v>
                </pt>
                <pt idx="3526">
                  <v>-0.363767645546866</v>
                </pt>
                <pt idx="3527">
                  <v>-0.363767645546866</v>
                </pt>
                <pt idx="3528">
                  <v>-0.363767645546866</v>
                </pt>
                <pt idx="3529">
                  <v>-0.363767645546866</v>
                </pt>
                <pt idx="3530">
                  <v>-0.363767645546866</v>
                </pt>
                <pt idx="3531">
                  <v>-0.363767645546866</v>
                </pt>
                <pt idx="3532">
                  <v>-0.363767645546866</v>
                </pt>
                <pt idx="3533">
                  <v>-0.363767645546866</v>
                </pt>
                <pt idx="3534">
                  <v>-0.363767645546866</v>
                </pt>
                <pt idx="3535">
                  <v>-0.363767645546866</v>
                </pt>
                <pt idx="3536">
                  <v>-0.363767645546866</v>
                </pt>
                <pt idx="3537">
                  <v>-0.363767645546866</v>
                </pt>
                <pt idx="3538">
                  <v>-0.363767645546866</v>
                </pt>
                <pt idx="3539">
                  <v>-0.363767645546866</v>
                </pt>
                <pt idx="3540">
                  <v>-0.363767645546866</v>
                </pt>
                <pt idx="3541">
                  <v>-0.363767645546866</v>
                </pt>
                <pt idx="3542">
                  <v>-0.363767645546866</v>
                </pt>
                <pt idx="3543">
                  <v>-0.363767645546866</v>
                </pt>
                <pt idx="3544">
                  <v>-0.363767645546866</v>
                </pt>
                <pt idx="3545">
                  <v>-0.363767645546866</v>
                </pt>
                <pt idx="3546">
                  <v>-0.363767645546866</v>
                </pt>
                <pt idx="3547">
                  <v>-0.363767645546866</v>
                </pt>
                <pt idx="3548">
                  <v>-0.363767645546866</v>
                </pt>
                <pt idx="3549">
                  <v>-0.363767645546866</v>
                </pt>
                <pt idx="3550">
                  <v>-0.363767645546866</v>
                </pt>
                <pt idx="3551">
                  <v>-0.363767645546866</v>
                </pt>
                <pt idx="3552">
                  <v>-0.363767645546866</v>
                </pt>
                <pt idx="3553">
                  <v>-0.363767645546866</v>
                </pt>
                <pt idx="3554">
                  <v>-0.363767645546866</v>
                </pt>
                <pt idx="3555">
                  <v>-0.363767645546866</v>
                </pt>
                <pt idx="3556">
                  <v>-0.363767645546866</v>
                </pt>
                <pt idx="3557">
                  <v>-0.363767645546866</v>
                </pt>
                <pt idx="3558">
                  <v>-0.363767645546866</v>
                </pt>
                <pt idx="3559">
                  <v>-0.363767645546866</v>
                </pt>
                <pt idx="3560">
                  <v>-0.363767645546866</v>
                </pt>
                <pt idx="3561">
                  <v>-0.363767645546866</v>
                </pt>
                <pt idx="3562">
                  <v>-0.363767645546866</v>
                </pt>
                <pt idx="3563">
                  <v>-0.363767645546866</v>
                </pt>
                <pt idx="3564">
                  <v>-0.363767645546866</v>
                </pt>
                <pt idx="3565">
                  <v>-0.363767645546866</v>
                </pt>
                <pt idx="3566">
                  <v>-0.363767645546866</v>
                </pt>
                <pt idx="3567">
                  <v>-0.363767645546866</v>
                </pt>
                <pt idx="3568">
                  <v>-0.363767645546866</v>
                </pt>
                <pt idx="3569">
                  <v>-0.363767645546866</v>
                </pt>
                <pt idx="3570">
                  <v>-0.363767645546866</v>
                </pt>
                <pt idx="3571">
                  <v>-0.363767645546866</v>
                </pt>
                <pt idx="3572">
                  <v>-0.363767645546866</v>
                </pt>
                <pt idx="3573">
                  <v>-0.363767645546866</v>
                </pt>
                <pt idx="3574">
                  <v>-0.363767645546866</v>
                </pt>
                <pt idx="3575">
                  <v>-0.363767645546866</v>
                </pt>
                <pt idx="3576">
                  <v>-0.363767645546866</v>
                </pt>
                <pt idx="3577">
                  <v>-0.363767645546866</v>
                </pt>
                <pt idx="3578">
                  <v>-0.363767645546866</v>
                </pt>
                <pt idx="3579">
                  <v>-0.363767645546866</v>
                </pt>
                <pt idx="3580">
                  <v>-0.363767645546866</v>
                </pt>
                <pt idx="3581">
                  <v>-0.363767645546866</v>
                </pt>
                <pt idx="3582">
                  <v>-0.363767645546866</v>
                </pt>
                <pt idx="3583">
                  <v>-0.363767645546866</v>
                </pt>
                <pt idx="3584">
                  <v>-0.363767645546866</v>
                </pt>
                <pt idx="3585">
                  <v>-0.363767645546866</v>
                </pt>
                <pt idx="3586">
                  <v>-0.363767645546866</v>
                </pt>
                <pt idx="3587">
                  <v>-0.363767645546866</v>
                </pt>
                <pt idx="3588">
                  <v>-0.363767645546866</v>
                </pt>
                <pt idx="3589">
                  <v>-0.363767645546866</v>
                </pt>
                <pt idx="3590">
                  <v>-0.363767645546866</v>
                </pt>
                <pt idx="3591">
                  <v>-0.363767645546866</v>
                </pt>
                <pt idx="3592">
                  <v>-0.363767645546866</v>
                </pt>
                <pt idx="3593">
                  <v>-0.363767645546866</v>
                </pt>
                <pt idx="3594">
                  <v>-0.363767645546866</v>
                </pt>
                <pt idx="3595">
                  <v>-0.363767645546866</v>
                </pt>
                <pt idx="3596">
                  <v>-0.363767645546866</v>
                </pt>
                <pt idx="3597">
                  <v>-0.363767645546866</v>
                </pt>
                <pt idx="3598">
                  <v>-0.363767645546866</v>
                </pt>
                <pt idx="3599">
                  <v>-0.363767645546866</v>
                </pt>
                <pt idx="3600">
                  <v>-0.363767645546866</v>
                </pt>
                <pt idx="3601">
                  <v>-0.363767645546866</v>
                </pt>
                <pt idx="3602">
                  <v>-0.363767645546866</v>
                </pt>
                <pt idx="3603">
                  <v>-0.363767645546866</v>
                </pt>
                <pt idx="3604">
                  <v>-0.363767645546866</v>
                </pt>
                <pt idx="3605">
                  <v>-0.363767645546866</v>
                </pt>
                <pt idx="3606">
                  <v>-0.363767645546866</v>
                </pt>
                <pt idx="3607">
                  <v>-0.363767645546866</v>
                </pt>
                <pt idx="3608">
                  <v>-0.363767645546866</v>
                </pt>
                <pt idx="3609">
                  <v>-0.363767645546866</v>
                </pt>
                <pt idx="3610">
                  <v>-0.363767645546866</v>
                </pt>
                <pt idx="3611">
                  <v>-0.363767645546866</v>
                </pt>
                <pt idx="3612">
                  <v>-0.363767645546866</v>
                </pt>
                <pt idx="3613">
                  <v>-0.363767645546866</v>
                </pt>
                <pt idx="3614">
                  <v>-0.363767645546866</v>
                </pt>
                <pt idx="3615">
                  <v>-0.363767645546866</v>
                </pt>
                <pt idx="3616">
                  <v>-0.363767645546866</v>
                </pt>
                <pt idx="3617">
                  <v>-0.363767645546866</v>
                </pt>
                <pt idx="3618">
                  <v>-0.363767645546866</v>
                </pt>
                <pt idx="3619">
                  <v>-0.363767645546866</v>
                </pt>
                <pt idx="3620">
                  <v>-0.363767645546866</v>
                </pt>
                <pt idx="3621">
                  <v>-0.363767645546866</v>
                </pt>
                <pt idx="3622">
                  <v>-0.363767645546866</v>
                </pt>
                <pt idx="3623">
                  <v>-0.363767645546866</v>
                </pt>
                <pt idx="3624">
                  <v>-0.363767645546866</v>
                </pt>
                <pt idx="3625">
                  <v>-0.363767645546866</v>
                </pt>
                <pt idx="3626">
                  <v>-0.363767645546866</v>
                </pt>
                <pt idx="3627">
                  <v>-0.363767645546866</v>
                </pt>
                <pt idx="3628">
                  <v>-0.363767645546866</v>
                </pt>
                <pt idx="3629">
                  <v>-0.363767645546866</v>
                </pt>
                <pt idx="3630">
                  <v>-0.363767645546866</v>
                </pt>
                <pt idx="3631">
                  <v>-0.363767645546866</v>
                </pt>
                <pt idx="3632">
                  <v>-0.363767645546866</v>
                </pt>
                <pt idx="3633">
                  <v>-0.363767645546866</v>
                </pt>
                <pt idx="3634">
                  <v>-0.363767645546866</v>
                </pt>
                <pt idx="3635">
                  <v>-0.363767645546866</v>
                </pt>
                <pt idx="3636">
                  <v>-0.363767645546866</v>
                </pt>
                <pt idx="3637">
                  <v>-0.363767645546866</v>
                </pt>
                <pt idx="3638">
                  <v>-0.363767645546866</v>
                </pt>
                <pt idx="3639">
                  <v>-0.363767645546866</v>
                </pt>
                <pt idx="3640">
                  <v>-0.363767645546866</v>
                </pt>
                <pt idx="3641">
                  <v>-0.363767645546866</v>
                </pt>
                <pt idx="3642">
                  <v>-0.363767645546866</v>
                </pt>
                <pt idx="3643">
                  <v>-0.363767645546866</v>
                </pt>
                <pt idx="3644">
                  <v>-0.363767645546866</v>
                </pt>
                <pt idx="3645">
                  <v>-0.363767645546866</v>
                </pt>
                <pt idx="3646">
                  <v>-0.363767645546866</v>
                </pt>
                <pt idx="3647">
                  <v>-0.363767645546866</v>
                </pt>
                <pt idx="3648">
                  <v>-0.363767645546866</v>
                </pt>
                <pt idx="3649">
                  <v>-0.363767645546866</v>
                </pt>
                <pt idx="3650">
                  <v>-0.363767645546866</v>
                </pt>
                <pt idx="3651">
                  <v>-0.363767645546866</v>
                </pt>
                <pt idx="3652">
                  <v>-0.363767645546866</v>
                </pt>
                <pt idx="3653">
                  <v>-0.363767645546866</v>
                </pt>
                <pt idx="3654">
                  <v>-0.363767645546866</v>
                </pt>
                <pt idx="3655">
                  <v>-0.363767645546866</v>
                </pt>
                <pt idx="3656">
                  <v>-0.363767645546866</v>
                </pt>
                <pt idx="3657">
                  <v>-0.363767645546866</v>
                </pt>
                <pt idx="3658">
                  <v>-0.363767645546866</v>
                </pt>
                <pt idx="3659">
                  <v>-0.363767645546866</v>
                </pt>
                <pt idx="3660">
                  <v>-0.363767645546866</v>
                </pt>
                <pt idx="3661">
                  <v>-0.363767645546866</v>
                </pt>
                <pt idx="3662">
                  <v>-0.363767645546866</v>
                </pt>
                <pt idx="3663">
                  <v>-0.363767645546866</v>
                </pt>
                <pt idx="3664">
                  <v>-0.363767645546866</v>
                </pt>
                <pt idx="3665">
                  <v>-0.363767645546866</v>
                </pt>
                <pt idx="3666">
                  <v>-0.363767645546866</v>
                </pt>
                <pt idx="3667">
                  <v>-0.363767645546866</v>
                </pt>
                <pt idx="3668">
                  <v>-0.363767645546866</v>
                </pt>
                <pt idx="3669">
                  <v>-0.363767645546866</v>
                </pt>
                <pt idx="3670">
                  <v>-0.363767645546866</v>
                </pt>
                <pt idx="3671">
                  <v>-0.363767645546866</v>
                </pt>
                <pt idx="3672">
                  <v>-0.363767645546866</v>
                </pt>
                <pt idx="3673">
                  <v>-0.363767645546866</v>
                </pt>
                <pt idx="3674">
                  <v>-0.363767645546866</v>
                </pt>
                <pt idx="3675">
                  <v>-0.363767645546866</v>
                </pt>
                <pt idx="3676">
                  <v>-0.363767645546866</v>
                </pt>
                <pt idx="3677">
                  <v>-0.363767645546866</v>
                </pt>
                <pt idx="3678">
                  <v>-0.363767645546866</v>
                </pt>
                <pt idx="3679">
                  <v>-0.363767645546866</v>
                </pt>
                <pt idx="3680">
                  <v>-0.363767645546866</v>
                </pt>
                <pt idx="3681">
                  <v>-0.363767645546866</v>
                </pt>
                <pt idx="3682">
                  <v>-0.363767645546866</v>
                </pt>
                <pt idx="3683">
                  <v>-0.363767645546866</v>
                </pt>
                <pt idx="3684">
                  <v>-0.363767645546866</v>
                </pt>
                <pt idx="3685">
                  <v>-0.363767645546866</v>
                </pt>
                <pt idx="3686">
                  <v>-0.363767645546866</v>
                </pt>
                <pt idx="3687">
                  <v>-0.363767645546866</v>
                </pt>
                <pt idx="3688">
                  <v>-0.363767645546866</v>
                </pt>
                <pt idx="3689">
                  <v>-0.363767645546866</v>
                </pt>
                <pt idx="3690">
                  <v>-0.363767645546866</v>
                </pt>
                <pt idx="3691">
                  <v>-0.363767645546866</v>
                </pt>
                <pt idx="3692">
                  <v>-0.363767645546866</v>
                </pt>
                <pt idx="3693">
                  <v>-0.363767645546866</v>
                </pt>
                <pt idx="3694">
                  <v>-0.363767645546866</v>
                </pt>
                <pt idx="3695">
                  <v>-0.363767645546866</v>
                </pt>
                <pt idx="3696">
                  <v>-0.363767645546866</v>
                </pt>
                <pt idx="3697">
                  <v>-0.363767645546866</v>
                </pt>
                <pt idx="3698">
                  <v>-0.363767645546866</v>
                </pt>
                <pt idx="3699">
                  <v>-0.363767645546866</v>
                </pt>
                <pt idx="3700">
                  <v>-0.363767645546866</v>
                </pt>
                <pt idx="3701">
                  <v>-0.363767645546866</v>
                </pt>
                <pt idx="3702">
                  <v>-0.363767645546866</v>
                </pt>
                <pt idx="3703">
                  <v>-0.363767645546866</v>
                </pt>
                <pt idx="3704">
                  <v>-0.363767645546866</v>
                </pt>
                <pt idx="3705">
                  <v>-0.363767645546866</v>
                </pt>
                <pt idx="3706">
                  <v>-0.363767645546866</v>
                </pt>
                <pt idx="3707">
                  <v>-0.363767645546866</v>
                </pt>
                <pt idx="3708">
                  <v>-0.363767645546866</v>
                </pt>
                <pt idx="3709">
                  <v>-0.363767645546866</v>
                </pt>
                <pt idx="3710">
                  <v>-0.363767645546866</v>
                </pt>
                <pt idx="3711">
                  <v>-0.363767645546866</v>
                </pt>
                <pt idx="3712">
                  <v>-0.363767645546866</v>
                </pt>
                <pt idx="3713">
                  <v>-0.363767645546866</v>
                </pt>
                <pt idx="3714">
                  <v>-0.363767645546866</v>
                </pt>
                <pt idx="3715">
                  <v>-0.363767645546866</v>
                </pt>
                <pt idx="3716">
                  <v>-0.363767645546866</v>
                </pt>
                <pt idx="3717">
                  <v>-0.363767645546866</v>
                </pt>
                <pt idx="3718">
                  <v>-0.363767645546866</v>
                </pt>
                <pt idx="3719">
                  <v>-0.363767645546866</v>
                </pt>
                <pt idx="3720">
                  <v>-0.363767645546866</v>
                </pt>
                <pt idx="3721">
                  <v>-0.363767645546866</v>
                </pt>
                <pt idx="3722">
                  <v>-0.363767645546866</v>
                </pt>
                <pt idx="3723">
                  <v>-0.363767645546866</v>
                </pt>
                <pt idx="3724">
                  <v>-0.363767645546866</v>
                </pt>
                <pt idx="3725">
                  <v>-0.363767645546866</v>
                </pt>
                <pt idx="3726">
                  <v>-0.363767645546866</v>
                </pt>
                <pt idx="3727">
                  <v>-0.363767645546866</v>
                </pt>
                <pt idx="3728">
                  <v>-0.363767645546866</v>
                </pt>
                <pt idx="3729">
                  <v>-0.363767645546866</v>
                </pt>
                <pt idx="3730">
                  <v>-0.363767645546866</v>
                </pt>
                <pt idx="3731">
                  <v>-0.363767645546866</v>
                </pt>
                <pt idx="3732">
                  <v>-0.363767645546866</v>
                </pt>
                <pt idx="3733">
                  <v>-0.363767645546866</v>
                </pt>
                <pt idx="3734">
                  <v>-0.363767645546866</v>
                </pt>
                <pt idx="3735">
                  <v>-0.363767645546866</v>
                </pt>
                <pt idx="3736">
                  <v>-0.363767645546866</v>
                </pt>
                <pt idx="3737">
                  <v>-0.363767645546866</v>
                </pt>
                <pt idx="3738">
                  <v>-0.363767645546866</v>
                </pt>
                <pt idx="3739">
                  <v>-0.363767645546866</v>
                </pt>
                <pt idx="3740">
                  <v>-0.363767645546866</v>
                </pt>
                <pt idx="3741">
                  <v>-0.363767645546866</v>
                </pt>
                <pt idx="3742">
                  <v>-0.363767645546866</v>
                </pt>
                <pt idx="3743">
                  <v>-0.363767645546866</v>
                </pt>
                <pt idx="3744">
                  <v>-0.363767645546866</v>
                </pt>
                <pt idx="3745">
                  <v>-0.363767645546866</v>
                </pt>
                <pt idx="3746">
                  <v>-0.363767645546866</v>
                </pt>
                <pt idx="3747">
                  <v>-0.363767645546866</v>
                </pt>
                <pt idx="3748">
                  <v>-0.363767645546866</v>
                </pt>
                <pt idx="3749">
                  <v>-0.363767645546866</v>
                </pt>
                <pt idx="3750">
                  <v>-0.363767645546866</v>
                </pt>
                <pt idx="3751">
                  <v>-0.363767645546866</v>
                </pt>
                <pt idx="3752">
                  <v>-0.363767645546866</v>
                </pt>
                <pt idx="3753">
                  <v>-0.363767645546866</v>
                </pt>
                <pt idx="3754">
                  <v>-0.363767645546866</v>
                </pt>
                <pt idx="3755">
                  <v>-0.363767645546866</v>
                </pt>
                <pt idx="3756">
                  <v>-0.363767645546866</v>
                </pt>
                <pt idx="3757">
                  <v>-0.363767645546866</v>
                </pt>
                <pt idx="3758">
                  <v>-0.363767645546866</v>
                </pt>
                <pt idx="3759">
                  <v>-0.363767645546866</v>
                </pt>
                <pt idx="3760">
                  <v>-0.363767645546866</v>
                </pt>
                <pt idx="3761">
                  <v>-0.363767645546866</v>
                </pt>
                <pt idx="3762">
                  <v>-0.363767645546866</v>
                </pt>
                <pt idx="3763">
                  <v>-0.363767645546866</v>
                </pt>
                <pt idx="3764">
                  <v>-0.363767645546866</v>
                </pt>
                <pt idx="3765">
                  <v>-0.363767645546866</v>
                </pt>
                <pt idx="3766">
                  <v>-0.363767645546866</v>
                </pt>
                <pt idx="3767">
                  <v>-0.363767645546866</v>
                </pt>
                <pt idx="3768">
                  <v>-0.363767645546866</v>
                </pt>
                <pt idx="3769">
                  <v>-0.363767645546866</v>
                </pt>
                <pt idx="3770">
                  <v>-0.363767645546866</v>
                </pt>
                <pt idx="3771">
                  <v>-0.363767645546866</v>
                </pt>
                <pt idx="3772">
                  <v>-0.363767645546866</v>
                </pt>
                <pt idx="3773">
                  <v>-0.363767645546866</v>
                </pt>
                <pt idx="3774">
                  <v>-0.363767645546866</v>
                </pt>
                <pt idx="3775">
                  <v>-0.363767645546866</v>
                </pt>
                <pt idx="3776">
                  <v>-0.363767645546866</v>
                </pt>
                <pt idx="3777">
                  <v>-0.363767645546866</v>
                </pt>
                <pt idx="3778">
                  <v>-0.363767645546866</v>
                </pt>
                <pt idx="3779">
                  <v>-0.363767645546866</v>
                </pt>
                <pt idx="3780">
                  <v>-0.363767645546866</v>
                </pt>
                <pt idx="3781">
                  <v>-0.363767645546866</v>
                </pt>
                <pt idx="3782">
                  <v>-0.363767645546866</v>
                </pt>
                <pt idx="3783">
                  <v>-0.363767645546866</v>
                </pt>
                <pt idx="3784">
                  <v>-0.363767645546866</v>
                </pt>
                <pt idx="3785">
                  <v>-0.363767645546866</v>
                </pt>
                <pt idx="3786">
                  <v>-0.363767645546866</v>
                </pt>
                <pt idx="3787">
                  <v>-0.363767645546866</v>
                </pt>
                <pt idx="3788">
                  <v>-0.363767645546866</v>
                </pt>
                <pt idx="3789">
                  <v>-0.363767645546866</v>
                </pt>
                <pt idx="3790">
                  <v>-0.363767645546866</v>
                </pt>
                <pt idx="3791">
                  <v>-0.363767645546866</v>
                </pt>
                <pt idx="3792">
                  <v>-0.363767645546866</v>
                </pt>
                <pt idx="3793">
                  <v>-0.363767645546866</v>
                </pt>
                <pt idx="3794">
                  <v>-0.363767645546866</v>
                </pt>
                <pt idx="3795">
                  <v>-0.363767645546866</v>
                </pt>
                <pt idx="3796">
                  <v>-0.363767645546866</v>
                </pt>
                <pt idx="3797">
                  <v>-0.363767645546866</v>
                </pt>
                <pt idx="3798">
                  <v>-0.363767645546866</v>
                </pt>
                <pt idx="3799">
                  <v>-0.363767645546866</v>
                </pt>
                <pt idx="3800">
                  <v>-0.363767645546866</v>
                </pt>
                <pt idx="3801">
                  <v>-0.363767645546866</v>
                </pt>
                <pt idx="3802">
                  <v>-0.363767645546866</v>
                </pt>
                <pt idx="3803">
                  <v>-0.363767645546866</v>
                </pt>
                <pt idx="3804">
                  <v>-0.363767645546866</v>
                </pt>
                <pt idx="3805">
                  <v>-0.363767645546866</v>
                </pt>
                <pt idx="3806">
                  <v>-0.363767645546866</v>
                </pt>
                <pt idx="3807">
                  <v>-0.363767645546866</v>
                </pt>
                <pt idx="3808">
                  <v>-0.363767645546866</v>
                </pt>
                <pt idx="3809">
                  <v>-0.363767645546866</v>
                </pt>
                <pt idx="3810">
                  <v>-0.363767645546866</v>
                </pt>
                <pt idx="3811">
                  <v>-0.363767645546866</v>
                </pt>
                <pt idx="3812">
                  <v>-0.363767645546866</v>
                </pt>
                <pt idx="3813">
                  <v>-0.363767645546866</v>
                </pt>
                <pt idx="3814">
                  <v>-0.363767645546866</v>
                </pt>
                <pt idx="3815">
                  <v>-0.363767645546866</v>
                </pt>
                <pt idx="3816">
                  <v>-0.363767645546866</v>
                </pt>
                <pt idx="3817">
                  <v>-0.363767645546866</v>
                </pt>
                <pt idx="3818">
                  <v>-0.363767645546866</v>
                </pt>
                <pt idx="3819">
                  <v>-0.363767645546866</v>
                </pt>
                <pt idx="3820">
                  <v>-0.363767645546866</v>
                </pt>
                <pt idx="3821">
                  <v>-0.363767645546866</v>
                </pt>
                <pt idx="3822">
                  <v>-0.363767645546866</v>
                </pt>
                <pt idx="3823">
                  <v>-0.363767645546866</v>
                </pt>
                <pt idx="3824">
                  <v>-0.363767645546866</v>
                </pt>
                <pt idx="3825">
                  <v>-0.363767645546866</v>
                </pt>
                <pt idx="3826">
                  <v>-0.363767645546866</v>
                </pt>
                <pt idx="3827">
                  <v>-0.363767645546866</v>
                </pt>
                <pt idx="3828">
                  <v>-0.363767645546866</v>
                </pt>
                <pt idx="3829">
                  <v>-0.363767645546866</v>
                </pt>
                <pt idx="3830">
                  <v>-0.363767645546866</v>
                </pt>
                <pt idx="3831">
                  <v>-0.363767645546866</v>
                </pt>
                <pt idx="3832">
                  <v>-0.363767645546866</v>
                </pt>
                <pt idx="3833">
                  <v>-0.363767645546866</v>
                </pt>
                <pt idx="3834">
                  <v>-0.363767645546866</v>
                </pt>
                <pt idx="3835">
                  <v>-0.363767645546866</v>
                </pt>
                <pt idx="3836">
                  <v>-0.363767645546866</v>
                </pt>
                <pt idx="3837">
                  <v>-0.363767645546866</v>
                </pt>
                <pt idx="3838">
                  <v>-0.363767645546866</v>
                </pt>
                <pt idx="3839">
                  <v>-0.363767645546866</v>
                </pt>
                <pt idx="3840">
                  <v>-0.363767645546866</v>
                </pt>
                <pt idx="3841">
                  <v>-0.363767645546866</v>
                </pt>
                <pt idx="3842">
                  <v>-0.363767645546866</v>
                </pt>
                <pt idx="3843">
                  <v>-0.363767645546866</v>
                </pt>
                <pt idx="3844">
                  <v>-0.363767645546866</v>
                </pt>
                <pt idx="3845">
                  <v>-0.363767645546866</v>
                </pt>
                <pt idx="3846">
                  <v>-0.363767645546866</v>
                </pt>
                <pt idx="3847">
                  <v>-0.363767645546866</v>
                </pt>
                <pt idx="3848">
                  <v>-0.363767645546866</v>
                </pt>
                <pt idx="3849">
                  <v>-0.363767645546866</v>
                </pt>
                <pt idx="3850">
                  <v>-0.363767645546866</v>
                </pt>
                <pt idx="3851">
                  <v>-0.363767645546866</v>
                </pt>
                <pt idx="3852">
                  <v>-0.363767645546866</v>
                </pt>
                <pt idx="3853">
                  <v>-0.363767645546866</v>
                </pt>
                <pt idx="3854">
                  <v>-0.363767645546866</v>
                </pt>
                <pt idx="3855">
                  <v>-0.363767645546866</v>
                </pt>
                <pt idx="3856">
                  <v>-0.363767645546866</v>
                </pt>
                <pt idx="3857">
                  <v>-0.363767645546866</v>
                </pt>
                <pt idx="3858">
                  <v>-0.363767645546866</v>
                </pt>
                <pt idx="3859">
                  <v>-0.363767645546866</v>
                </pt>
                <pt idx="3860">
                  <v>-0.363767645546866</v>
                </pt>
                <pt idx="3861">
                  <v>-0.363767645546866</v>
                </pt>
                <pt idx="3862">
                  <v>-0.363767645546866</v>
                </pt>
                <pt idx="3863">
                  <v>-0.363767645546866</v>
                </pt>
                <pt idx="3864">
                  <v>-0.363767645546866</v>
                </pt>
                <pt idx="3865">
                  <v>-0.363767645546866</v>
                </pt>
                <pt idx="3866">
                  <v>-0.363767645546866</v>
                </pt>
                <pt idx="3867">
                  <v>-0.363767645546866</v>
                </pt>
                <pt idx="3868">
                  <v>-0.363767645546866</v>
                </pt>
                <pt idx="3869">
                  <v>-0.363767645546866</v>
                </pt>
                <pt idx="3870">
                  <v>-0.363767645546866</v>
                </pt>
                <pt idx="3871">
                  <v>-0.363767645546866</v>
                </pt>
                <pt idx="3872">
                  <v>-0.363767645546866</v>
                </pt>
                <pt idx="3873">
                  <v>-0.363767645546866</v>
                </pt>
                <pt idx="3874">
                  <v>-0.363767645546866</v>
                </pt>
                <pt idx="3875">
                  <v>-0.363767645546866</v>
                </pt>
                <pt idx="3876">
                  <v>-0.363767645546866</v>
                </pt>
                <pt idx="3877">
                  <v>-0.363767645546866</v>
                </pt>
                <pt idx="3878">
                  <v>-0.363767645546866</v>
                </pt>
                <pt idx="3879">
                  <v>-0.363767645546866</v>
                </pt>
                <pt idx="3880">
                  <v>-0.363767645546866</v>
                </pt>
                <pt idx="3881">
                  <v>-0.363767645546866</v>
                </pt>
                <pt idx="3882">
                  <v>-0.363767645546866</v>
                </pt>
                <pt idx="3883">
                  <v>-0.363767645546866</v>
                </pt>
                <pt idx="3884">
                  <v>-0.363767645546866</v>
                </pt>
                <pt idx="3885">
                  <v>-0.363767645546866</v>
                </pt>
                <pt idx="3886">
                  <v>-0.363767645546866</v>
                </pt>
                <pt idx="3887">
                  <v>-0.363767645546866</v>
                </pt>
                <pt idx="3888">
                  <v>-0.363767645546866</v>
                </pt>
                <pt idx="3889">
                  <v>-0.363767645546866</v>
                </pt>
                <pt idx="3890">
                  <v>-0.363767645546866</v>
                </pt>
                <pt idx="3891">
                  <v>-0.363767645546866</v>
                </pt>
                <pt idx="3892">
                  <v>-0.363767645546866</v>
                </pt>
                <pt idx="3893">
                  <v>-0.363767645546866</v>
                </pt>
                <pt idx="3894">
                  <v>-0.363767645546866</v>
                </pt>
                <pt idx="3895">
                  <v>-0.363767645546866</v>
                </pt>
                <pt idx="3896">
                  <v>-0.363767645546866</v>
                </pt>
                <pt idx="3897">
                  <v>-0.363767645546866</v>
                </pt>
                <pt idx="3898">
                  <v>-0.363767645546866</v>
                </pt>
                <pt idx="3899">
                  <v>-0.363767645546866</v>
                </pt>
                <pt idx="3900">
                  <v>-0.363767645546866</v>
                </pt>
                <pt idx="3901">
                  <v>-0.363767645546866</v>
                </pt>
                <pt idx="3902">
                  <v>-0.363767645546866</v>
                </pt>
                <pt idx="3903">
                  <v>-0.363767645546866</v>
                </pt>
                <pt idx="3904">
                  <v>-0.363767645546866</v>
                </pt>
                <pt idx="3905">
                  <v>-0.363767645546866</v>
                </pt>
                <pt idx="3906">
                  <v>-0.363767645546866</v>
                </pt>
                <pt idx="3907">
                  <v>-0.363767645546866</v>
                </pt>
                <pt idx="3908">
                  <v>-0.363767645546866</v>
                </pt>
                <pt idx="3909">
                  <v>-0.363767645546866</v>
                </pt>
                <pt idx="3910">
                  <v>-0.363767645546866</v>
                </pt>
                <pt idx="3911">
                  <v>-0.363767645546866</v>
                </pt>
                <pt idx="3912">
                  <v>-0.363767645546866</v>
                </pt>
                <pt idx="3913">
                  <v>-0.363767645546866</v>
                </pt>
                <pt idx="3914">
                  <v>-0.363767645546866</v>
                </pt>
                <pt idx="3915">
                  <v>-0.363767645546866</v>
                </pt>
                <pt idx="3916">
                  <v>-0.363767645546866</v>
                </pt>
                <pt idx="3917">
                  <v>-0.363767645546866</v>
                </pt>
                <pt idx="3918">
                  <v>-0.363767645546866</v>
                </pt>
                <pt idx="3919">
                  <v>-0.363767645546866</v>
                </pt>
                <pt idx="3920">
                  <v>-0.363767645546866</v>
                </pt>
                <pt idx="3921">
                  <v>-0.363767645546866</v>
                </pt>
                <pt idx="3922">
                  <v>-0.363767645546866</v>
                </pt>
                <pt idx="3923">
                  <v>-0.363767645546866</v>
                </pt>
                <pt idx="3924">
                  <v>-0.363767645546866</v>
                </pt>
                <pt idx="3925">
                  <v>-0.363767645546866</v>
                </pt>
                <pt idx="3926">
                  <v>-0.363767645546866</v>
                </pt>
                <pt idx="3927">
                  <v>-0.363767645546866</v>
                </pt>
                <pt idx="3928">
                  <v>-0.363767645546866</v>
                </pt>
                <pt idx="3929">
                  <v>-0.363767645546866</v>
                </pt>
                <pt idx="3930">
                  <v>-0.363767645546866</v>
                </pt>
                <pt idx="3931">
                  <v>-0.363767645546866</v>
                </pt>
                <pt idx="3932">
                  <v>-0.363767645546866</v>
                </pt>
                <pt idx="3933">
                  <v>-0.363767645546866</v>
                </pt>
                <pt idx="3934">
                  <v>-0.363767645546866</v>
                </pt>
                <pt idx="3935">
                  <v>-0.363767645546866</v>
                </pt>
                <pt idx="3936">
                  <v>-0.363767645546866</v>
                </pt>
                <pt idx="3937">
                  <v>-0.363767645546866</v>
                </pt>
                <pt idx="3938">
                  <v>-0.363767645546866</v>
                </pt>
                <pt idx="3939">
                  <v>-0.363767645546866</v>
                </pt>
                <pt idx="3940">
                  <v>-0.363767645546866</v>
                </pt>
                <pt idx="3941">
                  <v>-0.363767645546866</v>
                </pt>
                <pt idx="3942">
                  <v>-0.363767645546866</v>
                </pt>
                <pt idx="3943">
                  <v>-0.363767645546866</v>
                </pt>
                <pt idx="3944">
                  <v>-0.363767645546866</v>
                </pt>
                <pt idx="3945">
                  <v>-0.363767645546866</v>
                </pt>
                <pt idx="3946">
                  <v>-0.363767645546866</v>
                </pt>
                <pt idx="3947">
                  <v>-0.363767645546866</v>
                </pt>
                <pt idx="3948">
                  <v>-0.363767645546866</v>
                </pt>
                <pt idx="3949">
                  <v>-0.363767645546866</v>
                </pt>
                <pt idx="3950">
                  <v>-0.363767645546866</v>
                </pt>
                <pt idx="3951">
                  <v>-0.363767645546866</v>
                </pt>
                <pt idx="3952">
                  <v>-0.363767645546866</v>
                </pt>
                <pt idx="3953">
                  <v>-0.363767645546866</v>
                </pt>
                <pt idx="3954">
                  <v>-0.363767645546866</v>
                </pt>
                <pt idx="3955">
                  <v>-0.363767645546866</v>
                </pt>
                <pt idx="3956">
                  <v>-0.363767645546866</v>
                </pt>
                <pt idx="3957">
                  <v>-0.363767645546866</v>
                </pt>
                <pt idx="3958">
                  <v>-0.363767645546866</v>
                </pt>
                <pt idx="3959">
                  <v>-0.363767645546866</v>
                </pt>
                <pt idx="3960">
                  <v>-0.363767645546866</v>
                </pt>
                <pt idx="3961">
                  <v>-0.363767645546866</v>
                </pt>
                <pt idx="3962">
                  <v>-0.363767645546866</v>
                </pt>
                <pt idx="3963">
                  <v>-0.363767645546866</v>
                </pt>
                <pt idx="3964">
                  <v>-0.363767645546866</v>
                </pt>
                <pt idx="3965">
                  <v>-0.363767645546866</v>
                </pt>
                <pt idx="3966">
                  <v>-0.363767645546866</v>
                </pt>
                <pt idx="3967">
                  <v>-0.363767645546866</v>
                </pt>
                <pt idx="3968">
                  <v>-0.363767645546866</v>
                </pt>
                <pt idx="3969">
                  <v>-0.363767645546866</v>
                </pt>
                <pt idx="3970">
                  <v>-0.363767645546866</v>
                </pt>
                <pt idx="3971">
                  <v>-0.363767645546866</v>
                </pt>
                <pt idx="3972">
                  <v>-0.363767645546866</v>
                </pt>
                <pt idx="3973">
                  <v>-0.363767645546866</v>
                </pt>
                <pt idx="3974">
                  <v>-0.363767645546866</v>
                </pt>
                <pt idx="3975">
                  <v>-0.363767645546866</v>
                </pt>
                <pt idx="3976">
                  <v>-0.363767645546866</v>
                </pt>
                <pt idx="3977">
                  <v>-0.363767645546866</v>
                </pt>
                <pt idx="3978">
                  <v>-0.363767645546866</v>
                </pt>
                <pt idx="3979">
                  <v>-0.363767645546866</v>
                </pt>
                <pt idx="3980">
                  <v>-0.363767645546866</v>
                </pt>
                <pt idx="3981">
                  <v>-0.363767645546866</v>
                </pt>
                <pt idx="3982">
                  <v>-0.363767645546866</v>
                </pt>
                <pt idx="3983">
                  <v>-0.363767645546866</v>
                </pt>
                <pt idx="3984">
                  <v>-0.363767645546866</v>
                </pt>
                <pt idx="3985">
                  <v>-0.363767645546866</v>
                </pt>
                <pt idx="3986">
                  <v>-0.363767645546866</v>
                </pt>
                <pt idx="3987">
                  <v>-0.363767645546866</v>
                </pt>
                <pt idx="3988">
                  <v>-0.363767645546866</v>
                </pt>
                <pt idx="3989">
                  <v>-0.363767645546866</v>
                </pt>
                <pt idx="3990">
                  <v>-0.363767645546866</v>
                </pt>
                <pt idx="3991">
                  <v>-0.363767645546866</v>
                </pt>
                <pt idx="3992">
                  <v>-0.363767645546866</v>
                </pt>
                <pt idx="3993">
                  <v>-0.363767645546866</v>
                </pt>
                <pt idx="3994">
                  <v>-0.363767645546866</v>
                </pt>
                <pt idx="3995">
                  <v>-0.363767645546866</v>
                </pt>
                <pt idx="3996">
                  <v>-0.363767645546866</v>
                </pt>
                <pt idx="3997">
                  <v>-0.363767645546866</v>
                </pt>
                <pt idx="3998">
                  <v>-0.363767645546866</v>
                </pt>
                <pt idx="3999">
                  <v>-0.363767645546866</v>
                </pt>
                <pt idx="4000">
                  <v>-0.363767645546866</v>
                </pt>
                <pt idx="4001">
                  <v>-0.363767645546866</v>
                </pt>
                <pt idx="4002">
                  <v>-0.363767645546866</v>
                </pt>
                <pt idx="4003">
                  <v>-0.363767645546866</v>
                </pt>
                <pt idx="4004">
                  <v>-0.363767645546866</v>
                </pt>
                <pt idx="4005">
                  <v>-0.363767645546866</v>
                </pt>
                <pt idx="4006">
                  <v>-0.363767645546866</v>
                </pt>
                <pt idx="4007">
                  <v>-0.363767645546866</v>
                </pt>
                <pt idx="4008">
                  <v>-0.363767645546866</v>
                </pt>
                <pt idx="4009">
                  <v>-0.363767645546866</v>
                </pt>
                <pt idx="4010">
                  <v>-0.363767645546866</v>
                </pt>
                <pt idx="4011">
                  <v>-0.363767645546866</v>
                </pt>
                <pt idx="4012">
                  <v>-0.363767645546866</v>
                </pt>
                <pt idx="4013">
                  <v>-0.363767645546866</v>
                </pt>
                <pt idx="4014">
                  <v>-0.363767645546866</v>
                </pt>
                <pt idx="4015">
                  <v>-0.363767645546866</v>
                </pt>
                <pt idx="4016">
                  <v>-0.363767645546866</v>
                </pt>
                <pt idx="4017">
                  <v>-0.363767645546866</v>
                </pt>
                <pt idx="4018">
                  <v>-0.363767645546866</v>
                </pt>
                <pt idx="4019">
                  <v>-0.363767645546866</v>
                </pt>
                <pt idx="4020">
                  <v>-0.363767645546866</v>
                </pt>
                <pt idx="4021">
                  <v>-0.363767645546866</v>
                </pt>
                <pt idx="4022">
                  <v>-0.363767645546866</v>
                </pt>
                <pt idx="4023">
                  <v>-0.363767645546866</v>
                </pt>
                <pt idx="4024">
                  <v>-0.363767645546866</v>
                </pt>
                <pt idx="4025">
                  <v>-0.363767645546866</v>
                </pt>
                <pt idx="4026">
                  <v>-0.363767645546866</v>
                </pt>
                <pt idx="4027">
                  <v>-0.363767645546866</v>
                </pt>
                <pt idx="4028">
                  <v>-0.363767645546866</v>
                </pt>
                <pt idx="4029">
                  <v>-0.363767645546866</v>
                </pt>
                <pt idx="4030">
                  <v>-0.363767645546866</v>
                </pt>
                <pt idx="4031">
                  <v>-0.363767645546866</v>
                </pt>
                <pt idx="4032">
                  <v>-0.363767645546866</v>
                </pt>
                <pt idx="4033">
                  <v>-0.363767645546866</v>
                </pt>
                <pt idx="4034">
                  <v>-0.363767645546866</v>
                </pt>
                <pt idx="4035">
                  <v>-0.363767645546866</v>
                </pt>
                <pt idx="4036">
                  <v>-0.363767645546866</v>
                </pt>
                <pt idx="4037">
                  <v>-0.363767645546866</v>
                </pt>
                <pt idx="4038">
                  <v>-0.363767645546866</v>
                </pt>
                <pt idx="4039">
                  <v>-0.363767645546866</v>
                </pt>
                <pt idx="4040">
                  <v>-0.363767645546866</v>
                </pt>
                <pt idx="4041">
                  <v>-0.363767645546866</v>
                </pt>
                <pt idx="4042">
                  <v>-0.363767645546866</v>
                </pt>
                <pt idx="4043">
                  <v>-0.363767645546866</v>
                </pt>
                <pt idx="4044">
                  <v>-0.363767645546866</v>
                </pt>
                <pt idx="4045">
                  <v>-0.363767645546866</v>
                </pt>
                <pt idx="4046">
                  <v>-0.363767645546866</v>
                </pt>
                <pt idx="4047">
                  <v>-0.363767645546866</v>
                </pt>
                <pt idx="4048">
                  <v>-0.363767645546866</v>
                </pt>
                <pt idx="4049">
                  <v>-0.363767645546866</v>
                </pt>
                <pt idx="4050">
                  <v>-0.363767645546866</v>
                </pt>
                <pt idx="4051">
                  <v>-0.363767645546866</v>
                </pt>
                <pt idx="4052">
                  <v>-0.363767645546866</v>
                </pt>
                <pt idx="4053">
                  <v>-0.363767645546866</v>
                </pt>
                <pt idx="4054">
                  <v>-0.363767645546866</v>
                </pt>
                <pt idx="4055">
                  <v>-0.363767645546866</v>
                </pt>
                <pt idx="4056">
                  <v>-0.363767645546866</v>
                </pt>
                <pt idx="4057">
                  <v>-0.363767645546866</v>
                </pt>
                <pt idx="4058">
                  <v>-0.363767645546866</v>
                </pt>
                <pt idx="4059">
                  <v>-0.363767645546866</v>
                </pt>
                <pt idx="4060">
                  <v>-0.363767645546866</v>
                </pt>
                <pt idx="4061">
                  <v>-0.363767645546866</v>
                </pt>
                <pt idx="4062">
                  <v>-0.363767645546866</v>
                </pt>
                <pt idx="4063">
                  <v>-0.363767645546866</v>
                </pt>
                <pt idx="4064">
                  <v>-0.363767645546866</v>
                </pt>
                <pt idx="4065">
                  <v>-0.363767645546866</v>
                </pt>
                <pt idx="4066">
                  <v>-0.363767645546866</v>
                </pt>
                <pt idx="4067">
                  <v>-0.363767645546866</v>
                </pt>
                <pt idx="4068">
                  <v>-0.363767645546866</v>
                </pt>
                <pt idx="4069">
                  <v>-0.363767645546866</v>
                </pt>
                <pt idx="4070">
                  <v>-0.363767645546866</v>
                </pt>
                <pt idx="4071">
                  <v>-0.363767645546866</v>
                </pt>
                <pt idx="4072">
                  <v>-0.363767645546866</v>
                </pt>
                <pt idx="4073">
                  <v>-0.363767645546866</v>
                </pt>
                <pt idx="4074">
                  <v>-0.363767645546866</v>
                </pt>
                <pt idx="4075">
                  <v>-0.363767645546866</v>
                </pt>
                <pt idx="4076">
                  <v>-0.363767645546866</v>
                </pt>
                <pt idx="4077">
                  <v>-0.363767645546866</v>
                </pt>
                <pt idx="4078">
                  <v>-0.363767645546866</v>
                </pt>
                <pt idx="4079">
                  <v>-0.363767645546866</v>
                </pt>
                <pt idx="4080">
                  <v>-0.363767645546866</v>
                </pt>
                <pt idx="4081">
                  <v>-0.363767645546866</v>
                </pt>
                <pt idx="4082">
                  <v>-0.363767645546866</v>
                </pt>
                <pt idx="4083">
                  <v>-0.363767645546866</v>
                </pt>
                <pt idx="4084">
                  <v>-0.363767645546866</v>
                </pt>
                <pt idx="4085">
                  <v>-0.363767645546866</v>
                </pt>
                <pt idx="4086">
                  <v>-0.363767645546866</v>
                </pt>
                <pt idx="4087">
                  <v>-0.363767645546866</v>
                </pt>
                <pt idx="4088">
                  <v>-0.363767645546866</v>
                </pt>
                <pt idx="4089">
                  <v>-0.363767645546866</v>
                </pt>
                <pt idx="4090">
                  <v>-0.363767645546866</v>
                </pt>
                <pt idx="4091">
                  <v>-0.363767645546866</v>
                </pt>
                <pt idx="4092">
                  <v>-0.363767645546866</v>
                </pt>
                <pt idx="4093">
                  <v>-0.363767645546866</v>
                </pt>
                <pt idx="4094">
                  <v>-0.363767645546866</v>
                </pt>
                <pt idx="4095">
                  <v>-0.363767645546866</v>
                </pt>
                <pt idx="4096">
                  <v>-0.363767645546866</v>
                </pt>
                <pt idx="4097">
                  <v>-0.363767645546866</v>
                </pt>
                <pt idx="4098">
                  <v>-0.363767645546866</v>
                </pt>
                <pt idx="4099">
                  <v>-0.363767645546866</v>
                </pt>
                <pt idx="4100">
                  <v>-0.363767645546866</v>
                </pt>
                <pt idx="4101">
                  <v>-0.363767645546866</v>
                </pt>
                <pt idx="4102">
                  <v>-0.363767645546866</v>
                </pt>
                <pt idx="4103">
                  <v>-0.363767645546866</v>
                </pt>
                <pt idx="4104">
                  <v>-0.363767645546866</v>
                </pt>
                <pt idx="4105">
                  <v>-0.363767645546866</v>
                </pt>
                <pt idx="4106">
                  <v>-0.363767645546866</v>
                </pt>
                <pt idx="4107">
                  <v>-0.363767645546866</v>
                </pt>
                <pt idx="4108">
                  <v>-0.363767645546866</v>
                </pt>
                <pt idx="4109">
                  <v>-0.363767645546866</v>
                </pt>
                <pt idx="4110">
                  <v>-0.363767645546866</v>
                </pt>
                <pt idx="4111">
                  <v>-0.363767645546866</v>
                </pt>
                <pt idx="4112">
                  <v>-0.363767645546866</v>
                </pt>
                <pt idx="4113">
                  <v>-0.363767645546866</v>
                </pt>
                <pt idx="4114">
                  <v>-0.363767645546866</v>
                </pt>
                <pt idx="4115">
                  <v>-0.363767645546866</v>
                </pt>
                <pt idx="4116">
                  <v>-0.363767645546866</v>
                </pt>
                <pt idx="4117">
                  <v>-0.363767645546866</v>
                </pt>
                <pt idx="4118">
                  <v>-0.363767645546866</v>
                </pt>
                <pt idx="4119">
                  <v>-0.363767645546866</v>
                </pt>
                <pt idx="4120">
                  <v>-0.363767645546866</v>
                </pt>
                <pt idx="4121">
                  <v>-0.363767645546866</v>
                </pt>
                <pt idx="4122">
                  <v>-0.363767645546866</v>
                </pt>
                <pt idx="4123">
                  <v>-0.363767645546866</v>
                </pt>
                <pt idx="4124">
                  <v>-0.363767645546866</v>
                </pt>
                <pt idx="4125">
                  <v>-0.363767645546866</v>
                </pt>
                <pt idx="4126">
                  <v>-0.363767645546866</v>
                </pt>
                <pt idx="4127">
                  <v>-0.363767645546866</v>
                </pt>
                <pt idx="4128">
                  <v>-0.363767645546866</v>
                </pt>
                <pt idx="4129">
                  <v>-0.363767645546866</v>
                </pt>
                <pt idx="4130">
                  <v>-0.363767645546866</v>
                </pt>
                <pt idx="4131">
                  <v>-0.363767645546866</v>
                </pt>
                <pt idx="4132">
                  <v>-0.363767645546866</v>
                </pt>
                <pt idx="4133">
                  <v>-0.363767645546866</v>
                </pt>
                <pt idx="4134">
                  <v>-0.363767645546866</v>
                </pt>
                <pt idx="4135">
                  <v>-0.363767645546866</v>
                </pt>
                <pt idx="4136">
                  <v>-0.363767645546866</v>
                </pt>
                <pt idx="4137">
                  <v>-0.363767645546866</v>
                </pt>
                <pt idx="4138">
                  <v>-0.363767645546866</v>
                </pt>
                <pt idx="4139">
                  <v>-0.363767645546866</v>
                </pt>
                <pt idx="4140">
                  <v>-0.363767645546866</v>
                </pt>
                <pt idx="4141">
                  <v>-0.363767645546866</v>
                </pt>
                <pt idx="4142">
                  <v>-0.363767645546866</v>
                </pt>
                <pt idx="4143">
                  <v>-0.363767645546866</v>
                </pt>
                <pt idx="4144">
                  <v>-0.363767645546866</v>
                </pt>
                <pt idx="4145">
                  <v>-0.363767645546866</v>
                </pt>
                <pt idx="4146">
                  <v>-0.363767645546866</v>
                </pt>
                <pt idx="4147">
                  <v>-0.363767645546866</v>
                </pt>
                <pt idx="4148">
                  <v>-0.363767645546866</v>
                </pt>
                <pt idx="4149">
                  <v>-0.363767645546866</v>
                </pt>
                <pt idx="4150">
                  <v>-0.363767645546866</v>
                </pt>
                <pt idx="4151">
                  <v>-0.363767645546866</v>
                </pt>
                <pt idx="4152">
                  <v>-0.363767645546866</v>
                </pt>
                <pt idx="4153">
                  <v>-0.363767645546866</v>
                </pt>
                <pt idx="4154">
                  <v>-0.363767645546866</v>
                </pt>
                <pt idx="4155">
                  <v>-0.363767645546866</v>
                </pt>
                <pt idx="4156">
                  <v>-0.363767645546866</v>
                </pt>
                <pt idx="4157">
                  <v>-0.363767645546866</v>
                </pt>
                <pt idx="4158">
                  <v>-0.363767645546866</v>
                </pt>
                <pt idx="4159">
                  <v>-0.363767645546866</v>
                </pt>
                <pt idx="4160">
                  <v>-0.363767645546866</v>
                </pt>
                <pt idx="4161">
                  <v>-0.363767645546866</v>
                </pt>
                <pt idx="4162">
                  <v>-0.363767645546866</v>
                </pt>
                <pt idx="4163">
                  <v>-0.363767645546866</v>
                </pt>
                <pt idx="4164">
                  <v>-0.363767645546866</v>
                </pt>
                <pt idx="4165">
                  <v>-0.363767645546866</v>
                </pt>
                <pt idx="4166">
                  <v>-0.363767645546866</v>
                </pt>
                <pt idx="4167">
                  <v>-0.363767645546866</v>
                </pt>
                <pt idx="4168">
                  <v>-0.363767645546866</v>
                </pt>
                <pt idx="4169">
                  <v>-0.363767645546866</v>
                </pt>
                <pt idx="4170">
                  <v>-0.363767645546866</v>
                </pt>
                <pt idx="4171">
                  <v>-0.363767645546866</v>
                </pt>
                <pt idx="4172">
                  <v>-0.363767645546866</v>
                </pt>
                <pt idx="4173">
                  <v>-0.363767645546866</v>
                </pt>
                <pt idx="4174">
                  <v>-0.363767645546866</v>
                </pt>
                <pt idx="4175">
                  <v>-0.363767645546866</v>
                </pt>
                <pt idx="4176">
                  <v>-0.363767645546866</v>
                </pt>
                <pt idx="4177">
                  <v>-0.363767645546866</v>
                </pt>
                <pt idx="4178">
                  <v>-0.363767645546866</v>
                </pt>
                <pt idx="4179">
                  <v>-0.363767645546866</v>
                </pt>
                <pt idx="4180">
                  <v>-0.363767645546866</v>
                </pt>
                <pt idx="4181">
                  <v>-0.363767645546866</v>
                </pt>
                <pt idx="4182">
                  <v>-0.363767645546866</v>
                </pt>
                <pt idx="4183">
                  <v>-0.363767645546866</v>
                </pt>
                <pt idx="4184">
                  <v>-0.363767645546866</v>
                </pt>
                <pt idx="4185">
                  <v>-0.363767645546866</v>
                </pt>
                <pt idx="4186">
                  <v>-0.363767645546866</v>
                </pt>
                <pt idx="4187">
                  <v>-0.363767645546866</v>
                </pt>
                <pt idx="4188">
                  <v>-0.363767645546866</v>
                </pt>
                <pt idx="4189">
                  <v>-0.363767645546866</v>
                </pt>
                <pt idx="4190">
                  <v>-0.363767645546866</v>
                </pt>
                <pt idx="4191">
                  <v>-0.363767645546866</v>
                </pt>
                <pt idx="4192">
                  <v>-0.363767645546866</v>
                </pt>
                <pt idx="4193">
                  <v>-0.363767645546866</v>
                </pt>
                <pt idx="4194">
                  <v>-0.363767645546866</v>
                </pt>
                <pt idx="4195">
                  <v>-0.363767645546866</v>
                </pt>
                <pt idx="4196">
                  <v>-0.363767645546866</v>
                </pt>
                <pt idx="4197">
                  <v>-0.363767645546866</v>
                </pt>
                <pt idx="4198">
                  <v>-0.363767645546866</v>
                </pt>
                <pt idx="4199">
                  <v>-0.363767645546866</v>
                </pt>
                <pt idx="4200">
                  <v>-0.363767645546866</v>
                </pt>
                <pt idx="4201">
                  <v>-0.363767645546866</v>
                </pt>
                <pt idx="4202">
                  <v>-0.363767645546866</v>
                </pt>
                <pt idx="4203">
                  <v>-0.363767645546866</v>
                </pt>
                <pt idx="4204">
                  <v>-0.363767645546866</v>
                </pt>
                <pt idx="4205">
                  <v>-0.363767645546866</v>
                </pt>
                <pt idx="4206">
                  <v>-0.363767645546866</v>
                </pt>
                <pt idx="4207">
                  <v>-0.363767645546866</v>
                </pt>
                <pt idx="4208">
                  <v>-0.363767645546866</v>
                </pt>
                <pt idx="4209">
                  <v>-0.363767645546866</v>
                </pt>
                <pt idx="4210">
                  <v>-0.363767645546866</v>
                </pt>
                <pt idx="4211">
                  <v>-0.363767645546866</v>
                </pt>
                <pt idx="4212">
                  <v>-0.363767645546866</v>
                </pt>
                <pt idx="4213">
                  <v>-0.363767645546866</v>
                </pt>
                <pt idx="4214">
                  <v>-0.363767645546866</v>
                </pt>
                <pt idx="4215">
                  <v>-0.363767645546866</v>
                </pt>
                <pt idx="4216">
                  <v>-0.363767645546866</v>
                </pt>
                <pt idx="4217">
                  <v>-0.363767645546866</v>
                </pt>
                <pt idx="4218">
                  <v>-0.363767645546866</v>
                </pt>
                <pt idx="4219">
                  <v>-0.363767645546866</v>
                </pt>
                <pt idx="4220">
                  <v>-0.363767645546866</v>
                </pt>
                <pt idx="4221">
                  <v>-0.363767645546866</v>
                </pt>
                <pt idx="4222">
                  <v>-0.363767645546866</v>
                </pt>
                <pt idx="4223">
                  <v>-0.363767645546866</v>
                </pt>
                <pt idx="4224">
                  <v>-0.363767645546866</v>
                </pt>
                <pt idx="4225">
                  <v>-0.363767645546866</v>
                </pt>
                <pt idx="4226">
                  <v>-0.363767645546866</v>
                </pt>
                <pt idx="4227">
                  <v>-0.363767645546866</v>
                </pt>
                <pt idx="4228">
                  <v>-0.363767645546866</v>
                </pt>
                <pt idx="4229">
                  <v>-0.363767645546866</v>
                </pt>
                <pt idx="4230">
                  <v>-0.363767645546866</v>
                </pt>
                <pt idx="4231">
                  <v>-0.363767645546866</v>
                </pt>
                <pt idx="4232">
                  <v>-0.363767645546866</v>
                </pt>
                <pt idx="4233">
                  <v>-0.363767645546866</v>
                </pt>
                <pt idx="4234">
                  <v>-0.363767645546866</v>
                </pt>
                <pt idx="4235">
                  <v>-0.363767645546866</v>
                </pt>
                <pt idx="4236">
                  <v>-0.363767645546866</v>
                </pt>
                <pt idx="4237">
                  <v>-0.363767645546866</v>
                </pt>
                <pt idx="4238">
                  <v>-0.363767645546866</v>
                </pt>
                <pt idx="4239">
                  <v>-0.363767645546866</v>
                </pt>
                <pt idx="4240">
                  <v>-0.363767645546866</v>
                </pt>
                <pt idx="4241">
                  <v>-0.363767645546866</v>
                </pt>
                <pt idx="4242">
                  <v>-0.363767645546866</v>
                </pt>
                <pt idx="4243">
                  <v>-0.363767645546866</v>
                </pt>
                <pt idx="4244">
                  <v>-0.363767645546866</v>
                </pt>
                <pt idx="4245">
                  <v>-0.363767645546866</v>
                </pt>
                <pt idx="4246">
                  <v>-0.363767645546866</v>
                </pt>
                <pt idx="4247">
                  <v>-0.363767645546866</v>
                </pt>
                <pt idx="4248">
                  <v>-0.363767645546866</v>
                </pt>
                <pt idx="4249">
                  <v>-0.363767645546866</v>
                </pt>
                <pt idx="4250">
                  <v>-0.363767645546866</v>
                </pt>
                <pt idx="4251">
                  <v>-0.363767645546866</v>
                </pt>
                <pt idx="4252">
                  <v>-0.363767645546866</v>
                </pt>
                <pt idx="4253">
                  <v>-0.363767645546866</v>
                </pt>
                <pt idx="4254">
                  <v>-0.363767645546866</v>
                </pt>
                <pt idx="4255">
                  <v>-0.363767645546866</v>
                </pt>
                <pt idx="4256">
                  <v>-0.363767645546866</v>
                </pt>
                <pt idx="4257">
                  <v>-0.363767645546866</v>
                </pt>
                <pt idx="4258">
                  <v>-0.363767645546866</v>
                </pt>
                <pt idx="4259">
                  <v>-0.363767645546866</v>
                </pt>
                <pt idx="4260">
                  <v>-0.363767645546866</v>
                </pt>
                <pt idx="4261">
                  <v>-0.363767645546866</v>
                </pt>
                <pt idx="4262">
                  <v>-0.363767645546866</v>
                </pt>
                <pt idx="4263">
                  <v>-0.363767645546866</v>
                </pt>
                <pt idx="4264">
                  <v>-0.363767645546866</v>
                </pt>
                <pt idx="4265">
                  <v>-0.363767645546866</v>
                </pt>
                <pt idx="4266">
                  <v>-0.363767645546866</v>
                </pt>
                <pt idx="4267">
                  <v>-0.363767645546866</v>
                </pt>
                <pt idx="4268">
                  <v>-0.363767645546866</v>
                </pt>
                <pt idx="4269">
                  <v>-0.363767645546866</v>
                </pt>
                <pt idx="4270">
                  <v>-0.363767645546866</v>
                </pt>
                <pt idx="4271">
                  <v>-0.363767645546866</v>
                </pt>
                <pt idx="4272">
                  <v>-0.363767645546866</v>
                </pt>
                <pt idx="4273">
                  <v>-0.363767645546866</v>
                </pt>
                <pt idx="4274">
                  <v>-0.363767645546866</v>
                </pt>
                <pt idx="4275">
                  <v>-0.363767645546866</v>
                </pt>
                <pt idx="4276">
                  <v>-0.363767645546866</v>
                </pt>
                <pt idx="4277">
                  <v>-0.363767645546866</v>
                </pt>
                <pt idx="4278">
                  <v>-0.363767645546866</v>
                </pt>
                <pt idx="4279">
                  <v>-0.363767645546866</v>
                </pt>
                <pt idx="4280">
                  <v>-0.363767645546866</v>
                </pt>
                <pt idx="4281">
                  <v>-0.363767645546866</v>
                </pt>
                <pt idx="4282">
                  <v>-0.363767645546866</v>
                </pt>
                <pt idx="4283">
                  <v>-0.363767645546866</v>
                </pt>
                <pt idx="4284">
                  <v>-0.363767645546866</v>
                </pt>
                <pt idx="4285">
                  <v>-0.363767645546866</v>
                </pt>
                <pt idx="4286">
                  <v>-0.363767645546866</v>
                </pt>
                <pt idx="4287">
                  <v>-0.363767645546866</v>
                </pt>
                <pt idx="4288">
                  <v>-0.363767645546866</v>
                </pt>
                <pt idx="4289">
                  <v>-0.363767645546866</v>
                </pt>
                <pt idx="4290">
                  <v>-0.363767645546866</v>
                </pt>
                <pt idx="4291">
                  <v>-0.363767645546866</v>
                </pt>
                <pt idx="4292">
                  <v>-0.363767645546866</v>
                </pt>
                <pt idx="4293">
                  <v>-0.363767645546866</v>
                </pt>
                <pt idx="4294">
                  <v>-0.363767645546866</v>
                </pt>
                <pt idx="4295">
                  <v>-0.363767645546866</v>
                </pt>
                <pt idx="4296">
                  <v>-0.363767645546866</v>
                </pt>
                <pt idx="4297">
                  <v>-0.363767645546866</v>
                </pt>
                <pt idx="4298">
                  <v>-0.363767645546866</v>
                </pt>
                <pt idx="4299">
                  <v>-0.363767645546866</v>
                </pt>
                <pt idx="4300">
                  <v>-0.363767645546866</v>
                </pt>
                <pt idx="4301">
                  <v>-0.363767645546866</v>
                </pt>
                <pt idx="4302">
                  <v>-0.363767645546866</v>
                </pt>
                <pt idx="4303">
                  <v>-0.363767645546866</v>
                </pt>
                <pt idx="4304">
                  <v>-0.363767645546866</v>
                </pt>
                <pt idx="4305">
                  <v>-0.363767645546866</v>
                </pt>
                <pt idx="4306">
                  <v>-0.363767645546866</v>
                </pt>
                <pt idx="4307">
                  <v>-0.363767645546866</v>
                </pt>
                <pt idx="4308">
                  <v>-0.363767645546866</v>
                </pt>
                <pt idx="4309">
                  <v>-0.363767645546866</v>
                </pt>
                <pt idx="4310">
                  <v>-0.363767645546866</v>
                </pt>
                <pt idx="4311">
                  <v>-0.363767645546866</v>
                </pt>
                <pt idx="4312">
                  <v>-0.363767645546866</v>
                </pt>
                <pt idx="4313">
                  <v>-0.363767645546866</v>
                </pt>
                <pt idx="4314">
                  <v>-0.363767645546866</v>
                </pt>
                <pt idx="4315">
                  <v>-0.363767645546866</v>
                </pt>
                <pt idx="4316">
                  <v>-0.363767645546866</v>
                </pt>
                <pt idx="4317">
                  <v>-0.363767645546866</v>
                </pt>
                <pt idx="4318">
                  <v>-0.363767645546866</v>
                </pt>
                <pt idx="4319">
                  <v>-0.363767645546866</v>
                </pt>
                <pt idx="4320">
                  <v>-0.363767645546866</v>
                </pt>
                <pt idx="4321">
                  <v>-0.363767645546866</v>
                </pt>
                <pt idx="4322">
                  <v>-0.363767645546866</v>
                </pt>
                <pt idx="4323">
                  <v>-0.363767645546866</v>
                </pt>
                <pt idx="4324">
                  <v>-0.363767645546866</v>
                </pt>
                <pt idx="4325">
                  <v>-0.363767645546866</v>
                </pt>
                <pt idx="4326">
                  <v>-0.363767645546866</v>
                </pt>
                <pt idx="4327">
                  <v>-0.363767645546866</v>
                </pt>
                <pt idx="4328">
                  <v>-0.363767645546866</v>
                </pt>
                <pt idx="4329">
                  <v>-0.363767645546866</v>
                </pt>
                <pt idx="4330">
                  <v>-0.363767645546866</v>
                </pt>
                <pt idx="4331">
                  <v>-0.363767645546866</v>
                </pt>
                <pt idx="4332">
                  <v>-0.363767645546866</v>
                </pt>
                <pt idx="4333">
                  <v>-0.363767645546866</v>
                </pt>
                <pt idx="4334">
                  <v>-0.363767645546866</v>
                </pt>
                <pt idx="4335">
                  <v>-0.363767645546866</v>
                </pt>
                <pt idx="4336">
                  <v>-0.363767645546866</v>
                </pt>
                <pt idx="4337">
                  <v>-0.363767645546866</v>
                </pt>
                <pt idx="4338">
                  <v>-0.363767645546866</v>
                </pt>
                <pt idx="4339">
                  <v>-0.363767645546866</v>
                </pt>
                <pt idx="4340">
                  <v>-0.363767645546866</v>
                </pt>
                <pt idx="4341">
                  <v>-0.363767645546866</v>
                </pt>
                <pt idx="4342">
                  <v>-0.363767645546866</v>
                </pt>
                <pt idx="4343">
                  <v>-0.363767645546866</v>
                </pt>
                <pt idx="4344">
                  <v>-0.363767645546866</v>
                </pt>
                <pt idx="4345">
                  <v>-0.363767645546866</v>
                </pt>
                <pt idx="4346">
                  <v>-0.363767645546866</v>
                </pt>
                <pt idx="4347">
                  <v>-0.363767645546866</v>
                </pt>
                <pt idx="4348">
                  <v>-0.363767645546866</v>
                </pt>
                <pt idx="4349">
                  <v>-0.363767645546866</v>
                </pt>
                <pt idx="4350">
                  <v>-0.363767645546866</v>
                </pt>
                <pt idx="4351">
                  <v>-0.363767645546866</v>
                </pt>
                <pt idx="4352">
                  <v>-0.363767645546866</v>
                </pt>
                <pt idx="4353">
                  <v>-0.363767645546866</v>
                </pt>
                <pt idx="4354">
                  <v>-0.363767645546866</v>
                </pt>
                <pt idx="4355">
                  <v>-0.363767645546866</v>
                </pt>
                <pt idx="4356">
                  <v>-0.363767645546866</v>
                </pt>
                <pt idx="4357">
                  <v>-0.363767645546866</v>
                </pt>
                <pt idx="4358">
                  <v>-0.363767645546866</v>
                </pt>
                <pt idx="4359">
                  <v>-0.363767645546866</v>
                </pt>
                <pt idx="4360">
                  <v>-0.363767645546866</v>
                </pt>
                <pt idx="4361">
                  <v>-0.363767645546866</v>
                </pt>
                <pt idx="4362">
                  <v>-0.363767645546866</v>
                </pt>
                <pt idx="4363">
                  <v>-0.363767645546866</v>
                </pt>
                <pt idx="4364">
                  <v>-0.363767645546866</v>
                </pt>
                <pt idx="4365">
                  <v>-0.363767645546866</v>
                </pt>
                <pt idx="4366">
                  <v>-0.363767645546866</v>
                </pt>
                <pt idx="4367">
                  <v>-0.363767645546866</v>
                </pt>
                <pt idx="4368">
                  <v>-0.363767645546866</v>
                </pt>
                <pt idx="4369">
                  <v>-0.363767645546866</v>
                </pt>
                <pt idx="4370">
                  <v>-0.363767645546866</v>
                </pt>
                <pt idx="4371">
                  <v>-0.363767645546866</v>
                </pt>
                <pt idx="4372">
                  <v>-0.363767645546866</v>
                </pt>
                <pt idx="4373">
                  <v>-0.363767645546866</v>
                </pt>
                <pt idx="4374">
                  <v>-0.363767645546866</v>
                </pt>
                <pt idx="4375">
                  <v>-0.363767645546866</v>
                </pt>
                <pt idx="4376">
                  <v>-0.363767645546866</v>
                </pt>
                <pt idx="4377">
                  <v>-0.363767645546866</v>
                </pt>
                <pt idx="4378">
                  <v>-0.363767645546866</v>
                </pt>
                <pt idx="4379">
                  <v>-0.363767645546866</v>
                </pt>
                <pt idx="4380">
                  <v>-0.363767645546866</v>
                </pt>
                <pt idx="4381">
                  <v>-0.363767645546866</v>
                </pt>
                <pt idx="4382">
                  <v>-0.363767645546866</v>
                </pt>
                <pt idx="4383">
                  <v>-0.363767645546866</v>
                </pt>
                <pt idx="4384">
                  <v>-0.363767645546866</v>
                </pt>
                <pt idx="4385">
                  <v>-0.363767645546866</v>
                </pt>
                <pt idx="4386">
                  <v>-0.363767645546866</v>
                </pt>
                <pt idx="4387">
                  <v>-0.363767645546866</v>
                </pt>
                <pt idx="4388">
                  <v>-0.363767645546866</v>
                </pt>
                <pt idx="4389">
                  <v>-0.363767645546866</v>
                </pt>
                <pt idx="4390">
                  <v>-0.363767645546866</v>
                </pt>
                <pt idx="4391">
                  <v>-0.363767645546866</v>
                </pt>
                <pt idx="4392">
                  <v>-0.363767645546866</v>
                </pt>
                <pt idx="4393">
                  <v>-0.363767645546866</v>
                </pt>
                <pt idx="4394">
                  <v>-0.363767645546866</v>
                </pt>
                <pt idx="4395">
                  <v>-0.363767645546866</v>
                </pt>
                <pt idx="4396">
                  <v>-0.363767645546866</v>
                </pt>
                <pt idx="4397">
                  <v>-0.363767645546866</v>
                </pt>
                <pt idx="4398">
                  <v>-0.363767645546866</v>
                </pt>
                <pt idx="4399">
                  <v>-0.363767645546866</v>
                </pt>
                <pt idx="4400">
                  <v>-0.363767645546866</v>
                </pt>
                <pt idx="4401">
                  <v>-0.363767645546866</v>
                </pt>
                <pt idx="4402">
                  <v>-0.363767645546866</v>
                </pt>
                <pt idx="4403">
                  <v>-0.363767645546866</v>
                </pt>
                <pt idx="4404">
                  <v>-0.363767645546866</v>
                </pt>
                <pt idx="4405">
                  <v>-0.363767645546866</v>
                </pt>
                <pt idx="4406">
                  <v>-0.363767645546866</v>
                </pt>
                <pt idx="4407">
                  <v>-0.363767645546866</v>
                </pt>
                <pt idx="4408">
                  <v>-0.363767645546866</v>
                </pt>
                <pt idx="4409">
                  <v>-0.363767645546866</v>
                </pt>
                <pt idx="4410">
                  <v>-0.363767645546866</v>
                </pt>
                <pt idx="4411">
                  <v>-0.363767645546866</v>
                </pt>
                <pt idx="4412">
                  <v>-0.363767645546866</v>
                </pt>
                <pt idx="4413">
                  <v>-0.363767645546866</v>
                </pt>
                <pt idx="4414">
                  <v>-0.363767645546866</v>
                </pt>
                <pt idx="4415">
                  <v>-0.363767645546866</v>
                </pt>
                <pt idx="4416">
                  <v>-0.363767645546866</v>
                </pt>
                <pt idx="4417">
                  <v>-0.363767645546866</v>
                </pt>
                <pt idx="4418">
                  <v>-0.363767645546866</v>
                </pt>
                <pt idx="4419">
                  <v>-0.363767645546866</v>
                </pt>
                <pt idx="4420">
                  <v>-0.363767645546866</v>
                </pt>
                <pt idx="4421">
                  <v>-0.363767645546866</v>
                </pt>
                <pt idx="4422">
                  <v>-0.363767645546866</v>
                </pt>
                <pt idx="4423">
                  <v>-0.363767645546866</v>
                </pt>
                <pt idx="4424">
                  <v>-0.363767645546866</v>
                </pt>
                <pt idx="4425">
                  <v>-0.363767645546866</v>
                </pt>
                <pt idx="4426">
                  <v>-0.363767645546866</v>
                </pt>
                <pt idx="4427">
                  <v>-0.363767645546866</v>
                </pt>
                <pt idx="4428">
                  <v>-0.363767645546866</v>
                </pt>
                <pt idx="4429">
                  <v>-0.363767645546866</v>
                </pt>
                <pt idx="4430">
                  <v>-0.363767645546866</v>
                </pt>
                <pt idx="4431">
                  <v>-0.363767645546866</v>
                </pt>
                <pt idx="4432">
                  <v>-0.363767645546866</v>
                </pt>
                <pt idx="4433">
                  <v>-0.363767645546866</v>
                </pt>
                <pt idx="4434">
                  <v>-0.363767645546866</v>
                </pt>
                <pt idx="4435">
                  <v>-0.363767645546866</v>
                </pt>
                <pt idx="4436">
                  <v>-0.363767645546866</v>
                </pt>
                <pt idx="4437">
                  <v>-0.363767645546866</v>
                </pt>
                <pt idx="4438">
                  <v>-0.363767645546866</v>
                </pt>
                <pt idx="4439">
                  <v>-0.363767645546866</v>
                </pt>
                <pt idx="4440">
                  <v>-0.363767645546866</v>
                </pt>
                <pt idx="4441">
                  <v>-0.363767645546866</v>
                </pt>
                <pt idx="4442">
                  <v>-0.363767645546866</v>
                </pt>
                <pt idx="4443">
                  <v>-0.363767645546866</v>
                </pt>
                <pt idx="4444">
                  <v>-0.363767645546866</v>
                </pt>
                <pt idx="4445">
                  <v>-0.363767645546866</v>
                </pt>
                <pt idx="4446">
                  <v>-0.363767645546866</v>
                </pt>
                <pt idx="4447">
                  <v>-0.363767645546866</v>
                </pt>
                <pt idx="4448">
                  <v>-0.363767645546866</v>
                </pt>
                <pt idx="4449">
                  <v>-0.363767645546866</v>
                </pt>
                <pt idx="4450">
                  <v>-0.363767645546866</v>
                </pt>
                <pt idx="4451">
                  <v>-0.363767645546866</v>
                </pt>
                <pt idx="4452">
                  <v>-0.363767645546866</v>
                </pt>
                <pt idx="4453">
                  <v>-0.363767645546866</v>
                </pt>
                <pt idx="4454">
                  <v>-0.363767645546866</v>
                </pt>
                <pt idx="4455">
                  <v>-0.363767645546866</v>
                </pt>
                <pt idx="4456">
                  <v>-0.363767645546866</v>
                </pt>
                <pt idx="4457">
                  <v>-0.363767645546866</v>
                </pt>
                <pt idx="4458">
                  <v>-0.363767645546866</v>
                </pt>
                <pt idx="4459">
                  <v>-0.363767645546866</v>
                </pt>
                <pt idx="4460">
                  <v>-0.363767645546866</v>
                </pt>
                <pt idx="4461">
                  <v>-0.363767645546866</v>
                </pt>
                <pt idx="4462">
                  <v>-0.363767645546866</v>
                </pt>
                <pt idx="4463">
                  <v>-0.363767645546866</v>
                </pt>
                <pt idx="4464">
                  <v>-0.363767645546866</v>
                </pt>
                <pt idx="4465">
                  <v>-0.363767645546866</v>
                </pt>
                <pt idx="4466">
                  <v>-0.363767645546866</v>
                </pt>
                <pt idx="4467">
                  <v>-0.363767645546866</v>
                </pt>
                <pt idx="4468">
                  <v>-0.363767645546866</v>
                </pt>
                <pt idx="4469">
                  <v>-0.363767645546866</v>
                </pt>
                <pt idx="4470">
                  <v>-0.363767645546866</v>
                </pt>
                <pt idx="4471">
                  <v>-0.363767645546866</v>
                </pt>
                <pt idx="4472">
                  <v>-0.363767645546866</v>
                </pt>
                <pt idx="4473">
                  <v>-0.363767645546866</v>
                </pt>
                <pt idx="4474">
                  <v>-0.363767645546866</v>
                </pt>
                <pt idx="4475">
                  <v>-0.363767645546866</v>
                </pt>
                <pt idx="4476">
                  <v>-0.363767645546866</v>
                </pt>
                <pt idx="4477">
                  <v>-0.363767645546866</v>
                </pt>
                <pt idx="4478">
                  <v>-0.363767645546866</v>
                </pt>
                <pt idx="4479">
                  <v>-0.363767645546866</v>
                </pt>
                <pt idx="4480">
                  <v>-0.363767645546866</v>
                </pt>
                <pt idx="4481">
                  <v>-0.363767645546866</v>
                </pt>
                <pt idx="4482">
                  <v>-0.363767645546866</v>
                </pt>
                <pt idx="4483">
                  <v>-0.363767645546866</v>
                </pt>
                <pt idx="4484">
                  <v>-0.363767645546866</v>
                </pt>
                <pt idx="4485">
                  <v>-0.363767645546866</v>
                </pt>
                <pt idx="4486">
                  <v>-0.363767645546866</v>
                </pt>
                <pt idx="4487">
                  <v>-0.363767645546866</v>
                </pt>
                <pt idx="4488">
                  <v>-0.363767645546866</v>
                </pt>
                <pt idx="4489">
                  <v>-0.363767645546866</v>
                </pt>
                <pt idx="4490">
                  <v>-0.363767645546866</v>
                </pt>
                <pt idx="4491">
                  <v>-0.363767645546866</v>
                </pt>
                <pt idx="4492">
                  <v>-0.363767645546866</v>
                </pt>
                <pt idx="4493">
                  <v>-0.363767645546866</v>
                </pt>
                <pt idx="4494">
                  <v>-0.363767645546866</v>
                </pt>
                <pt idx="4495">
                  <v>-0.363767645546866</v>
                </pt>
                <pt idx="4496">
                  <v>-0.363767645546866</v>
                </pt>
                <pt idx="4497">
                  <v>-0.363767645546866</v>
                </pt>
                <pt idx="4498">
                  <v>-0.363767645546866</v>
                </pt>
                <pt idx="4499">
                  <v>-0.363767645546866</v>
                </pt>
                <pt idx="4500">
                  <v>-0.363767645546866</v>
                </pt>
                <pt idx="4501">
                  <v>-0.363767645546866</v>
                </pt>
                <pt idx="4502">
                  <v>-0.363767645546866</v>
                </pt>
                <pt idx="4503">
                  <v>-0.363767645546866</v>
                </pt>
                <pt idx="4504">
                  <v>-0.363767645546866</v>
                </pt>
                <pt idx="4505">
                  <v>-0.363767645546866</v>
                </pt>
                <pt idx="4506">
                  <v>-0.363767645546866</v>
                </pt>
                <pt idx="4507">
                  <v>-0.363767645546866</v>
                </pt>
                <pt idx="4508">
                  <v>-0.363767645546866</v>
                </pt>
                <pt idx="4509">
                  <v>-0.363767645546866</v>
                </pt>
                <pt idx="4510">
                  <v>-0.363767645546866</v>
                </pt>
                <pt idx="4511">
                  <v>-0.363767645546866</v>
                </pt>
                <pt idx="4512">
                  <v>-0.363767645546866</v>
                </pt>
                <pt idx="4513">
                  <v>-0.363767645546866</v>
                </pt>
                <pt idx="4514">
                  <v>-0.363767645546866</v>
                </pt>
                <pt idx="4515">
                  <v>-0.363767645546866</v>
                </pt>
                <pt idx="4516">
                  <v>-0.363767645546866</v>
                </pt>
                <pt idx="4517">
                  <v>-0.363767645546866</v>
                </pt>
                <pt idx="4518">
                  <v>-0.363767645546866</v>
                </pt>
                <pt idx="4519">
                  <v>-0.363767645546866</v>
                </pt>
                <pt idx="4520">
                  <v>-0.363767645546866</v>
                </pt>
                <pt idx="4521">
                  <v>-0.363767645546866</v>
                </pt>
                <pt idx="4522">
                  <v>-0.363767645546866</v>
                </pt>
                <pt idx="4523">
                  <v>-0.363767645546866</v>
                </pt>
                <pt idx="4524">
                  <v>-0.363767645546866</v>
                </pt>
                <pt idx="4525">
                  <v>-0.363767645546866</v>
                </pt>
                <pt idx="4526">
                  <v>-0.363767645546866</v>
                </pt>
                <pt idx="4527">
                  <v>-0.363767645546866</v>
                </pt>
                <pt idx="4528">
                  <v>-0.363767645546866</v>
                </pt>
                <pt idx="4529">
                  <v>-0.363767645546866</v>
                </pt>
                <pt idx="4530">
                  <v>-0.363767645546866</v>
                </pt>
                <pt idx="4531">
                  <v>-0.363767645546866</v>
                </pt>
                <pt idx="4532">
                  <v>-0.363767645546866</v>
                </pt>
                <pt idx="4533">
                  <v>-0.363767645546866</v>
                </pt>
                <pt idx="4534">
                  <v>-0.363767645546866</v>
                </pt>
                <pt idx="4535">
                  <v>-0.363767645546866</v>
                </pt>
                <pt idx="4536">
                  <v>-0.363767645546866</v>
                </pt>
                <pt idx="4537">
                  <v>-0.363767645546866</v>
                </pt>
                <pt idx="4538">
                  <v>-0.363767645546866</v>
                </pt>
                <pt idx="4539">
                  <v>-0.363767645546866</v>
                </pt>
                <pt idx="4540">
                  <v>-0.363767645546866</v>
                </pt>
                <pt idx="4541">
                  <v>-0.363767645546866</v>
                </pt>
                <pt idx="4542">
                  <v>-0.363767645546866</v>
                </pt>
                <pt idx="4543">
                  <v>-0.363767645546866</v>
                </pt>
                <pt idx="4544">
                  <v>-0.363767645546866</v>
                </pt>
                <pt idx="4545">
                  <v>-0.363767645546866</v>
                </pt>
                <pt idx="4546">
                  <v>-0.363767645546866</v>
                </pt>
                <pt idx="4547">
                  <v>-0.363767645546866</v>
                </pt>
                <pt idx="4548">
                  <v>-0.363767645546866</v>
                </pt>
                <pt idx="4549">
                  <v>-0.363767645546866</v>
                </pt>
                <pt idx="4550">
                  <v>-0.363767645546866</v>
                </pt>
                <pt idx="4551">
                  <v>-0.363767645546866</v>
                </pt>
                <pt idx="4552">
                  <v>-0.363767645546866</v>
                </pt>
                <pt idx="4553">
                  <v>-0.363767645546866</v>
                </pt>
                <pt idx="4554">
                  <v>-0.363767645546866</v>
                </pt>
                <pt idx="4555">
                  <v>-0.363767645546866</v>
                </pt>
                <pt idx="4556">
                  <v>-0.363767645546866</v>
                </pt>
                <pt idx="4557">
                  <v>-0.363767645546866</v>
                </pt>
                <pt idx="4558">
                  <v>-0.363767645546866</v>
                </pt>
                <pt idx="4559">
                  <v>-0.363767645546866</v>
                </pt>
                <pt idx="4560">
                  <v>-0.363767645546866</v>
                </pt>
                <pt idx="4561">
                  <v>-0.363767645546866</v>
                </pt>
                <pt idx="4562">
                  <v>-0.363767645546866</v>
                </pt>
                <pt idx="4563">
                  <v>-0.363767645546866</v>
                </pt>
                <pt idx="4564">
                  <v>-0.363767645546866</v>
                </pt>
                <pt idx="4565">
                  <v>-0.363767645546866</v>
                </pt>
                <pt idx="4566">
                  <v>-0.363767645546866</v>
                </pt>
                <pt idx="4567">
                  <v>-0.363767645546866</v>
                </pt>
                <pt idx="4568">
                  <v>-0.363767645546866</v>
                </pt>
                <pt idx="4569">
                  <v>-0.363767645546866</v>
                </pt>
                <pt idx="4570">
                  <v>-0.363767645546866</v>
                </pt>
                <pt idx="4571">
                  <v>-0.363767645546866</v>
                </pt>
                <pt idx="4572">
                  <v>-0.363767645546866</v>
                </pt>
                <pt idx="4573">
                  <v>-0.363767645546866</v>
                </pt>
                <pt idx="4574">
                  <v>-0.363767645546866</v>
                </pt>
                <pt idx="4575">
                  <v>-0.363767645546866</v>
                </pt>
                <pt idx="4576">
                  <v>-0.363767645546866</v>
                </pt>
                <pt idx="4577">
                  <v>-0.363767645546866</v>
                </pt>
                <pt idx="4578">
                  <v>-0.363767645546866</v>
                </pt>
                <pt idx="4579">
                  <v>-0.363767645546866</v>
                </pt>
                <pt idx="4580">
                  <v>-0.363767645546866</v>
                </pt>
                <pt idx="4581">
                  <v>-0.363767645546866</v>
                </pt>
                <pt idx="4582">
                  <v>-0.363767645546866</v>
                </pt>
                <pt idx="4583">
                  <v>-0.363767645546866</v>
                </pt>
                <pt idx="4584">
                  <v>-0.363767645546866</v>
                </pt>
                <pt idx="4585">
                  <v>-0.363767645546866</v>
                </pt>
                <pt idx="4586">
                  <v>-0.363767645546866</v>
                </pt>
                <pt idx="4587">
                  <v>-0.363767645546866</v>
                </pt>
                <pt idx="4588">
                  <v>-0.363767645546866</v>
                </pt>
                <pt idx="4589">
                  <v>-0.363767645546866</v>
                </pt>
                <pt idx="4590">
                  <v>-0.363767645546866</v>
                </pt>
                <pt idx="4591">
                  <v>-0.363767645546866</v>
                </pt>
                <pt idx="4592">
                  <v>-0.363767645546866</v>
                </pt>
                <pt idx="4593">
                  <v>-0.363767645546866</v>
                </pt>
                <pt idx="4594">
                  <v>-0.363767645546866</v>
                </pt>
                <pt idx="4595">
                  <v>-0.363767645546866</v>
                </pt>
                <pt idx="4596">
                  <v>-0.363767645546866</v>
                </pt>
                <pt idx="4597">
                  <v>-0.363767645546866</v>
                </pt>
                <pt idx="4598">
                  <v>-0.363767645546866</v>
                </pt>
                <pt idx="4599">
                  <v>-0.363767645546866</v>
                </pt>
                <pt idx="4600">
                  <v>-0.363767645546866</v>
                </pt>
                <pt idx="4601">
                  <v>-0.363767645546866</v>
                </pt>
                <pt idx="4602">
                  <v>-0.363767645546866</v>
                </pt>
                <pt idx="4603">
                  <v>-0.363767645546866</v>
                </pt>
                <pt idx="4604">
                  <v>-0.363767645546866</v>
                </pt>
                <pt idx="4605">
                  <v>-0.363767645546866</v>
                </pt>
                <pt idx="4606">
                  <v>-0.363767645546866</v>
                </pt>
                <pt idx="4607">
                  <v>-0.363767645546866</v>
                </pt>
                <pt idx="4608">
                  <v>-0.363767645546866</v>
                </pt>
                <pt idx="4609">
                  <v>-0.363767645546866</v>
                </pt>
                <pt idx="4610">
                  <v>-0.363767645546866</v>
                </pt>
                <pt idx="4611">
                  <v>-0.363767645546866</v>
                </pt>
                <pt idx="4612">
                  <v>-0.363767645546866</v>
                </pt>
                <pt idx="4613">
                  <v>-0.363767645546866</v>
                </pt>
                <pt idx="4614">
                  <v>-0.363767645546866</v>
                </pt>
                <pt idx="4615">
                  <v>-0.363767645546866</v>
                </pt>
                <pt idx="4616">
                  <v>-0.363767645546866</v>
                </pt>
                <pt idx="4617">
                  <v>-0.363767645546866</v>
                </pt>
                <pt idx="4618">
                  <v>-0.363767645546866</v>
                </pt>
                <pt idx="4619">
                  <v>-0.363767645546866</v>
                </pt>
                <pt idx="4620">
                  <v>-0.363767645546866</v>
                </pt>
                <pt idx="4621">
                  <v>-0.363767645546866</v>
                </pt>
                <pt idx="4622">
                  <v>-0.363767645546866</v>
                </pt>
                <pt idx="4623">
                  <v>-0.363767645546866</v>
                </pt>
                <pt idx="4624">
                  <v>-0.363767645546866</v>
                </pt>
                <pt idx="4625">
                  <v>-0.363767645546866</v>
                </pt>
                <pt idx="4626">
                  <v>-0.363767645546866</v>
                </pt>
                <pt idx="4627">
                  <v>-0.363767645546866</v>
                </pt>
                <pt idx="4628">
                  <v>-0.363767645546866</v>
                </pt>
                <pt idx="4629">
                  <v>-0.363767645546866</v>
                </pt>
                <pt idx="4630">
                  <v>-0.363767645546866</v>
                </pt>
                <pt idx="4631">
                  <v>-0.363767645546866</v>
                </pt>
                <pt idx="4632">
                  <v>-0.363767645546866</v>
                </pt>
                <pt idx="4633">
                  <v>-0.363767645546866</v>
                </pt>
                <pt idx="4634">
                  <v>-0.363767645546866</v>
                </pt>
                <pt idx="4635">
                  <v>-0.363767645546866</v>
                </pt>
                <pt idx="4636">
                  <v>-0.363767645546866</v>
                </pt>
                <pt idx="4637">
                  <v>-0.363767645546866</v>
                </pt>
                <pt idx="4638">
                  <v>-0.363767645546866</v>
                </pt>
                <pt idx="4639">
                  <v>-0.363767645546866</v>
                </pt>
                <pt idx="4640">
                  <v>-0.363767645546866</v>
                </pt>
                <pt idx="4641">
                  <v>-0.363767645546866</v>
                </pt>
                <pt idx="4642">
                  <v>-0.363767645546866</v>
                </pt>
                <pt idx="4643">
                  <v>-0.363767645546866</v>
                </pt>
                <pt idx="4644">
                  <v>-0.363767645546866</v>
                </pt>
                <pt idx="4645">
                  <v>-0.363767645546866</v>
                </pt>
                <pt idx="4646">
                  <v>-0.363767645546866</v>
                </pt>
                <pt idx="4647">
                  <v>-0.363767645546866</v>
                </pt>
                <pt idx="4648">
                  <v>-0.363767645546866</v>
                </pt>
                <pt idx="4649">
                  <v>-0.363767645546866</v>
                </pt>
                <pt idx="4650">
                  <v>-0.363767645546866</v>
                </pt>
                <pt idx="4651">
                  <v>-0.363767645546866</v>
                </pt>
                <pt idx="4652">
                  <v>-0.363767645546866</v>
                </pt>
                <pt idx="4653">
                  <v>-0.363767645546866</v>
                </pt>
                <pt idx="4654">
                  <v>-0.363767645546866</v>
                </pt>
                <pt idx="4655">
                  <v>-0.363767645546866</v>
                </pt>
                <pt idx="4656">
                  <v>-0.363767645546866</v>
                </pt>
                <pt idx="4657">
                  <v>-0.363767645546866</v>
                </pt>
                <pt idx="4658">
                  <v>-0.363767645546866</v>
                </pt>
                <pt idx="4659">
                  <v>-0.363767645546866</v>
                </pt>
                <pt idx="4660">
                  <v>-0.363767645546866</v>
                </pt>
                <pt idx="4661">
                  <v>-0.363767645546866</v>
                </pt>
                <pt idx="4662">
                  <v>-0.363767645546866</v>
                </pt>
                <pt idx="4663">
                  <v>-0.363767645546866</v>
                </pt>
                <pt idx="4664">
                  <v>-0.363767645546866</v>
                </pt>
                <pt idx="4665">
                  <v>-0.363767645546866</v>
                </pt>
                <pt idx="4666">
                  <v>-0.363767645546866</v>
                </pt>
                <pt idx="4667">
                  <v>-0.363767645546866</v>
                </pt>
                <pt idx="4668">
                  <v>-0.363767645546866</v>
                </pt>
                <pt idx="4669">
                  <v>-0.363767645546866</v>
                </pt>
                <pt idx="4670">
                  <v>-0.363767645546866</v>
                </pt>
                <pt idx="4671">
                  <v>-0.363767645546866</v>
                </pt>
                <pt idx="4672">
                  <v>-0.363767645546866</v>
                </pt>
                <pt idx="4673">
                  <v>-0.363767645546866</v>
                </pt>
                <pt idx="4674">
                  <v>-0.363767645546866</v>
                </pt>
                <pt idx="4675">
                  <v>-0.363767645546866</v>
                </pt>
                <pt idx="4676">
                  <v>-0.363767645546866</v>
                </pt>
                <pt idx="4677">
                  <v>-0.363767645546866</v>
                </pt>
                <pt idx="4678">
                  <v>-0.363767645546866</v>
                </pt>
                <pt idx="4679">
                  <v>-0.363767645546866</v>
                </pt>
                <pt idx="4680">
                  <v>-0.363767645546866</v>
                </pt>
                <pt idx="4681">
                  <v>-0.363767645546866</v>
                </pt>
                <pt idx="4682">
                  <v>-0.363767645546866</v>
                </pt>
                <pt idx="4683">
                  <v>-0.363767645546866</v>
                </pt>
                <pt idx="4684">
                  <v>-0.363767645546866</v>
                </pt>
                <pt idx="4685">
                  <v>-0.363767645546866</v>
                </pt>
                <pt idx="4686">
                  <v>-0.363767645546866</v>
                </pt>
                <pt idx="4687">
                  <v>-0.363767645546866</v>
                </pt>
                <pt idx="4688">
                  <v>-0.363767645546866</v>
                </pt>
                <pt idx="4689">
                  <v>-0.363767645546866</v>
                </pt>
                <pt idx="4690">
                  <v>-0.363767645546866</v>
                </pt>
                <pt idx="4691">
                  <v>-0.363767645546866</v>
                </pt>
                <pt idx="4692">
                  <v>-0.363767645546866</v>
                </pt>
                <pt idx="4693">
                  <v>-0.363767645546866</v>
                </pt>
                <pt idx="4694">
                  <v>-0.363767645546866</v>
                </pt>
                <pt idx="4695">
                  <v>-0.363767645546866</v>
                </pt>
                <pt idx="4696">
                  <v>-0.363767645546866</v>
                </pt>
                <pt idx="4697">
                  <v>-0.363767645546866</v>
                </pt>
                <pt idx="4698">
                  <v>-0.363767645546866</v>
                </pt>
                <pt idx="4699">
                  <v>-0.363767645546866</v>
                </pt>
                <pt idx="4700">
                  <v>-0.363767645546866</v>
                </pt>
                <pt idx="4701">
                  <v>-0.363767645546866</v>
                </pt>
                <pt idx="4702">
                  <v>-0.363767645546866</v>
                </pt>
                <pt idx="4703">
                  <v>-0.363767645546866</v>
                </pt>
                <pt idx="4704">
                  <v>-0.363767645546866</v>
                </pt>
                <pt idx="4705">
                  <v>-0.363767645546866</v>
                </pt>
                <pt idx="4706">
                  <v>-0.363767645546866</v>
                </pt>
                <pt idx="4707">
                  <v>-0.363767645546866</v>
                </pt>
                <pt idx="4708">
                  <v>-0.363767645546866</v>
                </pt>
                <pt idx="4709">
                  <v>-0.363767645546866</v>
                </pt>
                <pt idx="4710">
                  <v>-0.363767645546866</v>
                </pt>
                <pt idx="4711">
                  <v>-0.363767645546866</v>
                </pt>
                <pt idx="4712">
                  <v>-0.363767645546866</v>
                </pt>
                <pt idx="4713">
                  <v>-0.363767645546866</v>
                </pt>
                <pt idx="4714">
                  <v>-0.363767645546866</v>
                </pt>
                <pt idx="4715">
                  <v>-0.363767645546866</v>
                </pt>
                <pt idx="4716">
                  <v>-0.363767645546866</v>
                </pt>
                <pt idx="4717">
                  <v>-0.363767645546866</v>
                </pt>
                <pt idx="4718">
                  <v>-0.363767645546866</v>
                </pt>
                <pt idx="4719">
                  <v>-0.363767645546866</v>
                </pt>
                <pt idx="4720">
                  <v>-0.363767645546866</v>
                </pt>
                <pt idx="4721">
                  <v>-0.363767645546866</v>
                </pt>
                <pt idx="4722">
                  <v>-0.363767645546866</v>
                </pt>
                <pt idx="4723">
                  <v>-0.363767645546866</v>
                </pt>
                <pt idx="4724">
                  <v>-0.363767645546866</v>
                </pt>
                <pt idx="4725">
                  <v>-0.363767645546866</v>
                </pt>
                <pt idx="4726">
                  <v>-0.363767645546866</v>
                </pt>
                <pt idx="4727">
                  <v>-0.363767645546866</v>
                </pt>
                <pt idx="4728">
                  <v>-0.363767645546866</v>
                </pt>
                <pt idx="4729">
                  <v>-0.363767645546866</v>
                </pt>
                <pt idx="4730">
                  <v>-0.363767645546866</v>
                </pt>
                <pt idx="4731">
                  <v>-0.363767645546866</v>
                </pt>
                <pt idx="4732">
                  <v>-0.363767645546866</v>
                </pt>
                <pt idx="4733">
                  <v>-0.363767645546866</v>
                </pt>
                <pt idx="4734">
                  <v>-0.363767645546866</v>
                </pt>
                <pt idx="4735">
                  <v>-0.363767645546866</v>
                </pt>
                <pt idx="4736">
                  <v>-0.363767645546866</v>
                </pt>
                <pt idx="4737">
                  <v>-0.363767645546866</v>
                </pt>
                <pt idx="4738">
                  <v>-0.363767645546866</v>
                </pt>
                <pt idx="4739">
                  <v>-0.363767645546866</v>
                </pt>
                <pt idx="4740">
                  <v>-0.363767645546866</v>
                </pt>
                <pt idx="4741">
                  <v>-0.363767645546866</v>
                </pt>
                <pt idx="4742">
                  <v>-0.363767645546866</v>
                </pt>
                <pt idx="4743">
                  <v>-0.363767645546866</v>
                </pt>
                <pt idx="4744">
                  <v>-0.363767645546866</v>
                </pt>
                <pt idx="4745">
                  <v>-0.363767645546866</v>
                </pt>
                <pt idx="4746">
                  <v>-0.363767645546866</v>
                </pt>
                <pt idx="4747">
                  <v>-0.363767645546866</v>
                </pt>
                <pt idx="4748">
                  <v>-0.363767645546866</v>
                </pt>
                <pt idx="4749">
                  <v>-0.363767645546866</v>
                </pt>
                <pt idx="4750">
                  <v>-0.363767645546866</v>
                </pt>
                <pt idx="4751">
                  <v>-0.363767645546866</v>
                </pt>
                <pt idx="4752">
                  <v>-0.363767645546866</v>
                </pt>
                <pt idx="4753">
                  <v>-0.363767645546866</v>
                </pt>
                <pt idx="4754">
                  <v>-0.363767645546866</v>
                </pt>
                <pt idx="4755">
                  <v>-0.363767645546866</v>
                </pt>
                <pt idx="4756">
                  <v>-0.363767645546866</v>
                </pt>
                <pt idx="4757">
                  <v>-0.363767645546866</v>
                </pt>
                <pt idx="4758">
                  <v>-0.363767645546866</v>
                </pt>
                <pt idx="4759">
                  <v>-0.363767645546866</v>
                </pt>
                <pt idx="4760">
                  <v>-0.363767645546866</v>
                </pt>
                <pt idx="4761">
                  <v>-0.363767645546866</v>
                </pt>
                <pt idx="4762">
                  <v>-0.363767645546866</v>
                </pt>
                <pt idx="4763">
                  <v>-0.363767645546866</v>
                </pt>
              </numCache>
            </numRef>
          </val>
          <smooth val="0"/>
        </ser>
        <ser>
          <idx val="2"/>
          <order val="2"/>
          <tx>
            <strRef>
              <f>'AH discount'!$D$2</f>
              <strCache>
                <ptCount val="1"/>
                <pt idx="0">
                  <v>SD-1</v>
                </pt>
              </strCache>
            </strRef>
          </tx>
          <spPr>
            <a:ln w="28575" cap="rnd">
              <a:solidFill>
                <a:srgbClr val="C0715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discount'!$D$3:$D$4766</f>
              <numCache>
                <formatCode>0%</formatCode>
                <ptCount val="4764"/>
                <pt idx="0">
                  <v>-0.5252530000634726</v>
                </pt>
                <pt idx="1">
                  <v>-0.5252530000634726</v>
                </pt>
                <pt idx="2">
                  <v>-0.5252530000634726</v>
                </pt>
                <pt idx="3">
                  <v>-0.5252530000634726</v>
                </pt>
                <pt idx="4">
                  <v>-0.5252530000634726</v>
                </pt>
                <pt idx="5">
                  <v>-0.5252530000634726</v>
                </pt>
                <pt idx="6">
                  <v>-0.5252530000634726</v>
                </pt>
                <pt idx="7">
                  <v>-0.5252530000634726</v>
                </pt>
                <pt idx="8">
                  <v>-0.5252530000634726</v>
                </pt>
                <pt idx="9">
                  <v>-0.5252530000634726</v>
                </pt>
                <pt idx="10">
                  <v>-0.5252530000634726</v>
                </pt>
                <pt idx="11">
                  <v>-0.5252530000634726</v>
                </pt>
                <pt idx="12">
                  <v>-0.5252530000634726</v>
                </pt>
                <pt idx="13">
                  <v>-0.5252530000634726</v>
                </pt>
                <pt idx="14">
                  <v>-0.5252530000634726</v>
                </pt>
                <pt idx="15">
                  <v>-0.5252530000634726</v>
                </pt>
                <pt idx="16">
                  <v>-0.5252530000634726</v>
                </pt>
                <pt idx="17">
                  <v>-0.5252530000634726</v>
                </pt>
                <pt idx="18">
                  <v>-0.5252530000634726</v>
                </pt>
                <pt idx="19">
                  <v>-0.5252530000634726</v>
                </pt>
                <pt idx="20">
                  <v>-0.5252530000634726</v>
                </pt>
                <pt idx="21">
                  <v>-0.5252530000634726</v>
                </pt>
                <pt idx="22">
                  <v>-0.5252530000634726</v>
                </pt>
                <pt idx="23">
                  <v>-0.5252530000634726</v>
                </pt>
                <pt idx="24">
                  <v>-0.5252530000634726</v>
                </pt>
                <pt idx="25">
                  <v>-0.5252530000634726</v>
                </pt>
                <pt idx="26">
                  <v>-0.5252530000634726</v>
                </pt>
                <pt idx="27">
                  <v>-0.5252530000634726</v>
                </pt>
                <pt idx="28">
                  <v>-0.5252530000634726</v>
                </pt>
                <pt idx="29">
                  <v>-0.5252530000634726</v>
                </pt>
                <pt idx="30">
                  <v>-0.5252530000634726</v>
                </pt>
                <pt idx="31">
                  <v>-0.5252530000634726</v>
                </pt>
                <pt idx="32">
                  <v>-0.5252530000634726</v>
                </pt>
                <pt idx="33">
                  <v>-0.5252530000634726</v>
                </pt>
                <pt idx="34">
                  <v>-0.5252530000634726</v>
                </pt>
                <pt idx="35">
                  <v>-0.5252530000634726</v>
                </pt>
                <pt idx="36">
                  <v>-0.5252530000634726</v>
                </pt>
                <pt idx="37">
                  <v>-0.5252530000634726</v>
                </pt>
                <pt idx="38">
                  <v>-0.5252530000634726</v>
                </pt>
                <pt idx="39">
                  <v>-0.5252530000634726</v>
                </pt>
                <pt idx="40">
                  <v>-0.5252530000634726</v>
                </pt>
                <pt idx="41">
                  <v>-0.5252530000634726</v>
                </pt>
                <pt idx="42">
                  <v>-0.5252530000634726</v>
                </pt>
                <pt idx="43">
                  <v>-0.5252530000634726</v>
                </pt>
                <pt idx="44">
                  <v>-0.5252530000634726</v>
                </pt>
                <pt idx="45">
                  <v>-0.5252530000634726</v>
                </pt>
                <pt idx="46">
                  <v>-0.5252530000634726</v>
                </pt>
                <pt idx="47">
                  <v>-0.5252530000634726</v>
                </pt>
                <pt idx="48">
                  <v>-0.5252530000634726</v>
                </pt>
                <pt idx="49">
                  <v>-0.5252530000634726</v>
                </pt>
                <pt idx="50">
                  <v>-0.5252530000634726</v>
                </pt>
                <pt idx="51">
                  <v>-0.5252530000634726</v>
                </pt>
                <pt idx="52">
                  <v>-0.5252530000634726</v>
                </pt>
                <pt idx="53">
                  <v>-0.5252530000634726</v>
                </pt>
                <pt idx="54">
                  <v>-0.5252530000634726</v>
                </pt>
                <pt idx="55">
                  <v>-0.5252530000634726</v>
                </pt>
                <pt idx="56">
                  <v>-0.5252530000634726</v>
                </pt>
                <pt idx="57">
                  <v>-0.5252530000634726</v>
                </pt>
                <pt idx="58">
                  <v>-0.5252530000634726</v>
                </pt>
                <pt idx="59">
                  <v>-0.5252530000634726</v>
                </pt>
                <pt idx="60">
                  <v>-0.5252530000634726</v>
                </pt>
                <pt idx="61">
                  <v>-0.5252530000634726</v>
                </pt>
                <pt idx="62">
                  <v>-0.5252530000634726</v>
                </pt>
                <pt idx="63">
                  <v>-0.5252530000634726</v>
                </pt>
                <pt idx="64">
                  <v>-0.5252530000634726</v>
                </pt>
                <pt idx="65">
                  <v>-0.5252530000634726</v>
                </pt>
                <pt idx="66">
                  <v>-0.5252530000634726</v>
                </pt>
                <pt idx="67">
                  <v>-0.5252530000634726</v>
                </pt>
                <pt idx="68">
                  <v>-0.5252530000634726</v>
                </pt>
                <pt idx="69">
                  <v>-0.5252530000634726</v>
                </pt>
                <pt idx="70">
                  <v>-0.5252530000634726</v>
                </pt>
                <pt idx="71">
                  <v>-0.5252530000634726</v>
                </pt>
                <pt idx="72">
                  <v>-0.5252530000634726</v>
                </pt>
                <pt idx="73">
                  <v>-0.5252530000634726</v>
                </pt>
                <pt idx="74">
                  <v>-0.5252530000634726</v>
                </pt>
                <pt idx="75">
                  <v>-0.5252530000634726</v>
                </pt>
                <pt idx="76">
                  <v>-0.5252530000634726</v>
                </pt>
                <pt idx="77">
                  <v>-0.5252530000634726</v>
                </pt>
                <pt idx="78">
                  <v>-0.5252530000634726</v>
                </pt>
                <pt idx="79">
                  <v>-0.5252530000634726</v>
                </pt>
                <pt idx="80">
                  <v>-0.5252530000634726</v>
                </pt>
                <pt idx="81">
                  <v>-0.5252530000634726</v>
                </pt>
                <pt idx="82">
                  <v>-0.5252530000634726</v>
                </pt>
                <pt idx="83">
                  <v>-0.5252530000634726</v>
                </pt>
                <pt idx="84">
                  <v>-0.5252530000634726</v>
                </pt>
                <pt idx="85">
                  <v>-0.5252530000634726</v>
                </pt>
                <pt idx="86">
                  <v>-0.5252530000634726</v>
                </pt>
                <pt idx="87">
                  <v>-0.5252530000634726</v>
                </pt>
                <pt idx="88">
                  <v>-0.5252530000634726</v>
                </pt>
                <pt idx="89">
                  <v>-0.5252530000634726</v>
                </pt>
                <pt idx="90">
                  <v>-0.5252530000634726</v>
                </pt>
                <pt idx="91">
                  <v>-0.5252530000634726</v>
                </pt>
                <pt idx="92">
                  <v>-0.5252530000634726</v>
                </pt>
                <pt idx="93">
                  <v>-0.5252530000634726</v>
                </pt>
                <pt idx="94">
                  <v>-0.5252530000634726</v>
                </pt>
                <pt idx="95">
                  <v>-0.5252530000634726</v>
                </pt>
                <pt idx="96">
                  <v>-0.5252530000634726</v>
                </pt>
                <pt idx="97">
                  <v>-0.5252530000634726</v>
                </pt>
                <pt idx="98">
                  <v>-0.5252530000634726</v>
                </pt>
                <pt idx="99">
                  <v>-0.5252530000634726</v>
                </pt>
                <pt idx="100">
                  <v>-0.5252530000634726</v>
                </pt>
                <pt idx="101">
                  <v>-0.5252530000634726</v>
                </pt>
                <pt idx="102">
                  <v>-0.5252530000634726</v>
                </pt>
                <pt idx="103">
                  <v>-0.5252530000634726</v>
                </pt>
                <pt idx="104">
                  <v>-0.5252530000634726</v>
                </pt>
                <pt idx="105">
                  <v>-0.5252530000634726</v>
                </pt>
                <pt idx="106">
                  <v>-0.5252530000634726</v>
                </pt>
                <pt idx="107">
                  <v>-0.5252530000634726</v>
                </pt>
                <pt idx="108">
                  <v>-0.5252530000634726</v>
                </pt>
                <pt idx="109">
                  <v>-0.5252530000634726</v>
                </pt>
                <pt idx="110">
                  <v>-0.5252530000634726</v>
                </pt>
                <pt idx="111">
                  <v>-0.5252530000634726</v>
                </pt>
                <pt idx="112">
                  <v>-0.5252530000634726</v>
                </pt>
                <pt idx="113">
                  <v>-0.5252530000634726</v>
                </pt>
                <pt idx="114">
                  <v>-0.5252530000634726</v>
                </pt>
                <pt idx="115">
                  <v>-0.5252530000634726</v>
                </pt>
                <pt idx="116">
                  <v>-0.5252530000634726</v>
                </pt>
                <pt idx="117">
                  <v>-0.5252530000634726</v>
                </pt>
                <pt idx="118">
                  <v>-0.5252530000634726</v>
                </pt>
                <pt idx="119">
                  <v>-0.5252530000634726</v>
                </pt>
                <pt idx="120">
                  <v>-0.5252530000634726</v>
                </pt>
                <pt idx="121">
                  <v>-0.5252530000634726</v>
                </pt>
                <pt idx="122">
                  <v>-0.5252530000634726</v>
                </pt>
                <pt idx="123">
                  <v>-0.5252530000634726</v>
                </pt>
                <pt idx="124">
                  <v>-0.5252530000634726</v>
                </pt>
                <pt idx="125">
                  <v>-0.5252530000634726</v>
                </pt>
                <pt idx="126">
                  <v>-0.5252530000634726</v>
                </pt>
                <pt idx="127">
                  <v>-0.5252530000634726</v>
                </pt>
                <pt idx="128">
                  <v>-0.5252530000634726</v>
                </pt>
                <pt idx="129">
                  <v>-0.5252530000634726</v>
                </pt>
                <pt idx="130">
                  <v>-0.5252530000634726</v>
                </pt>
                <pt idx="131">
                  <v>-0.5252530000634726</v>
                </pt>
                <pt idx="132">
                  <v>-0.5252530000634726</v>
                </pt>
                <pt idx="133">
                  <v>-0.5252530000634726</v>
                </pt>
                <pt idx="134">
                  <v>-0.5252530000634726</v>
                </pt>
                <pt idx="135">
                  <v>-0.5252530000634726</v>
                </pt>
                <pt idx="136">
                  <v>-0.5252530000634726</v>
                </pt>
                <pt idx="137">
                  <v>-0.5252530000634726</v>
                </pt>
                <pt idx="138">
                  <v>-0.5252530000634726</v>
                </pt>
                <pt idx="139">
                  <v>-0.5252530000634726</v>
                </pt>
                <pt idx="140">
                  <v>-0.5252530000634726</v>
                </pt>
                <pt idx="141">
                  <v>-0.5252530000634726</v>
                </pt>
                <pt idx="142">
                  <v>-0.5252530000634726</v>
                </pt>
                <pt idx="143">
                  <v>-0.5252530000634726</v>
                </pt>
                <pt idx="144">
                  <v>-0.5252530000634726</v>
                </pt>
                <pt idx="145">
                  <v>-0.5252530000634726</v>
                </pt>
                <pt idx="146">
                  <v>-0.5252530000634726</v>
                </pt>
                <pt idx="147">
                  <v>-0.5252530000634726</v>
                </pt>
                <pt idx="148">
                  <v>-0.5252530000634726</v>
                </pt>
                <pt idx="149">
                  <v>-0.5252530000634726</v>
                </pt>
                <pt idx="150">
                  <v>-0.5252530000634726</v>
                </pt>
                <pt idx="151">
                  <v>-0.5252530000634726</v>
                </pt>
                <pt idx="152">
                  <v>-0.5252530000634726</v>
                </pt>
                <pt idx="153">
                  <v>-0.5252530000634726</v>
                </pt>
                <pt idx="154">
                  <v>-0.5252530000634726</v>
                </pt>
                <pt idx="155">
                  <v>-0.5252530000634726</v>
                </pt>
                <pt idx="156">
                  <v>-0.5252530000634726</v>
                </pt>
                <pt idx="157">
                  <v>-0.5252530000634726</v>
                </pt>
                <pt idx="158">
                  <v>-0.5252530000634726</v>
                </pt>
                <pt idx="159">
                  <v>-0.5252530000634726</v>
                </pt>
                <pt idx="160">
                  <v>-0.5252530000634726</v>
                </pt>
                <pt idx="161">
                  <v>-0.5252530000634726</v>
                </pt>
                <pt idx="162">
                  <v>-0.5252530000634726</v>
                </pt>
                <pt idx="163">
                  <v>-0.5252530000634726</v>
                </pt>
                <pt idx="164">
                  <v>-0.5252530000634726</v>
                </pt>
                <pt idx="165">
                  <v>-0.5252530000634726</v>
                </pt>
                <pt idx="166">
                  <v>-0.5252530000634726</v>
                </pt>
                <pt idx="167">
                  <v>-0.5252530000634726</v>
                </pt>
                <pt idx="168">
                  <v>-0.5252530000634726</v>
                </pt>
                <pt idx="169">
                  <v>-0.5252530000634726</v>
                </pt>
                <pt idx="170">
                  <v>-0.5252530000634726</v>
                </pt>
                <pt idx="171">
                  <v>-0.5252530000634726</v>
                </pt>
                <pt idx="172">
                  <v>-0.5252530000634726</v>
                </pt>
                <pt idx="173">
                  <v>-0.5252530000634726</v>
                </pt>
                <pt idx="174">
                  <v>-0.5252530000634726</v>
                </pt>
                <pt idx="175">
                  <v>-0.5252530000634726</v>
                </pt>
                <pt idx="176">
                  <v>-0.5252530000634726</v>
                </pt>
                <pt idx="177">
                  <v>-0.5252530000634726</v>
                </pt>
                <pt idx="178">
                  <v>-0.5252530000634726</v>
                </pt>
                <pt idx="179">
                  <v>-0.5252530000634726</v>
                </pt>
                <pt idx="180">
                  <v>-0.5252530000634726</v>
                </pt>
                <pt idx="181">
                  <v>-0.5252530000634726</v>
                </pt>
                <pt idx="182">
                  <v>-0.5252530000634726</v>
                </pt>
                <pt idx="183">
                  <v>-0.5252530000634726</v>
                </pt>
                <pt idx="184">
                  <v>-0.5252530000634726</v>
                </pt>
                <pt idx="185">
                  <v>-0.5252530000634726</v>
                </pt>
                <pt idx="186">
                  <v>-0.5252530000634726</v>
                </pt>
                <pt idx="187">
                  <v>-0.5252530000634726</v>
                </pt>
                <pt idx="188">
                  <v>-0.5252530000634726</v>
                </pt>
                <pt idx="189">
                  <v>-0.5252530000634726</v>
                </pt>
                <pt idx="190">
                  <v>-0.5252530000634726</v>
                </pt>
                <pt idx="191">
                  <v>-0.5252530000634726</v>
                </pt>
                <pt idx="192">
                  <v>-0.5252530000634726</v>
                </pt>
                <pt idx="193">
                  <v>-0.5252530000634726</v>
                </pt>
                <pt idx="194">
                  <v>-0.5252530000634726</v>
                </pt>
                <pt idx="195">
                  <v>-0.5252530000634726</v>
                </pt>
                <pt idx="196">
                  <v>-0.5252530000634726</v>
                </pt>
                <pt idx="197">
                  <v>-0.5252530000634726</v>
                </pt>
                <pt idx="198">
                  <v>-0.5252530000634726</v>
                </pt>
                <pt idx="199">
                  <v>-0.5252530000634726</v>
                </pt>
                <pt idx="200">
                  <v>-0.5252530000634726</v>
                </pt>
                <pt idx="201">
                  <v>-0.5252530000634726</v>
                </pt>
                <pt idx="202">
                  <v>-0.5252530000634726</v>
                </pt>
                <pt idx="203">
                  <v>-0.5252530000634726</v>
                </pt>
                <pt idx="204">
                  <v>-0.5252530000634726</v>
                </pt>
                <pt idx="205">
                  <v>-0.5252530000634726</v>
                </pt>
                <pt idx="206">
                  <v>-0.5252530000634726</v>
                </pt>
                <pt idx="207">
                  <v>-0.5252530000634726</v>
                </pt>
                <pt idx="208">
                  <v>-0.5252530000634726</v>
                </pt>
                <pt idx="209">
                  <v>-0.5252530000634726</v>
                </pt>
                <pt idx="210">
                  <v>-0.5252530000634726</v>
                </pt>
                <pt idx="211">
                  <v>-0.5252530000634726</v>
                </pt>
                <pt idx="212">
                  <v>-0.5252530000634726</v>
                </pt>
                <pt idx="213">
                  <v>-0.5252530000634726</v>
                </pt>
                <pt idx="214">
                  <v>-0.5252530000634726</v>
                </pt>
                <pt idx="215">
                  <v>-0.5252530000634726</v>
                </pt>
                <pt idx="216">
                  <v>-0.5252530000634726</v>
                </pt>
                <pt idx="217">
                  <v>-0.5252530000634726</v>
                </pt>
                <pt idx="218">
                  <v>-0.5252530000634726</v>
                </pt>
                <pt idx="219">
                  <v>-0.5252530000634726</v>
                </pt>
                <pt idx="220">
                  <v>-0.5252530000634726</v>
                </pt>
                <pt idx="221">
                  <v>-0.5252530000634726</v>
                </pt>
                <pt idx="222">
                  <v>-0.5252530000634726</v>
                </pt>
                <pt idx="223">
                  <v>-0.5252530000634726</v>
                </pt>
                <pt idx="224">
                  <v>-0.5252530000634726</v>
                </pt>
                <pt idx="225">
                  <v>-0.5252530000634726</v>
                </pt>
                <pt idx="226">
                  <v>-0.5252530000634726</v>
                </pt>
                <pt idx="227">
                  <v>-0.5252530000634726</v>
                </pt>
                <pt idx="228">
                  <v>-0.5252530000634726</v>
                </pt>
                <pt idx="229">
                  <v>-0.5252530000634726</v>
                </pt>
                <pt idx="230">
                  <v>-0.5252530000634726</v>
                </pt>
                <pt idx="231">
                  <v>-0.5252530000634726</v>
                </pt>
                <pt idx="232">
                  <v>-0.5252530000634726</v>
                </pt>
                <pt idx="233">
                  <v>-0.5252530000634726</v>
                </pt>
                <pt idx="234">
                  <v>-0.5252530000634726</v>
                </pt>
                <pt idx="235">
                  <v>-0.5252530000634726</v>
                </pt>
                <pt idx="236">
                  <v>-0.5252530000634726</v>
                </pt>
                <pt idx="237">
                  <v>-0.5252530000634726</v>
                </pt>
                <pt idx="238">
                  <v>-0.5252530000634726</v>
                </pt>
                <pt idx="239">
                  <v>-0.5252530000634726</v>
                </pt>
                <pt idx="240">
                  <v>-0.5252530000634726</v>
                </pt>
                <pt idx="241">
                  <v>-0.5252530000634726</v>
                </pt>
                <pt idx="242">
                  <v>-0.5252530000634726</v>
                </pt>
                <pt idx="243">
                  <v>-0.5252530000634726</v>
                </pt>
                <pt idx="244">
                  <v>-0.5252530000634726</v>
                </pt>
                <pt idx="245">
                  <v>-0.5252530000634726</v>
                </pt>
                <pt idx="246">
                  <v>-0.5252530000634726</v>
                </pt>
                <pt idx="247">
                  <v>-0.5252530000634726</v>
                </pt>
                <pt idx="248">
                  <v>-0.5252530000634726</v>
                </pt>
                <pt idx="249">
                  <v>-0.5252530000634726</v>
                </pt>
                <pt idx="250">
                  <v>-0.5252530000634726</v>
                </pt>
                <pt idx="251">
                  <v>-0.5252530000634726</v>
                </pt>
                <pt idx="252">
                  <v>-0.5252530000634726</v>
                </pt>
                <pt idx="253">
                  <v>-0.5252530000634726</v>
                </pt>
                <pt idx="254">
                  <v>-0.5252530000634726</v>
                </pt>
                <pt idx="255">
                  <v>-0.5252530000634726</v>
                </pt>
                <pt idx="256">
                  <v>-0.5252530000634726</v>
                </pt>
                <pt idx="257">
                  <v>-0.5252530000634726</v>
                </pt>
                <pt idx="258">
                  <v>-0.5252530000634726</v>
                </pt>
                <pt idx="259">
                  <v>-0.5252530000634726</v>
                </pt>
                <pt idx="260">
                  <v>-0.5252530000634726</v>
                </pt>
                <pt idx="261">
                  <v>-0.5252530000634726</v>
                </pt>
                <pt idx="262">
                  <v>-0.5252530000634726</v>
                </pt>
                <pt idx="263">
                  <v>-0.5252530000634726</v>
                </pt>
                <pt idx="264">
                  <v>-0.5252530000634726</v>
                </pt>
                <pt idx="265">
                  <v>-0.5252530000634726</v>
                </pt>
                <pt idx="266">
                  <v>-0.5252530000634726</v>
                </pt>
                <pt idx="267">
                  <v>-0.5252530000634726</v>
                </pt>
                <pt idx="268">
                  <v>-0.5252530000634726</v>
                </pt>
                <pt idx="269">
                  <v>-0.5252530000634726</v>
                </pt>
                <pt idx="270">
                  <v>-0.5252530000634726</v>
                </pt>
                <pt idx="271">
                  <v>-0.5252530000634726</v>
                </pt>
                <pt idx="272">
                  <v>-0.5252530000634726</v>
                </pt>
                <pt idx="273">
                  <v>-0.5252530000634726</v>
                </pt>
                <pt idx="274">
                  <v>-0.5252530000634726</v>
                </pt>
                <pt idx="275">
                  <v>-0.5252530000634726</v>
                </pt>
                <pt idx="276">
                  <v>-0.5252530000634726</v>
                </pt>
                <pt idx="277">
                  <v>-0.5252530000634726</v>
                </pt>
                <pt idx="278">
                  <v>-0.5252530000634726</v>
                </pt>
                <pt idx="279">
                  <v>-0.5252530000634726</v>
                </pt>
                <pt idx="280">
                  <v>-0.5252530000634726</v>
                </pt>
                <pt idx="281">
                  <v>-0.5252530000634726</v>
                </pt>
                <pt idx="282">
                  <v>-0.5252530000634726</v>
                </pt>
                <pt idx="283">
                  <v>-0.5252530000634726</v>
                </pt>
                <pt idx="284">
                  <v>-0.5252530000634726</v>
                </pt>
                <pt idx="285">
                  <v>-0.5252530000634726</v>
                </pt>
                <pt idx="286">
                  <v>-0.5252530000634726</v>
                </pt>
                <pt idx="287">
                  <v>-0.5252530000634726</v>
                </pt>
                <pt idx="288">
                  <v>-0.5252530000634726</v>
                </pt>
                <pt idx="289">
                  <v>-0.5252530000634726</v>
                </pt>
                <pt idx="290">
                  <v>-0.5252530000634726</v>
                </pt>
                <pt idx="291">
                  <v>-0.5252530000634726</v>
                </pt>
                <pt idx="292">
                  <v>-0.5252530000634726</v>
                </pt>
                <pt idx="293">
                  <v>-0.5252530000634726</v>
                </pt>
                <pt idx="294">
                  <v>-0.5252530000634726</v>
                </pt>
                <pt idx="295">
                  <v>-0.5252530000634726</v>
                </pt>
                <pt idx="296">
                  <v>-0.5252530000634726</v>
                </pt>
                <pt idx="297">
                  <v>-0.5252530000634726</v>
                </pt>
                <pt idx="298">
                  <v>-0.5252530000634726</v>
                </pt>
                <pt idx="299">
                  <v>-0.5252530000634726</v>
                </pt>
                <pt idx="300">
                  <v>-0.5252530000634726</v>
                </pt>
                <pt idx="301">
                  <v>-0.5252530000634726</v>
                </pt>
                <pt idx="302">
                  <v>-0.5252530000634726</v>
                </pt>
                <pt idx="303">
                  <v>-0.5252530000634726</v>
                </pt>
                <pt idx="304">
                  <v>-0.5252530000634726</v>
                </pt>
                <pt idx="305">
                  <v>-0.5252530000634726</v>
                </pt>
                <pt idx="306">
                  <v>-0.5252530000634726</v>
                </pt>
                <pt idx="307">
                  <v>-0.5252530000634726</v>
                </pt>
                <pt idx="308">
                  <v>-0.5252530000634726</v>
                </pt>
                <pt idx="309">
                  <v>-0.5252530000634726</v>
                </pt>
                <pt idx="310">
                  <v>-0.5252530000634726</v>
                </pt>
                <pt idx="311">
                  <v>-0.5252530000634726</v>
                </pt>
                <pt idx="312">
                  <v>-0.5252530000634726</v>
                </pt>
                <pt idx="313">
                  <v>-0.5252530000634726</v>
                </pt>
                <pt idx="314">
                  <v>-0.5252530000634726</v>
                </pt>
                <pt idx="315">
                  <v>-0.5252530000634726</v>
                </pt>
                <pt idx="316">
                  <v>-0.5252530000634726</v>
                </pt>
                <pt idx="317">
                  <v>-0.5252530000634726</v>
                </pt>
                <pt idx="318">
                  <v>-0.5252530000634726</v>
                </pt>
                <pt idx="319">
                  <v>-0.5252530000634726</v>
                </pt>
                <pt idx="320">
                  <v>-0.5252530000634726</v>
                </pt>
                <pt idx="321">
                  <v>-0.5252530000634726</v>
                </pt>
                <pt idx="322">
                  <v>-0.5252530000634726</v>
                </pt>
                <pt idx="323">
                  <v>-0.5252530000634726</v>
                </pt>
                <pt idx="324">
                  <v>-0.5252530000634726</v>
                </pt>
                <pt idx="325">
                  <v>-0.5252530000634726</v>
                </pt>
                <pt idx="326">
                  <v>-0.5252530000634726</v>
                </pt>
                <pt idx="327">
                  <v>-0.5252530000634726</v>
                </pt>
                <pt idx="328">
                  <v>-0.5252530000634726</v>
                </pt>
                <pt idx="329">
                  <v>-0.5252530000634726</v>
                </pt>
                <pt idx="330">
                  <v>-0.5252530000634726</v>
                </pt>
                <pt idx="331">
                  <v>-0.5252530000634726</v>
                </pt>
                <pt idx="332">
                  <v>-0.5252530000634726</v>
                </pt>
                <pt idx="333">
                  <v>-0.5252530000634726</v>
                </pt>
                <pt idx="334">
                  <v>-0.5252530000634726</v>
                </pt>
                <pt idx="335">
                  <v>-0.5252530000634726</v>
                </pt>
                <pt idx="336">
                  <v>-0.5252530000634726</v>
                </pt>
                <pt idx="337">
                  <v>-0.5252530000634726</v>
                </pt>
                <pt idx="338">
                  <v>-0.5252530000634726</v>
                </pt>
                <pt idx="339">
                  <v>-0.5252530000634726</v>
                </pt>
                <pt idx="340">
                  <v>-0.5252530000634726</v>
                </pt>
                <pt idx="341">
                  <v>-0.5252530000634726</v>
                </pt>
                <pt idx="342">
                  <v>-0.5252530000634726</v>
                </pt>
                <pt idx="343">
                  <v>-0.5252530000634726</v>
                </pt>
                <pt idx="344">
                  <v>-0.5252530000634726</v>
                </pt>
                <pt idx="345">
                  <v>-0.5252530000634726</v>
                </pt>
                <pt idx="346">
                  <v>-0.5252530000634726</v>
                </pt>
                <pt idx="347">
                  <v>-0.5252530000634726</v>
                </pt>
                <pt idx="348">
                  <v>-0.5252530000634726</v>
                </pt>
                <pt idx="349">
                  <v>-0.5252530000634726</v>
                </pt>
                <pt idx="350">
                  <v>-0.5252530000634726</v>
                </pt>
                <pt idx="351">
                  <v>-0.5252530000634726</v>
                </pt>
                <pt idx="352">
                  <v>-0.5252530000634726</v>
                </pt>
                <pt idx="353">
                  <v>-0.5252530000634726</v>
                </pt>
                <pt idx="354">
                  <v>-0.5252530000634726</v>
                </pt>
                <pt idx="355">
                  <v>-0.5252530000634726</v>
                </pt>
                <pt idx="356">
                  <v>-0.5252530000634726</v>
                </pt>
                <pt idx="357">
                  <v>-0.5252530000634726</v>
                </pt>
                <pt idx="358">
                  <v>-0.5252530000634726</v>
                </pt>
                <pt idx="359">
                  <v>-0.5252530000634726</v>
                </pt>
                <pt idx="360">
                  <v>-0.5252530000634726</v>
                </pt>
                <pt idx="361">
                  <v>-0.5252530000634726</v>
                </pt>
                <pt idx="362">
                  <v>-0.5252530000634726</v>
                </pt>
                <pt idx="363">
                  <v>-0.5252530000634726</v>
                </pt>
                <pt idx="364">
                  <v>-0.5252530000634726</v>
                </pt>
                <pt idx="365">
                  <v>-0.5252530000634726</v>
                </pt>
                <pt idx="366">
                  <v>-0.5252530000634726</v>
                </pt>
                <pt idx="367">
                  <v>-0.5252530000634726</v>
                </pt>
                <pt idx="368">
                  <v>-0.5252530000634726</v>
                </pt>
                <pt idx="369">
                  <v>-0.5252530000634726</v>
                </pt>
                <pt idx="370">
                  <v>-0.5252530000634726</v>
                </pt>
                <pt idx="371">
                  <v>-0.5252530000634726</v>
                </pt>
                <pt idx="372">
                  <v>-0.5252530000634726</v>
                </pt>
                <pt idx="373">
                  <v>-0.5252530000634726</v>
                </pt>
                <pt idx="374">
                  <v>-0.5252530000634726</v>
                </pt>
                <pt idx="375">
                  <v>-0.5252530000634726</v>
                </pt>
                <pt idx="376">
                  <v>-0.5252530000634726</v>
                </pt>
                <pt idx="377">
                  <v>-0.5252530000634726</v>
                </pt>
                <pt idx="378">
                  <v>-0.5252530000634726</v>
                </pt>
                <pt idx="379">
                  <v>-0.5252530000634726</v>
                </pt>
                <pt idx="380">
                  <v>-0.5252530000634726</v>
                </pt>
                <pt idx="381">
                  <v>-0.5252530000634726</v>
                </pt>
                <pt idx="382">
                  <v>-0.5252530000634726</v>
                </pt>
                <pt idx="383">
                  <v>-0.5252530000634726</v>
                </pt>
                <pt idx="384">
                  <v>-0.5252530000634726</v>
                </pt>
                <pt idx="385">
                  <v>-0.5252530000634726</v>
                </pt>
                <pt idx="386">
                  <v>-0.5252530000634726</v>
                </pt>
                <pt idx="387">
                  <v>-0.5252530000634726</v>
                </pt>
                <pt idx="388">
                  <v>-0.5252530000634726</v>
                </pt>
                <pt idx="389">
                  <v>-0.5252530000634726</v>
                </pt>
                <pt idx="390">
                  <v>-0.5252530000634726</v>
                </pt>
                <pt idx="391">
                  <v>-0.5252530000634726</v>
                </pt>
                <pt idx="392">
                  <v>-0.5252530000634726</v>
                </pt>
                <pt idx="393">
                  <v>-0.5252530000634726</v>
                </pt>
                <pt idx="394">
                  <v>-0.5252530000634726</v>
                </pt>
                <pt idx="395">
                  <v>-0.5252530000634726</v>
                </pt>
                <pt idx="396">
                  <v>-0.5252530000634726</v>
                </pt>
                <pt idx="397">
                  <v>-0.5252530000634726</v>
                </pt>
                <pt idx="398">
                  <v>-0.5252530000634726</v>
                </pt>
                <pt idx="399">
                  <v>-0.5252530000634726</v>
                </pt>
                <pt idx="400">
                  <v>-0.5252530000634726</v>
                </pt>
                <pt idx="401">
                  <v>-0.5252530000634726</v>
                </pt>
                <pt idx="402">
                  <v>-0.5252530000634726</v>
                </pt>
                <pt idx="403">
                  <v>-0.5252530000634726</v>
                </pt>
                <pt idx="404">
                  <v>-0.5252530000634726</v>
                </pt>
                <pt idx="405">
                  <v>-0.5252530000634726</v>
                </pt>
                <pt idx="406">
                  <v>-0.5252530000634726</v>
                </pt>
                <pt idx="407">
                  <v>-0.5252530000634726</v>
                </pt>
                <pt idx="408">
                  <v>-0.5252530000634726</v>
                </pt>
                <pt idx="409">
                  <v>-0.5252530000634726</v>
                </pt>
                <pt idx="410">
                  <v>-0.5252530000634726</v>
                </pt>
                <pt idx="411">
                  <v>-0.5252530000634726</v>
                </pt>
                <pt idx="412">
                  <v>-0.5252530000634726</v>
                </pt>
                <pt idx="413">
                  <v>-0.5252530000634726</v>
                </pt>
                <pt idx="414">
                  <v>-0.5252530000634726</v>
                </pt>
                <pt idx="415">
                  <v>-0.5252530000634726</v>
                </pt>
                <pt idx="416">
                  <v>-0.5252530000634726</v>
                </pt>
                <pt idx="417">
                  <v>-0.5252530000634726</v>
                </pt>
                <pt idx="418">
                  <v>-0.5252530000634726</v>
                </pt>
                <pt idx="419">
                  <v>-0.5252530000634726</v>
                </pt>
                <pt idx="420">
                  <v>-0.5252530000634726</v>
                </pt>
                <pt idx="421">
                  <v>-0.5252530000634726</v>
                </pt>
                <pt idx="422">
                  <v>-0.5252530000634726</v>
                </pt>
                <pt idx="423">
                  <v>-0.5252530000634726</v>
                </pt>
                <pt idx="424">
                  <v>-0.5252530000634726</v>
                </pt>
                <pt idx="425">
                  <v>-0.5252530000634726</v>
                </pt>
                <pt idx="426">
                  <v>-0.5252530000634726</v>
                </pt>
                <pt idx="427">
                  <v>-0.5252530000634726</v>
                </pt>
                <pt idx="428">
                  <v>-0.5252530000634726</v>
                </pt>
                <pt idx="429">
                  <v>-0.5252530000634726</v>
                </pt>
                <pt idx="430">
                  <v>-0.5252530000634726</v>
                </pt>
                <pt idx="431">
                  <v>-0.5252530000634726</v>
                </pt>
                <pt idx="432">
                  <v>-0.5252530000634726</v>
                </pt>
                <pt idx="433">
                  <v>-0.5252530000634726</v>
                </pt>
                <pt idx="434">
                  <v>-0.5252530000634726</v>
                </pt>
                <pt idx="435">
                  <v>-0.5252530000634726</v>
                </pt>
                <pt idx="436">
                  <v>-0.5252530000634726</v>
                </pt>
                <pt idx="437">
                  <v>-0.5252530000634726</v>
                </pt>
                <pt idx="438">
                  <v>-0.5252530000634726</v>
                </pt>
                <pt idx="439">
                  <v>-0.5252530000634726</v>
                </pt>
                <pt idx="440">
                  <v>-0.5252530000634726</v>
                </pt>
                <pt idx="441">
                  <v>-0.5252530000634726</v>
                </pt>
                <pt idx="442">
                  <v>-0.5252530000634726</v>
                </pt>
                <pt idx="443">
                  <v>-0.5252530000634726</v>
                </pt>
                <pt idx="444">
                  <v>-0.5252530000634726</v>
                </pt>
                <pt idx="445">
                  <v>-0.5252530000634726</v>
                </pt>
                <pt idx="446">
                  <v>-0.5252530000634726</v>
                </pt>
                <pt idx="447">
                  <v>-0.5252530000634726</v>
                </pt>
                <pt idx="448">
                  <v>-0.5252530000634726</v>
                </pt>
                <pt idx="449">
                  <v>-0.5252530000634726</v>
                </pt>
                <pt idx="450">
                  <v>-0.5252530000634726</v>
                </pt>
                <pt idx="451">
                  <v>-0.5252530000634726</v>
                </pt>
                <pt idx="452">
                  <v>-0.5252530000634726</v>
                </pt>
                <pt idx="453">
                  <v>-0.5252530000634726</v>
                </pt>
                <pt idx="454">
                  <v>-0.5252530000634726</v>
                </pt>
                <pt idx="455">
                  <v>-0.5252530000634726</v>
                </pt>
                <pt idx="456">
                  <v>-0.5252530000634726</v>
                </pt>
                <pt idx="457">
                  <v>-0.5252530000634726</v>
                </pt>
                <pt idx="458">
                  <v>-0.5252530000634726</v>
                </pt>
                <pt idx="459">
                  <v>-0.5252530000634726</v>
                </pt>
                <pt idx="460">
                  <v>-0.5252530000634726</v>
                </pt>
                <pt idx="461">
                  <v>-0.5252530000634726</v>
                </pt>
                <pt idx="462">
                  <v>-0.5252530000634726</v>
                </pt>
                <pt idx="463">
                  <v>-0.5252530000634726</v>
                </pt>
                <pt idx="464">
                  <v>-0.5252530000634726</v>
                </pt>
                <pt idx="465">
                  <v>-0.5252530000634726</v>
                </pt>
                <pt idx="466">
                  <v>-0.5252530000634726</v>
                </pt>
                <pt idx="467">
                  <v>-0.5252530000634726</v>
                </pt>
                <pt idx="468">
                  <v>-0.5252530000634726</v>
                </pt>
                <pt idx="469">
                  <v>-0.5252530000634726</v>
                </pt>
                <pt idx="470">
                  <v>-0.5252530000634726</v>
                </pt>
                <pt idx="471">
                  <v>-0.5252530000634726</v>
                </pt>
                <pt idx="472">
                  <v>-0.5252530000634726</v>
                </pt>
                <pt idx="473">
                  <v>-0.5252530000634726</v>
                </pt>
                <pt idx="474">
                  <v>-0.5252530000634726</v>
                </pt>
                <pt idx="475">
                  <v>-0.5252530000634726</v>
                </pt>
                <pt idx="476">
                  <v>-0.5252530000634726</v>
                </pt>
                <pt idx="477">
                  <v>-0.5252530000634726</v>
                </pt>
                <pt idx="478">
                  <v>-0.5252530000634726</v>
                </pt>
                <pt idx="479">
                  <v>-0.5252530000634726</v>
                </pt>
                <pt idx="480">
                  <v>-0.5252530000634726</v>
                </pt>
                <pt idx="481">
                  <v>-0.5252530000634726</v>
                </pt>
                <pt idx="482">
                  <v>-0.5252530000634726</v>
                </pt>
                <pt idx="483">
                  <v>-0.5252530000634726</v>
                </pt>
                <pt idx="484">
                  <v>-0.5252530000634726</v>
                </pt>
                <pt idx="485">
                  <v>-0.5252530000634726</v>
                </pt>
                <pt idx="486">
                  <v>-0.5252530000634726</v>
                </pt>
                <pt idx="487">
                  <v>-0.5252530000634726</v>
                </pt>
                <pt idx="488">
                  <v>-0.5252530000634726</v>
                </pt>
                <pt idx="489">
                  <v>-0.5252530000634726</v>
                </pt>
                <pt idx="490">
                  <v>-0.5252530000634726</v>
                </pt>
                <pt idx="491">
                  <v>-0.5252530000634726</v>
                </pt>
                <pt idx="492">
                  <v>-0.5252530000634726</v>
                </pt>
                <pt idx="493">
                  <v>-0.5252530000634726</v>
                </pt>
                <pt idx="494">
                  <v>-0.5252530000634726</v>
                </pt>
                <pt idx="495">
                  <v>-0.5252530000634726</v>
                </pt>
                <pt idx="496">
                  <v>-0.5252530000634726</v>
                </pt>
                <pt idx="497">
                  <v>-0.5252530000634726</v>
                </pt>
                <pt idx="498">
                  <v>-0.5252530000634726</v>
                </pt>
                <pt idx="499">
                  <v>-0.5252530000634726</v>
                </pt>
                <pt idx="500">
                  <v>-0.5252530000634726</v>
                </pt>
                <pt idx="501">
                  <v>-0.5252530000634726</v>
                </pt>
                <pt idx="502">
                  <v>-0.5252530000634726</v>
                </pt>
                <pt idx="503">
                  <v>-0.5252530000634726</v>
                </pt>
                <pt idx="504">
                  <v>-0.5252530000634726</v>
                </pt>
                <pt idx="505">
                  <v>-0.5252530000634726</v>
                </pt>
                <pt idx="506">
                  <v>-0.5252530000634726</v>
                </pt>
                <pt idx="507">
                  <v>-0.5252530000634726</v>
                </pt>
                <pt idx="508">
                  <v>-0.5252530000634726</v>
                </pt>
                <pt idx="509">
                  <v>-0.5252530000634726</v>
                </pt>
                <pt idx="510">
                  <v>-0.5252530000634726</v>
                </pt>
                <pt idx="511">
                  <v>-0.5252530000634726</v>
                </pt>
                <pt idx="512">
                  <v>-0.5252530000634726</v>
                </pt>
                <pt idx="513">
                  <v>-0.5252530000634726</v>
                </pt>
                <pt idx="514">
                  <v>-0.5252530000634726</v>
                </pt>
                <pt idx="515">
                  <v>-0.5252530000634726</v>
                </pt>
                <pt idx="516">
                  <v>-0.5252530000634726</v>
                </pt>
                <pt idx="517">
                  <v>-0.5252530000634726</v>
                </pt>
                <pt idx="518">
                  <v>-0.5252530000634726</v>
                </pt>
                <pt idx="519">
                  <v>-0.5252530000634726</v>
                </pt>
                <pt idx="520">
                  <v>-0.5252530000634726</v>
                </pt>
                <pt idx="521">
                  <v>-0.5252530000634726</v>
                </pt>
                <pt idx="522">
                  <v>-0.5252530000634726</v>
                </pt>
                <pt idx="523">
                  <v>-0.5252530000634726</v>
                </pt>
                <pt idx="524">
                  <v>-0.5252530000634726</v>
                </pt>
                <pt idx="525">
                  <v>-0.5252530000634726</v>
                </pt>
                <pt idx="526">
                  <v>-0.5252530000634726</v>
                </pt>
                <pt idx="527">
                  <v>-0.5252530000634726</v>
                </pt>
                <pt idx="528">
                  <v>-0.5252530000634726</v>
                </pt>
                <pt idx="529">
                  <v>-0.5252530000634726</v>
                </pt>
                <pt idx="530">
                  <v>-0.5252530000634726</v>
                </pt>
                <pt idx="531">
                  <v>-0.5252530000634726</v>
                </pt>
                <pt idx="532">
                  <v>-0.5252530000634726</v>
                </pt>
                <pt idx="533">
                  <v>-0.5252530000634726</v>
                </pt>
                <pt idx="534">
                  <v>-0.5252530000634726</v>
                </pt>
                <pt idx="535">
                  <v>-0.5252530000634726</v>
                </pt>
                <pt idx="536">
                  <v>-0.5252530000634726</v>
                </pt>
                <pt idx="537">
                  <v>-0.5252530000634726</v>
                </pt>
                <pt idx="538">
                  <v>-0.5252530000634726</v>
                </pt>
                <pt idx="539">
                  <v>-0.5252530000634726</v>
                </pt>
                <pt idx="540">
                  <v>-0.5252530000634726</v>
                </pt>
                <pt idx="541">
                  <v>-0.5252530000634726</v>
                </pt>
                <pt idx="542">
                  <v>-0.5252530000634726</v>
                </pt>
                <pt idx="543">
                  <v>-0.5252530000634726</v>
                </pt>
                <pt idx="544">
                  <v>-0.5252530000634726</v>
                </pt>
                <pt idx="545">
                  <v>-0.5252530000634726</v>
                </pt>
                <pt idx="546">
                  <v>-0.5252530000634726</v>
                </pt>
                <pt idx="547">
                  <v>-0.5252530000634726</v>
                </pt>
                <pt idx="548">
                  <v>-0.5252530000634726</v>
                </pt>
                <pt idx="549">
                  <v>-0.5252530000634726</v>
                </pt>
                <pt idx="550">
                  <v>-0.5252530000634726</v>
                </pt>
                <pt idx="551">
                  <v>-0.5252530000634726</v>
                </pt>
                <pt idx="552">
                  <v>-0.5252530000634726</v>
                </pt>
                <pt idx="553">
                  <v>-0.5252530000634726</v>
                </pt>
                <pt idx="554">
                  <v>-0.5252530000634726</v>
                </pt>
                <pt idx="555">
                  <v>-0.5252530000634726</v>
                </pt>
                <pt idx="556">
                  <v>-0.5252530000634726</v>
                </pt>
                <pt idx="557">
                  <v>-0.5252530000634726</v>
                </pt>
                <pt idx="558">
                  <v>-0.5252530000634726</v>
                </pt>
                <pt idx="559">
                  <v>-0.5252530000634726</v>
                </pt>
                <pt idx="560">
                  <v>-0.5252530000634726</v>
                </pt>
                <pt idx="561">
                  <v>-0.5252530000634726</v>
                </pt>
                <pt idx="562">
                  <v>-0.5252530000634726</v>
                </pt>
                <pt idx="563">
                  <v>-0.5252530000634726</v>
                </pt>
                <pt idx="564">
                  <v>-0.5252530000634726</v>
                </pt>
                <pt idx="565">
                  <v>-0.5252530000634726</v>
                </pt>
                <pt idx="566">
                  <v>-0.5252530000634726</v>
                </pt>
                <pt idx="567">
                  <v>-0.5252530000634726</v>
                </pt>
                <pt idx="568">
                  <v>-0.5252530000634726</v>
                </pt>
                <pt idx="569">
                  <v>-0.5252530000634726</v>
                </pt>
                <pt idx="570">
                  <v>-0.5252530000634726</v>
                </pt>
                <pt idx="571">
                  <v>-0.5252530000634726</v>
                </pt>
                <pt idx="572">
                  <v>-0.5252530000634726</v>
                </pt>
                <pt idx="573">
                  <v>-0.5252530000634726</v>
                </pt>
                <pt idx="574">
                  <v>-0.5252530000634726</v>
                </pt>
                <pt idx="575">
                  <v>-0.5252530000634726</v>
                </pt>
                <pt idx="576">
                  <v>-0.5252530000634726</v>
                </pt>
                <pt idx="577">
                  <v>-0.5252530000634726</v>
                </pt>
                <pt idx="578">
                  <v>-0.5252530000634726</v>
                </pt>
                <pt idx="579">
                  <v>-0.5252530000634726</v>
                </pt>
                <pt idx="580">
                  <v>-0.5252530000634726</v>
                </pt>
                <pt idx="581">
                  <v>-0.5252530000634726</v>
                </pt>
                <pt idx="582">
                  <v>-0.5252530000634726</v>
                </pt>
                <pt idx="583">
                  <v>-0.5252530000634726</v>
                </pt>
                <pt idx="584">
                  <v>-0.5252530000634726</v>
                </pt>
                <pt idx="585">
                  <v>-0.5252530000634726</v>
                </pt>
                <pt idx="586">
                  <v>-0.5252530000634726</v>
                </pt>
                <pt idx="587">
                  <v>-0.5252530000634726</v>
                </pt>
                <pt idx="588">
                  <v>-0.5252530000634726</v>
                </pt>
                <pt idx="589">
                  <v>-0.5252530000634726</v>
                </pt>
                <pt idx="590">
                  <v>-0.5252530000634726</v>
                </pt>
                <pt idx="591">
                  <v>-0.5252530000634726</v>
                </pt>
                <pt idx="592">
                  <v>-0.5252530000634726</v>
                </pt>
                <pt idx="593">
                  <v>-0.5252530000634726</v>
                </pt>
                <pt idx="594">
                  <v>-0.5252530000634726</v>
                </pt>
                <pt idx="595">
                  <v>-0.5252530000634726</v>
                </pt>
                <pt idx="596">
                  <v>-0.5252530000634726</v>
                </pt>
                <pt idx="597">
                  <v>-0.5252530000634726</v>
                </pt>
                <pt idx="598">
                  <v>-0.5252530000634726</v>
                </pt>
                <pt idx="599">
                  <v>-0.5252530000634726</v>
                </pt>
                <pt idx="600">
                  <v>-0.5252530000634726</v>
                </pt>
                <pt idx="601">
                  <v>-0.5252530000634726</v>
                </pt>
                <pt idx="602">
                  <v>-0.5252530000634726</v>
                </pt>
                <pt idx="603">
                  <v>-0.5252530000634726</v>
                </pt>
                <pt idx="604">
                  <v>-0.5252530000634726</v>
                </pt>
                <pt idx="605">
                  <v>-0.5252530000634726</v>
                </pt>
                <pt idx="606">
                  <v>-0.5252530000634726</v>
                </pt>
                <pt idx="607">
                  <v>-0.5252530000634726</v>
                </pt>
                <pt idx="608">
                  <v>-0.5252530000634726</v>
                </pt>
                <pt idx="609">
                  <v>-0.5252530000634726</v>
                </pt>
                <pt idx="610">
                  <v>-0.5252530000634726</v>
                </pt>
                <pt idx="611">
                  <v>-0.5252530000634726</v>
                </pt>
                <pt idx="612">
                  <v>-0.5252530000634726</v>
                </pt>
                <pt idx="613">
                  <v>-0.5252530000634726</v>
                </pt>
                <pt idx="614">
                  <v>-0.5252530000634726</v>
                </pt>
                <pt idx="615">
                  <v>-0.5252530000634726</v>
                </pt>
                <pt idx="616">
                  <v>-0.5252530000634726</v>
                </pt>
                <pt idx="617">
                  <v>-0.5252530000634726</v>
                </pt>
                <pt idx="618">
                  <v>-0.5252530000634726</v>
                </pt>
                <pt idx="619">
                  <v>-0.5252530000634726</v>
                </pt>
                <pt idx="620">
                  <v>-0.5252530000634726</v>
                </pt>
                <pt idx="621">
                  <v>-0.5252530000634726</v>
                </pt>
                <pt idx="622">
                  <v>-0.5252530000634726</v>
                </pt>
                <pt idx="623">
                  <v>-0.5252530000634726</v>
                </pt>
                <pt idx="624">
                  <v>-0.5252530000634726</v>
                </pt>
                <pt idx="625">
                  <v>-0.5252530000634726</v>
                </pt>
                <pt idx="626">
                  <v>-0.5252530000634726</v>
                </pt>
                <pt idx="627">
                  <v>-0.5252530000634726</v>
                </pt>
                <pt idx="628">
                  <v>-0.5252530000634726</v>
                </pt>
                <pt idx="629">
                  <v>-0.5252530000634726</v>
                </pt>
                <pt idx="630">
                  <v>-0.5252530000634726</v>
                </pt>
                <pt idx="631">
                  <v>-0.5252530000634726</v>
                </pt>
                <pt idx="632">
                  <v>-0.5252530000634726</v>
                </pt>
                <pt idx="633">
                  <v>-0.5252530000634726</v>
                </pt>
                <pt idx="634">
                  <v>-0.5252530000634726</v>
                </pt>
                <pt idx="635">
                  <v>-0.5252530000634726</v>
                </pt>
                <pt idx="636">
                  <v>-0.5252530000634726</v>
                </pt>
                <pt idx="637">
                  <v>-0.5252530000634726</v>
                </pt>
                <pt idx="638">
                  <v>-0.5252530000634726</v>
                </pt>
                <pt idx="639">
                  <v>-0.5252530000634726</v>
                </pt>
                <pt idx="640">
                  <v>-0.5252530000634726</v>
                </pt>
                <pt idx="641">
                  <v>-0.5252530000634726</v>
                </pt>
                <pt idx="642">
                  <v>-0.5252530000634726</v>
                </pt>
                <pt idx="643">
                  <v>-0.5252530000634726</v>
                </pt>
                <pt idx="644">
                  <v>-0.5252530000634726</v>
                </pt>
                <pt idx="645">
                  <v>-0.5252530000634726</v>
                </pt>
                <pt idx="646">
                  <v>-0.5252530000634726</v>
                </pt>
                <pt idx="647">
                  <v>-0.5252530000634726</v>
                </pt>
                <pt idx="648">
                  <v>-0.5252530000634726</v>
                </pt>
                <pt idx="649">
                  <v>-0.5252530000634726</v>
                </pt>
                <pt idx="650">
                  <v>-0.5252530000634726</v>
                </pt>
                <pt idx="651">
                  <v>-0.5252530000634726</v>
                </pt>
                <pt idx="652">
                  <v>-0.5252530000634726</v>
                </pt>
                <pt idx="653">
                  <v>-0.5252530000634726</v>
                </pt>
                <pt idx="654">
                  <v>-0.5252530000634726</v>
                </pt>
                <pt idx="655">
                  <v>-0.5252530000634726</v>
                </pt>
                <pt idx="656">
                  <v>-0.5252530000634726</v>
                </pt>
                <pt idx="657">
                  <v>-0.5252530000634726</v>
                </pt>
                <pt idx="658">
                  <v>-0.5252530000634726</v>
                </pt>
                <pt idx="659">
                  <v>-0.5252530000634726</v>
                </pt>
                <pt idx="660">
                  <v>-0.5252530000634726</v>
                </pt>
                <pt idx="661">
                  <v>-0.5252530000634726</v>
                </pt>
                <pt idx="662">
                  <v>-0.5252530000634726</v>
                </pt>
                <pt idx="663">
                  <v>-0.5252530000634726</v>
                </pt>
                <pt idx="664">
                  <v>-0.5252530000634726</v>
                </pt>
                <pt idx="665">
                  <v>-0.5252530000634726</v>
                </pt>
                <pt idx="666">
                  <v>-0.5252530000634726</v>
                </pt>
                <pt idx="667">
                  <v>-0.5252530000634726</v>
                </pt>
                <pt idx="668">
                  <v>-0.5252530000634726</v>
                </pt>
                <pt idx="669">
                  <v>-0.5252530000634726</v>
                </pt>
                <pt idx="670">
                  <v>-0.5252530000634726</v>
                </pt>
                <pt idx="671">
                  <v>-0.5252530000634726</v>
                </pt>
                <pt idx="672">
                  <v>-0.5252530000634726</v>
                </pt>
                <pt idx="673">
                  <v>-0.5252530000634726</v>
                </pt>
                <pt idx="674">
                  <v>-0.5252530000634726</v>
                </pt>
                <pt idx="675">
                  <v>-0.5252530000634726</v>
                </pt>
                <pt idx="676">
                  <v>-0.5252530000634726</v>
                </pt>
                <pt idx="677">
                  <v>-0.5252530000634726</v>
                </pt>
                <pt idx="678">
                  <v>-0.5252530000634726</v>
                </pt>
                <pt idx="679">
                  <v>-0.5252530000634726</v>
                </pt>
                <pt idx="680">
                  <v>-0.5252530000634726</v>
                </pt>
                <pt idx="681">
                  <v>-0.5252530000634726</v>
                </pt>
                <pt idx="682">
                  <v>-0.5252530000634726</v>
                </pt>
                <pt idx="683">
                  <v>-0.5252530000634726</v>
                </pt>
                <pt idx="684">
                  <v>-0.5252530000634726</v>
                </pt>
                <pt idx="685">
                  <v>-0.5252530000634726</v>
                </pt>
                <pt idx="686">
                  <v>-0.5252530000634726</v>
                </pt>
                <pt idx="687">
                  <v>-0.5252530000634726</v>
                </pt>
                <pt idx="688">
                  <v>-0.5252530000634726</v>
                </pt>
                <pt idx="689">
                  <v>-0.5252530000634726</v>
                </pt>
                <pt idx="690">
                  <v>-0.5252530000634726</v>
                </pt>
                <pt idx="691">
                  <v>-0.5252530000634726</v>
                </pt>
                <pt idx="692">
                  <v>-0.5252530000634726</v>
                </pt>
                <pt idx="693">
                  <v>-0.5252530000634726</v>
                </pt>
                <pt idx="694">
                  <v>-0.5252530000634726</v>
                </pt>
                <pt idx="695">
                  <v>-0.5252530000634726</v>
                </pt>
                <pt idx="696">
                  <v>-0.5252530000634726</v>
                </pt>
                <pt idx="697">
                  <v>-0.5252530000634726</v>
                </pt>
                <pt idx="698">
                  <v>-0.5252530000634726</v>
                </pt>
                <pt idx="699">
                  <v>-0.5252530000634726</v>
                </pt>
                <pt idx="700">
                  <v>-0.5252530000634726</v>
                </pt>
                <pt idx="701">
                  <v>-0.5252530000634726</v>
                </pt>
                <pt idx="702">
                  <v>-0.5252530000634726</v>
                </pt>
                <pt idx="703">
                  <v>-0.5252530000634726</v>
                </pt>
                <pt idx="704">
                  <v>-0.5252530000634726</v>
                </pt>
                <pt idx="705">
                  <v>-0.5252530000634726</v>
                </pt>
                <pt idx="706">
                  <v>-0.5252530000634726</v>
                </pt>
                <pt idx="707">
                  <v>-0.5252530000634726</v>
                </pt>
                <pt idx="708">
                  <v>-0.5252530000634726</v>
                </pt>
                <pt idx="709">
                  <v>-0.5252530000634726</v>
                </pt>
                <pt idx="710">
                  <v>-0.5252530000634726</v>
                </pt>
                <pt idx="711">
                  <v>-0.5252530000634726</v>
                </pt>
                <pt idx="712">
                  <v>-0.5252530000634726</v>
                </pt>
                <pt idx="713">
                  <v>-0.5252530000634726</v>
                </pt>
                <pt idx="714">
                  <v>-0.5252530000634726</v>
                </pt>
                <pt idx="715">
                  <v>-0.5252530000634726</v>
                </pt>
                <pt idx="716">
                  <v>-0.5252530000634726</v>
                </pt>
                <pt idx="717">
                  <v>-0.5252530000634726</v>
                </pt>
                <pt idx="718">
                  <v>-0.5252530000634726</v>
                </pt>
                <pt idx="719">
                  <v>-0.5252530000634726</v>
                </pt>
                <pt idx="720">
                  <v>-0.5252530000634726</v>
                </pt>
                <pt idx="721">
                  <v>-0.5252530000634726</v>
                </pt>
                <pt idx="722">
                  <v>-0.5252530000634726</v>
                </pt>
                <pt idx="723">
                  <v>-0.5252530000634726</v>
                </pt>
                <pt idx="724">
                  <v>-0.5252530000634726</v>
                </pt>
                <pt idx="725">
                  <v>-0.5252530000634726</v>
                </pt>
                <pt idx="726">
                  <v>-0.5252530000634726</v>
                </pt>
                <pt idx="727">
                  <v>-0.5252530000634726</v>
                </pt>
                <pt idx="728">
                  <v>-0.5252530000634726</v>
                </pt>
                <pt idx="729">
                  <v>-0.5252530000634726</v>
                </pt>
                <pt idx="730">
                  <v>-0.5252530000634726</v>
                </pt>
                <pt idx="731">
                  <v>-0.5252530000634726</v>
                </pt>
                <pt idx="732">
                  <v>-0.5252530000634726</v>
                </pt>
                <pt idx="733">
                  <v>-0.5252530000634726</v>
                </pt>
                <pt idx="734">
                  <v>-0.5252530000634726</v>
                </pt>
                <pt idx="735">
                  <v>-0.5252530000634726</v>
                </pt>
                <pt idx="736">
                  <v>-0.5252530000634726</v>
                </pt>
                <pt idx="737">
                  <v>-0.5252530000634726</v>
                </pt>
                <pt idx="738">
                  <v>-0.5252530000634726</v>
                </pt>
                <pt idx="739">
                  <v>-0.5252530000634726</v>
                </pt>
                <pt idx="740">
                  <v>-0.5252530000634726</v>
                </pt>
                <pt idx="741">
                  <v>-0.5252530000634726</v>
                </pt>
                <pt idx="742">
                  <v>-0.5252530000634726</v>
                </pt>
                <pt idx="743">
                  <v>-0.5252530000634726</v>
                </pt>
                <pt idx="744">
                  <v>-0.5252530000634726</v>
                </pt>
                <pt idx="745">
                  <v>-0.5252530000634726</v>
                </pt>
                <pt idx="746">
                  <v>-0.5252530000634726</v>
                </pt>
                <pt idx="747">
                  <v>-0.5252530000634726</v>
                </pt>
                <pt idx="748">
                  <v>-0.5252530000634726</v>
                </pt>
                <pt idx="749">
                  <v>-0.5252530000634726</v>
                </pt>
                <pt idx="750">
                  <v>-0.5252530000634726</v>
                </pt>
                <pt idx="751">
                  <v>-0.5252530000634726</v>
                </pt>
                <pt idx="752">
                  <v>-0.5252530000634726</v>
                </pt>
                <pt idx="753">
                  <v>-0.5252530000634726</v>
                </pt>
                <pt idx="754">
                  <v>-0.5252530000634726</v>
                </pt>
                <pt idx="755">
                  <v>-0.5252530000634726</v>
                </pt>
                <pt idx="756">
                  <v>-0.5252530000634726</v>
                </pt>
                <pt idx="757">
                  <v>-0.5252530000634726</v>
                </pt>
                <pt idx="758">
                  <v>-0.5252530000634726</v>
                </pt>
                <pt idx="759">
                  <v>-0.5252530000634726</v>
                </pt>
                <pt idx="760">
                  <v>-0.5252530000634726</v>
                </pt>
                <pt idx="761">
                  <v>-0.5252530000634726</v>
                </pt>
                <pt idx="762">
                  <v>-0.5252530000634726</v>
                </pt>
                <pt idx="763">
                  <v>-0.5252530000634726</v>
                </pt>
                <pt idx="764">
                  <v>-0.5252530000634726</v>
                </pt>
                <pt idx="765">
                  <v>-0.5252530000634726</v>
                </pt>
                <pt idx="766">
                  <v>-0.5252530000634726</v>
                </pt>
                <pt idx="767">
                  <v>-0.5252530000634726</v>
                </pt>
                <pt idx="768">
                  <v>-0.5252530000634726</v>
                </pt>
                <pt idx="769">
                  <v>-0.5252530000634726</v>
                </pt>
                <pt idx="770">
                  <v>-0.5252530000634726</v>
                </pt>
                <pt idx="771">
                  <v>-0.5252530000634726</v>
                </pt>
                <pt idx="772">
                  <v>-0.5252530000634726</v>
                </pt>
                <pt idx="773">
                  <v>-0.5252530000634726</v>
                </pt>
                <pt idx="774">
                  <v>-0.5252530000634726</v>
                </pt>
                <pt idx="775">
                  <v>-0.5252530000634726</v>
                </pt>
                <pt idx="776">
                  <v>-0.5252530000634726</v>
                </pt>
                <pt idx="777">
                  <v>-0.5252530000634726</v>
                </pt>
                <pt idx="778">
                  <v>-0.5252530000634726</v>
                </pt>
                <pt idx="779">
                  <v>-0.5252530000634726</v>
                </pt>
                <pt idx="780">
                  <v>-0.5252530000634726</v>
                </pt>
                <pt idx="781">
                  <v>-0.5252530000634726</v>
                </pt>
                <pt idx="782">
                  <v>-0.5252530000634726</v>
                </pt>
                <pt idx="783">
                  <v>-0.5252530000634726</v>
                </pt>
                <pt idx="784">
                  <v>-0.5252530000634726</v>
                </pt>
                <pt idx="785">
                  <v>-0.5252530000634726</v>
                </pt>
                <pt idx="786">
                  <v>-0.5252530000634726</v>
                </pt>
                <pt idx="787">
                  <v>-0.5252530000634726</v>
                </pt>
                <pt idx="788">
                  <v>-0.5252530000634726</v>
                </pt>
                <pt idx="789">
                  <v>-0.5252530000634726</v>
                </pt>
                <pt idx="790">
                  <v>-0.5252530000634726</v>
                </pt>
                <pt idx="791">
                  <v>-0.5252530000634726</v>
                </pt>
                <pt idx="792">
                  <v>-0.5252530000634726</v>
                </pt>
                <pt idx="793">
                  <v>-0.5252530000634726</v>
                </pt>
                <pt idx="794">
                  <v>-0.5252530000634726</v>
                </pt>
                <pt idx="795">
                  <v>-0.5252530000634726</v>
                </pt>
                <pt idx="796">
                  <v>-0.5252530000634726</v>
                </pt>
                <pt idx="797">
                  <v>-0.5252530000634726</v>
                </pt>
                <pt idx="798">
                  <v>-0.5252530000634726</v>
                </pt>
                <pt idx="799">
                  <v>-0.5252530000634726</v>
                </pt>
                <pt idx="800">
                  <v>-0.5252530000634726</v>
                </pt>
                <pt idx="801">
                  <v>-0.5252530000634726</v>
                </pt>
                <pt idx="802">
                  <v>-0.5252530000634726</v>
                </pt>
                <pt idx="803">
                  <v>-0.5252530000634726</v>
                </pt>
                <pt idx="804">
                  <v>-0.5252530000634726</v>
                </pt>
                <pt idx="805">
                  <v>-0.5252530000634726</v>
                </pt>
                <pt idx="806">
                  <v>-0.5252530000634726</v>
                </pt>
                <pt idx="807">
                  <v>-0.5252530000634726</v>
                </pt>
                <pt idx="808">
                  <v>-0.5252530000634726</v>
                </pt>
                <pt idx="809">
                  <v>-0.5252530000634726</v>
                </pt>
                <pt idx="810">
                  <v>-0.5252530000634726</v>
                </pt>
                <pt idx="811">
                  <v>-0.5252530000634726</v>
                </pt>
                <pt idx="812">
                  <v>-0.5252530000634726</v>
                </pt>
                <pt idx="813">
                  <v>-0.5252530000634726</v>
                </pt>
                <pt idx="814">
                  <v>-0.5252530000634726</v>
                </pt>
                <pt idx="815">
                  <v>-0.5252530000634726</v>
                </pt>
                <pt idx="816">
                  <v>-0.5252530000634726</v>
                </pt>
                <pt idx="817">
                  <v>-0.5252530000634726</v>
                </pt>
                <pt idx="818">
                  <v>-0.5252530000634726</v>
                </pt>
                <pt idx="819">
                  <v>-0.5252530000634726</v>
                </pt>
                <pt idx="820">
                  <v>-0.5252530000634726</v>
                </pt>
                <pt idx="821">
                  <v>-0.5252530000634726</v>
                </pt>
                <pt idx="822">
                  <v>-0.5252530000634726</v>
                </pt>
                <pt idx="823">
                  <v>-0.5252530000634726</v>
                </pt>
                <pt idx="824">
                  <v>-0.5252530000634726</v>
                </pt>
                <pt idx="825">
                  <v>-0.5252530000634726</v>
                </pt>
                <pt idx="826">
                  <v>-0.5252530000634726</v>
                </pt>
                <pt idx="827">
                  <v>-0.5252530000634726</v>
                </pt>
                <pt idx="828">
                  <v>-0.5252530000634726</v>
                </pt>
                <pt idx="829">
                  <v>-0.5252530000634726</v>
                </pt>
                <pt idx="830">
                  <v>-0.5252530000634726</v>
                </pt>
                <pt idx="831">
                  <v>-0.5252530000634726</v>
                </pt>
                <pt idx="832">
                  <v>-0.5252530000634726</v>
                </pt>
                <pt idx="833">
                  <v>-0.5252530000634726</v>
                </pt>
                <pt idx="834">
                  <v>-0.5252530000634726</v>
                </pt>
                <pt idx="835">
                  <v>-0.5252530000634726</v>
                </pt>
                <pt idx="836">
                  <v>-0.5252530000634726</v>
                </pt>
                <pt idx="837">
                  <v>-0.5252530000634726</v>
                </pt>
                <pt idx="838">
                  <v>-0.5252530000634726</v>
                </pt>
                <pt idx="839">
                  <v>-0.5252530000634726</v>
                </pt>
                <pt idx="840">
                  <v>-0.5252530000634726</v>
                </pt>
                <pt idx="841">
                  <v>-0.5252530000634726</v>
                </pt>
                <pt idx="842">
                  <v>-0.5252530000634726</v>
                </pt>
                <pt idx="843">
                  <v>-0.5252530000634726</v>
                </pt>
                <pt idx="844">
                  <v>-0.5252530000634726</v>
                </pt>
                <pt idx="845">
                  <v>-0.5252530000634726</v>
                </pt>
                <pt idx="846">
                  <v>-0.5252530000634726</v>
                </pt>
                <pt idx="847">
                  <v>-0.5252530000634726</v>
                </pt>
                <pt idx="848">
                  <v>-0.5252530000634726</v>
                </pt>
                <pt idx="849">
                  <v>-0.5252530000634726</v>
                </pt>
                <pt idx="850">
                  <v>-0.5252530000634726</v>
                </pt>
                <pt idx="851">
                  <v>-0.5252530000634726</v>
                </pt>
                <pt idx="852">
                  <v>-0.5252530000634726</v>
                </pt>
                <pt idx="853">
                  <v>-0.5252530000634726</v>
                </pt>
                <pt idx="854">
                  <v>-0.5252530000634726</v>
                </pt>
                <pt idx="855">
                  <v>-0.5252530000634726</v>
                </pt>
                <pt idx="856">
                  <v>-0.5252530000634726</v>
                </pt>
                <pt idx="857">
                  <v>-0.5252530000634726</v>
                </pt>
                <pt idx="858">
                  <v>-0.5252530000634726</v>
                </pt>
                <pt idx="859">
                  <v>-0.5252530000634726</v>
                </pt>
                <pt idx="860">
                  <v>-0.5252530000634726</v>
                </pt>
                <pt idx="861">
                  <v>-0.5252530000634726</v>
                </pt>
                <pt idx="862">
                  <v>-0.5252530000634726</v>
                </pt>
                <pt idx="863">
                  <v>-0.5252530000634726</v>
                </pt>
                <pt idx="864">
                  <v>-0.5252530000634726</v>
                </pt>
                <pt idx="865">
                  <v>-0.5252530000634726</v>
                </pt>
                <pt idx="866">
                  <v>-0.5252530000634726</v>
                </pt>
                <pt idx="867">
                  <v>-0.5252530000634726</v>
                </pt>
                <pt idx="868">
                  <v>-0.5252530000634726</v>
                </pt>
                <pt idx="869">
                  <v>-0.5252530000634726</v>
                </pt>
                <pt idx="870">
                  <v>-0.5252530000634726</v>
                </pt>
                <pt idx="871">
                  <v>-0.5252530000634726</v>
                </pt>
                <pt idx="872">
                  <v>-0.5252530000634726</v>
                </pt>
                <pt idx="873">
                  <v>-0.5252530000634726</v>
                </pt>
                <pt idx="874">
                  <v>-0.5252530000634726</v>
                </pt>
                <pt idx="875">
                  <v>-0.5252530000634726</v>
                </pt>
                <pt idx="876">
                  <v>-0.5252530000634726</v>
                </pt>
                <pt idx="877">
                  <v>-0.5252530000634726</v>
                </pt>
                <pt idx="878">
                  <v>-0.5252530000634726</v>
                </pt>
                <pt idx="879">
                  <v>-0.5252530000634726</v>
                </pt>
                <pt idx="880">
                  <v>-0.5252530000634726</v>
                </pt>
                <pt idx="881">
                  <v>-0.5252530000634726</v>
                </pt>
                <pt idx="882">
                  <v>-0.5252530000634726</v>
                </pt>
                <pt idx="883">
                  <v>-0.5252530000634726</v>
                </pt>
                <pt idx="884">
                  <v>-0.5252530000634726</v>
                </pt>
                <pt idx="885">
                  <v>-0.5252530000634726</v>
                </pt>
                <pt idx="886">
                  <v>-0.5252530000634726</v>
                </pt>
                <pt idx="887">
                  <v>-0.5252530000634726</v>
                </pt>
                <pt idx="888">
                  <v>-0.5252530000634726</v>
                </pt>
                <pt idx="889">
                  <v>-0.5252530000634726</v>
                </pt>
                <pt idx="890">
                  <v>-0.5252530000634726</v>
                </pt>
                <pt idx="891">
                  <v>-0.5252530000634726</v>
                </pt>
                <pt idx="892">
                  <v>-0.5252530000634726</v>
                </pt>
                <pt idx="893">
                  <v>-0.5252530000634726</v>
                </pt>
                <pt idx="894">
                  <v>-0.5252530000634726</v>
                </pt>
                <pt idx="895">
                  <v>-0.5252530000634726</v>
                </pt>
                <pt idx="896">
                  <v>-0.5252530000634726</v>
                </pt>
                <pt idx="897">
                  <v>-0.5252530000634726</v>
                </pt>
                <pt idx="898">
                  <v>-0.5252530000634726</v>
                </pt>
                <pt idx="899">
                  <v>-0.5252530000634726</v>
                </pt>
                <pt idx="900">
                  <v>-0.5252530000634726</v>
                </pt>
                <pt idx="901">
                  <v>-0.5252530000634726</v>
                </pt>
                <pt idx="902">
                  <v>-0.5252530000634726</v>
                </pt>
                <pt idx="903">
                  <v>-0.5252530000634726</v>
                </pt>
                <pt idx="904">
                  <v>-0.5252530000634726</v>
                </pt>
                <pt idx="905">
                  <v>-0.5252530000634726</v>
                </pt>
                <pt idx="906">
                  <v>-0.5252530000634726</v>
                </pt>
                <pt idx="907">
                  <v>-0.5252530000634726</v>
                </pt>
                <pt idx="908">
                  <v>-0.5252530000634726</v>
                </pt>
                <pt idx="909">
                  <v>-0.5252530000634726</v>
                </pt>
                <pt idx="910">
                  <v>-0.5252530000634726</v>
                </pt>
                <pt idx="911">
                  <v>-0.5252530000634726</v>
                </pt>
                <pt idx="912">
                  <v>-0.5252530000634726</v>
                </pt>
                <pt idx="913">
                  <v>-0.5252530000634726</v>
                </pt>
                <pt idx="914">
                  <v>-0.5252530000634726</v>
                </pt>
                <pt idx="915">
                  <v>-0.5252530000634726</v>
                </pt>
                <pt idx="916">
                  <v>-0.5252530000634726</v>
                </pt>
                <pt idx="917">
                  <v>-0.5252530000634726</v>
                </pt>
                <pt idx="918">
                  <v>-0.5252530000634726</v>
                </pt>
                <pt idx="919">
                  <v>-0.5252530000634726</v>
                </pt>
                <pt idx="920">
                  <v>-0.5252530000634726</v>
                </pt>
                <pt idx="921">
                  <v>-0.5252530000634726</v>
                </pt>
                <pt idx="922">
                  <v>-0.5252530000634726</v>
                </pt>
                <pt idx="923">
                  <v>-0.5252530000634726</v>
                </pt>
                <pt idx="924">
                  <v>-0.5252530000634726</v>
                </pt>
                <pt idx="925">
                  <v>-0.5252530000634726</v>
                </pt>
                <pt idx="926">
                  <v>-0.5252530000634726</v>
                </pt>
                <pt idx="927">
                  <v>-0.5252530000634726</v>
                </pt>
                <pt idx="928">
                  <v>-0.5252530000634726</v>
                </pt>
                <pt idx="929">
                  <v>-0.5252530000634726</v>
                </pt>
                <pt idx="930">
                  <v>-0.5252530000634726</v>
                </pt>
                <pt idx="931">
                  <v>-0.5252530000634726</v>
                </pt>
                <pt idx="932">
                  <v>-0.5252530000634726</v>
                </pt>
                <pt idx="933">
                  <v>-0.5252530000634726</v>
                </pt>
                <pt idx="934">
                  <v>-0.5252530000634726</v>
                </pt>
                <pt idx="935">
                  <v>-0.5252530000634726</v>
                </pt>
                <pt idx="936">
                  <v>-0.5252530000634726</v>
                </pt>
                <pt idx="937">
                  <v>-0.5252530000634726</v>
                </pt>
                <pt idx="938">
                  <v>-0.5252530000634726</v>
                </pt>
                <pt idx="939">
                  <v>-0.5252530000634726</v>
                </pt>
                <pt idx="940">
                  <v>-0.5252530000634726</v>
                </pt>
                <pt idx="941">
                  <v>-0.5252530000634726</v>
                </pt>
                <pt idx="942">
                  <v>-0.5252530000634726</v>
                </pt>
                <pt idx="943">
                  <v>-0.5252530000634726</v>
                </pt>
                <pt idx="944">
                  <v>-0.5252530000634726</v>
                </pt>
                <pt idx="945">
                  <v>-0.5252530000634726</v>
                </pt>
                <pt idx="946">
                  <v>-0.5252530000634726</v>
                </pt>
                <pt idx="947">
                  <v>-0.5252530000634726</v>
                </pt>
                <pt idx="948">
                  <v>-0.5252530000634726</v>
                </pt>
                <pt idx="949">
                  <v>-0.5252530000634726</v>
                </pt>
                <pt idx="950">
                  <v>-0.5252530000634726</v>
                </pt>
                <pt idx="951">
                  <v>-0.5252530000634726</v>
                </pt>
                <pt idx="952">
                  <v>-0.5252530000634726</v>
                </pt>
                <pt idx="953">
                  <v>-0.5252530000634726</v>
                </pt>
                <pt idx="954">
                  <v>-0.5252530000634726</v>
                </pt>
                <pt idx="955">
                  <v>-0.5252530000634726</v>
                </pt>
                <pt idx="956">
                  <v>-0.5252530000634726</v>
                </pt>
                <pt idx="957">
                  <v>-0.5252530000634726</v>
                </pt>
                <pt idx="958">
                  <v>-0.5252530000634726</v>
                </pt>
                <pt idx="959">
                  <v>-0.5252530000634726</v>
                </pt>
                <pt idx="960">
                  <v>-0.5252530000634726</v>
                </pt>
                <pt idx="961">
                  <v>-0.5252530000634726</v>
                </pt>
                <pt idx="962">
                  <v>-0.5252530000634726</v>
                </pt>
                <pt idx="963">
                  <v>-0.5252530000634726</v>
                </pt>
                <pt idx="964">
                  <v>-0.5252530000634726</v>
                </pt>
                <pt idx="965">
                  <v>-0.5252530000634726</v>
                </pt>
                <pt idx="966">
                  <v>-0.5252530000634726</v>
                </pt>
                <pt idx="967">
                  <v>-0.5252530000634726</v>
                </pt>
                <pt idx="968">
                  <v>-0.5252530000634726</v>
                </pt>
                <pt idx="969">
                  <v>-0.5252530000634726</v>
                </pt>
                <pt idx="970">
                  <v>-0.5252530000634726</v>
                </pt>
                <pt idx="971">
                  <v>-0.5252530000634726</v>
                </pt>
                <pt idx="972">
                  <v>-0.5252530000634726</v>
                </pt>
                <pt idx="973">
                  <v>-0.5252530000634726</v>
                </pt>
                <pt idx="974">
                  <v>-0.5252530000634726</v>
                </pt>
                <pt idx="975">
                  <v>-0.5252530000634726</v>
                </pt>
                <pt idx="976">
                  <v>-0.5252530000634726</v>
                </pt>
                <pt idx="977">
                  <v>-0.5252530000634726</v>
                </pt>
                <pt idx="978">
                  <v>-0.5252530000634726</v>
                </pt>
                <pt idx="979">
                  <v>-0.5252530000634726</v>
                </pt>
                <pt idx="980">
                  <v>-0.5252530000634726</v>
                </pt>
                <pt idx="981">
                  <v>-0.5252530000634726</v>
                </pt>
                <pt idx="982">
                  <v>-0.5252530000634726</v>
                </pt>
                <pt idx="983">
                  <v>-0.5252530000634726</v>
                </pt>
                <pt idx="984">
                  <v>-0.5252530000634726</v>
                </pt>
                <pt idx="985">
                  <v>-0.5252530000634726</v>
                </pt>
                <pt idx="986">
                  <v>-0.5252530000634726</v>
                </pt>
                <pt idx="987">
                  <v>-0.5252530000634726</v>
                </pt>
                <pt idx="988">
                  <v>-0.5252530000634726</v>
                </pt>
                <pt idx="989">
                  <v>-0.5252530000634726</v>
                </pt>
                <pt idx="990">
                  <v>-0.5252530000634726</v>
                </pt>
                <pt idx="991">
                  <v>-0.5252530000634726</v>
                </pt>
                <pt idx="992">
                  <v>-0.5252530000634726</v>
                </pt>
                <pt idx="993">
                  <v>-0.5252530000634726</v>
                </pt>
                <pt idx="994">
                  <v>-0.5252530000634726</v>
                </pt>
                <pt idx="995">
                  <v>-0.5252530000634726</v>
                </pt>
                <pt idx="996">
                  <v>-0.5252530000634726</v>
                </pt>
                <pt idx="997">
                  <v>-0.5252530000634726</v>
                </pt>
                <pt idx="998">
                  <v>-0.5252530000634726</v>
                </pt>
                <pt idx="999">
                  <v>-0.5252530000634726</v>
                </pt>
                <pt idx="1000">
                  <v>-0.5252530000634726</v>
                </pt>
                <pt idx="1001">
                  <v>-0.5252530000634726</v>
                </pt>
                <pt idx="1002">
                  <v>-0.5252530000634726</v>
                </pt>
                <pt idx="1003">
                  <v>-0.5252530000634726</v>
                </pt>
                <pt idx="1004">
                  <v>-0.5252530000634726</v>
                </pt>
                <pt idx="1005">
                  <v>-0.5252530000634726</v>
                </pt>
                <pt idx="1006">
                  <v>-0.5252530000634726</v>
                </pt>
                <pt idx="1007">
                  <v>-0.5252530000634726</v>
                </pt>
                <pt idx="1008">
                  <v>-0.5252530000634726</v>
                </pt>
                <pt idx="1009">
                  <v>-0.5252530000634726</v>
                </pt>
                <pt idx="1010">
                  <v>-0.5252530000634726</v>
                </pt>
                <pt idx="1011">
                  <v>-0.5252530000634726</v>
                </pt>
                <pt idx="1012">
                  <v>-0.5252530000634726</v>
                </pt>
                <pt idx="1013">
                  <v>-0.5252530000634726</v>
                </pt>
                <pt idx="1014">
                  <v>-0.5252530000634726</v>
                </pt>
                <pt idx="1015">
                  <v>-0.5252530000634726</v>
                </pt>
                <pt idx="1016">
                  <v>-0.5252530000634726</v>
                </pt>
                <pt idx="1017">
                  <v>-0.5252530000634726</v>
                </pt>
                <pt idx="1018">
                  <v>-0.5252530000634726</v>
                </pt>
                <pt idx="1019">
                  <v>-0.5252530000634726</v>
                </pt>
                <pt idx="1020">
                  <v>-0.5252530000634726</v>
                </pt>
                <pt idx="1021">
                  <v>-0.5252530000634726</v>
                </pt>
                <pt idx="1022">
                  <v>-0.5252530000634726</v>
                </pt>
                <pt idx="1023">
                  <v>-0.5252530000634726</v>
                </pt>
                <pt idx="1024">
                  <v>-0.5252530000634726</v>
                </pt>
                <pt idx="1025">
                  <v>-0.5252530000634726</v>
                </pt>
                <pt idx="1026">
                  <v>-0.5252530000634726</v>
                </pt>
                <pt idx="1027">
                  <v>-0.5252530000634726</v>
                </pt>
                <pt idx="1028">
                  <v>-0.5252530000634726</v>
                </pt>
                <pt idx="1029">
                  <v>-0.5252530000634726</v>
                </pt>
                <pt idx="1030">
                  <v>-0.5252530000634726</v>
                </pt>
                <pt idx="1031">
                  <v>-0.5252530000634726</v>
                </pt>
                <pt idx="1032">
                  <v>-0.5252530000634726</v>
                </pt>
                <pt idx="1033">
                  <v>-0.5252530000634726</v>
                </pt>
                <pt idx="1034">
                  <v>-0.5252530000634726</v>
                </pt>
                <pt idx="1035">
                  <v>-0.5252530000634726</v>
                </pt>
                <pt idx="1036">
                  <v>-0.5252530000634726</v>
                </pt>
                <pt idx="1037">
                  <v>-0.5252530000634726</v>
                </pt>
                <pt idx="1038">
                  <v>-0.5252530000634726</v>
                </pt>
                <pt idx="1039">
                  <v>-0.5252530000634726</v>
                </pt>
                <pt idx="1040">
                  <v>-0.5252530000634726</v>
                </pt>
                <pt idx="1041">
                  <v>-0.5252530000634726</v>
                </pt>
                <pt idx="1042">
                  <v>-0.5252530000634726</v>
                </pt>
                <pt idx="1043">
                  <v>-0.5252530000634726</v>
                </pt>
                <pt idx="1044">
                  <v>-0.5252530000634726</v>
                </pt>
                <pt idx="1045">
                  <v>-0.5252530000634726</v>
                </pt>
                <pt idx="1046">
                  <v>-0.5252530000634726</v>
                </pt>
                <pt idx="1047">
                  <v>-0.5252530000634726</v>
                </pt>
                <pt idx="1048">
                  <v>-0.5252530000634726</v>
                </pt>
                <pt idx="1049">
                  <v>-0.5252530000634726</v>
                </pt>
                <pt idx="1050">
                  <v>-0.5252530000634726</v>
                </pt>
                <pt idx="1051">
                  <v>-0.5252530000634726</v>
                </pt>
                <pt idx="1052">
                  <v>-0.5252530000634726</v>
                </pt>
                <pt idx="1053">
                  <v>-0.5252530000634726</v>
                </pt>
                <pt idx="1054">
                  <v>-0.5252530000634726</v>
                </pt>
                <pt idx="1055">
                  <v>-0.5252530000634726</v>
                </pt>
                <pt idx="1056">
                  <v>-0.5252530000634726</v>
                </pt>
                <pt idx="1057">
                  <v>-0.5252530000634726</v>
                </pt>
                <pt idx="1058">
                  <v>-0.5252530000634726</v>
                </pt>
                <pt idx="1059">
                  <v>-0.5252530000634726</v>
                </pt>
                <pt idx="1060">
                  <v>-0.5252530000634726</v>
                </pt>
                <pt idx="1061">
                  <v>-0.5252530000634726</v>
                </pt>
                <pt idx="1062">
                  <v>-0.5252530000634726</v>
                </pt>
                <pt idx="1063">
                  <v>-0.5252530000634726</v>
                </pt>
                <pt idx="1064">
                  <v>-0.5252530000634726</v>
                </pt>
                <pt idx="1065">
                  <v>-0.5252530000634726</v>
                </pt>
                <pt idx="1066">
                  <v>-0.5252530000634726</v>
                </pt>
                <pt idx="1067">
                  <v>-0.5252530000634726</v>
                </pt>
                <pt idx="1068">
                  <v>-0.5252530000634726</v>
                </pt>
                <pt idx="1069">
                  <v>-0.5252530000634726</v>
                </pt>
                <pt idx="1070">
                  <v>-0.5252530000634726</v>
                </pt>
                <pt idx="1071">
                  <v>-0.5252530000634726</v>
                </pt>
                <pt idx="1072">
                  <v>-0.5252530000634726</v>
                </pt>
                <pt idx="1073">
                  <v>-0.5252530000634726</v>
                </pt>
                <pt idx="1074">
                  <v>-0.5252530000634726</v>
                </pt>
                <pt idx="1075">
                  <v>-0.5252530000634726</v>
                </pt>
                <pt idx="1076">
                  <v>-0.5252530000634726</v>
                </pt>
                <pt idx="1077">
                  <v>-0.5252530000634726</v>
                </pt>
                <pt idx="1078">
                  <v>-0.5252530000634726</v>
                </pt>
                <pt idx="1079">
                  <v>-0.5252530000634726</v>
                </pt>
                <pt idx="1080">
                  <v>-0.5252530000634726</v>
                </pt>
                <pt idx="1081">
                  <v>-0.5252530000634726</v>
                </pt>
                <pt idx="1082">
                  <v>-0.5252530000634726</v>
                </pt>
                <pt idx="1083">
                  <v>-0.5252530000634726</v>
                </pt>
                <pt idx="1084">
                  <v>-0.5252530000634726</v>
                </pt>
                <pt idx="1085">
                  <v>-0.5252530000634726</v>
                </pt>
                <pt idx="1086">
                  <v>-0.5252530000634726</v>
                </pt>
                <pt idx="1087">
                  <v>-0.5252530000634726</v>
                </pt>
                <pt idx="1088">
                  <v>-0.5252530000634726</v>
                </pt>
                <pt idx="1089">
                  <v>-0.5252530000634726</v>
                </pt>
                <pt idx="1090">
                  <v>-0.5252530000634726</v>
                </pt>
                <pt idx="1091">
                  <v>-0.5252530000634726</v>
                </pt>
                <pt idx="1092">
                  <v>-0.5252530000634726</v>
                </pt>
                <pt idx="1093">
                  <v>-0.5252530000634726</v>
                </pt>
                <pt idx="1094">
                  <v>-0.5252530000634726</v>
                </pt>
                <pt idx="1095">
                  <v>-0.5252530000634726</v>
                </pt>
                <pt idx="1096">
                  <v>-0.5252530000634726</v>
                </pt>
                <pt idx="1097">
                  <v>-0.5252530000634726</v>
                </pt>
                <pt idx="1098">
                  <v>-0.5252530000634726</v>
                </pt>
                <pt idx="1099">
                  <v>-0.5252530000634726</v>
                </pt>
                <pt idx="1100">
                  <v>-0.5252530000634726</v>
                </pt>
                <pt idx="1101">
                  <v>-0.5252530000634726</v>
                </pt>
                <pt idx="1102">
                  <v>-0.5252530000634726</v>
                </pt>
                <pt idx="1103">
                  <v>-0.5252530000634726</v>
                </pt>
                <pt idx="1104">
                  <v>-0.5252530000634726</v>
                </pt>
                <pt idx="1105">
                  <v>-0.5252530000634726</v>
                </pt>
                <pt idx="1106">
                  <v>-0.5252530000634726</v>
                </pt>
                <pt idx="1107">
                  <v>-0.5252530000634726</v>
                </pt>
                <pt idx="1108">
                  <v>-0.5252530000634726</v>
                </pt>
                <pt idx="1109">
                  <v>-0.5252530000634726</v>
                </pt>
                <pt idx="1110">
                  <v>-0.5252530000634726</v>
                </pt>
                <pt idx="1111">
                  <v>-0.5252530000634726</v>
                </pt>
                <pt idx="1112">
                  <v>-0.5252530000634726</v>
                </pt>
                <pt idx="1113">
                  <v>-0.5252530000634726</v>
                </pt>
                <pt idx="1114">
                  <v>-0.5252530000634726</v>
                </pt>
                <pt idx="1115">
                  <v>-0.5252530000634726</v>
                </pt>
                <pt idx="1116">
                  <v>-0.5252530000634726</v>
                </pt>
                <pt idx="1117">
                  <v>-0.5252530000634726</v>
                </pt>
                <pt idx="1118">
                  <v>-0.5252530000634726</v>
                </pt>
                <pt idx="1119">
                  <v>-0.5252530000634726</v>
                </pt>
                <pt idx="1120">
                  <v>-0.5252530000634726</v>
                </pt>
                <pt idx="1121">
                  <v>-0.5252530000634726</v>
                </pt>
                <pt idx="1122">
                  <v>-0.5252530000634726</v>
                </pt>
                <pt idx="1123">
                  <v>-0.5252530000634726</v>
                </pt>
                <pt idx="1124">
                  <v>-0.5252530000634726</v>
                </pt>
                <pt idx="1125">
                  <v>-0.5252530000634726</v>
                </pt>
                <pt idx="1126">
                  <v>-0.5252530000634726</v>
                </pt>
                <pt idx="1127">
                  <v>-0.5252530000634726</v>
                </pt>
                <pt idx="1128">
                  <v>-0.5252530000634726</v>
                </pt>
                <pt idx="1129">
                  <v>-0.5252530000634726</v>
                </pt>
                <pt idx="1130">
                  <v>-0.5252530000634726</v>
                </pt>
                <pt idx="1131">
                  <v>-0.5252530000634726</v>
                </pt>
                <pt idx="1132">
                  <v>-0.5252530000634726</v>
                </pt>
                <pt idx="1133">
                  <v>-0.5252530000634726</v>
                </pt>
                <pt idx="1134">
                  <v>-0.5252530000634726</v>
                </pt>
                <pt idx="1135">
                  <v>-0.5252530000634726</v>
                </pt>
                <pt idx="1136">
                  <v>-0.5252530000634726</v>
                </pt>
                <pt idx="1137">
                  <v>-0.5252530000634726</v>
                </pt>
                <pt idx="1138">
                  <v>-0.5252530000634726</v>
                </pt>
                <pt idx="1139">
                  <v>-0.5252530000634726</v>
                </pt>
                <pt idx="1140">
                  <v>-0.5252530000634726</v>
                </pt>
                <pt idx="1141">
                  <v>-0.5252530000634726</v>
                </pt>
                <pt idx="1142">
                  <v>-0.5252530000634726</v>
                </pt>
                <pt idx="1143">
                  <v>-0.5252530000634726</v>
                </pt>
                <pt idx="1144">
                  <v>-0.5252530000634726</v>
                </pt>
                <pt idx="1145">
                  <v>-0.5252530000634726</v>
                </pt>
                <pt idx="1146">
                  <v>-0.5252530000634726</v>
                </pt>
                <pt idx="1147">
                  <v>-0.5252530000634726</v>
                </pt>
                <pt idx="1148">
                  <v>-0.5252530000634726</v>
                </pt>
                <pt idx="1149">
                  <v>-0.5252530000634726</v>
                </pt>
                <pt idx="1150">
                  <v>-0.5252530000634726</v>
                </pt>
                <pt idx="1151">
                  <v>-0.5252530000634726</v>
                </pt>
                <pt idx="1152">
                  <v>-0.5252530000634726</v>
                </pt>
                <pt idx="1153">
                  <v>-0.5252530000634726</v>
                </pt>
                <pt idx="1154">
                  <v>-0.5252530000634726</v>
                </pt>
                <pt idx="1155">
                  <v>-0.5252530000634726</v>
                </pt>
                <pt idx="1156">
                  <v>-0.5252530000634726</v>
                </pt>
                <pt idx="1157">
                  <v>-0.5252530000634726</v>
                </pt>
                <pt idx="1158">
                  <v>-0.5252530000634726</v>
                </pt>
                <pt idx="1159">
                  <v>-0.5252530000634726</v>
                </pt>
                <pt idx="1160">
                  <v>-0.5252530000634726</v>
                </pt>
                <pt idx="1161">
                  <v>-0.5252530000634726</v>
                </pt>
                <pt idx="1162">
                  <v>-0.5252530000634726</v>
                </pt>
                <pt idx="1163">
                  <v>-0.5252530000634726</v>
                </pt>
                <pt idx="1164">
                  <v>-0.5252530000634726</v>
                </pt>
                <pt idx="1165">
                  <v>-0.5252530000634726</v>
                </pt>
                <pt idx="1166">
                  <v>-0.5252530000634726</v>
                </pt>
                <pt idx="1167">
                  <v>-0.5252530000634726</v>
                </pt>
                <pt idx="1168">
                  <v>-0.5252530000634726</v>
                </pt>
                <pt idx="1169">
                  <v>-0.5252530000634726</v>
                </pt>
                <pt idx="1170">
                  <v>-0.5252530000634726</v>
                </pt>
                <pt idx="1171">
                  <v>-0.5252530000634726</v>
                </pt>
                <pt idx="1172">
                  <v>-0.5252530000634726</v>
                </pt>
                <pt idx="1173">
                  <v>-0.5252530000634726</v>
                </pt>
                <pt idx="1174">
                  <v>-0.5252530000634726</v>
                </pt>
                <pt idx="1175">
                  <v>-0.5252530000634726</v>
                </pt>
                <pt idx="1176">
                  <v>-0.5252530000634726</v>
                </pt>
                <pt idx="1177">
                  <v>-0.5252530000634726</v>
                </pt>
                <pt idx="1178">
                  <v>-0.5252530000634726</v>
                </pt>
                <pt idx="1179">
                  <v>-0.5252530000634726</v>
                </pt>
                <pt idx="1180">
                  <v>-0.5252530000634726</v>
                </pt>
                <pt idx="1181">
                  <v>-0.5252530000634726</v>
                </pt>
                <pt idx="1182">
                  <v>-0.5252530000634726</v>
                </pt>
                <pt idx="1183">
                  <v>-0.5252530000634726</v>
                </pt>
                <pt idx="1184">
                  <v>-0.5252530000634726</v>
                </pt>
                <pt idx="1185">
                  <v>-0.5252530000634726</v>
                </pt>
                <pt idx="1186">
                  <v>-0.5252530000634726</v>
                </pt>
                <pt idx="1187">
                  <v>-0.5252530000634726</v>
                </pt>
                <pt idx="1188">
                  <v>-0.5252530000634726</v>
                </pt>
                <pt idx="1189">
                  <v>-0.5252530000634726</v>
                </pt>
                <pt idx="1190">
                  <v>-0.5252530000634726</v>
                </pt>
                <pt idx="1191">
                  <v>-0.5252530000634726</v>
                </pt>
                <pt idx="1192">
                  <v>-0.5252530000634726</v>
                </pt>
                <pt idx="1193">
                  <v>-0.5252530000634726</v>
                </pt>
                <pt idx="1194">
                  <v>-0.5252530000634726</v>
                </pt>
                <pt idx="1195">
                  <v>-0.5252530000634726</v>
                </pt>
                <pt idx="1196">
                  <v>-0.5252530000634726</v>
                </pt>
                <pt idx="1197">
                  <v>-0.5252530000634726</v>
                </pt>
                <pt idx="1198">
                  <v>-0.5252530000634726</v>
                </pt>
                <pt idx="1199">
                  <v>-0.5252530000634726</v>
                </pt>
                <pt idx="1200">
                  <v>-0.5252530000634726</v>
                </pt>
                <pt idx="1201">
                  <v>-0.5252530000634726</v>
                </pt>
                <pt idx="1202">
                  <v>-0.5252530000634726</v>
                </pt>
                <pt idx="1203">
                  <v>-0.5252530000634726</v>
                </pt>
                <pt idx="1204">
                  <v>-0.5252530000634726</v>
                </pt>
                <pt idx="1205">
                  <v>-0.5252530000634726</v>
                </pt>
                <pt idx="1206">
                  <v>-0.5252530000634726</v>
                </pt>
                <pt idx="1207">
                  <v>-0.5252530000634726</v>
                </pt>
                <pt idx="1208">
                  <v>-0.5252530000634726</v>
                </pt>
                <pt idx="1209">
                  <v>-0.5252530000634726</v>
                </pt>
                <pt idx="1210">
                  <v>-0.5252530000634726</v>
                </pt>
                <pt idx="1211">
                  <v>-0.5252530000634726</v>
                </pt>
                <pt idx="1212">
                  <v>-0.5252530000634726</v>
                </pt>
                <pt idx="1213">
                  <v>-0.5252530000634726</v>
                </pt>
                <pt idx="1214">
                  <v>-0.5252530000634726</v>
                </pt>
                <pt idx="1215">
                  <v>-0.5252530000634726</v>
                </pt>
                <pt idx="1216">
                  <v>-0.5252530000634726</v>
                </pt>
                <pt idx="1217">
                  <v>-0.5252530000634726</v>
                </pt>
                <pt idx="1218">
                  <v>-0.5252530000634726</v>
                </pt>
                <pt idx="1219">
                  <v>-0.5252530000634726</v>
                </pt>
                <pt idx="1220">
                  <v>-0.5252530000634726</v>
                </pt>
                <pt idx="1221">
                  <v>-0.5252530000634726</v>
                </pt>
                <pt idx="1222">
                  <v>-0.5252530000634726</v>
                </pt>
                <pt idx="1223">
                  <v>-0.5252530000634726</v>
                </pt>
                <pt idx="1224">
                  <v>-0.5252530000634726</v>
                </pt>
                <pt idx="1225">
                  <v>-0.5252530000634726</v>
                </pt>
                <pt idx="1226">
                  <v>-0.5252530000634726</v>
                </pt>
                <pt idx="1227">
                  <v>-0.5252530000634726</v>
                </pt>
                <pt idx="1228">
                  <v>-0.5252530000634726</v>
                </pt>
                <pt idx="1229">
                  <v>-0.5252530000634726</v>
                </pt>
                <pt idx="1230">
                  <v>-0.5252530000634726</v>
                </pt>
                <pt idx="1231">
                  <v>-0.5252530000634726</v>
                </pt>
                <pt idx="1232">
                  <v>-0.5252530000634726</v>
                </pt>
                <pt idx="1233">
                  <v>-0.5252530000634726</v>
                </pt>
                <pt idx="1234">
                  <v>-0.5252530000634726</v>
                </pt>
                <pt idx="1235">
                  <v>-0.5252530000634726</v>
                </pt>
                <pt idx="1236">
                  <v>-0.5252530000634726</v>
                </pt>
                <pt idx="1237">
                  <v>-0.5252530000634726</v>
                </pt>
                <pt idx="1238">
                  <v>-0.5252530000634726</v>
                </pt>
                <pt idx="1239">
                  <v>-0.5252530000634726</v>
                </pt>
                <pt idx="1240">
                  <v>-0.5252530000634726</v>
                </pt>
                <pt idx="1241">
                  <v>-0.5252530000634726</v>
                </pt>
                <pt idx="1242">
                  <v>-0.5252530000634726</v>
                </pt>
                <pt idx="1243">
                  <v>-0.5252530000634726</v>
                </pt>
                <pt idx="1244">
                  <v>-0.5252530000634726</v>
                </pt>
                <pt idx="1245">
                  <v>-0.5252530000634726</v>
                </pt>
                <pt idx="1246">
                  <v>-0.5252530000634726</v>
                </pt>
                <pt idx="1247">
                  <v>-0.5252530000634726</v>
                </pt>
                <pt idx="1248">
                  <v>-0.5252530000634726</v>
                </pt>
                <pt idx="1249">
                  <v>-0.5252530000634726</v>
                </pt>
                <pt idx="1250">
                  <v>-0.5252530000634726</v>
                </pt>
                <pt idx="1251">
                  <v>-0.5252530000634726</v>
                </pt>
                <pt idx="1252">
                  <v>-0.5252530000634726</v>
                </pt>
                <pt idx="1253">
                  <v>-0.5252530000634726</v>
                </pt>
                <pt idx="1254">
                  <v>-0.5252530000634726</v>
                </pt>
                <pt idx="1255">
                  <v>-0.5252530000634726</v>
                </pt>
                <pt idx="1256">
                  <v>-0.5252530000634726</v>
                </pt>
                <pt idx="1257">
                  <v>-0.5252530000634726</v>
                </pt>
                <pt idx="1258">
                  <v>-0.5252530000634726</v>
                </pt>
                <pt idx="1259">
                  <v>-0.5252530000634726</v>
                </pt>
                <pt idx="1260">
                  <v>-0.5252530000634726</v>
                </pt>
                <pt idx="1261">
                  <v>-0.5252530000634726</v>
                </pt>
                <pt idx="1262">
                  <v>-0.5252530000634726</v>
                </pt>
                <pt idx="1263">
                  <v>-0.5252530000634726</v>
                </pt>
                <pt idx="1264">
                  <v>-0.5252530000634726</v>
                </pt>
                <pt idx="1265">
                  <v>-0.5252530000634726</v>
                </pt>
                <pt idx="1266">
                  <v>-0.5252530000634726</v>
                </pt>
                <pt idx="1267">
                  <v>-0.5252530000634726</v>
                </pt>
                <pt idx="1268">
                  <v>-0.5252530000634726</v>
                </pt>
                <pt idx="1269">
                  <v>-0.5252530000634726</v>
                </pt>
                <pt idx="1270">
                  <v>-0.5252530000634726</v>
                </pt>
                <pt idx="1271">
                  <v>-0.5252530000634726</v>
                </pt>
                <pt idx="1272">
                  <v>-0.5252530000634726</v>
                </pt>
                <pt idx="1273">
                  <v>-0.5252530000634726</v>
                </pt>
                <pt idx="1274">
                  <v>-0.5252530000634726</v>
                </pt>
                <pt idx="1275">
                  <v>-0.5252530000634726</v>
                </pt>
                <pt idx="1276">
                  <v>-0.5252530000634726</v>
                </pt>
                <pt idx="1277">
                  <v>-0.5252530000634726</v>
                </pt>
                <pt idx="1278">
                  <v>-0.5252530000634726</v>
                </pt>
                <pt idx="1279">
                  <v>-0.5252530000634726</v>
                </pt>
                <pt idx="1280">
                  <v>-0.5252530000634726</v>
                </pt>
                <pt idx="1281">
                  <v>-0.5252530000634726</v>
                </pt>
                <pt idx="1282">
                  <v>-0.5252530000634726</v>
                </pt>
                <pt idx="1283">
                  <v>-0.5252530000634726</v>
                </pt>
                <pt idx="1284">
                  <v>-0.5252530000634726</v>
                </pt>
                <pt idx="1285">
                  <v>-0.5252530000634726</v>
                </pt>
                <pt idx="1286">
                  <v>-0.5252530000634726</v>
                </pt>
                <pt idx="1287">
                  <v>-0.5252530000634726</v>
                </pt>
                <pt idx="1288">
                  <v>-0.5252530000634726</v>
                </pt>
                <pt idx="1289">
                  <v>-0.5252530000634726</v>
                </pt>
                <pt idx="1290">
                  <v>-0.5252530000634726</v>
                </pt>
                <pt idx="1291">
                  <v>-0.5252530000634726</v>
                </pt>
                <pt idx="1292">
                  <v>-0.5252530000634726</v>
                </pt>
                <pt idx="1293">
                  <v>-0.5252530000634726</v>
                </pt>
                <pt idx="1294">
                  <v>-0.5252530000634726</v>
                </pt>
                <pt idx="1295">
                  <v>-0.5252530000634726</v>
                </pt>
                <pt idx="1296">
                  <v>-0.5252530000634726</v>
                </pt>
                <pt idx="1297">
                  <v>-0.5252530000634726</v>
                </pt>
                <pt idx="1298">
                  <v>-0.5252530000634726</v>
                </pt>
                <pt idx="1299">
                  <v>-0.5252530000634726</v>
                </pt>
                <pt idx="1300">
                  <v>-0.5252530000634726</v>
                </pt>
                <pt idx="1301">
                  <v>-0.5252530000634726</v>
                </pt>
                <pt idx="1302">
                  <v>-0.5252530000634726</v>
                </pt>
                <pt idx="1303">
                  <v>-0.5252530000634726</v>
                </pt>
                <pt idx="1304">
                  <v>-0.5252530000634726</v>
                </pt>
                <pt idx="1305">
                  <v>-0.5252530000634726</v>
                </pt>
                <pt idx="1306">
                  <v>-0.5252530000634726</v>
                </pt>
                <pt idx="1307">
                  <v>-0.5252530000634726</v>
                </pt>
                <pt idx="1308">
                  <v>-0.5252530000634726</v>
                </pt>
                <pt idx="1309">
                  <v>-0.5252530000634726</v>
                </pt>
                <pt idx="1310">
                  <v>-0.5252530000634726</v>
                </pt>
                <pt idx="1311">
                  <v>-0.5252530000634726</v>
                </pt>
                <pt idx="1312">
                  <v>-0.5252530000634726</v>
                </pt>
                <pt idx="1313">
                  <v>-0.5252530000634726</v>
                </pt>
                <pt idx="1314">
                  <v>-0.5252530000634726</v>
                </pt>
                <pt idx="1315">
                  <v>-0.5252530000634726</v>
                </pt>
                <pt idx="1316">
                  <v>-0.5252530000634726</v>
                </pt>
                <pt idx="1317">
                  <v>-0.5252530000634726</v>
                </pt>
                <pt idx="1318">
                  <v>-0.5252530000634726</v>
                </pt>
                <pt idx="1319">
                  <v>-0.5252530000634726</v>
                </pt>
                <pt idx="1320">
                  <v>-0.5252530000634726</v>
                </pt>
                <pt idx="1321">
                  <v>-0.5252530000634726</v>
                </pt>
                <pt idx="1322">
                  <v>-0.5252530000634726</v>
                </pt>
                <pt idx="1323">
                  <v>-0.5252530000634726</v>
                </pt>
                <pt idx="1324">
                  <v>-0.5252530000634726</v>
                </pt>
                <pt idx="1325">
                  <v>-0.5252530000634726</v>
                </pt>
                <pt idx="1326">
                  <v>-0.5252530000634726</v>
                </pt>
                <pt idx="1327">
                  <v>-0.5252530000634726</v>
                </pt>
                <pt idx="1328">
                  <v>-0.5252530000634726</v>
                </pt>
                <pt idx="1329">
                  <v>-0.5252530000634726</v>
                </pt>
                <pt idx="1330">
                  <v>-0.5252530000634726</v>
                </pt>
                <pt idx="1331">
                  <v>-0.5252530000634726</v>
                </pt>
                <pt idx="1332">
                  <v>-0.5252530000634726</v>
                </pt>
                <pt idx="1333">
                  <v>-0.5252530000634726</v>
                </pt>
                <pt idx="1334">
                  <v>-0.5252530000634726</v>
                </pt>
                <pt idx="1335">
                  <v>-0.5252530000634726</v>
                </pt>
                <pt idx="1336">
                  <v>-0.5252530000634726</v>
                </pt>
                <pt idx="1337">
                  <v>-0.5252530000634726</v>
                </pt>
                <pt idx="1338">
                  <v>-0.5252530000634726</v>
                </pt>
                <pt idx="1339">
                  <v>-0.5252530000634726</v>
                </pt>
                <pt idx="1340">
                  <v>-0.5252530000634726</v>
                </pt>
                <pt idx="1341">
                  <v>-0.5252530000634726</v>
                </pt>
                <pt idx="1342">
                  <v>-0.5252530000634726</v>
                </pt>
                <pt idx="1343">
                  <v>-0.5252530000634726</v>
                </pt>
                <pt idx="1344">
                  <v>-0.5252530000634726</v>
                </pt>
                <pt idx="1345">
                  <v>-0.5252530000634726</v>
                </pt>
                <pt idx="1346">
                  <v>-0.5252530000634726</v>
                </pt>
                <pt idx="1347">
                  <v>-0.5252530000634726</v>
                </pt>
                <pt idx="1348">
                  <v>-0.5252530000634726</v>
                </pt>
                <pt idx="1349">
                  <v>-0.5252530000634726</v>
                </pt>
                <pt idx="1350">
                  <v>-0.5252530000634726</v>
                </pt>
                <pt idx="1351">
                  <v>-0.5252530000634726</v>
                </pt>
                <pt idx="1352">
                  <v>-0.5252530000634726</v>
                </pt>
                <pt idx="1353">
                  <v>-0.5252530000634726</v>
                </pt>
                <pt idx="1354">
                  <v>-0.5252530000634726</v>
                </pt>
                <pt idx="1355">
                  <v>-0.5252530000634726</v>
                </pt>
                <pt idx="1356">
                  <v>-0.5252530000634726</v>
                </pt>
                <pt idx="1357">
                  <v>-0.5252530000634726</v>
                </pt>
                <pt idx="1358">
                  <v>-0.5252530000634726</v>
                </pt>
                <pt idx="1359">
                  <v>-0.5252530000634726</v>
                </pt>
                <pt idx="1360">
                  <v>-0.5252530000634726</v>
                </pt>
                <pt idx="1361">
                  <v>-0.5252530000634726</v>
                </pt>
                <pt idx="1362">
                  <v>-0.5252530000634726</v>
                </pt>
                <pt idx="1363">
                  <v>-0.5252530000634726</v>
                </pt>
                <pt idx="1364">
                  <v>-0.5252530000634726</v>
                </pt>
                <pt idx="1365">
                  <v>-0.5252530000634726</v>
                </pt>
                <pt idx="1366">
                  <v>-0.5252530000634726</v>
                </pt>
                <pt idx="1367">
                  <v>-0.5252530000634726</v>
                </pt>
                <pt idx="1368">
                  <v>-0.5252530000634726</v>
                </pt>
                <pt idx="1369">
                  <v>-0.5252530000634726</v>
                </pt>
                <pt idx="1370">
                  <v>-0.5252530000634726</v>
                </pt>
                <pt idx="1371">
                  <v>-0.5252530000634726</v>
                </pt>
                <pt idx="1372">
                  <v>-0.5252530000634726</v>
                </pt>
                <pt idx="1373">
                  <v>-0.5252530000634726</v>
                </pt>
                <pt idx="1374">
                  <v>-0.5252530000634726</v>
                </pt>
                <pt idx="1375">
                  <v>-0.5252530000634726</v>
                </pt>
                <pt idx="1376">
                  <v>-0.5252530000634726</v>
                </pt>
                <pt idx="1377">
                  <v>-0.5252530000634726</v>
                </pt>
                <pt idx="1378">
                  <v>-0.5252530000634726</v>
                </pt>
                <pt idx="1379">
                  <v>-0.5252530000634726</v>
                </pt>
                <pt idx="1380">
                  <v>-0.5252530000634726</v>
                </pt>
                <pt idx="1381">
                  <v>-0.5252530000634726</v>
                </pt>
                <pt idx="1382">
                  <v>-0.5252530000634726</v>
                </pt>
                <pt idx="1383">
                  <v>-0.5252530000634726</v>
                </pt>
                <pt idx="1384">
                  <v>-0.5252530000634726</v>
                </pt>
                <pt idx="1385">
                  <v>-0.5252530000634726</v>
                </pt>
                <pt idx="1386">
                  <v>-0.5252530000634726</v>
                </pt>
                <pt idx="1387">
                  <v>-0.5252530000634726</v>
                </pt>
                <pt idx="1388">
                  <v>-0.5252530000634726</v>
                </pt>
                <pt idx="1389">
                  <v>-0.5252530000634726</v>
                </pt>
                <pt idx="1390">
                  <v>-0.5252530000634726</v>
                </pt>
                <pt idx="1391">
                  <v>-0.5252530000634726</v>
                </pt>
                <pt idx="1392">
                  <v>-0.5252530000634726</v>
                </pt>
                <pt idx="1393">
                  <v>-0.5252530000634726</v>
                </pt>
                <pt idx="1394">
                  <v>-0.5252530000634726</v>
                </pt>
                <pt idx="1395">
                  <v>-0.5252530000634726</v>
                </pt>
                <pt idx="1396">
                  <v>-0.5252530000634726</v>
                </pt>
                <pt idx="1397">
                  <v>-0.5252530000634726</v>
                </pt>
                <pt idx="1398">
                  <v>-0.5252530000634726</v>
                </pt>
                <pt idx="1399">
                  <v>-0.5252530000634726</v>
                </pt>
                <pt idx="1400">
                  <v>-0.5252530000634726</v>
                </pt>
                <pt idx="1401">
                  <v>-0.5252530000634726</v>
                </pt>
                <pt idx="1402">
                  <v>-0.5252530000634726</v>
                </pt>
                <pt idx="1403">
                  <v>-0.5252530000634726</v>
                </pt>
                <pt idx="1404">
                  <v>-0.5252530000634726</v>
                </pt>
                <pt idx="1405">
                  <v>-0.5252530000634726</v>
                </pt>
                <pt idx="1406">
                  <v>-0.5252530000634726</v>
                </pt>
                <pt idx="1407">
                  <v>-0.5252530000634726</v>
                </pt>
                <pt idx="1408">
                  <v>-0.5252530000634726</v>
                </pt>
                <pt idx="1409">
                  <v>-0.5252530000634726</v>
                </pt>
                <pt idx="1410">
                  <v>-0.5252530000634726</v>
                </pt>
                <pt idx="1411">
                  <v>-0.5252530000634726</v>
                </pt>
                <pt idx="1412">
                  <v>-0.5252530000634726</v>
                </pt>
                <pt idx="1413">
                  <v>-0.5252530000634726</v>
                </pt>
                <pt idx="1414">
                  <v>-0.5252530000634726</v>
                </pt>
                <pt idx="1415">
                  <v>-0.5252530000634726</v>
                </pt>
                <pt idx="1416">
                  <v>-0.5252530000634726</v>
                </pt>
                <pt idx="1417">
                  <v>-0.5252530000634726</v>
                </pt>
                <pt idx="1418">
                  <v>-0.5252530000634726</v>
                </pt>
                <pt idx="1419">
                  <v>-0.5252530000634726</v>
                </pt>
                <pt idx="1420">
                  <v>-0.5252530000634726</v>
                </pt>
                <pt idx="1421">
                  <v>-0.5252530000634726</v>
                </pt>
                <pt idx="1422">
                  <v>-0.5252530000634726</v>
                </pt>
                <pt idx="1423">
                  <v>-0.5252530000634726</v>
                </pt>
                <pt idx="1424">
                  <v>-0.5252530000634726</v>
                </pt>
                <pt idx="1425">
                  <v>-0.5252530000634726</v>
                </pt>
                <pt idx="1426">
                  <v>-0.5252530000634726</v>
                </pt>
                <pt idx="1427">
                  <v>-0.5252530000634726</v>
                </pt>
                <pt idx="1428">
                  <v>-0.5252530000634726</v>
                </pt>
                <pt idx="1429">
                  <v>-0.5252530000634726</v>
                </pt>
                <pt idx="1430">
                  <v>-0.5252530000634726</v>
                </pt>
                <pt idx="1431">
                  <v>-0.5252530000634726</v>
                </pt>
                <pt idx="1432">
                  <v>-0.5252530000634726</v>
                </pt>
                <pt idx="1433">
                  <v>-0.5252530000634726</v>
                </pt>
                <pt idx="1434">
                  <v>-0.5252530000634726</v>
                </pt>
                <pt idx="1435">
                  <v>-0.5252530000634726</v>
                </pt>
                <pt idx="1436">
                  <v>-0.5252530000634726</v>
                </pt>
                <pt idx="1437">
                  <v>-0.5252530000634726</v>
                </pt>
                <pt idx="1438">
                  <v>-0.5252530000634726</v>
                </pt>
                <pt idx="1439">
                  <v>-0.5252530000634726</v>
                </pt>
                <pt idx="1440">
                  <v>-0.5252530000634726</v>
                </pt>
                <pt idx="1441">
                  <v>-0.5252530000634726</v>
                </pt>
                <pt idx="1442">
                  <v>-0.5252530000634726</v>
                </pt>
                <pt idx="1443">
                  <v>-0.5252530000634726</v>
                </pt>
                <pt idx="1444">
                  <v>-0.5252530000634726</v>
                </pt>
                <pt idx="1445">
                  <v>-0.5252530000634726</v>
                </pt>
                <pt idx="1446">
                  <v>-0.5252530000634726</v>
                </pt>
                <pt idx="1447">
                  <v>-0.5252530000634726</v>
                </pt>
                <pt idx="1448">
                  <v>-0.5252530000634726</v>
                </pt>
                <pt idx="1449">
                  <v>-0.5252530000634726</v>
                </pt>
                <pt idx="1450">
                  <v>-0.5252530000634726</v>
                </pt>
                <pt idx="1451">
                  <v>-0.5252530000634726</v>
                </pt>
                <pt idx="1452">
                  <v>-0.5252530000634726</v>
                </pt>
                <pt idx="1453">
                  <v>-0.5252530000634726</v>
                </pt>
                <pt idx="1454">
                  <v>-0.5252530000634726</v>
                </pt>
                <pt idx="1455">
                  <v>-0.5252530000634726</v>
                </pt>
                <pt idx="1456">
                  <v>-0.5252530000634726</v>
                </pt>
                <pt idx="1457">
                  <v>-0.5252530000634726</v>
                </pt>
                <pt idx="1458">
                  <v>-0.5252530000634726</v>
                </pt>
                <pt idx="1459">
                  <v>-0.5252530000634726</v>
                </pt>
                <pt idx="1460">
                  <v>-0.5252530000634726</v>
                </pt>
                <pt idx="1461">
                  <v>-0.5252530000634726</v>
                </pt>
                <pt idx="1462">
                  <v>-0.5252530000634726</v>
                </pt>
                <pt idx="1463">
                  <v>-0.5252530000634726</v>
                </pt>
                <pt idx="1464">
                  <v>-0.5252530000634726</v>
                </pt>
                <pt idx="1465">
                  <v>-0.5252530000634726</v>
                </pt>
                <pt idx="1466">
                  <v>-0.5252530000634726</v>
                </pt>
                <pt idx="1467">
                  <v>-0.5252530000634726</v>
                </pt>
                <pt idx="1468">
                  <v>-0.5252530000634726</v>
                </pt>
                <pt idx="1469">
                  <v>-0.5252530000634726</v>
                </pt>
                <pt idx="1470">
                  <v>-0.5252530000634726</v>
                </pt>
                <pt idx="1471">
                  <v>-0.5252530000634726</v>
                </pt>
                <pt idx="1472">
                  <v>-0.5252530000634726</v>
                </pt>
                <pt idx="1473">
                  <v>-0.5252530000634726</v>
                </pt>
                <pt idx="1474">
                  <v>-0.5252530000634726</v>
                </pt>
                <pt idx="1475">
                  <v>-0.5252530000634726</v>
                </pt>
                <pt idx="1476">
                  <v>-0.5252530000634726</v>
                </pt>
                <pt idx="1477">
                  <v>-0.5252530000634726</v>
                </pt>
                <pt idx="1478">
                  <v>-0.5252530000634726</v>
                </pt>
                <pt idx="1479">
                  <v>-0.5252530000634726</v>
                </pt>
                <pt idx="1480">
                  <v>-0.5252530000634726</v>
                </pt>
                <pt idx="1481">
                  <v>-0.5252530000634726</v>
                </pt>
                <pt idx="1482">
                  <v>-0.5252530000634726</v>
                </pt>
                <pt idx="1483">
                  <v>-0.5252530000634726</v>
                </pt>
                <pt idx="1484">
                  <v>-0.5252530000634726</v>
                </pt>
                <pt idx="1485">
                  <v>-0.5252530000634726</v>
                </pt>
                <pt idx="1486">
                  <v>-0.5252530000634726</v>
                </pt>
                <pt idx="1487">
                  <v>-0.5252530000634726</v>
                </pt>
                <pt idx="1488">
                  <v>-0.5252530000634726</v>
                </pt>
                <pt idx="1489">
                  <v>-0.5252530000634726</v>
                </pt>
                <pt idx="1490">
                  <v>-0.5252530000634726</v>
                </pt>
                <pt idx="1491">
                  <v>-0.5252530000634726</v>
                </pt>
                <pt idx="1492">
                  <v>-0.5252530000634726</v>
                </pt>
                <pt idx="1493">
                  <v>-0.5252530000634726</v>
                </pt>
                <pt idx="1494">
                  <v>-0.5252530000634726</v>
                </pt>
                <pt idx="1495">
                  <v>-0.5252530000634726</v>
                </pt>
                <pt idx="1496">
                  <v>-0.5252530000634726</v>
                </pt>
                <pt idx="1497">
                  <v>-0.5252530000634726</v>
                </pt>
                <pt idx="1498">
                  <v>-0.5252530000634726</v>
                </pt>
                <pt idx="1499">
                  <v>-0.5252530000634726</v>
                </pt>
                <pt idx="1500">
                  <v>-0.5252530000634726</v>
                </pt>
                <pt idx="1501">
                  <v>-0.5252530000634726</v>
                </pt>
                <pt idx="1502">
                  <v>-0.5252530000634726</v>
                </pt>
                <pt idx="1503">
                  <v>-0.5252530000634726</v>
                </pt>
                <pt idx="1504">
                  <v>-0.5252530000634726</v>
                </pt>
                <pt idx="1505">
                  <v>-0.5252530000634726</v>
                </pt>
                <pt idx="1506">
                  <v>-0.5252530000634726</v>
                </pt>
                <pt idx="1507">
                  <v>-0.5252530000634726</v>
                </pt>
                <pt idx="1508">
                  <v>-0.5252530000634726</v>
                </pt>
                <pt idx="1509">
                  <v>-0.5252530000634726</v>
                </pt>
                <pt idx="1510">
                  <v>-0.5252530000634726</v>
                </pt>
                <pt idx="1511">
                  <v>-0.5252530000634726</v>
                </pt>
                <pt idx="1512">
                  <v>-0.5252530000634726</v>
                </pt>
                <pt idx="1513">
                  <v>-0.5252530000634726</v>
                </pt>
                <pt idx="1514">
                  <v>-0.5252530000634726</v>
                </pt>
                <pt idx="1515">
                  <v>-0.5252530000634726</v>
                </pt>
                <pt idx="1516">
                  <v>-0.5252530000634726</v>
                </pt>
                <pt idx="1517">
                  <v>-0.5252530000634726</v>
                </pt>
                <pt idx="1518">
                  <v>-0.5252530000634726</v>
                </pt>
                <pt idx="1519">
                  <v>-0.5252530000634726</v>
                </pt>
                <pt idx="1520">
                  <v>-0.5252530000634726</v>
                </pt>
                <pt idx="1521">
                  <v>-0.5252530000634726</v>
                </pt>
                <pt idx="1522">
                  <v>-0.5252530000634726</v>
                </pt>
                <pt idx="1523">
                  <v>-0.5252530000634726</v>
                </pt>
                <pt idx="1524">
                  <v>-0.5252530000634726</v>
                </pt>
                <pt idx="1525">
                  <v>-0.5252530000634726</v>
                </pt>
                <pt idx="1526">
                  <v>-0.5252530000634726</v>
                </pt>
                <pt idx="1527">
                  <v>-0.5252530000634726</v>
                </pt>
                <pt idx="1528">
                  <v>-0.5252530000634726</v>
                </pt>
                <pt idx="1529">
                  <v>-0.5252530000634726</v>
                </pt>
                <pt idx="1530">
                  <v>-0.5252530000634726</v>
                </pt>
                <pt idx="1531">
                  <v>-0.5252530000634726</v>
                </pt>
                <pt idx="1532">
                  <v>-0.5252530000634726</v>
                </pt>
                <pt idx="1533">
                  <v>-0.5252530000634726</v>
                </pt>
                <pt idx="1534">
                  <v>-0.5252530000634726</v>
                </pt>
                <pt idx="1535">
                  <v>-0.5252530000634726</v>
                </pt>
                <pt idx="1536">
                  <v>-0.5252530000634726</v>
                </pt>
                <pt idx="1537">
                  <v>-0.5252530000634726</v>
                </pt>
                <pt idx="1538">
                  <v>-0.5252530000634726</v>
                </pt>
                <pt idx="1539">
                  <v>-0.5252530000634726</v>
                </pt>
                <pt idx="1540">
                  <v>-0.5252530000634726</v>
                </pt>
                <pt idx="1541">
                  <v>-0.5252530000634726</v>
                </pt>
                <pt idx="1542">
                  <v>-0.5252530000634726</v>
                </pt>
                <pt idx="1543">
                  <v>-0.5252530000634726</v>
                </pt>
                <pt idx="1544">
                  <v>-0.5252530000634726</v>
                </pt>
                <pt idx="1545">
                  <v>-0.5252530000634726</v>
                </pt>
                <pt idx="1546">
                  <v>-0.5252530000634726</v>
                </pt>
                <pt idx="1547">
                  <v>-0.5252530000634726</v>
                </pt>
                <pt idx="1548">
                  <v>-0.5252530000634726</v>
                </pt>
                <pt idx="1549">
                  <v>-0.5252530000634726</v>
                </pt>
                <pt idx="1550">
                  <v>-0.5252530000634726</v>
                </pt>
                <pt idx="1551">
                  <v>-0.5252530000634726</v>
                </pt>
                <pt idx="1552">
                  <v>-0.5252530000634726</v>
                </pt>
                <pt idx="1553">
                  <v>-0.5252530000634726</v>
                </pt>
                <pt idx="1554">
                  <v>-0.5252530000634726</v>
                </pt>
                <pt idx="1555">
                  <v>-0.5252530000634726</v>
                </pt>
                <pt idx="1556">
                  <v>-0.5252530000634726</v>
                </pt>
                <pt idx="1557">
                  <v>-0.5252530000634726</v>
                </pt>
                <pt idx="1558">
                  <v>-0.5252530000634726</v>
                </pt>
                <pt idx="1559">
                  <v>-0.5252530000634726</v>
                </pt>
                <pt idx="1560">
                  <v>-0.5252530000634726</v>
                </pt>
                <pt idx="1561">
                  <v>-0.5252530000634726</v>
                </pt>
                <pt idx="1562">
                  <v>-0.5252530000634726</v>
                </pt>
                <pt idx="1563">
                  <v>-0.5252530000634726</v>
                </pt>
                <pt idx="1564">
                  <v>-0.5252530000634726</v>
                </pt>
                <pt idx="1565">
                  <v>-0.5252530000634726</v>
                </pt>
                <pt idx="1566">
                  <v>-0.5252530000634726</v>
                </pt>
                <pt idx="1567">
                  <v>-0.5252530000634726</v>
                </pt>
                <pt idx="1568">
                  <v>-0.5252530000634726</v>
                </pt>
                <pt idx="1569">
                  <v>-0.5252530000634726</v>
                </pt>
                <pt idx="1570">
                  <v>-0.5252530000634726</v>
                </pt>
                <pt idx="1571">
                  <v>-0.5252530000634726</v>
                </pt>
                <pt idx="1572">
                  <v>-0.5252530000634726</v>
                </pt>
                <pt idx="1573">
                  <v>-0.5252530000634726</v>
                </pt>
                <pt idx="1574">
                  <v>-0.5252530000634726</v>
                </pt>
                <pt idx="1575">
                  <v>-0.5252530000634726</v>
                </pt>
                <pt idx="1576">
                  <v>-0.5252530000634726</v>
                </pt>
                <pt idx="1577">
                  <v>-0.5252530000634726</v>
                </pt>
                <pt idx="1578">
                  <v>-0.5252530000634726</v>
                </pt>
                <pt idx="1579">
                  <v>-0.5252530000634726</v>
                </pt>
                <pt idx="1580">
                  <v>-0.5252530000634726</v>
                </pt>
                <pt idx="1581">
                  <v>-0.5252530000634726</v>
                </pt>
                <pt idx="1582">
                  <v>-0.5252530000634726</v>
                </pt>
                <pt idx="1583">
                  <v>-0.5252530000634726</v>
                </pt>
                <pt idx="1584">
                  <v>-0.5252530000634726</v>
                </pt>
                <pt idx="1585">
                  <v>-0.5252530000634726</v>
                </pt>
                <pt idx="1586">
                  <v>-0.5252530000634726</v>
                </pt>
                <pt idx="1587">
                  <v>-0.5252530000634726</v>
                </pt>
                <pt idx="1588">
                  <v>-0.5252530000634726</v>
                </pt>
                <pt idx="1589">
                  <v>-0.5252530000634726</v>
                </pt>
                <pt idx="1590">
                  <v>-0.5252530000634726</v>
                </pt>
                <pt idx="1591">
                  <v>-0.5252530000634726</v>
                </pt>
                <pt idx="1592">
                  <v>-0.5252530000634726</v>
                </pt>
                <pt idx="1593">
                  <v>-0.5252530000634726</v>
                </pt>
                <pt idx="1594">
                  <v>-0.5252530000634726</v>
                </pt>
                <pt idx="1595">
                  <v>-0.5252530000634726</v>
                </pt>
                <pt idx="1596">
                  <v>-0.5252530000634726</v>
                </pt>
                <pt idx="1597">
                  <v>-0.5252530000634726</v>
                </pt>
                <pt idx="1598">
                  <v>-0.5252530000634726</v>
                </pt>
                <pt idx="1599">
                  <v>-0.5252530000634726</v>
                </pt>
                <pt idx="1600">
                  <v>-0.5252530000634726</v>
                </pt>
                <pt idx="1601">
                  <v>-0.5252530000634726</v>
                </pt>
                <pt idx="1602">
                  <v>-0.5252530000634726</v>
                </pt>
                <pt idx="1603">
                  <v>-0.5252530000634726</v>
                </pt>
                <pt idx="1604">
                  <v>-0.5252530000634726</v>
                </pt>
                <pt idx="1605">
                  <v>-0.5252530000634726</v>
                </pt>
                <pt idx="1606">
                  <v>-0.5252530000634726</v>
                </pt>
                <pt idx="1607">
                  <v>-0.5252530000634726</v>
                </pt>
                <pt idx="1608">
                  <v>-0.5252530000634726</v>
                </pt>
                <pt idx="1609">
                  <v>-0.5252530000634726</v>
                </pt>
                <pt idx="1610">
                  <v>-0.5252530000634726</v>
                </pt>
                <pt idx="1611">
                  <v>-0.5252530000634726</v>
                </pt>
                <pt idx="1612">
                  <v>-0.5252530000634726</v>
                </pt>
                <pt idx="1613">
                  <v>-0.5252530000634726</v>
                </pt>
                <pt idx="1614">
                  <v>-0.5252530000634726</v>
                </pt>
                <pt idx="1615">
                  <v>-0.5252530000634726</v>
                </pt>
                <pt idx="1616">
                  <v>-0.5252530000634726</v>
                </pt>
                <pt idx="1617">
                  <v>-0.5252530000634726</v>
                </pt>
                <pt idx="1618">
                  <v>-0.5252530000634726</v>
                </pt>
                <pt idx="1619">
                  <v>-0.5252530000634726</v>
                </pt>
                <pt idx="1620">
                  <v>-0.5252530000634726</v>
                </pt>
                <pt idx="1621">
                  <v>-0.5252530000634726</v>
                </pt>
                <pt idx="1622">
                  <v>-0.5252530000634726</v>
                </pt>
                <pt idx="1623">
                  <v>-0.5252530000634726</v>
                </pt>
                <pt idx="1624">
                  <v>-0.5252530000634726</v>
                </pt>
                <pt idx="1625">
                  <v>-0.5252530000634726</v>
                </pt>
                <pt idx="1626">
                  <v>-0.5252530000634726</v>
                </pt>
                <pt idx="1627">
                  <v>-0.5252530000634726</v>
                </pt>
                <pt idx="1628">
                  <v>-0.5252530000634726</v>
                </pt>
                <pt idx="1629">
                  <v>-0.5252530000634726</v>
                </pt>
                <pt idx="1630">
                  <v>-0.5252530000634726</v>
                </pt>
                <pt idx="1631">
                  <v>-0.5252530000634726</v>
                </pt>
                <pt idx="1632">
                  <v>-0.5252530000634726</v>
                </pt>
                <pt idx="1633">
                  <v>-0.5252530000634726</v>
                </pt>
                <pt idx="1634">
                  <v>-0.5252530000634726</v>
                </pt>
                <pt idx="1635">
                  <v>-0.5252530000634726</v>
                </pt>
                <pt idx="1636">
                  <v>-0.5252530000634726</v>
                </pt>
                <pt idx="1637">
                  <v>-0.5252530000634726</v>
                </pt>
                <pt idx="1638">
                  <v>-0.5252530000634726</v>
                </pt>
                <pt idx="1639">
                  <v>-0.5252530000634726</v>
                </pt>
                <pt idx="1640">
                  <v>-0.5252530000634726</v>
                </pt>
                <pt idx="1641">
                  <v>-0.5252530000634726</v>
                </pt>
                <pt idx="1642">
                  <v>-0.5252530000634726</v>
                </pt>
                <pt idx="1643">
                  <v>-0.5252530000634726</v>
                </pt>
                <pt idx="1644">
                  <v>-0.5252530000634726</v>
                </pt>
                <pt idx="1645">
                  <v>-0.5252530000634726</v>
                </pt>
                <pt idx="1646">
                  <v>-0.5252530000634726</v>
                </pt>
                <pt idx="1647">
                  <v>-0.5252530000634726</v>
                </pt>
                <pt idx="1648">
                  <v>-0.5252530000634726</v>
                </pt>
                <pt idx="1649">
                  <v>-0.5252530000634726</v>
                </pt>
                <pt idx="1650">
                  <v>-0.5252530000634726</v>
                </pt>
                <pt idx="1651">
                  <v>-0.5252530000634726</v>
                </pt>
                <pt idx="1652">
                  <v>-0.5252530000634726</v>
                </pt>
                <pt idx="1653">
                  <v>-0.5252530000634726</v>
                </pt>
                <pt idx="1654">
                  <v>-0.5252530000634726</v>
                </pt>
                <pt idx="1655">
                  <v>-0.5252530000634726</v>
                </pt>
                <pt idx="1656">
                  <v>-0.5252530000634726</v>
                </pt>
                <pt idx="1657">
                  <v>-0.5252530000634726</v>
                </pt>
                <pt idx="1658">
                  <v>-0.5252530000634726</v>
                </pt>
                <pt idx="1659">
                  <v>-0.5252530000634726</v>
                </pt>
                <pt idx="1660">
                  <v>-0.5252530000634726</v>
                </pt>
                <pt idx="1661">
                  <v>-0.5252530000634726</v>
                </pt>
                <pt idx="1662">
                  <v>-0.5252530000634726</v>
                </pt>
                <pt idx="1663">
                  <v>-0.5252530000634726</v>
                </pt>
                <pt idx="1664">
                  <v>-0.5252530000634726</v>
                </pt>
                <pt idx="1665">
                  <v>-0.5252530000634726</v>
                </pt>
                <pt idx="1666">
                  <v>-0.5252530000634726</v>
                </pt>
                <pt idx="1667">
                  <v>-0.5252530000634726</v>
                </pt>
                <pt idx="1668">
                  <v>-0.5252530000634726</v>
                </pt>
                <pt idx="1669">
                  <v>-0.5252530000634726</v>
                </pt>
                <pt idx="1670">
                  <v>-0.5252530000634726</v>
                </pt>
                <pt idx="1671">
                  <v>-0.5252530000634726</v>
                </pt>
                <pt idx="1672">
                  <v>-0.5252530000634726</v>
                </pt>
                <pt idx="1673">
                  <v>-0.5252530000634726</v>
                </pt>
                <pt idx="1674">
                  <v>-0.5252530000634726</v>
                </pt>
                <pt idx="1675">
                  <v>-0.5252530000634726</v>
                </pt>
                <pt idx="1676">
                  <v>-0.5252530000634726</v>
                </pt>
                <pt idx="1677">
                  <v>-0.5252530000634726</v>
                </pt>
                <pt idx="1678">
                  <v>-0.5252530000634726</v>
                </pt>
                <pt idx="1679">
                  <v>-0.5252530000634726</v>
                </pt>
                <pt idx="1680">
                  <v>-0.5252530000634726</v>
                </pt>
                <pt idx="1681">
                  <v>-0.5252530000634726</v>
                </pt>
                <pt idx="1682">
                  <v>-0.5252530000634726</v>
                </pt>
                <pt idx="1683">
                  <v>-0.5252530000634726</v>
                </pt>
                <pt idx="1684">
                  <v>-0.5252530000634726</v>
                </pt>
                <pt idx="1685">
                  <v>-0.5252530000634726</v>
                </pt>
                <pt idx="1686">
                  <v>-0.5252530000634726</v>
                </pt>
                <pt idx="1687">
                  <v>-0.5252530000634726</v>
                </pt>
                <pt idx="1688">
                  <v>-0.5252530000634726</v>
                </pt>
                <pt idx="1689">
                  <v>-0.5252530000634726</v>
                </pt>
                <pt idx="1690">
                  <v>-0.5252530000634726</v>
                </pt>
                <pt idx="1691">
                  <v>-0.5252530000634726</v>
                </pt>
                <pt idx="1692">
                  <v>-0.5252530000634726</v>
                </pt>
                <pt idx="1693">
                  <v>-0.5252530000634726</v>
                </pt>
                <pt idx="1694">
                  <v>-0.5252530000634726</v>
                </pt>
                <pt idx="1695">
                  <v>-0.5252530000634726</v>
                </pt>
                <pt idx="1696">
                  <v>-0.5252530000634726</v>
                </pt>
                <pt idx="1697">
                  <v>-0.5252530000634726</v>
                </pt>
                <pt idx="1698">
                  <v>-0.5252530000634726</v>
                </pt>
                <pt idx="1699">
                  <v>-0.5252530000634726</v>
                </pt>
                <pt idx="1700">
                  <v>-0.5252530000634726</v>
                </pt>
                <pt idx="1701">
                  <v>-0.5252530000634726</v>
                </pt>
                <pt idx="1702">
                  <v>-0.5252530000634726</v>
                </pt>
                <pt idx="1703">
                  <v>-0.5252530000634726</v>
                </pt>
                <pt idx="1704">
                  <v>-0.5252530000634726</v>
                </pt>
                <pt idx="1705">
                  <v>-0.5252530000634726</v>
                </pt>
                <pt idx="1706">
                  <v>-0.5252530000634726</v>
                </pt>
                <pt idx="1707">
                  <v>-0.5252530000634726</v>
                </pt>
                <pt idx="1708">
                  <v>-0.5252530000634726</v>
                </pt>
                <pt idx="1709">
                  <v>-0.5252530000634726</v>
                </pt>
                <pt idx="1710">
                  <v>-0.5252530000634726</v>
                </pt>
                <pt idx="1711">
                  <v>-0.5252530000634726</v>
                </pt>
                <pt idx="1712">
                  <v>-0.5252530000634726</v>
                </pt>
                <pt idx="1713">
                  <v>-0.5252530000634726</v>
                </pt>
                <pt idx="1714">
                  <v>-0.5252530000634726</v>
                </pt>
                <pt idx="1715">
                  <v>-0.5252530000634726</v>
                </pt>
                <pt idx="1716">
                  <v>-0.5252530000634726</v>
                </pt>
                <pt idx="1717">
                  <v>-0.5252530000634726</v>
                </pt>
                <pt idx="1718">
                  <v>-0.5252530000634726</v>
                </pt>
                <pt idx="1719">
                  <v>-0.5252530000634726</v>
                </pt>
                <pt idx="1720">
                  <v>-0.5252530000634726</v>
                </pt>
                <pt idx="1721">
                  <v>-0.5252530000634726</v>
                </pt>
                <pt idx="1722">
                  <v>-0.5252530000634726</v>
                </pt>
                <pt idx="1723">
                  <v>-0.5252530000634726</v>
                </pt>
                <pt idx="1724">
                  <v>-0.5252530000634726</v>
                </pt>
                <pt idx="1725">
                  <v>-0.5252530000634726</v>
                </pt>
                <pt idx="1726">
                  <v>-0.5252530000634726</v>
                </pt>
                <pt idx="1727">
                  <v>-0.5252530000634726</v>
                </pt>
                <pt idx="1728">
                  <v>-0.5252530000634726</v>
                </pt>
                <pt idx="1729">
                  <v>-0.5252530000634726</v>
                </pt>
                <pt idx="1730">
                  <v>-0.5252530000634726</v>
                </pt>
                <pt idx="1731">
                  <v>-0.5252530000634726</v>
                </pt>
                <pt idx="1732">
                  <v>-0.5252530000634726</v>
                </pt>
                <pt idx="1733">
                  <v>-0.5252530000634726</v>
                </pt>
                <pt idx="1734">
                  <v>-0.5252530000634726</v>
                </pt>
                <pt idx="1735">
                  <v>-0.5252530000634726</v>
                </pt>
                <pt idx="1736">
                  <v>-0.5252530000634726</v>
                </pt>
                <pt idx="1737">
                  <v>-0.5252530000634726</v>
                </pt>
                <pt idx="1738">
                  <v>-0.5252530000634726</v>
                </pt>
                <pt idx="1739">
                  <v>-0.5252530000634726</v>
                </pt>
                <pt idx="1740">
                  <v>-0.5252530000634726</v>
                </pt>
                <pt idx="1741">
                  <v>-0.5252530000634726</v>
                </pt>
                <pt idx="1742">
                  <v>-0.5252530000634726</v>
                </pt>
                <pt idx="1743">
                  <v>-0.5252530000634726</v>
                </pt>
                <pt idx="1744">
                  <v>-0.5252530000634726</v>
                </pt>
                <pt idx="1745">
                  <v>-0.5252530000634726</v>
                </pt>
                <pt idx="1746">
                  <v>-0.5252530000634726</v>
                </pt>
                <pt idx="1747">
                  <v>-0.5252530000634726</v>
                </pt>
                <pt idx="1748">
                  <v>-0.5252530000634726</v>
                </pt>
                <pt idx="1749">
                  <v>-0.5252530000634726</v>
                </pt>
                <pt idx="1750">
                  <v>-0.5252530000634726</v>
                </pt>
                <pt idx="1751">
                  <v>-0.5252530000634726</v>
                </pt>
                <pt idx="1752">
                  <v>-0.5252530000634726</v>
                </pt>
                <pt idx="1753">
                  <v>-0.5252530000634726</v>
                </pt>
                <pt idx="1754">
                  <v>-0.5252530000634726</v>
                </pt>
                <pt idx="1755">
                  <v>-0.5252530000634726</v>
                </pt>
                <pt idx="1756">
                  <v>-0.5252530000634726</v>
                </pt>
                <pt idx="1757">
                  <v>-0.5252530000634726</v>
                </pt>
                <pt idx="1758">
                  <v>-0.5252530000634726</v>
                </pt>
                <pt idx="1759">
                  <v>-0.5252530000634726</v>
                </pt>
                <pt idx="1760">
                  <v>-0.5252530000634726</v>
                </pt>
                <pt idx="1761">
                  <v>-0.5252530000634726</v>
                </pt>
                <pt idx="1762">
                  <v>-0.5252530000634726</v>
                </pt>
                <pt idx="1763">
                  <v>-0.5252530000634726</v>
                </pt>
                <pt idx="1764">
                  <v>-0.5252530000634726</v>
                </pt>
                <pt idx="1765">
                  <v>-0.5252530000634726</v>
                </pt>
                <pt idx="1766">
                  <v>-0.5252530000634726</v>
                </pt>
                <pt idx="1767">
                  <v>-0.5252530000634726</v>
                </pt>
                <pt idx="1768">
                  <v>-0.5252530000634726</v>
                </pt>
                <pt idx="1769">
                  <v>-0.5252530000634726</v>
                </pt>
                <pt idx="1770">
                  <v>-0.5252530000634726</v>
                </pt>
                <pt idx="1771">
                  <v>-0.5252530000634726</v>
                </pt>
                <pt idx="1772">
                  <v>-0.5252530000634726</v>
                </pt>
                <pt idx="1773">
                  <v>-0.5252530000634726</v>
                </pt>
                <pt idx="1774">
                  <v>-0.5252530000634726</v>
                </pt>
                <pt idx="1775">
                  <v>-0.5252530000634726</v>
                </pt>
                <pt idx="1776">
                  <v>-0.5252530000634726</v>
                </pt>
                <pt idx="1777">
                  <v>-0.5252530000634726</v>
                </pt>
                <pt idx="1778">
                  <v>-0.5252530000634726</v>
                </pt>
                <pt idx="1779">
                  <v>-0.5252530000634726</v>
                </pt>
                <pt idx="1780">
                  <v>-0.5252530000634726</v>
                </pt>
                <pt idx="1781">
                  <v>-0.5252530000634726</v>
                </pt>
                <pt idx="1782">
                  <v>-0.5252530000634726</v>
                </pt>
                <pt idx="1783">
                  <v>-0.5252530000634726</v>
                </pt>
                <pt idx="1784">
                  <v>-0.5252530000634726</v>
                </pt>
                <pt idx="1785">
                  <v>-0.5252530000634726</v>
                </pt>
                <pt idx="1786">
                  <v>-0.5252530000634726</v>
                </pt>
                <pt idx="1787">
                  <v>-0.5252530000634726</v>
                </pt>
                <pt idx="1788">
                  <v>-0.5252530000634726</v>
                </pt>
                <pt idx="1789">
                  <v>-0.5252530000634726</v>
                </pt>
                <pt idx="1790">
                  <v>-0.5252530000634726</v>
                </pt>
                <pt idx="1791">
                  <v>-0.5252530000634726</v>
                </pt>
                <pt idx="1792">
                  <v>-0.5252530000634726</v>
                </pt>
                <pt idx="1793">
                  <v>-0.5252530000634726</v>
                </pt>
                <pt idx="1794">
                  <v>-0.5252530000634726</v>
                </pt>
                <pt idx="1795">
                  <v>-0.5252530000634726</v>
                </pt>
                <pt idx="1796">
                  <v>-0.5252530000634726</v>
                </pt>
                <pt idx="1797">
                  <v>-0.5252530000634726</v>
                </pt>
                <pt idx="1798">
                  <v>-0.5252530000634726</v>
                </pt>
                <pt idx="1799">
                  <v>-0.5252530000634726</v>
                </pt>
                <pt idx="1800">
                  <v>-0.5252530000634726</v>
                </pt>
                <pt idx="1801">
                  <v>-0.5252530000634726</v>
                </pt>
                <pt idx="1802">
                  <v>-0.5252530000634726</v>
                </pt>
                <pt idx="1803">
                  <v>-0.5252530000634726</v>
                </pt>
                <pt idx="1804">
                  <v>-0.5252530000634726</v>
                </pt>
                <pt idx="1805">
                  <v>-0.5252530000634726</v>
                </pt>
                <pt idx="1806">
                  <v>-0.5252530000634726</v>
                </pt>
                <pt idx="1807">
                  <v>-0.5252530000634726</v>
                </pt>
                <pt idx="1808">
                  <v>-0.5252530000634726</v>
                </pt>
                <pt idx="1809">
                  <v>-0.5252530000634726</v>
                </pt>
                <pt idx="1810">
                  <v>-0.5252530000634726</v>
                </pt>
                <pt idx="1811">
                  <v>-0.5252530000634726</v>
                </pt>
                <pt idx="1812">
                  <v>-0.5252530000634726</v>
                </pt>
                <pt idx="1813">
                  <v>-0.5252530000634726</v>
                </pt>
                <pt idx="1814">
                  <v>-0.5252530000634726</v>
                </pt>
                <pt idx="1815">
                  <v>-0.5252530000634726</v>
                </pt>
                <pt idx="1816">
                  <v>-0.5252530000634726</v>
                </pt>
                <pt idx="1817">
                  <v>-0.5252530000634726</v>
                </pt>
                <pt idx="1818">
                  <v>-0.5252530000634726</v>
                </pt>
                <pt idx="1819">
                  <v>-0.5252530000634726</v>
                </pt>
                <pt idx="1820">
                  <v>-0.5252530000634726</v>
                </pt>
                <pt idx="1821">
                  <v>-0.5252530000634726</v>
                </pt>
                <pt idx="1822">
                  <v>-0.5252530000634726</v>
                </pt>
                <pt idx="1823">
                  <v>-0.5252530000634726</v>
                </pt>
                <pt idx="1824">
                  <v>-0.5252530000634726</v>
                </pt>
                <pt idx="1825">
                  <v>-0.5252530000634726</v>
                </pt>
                <pt idx="1826">
                  <v>-0.5252530000634726</v>
                </pt>
                <pt idx="1827">
                  <v>-0.5252530000634726</v>
                </pt>
                <pt idx="1828">
                  <v>-0.5252530000634726</v>
                </pt>
                <pt idx="1829">
                  <v>-0.5252530000634726</v>
                </pt>
                <pt idx="1830">
                  <v>-0.5252530000634726</v>
                </pt>
                <pt idx="1831">
                  <v>-0.5252530000634726</v>
                </pt>
                <pt idx="1832">
                  <v>-0.5252530000634726</v>
                </pt>
                <pt idx="1833">
                  <v>-0.5252530000634726</v>
                </pt>
                <pt idx="1834">
                  <v>-0.5252530000634726</v>
                </pt>
                <pt idx="1835">
                  <v>-0.5252530000634726</v>
                </pt>
                <pt idx="1836">
                  <v>-0.5252530000634726</v>
                </pt>
                <pt idx="1837">
                  <v>-0.5252530000634726</v>
                </pt>
                <pt idx="1838">
                  <v>-0.5252530000634726</v>
                </pt>
                <pt idx="1839">
                  <v>-0.5252530000634726</v>
                </pt>
                <pt idx="1840">
                  <v>-0.5252530000634726</v>
                </pt>
                <pt idx="1841">
                  <v>-0.5252530000634726</v>
                </pt>
                <pt idx="1842">
                  <v>-0.5252530000634726</v>
                </pt>
                <pt idx="1843">
                  <v>-0.5252530000634726</v>
                </pt>
                <pt idx="1844">
                  <v>-0.5252530000634726</v>
                </pt>
                <pt idx="1845">
                  <v>-0.5252530000634726</v>
                </pt>
                <pt idx="1846">
                  <v>-0.5252530000634726</v>
                </pt>
                <pt idx="1847">
                  <v>-0.5252530000634726</v>
                </pt>
                <pt idx="1848">
                  <v>-0.5252530000634726</v>
                </pt>
                <pt idx="1849">
                  <v>-0.5252530000634726</v>
                </pt>
                <pt idx="1850">
                  <v>-0.5252530000634726</v>
                </pt>
                <pt idx="1851">
                  <v>-0.5252530000634726</v>
                </pt>
                <pt idx="1852">
                  <v>-0.5252530000634726</v>
                </pt>
                <pt idx="1853">
                  <v>-0.5252530000634726</v>
                </pt>
                <pt idx="1854">
                  <v>-0.5252530000634726</v>
                </pt>
                <pt idx="1855">
                  <v>-0.5252530000634726</v>
                </pt>
                <pt idx="1856">
                  <v>-0.5252530000634726</v>
                </pt>
                <pt idx="1857">
                  <v>-0.5252530000634726</v>
                </pt>
                <pt idx="1858">
                  <v>-0.5252530000634726</v>
                </pt>
                <pt idx="1859">
                  <v>-0.5252530000634726</v>
                </pt>
                <pt idx="1860">
                  <v>-0.5252530000634726</v>
                </pt>
                <pt idx="1861">
                  <v>-0.5252530000634726</v>
                </pt>
                <pt idx="1862">
                  <v>-0.5252530000634726</v>
                </pt>
                <pt idx="1863">
                  <v>-0.5252530000634726</v>
                </pt>
                <pt idx="1864">
                  <v>-0.5252530000634726</v>
                </pt>
                <pt idx="1865">
                  <v>-0.5252530000634726</v>
                </pt>
                <pt idx="1866">
                  <v>-0.5252530000634726</v>
                </pt>
                <pt idx="1867">
                  <v>-0.5252530000634726</v>
                </pt>
                <pt idx="1868">
                  <v>-0.5252530000634726</v>
                </pt>
                <pt idx="1869">
                  <v>-0.5252530000634726</v>
                </pt>
                <pt idx="1870">
                  <v>-0.5252530000634726</v>
                </pt>
                <pt idx="1871">
                  <v>-0.5252530000634726</v>
                </pt>
                <pt idx="1872">
                  <v>-0.5252530000634726</v>
                </pt>
                <pt idx="1873">
                  <v>-0.5252530000634726</v>
                </pt>
                <pt idx="1874">
                  <v>-0.5252530000634726</v>
                </pt>
                <pt idx="1875">
                  <v>-0.5252530000634726</v>
                </pt>
                <pt idx="1876">
                  <v>-0.5252530000634726</v>
                </pt>
                <pt idx="1877">
                  <v>-0.5252530000634726</v>
                </pt>
                <pt idx="1878">
                  <v>-0.5252530000634726</v>
                </pt>
                <pt idx="1879">
                  <v>-0.5252530000634726</v>
                </pt>
                <pt idx="1880">
                  <v>-0.5252530000634726</v>
                </pt>
                <pt idx="1881">
                  <v>-0.5252530000634726</v>
                </pt>
                <pt idx="1882">
                  <v>-0.5252530000634726</v>
                </pt>
                <pt idx="1883">
                  <v>-0.5252530000634726</v>
                </pt>
                <pt idx="1884">
                  <v>-0.5252530000634726</v>
                </pt>
                <pt idx="1885">
                  <v>-0.5252530000634726</v>
                </pt>
                <pt idx="1886">
                  <v>-0.5252530000634726</v>
                </pt>
                <pt idx="1887">
                  <v>-0.5252530000634726</v>
                </pt>
                <pt idx="1888">
                  <v>-0.5252530000634726</v>
                </pt>
                <pt idx="1889">
                  <v>-0.5252530000634726</v>
                </pt>
                <pt idx="1890">
                  <v>-0.5252530000634726</v>
                </pt>
                <pt idx="1891">
                  <v>-0.5252530000634726</v>
                </pt>
                <pt idx="1892">
                  <v>-0.5252530000634726</v>
                </pt>
                <pt idx="1893">
                  <v>-0.5252530000634726</v>
                </pt>
                <pt idx="1894">
                  <v>-0.5252530000634726</v>
                </pt>
                <pt idx="1895">
                  <v>-0.5252530000634726</v>
                </pt>
                <pt idx="1896">
                  <v>-0.5252530000634726</v>
                </pt>
                <pt idx="1897">
                  <v>-0.5252530000634726</v>
                </pt>
                <pt idx="1898">
                  <v>-0.5252530000634726</v>
                </pt>
                <pt idx="1899">
                  <v>-0.5252530000634726</v>
                </pt>
                <pt idx="1900">
                  <v>-0.5252530000634726</v>
                </pt>
                <pt idx="1901">
                  <v>-0.5252530000634726</v>
                </pt>
                <pt idx="1902">
                  <v>-0.5252530000634726</v>
                </pt>
                <pt idx="1903">
                  <v>-0.5252530000634726</v>
                </pt>
                <pt idx="1904">
                  <v>-0.5252530000634726</v>
                </pt>
                <pt idx="1905">
                  <v>-0.5252530000634726</v>
                </pt>
                <pt idx="1906">
                  <v>-0.5252530000634726</v>
                </pt>
                <pt idx="1907">
                  <v>-0.5252530000634726</v>
                </pt>
                <pt idx="1908">
                  <v>-0.5252530000634726</v>
                </pt>
                <pt idx="1909">
                  <v>-0.5252530000634726</v>
                </pt>
                <pt idx="1910">
                  <v>-0.5252530000634726</v>
                </pt>
                <pt idx="1911">
                  <v>-0.5252530000634726</v>
                </pt>
                <pt idx="1912">
                  <v>-0.5252530000634726</v>
                </pt>
                <pt idx="1913">
                  <v>-0.5252530000634726</v>
                </pt>
                <pt idx="1914">
                  <v>-0.5252530000634726</v>
                </pt>
                <pt idx="1915">
                  <v>-0.5252530000634726</v>
                </pt>
                <pt idx="1916">
                  <v>-0.5252530000634726</v>
                </pt>
                <pt idx="1917">
                  <v>-0.5252530000634726</v>
                </pt>
                <pt idx="1918">
                  <v>-0.5252530000634726</v>
                </pt>
                <pt idx="1919">
                  <v>-0.5252530000634726</v>
                </pt>
                <pt idx="1920">
                  <v>-0.5252530000634726</v>
                </pt>
                <pt idx="1921">
                  <v>-0.5252530000634726</v>
                </pt>
                <pt idx="1922">
                  <v>-0.5252530000634726</v>
                </pt>
                <pt idx="1923">
                  <v>-0.5252530000634726</v>
                </pt>
                <pt idx="1924">
                  <v>-0.5252530000634726</v>
                </pt>
                <pt idx="1925">
                  <v>-0.5252530000634726</v>
                </pt>
                <pt idx="1926">
                  <v>-0.5252530000634726</v>
                </pt>
                <pt idx="1927">
                  <v>-0.5252530000634726</v>
                </pt>
                <pt idx="1928">
                  <v>-0.5252530000634726</v>
                </pt>
                <pt idx="1929">
                  <v>-0.5252530000634726</v>
                </pt>
                <pt idx="1930">
                  <v>-0.5252530000634726</v>
                </pt>
                <pt idx="1931">
                  <v>-0.5252530000634726</v>
                </pt>
                <pt idx="1932">
                  <v>-0.5252530000634726</v>
                </pt>
                <pt idx="1933">
                  <v>-0.5252530000634726</v>
                </pt>
                <pt idx="1934">
                  <v>-0.5252530000634726</v>
                </pt>
                <pt idx="1935">
                  <v>-0.5252530000634726</v>
                </pt>
                <pt idx="1936">
                  <v>-0.5252530000634726</v>
                </pt>
                <pt idx="1937">
                  <v>-0.5252530000634726</v>
                </pt>
                <pt idx="1938">
                  <v>-0.5252530000634726</v>
                </pt>
                <pt idx="1939">
                  <v>-0.5252530000634726</v>
                </pt>
                <pt idx="1940">
                  <v>-0.5252530000634726</v>
                </pt>
                <pt idx="1941">
                  <v>-0.5252530000634726</v>
                </pt>
                <pt idx="1942">
                  <v>-0.5252530000634726</v>
                </pt>
                <pt idx="1943">
                  <v>-0.5252530000634726</v>
                </pt>
                <pt idx="1944">
                  <v>-0.5252530000634726</v>
                </pt>
                <pt idx="1945">
                  <v>-0.5252530000634726</v>
                </pt>
                <pt idx="1946">
                  <v>-0.5252530000634726</v>
                </pt>
                <pt idx="1947">
                  <v>-0.5252530000634726</v>
                </pt>
                <pt idx="1948">
                  <v>-0.5252530000634726</v>
                </pt>
                <pt idx="1949">
                  <v>-0.5252530000634726</v>
                </pt>
                <pt idx="1950">
                  <v>-0.5252530000634726</v>
                </pt>
                <pt idx="1951">
                  <v>-0.5252530000634726</v>
                </pt>
                <pt idx="1952">
                  <v>-0.5252530000634726</v>
                </pt>
                <pt idx="1953">
                  <v>-0.5252530000634726</v>
                </pt>
                <pt idx="1954">
                  <v>-0.5252530000634726</v>
                </pt>
                <pt idx="1955">
                  <v>-0.5252530000634726</v>
                </pt>
                <pt idx="1956">
                  <v>-0.5252530000634726</v>
                </pt>
                <pt idx="1957">
                  <v>-0.5252530000634726</v>
                </pt>
                <pt idx="1958">
                  <v>-0.5252530000634726</v>
                </pt>
                <pt idx="1959">
                  <v>-0.5252530000634726</v>
                </pt>
                <pt idx="1960">
                  <v>-0.5252530000634726</v>
                </pt>
                <pt idx="1961">
                  <v>-0.5252530000634726</v>
                </pt>
                <pt idx="1962">
                  <v>-0.5252530000634726</v>
                </pt>
                <pt idx="1963">
                  <v>-0.5252530000634726</v>
                </pt>
                <pt idx="1964">
                  <v>-0.5252530000634726</v>
                </pt>
                <pt idx="1965">
                  <v>-0.5252530000634726</v>
                </pt>
                <pt idx="1966">
                  <v>-0.5252530000634726</v>
                </pt>
                <pt idx="1967">
                  <v>-0.5252530000634726</v>
                </pt>
                <pt idx="1968">
                  <v>-0.5252530000634726</v>
                </pt>
                <pt idx="1969">
                  <v>-0.5252530000634726</v>
                </pt>
                <pt idx="1970">
                  <v>-0.5252530000634726</v>
                </pt>
                <pt idx="1971">
                  <v>-0.5252530000634726</v>
                </pt>
                <pt idx="1972">
                  <v>-0.5252530000634726</v>
                </pt>
                <pt idx="1973">
                  <v>-0.5252530000634726</v>
                </pt>
                <pt idx="1974">
                  <v>-0.5252530000634726</v>
                </pt>
                <pt idx="1975">
                  <v>-0.5252530000634726</v>
                </pt>
                <pt idx="1976">
                  <v>-0.5252530000634726</v>
                </pt>
                <pt idx="1977">
                  <v>-0.5252530000634726</v>
                </pt>
                <pt idx="1978">
                  <v>-0.5252530000634726</v>
                </pt>
                <pt idx="1979">
                  <v>-0.5252530000634726</v>
                </pt>
                <pt idx="1980">
                  <v>-0.5252530000634726</v>
                </pt>
                <pt idx="1981">
                  <v>-0.5252530000634726</v>
                </pt>
                <pt idx="1982">
                  <v>-0.5252530000634726</v>
                </pt>
                <pt idx="1983">
                  <v>-0.5252530000634726</v>
                </pt>
                <pt idx="1984">
                  <v>-0.5252530000634726</v>
                </pt>
                <pt idx="1985">
                  <v>-0.5252530000634726</v>
                </pt>
                <pt idx="1986">
                  <v>-0.5252530000634726</v>
                </pt>
                <pt idx="1987">
                  <v>-0.5252530000634726</v>
                </pt>
                <pt idx="1988">
                  <v>-0.5252530000634726</v>
                </pt>
                <pt idx="1989">
                  <v>-0.5252530000634726</v>
                </pt>
                <pt idx="1990">
                  <v>-0.5252530000634726</v>
                </pt>
                <pt idx="1991">
                  <v>-0.5252530000634726</v>
                </pt>
                <pt idx="1992">
                  <v>-0.5252530000634726</v>
                </pt>
                <pt idx="1993">
                  <v>-0.5252530000634726</v>
                </pt>
                <pt idx="1994">
                  <v>-0.5252530000634726</v>
                </pt>
                <pt idx="1995">
                  <v>-0.5252530000634726</v>
                </pt>
                <pt idx="1996">
                  <v>-0.5252530000634726</v>
                </pt>
                <pt idx="1997">
                  <v>-0.5252530000634726</v>
                </pt>
                <pt idx="1998">
                  <v>-0.5252530000634726</v>
                </pt>
                <pt idx="1999">
                  <v>-0.5252530000634726</v>
                </pt>
                <pt idx="2000">
                  <v>-0.5252530000634726</v>
                </pt>
                <pt idx="2001">
                  <v>-0.5252530000634726</v>
                </pt>
                <pt idx="2002">
                  <v>-0.5252530000634726</v>
                </pt>
                <pt idx="2003">
                  <v>-0.5252530000634726</v>
                </pt>
                <pt idx="2004">
                  <v>-0.5252530000634726</v>
                </pt>
                <pt idx="2005">
                  <v>-0.5252530000634726</v>
                </pt>
                <pt idx="2006">
                  <v>-0.5252530000634726</v>
                </pt>
                <pt idx="2007">
                  <v>-0.5252530000634726</v>
                </pt>
                <pt idx="2008">
                  <v>-0.5252530000634726</v>
                </pt>
                <pt idx="2009">
                  <v>-0.5252530000634726</v>
                </pt>
                <pt idx="2010">
                  <v>-0.5252530000634726</v>
                </pt>
                <pt idx="2011">
                  <v>-0.5252530000634726</v>
                </pt>
                <pt idx="2012">
                  <v>-0.5252530000634726</v>
                </pt>
                <pt idx="2013">
                  <v>-0.5252530000634726</v>
                </pt>
                <pt idx="2014">
                  <v>-0.5252530000634726</v>
                </pt>
                <pt idx="2015">
                  <v>-0.5252530000634726</v>
                </pt>
                <pt idx="2016">
                  <v>-0.5252530000634726</v>
                </pt>
                <pt idx="2017">
                  <v>-0.5252530000634726</v>
                </pt>
                <pt idx="2018">
                  <v>-0.5252530000634726</v>
                </pt>
                <pt idx="2019">
                  <v>-0.5252530000634726</v>
                </pt>
                <pt idx="2020">
                  <v>-0.5252530000634726</v>
                </pt>
                <pt idx="2021">
                  <v>-0.5252530000634726</v>
                </pt>
                <pt idx="2022">
                  <v>-0.5252530000634726</v>
                </pt>
                <pt idx="2023">
                  <v>-0.5252530000634726</v>
                </pt>
                <pt idx="2024">
                  <v>-0.5252530000634726</v>
                </pt>
                <pt idx="2025">
                  <v>-0.5252530000634726</v>
                </pt>
                <pt idx="2026">
                  <v>-0.5252530000634726</v>
                </pt>
                <pt idx="2027">
                  <v>-0.5252530000634726</v>
                </pt>
                <pt idx="2028">
                  <v>-0.5252530000634726</v>
                </pt>
                <pt idx="2029">
                  <v>-0.5252530000634726</v>
                </pt>
                <pt idx="2030">
                  <v>-0.5252530000634726</v>
                </pt>
                <pt idx="2031">
                  <v>-0.5252530000634726</v>
                </pt>
                <pt idx="2032">
                  <v>-0.5252530000634726</v>
                </pt>
                <pt idx="2033">
                  <v>-0.5252530000634726</v>
                </pt>
                <pt idx="2034">
                  <v>-0.5252530000634726</v>
                </pt>
                <pt idx="2035">
                  <v>-0.5252530000634726</v>
                </pt>
                <pt idx="2036">
                  <v>-0.5252530000634726</v>
                </pt>
                <pt idx="2037">
                  <v>-0.5252530000634726</v>
                </pt>
                <pt idx="2038">
                  <v>-0.5252530000634726</v>
                </pt>
                <pt idx="2039">
                  <v>-0.5252530000634726</v>
                </pt>
                <pt idx="2040">
                  <v>-0.5252530000634726</v>
                </pt>
                <pt idx="2041">
                  <v>-0.5252530000634726</v>
                </pt>
                <pt idx="2042">
                  <v>-0.5252530000634726</v>
                </pt>
                <pt idx="2043">
                  <v>-0.5252530000634726</v>
                </pt>
                <pt idx="2044">
                  <v>-0.5252530000634726</v>
                </pt>
                <pt idx="2045">
                  <v>-0.5252530000634726</v>
                </pt>
                <pt idx="2046">
                  <v>-0.5252530000634726</v>
                </pt>
                <pt idx="2047">
                  <v>-0.5252530000634726</v>
                </pt>
                <pt idx="2048">
                  <v>-0.5252530000634726</v>
                </pt>
                <pt idx="2049">
                  <v>-0.5252530000634726</v>
                </pt>
                <pt idx="2050">
                  <v>-0.5252530000634726</v>
                </pt>
                <pt idx="2051">
                  <v>-0.5252530000634726</v>
                </pt>
                <pt idx="2052">
                  <v>-0.5252530000634726</v>
                </pt>
                <pt idx="2053">
                  <v>-0.5252530000634726</v>
                </pt>
                <pt idx="2054">
                  <v>-0.5252530000634726</v>
                </pt>
                <pt idx="2055">
                  <v>-0.5252530000634726</v>
                </pt>
                <pt idx="2056">
                  <v>-0.5252530000634726</v>
                </pt>
                <pt idx="2057">
                  <v>-0.5252530000634726</v>
                </pt>
                <pt idx="2058">
                  <v>-0.5252530000634726</v>
                </pt>
                <pt idx="2059">
                  <v>-0.5252530000634726</v>
                </pt>
                <pt idx="2060">
                  <v>-0.5252530000634726</v>
                </pt>
                <pt idx="2061">
                  <v>-0.5252530000634726</v>
                </pt>
                <pt idx="2062">
                  <v>-0.5252530000634726</v>
                </pt>
                <pt idx="2063">
                  <v>-0.5252530000634726</v>
                </pt>
                <pt idx="2064">
                  <v>-0.5252530000634726</v>
                </pt>
                <pt idx="2065">
                  <v>-0.5252530000634726</v>
                </pt>
                <pt idx="2066">
                  <v>-0.5252530000634726</v>
                </pt>
                <pt idx="2067">
                  <v>-0.5252530000634726</v>
                </pt>
                <pt idx="2068">
                  <v>-0.5252530000634726</v>
                </pt>
                <pt idx="2069">
                  <v>-0.5252530000634726</v>
                </pt>
                <pt idx="2070">
                  <v>-0.5252530000634726</v>
                </pt>
                <pt idx="2071">
                  <v>-0.5252530000634726</v>
                </pt>
                <pt idx="2072">
                  <v>-0.5252530000634726</v>
                </pt>
                <pt idx="2073">
                  <v>-0.5252530000634726</v>
                </pt>
                <pt idx="2074">
                  <v>-0.5252530000634726</v>
                </pt>
                <pt idx="2075">
                  <v>-0.5252530000634726</v>
                </pt>
                <pt idx="2076">
                  <v>-0.5252530000634726</v>
                </pt>
                <pt idx="2077">
                  <v>-0.5252530000634726</v>
                </pt>
                <pt idx="2078">
                  <v>-0.5252530000634726</v>
                </pt>
                <pt idx="2079">
                  <v>-0.5252530000634726</v>
                </pt>
                <pt idx="2080">
                  <v>-0.5252530000634726</v>
                </pt>
                <pt idx="2081">
                  <v>-0.5252530000634726</v>
                </pt>
                <pt idx="2082">
                  <v>-0.5252530000634726</v>
                </pt>
                <pt idx="2083">
                  <v>-0.5252530000634726</v>
                </pt>
                <pt idx="2084">
                  <v>-0.5252530000634726</v>
                </pt>
                <pt idx="2085">
                  <v>-0.5252530000634726</v>
                </pt>
                <pt idx="2086">
                  <v>-0.5252530000634726</v>
                </pt>
                <pt idx="2087">
                  <v>-0.5252530000634726</v>
                </pt>
                <pt idx="2088">
                  <v>-0.5252530000634726</v>
                </pt>
                <pt idx="2089">
                  <v>-0.5252530000634726</v>
                </pt>
                <pt idx="2090">
                  <v>-0.5252530000634726</v>
                </pt>
                <pt idx="2091">
                  <v>-0.5252530000634726</v>
                </pt>
                <pt idx="2092">
                  <v>-0.5252530000634726</v>
                </pt>
                <pt idx="2093">
                  <v>-0.5252530000634726</v>
                </pt>
                <pt idx="2094">
                  <v>-0.5252530000634726</v>
                </pt>
                <pt idx="2095">
                  <v>-0.5252530000634726</v>
                </pt>
                <pt idx="2096">
                  <v>-0.5252530000634726</v>
                </pt>
                <pt idx="2097">
                  <v>-0.5252530000634726</v>
                </pt>
                <pt idx="2098">
                  <v>-0.5252530000634726</v>
                </pt>
                <pt idx="2099">
                  <v>-0.5252530000634726</v>
                </pt>
                <pt idx="2100">
                  <v>-0.5252530000634726</v>
                </pt>
                <pt idx="2101">
                  <v>-0.5252530000634726</v>
                </pt>
                <pt idx="2102">
                  <v>-0.5252530000634726</v>
                </pt>
                <pt idx="2103">
                  <v>-0.5252530000634726</v>
                </pt>
                <pt idx="2104">
                  <v>-0.5252530000634726</v>
                </pt>
                <pt idx="2105">
                  <v>-0.5252530000634726</v>
                </pt>
                <pt idx="2106">
                  <v>-0.5252530000634726</v>
                </pt>
                <pt idx="2107">
                  <v>-0.5252530000634726</v>
                </pt>
                <pt idx="2108">
                  <v>-0.5252530000634726</v>
                </pt>
                <pt idx="2109">
                  <v>-0.5252530000634726</v>
                </pt>
                <pt idx="2110">
                  <v>-0.5252530000634726</v>
                </pt>
                <pt idx="2111">
                  <v>-0.5252530000634726</v>
                </pt>
                <pt idx="2112">
                  <v>-0.5252530000634726</v>
                </pt>
                <pt idx="2113">
                  <v>-0.5252530000634726</v>
                </pt>
                <pt idx="2114">
                  <v>-0.5252530000634726</v>
                </pt>
                <pt idx="2115">
                  <v>-0.5252530000634726</v>
                </pt>
                <pt idx="2116">
                  <v>-0.5252530000634726</v>
                </pt>
                <pt idx="2117">
                  <v>-0.5252530000634726</v>
                </pt>
                <pt idx="2118">
                  <v>-0.5252530000634726</v>
                </pt>
                <pt idx="2119">
                  <v>-0.5252530000634726</v>
                </pt>
                <pt idx="2120">
                  <v>-0.5252530000634726</v>
                </pt>
                <pt idx="2121">
                  <v>-0.5252530000634726</v>
                </pt>
                <pt idx="2122">
                  <v>-0.5252530000634726</v>
                </pt>
                <pt idx="2123">
                  <v>-0.5252530000634726</v>
                </pt>
                <pt idx="2124">
                  <v>-0.5252530000634726</v>
                </pt>
                <pt idx="2125">
                  <v>-0.5252530000634726</v>
                </pt>
                <pt idx="2126">
                  <v>-0.5252530000634726</v>
                </pt>
                <pt idx="2127">
                  <v>-0.5252530000634726</v>
                </pt>
                <pt idx="2128">
                  <v>-0.5252530000634726</v>
                </pt>
                <pt idx="2129">
                  <v>-0.5252530000634726</v>
                </pt>
                <pt idx="2130">
                  <v>-0.5252530000634726</v>
                </pt>
                <pt idx="2131">
                  <v>-0.5252530000634726</v>
                </pt>
                <pt idx="2132">
                  <v>-0.5252530000634726</v>
                </pt>
                <pt idx="2133">
                  <v>-0.5252530000634726</v>
                </pt>
                <pt idx="2134">
                  <v>-0.5252530000634726</v>
                </pt>
                <pt idx="2135">
                  <v>-0.5252530000634726</v>
                </pt>
                <pt idx="2136">
                  <v>-0.5252530000634726</v>
                </pt>
                <pt idx="2137">
                  <v>-0.5252530000634726</v>
                </pt>
                <pt idx="2138">
                  <v>-0.5252530000634726</v>
                </pt>
                <pt idx="2139">
                  <v>-0.5252530000634726</v>
                </pt>
                <pt idx="2140">
                  <v>-0.5252530000634726</v>
                </pt>
                <pt idx="2141">
                  <v>-0.5252530000634726</v>
                </pt>
                <pt idx="2142">
                  <v>-0.5252530000634726</v>
                </pt>
                <pt idx="2143">
                  <v>-0.5252530000634726</v>
                </pt>
                <pt idx="2144">
                  <v>-0.5252530000634726</v>
                </pt>
                <pt idx="2145">
                  <v>-0.5252530000634726</v>
                </pt>
                <pt idx="2146">
                  <v>-0.5252530000634726</v>
                </pt>
                <pt idx="2147">
                  <v>-0.5252530000634726</v>
                </pt>
                <pt idx="2148">
                  <v>-0.5252530000634726</v>
                </pt>
                <pt idx="2149">
                  <v>-0.5252530000634726</v>
                </pt>
                <pt idx="2150">
                  <v>-0.5252530000634726</v>
                </pt>
                <pt idx="2151">
                  <v>-0.5252530000634726</v>
                </pt>
                <pt idx="2152">
                  <v>-0.5252530000634726</v>
                </pt>
                <pt idx="2153">
                  <v>-0.5252530000634726</v>
                </pt>
                <pt idx="2154">
                  <v>-0.5252530000634726</v>
                </pt>
                <pt idx="2155">
                  <v>-0.5252530000634726</v>
                </pt>
                <pt idx="2156">
                  <v>-0.5252530000634726</v>
                </pt>
                <pt idx="2157">
                  <v>-0.5252530000634726</v>
                </pt>
                <pt idx="2158">
                  <v>-0.5252530000634726</v>
                </pt>
                <pt idx="2159">
                  <v>-0.5252530000634726</v>
                </pt>
                <pt idx="2160">
                  <v>-0.5252530000634726</v>
                </pt>
                <pt idx="2161">
                  <v>-0.5252530000634726</v>
                </pt>
                <pt idx="2162">
                  <v>-0.5252530000634726</v>
                </pt>
                <pt idx="2163">
                  <v>-0.5252530000634726</v>
                </pt>
                <pt idx="2164">
                  <v>-0.5252530000634726</v>
                </pt>
                <pt idx="2165">
                  <v>-0.5252530000634726</v>
                </pt>
                <pt idx="2166">
                  <v>-0.5252530000634726</v>
                </pt>
                <pt idx="2167">
                  <v>-0.5252530000634726</v>
                </pt>
                <pt idx="2168">
                  <v>-0.5252530000634726</v>
                </pt>
                <pt idx="2169">
                  <v>-0.5252530000634726</v>
                </pt>
                <pt idx="2170">
                  <v>-0.5252530000634726</v>
                </pt>
                <pt idx="2171">
                  <v>-0.5252530000634726</v>
                </pt>
                <pt idx="2172">
                  <v>-0.5252530000634726</v>
                </pt>
                <pt idx="2173">
                  <v>-0.5252530000634726</v>
                </pt>
                <pt idx="2174">
                  <v>-0.5252530000634726</v>
                </pt>
                <pt idx="2175">
                  <v>-0.5252530000634726</v>
                </pt>
                <pt idx="2176">
                  <v>-0.5252530000634726</v>
                </pt>
                <pt idx="2177">
                  <v>-0.5252530000634726</v>
                </pt>
                <pt idx="2178">
                  <v>-0.5252530000634726</v>
                </pt>
                <pt idx="2179">
                  <v>-0.5252530000634726</v>
                </pt>
                <pt idx="2180">
                  <v>-0.5252530000634726</v>
                </pt>
                <pt idx="2181">
                  <v>-0.5252530000634726</v>
                </pt>
                <pt idx="2182">
                  <v>-0.5252530000634726</v>
                </pt>
                <pt idx="2183">
                  <v>-0.5252530000634726</v>
                </pt>
                <pt idx="2184">
                  <v>-0.5252530000634726</v>
                </pt>
                <pt idx="2185">
                  <v>-0.5252530000634726</v>
                </pt>
                <pt idx="2186">
                  <v>-0.5252530000634726</v>
                </pt>
                <pt idx="2187">
                  <v>-0.5252530000634726</v>
                </pt>
                <pt idx="2188">
                  <v>-0.5252530000634726</v>
                </pt>
                <pt idx="2189">
                  <v>-0.5252530000634726</v>
                </pt>
                <pt idx="2190">
                  <v>-0.5252530000634726</v>
                </pt>
                <pt idx="2191">
                  <v>-0.5252530000634726</v>
                </pt>
                <pt idx="2192">
                  <v>-0.5252530000634726</v>
                </pt>
                <pt idx="2193">
                  <v>-0.5252530000634726</v>
                </pt>
                <pt idx="2194">
                  <v>-0.5252530000634726</v>
                </pt>
                <pt idx="2195">
                  <v>-0.5252530000634726</v>
                </pt>
                <pt idx="2196">
                  <v>-0.5252530000634726</v>
                </pt>
                <pt idx="2197">
                  <v>-0.5252530000634726</v>
                </pt>
                <pt idx="2198">
                  <v>-0.5252530000634726</v>
                </pt>
                <pt idx="2199">
                  <v>-0.5252530000634726</v>
                </pt>
                <pt idx="2200">
                  <v>-0.5252530000634726</v>
                </pt>
                <pt idx="2201">
                  <v>-0.5252530000634726</v>
                </pt>
                <pt idx="2202">
                  <v>-0.5252530000634726</v>
                </pt>
                <pt idx="2203">
                  <v>-0.5252530000634726</v>
                </pt>
                <pt idx="2204">
                  <v>-0.5252530000634726</v>
                </pt>
                <pt idx="2205">
                  <v>-0.5252530000634726</v>
                </pt>
                <pt idx="2206">
                  <v>-0.5252530000634726</v>
                </pt>
                <pt idx="2207">
                  <v>-0.5252530000634726</v>
                </pt>
                <pt idx="2208">
                  <v>-0.5252530000634726</v>
                </pt>
                <pt idx="2209">
                  <v>-0.5252530000634726</v>
                </pt>
                <pt idx="2210">
                  <v>-0.5252530000634726</v>
                </pt>
                <pt idx="2211">
                  <v>-0.5252530000634726</v>
                </pt>
                <pt idx="2212">
                  <v>-0.5252530000634726</v>
                </pt>
                <pt idx="2213">
                  <v>-0.5252530000634726</v>
                </pt>
                <pt idx="2214">
                  <v>-0.5252530000634726</v>
                </pt>
                <pt idx="2215">
                  <v>-0.5252530000634726</v>
                </pt>
                <pt idx="2216">
                  <v>-0.5252530000634726</v>
                </pt>
                <pt idx="2217">
                  <v>-0.5252530000634726</v>
                </pt>
                <pt idx="2218">
                  <v>-0.5252530000634726</v>
                </pt>
                <pt idx="2219">
                  <v>-0.5252530000634726</v>
                </pt>
                <pt idx="2220">
                  <v>-0.5252530000634726</v>
                </pt>
                <pt idx="2221">
                  <v>-0.5252530000634726</v>
                </pt>
                <pt idx="2222">
                  <v>-0.5252530000634726</v>
                </pt>
                <pt idx="2223">
                  <v>-0.5252530000634726</v>
                </pt>
                <pt idx="2224">
                  <v>-0.5252530000634726</v>
                </pt>
                <pt idx="2225">
                  <v>-0.5252530000634726</v>
                </pt>
                <pt idx="2226">
                  <v>-0.5252530000634726</v>
                </pt>
                <pt idx="2227">
                  <v>-0.5252530000634726</v>
                </pt>
                <pt idx="2228">
                  <v>-0.5252530000634726</v>
                </pt>
                <pt idx="2229">
                  <v>-0.5252530000634726</v>
                </pt>
                <pt idx="2230">
                  <v>-0.5252530000634726</v>
                </pt>
                <pt idx="2231">
                  <v>-0.5252530000634726</v>
                </pt>
                <pt idx="2232">
                  <v>-0.5252530000634726</v>
                </pt>
                <pt idx="2233">
                  <v>-0.5252530000634726</v>
                </pt>
                <pt idx="2234">
                  <v>-0.5252530000634726</v>
                </pt>
                <pt idx="2235">
                  <v>-0.5252530000634726</v>
                </pt>
                <pt idx="2236">
                  <v>-0.5252530000634726</v>
                </pt>
                <pt idx="2237">
                  <v>-0.5252530000634726</v>
                </pt>
                <pt idx="2238">
                  <v>-0.5252530000634726</v>
                </pt>
                <pt idx="2239">
                  <v>-0.5252530000634726</v>
                </pt>
                <pt idx="2240">
                  <v>-0.5252530000634726</v>
                </pt>
                <pt idx="2241">
                  <v>-0.5252530000634726</v>
                </pt>
                <pt idx="2242">
                  <v>-0.5252530000634726</v>
                </pt>
                <pt idx="2243">
                  <v>-0.5252530000634726</v>
                </pt>
                <pt idx="2244">
                  <v>-0.5252530000634726</v>
                </pt>
                <pt idx="2245">
                  <v>-0.5252530000634726</v>
                </pt>
                <pt idx="2246">
                  <v>-0.5252530000634726</v>
                </pt>
                <pt idx="2247">
                  <v>-0.5252530000634726</v>
                </pt>
                <pt idx="2248">
                  <v>-0.5252530000634726</v>
                </pt>
                <pt idx="2249">
                  <v>-0.5252530000634726</v>
                </pt>
                <pt idx="2250">
                  <v>-0.5252530000634726</v>
                </pt>
                <pt idx="2251">
                  <v>-0.5252530000634726</v>
                </pt>
                <pt idx="2252">
                  <v>-0.5252530000634726</v>
                </pt>
                <pt idx="2253">
                  <v>-0.5252530000634726</v>
                </pt>
                <pt idx="2254">
                  <v>-0.5252530000634726</v>
                </pt>
                <pt idx="2255">
                  <v>-0.5252530000634726</v>
                </pt>
                <pt idx="2256">
                  <v>-0.5252530000634726</v>
                </pt>
                <pt idx="2257">
                  <v>-0.5252530000634726</v>
                </pt>
                <pt idx="2258">
                  <v>-0.5252530000634726</v>
                </pt>
                <pt idx="2259">
                  <v>-0.5252530000634726</v>
                </pt>
                <pt idx="2260">
                  <v>-0.5252530000634726</v>
                </pt>
                <pt idx="2261">
                  <v>-0.5252530000634726</v>
                </pt>
                <pt idx="2262">
                  <v>-0.5252530000634726</v>
                </pt>
                <pt idx="2263">
                  <v>-0.5252530000634726</v>
                </pt>
                <pt idx="2264">
                  <v>-0.5252530000634726</v>
                </pt>
                <pt idx="2265">
                  <v>-0.5252530000634726</v>
                </pt>
                <pt idx="2266">
                  <v>-0.5252530000634726</v>
                </pt>
                <pt idx="2267">
                  <v>-0.5252530000634726</v>
                </pt>
                <pt idx="2268">
                  <v>-0.5252530000634726</v>
                </pt>
                <pt idx="2269">
                  <v>-0.5252530000634726</v>
                </pt>
                <pt idx="2270">
                  <v>-0.5252530000634726</v>
                </pt>
                <pt idx="2271">
                  <v>-0.5252530000634726</v>
                </pt>
                <pt idx="2272">
                  <v>-0.5252530000634726</v>
                </pt>
                <pt idx="2273">
                  <v>-0.5252530000634726</v>
                </pt>
                <pt idx="2274">
                  <v>-0.5252530000634726</v>
                </pt>
                <pt idx="2275">
                  <v>-0.5252530000634726</v>
                </pt>
                <pt idx="2276">
                  <v>-0.5252530000634726</v>
                </pt>
                <pt idx="2277">
                  <v>-0.5252530000634726</v>
                </pt>
                <pt idx="2278">
                  <v>-0.5252530000634726</v>
                </pt>
                <pt idx="2279">
                  <v>-0.5252530000634726</v>
                </pt>
                <pt idx="2280">
                  <v>-0.5252530000634726</v>
                </pt>
                <pt idx="2281">
                  <v>-0.5252530000634726</v>
                </pt>
                <pt idx="2282">
                  <v>-0.5252530000634726</v>
                </pt>
                <pt idx="2283">
                  <v>-0.5252530000634726</v>
                </pt>
                <pt idx="2284">
                  <v>-0.5252530000634726</v>
                </pt>
                <pt idx="2285">
                  <v>-0.5252530000634726</v>
                </pt>
                <pt idx="2286">
                  <v>-0.5252530000634726</v>
                </pt>
                <pt idx="2287">
                  <v>-0.5252530000634726</v>
                </pt>
                <pt idx="2288">
                  <v>-0.5252530000634726</v>
                </pt>
                <pt idx="2289">
                  <v>-0.5252530000634726</v>
                </pt>
                <pt idx="2290">
                  <v>-0.5252530000634726</v>
                </pt>
                <pt idx="2291">
                  <v>-0.5252530000634726</v>
                </pt>
                <pt idx="2292">
                  <v>-0.5252530000634726</v>
                </pt>
                <pt idx="2293">
                  <v>-0.5252530000634726</v>
                </pt>
                <pt idx="2294">
                  <v>-0.5252530000634726</v>
                </pt>
                <pt idx="2295">
                  <v>-0.5252530000634726</v>
                </pt>
                <pt idx="2296">
                  <v>-0.5252530000634726</v>
                </pt>
                <pt idx="2297">
                  <v>-0.5252530000634726</v>
                </pt>
                <pt idx="2298">
                  <v>-0.5252530000634726</v>
                </pt>
                <pt idx="2299">
                  <v>-0.5252530000634726</v>
                </pt>
                <pt idx="2300">
                  <v>-0.5252530000634726</v>
                </pt>
                <pt idx="2301">
                  <v>-0.5252530000634726</v>
                </pt>
                <pt idx="2302">
                  <v>-0.5252530000634726</v>
                </pt>
                <pt idx="2303">
                  <v>-0.5252530000634726</v>
                </pt>
                <pt idx="2304">
                  <v>-0.5252530000634726</v>
                </pt>
                <pt idx="2305">
                  <v>-0.5252530000634726</v>
                </pt>
                <pt idx="2306">
                  <v>-0.5252530000634726</v>
                </pt>
                <pt idx="2307">
                  <v>-0.5252530000634726</v>
                </pt>
                <pt idx="2308">
                  <v>-0.5252530000634726</v>
                </pt>
                <pt idx="2309">
                  <v>-0.5252530000634726</v>
                </pt>
                <pt idx="2310">
                  <v>-0.5252530000634726</v>
                </pt>
                <pt idx="2311">
                  <v>-0.5252530000634726</v>
                </pt>
                <pt idx="2312">
                  <v>-0.5252530000634726</v>
                </pt>
                <pt idx="2313">
                  <v>-0.5252530000634726</v>
                </pt>
                <pt idx="2314">
                  <v>-0.5252530000634726</v>
                </pt>
                <pt idx="2315">
                  <v>-0.5252530000634726</v>
                </pt>
                <pt idx="2316">
                  <v>-0.5252530000634726</v>
                </pt>
                <pt idx="2317">
                  <v>-0.5252530000634726</v>
                </pt>
                <pt idx="2318">
                  <v>-0.5252530000634726</v>
                </pt>
                <pt idx="2319">
                  <v>-0.5252530000634726</v>
                </pt>
                <pt idx="2320">
                  <v>-0.5252530000634726</v>
                </pt>
                <pt idx="2321">
                  <v>-0.5252530000634726</v>
                </pt>
                <pt idx="2322">
                  <v>-0.5252530000634726</v>
                </pt>
                <pt idx="2323">
                  <v>-0.5252530000634726</v>
                </pt>
                <pt idx="2324">
                  <v>-0.5252530000634726</v>
                </pt>
                <pt idx="2325">
                  <v>-0.5252530000634726</v>
                </pt>
                <pt idx="2326">
                  <v>-0.5252530000634726</v>
                </pt>
                <pt idx="2327">
                  <v>-0.5252530000634726</v>
                </pt>
                <pt idx="2328">
                  <v>-0.5252530000634726</v>
                </pt>
                <pt idx="2329">
                  <v>-0.5252530000634726</v>
                </pt>
                <pt idx="2330">
                  <v>-0.5252530000634726</v>
                </pt>
                <pt idx="2331">
                  <v>-0.5252530000634726</v>
                </pt>
                <pt idx="2332">
                  <v>-0.5252530000634726</v>
                </pt>
                <pt idx="2333">
                  <v>-0.5252530000634726</v>
                </pt>
                <pt idx="2334">
                  <v>-0.5252530000634726</v>
                </pt>
                <pt idx="2335">
                  <v>-0.5252530000634726</v>
                </pt>
                <pt idx="2336">
                  <v>-0.5252530000634726</v>
                </pt>
                <pt idx="2337">
                  <v>-0.5252530000634726</v>
                </pt>
                <pt idx="2338">
                  <v>-0.5252530000634726</v>
                </pt>
                <pt idx="2339">
                  <v>-0.5252530000634726</v>
                </pt>
                <pt idx="2340">
                  <v>-0.5252530000634726</v>
                </pt>
                <pt idx="2341">
                  <v>-0.5252530000634726</v>
                </pt>
                <pt idx="2342">
                  <v>-0.5252530000634726</v>
                </pt>
                <pt idx="2343">
                  <v>-0.5252530000634726</v>
                </pt>
                <pt idx="2344">
                  <v>-0.5252530000634726</v>
                </pt>
                <pt idx="2345">
                  <v>-0.5252530000634726</v>
                </pt>
                <pt idx="2346">
                  <v>-0.5252530000634726</v>
                </pt>
                <pt idx="2347">
                  <v>-0.5252530000634726</v>
                </pt>
                <pt idx="2348">
                  <v>-0.5252530000634726</v>
                </pt>
                <pt idx="2349">
                  <v>-0.5252530000634726</v>
                </pt>
                <pt idx="2350">
                  <v>-0.5252530000634726</v>
                </pt>
                <pt idx="2351">
                  <v>-0.5252530000634726</v>
                </pt>
                <pt idx="2352">
                  <v>-0.5252530000634726</v>
                </pt>
                <pt idx="2353">
                  <v>-0.5252530000634726</v>
                </pt>
                <pt idx="2354">
                  <v>-0.5252530000634726</v>
                </pt>
                <pt idx="2355">
                  <v>-0.5252530000634726</v>
                </pt>
                <pt idx="2356">
                  <v>-0.5252530000634726</v>
                </pt>
                <pt idx="2357">
                  <v>-0.5252530000634726</v>
                </pt>
                <pt idx="2358">
                  <v>-0.5252530000634726</v>
                </pt>
                <pt idx="2359">
                  <v>-0.5252530000634726</v>
                </pt>
                <pt idx="2360">
                  <v>-0.5252530000634726</v>
                </pt>
                <pt idx="2361">
                  <v>-0.5252530000634726</v>
                </pt>
                <pt idx="2362">
                  <v>-0.5252530000634726</v>
                </pt>
                <pt idx="2363">
                  <v>-0.5252530000634726</v>
                </pt>
                <pt idx="2364">
                  <v>-0.5252530000634726</v>
                </pt>
                <pt idx="2365">
                  <v>-0.5252530000634726</v>
                </pt>
                <pt idx="2366">
                  <v>-0.5252530000634726</v>
                </pt>
                <pt idx="2367">
                  <v>-0.5252530000634726</v>
                </pt>
                <pt idx="2368">
                  <v>-0.5252530000634726</v>
                </pt>
                <pt idx="2369">
                  <v>-0.5252530000634726</v>
                </pt>
                <pt idx="2370">
                  <v>-0.5252530000634726</v>
                </pt>
                <pt idx="2371">
                  <v>-0.5252530000634726</v>
                </pt>
                <pt idx="2372">
                  <v>-0.5252530000634726</v>
                </pt>
                <pt idx="2373">
                  <v>-0.5252530000634726</v>
                </pt>
                <pt idx="2374">
                  <v>-0.5252530000634726</v>
                </pt>
                <pt idx="2375">
                  <v>-0.5252530000634726</v>
                </pt>
                <pt idx="2376">
                  <v>-0.5252530000634726</v>
                </pt>
                <pt idx="2377">
                  <v>-0.5252530000634726</v>
                </pt>
                <pt idx="2378">
                  <v>-0.5252530000634726</v>
                </pt>
                <pt idx="2379">
                  <v>-0.5252530000634726</v>
                </pt>
                <pt idx="2380">
                  <v>-0.5252530000634726</v>
                </pt>
                <pt idx="2381">
                  <v>-0.5252530000634726</v>
                </pt>
                <pt idx="2382">
                  <v>-0.5252530000634726</v>
                </pt>
                <pt idx="2383">
                  <v>-0.5252530000634726</v>
                </pt>
                <pt idx="2384">
                  <v>-0.5252530000634726</v>
                </pt>
                <pt idx="2385">
                  <v>-0.5252530000634726</v>
                </pt>
                <pt idx="2386">
                  <v>-0.5252530000634726</v>
                </pt>
                <pt idx="2387">
                  <v>-0.5252530000634726</v>
                </pt>
                <pt idx="2388">
                  <v>-0.5252530000634726</v>
                </pt>
                <pt idx="2389">
                  <v>-0.5252530000634726</v>
                </pt>
                <pt idx="2390">
                  <v>-0.5252530000634726</v>
                </pt>
                <pt idx="2391">
                  <v>-0.5252530000634726</v>
                </pt>
                <pt idx="2392">
                  <v>-0.5252530000634726</v>
                </pt>
                <pt idx="2393">
                  <v>-0.5252530000634726</v>
                </pt>
                <pt idx="2394">
                  <v>-0.5252530000634726</v>
                </pt>
                <pt idx="2395">
                  <v>-0.5252530000634726</v>
                </pt>
                <pt idx="2396">
                  <v>-0.5252530000634726</v>
                </pt>
                <pt idx="2397">
                  <v>-0.5252530000634726</v>
                </pt>
                <pt idx="2398">
                  <v>-0.5252530000634726</v>
                </pt>
                <pt idx="2399">
                  <v>-0.5252530000634726</v>
                </pt>
                <pt idx="2400">
                  <v>-0.5252530000634726</v>
                </pt>
                <pt idx="2401">
                  <v>-0.5252530000634726</v>
                </pt>
                <pt idx="2402">
                  <v>-0.5252530000634726</v>
                </pt>
                <pt idx="2403">
                  <v>-0.5252530000634726</v>
                </pt>
                <pt idx="2404">
                  <v>-0.5252530000634726</v>
                </pt>
                <pt idx="2405">
                  <v>-0.5252530000634726</v>
                </pt>
                <pt idx="2406">
                  <v>-0.5252530000634726</v>
                </pt>
                <pt idx="2407">
                  <v>-0.5252530000634726</v>
                </pt>
                <pt idx="2408">
                  <v>-0.5252530000634726</v>
                </pt>
                <pt idx="2409">
                  <v>-0.5252530000634726</v>
                </pt>
                <pt idx="2410">
                  <v>-0.5252530000634726</v>
                </pt>
                <pt idx="2411">
                  <v>-0.5252530000634726</v>
                </pt>
                <pt idx="2412">
                  <v>-0.5252530000634726</v>
                </pt>
                <pt idx="2413">
                  <v>-0.5252530000634726</v>
                </pt>
                <pt idx="2414">
                  <v>-0.5252530000634726</v>
                </pt>
                <pt idx="2415">
                  <v>-0.5252530000634726</v>
                </pt>
                <pt idx="2416">
                  <v>-0.5252530000634726</v>
                </pt>
                <pt idx="2417">
                  <v>-0.5252530000634726</v>
                </pt>
                <pt idx="2418">
                  <v>-0.5252530000634726</v>
                </pt>
                <pt idx="2419">
                  <v>-0.5252530000634726</v>
                </pt>
                <pt idx="2420">
                  <v>-0.5252530000634726</v>
                </pt>
                <pt idx="2421">
                  <v>-0.5252530000634726</v>
                </pt>
                <pt idx="2422">
                  <v>-0.5252530000634726</v>
                </pt>
                <pt idx="2423">
                  <v>-0.5252530000634726</v>
                </pt>
                <pt idx="2424">
                  <v>-0.5252530000634726</v>
                </pt>
                <pt idx="2425">
                  <v>-0.5252530000634726</v>
                </pt>
                <pt idx="2426">
                  <v>-0.5252530000634726</v>
                </pt>
                <pt idx="2427">
                  <v>-0.5252530000634726</v>
                </pt>
                <pt idx="2428">
                  <v>-0.5252530000634726</v>
                </pt>
                <pt idx="2429">
                  <v>-0.5252530000634726</v>
                </pt>
                <pt idx="2430">
                  <v>-0.5252530000634726</v>
                </pt>
                <pt idx="2431">
                  <v>-0.5252530000634726</v>
                </pt>
                <pt idx="2432">
                  <v>-0.5252530000634726</v>
                </pt>
                <pt idx="2433">
                  <v>-0.5252530000634726</v>
                </pt>
                <pt idx="2434">
                  <v>-0.5252530000634726</v>
                </pt>
                <pt idx="2435">
                  <v>-0.5252530000634726</v>
                </pt>
                <pt idx="2436">
                  <v>-0.5252530000634726</v>
                </pt>
                <pt idx="2437">
                  <v>-0.5252530000634726</v>
                </pt>
                <pt idx="2438">
                  <v>-0.5252530000634726</v>
                </pt>
                <pt idx="2439">
                  <v>-0.5252530000634726</v>
                </pt>
                <pt idx="2440">
                  <v>-0.5252530000634726</v>
                </pt>
                <pt idx="2441">
                  <v>-0.5252530000634726</v>
                </pt>
                <pt idx="2442">
                  <v>-0.5252530000634726</v>
                </pt>
                <pt idx="2443">
                  <v>-0.5252530000634726</v>
                </pt>
                <pt idx="2444">
                  <v>-0.5252530000634726</v>
                </pt>
                <pt idx="2445">
                  <v>-0.5252530000634726</v>
                </pt>
                <pt idx="2446">
                  <v>-0.5252530000634726</v>
                </pt>
                <pt idx="2447">
                  <v>-0.5252530000634726</v>
                </pt>
                <pt idx="2448">
                  <v>-0.5252530000634726</v>
                </pt>
                <pt idx="2449">
                  <v>-0.5252530000634726</v>
                </pt>
                <pt idx="2450">
                  <v>-0.5252530000634726</v>
                </pt>
                <pt idx="2451">
                  <v>-0.5252530000634726</v>
                </pt>
                <pt idx="2452">
                  <v>-0.5252530000634726</v>
                </pt>
                <pt idx="2453">
                  <v>-0.5252530000634726</v>
                </pt>
                <pt idx="2454">
                  <v>-0.5252530000634726</v>
                </pt>
                <pt idx="2455">
                  <v>-0.5252530000634726</v>
                </pt>
                <pt idx="2456">
                  <v>-0.5252530000634726</v>
                </pt>
                <pt idx="2457">
                  <v>-0.5252530000634726</v>
                </pt>
                <pt idx="2458">
                  <v>-0.5252530000634726</v>
                </pt>
                <pt idx="2459">
                  <v>-0.5252530000634726</v>
                </pt>
                <pt idx="2460">
                  <v>-0.5252530000634726</v>
                </pt>
                <pt idx="2461">
                  <v>-0.5252530000634726</v>
                </pt>
                <pt idx="2462">
                  <v>-0.5252530000634726</v>
                </pt>
                <pt idx="2463">
                  <v>-0.5252530000634726</v>
                </pt>
                <pt idx="2464">
                  <v>-0.5252530000634726</v>
                </pt>
                <pt idx="2465">
                  <v>-0.5252530000634726</v>
                </pt>
                <pt idx="2466">
                  <v>-0.5252530000634726</v>
                </pt>
                <pt idx="2467">
                  <v>-0.5252530000634726</v>
                </pt>
                <pt idx="2468">
                  <v>-0.5252530000634726</v>
                </pt>
                <pt idx="2469">
                  <v>-0.5252530000634726</v>
                </pt>
                <pt idx="2470">
                  <v>-0.5252530000634726</v>
                </pt>
                <pt idx="2471">
                  <v>-0.5252530000634726</v>
                </pt>
                <pt idx="2472">
                  <v>-0.5252530000634726</v>
                </pt>
                <pt idx="2473">
                  <v>-0.5252530000634726</v>
                </pt>
                <pt idx="2474">
                  <v>-0.5252530000634726</v>
                </pt>
                <pt idx="2475">
                  <v>-0.5252530000634726</v>
                </pt>
                <pt idx="2476">
                  <v>-0.5252530000634726</v>
                </pt>
                <pt idx="2477">
                  <v>-0.5252530000634726</v>
                </pt>
                <pt idx="2478">
                  <v>-0.5252530000634726</v>
                </pt>
                <pt idx="2479">
                  <v>-0.5252530000634726</v>
                </pt>
                <pt idx="2480">
                  <v>-0.5252530000634726</v>
                </pt>
                <pt idx="2481">
                  <v>-0.5252530000634726</v>
                </pt>
                <pt idx="2482">
                  <v>-0.5252530000634726</v>
                </pt>
                <pt idx="2483">
                  <v>-0.5252530000634726</v>
                </pt>
                <pt idx="2484">
                  <v>-0.5252530000634726</v>
                </pt>
                <pt idx="2485">
                  <v>-0.5252530000634726</v>
                </pt>
                <pt idx="2486">
                  <v>-0.5252530000634726</v>
                </pt>
                <pt idx="2487">
                  <v>-0.5252530000634726</v>
                </pt>
                <pt idx="2488">
                  <v>-0.5252530000634726</v>
                </pt>
                <pt idx="2489">
                  <v>-0.5252530000634726</v>
                </pt>
                <pt idx="2490">
                  <v>-0.5252530000634726</v>
                </pt>
                <pt idx="2491">
                  <v>-0.5252530000634726</v>
                </pt>
                <pt idx="2492">
                  <v>-0.5252530000634726</v>
                </pt>
                <pt idx="2493">
                  <v>-0.5252530000634726</v>
                </pt>
                <pt idx="2494">
                  <v>-0.5252530000634726</v>
                </pt>
                <pt idx="2495">
                  <v>-0.5252530000634726</v>
                </pt>
                <pt idx="2496">
                  <v>-0.5252530000634726</v>
                </pt>
                <pt idx="2497">
                  <v>-0.5252530000634726</v>
                </pt>
                <pt idx="2498">
                  <v>-0.5252530000634726</v>
                </pt>
                <pt idx="2499">
                  <v>-0.5252530000634726</v>
                </pt>
                <pt idx="2500">
                  <v>-0.5252530000634726</v>
                </pt>
                <pt idx="2501">
                  <v>-0.5252530000634726</v>
                </pt>
                <pt idx="2502">
                  <v>-0.5252530000634726</v>
                </pt>
                <pt idx="2503">
                  <v>-0.5252530000634726</v>
                </pt>
                <pt idx="2504">
                  <v>-0.5252530000634726</v>
                </pt>
                <pt idx="2505">
                  <v>-0.5252530000634726</v>
                </pt>
                <pt idx="2506">
                  <v>-0.5252530000634726</v>
                </pt>
                <pt idx="2507">
                  <v>-0.5252530000634726</v>
                </pt>
                <pt idx="2508">
                  <v>-0.5252530000634726</v>
                </pt>
                <pt idx="2509">
                  <v>-0.5252530000634726</v>
                </pt>
                <pt idx="2510">
                  <v>-0.5252530000634726</v>
                </pt>
                <pt idx="2511">
                  <v>-0.5252530000634726</v>
                </pt>
                <pt idx="2512">
                  <v>-0.5252530000634726</v>
                </pt>
                <pt idx="2513">
                  <v>-0.5252530000634726</v>
                </pt>
                <pt idx="2514">
                  <v>-0.5252530000634726</v>
                </pt>
                <pt idx="2515">
                  <v>-0.5252530000634726</v>
                </pt>
                <pt idx="2516">
                  <v>-0.5252530000634726</v>
                </pt>
                <pt idx="2517">
                  <v>-0.5252530000634726</v>
                </pt>
                <pt idx="2518">
                  <v>-0.5252530000634726</v>
                </pt>
                <pt idx="2519">
                  <v>-0.5252530000634726</v>
                </pt>
                <pt idx="2520">
                  <v>-0.5252530000634726</v>
                </pt>
                <pt idx="2521">
                  <v>-0.5252530000634726</v>
                </pt>
                <pt idx="2522">
                  <v>-0.5252530000634726</v>
                </pt>
                <pt idx="2523">
                  <v>-0.5252530000634726</v>
                </pt>
                <pt idx="2524">
                  <v>-0.5252530000634726</v>
                </pt>
                <pt idx="2525">
                  <v>-0.5252530000634726</v>
                </pt>
                <pt idx="2526">
                  <v>-0.5252530000634726</v>
                </pt>
                <pt idx="2527">
                  <v>-0.5252530000634726</v>
                </pt>
                <pt idx="2528">
                  <v>-0.5252530000634726</v>
                </pt>
                <pt idx="2529">
                  <v>-0.5252530000634726</v>
                </pt>
                <pt idx="2530">
                  <v>-0.5252530000634726</v>
                </pt>
                <pt idx="2531">
                  <v>-0.5252530000634726</v>
                </pt>
                <pt idx="2532">
                  <v>-0.5252530000634726</v>
                </pt>
                <pt idx="2533">
                  <v>-0.5252530000634726</v>
                </pt>
                <pt idx="2534">
                  <v>-0.5252530000634726</v>
                </pt>
                <pt idx="2535">
                  <v>-0.5252530000634726</v>
                </pt>
                <pt idx="2536">
                  <v>-0.5252530000634726</v>
                </pt>
                <pt idx="2537">
                  <v>-0.5252530000634726</v>
                </pt>
                <pt idx="2538">
                  <v>-0.5252530000634726</v>
                </pt>
                <pt idx="2539">
                  <v>-0.5252530000634726</v>
                </pt>
                <pt idx="2540">
                  <v>-0.5252530000634726</v>
                </pt>
                <pt idx="2541">
                  <v>-0.5252530000634726</v>
                </pt>
                <pt idx="2542">
                  <v>-0.5252530000634726</v>
                </pt>
                <pt idx="2543">
                  <v>-0.5252530000634726</v>
                </pt>
                <pt idx="2544">
                  <v>-0.5252530000634726</v>
                </pt>
                <pt idx="2545">
                  <v>-0.5252530000634726</v>
                </pt>
                <pt idx="2546">
                  <v>-0.5252530000634726</v>
                </pt>
                <pt idx="2547">
                  <v>-0.5252530000634726</v>
                </pt>
                <pt idx="2548">
                  <v>-0.5252530000634726</v>
                </pt>
                <pt idx="2549">
                  <v>-0.5252530000634726</v>
                </pt>
                <pt idx="2550">
                  <v>-0.5252530000634726</v>
                </pt>
                <pt idx="2551">
                  <v>-0.5252530000634726</v>
                </pt>
                <pt idx="2552">
                  <v>-0.5252530000634726</v>
                </pt>
                <pt idx="2553">
                  <v>-0.5252530000634726</v>
                </pt>
                <pt idx="2554">
                  <v>-0.5252530000634726</v>
                </pt>
                <pt idx="2555">
                  <v>-0.5252530000634726</v>
                </pt>
                <pt idx="2556">
                  <v>-0.5252530000634726</v>
                </pt>
                <pt idx="2557">
                  <v>-0.5252530000634726</v>
                </pt>
                <pt idx="2558">
                  <v>-0.5252530000634726</v>
                </pt>
                <pt idx="2559">
                  <v>-0.5252530000634726</v>
                </pt>
                <pt idx="2560">
                  <v>-0.5252530000634726</v>
                </pt>
                <pt idx="2561">
                  <v>-0.5252530000634726</v>
                </pt>
                <pt idx="2562">
                  <v>-0.5252530000634726</v>
                </pt>
                <pt idx="2563">
                  <v>-0.5252530000634726</v>
                </pt>
                <pt idx="2564">
                  <v>-0.5252530000634726</v>
                </pt>
                <pt idx="2565">
                  <v>-0.5252530000634726</v>
                </pt>
                <pt idx="2566">
                  <v>-0.5252530000634726</v>
                </pt>
                <pt idx="2567">
                  <v>-0.5252530000634726</v>
                </pt>
                <pt idx="2568">
                  <v>-0.5252530000634726</v>
                </pt>
                <pt idx="2569">
                  <v>-0.5252530000634726</v>
                </pt>
                <pt idx="2570">
                  <v>-0.5252530000634726</v>
                </pt>
                <pt idx="2571">
                  <v>-0.5252530000634726</v>
                </pt>
                <pt idx="2572">
                  <v>-0.5252530000634726</v>
                </pt>
                <pt idx="2573">
                  <v>-0.5252530000634726</v>
                </pt>
                <pt idx="2574">
                  <v>-0.5252530000634726</v>
                </pt>
                <pt idx="2575">
                  <v>-0.5252530000634726</v>
                </pt>
                <pt idx="2576">
                  <v>-0.5252530000634726</v>
                </pt>
                <pt idx="2577">
                  <v>-0.5252530000634726</v>
                </pt>
                <pt idx="2578">
                  <v>-0.5252530000634726</v>
                </pt>
                <pt idx="2579">
                  <v>-0.5252530000634726</v>
                </pt>
                <pt idx="2580">
                  <v>-0.5252530000634726</v>
                </pt>
                <pt idx="2581">
                  <v>-0.5252530000634726</v>
                </pt>
                <pt idx="2582">
                  <v>-0.5252530000634726</v>
                </pt>
                <pt idx="2583">
                  <v>-0.5252530000634726</v>
                </pt>
                <pt idx="2584">
                  <v>-0.5252530000634726</v>
                </pt>
                <pt idx="2585">
                  <v>-0.5252530000634726</v>
                </pt>
                <pt idx="2586">
                  <v>-0.5252530000634726</v>
                </pt>
                <pt idx="2587">
                  <v>-0.5252530000634726</v>
                </pt>
                <pt idx="2588">
                  <v>-0.5252530000634726</v>
                </pt>
                <pt idx="2589">
                  <v>-0.5252530000634726</v>
                </pt>
                <pt idx="2590">
                  <v>-0.5252530000634726</v>
                </pt>
                <pt idx="2591">
                  <v>-0.5252530000634726</v>
                </pt>
                <pt idx="2592">
                  <v>-0.5252530000634726</v>
                </pt>
                <pt idx="2593">
                  <v>-0.5252530000634726</v>
                </pt>
                <pt idx="2594">
                  <v>-0.5252530000634726</v>
                </pt>
                <pt idx="2595">
                  <v>-0.5252530000634726</v>
                </pt>
                <pt idx="2596">
                  <v>-0.5252530000634726</v>
                </pt>
                <pt idx="2597">
                  <v>-0.5252530000634726</v>
                </pt>
                <pt idx="2598">
                  <v>-0.5252530000634726</v>
                </pt>
                <pt idx="2599">
                  <v>-0.5252530000634726</v>
                </pt>
                <pt idx="2600">
                  <v>-0.5252530000634726</v>
                </pt>
                <pt idx="2601">
                  <v>-0.5252530000634726</v>
                </pt>
                <pt idx="2602">
                  <v>-0.5252530000634726</v>
                </pt>
                <pt idx="2603">
                  <v>-0.5252530000634726</v>
                </pt>
                <pt idx="2604">
                  <v>-0.5252530000634726</v>
                </pt>
                <pt idx="2605">
                  <v>-0.5252530000634726</v>
                </pt>
                <pt idx="2606">
                  <v>-0.5252530000634726</v>
                </pt>
                <pt idx="2607">
                  <v>-0.5252530000634726</v>
                </pt>
                <pt idx="2608">
                  <v>-0.5252530000634726</v>
                </pt>
                <pt idx="2609">
                  <v>-0.5252530000634726</v>
                </pt>
                <pt idx="2610">
                  <v>-0.5252530000634726</v>
                </pt>
                <pt idx="2611">
                  <v>-0.5252530000634726</v>
                </pt>
                <pt idx="2612">
                  <v>-0.5252530000634726</v>
                </pt>
                <pt idx="2613">
                  <v>-0.5252530000634726</v>
                </pt>
                <pt idx="2614">
                  <v>-0.5252530000634726</v>
                </pt>
                <pt idx="2615">
                  <v>-0.5252530000634726</v>
                </pt>
                <pt idx="2616">
                  <v>-0.5252530000634726</v>
                </pt>
                <pt idx="2617">
                  <v>-0.5252530000634726</v>
                </pt>
                <pt idx="2618">
                  <v>-0.5252530000634726</v>
                </pt>
                <pt idx="2619">
                  <v>-0.5252530000634726</v>
                </pt>
                <pt idx="2620">
                  <v>-0.5252530000634726</v>
                </pt>
                <pt idx="2621">
                  <v>-0.5252530000634726</v>
                </pt>
                <pt idx="2622">
                  <v>-0.5252530000634726</v>
                </pt>
                <pt idx="2623">
                  <v>-0.5252530000634726</v>
                </pt>
                <pt idx="2624">
                  <v>-0.5252530000634726</v>
                </pt>
                <pt idx="2625">
                  <v>-0.5252530000634726</v>
                </pt>
                <pt idx="2626">
                  <v>-0.5252530000634726</v>
                </pt>
                <pt idx="2627">
                  <v>-0.5252530000634726</v>
                </pt>
                <pt idx="2628">
                  <v>-0.5252530000634726</v>
                </pt>
                <pt idx="2629">
                  <v>-0.5252530000634726</v>
                </pt>
                <pt idx="2630">
                  <v>-0.5252530000634726</v>
                </pt>
                <pt idx="2631">
                  <v>-0.5252530000634726</v>
                </pt>
                <pt idx="2632">
                  <v>-0.5252530000634726</v>
                </pt>
                <pt idx="2633">
                  <v>-0.5252530000634726</v>
                </pt>
                <pt idx="2634">
                  <v>-0.5252530000634726</v>
                </pt>
                <pt idx="2635">
                  <v>-0.5252530000634726</v>
                </pt>
                <pt idx="2636">
                  <v>-0.5252530000634726</v>
                </pt>
                <pt idx="2637">
                  <v>-0.5252530000634726</v>
                </pt>
                <pt idx="2638">
                  <v>-0.5252530000634726</v>
                </pt>
                <pt idx="2639">
                  <v>-0.5252530000634726</v>
                </pt>
                <pt idx="2640">
                  <v>-0.5252530000634726</v>
                </pt>
                <pt idx="2641">
                  <v>-0.5252530000634726</v>
                </pt>
                <pt idx="2642">
                  <v>-0.5252530000634726</v>
                </pt>
                <pt idx="2643">
                  <v>-0.5252530000634726</v>
                </pt>
                <pt idx="2644">
                  <v>-0.5252530000634726</v>
                </pt>
                <pt idx="2645">
                  <v>-0.5252530000634726</v>
                </pt>
                <pt idx="2646">
                  <v>-0.5252530000634726</v>
                </pt>
                <pt idx="2647">
                  <v>-0.5252530000634726</v>
                </pt>
                <pt idx="2648">
                  <v>-0.5252530000634726</v>
                </pt>
                <pt idx="2649">
                  <v>-0.5252530000634726</v>
                </pt>
                <pt idx="2650">
                  <v>-0.5252530000634726</v>
                </pt>
                <pt idx="2651">
                  <v>-0.5252530000634726</v>
                </pt>
                <pt idx="2652">
                  <v>-0.5252530000634726</v>
                </pt>
                <pt idx="2653">
                  <v>-0.5252530000634726</v>
                </pt>
                <pt idx="2654">
                  <v>-0.5252530000634726</v>
                </pt>
                <pt idx="2655">
                  <v>-0.5252530000634726</v>
                </pt>
                <pt idx="2656">
                  <v>-0.5252530000634726</v>
                </pt>
                <pt idx="2657">
                  <v>-0.5252530000634726</v>
                </pt>
                <pt idx="2658">
                  <v>-0.5252530000634726</v>
                </pt>
                <pt idx="2659">
                  <v>-0.5252530000634726</v>
                </pt>
                <pt idx="2660">
                  <v>-0.5252530000634726</v>
                </pt>
                <pt idx="2661">
                  <v>-0.5252530000634726</v>
                </pt>
                <pt idx="2662">
                  <v>-0.5252530000634726</v>
                </pt>
                <pt idx="2663">
                  <v>-0.5252530000634726</v>
                </pt>
                <pt idx="2664">
                  <v>-0.5252530000634726</v>
                </pt>
                <pt idx="2665">
                  <v>-0.5252530000634726</v>
                </pt>
                <pt idx="2666">
                  <v>-0.5252530000634726</v>
                </pt>
                <pt idx="2667">
                  <v>-0.5252530000634726</v>
                </pt>
                <pt idx="2668">
                  <v>-0.5252530000634726</v>
                </pt>
                <pt idx="2669">
                  <v>-0.5252530000634726</v>
                </pt>
                <pt idx="2670">
                  <v>-0.5252530000634726</v>
                </pt>
                <pt idx="2671">
                  <v>-0.5252530000634726</v>
                </pt>
                <pt idx="2672">
                  <v>-0.5252530000634726</v>
                </pt>
                <pt idx="2673">
                  <v>-0.5252530000634726</v>
                </pt>
                <pt idx="2674">
                  <v>-0.5252530000634726</v>
                </pt>
                <pt idx="2675">
                  <v>-0.5252530000634726</v>
                </pt>
                <pt idx="2676">
                  <v>-0.5252530000634726</v>
                </pt>
                <pt idx="2677">
                  <v>-0.5252530000634726</v>
                </pt>
                <pt idx="2678">
                  <v>-0.5252530000634726</v>
                </pt>
                <pt idx="2679">
                  <v>-0.5252530000634726</v>
                </pt>
                <pt idx="2680">
                  <v>-0.5252530000634726</v>
                </pt>
                <pt idx="2681">
                  <v>-0.5252530000634726</v>
                </pt>
                <pt idx="2682">
                  <v>-0.5252530000634726</v>
                </pt>
                <pt idx="2683">
                  <v>-0.5252530000634726</v>
                </pt>
                <pt idx="2684">
                  <v>-0.5252530000634726</v>
                </pt>
                <pt idx="2685">
                  <v>-0.5252530000634726</v>
                </pt>
                <pt idx="2686">
                  <v>-0.5252530000634726</v>
                </pt>
                <pt idx="2687">
                  <v>-0.5252530000634726</v>
                </pt>
                <pt idx="2688">
                  <v>-0.5252530000634726</v>
                </pt>
                <pt idx="2689">
                  <v>-0.5252530000634726</v>
                </pt>
                <pt idx="2690">
                  <v>-0.5252530000634726</v>
                </pt>
                <pt idx="2691">
                  <v>-0.5252530000634726</v>
                </pt>
                <pt idx="2692">
                  <v>-0.5252530000634726</v>
                </pt>
                <pt idx="2693">
                  <v>-0.5252530000634726</v>
                </pt>
                <pt idx="2694">
                  <v>-0.5252530000634726</v>
                </pt>
                <pt idx="2695">
                  <v>-0.5252530000634726</v>
                </pt>
                <pt idx="2696">
                  <v>-0.5252530000634726</v>
                </pt>
                <pt idx="2697">
                  <v>-0.5252530000634726</v>
                </pt>
                <pt idx="2698">
                  <v>-0.5252530000634726</v>
                </pt>
                <pt idx="2699">
                  <v>-0.5252530000634726</v>
                </pt>
                <pt idx="2700">
                  <v>-0.5252530000634726</v>
                </pt>
                <pt idx="2701">
                  <v>-0.5252530000634726</v>
                </pt>
                <pt idx="2702">
                  <v>-0.5252530000634726</v>
                </pt>
                <pt idx="2703">
                  <v>-0.5252530000634726</v>
                </pt>
                <pt idx="2704">
                  <v>-0.5252530000634726</v>
                </pt>
                <pt idx="2705">
                  <v>-0.5252530000634726</v>
                </pt>
                <pt idx="2706">
                  <v>-0.5252530000634726</v>
                </pt>
                <pt idx="2707">
                  <v>-0.5252530000634726</v>
                </pt>
                <pt idx="2708">
                  <v>-0.5252530000634726</v>
                </pt>
                <pt idx="2709">
                  <v>-0.5252530000634726</v>
                </pt>
                <pt idx="2710">
                  <v>-0.5252530000634726</v>
                </pt>
                <pt idx="2711">
                  <v>-0.5252530000634726</v>
                </pt>
                <pt idx="2712">
                  <v>-0.5252530000634726</v>
                </pt>
                <pt idx="2713">
                  <v>-0.5252530000634726</v>
                </pt>
                <pt idx="2714">
                  <v>-0.5252530000634726</v>
                </pt>
                <pt idx="2715">
                  <v>-0.5252530000634726</v>
                </pt>
                <pt idx="2716">
                  <v>-0.5252530000634726</v>
                </pt>
                <pt idx="2717">
                  <v>-0.5252530000634726</v>
                </pt>
                <pt idx="2718">
                  <v>-0.5252530000634726</v>
                </pt>
                <pt idx="2719">
                  <v>-0.5252530000634726</v>
                </pt>
                <pt idx="2720">
                  <v>-0.5252530000634726</v>
                </pt>
                <pt idx="2721">
                  <v>-0.5252530000634726</v>
                </pt>
                <pt idx="2722">
                  <v>-0.5252530000634726</v>
                </pt>
                <pt idx="2723">
                  <v>-0.5252530000634726</v>
                </pt>
                <pt idx="2724">
                  <v>-0.5252530000634726</v>
                </pt>
                <pt idx="2725">
                  <v>-0.5252530000634726</v>
                </pt>
                <pt idx="2726">
                  <v>-0.5252530000634726</v>
                </pt>
                <pt idx="2727">
                  <v>-0.5252530000634726</v>
                </pt>
                <pt idx="2728">
                  <v>-0.5252530000634726</v>
                </pt>
                <pt idx="2729">
                  <v>-0.5252530000634726</v>
                </pt>
                <pt idx="2730">
                  <v>-0.5252530000634726</v>
                </pt>
                <pt idx="2731">
                  <v>-0.5252530000634726</v>
                </pt>
                <pt idx="2732">
                  <v>-0.5252530000634726</v>
                </pt>
                <pt idx="2733">
                  <v>-0.5252530000634726</v>
                </pt>
                <pt idx="2734">
                  <v>-0.5252530000634726</v>
                </pt>
                <pt idx="2735">
                  <v>-0.5252530000634726</v>
                </pt>
                <pt idx="2736">
                  <v>-0.5252530000634726</v>
                </pt>
                <pt idx="2737">
                  <v>-0.5252530000634726</v>
                </pt>
                <pt idx="2738">
                  <v>-0.5252530000634726</v>
                </pt>
                <pt idx="2739">
                  <v>-0.5252530000634726</v>
                </pt>
                <pt idx="2740">
                  <v>-0.5252530000634726</v>
                </pt>
                <pt idx="2741">
                  <v>-0.5252530000634726</v>
                </pt>
                <pt idx="2742">
                  <v>-0.5252530000634726</v>
                </pt>
                <pt idx="2743">
                  <v>-0.5252530000634726</v>
                </pt>
                <pt idx="2744">
                  <v>-0.5252530000634726</v>
                </pt>
                <pt idx="2745">
                  <v>-0.5252530000634726</v>
                </pt>
                <pt idx="2746">
                  <v>-0.5252530000634726</v>
                </pt>
                <pt idx="2747">
                  <v>-0.5252530000634726</v>
                </pt>
                <pt idx="2748">
                  <v>-0.5252530000634726</v>
                </pt>
                <pt idx="2749">
                  <v>-0.5252530000634726</v>
                </pt>
                <pt idx="2750">
                  <v>-0.5252530000634726</v>
                </pt>
                <pt idx="2751">
                  <v>-0.5252530000634726</v>
                </pt>
                <pt idx="2752">
                  <v>-0.5252530000634726</v>
                </pt>
                <pt idx="2753">
                  <v>-0.5252530000634726</v>
                </pt>
                <pt idx="2754">
                  <v>-0.5252530000634726</v>
                </pt>
                <pt idx="2755">
                  <v>-0.5252530000634726</v>
                </pt>
                <pt idx="2756">
                  <v>-0.5252530000634726</v>
                </pt>
                <pt idx="2757">
                  <v>-0.5252530000634726</v>
                </pt>
                <pt idx="2758">
                  <v>-0.5252530000634726</v>
                </pt>
                <pt idx="2759">
                  <v>-0.5252530000634726</v>
                </pt>
                <pt idx="2760">
                  <v>-0.5252530000634726</v>
                </pt>
                <pt idx="2761">
                  <v>-0.5252530000634726</v>
                </pt>
                <pt idx="2762">
                  <v>-0.5252530000634726</v>
                </pt>
                <pt idx="2763">
                  <v>-0.5252530000634726</v>
                </pt>
                <pt idx="2764">
                  <v>-0.5252530000634726</v>
                </pt>
                <pt idx="2765">
                  <v>-0.5252530000634726</v>
                </pt>
                <pt idx="2766">
                  <v>-0.5252530000634726</v>
                </pt>
                <pt idx="2767">
                  <v>-0.5252530000634726</v>
                </pt>
                <pt idx="2768">
                  <v>-0.5252530000634726</v>
                </pt>
                <pt idx="2769">
                  <v>-0.5252530000634726</v>
                </pt>
                <pt idx="2770">
                  <v>-0.5252530000634726</v>
                </pt>
                <pt idx="2771">
                  <v>-0.5252530000634726</v>
                </pt>
                <pt idx="2772">
                  <v>-0.5252530000634726</v>
                </pt>
                <pt idx="2773">
                  <v>-0.5252530000634726</v>
                </pt>
                <pt idx="2774">
                  <v>-0.5252530000634726</v>
                </pt>
                <pt idx="2775">
                  <v>-0.5252530000634726</v>
                </pt>
                <pt idx="2776">
                  <v>-0.5252530000634726</v>
                </pt>
                <pt idx="2777">
                  <v>-0.5252530000634726</v>
                </pt>
                <pt idx="2778">
                  <v>-0.5252530000634726</v>
                </pt>
                <pt idx="2779">
                  <v>-0.5252530000634726</v>
                </pt>
                <pt idx="2780">
                  <v>-0.5252530000634726</v>
                </pt>
                <pt idx="2781">
                  <v>-0.5252530000634726</v>
                </pt>
                <pt idx="2782">
                  <v>-0.5252530000634726</v>
                </pt>
                <pt idx="2783">
                  <v>-0.5252530000634726</v>
                </pt>
                <pt idx="2784">
                  <v>-0.5252530000634726</v>
                </pt>
                <pt idx="2785">
                  <v>-0.5252530000634726</v>
                </pt>
                <pt idx="2786">
                  <v>-0.5252530000634726</v>
                </pt>
                <pt idx="2787">
                  <v>-0.5252530000634726</v>
                </pt>
                <pt idx="2788">
                  <v>-0.5252530000634726</v>
                </pt>
                <pt idx="2789">
                  <v>-0.5252530000634726</v>
                </pt>
                <pt idx="2790">
                  <v>-0.5252530000634726</v>
                </pt>
                <pt idx="2791">
                  <v>-0.5252530000634726</v>
                </pt>
                <pt idx="2792">
                  <v>-0.5252530000634726</v>
                </pt>
                <pt idx="2793">
                  <v>-0.5252530000634726</v>
                </pt>
                <pt idx="2794">
                  <v>-0.5252530000634726</v>
                </pt>
                <pt idx="2795">
                  <v>-0.5252530000634726</v>
                </pt>
                <pt idx="2796">
                  <v>-0.5252530000634726</v>
                </pt>
                <pt idx="2797">
                  <v>-0.5252530000634726</v>
                </pt>
                <pt idx="2798">
                  <v>-0.5252530000634726</v>
                </pt>
                <pt idx="2799">
                  <v>-0.5252530000634726</v>
                </pt>
                <pt idx="2800">
                  <v>-0.5252530000634726</v>
                </pt>
                <pt idx="2801">
                  <v>-0.5252530000634726</v>
                </pt>
                <pt idx="2802">
                  <v>-0.5252530000634726</v>
                </pt>
                <pt idx="2803">
                  <v>-0.5252530000634726</v>
                </pt>
                <pt idx="2804">
                  <v>-0.5252530000634726</v>
                </pt>
                <pt idx="2805">
                  <v>-0.5252530000634726</v>
                </pt>
                <pt idx="2806">
                  <v>-0.5252530000634726</v>
                </pt>
                <pt idx="2807">
                  <v>-0.5252530000634726</v>
                </pt>
                <pt idx="2808">
                  <v>-0.5252530000634726</v>
                </pt>
                <pt idx="2809">
                  <v>-0.5252530000634726</v>
                </pt>
                <pt idx="2810">
                  <v>-0.5252530000634726</v>
                </pt>
                <pt idx="2811">
                  <v>-0.5252530000634726</v>
                </pt>
                <pt idx="2812">
                  <v>-0.5252530000634726</v>
                </pt>
                <pt idx="2813">
                  <v>-0.5252530000634726</v>
                </pt>
                <pt idx="2814">
                  <v>-0.5252530000634726</v>
                </pt>
                <pt idx="2815">
                  <v>-0.5252530000634726</v>
                </pt>
                <pt idx="2816">
                  <v>-0.5252530000634726</v>
                </pt>
                <pt idx="2817">
                  <v>-0.5252530000634726</v>
                </pt>
                <pt idx="2818">
                  <v>-0.5252530000634726</v>
                </pt>
                <pt idx="2819">
                  <v>-0.5252530000634726</v>
                </pt>
                <pt idx="2820">
                  <v>-0.5252530000634726</v>
                </pt>
                <pt idx="2821">
                  <v>-0.5252530000634726</v>
                </pt>
                <pt idx="2822">
                  <v>-0.5252530000634726</v>
                </pt>
                <pt idx="2823">
                  <v>-0.5252530000634726</v>
                </pt>
                <pt idx="2824">
                  <v>-0.5252530000634726</v>
                </pt>
                <pt idx="2825">
                  <v>-0.5252530000634726</v>
                </pt>
                <pt idx="2826">
                  <v>-0.5252530000634726</v>
                </pt>
                <pt idx="2827">
                  <v>-0.5252530000634726</v>
                </pt>
                <pt idx="2828">
                  <v>-0.5252530000634726</v>
                </pt>
                <pt idx="2829">
                  <v>-0.5252530000634726</v>
                </pt>
                <pt idx="2830">
                  <v>-0.5252530000634726</v>
                </pt>
                <pt idx="2831">
                  <v>-0.5252530000634726</v>
                </pt>
                <pt idx="2832">
                  <v>-0.5252530000634726</v>
                </pt>
                <pt idx="2833">
                  <v>-0.5252530000634726</v>
                </pt>
                <pt idx="2834">
                  <v>-0.5252530000634726</v>
                </pt>
                <pt idx="2835">
                  <v>-0.5252530000634726</v>
                </pt>
                <pt idx="2836">
                  <v>-0.5252530000634726</v>
                </pt>
                <pt idx="2837">
                  <v>-0.5252530000634726</v>
                </pt>
                <pt idx="2838">
                  <v>-0.5252530000634726</v>
                </pt>
                <pt idx="2839">
                  <v>-0.5252530000634726</v>
                </pt>
                <pt idx="2840">
                  <v>-0.5252530000634726</v>
                </pt>
                <pt idx="2841">
                  <v>-0.5252530000634726</v>
                </pt>
                <pt idx="2842">
                  <v>-0.5252530000634726</v>
                </pt>
                <pt idx="2843">
                  <v>-0.5252530000634726</v>
                </pt>
                <pt idx="2844">
                  <v>-0.5252530000634726</v>
                </pt>
                <pt idx="2845">
                  <v>-0.5252530000634726</v>
                </pt>
                <pt idx="2846">
                  <v>-0.5252530000634726</v>
                </pt>
                <pt idx="2847">
                  <v>-0.5252530000634726</v>
                </pt>
                <pt idx="2848">
                  <v>-0.5252530000634726</v>
                </pt>
                <pt idx="2849">
                  <v>-0.5252530000634726</v>
                </pt>
                <pt idx="2850">
                  <v>-0.5252530000634726</v>
                </pt>
                <pt idx="2851">
                  <v>-0.5252530000634726</v>
                </pt>
                <pt idx="2852">
                  <v>-0.5252530000634726</v>
                </pt>
                <pt idx="2853">
                  <v>-0.5252530000634726</v>
                </pt>
                <pt idx="2854">
                  <v>-0.5252530000634726</v>
                </pt>
                <pt idx="2855">
                  <v>-0.5252530000634726</v>
                </pt>
                <pt idx="2856">
                  <v>-0.5252530000634726</v>
                </pt>
                <pt idx="2857">
                  <v>-0.5252530000634726</v>
                </pt>
                <pt idx="2858">
                  <v>-0.5252530000634726</v>
                </pt>
                <pt idx="2859">
                  <v>-0.5252530000634726</v>
                </pt>
                <pt idx="2860">
                  <v>-0.5252530000634726</v>
                </pt>
                <pt idx="2861">
                  <v>-0.5252530000634726</v>
                </pt>
                <pt idx="2862">
                  <v>-0.5252530000634726</v>
                </pt>
                <pt idx="2863">
                  <v>-0.5252530000634726</v>
                </pt>
                <pt idx="2864">
                  <v>-0.5252530000634726</v>
                </pt>
                <pt idx="2865">
                  <v>-0.5252530000634726</v>
                </pt>
                <pt idx="2866">
                  <v>-0.5252530000634726</v>
                </pt>
                <pt idx="2867">
                  <v>-0.5252530000634726</v>
                </pt>
                <pt idx="2868">
                  <v>-0.5252530000634726</v>
                </pt>
                <pt idx="2869">
                  <v>-0.5252530000634726</v>
                </pt>
                <pt idx="2870">
                  <v>-0.5252530000634726</v>
                </pt>
                <pt idx="2871">
                  <v>-0.5252530000634726</v>
                </pt>
                <pt idx="2872">
                  <v>-0.5252530000634726</v>
                </pt>
                <pt idx="2873">
                  <v>-0.5252530000634726</v>
                </pt>
                <pt idx="2874">
                  <v>-0.5252530000634726</v>
                </pt>
                <pt idx="2875">
                  <v>-0.5252530000634726</v>
                </pt>
                <pt idx="2876">
                  <v>-0.5252530000634726</v>
                </pt>
                <pt idx="2877">
                  <v>-0.5252530000634726</v>
                </pt>
                <pt idx="2878">
                  <v>-0.5252530000634726</v>
                </pt>
                <pt idx="2879">
                  <v>-0.5252530000634726</v>
                </pt>
                <pt idx="2880">
                  <v>-0.5252530000634726</v>
                </pt>
                <pt idx="2881">
                  <v>-0.5252530000634726</v>
                </pt>
                <pt idx="2882">
                  <v>-0.5252530000634726</v>
                </pt>
                <pt idx="2883">
                  <v>-0.5252530000634726</v>
                </pt>
                <pt idx="2884">
                  <v>-0.5252530000634726</v>
                </pt>
                <pt idx="2885">
                  <v>-0.5252530000634726</v>
                </pt>
                <pt idx="2886">
                  <v>-0.5252530000634726</v>
                </pt>
                <pt idx="2887">
                  <v>-0.5252530000634726</v>
                </pt>
                <pt idx="2888">
                  <v>-0.5252530000634726</v>
                </pt>
                <pt idx="2889">
                  <v>-0.5252530000634726</v>
                </pt>
                <pt idx="2890">
                  <v>-0.5252530000634726</v>
                </pt>
                <pt idx="2891">
                  <v>-0.5252530000634726</v>
                </pt>
                <pt idx="2892">
                  <v>-0.5252530000634726</v>
                </pt>
                <pt idx="2893">
                  <v>-0.5252530000634726</v>
                </pt>
                <pt idx="2894">
                  <v>-0.5252530000634726</v>
                </pt>
                <pt idx="2895">
                  <v>-0.5252530000634726</v>
                </pt>
                <pt idx="2896">
                  <v>-0.5252530000634726</v>
                </pt>
                <pt idx="2897">
                  <v>-0.5252530000634726</v>
                </pt>
                <pt idx="2898">
                  <v>-0.5252530000634726</v>
                </pt>
                <pt idx="2899">
                  <v>-0.5252530000634726</v>
                </pt>
                <pt idx="2900">
                  <v>-0.5252530000634726</v>
                </pt>
                <pt idx="2901">
                  <v>-0.5252530000634726</v>
                </pt>
                <pt idx="2902">
                  <v>-0.5252530000634726</v>
                </pt>
                <pt idx="2903">
                  <v>-0.5252530000634726</v>
                </pt>
                <pt idx="2904">
                  <v>-0.5252530000634726</v>
                </pt>
                <pt idx="2905">
                  <v>-0.5252530000634726</v>
                </pt>
                <pt idx="2906">
                  <v>-0.5252530000634726</v>
                </pt>
                <pt idx="2907">
                  <v>-0.5252530000634726</v>
                </pt>
                <pt idx="2908">
                  <v>-0.5252530000634726</v>
                </pt>
                <pt idx="2909">
                  <v>-0.5252530000634726</v>
                </pt>
                <pt idx="2910">
                  <v>-0.5252530000634726</v>
                </pt>
                <pt idx="2911">
                  <v>-0.5252530000634726</v>
                </pt>
                <pt idx="2912">
                  <v>-0.5252530000634726</v>
                </pt>
                <pt idx="2913">
                  <v>-0.5252530000634726</v>
                </pt>
                <pt idx="2914">
                  <v>-0.5252530000634726</v>
                </pt>
                <pt idx="2915">
                  <v>-0.5252530000634726</v>
                </pt>
                <pt idx="2916">
                  <v>-0.5252530000634726</v>
                </pt>
                <pt idx="2917">
                  <v>-0.5252530000634726</v>
                </pt>
                <pt idx="2918">
                  <v>-0.5252530000634726</v>
                </pt>
                <pt idx="2919">
                  <v>-0.5252530000634726</v>
                </pt>
                <pt idx="2920">
                  <v>-0.5252530000634726</v>
                </pt>
                <pt idx="2921">
                  <v>-0.5252530000634726</v>
                </pt>
                <pt idx="2922">
                  <v>-0.5252530000634726</v>
                </pt>
                <pt idx="2923">
                  <v>-0.5252530000634726</v>
                </pt>
                <pt idx="2924">
                  <v>-0.5252530000634726</v>
                </pt>
                <pt idx="2925">
                  <v>-0.5252530000634726</v>
                </pt>
                <pt idx="2926">
                  <v>-0.5252530000634726</v>
                </pt>
                <pt idx="2927">
                  <v>-0.5252530000634726</v>
                </pt>
                <pt idx="2928">
                  <v>-0.5252530000634726</v>
                </pt>
                <pt idx="2929">
                  <v>-0.5252530000634726</v>
                </pt>
                <pt idx="2930">
                  <v>-0.5252530000634726</v>
                </pt>
                <pt idx="2931">
                  <v>-0.5252530000634726</v>
                </pt>
                <pt idx="2932">
                  <v>-0.5252530000634726</v>
                </pt>
                <pt idx="2933">
                  <v>-0.5252530000634726</v>
                </pt>
                <pt idx="2934">
                  <v>-0.5252530000634726</v>
                </pt>
                <pt idx="2935">
                  <v>-0.5252530000634726</v>
                </pt>
                <pt idx="2936">
                  <v>-0.5252530000634726</v>
                </pt>
                <pt idx="2937">
                  <v>-0.5252530000634726</v>
                </pt>
                <pt idx="2938">
                  <v>-0.5252530000634726</v>
                </pt>
                <pt idx="2939">
                  <v>-0.5252530000634726</v>
                </pt>
                <pt idx="2940">
                  <v>-0.5252530000634726</v>
                </pt>
                <pt idx="2941">
                  <v>-0.5252530000634726</v>
                </pt>
                <pt idx="2942">
                  <v>-0.5252530000634726</v>
                </pt>
                <pt idx="2943">
                  <v>-0.5252530000634726</v>
                </pt>
                <pt idx="2944">
                  <v>-0.5252530000634726</v>
                </pt>
                <pt idx="2945">
                  <v>-0.5252530000634726</v>
                </pt>
                <pt idx="2946">
                  <v>-0.5252530000634726</v>
                </pt>
                <pt idx="2947">
                  <v>-0.5252530000634726</v>
                </pt>
                <pt idx="2948">
                  <v>-0.5252530000634726</v>
                </pt>
                <pt idx="2949">
                  <v>-0.5252530000634726</v>
                </pt>
                <pt idx="2950">
                  <v>-0.5252530000634726</v>
                </pt>
                <pt idx="2951">
                  <v>-0.5252530000634726</v>
                </pt>
                <pt idx="2952">
                  <v>-0.5252530000634726</v>
                </pt>
                <pt idx="2953">
                  <v>-0.5252530000634726</v>
                </pt>
                <pt idx="2954">
                  <v>-0.5252530000634726</v>
                </pt>
                <pt idx="2955">
                  <v>-0.5252530000634726</v>
                </pt>
                <pt idx="2956">
                  <v>-0.5252530000634726</v>
                </pt>
                <pt idx="2957">
                  <v>-0.5252530000634726</v>
                </pt>
                <pt idx="2958">
                  <v>-0.5252530000634726</v>
                </pt>
                <pt idx="2959">
                  <v>-0.5252530000634726</v>
                </pt>
                <pt idx="2960">
                  <v>-0.5252530000634726</v>
                </pt>
                <pt idx="2961">
                  <v>-0.5252530000634726</v>
                </pt>
                <pt idx="2962">
                  <v>-0.5252530000634726</v>
                </pt>
                <pt idx="2963">
                  <v>-0.5252530000634726</v>
                </pt>
                <pt idx="2964">
                  <v>-0.5252530000634726</v>
                </pt>
                <pt idx="2965">
                  <v>-0.5252530000634726</v>
                </pt>
                <pt idx="2966">
                  <v>-0.5252530000634726</v>
                </pt>
                <pt idx="2967">
                  <v>-0.5252530000634726</v>
                </pt>
                <pt idx="2968">
                  <v>-0.5252530000634726</v>
                </pt>
                <pt idx="2969">
                  <v>-0.5252530000634726</v>
                </pt>
                <pt idx="2970">
                  <v>-0.5252530000634726</v>
                </pt>
                <pt idx="2971">
                  <v>-0.5252530000634726</v>
                </pt>
                <pt idx="2972">
                  <v>-0.5252530000634726</v>
                </pt>
                <pt idx="2973">
                  <v>-0.5252530000634726</v>
                </pt>
                <pt idx="2974">
                  <v>-0.5252530000634726</v>
                </pt>
                <pt idx="2975">
                  <v>-0.5252530000634726</v>
                </pt>
                <pt idx="2976">
                  <v>-0.5252530000634726</v>
                </pt>
                <pt idx="2977">
                  <v>-0.5252530000634726</v>
                </pt>
                <pt idx="2978">
                  <v>-0.5252530000634726</v>
                </pt>
                <pt idx="2979">
                  <v>-0.5252530000634726</v>
                </pt>
                <pt idx="2980">
                  <v>-0.5252530000634726</v>
                </pt>
                <pt idx="2981">
                  <v>-0.5252530000634726</v>
                </pt>
                <pt idx="2982">
                  <v>-0.5252530000634726</v>
                </pt>
                <pt idx="2983">
                  <v>-0.5252530000634726</v>
                </pt>
                <pt idx="2984">
                  <v>-0.5252530000634726</v>
                </pt>
                <pt idx="2985">
                  <v>-0.5252530000634726</v>
                </pt>
                <pt idx="2986">
                  <v>-0.5252530000634726</v>
                </pt>
                <pt idx="2987">
                  <v>-0.5252530000634726</v>
                </pt>
                <pt idx="2988">
                  <v>-0.5252530000634726</v>
                </pt>
                <pt idx="2989">
                  <v>-0.5252530000634726</v>
                </pt>
                <pt idx="2990">
                  <v>-0.5252530000634726</v>
                </pt>
                <pt idx="2991">
                  <v>-0.5252530000634726</v>
                </pt>
                <pt idx="2992">
                  <v>-0.5252530000634726</v>
                </pt>
                <pt idx="2993">
                  <v>-0.5252530000634726</v>
                </pt>
                <pt idx="2994">
                  <v>-0.5252530000634726</v>
                </pt>
                <pt idx="2995">
                  <v>-0.5252530000634726</v>
                </pt>
                <pt idx="2996">
                  <v>-0.5252530000634726</v>
                </pt>
                <pt idx="2997">
                  <v>-0.5252530000634726</v>
                </pt>
                <pt idx="2998">
                  <v>-0.5252530000634726</v>
                </pt>
                <pt idx="2999">
                  <v>-0.5252530000634726</v>
                </pt>
                <pt idx="3000">
                  <v>-0.5252530000634726</v>
                </pt>
                <pt idx="3001">
                  <v>-0.5252530000634726</v>
                </pt>
                <pt idx="3002">
                  <v>-0.5252530000634726</v>
                </pt>
                <pt idx="3003">
                  <v>-0.5252530000634726</v>
                </pt>
                <pt idx="3004">
                  <v>-0.5252530000634726</v>
                </pt>
                <pt idx="3005">
                  <v>-0.5252530000634726</v>
                </pt>
                <pt idx="3006">
                  <v>-0.5252530000634726</v>
                </pt>
                <pt idx="3007">
                  <v>-0.5252530000634726</v>
                </pt>
                <pt idx="3008">
                  <v>-0.5252530000634726</v>
                </pt>
                <pt idx="3009">
                  <v>-0.5252530000634726</v>
                </pt>
                <pt idx="3010">
                  <v>-0.5252530000634726</v>
                </pt>
                <pt idx="3011">
                  <v>-0.5252530000634726</v>
                </pt>
                <pt idx="3012">
                  <v>-0.5252530000634726</v>
                </pt>
                <pt idx="3013">
                  <v>-0.5252530000634726</v>
                </pt>
                <pt idx="3014">
                  <v>-0.5252530000634726</v>
                </pt>
                <pt idx="3015">
                  <v>-0.5252530000634726</v>
                </pt>
                <pt idx="3016">
                  <v>-0.5252530000634726</v>
                </pt>
                <pt idx="3017">
                  <v>-0.5252530000634726</v>
                </pt>
                <pt idx="3018">
                  <v>-0.5252530000634726</v>
                </pt>
                <pt idx="3019">
                  <v>-0.5252530000634726</v>
                </pt>
                <pt idx="3020">
                  <v>-0.5252530000634726</v>
                </pt>
                <pt idx="3021">
                  <v>-0.5252530000634726</v>
                </pt>
                <pt idx="3022">
                  <v>-0.5252530000634726</v>
                </pt>
                <pt idx="3023">
                  <v>-0.5252530000634726</v>
                </pt>
                <pt idx="3024">
                  <v>-0.5252530000634726</v>
                </pt>
                <pt idx="3025">
                  <v>-0.5252530000634726</v>
                </pt>
                <pt idx="3026">
                  <v>-0.5252530000634726</v>
                </pt>
                <pt idx="3027">
                  <v>-0.5252530000634726</v>
                </pt>
                <pt idx="3028">
                  <v>-0.5252530000634726</v>
                </pt>
                <pt idx="3029">
                  <v>-0.5252530000634726</v>
                </pt>
                <pt idx="3030">
                  <v>-0.5252530000634726</v>
                </pt>
                <pt idx="3031">
                  <v>-0.5252530000634726</v>
                </pt>
                <pt idx="3032">
                  <v>-0.5252530000634726</v>
                </pt>
                <pt idx="3033">
                  <v>-0.5252530000634726</v>
                </pt>
                <pt idx="3034">
                  <v>-0.5252530000634726</v>
                </pt>
                <pt idx="3035">
                  <v>-0.5252530000634726</v>
                </pt>
                <pt idx="3036">
                  <v>-0.5252530000634726</v>
                </pt>
                <pt idx="3037">
                  <v>-0.5252530000634726</v>
                </pt>
                <pt idx="3038">
                  <v>-0.5252530000634726</v>
                </pt>
                <pt idx="3039">
                  <v>-0.5252530000634726</v>
                </pt>
                <pt idx="3040">
                  <v>-0.5252530000634726</v>
                </pt>
                <pt idx="3041">
                  <v>-0.5252530000634726</v>
                </pt>
                <pt idx="3042">
                  <v>-0.5252530000634726</v>
                </pt>
                <pt idx="3043">
                  <v>-0.5252530000634726</v>
                </pt>
                <pt idx="3044">
                  <v>-0.5252530000634726</v>
                </pt>
                <pt idx="3045">
                  <v>-0.5252530000634726</v>
                </pt>
                <pt idx="3046">
                  <v>-0.5252530000634726</v>
                </pt>
                <pt idx="3047">
                  <v>-0.5252530000634726</v>
                </pt>
                <pt idx="3048">
                  <v>-0.5252530000634726</v>
                </pt>
                <pt idx="3049">
                  <v>-0.5252530000634726</v>
                </pt>
                <pt idx="3050">
                  <v>-0.5252530000634726</v>
                </pt>
                <pt idx="3051">
                  <v>-0.5252530000634726</v>
                </pt>
                <pt idx="3052">
                  <v>-0.5252530000634726</v>
                </pt>
                <pt idx="3053">
                  <v>-0.5252530000634726</v>
                </pt>
                <pt idx="3054">
                  <v>-0.5252530000634726</v>
                </pt>
                <pt idx="3055">
                  <v>-0.5252530000634726</v>
                </pt>
                <pt idx="3056">
                  <v>-0.5252530000634726</v>
                </pt>
                <pt idx="3057">
                  <v>-0.5252530000634726</v>
                </pt>
                <pt idx="3058">
                  <v>-0.5252530000634726</v>
                </pt>
                <pt idx="3059">
                  <v>-0.5252530000634726</v>
                </pt>
                <pt idx="3060">
                  <v>-0.5252530000634726</v>
                </pt>
                <pt idx="3061">
                  <v>-0.5252530000634726</v>
                </pt>
                <pt idx="3062">
                  <v>-0.5252530000634726</v>
                </pt>
                <pt idx="3063">
                  <v>-0.5252530000634726</v>
                </pt>
                <pt idx="3064">
                  <v>-0.5252530000634726</v>
                </pt>
                <pt idx="3065">
                  <v>-0.5252530000634726</v>
                </pt>
                <pt idx="3066">
                  <v>-0.5252530000634726</v>
                </pt>
                <pt idx="3067">
                  <v>-0.5252530000634726</v>
                </pt>
                <pt idx="3068">
                  <v>-0.5252530000634726</v>
                </pt>
                <pt idx="3069">
                  <v>-0.5252530000634726</v>
                </pt>
                <pt idx="3070">
                  <v>-0.5252530000634726</v>
                </pt>
                <pt idx="3071">
                  <v>-0.5252530000634726</v>
                </pt>
                <pt idx="3072">
                  <v>-0.5252530000634726</v>
                </pt>
                <pt idx="3073">
                  <v>-0.5252530000634726</v>
                </pt>
                <pt idx="3074">
                  <v>-0.5252530000634726</v>
                </pt>
                <pt idx="3075">
                  <v>-0.5252530000634726</v>
                </pt>
                <pt idx="3076">
                  <v>-0.5252530000634726</v>
                </pt>
                <pt idx="3077">
                  <v>-0.5252530000634726</v>
                </pt>
                <pt idx="3078">
                  <v>-0.5252530000634726</v>
                </pt>
                <pt idx="3079">
                  <v>-0.5252530000634726</v>
                </pt>
                <pt idx="3080">
                  <v>-0.5252530000634726</v>
                </pt>
                <pt idx="3081">
                  <v>-0.5252530000634726</v>
                </pt>
                <pt idx="3082">
                  <v>-0.5252530000634726</v>
                </pt>
                <pt idx="3083">
                  <v>-0.5252530000634726</v>
                </pt>
                <pt idx="3084">
                  <v>-0.5252530000634726</v>
                </pt>
                <pt idx="3085">
                  <v>-0.5252530000634726</v>
                </pt>
                <pt idx="3086">
                  <v>-0.5252530000634726</v>
                </pt>
                <pt idx="3087">
                  <v>-0.5252530000634726</v>
                </pt>
                <pt idx="3088">
                  <v>-0.5252530000634726</v>
                </pt>
                <pt idx="3089">
                  <v>-0.5252530000634726</v>
                </pt>
                <pt idx="3090">
                  <v>-0.5252530000634726</v>
                </pt>
                <pt idx="3091">
                  <v>-0.5252530000634726</v>
                </pt>
                <pt idx="3092">
                  <v>-0.5252530000634726</v>
                </pt>
                <pt idx="3093">
                  <v>-0.5252530000634726</v>
                </pt>
                <pt idx="3094">
                  <v>-0.5252530000634726</v>
                </pt>
                <pt idx="3095">
                  <v>-0.5252530000634726</v>
                </pt>
                <pt idx="3096">
                  <v>-0.5252530000634726</v>
                </pt>
                <pt idx="3097">
                  <v>-0.5252530000634726</v>
                </pt>
                <pt idx="3098">
                  <v>-0.5252530000634726</v>
                </pt>
                <pt idx="3099">
                  <v>-0.5252530000634726</v>
                </pt>
                <pt idx="3100">
                  <v>-0.5252530000634726</v>
                </pt>
                <pt idx="3101">
                  <v>-0.5252530000634726</v>
                </pt>
                <pt idx="3102">
                  <v>-0.5252530000634726</v>
                </pt>
                <pt idx="3103">
                  <v>-0.5252530000634726</v>
                </pt>
                <pt idx="3104">
                  <v>-0.5252530000634726</v>
                </pt>
                <pt idx="3105">
                  <v>-0.5252530000634726</v>
                </pt>
                <pt idx="3106">
                  <v>-0.5252530000634726</v>
                </pt>
                <pt idx="3107">
                  <v>-0.5252530000634726</v>
                </pt>
                <pt idx="3108">
                  <v>-0.5252530000634726</v>
                </pt>
                <pt idx="3109">
                  <v>-0.5252530000634726</v>
                </pt>
                <pt idx="3110">
                  <v>-0.5252530000634726</v>
                </pt>
                <pt idx="3111">
                  <v>-0.5252530000634726</v>
                </pt>
                <pt idx="3112">
                  <v>-0.5252530000634726</v>
                </pt>
                <pt idx="3113">
                  <v>-0.5252530000634726</v>
                </pt>
                <pt idx="3114">
                  <v>-0.5252530000634726</v>
                </pt>
                <pt idx="3115">
                  <v>-0.5252530000634726</v>
                </pt>
                <pt idx="3116">
                  <v>-0.5252530000634726</v>
                </pt>
                <pt idx="3117">
                  <v>-0.5252530000634726</v>
                </pt>
                <pt idx="3118">
                  <v>-0.5252530000634726</v>
                </pt>
                <pt idx="3119">
                  <v>-0.5252530000634726</v>
                </pt>
                <pt idx="3120">
                  <v>-0.5252530000634726</v>
                </pt>
                <pt idx="3121">
                  <v>-0.5252530000634726</v>
                </pt>
                <pt idx="3122">
                  <v>-0.5252530000634726</v>
                </pt>
                <pt idx="3123">
                  <v>-0.5252530000634726</v>
                </pt>
                <pt idx="3124">
                  <v>-0.5252530000634726</v>
                </pt>
                <pt idx="3125">
                  <v>-0.5252530000634726</v>
                </pt>
                <pt idx="3126">
                  <v>-0.5252530000634726</v>
                </pt>
                <pt idx="3127">
                  <v>-0.5252530000634726</v>
                </pt>
                <pt idx="3128">
                  <v>-0.5252530000634726</v>
                </pt>
                <pt idx="3129">
                  <v>-0.5252530000634726</v>
                </pt>
                <pt idx="3130">
                  <v>-0.5252530000634726</v>
                </pt>
                <pt idx="3131">
                  <v>-0.5252530000634726</v>
                </pt>
                <pt idx="3132">
                  <v>-0.5252530000634726</v>
                </pt>
                <pt idx="3133">
                  <v>-0.5252530000634726</v>
                </pt>
                <pt idx="3134">
                  <v>-0.5252530000634726</v>
                </pt>
                <pt idx="3135">
                  <v>-0.5252530000634726</v>
                </pt>
                <pt idx="3136">
                  <v>-0.5252530000634726</v>
                </pt>
                <pt idx="3137">
                  <v>-0.5252530000634726</v>
                </pt>
                <pt idx="3138">
                  <v>-0.5252530000634726</v>
                </pt>
                <pt idx="3139">
                  <v>-0.5252530000634726</v>
                </pt>
                <pt idx="3140">
                  <v>-0.5252530000634726</v>
                </pt>
                <pt idx="3141">
                  <v>-0.5252530000634726</v>
                </pt>
                <pt idx="3142">
                  <v>-0.5252530000634726</v>
                </pt>
                <pt idx="3143">
                  <v>-0.5252530000634726</v>
                </pt>
                <pt idx="3144">
                  <v>-0.5252530000634726</v>
                </pt>
                <pt idx="3145">
                  <v>-0.5252530000634726</v>
                </pt>
                <pt idx="3146">
                  <v>-0.5252530000634726</v>
                </pt>
                <pt idx="3147">
                  <v>-0.5252530000634726</v>
                </pt>
                <pt idx="3148">
                  <v>-0.5252530000634726</v>
                </pt>
                <pt idx="3149">
                  <v>-0.5252530000634726</v>
                </pt>
                <pt idx="3150">
                  <v>-0.5252530000634726</v>
                </pt>
                <pt idx="3151">
                  <v>-0.5252530000634726</v>
                </pt>
                <pt idx="3152">
                  <v>-0.5252530000634726</v>
                </pt>
                <pt idx="3153">
                  <v>-0.5252530000634726</v>
                </pt>
                <pt idx="3154">
                  <v>-0.5252530000634726</v>
                </pt>
                <pt idx="3155">
                  <v>-0.5252530000634726</v>
                </pt>
                <pt idx="3156">
                  <v>-0.5252530000634726</v>
                </pt>
                <pt idx="3157">
                  <v>-0.5252530000634726</v>
                </pt>
                <pt idx="3158">
                  <v>-0.5252530000634726</v>
                </pt>
                <pt idx="3159">
                  <v>-0.5252530000634726</v>
                </pt>
                <pt idx="3160">
                  <v>-0.5252530000634726</v>
                </pt>
                <pt idx="3161">
                  <v>-0.5252530000634726</v>
                </pt>
                <pt idx="3162">
                  <v>-0.5252530000634726</v>
                </pt>
                <pt idx="3163">
                  <v>-0.5252530000634726</v>
                </pt>
                <pt idx="3164">
                  <v>-0.5252530000634726</v>
                </pt>
                <pt idx="3165">
                  <v>-0.5252530000634726</v>
                </pt>
                <pt idx="3166">
                  <v>-0.5252530000634726</v>
                </pt>
                <pt idx="3167">
                  <v>-0.5252530000634726</v>
                </pt>
                <pt idx="3168">
                  <v>-0.5252530000634726</v>
                </pt>
                <pt idx="3169">
                  <v>-0.5252530000634726</v>
                </pt>
                <pt idx="3170">
                  <v>-0.5252530000634726</v>
                </pt>
                <pt idx="3171">
                  <v>-0.5252530000634726</v>
                </pt>
                <pt idx="3172">
                  <v>-0.5252530000634726</v>
                </pt>
                <pt idx="3173">
                  <v>-0.5252530000634726</v>
                </pt>
                <pt idx="3174">
                  <v>-0.5252530000634726</v>
                </pt>
                <pt idx="3175">
                  <v>-0.5252530000634726</v>
                </pt>
                <pt idx="3176">
                  <v>-0.5252530000634726</v>
                </pt>
                <pt idx="3177">
                  <v>-0.5252530000634726</v>
                </pt>
                <pt idx="3178">
                  <v>-0.5252530000634726</v>
                </pt>
                <pt idx="3179">
                  <v>-0.5252530000634726</v>
                </pt>
                <pt idx="3180">
                  <v>-0.5252530000634726</v>
                </pt>
                <pt idx="3181">
                  <v>-0.5252530000634726</v>
                </pt>
                <pt idx="3182">
                  <v>-0.5252530000634726</v>
                </pt>
                <pt idx="3183">
                  <v>-0.5252530000634726</v>
                </pt>
                <pt idx="3184">
                  <v>-0.5252530000634726</v>
                </pt>
                <pt idx="3185">
                  <v>-0.5252530000634726</v>
                </pt>
                <pt idx="3186">
                  <v>-0.5252530000634726</v>
                </pt>
                <pt idx="3187">
                  <v>-0.5252530000634726</v>
                </pt>
                <pt idx="3188">
                  <v>-0.5252530000634726</v>
                </pt>
                <pt idx="3189">
                  <v>-0.5252530000634726</v>
                </pt>
                <pt idx="3190">
                  <v>-0.5252530000634726</v>
                </pt>
                <pt idx="3191">
                  <v>-0.5252530000634726</v>
                </pt>
                <pt idx="3192">
                  <v>-0.5252530000634726</v>
                </pt>
                <pt idx="3193">
                  <v>-0.5252530000634726</v>
                </pt>
                <pt idx="3194">
                  <v>-0.5252530000634726</v>
                </pt>
                <pt idx="3195">
                  <v>-0.5252530000634726</v>
                </pt>
                <pt idx="3196">
                  <v>-0.5252530000634726</v>
                </pt>
                <pt idx="3197">
                  <v>-0.5252530000634726</v>
                </pt>
                <pt idx="3198">
                  <v>-0.5252530000634726</v>
                </pt>
                <pt idx="3199">
                  <v>-0.5252530000634726</v>
                </pt>
                <pt idx="3200">
                  <v>-0.5252530000634726</v>
                </pt>
                <pt idx="3201">
                  <v>-0.5252530000634726</v>
                </pt>
                <pt idx="3202">
                  <v>-0.5252530000634726</v>
                </pt>
                <pt idx="3203">
                  <v>-0.5252530000634726</v>
                </pt>
                <pt idx="3204">
                  <v>-0.5252530000634726</v>
                </pt>
                <pt idx="3205">
                  <v>-0.5252530000634726</v>
                </pt>
                <pt idx="3206">
                  <v>-0.5252530000634726</v>
                </pt>
                <pt idx="3207">
                  <v>-0.5252530000634726</v>
                </pt>
                <pt idx="3208">
                  <v>-0.5252530000634726</v>
                </pt>
                <pt idx="3209">
                  <v>-0.5252530000634726</v>
                </pt>
                <pt idx="3210">
                  <v>-0.5252530000634726</v>
                </pt>
                <pt idx="3211">
                  <v>-0.5252530000634726</v>
                </pt>
                <pt idx="3212">
                  <v>-0.5252530000634726</v>
                </pt>
                <pt idx="3213">
                  <v>-0.5252530000634726</v>
                </pt>
                <pt idx="3214">
                  <v>-0.5252530000634726</v>
                </pt>
                <pt idx="3215">
                  <v>-0.5252530000634726</v>
                </pt>
                <pt idx="3216">
                  <v>-0.5252530000634726</v>
                </pt>
                <pt idx="3217">
                  <v>-0.5252530000634726</v>
                </pt>
                <pt idx="3218">
                  <v>-0.5252530000634726</v>
                </pt>
                <pt idx="3219">
                  <v>-0.5252530000634726</v>
                </pt>
                <pt idx="3220">
                  <v>-0.5252530000634726</v>
                </pt>
                <pt idx="3221">
                  <v>-0.5252530000634726</v>
                </pt>
                <pt idx="3222">
                  <v>-0.5252530000634726</v>
                </pt>
                <pt idx="3223">
                  <v>-0.5252530000634726</v>
                </pt>
                <pt idx="3224">
                  <v>-0.5252530000634726</v>
                </pt>
                <pt idx="3225">
                  <v>-0.5252530000634726</v>
                </pt>
                <pt idx="3226">
                  <v>-0.5252530000634726</v>
                </pt>
                <pt idx="3227">
                  <v>-0.5252530000634726</v>
                </pt>
                <pt idx="3228">
                  <v>-0.5252530000634726</v>
                </pt>
                <pt idx="3229">
                  <v>-0.5252530000634726</v>
                </pt>
                <pt idx="3230">
                  <v>-0.5252530000634726</v>
                </pt>
                <pt idx="3231">
                  <v>-0.5252530000634726</v>
                </pt>
                <pt idx="3232">
                  <v>-0.5252530000634726</v>
                </pt>
                <pt idx="3233">
                  <v>-0.5252530000634726</v>
                </pt>
                <pt idx="3234">
                  <v>-0.5252530000634726</v>
                </pt>
                <pt idx="3235">
                  <v>-0.5252530000634726</v>
                </pt>
                <pt idx="3236">
                  <v>-0.5252530000634726</v>
                </pt>
                <pt idx="3237">
                  <v>-0.5252530000634726</v>
                </pt>
                <pt idx="3238">
                  <v>-0.5252530000634726</v>
                </pt>
                <pt idx="3239">
                  <v>-0.5252530000634726</v>
                </pt>
                <pt idx="3240">
                  <v>-0.5252530000634726</v>
                </pt>
                <pt idx="3241">
                  <v>-0.5252530000634726</v>
                </pt>
                <pt idx="3242">
                  <v>-0.5252530000634726</v>
                </pt>
                <pt idx="3243">
                  <v>-0.5252530000634726</v>
                </pt>
                <pt idx="3244">
                  <v>-0.5252530000634726</v>
                </pt>
                <pt idx="3245">
                  <v>-0.5252530000634726</v>
                </pt>
                <pt idx="3246">
                  <v>-0.5252530000634726</v>
                </pt>
                <pt idx="3247">
                  <v>-0.5252530000634726</v>
                </pt>
                <pt idx="3248">
                  <v>-0.5252530000634726</v>
                </pt>
                <pt idx="3249">
                  <v>-0.5252530000634726</v>
                </pt>
                <pt idx="3250">
                  <v>-0.5252530000634726</v>
                </pt>
                <pt idx="3251">
                  <v>-0.5252530000634726</v>
                </pt>
                <pt idx="3252">
                  <v>-0.5252530000634726</v>
                </pt>
                <pt idx="3253">
                  <v>-0.5252530000634726</v>
                </pt>
                <pt idx="3254">
                  <v>-0.5252530000634726</v>
                </pt>
                <pt idx="3255">
                  <v>-0.5252530000634726</v>
                </pt>
                <pt idx="3256">
                  <v>-0.5252530000634726</v>
                </pt>
                <pt idx="3257">
                  <v>-0.5252530000634726</v>
                </pt>
                <pt idx="3258">
                  <v>-0.5252530000634726</v>
                </pt>
                <pt idx="3259">
                  <v>-0.5252530000634726</v>
                </pt>
                <pt idx="3260">
                  <v>-0.5252530000634726</v>
                </pt>
                <pt idx="3261">
                  <v>-0.5252530000634726</v>
                </pt>
                <pt idx="3262">
                  <v>-0.5252530000634726</v>
                </pt>
                <pt idx="3263">
                  <v>-0.5252530000634726</v>
                </pt>
                <pt idx="3264">
                  <v>-0.5252530000634726</v>
                </pt>
                <pt idx="3265">
                  <v>-0.5252530000634726</v>
                </pt>
                <pt idx="3266">
                  <v>-0.5252530000634726</v>
                </pt>
                <pt idx="3267">
                  <v>-0.5252530000634726</v>
                </pt>
                <pt idx="3268">
                  <v>-0.5252530000634726</v>
                </pt>
                <pt idx="3269">
                  <v>-0.5252530000634726</v>
                </pt>
                <pt idx="3270">
                  <v>-0.5252530000634726</v>
                </pt>
                <pt idx="3271">
                  <v>-0.5252530000634726</v>
                </pt>
                <pt idx="3272">
                  <v>-0.5252530000634726</v>
                </pt>
                <pt idx="3273">
                  <v>-0.5252530000634726</v>
                </pt>
                <pt idx="3274">
                  <v>-0.5252530000634726</v>
                </pt>
                <pt idx="3275">
                  <v>-0.5252530000634726</v>
                </pt>
                <pt idx="3276">
                  <v>-0.5252530000634726</v>
                </pt>
                <pt idx="3277">
                  <v>-0.5252530000634726</v>
                </pt>
                <pt idx="3278">
                  <v>-0.5252530000634726</v>
                </pt>
                <pt idx="3279">
                  <v>-0.5252530000634726</v>
                </pt>
                <pt idx="3280">
                  <v>-0.5252530000634726</v>
                </pt>
                <pt idx="3281">
                  <v>-0.5252530000634726</v>
                </pt>
                <pt idx="3282">
                  <v>-0.5252530000634726</v>
                </pt>
                <pt idx="3283">
                  <v>-0.5252530000634726</v>
                </pt>
                <pt idx="3284">
                  <v>-0.5252530000634726</v>
                </pt>
                <pt idx="3285">
                  <v>-0.5252530000634726</v>
                </pt>
                <pt idx="3286">
                  <v>-0.5252530000634726</v>
                </pt>
                <pt idx="3287">
                  <v>-0.5252530000634726</v>
                </pt>
                <pt idx="3288">
                  <v>-0.5252530000634726</v>
                </pt>
                <pt idx="3289">
                  <v>-0.5252530000634726</v>
                </pt>
                <pt idx="3290">
                  <v>-0.5252530000634726</v>
                </pt>
                <pt idx="3291">
                  <v>-0.5252530000634726</v>
                </pt>
                <pt idx="3292">
                  <v>-0.5252530000634726</v>
                </pt>
                <pt idx="3293">
                  <v>-0.5252530000634726</v>
                </pt>
                <pt idx="3294">
                  <v>-0.5252530000634726</v>
                </pt>
                <pt idx="3295">
                  <v>-0.5252530000634726</v>
                </pt>
                <pt idx="3296">
                  <v>-0.5252530000634726</v>
                </pt>
                <pt idx="3297">
                  <v>-0.5252530000634726</v>
                </pt>
                <pt idx="3298">
                  <v>-0.5252530000634726</v>
                </pt>
                <pt idx="3299">
                  <v>-0.5252530000634726</v>
                </pt>
                <pt idx="3300">
                  <v>-0.5252530000634726</v>
                </pt>
                <pt idx="3301">
                  <v>-0.5252530000634726</v>
                </pt>
                <pt idx="3302">
                  <v>-0.5252530000634726</v>
                </pt>
                <pt idx="3303">
                  <v>-0.5252530000634726</v>
                </pt>
                <pt idx="3304">
                  <v>-0.5252530000634726</v>
                </pt>
                <pt idx="3305">
                  <v>-0.5252530000634726</v>
                </pt>
                <pt idx="3306">
                  <v>-0.5252530000634726</v>
                </pt>
                <pt idx="3307">
                  <v>-0.5252530000634726</v>
                </pt>
                <pt idx="3308">
                  <v>-0.5252530000634726</v>
                </pt>
                <pt idx="3309">
                  <v>-0.5252530000634726</v>
                </pt>
                <pt idx="3310">
                  <v>-0.5252530000634726</v>
                </pt>
                <pt idx="3311">
                  <v>-0.5252530000634726</v>
                </pt>
                <pt idx="3312">
                  <v>-0.5252530000634726</v>
                </pt>
                <pt idx="3313">
                  <v>-0.5252530000634726</v>
                </pt>
                <pt idx="3314">
                  <v>-0.5252530000634726</v>
                </pt>
                <pt idx="3315">
                  <v>-0.5252530000634726</v>
                </pt>
                <pt idx="3316">
                  <v>-0.5252530000634726</v>
                </pt>
                <pt idx="3317">
                  <v>-0.5252530000634726</v>
                </pt>
                <pt idx="3318">
                  <v>-0.5252530000634726</v>
                </pt>
                <pt idx="3319">
                  <v>-0.5252530000634726</v>
                </pt>
                <pt idx="3320">
                  <v>-0.5252530000634726</v>
                </pt>
                <pt idx="3321">
                  <v>-0.5252530000634726</v>
                </pt>
                <pt idx="3322">
                  <v>-0.5252530000634726</v>
                </pt>
                <pt idx="3323">
                  <v>-0.5252530000634726</v>
                </pt>
                <pt idx="3324">
                  <v>-0.5252530000634726</v>
                </pt>
                <pt idx="3325">
                  <v>-0.5252530000634726</v>
                </pt>
                <pt idx="3326">
                  <v>-0.5252530000634726</v>
                </pt>
                <pt idx="3327">
                  <v>-0.5252530000634726</v>
                </pt>
                <pt idx="3328">
                  <v>-0.5252530000634726</v>
                </pt>
                <pt idx="3329">
                  <v>-0.5252530000634726</v>
                </pt>
                <pt idx="3330">
                  <v>-0.5252530000634726</v>
                </pt>
                <pt idx="3331">
                  <v>-0.5252530000634726</v>
                </pt>
                <pt idx="3332">
                  <v>-0.5252530000634726</v>
                </pt>
                <pt idx="3333">
                  <v>-0.5252530000634726</v>
                </pt>
                <pt idx="3334">
                  <v>-0.5252530000634726</v>
                </pt>
                <pt idx="3335">
                  <v>-0.5252530000634726</v>
                </pt>
                <pt idx="3336">
                  <v>-0.5252530000634726</v>
                </pt>
                <pt idx="3337">
                  <v>-0.5252530000634726</v>
                </pt>
                <pt idx="3338">
                  <v>-0.5252530000634726</v>
                </pt>
                <pt idx="3339">
                  <v>-0.5252530000634726</v>
                </pt>
                <pt idx="3340">
                  <v>-0.5252530000634726</v>
                </pt>
                <pt idx="3341">
                  <v>-0.5252530000634726</v>
                </pt>
                <pt idx="3342">
                  <v>-0.5252530000634726</v>
                </pt>
                <pt idx="3343">
                  <v>-0.5252530000634726</v>
                </pt>
                <pt idx="3344">
                  <v>-0.5252530000634726</v>
                </pt>
                <pt idx="3345">
                  <v>-0.5252530000634726</v>
                </pt>
                <pt idx="3346">
                  <v>-0.5252530000634726</v>
                </pt>
                <pt idx="3347">
                  <v>-0.5252530000634726</v>
                </pt>
                <pt idx="3348">
                  <v>-0.5252530000634726</v>
                </pt>
                <pt idx="3349">
                  <v>-0.5252530000634726</v>
                </pt>
                <pt idx="3350">
                  <v>-0.5252530000634726</v>
                </pt>
                <pt idx="3351">
                  <v>-0.5252530000634726</v>
                </pt>
                <pt idx="3352">
                  <v>-0.5252530000634726</v>
                </pt>
                <pt idx="3353">
                  <v>-0.5252530000634726</v>
                </pt>
                <pt idx="3354">
                  <v>-0.5252530000634726</v>
                </pt>
                <pt idx="3355">
                  <v>-0.5252530000634726</v>
                </pt>
                <pt idx="3356">
                  <v>-0.5252530000634726</v>
                </pt>
                <pt idx="3357">
                  <v>-0.5252530000634726</v>
                </pt>
                <pt idx="3358">
                  <v>-0.5252530000634726</v>
                </pt>
                <pt idx="3359">
                  <v>-0.5252530000634726</v>
                </pt>
                <pt idx="3360">
                  <v>-0.5252530000634726</v>
                </pt>
                <pt idx="3361">
                  <v>-0.5252530000634726</v>
                </pt>
                <pt idx="3362">
                  <v>-0.5252530000634726</v>
                </pt>
                <pt idx="3363">
                  <v>-0.5252530000634726</v>
                </pt>
                <pt idx="3364">
                  <v>-0.5252530000634726</v>
                </pt>
                <pt idx="3365">
                  <v>-0.5252530000634726</v>
                </pt>
                <pt idx="3366">
                  <v>-0.5252530000634726</v>
                </pt>
                <pt idx="3367">
                  <v>-0.5252530000634726</v>
                </pt>
                <pt idx="3368">
                  <v>-0.5252530000634726</v>
                </pt>
                <pt idx="3369">
                  <v>-0.5252530000634726</v>
                </pt>
                <pt idx="3370">
                  <v>-0.5252530000634726</v>
                </pt>
                <pt idx="3371">
                  <v>-0.5252530000634726</v>
                </pt>
                <pt idx="3372">
                  <v>-0.5252530000634726</v>
                </pt>
                <pt idx="3373">
                  <v>-0.5252530000634726</v>
                </pt>
                <pt idx="3374">
                  <v>-0.5252530000634726</v>
                </pt>
                <pt idx="3375">
                  <v>-0.5252530000634726</v>
                </pt>
                <pt idx="3376">
                  <v>-0.5252530000634726</v>
                </pt>
                <pt idx="3377">
                  <v>-0.5252530000634726</v>
                </pt>
                <pt idx="3378">
                  <v>-0.5252530000634726</v>
                </pt>
                <pt idx="3379">
                  <v>-0.5252530000634726</v>
                </pt>
                <pt idx="3380">
                  <v>-0.5252530000634726</v>
                </pt>
                <pt idx="3381">
                  <v>-0.5252530000634726</v>
                </pt>
                <pt idx="3382">
                  <v>-0.5252530000634726</v>
                </pt>
                <pt idx="3383">
                  <v>-0.5252530000634726</v>
                </pt>
                <pt idx="3384">
                  <v>-0.5252530000634726</v>
                </pt>
                <pt idx="3385">
                  <v>-0.5252530000634726</v>
                </pt>
                <pt idx="3386">
                  <v>-0.5252530000634726</v>
                </pt>
                <pt idx="3387">
                  <v>-0.5252530000634726</v>
                </pt>
                <pt idx="3388">
                  <v>-0.5252530000634726</v>
                </pt>
                <pt idx="3389">
                  <v>-0.5252530000634726</v>
                </pt>
                <pt idx="3390">
                  <v>-0.5252530000634726</v>
                </pt>
                <pt idx="3391">
                  <v>-0.5252530000634726</v>
                </pt>
                <pt idx="3392">
                  <v>-0.5252530000634726</v>
                </pt>
                <pt idx="3393">
                  <v>-0.5252530000634726</v>
                </pt>
                <pt idx="3394">
                  <v>-0.5252530000634726</v>
                </pt>
                <pt idx="3395">
                  <v>-0.5252530000634726</v>
                </pt>
                <pt idx="3396">
                  <v>-0.5252530000634726</v>
                </pt>
                <pt idx="3397">
                  <v>-0.5252530000634726</v>
                </pt>
                <pt idx="3398">
                  <v>-0.5252530000634726</v>
                </pt>
                <pt idx="3399">
                  <v>-0.5252530000634726</v>
                </pt>
                <pt idx="3400">
                  <v>-0.5252530000634726</v>
                </pt>
                <pt idx="3401">
                  <v>-0.5252530000634726</v>
                </pt>
                <pt idx="3402">
                  <v>-0.5252530000634726</v>
                </pt>
                <pt idx="3403">
                  <v>-0.5252530000634726</v>
                </pt>
                <pt idx="3404">
                  <v>-0.5252530000634726</v>
                </pt>
                <pt idx="3405">
                  <v>-0.5252530000634726</v>
                </pt>
                <pt idx="3406">
                  <v>-0.5252530000634726</v>
                </pt>
                <pt idx="3407">
                  <v>-0.5252530000634726</v>
                </pt>
                <pt idx="3408">
                  <v>-0.5252530000634726</v>
                </pt>
                <pt idx="3409">
                  <v>-0.5252530000634726</v>
                </pt>
                <pt idx="3410">
                  <v>-0.5252530000634726</v>
                </pt>
                <pt idx="3411">
                  <v>-0.5252530000634726</v>
                </pt>
                <pt idx="3412">
                  <v>-0.5252530000634726</v>
                </pt>
                <pt idx="3413">
                  <v>-0.5252530000634726</v>
                </pt>
                <pt idx="3414">
                  <v>-0.5252530000634726</v>
                </pt>
                <pt idx="3415">
                  <v>-0.5252530000634726</v>
                </pt>
                <pt idx="3416">
                  <v>-0.5252530000634726</v>
                </pt>
                <pt idx="3417">
                  <v>-0.5252530000634726</v>
                </pt>
                <pt idx="3418">
                  <v>-0.5252530000634726</v>
                </pt>
                <pt idx="3419">
                  <v>-0.5252530000634726</v>
                </pt>
                <pt idx="3420">
                  <v>-0.5252530000634726</v>
                </pt>
                <pt idx="3421">
                  <v>-0.5252530000634726</v>
                </pt>
                <pt idx="3422">
                  <v>-0.5252530000634726</v>
                </pt>
                <pt idx="3423">
                  <v>-0.5252530000634726</v>
                </pt>
                <pt idx="3424">
                  <v>-0.5252530000634726</v>
                </pt>
                <pt idx="3425">
                  <v>-0.5252530000634726</v>
                </pt>
                <pt idx="3426">
                  <v>-0.5252530000634726</v>
                </pt>
                <pt idx="3427">
                  <v>-0.5252530000634726</v>
                </pt>
                <pt idx="3428">
                  <v>-0.5252530000634726</v>
                </pt>
                <pt idx="3429">
                  <v>-0.5252530000634726</v>
                </pt>
                <pt idx="3430">
                  <v>-0.5252530000634726</v>
                </pt>
                <pt idx="3431">
                  <v>-0.5252530000634726</v>
                </pt>
                <pt idx="3432">
                  <v>-0.5252530000634726</v>
                </pt>
                <pt idx="3433">
                  <v>-0.5252530000634726</v>
                </pt>
                <pt idx="3434">
                  <v>-0.5252530000634726</v>
                </pt>
                <pt idx="3435">
                  <v>-0.5252530000634726</v>
                </pt>
                <pt idx="3436">
                  <v>-0.5252530000634726</v>
                </pt>
                <pt idx="3437">
                  <v>-0.5252530000634726</v>
                </pt>
                <pt idx="3438">
                  <v>-0.5252530000634726</v>
                </pt>
                <pt idx="3439">
                  <v>-0.5252530000634726</v>
                </pt>
                <pt idx="3440">
                  <v>-0.5252530000634726</v>
                </pt>
                <pt idx="3441">
                  <v>-0.5252530000634726</v>
                </pt>
                <pt idx="3442">
                  <v>-0.5252530000634726</v>
                </pt>
                <pt idx="3443">
                  <v>-0.5252530000634726</v>
                </pt>
                <pt idx="3444">
                  <v>-0.5252530000634726</v>
                </pt>
                <pt idx="3445">
                  <v>-0.5252530000634726</v>
                </pt>
                <pt idx="3446">
                  <v>-0.5252530000634726</v>
                </pt>
                <pt idx="3447">
                  <v>-0.5252530000634726</v>
                </pt>
                <pt idx="3448">
                  <v>-0.5252530000634726</v>
                </pt>
                <pt idx="3449">
                  <v>-0.5252530000634726</v>
                </pt>
                <pt idx="3450">
                  <v>-0.5252530000634726</v>
                </pt>
                <pt idx="3451">
                  <v>-0.5252530000634726</v>
                </pt>
                <pt idx="3452">
                  <v>-0.5252530000634726</v>
                </pt>
                <pt idx="3453">
                  <v>-0.5252530000634726</v>
                </pt>
                <pt idx="3454">
                  <v>-0.5252530000634726</v>
                </pt>
                <pt idx="3455">
                  <v>-0.5252530000634726</v>
                </pt>
                <pt idx="3456">
                  <v>-0.5252530000634726</v>
                </pt>
                <pt idx="3457">
                  <v>-0.5252530000634726</v>
                </pt>
                <pt idx="3458">
                  <v>-0.5252530000634726</v>
                </pt>
                <pt idx="3459">
                  <v>-0.5252530000634726</v>
                </pt>
                <pt idx="3460">
                  <v>-0.5252530000634726</v>
                </pt>
                <pt idx="3461">
                  <v>-0.5252530000634726</v>
                </pt>
                <pt idx="3462">
                  <v>-0.5252530000634726</v>
                </pt>
                <pt idx="3463">
                  <v>-0.5252530000634726</v>
                </pt>
                <pt idx="3464">
                  <v>-0.5252530000634726</v>
                </pt>
                <pt idx="3465">
                  <v>-0.5252530000634726</v>
                </pt>
                <pt idx="3466">
                  <v>-0.5252530000634726</v>
                </pt>
                <pt idx="3467">
                  <v>-0.5252530000634726</v>
                </pt>
                <pt idx="3468">
                  <v>-0.5252530000634726</v>
                </pt>
                <pt idx="3469">
                  <v>-0.5252530000634726</v>
                </pt>
                <pt idx="3470">
                  <v>-0.5252530000634726</v>
                </pt>
                <pt idx="3471">
                  <v>-0.5252530000634726</v>
                </pt>
                <pt idx="3472">
                  <v>-0.5252530000634726</v>
                </pt>
                <pt idx="3473">
                  <v>-0.5252530000634726</v>
                </pt>
                <pt idx="3474">
                  <v>-0.5252530000634726</v>
                </pt>
                <pt idx="3475">
                  <v>-0.5252530000634726</v>
                </pt>
                <pt idx="3476">
                  <v>-0.5252530000634726</v>
                </pt>
                <pt idx="3477">
                  <v>-0.5252530000634726</v>
                </pt>
                <pt idx="3478">
                  <v>-0.5252530000634726</v>
                </pt>
                <pt idx="3479">
                  <v>-0.5252530000634726</v>
                </pt>
                <pt idx="3480">
                  <v>-0.5252530000634726</v>
                </pt>
                <pt idx="3481">
                  <v>-0.5252530000634726</v>
                </pt>
                <pt idx="3482">
                  <v>-0.5252530000634726</v>
                </pt>
                <pt idx="3483">
                  <v>-0.5252530000634726</v>
                </pt>
                <pt idx="3484">
                  <v>-0.5252530000634726</v>
                </pt>
                <pt idx="3485">
                  <v>-0.5252530000634726</v>
                </pt>
                <pt idx="3486">
                  <v>-0.5252530000634726</v>
                </pt>
                <pt idx="3487">
                  <v>-0.5252530000634726</v>
                </pt>
                <pt idx="3488">
                  <v>-0.5252530000634726</v>
                </pt>
                <pt idx="3489">
                  <v>-0.5252530000634726</v>
                </pt>
                <pt idx="3490">
                  <v>-0.5252530000634726</v>
                </pt>
                <pt idx="3491">
                  <v>-0.5252530000634726</v>
                </pt>
                <pt idx="3492">
                  <v>-0.5252530000634726</v>
                </pt>
                <pt idx="3493">
                  <v>-0.5252530000634726</v>
                </pt>
                <pt idx="3494">
                  <v>-0.5252530000634726</v>
                </pt>
                <pt idx="3495">
                  <v>-0.5252530000634726</v>
                </pt>
                <pt idx="3496">
                  <v>-0.5252530000634726</v>
                </pt>
                <pt idx="3497">
                  <v>-0.5252530000634726</v>
                </pt>
                <pt idx="3498">
                  <v>-0.5252530000634726</v>
                </pt>
                <pt idx="3499">
                  <v>-0.5252530000634726</v>
                </pt>
                <pt idx="3500">
                  <v>-0.5252530000634726</v>
                </pt>
                <pt idx="3501">
                  <v>-0.5252530000634726</v>
                </pt>
                <pt idx="3502">
                  <v>-0.5252530000634726</v>
                </pt>
                <pt idx="3503">
                  <v>-0.5252530000634726</v>
                </pt>
                <pt idx="3504">
                  <v>-0.5252530000634726</v>
                </pt>
                <pt idx="3505">
                  <v>-0.5252530000634726</v>
                </pt>
                <pt idx="3506">
                  <v>-0.5252530000634726</v>
                </pt>
                <pt idx="3507">
                  <v>-0.5252530000634726</v>
                </pt>
                <pt idx="3508">
                  <v>-0.5252530000634726</v>
                </pt>
                <pt idx="3509">
                  <v>-0.5252530000634726</v>
                </pt>
                <pt idx="3510">
                  <v>-0.5252530000634726</v>
                </pt>
                <pt idx="3511">
                  <v>-0.5252530000634726</v>
                </pt>
                <pt idx="3512">
                  <v>-0.5252530000634726</v>
                </pt>
                <pt idx="3513">
                  <v>-0.5252530000634726</v>
                </pt>
                <pt idx="3514">
                  <v>-0.5252530000634726</v>
                </pt>
                <pt idx="3515">
                  <v>-0.5252530000634726</v>
                </pt>
                <pt idx="3516">
                  <v>-0.5252530000634726</v>
                </pt>
                <pt idx="3517">
                  <v>-0.5252530000634726</v>
                </pt>
                <pt idx="3518">
                  <v>-0.5252530000634726</v>
                </pt>
                <pt idx="3519">
                  <v>-0.5252530000634726</v>
                </pt>
                <pt idx="3520">
                  <v>-0.5252530000634726</v>
                </pt>
                <pt idx="3521">
                  <v>-0.5252530000634726</v>
                </pt>
                <pt idx="3522">
                  <v>-0.5252530000634726</v>
                </pt>
                <pt idx="3523">
                  <v>-0.5252530000634726</v>
                </pt>
                <pt idx="3524">
                  <v>-0.5252530000634726</v>
                </pt>
                <pt idx="3525">
                  <v>-0.5252530000634726</v>
                </pt>
                <pt idx="3526">
                  <v>-0.5252530000634726</v>
                </pt>
                <pt idx="3527">
                  <v>-0.5252530000634726</v>
                </pt>
                <pt idx="3528">
                  <v>-0.5252530000634726</v>
                </pt>
                <pt idx="3529">
                  <v>-0.5252530000634726</v>
                </pt>
                <pt idx="3530">
                  <v>-0.5252530000634726</v>
                </pt>
                <pt idx="3531">
                  <v>-0.5252530000634726</v>
                </pt>
                <pt idx="3532">
                  <v>-0.5252530000634726</v>
                </pt>
                <pt idx="3533">
                  <v>-0.5252530000634726</v>
                </pt>
                <pt idx="3534">
                  <v>-0.5252530000634726</v>
                </pt>
                <pt idx="3535">
                  <v>-0.5252530000634726</v>
                </pt>
                <pt idx="3536">
                  <v>-0.5252530000634726</v>
                </pt>
                <pt idx="3537">
                  <v>-0.5252530000634726</v>
                </pt>
                <pt idx="3538">
                  <v>-0.5252530000634726</v>
                </pt>
                <pt idx="3539">
                  <v>-0.5252530000634726</v>
                </pt>
                <pt idx="3540">
                  <v>-0.5252530000634726</v>
                </pt>
                <pt idx="3541">
                  <v>-0.5252530000634726</v>
                </pt>
                <pt idx="3542">
                  <v>-0.5252530000634726</v>
                </pt>
                <pt idx="3543">
                  <v>-0.5252530000634726</v>
                </pt>
                <pt idx="3544">
                  <v>-0.5252530000634726</v>
                </pt>
                <pt idx="3545">
                  <v>-0.5252530000634726</v>
                </pt>
                <pt idx="3546">
                  <v>-0.5252530000634726</v>
                </pt>
                <pt idx="3547">
                  <v>-0.5252530000634726</v>
                </pt>
                <pt idx="3548">
                  <v>-0.5252530000634726</v>
                </pt>
                <pt idx="3549">
                  <v>-0.5252530000634726</v>
                </pt>
                <pt idx="3550">
                  <v>-0.5252530000634726</v>
                </pt>
                <pt idx="3551">
                  <v>-0.5252530000634726</v>
                </pt>
                <pt idx="3552">
                  <v>-0.5252530000634726</v>
                </pt>
                <pt idx="3553">
                  <v>-0.5252530000634726</v>
                </pt>
                <pt idx="3554">
                  <v>-0.5252530000634726</v>
                </pt>
                <pt idx="3555">
                  <v>-0.5252530000634726</v>
                </pt>
                <pt idx="3556">
                  <v>-0.5252530000634726</v>
                </pt>
                <pt idx="3557">
                  <v>-0.5252530000634726</v>
                </pt>
                <pt idx="3558">
                  <v>-0.5252530000634726</v>
                </pt>
                <pt idx="3559">
                  <v>-0.5252530000634726</v>
                </pt>
                <pt idx="3560">
                  <v>-0.5252530000634726</v>
                </pt>
                <pt idx="3561">
                  <v>-0.5252530000634726</v>
                </pt>
                <pt idx="3562">
                  <v>-0.5252530000634726</v>
                </pt>
                <pt idx="3563">
                  <v>-0.5252530000634726</v>
                </pt>
                <pt idx="3564">
                  <v>-0.5252530000634726</v>
                </pt>
                <pt idx="3565">
                  <v>-0.5252530000634726</v>
                </pt>
                <pt idx="3566">
                  <v>-0.5252530000634726</v>
                </pt>
                <pt idx="3567">
                  <v>-0.5252530000634726</v>
                </pt>
                <pt idx="3568">
                  <v>-0.5252530000634726</v>
                </pt>
                <pt idx="3569">
                  <v>-0.5252530000634726</v>
                </pt>
                <pt idx="3570">
                  <v>-0.5252530000634726</v>
                </pt>
                <pt idx="3571">
                  <v>-0.5252530000634726</v>
                </pt>
                <pt idx="3572">
                  <v>-0.5252530000634726</v>
                </pt>
                <pt idx="3573">
                  <v>-0.5252530000634726</v>
                </pt>
                <pt idx="3574">
                  <v>-0.5252530000634726</v>
                </pt>
                <pt idx="3575">
                  <v>-0.5252530000634726</v>
                </pt>
                <pt idx="3576">
                  <v>-0.5252530000634726</v>
                </pt>
                <pt idx="3577">
                  <v>-0.5252530000634726</v>
                </pt>
                <pt idx="3578">
                  <v>-0.5252530000634726</v>
                </pt>
                <pt idx="3579">
                  <v>-0.5252530000634726</v>
                </pt>
                <pt idx="3580">
                  <v>-0.5252530000634726</v>
                </pt>
                <pt idx="3581">
                  <v>-0.5252530000634726</v>
                </pt>
                <pt idx="3582">
                  <v>-0.5252530000634726</v>
                </pt>
                <pt idx="3583">
                  <v>-0.5252530000634726</v>
                </pt>
                <pt idx="3584">
                  <v>-0.5252530000634726</v>
                </pt>
                <pt idx="3585">
                  <v>-0.5252530000634726</v>
                </pt>
                <pt idx="3586">
                  <v>-0.5252530000634726</v>
                </pt>
                <pt idx="3587">
                  <v>-0.5252530000634726</v>
                </pt>
                <pt idx="3588">
                  <v>-0.5252530000634726</v>
                </pt>
                <pt idx="3589">
                  <v>-0.5252530000634726</v>
                </pt>
                <pt idx="3590">
                  <v>-0.5252530000634726</v>
                </pt>
                <pt idx="3591">
                  <v>-0.5252530000634726</v>
                </pt>
                <pt idx="3592">
                  <v>-0.5252530000634726</v>
                </pt>
                <pt idx="3593">
                  <v>-0.5252530000634726</v>
                </pt>
                <pt idx="3594">
                  <v>-0.5252530000634726</v>
                </pt>
                <pt idx="3595">
                  <v>-0.5252530000634726</v>
                </pt>
                <pt idx="3596">
                  <v>-0.5252530000634726</v>
                </pt>
                <pt idx="3597">
                  <v>-0.5252530000634726</v>
                </pt>
                <pt idx="3598">
                  <v>-0.5252530000634726</v>
                </pt>
                <pt idx="3599">
                  <v>-0.5252530000634726</v>
                </pt>
                <pt idx="3600">
                  <v>-0.5252530000634726</v>
                </pt>
                <pt idx="3601">
                  <v>-0.5252530000634726</v>
                </pt>
                <pt idx="3602">
                  <v>-0.5252530000634726</v>
                </pt>
                <pt idx="3603">
                  <v>-0.5252530000634726</v>
                </pt>
                <pt idx="3604">
                  <v>-0.5252530000634726</v>
                </pt>
                <pt idx="3605">
                  <v>-0.5252530000634726</v>
                </pt>
                <pt idx="3606">
                  <v>-0.5252530000634726</v>
                </pt>
                <pt idx="3607">
                  <v>-0.5252530000634726</v>
                </pt>
                <pt idx="3608">
                  <v>-0.5252530000634726</v>
                </pt>
                <pt idx="3609">
                  <v>-0.5252530000634726</v>
                </pt>
                <pt idx="3610">
                  <v>-0.5252530000634726</v>
                </pt>
                <pt idx="3611">
                  <v>-0.5252530000634726</v>
                </pt>
                <pt idx="3612">
                  <v>-0.5252530000634726</v>
                </pt>
                <pt idx="3613">
                  <v>-0.5252530000634726</v>
                </pt>
                <pt idx="3614">
                  <v>-0.5252530000634726</v>
                </pt>
                <pt idx="3615">
                  <v>-0.5252530000634726</v>
                </pt>
                <pt idx="3616">
                  <v>-0.5252530000634726</v>
                </pt>
                <pt idx="3617">
                  <v>-0.5252530000634726</v>
                </pt>
                <pt idx="3618">
                  <v>-0.5252530000634726</v>
                </pt>
                <pt idx="3619">
                  <v>-0.5252530000634726</v>
                </pt>
                <pt idx="3620">
                  <v>-0.5252530000634726</v>
                </pt>
                <pt idx="3621">
                  <v>-0.5252530000634726</v>
                </pt>
                <pt idx="3622">
                  <v>-0.5252530000634726</v>
                </pt>
                <pt idx="3623">
                  <v>-0.5252530000634726</v>
                </pt>
                <pt idx="3624">
                  <v>-0.5252530000634726</v>
                </pt>
                <pt idx="3625">
                  <v>-0.5252530000634726</v>
                </pt>
                <pt idx="3626">
                  <v>-0.5252530000634726</v>
                </pt>
                <pt idx="3627">
                  <v>-0.5252530000634726</v>
                </pt>
                <pt idx="3628">
                  <v>-0.5252530000634726</v>
                </pt>
                <pt idx="3629">
                  <v>-0.5252530000634726</v>
                </pt>
                <pt idx="3630">
                  <v>-0.5252530000634726</v>
                </pt>
                <pt idx="3631">
                  <v>-0.5252530000634726</v>
                </pt>
                <pt idx="3632">
                  <v>-0.5252530000634726</v>
                </pt>
                <pt idx="3633">
                  <v>-0.5252530000634726</v>
                </pt>
                <pt idx="3634">
                  <v>-0.5252530000634726</v>
                </pt>
                <pt idx="3635">
                  <v>-0.5252530000634726</v>
                </pt>
                <pt idx="3636">
                  <v>-0.5252530000634726</v>
                </pt>
                <pt idx="3637">
                  <v>-0.5252530000634726</v>
                </pt>
                <pt idx="3638">
                  <v>-0.5252530000634726</v>
                </pt>
                <pt idx="3639">
                  <v>-0.5252530000634726</v>
                </pt>
                <pt idx="3640">
                  <v>-0.5252530000634726</v>
                </pt>
                <pt idx="3641">
                  <v>-0.5252530000634726</v>
                </pt>
                <pt idx="3642">
                  <v>-0.5252530000634726</v>
                </pt>
                <pt idx="3643">
                  <v>-0.5252530000634726</v>
                </pt>
                <pt idx="3644">
                  <v>-0.5252530000634726</v>
                </pt>
                <pt idx="3645">
                  <v>-0.5252530000634726</v>
                </pt>
                <pt idx="3646">
                  <v>-0.5252530000634726</v>
                </pt>
                <pt idx="3647">
                  <v>-0.5252530000634726</v>
                </pt>
                <pt idx="3648">
                  <v>-0.5252530000634726</v>
                </pt>
                <pt idx="3649">
                  <v>-0.5252530000634726</v>
                </pt>
                <pt idx="3650">
                  <v>-0.5252530000634726</v>
                </pt>
                <pt idx="3651">
                  <v>-0.5252530000634726</v>
                </pt>
                <pt idx="3652">
                  <v>-0.5252530000634726</v>
                </pt>
                <pt idx="3653">
                  <v>-0.5252530000634726</v>
                </pt>
                <pt idx="3654">
                  <v>-0.5252530000634726</v>
                </pt>
                <pt idx="3655">
                  <v>-0.5252530000634726</v>
                </pt>
                <pt idx="3656">
                  <v>-0.5252530000634726</v>
                </pt>
                <pt idx="3657">
                  <v>-0.5252530000634726</v>
                </pt>
                <pt idx="3658">
                  <v>-0.5252530000634726</v>
                </pt>
                <pt idx="3659">
                  <v>-0.5252530000634726</v>
                </pt>
                <pt idx="3660">
                  <v>-0.5252530000634726</v>
                </pt>
                <pt idx="3661">
                  <v>-0.5252530000634726</v>
                </pt>
                <pt idx="3662">
                  <v>-0.5252530000634726</v>
                </pt>
                <pt idx="3663">
                  <v>-0.5252530000634726</v>
                </pt>
                <pt idx="3664">
                  <v>-0.5252530000634726</v>
                </pt>
                <pt idx="3665">
                  <v>-0.5252530000634726</v>
                </pt>
                <pt idx="3666">
                  <v>-0.5252530000634726</v>
                </pt>
                <pt idx="3667">
                  <v>-0.5252530000634726</v>
                </pt>
                <pt idx="3668">
                  <v>-0.5252530000634726</v>
                </pt>
                <pt idx="3669">
                  <v>-0.5252530000634726</v>
                </pt>
                <pt idx="3670">
                  <v>-0.5252530000634726</v>
                </pt>
                <pt idx="3671">
                  <v>-0.5252530000634726</v>
                </pt>
                <pt idx="3672">
                  <v>-0.5252530000634726</v>
                </pt>
                <pt idx="3673">
                  <v>-0.5252530000634726</v>
                </pt>
                <pt idx="3674">
                  <v>-0.5252530000634726</v>
                </pt>
                <pt idx="3675">
                  <v>-0.5252530000634726</v>
                </pt>
                <pt idx="3676">
                  <v>-0.5252530000634726</v>
                </pt>
                <pt idx="3677">
                  <v>-0.5252530000634726</v>
                </pt>
                <pt idx="3678">
                  <v>-0.5252530000634726</v>
                </pt>
                <pt idx="3679">
                  <v>-0.5252530000634726</v>
                </pt>
                <pt idx="3680">
                  <v>-0.5252530000634726</v>
                </pt>
                <pt idx="3681">
                  <v>-0.5252530000634726</v>
                </pt>
                <pt idx="3682">
                  <v>-0.5252530000634726</v>
                </pt>
                <pt idx="3683">
                  <v>-0.5252530000634726</v>
                </pt>
                <pt idx="3684">
                  <v>-0.5252530000634726</v>
                </pt>
                <pt idx="3685">
                  <v>-0.5252530000634726</v>
                </pt>
                <pt idx="3686">
                  <v>-0.5252530000634726</v>
                </pt>
                <pt idx="3687">
                  <v>-0.5252530000634726</v>
                </pt>
                <pt idx="3688">
                  <v>-0.5252530000634726</v>
                </pt>
                <pt idx="3689">
                  <v>-0.5252530000634726</v>
                </pt>
                <pt idx="3690">
                  <v>-0.5252530000634726</v>
                </pt>
                <pt idx="3691">
                  <v>-0.5252530000634726</v>
                </pt>
                <pt idx="3692">
                  <v>-0.5252530000634726</v>
                </pt>
                <pt idx="3693">
                  <v>-0.5252530000634726</v>
                </pt>
                <pt idx="3694">
                  <v>-0.5252530000634726</v>
                </pt>
                <pt idx="3695">
                  <v>-0.5252530000634726</v>
                </pt>
                <pt idx="3696">
                  <v>-0.5252530000634726</v>
                </pt>
                <pt idx="3697">
                  <v>-0.5252530000634726</v>
                </pt>
                <pt idx="3698">
                  <v>-0.5252530000634726</v>
                </pt>
                <pt idx="3699">
                  <v>-0.5252530000634726</v>
                </pt>
                <pt idx="3700">
                  <v>-0.5252530000634726</v>
                </pt>
                <pt idx="3701">
                  <v>-0.5252530000634726</v>
                </pt>
                <pt idx="3702">
                  <v>-0.5252530000634726</v>
                </pt>
                <pt idx="3703">
                  <v>-0.5252530000634726</v>
                </pt>
                <pt idx="3704">
                  <v>-0.5252530000634726</v>
                </pt>
                <pt idx="3705">
                  <v>-0.5252530000634726</v>
                </pt>
                <pt idx="3706">
                  <v>-0.5252530000634726</v>
                </pt>
                <pt idx="3707">
                  <v>-0.5252530000634726</v>
                </pt>
                <pt idx="3708">
                  <v>-0.5252530000634726</v>
                </pt>
                <pt idx="3709">
                  <v>-0.5252530000634726</v>
                </pt>
                <pt idx="3710">
                  <v>-0.5252530000634726</v>
                </pt>
                <pt idx="3711">
                  <v>-0.5252530000634726</v>
                </pt>
                <pt idx="3712">
                  <v>-0.5252530000634726</v>
                </pt>
                <pt idx="3713">
                  <v>-0.5252530000634726</v>
                </pt>
                <pt idx="3714">
                  <v>-0.5252530000634726</v>
                </pt>
                <pt idx="3715">
                  <v>-0.5252530000634726</v>
                </pt>
                <pt idx="3716">
                  <v>-0.5252530000634726</v>
                </pt>
                <pt idx="3717">
                  <v>-0.5252530000634726</v>
                </pt>
                <pt idx="3718">
                  <v>-0.5252530000634726</v>
                </pt>
                <pt idx="3719">
                  <v>-0.5252530000634726</v>
                </pt>
                <pt idx="3720">
                  <v>-0.5252530000634726</v>
                </pt>
                <pt idx="3721">
                  <v>-0.5252530000634726</v>
                </pt>
                <pt idx="3722">
                  <v>-0.5252530000634726</v>
                </pt>
                <pt idx="3723">
                  <v>-0.5252530000634726</v>
                </pt>
                <pt idx="3724">
                  <v>-0.5252530000634726</v>
                </pt>
                <pt idx="3725">
                  <v>-0.5252530000634726</v>
                </pt>
                <pt idx="3726">
                  <v>-0.5252530000634726</v>
                </pt>
                <pt idx="3727">
                  <v>-0.5252530000634726</v>
                </pt>
                <pt idx="3728">
                  <v>-0.5252530000634726</v>
                </pt>
                <pt idx="3729">
                  <v>-0.5252530000634726</v>
                </pt>
                <pt idx="3730">
                  <v>-0.5252530000634726</v>
                </pt>
                <pt idx="3731">
                  <v>-0.5252530000634726</v>
                </pt>
                <pt idx="3732">
                  <v>-0.5252530000634726</v>
                </pt>
                <pt idx="3733">
                  <v>-0.5252530000634726</v>
                </pt>
                <pt idx="3734">
                  <v>-0.5252530000634726</v>
                </pt>
                <pt idx="3735">
                  <v>-0.5252530000634726</v>
                </pt>
                <pt idx="3736">
                  <v>-0.5252530000634726</v>
                </pt>
                <pt idx="3737">
                  <v>-0.5252530000634726</v>
                </pt>
                <pt idx="3738">
                  <v>-0.5252530000634726</v>
                </pt>
                <pt idx="3739">
                  <v>-0.5252530000634726</v>
                </pt>
                <pt idx="3740">
                  <v>-0.5252530000634726</v>
                </pt>
                <pt idx="3741">
                  <v>-0.5252530000634726</v>
                </pt>
                <pt idx="3742">
                  <v>-0.5252530000634726</v>
                </pt>
                <pt idx="3743">
                  <v>-0.5252530000634726</v>
                </pt>
                <pt idx="3744">
                  <v>-0.5252530000634726</v>
                </pt>
                <pt idx="3745">
                  <v>-0.5252530000634726</v>
                </pt>
                <pt idx="3746">
                  <v>-0.5252530000634726</v>
                </pt>
                <pt idx="3747">
                  <v>-0.5252530000634726</v>
                </pt>
                <pt idx="3748">
                  <v>-0.5252530000634726</v>
                </pt>
                <pt idx="3749">
                  <v>-0.5252530000634726</v>
                </pt>
                <pt idx="3750">
                  <v>-0.5252530000634726</v>
                </pt>
                <pt idx="3751">
                  <v>-0.5252530000634726</v>
                </pt>
                <pt idx="3752">
                  <v>-0.5252530000634726</v>
                </pt>
                <pt idx="3753">
                  <v>-0.5252530000634726</v>
                </pt>
                <pt idx="3754">
                  <v>-0.5252530000634726</v>
                </pt>
                <pt idx="3755">
                  <v>-0.5252530000634726</v>
                </pt>
                <pt idx="3756">
                  <v>-0.5252530000634726</v>
                </pt>
                <pt idx="3757">
                  <v>-0.5252530000634726</v>
                </pt>
                <pt idx="3758">
                  <v>-0.5252530000634726</v>
                </pt>
                <pt idx="3759">
                  <v>-0.5252530000634726</v>
                </pt>
                <pt idx="3760">
                  <v>-0.5252530000634726</v>
                </pt>
                <pt idx="3761">
                  <v>-0.5252530000634726</v>
                </pt>
                <pt idx="3762">
                  <v>-0.5252530000634726</v>
                </pt>
                <pt idx="3763">
                  <v>-0.5252530000634726</v>
                </pt>
                <pt idx="3764">
                  <v>-0.5252530000634726</v>
                </pt>
                <pt idx="3765">
                  <v>-0.5252530000634726</v>
                </pt>
                <pt idx="3766">
                  <v>-0.5252530000634726</v>
                </pt>
                <pt idx="3767">
                  <v>-0.5252530000634726</v>
                </pt>
                <pt idx="3768">
                  <v>-0.5252530000634726</v>
                </pt>
                <pt idx="3769">
                  <v>-0.5252530000634726</v>
                </pt>
                <pt idx="3770">
                  <v>-0.5252530000634726</v>
                </pt>
                <pt idx="3771">
                  <v>-0.5252530000634726</v>
                </pt>
                <pt idx="3772">
                  <v>-0.5252530000634726</v>
                </pt>
                <pt idx="3773">
                  <v>-0.5252530000634726</v>
                </pt>
                <pt idx="3774">
                  <v>-0.5252530000634726</v>
                </pt>
                <pt idx="3775">
                  <v>-0.5252530000634726</v>
                </pt>
                <pt idx="3776">
                  <v>-0.5252530000634726</v>
                </pt>
                <pt idx="3777">
                  <v>-0.5252530000634726</v>
                </pt>
                <pt idx="3778">
                  <v>-0.5252530000634726</v>
                </pt>
                <pt idx="3779">
                  <v>-0.5252530000634726</v>
                </pt>
                <pt idx="3780">
                  <v>-0.5252530000634726</v>
                </pt>
                <pt idx="3781">
                  <v>-0.5252530000634726</v>
                </pt>
                <pt idx="3782">
                  <v>-0.5252530000634726</v>
                </pt>
                <pt idx="3783">
                  <v>-0.5252530000634726</v>
                </pt>
                <pt idx="3784">
                  <v>-0.5252530000634726</v>
                </pt>
                <pt idx="3785">
                  <v>-0.5252530000634726</v>
                </pt>
                <pt idx="3786">
                  <v>-0.5252530000634726</v>
                </pt>
                <pt idx="3787">
                  <v>-0.5252530000634726</v>
                </pt>
                <pt idx="3788">
                  <v>-0.5252530000634726</v>
                </pt>
                <pt idx="3789">
                  <v>-0.5252530000634726</v>
                </pt>
                <pt idx="3790">
                  <v>-0.5252530000634726</v>
                </pt>
                <pt idx="3791">
                  <v>-0.5252530000634726</v>
                </pt>
                <pt idx="3792">
                  <v>-0.5252530000634726</v>
                </pt>
                <pt idx="3793">
                  <v>-0.5252530000634726</v>
                </pt>
                <pt idx="3794">
                  <v>-0.5252530000634726</v>
                </pt>
                <pt idx="3795">
                  <v>-0.5252530000634726</v>
                </pt>
                <pt idx="3796">
                  <v>-0.5252530000634726</v>
                </pt>
                <pt idx="3797">
                  <v>-0.5252530000634726</v>
                </pt>
                <pt idx="3798">
                  <v>-0.5252530000634726</v>
                </pt>
                <pt idx="3799">
                  <v>-0.5252530000634726</v>
                </pt>
                <pt idx="3800">
                  <v>-0.5252530000634726</v>
                </pt>
                <pt idx="3801">
                  <v>-0.5252530000634726</v>
                </pt>
                <pt idx="3802">
                  <v>-0.5252530000634726</v>
                </pt>
                <pt idx="3803">
                  <v>-0.5252530000634726</v>
                </pt>
                <pt idx="3804">
                  <v>-0.5252530000634726</v>
                </pt>
                <pt idx="3805">
                  <v>-0.5252530000634726</v>
                </pt>
                <pt idx="3806">
                  <v>-0.5252530000634726</v>
                </pt>
                <pt idx="3807">
                  <v>-0.5252530000634726</v>
                </pt>
                <pt idx="3808">
                  <v>-0.5252530000634726</v>
                </pt>
                <pt idx="3809">
                  <v>-0.5252530000634726</v>
                </pt>
                <pt idx="3810">
                  <v>-0.5252530000634726</v>
                </pt>
                <pt idx="3811">
                  <v>-0.5252530000634726</v>
                </pt>
                <pt idx="3812">
                  <v>-0.5252530000634726</v>
                </pt>
                <pt idx="3813">
                  <v>-0.5252530000634726</v>
                </pt>
                <pt idx="3814">
                  <v>-0.5252530000634726</v>
                </pt>
                <pt idx="3815">
                  <v>-0.5252530000634726</v>
                </pt>
                <pt idx="3816">
                  <v>-0.5252530000634726</v>
                </pt>
                <pt idx="3817">
                  <v>-0.5252530000634726</v>
                </pt>
                <pt idx="3818">
                  <v>-0.5252530000634726</v>
                </pt>
                <pt idx="3819">
                  <v>-0.5252530000634726</v>
                </pt>
                <pt idx="3820">
                  <v>-0.5252530000634726</v>
                </pt>
                <pt idx="3821">
                  <v>-0.5252530000634726</v>
                </pt>
                <pt idx="3822">
                  <v>-0.5252530000634726</v>
                </pt>
                <pt idx="3823">
                  <v>-0.5252530000634726</v>
                </pt>
                <pt idx="3824">
                  <v>-0.5252530000634726</v>
                </pt>
                <pt idx="3825">
                  <v>-0.5252530000634726</v>
                </pt>
                <pt idx="3826">
                  <v>-0.5252530000634726</v>
                </pt>
                <pt idx="3827">
                  <v>-0.5252530000634726</v>
                </pt>
                <pt idx="3828">
                  <v>-0.5252530000634726</v>
                </pt>
                <pt idx="3829">
                  <v>-0.5252530000634726</v>
                </pt>
                <pt idx="3830">
                  <v>-0.5252530000634726</v>
                </pt>
                <pt idx="3831">
                  <v>-0.5252530000634726</v>
                </pt>
                <pt idx="3832">
                  <v>-0.5252530000634726</v>
                </pt>
                <pt idx="3833">
                  <v>-0.5252530000634726</v>
                </pt>
                <pt idx="3834">
                  <v>-0.5252530000634726</v>
                </pt>
                <pt idx="3835">
                  <v>-0.5252530000634726</v>
                </pt>
                <pt idx="3836">
                  <v>-0.5252530000634726</v>
                </pt>
                <pt idx="3837">
                  <v>-0.5252530000634726</v>
                </pt>
                <pt idx="3838">
                  <v>-0.5252530000634726</v>
                </pt>
                <pt idx="3839">
                  <v>-0.5252530000634726</v>
                </pt>
                <pt idx="3840">
                  <v>-0.5252530000634726</v>
                </pt>
                <pt idx="3841">
                  <v>-0.5252530000634726</v>
                </pt>
                <pt idx="3842">
                  <v>-0.5252530000634726</v>
                </pt>
                <pt idx="3843">
                  <v>-0.5252530000634726</v>
                </pt>
                <pt idx="3844">
                  <v>-0.5252530000634726</v>
                </pt>
                <pt idx="3845">
                  <v>-0.5252530000634726</v>
                </pt>
                <pt idx="3846">
                  <v>-0.5252530000634726</v>
                </pt>
                <pt idx="3847">
                  <v>-0.5252530000634726</v>
                </pt>
                <pt idx="3848">
                  <v>-0.5252530000634726</v>
                </pt>
                <pt idx="3849">
                  <v>-0.5252530000634726</v>
                </pt>
                <pt idx="3850">
                  <v>-0.5252530000634726</v>
                </pt>
                <pt idx="3851">
                  <v>-0.5252530000634726</v>
                </pt>
                <pt idx="3852">
                  <v>-0.5252530000634726</v>
                </pt>
                <pt idx="3853">
                  <v>-0.5252530000634726</v>
                </pt>
                <pt idx="3854">
                  <v>-0.5252530000634726</v>
                </pt>
                <pt idx="3855">
                  <v>-0.5252530000634726</v>
                </pt>
                <pt idx="3856">
                  <v>-0.5252530000634726</v>
                </pt>
                <pt idx="3857">
                  <v>-0.5252530000634726</v>
                </pt>
                <pt idx="3858">
                  <v>-0.5252530000634726</v>
                </pt>
                <pt idx="3859">
                  <v>-0.5252530000634726</v>
                </pt>
                <pt idx="3860">
                  <v>-0.5252530000634726</v>
                </pt>
                <pt idx="3861">
                  <v>-0.5252530000634726</v>
                </pt>
                <pt idx="3862">
                  <v>-0.5252530000634726</v>
                </pt>
                <pt idx="3863">
                  <v>-0.5252530000634726</v>
                </pt>
                <pt idx="3864">
                  <v>-0.5252530000634726</v>
                </pt>
                <pt idx="3865">
                  <v>-0.5252530000634726</v>
                </pt>
                <pt idx="3866">
                  <v>-0.5252530000634726</v>
                </pt>
                <pt idx="3867">
                  <v>-0.5252530000634726</v>
                </pt>
                <pt idx="3868">
                  <v>-0.5252530000634726</v>
                </pt>
                <pt idx="3869">
                  <v>-0.5252530000634726</v>
                </pt>
                <pt idx="3870">
                  <v>-0.5252530000634726</v>
                </pt>
                <pt idx="3871">
                  <v>-0.5252530000634726</v>
                </pt>
                <pt idx="3872">
                  <v>-0.5252530000634726</v>
                </pt>
                <pt idx="3873">
                  <v>-0.5252530000634726</v>
                </pt>
                <pt idx="3874">
                  <v>-0.5252530000634726</v>
                </pt>
                <pt idx="3875">
                  <v>-0.5252530000634726</v>
                </pt>
                <pt idx="3876">
                  <v>-0.5252530000634726</v>
                </pt>
                <pt idx="3877">
                  <v>-0.5252530000634726</v>
                </pt>
                <pt idx="3878">
                  <v>-0.5252530000634726</v>
                </pt>
                <pt idx="3879">
                  <v>-0.5252530000634726</v>
                </pt>
                <pt idx="3880">
                  <v>-0.5252530000634726</v>
                </pt>
                <pt idx="3881">
                  <v>-0.5252530000634726</v>
                </pt>
                <pt idx="3882">
                  <v>-0.5252530000634726</v>
                </pt>
                <pt idx="3883">
                  <v>-0.5252530000634726</v>
                </pt>
                <pt idx="3884">
                  <v>-0.5252530000634726</v>
                </pt>
                <pt idx="3885">
                  <v>-0.5252530000634726</v>
                </pt>
                <pt idx="3886">
                  <v>-0.5252530000634726</v>
                </pt>
                <pt idx="3887">
                  <v>-0.5252530000634726</v>
                </pt>
                <pt idx="3888">
                  <v>-0.5252530000634726</v>
                </pt>
                <pt idx="3889">
                  <v>-0.5252530000634726</v>
                </pt>
                <pt idx="3890">
                  <v>-0.5252530000634726</v>
                </pt>
                <pt idx="3891">
                  <v>-0.5252530000634726</v>
                </pt>
                <pt idx="3892">
                  <v>-0.5252530000634726</v>
                </pt>
                <pt idx="3893">
                  <v>-0.5252530000634726</v>
                </pt>
                <pt idx="3894">
                  <v>-0.5252530000634726</v>
                </pt>
                <pt idx="3895">
                  <v>-0.5252530000634726</v>
                </pt>
                <pt idx="3896">
                  <v>-0.5252530000634726</v>
                </pt>
                <pt idx="3897">
                  <v>-0.5252530000634726</v>
                </pt>
                <pt idx="3898">
                  <v>-0.5252530000634726</v>
                </pt>
                <pt idx="3899">
                  <v>-0.5252530000634726</v>
                </pt>
                <pt idx="3900">
                  <v>-0.5252530000634726</v>
                </pt>
                <pt idx="3901">
                  <v>-0.5252530000634726</v>
                </pt>
                <pt idx="3902">
                  <v>-0.5252530000634726</v>
                </pt>
                <pt idx="3903">
                  <v>-0.5252530000634726</v>
                </pt>
                <pt idx="3904">
                  <v>-0.5252530000634726</v>
                </pt>
                <pt idx="3905">
                  <v>-0.5252530000634726</v>
                </pt>
                <pt idx="3906">
                  <v>-0.5252530000634726</v>
                </pt>
                <pt idx="3907">
                  <v>-0.5252530000634726</v>
                </pt>
                <pt idx="3908">
                  <v>-0.5252530000634726</v>
                </pt>
                <pt idx="3909">
                  <v>-0.5252530000634726</v>
                </pt>
                <pt idx="3910">
                  <v>-0.5252530000634726</v>
                </pt>
                <pt idx="3911">
                  <v>-0.5252530000634726</v>
                </pt>
                <pt idx="3912">
                  <v>-0.5252530000634726</v>
                </pt>
                <pt idx="3913">
                  <v>-0.5252530000634726</v>
                </pt>
                <pt idx="3914">
                  <v>-0.5252530000634726</v>
                </pt>
                <pt idx="3915">
                  <v>-0.5252530000634726</v>
                </pt>
                <pt idx="3916">
                  <v>-0.5252530000634726</v>
                </pt>
                <pt idx="3917">
                  <v>-0.5252530000634726</v>
                </pt>
                <pt idx="3918">
                  <v>-0.5252530000634726</v>
                </pt>
                <pt idx="3919">
                  <v>-0.5252530000634726</v>
                </pt>
                <pt idx="3920">
                  <v>-0.5252530000634726</v>
                </pt>
                <pt idx="3921">
                  <v>-0.5252530000634726</v>
                </pt>
                <pt idx="3922">
                  <v>-0.5252530000634726</v>
                </pt>
                <pt idx="3923">
                  <v>-0.5252530000634726</v>
                </pt>
                <pt idx="3924">
                  <v>-0.5252530000634726</v>
                </pt>
                <pt idx="3925">
                  <v>-0.5252530000634726</v>
                </pt>
                <pt idx="3926">
                  <v>-0.5252530000634726</v>
                </pt>
                <pt idx="3927">
                  <v>-0.5252530000634726</v>
                </pt>
                <pt idx="3928">
                  <v>-0.5252530000634726</v>
                </pt>
                <pt idx="3929">
                  <v>-0.5252530000634726</v>
                </pt>
                <pt idx="3930">
                  <v>-0.5252530000634726</v>
                </pt>
                <pt idx="3931">
                  <v>-0.5252530000634726</v>
                </pt>
                <pt idx="3932">
                  <v>-0.5252530000634726</v>
                </pt>
                <pt idx="3933">
                  <v>-0.5252530000634726</v>
                </pt>
                <pt idx="3934">
                  <v>-0.5252530000634726</v>
                </pt>
                <pt idx="3935">
                  <v>-0.5252530000634726</v>
                </pt>
                <pt idx="3936">
                  <v>-0.5252530000634726</v>
                </pt>
                <pt idx="3937">
                  <v>-0.5252530000634726</v>
                </pt>
                <pt idx="3938">
                  <v>-0.5252530000634726</v>
                </pt>
                <pt idx="3939">
                  <v>-0.5252530000634726</v>
                </pt>
                <pt idx="3940">
                  <v>-0.5252530000634726</v>
                </pt>
                <pt idx="3941">
                  <v>-0.5252530000634726</v>
                </pt>
                <pt idx="3942">
                  <v>-0.5252530000634726</v>
                </pt>
                <pt idx="3943">
                  <v>-0.5252530000634726</v>
                </pt>
                <pt idx="3944">
                  <v>-0.5252530000634726</v>
                </pt>
                <pt idx="3945">
                  <v>-0.5252530000634726</v>
                </pt>
                <pt idx="3946">
                  <v>-0.5252530000634726</v>
                </pt>
                <pt idx="3947">
                  <v>-0.5252530000634726</v>
                </pt>
                <pt idx="3948">
                  <v>-0.5252530000634726</v>
                </pt>
                <pt idx="3949">
                  <v>-0.5252530000634726</v>
                </pt>
                <pt idx="3950">
                  <v>-0.5252530000634726</v>
                </pt>
                <pt idx="3951">
                  <v>-0.5252530000634726</v>
                </pt>
                <pt idx="3952">
                  <v>-0.5252530000634726</v>
                </pt>
                <pt idx="3953">
                  <v>-0.5252530000634726</v>
                </pt>
                <pt idx="3954">
                  <v>-0.5252530000634726</v>
                </pt>
                <pt idx="3955">
                  <v>-0.5252530000634726</v>
                </pt>
                <pt idx="3956">
                  <v>-0.5252530000634726</v>
                </pt>
                <pt idx="3957">
                  <v>-0.5252530000634726</v>
                </pt>
                <pt idx="3958">
                  <v>-0.5252530000634726</v>
                </pt>
                <pt idx="3959">
                  <v>-0.5252530000634726</v>
                </pt>
                <pt idx="3960">
                  <v>-0.5252530000634726</v>
                </pt>
                <pt idx="3961">
                  <v>-0.5252530000634726</v>
                </pt>
                <pt idx="3962">
                  <v>-0.5252530000634726</v>
                </pt>
                <pt idx="3963">
                  <v>-0.5252530000634726</v>
                </pt>
                <pt idx="3964">
                  <v>-0.5252530000634726</v>
                </pt>
                <pt idx="3965">
                  <v>-0.5252530000634726</v>
                </pt>
                <pt idx="3966">
                  <v>-0.5252530000634726</v>
                </pt>
                <pt idx="3967">
                  <v>-0.5252530000634726</v>
                </pt>
                <pt idx="3968">
                  <v>-0.5252530000634726</v>
                </pt>
                <pt idx="3969">
                  <v>-0.5252530000634726</v>
                </pt>
                <pt idx="3970">
                  <v>-0.5252530000634726</v>
                </pt>
                <pt idx="3971">
                  <v>-0.5252530000634726</v>
                </pt>
                <pt idx="3972">
                  <v>-0.5252530000634726</v>
                </pt>
                <pt idx="3973">
                  <v>-0.5252530000634726</v>
                </pt>
                <pt idx="3974">
                  <v>-0.5252530000634726</v>
                </pt>
                <pt idx="3975">
                  <v>-0.5252530000634726</v>
                </pt>
                <pt idx="3976">
                  <v>-0.5252530000634726</v>
                </pt>
                <pt idx="3977">
                  <v>-0.5252530000634726</v>
                </pt>
                <pt idx="3978">
                  <v>-0.5252530000634726</v>
                </pt>
                <pt idx="3979">
                  <v>-0.5252530000634726</v>
                </pt>
                <pt idx="3980">
                  <v>-0.5252530000634726</v>
                </pt>
                <pt idx="3981">
                  <v>-0.5252530000634726</v>
                </pt>
                <pt idx="3982">
                  <v>-0.5252530000634726</v>
                </pt>
                <pt idx="3983">
                  <v>-0.5252530000634726</v>
                </pt>
                <pt idx="3984">
                  <v>-0.5252530000634726</v>
                </pt>
                <pt idx="3985">
                  <v>-0.5252530000634726</v>
                </pt>
                <pt idx="3986">
                  <v>-0.5252530000634726</v>
                </pt>
                <pt idx="3987">
                  <v>-0.5252530000634726</v>
                </pt>
                <pt idx="3988">
                  <v>-0.5252530000634726</v>
                </pt>
                <pt idx="3989">
                  <v>-0.5252530000634726</v>
                </pt>
                <pt idx="3990">
                  <v>-0.5252530000634726</v>
                </pt>
                <pt idx="3991">
                  <v>-0.5252530000634726</v>
                </pt>
                <pt idx="3992">
                  <v>-0.5252530000634726</v>
                </pt>
                <pt idx="3993">
                  <v>-0.5252530000634726</v>
                </pt>
                <pt idx="3994">
                  <v>-0.5252530000634726</v>
                </pt>
                <pt idx="3995">
                  <v>-0.5252530000634726</v>
                </pt>
                <pt idx="3996">
                  <v>-0.5252530000634726</v>
                </pt>
                <pt idx="3997">
                  <v>-0.5252530000634726</v>
                </pt>
                <pt idx="3998">
                  <v>-0.5252530000634726</v>
                </pt>
                <pt idx="3999">
                  <v>-0.5252530000634726</v>
                </pt>
                <pt idx="4000">
                  <v>-0.5252530000634726</v>
                </pt>
                <pt idx="4001">
                  <v>-0.5252530000634726</v>
                </pt>
                <pt idx="4002">
                  <v>-0.5252530000634726</v>
                </pt>
                <pt idx="4003">
                  <v>-0.5252530000634726</v>
                </pt>
                <pt idx="4004">
                  <v>-0.5252530000634726</v>
                </pt>
                <pt idx="4005">
                  <v>-0.5252530000634726</v>
                </pt>
                <pt idx="4006">
                  <v>-0.5252530000634726</v>
                </pt>
                <pt idx="4007">
                  <v>-0.5252530000634726</v>
                </pt>
                <pt idx="4008">
                  <v>-0.5252530000634726</v>
                </pt>
                <pt idx="4009">
                  <v>-0.5252530000634726</v>
                </pt>
                <pt idx="4010">
                  <v>-0.5252530000634726</v>
                </pt>
                <pt idx="4011">
                  <v>-0.5252530000634726</v>
                </pt>
                <pt idx="4012">
                  <v>-0.5252530000634726</v>
                </pt>
                <pt idx="4013">
                  <v>-0.5252530000634726</v>
                </pt>
                <pt idx="4014">
                  <v>-0.5252530000634726</v>
                </pt>
                <pt idx="4015">
                  <v>-0.5252530000634726</v>
                </pt>
                <pt idx="4016">
                  <v>-0.5252530000634726</v>
                </pt>
                <pt idx="4017">
                  <v>-0.5252530000634726</v>
                </pt>
                <pt idx="4018">
                  <v>-0.5252530000634726</v>
                </pt>
                <pt idx="4019">
                  <v>-0.5252530000634726</v>
                </pt>
                <pt idx="4020">
                  <v>-0.5252530000634726</v>
                </pt>
                <pt idx="4021">
                  <v>-0.5252530000634726</v>
                </pt>
                <pt idx="4022">
                  <v>-0.5252530000634726</v>
                </pt>
                <pt idx="4023">
                  <v>-0.5252530000634726</v>
                </pt>
                <pt idx="4024">
                  <v>-0.5252530000634726</v>
                </pt>
                <pt idx="4025">
                  <v>-0.5252530000634726</v>
                </pt>
                <pt idx="4026">
                  <v>-0.5252530000634726</v>
                </pt>
                <pt idx="4027">
                  <v>-0.5252530000634726</v>
                </pt>
                <pt idx="4028">
                  <v>-0.5252530000634726</v>
                </pt>
                <pt idx="4029">
                  <v>-0.5252530000634726</v>
                </pt>
                <pt idx="4030">
                  <v>-0.5252530000634726</v>
                </pt>
                <pt idx="4031">
                  <v>-0.5252530000634726</v>
                </pt>
                <pt idx="4032">
                  <v>-0.5252530000634726</v>
                </pt>
                <pt idx="4033">
                  <v>-0.5252530000634726</v>
                </pt>
                <pt idx="4034">
                  <v>-0.5252530000634726</v>
                </pt>
                <pt idx="4035">
                  <v>-0.5252530000634726</v>
                </pt>
                <pt idx="4036">
                  <v>-0.5252530000634726</v>
                </pt>
                <pt idx="4037">
                  <v>-0.5252530000634726</v>
                </pt>
                <pt idx="4038">
                  <v>-0.5252530000634726</v>
                </pt>
                <pt idx="4039">
                  <v>-0.5252530000634726</v>
                </pt>
                <pt idx="4040">
                  <v>-0.5252530000634726</v>
                </pt>
                <pt idx="4041">
                  <v>-0.5252530000634726</v>
                </pt>
                <pt idx="4042">
                  <v>-0.5252530000634726</v>
                </pt>
                <pt idx="4043">
                  <v>-0.5252530000634726</v>
                </pt>
                <pt idx="4044">
                  <v>-0.5252530000634726</v>
                </pt>
                <pt idx="4045">
                  <v>-0.5252530000634726</v>
                </pt>
                <pt idx="4046">
                  <v>-0.5252530000634726</v>
                </pt>
                <pt idx="4047">
                  <v>-0.5252530000634726</v>
                </pt>
                <pt idx="4048">
                  <v>-0.5252530000634726</v>
                </pt>
                <pt idx="4049">
                  <v>-0.5252530000634726</v>
                </pt>
                <pt idx="4050">
                  <v>-0.5252530000634726</v>
                </pt>
                <pt idx="4051">
                  <v>-0.5252530000634726</v>
                </pt>
                <pt idx="4052">
                  <v>-0.5252530000634726</v>
                </pt>
                <pt idx="4053">
                  <v>-0.5252530000634726</v>
                </pt>
                <pt idx="4054">
                  <v>-0.5252530000634726</v>
                </pt>
                <pt idx="4055">
                  <v>-0.5252530000634726</v>
                </pt>
                <pt idx="4056">
                  <v>-0.5252530000634726</v>
                </pt>
                <pt idx="4057">
                  <v>-0.5252530000634726</v>
                </pt>
                <pt idx="4058">
                  <v>-0.5252530000634726</v>
                </pt>
                <pt idx="4059">
                  <v>-0.5252530000634726</v>
                </pt>
                <pt idx="4060">
                  <v>-0.5252530000634726</v>
                </pt>
                <pt idx="4061">
                  <v>-0.5252530000634726</v>
                </pt>
                <pt idx="4062">
                  <v>-0.5252530000634726</v>
                </pt>
                <pt idx="4063">
                  <v>-0.5252530000634726</v>
                </pt>
                <pt idx="4064">
                  <v>-0.5252530000634726</v>
                </pt>
                <pt idx="4065">
                  <v>-0.5252530000634726</v>
                </pt>
                <pt idx="4066">
                  <v>-0.5252530000634726</v>
                </pt>
                <pt idx="4067">
                  <v>-0.5252530000634726</v>
                </pt>
                <pt idx="4068">
                  <v>-0.5252530000634726</v>
                </pt>
                <pt idx="4069">
                  <v>-0.5252530000634726</v>
                </pt>
                <pt idx="4070">
                  <v>-0.5252530000634726</v>
                </pt>
                <pt idx="4071">
                  <v>-0.5252530000634726</v>
                </pt>
                <pt idx="4072">
                  <v>-0.5252530000634726</v>
                </pt>
                <pt idx="4073">
                  <v>-0.5252530000634726</v>
                </pt>
                <pt idx="4074">
                  <v>-0.5252530000634726</v>
                </pt>
                <pt idx="4075">
                  <v>-0.5252530000634726</v>
                </pt>
                <pt idx="4076">
                  <v>-0.5252530000634726</v>
                </pt>
                <pt idx="4077">
                  <v>-0.5252530000634726</v>
                </pt>
                <pt idx="4078">
                  <v>-0.5252530000634726</v>
                </pt>
                <pt idx="4079">
                  <v>-0.5252530000634726</v>
                </pt>
                <pt idx="4080">
                  <v>-0.5252530000634726</v>
                </pt>
                <pt idx="4081">
                  <v>-0.5252530000634726</v>
                </pt>
                <pt idx="4082">
                  <v>-0.5252530000634726</v>
                </pt>
                <pt idx="4083">
                  <v>-0.5252530000634726</v>
                </pt>
                <pt idx="4084">
                  <v>-0.5252530000634726</v>
                </pt>
                <pt idx="4085">
                  <v>-0.5252530000634726</v>
                </pt>
                <pt idx="4086">
                  <v>-0.5252530000634726</v>
                </pt>
                <pt idx="4087">
                  <v>-0.5252530000634726</v>
                </pt>
                <pt idx="4088">
                  <v>-0.5252530000634726</v>
                </pt>
                <pt idx="4089">
                  <v>-0.5252530000634726</v>
                </pt>
                <pt idx="4090">
                  <v>-0.5252530000634726</v>
                </pt>
                <pt idx="4091">
                  <v>-0.5252530000634726</v>
                </pt>
                <pt idx="4092">
                  <v>-0.5252530000634726</v>
                </pt>
                <pt idx="4093">
                  <v>-0.5252530000634726</v>
                </pt>
                <pt idx="4094">
                  <v>-0.5252530000634726</v>
                </pt>
                <pt idx="4095">
                  <v>-0.5252530000634726</v>
                </pt>
                <pt idx="4096">
                  <v>-0.5252530000634726</v>
                </pt>
                <pt idx="4097">
                  <v>-0.5252530000634726</v>
                </pt>
                <pt idx="4098">
                  <v>-0.5252530000634726</v>
                </pt>
                <pt idx="4099">
                  <v>-0.5252530000634726</v>
                </pt>
                <pt idx="4100">
                  <v>-0.5252530000634726</v>
                </pt>
                <pt idx="4101">
                  <v>-0.5252530000634726</v>
                </pt>
                <pt idx="4102">
                  <v>-0.5252530000634726</v>
                </pt>
                <pt idx="4103">
                  <v>-0.5252530000634726</v>
                </pt>
                <pt idx="4104">
                  <v>-0.5252530000634726</v>
                </pt>
                <pt idx="4105">
                  <v>-0.5252530000634726</v>
                </pt>
                <pt idx="4106">
                  <v>-0.5252530000634726</v>
                </pt>
                <pt idx="4107">
                  <v>-0.5252530000634726</v>
                </pt>
                <pt idx="4108">
                  <v>-0.5252530000634726</v>
                </pt>
                <pt idx="4109">
                  <v>-0.5252530000634726</v>
                </pt>
                <pt idx="4110">
                  <v>-0.5252530000634726</v>
                </pt>
                <pt idx="4111">
                  <v>-0.5252530000634726</v>
                </pt>
                <pt idx="4112">
                  <v>-0.5252530000634726</v>
                </pt>
                <pt idx="4113">
                  <v>-0.5252530000634726</v>
                </pt>
                <pt idx="4114">
                  <v>-0.5252530000634726</v>
                </pt>
                <pt idx="4115">
                  <v>-0.5252530000634726</v>
                </pt>
                <pt idx="4116">
                  <v>-0.5252530000634726</v>
                </pt>
                <pt idx="4117">
                  <v>-0.5252530000634726</v>
                </pt>
                <pt idx="4118">
                  <v>-0.5252530000634726</v>
                </pt>
                <pt idx="4119">
                  <v>-0.5252530000634726</v>
                </pt>
                <pt idx="4120">
                  <v>-0.5252530000634726</v>
                </pt>
                <pt idx="4121">
                  <v>-0.5252530000634726</v>
                </pt>
                <pt idx="4122">
                  <v>-0.5252530000634726</v>
                </pt>
                <pt idx="4123">
                  <v>-0.5252530000634726</v>
                </pt>
                <pt idx="4124">
                  <v>-0.5252530000634726</v>
                </pt>
                <pt idx="4125">
                  <v>-0.5252530000634726</v>
                </pt>
                <pt idx="4126">
                  <v>-0.5252530000634726</v>
                </pt>
                <pt idx="4127">
                  <v>-0.5252530000634726</v>
                </pt>
                <pt idx="4128">
                  <v>-0.5252530000634726</v>
                </pt>
                <pt idx="4129">
                  <v>-0.5252530000634726</v>
                </pt>
                <pt idx="4130">
                  <v>-0.5252530000634726</v>
                </pt>
                <pt idx="4131">
                  <v>-0.5252530000634726</v>
                </pt>
                <pt idx="4132">
                  <v>-0.5252530000634726</v>
                </pt>
                <pt idx="4133">
                  <v>-0.5252530000634726</v>
                </pt>
                <pt idx="4134">
                  <v>-0.5252530000634726</v>
                </pt>
                <pt idx="4135">
                  <v>-0.5252530000634726</v>
                </pt>
                <pt idx="4136">
                  <v>-0.5252530000634726</v>
                </pt>
                <pt idx="4137">
                  <v>-0.5252530000634726</v>
                </pt>
                <pt idx="4138">
                  <v>-0.5252530000634726</v>
                </pt>
                <pt idx="4139">
                  <v>-0.5252530000634726</v>
                </pt>
                <pt idx="4140">
                  <v>-0.5252530000634726</v>
                </pt>
                <pt idx="4141">
                  <v>-0.5252530000634726</v>
                </pt>
                <pt idx="4142">
                  <v>-0.5252530000634726</v>
                </pt>
                <pt idx="4143">
                  <v>-0.5252530000634726</v>
                </pt>
                <pt idx="4144">
                  <v>-0.5252530000634726</v>
                </pt>
                <pt idx="4145">
                  <v>-0.5252530000634726</v>
                </pt>
                <pt idx="4146">
                  <v>-0.5252530000634726</v>
                </pt>
                <pt idx="4147">
                  <v>-0.5252530000634726</v>
                </pt>
                <pt idx="4148">
                  <v>-0.5252530000634726</v>
                </pt>
                <pt idx="4149">
                  <v>-0.5252530000634726</v>
                </pt>
                <pt idx="4150">
                  <v>-0.5252530000634726</v>
                </pt>
                <pt idx="4151">
                  <v>-0.5252530000634726</v>
                </pt>
                <pt idx="4152">
                  <v>-0.5252530000634726</v>
                </pt>
                <pt idx="4153">
                  <v>-0.5252530000634726</v>
                </pt>
                <pt idx="4154">
                  <v>-0.5252530000634726</v>
                </pt>
                <pt idx="4155">
                  <v>-0.5252530000634726</v>
                </pt>
                <pt idx="4156">
                  <v>-0.5252530000634726</v>
                </pt>
                <pt idx="4157">
                  <v>-0.5252530000634726</v>
                </pt>
                <pt idx="4158">
                  <v>-0.5252530000634726</v>
                </pt>
                <pt idx="4159">
                  <v>-0.5252530000634726</v>
                </pt>
                <pt idx="4160">
                  <v>-0.5252530000634726</v>
                </pt>
                <pt idx="4161">
                  <v>-0.5252530000634726</v>
                </pt>
                <pt idx="4162">
                  <v>-0.5252530000634726</v>
                </pt>
                <pt idx="4163">
                  <v>-0.5252530000634726</v>
                </pt>
                <pt idx="4164">
                  <v>-0.5252530000634726</v>
                </pt>
                <pt idx="4165">
                  <v>-0.5252530000634726</v>
                </pt>
                <pt idx="4166">
                  <v>-0.5252530000634726</v>
                </pt>
                <pt idx="4167">
                  <v>-0.5252530000634726</v>
                </pt>
                <pt idx="4168">
                  <v>-0.5252530000634726</v>
                </pt>
                <pt idx="4169">
                  <v>-0.5252530000634726</v>
                </pt>
                <pt idx="4170">
                  <v>-0.5252530000634726</v>
                </pt>
                <pt idx="4171">
                  <v>-0.5252530000634726</v>
                </pt>
                <pt idx="4172">
                  <v>-0.5252530000634726</v>
                </pt>
                <pt idx="4173">
                  <v>-0.5252530000634726</v>
                </pt>
                <pt idx="4174">
                  <v>-0.5252530000634726</v>
                </pt>
                <pt idx="4175">
                  <v>-0.5252530000634726</v>
                </pt>
                <pt idx="4176">
                  <v>-0.5252530000634726</v>
                </pt>
                <pt idx="4177">
                  <v>-0.5252530000634726</v>
                </pt>
                <pt idx="4178">
                  <v>-0.5252530000634726</v>
                </pt>
                <pt idx="4179">
                  <v>-0.5252530000634726</v>
                </pt>
                <pt idx="4180">
                  <v>-0.5252530000634726</v>
                </pt>
                <pt idx="4181">
                  <v>-0.5252530000634726</v>
                </pt>
                <pt idx="4182">
                  <v>-0.5252530000634726</v>
                </pt>
                <pt idx="4183">
                  <v>-0.5252530000634726</v>
                </pt>
                <pt idx="4184">
                  <v>-0.5252530000634726</v>
                </pt>
                <pt idx="4185">
                  <v>-0.5252530000634726</v>
                </pt>
                <pt idx="4186">
                  <v>-0.5252530000634726</v>
                </pt>
                <pt idx="4187">
                  <v>-0.5252530000634726</v>
                </pt>
                <pt idx="4188">
                  <v>-0.5252530000634726</v>
                </pt>
                <pt idx="4189">
                  <v>-0.5252530000634726</v>
                </pt>
                <pt idx="4190">
                  <v>-0.5252530000634726</v>
                </pt>
                <pt idx="4191">
                  <v>-0.5252530000634726</v>
                </pt>
                <pt idx="4192">
                  <v>-0.5252530000634726</v>
                </pt>
                <pt idx="4193">
                  <v>-0.5252530000634726</v>
                </pt>
                <pt idx="4194">
                  <v>-0.5252530000634726</v>
                </pt>
                <pt idx="4195">
                  <v>-0.5252530000634726</v>
                </pt>
                <pt idx="4196">
                  <v>-0.5252530000634726</v>
                </pt>
                <pt idx="4197">
                  <v>-0.5252530000634726</v>
                </pt>
                <pt idx="4198">
                  <v>-0.5252530000634726</v>
                </pt>
                <pt idx="4199">
                  <v>-0.5252530000634726</v>
                </pt>
                <pt idx="4200">
                  <v>-0.5252530000634726</v>
                </pt>
                <pt idx="4201">
                  <v>-0.5252530000634726</v>
                </pt>
                <pt idx="4202">
                  <v>-0.5252530000634726</v>
                </pt>
                <pt idx="4203">
                  <v>-0.5252530000634726</v>
                </pt>
                <pt idx="4204">
                  <v>-0.5252530000634726</v>
                </pt>
                <pt idx="4205">
                  <v>-0.5252530000634726</v>
                </pt>
                <pt idx="4206">
                  <v>-0.5252530000634726</v>
                </pt>
                <pt idx="4207">
                  <v>-0.5252530000634726</v>
                </pt>
                <pt idx="4208">
                  <v>-0.5252530000634726</v>
                </pt>
                <pt idx="4209">
                  <v>-0.5252530000634726</v>
                </pt>
                <pt idx="4210">
                  <v>-0.5252530000634726</v>
                </pt>
                <pt idx="4211">
                  <v>-0.5252530000634726</v>
                </pt>
                <pt idx="4212">
                  <v>-0.5252530000634726</v>
                </pt>
                <pt idx="4213">
                  <v>-0.5252530000634726</v>
                </pt>
                <pt idx="4214">
                  <v>-0.5252530000634726</v>
                </pt>
                <pt idx="4215">
                  <v>-0.5252530000634726</v>
                </pt>
                <pt idx="4216">
                  <v>-0.5252530000634726</v>
                </pt>
                <pt idx="4217">
                  <v>-0.5252530000634726</v>
                </pt>
                <pt idx="4218">
                  <v>-0.5252530000634726</v>
                </pt>
                <pt idx="4219">
                  <v>-0.5252530000634726</v>
                </pt>
                <pt idx="4220">
                  <v>-0.5252530000634726</v>
                </pt>
                <pt idx="4221">
                  <v>-0.5252530000634726</v>
                </pt>
                <pt idx="4222">
                  <v>-0.5252530000634726</v>
                </pt>
                <pt idx="4223">
                  <v>-0.5252530000634726</v>
                </pt>
                <pt idx="4224">
                  <v>-0.5252530000634726</v>
                </pt>
                <pt idx="4225">
                  <v>-0.5252530000634726</v>
                </pt>
                <pt idx="4226">
                  <v>-0.5252530000634726</v>
                </pt>
                <pt idx="4227">
                  <v>-0.5252530000634726</v>
                </pt>
                <pt idx="4228">
                  <v>-0.5252530000634726</v>
                </pt>
                <pt idx="4229">
                  <v>-0.5252530000634726</v>
                </pt>
                <pt idx="4230">
                  <v>-0.5252530000634726</v>
                </pt>
                <pt idx="4231">
                  <v>-0.5252530000634726</v>
                </pt>
                <pt idx="4232">
                  <v>-0.5252530000634726</v>
                </pt>
                <pt idx="4233">
                  <v>-0.5252530000634726</v>
                </pt>
                <pt idx="4234">
                  <v>-0.5252530000634726</v>
                </pt>
                <pt idx="4235">
                  <v>-0.5252530000634726</v>
                </pt>
                <pt idx="4236">
                  <v>-0.5252530000634726</v>
                </pt>
                <pt idx="4237">
                  <v>-0.5252530000634726</v>
                </pt>
                <pt idx="4238">
                  <v>-0.5252530000634726</v>
                </pt>
                <pt idx="4239">
                  <v>-0.5252530000634726</v>
                </pt>
                <pt idx="4240">
                  <v>-0.5252530000634726</v>
                </pt>
                <pt idx="4241">
                  <v>-0.5252530000634726</v>
                </pt>
                <pt idx="4242">
                  <v>-0.5252530000634726</v>
                </pt>
                <pt idx="4243">
                  <v>-0.5252530000634726</v>
                </pt>
                <pt idx="4244">
                  <v>-0.5252530000634726</v>
                </pt>
                <pt idx="4245">
                  <v>-0.5252530000634726</v>
                </pt>
                <pt idx="4246">
                  <v>-0.5252530000634726</v>
                </pt>
                <pt idx="4247">
                  <v>-0.5252530000634726</v>
                </pt>
                <pt idx="4248">
                  <v>-0.5252530000634726</v>
                </pt>
                <pt idx="4249">
                  <v>-0.5252530000634726</v>
                </pt>
                <pt idx="4250">
                  <v>-0.5252530000634726</v>
                </pt>
                <pt idx="4251">
                  <v>-0.5252530000634726</v>
                </pt>
                <pt idx="4252">
                  <v>-0.5252530000634726</v>
                </pt>
                <pt idx="4253">
                  <v>-0.5252530000634726</v>
                </pt>
                <pt idx="4254">
                  <v>-0.5252530000634726</v>
                </pt>
                <pt idx="4255">
                  <v>-0.5252530000634726</v>
                </pt>
                <pt idx="4256">
                  <v>-0.5252530000634726</v>
                </pt>
                <pt idx="4257">
                  <v>-0.5252530000634726</v>
                </pt>
                <pt idx="4258">
                  <v>-0.5252530000634726</v>
                </pt>
                <pt idx="4259">
                  <v>-0.5252530000634726</v>
                </pt>
                <pt idx="4260">
                  <v>-0.5252530000634726</v>
                </pt>
                <pt idx="4261">
                  <v>-0.5252530000634726</v>
                </pt>
                <pt idx="4262">
                  <v>-0.5252530000634726</v>
                </pt>
                <pt idx="4263">
                  <v>-0.5252530000634726</v>
                </pt>
                <pt idx="4264">
                  <v>-0.5252530000634726</v>
                </pt>
                <pt idx="4265">
                  <v>-0.5252530000634726</v>
                </pt>
                <pt idx="4266">
                  <v>-0.5252530000634726</v>
                </pt>
                <pt idx="4267">
                  <v>-0.5252530000634726</v>
                </pt>
                <pt idx="4268">
                  <v>-0.5252530000634726</v>
                </pt>
                <pt idx="4269">
                  <v>-0.5252530000634726</v>
                </pt>
                <pt idx="4270">
                  <v>-0.5252530000634726</v>
                </pt>
                <pt idx="4271">
                  <v>-0.5252530000634726</v>
                </pt>
                <pt idx="4272">
                  <v>-0.5252530000634726</v>
                </pt>
                <pt idx="4273">
                  <v>-0.5252530000634726</v>
                </pt>
                <pt idx="4274">
                  <v>-0.5252530000634726</v>
                </pt>
                <pt idx="4275">
                  <v>-0.5252530000634726</v>
                </pt>
                <pt idx="4276">
                  <v>-0.5252530000634726</v>
                </pt>
                <pt idx="4277">
                  <v>-0.5252530000634726</v>
                </pt>
                <pt idx="4278">
                  <v>-0.5252530000634726</v>
                </pt>
                <pt idx="4279">
                  <v>-0.5252530000634726</v>
                </pt>
                <pt idx="4280">
                  <v>-0.5252530000634726</v>
                </pt>
                <pt idx="4281">
                  <v>-0.5252530000634726</v>
                </pt>
                <pt idx="4282">
                  <v>-0.5252530000634726</v>
                </pt>
                <pt idx="4283">
                  <v>-0.5252530000634726</v>
                </pt>
                <pt idx="4284">
                  <v>-0.5252530000634726</v>
                </pt>
                <pt idx="4285">
                  <v>-0.5252530000634726</v>
                </pt>
                <pt idx="4286">
                  <v>-0.5252530000634726</v>
                </pt>
                <pt idx="4287">
                  <v>-0.5252530000634726</v>
                </pt>
                <pt idx="4288">
                  <v>-0.5252530000634726</v>
                </pt>
                <pt idx="4289">
                  <v>-0.5252530000634726</v>
                </pt>
                <pt idx="4290">
                  <v>-0.5252530000634726</v>
                </pt>
                <pt idx="4291">
                  <v>-0.5252530000634726</v>
                </pt>
                <pt idx="4292">
                  <v>-0.5252530000634726</v>
                </pt>
                <pt idx="4293">
                  <v>-0.5252530000634726</v>
                </pt>
                <pt idx="4294">
                  <v>-0.5252530000634726</v>
                </pt>
                <pt idx="4295">
                  <v>-0.5252530000634726</v>
                </pt>
                <pt idx="4296">
                  <v>-0.5252530000634726</v>
                </pt>
                <pt idx="4297">
                  <v>-0.5252530000634726</v>
                </pt>
                <pt idx="4298">
                  <v>-0.5252530000634726</v>
                </pt>
                <pt idx="4299">
                  <v>-0.5252530000634726</v>
                </pt>
                <pt idx="4300">
                  <v>-0.5252530000634726</v>
                </pt>
                <pt idx="4301">
                  <v>-0.5252530000634726</v>
                </pt>
                <pt idx="4302">
                  <v>-0.5252530000634726</v>
                </pt>
                <pt idx="4303">
                  <v>-0.5252530000634726</v>
                </pt>
                <pt idx="4304">
                  <v>-0.5252530000634726</v>
                </pt>
                <pt idx="4305">
                  <v>-0.5252530000634726</v>
                </pt>
                <pt idx="4306">
                  <v>-0.5252530000634726</v>
                </pt>
                <pt idx="4307">
                  <v>-0.5252530000634726</v>
                </pt>
                <pt idx="4308">
                  <v>-0.5252530000634726</v>
                </pt>
                <pt idx="4309">
                  <v>-0.5252530000634726</v>
                </pt>
                <pt idx="4310">
                  <v>-0.5252530000634726</v>
                </pt>
                <pt idx="4311">
                  <v>-0.5252530000634726</v>
                </pt>
                <pt idx="4312">
                  <v>-0.5252530000634726</v>
                </pt>
                <pt idx="4313">
                  <v>-0.5252530000634726</v>
                </pt>
                <pt idx="4314">
                  <v>-0.5252530000634726</v>
                </pt>
                <pt idx="4315">
                  <v>-0.5252530000634726</v>
                </pt>
                <pt idx="4316">
                  <v>-0.5252530000634726</v>
                </pt>
                <pt idx="4317">
                  <v>-0.5252530000634726</v>
                </pt>
                <pt idx="4318">
                  <v>-0.5252530000634726</v>
                </pt>
                <pt idx="4319">
                  <v>-0.5252530000634726</v>
                </pt>
                <pt idx="4320">
                  <v>-0.5252530000634726</v>
                </pt>
                <pt idx="4321">
                  <v>-0.5252530000634726</v>
                </pt>
                <pt idx="4322">
                  <v>-0.5252530000634726</v>
                </pt>
                <pt idx="4323">
                  <v>-0.5252530000634726</v>
                </pt>
                <pt idx="4324">
                  <v>-0.5252530000634726</v>
                </pt>
                <pt idx="4325">
                  <v>-0.5252530000634726</v>
                </pt>
                <pt idx="4326">
                  <v>-0.5252530000634726</v>
                </pt>
                <pt idx="4327">
                  <v>-0.5252530000634726</v>
                </pt>
                <pt idx="4328">
                  <v>-0.5252530000634726</v>
                </pt>
                <pt idx="4329">
                  <v>-0.5252530000634726</v>
                </pt>
                <pt idx="4330">
                  <v>-0.5252530000634726</v>
                </pt>
                <pt idx="4331">
                  <v>-0.5252530000634726</v>
                </pt>
                <pt idx="4332">
                  <v>-0.5252530000634726</v>
                </pt>
                <pt idx="4333">
                  <v>-0.5252530000634726</v>
                </pt>
                <pt idx="4334">
                  <v>-0.5252530000634726</v>
                </pt>
                <pt idx="4335">
                  <v>-0.5252530000634726</v>
                </pt>
                <pt idx="4336">
                  <v>-0.5252530000634726</v>
                </pt>
                <pt idx="4337">
                  <v>-0.5252530000634726</v>
                </pt>
                <pt idx="4338">
                  <v>-0.5252530000634726</v>
                </pt>
                <pt idx="4339">
                  <v>-0.5252530000634726</v>
                </pt>
                <pt idx="4340">
                  <v>-0.5252530000634726</v>
                </pt>
                <pt idx="4341">
                  <v>-0.5252530000634726</v>
                </pt>
                <pt idx="4342">
                  <v>-0.5252530000634726</v>
                </pt>
                <pt idx="4343">
                  <v>-0.5252530000634726</v>
                </pt>
                <pt idx="4344">
                  <v>-0.5252530000634726</v>
                </pt>
                <pt idx="4345">
                  <v>-0.5252530000634726</v>
                </pt>
                <pt idx="4346">
                  <v>-0.5252530000634726</v>
                </pt>
                <pt idx="4347">
                  <v>-0.5252530000634726</v>
                </pt>
                <pt idx="4348">
                  <v>-0.5252530000634726</v>
                </pt>
                <pt idx="4349">
                  <v>-0.5252530000634726</v>
                </pt>
                <pt idx="4350">
                  <v>-0.5252530000634726</v>
                </pt>
                <pt idx="4351">
                  <v>-0.5252530000634726</v>
                </pt>
                <pt idx="4352">
                  <v>-0.5252530000634726</v>
                </pt>
                <pt idx="4353">
                  <v>-0.5252530000634726</v>
                </pt>
                <pt idx="4354">
                  <v>-0.5252530000634726</v>
                </pt>
                <pt idx="4355">
                  <v>-0.5252530000634726</v>
                </pt>
                <pt idx="4356">
                  <v>-0.5252530000634726</v>
                </pt>
                <pt idx="4357">
                  <v>-0.5252530000634726</v>
                </pt>
                <pt idx="4358">
                  <v>-0.5252530000634726</v>
                </pt>
                <pt idx="4359">
                  <v>-0.5252530000634726</v>
                </pt>
                <pt idx="4360">
                  <v>-0.5252530000634726</v>
                </pt>
                <pt idx="4361">
                  <v>-0.5252530000634726</v>
                </pt>
                <pt idx="4362">
                  <v>-0.5252530000634726</v>
                </pt>
                <pt idx="4363">
                  <v>-0.5252530000634726</v>
                </pt>
                <pt idx="4364">
                  <v>-0.5252530000634726</v>
                </pt>
                <pt idx="4365">
                  <v>-0.5252530000634726</v>
                </pt>
                <pt idx="4366">
                  <v>-0.5252530000634726</v>
                </pt>
                <pt idx="4367">
                  <v>-0.5252530000634726</v>
                </pt>
                <pt idx="4368">
                  <v>-0.5252530000634726</v>
                </pt>
                <pt idx="4369">
                  <v>-0.5252530000634726</v>
                </pt>
                <pt idx="4370">
                  <v>-0.5252530000634726</v>
                </pt>
                <pt idx="4371">
                  <v>-0.5252530000634726</v>
                </pt>
                <pt idx="4372">
                  <v>-0.5252530000634726</v>
                </pt>
                <pt idx="4373">
                  <v>-0.5252530000634726</v>
                </pt>
                <pt idx="4374">
                  <v>-0.5252530000634726</v>
                </pt>
                <pt idx="4375">
                  <v>-0.5252530000634726</v>
                </pt>
                <pt idx="4376">
                  <v>-0.5252530000634726</v>
                </pt>
                <pt idx="4377">
                  <v>-0.5252530000634726</v>
                </pt>
                <pt idx="4378">
                  <v>-0.5252530000634726</v>
                </pt>
                <pt idx="4379">
                  <v>-0.5252530000634726</v>
                </pt>
                <pt idx="4380">
                  <v>-0.5252530000634726</v>
                </pt>
                <pt idx="4381">
                  <v>-0.5252530000634726</v>
                </pt>
                <pt idx="4382">
                  <v>-0.5252530000634726</v>
                </pt>
                <pt idx="4383">
                  <v>-0.5252530000634726</v>
                </pt>
                <pt idx="4384">
                  <v>-0.5252530000634726</v>
                </pt>
                <pt idx="4385">
                  <v>-0.5252530000634726</v>
                </pt>
                <pt idx="4386">
                  <v>-0.5252530000634726</v>
                </pt>
                <pt idx="4387">
                  <v>-0.5252530000634726</v>
                </pt>
                <pt idx="4388">
                  <v>-0.5252530000634726</v>
                </pt>
                <pt idx="4389">
                  <v>-0.5252530000634726</v>
                </pt>
                <pt idx="4390">
                  <v>-0.5252530000634726</v>
                </pt>
                <pt idx="4391">
                  <v>-0.5252530000634726</v>
                </pt>
                <pt idx="4392">
                  <v>-0.5252530000634726</v>
                </pt>
                <pt idx="4393">
                  <v>-0.5252530000634726</v>
                </pt>
                <pt idx="4394">
                  <v>-0.5252530000634726</v>
                </pt>
                <pt idx="4395">
                  <v>-0.5252530000634726</v>
                </pt>
                <pt idx="4396">
                  <v>-0.5252530000634726</v>
                </pt>
                <pt idx="4397">
                  <v>-0.5252530000634726</v>
                </pt>
                <pt idx="4398">
                  <v>-0.5252530000634726</v>
                </pt>
                <pt idx="4399">
                  <v>-0.5252530000634726</v>
                </pt>
                <pt idx="4400">
                  <v>-0.5252530000634726</v>
                </pt>
                <pt idx="4401">
                  <v>-0.5252530000634726</v>
                </pt>
                <pt idx="4402">
                  <v>-0.5252530000634726</v>
                </pt>
                <pt idx="4403">
                  <v>-0.5252530000634726</v>
                </pt>
                <pt idx="4404">
                  <v>-0.5252530000634726</v>
                </pt>
                <pt idx="4405">
                  <v>-0.5252530000634726</v>
                </pt>
                <pt idx="4406">
                  <v>-0.5252530000634726</v>
                </pt>
                <pt idx="4407">
                  <v>-0.5252530000634726</v>
                </pt>
                <pt idx="4408">
                  <v>-0.5252530000634726</v>
                </pt>
                <pt idx="4409">
                  <v>-0.5252530000634726</v>
                </pt>
                <pt idx="4410">
                  <v>-0.5252530000634726</v>
                </pt>
                <pt idx="4411">
                  <v>-0.5252530000634726</v>
                </pt>
                <pt idx="4412">
                  <v>-0.5252530000634726</v>
                </pt>
                <pt idx="4413">
                  <v>-0.5252530000634726</v>
                </pt>
                <pt idx="4414">
                  <v>-0.5252530000634726</v>
                </pt>
                <pt idx="4415">
                  <v>-0.5252530000634726</v>
                </pt>
                <pt idx="4416">
                  <v>-0.5252530000634726</v>
                </pt>
                <pt idx="4417">
                  <v>-0.5252530000634726</v>
                </pt>
                <pt idx="4418">
                  <v>-0.5252530000634726</v>
                </pt>
                <pt idx="4419">
                  <v>-0.5252530000634726</v>
                </pt>
                <pt idx="4420">
                  <v>-0.5252530000634726</v>
                </pt>
                <pt idx="4421">
                  <v>-0.5252530000634726</v>
                </pt>
                <pt idx="4422">
                  <v>-0.5252530000634726</v>
                </pt>
                <pt idx="4423">
                  <v>-0.5252530000634726</v>
                </pt>
                <pt idx="4424">
                  <v>-0.5252530000634726</v>
                </pt>
                <pt idx="4425">
                  <v>-0.5252530000634726</v>
                </pt>
                <pt idx="4426">
                  <v>-0.5252530000634726</v>
                </pt>
                <pt idx="4427">
                  <v>-0.5252530000634726</v>
                </pt>
                <pt idx="4428">
                  <v>-0.5252530000634726</v>
                </pt>
                <pt idx="4429">
                  <v>-0.5252530000634726</v>
                </pt>
                <pt idx="4430">
                  <v>-0.5252530000634726</v>
                </pt>
                <pt idx="4431">
                  <v>-0.5252530000634726</v>
                </pt>
                <pt idx="4432">
                  <v>-0.5252530000634726</v>
                </pt>
                <pt idx="4433">
                  <v>-0.5252530000634726</v>
                </pt>
                <pt idx="4434">
                  <v>-0.5252530000634726</v>
                </pt>
                <pt idx="4435">
                  <v>-0.5252530000634726</v>
                </pt>
                <pt idx="4436">
                  <v>-0.5252530000634726</v>
                </pt>
                <pt idx="4437">
                  <v>-0.5252530000634726</v>
                </pt>
                <pt idx="4438">
                  <v>-0.5252530000634726</v>
                </pt>
                <pt idx="4439">
                  <v>-0.5252530000634726</v>
                </pt>
                <pt idx="4440">
                  <v>-0.5252530000634726</v>
                </pt>
                <pt idx="4441">
                  <v>-0.5252530000634726</v>
                </pt>
                <pt idx="4442">
                  <v>-0.5252530000634726</v>
                </pt>
                <pt idx="4443">
                  <v>-0.5252530000634726</v>
                </pt>
                <pt idx="4444">
                  <v>-0.5252530000634726</v>
                </pt>
                <pt idx="4445">
                  <v>-0.5252530000634726</v>
                </pt>
                <pt idx="4446">
                  <v>-0.5252530000634726</v>
                </pt>
                <pt idx="4447">
                  <v>-0.5252530000634726</v>
                </pt>
                <pt idx="4448">
                  <v>-0.5252530000634726</v>
                </pt>
                <pt idx="4449">
                  <v>-0.5252530000634726</v>
                </pt>
                <pt idx="4450">
                  <v>-0.5252530000634726</v>
                </pt>
                <pt idx="4451">
                  <v>-0.5252530000634726</v>
                </pt>
                <pt idx="4452">
                  <v>-0.5252530000634726</v>
                </pt>
                <pt idx="4453">
                  <v>-0.5252530000634726</v>
                </pt>
                <pt idx="4454">
                  <v>-0.5252530000634726</v>
                </pt>
                <pt idx="4455">
                  <v>-0.5252530000634726</v>
                </pt>
                <pt idx="4456">
                  <v>-0.5252530000634726</v>
                </pt>
                <pt idx="4457">
                  <v>-0.5252530000634726</v>
                </pt>
                <pt idx="4458">
                  <v>-0.5252530000634726</v>
                </pt>
                <pt idx="4459">
                  <v>-0.5252530000634726</v>
                </pt>
                <pt idx="4460">
                  <v>-0.5252530000634726</v>
                </pt>
                <pt idx="4461">
                  <v>-0.5252530000634726</v>
                </pt>
                <pt idx="4462">
                  <v>-0.5252530000634726</v>
                </pt>
                <pt idx="4463">
                  <v>-0.5252530000634726</v>
                </pt>
                <pt idx="4464">
                  <v>-0.5252530000634726</v>
                </pt>
                <pt idx="4465">
                  <v>-0.5252530000634726</v>
                </pt>
                <pt idx="4466">
                  <v>-0.5252530000634726</v>
                </pt>
                <pt idx="4467">
                  <v>-0.5252530000634726</v>
                </pt>
                <pt idx="4468">
                  <v>-0.5252530000634726</v>
                </pt>
                <pt idx="4469">
                  <v>-0.5252530000634726</v>
                </pt>
                <pt idx="4470">
                  <v>-0.5252530000634726</v>
                </pt>
                <pt idx="4471">
                  <v>-0.5252530000634726</v>
                </pt>
                <pt idx="4472">
                  <v>-0.5252530000634726</v>
                </pt>
                <pt idx="4473">
                  <v>-0.5252530000634726</v>
                </pt>
                <pt idx="4474">
                  <v>-0.5252530000634726</v>
                </pt>
                <pt idx="4475">
                  <v>-0.5252530000634726</v>
                </pt>
                <pt idx="4476">
                  <v>-0.5252530000634726</v>
                </pt>
                <pt idx="4477">
                  <v>-0.5252530000634726</v>
                </pt>
                <pt idx="4478">
                  <v>-0.5252530000634726</v>
                </pt>
                <pt idx="4479">
                  <v>-0.5252530000634726</v>
                </pt>
                <pt idx="4480">
                  <v>-0.5252530000634726</v>
                </pt>
                <pt idx="4481">
                  <v>-0.5252530000634726</v>
                </pt>
                <pt idx="4482">
                  <v>-0.5252530000634726</v>
                </pt>
                <pt idx="4483">
                  <v>-0.5252530000634726</v>
                </pt>
                <pt idx="4484">
                  <v>-0.5252530000634726</v>
                </pt>
                <pt idx="4485">
                  <v>-0.5252530000634726</v>
                </pt>
                <pt idx="4486">
                  <v>-0.5252530000634726</v>
                </pt>
                <pt idx="4487">
                  <v>-0.5252530000634726</v>
                </pt>
                <pt idx="4488">
                  <v>-0.5252530000634726</v>
                </pt>
                <pt idx="4489">
                  <v>-0.5252530000634726</v>
                </pt>
                <pt idx="4490">
                  <v>-0.5252530000634726</v>
                </pt>
                <pt idx="4491">
                  <v>-0.5252530000634726</v>
                </pt>
                <pt idx="4492">
                  <v>-0.5252530000634726</v>
                </pt>
                <pt idx="4493">
                  <v>-0.5252530000634726</v>
                </pt>
                <pt idx="4494">
                  <v>-0.5252530000634726</v>
                </pt>
                <pt idx="4495">
                  <v>-0.5252530000634726</v>
                </pt>
                <pt idx="4496">
                  <v>-0.5252530000634726</v>
                </pt>
                <pt idx="4497">
                  <v>-0.5252530000634726</v>
                </pt>
                <pt idx="4498">
                  <v>-0.5252530000634726</v>
                </pt>
                <pt idx="4499">
                  <v>-0.5252530000634726</v>
                </pt>
                <pt idx="4500">
                  <v>-0.5252530000634726</v>
                </pt>
                <pt idx="4501">
                  <v>-0.5252530000634726</v>
                </pt>
                <pt idx="4502">
                  <v>-0.5252530000634726</v>
                </pt>
                <pt idx="4503">
                  <v>-0.5252530000634726</v>
                </pt>
                <pt idx="4504">
                  <v>-0.5252530000634726</v>
                </pt>
                <pt idx="4505">
                  <v>-0.5252530000634726</v>
                </pt>
                <pt idx="4506">
                  <v>-0.5252530000634726</v>
                </pt>
                <pt idx="4507">
                  <v>-0.5252530000634726</v>
                </pt>
                <pt idx="4508">
                  <v>-0.5252530000634726</v>
                </pt>
                <pt idx="4509">
                  <v>-0.5252530000634726</v>
                </pt>
                <pt idx="4510">
                  <v>-0.5252530000634726</v>
                </pt>
                <pt idx="4511">
                  <v>-0.5252530000634726</v>
                </pt>
                <pt idx="4512">
                  <v>-0.5252530000634726</v>
                </pt>
                <pt idx="4513">
                  <v>-0.5252530000634726</v>
                </pt>
                <pt idx="4514">
                  <v>-0.5252530000634726</v>
                </pt>
                <pt idx="4515">
                  <v>-0.5252530000634726</v>
                </pt>
                <pt idx="4516">
                  <v>-0.5252530000634726</v>
                </pt>
                <pt idx="4517">
                  <v>-0.5252530000634726</v>
                </pt>
                <pt idx="4518">
                  <v>-0.5252530000634726</v>
                </pt>
                <pt idx="4519">
                  <v>-0.5252530000634726</v>
                </pt>
                <pt idx="4520">
                  <v>-0.5252530000634726</v>
                </pt>
                <pt idx="4521">
                  <v>-0.5252530000634726</v>
                </pt>
                <pt idx="4522">
                  <v>-0.5252530000634726</v>
                </pt>
                <pt idx="4523">
                  <v>-0.5252530000634726</v>
                </pt>
                <pt idx="4524">
                  <v>-0.5252530000634726</v>
                </pt>
                <pt idx="4525">
                  <v>-0.5252530000634726</v>
                </pt>
                <pt idx="4526">
                  <v>-0.5252530000634726</v>
                </pt>
                <pt idx="4527">
                  <v>-0.5252530000634726</v>
                </pt>
                <pt idx="4528">
                  <v>-0.5252530000634726</v>
                </pt>
                <pt idx="4529">
                  <v>-0.5252530000634726</v>
                </pt>
                <pt idx="4530">
                  <v>-0.5252530000634726</v>
                </pt>
                <pt idx="4531">
                  <v>-0.5252530000634726</v>
                </pt>
                <pt idx="4532">
                  <v>-0.5252530000634726</v>
                </pt>
                <pt idx="4533">
                  <v>-0.5252530000634726</v>
                </pt>
                <pt idx="4534">
                  <v>-0.5252530000634726</v>
                </pt>
                <pt idx="4535">
                  <v>-0.5252530000634726</v>
                </pt>
                <pt idx="4536">
                  <v>-0.5252530000634726</v>
                </pt>
                <pt idx="4537">
                  <v>-0.5252530000634726</v>
                </pt>
                <pt idx="4538">
                  <v>-0.5252530000634726</v>
                </pt>
                <pt idx="4539">
                  <v>-0.5252530000634726</v>
                </pt>
                <pt idx="4540">
                  <v>-0.5252530000634726</v>
                </pt>
                <pt idx="4541">
                  <v>-0.5252530000634726</v>
                </pt>
                <pt idx="4542">
                  <v>-0.5252530000634726</v>
                </pt>
                <pt idx="4543">
                  <v>-0.5252530000634726</v>
                </pt>
                <pt idx="4544">
                  <v>-0.5252530000634726</v>
                </pt>
                <pt idx="4545">
                  <v>-0.5252530000634726</v>
                </pt>
                <pt idx="4546">
                  <v>-0.5252530000634726</v>
                </pt>
                <pt idx="4547">
                  <v>-0.5252530000634726</v>
                </pt>
                <pt idx="4548">
                  <v>-0.5252530000634726</v>
                </pt>
                <pt idx="4549">
                  <v>-0.5252530000634726</v>
                </pt>
                <pt idx="4550">
                  <v>-0.5252530000634726</v>
                </pt>
                <pt idx="4551">
                  <v>-0.5252530000634726</v>
                </pt>
                <pt idx="4552">
                  <v>-0.5252530000634726</v>
                </pt>
                <pt idx="4553">
                  <v>-0.5252530000634726</v>
                </pt>
                <pt idx="4554">
                  <v>-0.5252530000634726</v>
                </pt>
                <pt idx="4555">
                  <v>-0.5252530000634726</v>
                </pt>
                <pt idx="4556">
                  <v>-0.5252530000634726</v>
                </pt>
                <pt idx="4557">
                  <v>-0.5252530000634726</v>
                </pt>
                <pt idx="4558">
                  <v>-0.5252530000634726</v>
                </pt>
                <pt idx="4559">
                  <v>-0.5252530000634726</v>
                </pt>
                <pt idx="4560">
                  <v>-0.5252530000634726</v>
                </pt>
                <pt idx="4561">
                  <v>-0.5252530000634726</v>
                </pt>
                <pt idx="4562">
                  <v>-0.5252530000634726</v>
                </pt>
                <pt idx="4563">
                  <v>-0.5252530000634726</v>
                </pt>
                <pt idx="4564">
                  <v>-0.5252530000634726</v>
                </pt>
                <pt idx="4565">
                  <v>-0.5252530000634726</v>
                </pt>
                <pt idx="4566">
                  <v>-0.5252530000634726</v>
                </pt>
                <pt idx="4567">
                  <v>-0.5252530000634726</v>
                </pt>
                <pt idx="4568">
                  <v>-0.5252530000634726</v>
                </pt>
                <pt idx="4569">
                  <v>-0.5252530000634726</v>
                </pt>
                <pt idx="4570">
                  <v>-0.5252530000634726</v>
                </pt>
                <pt idx="4571">
                  <v>-0.5252530000634726</v>
                </pt>
                <pt idx="4572">
                  <v>-0.5252530000634726</v>
                </pt>
                <pt idx="4573">
                  <v>-0.5252530000634726</v>
                </pt>
                <pt idx="4574">
                  <v>-0.5252530000634726</v>
                </pt>
                <pt idx="4575">
                  <v>-0.5252530000634726</v>
                </pt>
                <pt idx="4576">
                  <v>-0.5252530000634726</v>
                </pt>
                <pt idx="4577">
                  <v>-0.5252530000634726</v>
                </pt>
                <pt idx="4578">
                  <v>-0.5252530000634726</v>
                </pt>
                <pt idx="4579">
                  <v>-0.5252530000634726</v>
                </pt>
                <pt idx="4580">
                  <v>-0.5252530000634726</v>
                </pt>
                <pt idx="4581">
                  <v>-0.5252530000634726</v>
                </pt>
                <pt idx="4582">
                  <v>-0.5252530000634726</v>
                </pt>
                <pt idx="4583">
                  <v>-0.5252530000634726</v>
                </pt>
                <pt idx="4584">
                  <v>-0.5252530000634726</v>
                </pt>
                <pt idx="4585">
                  <v>-0.5252530000634726</v>
                </pt>
                <pt idx="4586">
                  <v>-0.5252530000634726</v>
                </pt>
                <pt idx="4587">
                  <v>-0.5252530000634726</v>
                </pt>
                <pt idx="4588">
                  <v>-0.5252530000634726</v>
                </pt>
                <pt idx="4589">
                  <v>-0.5252530000634726</v>
                </pt>
                <pt idx="4590">
                  <v>-0.5252530000634726</v>
                </pt>
                <pt idx="4591">
                  <v>-0.5252530000634726</v>
                </pt>
                <pt idx="4592">
                  <v>-0.5252530000634726</v>
                </pt>
                <pt idx="4593">
                  <v>-0.5252530000634726</v>
                </pt>
                <pt idx="4594">
                  <v>-0.5252530000634726</v>
                </pt>
                <pt idx="4595">
                  <v>-0.5252530000634726</v>
                </pt>
                <pt idx="4596">
                  <v>-0.5252530000634726</v>
                </pt>
                <pt idx="4597">
                  <v>-0.5252530000634726</v>
                </pt>
                <pt idx="4598">
                  <v>-0.5252530000634726</v>
                </pt>
                <pt idx="4599">
                  <v>-0.5252530000634726</v>
                </pt>
                <pt idx="4600">
                  <v>-0.5252530000634726</v>
                </pt>
                <pt idx="4601">
                  <v>-0.5252530000634726</v>
                </pt>
                <pt idx="4602">
                  <v>-0.5252530000634726</v>
                </pt>
                <pt idx="4603">
                  <v>-0.5252530000634726</v>
                </pt>
                <pt idx="4604">
                  <v>-0.5252530000634726</v>
                </pt>
                <pt idx="4605">
                  <v>-0.5252530000634726</v>
                </pt>
                <pt idx="4606">
                  <v>-0.5252530000634726</v>
                </pt>
                <pt idx="4607">
                  <v>-0.5252530000634726</v>
                </pt>
                <pt idx="4608">
                  <v>-0.5252530000634726</v>
                </pt>
                <pt idx="4609">
                  <v>-0.5252530000634726</v>
                </pt>
                <pt idx="4610">
                  <v>-0.5252530000634726</v>
                </pt>
                <pt idx="4611">
                  <v>-0.5252530000634726</v>
                </pt>
                <pt idx="4612">
                  <v>-0.5252530000634726</v>
                </pt>
                <pt idx="4613">
                  <v>-0.5252530000634726</v>
                </pt>
                <pt idx="4614">
                  <v>-0.5252530000634726</v>
                </pt>
                <pt idx="4615">
                  <v>-0.5252530000634726</v>
                </pt>
                <pt idx="4616">
                  <v>-0.5252530000634726</v>
                </pt>
                <pt idx="4617">
                  <v>-0.5252530000634726</v>
                </pt>
                <pt idx="4618">
                  <v>-0.5252530000634726</v>
                </pt>
                <pt idx="4619">
                  <v>-0.5252530000634726</v>
                </pt>
                <pt idx="4620">
                  <v>-0.5252530000634726</v>
                </pt>
                <pt idx="4621">
                  <v>-0.5252530000634726</v>
                </pt>
                <pt idx="4622">
                  <v>-0.5252530000634726</v>
                </pt>
                <pt idx="4623">
                  <v>-0.5252530000634726</v>
                </pt>
                <pt idx="4624">
                  <v>-0.5252530000634726</v>
                </pt>
                <pt idx="4625">
                  <v>-0.5252530000634726</v>
                </pt>
                <pt idx="4626">
                  <v>-0.5252530000634726</v>
                </pt>
                <pt idx="4627">
                  <v>-0.5252530000634726</v>
                </pt>
                <pt idx="4628">
                  <v>-0.5252530000634726</v>
                </pt>
                <pt idx="4629">
                  <v>-0.5252530000634726</v>
                </pt>
                <pt idx="4630">
                  <v>-0.5252530000634726</v>
                </pt>
                <pt idx="4631">
                  <v>-0.5252530000634726</v>
                </pt>
                <pt idx="4632">
                  <v>-0.5252530000634726</v>
                </pt>
                <pt idx="4633">
                  <v>-0.5252530000634726</v>
                </pt>
                <pt idx="4634">
                  <v>-0.5252530000634726</v>
                </pt>
                <pt idx="4635">
                  <v>-0.5252530000634726</v>
                </pt>
                <pt idx="4636">
                  <v>-0.5252530000634726</v>
                </pt>
                <pt idx="4637">
                  <v>-0.5252530000634726</v>
                </pt>
                <pt idx="4638">
                  <v>-0.5252530000634726</v>
                </pt>
                <pt idx="4639">
                  <v>-0.5252530000634726</v>
                </pt>
                <pt idx="4640">
                  <v>-0.5252530000634726</v>
                </pt>
                <pt idx="4641">
                  <v>-0.5252530000634726</v>
                </pt>
                <pt idx="4642">
                  <v>-0.5252530000634726</v>
                </pt>
                <pt idx="4643">
                  <v>-0.5252530000634726</v>
                </pt>
                <pt idx="4644">
                  <v>-0.5252530000634726</v>
                </pt>
                <pt idx="4645">
                  <v>-0.5252530000634726</v>
                </pt>
                <pt idx="4646">
                  <v>-0.5252530000634726</v>
                </pt>
                <pt idx="4647">
                  <v>-0.5252530000634726</v>
                </pt>
                <pt idx="4648">
                  <v>-0.5252530000634726</v>
                </pt>
                <pt idx="4649">
                  <v>-0.5252530000634726</v>
                </pt>
                <pt idx="4650">
                  <v>-0.5252530000634726</v>
                </pt>
                <pt idx="4651">
                  <v>-0.5252530000634726</v>
                </pt>
                <pt idx="4652">
                  <v>-0.5252530000634726</v>
                </pt>
                <pt idx="4653">
                  <v>-0.5252530000634726</v>
                </pt>
                <pt idx="4654">
                  <v>-0.5252530000634726</v>
                </pt>
                <pt idx="4655">
                  <v>-0.5252530000634726</v>
                </pt>
                <pt idx="4656">
                  <v>-0.5252530000634726</v>
                </pt>
                <pt idx="4657">
                  <v>-0.5252530000634726</v>
                </pt>
                <pt idx="4658">
                  <v>-0.5252530000634726</v>
                </pt>
                <pt idx="4659">
                  <v>-0.5252530000634726</v>
                </pt>
                <pt idx="4660">
                  <v>-0.5252530000634726</v>
                </pt>
                <pt idx="4661">
                  <v>-0.5252530000634726</v>
                </pt>
                <pt idx="4662">
                  <v>-0.5252530000634726</v>
                </pt>
                <pt idx="4663">
                  <v>-0.5252530000634726</v>
                </pt>
                <pt idx="4664">
                  <v>-0.5252530000634726</v>
                </pt>
                <pt idx="4665">
                  <v>-0.5252530000634726</v>
                </pt>
                <pt idx="4666">
                  <v>-0.5252530000634726</v>
                </pt>
                <pt idx="4667">
                  <v>-0.5252530000634726</v>
                </pt>
                <pt idx="4668">
                  <v>-0.5252530000634726</v>
                </pt>
                <pt idx="4669">
                  <v>-0.5252530000634726</v>
                </pt>
                <pt idx="4670">
                  <v>-0.5252530000634726</v>
                </pt>
                <pt idx="4671">
                  <v>-0.5252530000634726</v>
                </pt>
                <pt idx="4672">
                  <v>-0.5252530000634726</v>
                </pt>
                <pt idx="4673">
                  <v>-0.5252530000634726</v>
                </pt>
                <pt idx="4674">
                  <v>-0.5252530000634726</v>
                </pt>
                <pt idx="4675">
                  <v>-0.5252530000634726</v>
                </pt>
                <pt idx="4676">
                  <v>-0.5252530000634726</v>
                </pt>
                <pt idx="4677">
                  <v>-0.5252530000634726</v>
                </pt>
                <pt idx="4678">
                  <v>-0.5252530000634726</v>
                </pt>
                <pt idx="4679">
                  <v>-0.5252530000634726</v>
                </pt>
                <pt idx="4680">
                  <v>-0.5252530000634726</v>
                </pt>
                <pt idx="4681">
                  <v>-0.5252530000634726</v>
                </pt>
                <pt idx="4682">
                  <v>-0.5252530000634726</v>
                </pt>
                <pt idx="4683">
                  <v>-0.5252530000634726</v>
                </pt>
                <pt idx="4684">
                  <v>-0.5252530000634726</v>
                </pt>
                <pt idx="4685">
                  <v>-0.5252530000634726</v>
                </pt>
                <pt idx="4686">
                  <v>-0.5252530000634726</v>
                </pt>
                <pt idx="4687">
                  <v>-0.5252530000634726</v>
                </pt>
                <pt idx="4688">
                  <v>-0.5252530000634726</v>
                </pt>
                <pt idx="4689">
                  <v>-0.5252530000634726</v>
                </pt>
                <pt idx="4690">
                  <v>-0.5252530000634726</v>
                </pt>
                <pt idx="4691">
                  <v>-0.5252530000634726</v>
                </pt>
                <pt idx="4692">
                  <v>-0.5252530000634726</v>
                </pt>
                <pt idx="4693">
                  <v>-0.5252530000634726</v>
                </pt>
                <pt idx="4694">
                  <v>-0.5252530000634726</v>
                </pt>
                <pt idx="4695">
                  <v>-0.5252530000634726</v>
                </pt>
                <pt idx="4696">
                  <v>-0.5252530000634726</v>
                </pt>
                <pt idx="4697">
                  <v>-0.5252530000634726</v>
                </pt>
                <pt idx="4698">
                  <v>-0.5252530000634726</v>
                </pt>
                <pt idx="4699">
                  <v>-0.5252530000634726</v>
                </pt>
                <pt idx="4700">
                  <v>-0.5252530000634726</v>
                </pt>
                <pt idx="4701">
                  <v>-0.5252530000634726</v>
                </pt>
                <pt idx="4702">
                  <v>-0.5252530000634726</v>
                </pt>
                <pt idx="4703">
                  <v>-0.5252530000634726</v>
                </pt>
                <pt idx="4704">
                  <v>-0.5252530000634726</v>
                </pt>
                <pt idx="4705">
                  <v>-0.5252530000634726</v>
                </pt>
                <pt idx="4706">
                  <v>-0.5252530000634726</v>
                </pt>
                <pt idx="4707">
                  <v>-0.5252530000634726</v>
                </pt>
                <pt idx="4708">
                  <v>-0.5252530000634726</v>
                </pt>
                <pt idx="4709">
                  <v>-0.5252530000634726</v>
                </pt>
                <pt idx="4710">
                  <v>-0.5252530000634726</v>
                </pt>
                <pt idx="4711">
                  <v>-0.5252530000634726</v>
                </pt>
                <pt idx="4712">
                  <v>-0.5252530000634726</v>
                </pt>
                <pt idx="4713">
                  <v>-0.5252530000634726</v>
                </pt>
                <pt idx="4714">
                  <v>-0.5252530000634726</v>
                </pt>
                <pt idx="4715">
                  <v>-0.5252530000634726</v>
                </pt>
                <pt idx="4716">
                  <v>-0.5252530000634726</v>
                </pt>
                <pt idx="4717">
                  <v>-0.5252530000634726</v>
                </pt>
                <pt idx="4718">
                  <v>-0.5252530000634726</v>
                </pt>
                <pt idx="4719">
                  <v>-0.5252530000634726</v>
                </pt>
                <pt idx="4720">
                  <v>-0.5252530000634726</v>
                </pt>
                <pt idx="4721">
                  <v>-0.5252530000634726</v>
                </pt>
                <pt idx="4722">
                  <v>-0.5252530000634726</v>
                </pt>
                <pt idx="4723">
                  <v>-0.5252530000634726</v>
                </pt>
                <pt idx="4724">
                  <v>-0.5252530000634726</v>
                </pt>
                <pt idx="4725">
                  <v>-0.5252530000634726</v>
                </pt>
                <pt idx="4726">
                  <v>-0.5252530000634726</v>
                </pt>
                <pt idx="4727">
                  <v>-0.5252530000634726</v>
                </pt>
                <pt idx="4728">
                  <v>-0.5252530000634726</v>
                </pt>
                <pt idx="4729">
                  <v>-0.5252530000634726</v>
                </pt>
                <pt idx="4730">
                  <v>-0.5252530000634726</v>
                </pt>
                <pt idx="4731">
                  <v>-0.5252530000634726</v>
                </pt>
                <pt idx="4732">
                  <v>-0.5252530000634726</v>
                </pt>
                <pt idx="4733">
                  <v>-0.5252530000634726</v>
                </pt>
                <pt idx="4734">
                  <v>-0.5252530000634726</v>
                </pt>
                <pt idx="4735">
                  <v>-0.5252530000634726</v>
                </pt>
                <pt idx="4736">
                  <v>-0.5252530000634726</v>
                </pt>
                <pt idx="4737">
                  <v>-0.5252530000634726</v>
                </pt>
                <pt idx="4738">
                  <v>-0.5252530000634726</v>
                </pt>
                <pt idx="4739">
                  <v>-0.5252530000634726</v>
                </pt>
                <pt idx="4740">
                  <v>-0.5252530000634726</v>
                </pt>
                <pt idx="4741">
                  <v>-0.5252530000634726</v>
                </pt>
                <pt idx="4742">
                  <v>-0.5252530000634726</v>
                </pt>
                <pt idx="4743">
                  <v>-0.5252530000634726</v>
                </pt>
                <pt idx="4744">
                  <v>-0.5252530000634726</v>
                </pt>
                <pt idx="4745">
                  <v>-0.5252530000634726</v>
                </pt>
                <pt idx="4746">
                  <v>-0.5252530000634726</v>
                </pt>
                <pt idx="4747">
                  <v>-0.5252530000634726</v>
                </pt>
                <pt idx="4748">
                  <v>-0.5252530000634726</v>
                </pt>
                <pt idx="4749">
                  <v>-0.5252530000634726</v>
                </pt>
                <pt idx="4750">
                  <v>-0.5252530000634726</v>
                </pt>
                <pt idx="4751">
                  <v>-0.5252530000634726</v>
                </pt>
                <pt idx="4752">
                  <v>-0.5252530000634726</v>
                </pt>
                <pt idx="4753">
                  <v>-0.5252530000634726</v>
                </pt>
                <pt idx="4754">
                  <v>-0.5252530000634726</v>
                </pt>
                <pt idx="4755">
                  <v>-0.5252530000634726</v>
                </pt>
                <pt idx="4756">
                  <v>-0.5252530000634726</v>
                </pt>
                <pt idx="4757">
                  <v>-0.5252530000634726</v>
                </pt>
                <pt idx="4758">
                  <v>-0.5252530000634726</v>
                </pt>
                <pt idx="4759">
                  <v>-0.5252530000634726</v>
                </pt>
                <pt idx="4760">
                  <v>-0.5252530000634726</v>
                </pt>
                <pt idx="4761">
                  <v>-0.5252530000634726</v>
                </pt>
                <pt idx="4762">
                  <v>-0.5252530000634726</v>
                </pt>
                <pt idx="4763">
                  <v>-0.5252530000634726</v>
                </pt>
              </numCache>
            </numRef>
          </val>
          <smooth val="0"/>
        </ser>
        <ser>
          <idx val="3"/>
          <order val="3"/>
          <tx>
            <strRef>
              <f>'AH discount'!$E$2</f>
              <strCache>
                <ptCount val="1"/>
                <pt idx="0">
                  <v>SD+1</v>
                </pt>
              </strCache>
            </strRef>
          </tx>
          <spPr>
            <a:ln w="28575" cap="rnd">
              <a:solidFill>
                <a:srgbClr val="EDC86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discount'!$E$3:$E$4766</f>
              <numCache>
                <formatCode>0%</formatCode>
                <ptCount val="4764"/>
                <pt idx="0">
                  <v>-0.2022822910302593</v>
                </pt>
                <pt idx="1">
                  <v>-0.2022822910302593</v>
                </pt>
                <pt idx="2">
                  <v>-0.2022822910302593</v>
                </pt>
                <pt idx="3">
                  <v>-0.2022822910302593</v>
                </pt>
                <pt idx="4">
                  <v>-0.2022822910302593</v>
                </pt>
                <pt idx="5">
                  <v>-0.2022822910302593</v>
                </pt>
                <pt idx="6">
                  <v>-0.2022822910302593</v>
                </pt>
                <pt idx="7">
                  <v>-0.2022822910302593</v>
                </pt>
                <pt idx="8">
                  <v>-0.2022822910302593</v>
                </pt>
                <pt idx="9">
                  <v>-0.2022822910302593</v>
                </pt>
                <pt idx="10">
                  <v>-0.2022822910302593</v>
                </pt>
                <pt idx="11">
                  <v>-0.2022822910302593</v>
                </pt>
                <pt idx="12">
                  <v>-0.2022822910302593</v>
                </pt>
                <pt idx="13">
                  <v>-0.2022822910302593</v>
                </pt>
                <pt idx="14">
                  <v>-0.2022822910302593</v>
                </pt>
                <pt idx="15">
                  <v>-0.2022822910302593</v>
                </pt>
                <pt idx="16">
                  <v>-0.2022822910302593</v>
                </pt>
                <pt idx="17">
                  <v>-0.2022822910302593</v>
                </pt>
                <pt idx="18">
                  <v>-0.2022822910302593</v>
                </pt>
                <pt idx="19">
                  <v>-0.2022822910302593</v>
                </pt>
                <pt idx="20">
                  <v>-0.2022822910302593</v>
                </pt>
                <pt idx="21">
                  <v>-0.2022822910302593</v>
                </pt>
                <pt idx="22">
                  <v>-0.2022822910302593</v>
                </pt>
                <pt idx="23">
                  <v>-0.2022822910302593</v>
                </pt>
                <pt idx="24">
                  <v>-0.2022822910302593</v>
                </pt>
                <pt idx="25">
                  <v>-0.2022822910302593</v>
                </pt>
                <pt idx="26">
                  <v>-0.2022822910302593</v>
                </pt>
                <pt idx="27">
                  <v>-0.2022822910302593</v>
                </pt>
                <pt idx="28">
                  <v>-0.2022822910302593</v>
                </pt>
                <pt idx="29">
                  <v>-0.2022822910302593</v>
                </pt>
                <pt idx="30">
                  <v>-0.2022822910302593</v>
                </pt>
                <pt idx="31">
                  <v>-0.2022822910302593</v>
                </pt>
                <pt idx="32">
                  <v>-0.2022822910302593</v>
                </pt>
                <pt idx="33">
                  <v>-0.2022822910302593</v>
                </pt>
                <pt idx="34">
                  <v>-0.2022822910302593</v>
                </pt>
                <pt idx="35">
                  <v>-0.2022822910302593</v>
                </pt>
                <pt idx="36">
                  <v>-0.2022822910302593</v>
                </pt>
                <pt idx="37">
                  <v>-0.2022822910302593</v>
                </pt>
                <pt idx="38">
                  <v>-0.2022822910302593</v>
                </pt>
                <pt idx="39">
                  <v>-0.2022822910302593</v>
                </pt>
                <pt idx="40">
                  <v>-0.2022822910302593</v>
                </pt>
                <pt idx="41">
                  <v>-0.2022822910302593</v>
                </pt>
                <pt idx="42">
                  <v>-0.2022822910302593</v>
                </pt>
                <pt idx="43">
                  <v>-0.2022822910302593</v>
                </pt>
                <pt idx="44">
                  <v>-0.2022822910302593</v>
                </pt>
                <pt idx="45">
                  <v>-0.2022822910302593</v>
                </pt>
                <pt idx="46">
                  <v>-0.2022822910302593</v>
                </pt>
                <pt idx="47">
                  <v>-0.2022822910302593</v>
                </pt>
                <pt idx="48">
                  <v>-0.2022822910302593</v>
                </pt>
                <pt idx="49">
                  <v>-0.2022822910302593</v>
                </pt>
                <pt idx="50">
                  <v>-0.2022822910302593</v>
                </pt>
                <pt idx="51">
                  <v>-0.2022822910302593</v>
                </pt>
                <pt idx="52">
                  <v>-0.2022822910302593</v>
                </pt>
                <pt idx="53">
                  <v>-0.2022822910302593</v>
                </pt>
                <pt idx="54">
                  <v>-0.2022822910302593</v>
                </pt>
                <pt idx="55">
                  <v>-0.2022822910302593</v>
                </pt>
                <pt idx="56">
                  <v>-0.2022822910302593</v>
                </pt>
                <pt idx="57">
                  <v>-0.2022822910302593</v>
                </pt>
                <pt idx="58">
                  <v>-0.2022822910302593</v>
                </pt>
                <pt idx="59">
                  <v>-0.2022822910302593</v>
                </pt>
                <pt idx="60">
                  <v>-0.2022822910302593</v>
                </pt>
                <pt idx="61">
                  <v>-0.2022822910302593</v>
                </pt>
                <pt idx="62">
                  <v>-0.2022822910302593</v>
                </pt>
                <pt idx="63">
                  <v>-0.2022822910302593</v>
                </pt>
                <pt idx="64">
                  <v>-0.2022822910302593</v>
                </pt>
                <pt idx="65">
                  <v>-0.2022822910302593</v>
                </pt>
                <pt idx="66">
                  <v>-0.2022822910302593</v>
                </pt>
                <pt idx="67">
                  <v>-0.2022822910302593</v>
                </pt>
                <pt idx="68">
                  <v>-0.2022822910302593</v>
                </pt>
                <pt idx="69">
                  <v>-0.2022822910302593</v>
                </pt>
                <pt idx="70">
                  <v>-0.2022822910302593</v>
                </pt>
                <pt idx="71">
                  <v>-0.2022822910302593</v>
                </pt>
                <pt idx="72">
                  <v>-0.2022822910302593</v>
                </pt>
                <pt idx="73">
                  <v>-0.2022822910302593</v>
                </pt>
                <pt idx="74">
                  <v>-0.2022822910302593</v>
                </pt>
                <pt idx="75">
                  <v>-0.2022822910302593</v>
                </pt>
                <pt idx="76">
                  <v>-0.2022822910302593</v>
                </pt>
                <pt idx="77">
                  <v>-0.2022822910302593</v>
                </pt>
                <pt idx="78">
                  <v>-0.2022822910302593</v>
                </pt>
                <pt idx="79">
                  <v>-0.2022822910302593</v>
                </pt>
                <pt idx="80">
                  <v>-0.2022822910302593</v>
                </pt>
                <pt idx="81">
                  <v>-0.2022822910302593</v>
                </pt>
                <pt idx="82">
                  <v>-0.2022822910302593</v>
                </pt>
                <pt idx="83">
                  <v>-0.2022822910302593</v>
                </pt>
                <pt idx="84">
                  <v>-0.2022822910302593</v>
                </pt>
                <pt idx="85">
                  <v>-0.2022822910302593</v>
                </pt>
                <pt idx="86">
                  <v>-0.2022822910302593</v>
                </pt>
                <pt idx="87">
                  <v>-0.2022822910302593</v>
                </pt>
                <pt idx="88">
                  <v>-0.2022822910302593</v>
                </pt>
                <pt idx="89">
                  <v>-0.2022822910302593</v>
                </pt>
                <pt idx="90">
                  <v>-0.2022822910302593</v>
                </pt>
                <pt idx="91">
                  <v>-0.2022822910302593</v>
                </pt>
                <pt idx="92">
                  <v>-0.2022822910302593</v>
                </pt>
                <pt idx="93">
                  <v>-0.2022822910302593</v>
                </pt>
                <pt idx="94">
                  <v>-0.2022822910302593</v>
                </pt>
                <pt idx="95">
                  <v>-0.2022822910302593</v>
                </pt>
                <pt idx="96">
                  <v>-0.2022822910302593</v>
                </pt>
                <pt idx="97">
                  <v>-0.2022822910302593</v>
                </pt>
                <pt idx="98">
                  <v>-0.2022822910302593</v>
                </pt>
                <pt idx="99">
                  <v>-0.2022822910302593</v>
                </pt>
                <pt idx="100">
                  <v>-0.2022822910302593</v>
                </pt>
                <pt idx="101">
                  <v>-0.2022822910302593</v>
                </pt>
                <pt idx="102">
                  <v>-0.2022822910302593</v>
                </pt>
                <pt idx="103">
                  <v>-0.2022822910302593</v>
                </pt>
                <pt idx="104">
                  <v>-0.2022822910302593</v>
                </pt>
                <pt idx="105">
                  <v>-0.2022822910302593</v>
                </pt>
                <pt idx="106">
                  <v>-0.2022822910302593</v>
                </pt>
                <pt idx="107">
                  <v>-0.2022822910302593</v>
                </pt>
                <pt idx="108">
                  <v>-0.2022822910302593</v>
                </pt>
                <pt idx="109">
                  <v>-0.2022822910302593</v>
                </pt>
                <pt idx="110">
                  <v>-0.2022822910302593</v>
                </pt>
                <pt idx="111">
                  <v>-0.2022822910302593</v>
                </pt>
                <pt idx="112">
                  <v>-0.2022822910302593</v>
                </pt>
                <pt idx="113">
                  <v>-0.2022822910302593</v>
                </pt>
                <pt idx="114">
                  <v>-0.2022822910302593</v>
                </pt>
                <pt idx="115">
                  <v>-0.2022822910302593</v>
                </pt>
                <pt idx="116">
                  <v>-0.2022822910302593</v>
                </pt>
                <pt idx="117">
                  <v>-0.2022822910302593</v>
                </pt>
                <pt idx="118">
                  <v>-0.2022822910302593</v>
                </pt>
                <pt idx="119">
                  <v>-0.2022822910302593</v>
                </pt>
                <pt idx="120">
                  <v>-0.2022822910302593</v>
                </pt>
                <pt idx="121">
                  <v>-0.2022822910302593</v>
                </pt>
                <pt idx="122">
                  <v>-0.2022822910302593</v>
                </pt>
                <pt idx="123">
                  <v>-0.2022822910302593</v>
                </pt>
                <pt idx="124">
                  <v>-0.2022822910302593</v>
                </pt>
                <pt idx="125">
                  <v>-0.2022822910302593</v>
                </pt>
                <pt idx="126">
                  <v>-0.2022822910302593</v>
                </pt>
                <pt idx="127">
                  <v>-0.2022822910302593</v>
                </pt>
                <pt idx="128">
                  <v>-0.2022822910302593</v>
                </pt>
                <pt idx="129">
                  <v>-0.2022822910302593</v>
                </pt>
                <pt idx="130">
                  <v>-0.2022822910302593</v>
                </pt>
                <pt idx="131">
                  <v>-0.2022822910302593</v>
                </pt>
                <pt idx="132">
                  <v>-0.2022822910302593</v>
                </pt>
                <pt idx="133">
                  <v>-0.2022822910302593</v>
                </pt>
                <pt idx="134">
                  <v>-0.2022822910302593</v>
                </pt>
                <pt idx="135">
                  <v>-0.2022822910302593</v>
                </pt>
                <pt idx="136">
                  <v>-0.2022822910302593</v>
                </pt>
                <pt idx="137">
                  <v>-0.2022822910302593</v>
                </pt>
                <pt idx="138">
                  <v>-0.2022822910302593</v>
                </pt>
                <pt idx="139">
                  <v>-0.2022822910302593</v>
                </pt>
                <pt idx="140">
                  <v>-0.2022822910302593</v>
                </pt>
                <pt idx="141">
                  <v>-0.2022822910302593</v>
                </pt>
                <pt idx="142">
                  <v>-0.2022822910302593</v>
                </pt>
                <pt idx="143">
                  <v>-0.2022822910302593</v>
                </pt>
                <pt idx="144">
                  <v>-0.2022822910302593</v>
                </pt>
                <pt idx="145">
                  <v>-0.2022822910302593</v>
                </pt>
                <pt idx="146">
                  <v>-0.2022822910302593</v>
                </pt>
                <pt idx="147">
                  <v>-0.2022822910302593</v>
                </pt>
                <pt idx="148">
                  <v>-0.2022822910302593</v>
                </pt>
                <pt idx="149">
                  <v>-0.2022822910302593</v>
                </pt>
                <pt idx="150">
                  <v>-0.2022822910302593</v>
                </pt>
                <pt idx="151">
                  <v>-0.2022822910302593</v>
                </pt>
                <pt idx="152">
                  <v>-0.2022822910302593</v>
                </pt>
                <pt idx="153">
                  <v>-0.2022822910302593</v>
                </pt>
                <pt idx="154">
                  <v>-0.2022822910302593</v>
                </pt>
                <pt idx="155">
                  <v>-0.2022822910302593</v>
                </pt>
                <pt idx="156">
                  <v>-0.2022822910302593</v>
                </pt>
                <pt idx="157">
                  <v>-0.2022822910302593</v>
                </pt>
                <pt idx="158">
                  <v>-0.2022822910302593</v>
                </pt>
                <pt idx="159">
                  <v>-0.2022822910302593</v>
                </pt>
                <pt idx="160">
                  <v>-0.2022822910302593</v>
                </pt>
                <pt idx="161">
                  <v>-0.2022822910302593</v>
                </pt>
                <pt idx="162">
                  <v>-0.2022822910302593</v>
                </pt>
                <pt idx="163">
                  <v>-0.2022822910302593</v>
                </pt>
                <pt idx="164">
                  <v>-0.2022822910302593</v>
                </pt>
                <pt idx="165">
                  <v>-0.2022822910302593</v>
                </pt>
                <pt idx="166">
                  <v>-0.2022822910302593</v>
                </pt>
                <pt idx="167">
                  <v>-0.2022822910302593</v>
                </pt>
                <pt idx="168">
                  <v>-0.2022822910302593</v>
                </pt>
                <pt idx="169">
                  <v>-0.2022822910302593</v>
                </pt>
                <pt idx="170">
                  <v>-0.2022822910302593</v>
                </pt>
                <pt idx="171">
                  <v>-0.2022822910302593</v>
                </pt>
                <pt idx="172">
                  <v>-0.2022822910302593</v>
                </pt>
                <pt idx="173">
                  <v>-0.2022822910302593</v>
                </pt>
                <pt idx="174">
                  <v>-0.2022822910302593</v>
                </pt>
                <pt idx="175">
                  <v>-0.2022822910302593</v>
                </pt>
                <pt idx="176">
                  <v>-0.2022822910302593</v>
                </pt>
                <pt idx="177">
                  <v>-0.2022822910302593</v>
                </pt>
                <pt idx="178">
                  <v>-0.2022822910302593</v>
                </pt>
                <pt idx="179">
                  <v>-0.2022822910302593</v>
                </pt>
                <pt idx="180">
                  <v>-0.2022822910302593</v>
                </pt>
                <pt idx="181">
                  <v>-0.2022822910302593</v>
                </pt>
                <pt idx="182">
                  <v>-0.2022822910302593</v>
                </pt>
                <pt idx="183">
                  <v>-0.2022822910302593</v>
                </pt>
                <pt idx="184">
                  <v>-0.2022822910302593</v>
                </pt>
                <pt idx="185">
                  <v>-0.2022822910302593</v>
                </pt>
                <pt idx="186">
                  <v>-0.2022822910302593</v>
                </pt>
                <pt idx="187">
                  <v>-0.2022822910302593</v>
                </pt>
                <pt idx="188">
                  <v>-0.2022822910302593</v>
                </pt>
                <pt idx="189">
                  <v>-0.2022822910302593</v>
                </pt>
                <pt idx="190">
                  <v>-0.2022822910302593</v>
                </pt>
                <pt idx="191">
                  <v>-0.2022822910302593</v>
                </pt>
                <pt idx="192">
                  <v>-0.2022822910302593</v>
                </pt>
                <pt idx="193">
                  <v>-0.2022822910302593</v>
                </pt>
                <pt idx="194">
                  <v>-0.2022822910302593</v>
                </pt>
                <pt idx="195">
                  <v>-0.2022822910302593</v>
                </pt>
                <pt idx="196">
                  <v>-0.2022822910302593</v>
                </pt>
                <pt idx="197">
                  <v>-0.2022822910302593</v>
                </pt>
                <pt idx="198">
                  <v>-0.2022822910302593</v>
                </pt>
                <pt idx="199">
                  <v>-0.2022822910302593</v>
                </pt>
                <pt idx="200">
                  <v>-0.2022822910302593</v>
                </pt>
                <pt idx="201">
                  <v>-0.2022822910302593</v>
                </pt>
                <pt idx="202">
                  <v>-0.2022822910302593</v>
                </pt>
                <pt idx="203">
                  <v>-0.2022822910302593</v>
                </pt>
                <pt idx="204">
                  <v>-0.2022822910302593</v>
                </pt>
                <pt idx="205">
                  <v>-0.2022822910302593</v>
                </pt>
                <pt idx="206">
                  <v>-0.2022822910302593</v>
                </pt>
                <pt idx="207">
                  <v>-0.2022822910302593</v>
                </pt>
                <pt idx="208">
                  <v>-0.2022822910302593</v>
                </pt>
                <pt idx="209">
                  <v>-0.2022822910302593</v>
                </pt>
                <pt idx="210">
                  <v>-0.2022822910302593</v>
                </pt>
                <pt idx="211">
                  <v>-0.2022822910302593</v>
                </pt>
                <pt idx="212">
                  <v>-0.2022822910302593</v>
                </pt>
                <pt idx="213">
                  <v>-0.2022822910302593</v>
                </pt>
                <pt idx="214">
                  <v>-0.2022822910302593</v>
                </pt>
                <pt idx="215">
                  <v>-0.2022822910302593</v>
                </pt>
                <pt idx="216">
                  <v>-0.2022822910302593</v>
                </pt>
                <pt idx="217">
                  <v>-0.2022822910302593</v>
                </pt>
                <pt idx="218">
                  <v>-0.2022822910302593</v>
                </pt>
                <pt idx="219">
                  <v>-0.2022822910302593</v>
                </pt>
                <pt idx="220">
                  <v>-0.2022822910302593</v>
                </pt>
                <pt idx="221">
                  <v>-0.2022822910302593</v>
                </pt>
                <pt idx="222">
                  <v>-0.2022822910302593</v>
                </pt>
                <pt idx="223">
                  <v>-0.2022822910302593</v>
                </pt>
                <pt idx="224">
                  <v>-0.2022822910302593</v>
                </pt>
                <pt idx="225">
                  <v>-0.2022822910302593</v>
                </pt>
                <pt idx="226">
                  <v>-0.2022822910302593</v>
                </pt>
                <pt idx="227">
                  <v>-0.2022822910302593</v>
                </pt>
                <pt idx="228">
                  <v>-0.2022822910302593</v>
                </pt>
                <pt idx="229">
                  <v>-0.2022822910302593</v>
                </pt>
                <pt idx="230">
                  <v>-0.2022822910302593</v>
                </pt>
                <pt idx="231">
                  <v>-0.2022822910302593</v>
                </pt>
                <pt idx="232">
                  <v>-0.2022822910302593</v>
                </pt>
                <pt idx="233">
                  <v>-0.2022822910302593</v>
                </pt>
                <pt idx="234">
                  <v>-0.2022822910302593</v>
                </pt>
                <pt idx="235">
                  <v>-0.2022822910302593</v>
                </pt>
                <pt idx="236">
                  <v>-0.2022822910302593</v>
                </pt>
                <pt idx="237">
                  <v>-0.2022822910302593</v>
                </pt>
                <pt idx="238">
                  <v>-0.2022822910302593</v>
                </pt>
                <pt idx="239">
                  <v>-0.2022822910302593</v>
                </pt>
                <pt idx="240">
                  <v>-0.2022822910302593</v>
                </pt>
                <pt idx="241">
                  <v>-0.2022822910302593</v>
                </pt>
                <pt idx="242">
                  <v>-0.2022822910302593</v>
                </pt>
                <pt idx="243">
                  <v>-0.2022822910302593</v>
                </pt>
                <pt idx="244">
                  <v>-0.2022822910302593</v>
                </pt>
                <pt idx="245">
                  <v>-0.2022822910302593</v>
                </pt>
                <pt idx="246">
                  <v>-0.2022822910302593</v>
                </pt>
                <pt idx="247">
                  <v>-0.2022822910302593</v>
                </pt>
                <pt idx="248">
                  <v>-0.2022822910302593</v>
                </pt>
                <pt idx="249">
                  <v>-0.2022822910302593</v>
                </pt>
                <pt idx="250">
                  <v>-0.2022822910302593</v>
                </pt>
                <pt idx="251">
                  <v>-0.2022822910302593</v>
                </pt>
                <pt idx="252">
                  <v>-0.2022822910302593</v>
                </pt>
                <pt idx="253">
                  <v>-0.2022822910302593</v>
                </pt>
                <pt idx="254">
                  <v>-0.2022822910302593</v>
                </pt>
                <pt idx="255">
                  <v>-0.2022822910302593</v>
                </pt>
                <pt idx="256">
                  <v>-0.2022822910302593</v>
                </pt>
                <pt idx="257">
                  <v>-0.2022822910302593</v>
                </pt>
                <pt idx="258">
                  <v>-0.2022822910302593</v>
                </pt>
                <pt idx="259">
                  <v>-0.2022822910302593</v>
                </pt>
                <pt idx="260">
                  <v>-0.2022822910302593</v>
                </pt>
                <pt idx="261">
                  <v>-0.2022822910302593</v>
                </pt>
                <pt idx="262">
                  <v>-0.2022822910302593</v>
                </pt>
                <pt idx="263">
                  <v>-0.2022822910302593</v>
                </pt>
                <pt idx="264">
                  <v>-0.2022822910302593</v>
                </pt>
                <pt idx="265">
                  <v>-0.2022822910302593</v>
                </pt>
                <pt idx="266">
                  <v>-0.2022822910302593</v>
                </pt>
                <pt idx="267">
                  <v>-0.2022822910302593</v>
                </pt>
                <pt idx="268">
                  <v>-0.2022822910302593</v>
                </pt>
                <pt idx="269">
                  <v>-0.2022822910302593</v>
                </pt>
                <pt idx="270">
                  <v>-0.2022822910302593</v>
                </pt>
                <pt idx="271">
                  <v>-0.2022822910302593</v>
                </pt>
                <pt idx="272">
                  <v>-0.2022822910302593</v>
                </pt>
                <pt idx="273">
                  <v>-0.2022822910302593</v>
                </pt>
                <pt idx="274">
                  <v>-0.2022822910302593</v>
                </pt>
                <pt idx="275">
                  <v>-0.2022822910302593</v>
                </pt>
                <pt idx="276">
                  <v>-0.2022822910302593</v>
                </pt>
                <pt idx="277">
                  <v>-0.2022822910302593</v>
                </pt>
                <pt idx="278">
                  <v>-0.2022822910302593</v>
                </pt>
                <pt idx="279">
                  <v>-0.2022822910302593</v>
                </pt>
                <pt idx="280">
                  <v>-0.2022822910302593</v>
                </pt>
                <pt idx="281">
                  <v>-0.2022822910302593</v>
                </pt>
                <pt idx="282">
                  <v>-0.2022822910302593</v>
                </pt>
                <pt idx="283">
                  <v>-0.2022822910302593</v>
                </pt>
                <pt idx="284">
                  <v>-0.2022822910302593</v>
                </pt>
                <pt idx="285">
                  <v>-0.2022822910302593</v>
                </pt>
                <pt idx="286">
                  <v>-0.2022822910302593</v>
                </pt>
                <pt idx="287">
                  <v>-0.2022822910302593</v>
                </pt>
                <pt idx="288">
                  <v>-0.2022822910302593</v>
                </pt>
                <pt idx="289">
                  <v>-0.2022822910302593</v>
                </pt>
                <pt idx="290">
                  <v>-0.2022822910302593</v>
                </pt>
                <pt idx="291">
                  <v>-0.2022822910302593</v>
                </pt>
                <pt idx="292">
                  <v>-0.2022822910302593</v>
                </pt>
                <pt idx="293">
                  <v>-0.2022822910302593</v>
                </pt>
                <pt idx="294">
                  <v>-0.2022822910302593</v>
                </pt>
                <pt idx="295">
                  <v>-0.2022822910302593</v>
                </pt>
                <pt idx="296">
                  <v>-0.2022822910302593</v>
                </pt>
                <pt idx="297">
                  <v>-0.2022822910302593</v>
                </pt>
                <pt idx="298">
                  <v>-0.2022822910302593</v>
                </pt>
                <pt idx="299">
                  <v>-0.2022822910302593</v>
                </pt>
                <pt idx="300">
                  <v>-0.2022822910302593</v>
                </pt>
                <pt idx="301">
                  <v>-0.2022822910302593</v>
                </pt>
                <pt idx="302">
                  <v>-0.2022822910302593</v>
                </pt>
                <pt idx="303">
                  <v>-0.2022822910302593</v>
                </pt>
                <pt idx="304">
                  <v>-0.2022822910302593</v>
                </pt>
                <pt idx="305">
                  <v>-0.2022822910302593</v>
                </pt>
                <pt idx="306">
                  <v>-0.2022822910302593</v>
                </pt>
                <pt idx="307">
                  <v>-0.2022822910302593</v>
                </pt>
                <pt idx="308">
                  <v>-0.2022822910302593</v>
                </pt>
                <pt idx="309">
                  <v>-0.2022822910302593</v>
                </pt>
                <pt idx="310">
                  <v>-0.2022822910302593</v>
                </pt>
                <pt idx="311">
                  <v>-0.2022822910302593</v>
                </pt>
                <pt idx="312">
                  <v>-0.2022822910302593</v>
                </pt>
                <pt idx="313">
                  <v>-0.2022822910302593</v>
                </pt>
                <pt idx="314">
                  <v>-0.2022822910302593</v>
                </pt>
                <pt idx="315">
                  <v>-0.2022822910302593</v>
                </pt>
                <pt idx="316">
                  <v>-0.2022822910302593</v>
                </pt>
                <pt idx="317">
                  <v>-0.2022822910302593</v>
                </pt>
                <pt idx="318">
                  <v>-0.2022822910302593</v>
                </pt>
                <pt idx="319">
                  <v>-0.2022822910302593</v>
                </pt>
                <pt idx="320">
                  <v>-0.2022822910302593</v>
                </pt>
                <pt idx="321">
                  <v>-0.2022822910302593</v>
                </pt>
                <pt idx="322">
                  <v>-0.2022822910302593</v>
                </pt>
                <pt idx="323">
                  <v>-0.2022822910302593</v>
                </pt>
                <pt idx="324">
                  <v>-0.2022822910302593</v>
                </pt>
                <pt idx="325">
                  <v>-0.2022822910302593</v>
                </pt>
                <pt idx="326">
                  <v>-0.2022822910302593</v>
                </pt>
                <pt idx="327">
                  <v>-0.2022822910302593</v>
                </pt>
                <pt idx="328">
                  <v>-0.2022822910302593</v>
                </pt>
                <pt idx="329">
                  <v>-0.2022822910302593</v>
                </pt>
                <pt idx="330">
                  <v>-0.2022822910302593</v>
                </pt>
                <pt idx="331">
                  <v>-0.2022822910302593</v>
                </pt>
                <pt idx="332">
                  <v>-0.2022822910302593</v>
                </pt>
                <pt idx="333">
                  <v>-0.2022822910302593</v>
                </pt>
                <pt idx="334">
                  <v>-0.2022822910302593</v>
                </pt>
                <pt idx="335">
                  <v>-0.2022822910302593</v>
                </pt>
                <pt idx="336">
                  <v>-0.2022822910302593</v>
                </pt>
                <pt idx="337">
                  <v>-0.2022822910302593</v>
                </pt>
                <pt idx="338">
                  <v>-0.2022822910302593</v>
                </pt>
                <pt idx="339">
                  <v>-0.2022822910302593</v>
                </pt>
                <pt idx="340">
                  <v>-0.2022822910302593</v>
                </pt>
                <pt idx="341">
                  <v>-0.2022822910302593</v>
                </pt>
                <pt idx="342">
                  <v>-0.2022822910302593</v>
                </pt>
                <pt idx="343">
                  <v>-0.2022822910302593</v>
                </pt>
                <pt idx="344">
                  <v>-0.2022822910302593</v>
                </pt>
                <pt idx="345">
                  <v>-0.2022822910302593</v>
                </pt>
                <pt idx="346">
                  <v>-0.2022822910302593</v>
                </pt>
                <pt idx="347">
                  <v>-0.2022822910302593</v>
                </pt>
                <pt idx="348">
                  <v>-0.2022822910302593</v>
                </pt>
                <pt idx="349">
                  <v>-0.2022822910302593</v>
                </pt>
                <pt idx="350">
                  <v>-0.2022822910302593</v>
                </pt>
                <pt idx="351">
                  <v>-0.2022822910302593</v>
                </pt>
                <pt idx="352">
                  <v>-0.2022822910302593</v>
                </pt>
                <pt idx="353">
                  <v>-0.2022822910302593</v>
                </pt>
                <pt idx="354">
                  <v>-0.2022822910302593</v>
                </pt>
                <pt idx="355">
                  <v>-0.2022822910302593</v>
                </pt>
                <pt idx="356">
                  <v>-0.2022822910302593</v>
                </pt>
                <pt idx="357">
                  <v>-0.2022822910302593</v>
                </pt>
                <pt idx="358">
                  <v>-0.2022822910302593</v>
                </pt>
                <pt idx="359">
                  <v>-0.2022822910302593</v>
                </pt>
                <pt idx="360">
                  <v>-0.2022822910302593</v>
                </pt>
                <pt idx="361">
                  <v>-0.2022822910302593</v>
                </pt>
                <pt idx="362">
                  <v>-0.2022822910302593</v>
                </pt>
                <pt idx="363">
                  <v>-0.2022822910302593</v>
                </pt>
                <pt idx="364">
                  <v>-0.2022822910302593</v>
                </pt>
                <pt idx="365">
                  <v>-0.2022822910302593</v>
                </pt>
                <pt idx="366">
                  <v>-0.2022822910302593</v>
                </pt>
                <pt idx="367">
                  <v>-0.2022822910302593</v>
                </pt>
                <pt idx="368">
                  <v>-0.2022822910302593</v>
                </pt>
                <pt idx="369">
                  <v>-0.2022822910302593</v>
                </pt>
                <pt idx="370">
                  <v>-0.2022822910302593</v>
                </pt>
                <pt idx="371">
                  <v>-0.2022822910302593</v>
                </pt>
                <pt idx="372">
                  <v>-0.2022822910302593</v>
                </pt>
                <pt idx="373">
                  <v>-0.2022822910302593</v>
                </pt>
                <pt idx="374">
                  <v>-0.2022822910302593</v>
                </pt>
                <pt idx="375">
                  <v>-0.2022822910302593</v>
                </pt>
                <pt idx="376">
                  <v>-0.2022822910302593</v>
                </pt>
                <pt idx="377">
                  <v>-0.2022822910302593</v>
                </pt>
                <pt idx="378">
                  <v>-0.2022822910302593</v>
                </pt>
                <pt idx="379">
                  <v>-0.2022822910302593</v>
                </pt>
                <pt idx="380">
                  <v>-0.2022822910302593</v>
                </pt>
                <pt idx="381">
                  <v>-0.2022822910302593</v>
                </pt>
                <pt idx="382">
                  <v>-0.2022822910302593</v>
                </pt>
                <pt idx="383">
                  <v>-0.2022822910302593</v>
                </pt>
                <pt idx="384">
                  <v>-0.2022822910302593</v>
                </pt>
                <pt idx="385">
                  <v>-0.2022822910302593</v>
                </pt>
                <pt idx="386">
                  <v>-0.2022822910302593</v>
                </pt>
                <pt idx="387">
                  <v>-0.2022822910302593</v>
                </pt>
                <pt idx="388">
                  <v>-0.2022822910302593</v>
                </pt>
                <pt idx="389">
                  <v>-0.2022822910302593</v>
                </pt>
                <pt idx="390">
                  <v>-0.2022822910302593</v>
                </pt>
                <pt idx="391">
                  <v>-0.2022822910302593</v>
                </pt>
                <pt idx="392">
                  <v>-0.2022822910302593</v>
                </pt>
                <pt idx="393">
                  <v>-0.2022822910302593</v>
                </pt>
                <pt idx="394">
                  <v>-0.2022822910302593</v>
                </pt>
                <pt idx="395">
                  <v>-0.2022822910302593</v>
                </pt>
                <pt idx="396">
                  <v>-0.2022822910302593</v>
                </pt>
                <pt idx="397">
                  <v>-0.2022822910302593</v>
                </pt>
                <pt idx="398">
                  <v>-0.2022822910302593</v>
                </pt>
                <pt idx="399">
                  <v>-0.2022822910302593</v>
                </pt>
                <pt idx="400">
                  <v>-0.2022822910302593</v>
                </pt>
                <pt idx="401">
                  <v>-0.2022822910302593</v>
                </pt>
                <pt idx="402">
                  <v>-0.2022822910302593</v>
                </pt>
                <pt idx="403">
                  <v>-0.2022822910302593</v>
                </pt>
                <pt idx="404">
                  <v>-0.2022822910302593</v>
                </pt>
                <pt idx="405">
                  <v>-0.2022822910302593</v>
                </pt>
                <pt idx="406">
                  <v>-0.2022822910302593</v>
                </pt>
                <pt idx="407">
                  <v>-0.2022822910302593</v>
                </pt>
                <pt idx="408">
                  <v>-0.2022822910302593</v>
                </pt>
                <pt idx="409">
                  <v>-0.2022822910302593</v>
                </pt>
                <pt idx="410">
                  <v>-0.2022822910302593</v>
                </pt>
                <pt idx="411">
                  <v>-0.2022822910302593</v>
                </pt>
                <pt idx="412">
                  <v>-0.2022822910302593</v>
                </pt>
                <pt idx="413">
                  <v>-0.2022822910302593</v>
                </pt>
                <pt idx="414">
                  <v>-0.2022822910302593</v>
                </pt>
                <pt idx="415">
                  <v>-0.2022822910302593</v>
                </pt>
                <pt idx="416">
                  <v>-0.2022822910302593</v>
                </pt>
                <pt idx="417">
                  <v>-0.2022822910302593</v>
                </pt>
                <pt idx="418">
                  <v>-0.2022822910302593</v>
                </pt>
                <pt idx="419">
                  <v>-0.2022822910302593</v>
                </pt>
                <pt idx="420">
                  <v>-0.2022822910302593</v>
                </pt>
                <pt idx="421">
                  <v>-0.2022822910302593</v>
                </pt>
                <pt idx="422">
                  <v>-0.2022822910302593</v>
                </pt>
                <pt idx="423">
                  <v>-0.2022822910302593</v>
                </pt>
                <pt idx="424">
                  <v>-0.2022822910302593</v>
                </pt>
                <pt idx="425">
                  <v>-0.2022822910302593</v>
                </pt>
                <pt idx="426">
                  <v>-0.2022822910302593</v>
                </pt>
                <pt idx="427">
                  <v>-0.2022822910302593</v>
                </pt>
                <pt idx="428">
                  <v>-0.2022822910302593</v>
                </pt>
                <pt idx="429">
                  <v>-0.2022822910302593</v>
                </pt>
                <pt idx="430">
                  <v>-0.2022822910302593</v>
                </pt>
                <pt idx="431">
                  <v>-0.2022822910302593</v>
                </pt>
                <pt idx="432">
                  <v>-0.2022822910302593</v>
                </pt>
                <pt idx="433">
                  <v>-0.2022822910302593</v>
                </pt>
                <pt idx="434">
                  <v>-0.2022822910302593</v>
                </pt>
                <pt idx="435">
                  <v>-0.2022822910302593</v>
                </pt>
                <pt idx="436">
                  <v>-0.2022822910302593</v>
                </pt>
                <pt idx="437">
                  <v>-0.2022822910302593</v>
                </pt>
                <pt idx="438">
                  <v>-0.2022822910302593</v>
                </pt>
                <pt idx="439">
                  <v>-0.2022822910302593</v>
                </pt>
                <pt idx="440">
                  <v>-0.2022822910302593</v>
                </pt>
                <pt idx="441">
                  <v>-0.2022822910302593</v>
                </pt>
                <pt idx="442">
                  <v>-0.2022822910302593</v>
                </pt>
                <pt idx="443">
                  <v>-0.2022822910302593</v>
                </pt>
                <pt idx="444">
                  <v>-0.2022822910302593</v>
                </pt>
                <pt idx="445">
                  <v>-0.2022822910302593</v>
                </pt>
                <pt idx="446">
                  <v>-0.2022822910302593</v>
                </pt>
                <pt idx="447">
                  <v>-0.2022822910302593</v>
                </pt>
                <pt idx="448">
                  <v>-0.2022822910302593</v>
                </pt>
                <pt idx="449">
                  <v>-0.2022822910302593</v>
                </pt>
                <pt idx="450">
                  <v>-0.2022822910302593</v>
                </pt>
                <pt idx="451">
                  <v>-0.2022822910302593</v>
                </pt>
                <pt idx="452">
                  <v>-0.2022822910302593</v>
                </pt>
                <pt idx="453">
                  <v>-0.2022822910302593</v>
                </pt>
                <pt idx="454">
                  <v>-0.2022822910302593</v>
                </pt>
                <pt idx="455">
                  <v>-0.2022822910302593</v>
                </pt>
                <pt idx="456">
                  <v>-0.2022822910302593</v>
                </pt>
                <pt idx="457">
                  <v>-0.2022822910302593</v>
                </pt>
                <pt idx="458">
                  <v>-0.2022822910302593</v>
                </pt>
                <pt idx="459">
                  <v>-0.2022822910302593</v>
                </pt>
                <pt idx="460">
                  <v>-0.2022822910302593</v>
                </pt>
                <pt idx="461">
                  <v>-0.2022822910302593</v>
                </pt>
                <pt idx="462">
                  <v>-0.2022822910302593</v>
                </pt>
                <pt idx="463">
                  <v>-0.2022822910302593</v>
                </pt>
                <pt idx="464">
                  <v>-0.2022822910302593</v>
                </pt>
                <pt idx="465">
                  <v>-0.2022822910302593</v>
                </pt>
                <pt idx="466">
                  <v>-0.2022822910302593</v>
                </pt>
                <pt idx="467">
                  <v>-0.2022822910302593</v>
                </pt>
                <pt idx="468">
                  <v>-0.2022822910302593</v>
                </pt>
                <pt idx="469">
                  <v>-0.2022822910302593</v>
                </pt>
                <pt idx="470">
                  <v>-0.2022822910302593</v>
                </pt>
                <pt idx="471">
                  <v>-0.2022822910302593</v>
                </pt>
                <pt idx="472">
                  <v>-0.2022822910302593</v>
                </pt>
                <pt idx="473">
                  <v>-0.2022822910302593</v>
                </pt>
                <pt idx="474">
                  <v>-0.2022822910302593</v>
                </pt>
                <pt idx="475">
                  <v>-0.2022822910302593</v>
                </pt>
                <pt idx="476">
                  <v>-0.2022822910302593</v>
                </pt>
                <pt idx="477">
                  <v>-0.2022822910302593</v>
                </pt>
                <pt idx="478">
                  <v>-0.2022822910302593</v>
                </pt>
                <pt idx="479">
                  <v>-0.2022822910302593</v>
                </pt>
                <pt idx="480">
                  <v>-0.2022822910302593</v>
                </pt>
                <pt idx="481">
                  <v>-0.2022822910302593</v>
                </pt>
                <pt idx="482">
                  <v>-0.2022822910302593</v>
                </pt>
                <pt idx="483">
                  <v>-0.2022822910302593</v>
                </pt>
                <pt idx="484">
                  <v>-0.2022822910302593</v>
                </pt>
                <pt idx="485">
                  <v>-0.2022822910302593</v>
                </pt>
                <pt idx="486">
                  <v>-0.2022822910302593</v>
                </pt>
                <pt idx="487">
                  <v>-0.2022822910302593</v>
                </pt>
                <pt idx="488">
                  <v>-0.2022822910302593</v>
                </pt>
                <pt idx="489">
                  <v>-0.2022822910302593</v>
                </pt>
                <pt idx="490">
                  <v>-0.2022822910302593</v>
                </pt>
                <pt idx="491">
                  <v>-0.2022822910302593</v>
                </pt>
                <pt idx="492">
                  <v>-0.2022822910302593</v>
                </pt>
                <pt idx="493">
                  <v>-0.2022822910302593</v>
                </pt>
                <pt idx="494">
                  <v>-0.2022822910302593</v>
                </pt>
                <pt idx="495">
                  <v>-0.2022822910302593</v>
                </pt>
                <pt idx="496">
                  <v>-0.2022822910302593</v>
                </pt>
                <pt idx="497">
                  <v>-0.2022822910302593</v>
                </pt>
                <pt idx="498">
                  <v>-0.2022822910302593</v>
                </pt>
                <pt idx="499">
                  <v>-0.2022822910302593</v>
                </pt>
                <pt idx="500">
                  <v>-0.2022822910302593</v>
                </pt>
                <pt idx="501">
                  <v>-0.2022822910302593</v>
                </pt>
                <pt idx="502">
                  <v>-0.2022822910302593</v>
                </pt>
                <pt idx="503">
                  <v>-0.2022822910302593</v>
                </pt>
                <pt idx="504">
                  <v>-0.2022822910302593</v>
                </pt>
                <pt idx="505">
                  <v>-0.2022822910302593</v>
                </pt>
                <pt idx="506">
                  <v>-0.2022822910302593</v>
                </pt>
                <pt idx="507">
                  <v>-0.2022822910302593</v>
                </pt>
                <pt idx="508">
                  <v>-0.2022822910302593</v>
                </pt>
                <pt idx="509">
                  <v>-0.2022822910302593</v>
                </pt>
                <pt idx="510">
                  <v>-0.2022822910302593</v>
                </pt>
                <pt idx="511">
                  <v>-0.2022822910302593</v>
                </pt>
                <pt idx="512">
                  <v>-0.2022822910302593</v>
                </pt>
                <pt idx="513">
                  <v>-0.2022822910302593</v>
                </pt>
                <pt idx="514">
                  <v>-0.2022822910302593</v>
                </pt>
                <pt idx="515">
                  <v>-0.2022822910302593</v>
                </pt>
                <pt idx="516">
                  <v>-0.2022822910302593</v>
                </pt>
                <pt idx="517">
                  <v>-0.2022822910302593</v>
                </pt>
                <pt idx="518">
                  <v>-0.2022822910302593</v>
                </pt>
                <pt idx="519">
                  <v>-0.2022822910302593</v>
                </pt>
                <pt idx="520">
                  <v>-0.2022822910302593</v>
                </pt>
                <pt idx="521">
                  <v>-0.2022822910302593</v>
                </pt>
                <pt idx="522">
                  <v>-0.2022822910302593</v>
                </pt>
                <pt idx="523">
                  <v>-0.2022822910302593</v>
                </pt>
                <pt idx="524">
                  <v>-0.2022822910302593</v>
                </pt>
                <pt idx="525">
                  <v>-0.2022822910302593</v>
                </pt>
                <pt idx="526">
                  <v>-0.2022822910302593</v>
                </pt>
                <pt idx="527">
                  <v>-0.2022822910302593</v>
                </pt>
                <pt idx="528">
                  <v>-0.2022822910302593</v>
                </pt>
                <pt idx="529">
                  <v>-0.2022822910302593</v>
                </pt>
                <pt idx="530">
                  <v>-0.2022822910302593</v>
                </pt>
                <pt idx="531">
                  <v>-0.2022822910302593</v>
                </pt>
                <pt idx="532">
                  <v>-0.2022822910302593</v>
                </pt>
                <pt idx="533">
                  <v>-0.2022822910302593</v>
                </pt>
                <pt idx="534">
                  <v>-0.2022822910302593</v>
                </pt>
                <pt idx="535">
                  <v>-0.2022822910302593</v>
                </pt>
                <pt idx="536">
                  <v>-0.2022822910302593</v>
                </pt>
                <pt idx="537">
                  <v>-0.2022822910302593</v>
                </pt>
                <pt idx="538">
                  <v>-0.2022822910302593</v>
                </pt>
                <pt idx="539">
                  <v>-0.2022822910302593</v>
                </pt>
                <pt idx="540">
                  <v>-0.2022822910302593</v>
                </pt>
                <pt idx="541">
                  <v>-0.2022822910302593</v>
                </pt>
                <pt idx="542">
                  <v>-0.2022822910302593</v>
                </pt>
                <pt idx="543">
                  <v>-0.2022822910302593</v>
                </pt>
                <pt idx="544">
                  <v>-0.2022822910302593</v>
                </pt>
                <pt idx="545">
                  <v>-0.2022822910302593</v>
                </pt>
                <pt idx="546">
                  <v>-0.2022822910302593</v>
                </pt>
                <pt idx="547">
                  <v>-0.2022822910302593</v>
                </pt>
                <pt idx="548">
                  <v>-0.2022822910302593</v>
                </pt>
                <pt idx="549">
                  <v>-0.2022822910302593</v>
                </pt>
                <pt idx="550">
                  <v>-0.2022822910302593</v>
                </pt>
                <pt idx="551">
                  <v>-0.2022822910302593</v>
                </pt>
                <pt idx="552">
                  <v>-0.2022822910302593</v>
                </pt>
                <pt idx="553">
                  <v>-0.2022822910302593</v>
                </pt>
                <pt idx="554">
                  <v>-0.2022822910302593</v>
                </pt>
                <pt idx="555">
                  <v>-0.2022822910302593</v>
                </pt>
                <pt idx="556">
                  <v>-0.2022822910302593</v>
                </pt>
                <pt idx="557">
                  <v>-0.2022822910302593</v>
                </pt>
                <pt idx="558">
                  <v>-0.2022822910302593</v>
                </pt>
                <pt idx="559">
                  <v>-0.2022822910302593</v>
                </pt>
                <pt idx="560">
                  <v>-0.2022822910302593</v>
                </pt>
                <pt idx="561">
                  <v>-0.2022822910302593</v>
                </pt>
                <pt idx="562">
                  <v>-0.2022822910302593</v>
                </pt>
                <pt idx="563">
                  <v>-0.2022822910302593</v>
                </pt>
                <pt idx="564">
                  <v>-0.2022822910302593</v>
                </pt>
                <pt idx="565">
                  <v>-0.2022822910302593</v>
                </pt>
                <pt idx="566">
                  <v>-0.2022822910302593</v>
                </pt>
                <pt idx="567">
                  <v>-0.2022822910302593</v>
                </pt>
                <pt idx="568">
                  <v>-0.2022822910302593</v>
                </pt>
                <pt idx="569">
                  <v>-0.2022822910302593</v>
                </pt>
                <pt idx="570">
                  <v>-0.2022822910302593</v>
                </pt>
                <pt idx="571">
                  <v>-0.2022822910302593</v>
                </pt>
                <pt idx="572">
                  <v>-0.2022822910302593</v>
                </pt>
                <pt idx="573">
                  <v>-0.2022822910302593</v>
                </pt>
                <pt idx="574">
                  <v>-0.2022822910302593</v>
                </pt>
                <pt idx="575">
                  <v>-0.2022822910302593</v>
                </pt>
                <pt idx="576">
                  <v>-0.2022822910302593</v>
                </pt>
                <pt idx="577">
                  <v>-0.2022822910302593</v>
                </pt>
                <pt idx="578">
                  <v>-0.2022822910302593</v>
                </pt>
                <pt idx="579">
                  <v>-0.2022822910302593</v>
                </pt>
                <pt idx="580">
                  <v>-0.2022822910302593</v>
                </pt>
                <pt idx="581">
                  <v>-0.2022822910302593</v>
                </pt>
                <pt idx="582">
                  <v>-0.2022822910302593</v>
                </pt>
                <pt idx="583">
                  <v>-0.2022822910302593</v>
                </pt>
                <pt idx="584">
                  <v>-0.2022822910302593</v>
                </pt>
                <pt idx="585">
                  <v>-0.2022822910302593</v>
                </pt>
                <pt idx="586">
                  <v>-0.2022822910302593</v>
                </pt>
                <pt idx="587">
                  <v>-0.2022822910302593</v>
                </pt>
                <pt idx="588">
                  <v>-0.2022822910302593</v>
                </pt>
                <pt idx="589">
                  <v>-0.2022822910302593</v>
                </pt>
                <pt idx="590">
                  <v>-0.2022822910302593</v>
                </pt>
                <pt idx="591">
                  <v>-0.2022822910302593</v>
                </pt>
                <pt idx="592">
                  <v>-0.2022822910302593</v>
                </pt>
                <pt idx="593">
                  <v>-0.2022822910302593</v>
                </pt>
                <pt idx="594">
                  <v>-0.2022822910302593</v>
                </pt>
                <pt idx="595">
                  <v>-0.2022822910302593</v>
                </pt>
                <pt idx="596">
                  <v>-0.2022822910302593</v>
                </pt>
                <pt idx="597">
                  <v>-0.2022822910302593</v>
                </pt>
                <pt idx="598">
                  <v>-0.2022822910302593</v>
                </pt>
                <pt idx="599">
                  <v>-0.2022822910302593</v>
                </pt>
                <pt idx="600">
                  <v>-0.2022822910302593</v>
                </pt>
                <pt idx="601">
                  <v>-0.2022822910302593</v>
                </pt>
                <pt idx="602">
                  <v>-0.2022822910302593</v>
                </pt>
                <pt idx="603">
                  <v>-0.2022822910302593</v>
                </pt>
                <pt idx="604">
                  <v>-0.2022822910302593</v>
                </pt>
                <pt idx="605">
                  <v>-0.2022822910302593</v>
                </pt>
                <pt idx="606">
                  <v>-0.2022822910302593</v>
                </pt>
                <pt idx="607">
                  <v>-0.2022822910302593</v>
                </pt>
                <pt idx="608">
                  <v>-0.2022822910302593</v>
                </pt>
                <pt idx="609">
                  <v>-0.2022822910302593</v>
                </pt>
                <pt idx="610">
                  <v>-0.2022822910302593</v>
                </pt>
                <pt idx="611">
                  <v>-0.2022822910302593</v>
                </pt>
                <pt idx="612">
                  <v>-0.2022822910302593</v>
                </pt>
                <pt idx="613">
                  <v>-0.2022822910302593</v>
                </pt>
                <pt idx="614">
                  <v>-0.2022822910302593</v>
                </pt>
                <pt idx="615">
                  <v>-0.2022822910302593</v>
                </pt>
                <pt idx="616">
                  <v>-0.2022822910302593</v>
                </pt>
                <pt idx="617">
                  <v>-0.2022822910302593</v>
                </pt>
                <pt idx="618">
                  <v>-0.2022822910302593</v>
                </pt>
                <pt idx="619">
                  <v>-0.2022822910302593</v>
                </pt>
                <pt idx="620">
                  <v>-0.2022822910302593</v>
                </pt>
                <pt idx="621">
                  <v>-0.2022822910302593</v>
                </pt>
                <pt idx="622">
                  <v>-0.2022822910302593</v>
                </pt>
                <pt idx="623">
                  <v>-0.2022822910302593</v>
                </pt>
                <pt idx="624">
                  <v>-0.2022822910302593</v>
                </pt>
                <pt idx="625">
                  <v>-0.2022822910302593</v>
                </pt>
                <pt idx="626">
                  <v>-0.2022822910302593</v>
                </pt>
                <pt idx="627">
                  <v>-0.2022822910302593</v>
                </pt>
                <pt idx="628">
                  <v>-0.2022822910302593</v>
                </pt>
                <pt idx="629">
                  <v>-0.2022822910302593</v>
                </pt>
                <pt idx="630">
                  <v>-0.2022822910302593</v>
                </pt>
                <pt idx="631">
                  <v>-0.2022822910302593</v>
                </pt>
                <pt idx="632">
                  <v>-0.2022822910302593</v>
                </pt>
                <pt idx="633">
                  <v>-0.2022822910302593</v>
                </pt>
                <pt idx="634">
                  <v>-0.2022822910302593</v>
                </pt>
                <pt idx="635">
                  <v>-0.2022822910302593</v>
                </pt>
                <pt idx="636">
                  <v>-0.2022822910302593</v>
                </pt>
                <pt idx="637">
                  <v>-0.2022822910302593</v>
                </pt>
                <pt idx="638">
                  <v>-0.2022822910302593</v>
                </pt>
                <pt idx="639">
                  <v>-0.2022822910302593</v>
                </pt>
                <pt idx="640">
                  <v>-0.2022822910302593</v>
                </pt>
                <pt idx="641">
                  <v>-0.2022822910302593</v>
                </pt>
                <pt idx="642">
                  <v>-0.2022822910302593</v>
                </pt>
                <pt idx="643">
                  <v>-0.2022822910302593</v>
                </pt>
                <pt idx="644">
                  <v>-0.2022822910302593</v>
                </pt>
                <pt idx="645">
                  <v>-0.2022822910302593</v>
                </pt>
                <pt idx="646">
                  <v>-0.2022822910302593</v>
                </pt>
                <pt idx="647">
                  <v>-0.2022822910302593</v>
                </pt>
                <pt idx="648">
                  <v>-0.2022822910302593</v>
                </pt>
                <pt idx="649">
                  <v>-0.2022822910302593</v>
                </pt>
                <pt idx="650">
                  <v>-0.2022822910302593</v>
                </pt>
                <pt idx="651">
                  <v>-0.2022822910302593</v>
                </pt>
                <pt idx="652">
                  <v>-0.2022822910302593</v>
                </pt>
                <pt idx="653">
                  <v>-0.2022822910302593</v>
                </pt>
                <pt idx="654">
                  <v>-0.2022822910302593</v>
                </pt>
                <pt idx="655">
                  <v>-0.2022822910302593</v>
                </pt>
                <pt idx="656">
                  <v>-0.2022822910302593</v>
                </pt>
                <pt idx="657">
                  <v>-0.2022822910302593</v>
                </pt>
                <pt idx="658">
                  <v>-0.2022822910302593</v>
                </pt>
                <pt idx="659">
                  <v>-0.2022822910302593</v>
                </pt>
                <pt idx="660">
                  <v>-0.2022822910302593</v>
                </pt>
                <pt idx="661">
                  <v>-0.2022822910302593</v>
                </pt>
                <pt idx="662">
                  <v>-0.2022822910302593</v>
                </pt>
                <pt idx="663">
                  <v>-0.2022822910302593</v>
                </pt>
                <pt idx="664">
                  <v>-0.2022822910302593</v>
                </pt>
                <pt idx="665">
                  <v>-0.2022822910302593</v>
                </pt>
                <pt idx="666">
                  <v>-0.2022822910302593</v>
                </pt>
                <pt idx="667">
                  <v>-0.2022822910302593</v>
                </pt>
                <pt idx="668">
                  <v>-0.2022822910302593</v>
                </pt>
                <pt idx="669">
                  <v>-0.2022822910302593</v>
                </pt>
                <pt idx="670">
                  <v>-0.2022822910302593</v>
                </pt>
                <pt idx="671">
                  <v>-0.2022822910302593</v>
                </pt>
                <pt idx="672">
                  <v>-0.2022822910302593</v>
                </pt>
                <pt idx="673">
                  <v>-0.2022822910302593</v>
                </pt>
                <pt idx="674">
                  <v>-0.2022822910302593</v>
                </pt>
                <pt idx="675">
                  <v>-0.2022822910302593</v>
                </pt>
                <pt idx="676">
                  <v>-0.2022822910302593</v>
                </pt>
                <pt idx="677">
                  <v>-0.2022822910302593</v>
                </pt>
                <pt idx="678">
                  <v>-0.2022822910302593</v>
                </pt>
                <pt idx="679">
                  <v>-0.2022822910302593</v>
                </pt>
                <pt idx="680">
                  <v>-0.2022822910302593</v>
                </pt>
                <pt idx="681">
                  <v>-0.2022822910302593</v>
                </pt>
                <pt idx="682">
                  <v>-0.2022822910302593</v>
                </pt>
                <pt idx="683">
                  <v>-0.2022822910302593</v>
                </pt>
                <pt idx="684">
                  <v>-0.2022822910302593</v>
                </pt>
                <pt idx="685">
                  <v>-0.2022822910302593</v>
                </pt>
                <pt idx="686">
                  <v>-0.2022822910302593</v>
                </pt>
                <pt idx="687">
                  <v>-0.2022822910302593</v>
                </pt>
                <pt idx="688">
                  <v>-0.2022822910302593</v>
                </pt>
                <pt idx="689">
                  <v>-0.2022822910302593</v>
                </pt>
                <pt idx="690">
                  <v>-0.2022822910302593</v>
                </pt>
                <pt idx="691">
                  <v>-0.2022822910302593</v>
                </pt>
                <pt idx="692">
                  <v>-0.2022822910302593</v>
                </pt>
                <pt idx="693">
                  <v>-0.2022822910302593</v>
                </pt>
                <pt idx="694">
                  <v>-0.2022822910302593</v>
                </pt>
                <pt idx="695">
                  <v>-0.2022822910302593</v>
                </pt>
                <pt idx="696">
                  <v>-0.2022822910302593</v>
                </pt>
                <pt idx="697">
                  <v>-0.2022822910302593</v>
                </pt>
                <pt idx="698">
                  <v>-0.2022822910302593</v>
                </pt>
                <pt idx="699">
                  <v>-0.2022822910302593</v>
                </pt>
                <pt idx="700">
                  <v>-0.2022822910302593</v>
                </pt>
                <pt idx="701">
                  <v>-0.2022822910302593</v>
                </pt>
                <pt idx="702">
                  <v>-0.2022822910302593</v>
                </pt>
                <pt idx="703">
                  <v>-0.2022822910302593</v>
                </pt>
                <pt idx="704">
                  <v>-0.2022822910302593</v>
                </pt>
                <pt idx="705">
                  <v>-0.2022822910302593</v>
                </pt>
                <pt idx="706">
                  <v>-0.2022822910302593</v>
                </pt>
                <pt idx="707">
                  <v>-0.2022822910302593</v>
                </pt>
                <pt idx="708">
                  <v>-0.2022822910302593</v>
                </pt>
                <pt idx="709">
                  <v>-0.2022822910302593</v>
                </pt>
                <pt idx="710">
                  <v>-0.2022822910302593</v>
                </pt>
                <pt idx="711">
                  <v>-0.2022822910302593</v>
                </pt>
                <pt idx="712">
                  <v>-0.2022822910302593</v>
                </pt>
                <pt idx="713">
                  <v>-0.2022822910302593</v>
                </pt>
                <pt idx="714">
                  <v>-0.2022822910302593</v>
                </pt>
                <pt idx="715">
                  <v>-0.2022822910302593</v>
                </pt>
                <pt idx="716">
                  <v>-0.2022822910302593</v>
                </pt>
                <pt idx="717">
                  <v>-0.2022822910302593</v>
                </pt>
                <pt idx="718">
                  <v>-0.2022822910302593</v>
                </pt>
                <pt idx="719">
                  <v>-0.2022822910302593</v>
                </pt>
                <pt idx="720">
                  <v>-0.2022822910302593</v>
                </pt>
                <pt idx="721">
                  <v>-0.2022822910302593</v>
                </pt>
                <pt idx="722">
                  <v>-0.2022822910302593</v>
                </pt>
                <pt idx="723">
                  <v>-0.2022822910302593</v>
                </pt>
                <pt idx="724">
                  <v>-0.2022822910302593</v>
                </pt>
                <pt idx="725">
                  <v>-0.2022822910302593</v>
                </pt>
                <pt idx="726">
                  <v>-0.2022822910302593</v>
                </pt>
                <pt idx="727">
                  <v>-0.2022822910302593</v>
                </pt>
                <pt idx="728">
                  <v>-0.2022822910302593</v>
                </pt>
                <pt idx="729">
                  <v>-0.2022822910302593</v>
                </pt>
                <pt idx="730">
                  <v>-0.2022822910302593</v>
                </pt>
                <pt idx="731">
                  <v>-0.2022822910302593</v>
                </pt>
                <pt idx="732">
                  <v>-0.2022822910302593</v>
                </pt>
                <pt idx="733">
                  <v>-0.2022822910302593</v>
                </pt>
                <pt idx="734">
                  <v>-0.2022822910302593</v>
                </pt>
                <pt idx="735">
                  <v>-0.2022822910302593</v>
                </pt>
                <pt idx="736">
                  <v>-0.2022822910302593</v>
                </pt>
                <pt idx="737">
                  <v>-0.2022822910302593</v>
                </pt>
                <pt idx="738">
                  <v>-0.2022822910302593</v>
                </pt>
                <pt idx="739">
                  <v>-0.2022822910302593</v>
                </pt>
                <pt idx="740">
                  <v>-0.2022822910302593</v>
                </pt>
                <pt idx="741">
                  <v>-0.2022822910302593</v>
                </pt>
                <pt idx="742">
                  <v>-0.2022822910302593</v>
                </pt>
                <pt idx="743">
                  <v>-0.2022822910302593</v>
                </pt>
                <pt idx="744">
                  <v>-0.2022822910302593</v>
                </pt>
                <pt idx="745">
                  <v>-0.2022822910302593</v>
                </pt>
                <pt idx="746">
                  <v>-0.2022822910302593</v>
                </pt>
                <pt idx="747">
                  <v>-0.2022822910302593</v>
                </pt>
                <pt idx="748">
                  <v>-0.2022822910302593</v>
                </pt>
                <pt idx="749">
                  <v>-0.2022822910302593</v>
                </pt>
                <pt idx="750">
                  <v>-0.2022822910302593</v>
                </pt>
                <pt idx="751">
                  <v>-0.2022822910302593</v>
                </pt>
                <pt idx="752">
                  <v>-0.2022822910302593</v>
                </pt>
                <pt idx="753">
                  <v>-0.2022822910302593</v>
                </pt>
                <pt idx="754">
                  <v>-0.2022822910302593</v>
                </pt>
                <pt idx="755">
                  <v>-0.2022822910302593</v>
                </pt>
                <pt idx="756">
                  <v>-0.2022822910302593</v>
                </pt>
                <pt idx="757">
                  <v>-0.2022822910302593</v>
                </pt>
                <pt idx="758">
                  <v>-0.2022822910302593</v>
                </pt>
                <pt idx="759">
                  <v>-0.2022822910302593</v>
                </pt>
                <pt idx="760">
                  <v>-0.2022822910302593</v>
                </pt>
                <pt idx="761">
                  <v>-0.2022822910302593</v>
                </pt>
                <pt idx="762">
                  <v>-0.2022822910302593</v>
                </pt>
                <pt idx="763">
                  <v>-0.2022822910302593</v>
                </pt>
                <pt idx="764">
                  <v>-0.2022822910302593</v>
                </pt>
                <pt idx="765">
                  <v>-0.2022822910302593</v>
                </pt>
                <pt idx="766">
                  <v>-0.2022822910302593</v>
                </pt>
                <pt idx="767">
                  <v>-0.2022822910302593</v>
                </pt>
                <pt idx="768">
                  <v>-0.2022822910302593</v>
                </pt>
                <pt idx="769">
                  <v>-0.2022822910302593</v>
                </pt>
                <pt idx="770">
                  <v>-0.2022822910302593</v>
                </pt>
                <pt idx="771">
                  <v>-0.2022822910302593</v>
                </pt>
                <pt idx="772">
                  <v>-0.2022822910302593</v>
                </pt>
                <pt idx="773">
                  <v>-0.2022822910302593</v>
                </pt>
                <pt idx="774">
                  <v>-0.2022822910302593</v>
                </pt>
                <pt idx="775">
                  <v>-0.2022822910302593</v>
                </pt>
                <pt idx="776">
                  <v>-0.2022822910302593</v>
                </pt>
                <pt idx="777">
                  <v>-0.2022822910302593</v>
                </pt>
                <pt idx="778">
                  <v>-0.2022822910302593</v>
                </pt>
                <pt idx="779">
                  <v>-0.2022822910302593</v>
                </pt>
                <pt idx="780">
                  <v>-0.2022822910302593</v>
                </pt>
                <pt idx="781">
                  <v>-0.2022822910302593</v>
                </pt>
                <pt idx="782">
                  <v>-0.2022822910302593</v>
                </pt>
                <pt idx="783">
                  <v>-0.2022822910302593</v>
                </pt>
                <pt idx="784">
                  <v>-0.2022822910302593</v>
                </pt>
                <pt idx="785">
                  <v>-0.2022822910302593</v>
                </pt>
                <pt idx="786">
                  <v>-0.2022822910302593</v>
                </pt>
                <pt idx="787">
                  <v>-0.2022822910302593</v>
                </pt>
                <pt idx="788">
                  <v>-0.2022822910302593</v>
                </pt>
                <pt idx="789">
                  <v>-0.2022822910302593</v>
                </pt>
                <pt idx="790">
                  <v>-0.2022822910302593</v>
                </pt>
                <pt idx="791">
                  <v>-0.2022822910302593</v>
                </pt>
                <pt idx="792">
                  <v>-0.2022822910302593</v>
                </pt>
                <pt idx="793">
                  <v>-0.2022822910302593</v>
                </pt>
                <pt idx="794">
                  <v>-0.2022822910302593</v>
                </pt>
                <pt idx="795">
                  <v>-0.2022822910302593</v>
                </pt>
                <pt idx="796">
                  <v>-0.2022822910302593</v>
                </pt>
                <pt idx="797">
                  <v>-0.2022822910302593</v>
                </pt>
                <pt idx="798">
                  <v>-0.2022822910302593</v>
                </pt>
                <pt idx="799">
                  <v>-0.2022822910302593</v>
                </pt>
                <pt idx="800">
                  <v>-0.2022822910302593</v>
                </pt>
                <pt idx="801">
                  <v>-0.2022822910302593</v>
                </pt>
                <pt idx="802">
                  <v>-0.2022822910302593</v>
                </pt>
                <pt idx="803">
                  <v>-0.2022822910302593</v>
                </pt>
                <pt idx="804">
                  <v>-0.2022822910302593</v>
                </pt>
                <pt idx="805">
                  <v>-0.2022822910302593</v>
                </pt>
                <pt idx="806">
                  <v>-0.2022822910302593</v>
                </pt>
                <pt idx="807">
                  <v>-0.2022822910302593</v>
                </pt>
                <pt idx="808">
                  <v>-0.2022822910302593</v>
                </pt>
                <pt idx="809">
                  <v>-0.2022822910302593</v>
                </pt>
                <pt idx="810">
                  <v>-0.2022822910302593</v>
                </pt>
                <pt idx="811">
                  <v>-0.2022822910302593</v>
                </pt>
                <pt idx="812">
                  <v>-0.2022822910302593</v>
                </pt>
                <pt idx="813">
                  <v>-0.2022822910302593</v>
                </pt>
                <pt idx="814">
                  <v>-0.2022822910302593</v>
                </pt>
                <pt idx="815">
                  <v>-0.2022822910302593</v>
                </pt>
                <pt idx="816">
                  <v>-0.2022822910302593</v>
                </pt>
                <pt idx="817">
                  <v>-0.2022822910302593</v>
                </pt>
                <pt idx="818">
                  <v>-0.2022822910302593</v>
                </pt>
                <pt idx="819">
                  <v>-0.2022822910302593</v>
                </pt>
                <pt idx="820">
                  <v>-0.2022822910302593</v>
                </pt>
                <pt idx="821">
                  <v>-0.2022822910302593</v>
                </pt>
                <pt idx="822">
                  <v>-0.2022822910302593</v>
                </pt>
                <pt idx="823">
                  <v>-0.2022822910302593</v>
                </pt>
                <pt idx="824">
                  <v>-0.2022822910302593</v>
                </pt>
                <pt idx="825">
                  <v>-0.2022822910302593</v>
                </pt>
                <pt idx="826">
                  <v>-0.2022822910302593</v>
                </pt>
                <pt idx="827">
                  <v>-0.2022822910302593</v>
                </pt>
                <pt idx="828">
                  <v>-0.2022822910302593</v>
                </pt>
                <pt idx="829">
                  <v>-0.2022822910302593</v>
                </pt>
                <pt idx="830">
                  <v>-0.2022822910302593</v>
                </pt>
                <pt idx="831">
                  <v>-0.2022822910302593</v>
                </pt>
                <pt idx="832">
                  <v>-0.2022822910302593</v>
                </pt>
                <pt idx="833">
                  <v>-0.2022822910302593</v>
                </pt>
                <pt idx="834">
                  <v>-0.2022822910302593</v>
                </pt>
                <pt idx="835">
                  <v>-0.2022822910302593</v>
                </pt>
                <pt idx="836">
                  <v>-0.2022822910302593</v>
                </pt>
                <pt idx="837">
                  <v>-0.2022822910302593</v>
                </pt>
                <pt idx="838">
                  <v>-0.2022822910302593</v>
                </pt>
                <pt idx="839">
                  <v>-0.2022822910302593</v>
                </pt>
                <pt idx="840">
                  <v>-0.2022822910302593</v>
                </pt>
                <pt idx="841">
                  <v>-0.2022822910302593</v>
                </pt>
                <pt idx="842">
                  <v>-0.2022822910302593</v>
                </pt>
                <pt idx="843">
                  <v>-0.2022822910302593</v>
                </pt>
                <pt idx="844">
                  <v>-0.2022822910302593</v>
                </pt>
                <pt idx="845">
                  <v>-0.2022822910302593</v>
                </pt>
                <pt idx="846">
                  <v>-0.2022822910302593</v>
                </pt>
                <pt idx="847">
                  <v>-0.2022822910302593</v>
                </pt>
                <pt idx="848">
                  <v>-0.2022822910302593</v>
                </pt>
                <pt idx="849">
                  <v>-0.2022822910302593</v>
                </pt>
                <pt idx="850">
                  <v>-0.2022822910302593</v>
                </pt>
                <pt idx="851">
                  <v>-0.2022822910302593</v>
                </pt>
                <pt idx="852">
                  <v>-0.2022822910302593</v>
                </pt>
                <pt idx="853">
                  <v>-0.2022822910302593</v>
                </pt>
                <pt idx="854">
                  <v>-0.2022822910302593</v>
                </pt>
                <pt idx="855">
                  <v>-0.2022822910302593</v>
                </pt>
                <pt idx="856">
                  <v>-0.2022822910302593</v>
                </pt>
                <pt idx="857">
                  <v>-0.2022822910302593</v>
                </pt>
                <pt idx="858">
                  <v>-0.2022822910302593</v>
                </pt>
                <pt idx="859">
                  <v>-0.2022822910302593</v>
                </pt>
                <pt idx="860">
                  <v>-0.2022822910302593</v>
                </pt>
                <pt idx="861">
                  <v>-0.2022822910302593</v>
                </pt>
                <pt idx="862">
                  <v>-0.2022822910302593</v>
                </pt>
                <pt idx="863">
                  <v>-0.2022822910302593</v>
                </pt>
                <pt idx="864">
                  <v>-0.2022822910302593</v>
                </pt>
                <pt idx="865">
                  <v>-0.2022822910302593</v>
                </pt>
                <pt idx="866">
                  <v>-0.2022822910302593</v>
                </pt>
                <pt idx="867">
                  <v>-0.2022822910302593</v>
                </pt>
                <pt idx="868">
                  <v>-0.2022822910302593</v>
                </pt>
                <pt idx="869">
                  <v>-0.2022822910302593</v>
                </pt>
                <pt idx="870">
                  <v>-0.2022822910302593</v>
                </pt>
                <pt idx="871">
                  <v>-0.2022822910302593</v>
                </pt>
                <pt idx="872">
                  <v>-0.2022822910302593</v>
                </pt>
                <pt idx="873">
                  <v>-0.2022822910302593</v>
                </pt>
                <pt idx="874">
                  <v>-0.2022822910302593</v>
                </pt>
                <pt idx="875">
                  <v>-0.2022822910302593</v>
                </pt>
                <pt idx="876">
                  <v>-0.2022822910302593</v>
                </pt>
                <pt idx="877">
                  <v>-0.2022822910302593</v>
                </pt>
                <pt idx="878">
                  <v>-0.2022822910302593</v>
                </pt>
                <pt idx="879">
                  <v>-0.2022822910302593</v>
                </pt>
                <pt idx="880">
                  <v>-0.2022822910302593</v>
                </pt>
                <pt idx="881">
                  <v>-0.2022822910302593</v>
                </pt>
                <pt idx="882">
                  <v>-0.2022822910302593</v>
                </pt>
                <pt idx="883">
                  <v>-0.2022822910302593</v>
                </pt>
                <pt idx="884">
                  <v>-0.2022822910302593</v>
                </pt>
                <pt idx="885">
                  <v>-0.2022822910302593</v>
                </pt>
                <pt idx="886">
                  <v>-0.2022822910302593</v>
                </pt>
                <pt idx="887">
                  <v>-0.2022822910302593</v>
                </pt>
                <pt idx="888">
                  <v>-0.2022822910302593</v>
                </pt>
                <pt idx="889">
                  <v>-0.2022822910302593</v>
                </pt>
                <pt idx="890">
                  <v>-0.2022822910302593</v>
                </pt>
                <pt idx="891">
                  <v>-0.2022822910302593</v>
                </pt>
                <pt idx="892">
                  <v>-0.2022822910302593</v>
                </pt>
                <pt idx="893">
                  <v>-0.2022822910302593</v>
                </pt>
                <pt idx="894">
                  <v>-0.2022822910302593</v>
                </pt>
                <pt idx="895">
                  <v>-0.2022822910302593</v>
                </pt>
                <pt idx="896">
                  <v>-0.2022822910302593</v>
                </pt>
                <pt idx="897">
                  <v>-0.2022822910302593</v>
                </pt>
                <pt idx="898">
                  <v>-0.2022822910302593</v>
                </pt>
                <pt idx="899">
                  <v>-0.2022822910302593</v>
                </pt>
                <pt idx="900">
                  <v>-0.2022822910302593</v>
                </pt>
                <pt idx="901">
                  <v>-0.2022822910302593</v>
                </pt>
                <pt idx="902">
                  <v>-0.2022822910302593</v>
                </pt>
                <pt idx="903">
                  <v>-0.2022822910302593</v>
                </pt>
                <pt idx="904">
                  <v>-0.2022822910302593</v>
                </pt>
                <pt idx="905">
                  <v>-0.2022822910302593</v>
                </pt>
                <pt idx="906">
                  <v>-0.2022822910302593</v>
                </pt>
                <pt idx="907">
                  <v>-0.2022822910302593</v>
                </pt>
                <pt idx="908">
                  <v>-0.2022822910302593</v>
                </pt>
                <pt idx="909">
                  <v>-0.2022822910302593</v>
                </pt>
                <pt idx="910">
                  <v>-0.2022822910302593</v>
                </pt>
                <pt idx="911">
                  <v>-0.2022822910302593</v>
                </pt>
                <pt idx="912">
                  <v>-0.2022822910302593</v>
                </pt>
                <pt idx="913">
                  <v>-0.2022822910302593</v>
                </pt>
                <pt idx="914">
                  <v>-0.2022822910302593</v>
                </pt>
                <pt idx="915">
                  <v>-0.2022822910302593</v>
                </pt>
                <pt idx="916">
                  <v>-0.2022822910302593</v>
                </pt>
                <pt idx="917">
                  <v>-0.2022822910302593</v>
                </pt>
                <pt idx="918">
                  <v>-0.2022822910302593</v>
                </pt>
                <pt idx="919">
                  <v>-0.2022822910302593</v>
                </pt>
                <pt idx="920">
                  <v>-0.2022822910302593</v>
                </pt>
                <pt idx="921">
                  <v>-0.2022822910302593</v>
                </pt>
                <pt idx="922">
                  <v>-0.2022822910302593</v>
                </pt>
                <pt idx="923">
                  <v>-0.2022822910302593</v>
                </pt>
                <pt idx="924">
                  <v>-0.2022822910302593</v>
                </pt>
                <pt idx="925">
                  <v>-0.2022822910302593</v>
                </pt>
                <pt idx="926">
                  <v>-0.2022822910302593</v>
                </pt>
                <pt idx="927">
                  <v>-0.2022822910302593</v>
                </pt>
                <pt idx="928">
                  <v>-0.2022822910302593</v>
                </pt>
                <pt idx="929">
                  <v>-0.2022822910302593</v>
                </pt>
                <pt idx="930">
                  <v>-0.2022822910302593</v>
                </pt>
                <pt idx="931">
                  <v>-0.2022822910302593</v>
                </pt>
                <pt idx="932">
                  <v>-0.2022822910302593</v>
                </pt>
                <pt idx="933">
                  <v>-0.2022822910302593</v>
                </pt>
                <pt idx="934">
                  <v>-0.2022822910302593</v>
                </pt>
                <pt idx="935">
                  <v>-0.2022822910302593</v>
                </pt>
                <pt idx="936">
                  <v>-0.2022822910302593</v>
                </pt>
                <pt idx="937">
                  <v>-0.2022822910302593</v>
                </pt>
                <pt idx="938">
                  <v>-0.2022822910302593</v>
                </pt>
                <pt idx="939">
                  <v>-0.2022822910302593</v>
                </pt>
                <pt idx="940">
                  <v>-0.2022822910302593</v>
                </pt>
                <pt idx="941">
                  <v>-0.2022822910302593</v>
                </pt>
                <pt idx="942">
                  <v>-0.2022822910302593</v>
                </pt>
                <pt idx="943">
                  <v>-0.2022822910302593</v>
                </pt>
                <pt idx="944">
                  <v>-0.2022822910302593</v>
                </pt>
                <pt idx="945">
                  <v>-0.2022822910302593</v>
                </pt>
                <pt idx="946">
                  <v>-0.2022822910302593</v>
                </pt>
                <pt idx="947">
                  <v>-0.2022822910302593</v>
                </pt>
                <pt idx="948">
                  <v>-0.2022822910302593</v>
                </pt>
                <pt idx="949">
                  <v>-0.2022822910302593</v>
                </pt>
                <pt idx="950">
                  <v>-0.2022822910302593</v>
                </pt>
                <pt idx="951">
                  <v>-0.2022822910302593</v>
                </pt>
                <pt idx="952">
                  <v>-0.2022822910302593</v>
                </pt>
                <pt idx="953">
                  <v>-0.2022822910302593</v>
                </pt>
                <pt idx="954">
                  <v>-0.2022822910302593</v>
                </pt>
                <pt idx="955">
                  <v>-0.2022822910302593</v>
                </pt>
                <pt idx="956">
                  <v>-0.2022822910302593</v>
                </pt>
                <pt idx="957">
                  <v>-0.2022822910302593</v>
                </pt>
                <pt idx="958">
                  <v>-0.2022822910302593</v>
                </pt>
                <pt idx="959">
                  <v>-0.2022822910302593</v>
                </pt>
                <pt idx="960">
                  <v>-0.2022822910302593</v>
                </pt>
                <pt idx="961">
                  <v>-0.2022822910302593</v>
                </pt>
                <pt idx="962">
                  <v>-0.2022822910302593</v>
                </pt>
                <pt idx="963">
                  <v>-0.2022822910302593</v>
                </pt>
                <pt idx="964">
                  <v>-0.2022822910302593</v>
                </pt>
                <pt idx="965">
                  <v>-0.2022822910302593</v>
                </pt>
                <pt idx="966">
                  <v>-0.2022822910302593</v>
                </pt>
                <pt idx="967">
                  <v>-0.2022822910302593</v>
                </pt>
                <pt idx="968">
                  <v>-0.2022822910302593</v>
                </pt>
                <pt idx="969">
                  <v>-0.2022822910302593</v>
                </pt>
                <pt idx="970">
                  <v>-0.2022822910302593</v>
                </pt>
                <pt idx="971">
                  <v>-0.2022822910302593</v>
                </pt>
                <pt idx="972">
                  <v>-0.2022822910302593</v>
                </pt>
                <pt idx="973">
                  <v>-0.2022822910302593</v>
                </pt>
                <pt idx="974">
                  <v>-0.2022822910302593</v>
                </pt>
                <pt idx="975">
                  <v>-0.2022822910302593</v>
                </pt>
                <pt idx="976">
                  <v>-0.2022822910302593</v>
                </pt>
                <pt idx="977">
                  <v>-0.2022822910302593</v>
                </pt>
                <pt idx="978">
                  <v>-0.2022822910302593</v>
                </pt>
                <pt idx="979">
                  <v>-0.2022822910302593</v>
                </pt>
                <pt idx="980">
                  <v>-0.2022822910302593</v>
                </pt>
                <pt idx="981">
                  <v>-0.2022822910302593</v>
                </pt>
                <pt idx="982">
                  <v>-0.2022822910302593</v>
                </pt>
                <pt idx="983">
                  <v>-0.2022822910302593</v>
                </pt>
                <pt idx="984">
                  <v>-0.2022822910302593</v>
                </pt>
                <pt idx="985">
                  <v>-0.2022822910302593</v>
                </pt>
                <pt idx="986">
                  <v>-0.2022822910302593</v>
                </pt>
                <pt idx="987">
                  <v>-0.2022822910302593</v>
                </pt>
                <pt idx="988">
                  <v>-0.2022822910302593</v>
                </pt>
                <pt idx="989">
                  <v>-0.2022822910302593</v>
                </pt>
                <pt idx="990">
                  <v>-0.2022822910302593</v>
                </pt>
                <pt idx="991">
                  <v>-0.2022822910302593</v>
                </pt>
                <pt idx="992">
                  <v>-0.2022822910302593</v>
                </pt>
                <pt idx="993">
                  <v>-0.2022822910302593</v>
                </pt>
                <pt idx="994">
                  <v>-0.2022822910302593</v>
                </pt>
                <pt idx="995">
                  <v>-0.2022822910302593</v>
                </pt>
                <pt idx="996">
                  <v>-0.2022822910302593</v>
                </pt>
                <pt idx="997">
                  <v>-0.2022822910302593</v>
                </pt>
                <pt idx="998">
                  <v>-0.2022822910302593</v>
                </pt>
                <pt idx="999">
                  <v>-0.2022822910302593</v>
                </pt>
                <pt idx="1000">
                  <v>-0.2022822910302593</v>
                </pt>
                <pt idx="1001">
                  <v>-0.2022822910302593</v>
                </pt>
                <pt idx="1002">
                  <v>-0.2022822910302593</v>
                </pt>
                <pt idx="1003">
                  <v>-0.2022822910302593</v>
                </pt>
                <pt idx="1004">
                  <v>-0.2022822910302593</v>
                </pt>
                <pt idx="1005">
                  <v>-0.2022822910302593</v>
                </pt>
                <pt idx="1006">
                  <v>-0.2022822910302593</v>
                </pt>
                <pt idx="1007">
                  <v>-0.2022822910302593</v>
                </pt>
                <pt idx="1008">
                  <v>-0.2022822910302593</v>
                </pt>
                <pt idx="1009">
                  <v>-0.2022822910302593</v>
                </pt>
                <pt idx="1010">
                  <v>-0.2022822910302593</v>
                </pt>
                <pt idx="1011">
                  <v>-0.2022822910302593</v>
                </pt>
                <pt idx="1012">
                  <v>-0.2022822910302593</v>
                </pt>
                <pt idx="1013">
                  <v>-0.2022822910302593</v>
                </pt>
                <pt idx="1014">
                  <v>-0.2022822910302593</v>
                </pt>
                <pt idx="1015">
                  <v>-0.2022822910302593</v>
                </pt>
                <pt idx="1016">
                  <v>-0.2022822910302593</v>
                </pt>
                <pt idx="1017">
                  <v>-0.2022822910302593</v>
                </pt>
                <pt idx="1018">
                  <v>-0.2022822910302593</v>
                </pt>
                <pt idx="1019">
                  <v>-0.2022822910302593</v>
                </pt>
                <pt idx="1020">
                  <v>-0.2022822910302593</v>
                </pt>
                <pt idx="1021">
                  <v>-0.2022822910302593</v>
                </pt>
                <pt idx="1022">
                  <v>-0.2022822910302593</v>
                </pt>
                <pt idx="1023">
                  <v>-0.2022822910302593</v>
                </pt>
                <pt idx="1024">
                  <v>-0.2022822910302593</v>
                </pt>
                <pt idx="1025">
                  <v>-0.2022822910302593</v>
                </pt>
                <pt idx="1026">
                  <v>-0.2022822910302593</v>
                </pt>
                <pt idx="1027">
                  <v>-0.2022822910302593</v>
                </pt>
                <pt idx="1028">
                  <v>-0.2022822910302593</v>
                </pt>
                <pt idx="1029">
                  <v>-0.2022822910302593</v>
                </pt>
                <pt idx="1030">
                  <v>-0.2022822910302593</v>
                </pt>
                <pt idx="1031">
                  <v>-0.2022822910302593</v>
                </pt>
                <pt idx="1032">
                  <v>-0.2022822910302593</v>
                </pt>
                <pt idx="1033">
                  <v>-0.2022822910302593</v>
                </pt>
                <pt idx="1034">
                  <v>-0.2022822910302593</v>
                </pt>
                <pt idx="1035">
                  <v>-0.2022822910302593</v>
                </pt>
                <pt idx="1036">
                  <v>-0.2022822910302593</v>
                </pt>
                <pt idx="1037">
                  <v>-0.2022822910302593</v>
                </pt>
                <pt idx="1038">
                  <v>-0.2022822910302593</v>
                </pt>
                <pt idx="1039">
                  <v>-0.2022822910302593</v>
                </pt>
                <pt idx="1040">
                  <v>-0.2022822910302593</v>
                </pt>
                <pt idx="1041">
                  <v>-0.2022822910302593</v>
                </pt>
                <pt idx="1042">
                  <v>-0.2022822910302593</v>
                </pt>
                <pt idx="1043">
                  <v>-0.2022822910302593</v>
                </pt>
                <pt idx="1044">
                  <v>-0.2022822910302593</v>
                </pt>
                <pt idx="1045">
                  <v>-0.2022822910302593</v>
                </pt>
                <pt idx="1046">
                  <v>-0.2022822910302593</v>
                </pt>
                <pt idx="1047">
                  <v>-0.2022822910302593</v>
                </pt>
                <pt idx="1048">
                  <v>-0.2022822910302593</v>
                </pt>
                <pt idx="1049">
                  <v>-0.2022822910302593</v>
                </pt>
                <pt idx="1050">
                  <v>-0.2022822910302593</v>
                </pt>
                <pt idx="1051">
                  <v>-0.2022822910302593</v>
                </pt>
                <pt idx="1052">
                  <v>-0.2022822910302593</v>
                </pt>
                <pt idx="1053">
                  <v>-0.2022822910302593</v>
                </pt>
                <pt idx="1054">
                  <v>-0.2022822910302593</v>
                </pt>
                <pt idx="1055">
                  <v>-0.2022822910302593</v>
                </pt>
                <pt idx="1056">
                  <v>-0.2022822910302593</v>
                </pt>
                <pt idx="1057">
                  <v>-0.2022822910302593</v>
                </pt>
                <pt idx="1058">
                  <v>-0.2022822910302593</v>
                </pt>
                <pt idx="1059">
                  <v>-0.2022822910302593</v>
                </pt>
                <pt idx="1060">
                  <v>-0.2022822910302593</v>
                </pt>
                <pt idx="1061">
                  <v>-0.2022822910302593</v>
                </pt>
                <pt idx="1062">
                  <v>-0.2022822910302593</v>
                </pt>
                <pt idx="1063">
                  <v>-0.2022822910302593</v>
                </pt>
                <pt idx="1064">
                  <v>-0.2022822910302593</v>
                </pt>
                <pt idx="1065">
                  <v>-0.2022822910302593</v>
                </pt>
                <pt idx="1066">
                  <v>-0.2022822910302593</v>
                </pt>
                <pt idx="1067">
                  <v>-0.2022822910302593</v>
                </pt>
                <pt idx="1068">
                  <v>-0.2022822910302593</v>
                </pt>
                <pt idx="1069">
                  <v>-0.2022822910302593</v>
                </pt>
                <pt idx="1070">
                  <v>-0.2022822910302593</v>
                </pt>
                <pt idx="1071">
                  <v>-0.2022822910302593</v>
                </pt>
                <pt idx="1072">
                  <v>-0.2022822910302593</v>
                </pt>
                <pt idx="1073">
                  <v>-0.2022822910302593</v>
                </pt>
                <pt idx="1074">
                  <v>-0.2022822910302593</v>
                </pt>
                <pt idx="1075">
                  <v>-0.2022822910302593</v>
                </pt>
                <pt idx="1076">
                  <v>-0.2022822910302593</v>
                </pt>
                <pt idx="1077">
                  <v>-0.2022822910302593</v>
                </pt>
                <pt idx="1078">
                  <v>-0.2022822910302593</v>
                </pt>
                <pt idx="1079">
                  <v>-0.2022822910302593</v>
                </pt>
                <pt idx="1080">
                  <v>-0.2022822910302593</v>
                </pt>
                <pt idx="1081">
                  <v>-0.2022822910302593</v>
                </pt>
                <pt idx="1082">
                  <v>-0.2022822910302593</v>
                </pt>
                <pt idx="1083">
                  <v>-0.2022822910302593</v>
                </pt>
                <pt idx="1084">
                  <v>-0.2022822910302593</v>
                </pt>
                <pt idx="1085">
                  <v>-0.2022822910302593</v>
                </pt>
                <pt idx="1086">
                  <v>-0.2022822910302593</v>
                </pt>
                <pt idx="1087">
                  <v>-0.2022822910302593</v>
                </pt>
                <pt idx="1088">
                  <v>-0.2022822910302593</v>
                </pt>
                <pt idx="1089">
                  <v>-0.2022822910302593</v>
                </pt>
                <pt idx="1090">
                  <v>-0.2022822910302593</v>
                </pt>
                <pt idx="1091">
                  <v>-0.2022822910302593</v>
                </pt>
                <pt idx="1092">
                  <v>-0.2022822910302593</v>
                </pt>
                <pt idx="1093">
                  <v>-0.2022822910302593</v>
                </pt>
                <pt idx="1094">
                  <v>-0.2022822910302593</v>
                </pt>
                <pt idx="1095">
                  <v>-0.2022822910302593</v>
                </pt>
                <pt idx="1096">
                  <v>-0.2022822910302593</v>
                </pt>
                <pt idx="1097">
                  <v>-0.2022822910302593</v>
                </pt>
                <pt idx="1098">
                  <v>-0.2022822910302593</v>
                </pt>
                <pt idx="1099">
                  <v>-0.2022822910302593</v>
                </pt>
                <pt idx="1100">
                  <v>-0.2022822910302593</v>
                </pt>
                <pt idx="1101">
                  <v>-0.2022822910302593</v>
                </pt>
                <pt idx="1102">
                  <v>-0.2022822910302593</v>
                </pt>
                <pt idx="1103">
                  <v>-0.2022822910302593</v>
                </pt>
                <pt idx="1104">
                  <v>-0.2022822910302593</v>
                </pt>
                <pt idx="1105">
                  <v>-0.2022822910302593</v>
                </pt>
                <pt idx="1106">
                  <v>-0.2022822910302593</v>
                </pt>
                <pt idx="1107">
                  <v>-0.2022822910302593</v>
                </pt>
                <pt idx="1108">
                  <v>-0.2022822910302593</v>
                </pt>
                <pt idx="1109">
                  <v>-0.2022822910302593</v>
                </pt>
                <pt idx="1110">
                  <v>-0.2022822910302593</v>
                </pt>
                <pt idx="1111">
                  <v>-0.2022822910302593</v>
                </pt>
                <pt idx="1112">
                  <v>-0.2022822910302593</v>
                </pt>
                <pt idx="1113">
                  <v>-0.2022822910302593</v>
                </pt>
                <pt idx="1114">
                  <v>-0.2022822910302593</v>
                </pt>
                <pt idx="1115">
                  <v>-0.2022822910302593</v>
                </pt>
                <pt idx="1116">
                  <v>-0.2022822910302593</v>
                </pt>
                <pt idx="1117">
                  <v>-0.2022822910302593</v>
                </pt>
                <pt idx="1118">
                  <v>-0.2022822910302593</v>
                </pt>
                <pt idx="1119">
                  <v>-0.2022822910302593</v>
                </pt>
                <pt idx="1120">
                  <v>-0.2022822910302593</v>
                </pt>
                <pt idx="1121">
                  <v>-0.2022822910302593</v>
                </pt>
                <pt idx="1122">
                  <v>-0.2022822910302593</v>
                </pt>
                <pt idx="1123">
                  <v>-0.2022822910302593</v>
                </pt>
                <pt idx="1124">
                  <v>-0.2022822910302593</v>
                </pt>
                <pt idx="1125">
                  <v>-0.2022822910302593</v>
                </pt>
                <pt idx="1126">
                  <v>-0.2022822910302593</v>
                </pt>
                <pt idx="1127">
                  <v>-0.2022822910302593</v>
                </pt>
                <pt idx="1128">
                  <v>-0.2022822910302593</v>
                </pt>
                <pt idx="1129">
                  <v>-0.2022822910302593</v>
                </pt>
                <pt idx="1130">
                  <v>-0.2022822910302593</v>
                </pt>
                <pt idx="1131">
                  <v>-0.2022822910302593</v>
                </pt>
                <pt idx="1132">
                  <v>-0.2022822910302593</v>
                </pt>
                <pt idx="1133">
                  <v>-0.2022822910302593</v>
                </pt>
                <pt idx="1134">
                  <v>-0.2022822910302593</v>
                </pt>
                <pt idx="1135">
                  <v>-0.2022822910302593</v>
                </pt>
                <pt idx="1136">
                  <v>-0.2022822910302593</v>
                </pt>
                <pt idx="1137">
                  <v>-0.2022822910302593</v>
                </pt>
                <pt idx="1138">
                  <v>-0.2022822910302593</v>
                </pt>
                <pt idx="1139">
                  <v>-0.2022822910302593</v>
                </pt>
                <pt idx="1140">
                  <v>-0.2022822910302593</v>
                </pt>
                <pt idx="1141">
                  <v>-0.2022822910302593</v>
                </pt>
                <pt idx="1142">
                  <v>-0.2022822910302593</v>
                </pt>
                <pt idx="1143">
                  <v>-0.2022822910302593</v>
                </pt>
                <pt idx="1144">
                  <v>-0.2022822910302593</v>
                </pt>
                <pt idx="1145">
                  <v>-0.2022822910302593</v>
                </pt>
                <pt idx="1146">
                  <v>-0.2022822910302593</v>
                </pt>
                <pt idx="1147">
                  <v>-0.2022822910302593</v>
                </pt>
                <pt idx="1148">
                  <v>-0.2022822910302593</v>
                </pt>
                <pt idx="1149">
                  <v>-0.2022822910302593</v>
                </pt>
                <pt idx="1150">
                  <v>-0.2022822910302593</v>
                </pt>
                <pt idx="1151">
                  <v>-0.2022822910302593</v>
                </pt>
                <pt idx="1152">
                  <v>-0.2022822910302593</v>
                </pt>
                <pt idx="1153">
                  <v>-0.2022822910302593</v>
                </pt>
                <pt idx="1154">
                  <v>-0.2022822910302593</v>
                </pt>
                <pt idx="1155">
                  <v>-0.2022822910302593</v>
                </pt>
                <pt idx="1156">
                  <v>-0.2022822910302593</v>
                </pt>
                <pt idx="1157">
                  <v>-0.2022822910302593</v>
                </pt>
                <pt idx="1158">
                  <v>-0.2022822910302593</v>
                </pt>
                <pt idx="1159">
                  <v>-0.2022822910302593</v>
                </pt>
                <pt idx="1160">
                  <v>-0.2022822910302593</v>
                </pt>
                <pt idx="1161">
                  <v>-0.2022822910302593</v>
                </pt>
                <pt idx="1162">
                  <v>-0.2022822910302593</v>
                </pt>
                <pt idx="1163">
                  <v>-0.2022822910302593</v>
                </pt>
                <pt idx="1164">
                  <v>-0.2022822910302593</v>
                </pt>
                <pt idx="1165">
                  <v>-0.2022822910302593</v>
                </pt>
                <pt idx="1166">
                  <v>-0.2022822910302593</v>
                </pt>
                <pt idx="1167">
                  <v>-0.2022822910302593</v>
                </pt>
                <pt idx="1168">
                  <v>-0.2022822910302593</v>
                </pt>
                <pt idx="1169">
                  <v>-0.2022822910302593</v>
                </pt>
                <pt idx="1170">
                  <v>-0.2022822910302593</v>
                </pt>
                <pt idx="1171">
                  <v>-0.2022822910302593</v>
                </pt>
                <pt idx="1172">
                  <v>-0.2022822910302593</v>
                </pt>
                <pt idx="1173">
                  <v>-0.2022822910302593</v>
                </pt>
                <pt idx="1174">
                  <v>-0.2022822910302593</v>
                </pt>
                <pt idx="1175">
                  <v>-0.2022822910302593</v>
                </pt>
                <pt idx="1176">
                  <v>-0.2022822910302593</v>
                </pt>
                <pt idx="1177">
                  <v>-0.2022822910302593</v>
                </pt>
                <pt idx="1178">
                  <v>-0.2022822910302593</v>
                </pt>
                <pt idx="1179">
                  <v>-0.2022822910302593</v>
                </pt>
                <pt idx="1180">
                  <v>-0.2022822910302593</v>
                </pt>
                <pt idx="1181">
                  <v>-0.2022822910302593</v>
                </pt>
                <pt idx="1182">
                  <v>-0.2022822910302593</v>
                </pt>
                <pt idx="1183">
                  <v>-0.2022822910302593</v>
                </pt>
                <pt idx="1184">
                  <v>-0.2022822910302593</v>
                </pt>
                <pt idx="1185">
                  <v>-0.2022822910302593</v>
                </pt>
                <pt idx="1186">
                  <v>-0.2022822910302593</v>
                </pt>
                <pt idx="1187">
                  <v>-0.2022822910302593</v>
                </pt>
                <pt idx="1188">
                  <v>-0.2022822910302593</v>
                </pt>
                <pt idx="1189">
                  <v>-0.2022822910302593</v>
                </pt>
                <pt idx="1190">
                  <v>-0.2022822910302593</v>
                </pt>
                <pt idx="1191">
                  <v>-0.2022822910302593</v>
                </pt>
                <pt idx="1192">
                  <v>-0.2022822910302593</v>
                </pt>
                <pt idx="1193">
                  <v>-0.2022822910302593</v>
                </pt>
                <pt idx="1194">
                  <v>-0.2022822910302593</v>
                </pt>
                <pt idx="1195">
                  <v>-0.2022822910302593</v>
                </pt>
                <pt idx="1196">
                  <v>-0.2022822910302593</v>
                </pt>
                <pt idx="1197">
                  <v>-0.2022822910302593</v>
                </pt>
                <pt idx="1198">
                  <v>-0.2022822910302593</v>
                </pt>
                <pt idx="1199">
                  <v>-0.2022822910302593</v>
                </pt>
                <pt idx="1200">
                  <v>-0.2022822910302593</v>
                </pt>
                <pt idx="1201">
                  <v>-0.2022822910302593</v>
                </pt>
                <pt idx="1202">
                  <v>-0.2022822910302593</v>
                </pt>
                <pt idx="1203">
                  <v>-0.2022822910302593</v>
                </pt>
                <pt idx="1204">
                  <v>-0.2022822910302593</v>
                </pt>
                <pt idx="1205">
                  <v>-0.2022822910302593</v>
                </pt>
                <pt idx="1206">
                  <v>-0.2022822910302593</v>
                </pt>
                <pt idx="1207">
                  <v>-0.2022822910302593</v>
                </pt>
                <pt idx="1208">
                  <v>-0.2022822910302593</v>
                </pt>
                <pt idx="1209">
                  <v>-0.2022822910302593</v>
                </pt>
                <pt idx="1210">
                  <v>-0.2022822910302593</v>
                </pt>
                <pt idx="1211">
                  <v>-0.2022822910302593</v>
                </pt>
                <pt idx="1212">
                  <v>-0.2022822910302593</v>
                </pt>
                <pt idx="1213">
                  <v>-0.2022822910302593</v>
                </pt>
                <pt idx="1214">
                  <v>-0.2022822910302593</v>
                </pt>
                <pt idx="1215">
                  <v>-0.2022822910302593</v>
                </pt>
                <pt idx="1216">
                  <v>-0.2022822910302593</v>
                </pt>
                <pt idx="1217">
                  <v>-0.2022822910302593</v>
                </pt>
                <pt idx="1218">
                  <v>-0.2022822910302593</v>
                </pt>
                <pt idx="1219">
                  <v>-0.2022822910302593</v>
                </pt>
                <pt idx="1220">
                  <v>-0.2022822910302593</v>
                </pt>
                <pt idx="1221">
                  <v>-0.2022822910302593</v>
                </pt>
                <pt idx="1222">
                  <v>-0.2022822910302593</v>
                </pt>
                <pt idx="1223">
                  <v>-0.2022822910302593</v>
                </pt>
                <pt idx="1224">
                  <v>-0.2022822910302593</v>
                </pt>
                <pt idx="1225">
                  <v>-0.2022822910302593</v>
                </pt>
                <pt idx="1226">
                  <v>-0.2022822910302593</v>
                </pt>
                <pt idx="1227">
                  <v>-0.2022822910302593</v>
                </pt>
                <pt idx="1228">
                  <v>-0.2022822910302593</v>
                </pt>
                <pt idx="1229">
                  <v>-0.2022822910302593</v>
                </pt>
                <pt idx="1230">
                  <v>-0.2022822910302593</v>
                </pt>
                <pt idx="1231">
                  <v>-0.2022822910302593</v>
                </pt>
                <pt idx="1232">
                  <v>-0.2022822910302593</v>
                </pt>
                <pt idx="1233">
                  <v>-0.2022822910302593</v>
                </pt>
                <pt idx="1234">
                  <v>-0.2022822910302593</v>
                </pt>
                <pt idx="1235">
                  <v>-0.2022822910302593</v>
                </pt>
                <pt idx="1236">
                  <v>-0.2022822910302593</v>
                </pt>
                <pt idx="1237">
                  <v>-0.2022822910302593</v>
                </pt>
                <pt idx="1238">
                  <v>-0.2022822910302593</v>
                </pt>
                <pt idx="1239">
                  <v>-0.2022822910302593</v>
                </pt>
                <pt idx="1240">
                  <v>-0.2022822910302593</v>
                </pt>
                <pt idx="1241">
                  <v>-0.2022822910302593</v>
                </pt>
                <pt idx="1242">
                  <v>-0.2022822910302593</v>
                </pt>
                <pt idx="1243">
                  <v>-0.2022822910302593</v>
                </pt>
                <pt idx="1244">
                  <v>-0.2022822910302593</v>
                </pt>
                <pt idx="1245">
                  <v>-0.2022822910302593</v>
                </pt>
                <pt idx="1246">
                  <v>-0.2022822910302593</v>
                </pt>
                <pt idx="1247">
                  <v>-0.2022822910302593</v>
                </pt>
                <pt idx="1248">
                  <v>-0.2022822910302593</v>
                </pt>
                <pt idx="1249">
                  <v>-0.2022822910302593</v>
                </pt>
                <pt idx="1250">
                  <v>-0.2022822910302593</v>
                </pt>
                <pt idx="1251">
                  <v>-0.2022822910302593</v>
                </pt>
                <pt idx="1252">
                  <v>-0.2022822910302593</v>
                </pt>
                <pt idx="1253">
                  <v>-0.2022822910302593</v>
                </pt>
                <pt idx="1254">
                  <v>-0.2022822910302593</v>
                </pt>
                <pt idx="1255">
                  <v>-0.2022822910302593</v>
                </pt>
                <pt idx="1256">
                  <v>-0.2022822910302593</v>
                </pt>
                <pt idx="1257">
                  <v>-0.2022822910302593</v>
                </pt>
                <pt idx="1258">
                  <v>-0.2022822910302593</v>
                </pt>
                <pt idx="1259">
                  <v>-0.2022822910302593</v>
                </pt>
                <pt idx="1260">
                  <v>-0.2022822910302593</v>
                </pt>
                <pt idx="1261">
                  <v>-0.2022822910302593</v>
                </pt>
                <pt idx="1262">
                  <v>-0.2022822910302593</v>
                </pt>
                <pt idx="1263">
                  <v>-0.2022822910302593</v>
                </pt>
                <pt idx="1264">
                  <v>-0.2022822910302593</v>
                </pt>
                <pt idx="1265">
                  <v>-0.2022822910302593</v>
                </pt>
                <pt idx="1266">
                  <v>-0.2022822910302593</v>
                </pt>
                <pt idx="1267">
                  <v>-0.2022822910302593</v>
                </pt>
                <pt idx="1268">
                  <v>-0.2022822910302593</v>
                </pt>
                <pt idx="1269">
                  <v>-0.2022822910302593</v>
                </pt>
                <pt idx="1270">
                  <v>-0.2022822910302593</v>
                </pt>
                <pt idx="1271">
                  <v>-0.2022822910302593</v>
                </pt>
                <pt idx="1272">
                  <v>-0.2022822910302593</v>
                </pt>
                <pt idx="1273">
                  <v>-0.2022822910302593</v>
                </pt>
                <pt idx="1274">
                  <v>-0.2022822910302593</v>
                </pt>
                <pt idx="1275">
                  <v>-0.2022822910302593</v>
                </pt>
                <pt idx="1276">
                  <v>-0.2022822910302593</v>
                </pt>
                <pt idx="1277">
                  <v>-0.2022822910302593</v>
                </pt>
                <pt idx="1278">
                  <v>-0.2022822910302593</v>
                </pt>
                <pt idx="1279">
                  <v>-0.2022822910302593</v>
                </pt>
                <pt idx="1280">
                  <v>-0.2022822910302593</v>
                </pt>
                <pt idx="1281">
                  <v>-0.2022822910302593</v>
                </pt>
                <pt idx="1282">
                  <v>-0.2022822910302593</v>
                </pt>
                <pt idx="1283">
                  <v>-0.2022822910302593</v>
                </pt>
                <pt idx="1284">
                  <v>-0.2022822910302593</v>
                </pt>
                <pt idx="1285">
                  <v>-0.2022822910302593</v>
                </pt>
                <pt idx="1286">
                  <v>-0.2022822910302593</v>
                </pt>
                <pt idx="1287">
                  <v>-0.2022822910302593</v>
                </pt>
                <pt idx="1288">
                  <v>-0.2022822910302593</v>
                </pt>
                <pt idx="1289">
                  <v>-0.2022822910302593</v>
                </pt>
                <pt idx="1290">
                  <v>-0.2022822910302593</v>
                </pt>
                <pt idx="1291">
                  <v>-0.2022822910302593</v>
                </pt>
                <pt idx="1292">
                  <v>-0.2022822910302593</v>
                </pt>
                <pt idx="1293">
                  <v>-0.2022822910302593</v>
                </pt>
                <pt idx="1294">
                  <v>-0.2022822910302593</v>
                </pt>
                <pt idx="1295">
                  <v>-0.2022822910302593</v>
                </pt>
                <pt idx="1296">
                  <v>-0.2022822910302593</v>
                </pt>
                <pt idx="1297">
                  <v>-0.2022822910302593</v>
                </pt>
                <pt idx="1298">
                  <v>-0.2022822910302593</v>
                </pt>
                <pt idx="1299">
                  <v>-0.2022822910302593</v>
                </pt>
                <pt idx="1300">
                  <v>-0.2022822910302593</v>
                </pt>
                <pt idx="1301">
                  <v>-0.2022822910302593</v>
                </pt>
                <pt idx="1302">
                  <v>-0.2022822910302593</v>
                </pt>
                <pt idx="1303">
                  <v>-0.2022822910302593</v>
                </pt>
                <pt idx="1304">
                  <v>-0.2022822910302593</v>
                </pt>
                <pt idx="1305">
                  <v>-0.2022822910302593</v>
                </pt>
                <pt idx="1306">
                  <v>-0.2022822910302593</v>
                </pt>
                <pt idx="1307">
                  <v>-0.2022822910302593</v>
                </pt>
                <pt idx="1308">
                  <v>-0.2022822910302593</v>
                </pt>
                <pt idx="1309">
                  <v>-0.2022822910302593</v>
                </pt>
                <pt idx="1310">
                  <v>-0.2022822910302593</v>
                </pt>
                <pt idx="1311">
                  <v>-0.2022822910302593</v>
                </pt>
                <pt idx="1312">
                  <v>-0.2022822910302593</v>
                </pt>
                <pt idx="1313">
                  <v>-0.2022822910302593</v>
                </pt>
                <pt idx="1314">
                  <v>-0.2022822910302593</v>
                </pt>
                <pt idx="1315">
                  <v>-0.2022822910302593</v>
                </pt>
                <pt idx="1316">
                  <v>-0.2022822910302593</v>
                </pt>
                <pt idx="1317">
                  <v>-0.2022822910302593</v>
                </pt>
                <pt idx="1318">
                  <v>-0.2022822910302593</v>
                </pt>
                <pt idx="1319">
                  <v>-0.2022822910302593</v>
                </pt>
                <pt idx="1320">
                  <v>-0.2022822910302593</v>
                </pt>
                <pt idx="1321">
                  <v>-0.2022822910302593</v>
                </pt>
                <pt idx="1322">
                  <v>-0.2022822910302593</v>
                </pt>
                <pt idx="1323">
                  <v>-0.2022822910302593</v>
                </pt>
                <pt idx="1324">
                  <v>-0.2022822910302593</v>
                </pt>
                <pt idx="1325">
                  <v>-0.2022822910302593</v>
                </pt>
                <pt idx="1326">
                  <v>-0.2022822910302593</v>
                </pt>
                <pt idx="1327">
                  <v>-0.2022822910302593</v>
                </pt>
                <pt idx="1328">
                  <v>-0.2022822910302593</v>
                </pt>
                <pt idx="1329">
                  <v>-0.2022822910302593</v>
                </pt>
                <pt idx="1330">
                  <v>-0.2022822910302593</v>
                </pt>
                <pt idx="1331">
                  <v>-0.2022822910302593</v>
                </pt>
                <pt idx="1332">
                  <v>-0.2022822910302593</v>
                </pt>
                <pt idx="1333">
                  <v>-0.2022822910302593</v>
                </pt>
                <pt idx="1334">
                  <v>-0.2022822910302593</v>
                </pt>
                <pt idx="1335">
                  <v>-0.2022822910302593</v>
                </pt>
                <pt idx="1336">
                  <v>-0.2022822910302593</v>
                </pt>
                <pt idx="1337">
                  <v>-0.2022822910302593</v>
                </pt>
                <pt idx="1338">
                  <v>-0.2022822910302593</v>
                </pt>
                <pt idx="1339">
                  <v>-0.2022822910302593</v>
                </pt>
                <pt idx="1340">
                  <v>-0.2022822910302593</v>
                </pt>
                <pt idx="1341">
                  <v>-0.2022822910302593</v>
                </pt>
                <pt idx="1342">
                  <v>-0.2022822910302593</v>
                </pt>
                <pt idx="1343">
                  <v>-0.2022822910302593</v>
                </pt>
                <pt idx="1344">
                  <v>-0.2022822910302593</v>
                </pt>
                <pt idx="1345">
                  <v>-0.2022822910302593</v>
                </pt>
                <pt idx="1346">
                  <v>-0.2022822910302593</v>
                </pt>
                <pt idx="1347">
                  <v>-0.2022822910302593</v>
                </pt>
                <pt idx="1348">
                  <v>-0.2022822910302593</v>
                </pt>
                <pt idx="1349">
                  <v>-0.2022822910302593</v>
                </pt>
                <pt idx="1350">
                  <v>-0.2022822910302593</v>
                </pt>
                <pt idx="1351">
                  <v>-0.2022822910302593</v>
                </pt>
                <pt idx="1352">
                  <v>-0.2022822910302593</v>
                </pt>
                <pt idx="1353">
                  <v>-0.2022822910302593</v>
                </pt>
                <pt idx="1354">
                  <v>-0.2022822910302593</v>
                </pt>
                <pt idx="1355">
                  <v>-0.2022822910302593</v>
                </pt>
                <pt idx="1356">
                  <v>-0.2022822910302593</v>
                </pt>
                <pt idx="1357">
                  <v>-0.2022822910302593</v>
                </pt>
                <pt idx="1358">
                  <v>-0.2022822910302593</v>
                </pt>
                <pt idx="1359">
                  <v>-0.2022822910302593</v>
                </pt>
                <pt idx="1360">
                  <v>-0.2022822910302593</v>
                </pt>
                <pt idx="1361">
                  <v>-0.2022822910302593</v>
                </pt>
                <pt idx="1362">
                  <v>-0.2022822910302593</v>
                </pt>
                <pt idx="1363">
                  <v>-0.2022822910302593</v>
                </pt>
                <pt idx="1364">
                  <v>-0.2022822910302593</v>
                </pt>
                <pt idx="1365">
                  <v>-0.2022822910302593</v>
                </pt>
                <pt idx="1366">
                  <v>-0.2022822910302593</v>
                </pt>
                <pt idx="1367">
                  <v>-0.2022822910302593</v>
                </pt>
                <pt idx="1368">
                  <v>-0.2022822910302593</v>
                </pt>
                <pt idx="1369">
                  <v>-0.2022822910302593</v>
                </pt>
                <pt idx="1370">
                  <v>-0.2022822910302593</v>
                </pt>
                <pt idx="1371">
                  <v>-0.2022822910302593</v>
                </pt>
                <pt idx="1372">
                  <v>-0.2022822910302593</v>
                </pt>
                <pt idx="1373">
                  <v>-0.2022822910302593</v>
                </pt>
                <pt idx="1374">
                  <v>-0.2022822910302593</v>
                </pt>
                <pt idx="1375">
                  <v>-0.2022822910302593</v>
                </pt>
                <pt idx="1376">
                  <v>-0.2022822910302593</v>
                </pt>
                <pt idx="1377">
                  <v>-0.2022822910302593</v>
                </pt>
                <pt idx="1378">
                  <v>-0.2022822910302593</v>
                </pt>
                <pt idx="1379">
                  <v>-0.2022822910302593</v>
                </pt>
                <pt idx="1380">
                  <v>-0.2022822910302593</v>
                </pt>
                <pt idx="1381">
                  <v>-0.2022822910302593</v>
                </pt>
                <pt idx="1382">
                  <v>-0.2022822910302593</v>
                </pt>
                <pt idx="1383">
                  <v>-0.2022822910302593</v>
                </pt>
                <pt idx="1384">
                  <v>-0.2022822910302593</v>
                </pt>
                <pt idx="1385">
                  <v>-0.2022822910302593</v>
                </pt>
                <pt idx="1386">
                  <v>-0.2022822910302593</v>
                </pt>
                <pt idx="1387">
                  <v>-0.2022822910302593</v>
                </pt>
                <pt idx="1388">
                  <v>-0.2022822910302593</v>
                </pt>
                <pt idx="1389">
                  <v>-0.2022822910302593</v>
                </pt>
                <pt idx="1390">
                  <v>-0.2022822910302593</v>
                </pt>
                <pt idx="1391">
                  <v>-0.2022822910302593</v>
                </pt>
                <pt idx="1392">
                  <v>-0.2022822910302593</v>
                </pt>
                <pt idx="1393">
                  <v>-0.2022822910302593</v>
                </pt>
                <pt idx="1394">
                  <v>-0.2022822910302593</v>
                </pt>
                <pt idx="1395">
                  <v>-0.2022822910302593</v>
                </pt>
                <pt idx="1396">
                  <v>-0.2022822910302593</v>
                </pt>
                <pt idx="1397">
                  <v>-0.2022822910302593</v>
                </pt>
                <pt idx="1398">
                  <v>-0.2022822910302593</v>
                </pt>
                <pt idx="1399">
                  <v>-0.2022822910302593</v>
                </pt>
                <pt idx="1400">
                  <v>-0.2022822910302593</v>
                </pt>
                <pt idx="1401">
                  <v>-0.2022822910302593</v>
                </pt>
                <pt idx="1402">
                  <v>-0.2022822910302593</v>
                </pt>
                <pt idx="1403">
                  <v>-0.2022822910302593</v>
                </pt>
                <pt idx="1404">
                  <v>-0.2022822910302593</v>
                </pt>
                <pt idx="1405">
                  <v>-0.2022822910302593</v>
                </pt>
                <pt idx="1406">
                  <v>-0.2022822910302593</v>
                </pt>
                <pt idx="1407">
                  <v>-0.2022822910302593</v>
                </pt>
                <pt idx="1408">
                  <v>-0.2022822910302593</v>
                </pt>
                <pt idx="1409">
                  <v>-0.2022822910302593</v>
                </pt>
                <pt idx="1410">
                  <v>-0.2022822910302593</v>
                </pt>
                <pt idx="1411">
                  <v>-0.2022822910302593</v>
                </pt>
                <pt idx="1412">
                  <v>-0.2022822910302593</v>
                </pt>
                <pt idx="1413">
                  <v>-0.2022822910302593</v>
                </pt>
                <pt idx="1414">
                  <v>-0.2022822910302593</v>
                </pt>
                <pt idx="1415">
                  <v>-0.2022822910302593</v>
                </pt>
                <pt idx="1416">
                  <v>-0.2022822910302593</v>
                </pt>
                <pt idx="1417">
                  <v>-0.2022822910302593</v>
                </pt>
                <pt idx="1418">
                  <v>-0.2022822910302593</v>
                </pt>
                <pt idx="1419">
                  <v>-0.2022822910302593</v>
                </pt>
                <pt idx="1420">
                  <v>-0.2022822910302593</v>
                </pt>
                <pt idx="1421">
                  <v>-0.2022822910302593</v>
                </pt>
                <pt idx="1422">
                  <v>-0.2022822910302593</v>
                </pt>
                <pt idx="1423">
                  <v>-0.2022822910302593</v>
                </pt>
                <pt idx="1424">
                  <v>-0.2022822910302593</v>
                </pt>
                <pt idx="1425">
                  <v>-0.2022822910302593</v>
                </pt>
                <pt idx="1426">
                  <v>-0.2022822910302593</v>
                </pt>
                <pt idx="1427">
                  <v>-0.2022822910302593</v>
                </pt>
                <pt idx="1428">
                  <v>-0.2022822910302593</v>
                </pt>
                <pt idx="1429">
                  <v>-0.2022822910302593</v>
                </pt>
                <pt idx="1430">
                  <v>-0.2022822910302593</v>
                </pt>
                <pt idx="1431">
                  <v>-0.2022822910302593</v>
                </pt>
                <pt idx="1432">
                  <v>-0.2022822910302593</v>
                </pt>
                <pt idx="1433">
                  <v>-0.2022822910302593</v>
                </pt>
                <pt idx="1434">
                  <v>-0.2022822910302593</v>
                </pt>
                <pt idx="1435">
                  <v>-0.2022822910302593</v>
                </pt>
                <pt idx="1436">
                  <v>-0.2022822910302593</v>
                </pt>
                <pt idx="1437">
                  <v>-0.2022822910302593</v>
                </pt>
                <pt idx="1438">
                  <v>-0.2022822910302593</v>
                </pt>
                <pt idx="1439">
                  <v>-0.2022822910302593</v>
                </pt>
                <pt idx="1440">
                  <v>-0.2022822910302593</v>
                </pt>
                <pt idx="1441">
                  <v>-0.2022822910302593</v>
                </pt>
                <pt idx="1442">
                  <v>-0.2022822910302593</v>
                </pt>
                <pt idx="1443">
                  <v>-0.2022822910302593</v>
                </pt>
                <pt idx="1444">
                  <v>-0.2022822910302593</v>
                </pt>
                <pt idx="1445">
                  <v>-0.2022822910302593</v>
                </pt>
                <pt idx="1446">
                  <v>-0.2022822910302593</v>
                </pt>
                <pt idx="1447">
                  <v>-0.2022822910302593</v>
                </pt>
                <pt idx="1448">
                  <v>-0.2022822910302593</v>
                </pt>
                <pt idx="1449">
                  <v>-0.2022822910302593</v>
                </pt>
                <pt idx="1450">
                  <v>-0.2022822910302593</v>
                </pt>
                <pt idx="1451">
                  <v>-0.2022822910302593</v>
                </pt>
                <pt idx="1452">
                  <v>-0.2022822910302593</v>
                </pt>
                <pt idx="1453">
                  <v>-0.2022822910302593</v>
                </pt>
                <pt idx="1454">
                  <v>-0.2022822910302593</v>
                </pt>
                <pt idx="1455">
                  <v>-0.2022822910302593</v>
                </pt>
                <pt idx="1456">
                  <v>-0.2022822910302593</v>
                </pt>
                <pt idx="1457">
                  <v>-0.2022822910302593</v>
                </pt>
                <pt idx="1458">
                  <v>-0.2022822910302593</v>
                </pt>
                <pt idx="1459">
                  <v>-0.2022822910302593</v>
                </pt>
                <pt idx="1460">
                  <v>-0.2022822910302593</v>
                </pt>
                <pt idx="1461">
                  <v>-0.2022822910302593</v>
                </pt>
                <pt idx="1462">
                  <v>-0.2022822910302593</v>
                </pt>
                <pt idx="1463">
                  <v>-0.2022822910302593</v>
                </pt>
                <pt idx="1464">
                  <v>-0.2022822910302593</v>
                </pt>
                <pt idx="1465">
                  <v>-0.2022822910302593</v>
                </pt>
                <pt idx="1466">
                  <v>-0.2022822910302593</v>
                </pt>
                <pt idx="1467">
                  <v>-0.2022822910302593</v>
                </pt>
                <pt idx="1468">
                  <v>-0.2022822910302593</v>
                </pt>
                <pt idx="1469">
                  <v>-0.2022822910302593</v>
                </pt>
                <pt idx="1470">
                  <v>-0.2022822910302593</v>
                </pt>
                <pt idx="1471">
                  <v>-0.2022822910302593</v>
                </pt>
                <pt idx="1472">
                  <v>-0.2022822910302593</v>
                </pt>
                <pt idx="1473">
                  <v>-0.2022822910302593</v>
                </pt>
                <pt idx="1474">
                  <v>-0.2022822910302593</v>
                </pt>
                <pt idx="1475">
                  <v>-0.2022822910302593</v>
                </pt>
                <pt idx="1476">
                  <v>-0.2022822910302593</v>
                </pt>
                <pt idx="1477">
                  <v>-0.2022822910302593</v>
                </pt>
                <pt idx="1478">
                  <v>-0.2022822910302593</v>
                </pt>
                <pt idx="1479">
                  <v>-0.2022822910302593</v>
                </pt>
                <pt idx="1480">
                  <v>-0.2022822910302593</v>
                </pt>
                <pt idx="1481">
                  <v>-0.2022822910302593</v>
                </pt>
                <pt idx="1482">
                  <v>-0.2022822910302593</v>
                </pt>
                <pt idx="1483">
                  <v>-0.2022822910302593</v>
                </pt>
                <pt idx="1484">
                  <v>-0.2022822910302593</v>
                </pt>
                <pt idx="1485">
                  <v>-0.2022822910302593</v>
                </pt>
                <pt idx="1486">
                  <v>-0.2022822910302593</v>
                </pt>
                <pt idx="1487">
                  <v>-0.2022822910302593</v>
                </pt>
                <pt idx="1488">
                  <v>-0.2022822910302593</v>
                </pt>
                <pt idx="1489">
                  <v>-0.2022822910302593</v>
                </pt>
                <pt idx="1490">
                  <v>-0.2022822910302593</v>
                </pt>
                <pt idx="1491">
                  <v>-0.2022822910302593</v>
                </pt>
                <pt idx="1492">
                  <v>-0.2022822910302593</v>
                </pt>
                <pt idx="1493">
                  <v>-0.2022822910302593</v>
                </pt>
                <pt idx="1494">
                  <v>-0.2022822910302593</v>
                </pt>
                <pt idx="1495">
                  <v>-0.2022822910302593</v>
                </pt>
                <pt idx="1496">
                  <v>-0.2022822910302593</v>
                </pt>
                <pt idx="1497">
                  <v>-0.2022822910302593</v>
                </pt>
                <pt idx="1498">
                  <v>-0.2022822910302593</v>
                </pt>
                <pt idx="1499">
                  <v>-0.2022822910302593</v>
                </pt>
                <pt idx="1500">
                  <v>-0.2022822910302593</v>
                </pt>
                <pt idx="1501">
                  <v>-0.2022822910302593</v>
                </pt>
                <pt idx="1502">
                  <v>-0.2022822910302593</v>
                </pt>
                <pt idx="1503">
                  <v>-0.2022822910302593</v>
                </pt>
                <pt idx="1504">
                  <v>-0.2022822910302593</v>
                </pt>
                <pt idx="1505">
                  <v>-0.2022822910302593</v>
                </pt>
                <pt idx="1506">
                  <v>-0.2022822910302593</v>
                </pt>
                <pt idx="1507">
                  <v>-0.2022822910302593</v>
                </pt>
                <pt idx="1508">
                  <v>-0.2022822910302593</v>
                </pt>
                <pt idx="1509">
                  <v>-0.2022822910302593</v>
                </pt>
                <pt idx="1510">
                  <v>-0.2022822910302593</v>
                </pt>
                <pt idx="1511">
                  <v>-0.2022822910302593</v>
                </pt>
                <pt idx="1512">
                  <v>-0.2022822910302593</v>
                </pt>
                <pt idx="1513">
                  <v>-0.2022822910302593</v>
                </pt>
                <pt idx="1514">
                  <v>-0.2022822910302593</v>
                </pt>
                <pt idx="1515">
                  <v>-0.2022822910302593</v>
                </pt>
                <pt idx="1516">
                  <v>-0.2022822910302593</v>
                </pt>
                <pt idx="1517">
                  <v>-0.2022822910302593</v>
                </pt>
                <pt idx="1518">
                  <v>-0.2022822910302593</v>
                </pt>
                <pt idx="1519">
                  <v>-0.2022822910302593</v>
                </pt>
                <pt idx="1520">
                  <v>-0.2022822910302593</v>
                </pt>
                <pt idx="1521">
                  <v>-0.2022822910302593</v>
                </pt>
                <pt idx="1522">
                  <v>-0.2022822910302593</v>
                </pt>
                <pt idx="1523">
                  <v>-0.2022822910302593</v>
                </pt>
                <pt idx="1524">
                  <v>-0.2022822910302593</v>
                </pt>
                <pt idx="1525">
                  <v>-0.2022822910302593</v>
                </pt>
                <pt idx="1526">
                  <v>-0.2022822910302593</v>
                </pt>
                <pt idx="1527">
                  <v>-0.2022822910302593</v>
                </pt>
                <pt idx="1528">
                  <v>-0.2022822910302593</v>
                </pt>
                <pt idx="1529">
                  <v>-0.2022822910302593</v>
                </pt>
                <pt idx="1530">
                  <v>-0.2022822910302593</v>
                </pt>
                <pt idx="1531">
                  <v>-0.2022822910302593</v>
                </pt>
                <pt idx="1532">
                  <v>-0.2022822910302593</v>
                </pt>
                <pt idx="1533">
                  <v>-0.2022822910302593</v>
                </pt>
                <pt idx="1534">
                  <v>-0.2022822910302593</v>
                </pt>
                <pt idx="1535">
                  <v>-0.2022822910302593</v>
                </pt>
                <pt idx="1536">
                  <v>-0.2022822910302593</v>
                </pt>
                <pt idx="1537">
                  <v>-0.2022822910302593</v>
                </pt>
                <pt idx="1538">
                  <v>-0.2022822910302593</v>
                </pt>
                <pt idx="1539">
                  <v>-0.2022822910302593</v>
                </pt>
                <pt idx="1540">
                  <v>-0.2022822910302593</v>
                </pt>
                <pt idx="1541">
                  <v>-0.2022822910302593</v>
                </pt>
                <pt idx="1542">
                  <v>-0.2022822910302593</v>
                </pt>
                <pt idx="1543">
                  <v>-0.2022822910302593</v>
                </pt>
                <pt idx="1544">
                  <v>-0.2022822910302593</v>
                </pt>
                <pt idx="1545">
                  <v>-0.2022822910302593</v>
                </pt>
                <pt idx="1546">
                  <v>-0.2022822910302593</v>
                </pt>
                <pt idx="1547">
                  <v>-0.2022822910302593</v>
                </pt>
                <pt idx="1548">
                  <v>-0.2022822910302593</v>
                </pt>
                <pt idx="1549">
                  <v>-0.2022822910302593</v>
                </pt>
                <pt idx="1550">
                  <v>-0.2022822910302593</v>
                </pt>
                <pt idx="1551">
                  <v>-0.2022822910302593</v>
                </pt>
                <pt idx="1552">
                  <v>-0.2022822910302593</v>
                </pt>
                <pt idx="1553">
                  <v>-0.2022822910302593</v>
                </pt>
                <pt idx="1554">
                  <v>-0.2022822910302593</v>
                </pt>
                <pt idx="1555">
                  <v>-0.2022822910302593</v>
                </pt>
                <pt idx="1556">
                  <v>-0.2022822910302593</v>
                </pt>
                <pt idx="1557">
                  <v>-0.2022822910302593</v>
                </pt>
                <pt idx="1558">
                  <v>-0.2022822910302593</v>
                </pt>
                <pt idx="1559">
                  <v>-0.2022822910302593</v>
                </pt>
                <pt idx="1560">
                  <v>-0.2022822910302593</v>
                </pt>
                <pt idx="1561">
                  <v>-0.2022822910302593</v>
                </pt>
                <pt idx="1562">
                  <v>-0.2022822910302593</v>
                </pt>
                <pt idx="1563">
                  <v>-0.2022822910302593</v>
                </pt>
                <pt idx="1564">
                  <v>-0.2022822910302593</v>
                </pt>
                <pt idx="1565">
                  <v>-0.2022822910302593</v>
                </pt>
                <pt idx="1566">
                  <v>-0.2022822910302593</v>
                </pt>
                <pt idx="1567">
                  <v>-0.2022822910302593</v>
                </pt>
                <pt idx="1568">
                  <v>-0.2022822910302593</v>
                </pt>
                <pt idx="1569">
                  <v>-0.2022822910302593</v>
                </pt>
                <pt idx="1570">
                  <v>-0.2022822910302593</v>
                </pt>
                <pt idx="1571">
                  <v>-0.2022822910302593</v>
                </pt>
                <pt idx="1572">
                  <v>-0.2022822910302593</v>
                </pt>
                <pt idx="1573">
                  <v>-0.2022822910302593</v>
                </pt>
                <pt idx="1574">
                  <v>-0.2022822910302593</v>
                </pt>
                <pt idx="1575">
                  <v>-0.2022822910302593</v>
                </pt>
                <pt idx="1576">
                  <v>-0.2022822910302593</v>
                </pt>
                <pt idx="1577">
                  <v>-0.2022822910302593</v>
                </pt>
                <pt idx="1578">
                  <v>-0.2022822910302593</v>
                </pt>
                <pt idx="1579">
                  <v>-0.2022822910302593</v>
                </pt>
                <pt idx="1580">
                  <v>-0.2022822910302593</v>
                </pt>
                <pt idx="1581">
                  <v>-0.2022822910302593</v>
                </pt>
                <pt idx="1582">
                  <v>-0.2022822910302593</v>
                </pt>
                <pt idx="1583">
                  <v>-0.2022822910302593</v>
                </pt>
                <pt idx="1584">
                  <v>-0.2022822910302593</v>
                </pt>
                <pt idx="1585">
                  <v>-0.2022822910302593</v>
                </pt>
                <pt idx="1586">
                  <v>-0.2022822910302593</v>
                </pt>
                <pt idx="1587">
                  <v>-0.2022822910302593</v>
                </pt>
                <pt idx="1588">
                  <v>-0.2022822910302593</v>
                </pt>
                <pt idx="1589">
                  <v>-0.2022822910302593</v>
                </pt>
                <pt idx="1590">
                  <v>-0.2022822910302593</v>
                </pt>
                <pt idx="1591">
                  <v>-0.2022822910302593</v>
                </pt>
                <pt idx="1592">
                  <v>-0.2022822910302593</v>
                </pt>
                <pt idx="1593">
                  <v>-0.2022822910302593</v>
                </pt>
                <pt idx="1594">
                  <v>-0.2022822910302593</v>
                </pt>
                <pt idx="1595">
                  <v>-0.2022822910302593</v>
                </pt>
                <pt idx="1596">
                  <v>-0.2022822910302593</v>
                </pt>
                <pt idx="1597">
                  <v>-0.2022822910302593</v>
                </pt>
                <pt idx="1598">
                  <v>-0.2022822910302593</v>
                </pt>
                <pt idx="1599">
                  <v>-0.2022822910302593</v>
                </pt>
                <pt idx="1600">
                  <v>-0.2022822910302593</v>
                </pt>
                <pt idx="1601">
                  <v>-0.2022822910302593</v>
                </pt>
                <pt idx="1602">
                  <v>-0.2022822910302593</v>
                </pt>
                <pt idx="1603">
                  <v>-0.2022822910302593</v>
                </pt>
                <pt idx="1604">
                  <v>-0.2022822910302593</v>
                </pt>
                <pt idx="1605">
                  <v>-0.2022822910302593</v>
                </pt>
                <pt idx="1606">
                  <v>-0.2022822910302593</v>
                </pt>
                <pt idx="1607">
                  <v>-0.2022822910302593</v>
                </pt>
                <pt idx="1608">
                  <v>-0.2022822910302593</v>
                </pt>
                <pt idx="1609">
                  <v>-0.2022822910302593</v>
                </pt>
                <pt idx="1610">
                  <v>-0.2022822910302593</v>
                </pt>
                <pt idx="1611">
                  <v>-0.2022822910302593</v>
                </pt>
                <pt idx="1612">
                  <v>-0.2022822910302593</v>
                </pt>
                <pt idx="1613">
                  <v>-0.2022822910302593</v>
                </pt>
                <pt idx="1614">
                  <v>-0.2022822910302593</v>
                </pt>
                <pt idx="1615">
                  <v>-0.2022822910302593</v>
                </pt>
                <pt idx="1616">
                  <v>-0.2022822910302593</v>
                </pt>
                <pt idx="1617">
                  <v>-0.2022822910302593</v>
                </pt>
                <pt idx="1618">
                  <v>-0.2022822910302593</v>
                </pt>
                <pt idx="1619">
                  <v>-0.2022822910302593</v>
                </pt>
                <pt idx="1620">
                  <v>-0.2022822910302593</v>
                </pt>
                <pt idx="1621">
                  <v>-0.2022822910302593</v>
                </pt>
                <pt idx="1622">
                  <v>-0.2022822910302593</v>
                </pt>
                <pt idx="1623">
                  <v>-0.2022822910302593</v>
                </pt>
                <pt idx="1624">
                  <v>-0.2022822910302593</v>
                </pt>
                <pt idx="1625">
                  <v>-0.2022822910302593</v>
                </pt>
                <pt idx="1626">
                  <v>-0.2022822910302593</v>
                </pt>
                <pt idx="1627">
                  <v>-0.2022822910302593</v>
                </pt>
                <pt idx="1628">
                  <v>-0.2022822910302593</v>
                </pt>
                <pt idx="1629">
                  <v>-0.2022822910302593</v>
                </pt>
                <pt idx="1630">
                  <v>-0.2022822910302593</v>
                </pt>
                <pt idx="1631">
                  <v>-0.2022822910302593</v>
                </pt>
                <pt idx="1632">
                  <v>-0.2022822910302593</v>
                </pt>
                <pt idx="1633">
                  <v>-0.2022822910302593</v>
                </pt>
                <pt idx="1634">
                  <v>-0.2022822910302593</v>
                </pt>
                <pt idx="1635">
                  <v>-0.2022822910302593</v>
                </pt>
                <pt idx="1636">
                  <v>-0.2022822910302593</v>
                </pt>
                <pt idx="1637">
                  <v>-0.2022822910302593</v>
                </pt>
                <pt idx="1638">
                  <v>-0.2022822910302593</v>
                </pt>
                <pt idx="1639">
                  <v>-0.2022822910302593</v>
                </pt>
                <pt idx="1640">
                  <v>-0.2022822910302593</v>
                </pt>
                <pt idx="1641">
                  <v>-0.2022822910302593</v>
                </pt>
                <pt idx="1642">
                  <v>-0.2022822910302593</v>
                </pt>
                <pt idx="1643">
                  <v>-0.2022822910302593</v>
                </pt>
                <pt idx="1644">
                  <v>-0.2022822910302593</v>
                </pt>
                <pt idx="1645">
                  <v>-0.2022822910302593</v>
                </pt>
                <pt idx="1646">
                  <v>-0.2022822910302593</v>
                </pt>
                <pt idx="1647">
                  <v>-0.2022822910302593</v>
                </pt>
                <pt idx="1648">
                  <v>-0.2022822910302593</v>
                </pt>
                <pt idx="1649">
                  <v>-0.2022822910302593</v>
                </pt>
                <pt idx="1650">
                  <v>-0.2022822910302593</v>
                </pt>
                <pt idx="1651">
                  <v>-0.2022822910302593</v>
                </pt>
                <pt idx="1652">
                  <v>-0.2022822910302593</v>
                </pt>
                <pt idx="1653">
                  <v>-0.2022822910302593</v>
                </pt>
                <pt idx="1654">
                  <v>-0.2022822910302593</v>
                </pt>
                <pt idx="1655">
                  <v>-0.2022822910302593</v>
                </pt>
                <pt idx="1656">
                  <v>-0.2022822910302593</v>
                </pt>
                <pt idx="1657">
                  <v>-0.2022822910302593</v>
                </pt>
                <pt idx="1658">
                  <v>-0.2022822910302593</v>
                </pt>
                <pt idx="1659">
                  <v>-0.2022822910302593</v>
                </pt>
                <pt idx="1660">
                  <v>-0.2022822910302593</v>
                </pt>
                <pt idx="1661">
                  <v>-0.2022822910302593</v>
                </pt>
                <pt idx="1662">
                  <v>-0.2022822910302593</v>
                </pt>
                <pt idx="1663">
                  <v>-0.2022822910302593</v>
                </pt>
                <pt idx="1664">
                  <v>-0.2022822910302593</v>
                </pt>
                <pt idx="1665">
                  <v>-0.2022822910302593</v>
                </pt>
                <pt idx="1666">
                  <v>-0.2022822910302593</v>
                </pt>
                <pt idx="1667">
                  <v>-0.2022822910302593</v>
                </pt>
                <pt idx="1668">
                  <v>-0.2022822910302593</v>
                </pt>
                <pt idx="1669">
                  <v>-0.2022822910302593</v>
                </pt>
                <pt idx="1670">
                  <v>-0.2022822910302593</v>
                </pt>
                <pt idx="1671">
                  <v>-0.2022822910302593</v>
                </pt>
                <pt idx="1672">
                  <v>-0.2022822910302593</v>
                </pt>
                <pt idx="1673">
                  <v>-0.2022822910302593</v>
                </pt>
                <pt idx="1674">
                  <v>-0.2022822910302593</v>
                </pt>
                <pt idx="1675">
                  <v>-0.2022822910302593</v>
                </pt>
                <pt idx="1676">
                  <v>-0.2022822910302593</v>
                </pt>
                <pt idx="1677">
                  <v>-0.2022822910302593</v>
                </pt>
                <pt idx="1678">
                  <v>-0.2022822910302593</v>
                </pt>
                <pt idx="1679">
                  <v>-0.2022822910302593</v>
                </pt>
                <pt idx="1680">
                  <v>-0.2022822910302593</v>
                </pt>
                <pt idx="1681">
                  <v>-0.2022822910302593</v>
                </pt>
                <pt idx="1682">
                  <v>-0.2022822910302593</v>
                </pt>
                <pt idx="1683">
                  <v>-0.2022822910302593</v>
                </pt>
                <pt idx="1684">
                  <v>-0.2022822910302593</v>
                </pt>
                <pt idx="1685">
                  <v>-0.2022822910302593</v>
                </pt>
                <pt idx="1686">
                  <v>-0.2022822910302593</v>
                </pt>
                <pt idx="1687">
                  <v>-0.2022822910302593</v>
                </pt>
                <pt idx="1688">
                  <v>-0.2022822910302593</v>
                </pt>
                <pt idx="1689">
                  <v>-0.2022822910302593</v>
                </pt>
                <pt idx="1690">
                  <v>-0.2022822910302593</v>
                </pt>
                <pt idx="1691">
                  <v>-0.2022822910302593</v>
                </pt>
                <pt idx="1692">
                  <v>-0.2022822910302593</v>
                </pt>
                <pt idx="1693">
                  <v>-0.2022822910302593</v>
                </pt>
                <pt idx="1694">
                  <v>-0.2022822910302593</v>
                </pt>
                <pt idx="1695">
                  <v>-0.2022822910302593</v>
                </pt>
                <pt idx="1696">
                  <v>-0.2022822910302593</v>
                </pt>
                <pt idx="1697">
                  <v>-0.2022822910302593</v>
                </pt>
                <pt idx="1698">
                  <v>-0.2022822910302593</v>
                </pt>
                <pt idx="1699">
                  <v>-0.2022822910302593</v>
                </pt>
                <pt idx="1700">
                  <v>-0.2022822910302593</v>
                </pt>
                <pt idx="1701">
                  <v>-0.2022822910302593</v>
                </pt>
                <pt idx="1702">
                  <v>-0.2022822910302593</v>
                </pt>
                <pt idx="1703">
                  <v>-0.2022822910302593</v>
                </pt>
                <pt idx="1704">
                  <v>-0.2022822910302593</v>
                </pt>
                <pt idx="1705">
                  <v>-0.2022822910302593</v>
                </pt>
                <pt idx="1706">
                  <v>-0.2022822910302593</v>
                </pt>
                <pt idx="1707">
                  <v>-0.2022822910302593</v>
                </pt>
                <pt idx="1708">
                  <v>-0.2022822910302593</v>
                </pt>
                <pt idx="1709">
                  <v>-0.2022822910302593</v>
                </pt>
                <pt idx="1710">
                  <v>-0.2022822910302593</v>
                </pt>
                <pt idx="1711">
                  <v>-0.2022822910302593</v>
                </pt>
                <pt idx="1712">
                  <v>-0.2022822910302593</v>
                </pt>
                <pt idx="1713">
                  <v>-0.2022822910302593</v>
                </pt>
                <pt idx="1714">
                  <v>-0.2022822910302593</v>
                </pt>
                <pt idx="1715">
                  <v>-0.2022822910302593</v>
                </pt>
                <pt idx="1716">
                  <v>-0.2022822910302593</v>
                </pt>
                <pt idx="1717">
                  <v>-0.2022822910302593</v>
                </pt>
                <pt idx="1718">
                  <v>-0.2022822910302593</v>
                </pt>
                <pt idx="1719">
                  <v>-0.2022822910302593</v>
                </pt>
                <pt idx="1720">
                  <v>-0.2022822910302593</v>
                </pt>
                <pt idx="1721">
                  <v>-0.2022822910302593</v>
                </pt>
                <pt idx="1722">
                  <v>-0.2022822910302593</v>
                </pt>
                <pt idx="1723">
                  <v>-0.2022822910302593</v>
                </pt>
                <pt idx="1724">
                  <v>-0.2022822910302593</v>
                </pt>
                <pt idx="1725">
                  <v>-0.2022822910302593</v>
                </pt>
                <pt idx="1726">
                  <v>-0.2022822910302593</v>
                </pt>
                <pt idx="1727">
                  <v>-0.2022822910302593</v>
                </pt>
                <pt idx="1728">
                  <v>-0.2022822910302593</v>
                </pt>
                <pt idx="1729">
                  <v>-0.2022822910302593</v>
                </pt>
                <pt idx="1730">
                  <v>-0.2022822910302593</v>
                </pt>
                <pt idx="1731">
                  <v>-0.2022822910302593</v>
                </pt>
                <pt idx="1732">
                  <v>-0.2022822910302593</v>
                </pt>
                <pt idx="1733">
                  <v>-0.2022822910302593</v>
                </pt>
                <pt idx="1734">
                  <v>-0.2022822910302593</v>
                </pt>
                <pt idx="1735">
                  <v>-0.2022822910302593</v>
                </pt>
                <pt idx="1736">
                  <v>-0.2022822910302593</v>
                </pt>
                <pt idx="1737">
                  <v>-0.2022822910302593</v>
                </pt>
                <pt idx="1738">
                  <v>-0.2022822910302593</v>
                </pt>
                <pt idx="1739">
                  <v>-0.2022822910302593</v>
                </pt>
                <pt idx="1740">
                  <v>-0.2022822910302593</v>
                </pt>
                <pt idx="1741">
                  <v>-0.2022822910302593</v>
                </pt>
                <pt idx="1742">
                  <v>-0.2022822910302593</v>
                </pt>
                <pt idx="1743">
                  <v>-0.2022822910302593</v>
                </pt>
                <pt idx="1744">
                  <v>-0.2022822910302593</v>
                </pt>
                <pt idx="1745">
                  <v>-0.2022822910302593</v>
                </pt>
                <pt idx="1746">
                  <v>-0.2022822910302593</v>
                </pt>
                <pt idx="1747">
                  <v>-0.2022822910302593</v>
                </pt>
                <pt idx="1748">
                  <v>-0.2022822910302593</v>
                </pt>
                <pt idx="1749">
                  <v>-0.2022822910302593</v>
                </pt>
                <pt idx="1750">
                  <v>-0.2022822910302593</v>
                </pt>
                <pt idx="1751">
                  <v>-0.2022822910302593</v>
                </pt>
                <pt idx="1752">
                  <v>-0.2022822910302593</v>
                </pt>
                <pt idx="1753">
                  <v>-0.2022822910302593</v>
                </pt>
                <pt idx="1754">
                  <v>-0.2022822910302593</v>
                </pt>
                <pt idx="1755">
                  <v>-0.2022822910302593</v>
                </pt>
                <pt idx="1756">
                  <v>-0.2022822910302593</v>
                </pt>
                <pt idx="1757">
                  <v>-0.2022822910302593</v>
                </pt>
                <pt idx="1758">
                  <v>-0.2022822910302593</v>
                </pt>
                <pt idx="1759">
                  <v>-0.2022822910302593</v>
                </pt>
                <pt idx="1760">
                  <v>-0.2022822910302593</v>
                </pt>
                <pt idx="1761">
                  <v>-0.2022822910302593</v>
                </pt>
                <pt idx="1762">
                  <v>-0.2022822910302593</v>
                </pt>
                <pt idx="1763">
                  <v>-0.2022822910302593</v>
                </pt>
                <pt idx="1764">
                  <v>-0.2022822910302593</v>
                </pt>
                <pt idx="1765">
                  <v>-0.2022822910302593</v>
                </pt>
                <pt idx="1766">
                  <v>-0.2022822910302593</v>
                </pt>
                <pt idx="1767">
                  <v>-0.2022822910302593</v>
                </pt>
                <pt idx="1768">
                  <v>-0.2022822910302593</v>
                </pt>
                <pt idx="1769">
                  <v>-0.2022822910302593</v>
                </pt>
                <pt idx="1770">
                  <v>-0.2022822910302593</v>
                </pt>
                <pt idx="1771">
                  <v>-0.2022822910302593</v>
                </pt>
                <pt idx="1772">
                  <v>-0.2022822910302593</v>
                </pt>
                <pt idx="1773">
                  <v>-0.2022822910302593</v>
                </pt>
                <pt idx="1774">
                  <v>-0.2022822910302593</v>
                </pt>
                <pt idx="1775">
                  <v>-0.2022822910302593</v>
                </pt>
                <pt idx="1776">
                  <v>-0.2022822910302593</v>
                </pt>
                <pt idx="1777">
                  <v>-0.2022822910302593</v>
                </pt>
                <pt idx="1778">
                  <v>-0.2022822910302593</v>
                </pt>
                <pt idx="1779">
                  <v>-0.2022822910302593</v>
                </pt>
                <pt idx="1780">
                  <v>-0.2022822910302593</v>
                </pt>
                <pt idx="1781">
                  <v>-0.2022822910302593</v>
                </pt>
                <pt idx="1782">
                  <v>-0.2022822910302593</v>
                </pt>
                <pt idx="1783">
                  <v>-0.2022822910302593</v>
                </pt>
                <pt idx="1784">
                  <v>-0.2022822910302593</v>
                </pt>
                <pt idx="1785">
                  <v>-0.2022822910302593</v>
                </pt>
                <pt idx="1786">
                  <v>-0.2022822910302593</v>
                </pt>
                <pt idx="1787">
                  <v>-0.2022822910302593</v>
                </pt>
                <pt idx="1788">
                  <v>-0.2022822910302593</v>
                </pt>
                <pt idx="1789">
                  <v>-0.2022822910302593</v>
                </pt>
                <pt idx="1790">
                  <v>-0.2022822910302593</v>
                </pt>
                <pt idx="1791">
                  <v>-0.2022822910302593</v>
                </pt>
                <pt idx="1792">
                  <v>-0.2022822910302593</v>
                </pt>
                <pt idx="1793">
                  <v>-0.2022822910302593</v>
                </pt>
                <pt idx="1794">
                  <v>-0.2022822910302593</v>
                </pt>
                <pt idx="1795">
                  <v>-0.2022822910302593</v>
                </pt>
                <pt idx="1796">
                  <v>-0.2022822910302593</v>
                </pt>
                <pt idx="1797">
                  <v>-0.2022822910302593</v>
                </pt>
                <pt idx="1798">
                  <v>-0.2022822910302593</v>
                </pt>
                <pt idx="1799">
                  <v>-0.2022822910302593</v>
                </pt>
                <pt idx="1800">
                  <v>-0.2022822910302593</v>
                </pt>
                <pt idx="1801">
                  <v>-0.2022822910302593</v>
                </pt>
                <pt idx="1802">
                  <v>-0.2022822910302593</v>
                </pt>
                <pt idx="1803">
                  <v>-0.2022822910302593</v>
                </pt>
                <pt idx="1804">
                  <v>-0.2022822910302593</v>
                </pt>
                <pt idx="1805">
                  <v>-0.2022822910302593</v>
                </pt>
                <pt idx="1806">
                  <v>-0.2022822910302593</v>
                </pt>
                <pt idx="1807">
                  <v>-0.2022822910302593</v>
                </pt>
                <pt idx="1808">
                  <v>-0.2022822910302593</v>
                </pt>
                <pt idx="1809">
                  <v>-0.2022822910302593</v>
                </pt>
                <pt idx="1810">
                  <v>-0.2022822910302593</v>
                </pt>
                <pt idx="1811">
                  <v>-0.2022822910302593</v>
                </pt>
                <pt idx="1812">
                  <v>-0.2022822910302593</v>
                </pt>
                <pt idx="1813">
                  <v>-0.2022822910302593</v>
                </pt>
                <pt idx="1814">
                  <v>-0.2022822910302593</v>
                </pt>
                <pt idx="1815">
                  <v>-0.2022822910302593</v>
                </pt>
                <pt idx="1816">
                  <v>-0.2022822910302593</v>
                </pt>
                <pt idx="1817">
                  <v>-0.2022822910302593</v>
                </pt>
                <pt idx="1818">
                  <v>-0.2022822910302593</v>
                </pt>
                <pt idx="1819">
                  <v>-0.2022822910302593</v>
                </pt>
                <pt idx="1820">
                  <v>-0.2022822910302593</v>
                </pt>
                <pt idx="1821">
                  <v>-0.2022822910302593</v>
                </pt>
                <pt idx="1822">
                  <v>-0.2022822910302593</v>
                </pt>
                <pt idx="1823">
                  <v>-0.2022822910302593</v>
                </pt>
                <pt idx="1824">
                  <v>-0.2022822910302593</v>
                </pt>
                <pt idx="1825">
                  <v>-0.2022822910302593</v>
                </pt>
                <pt idx="1826">
                  <v>-0.2022822910302593</v>
                </pt>
                <pt idx="1827">
                  <v>-0.2022822910302593</v>
                </pt>
                <pt idx="1828">
                  <v>-0.2022822910302593</v>
                </pt>
                <pt idx="1829">
                  <v>-0.2022822910302593</v>
                </pt>
                <pt idx="1830">
                  <v>-0.2022822910302593</v>
                </pt>
                <pt idx="1831">
                  <v>-0.2022822910302593</v>
                </pt>
                <pt idx="1832">
                  <v>-0.2022822910302593</v>
                </pt>
                <pt idx="1833">
                  <v>-0.2022822910302593</v>
                </pt>
                <pt idx="1834">
                  <v>-0.2022822910302593</v>
                </pt>
                <pt idx="1835">
                  <v>-0.2022822910302593</v>
                </pt>
                <pt idx="1836">
                  <v>-0.2022822910302593</v>
                </pt>
                <pt idx="1837">
                  <v>-0.2022822910302593</v>
                </pt>
                <pt idx="1838">
                  <v>-0.2022822910302593</v>
                </pt>
                <pt idx="1839">
                  <v>-0.2022822910302593</v>
                </pt>
                <pt idx="1840">
                  <v>-0.2022822910302593</v>
                </pt>
                <pt idx="1841">
                  <v>-0.2022822910302593</v>
                </pt>
                <pt idx="1842">
                  <v>-0.2022822910302593</v>
                </pt>
                <pt idx="1843">
                  <v>-0.2022822910302593</v>
                </pt>
                <pt idx="1844">
                  <v>-0.2022822910302593</v>
                </pt>
                <pt idx="1845">
                  <v>-0.2022822910302593</v>
                </pt>
                <pt idx="1846">
                  <v>-0.2022822910302593</v>
                </pt>
                <pt idx="1847">
                  <v>-0.2022822910302593</v>
                </pt>
                <pt idx="1848">
                  <v>-0.2022822910302593</v>
                </pt>
                <pt idx="1849">
                  <v>-0.2022822910302593</v>
                </pt>
                <pt idx="1850">
                  <v>-0.2022822910302593</v>
                </pt>
                <pt idx="1851">
                  <v>-0.2022822910302593</v>
                </pt>
                <pt idx="1852">
                  <v>-0.2022822910302593</v>
                </pt>
                <pt idx="1853">
                  <v>-0.2022822910302593</v>
                </pt>
                <pt idx="1854">
                  <v>-0.2022822910302593</v>
                </pt>
                <pt idx="1855">
                  <v>-0.2022822910302593</v>
                </pt>
                <pt idx="1856">
                  <v>-0.2022822910302593</v>
                </pt>
                <pt idx="1857">
                  <v>-0.2022822910302593</v>
                </pt>
                <pt idx="1858">
                  <v>-0.2022822910302593</v>
                </pt>
                <pt idx="1859">
                  <v>-0.2022822910302593</v>
                </pt>
                <pt idx="1860">
                  <v>-0.2022822910302593</v>
                </pt>
                <pt idx="1861">
                  <v>-0.2022822910302593</v>
                </pt>
                <pt idx="1862">
                  <v>-0.2022822910302593</v>
                </pt>
                <pt idx="1863">
                  <v>-0.2022822910302593</v>
                </pt>
                <pt idx="1864">
                  <v>-0.2022822910302593</v>
                </pt>
                <pt idx="1865">
                  <v>-0.2022822910302593</v>
                </pt>
                <pt idx="1866">
                  <v>-0.2022822910302593</v>
                </pt>
                <pt idx="1867">
                  <v>-0.2022822910302593</v>
                </pt>
                <pt idx="1868">
                  <v>-0.2022822910302593</v>
                </pt>
                <pt idx="1869">
                  <v>-0.2022822910302593</v>
                </pt>
                <pt idx="1870">
                  <v>-0.2022822910302593</v>
                </pt>
                <pt idx="1871">
                  <v>-0.2022822910302593</v>
                </pt>
                <pt idx="1872">
                  <v>-0.2022822910302593</v>
                </pt>
                <pt idx="1873">
                  <v>-0.2022822910302593</v>
                </pt>
                <pt idx="1874">
                  <v>-0.2022822910302593</v>
                </pt>
                <pt idx="1875">
                  <v>-0.2022822910302593</v>
                </pt>
                <pt idx="1876">
                  <v>-0.2022822910302593</v>
                </pt>
                <pt idx="1877">
                  <v>-0.2022822910302593</v>
                </pt>
                <pt idx="1878">
                  <v>-0.2022822910302593</v>
                </pt>
                <pt idx="1879">
                  <v>-0.2022822910302593</v>
                </pt>
                <pt idx="1880">
                  <v>-0.2022822910302593</v>
                </pt>
                <pt idx="1881">
                  <v>-0.2022822910302593</v>
                </pt>
                <pt idx="1882">
                  <v>-0.2022822910302593</v>
                </pt>
                <pt idx="1883">
                  <v>-0.2022822910302593</v>
                </pt>
                <pt idx="1884">
                  <v>-0.2022822910302593</v>
                </pt>
                <pt idx="1885">
                  <v>-0.2022822910302593</v>
                </pt>
                <pt idx="1886">
                  <v>-0.2022822910302593</v>
                </pt>
                <pt idx="1887">
                  <v>-0.2022822910302593</v>
                </pt>
                <pt idx="1888">
                  <v>-0.2022822910302593</v>
                </pt>
                <pt idx="1889">
                  <v>-0.2022822910302593</v>
                </pt>
                <pt idx="1890">
                  <v>-0.2022822910302593</v>
                </pt>
                <pt idx="1891">
                  <v>-0.2022822910302593</v>
                </pt>
                <pt idx="1892">
                  <v>-0.2022822910302593</v>
                </pt>
                <pt idx="1893">
                  <v>-0.2022822910302593</v>
                </pt>
                <pt idx="1894">
                  <v>-0.2022822910302593</v>
                </pt>
                <pt idx="1895">
                  <v>-0.2022822910302593</v>
                </pt>
                <pt idx="1896">
                  <v>-0.2022822910302593</v>
                </pt>
                <pt idx="1897">
                  <v>-0.2022822910302593</v>
                </pt>
                <pt idx="1898">
                  <v>-0.2022822910302593</v>
                </pt>
                <pt idx="1899">
                  <v>-0.2022822910302593</v>
                </pt>
                <pt idx="1900">
                  <v>-0.2022822910302593</v>
                </pt>
                <pt idx="1901">
                  <v>-0.2022822910302593</v>
                </pt>
                <pt idx="1902">
                  <v>-0.2022822910302593</v>
                </pt>
                <pt idx="1903">
                  <v>-0.2022822910302593</v>
                </pt>
                <pt idx="1904">
                  <v>-0.2022822910302593</v>
                </pt>
                <pt idx="1905">
                  <v>-0.2022822910302593</v>
                </pt>
                <pt idx="1906">
                  <v>-0.2022822910302593</v>
                </pt>
                <pt idx="1907">
                  <v>-0.2022822910302593</v>
                </pt>
                <pt idx="1908">
                  <v>-0.2022822910302593</v>
                </pt>
                <pt idx="1909">
                  <v>-0.2022822910302593</v>
                </pt>
                <pt idx="1910">
                  <v>-0.2022822910302593</v>
                </pt>
                <pt idx="1911">
                  <v>-0.2022822910302593</v>
                </pt>
                <pt idx="1912">
                  <v>-0.2022822910302593</v>
                </pt>
                <pt idx="1913">
                  <v>-0.2022822910302593</v>
                </pt>
                <pt idx="1914">
                  <v>-0.2022822910302593</v>
                </pt>
                <pt idx="1915">
                  <v>-0.2022822910302593</v>
                </pt>
                <pt idx="1916">
                  <v>-0.2022822910302593</v>
                </pt>
                <pt idx="1917">
                  <v>-0.2022822910302593</v>
                </pt>
                <pt idx="1918">
                  <v>-0.2022822910302593</v>
                </pt>
                <pt idx="1919">
                  <v>-0.2022822910302593</v>
                </pt>
                <pt idx="1920">
                  <v>-0.2022822910302593</v>
                </pt>
                <pt idx="1921">
                  <v>-0.2022822910302593</v>
                </pt>
                <pt idx="1922">
                  <v>-0.2022822910302593</v>
                </pt>
                <pt idx="1923">
                  <v>-0.2022822910302593</v>
                </pt>
                <pt idx="1924">
                  <v>-0.2022822910302593</v>
                </pt>
                <pt idx="1925">
                  <v>-0.2022822910302593</v>
                </pt>
                <pt idx="1926">
                  <v>-0.2022822910302593</v>
                </pt>
                <pt idx="1927">
                  <v>-0.2022822910302593</v>
                </pt>
                <pt idx="1928">
                  <v>-0.2022822910302593</v>
                </pt>
                <pt idx="1929">
                  <v>-0.2022822910302593</v>
                </pt>
                <pt idx="1930">
                  <v>-0.2022822910302593</v>
                </pt>
                <pt idx="1931">
                  <v>-0.2022822910302593</v>
                </pt>
                <pt idx="1932">
                  <v>-0.2022822910302593</v>
                </pt>
                <pt idx="1933">
                  <v>-0.2022822910302593</v>
                </pt>
                <pt idx="1934">
                  <v>-0.2022822910302593</v>
                </pt>
                <pt idx="1935">
                  <v>-0.2022822910302593</v>
                </pt>
                <pt idx="1936">
                  <v>-0.2022822910302593</v>
                </pt>
                <pt idx="1937">
                  <v>-0.2022822910302593</v>
                </pt>
                <pt idx="1938">
                  <v>-0.2022822910302593</v>
                </pt>
                <pt idx="1939">
                  <v>-0.2022822910302593</v>
                </pt>
                <pt idx="1940">
                  <v>-0.2022822910302593</v>
                </pt>
                <pt idx="1941">
                  <v>-0.2022822910302593</v>
                </pt>
                <pt idx="1942">
                  <v>-0.2022822910302593</v>
                </pt>
                <pt idx="1943">
                  <v>-0.2022822910302593</v>
                </pt>
                <pt idx="1944">
                  <v>-0.2022822910302593</v>
                </pt>
                <pt idx="1945">
                  <v>-0.2022822910302593</v>
                </pt>
                <pt idx="1946">
                  <v>-0.2022822910302593</v>
                </pt>
                <pt idx="1947">
                  <v>-0.2022822910302593</v>
                </pt>
                <pt idx="1948">
                  <v>-0.2022822910302593</v>
                </pt>
                <pt idx="1949">
                  <v>-0.2022822910302593</v>
                </pt>
                <pt idx="1950">
                  <v>-0.2022822910302593</v>
                </pt>
                <pt idx="1951">
                  <v>-0.2022822910302593</v>
                </pt>
                <pt idx="1952">
                  <v>-0.2022822910302593</v>
                </pt>
                <pt idx="1953">
                  <v>-0.2022822910302593</v>
                </pt>
                <pt idx="1954">
                  <v>-0.2022822910302593</v>
                </pt>
                <pt idx="1955">
                  <v>-0.2022822910302593</v>
                </pt>
                <pt idx="1956">
                  <v>-0.2022822910302593</v>
                </pt>
                <pt idx="1957">
                  <v>-0.2022822910302593</v>
                </pt>
                <pt idx="1958">
                  <v>-0.2022822910302593</v>
                </pt>
                <pt idx="1959">
                  <v>-0.2022822910302593</v>
                </pt>
                <pt idx="1960">
                  <v>-0.2022822910302593</v>
                </pt>
                <pt idx="1961">
                  <v>-0.2022822910302593</v>
                </pt>
                <pt idx="1962">
                  <v>-0.2022822910302593</v>
                </pt>
                <pt idx="1963">
                  <v>-0.2022822910302593</v>
                </pt>
                <pt idx="1964">
                  <v>-0.2022822910302593</v>
                </pt>
                <pt idx="1965">
                  <v>-0.2022822910302593</v>
                </pt>
                <pt idx="1966">
                  <v>-0.2022822910302593</v>
                </pt>
                <pt idx="1967">
                  <v>-0.2022822910302593</v>
                </pt>
                <pt idx="1968">
                  <v>-0.2022822910302593</v>
                </pt>
                <pt idx="1969">
                  <v>-0.2022822910302593</v>
                </pt>
                <pt idx="1970">
                  <v>-0.2022822910302593</v>
                </pt>
                <pt idx="1971">
                  <v>-0.2022822910302593</v>
                </pt>
                <pt idx="1972">
                  <v>-0.2022822910302593</v>
                </pt>
                <pt idx="1973">
                  <v>-0.2022822910302593</v>
                </pt>
                <pt idx="1974">
                  <v>-0.2022822910302593</v>
                </pt>
                <pt idx="1975">
                  <v>-0.2022822910302593</v>
                </pt>
                <pt idx="1976">
                  <v>-0.2022822910302593</v>
                </pt>
                <pt idx="1977">
                  <v>-0.2022822910302593</v>
                </pt>
                <pt idx="1978">
                  <v>-0.2022822910302593</v>
                </pt>
                <pt idx="1979">
                  <v>-0.2022822910302593</v>
                </pt>
                <pt idx="1980">
                  <v>-0.2022822910302593</v>
                </pt>
                <pt idx="1981">
                  <v>-0.2022822910302593</v>
                </pt>
                <pt idx="1982">
                  <v>-0.2022822910302593</v>
                </pt>
                <pt idx="1983">
                  <v>-0.2022822910302593</v>
                </pt>
                <pt idx="1984">
                  <v>-0.2022822910302593</v>
                </pt>
                <pt idx="1985">
                  <v>-0.2022822910302593</v>
                </pt>
                <pt idx="1986">
                  <v>-0.2022822910302593</v>
                </pt>
                <pt idx="1987">
                  <v>-0.2022822910302593</v>
                </pt>
                <pt idx="1988">
                  <v>-0.2022822910302593</v>
                </pt>
                <pt idx="1989">
                  <v>-0.2022822910302593</v>
                </pt>
                <pt idx="1990">
                  <v>-0.2022822910302593</v>
                </pt>
                <pt idx="1991">
                  <v>-0.2022822910302593</v>
                </pt>
                <pt idx="1992">
                  <v>-0.2022822910302593</v>
                </pt>
                <pt idx="1993">
                  <v>-0.2022822910302593</v>
                </pt>
                <pt idx="1994">
                  <v>-0.2022822910302593</v>
                </pt>
                <pt idx="1995">
                  <v>-0.2022822910302593</v>
                </pt>
                <pt idx="1996">
                  <v>-0.2022822910302593</v>
                </pt>
                <pt idx="1997">
                  <v>-0.2022822910302593</v>
                </pt>
                <pt idx="1998">
                  <v>-0.2022822910302593</v>
                </pt>
                <pt idx="1999">
                  <v>-0.2022822910302593</v>
                </pt>
                <pt idx="2000">
                  <v>-0.2022822910302593</v>
                </pt>
                <pt idx="2001">
                  <v>-0.2022822910302593</v>
                </pt>
                <pt idx="2002">
                  <v>-0.2022822910302593</v>
                </pt>
                <pt idx="2003">
                  <v>-0.2022822910302593</v>
                </pt>
                <pt idx="2004">
                  <v>-0.2022822910302593</v>
                </pt>
                <pt idx="2005">
                  <v>-0.2022822910302593</v>
                </pt>
                <pt idx="2006">
                  <v>-0.2022822910302593</v>
                </pt>
                <pt idx="2007">
                  <v>-0.2022822910302593</v>
                </pt>
                <pt idx="2008">
                  <v>-0.2022822910302593</v>
                </pt>
                <pt idx="2009">
                  <v>-0.2022822910302593</v>
                </pt>
                <pt idx="2010">
                  <v>-0.2022822910302593</v>
                </pt>
                <pt idx="2011">
                  <v>-0.2022822910302593</v>
                </pt>
                <pt idx="2012">
                  <v>-0.2022822910302593</v>
                </pt>
                <pt idx="2013">
                  <v>-0.2022822910302593</v>
                </pt>
                <pt idx="2014">
                  <v>-0.2022822910302593</v>
                </pt>
                <pt idx="2015">
                  <v>-0.2022822910302593</v>
                </pt>
                <pt idx="2016">
                  <v>-0.2022822910302593</v>
                </pt>
                <pt idx="2017">
                  <v>-0.2022822910302593</v>
                </pt>
                <pt idx="2018">
                  <v>-0.2022822910302593</v>
                </pt>
                <pt idx="2019">
                  <v>-0.2022822910302593</v>
                </pt>
                <pt idx="2020">
                  <v>-0.2022822910302593</v>
                </pt>
                <pt idx="2021">
                  <v>-0.2022822910302593</v>
                </pt>
                <pt idx="2022">
                  <v>-0.2022822910302593</v>
                </pt>
                <pt idx="2023">
                  <v>-0.2022822910302593</v>
                </pt>
                <pt idx="2024">
                  <v>-0.2022822910302593</v>
                </pt>
                <pt idx="2025">
                  <v>-0.2022822910302593</v>
                </pt>
                <pt idx="2026">
                  <v>-0.2022822910302593</v>
                </pt>
                <pt idx="2027">
                  <v>-0.2022822910302593</v>
                </pt>
                <pt idx="2028">
                  <v>-0.2022822910302593</v>
                </pt>
                <pt idx="2029">
                  <v>-0.2022822910302593</v>
                </pt>
                <pt idx="2030">
                  <v>-0.2022822910302593</v>
                </pt>
                <pt idx="2031">
                  <v>-0.2022822910302593</v>
                </pt>
                <pt idx="2032">
                  <v>-0.2022822910302593</v>
                </pt>
                <pt idx="2033">
                  <v>-0.2022822910302593</v>
                </pt>
                <pt idx="2034">
                  <v>-0.2022822910302593</v>
                </pt>
                <pt idx="2035">
                  <v>-0.2022822910302593</v>
                </pt>
                <pt idx="2036">
                  <v>-0.2022822910302593</v>
                </pt>
                <pt idx="2037">
                  <v>-0.2022822910302593</v>
                </pt>
                <pt idx="2038">
                  <v>-0.2022822910302593</v>
                </pt>
                <pt idx="2039">
                  <v>-0.2022822910302593</v>
                </pt>
                <pt idx="2040">
                  <v>-0.2022822910302593</v>
                </pt>
                <pt idx="2041">
                  <v>-0.2022822910302593</v>
                </pt>
                <pt idx="2042">
                  <v>-0.2022822910302593</v>
                </pt>
                <pt idx="2043">
                  <v>-0.2022822910302593</v>
                </pt>
                <pt idx="2044">
                  <v>-0.2022822910302593</v>
                </pt>
                <pt idx="2045">
                  <v>-0.2022822910302593</v>
                </pt>
                <pt idx="2046">
                  <v>-0.2022822910302593</v>
                </pt>
                <pt idx="2047">
                  <v>-0.2022822910302593</v>
                </pt>
                <pt idx="2048">
                  <v>-0.2022822910302593</v>
                </pt>
                <pt idx="2049">
                  <v>-0.2022822910302593</v>
                </pt>
                <pt idx="2050">
                  <v>-0.2022822910302593</v>
                </pt>
                <pt idx="2051">
                  <v>-0.2022822910302593</v>
                </pt>
                <pt idx="2052">
                  <v>-0.2022822910302593</v>
                </pt>
                <pt idx="2053">
                  <v>-0.2022822910302593</v>
                </pt>
                <pt idx="2054">
                  <v>-0.2022822910302593</v>
                </pt>
                <pt idx="2055">
                  <v>-0.2022822910302593</v>
                </pt>
                <pt idx="2056">
                  <v>-0.2022822910302593</v>
                </pt>
                <pt idx="2057">
                  <v>-0.2022822910302593</v>
                </pt>
                <pt idx="2058">
                  <v>-0.2022822910302593</v>
                </pt>
                <pt idx="2059">
                  <v>-0.2022822910302593</v>
                </pt>
                <pt idx="2060">
                  <v>-0.2022822910302593</v>
                </pt>
                <pt idx="2061">
                  <v>-0.2022822910302593</v>
                </pt>
                <pt idx="2062">
                  <v>-0.2022822910302593</v>
                </pt>
                <pt idx="2063">
                  <v>-0.2022822910302593</v>
                </pt>
                <pt idx="2064">
                  <v>-0.2022822910302593</v>
                </pt>
                <pt idx="2065">
                  <v>-0.2022822910302593</v>
                </pt>
                <pt idx="2066">
                  <v>-0.2022822910302593</v>
                </pt>
                <pt idx="2067">
                  <v>-0.2022822910302593</v>
                </pt>
                <pt idx="2068">
                  <v>-0.2022822910302593</v>
                </pt>
                <pt idx="2069">
                  <v>-0.2022822910302593</v>
                </pt>
                <pt idx="2070">
                  <v>-0.2022822910302593</v>
                </pt>
                <pt idx="2071">
                  <v>-0.2022822910302593</v>
                </pt>
                <pt idx="2072">
                  <v>-0.2022822910302593</v>
                </pt>
                <pt idx="2073">
                  <v>-0.2022822910302593</v>
                </pt>
                <pt idx="2074">
                  <v>-0.2022822910302593</v>
                </pt>
                <pt idx="2075">
                  <v>-0.2022822910302593</v>
                </pt>
                <pt idx="2076">
                  <v>-0.2022822910302593</v>
                </pt>
                <pt idx="2077">
                  <v>-0.2022822910302593</v>
                </pt>
                <pt idx="2078">
                  <v>-0.2022822910302593</v>
                </pt>
                <pt idx="2079">
                  <v>-0.2022822910302593</v>
                </pt>
                <pt idx="2080">
                  <v>-0.2022822910302593</v>
                </pt>
                <pt idx="2081">
                  <v>-0.2022822910302593</v>
                </pt>
                <pt idx="2082">
                  <v>-0.2022822910302593</v>
                </pt>
                <pt idx="2083">
                  <v>-0.2022822910302593</v>
                </pt>
                <pt idx="2084">
                  <v>-0.2022822910302593</v>
                </pt>
                <pt idx="2085">
                  <v>-0.2022822910302593</v>
                </pt>
                <pt idx="2086">
                  <v>-0.2022822910302593</v>
                </pt>
                <pt idx="2087">
                  <v>-0.2022822910302593</v>
                </pt>
                <pt idx="2088">
                  <v>-0.2022822910302593</v>
                </pt>
                <pt idx="2089">
                  <v>-0.2022822910302593</v>
                </pt>
                <pt idx="2090">
                  <v>-0.2022822910302593</v>
                </pt>
                <pt idx="2091">
                  <v>-0.2022822910302593</v>
                </pt>
                <pt idx="2092">
                  <v>-0.2022822910302593</v>
                </pt>
                <pt idx="2093">
                  <v>-0.2022822910302593</v>
                </pt>
                <pt idx="2094">
                  <v>-0.2022822910302593</v>
                </pt>
                <pt idx="2095">
                  <v>-0.2022822910302593</v>
                </pt>
                <pt idx="2096">
                  <v>-0.2022822910302593</v>
                </pt>
                <pt idx="2097">
                  <v>-0.2022822910302593</v>
                </pt>
                <pt idx="2098">
                  <v>-0.2022822910302593</v>
                </pt>
                <pt idx="2099">
                  <v>-0.2022822910302593</v>
                </pt>
                <pt idx="2100">
                  <v>-0.2022822910302593</v>
                </pt>
                <pt idx="2101">
                  <v>-0.2022822910302593</v>
                </pt>
                <pt idx="2102">
                  <v>-0.2022822910302593</v>
                </pt>
                <pt idx="2103">
                  <v>-0.2022822910302593</v>
                </pt>
                <pt idx="2104">
                  <v>-0.2022822910302593</v>
                </pt>
                <pt idx="2105">
                  <v>-0.2022822910302593</v>
                </pt>
                <pt idx="2106">
                  <v>-0.2022822910302593</v>
                </pt>
                <pt idx="2107">
                  <v>-0.2022822910302593</v>
                </pt>
                <pt idx="2108">
                  <v>-0.2022822910302593</v>
                </pt>
                <pt idx="2109">
                  <v>-0.2022822910302593</v>
                </pt>
                <pt idx="2110">
                  <v>-0.2022822910302593</v>
                </pt>
                <pt idx="2111">
                  <v>-0.2022822910302593</v>
                </pt>
                <pt idx="2112">
                  <v>-0.2022822910302593</v>
                </pt>
                <pt idx="2113">
                  <v>-0.2022822910302593</v>
                </pt>
                <pt idx="2114">
                  <v>-0.2022822910302593</v>
                </pt>
                <pt idx="2115">
                  <v>-0.2022822910302593</v>
                </pt>
                <pt idx="2116">
                  <v>-0.2022822910302593</v>
                </pt>
                <pt idx="2117">
                  <v>-0.2022822910302593</v>
                </pt>
                <pt idx="2118">
                  <v>-0.2022822910302593</v>
                </pt>
                <pt idx="2119">
                  <v>-0.2022822910302593</v>
                </pt>
                <pt idx="2120">
                  <v>-0.2022822910302593</v>
                </pt>
                <pt idx="2121">
                  <v>-0.2022822910302593</v>
                </pt>
                <pt idx="2122">
                  <v>-0.2022822910302593</v>
                </pt>
                <pt idx="2123">
                  <v>-0.2022822910302593</v>
                </pt>
                <pt idx="2124">
                  <v>-0.2022822910302593</v>
                </pt>
                <pt idx="2125">
                  <v>-0.2022822910302593</v>
                </pt>
                <pt idx="2126">
                  <v>-0.2022822910302593</v>
                </pt>
                <pt idx="2127">
                  <v>-0.2022822910302593</v>
                </pt>
                <pt idx="2128">
                  <v>-0.2022822910302593</v>
                </pt>
                <pt idx="2129">
                  <v>-0.2022822910302593</v>
                </pt>
                <pt idx="2130">
                  <v>-0.2022822910302593</v>
                </pt>
                <pt idx="2131">
                  <v>-0.2022822910302593</v>
                </pt>
                <pt idx="2132">
                  <v>-0.2022822910302593</v>
                </pt>
                <pt idx="2133">
                  <v>-0.2022822910302593</v>
                </pt>
                <pt idx="2134">
                  <v>-0.2022822910302593</v>
                </pt>
                <pt idx="2135">
                  <v>-0.2022822910302593</v>
                </pt>
                <pt idx="2136">
                  <v>-0.2022822910302593</v>
                </pt>
                <pt idx="2137">
                  <v>-0.2022822910302593</v>
                </pt>
                <pt idx="2138">
                  <v>-0.2022822910302593</v>
                </pt>
                <pt idx="2139">
                  <v>-0.2022822910302593</v>
                </pt>
                <pt idx="2140">
                  <v>-0.2022822910302593</v>
                </pt>
                <pt idx="2141">
                  <v>-0.2022822910302593</v>
                </pt>
                <pt idx="2142">
                  <v>-0.2022822910302593</v>
                </pt>
                <pt idx="2143">
                  <v>-0.2022822910302593</v>
                </pt>
                <pt idx="2144">
                  <v>-0.2022822910302593</v>
                </pt>
                <pt idx="2145">
                  <v>-0.2022822910302593</v>
                </pt>
                <pt idx="2146">
                  <v>-0.2022822910302593</v>
                </pt>
                <pt idx="2147">
                  <v>-0.2022822910302593</v>
                </pt>
                <pt idx="2148">
                  <v>-0.2022822910302593</v>
                </pt>
                <pt idx="2149">
                  <v>-0.2022822910302593</v>
                </pt>
                <pt idx="2150">
                  <v>-0.2022822910302593</v>
                </pt>
                <pt idx="2151">
                  <v>-0.2022822910302593</v>
                </pt>
                <pt idx="2152">
                  <v>-0.2022822910302593</v>
                </pt>
                <pt idx="2153">
                  <v>-0.2022822910302593</v>
                </pt>
                <pt idx="2154">
                  <v>-0.2022822910302593</v>
                </pt>
                <pt idx="2155">
                  <v>-0.2022822910302593</v>
                </pt>
                <pt idx="2156">
                  <v>-0.2022822910302593</v>
                </pt>
                <pt idx="2157">
                  <v>-0.2022822910302593</v>
                </pt>
                <pt idx="2158">
                  <v>-0.2022822910302593</v>
                </pt>
                <pt idx="2159">
                  <v>-0.2022822910302593</v>
                </pt>
                <pt idx="2160">
                  <v>-0.2022822910302593</v>
                </pt>
                <pt idx="2161">
                  <v>-0.2022822910302593</v>
                </pt>
                <pt idx="2162">
                  <v>-0.2022822910302593</v>
                </pt>
                <pt idx="2163">
                  <v>-0.2022822910302593</v>
                </pt>
                <pt idx="2164">
                  <v>-0.2022822910302593</v>
                </pt>
                <pt idx="2165">
                  <v>-0.2022822910302593</v>
                </pt>
                <pt idx="2166">
                  <v>-0.2022822910302593</v>
                </pt>
                <pt idx="2167">
                  <v>-0.2022822910302593</v>
                </pt>
                <pt idx="2168">
                  <v>-0.2022822910302593</v>
                </pt>
                <pt idx="2169">
                  <v>-0.2022822910302593</v>
                </pt>
                <pt idx="2170">
                  <v>-0.2022822910302593</v>
                </pt>
                <pt idx="2171">
                  <v>-0.2022822910302593</v>
                </pt>
                <pt idx="2172">
                  <v>-0.2022822910302593</v>
                </pt>
                <pt idx="2173">
                  <v>-0.2022822910302593</v>
                </pt>
                <pt idx="2174">
                  <v>-0.2022822910302593</v>
                </pt>
                <pt idx="2175">
                  <v>-0.2022822910302593</v>
                </pt>
                <pt idx="2176">
                  <v>-0.2022822910302593</v>
                </pt>
                <pt idx="2177">
                  <v>-0.2022822910302593</v>
                </pt>
                <pt idx="2178">
                  <v>-0.2022822910302593</v>
                </pt>
                <pt idx="2179">
                  <v>-0.2022822910302593</v>
                </pt>
                <pt idx="2180">
                  <v>-0.2022822910302593</v>
                </pt>
                <pt idx="2181">
                  <v>-0.2022822910302593</v>
                </pt>
                <pt idx="2182">
                  <v>-0.2022822910302593</v>
                </pt>
                <pt idx="2183">
                  <v>-0.2022822910302593</v>
                </pt>
                <pt idx="2184">
                  <v>-0.2022822910302593</v>
                </pt>
                <pt idx="2185">
                  <v>-0.2022822910302593</v>
                </pt>
                <pt idx="2186">
                  <v>-0.2022822910302593</v>
                </pt>
                <pt idx="2187">
                  <v>-0.2022822910302593</v>
                </pt>
                <pt idx="2188">
                  <v>-0.2022822910302593</v>
                </pt>
                <pt idx="2189">
                  <v>-0.2022822910302593</v>
                </pt>
                <pt idx="2190">
                  <v>-0.2022822910302593</v>
                </pt>
                <pt idx="2191">
                  <v>-0.2022822910302593</v>
                </pt>
                <pt idx="2192">
                  <v>-0.2022822910302593</v>
                </pt>
                <pt idx="2193">
                  <v>-0.2022822910302593</v>
                </pt>
                <pt idx="2194">
                  <v>-0.2022822910302593</v>
                </pt>
                <pt idx="2195">
                  <v>-0.2022822910302593</v>
                </pt>
                <pt idx="2196">
                  <v>-0.2022822910302593</v>
                </pt>
                <pt idx="2197">
                  <v>-0.2022822910302593</v>
                </pt>
                <pt idx="2198">
                  <v>-0.2022822910302593</v>
                </pt>
                <pt idx="2199">
                  <v>-0.2022822910302593</v>
                </pt>
                <pt idx="2200">
                  <v>-0.2022822910302593</v>
                </pt>
                <pt idx="2201">
                  <v>-0.2022822910302593</v>
                </pt>
                <pt idx="2202">
                  <v>-0.2022822910302593</v>
                </pt>
                <pt idx="2203">
                  <v>-0.2022822910302593</v>
                </pt>
                <pt idx="2204">
                  <v>-0.2022822910302593</v>
                </pt>
                <pt idx="2205">
                  <v>-0.2022822910302593</v>
                </pt>
                <pt idx="2206">
                  <v>-0.2022822910302593</v>
                </pt>
                <pt idx="2207">
                  <v>-0.2022822910302593</v>
                </pt>
                <pt idx="2208">
                  <v>-0.2022822910302593</v>
                </pt>
                <pt idx="2209">
                  <v>-0.2022822910302593</v>
                </pt>
                <pt idx="2210">
                  <v>-0.2022822910302593</v>
                </pt>
                <pt idx="2211">
                  <v>-0.2022822910302593</v>
                </pt>
                <pt idx="2212">
                  <v>-0.2022822910302593</v>
                </pt>
                <pt idx="2213">
                  <v>-0.2022822910302593</v>
                </pt>
                <pt idx="2214">
                  <v>-0.2022822910302593</v>
                </pt>
                <pt idx="2215">
                  <v>-0.2022822910302593</v>
                </pt>
                <pt idx="2216">
                  <v>-0.2022822910302593</v>
                </pt>
                <pt idx="2217">
                  <v>-0.2022822910302593</v>
                </pt>
                <pt idx="2218">
                  <v>-0.2022822910302593</v>
                </pt>
                <pt idx="2219">
                  <v>-0.2022822910302593</v>
                </pt>
                <pt idx="2220">
                  <v>-0.2022822910302593</v>
                </pt>
                <pt idx="2221">
                  <v>-0.2022822910302593</v>
                </pt>
                <pt idx="2222">
                  <v>-0.2022822910302593</v>
                </pt>
                <pt idx="2223">
                  <v>-0.2022822910302593</v>
                </pt>
                <pt idx="2224">
                  <v>-0.2022822910302593</v>
                </pt>
                <pt idx="2225">
                  <v>-0.2022822910302593</v>
                </pt>
                <pt idx="2226">
                  <v>-0.2022822910302593</v>
                </pt>
                <pt idx="2227">
                  <v>-0.2022822910302593</v>
                </pt>
                <pt idx="2228">
                  <v>-0.2022822910302593</v>
                </pt>
                <pt idx="2229">
                  <v>-0.2022822910302593</v>
                </pt>
                <pt idx="2230">
                  <v>-0.2022822910302593</v>
                </pt>
                <pt idx="2231">
                  <v>-0.2022822910302593</v>
                </pt>
                <pt idx="2232">
                  <v>-0.2022822910302593</v>
                </pt>
                <pt idx="2233">
                  <v>-0.2022822910302593</v>
                </pt>
                <pt idx="2234">
                  <v>-0.2022822910302593</v>
                </pt>
                <pt idx="2235">
                  <v>-0.2022822910302593</v>
                </pt>
                <pt idx="2236">
                  <v>-0.2022822910302593</v>
                </pt>
                <pt idx="2237">
                  <v>-0.2022822910302593</v>
                </pt>
                <pt idx="2238">
                  <v>-0.2022822910302593</v>
                </pt>
                <pt idx="2239">
                  <v>-0.2022822910302593</v>
                </pt>
                <pt idx="2240">
                  <v>-0.2022822910302593</v>
                </pt>
                <pt idx="2241">
                  <v>-0.2022822910302593</v>
                </pt>
                <pt idx="2242">
                  <v>-0.2022822910302593</v>
                </pt>
                <pt idx="2243">
                  <v>-0.2022822910302593</v>
                </pt>
                <pt idx="2244">
                  <v>-0.2022822910302593</v>
                </pt>
                <pt idx="2245">
                  <v>-0.2022822910302593</v>
                </pt>
                <pt idx="2246">
                  <v>-0.2022822910302593</v>
                </pt>
                <pt idx="2247">
                  <v>-0.2022822910302593</v>
                </pt>
                <pt idx="2248">
                  <v>-0.2022822910302593</v>
                </pt>
                <pt idx="2249">
                  <v>-0.2022822910302593</v>
                </pt>
                <pt idx="2250">
                  <v>-0.2022822910302593</v>
                </pt>
                <pt idx="2251">
                  <v>-0.2022822910302593</v>
                </pt>
                <pt idx="2252">
                  <v>-0.2022822910302593</v>
                </pt>
                <pt idx="2253">
                  <v>-0.2022822910302593</v>
                </pt>
                <pt idx="2254">
                  <v>-0.2022822910302593</v>
                </pt>
                <pt idx="2255">
                  <v>-0.2022822910302593</v>
                </pt>
                <pt idx="2256">
                  <v>-0.2022822910302593</v>
                </pt>
                <pt idx="2257">
                  <v>-0.2022822910302593</v>
                </pt>
                <pt idx="2258">
                  <v>-0.2022822910302593</v>
                </pt>
                <pt idx="2259">
                  <v>-0.2022822910302593</v>
                </pt>
                <pt idx="2260">
                  <v>-0.2022822910302593</v>
                </pt>
                <pt idx="2261">
                  <v>-0.2022822910302593</v>
                </pt>
                <pt idx="2262">
                  <v>-0.2022822910302593</v>
                </pt>
                <pt idx="2263">
                  <v>-0.2022822910302593</v>
                </pt>
                <pt idx="2264">
                  <v>-0.2022822910302593</v>
                </pt>
                <pt idx="2265">
                  <v>-0.2022822910302593</v>
                </pt>
                <pt idx="2266">
                  <v>-0.2022822910302593</v>
                </pt>
                <pt idx="2267">
                  <v>-0.2022822910302593</v>
                </pt>
                <pt idx="2268">
                  <v>-0.2022822910302593</v>
                </pt>
                <pt idx="2269">
                  <v>-0.2022822910302593</v>
                </pt>
                <pt idx="2270">
                  <v>-0.2022822910302593</v>
                </pt>
                <pt idx="2271">
                  <v>-0.2022822910302593</v>
                </pt>
                <pt idx="2272">
                  <v>-0.2022822910302593</v>
                </pt>
                <pt idx="2273">
                  <v>-0.2022822910302593</v>
                </pt>
                <pt idx="2274">
                  <v>-0.2022822910302593</v>
                </pt>
                <pt idx="2275">
                  <v>-0.2022822910302593</v>
                </pt>
                <pt idx="2276">
                  <v>-0.2022822910302593</v>
                </pt>
                <pt idx="2277">
                  <v>-0.2022822910302593</v>
                </pt>
                <pt idx="2278">
                  <v>-0.2022822910302593</v>
                </pt>
                <pt idx="2279">
                  <v>-0.2022822910302593</v>
                </pt>
                <pt idx="2280">
                  <v>-0.2022822910302593</v>
                </pt>
                <pt idx="2281">
                  <v>-0.2022822910302593</v>
                </pt>
                <pt idx="2282">
                  <v>-0.2022822910302593</v>
                </pt>
                <pt idx="2283">
                  <v>-0.2022822910302593</v>
                </pt>
                <pt idx="2284">
                  <v>-0.2022822910302593</v>
                </pt>
                <pt idx="2285">
                  <v>-0.2022822910302593</v>
                </pt>
                <pt idx="2286">
                  <v>-0.2022822910302593</v>
                </pt>
                <pt idx="2287">
                  <v>-0.2022822910302593</v>
                </pt>
                <pt idx="2288">
                  <v>-0.2022822910302593</v>
                </pt>
                <pt idx="2289">
                  <v>-0.2022822910302593</v>
                </pt>
                <pt idx="2290">
                  <v>-0.2022822910302593</v>
                </pt>
                <pt idx="2291">
                  <v>-0.2022822910302593</v>
                </pt>
                <pt idx="2292">
                  <v>-0.2022822910302593</v>
                </pt>
                <pt idx="2293">
                  <v>-0.2022822910302593</v>
                </pt>
                <pt idx="2294">
                  <v>-0.2022822910302593</v>
                </pt>
                <pt idx="2295">
                  <v>-0.2022822910302593</v>
                </pt>
                <pt idx="2296">
                  <v>-0.2022822910302593</v>
                </pt>
                <pt idx="2297">
                  <v>-0.2022822910302593</v>
                </pt>
                <pt idx="2298">
                  <v>-0.2022822910302593</v>
                </pt>
                <pt idx="2299">
                  <v>-0.2022822910302593</v>
                </pt>
                <pt idx="2300">
                  <v>-0.2022822910302593</v>
                </pt>
                <pt idx="2301">
                  <v>-0.2022822910302593</v>
                </pt>
                <pt idx="2302">
                  <v>-0.2022822910302593</v>
                </pt>
                <pt idx="2303">
                  <v>-0.2022822910302593</v>
                </pt>
                <pt idx="2304">
                  <v>-0.2022822910302593</v>
                </pt>
                <pt idx="2305">
                  <v>-0.2022822910302593</v>
                </pt>
                <pt idx="2306">
                  <v>-0.2022822910302593</v>
                </pt>
                <pt idx="2307">
                  <v>-0.2022822910302593</v>
                </pt>
                <pt idx="2308">
                  <v>-0.2022822910302593</v>
                </pt>
                <pt idx="2309">
                  <v>-0.2022822910302593</v>
                </pt>
                <pt idx="2310">
                  <v>-0.2022822910302593</v>
                </pt>
                <pt idx="2311">
                  <v>-0.2022822910302593</v>
                </pt>
                <pt idx="2312">
                  <v>-0.2022822910302593</v>
                </pt>
                <pt idx="2313">
                  <v>-0.2022822910302593</v>
                </pt>
                <pt idx="2314">
                  <v>-0.2022822910302593</v>
                </pt>
                <pt idx="2315">
                  <v>-0.2022822910302593</v>
                </pt>
                <pt idx="2316">
                  <v>-0.2022822910302593</v>
                </pt>
                <pt idx="2317">
                  <v>-0.2022822910302593</v>
                </pt>
                <pt idx="2318">
                  <v>-0.2022822910302593</v>
                </pt>
                <pt idx="2319">
                  <v>-0.2022822910302593</v>
                </pt>
                <pt idx="2320">
                  <v>-0.2022822910302593</v>
                </pt>
                <pt idx="2321">
                  <v>-0.2022822910302593</v>
                </pt>
                <pt idx="2322">
                  <v>-0.2022822910302593</v>
                </pt>
                <pt idx="2323">
                  <v>-0.2022822910302593</v>
                </pt>
                <pt idx="2324">
                  <v>-0.2022822910302593</v>
                </pt>
                <pt idx="2325">
                  <v>-0.2022822910302593</v>
                </pt>
                <pt idx="2326">
                  <v>-0.2022822910302593</v>
                </pt>
                <pt idx="2327">
                  <v>-0.2022822910302593</v>
                </pt>
                <pt idx="2328">
                  <v>-0.2022822910302593</v>
                </pt>
                <pt idx="2329">
                  <v>-0.2022822910302593</v>
                </pt>
                <pt idx="2330">
                  <v>-0.2022822910302593</v>
                </pt>
                <pt idx="2331">
                  <v>-0.2022822910302593</v>
                </pt>
                <pt idx="2332">
                  <v>-0.2022822910302593</v>
                </pt>
                <pt idx="2333">
                  <v>-0.2022822910302593</v>
                </pt>
                <pt idx="2334">
                  <v>-0.2022822910302593</v>
                </pt>
                <pt idx="2335">
                  <v>-0.2022822910302593</v>
                </pt>
                <pt idx="2336">
                  <v>-0.2022822910302593</v>
                </pt>
                <pt idx="2337">
                  <v>-0.2022822910302593</v>
                </pt>
                <pt idx="2338">
                  <v>-0.2022822910302593</v>
                </pt>
                <pt idx="2339">
                  <v>-0.2022822910302593</v>
                </pt>
                <pt idx="2340">
                  <v>-0.2022822910302593</v>
                </pt>
                <pt idx="2341">
                  <v>-0.2022822910302593</v>
                </pt>
                <pt idx="2342">
                  <v>-0.2022822910302593</v>
                </pt>
                <pt idx="2343">
                  <v>-0.2022822910302593</v>
                </pt>
                <pt idx="2344">
                  <v>-0.2022822910302593</v>
                </pt>
                <pt idx="2345">
                  <v>-0.2022822910302593</v>
                </pt>
                <pt idx="2346">
                  <v>-0.2022822910302593</v>
                </pt>
                <pt idx="2347">
                  <v>-0.2022822910302593</v>
                </pt>
                <pt idx="2348">
                  <v>-0.2022822910302593</v>
                </pt>
                <pt idx="2349">
                  <v>-0.2022822910302593</v>
                </pt>
                <pt idx="2350">
                  <v>-0.2022822910302593</v>
                </pt>
                <pt idx="2351">
                  <v>-0.2022822910302593</v>
                </pt>
                <pt idx="2352">
                  <v>-0.2022822910302593</v>
                </pt>
                <pt idx="2353">
                  <v>-0.2022822910302593</v>
                </pt>
                <pt idx="2354">
                  <v>-0.2022822910302593</v>
                </pt>
                <pt idx="2355">
                  <v>-0.2022822910302593</v>
                </pt>
                <pt idx="2356">
                  <v>-0.2022822910302593</v>
                </pt>
                <pt idx="2357">
                  <v>-0.2022822910302593</v>
                </pt>
                <pt idx="2358">
                  <v>-0.2022822910302593</v>
                </pt>
                <pt idx="2359">
                  <v>-0.2022822910302593</v>
                </pt>
                <pt idx="2360">
                  <v>-0.2022822910302593</v>
                </pt>
                <pt idx="2361">
                  <v>-0.2022822910302593</v>
                </pt>
                <pt idx="2362">
                  <v>-0.2022822910302593</v>
                </pt>
                <pt idx="2363">
                  <v>-0.2022822910302593</v>
                </pt>
                <pt idx="2364">
                  <v>-0.2022822910302593</v>
                </pt>
                <pt idx="2365">
                  <v>-0.2022822910302593</v>
                </pt>
                <pt idx="2366">
                  <v>-0.2022822910302593</v>
                </pt>
                <pt idx="2367">
                  <v>-0.2022822910302593</v>
                </pt>
                <pt idx="2368">
                  <v>-0.2022822910302593</v>
                </pt>
                <pt idx="2369">
                  <v>-0.2022822910302593</v>
                </pt>
                <pt idx="2370">
                  <v>-0.2022822910302593</v>
                </pt>
                <pt idx="2371">
                  <v>-0.2022822910302593</v>
                </pt>
                <pt idx="2372">
                  <v>-0.2022822910302593</v>
                </pt>
                <pt idx="2373">
                  <v>-0.2022822910302593</v>
                </pt>
                <pt idx="2374">
                  <v>-0.2022822910302593</v>
                </pt>
                <pt idx="2375">
                  <v>-0.2022822910302593</v>
                </pt>
                <pt idx="2376">
                  <v>-0.2022822910302593</v>
                </pt>
                <pt idx="2377">
                  <v>-0.2022822910302593</v>
                </pt>
                <pt idx="2378">
                  <v>-0.2022822910302593</v>
                </pt>
                <pt idx="2379">
                  <v>-0.2022822910302593</v>
                </pt>
                <pt idx="2380">
                  <v>-0.2022822910302593</v>
                </pt>
                <pt idx="2381">
                  <v>-0.2022822910302593</v>
                </pt>
                <pt idx="2382">
                  <v>-0.2022822910302593</v>
                </pt>
                <pt idx="2383">
                  <v>-0.2022822910302593</v>
                </pt>
                <pt idx="2384">
                  <v>-0.2022822910302593</v>
                </pt>
                <pt idx="2385">
                  <v>-0.2022822910302593</v>
                </pt>
                <pt idx="2386">
                  <v>-0.2022822910302593</v>
                </pt>
                <pt idx="2387">
                  <v>-0.2022822910302593</v>
                </pt>
                <pt idx="2388">
                  <v>-0.2022822910302593</v>
                </pt>
                <pt idx="2389">
                  <v>-0.2022822910302593</v>
                </pt>
                <pt idx="2390">
                  <v>-0.2022822910302593</v>
                </pt>
                <pt idx="2391">
                  <v>-0.2022822910302593</v>
                </pt>
                <pt idx="2392">
                  <v>-0.2022822910302593</v>
                </pt>
                <pt idx="2393">
                  <v>-0.2022822910302593</v>
                </pt>
                <pt idx="2394">
                  <v>-0.2022822910302593</v>
                </pt>
                <pt idx="2395">
                  <v>-0.2022822910302593</v>
                </pt>
                <pt idx="2396">
                  <v>-0.2022822910302593</v>
                </pt>
                <pt idx="2397">
                  <v>-0.2022822910302593</v>
                </pt>
                <pt idx="2398">
                  <v>-0.2022822910302593</v>
                </pt>
                <pt idx="2399">
                  <v>-0.2022822910302593</v>
                </pt>
                <pt idx="2400">
                  <v>-0.2022822910302593</v>
                </pt>
                <pt idx="2401">
                  <v>-0.2022822910302593</v>
                </pt>
                <pt idx="2402">
                  <v>-0.2022822910302593</v>
                </pt>
                <pt idx="2403">
                  <v>-0.2022822910302593</v>
                </pt>
                <pt idx="2404">
                  <v>-0.2022822910302593</v>
                </pt>
                <pt idx="2405">
                  <v>-0.2022822910302593</v>
                </pt>
                <pt idx="2406">
                  <v>-0.2022822910302593</v>
                </pt>
                <pt idx="2407">
                  <v>-0.2022822910302593</v>
                </pt>
                <pt idx="2408">
                  <v>-0.2022822910302593</v>
                </pt>
                <pt idx="2409">
                  <v>-0.2022822910302593</v>
                </pt>
                <pt idx="2410">
                  <v>-0.2022822910302593</v>
                </pt>
                <pt idx="2411">
                  <v>-0.2022822910302593</v>
                </pt>
                <pt idx="2412">
                  <v>-0.2022822910302593</v>
                </pt>
                <pt idx="2413">
                  <v>-0.2022822910302593</v>
                </pt>
                <pt idx="2414">
                  <v>-0.2022822910302593</v>
                </pt>
                <pt idx="2415">
                  <v>-0.2022822910302593</v>
                </pt>
                <pt idx="2416">
                  <v>-0.2022822910302593</v>
                </pt>
                <pt idx="2417">
                  <v>-0.2022822910302593</v>
                </pt>
                <pt idx="2418">
                  <v>-0.2022822910302593</v>
                </pt>
                <pt idx="2419">
                  <v>-0.2022822910302593</v>
                </pt>
                <pt idx="2420">
                  <v>-0.2022822910302593</v>
                </pt>
                <pt idx="2421">
                  <v>-0.2022822910302593</v>
                </pt>
                <pt idx="2422">
                  <v>-0.2022822910302593</v>
                </pt>
                <pt idx="2423">
                  <v>-0.2022822910302593</v>
                </pt>
                <pt idx="2424">
                  <v>-0.2022822910302593</v>
                </pt>
                <pt idx="2425">
                  <v>-0.2022822910302593</v>
                </pt>
                <pt idx="2426">
                  <v>-0.2022822910302593</v>
                </pt>
                <pt idx="2427">
                  <v>-0.2022822910302593</v>
                </pt>
                <pt idx="2428">
                  <v>-0.2022822910302593</v>
                </pt>
                <pt idx="2429">
                  <v>-0.2022822910302593</v>
                </pt>
                <pt idx="2430">
                  <v>-0.2022822910302593</v>
                </pt>
                <pt idx="2431">
                  <v>-0.2022822910302593</v>
                </pt>
                <pt idx="2432">
                  <v>-0.2022822910302593</v>
                </pt>
                <pt idx="2433">
                  <v>-0.2022822910302593</v>
                </pt>
                <pt idx="2434">
                  <v>-0.2022822910302593</v>
                </pt>
                <pt idx="2435">
                  <v>-0.2022822910302593</v>
                </pt>
                <pt idx="2436">
                  <v>-0.2022822910302593</v>
                </pt>
                <pt idx="2437">
                  <v>-0.2022822910302593</v>
                </pt>
                <pt idx="2438">
                  <v>-0.2022822910302593</v>
                </pt>
                <pt idx="2439">
                  <v>-0.2022822910302593</v>
                </pt>
                <pt idx="2440">
                  <v>-0.2022822910302593</v>
                </pt>
                <pt idx="2441">
                  <v>-0.2022822910302593</v>
                </pt>
                <pt idx="2442">
                  <v>-0.2022822910302593</v>
                </pt>
                <pt idx="2443">
                  <v>-0.2022822910302593</v>
                </pt>
                <pt idx="2444">
                  <v>-0.2022822910302593</v>
                </pt>
                <pt idx="2445">
                  <v>-0.2022822910302593</v>
                </pt>
                <pt idx="2446">
                  <v>-0.2022822910302593</v>
                </pt>
                <pt idx="2447">
                  <v>-0.2022822910302593</v>
                </pt>
                <pt idx="2448">
                  <v>-0.2022822910302593</v>
                </pt>
                <pt idx="2449">
                  <v>-0.2022822910302593</v>
                </pt>
                <pt idx="2450">
                  <v>-0.2022822910302593</v>
                </pt>
                <pt idx="2451">
                  <v>-0.2022822910302593</v>
                </pt>
                <pt idx="2452">
                  <v>-0.2022822910302593</v>
                </pt>
                <pt idx="2453">
                  <v>-0.2022822910302593</v>
                </pt>
                <pt idx="2454">
                  <v>-0.2022822910302593</v>
                </pt>
                <pt idx="2455">
                  <v>-0.2022822910302593</v>
                </pt>
                <pt idx="2456">
                  <v>-0.2022822910302593</v>
                </pt>
                <pt idx="2457">
                  <v>-0.2022822910302593</v>
                </pt>
                <pt idx="2458">
                  <v>-0.2022822910302593</v>
                </pt>
                <pt idx="2459">
                  <v>-0.2022822910302593</v>
                </pt>
                <pt idx="2460">
                  <v>-0.2022822910302593</v>
                </pt>
                <pt idx="2461">
                  <v>-0.2022822910302593</v>
                </pt>
                <pt idx="2462">
                  <v>-0.2022822910302593</v>
                </pt>
                <pt idx="2463">
                  <v>-0.2022822910302593</v>
                </pt>
                <pt idx="2464">
                  <v>-0.2022822910302593</v>
                </pt>
                <pt idx="2465">
                  <v>-0.2022822910302593</v>
                </pt>
                <pt idx="2466">
                  <v>-0.2022822910302593</v>
                </pt>
                <pt idx="2467">
                  <v>-0.2022822910302593</v>
                </pt>
                <pt idx="2468">
                  <v>-0.2022822910302593</v>
                </pt>
                <pt idx="2469">
                  <v>-0.2022822910302593</v>
                </pt>
                <pt idx="2470">
                  <v>-0.2022822910302593</v>
                </pt>
                <pt idx="2471">
                  <v>-0.2022822910302593</v>
                </pt>
                <pt idx="2472">
                  <v>-0.2022822910302593</v>
                </pt>
                <pt idx="2473">
                  <v>-0.2022822910302593</v>
                </pt>
                <pt idx="2474">
                  <v>-0.2022822910302593</v>
                </pt>
                <pt idx="2475">
                  <v>-0.2022822910302593</v>
                </pt>
                <pt idx="2476">
                  <v>-0.2022822910302593</v>
                </pt>
                <pt idx="2477">
                  <v>-0.2022822910302593</v>
                </pt>
                <pt idx="2478">
                  <v>-0.2022822910302593</v>
                </pt>
                <pt idx="2479">
                  <v>-0.2022822910302593</v>
                </pt>
                <pt idx="2480">
                  <v>-0.2022822910302593</v>
                </pt>
                <pt idx="2481">
                  <v>-0.2022822910302593</v>
                </pt>
                <pt idx="2482">
                  <v>-0.2022822910302593</v>
                </pt>
                <pt idx="2483">
                  <v>-0.2022822910302593</v>
                </pt>
                <pt idx="2484">
                  <v>-0.2022822910302593</v>
                </pt>
                <pt idx="2485">
                  <v>-0.2022822910302593</v>
                </pt>
                <pt idx="2486">
                  <v>-0.2022822910302593</v>
                </pt>
                <pt idx="2487">
                  <v>-0.2022822910302593</v>
                </pt>
                <pt idx="2488">
                  <v>-0.2022822910302593</v>
                </pt>
                <pt idx="2489">
                  <v>-0.2022822910302593</v>
                </pt>
                <pt idx="2490">
                  <v>-0.2022822910302593</v>
                </pt>
                <pt idx="2491">
                  <v>-0.2022822910302593</v>
                </pt>
                <pt idx="2492">
                  <v>-0.2022822910302593</v>
                </pt>
                <pt idx="2493">
                  <v>-0.2022822910302593</v>
                </pt>
                <pt idx="2494">
                  <v>-0.2022822910302593</v>
                </pt>
                <pt idx="2495">
                  <v>-0.2022822910302593</v>
                </pt>
                <pt idx="2496">
                  <v>-0.2022822910302593</v>
                </pt>
                <pt idx="2497">
                  <v>-0.2022822910302593</v>
                </pt>
                <pt idx="2498">
                  <v>-0.2022822910302593</v>
                </pt>
                <pt idx="2499">
                  <v>-0.2022822910302593</v>
                </pt>
                <pt idx="2500">
                  <v>-0.2022822910302593</v>
                </pt>
                <pt idx="2501">
                  <v>-0.2022822910302593</v>
                </pt>
                <pt idx="2502">
                  <v>-0.2022822910302593</v>
                </pt>
                <pt idx="2503">
                  <v>-0.2022822910302593</v>
                </pt>
                <pt idx="2504">
                  <v>-0.2022822910302593</v>
                </pt>
                <pt idx="2505">
                  <v>-0.2022822910302593</v>
                </pt>
                <pt idx="2506">
                  <v>-0.2022822910302593</v>
                </pt>
                <pt idx="2507">
                  <v>-0.2022822910302593</v>
                </pt>
                <pt idx="2508">
                  <v>-0.2022822910302593</v>
                </pt>
                <pt idx="2509">
                  <v>-0.2022822910302593</v>
                </pt>
                <pt idx="2510">
                  <v>-0.2022822910302593</v>
                </pt>
                <pt idx="2511">
                  <v>-0.2022822910302593</v>
                </pt>
                <pt idx="2512">
                  <v>-0.2022822910302593</v>
                </pt>
                <pt idx="2513">
                  <v>-0.2022822910302593</v>
                </pt>
                <pt idx="2514">
                  <v>-0.2022822910302593</v>
                </pt>
                <pt idx="2515">
                  <v>-0.2022822910302593</v>
                </pt>
                <pt idx="2516">
                  <v>-0.2022822910302593</v>
                </pt>
                <pt idx="2517">
                  <v>-0.2022822910302593</v>
                </pt>
                <pt idx="2518">
                  <v>-0.2022822910302593</v>
                </pt>
                <pt idx="2519">
                  <v>-0.2022822910302593</v>
                </pt>
                <pt idx="2520">
                  <v>-0.2022822910302593</v>
                </pt>
                <pt idx="2521">
                  <v>-0.2022822910302593</v>
                </pt>
                <pt idx="2522">
                  <v>-0.2022822910302593</v>
                </pt>
                <pt idx="2523">
                  <v>-0.2022822910302593</v>
                </pt>
                <pt idx="2524">
                  <v>-0.2022822910302593</v>
                </pt>
                <pt idx="2525">
                  <v>-0.2022822910302593</v>
                </pt>
                <pt idx="2526">
                  <v>-0.2022822910302593</v>
                </pt>
                <pt idx="2527">
                  <v>-0.2022822910302593</v>
                </pt>
                <pt idx="2528">
                  <v>-0.2022822910302593</v>
                </pt>
                <pt idx="2529">
                  <v>-0.2022822910302593</v>
                </pt>
                <pt idx="2530">
                  <v>-0.2022822910302593</v>
                </pt>
                <pt idx="2531">
                  <v>-0.2022822910302593</v>
                </pt>
                <pt idx="2532">
                  <v>-0.2022822910302593</v>
                </pt>
                <pt idx="2533">
                  <v>-0.2022822910302593</v>
                </pt>
                <pt idx="2534">
                  <v>-0.2022822910302593</v>
                </pt>
                <pt idx="2535">
                  <v>-0.2022822910302593</v>
                </pt>
                <pt idx="2536">
                  <v>-0.2022822910302593</v>
                </pt>
                <pt idx="2537">
                  <v>-0.2022822910302593</v>
                </pt>
                <pt idx="2538">
                  <v>-0.2022822910302593</v>
                </pt>
                <pt idx="2539">
                  <v>-0.2022822910302593</v>
                </pt>
                <pt idx="2540">
                  <v>-0.2022822910302593</v>
                </pt>
                <pt idx="2541">
                  <v>-0.2022822910302593</v>
                </pt>
                <pt idx="2542">
                  <v>-0.2022822910302593</v>
                </pt>
                <pt idx="2543">
                  <v>-0.2022822910302593</v>
                </pt>
                <pt idx="2544">
                  <v>-0.2022822910302593</v>
                </pt>
                <pt idx="2545">
                  <v>-0.2022822910302593</v>
                </pt>
                <pt idx="2546">
                  <v>-0.2022822910302593</v>
                </pt>
                <pt idx="2547">
                  <v>-0.2022822910302593</v>
                </pt>
                <pt idx="2548">
                  <v>-0.2022822910302593</v>
                </pt>
                <pt idx="2549">
                  <v>-0.2022822910302593</v>
                </pt>
                <pt idx="2550">
                  <v>-0.2022822910302593</v>
                </pt>
                <pt idx="2551">
                  <v>-0.2022822910302593</v>
                </pt>
                <pt idx="2552">
                  <v>-0.2022822910302593</v>
                </pt>
                <pt idx="2553">
                  <v>-0.2022822910302593</v>
                </pt>
                <pt idx="2554">
                  <v>-0.2022822910302593</v>
                </pt>
                <pt idx="2555">
                  <v>-0.2022822910302593</v>
                </pt>
                <pt idx="2556">
                  <v>-0.2022822910302593</v>
                </pt>
                <pt idx="2557">
                  <v>-0.2022822910302593</v>
                </pt>
                <pt idx="2558">
                  <v>-0.2022822910302593</v>
                </pt>
                <pt idx="2559">
                  <v>-0.2022822910302593</v>
                </pt>
                <pt idx="2560">
                  <v>-0.2022822910302593</v>
                </pt>
                <pt idx="2561">
                  <v>-0.2022822910302593</v>
                </pt>
                <pt idx="2562">
                  <v>-0.2022822910302593</v>
                </pt>
                <pt idx="2563">
                  <v>-0.2022822910302593</v>
                </pt>
                <pt idx="2564">
                  <v>-0.2022822910302593</v>
                </pt>
                <pt idx="2565">
                  <v>-0.2022822910302593</v>
                </pt>
                <pt idx="2566">
                  <v>-0.2022822910302593</v>
                </pt>
                <pt idx="2567">
                  <v>-0.2022822910302593</v>
                </pt>
                <pt idx="2568">
                  <v>-0.2022822910302593</v>
                </pt>
                <pt idx="2569">
                  <v>-0.2022822910302593</v>
                </pt>
                <pt idx="2570">
                  <v>-0.2022822910302593</v>
                </pt>
                <pt idx="2571">
                  <v>-0.2022822910302593</v>
                </pt>
                <pt idx="2572">
                  <v>-0.2022822910302593</v>
                </pt>
                <pt idx="2573">
                  <v>-0.2022822910302593</v>
                </pt>
                <pt idx="2574">
                  <v>-0.2022822910302593</v>
                </pt>
                <pt idx="2575">
                  <v>-0.2022822910302593</v>
                </pt>
                <pt idx="2576">
                  <v>-0.2022822910302593</v>
                </pt>
                <pt idx="2577">
                  <v>-0.2022822910302593</v>
                </pt>
                <pt idx="2578">
                  <v>-0.2022822910302593</v>
                </pt>
                <pt idx="2579">
                  <v>-0.2022822910302593</v>
                </pt>
                <pt idx="2580">
                  <v>-0.2022822910302593</v>
                </pt>
                <pt idx="2581">
                  <v>-0.2022822910302593</v>
                </pt>
                <pt idx="2582">
                  <v>-0.2022822910302593</v>
                </pt>
                <pt idx="2583">
                  <v>-0.2022822910302593</v>
                </pt>
                <pt idx="2584">
                  <v>-0.2022822910302593</v>
                </pt>
                <pt idx="2585">
                  <v>-0.2022822910302593</v>
                </pt>
                <pt idx="2586">
                  <v>-0.2022822910302593</v>
                </pt>
                <pt idx="2587">
                  <v>-0.2022822910302593</v>
                </pt>
                <pt idx="2588">
                  <v>-0.2022822910302593</v>
                </pt>
                <pt idx="2589">
                  <v>-0.2022822910302593</v>
                </pt>
                <pt idx="2590">
                  <v>-0.2022822910302593</v>
                </pt>
                <pt idx="2591">
                  <v>-0.2022822910302593</v>
                </pt>
                <pt idx="2592">
                  <v>-0.2022822910302593</v>
                </pt>
                <pt idx="2593">
                  <v>-0.2022822910302593</v>
                </pt>
                <pt idx="2594">
                  <v>-0.2022822910302593</v>
                </pt>
                <pt idx="2595">
                  <v>-0.2022822910302593</v>
                </pt>
                <pt idx="2596">
                  <v>-0.2022822910302593</v>
                </pt>
                <pt idx="2597">
                  <v>-0.2022822910302593</v>
                </pt>
                <pt idx="2598">
                  <v>-0.2022822910302593</v>
                </pt>
                <pt idx="2599">
                  <v>-0.2022822910302593</v>
                </pt>
                <pt idx="2600">
                  <v>-0.2022822910302593</v>
                </pt>
                <pt idx="2601">
                  <v>-0.2022822910302593</v>
                </pt>
                <pt idx="2602">
                  <v>-0.2022822910302593</v>
                </pt>
                <pt idx="2603">
                  <v>-0.2022822910302593</v>
                </pt>
                <pt idx="2604">
                  <v>-0.2022822910302593</v>
                </pt>
                <pt idx="2605">
                  <v>-0.2022822910302593</v>
                </pt>
                <pt idx="2606">
                  <v>-0.2022822910302593</v>
                </pt>
                <pt idx="2607">
                  <v>-0.2022822910302593</v>
                </pt>
                <pt idx="2608">
                  <v>-0.2022822910302593</v>
                </pt>
                <pt idx="2609">
                  <v>-0.2022822910302593</v>
                </pt>
                <pt idx="2610">
                  <v>-0.2022822910302593</v>
                </pt>
                <pt idx="2611">
                  <v>-0.2022822910302593</v>
                </pt>
                <pt idx="2612">
                  <v>-0.2022822910302593</v>
                </pt>
                <pt idx="2613">
                  <v>-0.2022822910302593</v>
                </pt>
                <pt idx="2614">
                  <v>-0.2022822910302593</v>
                </pt>
                <pt idx="2615">
                  <v>-0.2022822910302593</v>
                </pt>
                <pt idx="2616">
                  <v>-0.2022822910302593</v>
                </pt>
                <pt idx="2617">
                  <v>-0.2022822910302593</v>
                </pt>
                <pt idx="2618">
                  <v>-0.2022822910302593</v>
                </pt>
                <pt idx="2619">
                  <v>-0.2022822910302593</v>
                </pt>
                <pt idx="2620">
                  <v>-0.2022822910302593</v>
                </pt>
                <pt idx="2621">
                  <v>-0.2022822910302593</v>
                </pt>
                <pt idx="2622">
                  <v>-0.2022822910302593</v>
                </pt>
                <pt idx="2623">
                  <v>-0.2022822910302593</v>
                </pt>
                <pt idx="2624">
                  <v>-0.2022822910302593</v>
                </pt>
                <pt idx="2625">
                  <v>-0.2022822910302593</v>
                </pt>
                <pt idx="2626">
                  <v>-0.2022822910302593</v>
                </pt>
                <pt idx="2627">
                  <v>-0.2022822910302593</v>
                </pt>
                <pt idx="2628">
                  <v>-0.2022822910302593</v>
                </pt>
                <pt idx="2629">
                  <v>-0.2022822910302593</v>
                </pt>
                <pt idx="2630">
                  <v>-0.2022822910302593</v>
                </pt>
                <pt idx="2631">
                  <v>-0.2022822910302593</v>
                </pt>
                <pt idx="2632">
                  <v>-0.2022822910302593</v>
                </pt>
                <pt idx="2633">
                  <v>-0.2022822910302593</v>
                </pt>
                <pt idx="2634">
                  <v>-0.2022822910302593</v>
                </pt>
                <pt idx="2635">
                  <v>-0.2022822910302593</v>
                </pt>
                <pt idx="2636">
                  <v>-0.2022822910302593</v>
                </pt>
                <pt idx="2637">
                  <v>-0.2022822910302593</v>
                </pt>
                <pt idx="2638">
                  <v>-0.2022822910302593</v>
                </pt>
                <pt idx="2639">
                  <v>-0.2022822910302593</v>
                </pt>
                <pt idx="2640">
                  <v>-0.2022822910302593</v>
                </pt>
                <pt idx="2641">
                  <v>-0.2022822910302593</v>
                </pt>
                <pt idx="2642">
                  <v>-0.2022822910302593</v>
                </pt>
                <pt idx="2643">
                  <v>-0.2022822910302593</v>
                </pt>
                <pt idx="2644">
                  <v>-0.2022822910302593</v>
                </pt>
                <pt idx="2645">
                  <v>-0.2022822910302593</v>
                </pt>
                <pt idx="2646">
                  <v>-0.2022822910302593</v>
                </pt>
                <pt idx="2647">
                  <v>-0.2022822910302593</v>
                </pt>
                <pt idx="2648">
                  <v>-0.2022822910302593</v>
                </pt>
                <pt idx="2649">
                  <v>-0.2022822910302593</v>
                </pt>
                <pt idx="2650">
                  <v>-0.2022822910302593</v>
                </pt>
                <pt idx="2651">
                  <v>-0.2022822910302593</v>
                </pt>
                <pt idx="2652">
                  <v>-0.2022822910302593</v>
                </pt>
                <pt idx="2653">
                  <v>-0.2022822910302593</v>
                </pt>
                <pt idx="2654">
                  <v>-0.2022822910302593</v>
                </pt>
                <pt idx="2655">
                  <v>-0.2022822910302593</v>
                </pt>
                <pt idx="2656">
                  <v>-0.2022822910302593</v>
                </pt>
                <pt idx="2657">
                  <v>-0.2022822910302593</v>
                </pt>
                <pt idx="2658">
                  <v>-0.2022822910302593</v>
                </pt>
                <pt idx="2659">
                  <v>-0.2022822910302593</v>
                </pt>
                <pt idx="2660">
                  <v>-0.2022822910302593</v>
                </pt>
                <pt idx="2661">
                  <v>-0.2022822910302593</v>
                </pt>
                <pt idx="2662">
                  <v>-0.2022822910302593</v>
                </pt>
                <pt idx="2663">
                  <v>-0.2022822910302593</v>
                </pt>
                <pt idx="2664">
                  <v>-0.2022822910302593</v>
                </pt>
                <pt idx="2665">
                  <v>-0.2022822910302593</v>
                </pt>
                <pt idx="2666">
                  <v>-0.2022822910302593</v>
                </pt>
                <pt idx="2667">
                  <v>-0.2022822910302593</v>
                </pt>
                <pt idx="2668">
                  <v>-0.2022822910302593</v>
                </pt>
                <pt idx="2669">
                  <v>-0.2022822910302593</v>
                </pt>
                <pt idx="2670">
                  <v>-0.2022822910302593</v>
                </pt>
                <pt idx="2671">
                  <v>-0.2022822910302593</v>
                </pt>
                <pt idx="2672">
                  <v>-0.2022822910302593</v>
                </pt>
                <pt idx="2673">
                  <v>-0.2022822910302593</v>
                </pt>
                <pt idx="2674">
                  <v>-0.2022822910302593</v>
                </pt>
                <pt idx="2675">
                  <v>-0.2022822910302593</v>
                </pt>
                <pt idx="2676">
                  <v>-0.2022822910302593</v>
                </pt>
                <pt idx="2677">
                  <v>-0.2022822910302593</v>
                </pt>
                <pt idx="2678">
                  <v>-0.2022822910302593</v>
                </pt>
                <pt idx="2679">
                  <v>-0.2022822910302593</v>
                </pt>
                <pt idx="2680">
                  <v>-0.2022822910302593</v>
                </pt>
                <pt idx="2681">
                  <v>-0.2022822910302593</v>
                </pt>
                <pt idx="2682">
                  <v>-0.2022822910302593</v>
                </pt>
                <pt idx="2683">
                  <v>-0.2022822910302593</v>
                </pt>
                <pt idx="2684">
                  <v>-0.2022822910302593</v>
                </pt>
                <pt idx="2685">
                  <v>-0.2022822910302593</v>
                </pt>
                <pt idx="2686">
                  <v>-0.2022822910302593</v>
                </pt>
                <pt idx="2687">
                  <v>-0.2022822910302593</v>
                </pt>
                <pt idx="2688">
                  <v>-0.2022822910302593</v>
                </pt>
                <pt idx="2689">
                  <v>-0.2022822910302593</v>
                </pt>
                <pt idx="2690">
                  <v>-0.2022822910302593</v>
                </pt>
                <pt idx="2691">
                  <v>-0.2022822910302593</v>
                </pt>
                <pt idx="2692">
                  <v>-0.2022822910302593</v>
                </pt>
                <pt idx="2693">
                  <v>-0.2022822910302593</v>
                </pt>
                <pt idx="2694">
                  <v>-0.2022822910302593</v>
                </pt>
                <pt idx="2695">
                  <v>-0.2022822910302593</v>
                </pt>
                <pt idx="2696">
                  <v>-0.2022822910302593</v>
                </pt>
                <pt idx="2697">
                  <v>-0.2022822910302593</v>
                </pt>
                <pt idx="2698">
                  <v>-0.2022822910302593</v>
                </pt>
                <pt idx="2699">
                  <v>-0.2022822910302593</v>
                </pt>
                <pt idx="2700">
                  <v>-0.2022822910302593</v>
                </pt>
                <pt idx="2701">
                  <v>-0.2022822910302593</v>
                </pt>
                <pt idx="2702">
                  <v>-0.2022822910302593</v>
                </pt>
                <pt idx="2703">
                  <v>-0.2022822910302593</v>
                </pt>
                <pt idx="2704">
                  <v>-0.2022822910302593</v>
                </pt>
                <pt idx="2705">
                  <v>-0.2022822910302593</v>
                </pt>
                <pt idx="2706">
                  <v>-0.2022822910302593</v>
                </pt>
                <pt idx="2707">
                  <v>-0.2022822910302593</v>
                </pt>
                <pt idx="2708">
                  <v>-0.2022822910302593</v>
                </pt>
                <pt idx="2709">
                  <v>-0.2022822910302593</v>
                </pt>
                <pt idx="2710">
                  <v>-0.2022822910302593</v>
                </pt>
                <pt idx="2711">
                  <v>-0.2022822910302593</v>
                </pt>
                <pt idx="2712">
                  <v>-0.2022822910302593</v>
                </pt>
                <pt idx="2713">
                  <v>-0.2022822910302593</v>
                </pt>
                <pt idx="2714">
                  <v>-0.2022822910302593</v>
                </pt>
                <pt idx="2715">
                  <v>-0.2022822910302593</v>
                </pt>
                <pt idx="2716">
                  <v>-0.2022822910302593</v>
                </pt>
                <pt idx="2717">
                  <v>-0.2022822910302593</v>
                </pt>
                <pt idx="2718">
                  <v>-0.2022822910302593</v>
                </pt>
                <pt idx="2719">
                  <v>-0.2022822910302593</v>
                </pt>
                <pt idx="2720">
                  <v>-0.2022822910302593</v>
                </pt>
                <pt idx="2721">
                  <v>-0.2022822910302593</v>
                </pt>
                <pt idx="2722">
                  <v>-0.2022822910302593</v>
                </pt>
                <pt idx="2723">
                  <v>-0.2022822910302593</v>
                </pt>
                <pt idx="2724">
                  <v>-0.2022822910302593</v>
                </pt>
                <pt idx="2725">
                  <v>-0.2022822910302593</v>
                </pt>
                <pt idx="2726">
                  <v>-0.2022822910302593</v>
                </pt>
                <pt idx="2727">
                  <v>-0.2022822910302593</v>
                </pt>
                <pt idx="2728">
                  <v>-0.2022822910302593</v>
                </pt>
                <pt idx="2729">
                  <v>-0.2022822910302593</v>
                </pt>
                <pt idx="2730">
                  <v>-0.2022822910302593</v>
                </pt>
                <pt idx="2731">
                  <v>-0.2022822910302593</v>
                </pt>
                <pt idx="2732">
                  <v>-0.2022822910302593</v>
                </pt>
                <pt idx="2733">
                  <v>-0.2022822910302593</v>
                </pt>
                <pt idx="2734">
                  <v>-0.2022822910302593</v>
                </pt>
                <pt idx="2735">
                  <v>-0.2022822910302593</v>
                </pt>
                <pt idx="2736">
                  <v>-0.2022822910302593</v>
                </pt>
                <pt idx="2737">
                  <v>-0.2022822910302593</v>
                </pt>
                <pt idx="2738">
                  <v>-0.2022822910302593</v>
                </pt>
                <pt idx="2739">
                  <v>-0.2022822910302593</v>
                </pt>
                <pt idx="2740">
                  <v>-0.2022822910302593</v>
                </pt>
                <pt idx="2741">
                  <v>-0.2022822910302593</v>
                </pt>
                <pt idx="2742">
                  <v>-0.2022822910302593</v>
                </pt>
                <pt idx="2743">
                  <v>-0.2022822910302593</v>
                </pt>
                <pt idx="2744">
                  <v>-0.2022822910302593</v>
                </pt>
                <pt idx="2745">
                  <v>-0.2022822910302593</v>
                </pt>
                <pt idx="2746">
                  <v>-0.2022822910302593</v>
                </pt>
                <pt idx="2747">
                  <v>-0.2022822910302593</v>
                </pt>
                <pt idx="2748">
                  <v>-0.2022822910302593</v>
                </pt>
                <pt idx="2749">
                  <v>-0.2022822910302593</v>
                </pt>
                <pt idx="2750">
                  <v>-0.2022822910302593</v>
                </pt>
                <pt idx="2751">
                  <v>-0.2022822910302593</v>
                </pt>
                <pt idx="2752">
                  <v>-0.2022822910302593</v>
                </pt>
                <pt idx="2753">
                  <v>-0.2022822910302593</v>
                </pt>
                <pt idx="2754">
                  <v>-0.2022822910302593</v>
                </pt>
                <pt idx="2755">
                  <v>-0.2022822910302593</v>
                </pt>
                <pt idx="2756">
                  <v>-0.2022822910302593</v>
                </pt>
                <pt idx="2757">
                  <v>-0.2022822910302593</v>
                </pt>
                <pt idx="2758">
                  <v>-0.2022822910302593</v>
                </pt>
                <pt idx="2759">
                  <v>-0.2022822910302593</v>
                </pt>
                <pt idx="2760">
                  <v>-0.2022822910302593</v>
                </pt>
                <pt idx="2761">
                  <v>-0.2022822910302593</v>
                </pt>
                <pt idx="2762">
                  <v>-0.2022822910302593</v>
                </pt>
                <pt idx="2763">
                  <v>-0.2022822910302593</v>
                </pt>
                <pt idx="2764">
                  <v>-0.2022822910302593</v>
                </pt>
                <pt idx="2765">
                  <v>-0.2022822910302593</v>
                </pt>
                <pt idx="2766">
                  <v>-0.2022822910302593</v>
                </pt>
                <pt idx="2767">
                  <v>-0.2022822910302593</v>
                </pt>
                <pt idx="2768">
                  <v>-0.2022822910302593</v>
                </pt>
                <pt idx="2769">
                  <v>-0.2022822910302593</v>
                </pt>
                <pt idx="2770">
                  <v>-0.2022822910302593</v>
                </pt>
                <pt idx="2771">
                  <v>-0.2022822910302593</v>
                </pt>
                <pt idx="2772">
                  <v>-0.2022822910302593</v>
                </pt>
                <pt idx="2773">
                  <v>-0.2022822910302593</v>
                </pt>
                <pt idx="2774">
                  <v>-0.2022822910302593</v>
                </pt>
                <pt idx="2775">
                  <v>-0.2022822910302593</v>
                </pt>
                <pt idx="2776">
                  <v>-0.2022822910302593</v>
                </pt>
                <pt idx="2777">
                  <v>-0.2022822910302593</v>
                </pt>
                <pt idx="2778">
                  <v>-0.2022822910302593</v>
                </pt>
                <pt idx="2779">
                  <v>-0.2022822910302593</v>
                </pt>
                <pt idx="2780">
                  <v>-0.2022822910302593</v>
                </pt>
                <pt idx="2781">
                  <v>-0.2022822910302593</v>
                </pt>
                <pt idx="2782">
                  <v>-0.2022822910302593</v>
                </pt>
                <pt idx="2783">
                  <v>-0.2022822910302593</v>
                </pt>
                <pt idx="2784">
                  <v>-0.2022822910302593</v>
                </pt>
                <pt idx="2785">
                  <v>-0.2022822910302593</v>
                </pt>
                <pt idx="2786">
                  <v>-0.2022822910302593</v>
                </pt>
                <pt idx="2787">
                  <v>-0.2022822910302593</v>
                </pt>
                <pt idx="2788">
                  <v>-0.2022822910302593</v>
                </pt>
                <pt idx="2789">
                  <v>-0.2022822910302593</v>
                </pt>
                <pt idx="2790">
                  <v>-0.2022822910302593</v>
                </pt>
                <pt idx="2791">
                  <v>-0.2022822910302593</v>
                </pt>
                <pt idx="2792">
                  <v>-0.2022822910302593</v>
                </pt>
                <pt idx="2793">
                  <v>-0.2022822910302593</v>
                </pt>
                <pt idx="2794">
                  <v>-0.2022822910302593</v>
                </pt>
                <pt idx="2795">
                  <v>-0.2022822910302593</v>
                </pt>
                <pt idx="2796">
                  <v>-0.2022822910302593</v>
                </pt>
                <pt idx="2797">
                  <v>-0.2022822910302593</v>
                </pt>
                <pt idx="2798">
                  <v>-0.2022822910302593</v>
                </pt>
                <pt idx="2799">
                  <v>-0.2022822910302593</v>
                </pt>
                <pt idx="2800">
                  <v>-0.2022822910302593</v>
                </pt>
                <pt idx="2801">
                  <v>-0.2022822910302593</v>
                </pt>
                <pt idx="2802">
                  <v>-0.2022822910302593</v>
                </pt>
                <pt idx="2803">
                  <v>-0.2022822910302593</v>
                </pt>
                <pt idx="2804">
                  <v>-0.2022822910302593</v>
                </pt>
                <pt idx="2805">
                  <v>-0.2022822910302593</v>
                </pt>
                <pt idx="2806">
                  <v>-0.2022822910302593</v>
                </pt>
                <pt idx="2807">
                  <v>-0.2022822910302593</v>
                </pt>
                <pt idx="2808">
                  <v>-0.2022822910302593</v>
                </pt>
                <pt idx="2809">
                  <v>-0.2022822910302593</v>
                </pt>
                <pt idx="2810">
                  <v>-0.2022822910302593</v>
                </pt>
                <pt idx="2811">
                  <v>-0.2022822910302593</v>
                </pt>
                <pt idx="2812">
                  <v>-0.2022822910302593</v>
                </pt>
                <pt idx="2813">
                  <v>-0.2022822910302593</v>
                </pt>
                <pt idx="2814">
                  <v>-0.2022822910302593</v>
                </pt>
                <pt idx="2815">
                  <v>-0.2022822910302593</v>
                </pt>
                <pt idx="2816">
                  <v>-0.2022822910302593</v>
                </pt>
                <pt idx="2817">
                  <v>-0.2022822910302593</v>
                </pt>
                <pt idx="2818">
                  <v>-0.2022822910302593</v>
                </pt>
                <pt idx="2819">
                  <v>-0.2022822910302593</v>
                </pt>
                <pt idx="2820">
                  <v>-0.2022822910302593</v>
                </pt>
                <pt idx="2821">
                  <v>-0.2022822910302593</v>
                </pt>
                <pt idx="2822">
                  <v>-0.2022822910302593</v>
                </pt>
                <pt idx="2823">
                  <v>-0.2022822910302593</v>
                </pt>
                <pt idx="2824">
                  <v>-0.2022822910302593</v>
                </pt>
                <pt idx="2825">
                  <v>-0.2022822910302593</v>
                </pt>
                <pt idx="2826">
                  <v>-0.2022822910302593</v>
                </pt>
                <pt idx="2827">
                  <v>-0.2022822910302593</v>
                </pt>
                <pt idx="2828">
                  <v>-0.2022822910302593</v>
                </pt>
                <pt idx="2829">
                  <v>-0.2022822910302593</v>
                </pt>
                <pt idx="2830">
                  <v>-0.2022822910302593</v>
                </pt>
                <pt idx="2831">
                  <v>-0.2022822910302593</v>
                </pt>
                <pt idx="2832">
                  <v>-0.2022822910302593</v>
                </pt>
                <pt idx="2833">
                  <v>-0.2022822910302593</v>
                </pt>
                <pt idx="2834">
                  <v>-0.2022822910302593</v>
                </pt>
                <pt idx="2835">
                  <v>-0.2022822910302593</v>
                </pt>
                <pt idx="2836">
                  <v>-0.2022822910302593</v>
                </pt>
                <pt idx="2837">
                  <v>-0.2022822910302593</v>
                </pt>
                <pt idx="2838">
                  <v>-0.2022822910302593</v>
                </pt>
                <pt idx="2839">
                  <v>-0.2022822910302593</v>
                </pt>
                <pt idx="2840">
                  <v>-0.2022822910302593</v>
                </pt>
                <pt idx="2841">
                  <v>-0.2022822910302593</v>
                </pt>
                <pt idx="2842">
                  <v>-0.2022822910302593</v>
                </pt>
                <pt idx="2843">
                  <v>-0.2022822910302593</v>
                </pt>
                <pt idx="2844">
                  <v>-0.2022822910302593</v>
                </pt>
                <pt idx="2845">
                  <v>-0.2022822910302593</v>
                </pt>
                <pt idx="2846">
                  <v>-0.2022822910302593</v>
                </pt>
                <pt idx="2847">
                  <v>-0.2022822910302593</v>
                </pt>
                <pt idx="2848">
                  <v>-0.2022822910302593</v>
                </pt>
                <pt idx="2849">
                  <v>-0.2022822910302593</v>
                </pt>
                <pt idx="2850">
                  <v>-0.2022822910302593</v>
                </pt>
                <pt idx="2851">
                  <v>-0.2022822910302593</v>
                </pt>
                <pt idx="2852">
                  <v>-0.2022822910302593</v>
                </pt>
                <pt idx="2853">
                  <v>-0.2022822910302593</v>
                </pt>
                <pt idx="2854">
                  <v>-0.2022822910302593</v>
                </pt>
                <pt idx="2855">
                  <v>-0.2022822910302593</v>
                </pt>
                <pt idx="2856">
                  <v>-0.2022822910302593</v>
                </pt>
                <pt idx="2857">
                  <v>-0.2022822910302593</v>
                </pt>
                <pt idx="2858">
                  <v>-0.2022822910302593</v>
                </pt>
                <pt idx="2859">
                  <v>-0.2022822910302593</v>
                </pt>
                <pt idx="2860">
                  <v>-0.2022822910302593</v>
                </pt>
                <pt idx="2861">
                  <v>-0.2022822910302593</v>
                </pt>
                <pt idx="2862">
                  <v>-0.2022822910302593</v>
                </pt>
                <pt idx="2863">
                  <v>-0.2022822910302593</v>
                </pt>
                <pt idx="2864">
                  <v>-0.2022822910302593</v>
                </pt>
                <pt idx="2865">
                  <v>-0.2022822910302593</v>
                </pt>
                <pt idx="2866">
                  <v>-0.2022822910302593</v>
                </pt>
                <pt idx="2867">
                  <v>-0.2022822910302593</v>
                </pt>
                <pt idx="2868">
                  <v>-0.2022822910302593</v>
                </pt>
                <pt idx="2869">
                  <v>-0.2022822910302593</v>
                </pt>
                <pt idx="2870">
                  <v>-0.2022822910302593</v>
                </pt>
                <pt idx="2871">
                  <v>-0.2022822910302593</v>
                </pt>
                <pt idx="2872">
                  <v>-0.2022822910302593</v>
                </pt>
                <pt idx="2873">
                  <v>-0.2022822910302593</v>
                </pt>
                <pt idx="2874">
                  <v>-0.2022822910302593</v>
                </pt>
                <pt idx="2875">
                  <v>-0.2022822910302593</v>
                </pt>
                <pt idx="2876">
                  <v>-0.2022822910302593</v>
                </pt>
                <pt idx="2877">
                  <v>-0.2022822910302593</v>
                </pt>
                <pt idx="2878">
                  <v>-0.2022822910302593</v>
                </pt>
                <pt idx="2879">
                  <v>-0.2022822910302593</v>
                </pt>
                <pt idx="2880">
                  <v>-0.2022822910302593</v>
                </pt>
                <pt idx="2881">
                  <v>-0.2022822910302593</v>
                </pt>
                <pt idx="2882">
                  <v>-0.2022822910302593</v>
                </pt>
                <pt idx="2883">
                  <v>-0.2022822910302593</v>
                </pt>
                <pt idx="2884">
                  <v>-0.2022822910302593</v>
                </pt>
                <pt idx="2885">
                  <v>-0.2022822910302593</v>
                </pt>
                <pt idx="2886">
                  <v>-0.2022822910302593</v>
                </pt>
                <pt idx="2887">
                  <v>-0.2022822910302593</v>
                </pt>
                <pt idx="2888">
                  <v>-0.2022822910302593</v>
                </pt>
                <pt idx="2889">
                  <v>-0.2022822910302593</v>
                </pt>
                <pt idx="2890">
                  <v>-0.2022822910302593</v>
                </pt>
                <pt idx="2891">
                  <v>-0.2022822910302593</v>
                </pt>
                <pt idx="2892">
                  <v>-0.2022822910302593</v>
                </pt>
                <pt idx="2893">
                  <v>-0.2022822910302593</v>
                </pt>
                <pt idx="2894">
                  <v>-0.2022822910302593</v>
                </pt>
                <pt idx="2895">
                  <v>-0.2022822910302593</v>
                </pt>
                <pt idx="2896">
                  <v>-0.2022822910302593</v>
                </pt>
                <pt idx="2897">
                  <v>-0.2022822910302593</v>
                </pt>
                <pt idx="2898">
                  <v>-0.2022822910302593</v>
                </pt>
                <pt idx="2899">
                  <v>-0.2022822910302593</v>
                </pt>
                <pt idx="2900">
                  <v>-0.2022822910302593</v>
                </pt>
                <pt idx="2901">
                  <v>-0.2022822910302593</v>
                </pt>
                <pt idx="2902">
                  <v>-0.2022822910302593</v>
                </pt>
                <pt idx="2903">
                  <v>-0.2022822910302593</v>
                </pt>
                <pt idx="2904">
                  <v>-0.2022822910302593</v>
                </pt>
                <pt idx="2905">
                  <v>-0.2022822910302593</v>
                </pt>
                <pt idx="2906">
                  <v>-0.2022822910302593</v>
                </pt>
                <pt idx="2907">
                  <v>-0.2022822910302593</v>
                </pt>
                <pt idx="2908">
                  <v>-0.2022822910302593</v>
                </pt>
                <pt idx="2909">
                  <v>-0.2022822910302593</v>
                </pt>
                <pt idx="2910">
                  <v>-0.2022822910302593</v>
                </pt>
                <pt idx="2911">
                  <v>-0.2022822910302593</v>
                </pt>
                <pt idx="2912">
                  <v>-0.2022822910302593</v>
                </pt>
                <pt idx="2913">
                  <v>-0.2022822910302593</v>
                </pt>
                <pt idx="2914">
                  <v>-0.2022822910302593</v>
                </pt>
                <pt idx="2915">
                  <v>-0.2022822910302593</v>
                </pt>
                <pt idx="2916">
                  <v>-0.2022822910302593</v>
                </pt>
                <pt idx="2917">
                  <v>-0.2022822910302593</v>
                </pt>
                <pt idx="2918">
                  <v>-0.2022822910302593</v>
                </pt>
                <pt idx="2919">
                  <v>-0.2022822910302593</v>
                </pt>
                <pt idx="2920">
                  <v>-0.2022822910302593</v>
                </pt>
                <pt idx="2921">
                  <v>-0.2022822910302593</v>
                </pt>
                <pt idx="2922">
                  <v>-0.2022822910302593</v>
                </pt>
                <pt idx="2923">
                  <v>-0.2022822910302593</v>
                </pt>
                <pt idx="2924">
                  <v>-0.2022822910302593</v>
                </pt>
                <pt idx="2925">
                  <v>-0.2022822910302593</v>
                </pt>
                <pt idx="2926">
                  <v>-0.2022822910302593</v>
                </pt>
                <pt idx="2927">
                  <v>-0.2022822910302593</v>
                </pt>
                <pt idx="2928">
                  <v>-0.2022822910302593</v>
                </pt>
                <pt idx="2929">
                  <v>-0.2022822910302593</v>
                </pt>
                <pt idx="2930">
                  <v>-0.2022822910302593</v>
                </pt>
                <pt idx="2931">
                  <v>-0.2022822910302593</v>
                </pt>
                <pt idx="2932">
                  <v>-0.2022822910302593</v>
                </pt>
                <pt idx="2933">
                  <v>-0.2022822910302593</v>
                </pt>
                <pt idx="2934">
                  <v>-0.2022822910302593</v>
                </pt>
                <pt idx="2935">
                  <v>-0.2022822910302593</v>
                </pt>
                <pt idx="2936">
                  <v>-0.2022822910302593</v>
                </pt>
                <pt idx="2937">
                  <v>-0.2022822910302593</v>
                </pt>
                <pt idx="2938">
                  <v>-0.2022822910302593</v>
                </pt>
                <pt idx="2939">
                  <v>-0.2022822910302593</v>
                </pt>
                <pt idx="2940">
                  <v>-0.2022822910302593</v>
                </pt>
                <pt idx="2941">
                  <v>-0.2022822910302593</v>
                </pt>
                <pt idx="2942">
                  <v>-0.2022822910302593</v>
                </pt>
                <pt idx="2943">
                  <v>-0.2022822910302593</v>
                </pt>
                <pt idx="2944">
                  <v>-0.2022822910302593</v>
                </pt>
                <pt idx="2945">
                  <v>-0.2022822910302593</v>
                </pt>
                <pt idx="2946">
                  <v>-0.2022822910302593</v>
                </pt>
                <pt idx="2947">
                  <v>-0.2022822910302593</v>
                </pt>
                <pt idx="2948">
                  <v>-0.2022822910302593</v>
                </pt>
                <pt idx="2949">
                  <v>-0.2022822910302593</v>
                </pt>
                <pt idx="2950">
                  <v>-0.2022822910302593</v>
                </pt>
                <pt idx="2951">
                  <v>-0.2022822910302593</v>
                </pt>
                <pt idx="2952">
                  <v>-0.2022822910302593</v>
                </pt>
                <pt idx="2953">
                  <v>-0.2022822910302593</v>
                </pt>
                <pt idx="2954">
                  <v>-0.2022822910302593</v>
                </pt>
                <pt idx="2955">
                  <v>-0.2022822910302593</v>
                </pt>
                <pt idx="2956">
                  <v>-0.2022822910302593</v>
                </pt>
                <pt idx="2957">
                  <v>-0.2022822910302593</v>
                </pt>
                <pt idx="2958">
                  <v>-0.2022822910302593</v>
                </pt>
                <pt idx="2959">
                  <v>-0.2022822910302593</v>
                </pt>
                <pt idx="2960">
                  <v>-0.2022822910302593</v>
                </pt>
                <pt idx="2961">
                  <v>-0.2022822910302593</v>
                </pt>
                <pt idx="2962">
                  <v>-0.2022822910302593</v>
                </pt>
                <pt idx="2963">
                  <v>-0.2022822910302593</v>
                </pt>
                <pt idx="2964">
                  <v>-0.2022822910302593</v>
                </pt>
                <pt idx="2965">
                  <v>-0.2022822910302593</v>
                </pt>
                <pt idx="2966">
                  <v>-0.2022822910302593</v>
                </pt>
                <pt idx="2967">
                  <v>-0.2022822910302593</v>
                </pt>
                <pt idx="2968">
                  <v>-0.2022822910302593</v>
                </pt>
                <pt idx="2969">
                  <v>-0.2022822910302593</v>
                </pt>
                <pt idx="2970">
                  <v>-0.2022822910302593</v>
                </pt>
                <pt idx="2971">
                  <v>-0.2022822910302593</v>
                </pt>
                <pt idx="2972">
                  <v>-0.2022822910302593</v>
                </pt>
                <pt idx="2973">
                  <v>-0.2022822910302593</v>
                </pt>
                <pt idx="2974">
                  <v>-0.2022822910302593</v>
                </pt>
                <pt idx="2975">
                  <v>-0.2022822910302593</v>
                </pt>
                <pt idx="2976">
                  <v>-0.2022822910302593</v>
                </pt>
                <pt idx="2977">
                  <v>-0.2022822910302593</v>
                </pt>
                <pt idx="2978">
                  <v>-0.2022822910302593</v>
                </pt>
                <pt idx="2979">
                  <v>-0.2022822910302593</v>
                </pt>
                <pt idx="2980">
                  <v>-0.2022822910302593</v>
                </pt>
                <pt idx="2981">
                  <v>-0.2022822910302593</v>
                </pt>
                <pt idx="2982">
                  <v>-0.2022822910302593</v>
                </pt>
                <pt idx="2983">
                  <v>-0.2022822910302593</v>
                </pt>
                <pt idx="2984">
                  <v>-0.2022822910302593</v>
                </pt>
                <pt idx="2985">
                  <v>-0.2022822910302593</v>
                </pt>
                <pt idx="2986">
                  <v>-0.2022822910302593</v>
                </pt>
                <pt idx="2987">
                  <v>-0.2022822910302593</v>
                </pt>
                <pt idx="2988">
                  <v>-0.2022822910302593</v>
                </pt>
                <pt idx="2989">
                  <v>-0.2022822910302593</v>
                </pt>
                <pt idx="2990">
                  <v>-0.2022822910302593</v>
                </pt>
                <pt idx="2991">
                  <v>-0.2022822910302593</v>
                </pt>
                <pt idx="2992">
                  <v>-0.2022822910302593</v>
                </pt>
                <pt idx="2993">
                  <v>-0.2022822910302593</v>
                </pt>
                <pt idx="2994">
                  <v>-0.2022822910302593</v>
                </pt>
                <pt idx="2995">
                  <v>-0.2022822910302593</v>
                </pt>
                <pt idx="2996">
                  <v>-0.2022822910302593</v>
                </pt>
                <pt idx="2997">
                  <v>-0.2022822910302593</v>
                </pt>
                <pt idx="2998">
                  <v>-0.2022822910302593</v>
                </pt>
                <pt idx="2999">
                  <v>-0.2022822910302593</v>
                </pt>
                <pt idx="3000">
                  <v>-0.2022822910302593</v>
                </pt>
                <pt idx="3001">
                  <v>-0.2022822910302593</v>
                </pt>
                <pt idx="3002">
                  <v>-0.2022822910302593</v>
                </pt>
                <pt idx="3003">
                  <v>-0.2022822910302593</v>
                </pt>
                <pt idx="3004">
                  <v>-0.2022822910302593</v>
                </pt>
                <pt idx="3005">
                  <v>-0.2022822910302593</v>
                </pt>
                <pt idx="3006">
                  <v>-0.2022822910302593</v>
                </pt>
                <pt idx="3007">
                  <v>-0.2022822910302593</v>
                </pt>
                <pt idx="3008">
                  <v>-0.2022822910302593</v>
                </pt>
                <pt idx="3009">
                  <v>-0.2022822910302593</v>
                </pt>
                <pt idx="3010">
                  <v>-0.2022822910302593</v>
                </pt>
                <pt idx="3011">
                  <v>-0.2022822910302593</v>
                </pt>
                <pt idx="3012">
                  <v>-0.2022822910302593</v>
                </pt>
                <pt idx="3013">
                  <v>-0.2022822910302593</v>
                </pt>
                <pt idx="3014">
                  <v>-0.2022822910302593</v>
                </pt>
                <pt idx="3015">
                  <v>-0.2022822910302593</v>
                </pt>
                <pt idx="3016">
                  <v>-0.2022822910302593</v>
                </pt>
                <pt idx="3017">
                  <v>-0.2022822910302593</v>
                </pt>
                <pt idx="3018">
                  <v>-0.2022822910302593</v>
                </pt>
                <pt idx="3019">
                  <v>-0.2022822910302593</v>
                </pt>
                <pt idx="3020">
                  <v>-0.2022822910302593</v>
                </pt>
                <pt idx="3021">
                  <v>-0.2022822910302593</v>
                </pt>
                <pt idx="3022">
                  <v>-0.2022822910302593</v>
                </pt>
                <pt idx="3023">
                  <v>-0.2022822910302593</v>
                </pt>
                <pt idx="3024">
                  <v>-0.2022822910302593</v>
                </pt>
                <pt idx="3025">
                  <v>-0.2022822910302593</v>
                </pt>
                <pt idx="3026">
                  <v>-0.2022822910302593</v>
                </pt>
                <pt idx="3027">
                  <v>-0.2022822910302593</v>
                </pt>
                <pt idx="3028">
                  <v>-0.2022822910302593</v>
                </pt>
                <pt idx="3029">
                  <v>-0.2022822910302593</v>
                </pt>
                <pt idx="3030">
                  <v>-0.2022822910302593</v>
                </pt>
                <pt idx="3031">
                  <v>-0.2022822910302593</v>
                </pt>
                <pt idx="3032">
                  <v>-0.2022822910302593</v>
                </pt>
                <pt idx="3033">
                  <v>-0.2022822910302593</v>
                </pt>
                <pt idx="3034">
                  <v>-0.2022822910302593</v>
                </pt>
                <pt idx="3035">
                  <v>-0.2022822910302593</v>
                </pt>
                <pt idx="3036">
                  <v>-0.2022822910302593</v>
                </pt>
                <pt idx="3037">
                  <v>-0.2022822910302593</v>
                </pt>
                <pt idx="3038">
                  <v>-0.2022822910302593</v>
                </pt>
                <pt idx="3039">
                  <v>-0.2022822910302593</v>
                </pt>
                <pt idx="3040">
                  <v>-0.2022822910302593</v>
                </pt>
                <pt idx="3041">
                  <v>-0.2022822910302593</v>
                </pt>
                <pt idx="3042">
                  <v>-0.2022822910302593</v>
                </pt>
                <pt idx="3043">
                  <v>-0.2022822910302593</v>
                </pt>
                <pt idx="3044">
                  <v>-0.2022822910302593</v>
                </pt>
                <pt idx="3045">
                  <v>-0.2022822910302593</v>
                </pt>
                <pt idx="3046">
                  <v>-0.2022822910302593</v>
                </pt>
                <pt idx="3047">
                  <v>-0.2022822910302593</v>
                </pt>
                <pt idx="3048">
                  <v>-0.2022822910302593</v>
                </pt>
                <pt idx="3049">
                  <v>-0.2022822910302593</v>
                </pt>
                <pt idx="3050">
                  <v>-0.2022822910302593</v>
                </pt>
                <pt idx="3051">
                  <v>-0.2022822910302593</v>
                </pt>
                <pt idx="3052">
                  <v>-0.2022822910302593</v>
                </pt>
                <pt idx="3053">
                  <v>-0.2022822910302593</v>
                </pt>
                <pt idx="3054">
                  <v>-0.2022822910302593</v>
                </pt>
                <pt idx="3055">
                  <v>-0.2022822910302593</v>
                </pt>
                <pt idx="3056">
                  <v>-0.2022822910302593</v>
                </pt>
                <pt idx="3057">
                  <v>-0.2022822910302593</v>
                </pt>
                <pt idx="3058">
                  <v>-0.2022822910302593</v>
                </pt>
                <pt idx="3059">
                  <v>-0.2022822910302593</v>
                </pt>
                <pt idx="3060">
                  <v>-0.2022822910302593</v>
                </pt>
                <pt idx="3061">
                  <v>-0.2022822910302593</v>
                </pt>
                <pt idx="3062">
                  <v>-0.2022822910302593</v>
                </pt>
                <pt idx="3063">
                  <v>-0.2022822910302593</v>
                </pt>
                <pt idx="3064">
                  <v>-0.2022822910302593</v>
                </pt>
                <pt idx="3065">
                  <v>-0.2022822910302593</v>
                </pt>
                <pt idx="3066">
                  <v>-0.2022822910302593</v>
                </pt>
                <pt idx="3067">
                  <v>-0.2022822910302593</v>
                </pt>
                <pt idx="3068">
                  <v>-0.2022822910302593</v>
                </pt>
                <pt idx="3069">
                  <v>-0.2022822910302593</v>
                </pt>
                <pt idx="3070">
                  <v>-0.2022822910302593</v>
                </pt>
                <pt idx="3071">
                  <v>-0.2022822910302593</v>
                </pt>
                <pt idx="3072">
                  <v>-0.2022822910302593</v>
                </pt>
                <pt idx="3073">
                  <v>-0.2022822910302593</v>
                </pt>
                <pt idx="3074">
                  <v>-0.2022822910302593</v>
                </pt>
                <pt idx="3075">
                  <v>-0.2022822910302593</v>
                </pt>
                <pt idx="3076">
                  <v>-0.2022822910302593</v>
                </pt>
                <pt idx="3077">
                  <v>-0.2022822910302593</v>
                </pt>
                <pt idx="3078">
                  <v>-0.2022822910302593</v>
                </pt>
                <pt idx="3079">
                  <v>-0.2022822910302593</v>
                </pt>
                <pt idx="3080">
                  <v>-0.2022822910302593</v>
                </pt>
                <pt idx="3081">
                  <v>-0.2022822910302593</v>
                </pt>
                <pt idx="3082">
                  <v>-0.2022822910302593</v>
                </pt>
                <pt idx="3083">
                  <v>-0.2022822910302593</v>
                </pt>
                <pt idx="3084">
                  <v>-0.2022822910302593</v>
                </pt>
                <pt idx="3085">
                  <v>-0.2022822910302593</v>
                </pt>
                <pt idx="3086">
                  <v>-0.2022822910302593</v>
                </pt>
                <pt idx="3087">
                  <v>-0.2022822910302593</v>
                </pt>
                <pt idx="3088">
                  <v>-0.2022822910302593</v>
                </pt>
                <pt idx="3089">
                  <v>-0.2022822910302593</v>
                </pt>
                <pt idx="3090">
                  <v>-0.2022822910302593</v>
                </pt>
                <pt idx="3091">
                  <v>-0.2022822910302593</v>
                </pt>
                <pt idx="3092">
                  <v>-0.2022822910302593</v>
                </pt>
                <pt idx="3093">
                  <v>-0.2022822910302593</v>
                </pt>
                <pt idx="3094">
                  <v>-0.2022822910302593</v>
                </pt>
                <pt idx="3095">
                  <v>-0.2022822910302593</v>
                </pt>
                <pt idx="3096">
                  <v>-0.2022822910302593</v>
                </pt>
                <pt idx="3097">
                  <v>-0.2022822910302593</v>
                </pt>
                <pt idx="3098">
                  <v>-0.2022822910302593</v>
                </pt>
                <pt idx="3099">
                  <v>-0.2022822910302593</v>
                </pt>
                <pt idx="3100">
                  <v>-0.2022822910302593</v>
                </pt>
                <pt idx="3101">
                  <v>-0.2022822910302593</v>
                </pt>
                <pt idx="3102">
                  <v>-0.2022822910302593</v>
                </pt>
                <pt idx="3103">
                  <v>-0.2022822910302593</v>
                </pt>
                <pt idx="3104">
                  <v>-0.2022822910302593</v>
                </pt>
                <pt idx="3105">
                  <v>-0.2022822910302593</v>
                </pt>
                <pt idx="3106">
                  <v>-0.2022822910302593</v>
                </pt>
                <pt idx="3107">
                  <v>-0.2022822910302593</v>
                </pt>
                <pt idx="3108">
                  <v>-0.2022822910302593</v>
                </pt>
                <pt idx="3109">
                  <v>-0.2022822910302593</v>
                </pt>
                <pt idx="3110">
                  <v>-0.2022822910302593</v>
                </pt>
                <pt idx="3111">
                  <v>-0.2022822910302593</v>
                </pt>
                <pt idx="3112">
                  <v>-0.2022822910302593</v>
                </pt>
                <pt idx="3113">
                  <v>-0.2022822910302593</v>
                </pt>
                <pt idx="3114">
                  <v>-0.2022822910302593</v>
                </pt>
                <pt idx="3115">
                  <v>-0.2022822910302593</v>
                </pt>
                <pt idx="3116">
                  <v>-0.2022822910302593</v>
                </pt>
                <pt idx="3117">
                  <v>-0.2022822910302593</v>
                </pt>
                <pt idx="3118">
                  <v>-0.2022822910302593</v>
                </pt>
                <pt idx="3119">
                  <v>-0.2022822910302593</v>
                </pt>
                <pt idx="3120">
                  <v>-0.2022822910302593</v>
                </pt>
                <pt idx="3121">
                  <v>-0.2022822910302593</v>
                </pt>
                <pt idx="3122">
                  <v>-0.2022822910302593</v>
                </pt>
                <pt idx="3123">
                  <v>-0.2022822910302593</v>
                </pt>
                <pt idx="3124">
                  <v>-0.2022822910302593</v>
                </pt>
                <pt idx="3125">
                  <v>-0.2022822910302593</v>
                </pt>
                <pt idx="3126">
                  <v>-0.2022822910302593</v>
                </pt>
                <pt idx="3127">
                  <v>-0.2022822910302593</v>
                </pt>
                <pt idx="3128">
                  <v>-0.2022822910302593</v>
                </pt>
                <pt idx="3129">
                  <v>-0.2022822910302593</v>
                </pt>
                <pt idx="3130">
                  <v>-0.2022822910302593</v>
                </pt>
                <pt idx="3131">
                  <v>-0.2022822910302593</v>
                </pt>
                <pt idx="3132">
                  <v>-0.2022822910302593</v>
                </pt>
                <pt idx="3133">
                  <v>-0.2022822910302593</v>
                </pt>
                <pt idx="3134">
                  <v>-0.2022822910302593</v>
                </pt>
                <pt idx="3135">
                  <v>-0.2022822910302593</v>
                </pt>
                <pt idx="3136">
                  <v>-0.2022822910302593</v>
                </pt>
                <pt idx="3137">
                  <v>-0.2022822910302593</v>
                </pt>
                <pt idx="3138">
                  <v>-0.2022822910302593</v>
                </pt>
                <pt idx="3139">
                  <v>-0.2022822910302593</v>
                </pt>
                <pt idx="3140">
                  <v>-0.2022822910302593</v>
                </pt>
                <pt idx="3141">
                  <v>-0.2022822910302593</v>
                </pt>
                <pt idx="3142">
                  <v>-0.2022822910302593</v>
                </pt>
                <pt idx="3143">
                  <v>-0.2022822910302593</v>
                </pt>
                <pt idx="3144">
                  <v>-0.2022822910302593</v>
                </pt>
                <pt idx="3145">
                  <v>-0.2022822910302593</v>
                </pt>
                <pt idx="3146">
                  <v>-0.2022822910302593</v>
                </pt>
                <pt idx="3147">
                  <v>-0.2022822910302593</v>
                </pt>
                <pt idx="3148">
                  <v>-0.2022822910302593</v>
                </pt>
                <pt idx="3149">
                  <v>-0.2022822910302593</v>
                </pt>
                <pt idx="3150">
                  <v>-0.2022822910302593</v>
                </pt>
                <pt idx="3151">
                  <v>-0.2022822910302593</v>
                </pt>
                <pt idx="3152">
                  <v>-0.2022822910302593</v>
                </pt>
                <pt idx="3153">
                  <v>-0.2022822910302593</v>
                </pt>
                <pt idx="3154">
                  <v>-0.2022822910302593</v>
                </pt>
                <pt idx="3155">
                  <v>-0.2022822910302593</v>
                </pt>
                <pt idx="3156">
                  <v>-0.2022822910302593</v>
                </pt>
                <pt idx="3157">
                  <v>-0.2022822910302593</v>
                </pt>
                <pt idx="3158">
                  <v>-0.2022822910302593</v>
                </pt>
                <pt idx="3159">
                  <v>-0.2022822910302593</v>
                </pt>
                <pt idx="3160">
                  <v>-0.2022822910302593</v>
                </pt>
                <pt idx="3161">
                  <v>-0.2022822910302593</v>
                </pt>
                <pt idx="3162">
                  <v>-0.2022822910302593</v>
                </pt>
                <pt idx="3163">
                  <v>-0.2022822910302593</v>
                </pt>
                <pt idx="3164">
                  <v>-0.2022822910302593</v>
                </pt>
                <pt idx="3165">
                  <v>-0.2022822910302593</v>
                </pt>
                <pt idx="3166">
                  <v>-0.2022822910302593</v>
                </pt>
                <pt idx="3167">
                  <v>-0.2022822910302593</v>
                </pt>
                <pt idx="3168">
                  <v>-0.2022822910302593</v>
                </pt>
                <pt idx="3169">
                  <v>-0.2022822910302593</v>
                </pt>
                <pt idx="3170">
                  <v>-0.2022822910302593</v>
                </pt>
                <pt idx="3171">
                  <v>-0.2022822910302593</v>
                </pt>
                <pt idx="3172">
                  <v>-0.2022822910302593</v>
                </pt>
                <pt idx="3173">
                  <v>-0.2022822910302593</v>
                </pt>
                <pt idx="3174">
                  <v>-0.2022822910302593</v>
                </pt>
                <pt idx="3175">
                  <v>-0.2022822910302593</v>
                </pt>
                <pt idx="3176">
                  <v>-0.2022822910302593</v>
                </pt>
                <pt idx="3177">
                  <v>-0.2022822910302593</v>
                </pt>
                <pt idx="3178">
                  <v>-0.2022822910302593</v>
                </pt>
                <pt idx="3179">
                  <v>-0.2022822910302593</v>
                </pt>
                <pt idx="3180">
                  <v>-0.2022822910302593</v>
                </pt>
                <pt idx="3181">
                  <v>-0.2022822910302593</v>
                </pt>
                <pt idx="3182">
                  <v>-0.2022822910302593</v>
                </pt>
                <pt idx="3183">
                  <v>-0.2022822910302593</v>
                </pt>
                <pt idx="3184">
                  <v>-0.2022822910302593</v>
                </pt>
                <pt idx="3185">
                  <v>-0.2022822910302593</v>
                </pt>
                <pt idx="3186">
                  <v>-0.2022822910302593</v>
                </pt>
                <pt idx="3187">
                  <v>-0.2022822910302593</v>
                </pt>
                <pt idx="3188">
                  <v>-0.2022822910302593</v>
                </pt>
                <pt idx="3189">
                  <v>-0.2022822910302593</v>
                </pt>
                <pt idx="3190">
                  <v>-0.2022822910302593</v>
                </pt>
                <pt idx="3191">
                  <v>-0.2022822910302593</v>
                </pt>
                <pt idx="3192">
                  <v>-0.2022822910302593</v>
                </pt>
                <pt idx="3193">
                  <v>-0.2022822910302593</v>
                </pt>
                <pt idx="3194">
                  <v>-0.2022822910302593</v>
                </pt>
                <pt idx="3195">
                  <v>-0.2022822910302593</v>
                </pt>
                <pt idx="3196">
                  <v>-0.2022822910302593</v>
                </pt>
                <pt idx="3197">
                  <v>-0.2022822910302593</v>
                </pt>
                <pt idx="3198">
                  <v>-0.2022822910302593</v>
                </pt>
                <pt idx="3199">
                  <v>-0.2022822910302593</v>
                </pt>
                <pt idx="3200">
                  <v>-0.2022822910302593</v>
                </pt>
                <pt idx="3201">
                  <v>-0.2022822910302593</v>
                </pt>
                <pt idx="3202">
                  <v>-0.2022822910302593</v>
                </pt>
                <pt idx="3203">
                  <v>-0.2022822910302593</v>
                </pt>
                <pt idx="3204">
                  <v>-0.2022822910302593</v>
                </pt>
                <pt idx="3205">
                  <v>-0.2022822910302593</v>
                </pt>
                <pt idx="3206">
                  <v>-0.2022822910302593</v>
                </pt>
                <pt idx="3207">
                  <v>-0.2022822910302593</v>
                </pt>
                <pt idx="3208">
                  <v>-0.2022822910302593</v>
                </pt>
                <pt idx="3209">
                  <v>-0.2022822910302593</v>
                </pt>
                <pt idx="3210">
                  <v>-0.2022822910302593</v>
                </pt>
                <pt idx="3211">
                  <v>-0.2022822910302593</v>
                </pt>
                <pt idx="3212">
                  <v>-0.2022822910302593</v>
                </pt>
                <pt idx="3213">
                  <v>-0.2022822910302593</v>
                </pt>
                <pt idx="3214">
                  <v>-0.2022822910302593</v>
                </pt>
                <pt idx="3215">
                  <v>-0.2022822910302593</v>
                </pt>
                <pt idx="3216">
                  <v>-0.2022822910302593</v>
                </pt>
                <pt idx="3217">
                  <v>-0.2022822910302593</v>
                </pt>
                <pt idx="3218">
                  <v>-0.2022822910302593</v>
                </pt>
                <pt idx="3219">
                  <v>-0.2022822910302593</v>
                </pt>
                <pt idx="3220">
                  <v>-0.2022822910302593</v>
                </pt>
                <pt idx="3221">
                  <v>-0.2022822910302593</v>
                </pt>
                <pt idx="3222">
                  <v>-0.2022822910302593</v>
                </pt>
                <pt idx="3223">
                  <v>-0.2022822910302593</v>
                </pt>
                <pt idx="3224">
                  <v>-0.2022822910302593</v>
                </pt>
                <pt idx="3225">
                  <v>-0.2022822910302593</v>
                </pt>
                <pt idx="3226">
                  <v>-0.2022822910302593</v>
                </pt>
                <pt idx="3227">
                  <v>-0.2022822910302593</v>
                </pt>
                <pt idx="3228">
                  <v>-0.2022822910302593</v>
                </pt>
                <pt idx="3229">
                  <v>-0.2022822910302593</v>
                </pt>
                <pt idx="3230">
                  <v>-0.2022822910302593</v>
                </pt>
                <pt idx="3231">
                  <v>-0.2022822910302593</v>
                </pt>
                <pt idx="3232">
                  <v>-0.2022822910302593</v>
                </pt>
                <pt idx="3233">
                  <v>-0.2022822910302593</v>
                </pt>
                <pt idx="3234">
                  <v>-0.2022822910302593</v>
                </pt>
                <pt idx="3235">
                  <v>-0.2022822910302593</v>
                </pt>
                <pt idx="3236">
                  <v>-0.2022822910302593</v>
                </pt>
                <pt idx="3237">
                  <v>-0.2022822910302593</v>
                </pt>
                <pt idx="3238">
                  <v>-0.2022822910302593</v>
                </pt>
                <pt idx="3239">
                  <v>-0.2022822910302593</v>
                </pt>
                <pt idx="3240">
                  <v>-0.2022822910302593</v>
                </pt>
                <pt idx="3241">
                  <v>-0.2022822910302593</v>
                </pt>
                <pt idx="3242">
                  <v>-0.2022822910302593</v>
                </pt>
                <pt idx="3243">
                  <v>-0.2022822910302593</v>
                </pt>
                <pt idx="3244">
                  <v>-0.2022822910302593</v>
                </pt>
                <pt idx="3245">
                  <v>-0.2022822910302593</v>
                </pt>
                <pt idx="3246">
                  <v>-0.2022822910302593</v>
                </pt>
                <pt idx="3247">
                  <v>-0.2022822910302593</v>
                </pt>
                <pt idx="3248">
                  <v>-0.2022822910302593</v>
                </pt>
                <pt idx="3249">
                  <v>-0.2022822910302593</v>
                </pt>
                <pt idx="3250">
                  <v>-0.2022822910302593</v>
                </pt>
                <pt idx="3251">
                  <v>-0.2022822910302593</v>
                </pt>
                <pt idx="3252">
                  <v>-0.2022822910302593</v>
                </pt>
                <pt idx="3253">
                  <v>-0.2022822910302593</v>
                </pt>
                <pt idx="3254">
                  <v>-0.2022822910302593</v>
                </pt>
                <pt idx="3255">
                  <v>-0.2022822910302593</v>
                </pt>
                <pt idx="3256">
                  <v>-0.2022822910302593</v>
                </pt>
                <pt idx="3257">
                  <v>-0.2022822910302593</v>
                </pt>
                <pt idx="3258">
                  <v>-0.2022822910302593</v>
                </pt>
                <pt idx="3259">
                  <v>-0.2022822910302593</v>
                </pt>
                <pt idx="3260">
                  <v>-0.2022822910302593</v>
                </pt>
                <pt idx="3261">
                  <v>-0.2022822910302593</v>
                </pt>
                <pt idx="3262">
                  <v>-0.2022822910302593</v>
                </pt>
                <pt idx="3263">
                  <v>-0.2022822910302593</v>
                </pt>
                <pt idx="3264">
                  <v>-0.2022822910302593</v>
                </pt>
                <pt idx="3265">
                  <v>-0.2022822910302593</v>
                </pt>
                <pt idx="3266">
                  <v>-0.2022822910302593</v>
                </pt>
                <pt idx="3267">
                  <v>-0.2022822910302593</v>
                </pt>
                <pt idx="3268">
                  <v>-0.2022822910302593</v>
                </pt>
                <pt idx="3269">
                  <v>-0.2022822910302593</v>
                </pt>
                <pt idx="3270">
                  <v>-0.2022822910302593</v>
                </pt>
                <pt idx="3271">
                  <v>-0.2022822910302593</v>
                </pt>
                <pt idx="3272">
                  <v>-0.2022822910302593</v>
                </pt>
                <pt idx="3273">
                  <v>-0.2022822910302593</v>
                </pt>
                <pt idx="3274">
                  <v>-0.2022822910302593</v>
                </pt>
                <pt idx="3275">
                  <v>-0.2022822910302593</v>
                </pt>
                <pt idx="3276">
                  <v>-0.2022822910302593</v>
                </pt>
                <pt idx="3277">
                  <v>-0.2022822910302593</v>
                </pt>
                <pt idx="3278">
                  <v>-0.2022822910302593</v>
                </pt>
                <pt idx="3279">
                  <v>-0.2022822910302593</v>
                </pt>
                <pt idx="3280">
                  <v>-0.2022822910302593</v>
                </pt>
                <pt idx="3281">
                  <v>-0.2022822910302593</v>
                </pt>
                <pt idx="3282">
                  <v>-0.2022822910302593</v>
                </pt>
                <pt idx="3283">
                  <v>-0.2022822910302593</v>
                </pt>
                <pt idx="3284">
                  <v>-0.2022822910302593</v>
                </pt>
                <pt idx="3285">
                  <v>-0.2022822910302593</v>
                </pt>
                <pt idx="3286">
                  <v>-0.2022822910302593</v>
                </pt>
                <pt idx="3287">
                  <v>-0.2022822910302593</v>
                </pt>
                <pt idx="3288">
                  <v>-0.2022822910302593</v>
                </pt>
                <pt idx="3289">
                  <v>-0.2022822910302593</v>
                </pt>
                <pt idx="3290">
                  <v>-0.2022822910302593</v>
                </pt>
                <pt idx="3291">
                  <v>-0.2022822910302593</v>
                </pt>
                <pt idx="3292">
                  <v>-0.2022822910302593</v>
                </pt>
                <pt idx="3293">
                  <v>-0.2022822910302593</v>
                </pt>
                <pt idx="3294">
                  <v>-0.2022822910302593</v>
                </pt>
                <pt idx="3295">
                  <v>-0.2022822910302593</v>
                </pt>
                <pt idx="3296">
                  <v>-0.2022822910302593</v>
                </pt>
                <pt idx="3297">
                  <v>-0.2022822910302593</v>
                </pt>
                <pt idx="3298">
                  <v>-0.2022822910302593</v>
                </pt>
                <pt idx="3299">
                  <v>-0.2022822910302593</v>
                </pt>
                <pt idx="3300">
                  <v>-0.2022822910302593</v>
                </pt>
                <pt idx="3301">
                  <v>-0.2022822910302593</v>
                </pt>
                <pt idx="3302">
                  <v>-0.2022822910302593</v>
                </pt>
                <pt idx="3303">
                  <v>-0.2022822910302593</v>
                </pt>
                <pt idx="3304">
                  <v>-0.2022822910302593</v>
                </pt>
                <pt idx="3305">
                  <v>-0.2022822910302593</v>
                </pt>
                <pt idx="3306">
                  <v>-0.2022822910302593</v>
                </pt>
                <pt idx="3307">
                  <v>-0.2022822910302593</v>
                </pt>
                <pt idx="3308">
                  <v>-0.2022822910302593</v>
                </pt>
                <pt idx="3309">
                  <v>-0.2022822910302593</v>
                </pt>
                <pt idx="3310">
                  <v>-0.2022822910302593</v>
                </pt>
                <pt idx="3311">
                  <v>-0.2022822910302593</v>
                </pt>
                <pt idx="3312">
                  <v>-0.2022822910302593</v>
                </pt>
                <pt idx="3313">
                  <v>-0.2022822910302593</v>
                </pt>
                <pt idx="3314">
                  <v>-0.2022822910302593</v>
                </pt>
                <pt idx="3315">
                  <v>-0.2022822910302593</v>
                </pt>
                <pt idx="3316">
                  <v>-0.2022822910302593</v>
                </pt>
                <pt idx="3317">
                  <v>-0.2022822910302593</v>
                </pt>
                <pt idx="3318">
                  <v>-0.2022822910302593</v>
                </pt>
                <pt idx="3319">
                  <v>-0.2022822910302593</v>
                </pt>
                <pt idx="3320">
                  <v>-0.2022822910302593</v>
                </pt>
                <pt idx="3321">
                  <v>-0.2022822910302593</v>
                </pt>
                <pt idx="3322">
                  <v>-0.2022822910302593</v>
                </pt>
                <pt idx="3323">
                  <v>-0.2022822910302593</v>
                </pt>
                <pt idx="3324">
                  <v>-0.2022822910302593</v>
                </pt>
                <pt idx="3325">
                  <v>-0.2022822910302593</v>
                </pt>
                <pt idx="3326">
                  <v>-0.2022822910302593</v>
                </pt>
                <pt idx="3327">
                  <v>-0.2022822910302593</v>
                </pt>
                <pt idx="3328">
                  <v>-0.2022822910302593</v>
                </pt>
                <pt idx="3329">
                  <v>-0.2022822910302593</v>
                </pt>
                <pt idx="3330">
                  <v>-0.2022822910302593</v>
                </pt>
                <pt idx="3331">
                  <v>-0.2022822910302593</v>
                </pt>
                <pt idx="3332">
                  <v>-0.2022822910302593</v>
                </pt>
                <pt idx="3333">
                  <v>-0.2022822910302593</v>
                </pt>
                <pt idx="3334">
                  <v>-0.2022822910302593</v>
                </pt>
                <pt idx="3335">
                  <v>-0.2022822910302593</v>
                </pt>
                <pt idx="3336">
                  <v>-0.2022822910302593</v>
                </pt>
                <pt idx="3337">
                  <v>-0.2022822910302593</v>
                </pt>
                <pt idx="3338">
                  <v>-0.2022822910302593</v>
                </pt>
                <pt idx="3339">
                  <v>-0.2022822910302593</v>
                </pt>
                <pt idx="3340">
                  <v>-0.2022822910302593</v>
                </pt>
                <pt idx="3341">
                  <v>-0.2022822910302593</v>
                </pt>
                <pt idx="3342">
                  <v>-0.2022822910302593</v>
                </pt>
                <pt idx="3343">
                  <v>-0.2022822910302593</v>
                </pt>
                <pt idx="3344">
                  <v>-0.2022822910302593</v>
                </pt>
                <pt idx="3345">
                  <v>-0.2022822910302593</v>
                </pt>
                <pt idx="3346">
                  <v>-0.2022822910302593</v>
                </pt>
                <pt idx="3347">
                  <v>-0.2022822910302593</v>
                </pt>
                <pt idx="3348">
                  <v>-0.2022822910302593</v>
                </pt>
                <pt idx="3349">
                  <v>-0.2022822910302593</v>
                </pt>
                <pt idx="3350">
                  <v>-0.2022822910302593</v>
                </pt>
                <pt idx="3351">
                  <v>-0.2022822910302593</v>
                </pt>
                <pt idx="3352">
                  <v>-0.2022822910302593</v>
                </pt>
                <pt idx="3353">
                  <v>-0.2022822910302593</v>
                </pt>
                <pt idx="3354">
                  <v>-0.2022822910302593</v>
                </pt>
                <pt idx="3355">
                  <v>-0.2022822910302593</v>
                </pt>
                <pt idx="3356">
                  <v>-0.2022822910302593</v>
                </pt>
                <pt idx="3357">
                  <v>-0.2022822910302593</v>
                </pt>
                <pt idx="3358">
                  <v>-0.2022822910302593</v>
                </pt>
                <pt idx="3359">
                  <v>-0.2022822910302593</v>
                </pt>
                <pt idx="3360">
                  <v>-0.2022822910302593</v>
                </pt>
                <pt idx="3361">
                  <v>-0.2022822910302593</v>
                </pt>
                <pt idx="3362">
                  <v>-0.2022822910302593</v>
                </pt>
                <pt idx="3363">
                  <v>-0.2022822910302593</v>
                </pt>
                <pt idx="3364">
                  <v>-0.2022822910302593</v>
                </pt>
                <pt idx="3365">
                  <v>-0.2022822910302593</v>
                </pt>
                <pt idx="3366">
                  <v>-0.2022822910302593</v>
                </pt>
                <pt idx="3367">
                  <v>-0.2022822910302593</v>
                </pt>
                <pt idx="3368">
                  <v>-0.2022822910302593</v>
                </pt>
                <pt idx="3369">
                  <v>-0.2022822910302593</v>
                </pt>
                <pt idx="3370">
                  <v>-0.2022822910302593</v>
                </pt>
                <pt idx="3371">
                  <v>-0.2022822910302593</v>
                </pt>
                <pt idx="3372">
                  <v>-0.2022822910302593</v>
                </pt>
                <pt idx="3373">
                  <v>-0.2022822910302593</v>
                </pt>
                <pt idx="3374">
                  <v>-0.2022822910302593</v>
                </pt>
                <pt idx="3375">
                  <v>-0.2022822910302593</v>
                </pt>
                <pt idx="3376">
                  <v>-0.2022822910302593</v>
                </pt>
                <pt idx="3377">
                  <v>-0.2022822910302593</v>
                </pt>
                <pt idx="3378">
                  <v>-0.2022822910302593</v>
                </pt>
                <pt idx="3379">
                  <v>-0.2022822910302593</v>
                </pt>
                <pt idx="3380">
                  <v>-0.2022822910302593</v>
                </pt>
                <pt idx="3381">
                  <v>-0.2022822910302593</v>
                </pt>
                <pt idx="3382">
                  <v>-0.2022822910302593</v>
                </pt>
                <pt idx="3383">
                  <v>-0.2022822910302593</v>
                </pt>
                <pt idx="3384">
                  <v>-0.2022822910302593</v>
                </pt>
                <pt idx="3385">
                  <v>-0.2022822910302593</v>
                </pt>
                <pt idx="3386">
                  <v>-0.2022822910302593</v>
                </pt>
                <pt idx="3387">
                  <v>-0.2022822910302593</v>
                </pt>
                <pt idx="3388">
                  <v>-0.2022822910302593</v>
                </pt>
                <pt idx="3389">
                  <v>-0.2022822910302593</v>
                </pt>
                <pt idx="3390">
                  <v>-0.2022822910302593</v>
                </pt>
                <pt idx="3391">
                  <v>-0.2022822910302593</v>
                </pt>
                <pt idx="3392">
                  <v>-0.2022822910302593</v>
                </pt>
                <pt idx="3393">
                  <v>-0.2022822910302593</v>
                </pt>
                <pt idx="3394">
                  <v>-0.2022822910302593</v>
                </pt>
                <pt idx="3395">
                  <v>-0.2022822910302593</v>
                </pt>
                <pt idx="3396">
                  <v>-0.2022822910302593</v>
                </pt>
                <pt idx="3397">
                  <v>-0.2022822910302593</v>
                </pt>
                <pt idx="3398">
                  <v>-0.2022822910302593</v>
                </pt>
                <pt idx="3399">
                  <v>-0.2022822910302593</v>
                </pt>
                <pt idx="3400">
                  <v>-0.2022822910302593</v>
                </pt>
                <pt idx="3401">
                  <v>-0.2022822910302593</v>
                </pt>
                <pt idx="3402">
                  <v>-0.2022822910302593</v>
                </pt>
                <pt idx="3403">
                  <v>-0.2022822910302593</v>
                </pt>
                <pt idx="3404">
                  <v>-0.2022822910302593</v>
                </pt>
                <pt idx="3405">
                  <v>-0.2022822910302593</v>
                </pt>
                <pt idx="3406">
                  <v>-0.2022822910302593</v>
                </pt>
                <pt idx="3407">
                  <v>-0.2022822910302593</v>
                </pt>
                <pt idx="3408">
                  <v>-0.2022822910302593</v>
                </pt>
                <pt idx="3409">
                  <v>-0.2022822910302593</v>
                </pt>
                <pt idx="3410">
                  <v>-0.2022822910302593</v>
                </pt>
                <pt idx="3411">
                  <v>-0.2022822910302593</v>
                </pt>
                <pt idx="3412">
                  <v>-0.2022822910302593</v>
                </pt>
                <pt idx="3413">
                  <v>-0.2022822910302593</v>
                </pt>
                <pt idx="3414">
                  <v>-0.2022822910302593</v>
                </pt>
                <pt idx="3415">
                  <v>-0.2022822910302593</v>
                </pt>
                <pt idx="3416">
                  <v>-0.2022822910302593</v>
                </pt>
                <pt idx="3417">
                  <v>-0.2022822910302593</v>
                </pt>
                <pt idx="3418">
                  <v>-0.2022822910302593</v>
                </pt>
                <pt idx="3419">
                  <v>-0.2022822910302593</v>
                </pt>
                <pt idx="3420">
                  <v>-0.2022822910302593</v>
                </pt>
                <pt idx="3421">
                  <v>-0.2022822910302593</v>
                </pt>
                <pt idx="3422">
                  <v>-0.2022822910302593</v>
                </pt>
                <pt idx="3423">
                  <v>-0.2022822910302593</v>
                </pt>
                <pt idx="3424">
                  <v>-0.2022822910302593</v>
                </pt>
                <pt idx="3425">
                  <v>-0.2022822910302593</v>
                </pt>
                <pt idx="3426">
                  <v>-0.2022822910302593</v>
                </pt>
                <pt idx="3427">
                  <v>-0.2022822910302593</v>
                </pt>
                <pt idx="3428">
                  <v>-0.2022822910302593</v>
                </pt>
                <pt idx="3429">
                  <v>-0.2022822910302593</v>
                </pt>
                <pt idx="3430">
                  <v>-0.2022822910302593</v>
                </pt>
                <pt idx="3431">
                  <v>-0.2022822910302593</v>
                </pt>
                <pt idx="3432">
                  <v>-0.2022822910302593</v>
                </pt>
                <pt idx="3433">
                  <v>-0.2022822910302593</v>
                </pt>
                <pt idx="3434">
                  <v>-0.2022822910302593</v>
                </pt>
                <pt idx="3435">
                  <v>-0.2022822910302593</v>
                </pt>
                <pt idx="3436">
                  <v>-0.2022822910302593</v>
                </pt>
                <pt idx="3437">
                  <v>-0.2022822910302593</v>
                </pt>
                <pt idx="3438">
                  <v>-0.2022822910302593</v>
                </pt>
                <pt idx="3439">
                  <v>-0.2022822910302593</v>
                </pt>
                <pt idx="3440">
                  <v>-0.2022822910302593</v>
                </pt>
                <pt idx="3441">
                  <v>-0.2022822910302593</v>
                </pt>
                <pt idx="3442">
                  <v>-0.2022822910302593</v>
                </pt>
                <pt idx="3443">
                  <v>-0.2022822910302593</v>
                </pt>
                <pt idx="3444">
                  <v>-0.2022822910302593</v>
                </pt>
                <pt idx="3445">
                  <v>-0.2022822910302593</v>
                </pt>
                <pt idx="3446">
                  <v>-0.2022822910302593</v>
                </pt>
                <pt idx="3447">
                  <v>-0.2022822910302593</v>
                </pt>
                <pt idx="3448">
                  <v>-0.2022822910302593</v>
                </pt>
                <pt idx="3449">
                  <v>-0.2022822910302593</v>
                </pt>
                <pt idx="3450">
                  <v>-0.2022822910302593</v>
                </pt>
                <pt idx="3451">
                  <v>-0.2022822910302593</v>
                </pt>
                <pt idx="3452">
                  <v>-0.2022822910302593</v>
                </pt>
                <pt idx="3453">
                  <v>-0.2022822910302593</v>
                </pt>
                <pt idx="3454">
                  <v>-0.2022822910302593</v>
                </pt>
                <pt idx="3455">
                  <v>-0.2022822910302593</v>
                </pt>
                <pt idx="3456">
                  <v>-0.2022822910302593</v>
                </pt>
                <pt idx="3457">
                  <v>-0.2022822910302593</v>
                </pt>
                <pt idx="3458">
                  <v>-0.2022822910302593</v>
                </pt>
                <pt idx="3459">
                  <v>-0.2022822910302593</v>
                </pt>
                <pt idx="3460">
                  <v>-0.2022822910302593</v>
                </pt>
                <pt idx="3461">
                  <v>-0.2022822910302593</v>
                </pt>
                <pt idx="3462">
                  <v>-0.2022822910302593</v>
                </pt>
                <pt idx="3463">
                  <v>-0.2022822910302593</v>
                </pt>
                <pt idx="3464">
                  <v>-0.2022822910302593</v>
                </pt>
                <pt idx="3465">
                  <v>-0.2022822910302593</v>
                </pt>
                <pt idx="3466">
                  <v>-0.2022822910302593</v>
                </pt>
                <pt idx="3467">
                  <v>-0.2022822910302593</v>
                </pt>
                <pt idx="3468">
                  <v>-0.2022822910302593</v>
                </pt>
                <pt idx="3469">
                  <v>-0.2022822910302593</v>
                </pt>
                <pt idx="3470">
                  <v>-0.2022822910302593</v>
                </pt>
                <pt idx="3471">
                  <v>-0.2022822910302593</v>
                </pt>
                <pt idx="3472">
                  <v>-0.2022822910302593</v>
                </pt>
                <pt idx="3473">
                  <v>-0.2022822910302593</v>
                </pt>
                <pt idx="3474">
                  <v>-0.2022822910302593</v>
                </pt>
                <pt idx="3475">
                  <v>-0.2022822910302593</v>
                </pt>
                <pt idx="3476">
                  <v>-0.2022822910302593</v>
                </pt>
                <pt idx="3477">
                  <v>-0.2022822910302593</v>
                </pt>
                <pt idx="3478">
                  <v>-0.2022822910302593</v>
                </pt>
                <pt idx="3479">
                  <v>-0.2022822910302593</v>
                </pt>
                <pt idx="3480">
                  <v>-0.2022822910302593</v>
                </pt>
                <pt idx="3481">
                  <v>-0.2022822910302593</v>
                </pt>
                <pt idx="3482">
                  <v>-0.2022822910302593</v>
                </pt>
                <pt idx="3483">
                  <v>-0.2022822910302593</v>
                </pt>
                <pt idx="3484">
                  <v>-0.2022822910302593</v>
                </pt>
                <pt idx="3485">
                  <v>-0.2022822910302593</v>
                </pt>
                <pt idx="3486">
                  <v>-0.2022822910302593</v>
                </pt>
                <pt idx="3487">
                  <v>-0.2022822910302593</v>
                </pt>
                <pt idx="3488">
                  <v>-0.2022822910302593</v>
                </pt>
                <pt idx="3489">
                  <v>-0.2022822910302593</v>
                </pt>
                <pt idx="3490">
                  <v>-0.2022822910302593</v>
                </pt>
                <pt idx="3491">
                  <v>-0.2022822910302593</v>
                </pt>
                <pt idx="3492">
                  <v>-0.2022822910302593</v>
                </pt>
                <pt idx="3493">
                  <v>-0.2022822910302593</v>
                </pt>
                <pt idx="3494">
                  <v>-0.2022822910302593</v>
                </pt>
                <pt idx="3495">
                  <v>-0.2022822910302593</v>
                </pt>
                <pt idx="3496">
                  <v>-0.2022822910302593</v>
                </pt>
                <pt idx="3497">
                  <v>-0.2022822910302593</v>
                </pt>
                <pt idx="3498">
                  <v>-0.2022822910302593</v>
                </pt>
                <pt idx="3499">
                  <v>-0.2022822910302593</v>
                </pt>
                <pt idx="3500">
                  <v>-0.2022822910302593</v>
                </pt>
                <pt idx="3501">
                  <v>-0.2022822910302593</v>
                </pt>
                <pt idx="3502">
                  <v>-0.2022822910302593</v>
                </pt>
                <pt idx="3503">
                  <v>-0.2022822910302593</v>
                </pt>
                <pt idx="3504">
                  <v>-0.2022822910302593</v>
                </pt>
                <pt idx="3505">
                  <v>-0.2022822910302593</v>
                </pt>
                <pt idx="3506">
                  <v>-0.2022822910302593</v>
                </pt>
                <pt idx="3507">
                  <v>-0.2022822910302593</v>
                </pt>
                <pt idx="3508">
                  <v>-0.2022822910302593</v>
                </pt>
                <pt idx="3509">
                  <v>-0.2022822910302593</v>
                </pt>
                <pt idx="3510">
                  <v>-0.2022822910302593</v>
                </pt>
                <pt idx="3511">
                  <v>-0.2022822910302593</v>
                </pt>
                <pt idx="3512">
                  <v>-0.2022822910302593</v>
                </pt>
                <pt idx="3513">
                  <v>-0.2022822910302593</v>
                </pt>
                <pt idx="3514">
                  <v>-0.2022822910302593</v>
                </pt>
                <pt idx="3515">
                  <v>-0.2022822910302593</v>
                </pt>
                <pt idx="3516">
                  <v>-0.2022822910302593</v>
                </pt>
                <pt idx="3517">
                  <v>-0.2022822910302593</v>
                </pt>
                <pt idx="3518">
                  <v>-0.2022822910302593</v>
                </pt>
                <pt idx="3519">
                  <v>-0.2022822910302593</v>
                </pt>
                <pt idx="3520">
                  <v>-0.2022822910302593</v>
                </pt>
                <pt idx="3521">
                  <v>-0.2022822910302593</v>
                </pt>
                <pt idx="3522">
                  <v>-0.2022822910302593</v>
                </pt>
                <pt idx="3523">
                  <v>-0.2022822910302593</v>
                </pt>
                <pt idx="3524">
                  <v>-0.2022822910302593</v>
                </pt>
                <pt idx="3525">
                  <v>-0.2022822910302593</v>
                </pt>
                <pt idx="3526">
                  <v>-0.2022822910302593</v>
                </pt>
                <pt idx="3527">
                  <v>-0.2022822910302593</v>
                </pt>
                <pt idx="3528">
                  <v>-0.2022822910302593</v>
                </pt>
                <pt idx="3529">
                  <v>-0.2022822910302593</v>
                </pt>
                <pt idx="3530">
                  <v>-0.2022822910302593</v>
                </pt>
                <pt idx="3531">
                  <v>-0.2022822910302593</v>
                </pt>
                <pt idx="3532">
                  <v>-0.2022822910302593</v>
                </pt>
                <pt idx="3533">
                  <v>-0.2022822910302593</v>
                </pt>
                <pt idx="3534">
                  <v>-0.2022822910302593</v>
                </pt>
                <pt idx="3535">
                  <v>-0.2022822910302593</v>
                </pt>
                <pt idx="3536">
                  <v>-0.2022822910302593</v>
                </pt>
                <pt idx="3537">
                  <v>-0.2022822910302593</v>
                </pt>
                <pt idx="3538">
                  <v>-0.2022822910302593</v>
                </pt>
                <pt idx="3539">
                  <v>-0.2022822910302593</v>
                </pt>
                <pt idx="3540">
                  <v>-0.2022822910302593</v>
                </pt>
                <pt idx="3541">
                  <v>-0.2022822910302593</v>
                </pt>
                <pt idx="3542">
                  <v>-0.2022822910302593</v>
                </pt>
                <pt idx="3543">
                  <v>-0.2022822910302593</v>
                </pt>
                <pt idx="3544">
                  <v>-0.2022822910302593</v>
                </pt>
                <pt idx="3545">
                  <v>-0.2022822910302593</v>
                </pt>
                <pt idx="3546">
                  <v>-0.2022822910302593</v>
                </pt>
                <pt idx="3547">
                  <v>-0.2022822910302593</v>
                </pt>
                <pt idx="3548">
                  <v>-0.2022822910302593</v>
                </pt>
                <pt idx="3549">
                  <v>-0.2022822910302593</v>
                </pt>
                <pt idx="3550">
                  <v>-0.2022822910302593</v>
                </pt>
                <pt idx="3551">
                  <v>-0.2022822910302593</v>
                </pt>
                <pt idx="3552">
                  <v>-0.2022822910302593</v>
                </pt>
                <pt idx="3553">
                  <v>-0.2022822910302593</v>
                </pt>
                <pt idx="3554">
                  <v>-0.2022822910302593</v>
                </pt>
                <pt idx="3555">
                  <v>-0.2022822910302593</v>
                </pt>
                <pt idx="3556">
                  <v>-0.2022822910302593</v>
                </pt>
                <pt idx="3557">
                  <v>-0.2022822910302593</v>
                </pt>
                <pt idx="3558">
                  <v>-0.2022822910302593</v>
                </pt>
                <pt idx="3559">
                  <v>-0.2022822910302593</v>
                </pt>
                <pt idx="3560">
                  <v>-0.2022822910302593</v>
                </pt>
                <pt idx="3561">
                  <v>-0.2022822910302593</v>
                </pt>
                <pt idx="3562">
                  <v>-0.2022822910302593</v>
                </pt>
                <pt idx="3563">
                  <v>-0.2022822910302593</v>
                </pt>
                <pt idx="3564">
                  <v>-0.2022822910302593</v>
                </pt>
                <pt idx="3565">
                  <v>-0.2022822910302593</v>
                </pt>
                <pt idx="3566">
                  <v>-0.2022822910302593</v>
                </pt>
                <pt idx="3567">
                  <v>-0.2022822910302593</v>
                </pt>
                <pt idx="3568">
                  <v>-0.2022822910302593</v>
                </pt>
                <pt idx="3569">
                  <v>-0.2022822910302593</v>
                </pt>
                <pt idx="3570">
                  <v>-0.2022822910302593</v>
                </pt>
                <pt idx="3571">
                  <v>-0.2022822910302593</v>
                </pt>
                <pt idx="3572">
                  <v>-0.2022822910302593</v>
                </pt>
                <pt idx="3573">
                  <v>-0.2022822910302593</v>
                </pt>
                <pt idx="3574">
                  <v>-0.2022822910302593</v>
                </pt>
                <pt idx="3575">
                  <v>-0.2022822910302593</v>
                </pt>
                <pt idx="3576">
                  <v>-0.2022822910302593</v>
                </pt>
                <pt idx="3577">
                  <v>-0.2022822910302593</v>
                </pt>
                <pt idx="3578">
                  <v>-0.2022822910302593</v>
                </pt>
                <pt idx="3579">
                  <v>-0.2022822910302593</v>
                </pt>
                <pt idx="3580">
                  <v>-0.2022822910302593</v>
                </pt>
                <pt idx="3581">
                  <v>-0.2022822910302593</v>
                </pt>
                <pt idx="3582">
                  <v>-0.2022822910302593</v>
                </pt>
                <pt idx="3583">
                  <v>-0.2022822910302593</v>
                </pt>
                <pt idx="3584">
                  <v>-0.2022822910302593</v>
                </pt>
                <pt idx="3585">
                  <v>-0.2022822910302593</v>
                </pt>
                <pt idx="3586">
                  <v>-0.2022822910302593</v>
                </pt>
                <pt idx="3587">
                  <v>-0.2022822910302593</v>
                </pt>
                <pt idx="3588">
                  <v>-0.2022822910302593</v>
                </pt>
                <pt idx="3589">
                  <v>-0.2022822910302593</v>
                </pt>
                <pt idx="3590">
                  <v>-0.2022822910302593</v>
                </pt>
                <pt idx="3591">
                  <v>-0.2022822910302593</v>
                </pt>
                <pt idx="3592">
                  <v>-0.2022822910302593</v>
                </pt>
                <pt idx="3593">
                  <v>-0.2022822910302593</v>
                </pt>
                <pt idx="3594">
                  <v>-0.2022822910302593</v>
                </pt>
                <pt idx="3595">
                  <v>-0.2022822910302593</v>
                </pt>
                <pt idx="3596">
                  <v>-0.2022822910302593</v>
                </pt>
                <pt idx="3597">
                  <v>-0.2022822910302593</v>
                </pt>
                <pt idx="3598">
                  <v>-0.2022822910302593</v>
                </pt>
                <pt idx="3599">
                  <v>-0.2022822910302593</v>
                </pt>
                <pt idx="3600">
                  <v>-0.2022822910302593</v>
                </pt>
                <pt idx="3601">
                  <v>-0.2022822910302593</v>
                </pt>
                <pt idx="3602">
                  <v>-0.2022822910302593</v>
                </pt>
                <pt idx="3603">
                  <v>-0.2022822910302593</v>
                </pt>
                <pt idx="3604">
                  <v>-0.2022822910302593</v>
                </pt>
                <pt idx="3605">
                  <v>-0.2022822910302593</v>
                </pt>
                <pt idx="3606">
                  <v>-0.2022822910302593</v>
                </pt>
                <pt idx="3607">
                  <v>-0.2022822910302593</v>
                </pt>
                <pt idx="3608">
                  <v>-0.2022822910302593</v>
                </pt>
                <pt idx="3609">
                  <v>-0.2022822910302593</v>
                </pt>
                <pt idx="3610">
                  <v>-0.2022822910302593</v>
                </pt>
                <pt idx="3611">
                  <v>-0.2022822910302593</v>
                </pt>
                <pt idx="3612">
                  <v>-0.2022822910302593</v>
                </pt>
                <pt idx="3613">
                  <v>-0.2022822910302593</v>
                </pt>
                <pt idx="3614">
                  <v>-0.2022822910302593</v>
                </pt>
                <pt idx="3615">
                  <v>-0.2022822910302593</v>
                </pt>
                <pt idx="3616">
                  <v>-0.2022822910302593</v>
                </pt>
                <pt idx="3617">
                  <v>-0.2022822910302593</v>
                </pt>
                <pt idx="3618">
                  <v>-0.2022822910302593</v>
                </pt>
                <pt idx="3619">
                  <v>-0.2022822910302593</v>
                </pt>
                <pt idx="3620">
                  <v>-0.2022822910302593</v>
                </pt>
                <pt idx="3621">
                  <v>-0.2022822910302593</v>
                </pt>
                <pt idx="3622">
                  <v>-0.2022822910302593</v>
                </pt>
                <pt idx="3623">
                  <v>-0.2022822910302593</v>
                </pt>
                <pt idx="3624">
                  <v>-0.2022822910302593</v>
                </pt>
                <pt idx="3625">
                  <v>-0.2022822910302593</v>
                </pt>
                <pt idx="3626">
                  <v>-0.2022822910302593</v>
                </pt>
                <pt idx="3627">
                  <v>-0.2022822910302593</v>
                </pt>
                <pt idx="3628">
                  <v>-0.2022822910302593</v>
                </pt>
                <pt idx="3629">
                  <v>-0.2022822910302593</v>
                </pt>
                <pt idx="3630">
                  <v>-0.2022822910302593</v>
                </pt>
                <pt idx="3631">
                  <v>-0.2022822910302593</v>
                </pt>
                <pt idx="3632">
                  <v>-0.2022822910302593</v>
                </pt>
                <pt idx="3633">
                  <v>-0.2022822910302593</v>
                </pt>
                <pt idx="3634">
                  <v>-0.2022822910302593</v>
                </pt>
                <pt idx="3635">
                  <v>-0.2022822910302593</v>
                </pt>
                <pt idx="3636">
                  <v>-0.2022822910302593</v>
                </pt>
                <pt idx="3637">
                  <v>-0.2022822910302593</v>
                </pt>
                <pt idx="3638">
                  <v>-0.2022822910302593</v>
                </pt>
                <pt idx="3639">
                  <v>-0.2022822910302593</v>
                </pt>
                <pt idx="3640">
                  <v>-0.2022822910302593</v>
                </pt>
                <pt idx="3641">
                  <v>-0.2022822910302593</v>
                </pt>
                <pt idx="3642">
                  <v>-0.2022822910302593</v>
                </pt>
                <pt idx="3643">
                  <v>-0.2022822910302593</v>
                </pt>
                <pt idx="3644">
                  <v>-0.2022822910302593</v>
                </pt>
                <pt idx="3645">
                  <v>-0.2022822910302593</v>
                </pt>
                <pt idx="3646">
                  <v>-0.2022822910302593</v>
                </pt>
                <pt idx="3647">
                  <v>-0.2022822910302593</v>
                </pt>
                <pt idx="3648">
                  <v>-0.2022822910302593</v>
                </pt>
                <pt idx="3649">
                  <v>-0.2022822910302593</v>
                </pt>
                <pt idx="3650">
                  <v>-0.2022822910302593</v>
                </pt>
                <pt idx="3651">
                  <v>-0.2022822910302593</v>
                </pt>
                <pt idx="3652">
                  <v>-0.2022822910302593</v>
                </pt>
                <pt idx="3653">
                  <v>-0.2022822910302593</v>
                </pt>
                <pt idx="3654">
                  <v>-0.2022822910302593</v>
                </pt>
                <pt idx="3655">
                  <v>-0.2022822910302593</v>
                </pt>
                <pt idx="3656">
                  <v>-0.2022822910302593</v>
                </pt>
                <pt idx="3657">
                  <v>-0.2022822910302593</v>
                </pt>
                <pt idx="3658">
                  <v>-0.2022822910302593</v>
                </pt>
                <pt idx="3659">
                  <v>-0.2022822910302593</v>
                </pt>
                <pt idx="3660">
                  <v>-0.2022822910302593</v>
                </pt>
                <pt idx="3661">
                  <v>-0.2022822910302593</v>
                </pt>
                <pt idx="3662">
                  <v>-0.2022822910302593</v>
                </pt>
                <pt idx="3663">
                  <v>-0.2022822910302593</v>
                </pt>
                <pt idx="3664">
                  <v>-0.2022822910302593</v>
                </pt>
                <pt idx="3665">
                  <v>-0.2022822910302593</v>
                </pt>
                <pt idx="3666">
                  <v>-0.2022822910302593</v>
                </pt>
                <pt idx="3667">
                  <v>-0.2022822910302593</v>
                </pt>
                <pt idx="3668">
                  <v>-0.2022822910302593</v>
                </pt>
                <pt idx="3669">
                  <v>-0.2022822910302593</v>
                </pt>
                <pt idx="3670">
                  <v>-0.2022822910302593</v>
                </pt>
                <pt idx="3671">
                  <v>-0.2022822910302593</v>
                </pt>
                <pt idx="3672">
                  <v>-0.2022822910302593</v>
                </pt>
                <pt idx="3673">
                  <v>-0.2022822910302593</v>
                </pt>
                <pt idx="3674">
                  <v>-0.2022822910302593</v>
                </pt>
                <pt idx="3675">
                  <v>-0.2022822910302593</v>
                </pt>
                <pt idx="3676">
                  <v>-0.2022822910302593</v>
                </pt>
                <pt idx="3677">
                  <v>-0.2022822910302593</v>
                </pt>
                <pt idx="3678">
                  <v>-0.2022822910302593</v>
                </pt>
                <pt idx="3679">
                  <v>-0.2022822910302593</v>
                </pt>
                <pt idx="3680">
                  <v>-0.2022822910302593</v>
                </pt>
                <pt idx="3681">
                  <v>-0.2022822910302593</v>
                </pt>
                <pt idx="3682">
                  <v>-0.2022822910302593</v>
                </pt>
                <pt idx="3683">
                  <v>-0.2022822910302593</v>
                </pt>
                <pt idx="3684">
                  <v>-0.2022822910302593</v>
                </pt>
                <pt idx="3685">
                  <v>-0.2022822910302593</v>
                </pt>
                <pt idx="3686">
                  <v>-0.2022822910302593</v>
                </pt>
                <pt idx="3687">
                  <v>-0.2022822910302593</v>
                </pt>
                <pt idx="3688">
                  <v>-0.2022822910302593</v>
                </pt>
                <pt idx="3689">
                  <v>-0.2022822910302593</v>
                </pt>
                <pt idx="3690">
                  <v>-0.2022822910302593</v>
                </pt>
                <pt idx="3691">
                  <v>-0.2022822910302593</v>
                </pt>
                <pt idx="3692">
                  <v>-0.2022822910302593</v>
                </pt>
                <pt idx="3693">
                  <v>-0.2022822910302593</v>
                </pt>
                <pt idx="3694">
                  <v>-0.2022822910302593</v>
                </pt>
                <pt idx="3695">
                  <v>-0.2022822910302593</v>
                </pt>
                <pt idx="3696">
                  <v>-0.2022822910302593</v>
                </pt>
                <pt idx="3697">
                  <v>-0.2022822910302593</v>
                </pt>
                <pt idx="3698">
                  <v>-0.2022822910302593</v>
                </pt>
                <pt idx="3699">
                  <v>-0.2022822910302593</v>
                </pt>
                <pt idx="3700">
                  <v>-0.2022822910302593</v>
                </pt>
                <pt idx="3701">
                  <v>-0.2022822910302593</v>
                </pt>
                <pt idx="3702">
                  <v>-0.2022822910302593</v>
                </pt>
                <pt idx="3703">
                  <v>-0.2022822910302593</v>
                </pt>
                <pt idx="3704">
                  <v>-0.2022822910302593</v>
                </pt>
                <pt idx="3705">
                  <v>-0.2022822910302593</v>
                </pt>
                <pt idx="3706">
                  <v>-0.2022822910302593</v>
                </pt>
                <pt idx="3707">
                  <v>-0.2022822910302593</v>
                </pt>
                <pt idx="3708">
                  <v>-0.2022822910302593</v>
                </pt>
                <pt idx="3709">
                  <v>-0.2022822910302593</v>
                </pt>
                <pt idx="3710">
                  <v>-0.2022822910302593</v>
                </pt>
                <pt idx="3711">
                  <v>-0.2022822910302593</v>
                </pt>
                <pt idx="3712">
                  <v>-0.2022822910302593</v>
                </pt>
                <pt idx="3713">
                  <v>-0.2022822910302593</v>
                </pt>
                <pt idx="3714">
                  <v>-0.2022822910302593</v>
                </pt>
                <pt idx="3715">
                  <v>-0.2022822910302593</v>
                </pt>
                <pt idx="3716">
                  <v>-0.2022822910302593</v>
                </pt>
                <pt idx="3717">
                  <v>-0.2022822910302593</v>
                </pt>
                <pt idx="3718">
                  <v>-0.2022822910302593</v>
                </pt>
                <pt idx="3719">
                  <v>-0.2022822910302593</v>
                </pt>
                <pt idx="3720">
                  <v>-0.2022822910302593</v>
                </pt>
                <pt idx="3721">
                  <v>-0.2022822910302593</v>
                </pt>
                <pt idx="3722">
                  <v>-0.2022822910302593</v>
                </pt>
                <pt idx="3723">
                  <v>-0.2022822910302593</v>
                </pt>
                <pt idx="3724">
                  <v>-0.2022822910302593</v>
                </pt>
                <pt idx="3725">
                  <v>-0.2022822910302593</v>
                </pt>
                <pt idx="3726">
                  <v>-0.2022822910302593</v>
                </pt>
                <pt idx="3727">
                  <v>-0.2022822910302593</v>
                </pt>
                <pt idx="3728">
                  <v>-0.2022822910302593</v>
                </pt>
                <pt idx="3729">
                  <v>-0.2022822910302593</v>
                </pt>
                <pt idx="3730">
                  <v>-0.2022822910302593</v>
                </pt>
                <pt idx="3731">
                  <v>-0.2022822910302593</v>
                </pt>
                <pt idx="3732">
                  <v>-0.2022822910302593</v>
                </pt>
                <pt idx="3733">
                  <v>-0.2022822910302593</v>
                </pt>
                <pt idx="3734">
                  <v>-0.2022822910302593</v>
                </pt>
                <pt idx="3735">
                  <v>-0.2022822910302593</v>
                </pt>
                <pt idx="3736">
                  <v>-0.2022822910302593</v>
                </pt>
                <pt idx="3737">
                  <v>-0.2022822910302593</v>
                </pt>
                <pt idx="3738">
                  <v>-0.2022822910302593</v>
                </pt>
                <pt idx="3739">
                  <v>-0.2022822910302593</v>
                </pt>
                <pt idx="3740">
                  <v>-0.2022822910302593</v>
                </pt>
                <pt idx="3741">
                  <v>-0.2022822910302593</v>
                </pt>
                <pt idx="3742">
                  <v>-0.2022822910302593</v>
                </pt>
                <pt idx="3743">
                  <v>-0.2022822910302593</v>
                </pt>
                <pt idx="3744">
                  <v>-0.2022822910302593</v>
                </pt>
                <pt idx="3745">
                  <v>-0.2022822910302593</v>
                </pt>
                <pt idx="3746">
                  <v>-0.2022822910302593</v>
                </pt>
                <pt idx="3747">
                  <v>-0.2022822910302593</v>
                </pt>
                <pt idx="3748">
                  <v>-0.2022822910302593</v>
                </pt>
                <pt idx="3749">
                  <v>-0.2022822910302593</v>
                </pt>
                <pt idx="3750">
                  <v>-0.2022822910302593</v>
                </pt>
                <pt idx="3751">
                  <v>-0.2022822910302593</v>
                </pt>
                <pt idx="3752">
                  <v>-0.2022822910302593</v>
                </pt>
                <pt idx="3753">
                  <v>-0.2022822910302593</v>
                </pt>
                <pt idx="3754">
                  <v>-0.2022822910302593</v>
                </pt>
                <pt idx="3755">
                  <v>-0.2022822910302593</v>
                </pt>
                <pt idx="3756">
                  <v>-0.2022822910302593</v>
                </pt>
                <pt idx="3757">
                  <v>-0.2022822910302593</v>
                </pt>
                <pt idx="3758">
                  <v>-0.2022822910302593</v>
                </pt>
                <pt idx="3759">
                  <v>-0.2022822910302593</v>
                </pt>
                <pt idx="3760">
                  <v>-0.2022822910302593</v>
                </pt>
                <pt idx="3761">
                  <v>-0.2022822910302593</v>
                </pt>
                <pt idx="3762">
                  <v>-0.2022822910302593</v>
                </pt>
                <pt idx="3763">
                  <v>-0.2022822910302593</v>
                </pt>
                <pt idx="3764">
                  <v>-0.2022822910302593</v>
                </pt>
                <pt idx="3765">
                  <v>-0.2022822910302593</v>
                </pt>
                <pt idx="3766">
                  <v>-0.2022822910302593</v>
                </pt>
                <pt idx="3767">
                  <v>-0.2022822910302593</v>
                </pt>
                <pt idx="3768">
                  <v>-0.2022822910302593</v>
                </pt>
                <pt idx="3769">
                  <v>-0.2022822910302593</v>
                </pt>
                <pt idx="3770">
                  <v>-0.2022822910302593</v>
                </pt>
                <pt idx="3771">
                  <v>-0.2022822910302593</v>
                </pt>
                <pt idx="3772">
                  <v>-0.2022822910302593</v>
                </pt>
                <pt idx="3773">
                  <v>-0.2022822910302593</v>
                </pt>
                <pt idx="3774">
                  <v>-0.2022822910302593</v>
                </pt>
                <pt idx="3775">
                  <v>-0.2022822910302593</v>
                </pt>
                <pt idx="3776">
                  <v>-0.2022822910302593</v>
                </pt>
                <pt idx="3777">
                  <v>-0.2022822910302593</v>
                </pt>
                <pt idx="3778">
                  <v>-0.2022822910302593</v>
                </pt>
                <pt idx="3779">
                  <v>-0.2022822910302593</v>
                </pt>
                <pt idx="3780">
                  <v>-0.2022822910302593</v>
                </pt>
                <pt idx="3781">
                  <v>-0.2022822910302593</v>
                </pt>
                <pt idx="3782">
                  <v>-0.2022822910302593</v>
                </pt>
                <pt idx="3783">
                  <v>-0.2022822910302593</v>
                </pt>
                <pt idx="3784">
                  <v>-0.2022822910302593</v>
                </pt>
                <pt idx="3785">
                  <v>-0.2022822910302593</v>
                </pt>
                <pt idx="3786">
                  <v>-0.2022822910302593</v>
                </pt>
                <pt idx="3787">
                  <v>-0.2022822910302593</v>
                </pt>
                <pt idx="3788">
                  <v>-0.2022822910302593</v>
                </pt>
                <pt idx="3789">
                  <v>-0.2022822910302593</v>
                </pt>
                <pt idx="3790">
                  <v>-0.2022822910302593</v>
                </pt>
                <pt idx="3791">
                  <v>-0.2022822910302593</v>
                </pt>
                <pt idx="3792">
                  <v>-0.2022822910302593</v>
                </pt>
                <pt idx="3793">
                  <v>-0.2022822910302593</v>
                </pt>
                <pt idx="3794">
                  <v>-0.2022822910302593</v>
                </pt>
                <pt idx="3795">
                  <v>-0.2022822910302593</v>
                </pt>
                <pt idx="3796">
                  <v>-0.2022822910302593</v>
                </pt>
                <pt idx="3797">
                  <v>-0.2022822910302593</v>
                </pt>
                <pt idx="3798">
                  <v>-0.2022822910302593</v>
                </pt>
                <pt idx="3799">
                  <v>-0.2022822910302593</v>
                </pt>
                <pt idx="3800">
                  <v>-0.2022822910302593</v>
                </pt>
                <pt idx="3801">
                  <v>-0.2022822910302593</v>
                </pt>
                <pt idx="3802">
                  <v>-0.2022822910302593</v>
                </pt>
                <pt idx="3803">
                  <v>-0.2022822910302593</v>
                </pt>
                <pt idx="3804">
                  <v>-0.2022822910302593</v>
                </pt>
                <pt idx="3805">
                  <v>-0.2022822910302593</v>
                </pt>
                <pt idx="3806">
                  <v>-0.2022822910302593</v>
                </pt>
                <pt idx="3807">
                  <v>-0.2022822910302593</v>
                </pt>
                <pt idx="3808">
                  <v>-0.2022822910302593</v>
                </pt>
                <pt idx="3809">
                  <v>-0.2022822910302593</v>
                </pt>
                <pt idx="3810">
                  <v>-0.2022822910302593</v>
                </pt>
                <pt idx="3811">
                  <v>-0.2022822910302593</v>
                </pt>
                <pt idx="3812">
                  <v>-0.2022822910302593</v>
                </pt>
                <pt idx="3813">
                  <v>-0.2022822910302593</v>
                </pt>
                <pt idx="3814">
                  <v>-0.2022822910302593</v>
                </pt>
                <pt idx="3815">
                  <v>-0.2022822910302593</v>
                </pt>
                <pt idx="3816">
                  <v>-0.2022822910302593</v>
                </pt>
                <pt idx="3817">
                  <v>-0.2022822910302593</v>
                </pt>
                <pt idx="3818">
                  <v>-0.2022822910302593</v>
                </pt>
                <pt idx="3819">
                  <v>-0.2022822910302593</v>
                </pt>
                <pt idx="3820">
                  <v>-0.2022822910302593</v>
                </pt>
                <pt idx="3821">
                  <v>-0.2022822910302593</v>
                </pt>
                <pt idx="3822">
                  <v>-0.2022822910302593</v>
                </pt>
                <pt idx="3823">
                  <v>-0.2022822910302593</v>
                </pt>
                <pt idx="3824">
                  <v>-0.2022822910302593</v>
                </pt>
                <pt idx="3825">
                  <v>-0.2022822910302593</v>
                </pt>
                <pt idx="3826">
                  <v>-0.2022822910302593</v>
                </pt>
                <pt idx="3827">
                  <v>-0.2022822910302593</v>
                </pt>
                <pt idx="3828">
                  <v>-0.2022822910302593</v>
                </pt>
                <pt idx="3829">
                  <v>-0.2022822910302593</v>
                </pt>
                <pt idx="3830">
                  <v>-0.2022822910302593</v>
                </pt>
                <pt idx="3831">
                  <v>-0.2022822910302593</v>
                </pt>
                <pt idx="3832">
                  <v>-0.2022822910302593</v>
                </pt>
                <pt idx="3833">
                  <v>-0.2022822910302593</v>
                </pt>
                <pt idx="3834">
                  <v>-0.2022822910302593</v>
                </pt>
                <pt idx="3835">
                  <v>-0.2022822910302593</v>
                </pt>
                <pt idx="3836">
                  <v>-0.2022822910302593</v>
                </pt>
                <pt idx="3837">
                  <v>-0.2022822910302593</v>
                </pt>
                <pt idx="3838">
                  <v>-0.2022822910302593</v>
                </pt>
                <pt idx="3839">
                  <v>-0.2022822910302593</v>
                </pt>
                <pt idx="3840">
                  <v>-0.2022822910302593</v>
                </pt>
                <pt idx="3841">
                  <v>-0.2022822910302593</v>
                </pt>
                <pt idx="3842">
                  <v>-0.2022822910302593</v>
                </pt>
                <pt idx="3843">
                  <v>-0.2022822910302593</v>
                </pt>
                <pt idx="3844">
                  <v>-0.2022822910302593</v>
                </pt>
                <pt idx="3845">
                  <v>-0.2022822910302593</v>
                </pt>
                <pt idx="3846">
                  <v>-0.2022822910302593</v>
                </pt>
                <pt idx="3847">
                  <v>-0.2022822910302593</v>
                </pt>
                <pt idx="3848">
                  <v>-0.2022822910302593</v>
                </pt>
                <pt idx="3849">
                  <v>-0.2022822910302593</v>
                </pt>
                <pt idx="3850">
                  <v>-0.2022822910302593</v>
                </pt>
                <pt idx="3851">
                  <v>-0.2022822910302593</v>
                </pt>
                <pt idx="3852">
                  <v>-0.2022822910302593</v>
                </pt>
                <pt idx="3853">
                  <v>-0.2022822910302593</v>
                </pt>
                <pt idx="3854">
                  <v>-0.2022822910302593</v>
                </pt>
                <pt idx="3855">
                  <v>-0.2022822910302593</v>
                </pt>
                <pt idx="3856">
                  <v>-0.2022822910302593</v>
                </pt>
                <pt idx="3857">
                  <v>-0.2022822910302593</v>
                </pt>
                <pt idx="3858">
                  <v>-0.2022822910302593</v>
                </pt>
                <pt idx="3859">
                  <v>-0.2022822910302593</v>
                </pt>
                <pt idx="3860">
                  <v>-0.2022822910302593</v>
                </pt>
                <pt idx="3861">
                  <v>-0.2022822910302593</v>
                </pt>
                <pt idx="3862">
                  <v>-0.2022822910302593</v>
                </pt>
                <pt idx="3863">
                  <v>-0.2022822910302593</v>
                </pt>
                <pt idx="3864">
                  <v>-0.2022822910302593</v>
                </pt>
                <pt idx="3865">
                  <v>-0.2022822910302593</v>
                </pt>
                <pt idx="3866">
                  <v>-0.2022822910302593</v>
                </pt>
                <pt idx="3867">
                  <v>-0.2022822910302593</v>
                </pt>
                <pt idx="3868">
                  <v>-0.2022822910302593</v>
                </pt>
                <pt idx="3869">
                  <v>-0.2022822910302593</v>
                </pt>
                <pt idx="3870">
                  <v>-0.2022822910302593</v>
                </pt>
                <pt idx="3871">
                  <v>-0.2022822910302593</v>
                </pt>
                <pt idx="3872">
                  <v>-0.2022822910302593</v>
                </pt>
                <pt idx="3873">
                  <v>-0.2022822910302593</v>
                </pt>
                <pt idx="3874">
                  <v>-0.2022822910302593</v>
                </pt>
                <pt idx="3875">
                  <v>-0.2022822910302593</v>
                </pt>
                <pt idx="3876">
                  <v>-0.2022822910302593</v>
                </pt>
                <pt idx="3877">
                  <v>-0.2022822910302593</v>
                </pt>
                <pt idx="3878">
                  <v>-0.2022822910302593</v>
                </pt>
                <pt idx="3879">
                  <v>-0.2022822910302593</v>
                </pt>
                <pt idx="3880">
                  <v>-0.2022822910302593</v>
                </pt>
                <pt idx="3881">
                  <v>-0.2022822910302593</v>
                </pt>
                <pt idx="3882">
                  <v>-0.2022822910302593</v>
                </pt>
                <pt idx="3883">
                  <v>-0.2022822910302593</v>
                </pt>
                <pt idx="3884">
                  <v>-0.2022822910302593</v>
                </pt>
                <pt idx="3885">
                  <v>-0.2022822910302593</v>
                </pt>
                <pt idx="3886">
                  <v>-0.2022822910302593</v>
                </pt>
                <pt idx="3887">
                  <v>-0.2022822910302593</v>
                </pt>
                <pt idx="3888">
                  <v>-0.2022822910302593</v>
                </pt>
                <pt idx="3889">
                  <v>-0.2022822910302593</v>
                </pt>
                <pt idx="3890">
                  <v>-0.2022822910302593</v>
                </pt>
                <pt idx="3891">
                  <v>-0.2022822910302593</v>
                </pt>
                <pt idx="3892">
                  <v>-0.2022822910302593</v>
                </pt>
                <pt idx="3893">
                  <v>-0.2022822910302593</v>
                </pt>
                <pt idx="3894">
                  <v>-0.2022822910302593</v>
                </pt>
                <pt idx="3895">
                  <v>-0.2022822910302593</v>
                </pt>
                <pt idx="3896">
                  <v>-0.2022822910302593</v>
                </pt>
                <pt idx="3897">
                  <v>-0.2022822910302593</v>
                </pt>
                <pt idx="3898">
                  <v>-0.2022822910302593</v>
                </pt>
                <pt idx="3899">
                  <v>-0.2022822910302593</v>
                </pt>
                <pt idx="3900">
                  <v>-0.2022822910302593</v>
                </pt>
                <pt idx="3901">
                  <v>-0.2022822910302593</v>
                </pt>
                <pt idx="3902">
                  <v>-0.2022822910302593</v>
                </pt>
                <pt idx="3903">
                  <v>-0.2022822910302593</v>
                </pt>
                <pt idx="3904">
                  <v>-0.2022822910302593</v>
                </pt>
                <pt idx="3905">
                  <v>-0.2022822910302593</v>
                </pt>
                <pt idx="3906">
                  <v>-0.2022822910302593</v>
                </pt>
                <pt idx="3907">
                  <v>-0.2022822910302593</v>
                </pt>
                <pt idx="3908">
                  <v>-0.2022822910302593</v>
                </pt>
                <pt idx="3909">
                  <v>-0.2022822910302593</v>
                </pt>
                <pt idx="3910">
                  <v>-0.2022822910302593</v>
                </pt>
                <pt idx="3911">
                  <v>-0.2022822910302593</v>
                </pt>
                <pt idx="3912">
                  <v>-0.2022822910302593</v>
                </pt>
                <pt idx="3913">
                  <v>-0.2022822910302593</v>
                </pt>
                <pt idx="3914">
                  <v>-0.2022822910302593</v>
                </pt>
                <pt idx="3915">
                  <v>-0.2022822910302593</v>
                </pt>
                <pt idx="3916">
                  <v>-0.2022822910302593</v>
                </pt>
                <pt idx="3917">
                  <v>-0.2022822910302593</v>
                </pt>
                <pt idx="3918">
                  <v>-0.2022822910302593</v>
                </pt>
                <pt idx="3919">
                  <v>-0.2022822910302593</v>
                </pt>
                <pt idx="3920">
                  <v>-0.2022822910302593</v>
                </pt>
                <pt idx="3921">
                  <v>-0.2022822910302593</v>
                </pt>
                <pt idx="3922">
                  <v>-0.2022822910302593</v>
                </pt>
                <pt idx="3923">
                  <v>-0.2022822910302593</v>
                </pt>
                <pt idx="3924">
                  <v>-0.2022822910302593</v>
                </pt>
                <pt idx="3925">
                  <v>-0.2022822910302593</v>
                </pt>
                <pt idx="3926">
                  <v>-0.2022822910302593</v>
                </pt>
                <pt idx="3927">
                  <v>-0.2022822910302593</v>
                </pt>
                <pt idx="3928">
                  <v>-0.2022822910302593</v>
                </pt>
                <pt idx="3929">
                  <v>-0.2022822910302593</v>
                </pt>
                <pt idx="3930">
                  <v>-0.2022822910302593</v>
                </pt>
                <pt idx="3931">
                  <v>-0.2022822910302593</v>
                </pt>
                <pt idx="3932">
                  <v>-0.2022822910302593</v>
                </pt>
                <pt idx="3933">
                  <v>-0.2022822910302593</v>
                </pt>
                <pt idx="3934">
                  <v>-0.2022822910302593</v>
                </pt>
                <pt idx="3935">
                  <v>-0.2022822910302593</v>
                </pt>
                <pt idx="3936">
                  <v>-0.2022822910302593</v>
                </pt>
                <pt idx="3937">
                  <v>-0.2022822910302593</v>
                </pt>
                <pt idx="3938">
                  <v>-0.2022822910302593</v>
                </pt>
                <pt idx="3939">
                  <v>-0.2022822910302593</v>
                </pt>
                <pt idx="3940">
                  <v>-0.2022822910302593</v>
                </pt>
                <pt idx="3941">
                  <v>-0.2022822910302593</v>
                </pt>
                <pt idx="3942">
                  <v>-0.2022822910302593</v>
                </pt>
                <pt idx="3943">
                  <v>-0.2022822910302593</v>
                </pt>
                <pt idx="3944">
                  <v>-0.2022822910302593</v>
                </pt>
                <pt idx="3945">
                  <v>-0.2022822910302593</v>
                </pt>
                <pt idx="3946">
                  <v>-0.2022822910302593</v>
                </pt>
                <pt idx="3947">
                  <v>-0.2022822910302593</v>
                </pt>
                <pt idx="3948">
                  <v>-0.2022822910302593</v>
                </pt>
                <pt idx="3949">
                  <v>-0.2022822910302593</v>
                </pt>
                <pt idx="3950">
                  <v>-0.2022822910302593</v>
                </pt>
                <pt idx="3951">
                  <v>-0.2022822910302593</v>
                </pt>
                <pt idx="3952">
                  <v>-0.2022822910302593</v>
                </pt>
                <pt idx="3953">
                  <v>-0.2022822910302593</v>
                </pt>
                <pt idx="3954">
                  <v>-0.2022822910302593</v>
                </pt>
                <pt idx="3955">
                  <v>-0.2022822910302593</v>
                </pt>
                <pt idx="3956">
                  <v>-0.2022822910302593</v>
                </pt>
                <pt idx="3957">
                  <v>-0.2022822910302593</v>
                </pt>
                <pt idx="3958">
                  <v>-0.2022822910302593</v>
                </pt>
                <pt idx="3959">
                  <v>-0.2022822910302593</v>
                </pt>
                <pt idx="3960">
                  <v>-0.2022822910302593</v>
                </pt>
                <pt idx="3961">
                  <v>-0.2022822910302593</v>
                </pt>
                <pt idx="3962">
                  <v>-0.2022822910302593</v>
                </pt>
                <pt idx="3963">
                  <v>-0.2022822910302593</v>
                </pt>
                <pt idx="3964">
                  <v>-0.2022822910302593</v>
                </pt>
                <pt idx="3965">
                  <v>-0.2022822910302593</v>
                </pt>
                <pt idx="3966">
                  <v>-0.2022822910302593</v>
                </pt>
                <pt idx="3967">
                  <v>-0.2022822910302593</v>
                </pt>
                <pt idx="3968">
                  <v>-0.2022822910302593</v>
                </pt>
                <pt idx="3969">
                  <v>-0.2022822910302593</v>
                </pt>
                <pt idx="3970">
                  <v>-0.2022822910302593</v>
                </pt>
                <pt idx="3971">
                  <v>-0.2022822910302593</v>
                </pt>
                <pt idx="3972">
                  <v>-0.2022822910302593</v>
                </pt>
                <pt idx="3973">
                  <v>-0.2022822910302593</v>
                </pt>
                <pt idx="3974">
                  <v>-0.2022822910302593</v>
                </pt>
                <pt idx="3975">
                  <v>-0.2022822910302593</v>
                </pt>
                <pt idx="3976">
                  <v>-0.2022822910302593</v>
                </pt>
                <pt idx="3977">
                  <v>-0.2022822910302593</v>
                </pt>
                <pt idx="3978">
                  <v>-0.2022822910302593</v>
                </pt>
                <pt idx="3979">
                  <v>-0.2022822910302593</v>
                </pt>
                <pt idx="3980">
                  <v>-0.2022822910302593</v>
                </pt>
                <pt idx="3981">
                  <v>-0.2022822910302593</v>
                </pt>
                <pt idx="3982">
                  <v>-0.2022822910302593</v>
                </pt>
                <pt idx="3983">
                  <v>-0.2022822910302593</v>
                </pt>
                <pt idx="3984">
                  <v>-0.2022822910302593</v>
                </pt>
                <pt idx="3985">
                  <v>-0.2022822910302593</v>
                </pt>
                <pt idx="3986">
                  <v>-0.2022822910302593</v>
                </pt>
                <pt idx="3987">
                  <v>-0.2022822910302593</v>
                </pt>
                <pt idx="3988">
                  <v>-0.2022822910302593</v>
                </pt>
                <pt idx="3989">
                  <v>-0.2022822910302593</v>
                </pt>
                <pt idx="3990">
                  <v>-0.2022822910302593</v>
                </pt>
                <pt idx="3991">
                  <v>-0.2022822910302593</v>
                </pt>
                <pt idx="3992">
                  <v>-0.2022822910302593</v>
                </pt>
                <pt idx="3993">
                  <v>-0.2022822910302593</v>
                </pt>
                <pt idx="3994">
                  <v>-0.2022822910302593</v>
                </pt>
                <pt idx="3995">
                  <v>-0.2022822910302593</v>
                </pt>
                <pt idx="3996">
                  <v>-0.2022822910302593</v>
                </pt>
                <pt idx="3997">
                  <v>-0.2022822910302593</v>
                </pt>
                <pt idx="3998">
                  <v>-0.2022822910302593</v>
                </pt>
                <pt idx="3999">
                  <v>-0.2022822910302593</v>
                </pt>
                <pt idx="4000">
                  <v>-0.2022822910302593</v>
                </pt>
                <pt idx="4001">
                  <v>-0.2022822910302593</v>
                </pt>
                <pt idx="4002">
                  <v>-0.2022822910302593</v>
                </pt>
                <pt idx="4003">
                  <v>-0.2022822910302593</v>
                </pt>
                <pt idx="4004">
                  <v>-0.2022822910302593</v>
                </pt>
                <pt idx="4005">
                  <v>-0.2022822910302593</v>
                </pt>
                <pt idx="4006">
                  <v>-0.2022822910302593</v>
                </pt>
                <pt idx="4007">
                  <v>-0.2022822910302593</v>
                </pt>
                <pt idx="4008">
                  <v>-0.2022822910302593</v>
                </pt>
                <pt idx="4009">
                  <v>-0.2022822910302593</v>
                </pt>
                <pt idx="4010">
                  <v>-0.2022822910302593</v>
                </pt>
                <pt idx="4011">
                  <v>-0.2022822910302593</v>
                </pt>
                <pt idx="4012">
                  <v>-0.2022822910302593</v>
                </pt>
                <pt idx="4013">
                  <v>-0.2022822910302593</v>
                </pt>
                <pt idx="4014">
                  <v>-0.2022822910302593</v>
                </pt>
                <pt idx="4015">
                  <v>-0.2022822910302593</v>
                </pt>
                <pt idx="4016">
                  <v>-0.2022822910302593</v>
                </pt>
                <pt idx="4017">
                  <v>-0.2022822910302593</v>
                </pt>
                <pt idx="4018">
                  <v>-0.2022822910302593</v>
                </pt>
                <pt idx="4019">
                  <v>-0.2022822910302593</v>
                </pt>
                <pt idx="4020">
                  <v>-0.2022822910302593</v>
                </pt>
                <pt idx="4021">
                  <v>-0.2022822910302593</v>
                </pt>
                <pt idx="4022">
                  <v>-0.2022822910302593</v>
                </pt>
                <pt idx="4023">
                  <v>-0.2022822910302593</v>
                </pt>
                <pt idx="4024">
                  <v>-0.2022822910302593</v>
                </pt>
                <pt idx="4025">
                  <v>-0.2022822910302593</v>
                </pt>
                <pt idx="4026">
                  <v>-0.2022822910302593</v>
                </pt>
                <pt idx="4027">
                  <v>-0.2022822910302593</v>
                </pt>
                <pt idx="4028">
                  <v>-0.2022822910302593</v>
                </pt>
                <pt idx="4029">
                  <v>-0.2022822910302593</v>
                </pt>
                <pt idx="4030">
                  <v>-0.2022822910302593</v>
                </pt>
                <pt idx="4031">
                  <v>-0.2022822910302593</v>
                </pt>
                <pt idx="4032">
                  <v>-0.2022822910302593</v>
                </pt>
                <pt idx="4033">
                  <v>-0.2022822910302593</v>
                </pt>
                <pt idx="4034">
                  <v>-0.2022822910302593</v>
                </pt>
                <pt idx="4035">
                  <v>-0.2022822910302593</v>
                </pt>
                <pt idx="4036">
                  <v>-0.2022822910302593</v>
                </pt>
                <pt idx="4037">
                  <v>-0.2022822910302593</v>
                </pt>
                <pt idx="4038">
                  <v>-0.2022822910302593</v>
                </pt>
                <pt idx="4039">
                  <v>-0.2022822910302593</v>
                </pt>
                <pt idx="4040">
                  <v>-0.2022822910302593</v>
                </pt>
                <pt idx="4041">
                  <v>-0.2022822910302593</v>
                </pt>
                <pt idx="4042">
                  <v>-0.2022822910302593</v>
                </pt>
                <pt idx="4043">
                  <v>-0.2022822910302593</v>
                </pt>
                <pt idx="4044">
                  <v>-0.2022822910302593</v>
                </pt>
                <pt idx="4045">
                  <v>-0.2022822910302593</v>
                </pt>
                <pt idx="4046">
                  <v>-0.2022822910302593</v>
                </pt>
                <pt idx="4047">
                  <v>-0.2022822910302593</v>
                </pt>
                <pt idx="4048">
                  <v>-0.2022822910302593</v>
                </pt>
                <pt idx="4049">
                  <v>-0.2022822910302593</v>
                </pt>
                <pt idx="4050">
                  <v>-0.2022822910302593</v>
                </pt>
                <pt idx="4051">
                  <v>-0.2022822910302593</v>
                </pt>
                <pt idx="4052">
                  <v>-0.2022822910302593</v>
                </pt>
                <pt idx="4053">
                  <v>-0.2022822910302593</v>
                </pt>
                <pt idx="4054">
                  <v>-0.2022822910302593</v>
                </pt>
                <pt idx="4055">
                  <v>-0.2022822910302593</v>
                </pt>
                <pt idx="4056">
                  <v>-0.2022822910302593</v>
                </pt>
                <pt idx="4057">
                  <v>-0.2022822910302593</v>
                </pt>
                <pt idx="4058">
                  <v>-0.2022822910302593</v>
                </pt>
                <pt idx="4059">
                  <v>-0.2022822910302593</v>
                </pt>
                <pt idx="4060">
                  <v>-0.2022822910302593</v>
                </pt>
                <pt idx="4061">
                  <v>-0.2022822910302593</v>
                </pt>
                <pt idx="4062">
                  <v>-0.2022822910302593</v>
                </pt>
                <pt idx="4063">
                  <v>-0.2022822910302593</v>
                </pt>
                <pt idx="4064">
                  <v>-0.2022822910302593</v>
                </pt>
                <pt idx="4065">
                  <v>-0.2022822910302593</v>
                </pt>
                <pt idx="4066">
                  <v>-0.2022822910302593</v>
                </pt>
                <pt idx="4067">
                  <v>-0.2022822910302593</v>
                </pt>
                <pt idx="4068">
                  <v>-0.2022822910302593</v>
                </pt>
                <pt idx="4069">
                  <v>-0.2022822910302593</v>
                </pt>
                <pt idx="4070">
                  <v>-0.2022822910302593</v>
                </pt>
                <pt idx="4071">
                  <v>-0.2022822910302593</v>
                </pt>
                <pt idx="4072">
                  <v>-0.2022822910302593</v>
                </pt>
                <pt idx="4073">
                  <v>-0.2022822910302593</v>
                </pt>
                <pt idx="4074">
                  <v>-0.2022822910302593</v>
                </pt>
                <pt idx="4075">
                  <v>-0.2022822910302593</v>
                </pt>
                <pt idx="4076">
                  <v>-0.2022822910302593</v>
                </pt>
                <pt idx="4077">
                  <v>-0.2022822910302593</v>
                </pt>
                <pt idx="4078">
                  <v>-0.2022822910302593</v>
                </pt>
                <pt idx="4079">
                  <v>-0.2022822910302593</v>
                </pt>
                <pt idx="4080">
                  <v>-0.2022822910302593</v>
                </pt>
                <pt idx="4081">
                  <v>-0.2022822910302593</v>
                </pt>
                <pt idx="4082">
                  <v>-0.2022822910302593</v>
                </pt>
                <pt idx="4083">
                  <v>-0.2022822910302593</v>
                </pt>
                <pt idx="4084">
                  <v>-0.2022822910302593</v>
                </pt>
                <pt idx="4085">
                  <v>-0.2022822910302593</v>
                </pt>
                <pt idx="4086">
                  <v>-0.2022822910302593</v>
                </pt>
                <pt idx="4087">
                  <v>-0.2022822910302593</v>
                </pt>
                <pt idx="4088">
                  <v>-0.2022822910302593</v>
                </pt>
                <pt idx="4089">
                  <v>-0.2022822910302593</v>
                </pt>
                <pt idx="4090">
                  <v>-0.2022822910302593</v>
                </pt>
                <pt idx="4091">
                  <v>-0.2022822910302593</v>
                </pt>
                <pt idx="4092">
                  <v>-0.2022822910302593</v>
                </pt>
                <pt idx="4093">
                  <v>-0.2022822910302593</v>
                </pt>
                <pt idx="4094">
                  <v>-0.2022822910302593</v>
                </pt>
                <pt idx="4095">
                  <v>-0.2022822910302593</v>
                </pt>
                <pt idx="4096">
                  <v>-0.2022822910302593</v>
                </pt>
                <pt idx="4097">
                  <v>-0.2022822910302593</v>
                </pt>
                <pt idx="4098">
                  <v>-0.2022822910302593</v>
                </pt>
                <pt idx="4099">
                  <v>-0.2022822910302593</v>
                </pt>
                <pt idx="4100">
                  <v>-0.2022822910302593</v>
                </pt>
                <pt idx="4101">
                  <v>-0.2022822910302593</v>
                </pt>
                <pt idx="4102">
                  <v>-0.2022822910302593</v>
                </pt>
                <pt idx="4103">
                  <v>-0.2022822910302593</v>
                </pt>
                <pt idx="4104">
                  <v>-0.2022822910302593</v>
                </pt>
                <pt idx="4105">
                  <v>-0.2022822910302593</v>
                </pt>
                <pt idx="4106">
                  <v>-0.2022822910302593</v>
                </pt>
                <pt idx="4107">
                  <v>-0.2022822910302593</v>
                </pt>
                <pt idx="4108">
                  <v>-0.2022822910302593</v>
                </pt>
                <pt idx="4109">
                  <v>-0.2022822910302593</v>
                </pt>
                <pt idx="4110">
                  <v>-0.2022822910302593</v>
                </pt>
                <pt idx="4111">
                  <v>-0.2022822910302593</v>
                </pt>
                <pt idx="4112">
                  <v>-0.2022822910302593</v>
                </pt>
                <pt idx="4113">
                  <v>-0.2022822910302593</v>
                </pt>
                <pt idx="4114">
                  <v>-0.2022822910302593</v>
                </pt>
                <pt idx="4115">
                  <v>-0.2022822910302593</v>
                </pt>
                <pt idx="4116">
                  <v>-0.2022822910302593</v>
                </pt>
                <pt idx="4117">
                  <v>-0.2022822910302593</v>
                </pt>
                <pt idx="4118">
                  <v>-0.2022822910302593</v>
                </pt>
                <pt idx="4119">
                  <v>-0.2022822910302593</v>
                </pt>
                <pt idx="4120">
                  <v>-0.2022822910302593</v>
                </pt>
                <pt idx="4121">
                  <v>-0.2022822910302593</v>
                </pt>
                <pt idx="4122">
                  <v>-0.2022822910302593</v>
                </pt>
                <pt idx="4123">
                  <v>-0.2022822910302593</v>
                </pt>
                <pt idx="4124">
                  <v>-0.2022822910302593</v>
                </pt>
                <pt idx="4125">
                  <v>-0.2022822910302593</v>
                </pt>
                <pt idx="4126">
                  <v>-0.2022822910302593</v>
                </pt>
                <pt idx="4127">
                  <v>-0.2022822910302593</v>
                </pt>
                <pt idx="4128">
                  <v>-0.2022822910302593</v>
                </pt>
                <pt idx="4129">
                  <v>-0.2022822910302593</v>
                </pt>
                <pt idx="4130">
                  <v>-0.2022822910302593</v>
                </pt>
                <pt idx="4131">
                  <v>-0.2022822910302593</v>
                </pt>
                <pt idx="4132">
                  <v>-0.2022822910302593</v>
                </pt>
                <pt idx="4133">
                  <v>-0.2022822910302593</v>
                </pt>
                <pt idx="4134">
                  <v>-0.2022822910302593</v>
                </pt>
                <pt idx="4135">
                  <v>-0.2022822910302593</v>
                </pt>
                <pt idx="4136">
                  <v>-0.2022822910302593</v>
                </pt>
                <pt idx="4137">
                  <v>-0.2022822910302593</v>
                </pt>
                <pt idx="4138">
                  <v>-0.2022822910302593</v>
                </pt>
                <pt idx="4139">
                  <v>-0.2022822910302593</v>
                </pt>
                <pt idx="4140">
                  <v>-0.2022822910302593</v>
                </pt>
                <pt idx="4141">
                  <v>-0.2022822910302593</v>
                </pt>
                <pt idx="4142">
                  <v>-0.2022822910302593</v>
                </pt>
                <pt idx="4143">
                  <v>-0.2022822910302593</v>
                </pt>
                <pt idx="4144">
                  <v>-0.2022822910302593</v>
                </pt>
                <pt idx="4145">
                  <v>-0.2022822910302593</v>
                </pt>
                <pt idx="4146">
                  <v>-0.2022822910302593</v>
                </pt>
                <pt idx="4147">
                  <v>-0.2022822910302593</v>
                </pt>
                <pt idx="4148">
                  <v>-0.2022822910302593</v>
                </pt>
                <pt idx="4149">
                  <v>-0.2022822910302593</v>
                </pt>
                <pt idx="4150">
                  <v>-0.2022822910302593</v>
                </pt>
                <pt idx="4151">
                  <v>-0.2022822910302593</v>
                </pt>
                <pt idx="4152">
                  <v>-0.2022822910302593</v>
                </pt>
                <pt idx="4153">
                  <v>-0.2022822910302593</v>
                </pt>
                <pt idx="4154">
                  <v>-0.2022822910302593</v>
                </pt>
                <pt idx="4155">
                  <v>-0.2022822910302593</v>
                </pt>
                <pt idx="4156">
                  <v>-0.2022822910302593</v>
                </pt>
                <pt idx="4157">
                  <v>-0.2022822910302593</v>
                </pt>
                <pt idx="4158">
                  <v>-0.2022822910302593</v>
                </pt>
                <pt idx="4159">
                  <v>-0.2022822910302593</v>
                </pt>
                <pt idx="4160">
                  <v>-0.2022822910302593</v>
                </pt>
                <pt idx="4161">
                  <v>-0.2022822910302593</v>
                </pt>
                <pt idx="4162">
                  <v>-0.2022822910302593</v>
                </pt>
                <pt idx="4163">
                  <v>-0.2022822910302593</v>
                </pt>
                <pt idx="4164">
                  <v>-0.2022822910302593</v>
                </pt>
                <pt idx="4165">
                  <v>-0.2022822910302593</v>
                </pt>
                <pt idx="4166">
                  <v>-0.2022822910302593</v>
                </pt>
                <pt idx="4167">
                  <v>-0.2022822910302593</v>
                </pt>
                <pt idx="4168">
                  <v>-0.2022822910302593</v>
                </pt>
                <pt idx="4169">
                  <v>-0.2022822910302593</v>
                </pt>
                <pt idx="4170">
                  <v>-0.2022822910302593</v>
                </pt>
                <pt idx="4171">
                  <v>-0.2022822910302593</v>
                </pt>
                <pt idx="4172">
                  <v>-0.2022822910302593</v>
                </pt>
                <pt idx="4173">
                  <v>-0.2022822910302593</v>
                </pt>
                <pt idx="4174">
                  <v>-0.2022822910302593</v>
                </pt>
                <pt idx="4175">
                  <v>-0.2022822910302593</v>
                </pt>
                <pt idx="4176">
                  <v>-0.2022822910302593</v>
                </pt>
                <pt idx="4177">
                  <v>-0.2022822910302593</v>
                </pt>
                <pt idx="4178">
                  <v>-0.2022822910302593</v>
                </pt>
                <pt idx="4179">
                  <v>-0.2022822910302593</v>
                </pt>
                <pt idx="4180">
                  <v>-0.2022822910302593</v>
                </pt>
                <pt idx="4181">
                  <v>-0.2022822910302593</v>
                </pt>
                <pt idx="4182">
                  <v>-0.2022822910302593</v>
                </pt>
                <pt idx="4183">
                  <v>-0.2022822910302593</v>
                </pt>
                <pt idx="4184">
                  <v>-0.2022822910302593</v>
                </pt>
                <pt idx="4185">
                  <v>-0.2022822910302593</v>
                </pt>
                <pt idx="4186">
                  <v>-0.2022822910302593</v>
                </pt>
                <pt idx="4187">
                  <v>-0.2022822910302593</v>
                </pt>
                <pt idx="4188">
                  <v>-0.2022822910302593</v>
                </pt>
                <pt idx="4189">
                  <v>-0.2022822910302593</v>
                </pt>
                <pt idx="4190">
                  <v>-0.2022822910302593</v>
                </pt>
                <pt idx="4191">
                  <v>-0.2022822910302593</v>
                </pt>
                <pt idx="4192">
                  <v>-0.2022822910302593</v>
                </pt>
                <pt idx="4193">
                  <v>-0.2022822910302593</v>
                </pt>
                <pt idx="4194">
                  <v>-0.2022822910302593</v>
                </pt>
                <pt idx="4195">
                  <v>-0.2022822910302593</v>
                </pt>
                <pt idx="4196">
                  <v>-0.2022822910302593</v>
                </pt>
                <pt idx="4197">
                  <v>-0.2022822910302593</v>
                </pt>
                <pt idx="4198">
                  <v>-0.2022822910302593</v>
                </pt>
                <pt idx="4199">
                  <v>-0.2022822910302593</v>
                </pt>
                <pt idx="4200">
                  <v>-0.2022822910302593</v>
                </pt>
                <pt idx="4201">
                  <v>-0.2022822910302593</v>
                </pt>
                <pt idx="4202">
                  <v>-0.2022822910302593</v>
                </pt>
                <pt idx="4203">
                  <v>-0.2022822910302593</v>
                </pt>
                <pt idx="4204">
                  <v>-0.2022822910302593</v>
                </pt>
                <pt idx="4205">
                  <v>-0.2022822910302593</v>
                </pt>
                <pt idx="4206">
                  <v>-0.2022822910302593</v>
                </pt>
                <pt idx="4207">
                  <v>-0.2022822910302593</v>
                </pt>
                <pt idx="4208">
                  <v>-0.2022822910302593</v>
                </pt>
                <pt idx="4209">
                  <v>-0.2022822910302593</v>
                </pt>
                <pt idx="4210">
                  <v>-0.2022822910302593</v>
                </pt>
                <pt idx="4211">
                  <v>-0.2022822910302593</v>
                </pt>
                <pt idx="4212">
                  <v>-0.2022822910302593</v>
                </pt>
                <pt idx="4213">
                  <v>-0.2022822910302593</v>
                </pt>
                <pt idx="4214">
                  <v>-0.2022822910302593</v>
                </pt>
                <pt idx="4215">
                  <v>-0.2022822910302593</v>
                </pt>
                <pt idx="4216">
                  <v>-0.2022822910302593</v>
                </pt>
                <pt idx="4217">
                  <v>-0.2022822910302593</v>
                </pt>
                <pt idx="4218">
                  <v>-0.2022822910302593</v>
                </pt>
                <pt idx="4219">
                  <v>-0.2022822910302593</v>
                </pt>
                <pt idx="4220">
                  <v>-0.2022822910302593</v>
                </pt>
                <pt idx="4221">
                  <v>-0.2022822910302593</v>
                </pt>
                <pt idx="4222">
                  <v>-0.2022822910302593</v>
                </pt>
                <pt idx="4223">
                  <v>-0.2022822910302593</v>
                </pt>
                <pt idx="4224">
                  <v>-0.2022822910302593</v>
                </pt>
                <pt idx="4225">
                  <v>-0.2022822910302593</v>
                </pt>
                <pt idx="4226">
                  <v>-0.2022822910302593</v>
                </pt>
                <pt idx="4227">
                  <v>-0.2022822910302593</v>
                </pt>
                <pt idx="4228">
                  <v>-0.2022822910302593</v>
                </pt>
                <pt idx="4229">
                  <v>-0.2022822910302593</v>
                </pt>
                <pt idx="4230">
                  <v>-0.2022822910302593</v>
                </pt>
                <pt idx="4231">
                  <v>-0.2022822910302593</v>
                </pt>
                <pt idx="4232">
                  <v>-0.2022822910302593</v>
                </pt>
                <pt idx="4233">
                  <v>-0.2022822910302593</v>
                </pt>
                <pt idx="4234">
                  <v>-0.2022822910302593</v>
                </pt>
                <pt idx="4235">
                  <v>-0.2022822910302593</v>
                </pt>
                <pt idx="4236">
                  <v>-0.2022822910302593</v>
                </pt>
                <pt idx="4237">
                  <v>-0.2022822910302593</v>
                </pt>
                <pt idx="4238">
                  <v>-0.2022822910302593</v>
                </pt>
                <pt idx="4239">
                  <v>-0.2022822910302593</v>
                </pt>
                <pt idx="4240">
                  <v>-0.2022822910302593</v>
                </pt>
                <pt idx="4241">
                  <v>-0.2022822910302593</v>
                </pt>
                <pt idx="4242">
                  <v>-0.2022822910302593</v>
                </pt>
                <pt idx="4243">
                  <v>-0.2022822910302593</v>
                </pt>
                <pt idx="4244">
                  <v>-0.2022822910302593</v>
                </pt>
                <pt idx="4245">
                  <v>-0.2022822910302593</v>
                </pt>
                <pt idx="4246">
                  <v>-0.2022822910302593</v>
                </pt>
                <pt idx="4247">
                  <v>-0.2022822910302593</v>
                </pt>
                <pt idx="4248">
                  <v>-0.2022822910302593</v>
                </pt>
                <pt idx="4249">
                  <v>-0.2022822910302593</v>
                </pt>
                <pt idx="4250">
                  <v>-0.2022822910302593</v>
                </pt>
                <pt idx="4251">
                  <v>-0.2022822910302593</v>
                </pt>
                <pt idx="4252">
                  <v>-0.2022822910302593</v>
                </pt>
                <pt idx="4253">
                  <v>-0.2022822910302593</v>
                </pt>
                <pt idx="4254">
                  <v>-0.2022822910302593</v>
                </pt>
                <pt idx="4255">
                  <v>-0.2022822910302593</v>
                </pt>
                <pt idx="4256">
                  <v>-0.2022822910302593</v>
                </pt>
                <pt idx="4257">
                  <v>-0.2022822910302593</v>
                </pt>
                <pt idx="4258">
                  <v>-0.2022822910302593</v>
                </pt>
                <pt idx="4259">
                  <v>-0.2022822910302593</v>
                </pt>
                <pt idx="4260">
                  <v>-0.2022822910302593</v>
                </pt>
                <pt idx="4261">
                  <v>-0.2022822910302593</v>
                </pt>
                <pt idx="4262">
                  <v>-0.2022822910302593</v>
                </pt>
                <pt idx="4263">
                  <v>-0.2022822910302593</v>
                </pt>
                <pt idx="4264">
                  <v>-0.2022822910302593</v>
                </pt>
                <pt idx="4265">
                  <v>-0.2022822910302593</v>
                </pt>
                <pt idx="4266">
                  <v>-0.2022822910302593</v>
                </pt>
                <pt idx="4267">
                  <v>-0.2022822910302593</v>
                </pt>
                <pt idx="4268">
                  <v>-0.2022822910302593</v>
                </pt>
                <pt idx="4269">
                  <v>-0.2022822910302593</v>
                </pt>
                <pt idx="4270">
                  <v>-0.2022822910302593</v>
                </pt>
                <pt idx="4271">
                  <v>-0.2022822910302593</v>
                </pt>
                <pt idx="4272">
                  <v>-0.2022822910302593</v>
                </pt>
                <pt idx="4273">
                  <v>-0.2022822910302593</v>
                </pt>
                <pt idx="4274">
                  <v>-0.2022822910302593</v>
                </pt>
                <pt idx="4275">
                  <v>-0.2022822910302593</v>
                </pt>
                <pt idx="4276">
                  <v>-0.2022822910302593</v>
                </pt>
                <pt idx="4277">
                  <v>-0.2022822910302593</v>
                </pt>
                <pt idx="4278">
                  <v>-0.2022822910302593</v>
                </pt>
                <pt idx="4279">
                  <v>-0.2022822910302593</v>
                </pt>
                <pt idx="4280">
                  <v>-0.2022822910302593</v>
                </pt>
                <pt idx="4281">
                  <v>-0.2022822910302593</v>
                </pt>
                <pt idx="4282">
                  <v>-0.2022822910302593</v>
                </pt>
                <pt idx="4283">
                  <v>-0.2022822910302593</v>
                </pt>
                <pt idx="4284">
                  <v>-0.2022822910302593</v>
                </pt>
                <pt idx="4285">
                  <v>-0.2022822910302593</v>
                </pt>
                <pt idx="4286">
                  <v>-0.2022822910302593</v>
                </pt>
                <pt idx="4287">
                  <v>-0.2022822910302593</v>
                </pt>
                <pt idx="4288">
                  <v>-0.2022822910302593</v>
                </pt>
                <pt idx="4289">
                  <v>-0.2022822910302593</v>
                </pt>
                <pt idx="4290">
                  <v>-0.2022822910302593</v>
                </pt>
                <pt idx="4291">
                  <v>-0.2022822910302593</v>
                </pt>
                <pt idx="4292">
                  <v>-0.2022822910302593</v>
                </pt>
                <pt idx="4293">
                  <v>-0.2022822910302593</v>
                </pt>
                <pt idx="4294">
                  <v>-0.2022822910302593</v>
                </pt>
                <pt idx="4295">
                  <v>-0.2022822910302593</v>
                </pt>
                <pt idx="4296">
                  <v>-0.2022822910302593</v>
                </pt>
                <pt idx="4297">
                  <v>-0.2022822910302593</v>
                </pt>
                <pt idx="4298">
                  <v>-0.2022822910302593</v>
                </pt>
                <pt idx="4299">
                  <v>-0.2022822910302593</v>
                </pt>
                <pt idx="4300">
                  <v>-0.2022822910302593</v>
                </pt>
                <pt idx="4301">
                  <v>-0.2022822910302593</v>
                </pt>
                <pt idx="4302">
                  <v>-0.2022822910302593</v>
                </pt>
                <pt idx="4303">
                  <v>-0.2022822910302593</v>
                </pt>
                <pt idx="4304">
                  <v>-0.2022822910302593</v>
                </pt>
                <pt idx="4305">
                  <v>-0.2022822910302593</v>
                </pt>
                <pt idx="4306">
                  <v>-0.2022822910302593</v>
                </pt>
                <pt idx="4307">
                  <v>-0.2022822910302593</v>
                </pt>
                <pt idx="4308">
                  <v>-0.2022822910302593</v>
                </pt>
                <pt idx="4309">
                  <v>-0.2022822910302593</v>
                </pt>
                <pt idx="4310">
                  <v>-0.2022822910302593</v>
                </pt>
                <pt idx="4311">
                  <v>-0.2022822910302593</v>
                </pt>
                <pt idx="4312">
                  <v>-0.2022822910302593</v>
                </pt>
                <pt idx="4313">
                  <v>-0.2022822910302593</v>
                </pt>
                <pt idx="4314">
                  <v>-0.2022822910302593</v>
                </pt>
                <pt idx="4315">
                  <v>-0.2022822910302593</v>
                </pt>
                <pt idx="4316">
                  <v>-0.2022822910302593</v>
                </pt>
                <pt idx="4317">
                  <v>-0.2022822910302593</v>
                </pt>
                <pt idx="4318">
                  <v>-0.2022822910302593</v>
                </pt>
                <pt idx="4319">
                  <v>-0.2022822910302593</v>
                </pt>
                <pt idx="4320">
                  <v>-0.2022822910302593</v>
                </pt>
                <pt idx="4321">
                  <v>-0.2022822910302593</v>
                </pt>
                <pt idx="4322">
                  <v>-0.2022822910302593</v>
                </pt>
                <pt idx="4323">
                  <v>-0.2022822910302593</v>
                </pt>
                <pt idx="4324">
                  <v>-0.2022822910302593</v>
                </pt>
                <pt idx="4325">
                  <v>-0.2022822910302593</v>
                </pt>
                <pt idx="4326">
                  <v>-0.2022822910302593</v>
                </pt>
                <pt idx="4327">
                  <v>-0.2022822910302593</v>
                </pt>
                <pt idx="4328">
                  <v>-0.2022822910302593</v>
                </pt>
                <pt idx="4329">
                  <v>-0.2022822910302593</v>
                </pt>
                <pt idx="4330">
                  <v>-0.2022822910302593</v>
                </pt>
                <pt idx="4331">
                  <v>-0.2022822910302593</v>
                </pt>
                <pt idx="4332">
                  <v>-0.2022822910302593</v>
                </pt>
                <pt idx="4333">
                  <v>-0.2022822910302593</v>
                </pt>
                <pt idx="4334">
                  <v>-0.2022822910302593</v>
                </pt>
                <pt idx="4335">
                  <v>-0.2022822910302593</v>
                </pt>
                <pt idx="4336">
                  <v>-0.2022822910302593</v>
                </pt>
                <pt idx="4337">
                  <v>-0.2022822910302593</v>
                </pt>
                <pt idx="4338">
                  <v>-0.2022822910302593</v>
                </pt>
                <pt idx="4339">
                  <v>-0.2022822910302593</v>
                </pt>
                <pt idx="4340">
                  <v>-0.2022822910302593</v>
                </pt>
                <pt idx="4341">
                  <v>-0.2022822910302593</v>
                </pt>
                <pt idx="4342">
                  <v>-0.2022822910302593</v>
                </pt>
                <pt idx="4343">
                  <v>-0.2022822910302593</v>
                </pt>
                <pt idx="4344">
                  <v>-0.2022822910302593</v>
                </pt>
                <pt idx="4345">
                  <v>-0.2022822910302593</v>
                </pt>
                <pt idx="4346">
                  <v>-0.2022822910302593</v>
                </pt>
                <pt idx="4347">
                  <v>-0.2022822910302593</v>
                </pt>
                <pt idx="4348">
                  <v>-0.2022822910302593</v>
                </pt>
                <pt idx="4349">
                  <v>-0.2022822910302593</v>
                </pt>
                <pt idx="4350">
                  <v>-0.2022822910302593</v>
                </pt>
                <pt idx="4351">
                  <v>-0.2022822910302593</v>
                </pt>
                <pt idx="4352">
                  <v>-0.2022822910302593</v>
                </pt>
                <pt idx="4353">
                  <v>-0.2022822910302593</v>
                </pt>
                <pt idx="4354">
                  <v>-0.2022822910302593</v>
                </pt>
                <pt idx="4355">
                  <v>-0.2022822910302593</v>
                </pt>
                <pt idx="4356">
                  <v>-0.2022822910302593</v>
                </pt>
                <pt idx="4357">
                  <v>-0.2022822910302593</v>
                </pt>
                <pt idx="4358">
                  <v>-0.2022822910302593</v>
                </pt>
                <pt idx="4359">
                  <v>-0.2022822910302593</v>
                </pt>
                <pt idx="4360">
                  <v>-0.2022822910302593</v>
                </pt>
                <pt idx="4361">
                  <v>-0.2022822910302593</v>
                </pt>
                <pt idx="4362">
                  <v>-0.2022822910302593</v>
                </pt>
                <pt idx="4363">
                  <v>-0.2022822910302593</v>
                </pt>
                <pt idx="4364">
                  <v>-0.2022822910302593</v>
                </pt>
                <pt idx="4365">
                  <v>-0.2022822910302593</v>
                </pt>
                <pt idx="4366">
                  <v>-0.2022822910302593</v>
                </pt>
                <pt idx="4367">
                  <v>-0.2022822910302593</v>
                </pt>
                <pt idx="4368">
                  <v>-0.2022822910302593</v>
                </pt>
                <pt idx="4369">
                  <v>-0.2022822910302593</v>
                </pt>
                <pt idx="4370">
                  <v>-0.2022822910302593</v>
                </pt>
                <pt idx="4371">
                  <v>-0.2022822910302593</v>
                </pt>
                <pt idx="4372">
                  <v>-0.2022822910302593</v>
                </pt>
                <pt idx="4373">
                  <v>-0.2022822910302593</v>
                </pt>
                <pt idx="4374">
                  <v>-0.2022822910302593</v>
                </pt>
                <pt idx="4375">
                  <v>-0.2022822910302593</v>
                </pt>
                <pt idx="4376">
                  <v>-0.2022822910302593</v>
                </pt>
                <pt idx="4377">
                  <v>-0.2022822910302593</v>
                </pt>
                <pt idx="4378">
                  <v>-0.2022822910302593</v>
                </pt>
                <pt idx="4379">
                  <v>-0.2022822910302593</v>
                </pt>
                <pt idx="4380">
                  <v>-0.2022822910302593</v>
                </pt>
                <pt idx="4381">
                  <v>-0.2022822910302593</v>
                </pt>
                <pt idx="4382">
                  <v>-0.2022822910302593</v>
                </pt>
                <pt idx="4383">
                  <v>-0.2022822910302593</v>
                </pt>
                <pt idx="4384">
                  <v>-0.2022822910302593</v>
                </pt>
                <pt idx="4385">
                  <v>-0.2022822910302593</v>
                </pt>
                <pt idx="4386">
                  <v>-0.2022822910302593</v>
                </pt>
                <pt idx="4387">
                  <v>-0.2022822910302593</v>
                </pt>
                <pt idx="4388">
                  <v>-0.2022822910302593</v>
                </pt>
                <pt idx="4389">
                  <v>-0.2022822910302593</v>
                </pt>
                <pt idx="4390">
                  <v>-0.2022822910302593</v>
                </pt>
                <pt idx="4391">
                  <v>-0.2022822910302593</v>
                </pt>
                <pt idx="4392">
                  <v>-0.2022822910302593</v>
                </pt>
                <pt idx="4393">
                  <v>-0.2022822910302593</v>
                </pt>
                <pt idx="4394">
                  <v>-0.2022822910302593</v>
                </pt>
                <pt idx="4395">
                  <v>-0.2022822910302593</v>
                </pt>
                <pt idx="4396">
                  <v>-0.2022822910302593</v>
                </pt>
                <pt idx="4397">
                  <v>-0.2022822910302593</v>
                </pt>
                <pt idx="4398">
                  <v>-0.2022822910302593</v>
                </pt>
                <pt idx="4399">
                  <v>-0.2022822910302593</v>
                </pt>
                <pt idx="4400">
                  <v>-0.2022822910302593</v>
                </pt>
                <pt idx="4401">
                  <v>-0.2022822910302593</v>
                </pt>
                <pt idx="4402">
                  <v>-0.2022822910302593</v>
                </pt>
                <pt idx="4403">
                  <v>-0.2022822910302593</v>
                </pt>
                <pt idx="4404">
                  <v>-0.2022822910302593</v>
                </pt>
                <pt idx="4405">
                  <v>-0.2022822910302593</v>
                </pt>
                <pt idx="4406">
                  <v>-0.2022822910302593</v>
                </pt>
                <pt idx="4407">
                  <v>-0.2022822910302593</v>
                </pt>
                <pt idx="4408">
                  <v>-0.2022822910302593</v>
                </pt>
                <pt idx="4409">
                  <v>-0.2022822910302593</v>
                </pt>
                <pt idx="4410">
                  <v>-0.2022822910302593</v>
                </pt>
                <pt idx="4411">
                  <v>-0.2022822910302593</v>
                </pt>
                <pt idx="4412">
                  <v>-0.2022822910302593</v>
                </pt>
                <pt idx="4413">
                  <v>-0.2022822910302593</v>
                </pt>
                <pt idx="4414">
                  <v>-0.2022822910302593</v>
                </pt>
                <pt idx="4415">
                  <v>-0.2022822910302593</v>
                </pt>
                <pt idx="4416">
                  <v>-0.2022822910302593</v>
                </pt>
                <pt idx="4417">
                  <v>-0.2022822910302593</v>
                </pt>
                <pt idx="4418">
                  <v>-0.2022822910302593</v>
                </pt>
                <pt idx="4419">
                  <v>-0.2022822910302593</v>
                </pt>
                <pt idx="4420">
                  <v>-0.2022822910302593</v>
                </pt>
                <pt idx="4421">
                  <v>-0.2022822910302593</v>
                </pt>
                <pt idx="4422">
                  <v>-0.2022822910302593</v>
                </pt>
                <pt idx="4423">
                  <v>-0.2022822910302593</v>
                </pt>
                <pt idx="4424">
                  <v>-0.2022822910302593</v>
                </pt>
                <pt idx="4425">
                  <v>-0.2022822910302593</v>
                </pt>
                <pt idx="4426">
                  <v>-0.2022822910302593</v>
                </pt>
                <pt idx="4427">
                  <v>-0.2022822910302593</v>
                </pt>
                <pt idx="4428">
                  <v>-0.2022822910302593</v>
                </pt>
                <pt idx="4429">
                  <v>-0.2022822910302593</v>
                </pt>
                <pt idx="4430">
                  <v>-0.2022822910302593</v>
                </pt>
                <pt idx="4431">
                  <v>-0.2022822910302593</v>
                </pt>
                <pt idx="4432">
                  <v>-0.2022822910302593</v>
                </pt>
                <pt idx="4433">
                  <v>-0.2022822910302593</v>
                </pt>
                <pt idx="4434">
                  <v>-0.2022822910302593</v>
                </pt>
                <pt idx="4435">
                  <v>-0.2022822910302593</v>
                </pt>
                <pt idx="4436">
                  <v>-0.2022822910302593</v>
                </pt>
                <pt idx="4437">
                  <v>-0.2022822910302593</v>
                </pt>
                <pt idx="4438">
                  <v>-0.2022822910302593</v>
                </pt>
                <pt idx="4439">
                  <v>-0.2022822910302593</v>
                </pt>
                <pt idx="4440">
                  <v>-0.2022822910302593</v>
                </pt>
                <pt idx="4441">
                  <v>-0.2022822910302593</v>
                </pt>
                <pt idx="4442">
                  <v>-0.2022822910302593</v>
                </pt>
                <pt idx="4443">
                  <v>-0.2022822910302593</v>
                </pt>
                <pt idx="4444">
                  <v>-0.2022822910302593</v>
                </pt>
                <pt idx="4445">
                  <v>-0.2022822910302593</v>
                </pt>
                <pt idx="4446">
                  <v>-0.2022822910302593</v>
                </pt>
                <pt idx="4447">
                  <v>-0.2022822910302593</v>
                </pt>
                <pt idx="4448">
                  <v>-0.2022822910302593</v>
                </pt>
                <pt idx="4449">
                  <v>-0.2022822910302593</v>
                </pt>
                <pt idx="4450">
                  <v>-0.2022822910302593</v>
                </pt>
                <pt idx="4451">
                  <v>-0.2022822910302593</v>
                </pt>
                <pt idx="4452">
                  <v>-0.2022822910302593</v>
                </pt>
                <pt idx="4453">
                  <v>-0.2022822910302593</v>
                </pt>
                <pt idx="4454">
                  <v>-0.2022822910302593</v>
                </pt>
                <pt idx="4455">
                  <v>-0.2022822910302593</v>
                </pt>
                <pt idx="4456">
                  <v>-0.2022822910302593</v>
                </pt>
                <pt idx="4457">
                  <v>-0.2022822910302593</v>
                </pt>
                <pt idx="4458">
                  <v>-0.2022822910302593</v>
                </pt>
                <pt idx="4459">
                  <v>-0.2022822910302593</v>
                </pt>
                <pt idx="4460">
                  <v>-0.2022822910302593</v>
                </pt>
                <pt idx="4461">
                  <v>-0.2022822910302593</v>
                </pt>
                <pt idx="4462">
                  <v>-0.2022822910302593</v>
                </pt>
                <pt idx="4463">
                  <v>-0.2022822910302593</v>
                </pt>
                <pt idx="4464">
                  <v>-0.2022822910302593</v>
                </pt>
                <pt idx="4465">
                  <v>-0.2022822910302593</v>
                </pt>
                <pt idx="4466">
                  <v>-0.2022822910302593</v>
                </pt>
                <pt idx="4467">
                  <v>-0.2022822910302593</v>
                </pt>
                <pt idx="4468">
                  <v>-0.2022822910302593</v>
                </pt>
                <pt idx="4469">
                  <v>-0.2022822910302593</v>
                </pt>
                <pt idx="4470">
                  <v>-0.2022822910302593</v>
                </pt>
                <pt idx="4471">
                  <v>-0.2022822910302593</v>
                </pt>
                <pt idx="4472">
                  <v>-0.2022822910302593</v>
                </pt>
                <pt idx="4473">
                  <v>-0.2022822910302593</v>
                </pt>
                <pt idx="4474">
                  <v>-0.2022822910302593</v>
                </pt>
                <pt idx="4475">
                  <v>-0.2022822910302593</v>
                </pt>
                <pt idx="4476">
                  <v>-0.2022822910302593</v>
                </pt>
                <pt idx="4477">
                  <v>-0.2022822910302593</v>
                </pt>
                <pt idx="4478">
                  <v>-0.2022822910302593</v>
                </pt>
                <pt idx="4479">
                  <v>-0.2022822910302593</v>
                </pt>
                <pt idx="4480">
                  <v>-0.2022822910302593</v>
                </pt>
                <pt idx="4481">
                  <v>-0.2022822910302593</v>
                </pt>
                <pt idx="4482">
                  <v>-0.2022822910302593</v>
                </pt>
                <pt idx="4483">
                  <v>-0.2022822910302593</v>
                </pt>
                <pt idx="4484">
                  <v>-0.2022822910302593</v>
                </pt>
                <pt idx="4485">
                  <v>-0.2022822910302593</v>
                </pt>
                <pt idx="4486">
                  <v>-0.2022822910302593</v>
                </pt>
                <pt idx="4487">
                  <v>-0.2022822910302593</v>
                </pt>
                <pt idx="4488">
                  <v>-0.2022822910302593</v>
                </pt>
                <pt idx="4489">
                  <v>-0.2022822910302593</v>
                </pt>
                <pt idx="4490">
                  <v>-0.2022822910302593</v>
                </pt>
                <pt idx="4491">
                  <v>-0.2022822910302593</v>
                </pt>
                <pt idx="4492">
                  <v>-0.2022822910302593</v>
                </pt>
                <pt idx="4493">
                  <v>-0.2022822910302593</v>
                </pt>
                <pt idx="4494">
                  <v>-0.2022822910302593</v>
                </pt>
                <pt idx="4495">
                  <v>-0.2022822910302593</v>
                </pt>
                <pt idx="4496">
                  <v>-0.2022822910302593</v>
                </pt>
                <pt idx="4497">
                  <v>-0.2022822910302593</v>
                </pt>
                <pt idx="4498">
                  <v>-0.2022822910302593</v>
                </pt>
                <pt idx="4499">
                  <v>-0.2022822910302593</v>
                </pt>
                <pt idx="4500">
                  <v>-0.2022822910302593</v>
                </pt>
                <pt idx="4501">
                  <v>-0.2022822910302593</v>
                </pt>
                <pt idx="4502">
                  <v>-0.2022822910302593</v>
                </pt>
                <pt idx="4503">
                  <v>-0.2022822910302593</v>
                </pt>
                <pt idx="4504">
                  <v>-0.2022822910302593</v>
                </pt>
                <pt idx="4505">
                  <v>-0.2022822910302593</v>
                </pt>
                <pt idx="4506">
                  <v>-0.2022822910302593</v>
                </pt>
                <pt idx="4507">
                  <v>-0.2022822910302593</v>
                </pt>
                <pt idx="4508">
                  <v>-0.2022822910302593</v>
                </pt>
                <pt idx="4509">
                  <v>-0.2022822910302593</v>
                </pt>
                <pt idx="4510">
                  <v>-0.2022822910302593</v>
                </pt>
                <pt idx="4511">
                  <v>-0.2022822910302593</v>
                </pt>
                <pt idx="4512">
                  <v>-0.2022822910302593</v>
                </pt>
                <pt idx="4513">
                  <v>-0.2022822910302593</v>
                </pt>
                <pt idx="4514">
                  <v>-0.2022822910302593</v>
                </pt>
                <pt idx="4515">
                  <v>-0.2022822910302593</v>
                </pt>
                <pt idx="4516">
                  <v>-0.2022822910302593</v>
                </pt>
                <pt idx="4517">
                  <v>-0.2022822910302593</v>
                </pt>
                <pt idx="4518">
                  <v>-0.2022822910302593</v>
                </pt>
                <pt idx="4519">
                  <v>-0.2022822910302593</v>
                </pt>
                <pt idx="4520">
                  <v>-0.2022822910302593</v>
                </pt>
                <pt idx="4521">
                  <v>-0.2022822910302593</v>
                </pt>
                <pt idx="4522">
                  <v>-0.2022822910302593</v>
                </pt>
                <pt idx="4523">
                  <v>-0.2022822910302593</v>
                </pt>
                <pt idx="4524">
                  <v>-0.2022822910302593</v>
                </pt>
                <pt idx="4525">
                  <v>-0.2022822910302593</v>
                </pt>
                <pt idx="4526">
                  <v>-0.2022822910302593</v>
                </pt>
                <pt idx="4527">
                  <v>-0.2022822910302593</v>
                </pt>
                <pt idx="4528">
                  <v>-0.2022822910302593</v>
                </pt>
                <pt idx="4529">
                  <v>-0.2022822910302593</v>
                </pt>
                <pt idx="4530">
                  <v>-0.2022822910302593</v>
                </pt>
                <pt idx="4531">
                  <v>-0.2022822910302593</v>
                </pt>
                <pt idx="4532">
                  <v>-0.2022822910302593</v>
                </pt>
                <pt idx="4533">
                  <v>-0.2022822910302593</v>
                </pt>
                <pt idx="4534">
                  <v>-0.2022822910302593</v>
                </pt>
                <pt idx="4535">
                  <v>-0.2022822910302593</v>
                </pt>
                <pt idx="4536">
                  <v>-0.2022822910302593</v>
                </pt>
                <pt idx="4537">
                  <v>-0.2022822910302593</v>
                </pt>
                <pt idx="4538">
                  <v>-0.2022822910302593</v>
                </pt>
                <pt idx="4539">
                  <v>-0.2022822910302593</v>
                </pt>
                <pt idx="4540">
                  <v>-0.2022822910302593</v>
                </pt>
                <pt idx="4541">
                  <v>-0.2022822910302593</v>
                </pt>
                <pt idx="4542">
                  <v>-0.2022822910302593</v>
                </pt>
                <pt idx="4543">
                  <v>-0.2022822910302593</v>
                </pt>
                <pt idx="4544">
                  <v>-0.2022822910302593</v>
                </pt>
                <pt idx="4545">
                  <v>-0.2022822910302593</v>
                </pt>
                <pt idx="4546">
                  <v>-0.2022822910302593</v>
                </pt>
                <pt idx="4547">
                  <v>-0.2022822910302593</v>
                </pt>
                <pt idx="4548">
                  <v>-0.2022822910302593</v>
                </pt>
                <pt idx="4549">
                  <v>-0.2022822910302593</v>
                </pt>
                <pt idx="4550">
                  <v>-0.2022822910302593</v>
                </pt>
                <pt idx="4551">
                  <v>-0.2022822910302593</v>
                </pt>
                <pt idx="4552">
                  <v>-0.2022822910302593</v>
                </pt>
                <pt idx="4553">
                  <v>-0.2022822910302593</v>
                </pt>
                <pt idx="4554">
                  <v>-0.2022822910302593</v>
                </pt>
                <pt idx="4555">
                  <v>-0.2022822910302593</v>
                </pt>
                <pt idx="4556">
                  <v>-0.2022822910302593</v>
                </pt>
                <pt idx="4557">
                  <v>-0.2022822910302593</v>
                </pt>
                <pt idx="4558">
                  <v>-0.2022822910302593</v>
                </pt>
                <pt idx="4559">
                  <v>-0.2022822910302593</v>
                </pt>
                <pt idx="4560">
                  <v>-0.2022822910302593</v>
                </pt>
                <pt idx="4561">
                  <v>-0.2022822910302593</v>
                </pt>
                <pt idx="4562">
                  <v>-0.2022822910302593</v>
                </pt>
                <pt idx="4563">
                  <v>-0.2022822910302593</v>
                </pt>
                <pt idx="4564">
                  <v>-0.2022822910302593</v>
                </pt>
                <pt idx="4565">
                  <v>-0.2022822910302593</v>
                </pt>
                <pt idx="4566">
                  <v>-0.2022822910302593</v>
                </pt>
                <pt idx="4567">
                  <v>-0.2022822910302593</v>
                </pt>
                <pt idx="4568">
                  <v>-0.2022822910302593</v>
                </pt>
                <pt idx="4569">
                  <v>-0.2022822910302593</v>
                </pt>
                <pt idx="4570">
                  <v>-0.2022822910302593</v>
                </pt>
                <pt idx="4571">
                  <v>-0.2022822910302593</v>
                </pt>
                <pt idx="4572">
                  <v>-0.2022822910302593</v>
                </pt>
                <pt idx="4573">
                  <v>-0.2022822910302593</v>
                </pt>
                <pt idx="4574">
                  <v>-0.2022822910302593</v>
                </pt>
                <pt idx="4575">
                  <v>-0.2022822910302593</v>
                </pt>
                <pt idx="4576">
                  <v>-0.2022822910302593</v>
                </pt>
                <pt idx="4577">
                  <v>-0.2022822910302593</v>
                </pt>
                <pt idx="4578">
                  <v>-0.2022822910302593</v>
                </pt>
                <pt idx="4579">
                  <v>-0.2022822910302593</v>
                </pt>
                <pt idx="4580">
                  <v>-0.2022822910302593</v>
                </pt>
                <pt idx="4581">
                  <v>-0.2022822910302593</v>
                </pt>
                <pt idx="4582">
                  <v>-0.2022822910302593</v>
                </pt>
                <pt idx="4583">
                  <v>-0.2022822910302593</v>
                </pt>
                <pt idx="4584">
                  <v>-0.2022822910302593</v>
                </pt>
                <pt idx="4585">
                  <v>-0.2022822910302593</v>
                </pt>
                <pt idx="4586">
                  <v>-0.2022822910302593</v>
                </pt>
                <pt idx="4587">
                  <v>-0.2022822910302593</v>
                </pt>
                <pt idx="4588">
                  <v>-0.2022822910302593</v>
                </pt>
                <pt idx="4589">
                  <v>-0.2022822910302593</v>
                </pt>
                <pt idx="4590">
                  <v>-0.2022822910302593</v>
                </pt>
                <pt idx="4591">
                  <v>-0.2022822910302593</v>
                </pt>
                <pt idx="4592">
                  <v>-0.2022822910302593</v>
                </pt>
                <pt idx="4593">
                  <v>-0.2022822910302593</v>
                </pt>
                <pt idx="4594">
                  <v>-0.2022822910302593</v>
                </pt>
                <pt idx="4595">
                  <v>-0.2022822910302593</v>
                </pt>
                <pt idx="4596">
                  <v>-0.2022822910302593</v>
                </pt>
                <pt idx="4597">
                  <v>-0.2022822910302593</v>
                </pt>
                <pt idx="4598">
                  <v>-0.2022822910302593</v>
                </pt>
                <pt idx="4599">
                  <v>-0.2022822910302593</v>
                </pt>
                <pt idx="4600">
                  <v>-0.2022822910302593</v>
                </pt>
                <pt idx="4601">
                  <v>-0.2022822910302593</v>
                </pt>
                <pt idx="4602">
                  <v>-0.2022822910302593</v>
                </pt>
                <pt idx="4603">
                  <v>-0.2022822910302593</v>
                </pt>
                <pt idx="4604">
                  <v>-0.2022822910302593</v>
                </pt>
                <pt idx="4605">
                  <v>-0.2022822910302593</v>
                </pt>
                <pt idx="4606">
                  <v>-0.2022822910302593</v>
                </pt>
                <pt idx="4607">
                  <v>-0.2022822910302593</v>
                </pt>
                <pt idx="4608">
                  <v>-0.2022822910302593</v>
                </pt>
                <pt idx="4609">
                  <v>-0.2022822910302593</v>
                </pt>
                <pt idx="4610">
                  <v>-0.2022822910302593</v>
                </pt>
                <pt idx="4611">
                  <v>-0.2022822910302593</v>
                </pt>
                <pt idx="4612">
                  <v>-0.2022822910302593</v>
                </pt>
                <pt idx="4613">
                  <v>-0.2022822910302593</v>
                </pt>
                <pt idx="4614">
                  <v>-0.2022822910302593</v>
                </pt>
                <pt idx="4615">
                  <v>-0.2022822910302593</v>
                </pt>
                <pt idx="4616">
                  <v>-0.2022822910302593</v>
                </pt>
                <pt idx="4617">
                  <v>-0.2022822910302593</v>
                </pt>
                <pt idx="4618">
                  <v>-0.2022822910302593</v>
                </pt>
                <pt idx="4619">
                  <v>-0.2022822910302593</v>
                </pt>
                <pt idx="4620">
                  <v>-0.2022822910302593</v>
                </pt>
                <pt idx="4621">
                  <v>-0.2022822910302593</v>
                </pt>
                <pt idx="4622">
                  <v>-0.2022822910302593</v>
                </pt>
                <pt idx="4623">
                  <v>-0.2022822910302593</v>
                </pt>
                <pt idx="4624">
                  <v>-0.2022822910302593</v>
                </pt>
                <pt idx="4625">
                  <v>-0.2022822910302593</v>
                </pt>
                <pt idx="4626">
                  <v>-0.2022822910302593</v>
                </pt>
                <pt idx="4627">
                  <v>-0.2022822910302593</v>
                </pt>
                <pt idx="4628">
                  <v>-0.2022822910302593</v>
                </pt>
                <pt idx="4629">
                  <v>-0.2022822910302593</v>
                </pt>
                <pt idx="4630">
                  <v>-0.2022822910302593</v>
                </pt>
                <pt idx="4631">
                  <v>-0.2022822910302593</v>
                </pt>
                <pt idx="4632">
                  <v>-0.2022822910302593</v>
                </pt>
                <pt idx="4633">
                  <v>-0.2022822910302593</v>
                </pt>
                <pt idx="4634">
                  <v>-0.2022822910302593</v>
                </pt>
                <pt idx="4635">
                  <v>-0.2022822910302593</v>
                </pt>
                <pt idx="4636">
                  <v>-0.2022822910302593</v>
                </pt>
                <pt idx="4637">
                  <v>-0.2022822910302593</v>
                </pt>
                <pt idx="4638">
                  <v>-0.2022822910302593</v>
                </pt>
                <pt idx="4639">
                  <v>-0.2022822910302593</v>
                </pt>
                <pt idx="4640">
                  <v>-0.2022822910302593</v>
                </pt>
                <pt idx="4641">
                  <v>-0.2022822910302593</v>
                </pt>
                <pt idx="4642">
                  <v>-0.2022822910302593</v>
                </pt>
                <pt idx="4643">
                  <v>-0.2022822910302593</v>
                </pt>
                <pt idx="4644">
                  <v>-0.2022822910302593</v>
                </pt>
                <pt idx="4645">
                  <v>-0.2022822910302593</v>
                </pt>
                <pt idx="4646">
                  <v>-0.2022822910302593</v>
                </pt>
                <pt idx="4647">
                  <v>-0.2022822910302593</v>
                </pt>
                <pt idx="4648">
                  <v>-0.2022822910302593</v>
                </pt>
                <pt idx="4649">
                  <v>-0.2022822910302593</v>
                </pt>
                <pt idx="4650">
                  <v>-0.2022822910302593</v>
                </pt>
                <pt idx="4651">
                  <v>-0.2022822910302593</v>
                </pt>
                <pt idx="4652">
                  <v>-0.2022822910302593</v>
                </pt>
                <pt idx="4653">
                  <v>-0.2022822910302593</v>
                </pt>
                <pt idx="4654">
                  <v>-0.2022822910302593</v>
                </pt>
                <pt idx="4655">
                  <v>-0.2022822910302593</v>
                </pt>
                <pt idx="4656">
                  <v>-0.2022822910302593</v>
                </pt>
                <pt idx="4657">
                  <v>-0.2022822910302593</v>
                </pt>
                <pt idx="4658">
                  <v>-0.2022822910302593</v>
                </pt>
                <pt idx="4659">
                  <v>-0.2022822910302593</v>
                </pt>
                <pt idx="4660">
                  <v>-0.2022822910302593</v>
                </pt>
                <pt idx="4661">
                  <v>-0.2022822910302593</v>
                </pt>
                <pt idx="4662">
                  <v>-0.2022822910302593</v>
                </pt>
                <pt idx="4663">
                  <v>-0.2022822910302593</v>
                </pt>
                <pt idx="4664">
                  <v>-0.2022822910302593</v>
                </pt>
                <pt idx="4665">
                  <v>-0.2022822910302593</v>
                </pt>
                <pt idx="4666">
                  <v>-0.2022822910302593</v>
                </pt>
                <pt idx="4667">
                  <v>-0.2022822910302593</v>
                </pt>
                <pt idx="4668">
                  <v>-0.2022822910302593</v>
                </pt>
                <pt idx="4669">
                  <v>-0.2022822910302593</v>
                </pt>
                <pt idx="4670">
                  <v>-0.2022822910302593</v>
                </pt>
                <pt idx="4671">
                  <v>-0.2022822910302593</v>
                </pt>
                <pt idx="4672">
                  <v>-0.2022822910302593</v>
                </pt>
                <pt idx="4673">
                  <v>-0.2022822910302593</v>
                </pt>
                <pt idx="4674">
                  <v>-0.2022822910302593</v>
                </pt>
                <pt idx="4675">
                  <v>-0.2022822910302593</v>
                </pt>
                <pt idx="4676">
                  <v>-0.2022822910302593</v>
                </pt>
                <pt idx="4677">
                  <v>-0.2022822910302593</v>
                </pt>
                <pt idx="4678">
                  <v>-0.2022822910302593</v>
                </pt>
                <pt idx="4679">
                  <v>-0.2022822910302593</v>
                </pt>
                <pt idx="4680">
                  <v>-0.2022822910302593</v>
                </pt>
                <pt idx="4681">
                  <v>-0.2022822910302593</v>
                </pt>
                <pt idx="4682">
                  <v>-0.2022822910302593</v>
                </pt>
                <pt idx="4683">
                  <v>-0.2022822910302593</v>
                </pt>
                <pt idx="4684">
                  <v>-0.2022822910302593</v>
                </pt>
                <pt idx="4685">
                  <v>-0.2022822910302593</v>
                </pt>
                <pt idx="4686">
                  <v>-0.2022822910302593</v>
                </pt>
                <pt idx="4687">
                  <v>-0.2022822910302593</v>
                </pt>
                <pt idx="4688">
                  <v>-0.2022822910302593</v>
                </pt>
                <pt idx="4689">
                  <v>-0.2022822910302593</v>
                </pt>
                <pt idx="4690">
                  <v>-0.2022822910302593</v>
                </pt>
                <pt idx="4691">
                  <v>-0.2022822910302593</v>
                </pt>
                <pt idx="4692">
                  <v>-0.2022822910302593</v>
                </pt>
                <pt idx="4693">
                  <v>-0.2022822910302593</v>
                </pt>
                <pt idx="4694">
                  <v>-0.2022822910302593</v>
                </pt>
                <pt idx="4695">
                  <v>-0.2022822910302593</v>
                </pt>
                <pt idx="4696">
                  <v>-0.2022822910302593</v>
                </pt>
                <pt idx="4697">
                  <v>-0.2022822910302593</v>
                </pt>
                <pt idx="4698">
                  <v>-0.2022822910302593</v>
                </pt>
                <pt idx="4699">
                  <v>-0.2022822910302593</v>
                </pt>
                <pt idx="4700">
                  <v>-0.2022822910302593</v>
                </pt>
                <pt idx="4701">
                  <v>-0.2022822910302593</v>
                </pt>
                <pt idx="4702">
                  <v>-0.2022822910302593</v>
                </pt>
                <pt idx="4703">
                  <v>-0.2022822910302593</v>
                </pt>
                <pt idx="4704">
                  <v>-0.2022822910302593</v>
                </pt>
                <pt idx="4705">
                  <v>-0.2022822910302593</v>
                </pt>
                <pt idx="4706">
                  <v>-0.2022822910302593</v>
                </pt>
                <pt idx="4707">
                  <v>-0.2022822910302593</v>
                </pt>
                <pt idx="4708">
                  <v>-0.2022822910302593</v>
                </pt>
                <pt idx="4709">
                  <v>-0.2022822910302593</v>
                </pt>
                <pt idx="4710">
                  <v>-0.2022822910302593</v>
                </pt>
                <pt idx="4711">
                  <v>-0.2022822910302593</v>
                </pt>
                <pt idx="4712">
                  <v>-0.2022822910302593</v>
                </pt>
                <pt idx="4713">
                  <v>-0.2022822910302593</v>
                </pt>
                <pt idx="4714">
                  <v>-0.2022822910302593</v>
                </pt>
                <pt idx="4715">
                  <v>-0.2022822910302593</v>
                </pt>
                <pt idx="4716">
                  <v>-0.2022822910302593</v>
                </pt>
                <pt idx="4717">
                  <v>-0.2022822910302593</v>
                </pt>
                <pt idx="4718">
                  <v>-0.2022822910302593</v>
                </pt>
                <pt idx="4719">
                  <v>-0.2022822910302593</v>
                </pt>
                <pt idx="4720">
                  <v>-0.2022822910302593</v>
                </pt>
                <pt idx="4721">
                  <v>-0.2022822910302593</v>
                </pt>
                <pt idx="4722">
                  <v>-0.2022822910302593</v>
                </pt>
                <pt idx="4723">
                  <v>-0.2022822910302593</v>
                </pt>
                <pt idx="4724">
                  <v>-0.2022822910302593</v>
                </pt>
                <pt idx="4725">
                  <v>-0.2022822910302593</v>
                </pt>
                <pt idx="4726">
                  <v>-0.2022822910302593</v>
                </pt>
                <pt idx="4727">
                  <v>-0.2022822910302593</v>
                </pt>
                <pt idx="4728">
                  <v>-0.2022822910302593</v>
                </pt>
                <pt idx="4729">
                  <v>-0.2022822910302593</v>
                </pt>
                <pt idx="4730">
                  <v>-0.2022822910302593</v>
                </pt>
                <pt idx="4731">
                  <v>-0.2022822910302593</v>
                </pt>
                <pt idx="4732">
                  <v>-0.2022822910302593</v>
                </pt>
                <pt idx="4733">
                  <v>-0.2022822910302593</v>
                </pt>
                <pt idx="4734">
                  <v>-0.2022822910302593</v>
                </pt>
                <pt idx="4735">
                  <v>-0.2022822910302593</v>
                </pt>
                <pt idx="4736">
                  <v>-0.2022822910302593</v>
                </pt>
                <pt idx="4737">
                  <v>-0.2022822910302593</v>
                </pt>
                <pt idx="4738">
                  <v>-0.2022822910302593</v>
                </pt>
                <pt idx="4739">
                  <v>-0.2022822910302593</v>
                </pt>
                <pt idx="4740">
                  <v>-0.2022822910302593</v>
                </pt>
                <pt idx="4741">
                  <v>-0.2022822910302593</v>
                </pt>
                <pt idx="4742">
                  <v>-0.2022822910302593</v>
                </pt>
                <pt idx="4743">
                  <v>-0.2022822910302593</v>
                </pt>
                <pt idx="4744">
                  <v>-0.2022822910302593</v>
                </pt>
                <pt idx="4745">
                  <v>-0.2022822910302593</v>
                </pt>
                <pt idx="4746">
                  <v>-0.2022822910302593</v>
                </pt>
                <pt idx="4747">
                  <v>-0.2022822910302593</v>
                </pt>
                <pt idx="4748">
                  <v>-0.2022822910302593</v>
                </pt>
                <pt idx="4749">
                  <v>-0.2022822910302593</v>
                </pt>
                <pt idx="4750">
                  <v>-0.2022822910302593</v>
                </pt>
                <pt idx="4751">
                  <v>-0.2022822910302593</v>
                </pt>
                <pt idx="4752">
                  <v>-0.2022822910302593</v>
                </pt>
                <pt idx="4753">
                  <v>-0.2022822910302593</v>
                </pt>
                <pt idx="4754">
                  <v>-0.2022822910302593</v>
                </pt>
                <pt idx="4755">
                  <v>-0.2022822910302593</v>
                </pt>
                <pt idx="4756">
                  <v>-0.2022822910302593</v>
                </pt>
                <pt idx="4757">
                  <v>-0.2022822910302593</v>
                </pt>
                <pt idx="4758">
                  <v>-0.2022822910302593</v>
                </pt>
                <pt idx="4759">
                  <v>-0.2022822910302593</v>
                </pt>
                <pt idx="4760">
                  <v>-0.2022822910302593</v>
                </pt>
                <pt idx="4761">
                  <v>-0.2022822910302593</v>
                </pt>
                <pt idx="4762">
                  <v>-0.2022822910302593</v>
                </pt>
                <pt idx="4763">
                  <v>-0.2022822910302593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66546320"/>
        <axId val="1066529040"/>
      </lineChart>
      <catAx>
        <axId val="1066546320"/>
        <scaling>
          <orientation val="minMax"/>
        </scaling>
        <delete val="0"/>
        <axPos val="b"/>
        <numFmt formatCode="m/d/yyyy" sourceLinked="0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1066529040"/>
        <crosses val="autoZero"/>
        <auto val="1"/>
        <lblAlgn val="ctr"/>
        <lblOffset val="100"/>
        <noMultiLvlLbl val="0"/>
      </catAx>
      <valAx>
        <axId val="1066529040"/>
        <scaling>
          <orientation val="minMax"/>
        </scaling>
        <delete val="0"/>
        <axPos val="l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106654632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ysClr val="window" lastClr="FFFFFF"/>
    </a:solidFill>
    <a:ln w="25400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Eason Tang</author>
    <author>Li, Tom</author>
  </authors>
  <commentList>
    <comment ref="T18" authorId="0" shapeId="0">
      <text>
        <t>Eason Tang:
wind farm disposoal of mulei project about 1GW</t>
      </text>
    </comment>
    <comment ref="U20" authorId="0" shapeId="0">
      <text>
        <t>Eason Tang:
Q125 at 144mn loss, assume full year at 4x.</t>
      </text>
    </comment>
    <comment ref="U40" authorId="0" shapeId="0">
      <text>
        <t>Eason Tang:
company guidance to grow payout ratio at least by 1% per year to 2027.</t>
      </text>
    </comment>
    <comment ref="U42" authorId="0" shapeId="0">
      <text>
        <t>Eason Tang:
latest data</t>
      </text>
    </comment>
    <comment ref="U117" authorId="0" shapeId="0">
      <text>
        <t>Eason Tang:
4bn rmb capex plan per year</t>
      </text>
    </comment>
    <comment ref="U123" authorId="0" shapeId="0">
      <text>
        <t>Eason Tang:
A share + H share placement.</t>
      </text>
    </comment>
    <comment ref="A124" authorId="1" shapeId="0">
      <text>
        <t>Li, Tom:
Dividends announced in annual report will be paid in Q2
Dividends announced in interim report will be paid in Q3</t>
      </text>
    </comment>
    <comment ref="A135" authorId="1" shapeId="0">
      <text>
        <t>Li, Tom:
Vault cash and restricted cash</t>
      </text>
    </comment>
    <comment ref="A144" authorId="0" shapeId="0">
      <text>
        <t xml:space="preserve">Eason Tang:
breakdown order info from result briefing </t>
      </text>
    </comment>
  </commentList>
</comments>
</file>

<file path=xl/comments/comment2.xml><?xml version="1.0" encoding="utf-8"?>
<comments xmlns="http://schemas.openxmlformats.org/spreadsheetml/2006/main">
  <authors>
    <author>Eason Tang</author>
  </authors>
  <commentList>
    <comment ref="A10" authorId="0" shapeId="0">
      <text>
        <t>Eason Tang:
include others</t>
      </text>
    </comment>
    <comment ref="J18" authorId="0" shapeId="0">
      <text>
        <t>Eason Tang:
Supported by strong order in 2024</t>
      </text>
    </comment>
    <comment ref="K18" authorId="0" shapeId="0">
      <text>
        <t>Eason Tang:
strong growth driven by the success export of G50 (50MW) to US/EU due to gas turbine shortage, assuming 250MW in this year</t>
      </text>
    </comment>
    <comment ref="L18" authorId="0" shapeId="0">
      <text>
        <t>Eason Tang:
strong growth driven by the success export of G50 (50MW) to US/EU due to gas turbine shortage, assuming 800MW in this year</t>
      </text>
    </comment>
    <comment ref="M18" authorId="0" shapeId="0">
      <text>
        <t>Eason Tang:
strong growth driven by the success export of G50 (50MW) to US/EU due to gas turbine shortage, assuming 1200MW in this year</t>
      </text>
    </comment>
    <comment ref="N18" authorId="0" shapeId="0">
      <text>
        <t>Eason Tang:
strong growth driven by the success export of G50 (50MW) to US/EU due to gas turbine shortage, assuming 1000MW in this year</t>
      </text>
    </comment>
    <comment ref="R18" authorId="0" shapeId="0">
      <text>
        <t>Eason Tang:
Supported by strong order in 2024</t>
      </text>
    </comment>
    <comment ref="J19" authorId="0" shapeId="0">
      <text>
        <t>Eason Tang:
Strong order in Q125 +40% YoY, and we expect 30%-20% next 5 years CAGR lead by nuclear operator capex growth around 2 years lag.</t>
      </text>
    </comment>
    <comment ref="K20" authorId="0" shapeId="0">
      <text>
        <t>Eason Tang:
assume thermal installation drop to 50GW on average from 80GW in 2021-24, which could lead to decline sales of thermal equipment</t>
      </text>
    </comment>
    <comment ref="J21" authorId="0" shapeId="0">
      <text>
        <t>Eason Tang:
largely inline with our China wind installation forecast</t>
      </text>
    </comment>
    <comment ref="L21" authorId="0" shapeId="0">
      <text>
        <t>Eason Tang:
wind turbine sales accelerate driven by strong wind farm installation outlook and ASP rebound</t>
      </text>
    </comment>
    <comment ref="J22" authorId="0" shapeId="0">
      <text>
        <t>Eason Tang:
Solid growth per management</t>
      </text>
    </comment>
    <comment ref="K22" authorId="0" shapeId="0">
      <text>
        <t>Eason Tang:
higher than our power demand growth assumption due to high growth from pump hydro project installation</t>
      </text>
    </comment>
    <comment ref="J24" authorId="0" shapeId="0">
      <text>
        <t>Eason Tang:
assume organic growth</t>
      </text>
    </comment>
    <comment ref="J73" authorId="0" shapeId="0">
      <text>
        <t xml:space="preserve">Eason Tang:
Margin improvement due to mix shift to higher backup power application for AI data center and higher export opportunities.
</t>
      </text>
    </comment>
    <comment ref="J74" authorId="0" shapeId="0">
      <text>
        <t xml:space="preserve">Eason Tang:
margin improvement due to nuclear construction super cycle </t>
      </text>
    </comment>
    <comment ref="J75" authorId="0" shapeId="0">
      <text>
        <t>Eason Tang:
Thermal profit gradual recovery per company guidnance</t>
      </text>
    </comment>
    <comment ref="J76" authorId="0" shapeId="0">
      <text>
        <t>Eason Tang:
assume margin recovey amid ease of competition and growing bidding asp.</t>
      </text>
    </comment>
    <comment ref="K76" authorId="0" shapeId="0">
      <text>
        <t xml:space="preserve">Eason Tang:
margin recovery helped by higher ASP </t>
      </text>
    </comment>
    <comment ref="A95" authorId="0" shapeId="0">
      <text>
        <t>Eason Tang:
购置</t>
      </text>
    </comment>
    <comment ref="A96" authorId="0" shapeId="0">
      <text>
        <t>Eason Tang:
本期增加金额</t>
      </text>
    </comment>
    <comment ref="A107" authorId="0" shapeId="0">
      <text>
        <t>Eason Tang:
减值准备期末余额</t>
      </text>
    </comment>
    <comment ref="A119" authorId="0" shapeId="0">
      <text>
        <t>Eason Tang:
无形资产 累计摊销&amp; 使用权资产 累计折旧
期初金额-期末金额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51</col>
      <colOff>513472</colOff>
      <row>11</row>
      <rowOff>96072</rowOff>
    </from>
    <to>
      <col>52</col>
      <colOff>350726</colOff>
      <row>15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39</col>
      <colOff>154412</colOff>
      <row>56</row>
      <rowOff>123056</rowOff>
    </from>
    <to>
      <col>44</col>
      <colOff>653234</colOff>
      <row>71</row>
      <rowOff>151631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absolute">
    <from>
      <col>41</col>
      <colOff>486170</colOff>
      <row>13</row>
      <rowOff>123417</rowOff>
    </from>
    <to>
      <col>49</col>
      <colOff>79770</colOff>
      <row>29</row>
      <rowOff>20574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absolute">
    <from>
      <col>41</col>
      <colOff>575203</colOff>
      <row>30</row>
      <rowOff>34372</rowOff>
    </from>
    <to>
      <col>49</col>
      <colOff>168803</colOff>
      <row>45</row>
      <rowOff>118716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421077</colOff>
      <row>25</row>
      <rowOff>162366</rowOff>
    </from>
    <to>
      <col>7</col>
      <colOff>377701</colOff>
      <row>40</row>
      <rowOff>9966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absolute">
    <from>
      <col>7</col>
      <colOff>1340535</colOff>
      <row>27</row>
      <rowOff>5861</rowOff>
    </from>
    <to>
      <col>7</col>
      <colOff>4821116</colOff>
      <row>42</row>
      <rowOff>85237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3</col>
      <colOff>209550</colOff>
      <row>47</row>
      <rowOff>57150</rowOff>
    </from>
    <to>
      <col>6</col>
      <colOff>890074</colOff>
      <row>61</row>
      <rowOff>85725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absolute">
    <from>
      <col>5</col>
      <colOff>1581148</colOff>
      <row>4712</row>
      <rowOff>161925</rowOff>
    </from>
    <to>
      <col>12</col>
      <colOff>669923</colOff>
      <row>4726</row>
      <rowOff>155575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showGridLines="0" zoomScale="130" zoomScaleNormal="130" workbookViewId="0">
      <selection activeCell="A1" sqref="A1"/>
    </sheetView>
  </sheetViews>
  <sheetFormatPr baseColWidth="8" defaultColWidth="7.5703125" defaultRowHeight="15.95" customHeight="1"/>
  <cols>
    <col width="34.7109375" bestFit="1" customWidth="1" style="199" min="1" max="1"/>
    <col width="9.85546875" customWidth="1" style="174" min="2" max="2"/>
    <col width="8.7109375" customWidth="1" style="174" min="3" max="8"/>
    <col width="7.5703125" customWidth="1" style="174" min="9" max="10"/>
    <col width="23.7109375" bestFit="1" customWidth="1" style="174" min="11" max="11"/>
    <col width="7.5703125" customWidth="1" style="174" min="12" max="16384"/>
  </cols>
  <sheetData>
    <row r="1" ht="15.95" customFormat="1" customHeight="1" s="408">
      <c r="A1" s="409" t="n"/>
    </row>
    <row r="2" ht="15.95" customHeight="1">
      <c r="A2" s="410" t="inlineStr">
        <is>
          <t>P/E multiple valuation</t>
        </is>
      </c>
      <c r="B2" s="411" t="n"/>
      <c r="D2" s="410" t="inlineStr">
        <is>
          <t>Forecast returns and rating</t>
        </is>
      </c>
      <c r="E2" s="411" t="n"/>
      <c r="F2" s="411" t="n"/>
      <c r="G2" s="411" t="n"/>
      <c r="L2" s="412" t="inlineStr">
        <is>
          <t>2025E</t>
        </is>
      </c>
      <c r="M2" s="412" t="inlineStr">
        <is>
          <t>2026E</t>
        </is>
      </c>
      <c r="N2" s="412" t="inlineStr">
        <is>
          <t>2027E</t>
        </is>
      </c>
      <c r="O2" s="412" t="inlineStr">
        <is>
          <t>2028E</t>
        </is>
      </c>
      <c r="P2" s="412" t="inlineStr">
        <is>
          <t>2029E</t>
        </is>
      </c>
    </row>
    <row r="3" ht="15.95" customHeight="1">
      <c r="A3" s="413" t="inlineStr">
        <is>
          <t>Valuation date</t>
        </is>
      </c>
      <c r="B3" s="177">
        <f>+TODAY()</f>
        <v/>
      </c>
      <c r="C3" s="178" t="n"/>
      <c r="D3" s="413" t="n"/>
      <c r="E3" s="408" t="n"/>
      <c r="F3" s="408" t="n"/>
      <c r="G3" s="408" t="n"/>
      <c r="K3" s="179" t="n"/>
      <c r="L3" s="414" t="n"/>
      <c r="M3" s="414" t="n"/>
      <c r="N3" s="414" t="n"/>
      <c r="O3" s="414" t="n"/>
      <c r="P3" s="414" t="n"/>
    </row>
    <row r="4" ht="15.95" customHeight="1">
      <c r="A4" s="415" t="inlineStr">
        <is>
          <t>2027 forward target PE multiple</t>
        </is>
      </c>
      <c r="B4" s="416" t="n">
        <v>28</v>
      </c>
      <c r="C4" s="178" t="n"/>
      <c r="D4" s="413" t="inlineStr">
        <is>
          <t>Current share price (HKD)</t>
        </is>
      </c>
      <c r="E4" s="408" t="n"/>
      <c r="F4" s="408" t="n"/>
      <c r="G4" s="417" t="n">
        <v>44.5</v>
      </c>
      <c r="I4" s="238" t="n"/>
      <c r="K4" s="179" t="inlineStr">
        <is>
          <t>EPS</t>
        </is>
      </c>
      <c r="L4" s="414">
        <f>Model!U35</f>
        <v/>
      </c>
      <c r="M4" s="414">
        <f>Model!V35</f>
        <v/>
      </c>
      <c r="N4" s="414">
        <f>Model!W35</f>
        <v/>
      </c>
      <c r="O4" s="414">
        <f>Model!X35</f>
        <v/>
      </c>
      <c r="P4" s="414">
        <f>Model!Y35</f>
        <v/>
      </c>
    </row>
    <row r="5" ht="15.95" customHeight="1">
      <c r="A5" s="409" t="inlineStr">
        <is>
          <t>2027E EPS (Rmb)</t>
        </is>
      </c>
      <c r="B5" s="417">
        <f>+Model!W35</f>
        <v/>
      </c>
      <c r="C5" s="178" t="n"/>
      <c r="D5" s="418" t="inlineStr">
        <is>
          <t>Price target (HKD)</t>
        </is>
      </c>
      <c r="E5" s="419" t="n"/>
      <c r="F5" s="419" t="n"/>
      <c r="G5" s="420">
        <f>B10</f>
        <v/>
      </c>
      <c r="K5" s="179" t="inlineStr">
        <is>
          <t>BPS</t>
        </is>
      </c>
      <c r="L5" s="414">
        <f>Model!U37</f>
        <v/>
      </c>
      <c r="M5" s="414">
        <f>Model!V37</f>
        <v/>
      </c>
      <c r="N5" s="414">
        <f>Model!W37</f>
        <v/>
      </c>
      <c r="O5" s="414">
        <f>Model!X37</f>
        <v/>
      </c>
      <c r="P5" s="414">
        <f>Model!Y37</f>
        <v/>
      </c>
    </row>
    <row r="6" ht="15.95" customHeight="1">
      <c r="A6" s="421" t="inlineStr">
        <is>
          <t>Implied value per share (Rmb)</t>
        </is>
      </c>
      <c r="B6" s="422">
        <f>B4*B5</f>
        <v/>
      </c>
      <c r="C6" s="178" t="n"/>
      <c r="D6" s="423" t="inlineStr">
        <is>
          <t>Upside/(Downside)</t>
        </is>
      </c>
      <c r="E6" s="424" t="n"/>
      <c r="F6" s="424" t="n"/>
      <c r="G6" s="189">
        <f>G5/G4-1</f>
        <v/>
      </c>
      <c r="K6" s="179" t="inlineStr">
        <is>
          <t>DPS</t>
        </is>
      </c>
      <c r="L6" s="414">
        <f>Model!U39</f>
        <v/>
      </c>
      <c r="M6" s="414">
        <f>Model!V39</f>
        <v/>
      </c>
      <c r="N6" s="414">
        <f>Model!W39</f>
        <v/>
      </c>
      <c r="O6" s="414">
        <f>Model!X39</f>
        <v/>
      </c>
      <c r="P6" s="414">
        <f>Model!Y39</f>
        <v/>
      </c>
      <c r="U6" s="190" t="n"/>
    </row>
    <row r="7" ht="15.95" customHeight="1">
      <c r="A7" s="409" t="inlineStr">
        <is>
          <t>Roll forward at cost of equity</t>
        </is>
      </c>
      <c r="B7" s="408">
        <f>B6*(1+B16)^(((B3+365)-DATE(2026,12,31))/365)</f>
        <v/>
      </c>
      <c r="C7" s="178" t="n"/>
      <c r="D7" s="413" t="inlineStr">
        <is>
          <t>Forecast dividend yield</t>
        </is>
      </c>
      <c r="E7" s="408" t="n"/>
      <c r="F7" s="408" t="n"/>
      <c r="G7" s="191">
        <f>+Model!U39/G4</f>
        <v/>
      </c>
      <c r="K7" s="179" t="n"/>
      <c r="U7" s="190" t="n"/>
    </row>
    <row r="8" ht="15.95" customHeight="1">
      <c r="A8" s="409" t="inlineStr">
        <is>
          <t>Less: Dividends per share (Rmb)</t>
        </is>
      </c>
      <c r="B8" s="425">
        <f>-Model!V39*(((B3+365)-DATE(2026,12,31))/365)</f>
        <v/>
      </c>
      <c r="C8" s="178" t="n"/>
      <c r="D8" s="413" t="inlineStr">
        <is>
          <t>Market return assumption</t>
        </is>
      </c>
      <c r="E8" s="408" t="n"/>
      <c r="F8" s="408" t="n"/>
      <c r="G8" s="192">
        <f>5%+$B$13</f>
        <v/>
      </c>
      <c r="K8" s="179" t="inlineStr">
        <is>
          <t>P/E (current)</t>
        </is>
      </c>
      <c r="L8" s="414">
        <f>+$G$4/L4*$B$11</f>
        <v/>
      </c>
      <c r="M8" s="414">
        <f>+$G$4/M4*$B$11</f>
        <v/>
      </c>
      <c r="N8" s="414">
        <f>+$G$4/N4*$B$11</f>
        <v/>
      </c>
      <c r="O8" s="414">
        <f>+$G$4/O4*$B$11</f>
        <v/>
      </c>
      <c r="P8" s="414">
        <f>+$G$4/P4*$B$11</f>
        <v/>
      </c>
      <c r="U8" s="190" t="n"/>
    </row>
    <row r="9" ht="15.95" customHeight="1">
      <c r="A9" s="426" t="inlineStr">
        <is>
          <t>Price target (Rmb)</t>
        </is>
      </c>
      <c r="B9" s="427">
        <f>SUM(B7:B8)</f>
        <v/>
      </c>
      <c r="C9" s="178" t="n"/>
      <c r="D9" s="423" t="inlineStr">
        <is>
          <t>Forecast excess return</t>
        </is>
      </c>
      <c r="E9" s="424" t="n"/>
      <c r="F9" s="424" t="n"/>
      <c r="G9" s="189">
        <f>G6+G7-G8</f>
        <v/>
      </c>
      <c r="K9" s="179" t="inlineStr">
        <is>
          <t>P/B (current)</t>
        </is>
      </c>
      <c r="L9" s="414">
        <f>+$G$4/L5*$B$11</f>
        <v/>
      </c>
      <c r="M9" s="414">
        <f>+$G$4/M5*$B$11</f>
        <v/>
      </c>
      <c r="N9" s="414">
        <f>+$G$4/N5*$B$11</f>
        <v/>
      </c>
      <c r="O9" s="414">
        <f>+$G$4/O5*$B$11</f>
        <v/>
      </c>
      <c r="P9" s="414">
        <f>+$G$4/P5*$B$11</f>
        <v/>
      </c>
    </row>
    <row r="10" ht="15.95" customHeight="1">
      <c r="A10" s="426" t="inlineStr">
        <is>
          <t>Price target (HKD)</t>
        </is>
      </c>
      <c r="B10" s="427">
        <f>ROUND(B9/B11,0)</f>
        <v/>
      </c>
      <c r="C10" s="178" t="n"/>
      <c r="D10" s="418" t="inlineStr">
        <is>
          <t>12-month rating (UBS)</t>
        </is>
      </c>
      <c r="E10" s="419" t="n"/>
      <c r="F10" s="419" t="n"/>
      <c r="G10" s="419">
        <f>IF(G9&gt;=6%, "BUY", IF(G9&gt;=-6%,"NEUTRAL","SELL"))</f>
        <v/>
      </c>
      <c r="K10" s="179" t="inlineStr">
        <is>
          <t>Dividend yield (current)</t>
        </is>
      </c>
      <c r="L10" s="428">
        <f>+L6/$G$4</f>
        <v/>
      </c>
      <c r="M10" s="428">
        <f>+M6/$G$4</f>
        <v/>
      </c>
      <c r="N10" s="428">
        <f>+N6/$G$4</f>
        <v/>
      </c>
      <c r="O10" s="428">
        <f>+O6/$G$4</f>
        <v/>
      </c>
      <c r="P10" s="428">
        <f>+P6/$G$4</f>
        <v/>
      </c>
    </row>
    <row r="11" ht="15.95" customHeight="1">
      <c r="A11" s="199" t="inlineStr">
        <is>
          <t>HKD/Rmb</t>
        </is>
      </c>
      <c r="B11" s="174" t="n">
        <v>0.91</v>
      </c>
      <c r="C11" s="178" t="n"/>
      <c r="K11" s="179" t="n"/>
    </row>
    <row r="12" ht="15.95" customHeight="1">
      <c r="A12" s="429" t="inlineStr">
        <is>
          <t>Valuation inputs</t>
        </is>
      </c>
      <c r="B12" s="408" t="n"/>
      <c r="C12" s="178" t="n"/>
      <c r="D12" s="418" t="n"/>
      <c r="E12" s="419" t="n"/>
      <c r="F12" s="419" t="n"/>
      <c r="G12" s="419" t="n"/>
      <c r="K12" s="179" t="inlineStr">
        <is>
          <t>P/E (Implied)</t>
        </is>
      </c>
      <c r="L12" s="414">
        <f>+$G$5/L4*$B$11</f>
        <v/>
      </c>
      <c r="M12" s="414">
        <f>+$G$5/M4*$B$11</f>
        <v/>
      </c>
      <c r="N12" s="414">
        <f>+$G$5/N4*$B$11</f>
        <v/>
      </c>
      <c r="O12" s="414">
        <f>+$G$5/O4*$B$11</f>
        <v/>
      </c>
      <c r="P12" s="414">
        <f>+$G$5/P4*$B$11</f>
        <v/>
      </c>
    </row>
    <row r="13" ht="15.95" customHeight="1">
      <c r="A13" s="409" t="inlineStr">
        <is>
          <t>Risk-free rate</t>
        </is>
      </c>
      <c r="B13" s="191" t="n">
        <v>0.035</v>
      </c>
      <c r="C13" s="408" t="n"/>
      <c r="D13" s="408" t="n"/>
      <c r="E13" s="408" t="n"/>
      <c r="K13" s="179" t="inlineStr">
        <is>
          <t>P/B (Implied)</t>
        </is>
      </c>
      <c r="L13" s="414">
        <f>+$G$5/L5*$B$11</f>
        <v/>
      </c>
      <c r="M13" s="414">
        <f>+$G$5/M5*$B$11</f>
        <v/>
      </c>
      <c r="N13" s="414">
        <f>+$G$5/N5*$B$11</f>
        <v/>
      </c>
      <c r="O13" s="414">
        <f>+$G$5/O5*$B$11</f>
        <v/>
      </c>
      <c r="P13" s="414">
        <f>+$G$5/P5*$B$11</f>
        <v/>
      </c>
    </row>
    <row r="14" ht="15.95" customHeight="1">
      <c r="A14" s="409" t="inlineStr">
        <is>
          <t>Equity market risk premium</t>
        </is>
      </c>
      <c r="B14" s="191" t="n">
        <v>0.05</v>
      </c>
    </row>
    <row r="15" ht="15.95" customHeight="1">
      <c r="A15" s="409" t="inlineStr">
        <is>
          <t>Beta</t>
        </is>
      </c>
      <c r="B15" s="430" t="n">
        <v>0.49</v>
      </c>
    </row>
    <row r="16" ht="15.95" customFormat="1" customHeight="1" s="198">
      <c r="A16" s="421" t="inlineStr">
        <is>
          <t>Cost of equity</t>
        </is>
      </c>
      <c r="B16" s="431">
        <f>B13+B14*B15</f>
        <v/>
      </c>
      <c r="C16" s="174" t="n"/>
      <c r="D16" s="174" t="n"/>
      <c r="E16" s="174" t="n"/>
      <c r="F16" s="174" t="n"/>
      <c r="G16" s="174" t="n"/>
    </row>
    <row r="17" ht="15.95" customHeight="1">
      <c r="A17" s="409" t="n"/>
      <c r="C17" s="409" t="n"/>
      <c r="D17" s="432" t="n"/>
      <c r="F17" s="408" t="n"/>
      <c r="G17" s="417" t="n"/>
    </row>
    <row r="18" ht="14.25" customHeight="1">
      <c r="A18" s="409" t="inlineStr">
        <is>
          <t>UBSe 2026-29 EPS CAGR</t>
        </is>
      </c>
      <c r="B18" s="201">
        <f>+(Model!Y28/Model!V28)^(1/3)-1</f>
        <v/>
      </c>
      <c r="G18" s="238" t="n"/>
    </row>
    <row r="19" ht="15.95" customHeight="1">
      <c r="A19" s="235" t="inlineStr">
        <is>
          <t>A/H discount</t>
        </is>
      </c>
      <c r="B19" s="236" t="n">
        <v>0</v>
      </c>
    </row>
  </sheetData>
  <pageMargins left="0.7" right="0.7" top="0.75" bottom="0.75" header="0.3" footer="0.3"/>
  <pageSetup orientation="landscape" paperSize="9" scale="1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zoomScale="115" zoomScaleNormal="115" workbookViewId="0">
      <selection activeCell="B17" sqref="B17"/>
    </sheetView>
  </sheetViews>
  <sheetFormatPr baseColWidth="8" defaultColWidth="7.5703125" defaultRowHeight="15.95" customHeight="1"/>
  <cols>
    <col width="34.7109375" bestFit="1" customWidth="1" style="199" min="1" max="1"/>
    <col width="9.85546875" customWidth="1" style="174" min="2" max="2"/>
    <col width="8.7109375" customWidth="1" style="174" min="3" max="8"/>
    <col width="7.5703125" customWidth="1" style="174" min="9" max="10"/>
    <col width="23.7109375" bestFit="1" customWidth="1" style="174" min="11" max="11"/>
    <col width="7.5703125" customWidth="1" style="174" min="12" max="16384"/>
  </cols>
  <sheetData>
    <row r="1" ht="15.95" customFormat="1" customHeight="1" s="408">
      <c r="A1" s="409" t="n"/>
    </row>
    <row r="2" ht="15.95" customHeight="1">
      <c r="A2" s="410" t="inlineStr">
        <is>
          <t>P/E multiple valuation</t>
        </is>
      </c>
      <c r="B2" s="411" t="n"/>
      <c r="D2" s="410" t="inlineStr">
        <is>
          <t>Forecast returns and rating</t>
        </is>
      </c>
      <c r="E2" s="411" t="n"/>
      <c r="F2" s="411" t="n"/>
      <c r="G2" s="411" t="n"/>
      <c r="L2" s="412" t="inlineStr">
        <is>
          <t>2025E</t>
        </is>
      </c>
      <c r="M2" s="412" t="inlineStr">
        <is>
          <t>2026E</t>
        </is>
      </c>
      <c r="N2" s="412" t="inlineStr">
        <is>
          <t>2027E</t>
        </is>
      </c>
      <c r="O2" s="412" t="inlineStr">
        <is>
          <t>2028E</t>
        </is>
      </c>
      <c r="P2" s="412" t="inlineStr">
        <is>
          <t>2029E</t>
        </is>
      </c>
    </row>
    <row r="3" ht="15.95" customHeight="1">
      <c r="A3" s="413" t="inlineStr">
        <is>
          <t>Valuation date</t>
        </is>
      </c>
      <c r="B3" s="177">
        <f>+TODAY()</f>
        <v/>
      </c>
      <c r="C3" s="178" t="n"/>
      <c r="D3" s="413" t="n"/>
      <c r="E3" s="408" t="n"/>
      <c r="F3" s="408" t="n"/>
      <c r="G3" s="408" t="n"/>
      <c r="K3" s="179" t="n"/>
      <c r="L3" s="414" t="n"/>
      <c r="M3" s="414" t="n"/>
      <c r="N3" s="414" t="n"/>
      <c r="O3" s="414" t="n"/>
      <c r="P3" s="414" t="n"/>
    </row>
    <row r="4" ht="15.95" customHeight="1">
      <c r="A4" s="415" t="inlineStr">
        <is>
          <t>2027 forward target PE multiple</t>
        </is>
      </c>
      <c r="B4" s="416" t="n">
        <v>28</v>
      </c>
      <c r="C4" s="178" t="n"/>
      <c r="D4" s="413" t="inlineStr">
        <is>
          <t>Current share price</t>
        </is>
      </c>
      <c r="E4" s="408" t="n"/>
      <c r="F4" s="408" t="n"/>
      <c r="G4" s="417" t="n">
        <v>42.21</v>
      </c>
      <c r="K4" s="179" t="inlineStr">
        <is>
          <t>EPS</t>
        </is>
      </c>
      <c r="L4" s="414">
        <f>Model!U35</f>
        <v/>
      </c>
      <c r="M4" s="414">
        <f>Model!V35</f>
        <v/>
      </c>
      <c r="N4" s="414">
        <f>Model!W35</f>
        <v/>
      </c>
      <c r="O4" s="414">
        <f>Model!X35</f>
        <v/>
      </c>
      <c r="P4" s="414">
        <f>Model!Y35</f>
        <v/>
      </c>
    </row>
    <row r="5" ht="15.95" customHeight="1">
      <c r="A5" s="409" t="inlineStr">
        <is>
          <t>2027E EPS (Rmb)</t>
        </is>
      </c>
      <c r="B5" s="417">
        <f>+Model!W35</f>
        <v/>
      </c>
      <c r="C5" s="178" t="n"/>
      <c r="D5" s="418" t="inlineStr">
        <is>
          <t>Price target (Rmb)</t>
        </is>
      </c>
      <c r="E5" s="419" t="n"/>
      <c r="F5" s="419" t="n"/>
      <c r="G5" s="420">
        <f>+B9</f>
        <v/>
      </c>
      <c r="K5" s="179" t="inlineStr">
        <is>
          <t>BPS</t>
        </is>
      </c>
      <c r="L5" s="414">
        <f>Model!U37</f>
        <v/>
      </c>
      <c r="M5" s="414">
        <f>Model!V37</f>
        <v/>
      </c>
      <c r="N5" s="414">
        <f>Model!W37</f>
        <v/>
      </c>
      <c r="O5" s="414">
        <f>Model!X37</f>
        <v/>
      </c>
      <c r="P5" s="414">
        <f>Model!Y37</f>
        <v/>
      </c>
    </row>
    <row r="6" ht="15.95" customHeight="1">
      <c r="A6" s="421" t="inlineStr">
        <is>
          <t>Implied value per share (Rmb)</t>
        </is>
      </c>
      <c r="B6" s="422">
        <f>B4*B5</f>
        <v/>
      </c>
      <c r="C6" s="178" t="n"/>
      <c r="D6" s="423" t="inlineStr">
        <is>
          <t>Upside/(Downside)</t>
        </is>
      </c>
      <c r="E6" s="424" t="n"/>
      <c r="F6" s="424" t="n"/>
      <c r="G6" s="189">
        <f>G5/G4-1</f>
        <v/>
      </c>
      <c r="K6" s="179" t="inlineStr">
        <is>
          <t>DPS</t>
        </is>
      </c>
      <c r="L6" s="414">
        <f>Model!U39</f>
        <v/>
      </c>
      <c r="M6" s="414">
        <f>Model!V39</f>
        <v/>
      </c>
      <c r="N6" s="414">
        <f>Model!W39</f>
        <v/>
      </c>
      <c r="O6" s="414">
        <f>Model!X39</f>
        <v/>
      </c>
      <c r="P6" s="414">
        <f>Model!Y39</f>
        <v/>
      </c>
      <c r="U6" s="190" t="n"/>
    </row>
    <row r="7" ht="15.95" customHeight="1">
      <c r="A7" s="409" t="inlineStr">
        <is>
          <t>Roll forward at cost of equity</t>
        </is>
      </c>
      <c r="B7" s="408">
        <f>B6*(1+B15)^(((B3+365)-DATE(2026,12,31))/365)</f>
        <v/>
      </c>
      <c r="C7" s="178" t="n"/>
      <c r="D7" s="413" t="inlineStr">
        <is>
          <t>Forecast dividend yield</t>
        </is>
      </c>
      <c r="E7" s="408" t="n"/>
      <c r="F7" s="408" t="n"/>
      <c r="G7" s="191">
        <f>+Model!U39/G4</f>
        <v/>
      </c>
      <c r="K7" s="179" t="n"/>
      <c r="U7" s="190" t="n"/>
    </row>
    <row r="8" ht="15.95" customHeight="1">
      <c r="A8" s="409" t="inlineStr">
        <is>
          <t>Less: Dividends per share (Rmb)</t>
        </is>
      </c>
      <c r="B8" s="425">
        <f>-Model!V39*(((B3+365)-DATE(2026,12,31))/365)</f>
        <v/>
      </c>
      <c r="C8" s="178" t="n"/>
      <c r="D8" s="413" t="inlineStr">
        <is>
          <t>Market return assumption</t>
        </is>
      </c>
      <c r="E8" s="408" t="n"/>
      <c r="F8" s="408" t="n"/>
      <c r="G8" s="192">
        <f>5%+$B$12</f>
        <v/>
      </c>
      <c r="K8" s="179" t="inlineStr">
        <is>
          <t>P/E (current)</t>
        </is>
      </c>
      <c r="L8" s="414">
        <f>+$G$4/L4</f>
        <v/>
      </c>
      <c r="M8" s="414">
        <f>+$G$4/M4</f>
        <v/>
      </c>
      <c r="N8" s="414">
        <f>+$G$4/N4</f>
        <v/>
      </c>
      <c r="O8" s="414">
        <f>+$G$4/O4</f>
        <v/>
      </c>
      <c r="P8" s="414">
        <f>+$G$4/P4</f>
        <v/>
      </c>
      <c r="U8" s="190" t="n"/>
    </row>
    <row r="9" ht="15.95" customHeight="1">
      <c r="A9" s="426" t="inlineStr">
        <is>
          <t>Price target (Rmb)</t>
        </is>
      </c>
      <c r="B9" s="427">
        <f>ROUND(SUM(B7:B8),0)</f>
        <v/>
      </c>
      <c r="C9" s="178" t="n"/>
      <c r="D9" s="423" t="inlineStr">
        <is>
          <t>Forecast excess return</t>
        </is>
      </c>
      <c r="E9" s="424" t="n"/>
      <c r="F9" s="424" t="n"/>
      <c r="G9" s="189">
        <f>G6+G7-G8</f>
        <v/>
      </c>
      <c r="K9" s="179" t="inlineStr">
        <is>
          <t>P/B (current)</t>
        </is>
      </c>
      <c r="L9" s="414">
        <f>+$G$4/L5</f>
        <v/>
      </c>
      <c r="M9" s="414">
        <f>+$G$4/M5</f>
        <v/>
      </c>
      <c r="N9" s="414">
        <f>+$G$4/N5</f>
        <v/>
      </c>
      <c r="O9" s="414">
        <f>+$G$4/O5</f>
        <v/>
      </c>
      <c r="P9" s="414">
        <f>+$G$4/P5</f>
        <v/>
      </c>
    </row>
    <row r="10" ht="15.95" customHeight="1">
      <c r="A10" s="178" t="n"/>
      <c r="C10" s="178" t="n"/>
      <c r="D10" s="418" t="inlineStr">
        <is>
          <t>12-month rating (UBS)</t>
        </is>
      </c>
      <c r="E10" s="419" t="n"/>
      <c r="F10" s="419" t="n"/>
      <c r="G10" s="419">
        <f>IF(G9&gt;=6%, "BUY", IF(G9&gt;=-6%,"NEUTRAL","SELL"))</f>
        <v/>
      </c>
      <c r="K10" s="179" t="inlineStr">
        <is>
          <t>Dividend yield (current)</t>
        </is>
      </c>
      <c r="L10" s="428">
        <f>+L6/$G$4</f>
        <v/>
      </c>
      <c r="M10" s="428">
        <f>+M6/$G$4</f>
        <v/>
      </c>
      <c r="N10" s="428">
        <f>+N6/$G$4</f>
        <v/>
      </c>
      <c r="O10" s="428">
        <f>+O6/$G$4</f>
        <v/>
      </c>
      <c r="P10" s="428">
        <f>+P6/$G$4</f>
        <v/>
      </c>
    </row>
    <row r="11" ht="15.95" customHeight="1">
      <c r="A11" s="429" t="inlineStr">
        <is>
          <t>Valuation inputs</t>
        </is>
      </c>
      <c r="B11" s="408" t="n"/>
      <c r="C11" s="178" t="n"/>
      <c r="K11" s="179" t="n"/>
    </row>
    <row r="12" ht="15.95" customHeight="1">
      <c r="A12" s="409" t="inlineStr">
        <is>
          <t>Risk-free rate</t>
        </is>
      </c>
      <c r="B12" s="191" t="n">
        <v>0.018</v>
      </c>
      <c r="C12" s="178" t="n"/>
      <c r="D12" s="418" t="n"/>
      <c r="E12" s="419" t="n"/>
      <c r="F12" s="419" t="n"/>
      <c r="G12" s="419" t="n"/>
      <c r="K12" s="179" t="inlineStr">
        <is>
          <t>P/E (Implied)</t>
        </is>
      </c>
      <c r="L12" s="414">
        <f>+$G$5/L4</f>
        <v/>
      </c>
      <c r="M12" s="414">
        <f>+$G$5/M4</f>
        <v/>
      </c>
      <c r="N12" s="414">
        <f>+$G$5/N4</f>
        <v/>
      </c>
      <c r="O12" s="414">
        <f>+$G$5/O4</f>
        <v/>
      </c>
      <c r="P12" s="414">
        <f>+$G$5/P4</f>
        <v/>
      </c>
    </row>
    <row r="13" ht="15.95" customHeight="1">
      <c r="A13" s="409" t="inlineStr">
        <is>
          <t>Equity market risk premium</t>
        </is>
      </c>
      <c r="B13" s="191" t="n">
        <v>0.05</v>
      </c>
      <c r="C13" s="408" t="n"/>
      <c r="D13" s="408" t="n"/>
      <c r="E13" s="408" t="n"/>
      <c r="K13" s="179" t="inlineStr">
        <is>
          <t>P/B (Implied)</t>
        </is>
      </c>
      <c r="L13" s="414">
        <f>+$G$5/L5</f>
        <v/>
      </c>
      <c r="M13" s="414">
        <f>+$G$5/M5</f>
        <v/>
      </c>
      <c r="N13" s="414">
        <f>+$G$5/N5</f>
        <v/>
      </c>
      <c r="O13" s="414">
        <f>+$G$5/O5</f>
        <v/>
      </c>
      <c r="P13" s="414">
        <f>+$G$5/P5</f>
        <v/>
      </c>
    </row>
    <row r="14" ht="15.95" customHeight="1">
      <c r="A14" s="409" t="inlineStr">
        <is>
          <t>Beta</t>
        </is>
      </c>
      <c r="B14" s="430" t="n">
        <v>1.02</v>
      </c>
    </row>
    <row r="15" ht="15.95" customHeight="1">
      <c r="A15" s="421" t="inlineStr">
        <is>
          <t>Cost of equity</t>
        </is>
      </c>
      <c r="B15" s="431">
        <f>B12+B13*B14</f>
        <v/>
      </c>
    </row>
    <row r="16" ht="15.95" customFormat="1" customHeight="1" s="198">
      <c r="A16" s="409" t="n"/>
      <c r="B16" s="174" t="n"/>
      <c r="C16" s="174" t="n"/>
      <c r="D16" s="174" t="n"/>
      <c r="E16" s="174" t="n"/>
      <c r="F16" s="408" t="n"/>
      <c r="G16" s="238" t="n"/>
    </row>
    <row r="17" ht="15.95" customFormat="1" customHeight="1" s="198">
      <c r="A17" s="409" t="inlineStr">
        <is>
          <t>UBSe 2020-24 EPS CAGR</t>
        </is>
      </c>
      <c r="B17" s="238">
        <f>+(Model!T28/Model!P28)^(1/4)-1</f>
        <v/>
      </c>
      <c r="C17" s="174" t="n"/>
      <c r="D17" s="174" t="n"/>
      <c r="E17" s="174" t="n"/>
      <c r="F17" s="174" t="n"/>
      <c r="G17" s="238" t="n"/>
    </row>
    <row r="18" ht="15.95" customFormat="1" customHeight="1" s="198">
      <c r="A18" s="409" t="inlineStr">
        <is>
          <t>UBSe 2024-29 EPS CAGR</t>
        </is>
      </c>
      <c r="B18" s="238">
        <f>+(Model!Y28/Model!T28)^(1/5)-1</f>
        <v/>
      </c>
      <c r="C18" s="174" t="n"/>
      <c r="D18" s="174" t="n"/>
      <c r="E18" s="174" t="n"/>
      <c r="F18" s="174" t="n"/>
      <c r="G18" s="174" t="n"/>
    </row>
    <row r="19" ht="15.95" customFormat="1" customHeight="1" s="198">
      <c r="A19" s="409" t="inlineStr">
        <is>
          <t>UBSe 2025-27 EPS CAGR</t>
        </is>
      </c>
      <c r="B19" s="238">
        <f>+(Model!W28/Model!U28)^(1/2)-1</f>
        <v/>
      </c>
      <c r="C19" s="174" t="n"/>
      <c r="D19" s="174" t="n"/>
      <c r="E19" s="174" t="n"/>
      <c r="F19" s="174" t="n"/>
      <c r="G19" s="174" t="n"/>
    </row>
    <row r="20" ht="15.95" customFormat="1" customHeight="1" s="198">
      <c r="A20" s="409" t="inlineStr">
        <is>
          <t>UBSe 2025-28 EPS CAGR</t>
        </is>
      </c>
      <c r="B20" s="238">
        <f>+(Model!X28/Model!U28)^(1/3)-1</f>
        <v/>
      </c>
      <c r="C20" s="278" t="n"/>
      <c r="D20" s="174" t="n"/>
      <c r="E20" s="174" t="n"/>
      <c r="F20" s="174" t="n"/>
      <c r="G20" s="174" t="n"/>
    </row>
    <row r="21" ht="15.95" customHeight="1">
      <c r="A21" s="409" t="inlineStr">
        <is>
          <t>UBSe 2026-29 EPS CAGR</t>
        </is>
      </c>
      <c r="B21" s="201">
        <f>+(Model!Y28/Model!V28)^(1/3)-1</f>
        <v/>
      </c>
      <c r="C21" s="409" t="n"/>
      <c r="D21" s="432" t="n"/>
    </row>
    <row r="22" ht="15.95" customHeight="1">
      <c r="A22" s="178" t="n"/>
      <c r="L22" s="174" t="inlineStr">
        <is>
          <t> </t>
        </is>
      </c>
    </row>
  </sheetData>
  <pageMargins left="0.7" right="0.7" top="0.75" bottom="0.75" header="0.3" footer="0.3"/>
  <pageSetup orientation="landscape" paperSize="9" scale="1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E165"/>
  <sheetViews>
    <sheetView showGridLines="0" zoomScale="145" zoomScaleNormal="145" workbookViewId="0">
      <pane xSplit="17" ySplit="3" topLeftCell="R4" activePane="bottomRight" state="frozen"/>
      <selection pane="topRight" activeCell="R1" sqref="R1"/>
      <selection pane="bottomLeft" activeCell="A4" sqref="A4"/>
      <selection pane="bottomRight" activeCell="W1" sqref="W1"/>
    </sheetView>
  </sheetViews>
  <sheetFormatPr baseColWidth="8" defaultColWidth="10.28515625" defaultRowHeight="14.25" outlineLevelRow="1"/>
  <cols>
    <col width="33.85546875" bestFit="1" customWidth="1" style="6" min="1" max="1"/>
    <col hidden="1" outlineLevel="1" width="9.7109375" customWidth="1" style="6" min="2" max="17"/>
    <col collapsed="1" width="9.7109375" customWidth="1" style="6" min="18" max="18"/>
    <col width="10.7109375" customWidth="1" style="6" min="19" max="19"/>
    <col width="9.7109375" customWidth="1" style="6" min="20" max="26"/>
    <col width="9.7109375" customWidth="1" style="99" min="27" max="28"/>
    <col width="9.7109375" customWidth="1" style="6" min="29" max="29"/>
    <col width="9.7109375" customWidth="1" style="99" min="30" max="31"/>
    <col width="9.7109375" customWidth="1" style="6" min="32" max="32"/>
    <col hidden="1" outlineLevel="1" width="9.5703125" customWidth="1" style="6" min="33" max="33"/>
    <col hidden="1" outlineLevel="1" width="8.140625" customWidth="1" style="6" min="34" max="57"/>
    <col hidden="1" outlineLevel="1" width="8" customWidth="1" style="6" min="58" max="58"/>
    <col hidden="1" outlineLevel="1" width="8.140625" customWidth="1" style="6" min="59" max="64"/>
    <col collapsed="1" width="9.28515625" customWidth="1" style="6" min="65" max="65"/>
    <col width="8.7109375" bestFit="1" customWidth="1" style="6" min="66" max="66"/>
    <col width="8.85546875" customWidth="1" style="6" min="67" max="67"/>
    <col width="8.7109375" bestFit="1" customWidth="1" style="6" min="68" max="72"/>
    <col width="10.7109375" customWidth="1" style="126" min="73" max="73"/>
    <col width="12.85546875" customWidth="1" style="126" min="74" max="76"/>
    <col width="10.28515625" customWidth="1" style="6" min="77" max="77"/>
    <col hidden="1" outlineLevel="1" width="7.7109375" customWidth="1" style="6" min="78" max="79"/>
    <col hidden="1" outlineLevel="1" width="7.85546875" customWidth="1" style="6" min="80" max="139"/>
    <col hidden="1" outlineLevel="1" width="8.5703125" customWidth="1" style="6" min="140" max="149"/>
    <col collapsed="1" width="8.5703125" customWidth="1" style="6" min="150" max="150"/>
    <col width="8.5703125" customWidth="1" style="6" min="151" max="157"/>
    <col width="10.7109375" customWidth="1" style="6" min="158" max="158"/>
    <col width="12.85546875" customWidth="1" style="6" min="159" max="161"/>
    <col width="10.28515625" customWidth="1" style="6" min="162" max="16384"/>
  </cols>
  <sheetData>
    <row r="1">
      <c r="A1" s="433" t="inlineStr">
        <is>
          <t>Rmb m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  <c r="J1" s="434" t="n"/>
      <c r="K1" s="434" t="n"/>
      <c r="L1" s="434" t="n"/>
      <c r="M1" s="434" t="n"/>
      <c r="N1" s="434" t="n"/>
      <c r="O1" s="434" t="n"/>
      <c r="P1" s="434" t="n"/>
      <c r="Q1" s="434" t="n"/>
      <c r="R1" s="434" t="n"/>
      <c r="S1" s="434" t="n"/>
      <c r="T1" s="434" t="n"/>
      <c r="U1" s="435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436" t="n"/>
      <c r="AG1" s="434" t="n"/>
      <c r="AI1" s="434" t="n"/>
      <c r="AK1" s="434" t="n"/>
      <c r="AM1" s="434" t="n"/>
      <c r="AO1" s="434" t="n"/>
      <c r="AQ1" s="434" t="n"/>
      <c r="AS1" s="434" t="n"/>
      <c r="AU1" s="434" t="n"/>
      <c r="AW1" s="434" t="n"/>
      <c r="AY1" s="434" t="n"/>
      <c r="BA1" s="434" t="n"/>
      <c r="BC1" s="434" t="n"/>
      <c r="BE1" s="434" t="n"/>
      <c r="BG1" s="434" t="n"/>
      <c r="BI1" s="434" t="n"/>
      <c r="BK1" s="434" t="n"/>
      <c r="BM1" s="434" t="n"/>
      <c r="BO1" s="434" t="n"/>
      <c r="BQ1" s="434" t="n"/>
      <c r="BS1" s="434" t="n"/>
      <c r="BU1" s="437" t="inlineStr">
        <is>
          <t>H225</t>
        </is>
      </c>
      <c r="BZ1" s="438" t="n"/>
      <c r="CA1" s="438" t="n"/>
      <c r="CB1" s="438" t="n"/>
      <c r="CC1" s="438" t="n"/>
      <c r="CD1" s="438" t="n"/>
      <c r="CE1" s="438" t="n"/>
      <c r="CF1" s="438" t="n"/>
      <c r="CG1" s="438" t="n"/>
      <c r="CH1" s="438" t="n"/>
      <c r="CI1" s="438" t="n"/>
      <c r="CJ1" s="438" t="n"/>
      <c r="CK1" s="438" t="n"/>
      <c r="CL1" s="438" t="n"/>
      <c r="CM1" s="438" t="n"/>
      <c r="CN1" s="438" t="n"/>
      <c r="CO1" s="438" t="n"/>
      <c r="CP1" s="438" t="n"/>
      <c r="CQ1" s="438" t="n"/>
      <c r="CR1" s="438" t="n"/>
      <c r="CS1" s="438" t="n"/>
      <c r="CT1" s="438" t="n"/>
      <c r="CU1" s="438" t="n"/>
      <c r="CV1" s="438" t="n"/>
      <c r="CW1" s="438" t="n"/>
      <c r="CX1" s="438" t="n"/>
      <c r="CY1" s="438" t="n"/>
      <c r="CZ1" s="438" t="n"/>
      <c r="DA1" s="438" t="n"/>
      <c r="DB1" s="438" t="n"/>
      <c r="DC1" s="438" t="n"/>
      <c r="DD1" s="438" t="n"/>
      <c r="DE1" s="438" t="n"/>
      <c r="DF1" s="438" t="n"/>
      <c r="DG1" s="438" t="n"/>
      <c r="DH1" s="438" t="n"/>
      <c r="DI1" s="438" t="n"/>
      <c r="DJ1" s="438" t="n"/>
      <c r="DK1" s="438" t="n"/>
      <c r="DL1" s="438" t="n"/>
      <c r="DM1" s="438" t="n"/>
      <c r="DN1" s="438" t="n"/>
      <c r="DO1" s="438" t="n"/>
      <c r="DP1" s="438" t="n"/>
      <c r="DQ1" s="438" t="n"/>
      <c r="DR1" s="438" t="n"/>
      <c r="DS1" s="438" t="n"/>
      <c r="DT1" s="438" t="n"/>
      <c r="DU1" s="438" t="n"/>
      <c r="DV1" s="438" t="n"/>
      <c r="DW1" s="438" t="n"/>
      <c r="DX1" s="438" t="n"/>
      <c r="DY1" s="438" t="n"/>
      <c r="DZ1" s="438" t="n"/>
      <c r="EA1" s="438" t="n"/>
      <c r="EB1" s="438" t="n"/>
      <c r="EC1" s="438" t="n"/>
      <c r="ED1" s="438" t="n"/>
      <c r="EE1" s="438" t="n"/>
      <c r="EF1" s="438" t="n"/>
      <c r="EG1" s="438" t="n"/>
      <c r="EH1" s="438" t="n"/>
      <c r="EI1" s="438" t="n"/>
      <c r="EJ1" s="438" t="n"/>
      <c r="EK1" s="438" t="n"/>
      <c r="EL1" s="438" t="n"/>
      <c r="EM1" s="438" t="n"/>
      <c r="EN1" s="438" t="n"/>
      <c r="EO1" s="438" t="n"/>
      <c r="EP1" s="438" t="n"/>
      <c r="EQ1" s="438" t="n"/>
      <c r="ER1" s="438" t="n"/>
      <c r="ES1" s="438" t="n"/>
      <c r="ET1" s="438" t="n"/>
      <c r="EU1" s="438" t="n"/>
      <c r="EV1" s="438" t="inlineStr">
        <is>
          <t> </t>
        </is>
      </c>
      <c r="EW1" s="438" t="n"/>
      <c r="EX1" s="438" t="n"/>
      <c r="EY1" s="438" t="n"/>
      <c r="EZ1" s="438" t="n"/>
      <c r="FA1" s="438" t="n"/>
      <c r="FB1" s="434" t="n"/>
      <c r="FC1" s="434" t="n"/>
      <c r="FD1" s="434" t="n"/>
      <c r="FE1" s="434" t="n"/>
    </row>
    <row r="2">
      <c r="A2" s="96" t="n"/>
      <c r="B2" s="95" t="n">
        <v>2006</v>
      </c>
      <c r="C2" s="95" t="n">
        <v>2007</v>
      </c>
      <c r="D2" s="95" t="n">
        <v>2008</v>
      </c>
      <c r="E2" s="95" t="n">
        <v>2009</v>
      </c>
      <c r="F2" s="95" t="n">
        <v>2010</v>
      </c>
      <c r="G2" s="95" t="n">
        <v>2011</v>
      </c>
      <c r="H2" s="95" t="n">
        <v>2012</v>
      </c>
      <c r="I2" s="95" t="n">
        <v>2013</v>
      </c>
      <c r="J2" s="95" t="n">
        <v>2014</v>
      </c>
      <c r="K2" s="95" t="n">
        <v>2015</v>
      </c>
      <c r="L2" s="95" t="n">
        <v>2016</v>
      </c>
      <c r="M2" s="95" t="n">
        <v>2017</v>
      </c>
      <c r="N2" s="95" t="n">
        <v>2018</v>
      </c>
      <c r="O2" s="95" t="n">
        <v>2019</v>
      </c>
      <c r="P2" s="95" t="n">
        <v>2020</v>
      </c>
      <c r="Q2" s="95">
        <f>P2+1</f>
        <v/>
      </c>
      <c r="R2" s="95">
        <f>Q2+1</f>
        <v/>
      </c>
      <c r="S2" s="95">
        <f>R2+1</f>
        <v/>
      </c>
      <c r="T2" s="95">
        <f>S2+1</f>
        <v/>
      </c>
      <c r="U2" s="439">
        <f>T2+1</f>
        <v/>
      </c>
      <c r="V2" s="439">
        <f>U2+1</f>
        <v/>
      </c>
      <c r="W2" s="439">
        <f>V2+1</f>
        <v/>
      </c>
      <c r="X2" s="439">
        <f>W2+1</f>
        <v/>
      </c>
      <c r="Y2" s="439">
        <f>X2+1</f>
        <v/>
      </c>
      <c r="Z2" s="439">
        <f>Y2+1</f>
        <v/>
      </c>
      <c r="AA2" s="440" t="inlineStr">
        <is>
          <t>Change</t>
        </is>
      </c>
      <c r="AB2" s="440" t="inlineStr">
        <is>
          <t>Change %</t>
        </is>
      </c>
      <c r="AC2" s="440" t="inlineStr">
        <is>
          <t>2025E</t>
        </is>
      </c>
      <c r="AD2" s="440" t="inlineStr">
        <is>
          <t>Difference</t>
        </is>
      </c>
      <c r="AE2" s="440" t="inlineStr">
        <is>
          <t>Diff %</t>
        </is>
      </c>
      <c r="AF2" s="441" t="n"/>
      <c r="AG2" s="442" t="inlineStr">
        <is>
          <t>H106</t>
        </is>
      </c>
      <c r="AH2" s="442" t="inlineStr">
        <is>
          <t>H206</t>
        </is>
      </c>
      <c r="AI2" s="442" t="inlineStr">
        <is>
          <t>H107</t>
        </is>
      </c>
      <c r="AJ2" s="442" t="inlineStr">
        <is>
          <t>H207</t>
        </is>
      </c>
      <c r="AK2" s="442" t="inlineStr">
        <is>
          <t>H108</t>
        </is>
      </c>
      <c r="AL2" s="442" t="inlineStr">
        <is>
          <t>H208</t>
        </is>
      </c>
      <c r="AM2" s="442" t="inlineStr">
        <is>
          <t>H109</t>
        </is>
      </c>
      <c r="AN2" s="442" t="inlineStr">
        <is>
          <t>H209</t>
        </is>
      </c>
      <c r="AO2" s="442" t="inlineStr">
        <is>
          <t>H110</t>
        </is>
      </c>
      <c r="AP2" s="442" t="inlineStr">
        <is>
          <t>H210</t>
        </is>
      </c>
      <c r="AQ2" s="442" t="inlineStr">
        <is>
          <t>H111</t>
        </is>
      </c>
      <c r="AR2" s="442" t="inlineStr">
        <is>
          <t>H211</t>
        </is>
      </c>
      <c r="AS2" s="442" t="inlineStr">
        <is>
          <t>H112</t>
        </is>
      </c>
      <c r="AT2" s="442" t="inlineStr">
        <is>
          <t>H212</t>
        </is>
      </c>
      <c r="AU2" s="442" t="inlineStr">
        <is>
          <t>H113</t>
        </is>
      </c>
      <c r="AV2" s="442" t="inlineStr">
        <is>
          <t>H213</t>
        </is>
      </c>
      <c r="AW2" s="442" t="inlineStr">
        <is>
          <t>H114</t>
        </is>
      </c>
      <c r="AX2" s="442" t="inlineStr">
        <is>
          <t>H214</t>
        </is>
      </c>
      <c r="AY2" s="442" t="inlineStr">
        <is>
          <t>H115</t>
        </is>
      </c>
      <c r="AZ2" s="442" t="inlineStr">
        <is>
          <t>H215</t>
        </is>
      </c>
      <c r="BA2" s="442" t="inlineStr">
        <is>
          <t>H116</t>
        </is>
      </c>
      <c r="BB2" s="442" t="inlineStr">
        <is>
          <t>H216</t>
        </is>
      </c>
      <c r="BC2" s="442" t="inlineStr">
        <is>
          <t>H117</t>
        </is>
      </c>
      <c r="BD2" s="442" t="inlineStr">
        <is>
          <t>H217</t>
        </is>
      </c>
      <c r="BE2" s="442" t="inlineStr">
        <is>
          <t>H118</t>
        </is>
      </c>
      <c r="BF2" s="442" t="inlineStr">
        <is>
          <t>H218</t>
        </is>
      </c>
      <c r="BG2" s="442" t="inlineStr">
        <is>
          <t>H119</t>
        </is>
      </c>
      <c r="BH2" s="442" t="inlineStr">
        <is>
          <t>H219</t>
        </is>
      </c>
      <c r="BI2" s="442" t="inlineStr">
        <is>
          <t>H120</t>
        </is>
      </c>
      <c r="BJ2" s="442" t="inlineStr">
        <is>
          <t>H220</t>
        </is>
      </c>
      <c r="BK2" s="442" t="inlineStr">
        <is>
          <t>H121</t>
        </is>
      </c>
      <c r="BL2" s="442" t="inlineStr">
        <is>
          <t>H221</t>
        </is>
      </c>
      <c r="BM2" s="442" t="inlineStr">
        <is>
          <t>H122</t>
        </is>
      </c>
      <c r="BN2" s="442" t="inlineStr">
        <is>
          <t>H222</t>
        </is>
      </c>
      <c r="BO2" s="442" t="inlineStr">
        <is>
          <t>H123</t>
        </is>
      </c>
      <c r="BP2" s="442" t="inlineStr">
        <is>
          <t>H223</t>
        </is>
      </c>
      <c r="BQ2" s="442" t="inlineStr">
        <is>
          <t>H124</t>
        </is>
      </c>
      <c r="BR2" s="442" t="inlineStr">
        <is>
          <t>H224</t>
        </is>
      </c>
      <c r="BS2" s="442" t="inlineStr">
        <is>
          <t>H125</t>
        </is>
      </c>
      <c r="BT2" s="443" t="inlineStr">
        <is>
          <t>H225E</t>
        </is>
      </c>
      <c r="BU2" s="444" t="inlineStr">
        <is>
          <t>Change</t>
        </is>
      </c>
      <c r="BV2" s="444" t="inlineStr">
        <is>
          <t>Change %</t>
        </is>
      </c>
      <c r="BW2" s="444" t="inlineStr">
        <is>
          <t>% of last year</t>
        </is>
      </c>
      <c r="BX2" s="444" t="inlineStr">
        <is>
          <t>% of FY</t>
        </is>
      </c>
      <c r="BZ2" s="91" t="inlineStr">
        <is>
          <t>Q106</t>
        </is>
      </c>
      <c r="CA2" s="91" t="inlineStr">
        <is>
          <t>Q206</t>
        </is>
      </c>
      <c r="CB2" s="91" t="inlineStr">
        <is>
          <t>Q306</t>
        </is>
      </c>
      <c r="CC2" s="91" t="inlineStr">
        <is>
          <t>Q406</t>
        </is>
      </c>
      <c r="CD2" s="91" t="inlineStr">
        <is>
          <t>Q107</t>
        </is>
      </c>
      <c r="CE2" s="91" t="inlineStr">
        <is>
          <t>Q207</t>
        </is>
      </c>
      <c r="CF2" s="91" t="inlineStr">
        <is>
          <t>Q307</t>
        </is>
      </c>
      <c r="CG2" s="91" t="inlineStr">
        <is>
          <t>Q407</t>
        </is>
      </c>
      <c r="CH2" s="91" t="inlineStr">
        <is>
          <t>Q108</t>
        </is>
      </c>
      <c r="CI2" s="91" t="inlineStr">
        <is>
          <t>Q208</t>
        </is>
      </c>
      <c r="CJ2" s="91" t="inlineStr">
        <is>
          <t>Q308</t>
        </is>
      </c>
      <c r="CK2" s="91" t="inlineStr">
        <is>
          <t>Q408</t>
        </is>
      </c>
      <c r="CL2" s="91" t="inlineStr">
        <is>
          <t>Q109</t>
        </is>
      </c>
      <c r="CM2" s="91" t="inlineStr">
        <is>
          <t>Q209</t>
        </is>
      </c>
      <c r="CN2" s="91" t="inlineStr">
        <is>
          <t>Q309</t>
        </is>
      </c>
      <c r="CO2" s="91" t="inlineStr">
        <is>
          <t>Q409</t>
        </is>
      </c>
      <c r="CP2" s="91" t="inlineStr">
        <is>
          <t>Q110</t>
        </is>
      </c>
      <c r="CQ2" s="91" t="inlineStr">
        <is>
          <t>Q210</t>
        </is>
      </c>
      <c r="CR2" s="91" t="inlineStr">
        <is>
          <t>Q310</t>
        </is>
      </c>
      <c r="CS2" s="91" t="inlineStr">
        <is>
          <t>Q410</t>
        </is>
      </c>
      <c r="CT2" s="91" t="inlineStr">
        <is>
          <t>Q111</t>
        </is>
      </c>
      <c r="CU2" s="91" t="inlineStr">
        <is>
          <t>Q211</t>
        </is>
      </c>
      <c r="CV2" s="91" t="inlineStr">
        <is>
          <t>Q311</t>
        </is>
      </c>
      <c r="CW2" s="91" t="inlineStr">
        <is>
          <t>Q411</t>
        </is>
      </c>
      <c r="CX2" s="91" t="inlineStr">
        <is>
          <t>Q112</t>
        </is>
      </c>
      <c r="CY2" s="91" t="inlineStr">
        <is>
          <t>Q212</t>
        </is>
      </c>
      <c r="CZ2" s="91" t="inlineStr">
        <is>
          <t>Q312</t>
        </is>
      </c>
      <c r="DA2" s="91" t="inlineStr">
        <is>
          <t>Q412</t>
        </is>
      </c>
      <c r="DB2" s="91" t="inlineStr">
        <is>
          <t>Q113</t>
        </is>
      </c>
      <c r="DC2" s="91" t="inlineStr">
        <is>
          <t>Q213</t>
        </is>
      </c>
      <c r="DD2" s="91" t="inlineStr">
        <is>
          <t>Q313</t>
        </is>
      </c>
      <c r="DE2" s="91" t="inlineStr">
        <is>
          <t>Q413</t>
        </is>
      </c>
      <c r="DF2" s="91" t="inlineStr">
        <is>
          <t>Q114</t>
        </is>
      </c>
      <c r="DG2" s="91" t="inlineStr">
        <is>
          <t>Q214</t>
        </is>
      </c>
      <c r="DH2" s="91" t="inlineStr">
        <is>
          <t>Q314</t>
        </is>
      </c>
      <c r="DI2" s="91" t="inlineStr">
        <is>
          <t>Q414</t>
        </is>
      </c>
      <c r="DJ2" s="91" t="inlineStr">
        <is>
          <t>Q115</t>
        </is>
      </c>
      <c r="DK2" s="91" t="inlineStr">
        <is>
          <t>Q215</t>
        </is>
      </c>
      <c r="DL2" s="91" t="inlineStr">
        <is>
          <t>Q315</t>
        </is>
      </c>
      <c r="DM2" s="91" t="inlineStr">
        <is>
          <t>Q415</t>
        </is>
      </c>
      <c r="DN2" s="91" t="inlineStr">
        <is>
          <t>Q116</t>
        </is>
      </c>
      <c r="DO2" s="91" t="inlineStr">
        <is>
          <t>Q216</t>
        </is>
      </c>
      <c r="DP2" s="91" t="inlineStr">
        <is>
          <t>Q316</t>
        </is>
      </c>
      <c r="DQ2" s="91" t="inlineStr">
        <is>
          <t>Q416</t>
        </is>
      </c>
      <c r="DR2" s="91" t="inlineStr">
        <is>
          <t>Q117</t>
        </is>
      </c>
      <c r="DS2" s="91" t="inlineStr">
        <is>
          <t>Q217</t>
        </is>
      </c>
      <c r="DT2" s="91" t="inlineStr">
        <is>
          <t>Q317</t>
        </is>
      </c>
      <c r="DU2" s="91" t="inlineStr">
        <is>
          <t>Q417</t>
        </is>
      </c>
      <c r="DV2" s="91" t="inlineStr">
        <is>
          <t>Q118</t>
        </is>
      </c>
      <c r="DW2" s="91" t="inlineStr">
        <is>
          <t>Q218</t>
        </is>
      </c>
      <c r="DX2" s="91" t="inlineStr">
        <is>
          <t>Q318</t>
        </is>
      </c>
      <c r="DY2" s="91" t="inlineStr">
        <is>
          <t>Q418</t>
        </is>
      </c>
      <c r="DZ2" s="91" t="inlineStr">
        <is>
          <t>Q119</t>
        </is>
      </c>
      <c r="EA2" s="91" t="inlineStr">
        <is>
          <t>Q219</t>
        </is>
      </c>
      <c r="EB2" s="91" t="inlineStr">
        <is>
          <t>Q319</t>
        </is>
      </c>
      <c r="EC2" s="91" t="inlineStr">
        <is>
          <t>Q419</t>
        </is>
      </c>
      <c r="ED2" s="91" t="inlineStr">
        <is>
          <t>Q120</t>
        </is>
      </c>
      <c r="EE2" s="91" t="inlineStr">
        <is>
          <t>Q220</t>
        </is>
      </c>
      <c r="EF2" s="91" t="inlineStr">
        <is>
          <t>Q320</t>
        </is>
      </c>
      <c r="EG2" s="91" t="inlineStr">
        <is>
          <t>Q420</t>
        </is>
      </c>
      <c r="EH2" s="91" t="inlineStr">
        <is>
          <t>Q121</t>
        </is>
      </c>
      <c r="EI2" s="91" t="inlineStr">
        <is>
          <t>Q221</t>
        </is>
      </c>
      <c r="EJ2" s="91" t="inlineStr">
        <is>
          <t>Q321</t>
        </is>
      </c>
      <c r="EK2" s="91" t="inlineStr">
        <is>
          <t>Q421</t>
        </is>
      </c>
      <c r="EL2" s="91" t="inlineStr">
        <is>
          <t>Q122</t>
        </is>
      </c>
      <c r="EM2" s="91" t="inlineStr">
        <is>
          <t>Q222</t>
        </is>
      </c>
      <c r="EN2" s="91" t="inlineStr">
        <is>
          <t>Q322</t>
        </is>
      </c>
      <c r="EO2" s="91" t="inlineStr">
        <is>
          <t>Q422</t>
        </is>
      </c>
      <c r="EP2" s="91" t="inlineStr">
        <is>
          <t>Q123</t>
        </is>
      </c>
      <c r="EQ2" s="91" t="inlineStr">
        <is>
          <t>Q223</t>
        </is>
      </c>
      <c r="ER2" s="91" t="inlineStr">
        <is>
          <t>Q323</t>
        </is>
      </c>
      <c r="ES2" s="91" t="inlineStr">
        <is>
          <t>Q423</t>
        </is>
      </c>
      <c r="ET2" s="91" t="inlineStr">
        <is>
          <t>Q124</t>
        </is>
      </c>
      <c r="EU2" s="91" t="inlineStr">
        <is>
          <t>Q224</t>
        </is>
      </c>
      <c r="EV2" s="91" t="inlineStr">
        <is>
          <t>Q324</t>
        </is>
      </c>
      <c r="EW2" s="91" t="inlineStr">
        <is>
          <t>Q424</t>
        </is>
      </c>
      <c r="EX2" s="91" t="inlineStr">
        <is>
          <t>Q125</t>
        </is>
      </c>
      <c r="EY2" s="91" t="inlineStr">
        <is>
          <t>Q225</t>
        </is>
      </c>
      <c r="EZ2" s="91" t="inlineStr">
        <is>
          <t>Q325</t>
        </is>
      </c>
      <c r="FA2" s="91" t="inlineStr">
        <is>
          <t>Q425</t>
        </is>
      </c>
      <c r="FB2" s="442" t="inlineStr">
        <is>
          <t>Change</t>
        </is>
      </c>
      <c r="FC2" s="442" t="inlineStr">
        <is>
          <t>Change %</t>
        </is>
      </c>
      <c r="FD2" s="442" t="inlineStr">
        <is>
          <t>% of FY24</t>
        </is>
      </c>
      <c r="FE2" s="442" t="inlineStr">
        <is>
          <t>% of FY25</t>
        </is>
      </c>
    </row>
    <row r="3" ht="14.25" customHeight="1">
      <c r="A3" s="31" t="inlineStr">
        <is>
          <t>P&amp;L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9" t="n"/>
      <c r="AF3" s="30" t="n"/>
      <c r="AG3" s="29" t="n"/>
      <c r="AH3" s="29" t="n"/>
      <c r="AI3" s="29" t="n"/>
      <c r="AJ3" s="29" t="n"/>
      <c r="AK3" s="29" t="n"/>
      <c r="AL3" s="29" t="n"/>
      <c r="AM3" s="29" t="n"/>
      <c r="AN3" s="29" t="n"/>
      <c r="AO3" s="29" t="n"/>
      <c r="AP3" s="29" t="n"/>
      <c r="AQ3" s="29" t="n"/>
      <c r="AR3" s="29" t="n"/>
      <c r="AS3" s="29" t="n"/>
      <c r="AT3" s="29" t="n"/>
      <c r="AU3" s="29" t="n"/>
      <c r="AV3" s="29" t="n"/>
      <c r="AW3" s="29" t="n"/>
      <c r="AX3" s="29" t="n"/>
      <c r="AY3" s="29" t="n"/>
      <c r="AZ3" s="29" t="n"/>
      <c r="BA3" s="29" t="n"/>
      <c r="BB3" s="29" t="n"/>
      <c r="BC3" s="29" t="n"/>
      <c r="BD3" s="29" t="n"/>
      <c r="BE3" s="29" t="n"/>
      <c r="BF3" s="29" t="n"/>
      <c r="BG3" s="29" t="n"/>
      <c r="BH3" s="29" t="n"/>
      <c r="BI3" s="29" t="n"/>
      <c r="BJ3" s="29" t="n"/>
      <c r="BK3" s="29" t="n"/>
      <c r="BL3" s="29" t="n"/>
      <c r="BM3" s="29" t="n"/>
      <c r="BN3" s="29" t="n"/>
      <c r="BO3" s="29" t="n"/>
      <c r="BP3" s="29" t="n"/>
      <c r="BQ3" s="29" t="n"/>
      <c r="BR3" s="29" t="n"/>
      <c r="BS3" s="29" t="n"/>
      <c r="BT3" s="29" t="n"/>
      <c r="BU3" s="298" t="n"/>
      <c r="BV3" s="298" t="n"/>
      <c r="BW3" s="298" t="n"/>
      <c r="BX3" s="298" t="n"/>
      <c r="BZ3" s="29" t="n"/>
      <c r="CA3" s="29" t="n"/>
      <c r="CB3" s="29" t="n"/>
      <c r="CC3" s="29" t="n"/>
      <c r="CD3" s="29" t="n"/>
      <c r="CE3" s="29" t="n"/>
      <c r="CF3" s="29" t="n"/>
      <c r="CG3" s="29" t="n"/>
      <c r="CH3" s="29" t="n"/>
      <c r="CI3" s="29" t="n"/>
      <c r="CJ3" s="29" t="n"/>
      <c r="CK3" s="29" t="n"/>
      <c r="CL3" s="29" t="n"/>
      <c r="CM3" s="29" t="n"/>
      <c r="CN3" s="29" t="n"/>
      <c r="CO3" s="29" t="n"/>
      <c r="CP3" s="29" t="n"/>
      <c r="CQ3" s="29" t="n"/>
      <c r="CR3" s="29" t="n"/>
      <c r="CS3" s="29" t="n"/>
      <c r="CT3" s="29" t="n"/>
      <c r="CU3" s="29" t="n"/>
      <c r="CV3" s="29" t="n"/>
      <c r="CW3" s="29" t="n"/>
      <c r="CX3" s="29" t="n"/>
      <c r="CY3" s="29" t="n"/>
      <c r="CZ3" s="29" t="n"/>
      <c r="DA3" s="29" t="n"/>
      <c r="DB3" s="29" t="n"/>
      <c r="DC3" s="29" t="n"/>
      <c r="DD3" s="29" t="n"/>
      <c r="DE3" s="29" t="n"/>
      <c r="DF3" s="29" t="n"/>
      <c r="DG3" s="29" t="n"/>
      <c r="DH3" s="29" t="n"/>
      <c r="DI3" s="29" t="n"/>
      <c r="DJ3" s="29" t="n"/>
      <c r="DK3" s="29" t="n"/>
      <c r="DL3" s="29" t="n"/>
      <c r="DM3" s="29" t="n"/>
      <c r="DN3" s="29" t="n"/>
      <c r="DO3" s="29" t="n"/>
      <c r="DP3" s="29" t="n"/>
      <c r="DQ3" s="29" t="n"/>
      <c r="DR3" s="29" t="n"/>
      <c r="DS3" s="29" t="n"/>
      <c r="DT3" s="29" t="n"/>
      <c r="DU3" s="29" t="n"/>
      <c r="DV3" s="29" t="n"/>
      <c r="DW3" s="29" t="n"/>
      <c r="DX3" s="29" t="n"/>
      <c r="DY3" s="29" t="n"/>
      <c r="DZ3" s="29" t="n"/>
      <c r="EA3" s="29" t="n"/>
      <c r="EB3" s="29" t="n"/>
      <c r="EC3" s="29" t="n"/>
      <c r="ED3" s="29" t="n"/>
      <c r="EE3" s="29" t="n"/>
      <c r="EF3" s="29" t="n"/>
      <c r="EG3" s="29" t="n"/>
      <c r="EH3" s="29" t="n"/>
      <c r="EI3" s="29" t="n"/>
      <c r="EJ3" s="29" t="n"/>
      <c r="EK3" s="29" t="n"/>
      <c r="EL3" s="29" t="n"/>
      <c r="EM3" s="29" t="n"/>
      <c r="EN3" s="29" t="n"/>
      <c r="EO3" s="29" t="n"/>
      <c r="EP3" s="29" t="n"/>
      <c r="EQ3" s="29" t="n"/>
      <c r="ER3" s="29" t="n"/>
      <c r="ES3" s="29" t="n"/>
      <c r="ET3" s="29" t="n"/>
      <c r="EU3" s="29" t="n"/>
      <c r="EV3" s="29" t="n"/>
      <c r="EW3" s="29" t="n"/>
      <c r="EX3" s="29" t="n"/>
      <c r="EY3" s="29" t="n"/>
      <c r="EZ3" s="29" t="n"/>
      <c r="FA3" s="29" t="n"/>
      <c r="FB3" s="29" t="n"/>
      <c r="FC3" s="29" t="n"/>
      <c r="FD3" s="29" t="n"/>
      <c r="FE3" s="29" t="n"/>
    </row>
    <row r="4">
      <c r="A4" s="433" t="inlineStr">
        <is>
          <t>Revenue</t>
        </is>
      </c>
      <c r="B4" s="436">
        <f>'Raw financials'!B4</f>
        <v/>
      </c>
      <c r="C4" s="436">
        <f>'Raw financials'!C4</f>
        <v/>
      </c>
      <c r="D4" s="436">
        <f>'Raw financials'!D4</f>
        <v/>
      </c>
      <c r="E4" s="436">
        <f>'Raw financials'!E4</f>
        <v/>
      </c>
      <c r="F4" s="436">
        <f>'Raw financials'!F4</f>
        <v/>
      </c>
      <c r="G4" s="436">
        <f>'Raw financials'!G4</f>
        <v/>
      </c>
      <c r="H4" s="436">
        <f>'Raw financials'!H4</f>
        <v/>
      </c>
      <c r="I4" s="436">
        <f>'Raw financials'!I4</f>
        <v/>
      </c>
      <c r="J4" s="436">
        <f>'Raw financials'!J4</f>
        <v/>
      </c>
      <c r="K4" s="436">
        <f>'Raw financials'!K4</f>
        <v/>
      </c>
      <c r="L4" s="436">
        <f>'Raw financials'!L4</f>
        <v/>
      </c>
      <c r="M4" s="436">
        <f>'Raw financials'!M4</f>
        <v/>
      </c>
      <c r="N4" s="436">
        <f>'Raw financials'!N4</f>
        <v/>
      </c>
      <c r="O4" s="436">
        <f>'Raw financials'!O4</f>
        <v/>
      </c>
      <c r="P4" s="436">
        <f>'Raw financials'!P4</f>
        <v/>
      </c>
      <c r="Q4" s="436">
        <f>'Raw financials'!Q4</f>
        <v/>
      </c>
      <c r="R4" s="436">
        <f>'Raw financials'!R4</f>
        <v/>
      </c>
      <c r="S4" s="436">
        <f>'Raw financials'!S4</f>
        <v/>
      </c>
      <c r="T4" s="436">
        <f>'Raw financials'!T4</f>
        <v/>
      </c>
      <c r="U4" s="436">
        <f>Driver!J14</f>
        <v/>
      </c>
      <c r="V4" s="436">
        <f>Driver!K14</f>
        <v/>
      </c>
      <c r="W4" s="436">
        <f>Driver!L14</f>
        <v/>
      </c>
      <c r="X4" s="436">
        <f>Driver!M14</f>
        <v/>
      </c>
      <c r="Y4" s="436">
        <f>Driver!N14</f>
        <v/>
      </c>
      <c r="Z4" s="436">
        <f>Driver!O14</f>
        <v/>
      </c>
      <c r="AA4" s="445">
        <f>+U4-T4</f>
        <v/>
      </c>
      <c r="AB4" s="371">
        <f>+AA4/T4</f>
        <v/>
      </c>
      <c r="AC4" s="436" t="n">
        <v>81355.39794077734</v>
      </c>
      <c r="AD4" s="445">
        <f>+U4-AC4</f>
        <v/>
      </c>
      <c r="AE4" s="371">
        <f>+AD4/AC4</f>
        <v/>
      </c>
      <c r="AF4" s="169" t="n"/>
      <c r="AG4" s="436">
        <f>'Raw financials'!AA4</f>
        <v/>
      </c>
      <c r="AH4" s="436">
        <f>B4-AG4</f>
        <v/>
      </c>
      <c r="AI4" s="436">
        <f>'Raw financials'!AB4</f>
        <v/>
      </c>
      <c r="AJ4" s="436">
        <f>C4-AI4</f>
        <v/>
      </c>
      <c r="AK4" s="436">
        <f>'Raw financials'!AC4</f>
        <v/>
      </c>
      <c r="AL4" s="436">
        <f>D4-AK4</f>
        <v/>
      </c>
      <c r="AM4" s="436">
        <f>'Raw financials'!AD4</f>
        <v/>
      </c>
      <c r="AN4" s="436">
        <f>E4-AM4</f>
        <v/>
      </c>
      <c r="AO4" s="436">
        <f>'Raw financials'!AE4</f>
        <v/>
      </c>
      <c r="AP4" s="436">
        <f>F4-AO4</f>
        <v/>
      </c>
      <c r="AQ4" s="436">
        <f>'Raw financials'!AF4</f>
        <v/>
      </c>
      <c r="AR4" s="436">
        <f>G4-AQ4</f>
        <v/>
      </c>
      <c r="AS4" s="436">
        <f>'Raw financials'!AG4</f>
        <v/>
      </c>
      <c r="AT4" s="436">
        <f>H4-AS4</f>
        <v/>
      </c>
      <c r="AU4" s="436">
        <f>'Raw financials'!AH4</f>
        <v/>
      </c>
      <c r="AV4" s="436">
        <f>I4-AU4</f>
        <v/>
      </c>
      <c r="AW4" s="436">
        <f>'Raw financials'!AI4</f>
        <v/>
      </c>
      <c r="AX4" s="436">
        <f>J4-AW4</f>
        <v/>
      </c>
      <c r="AY4" s="436">
        <f>'Raw financials'!AJ4</f>
        <v/>
      </c>
      <c r="AZ4" s="436">
        <f>K4-AY4</f>
        <v/>
      </c>
      <c r="BA4" s="436">
        <f>'Raw financials'!AK4</f>
        <v/>
      </c>
      <c r="BB4" s="436">
        <f>L4-BA4</f>
        <v/>
      </c>
      <c r="BC4" s="436">
        <f>'Raw financials'!AL4</f>
        <v/>
      </c>
      <c r="BD4" s="436">
        <f>M4-BC4</f>
        <v/>
      </c>
      <c r="BE4" s="436">
        <f>'Raw financials'!AM4</f>
        <v/>
      </c>
      <c r="BF4" s="436">
        <f>N4-BE4</f>
        <v/>
      </c>
      <c r="BG4" s="436">
        <f>'Raw financials'!AN4</f>
        <v/>
      </c>
      <c r="BH4" s="436">
        <f>O4-BG4</f>
        <v/>
      </c>
      <c r="BI4" s="436">
        <f>'Raw financials'!AO4</f>
        <v/>
      </c>
      <c r="BJ4" s="436">
        <f>P4-BI4</f>
        <v/>
      </c>
      <c r="BK4" s="436">
        <f>'Raw financials'!AP4</f>
        <v/>
      </c>
      <c r="BL4" s="436">
        <f>Q4-BK4</f>
        <v/>
      </c>
      <c r="BM4" s="436">
        <f>'Raw financials'!AQ4</f>
        <v/>
      </c>
      <c r="BN4" s="436">
        <f>R4-BM4</f>
        <v/>
      </c>
      <c r="BO4" s="436">
        <f>'Raw financials'!AR4</f>
        <v/>
      </c>
      <c r="BP4" s="436">
        <f>S4-BO4</f>
        <v/>
      </c>
      <c r="BQ4" s="436">
        <f>'Raw financials'!AS4</f>
        <v/>
      </c>
      <c r="BR4" s="436">
        <f>T4-BQ4</f>
        <v/>
      </c>
      <c r="BS4" s="436" t="n"/>
      <c r="BT4" s="436">
        <f>U4-BS4</f>
        <v/>
      </c>
      <c r="BU4" s="446">
        <f>BT4-BR4</f>
        <v/>
      </c>
      <c r="BV4" s="381">
        <f>BU4/BR4</f>
        <v/>
      </c>
      <c r="BW4" s="381">
        <f>BT4/T4</f>
        <v/>
      </c>
      <c r="BX4" s="381">
        <f>BT4/U4</f>
        <v/>
      </c>
      <c r="BY4" s="447" t="n"/>
      <c r="BZ4" s="436">
        <f>'Raw financials'!BN4</f>
        <v/>
      </c>
      <c r="CA4" s="436">
        <f>'Raw financials'!BO4</f>
        <v/>
      </c>
      <c r="CB4" s="436">
        <f>'Raw financials'!BP4</f>
        <v/>
      </c>
      <c r="CC4" s="436">
        <f>'Raw financials'!BQ4</f>
        <v/>
      </c>
      <c r="CD4" s="436">
        <f>'Raw financials'!BR4</f>
        <v/>
      </c>
      <c r="CE4" s="436">
        <f>'Raw financials'!BS4</f>
        <v/>
      </c>
      <c r="CF4" s="436">
        <f>'Raw financials'!BT4</f>
        <v/>
      </c>
      <c r="CG4" s="436">
        <f>'Raw financials'!BU4</f>
        <v/>
      </c>
      <c r="CH4" s="436">
        <f>'Raw financials'!BV4</f>
        <v/>
      </c>
      <c r="CI4" s="436">
        <f>'Raw financials'!BW4</f>
        <v/>
      </c>
      <c r="CJ4" s="436">
        <f>'Raw financials'!BX4</f>
        <v/>
      </c>
      <c r="CK4" s="436">
        <f>'Raw financials'!BY4</f>
        <v/>
      </c>
      <c r="CL4" s="436">
        <f>'Raw financials'!BZ4</f>
        <v/>
      </c>
      <c r="CM4" s="436">
        <f>'Raw financials'!CA4</f>
        <v/>
      </c>
      <c r="CN4" s="436">
        <f>'Raw financials'!CB4</f>
        <v/>
      </c>
      <c r="CO4" s="436">
        <f>'Raw financials'!CC4</f>
        <v/>
      </c>
      <c r="CP4" s="436">
        <f>'Raw financials'!CD4</f>
        <v/>
      </c>
      <c r="CQ4" s="436">
        <f>'Raw financials'!CE4</f>
        <v/>
      </c>
      <c r="CR4" s="436">
        <f>'Raw financials'!CF4</f>
        <v/>
      </c>
      <c r="CS4" s="436">
        <f>'Raw financials'!CG4</f>
        <v/>
      </c>
      <c r="CT4" s="436">
        <f>'Raw financials'!CH4</f>
        <v/>
      </c>
      <c r="CU4" s="436">
        <f>'Raw financials'!CI4</f>
        <v/>
      </c>
      <c r="CV4" s="436">
        <f>'Raw financials'!CJ4</f>
        <v/>
      </c>
      <c r="CW4" s="436">
        <f>'Raw financials'!CK4</f>
        <v/>
      </c>
      <c r="CX4" s="436">
        <f>'Raw financials'!CL4</f>
        <v/>
      </c>
      <c r="CY4" s="436">
        <f>'Raw financials'!CM4</f>
        <v/>
      </c>
      <c r="CZ4" s="436">
        <f>'Raw financials'!CN4</f>
        <v/>
      </c>
      <c r="DA4" s="436">
        <f>'Raw financials'!CO4</f>
        <v/>
      </c>
      <c r="DB4" s="436">
        <f>'Raw financials'!CP4</f>
        <v/>
      </c>
      <c r="DC4" s="436">
        <f>'Raw financials'!CQ4</f>
        <v/>
      </c>
      <c r="DD4" s="436">
        <f>'Raw financials'!CR4</f>
        <v/>
      </c>
      <c r="DE4" s="436">
        <f>'Raw financials'!CS4</f>
        <v/>
      </c>
      <c r="DF4" s="436">
        <f>'Raw financials'!CT4</f>
        <v/>
      </c>
      <c r="DG4" s="436">
        <f>'Raw financials'!CU4</f>
        <v/>
      </c>
      <c r="DH4" s="436">
        <f>'Raw financials'!CV4</f>
        <v/>
      </c>
      <c r="DI4" s="436">
        <f>'Raw financials'!CW4</f>
        <v/>
      </c>
      <c r="DJ4" s="436">
        <f>'Raw financials'!CX4</f>
        <v/>
      </c>
      <c r="DK4" s="436">
        <f>'Raw financials'!CY4</f>
        <v/>
      </c>
      <c r="DL4" s="436">
        <f>'Raw financials'!CZ4</f>
        <v/>
      </c>
      <c r="DM4" s="436">
        <f>'Raw financials'!DA4</f>
        <v/>
      </c>
      <c r="DN4" s="436">
        <f>'Raw financials'!DB4</f>
        <v/>
      </c>
      <c r="DO4" s="436">
        <f>'Raw financials'!DC4</f>
        <v/>
      </c>
      <c r="DP4" s="436">
        <f>'Raw financials'!DD4</f>
        <v/>
      </c>
      <c r="DQ4" s="436">
        <f>'Raw financials'!DE4</f>
        <v/>
      </c>
      <c r="DR4" s="436">
        <f>'Raw financials'!DF4</f>
        <v/>
      </c>
      <c r="DS4" s="436">
        <f>'Raw financials'!DG4</f>
        <v/>
      </c>
      <c r="DT4" s="436">
        <f>'Raw financials'!DH4</f>
        <v/>
      </c>
      <c r="DU4" s="436">
        <f>'Raw financials'!DI4</f>
        <v/>
      </c>
      <c r="DV4" s="436">
        <f>'Raw financials'!DJ4</f>
        <v/>
      </c>
      <c r="DW4" s="436">
        <f>'Raw financials'!DK4</f>
        <v/>
      </c>
      <c r="DX4" s="436">
        <f>'Raw financials'!DL4</f>
        <v/>
      </c>
      <c r="DY4" s="436">
        <f>'Raw financials'!DM4</f>
        <v/>
      </c>
      <c r="DZ4" s="436">
        <f>'Raw financials'!DN4</f>
        <v/>
      </c>
      <c r="EA4" s="436">
        <f>'Raw financials'!DO4</f>
        <v/>
      </c>
      <c r="EB4" s="436">
        <f>'Raw financials'!DP4</f>
        <v/>
      </c>
      <c r="EC4" s="436">
        <f>'Raw financials'!DQ4</f>
        <v/>
      </c>
      <c r="ED4" s="436">
        <f>'Raw financials'!DR4</f>
        <v/>
      </c>
      <c r="EE4" s="436">
        <f>'Raw financials'!DS4</f>
        <v/>
      </c>
      <c r="EF4" s="436">
        <f>'Raw financials'!DT4</f>
        <v/>
      </c>
      <c r="EG4" s="436">
        <f>'Raw financials'!DU4</f>
        <v/>
      </c>
      <c r="EH4" s="436">
        <f>'Raw financials'!DV4</f>
        <v/>
      </c>
      <c r="EI4" s="436">
        <f>'Raw financials'!DW4</f>
        <v/>
      </c>
      <c r="EJ4" s="436">
        <f>'Raw financials'!DX4</f>
        <v/>
      </c>
      <c r="EK4" s="436">
        <f>'Raw financials'!DY4</f>
        <v/>
      </c>
      <c r="EL4" s="436">
        <f>'Raw financials'!DZ4</f>
        <v/>
      </c>
      <c r="EM4" s="436">
        <f>'Raw financials'!EA4</f>
        <v/>
      </c>
      <c r="EN4" s="436">
        <f>'Raw financials'!EB4</f>
        <v/>
      </c>
      <c r="EO4" s="436">
        <f>'Raw financials'!EC4</f>
        <v/>
      </c>
      <c r="EP4" s="436">
        <f>'Raw financials'!ED4</f>
        <v/>
      </c>
      <c r="EQ4" s="436">
        <f>'Raw financials'!EE4</f>
        <v/>
      </c>
      <c r="ER4" s="436">
        <f>'Raw financials'!EF4</f>
        <v/>
      </c>
      <c r="ES4" s="436">
        <f>'Raw financials'!EG4</f>
        <v/>
      </c>
      <c r="ET4" s="436">
        <f>'Raw financials'!EH4</f>
        <v/>
      </c>
      <c r="EU4" s="436">
        <f>'Raw financials'!EI4</f>
        <v/>
      </c>
      <c r="EV4" s="436">
        <f>'Raw financials'!EJ4</f>
        <v/>
      </c>
      <c r="EW4" s="436">
        <f>'Raw financials'!EK4</f>
        <v/>
      </c>
      <c r="EX4" s="436">
        <f>'Raw financials'!EL4</f>
        <v/>
      </c>
      <c r="EY4" s="436">
        <f>'Raw financials'!EM4</f>
        <v/>
      </c>
      <c r="EZ4" s="448" t="n"/>
      <c r="FA4" s="448" t="n"/>
      <c r="FB4" s="446">
        <f>+FA4-EW4</f>
        <v/>
      </c>
      <c r="FC4" s="381">
        <f>+FB4/EW4</f>
        <v/>
      </c>
      <c r="FD4" s="381">
        <f>+FA4/T4</f>
        <v/>
      </c>
      <c r="FE4" s="381">
        <f>+FA4/U4</f>
        <v/>
      </c>
    </row>
    <row r="5">
      <c r="A5" s="449" t="inlineStr">
        <is>
          <t>YoY</t>
        </is>
      </c>
      <c r="B5" s="67" t="n"/>
      <c r="C5" s="67" t="n"/>
      <c r="D5" s="67">
        <f>D4/C4-1</f>
        <v/>
      </c>
      <c r="E5" s="67">
        <f>E4/D4-1</f>
        <v/>
      </c>
      <c r="F5" s="67">
        <f>F4/E4-1</f>
        <v/>
      </c>
      <c r="G5" s="67">
        <f>G4/F4-1</f>
        <v/>
      </c>
      <c r="H5" s="67">
        <f>H4/G4-1</f>
        <v/>
      </c>
      <c r="I5" s="67">
        <f>I4/H4-1</f>
        <v/>
      </c>
      <c r="J5" s="67">
        <f>J4/I4-1</f>
        <v/>
      </c>
      <c r="K5" s="67">
        <f>K4/J4-1</f>
        <v/>
      </c>
      <c r="L5" s="67">
        <f>L4/K4-1</f>
        <v/>
      </c>
      <c r="M5" s="67">
        <f>M4/L4-1</f>
        <v/>
      </c>
      <c r="N5" s="67">
        <f>N4/M4-1</f>
        <v/>
      </c>
      <c r="O5" s="67">
        <f>O4/N4-1</f>
        <v/>
      </c>
      <c r="P5" s="67">
        <f>P4/O4-1</f>
        <v/>
      </c>
      <c r="Q5" s="67">
        <f>Q4/P4-1</f>
        <v/>
      </c>
      <c r="R5" s="67">
        <f>R4/Q4-1</f>
        <v/>
      </c>
      <c r="S5" s="67">
        <f>S4/R4-1</f>
        <v/>
      </c>
      <c r="T5" s="67">
        <f>T4/S4-1</f>
        <v/>
      </c>
      <c r="U5" s="67">
        <f>U4/T4-1</f>
        <v/>
      </c>
      <c r="V5" s="67">
        <f>V4/U4-1</f>
        <v/>
      </c>
      <c r="W5" s="67">
        <f>W4/V4-1</f>
        <v/>
      </c>
      <c r="X5" s="67">
        <f>X4/W4-1</f>
        <v/>
      </c>
      <c r="Y5" s="67">
        <f>Y4/X4-1</f>
        <v/>
      </c>
      <c r="Z5" s="67">
        <f>Z4/Y4-1</f>
        <v/>
      </c>
      <c r="AA5" s="349" t="n"/>
      <c r="AB5" s="348" t="n"/>
      <c r="AC5" s="67" t="n"/>
      <c r="AD5" s="349" t="n"/>
      <c r="AE5" s="348" t="n"/>
      <c r="AF5" s="87" t="n"/>
      <c r="AG5" s="67" t="n"/>
      <c r="AH5" s="67" t="n"/>
      <c r="AI5" s="67" t="n"/>
      <c r="AJ5" s="67" t="n"/>
      <c r="AK5" s="67" t="n"/>
      <c r="AL5" s="67" t="n"/>
      <c r="AM5" s="67" t="n"/>
      <c r="AN5" s="67" t="n"/>
      <c r="AO5" s="67" t="n"/>
      <c r="AP5" s="67" t="n"/>
      <c r="AQ5" s="67" t="n"/>
      <c r="AR5" s="67" t="n"/>
      <c r="AS5" s="67" t="n"/>
      <c r="AT5" s="67" t="n"/>
      <c r="AU5" s="67" t="n"/>
      <c r="AV5" s="67" t="n"/>
      <c r="AW5" s="67" t="n"/>
      <c r="AX5" s="67" t="n"/>
      <c r="AY5" s="67" t="n"/>
      <c r="AZ5" s="67" t="n"/>
      <c r="BA5" s="67" t="n"/>
      <c r="BB5" s="67" t="n"/>
      <c r="BC5" s="67" t="n"/>
      <c r="BD5" s="67" t="n"/>
      <c r="BE5" s="67" t="n"/>
      <c r="BF5" s="67" t="n"/>
      <c r="BG5" s="67" t="n"/>
      <c r="BH5" s="67" t="n"/>
      <c r="BI5" s="67" t="n"/>
      <c r="BJ5" s="67" t="n"/>
      <c r="BK5" s="67" t="n"/>
      <c r="BL5" s="67" t="n"/>
      <c r="BM5" s="67">
        <f>BM4/BK4-1</f>
        <v/>
      </c>
      <c r="BN5" s="67">
        <f>BN4/BL4-1</f>
        <v/>
      </c>
      <c r="BO5" s="67">
        <f>BO4/BM4-1</f>
        <v/>
      </c>
      <c r="BP5" s="67">
        <f>BP4/BN4-1</f>
        <v/>
      </c>
      <c r="BQ5" s="67">
        <f>BQ4/BO4-1</f>
        <v/>
      </c>
      <c r="BR5" s="67">
        <f>BR4/BP4-1</f>
        <v/>
      </c>
      <c r="BS5" s="67" t="n"/>
      <c r="BT5" s="67">
        <f>BT4/BR4-1</f>
        <v/>
      </c>
      <c r="BU5" s="379" t="n"/>
      <c r="BV5" s="379" t="n"/>
      <c r="BW5" s="379" t="n"/>
      <c r="BX5" s="379" t="n"/>
      <c r="BZ5" s="67" t="n"/>
      <c r="CA5" s="67" t="n"/>
      <c r="CB5" s="67" t="n"/>
      <c r="CC5" s="67" t="n"/>
      <c r="CD5" s="67" t="n"/>
      <c r="CE5" s="67" t="n"/>
      <c r="CF5" s="67" t="n"/>
      <c r="CG5" s="67" t="n"/>
      <c r="CH5" s="67" t="n"/>
      <c r="CI5" s="67" t="n"/>
      <c r="CJ5" s="67" t="n"/>
      <c r="CK5" s="67" t="n"/>
      <c r="CL5" s="67" t="n"/>
      <c r="CM5" s="67" t="n"/>
      <c r="CN5" s="67" t="n"/>
      <c r="CO5" s="67" t="n"/>
      <c r="CP5" s="67" t="n"/>
      <c r="CQ5" s="67" t="n"/>
      <c r="CR5" s="67" t="n"/>
      <c r="CS5" s="67" t="n"/>
      <c r="CT5" s="67" t="n"/>
      <c r="CU5" s="67" t="n"/>
      <c r="CV5" s="67" t="n"/>
      <c r="CW5" s="67" t="n"/>
      <c r="CX5" s="67" t="n"/>
      <c r="CY5" s="67" t="n"/>
      <c r="CZ5" s="67" t="n"/>
      <c r="DA5" s="67" t="n"/>
      <c r="DB5" s="67" t="n"/>
      <c r="DC5" s="67" t="n"/>
      <c r="DD5" s="67" t="n"/>
      <c r="DE5" s="67" t="n"/>
      <c r="DF5" s="67" t="n"/>
      <c r="DG5" s="67" t="n"/>
      <c r="DH5" s="67" t="n"/>
      <c r="DI5" s="67" t="n"/>
      <c r="DJ5" s="67" t="n"/>
      <c r="DK5" s="67" t="n"/>
      <c r="DL5" s="67" t="n"/>
      <c r="DM5" s="67" t="n"/>
      <c r="DN5" s="67" t="n"/>
      <c r="DO5" s="67" t="n"/>
      <c r="DP5" s="67" t="n"/>
      <c r="DQ5" s="67" t="n"/>
      <c r="DR5" s="67" t="n"/>
      <c r="DS5" s="67" t="n"/>
      <c r="DT5" s="67" t="n"/>
      <c r="DU5" s="67" t="n"/>
      <c r="DV5" s="67" t="n"/>
      <c r="DW5" s="67" t="n"/>
      <c r="DX5" s="67" t="n"/>
      <c r="DY5" s="67" t="n"/>
      <c r="DZ5" s="67" t="n"/>
      <c r="EA5" s="67" t="n"/>
      <c r="EB5" s="67" t="n"/>
      <c r="EC5" s="67" t="n"/>
      <c r="ED5" s="67" t="n"/>
      <c r="EE5" s="67" t="n"/>
      <c r="EF5" s="67" t="n"/>
      <c r="EG5" s="67" t="n"/>
      <c r="EH5" s="67" t="n"/>
      <c r="EI5" s="67" t="n"/>
      <c r="EJ5" s="67" t="n"/>
      <c r="EK5" s="67" t="n"/>
      <c r="EL5" s="67" t="n"/>
      <c r="EM5" s="67" t="n"/>
      <c r="EN5" s="67" t="n"/>
      <c r="EO5" s="67" t="n"/>
      <c r="EP5" s="67" t="n"/>
      <c r="EQ5" s="67" t="n"/>
      <c r="ER5" s="67" t="n"/>
      <c r="ES5" s="67" t="n"/>
      <c r="ET5" s="67" t="n"/>
      <c r="EU5" s="67" t="n"/>
      <c r="EV5" s="67" t="n"/>
      <c r="EW5" s="67" t="n"/>
      <c r="EX5" s="67">
        <f>EX4/ET4-1</f>
        <v/>
      </c>
      <c r="EY5" s="67">
        <f>EY4/EU4-1</f>
        <v/>
      </c>
      <c r="EZ5" s="386" t="n"/>
      <c r="FA5" s="386" t="n"/>
      <c r="FB5" s="379" t="n"/>
      <c r="FC5" s="379" t="n"/>
      <c r="FD5" s="379" t="n"/>
      <c r="FE5" s="379" t="n"/>
    </row>
    <row r="6">
      <c r="A6" s="450" t="inlineStr">
        <is>
          <t>COGS</t>
        </is>
      </c>
      <c r="B6" s="451">
        <f>-'Raw financials'!B8</f>
        <v/>
      </c>
      <c r="C6" s="451">
        <f>-'Raw financials'!C8</f>
        <v/>
      </c>
      <c r="D6" s="451">
        <f>-'Raw financials'!D8</f>
        <v/>
      </c>
      <c r="E6" s="451">
        <f>-'Raw financials'!E8</f>
        <v/>
      </c>
      <c r="F6" s="451">
        <f>-'Raw financials'!F8</f>
        <v/>
      </c>
      <c r="G6" s="451">
        <f>-'Raw financials'!G8</f>
        <v/>
      </c>
      <c r="H6" s="451">
        <f>-'Raw financials'!H8</f>
        <v/>
      </c>
      <c r="I6" s="451">
        <f>-'Raw financials'!I8</f>
        <v/>
      </c>
      <c r="J6" s="451">
        <f>-'Raw financials'!J8</f>
        <v/>
      </c>
      <c r="K6" s="451">
        <f>-'Raw financials'!K8</f>
        <v/>
      </c>
      <c r="L6" s="451">
        <f>-'Raw financials'!L8</f>
        <v/>
      </c>
      <c r="M6" s="451">
        <f>-'Raw financials'!M8</f>
        <v/>
      </c>
      <c r="N6" s="451">
        <f>-'Raw financials'!N8</f>
        <v/>
      </c>
      <c r="O6" s="451">
        <f>-'Raw financials'!O8</f>
        <v/>
      </c>
      <c r="P6" s="451">
        <f>-'Raw financials'!P8</f>
        <v/>
      </c>
      <c r="Q6" s="451">
        <f>-'Raw financials'!Q8</f>
        <v/>
      </c>
      <c r="R6" s="451">
        <f>-'Raw financials'!R8</f>
        <v/>
      </c>
      <c r="S6" s="451">
        <f>-'Raw financials'!S8</f>
        <v/>
      </c>
      <c r="T6" s="451">
        <f>-'Raw financials'!T8</f>
        <v/>
      </c>
      <c r="U6" s="451">
        <f>Driver!J47</f>
        <v/>
      </c>
      <c r="V6" s="451">
        <f>Driver!K47</f>
        <v/>
      </c>
      <c r="W6" s="451">
        <f>Driver!L47</f>
        <v/>
      </c>
      <c r="X6" s="451">
        <f>Driver!M47</f>
        <v/>
      </c>
      <c r="Y6" s="451">
        <f>Driver!N47</f>
        <v/>
      </c>
      <c r="Z6" s="451">
        <f>Driver!O47</f>
        <v/>
      </c>
      <c r="AA6" s="452">
        <f>+U6-T6</f>
        <v/>
      </c>
      <c r="AB6" s="348">
        <f>+AA6/T6</f>
        <v/>
      </c>
      <c r="AC6" s="451" t="n">
        <v>-68165.60413032751</v>
      </c>
      <c r="AD6" s="452">
        <f>+U6-AC6</f>
        <v/>
      </c>
      <c r="AE6" s="348">
        <f>+AD6/AC6</f>
        <v/>
      </c>
      <c r="AF6" s="169" t="n"/>
      <c r="AG6" s="451">
        <f>-'Raw financials'!AA8</f>
        <v/>
      </c>
      <c r="AH6" s="451">
        <f>B6-AG6</f>
        <v/>
      </c>
      <c r="AI6" s="451">
        <f>-'Raw financials'!AB8</f>
        <v/>
      </c>
      <c r="AJ6" s="451">
        <f>C6-AI6</f>
        <v/>
      </c>
      <c r="AK6" s="451">
        <f>-'Raw financials'!AC8</f>
        <v/>
      </c>
      <c r="AL6" s="451">
        <f>D6-AK6</f>
        <v/>
      </c>
      <c r="AM6" s="451">
        <f>-'Raw financials'!AD8</f>
        <v/>
      </c>
      <c r="AN6" s="451">
        <f>E6-AM6</f>
        <v/>
      </c>
      <c r="AO6" s="451">
        <f>-'Raw financials'!AE8</f>
        <v/>
      </c>
      <c r="AP6" s="451">
        <f>F6-AO6</f>
        <v/>
      </c>
      <c r="AQ6" s="451">
        <f>-'Raw financials'!AF8</f>
        <v/>
      </c>
      <c r="AR6" s="451">
        <f>G6-AQ6</f>
        <v/>
      </c>
      <c r="AS6" s="451">
        <f>-'Raw financials'!AG8</f>
        <v/>
      </c>
      <c r="AT6" s="451">
        <f>H6-AS6</f>
        <v/>
      </c>
      <c r="AU6" s="451">
        <f>-'Raw financials'!AH8</f>
        <v/>
      </c>
      <c r="AV6" s="451">
        <f>I6-AU6</f>
        <v/>
      </c>
      <c r="AW6" s="451">
        <f>-'Raw financials'!AI8</f>
        <v/>
      </c>
      <c r="AX6" s="451">
        <f>J6-AW6</f>
        <v/>
      </c>
      <c r="AY6" s="451">
        <f>-'Raw financials'!AJ8</f>
        <v/>
      </c>
      <c r="AZ6" s="451">
        <f>K6-AY6</f>
        <v/>
      </c>
      <c r="BA6" s="451">
        <f>-'Raw financials'!AK8</f>
        <v/>
      </c>
      <c r="BB6" s="451">
        <f>L6-BA6</f>
        <v/>
      </c>
      <c r="BC6" s="451">
        <f>-'Raw financials'!AL8</f>
        <v/>
      </c>
      <c r="BD6" s="451">
        <f>M6-BC6</f>
        <v/>
      </c>
      <c r="BE6" s="451">
        <f>-'Raw financials'!AM8</f>
        <v/>
      </c>
      <c r="BF6" s="451">
        <f>N6-BE6</f>
        <v/>
      </c>
      <c r="BG6" s="451">
        <f>-'Raw financials'!AN8</f>
        <v/>
      </c>
      <c r="BH6" s="451">
        <f>O6-BG6</f>
        <v/>
      </c>
      <c r="BI6" s="451">
        <f>-'Raw financials'!AO8</f>
        <v/>
      </c>
      <c r="BJ6" s="451">
        <f>P6-BI6</f>
        <v/>
      </c>
      <c r="BK6" s="451">
        <f>-'Raw financials'!AP8</f>
        <v/>
      </c>
      <c r="BL6" s="451">
        <f>Q6-BK6</f>
        <v/>
      </c>
      <c r="BM6" s="451">
        <f>-'Raw financials'!AQ8</f>
        <v/>
      </c>
      <c r="BN6" s="451">
        <f>R6-BM6</f>
        <v/>
      </c>
      <c r="BO6" s="451">
        <f>-'Raw financials'!AR8</f>
        <v/>
      </c>
      <c r="BP6" s="451">
        <f>S6-BO6</f>
        <v/>
      </c>
      <c r="BQ6" s="451">
        <f>-'Raw financials'!AS8</f>
        <v/>
      </c>
      <c r="BR6" s="451">
        <f>T6-BQ6</f>
        <v/>
      </c>
      <c r="BS6" s="451" t="n"/>
      <c r="BT6" s="451">
        <f>U6-BS6</f>
        <v/>
      </c>
      <c r="BU6" s="453">
        <f>BT6-BR6</f>
        <v/>
      </c>
      <c r="BV6" s="379">
        <f>BU6/BR6</f>
        <v/>
      </c>
      <c r="BW6" s="379">
        <f>BT6/T6</f>
        <v/>
      </c>
      <c r="BX6" s="379">
        <f>BT6/U6</f>
        <v/>
      </c>
      <c r="BZ6" s="451">
        <f>-'Raw financials'!BN8</f>
        <v/>
      </c>
      <c r="CA6" s="451">
        <f>-'Raw financials'!BO8</f>
        <v/>
      </c>
      <c r="CB6" s="451">
        <f>-'Raw financials'!BP8</f>
        <v/>
      </c>
      <c r="CC6" s="451">
        <f>-'Raw financials'!BQ8</f>
        <v/>
      </c>
      <c r="CD6" s="451">
        <f>-'Raw financials'!BR8</f>
        <v/>
      </c>
      <c r="CE6" s="451">
        <f>-'Raw financials'!BS8</f>
        <v/>
      </c>
      <c r="CF6" s="451">
        <f>-'Raw financials'!BT8</f>
        <v/>
      </c>
      <c r="CG6" s="451">
        <f>-'Raw financials'!BU8</f>
        <v/>
      </c>
      <c r="CH6" s="451">
        <f>-'Raw financials'!BV8</f>
        <v/>
      </c>
      <c r="CI6" s="451">
        <f>-'Raw financials'!BW8</f>
        <v/>
      </c>
      <c r="CJ6" s="451">
        <f>-'Raw financials'!BX8</f>
        <v/>
      </c>
      <c r="CK6" s="451">
        <f>-'Raw financials'!BY8</f>
        <v/>
      </c>
      <c r="CL6" s="451">
        <f>-'Raw financials'!BZ8</f>
        <v/>
      </c>
      <c r="CM6" s="451">
        <f>-'Raw financials'!CA8</f>
        <v/>
      </c>
      <c r="CN6" s="451">
        <f>-'Raw financials'!CB8</f>
        <v/>
      </c>
      <c r="CO6" s="451">
        <f>-'Raw financials'!CC8</f>
        <v/>
      </c>
      <c r="CP6" s="451">
        <f>-'Raw financials'!CD8</f>
        <v/>
      </c>
      <c r="CQ6" s="451">
        <f>-'Raw financials'!CE8</f>
        <v/>
      </c>
      <c r="CR6" s="451">
        <f>-'Raw financials'!CF8</f>
        <v/>
      </c>
      <c r="CS6" s="451">
        <f>-'Raw financials'!CG8</f>
        <v/>
      </c>
      <c r="CT6" s="451">
        <f>-'Raw financials'!CH8</f>
        <v/>
      </c>
      <c r="CU6" s="451">
        <f>-'Raw financials'!CI8</f>
        <v/>
      </c>
      <c r="CV6" s="451">
        <f>-'Raw financials'!CJ8</f>
        <v/>
      </c>
      <c r="CW6" s="451">
        <f>-'Raw financials'!CK8</f>
        <v/>
      </c>
      <c r="CX6" s="451">
        <f>-'Raw financials'!CL8</f>
        <v/>
      </c>
      <c r="CY6" s="451">
        <f>-'Raw financials'!CM8</f>
        <v/>
      </c>
      <c r="CZ6" s="451">
        <f>-'Raw financials'!CN8</f>
        <v/>
      </c>
      <c r="DA6" s="451">
        <f>-'Raw financials'!CO8</f>
        <v/>
      </c>
      <c r="DB6" s="451">
        <f>-'Raw financials'!CP8</f>
        <v/>
      </c>
      <c r="DC6" s="451">
        <f>-'Raw financials'!CQ8</f>
        <v/>
      </c>
      <c r="DD6" s="451">
        <f>-'Raw financials'!CR8</f>
        <v/>
      </c>
      <c r="DE6" s="451">
        <f>-'Raw financials'!CS8</f>
        <v/>
      </c>
      <c r="DF6" s="451">
        <f>-'Raw financials'!CT8</f>
        <v/>
      </c>
      <c r="DG6" s="451">
        <f>-'Raw financials'!CU8</f>
        <v/>
      </c>
      <c r="DH6" s="451">
        <f>-'Raw financials'!CV8</f>
        <v/>
      </c>
      <c r="DI6" s="451">
        <f>-'Raw financials'!CW8</f>
        <v/>
      </c>
      <c r="DJ6" s="451">
        <f>-'Raw financials'!CX8</f>
        <v/>
      </c>
      <c r="DK6" s="451">
        <f>-'Raw financials'!CY8</f>
        <v/>
      </c>
      <c r="DL6" s="451">
        <f>-'Raw financials'!CZ8</f>
        <v/>
      </c>
      <c r="DM6" s="451">
        <f>-'Raw financials'!DA8</f>
        <v/>
      </c>
      <c r="DN6" s="451">
        <f>-'Raw financials'!DB8</f>
        <v/>
      </c>
      <c r="DO6" s="451">
        <f>-'Raw financials'!DC8</f>
        <v/>
      </c>
      <c r="DP6" s="451">
        <f>-'Raw financials'!DD8</f>
        <v/>
      </c>
      <c r="DQ6" s="451">
        <f>-'Raw financials'!DE8</f>
        <v/>
      </c>
      <c r="DR6" s="451">
        <f>-'Raw financials'!DF8</f>
        <v/>
      </c>
      <c r="DS6" s="451">
        <f>-'Raw financials'!DG8</f>
        <v/>
      </c>
      <c r="DT6" s="451">
        <f>-'Raw financials'!DH8</f>
        <v/>
      </c>
      <c r="DU6" s="451">
        <f>-'Raw financials'!DI8</f>
        <v/>
      </c>
      <c r="DV6" s="451">
        <f>-'Raw financials'!DJ8</f>
        <v/>
      </c>
      <c r="DW6" s="451">
        <f>-'Raw financials'!DK8</f>
        <v/>
      </c>
      <c r="DX6" s="451">
        <f>-'Raw financials'!DL8</f>
        <v/>
      </c>
      <c r="DY6" s="451">
        <f>-'Raw financials'!DM8</f>
        <v/>
      </c>
      <c r="DZ6" s="451">
        <f>-'Raw financials'!DN8</f>
        <v/>
      </c>
      <c r="EA6" s="451">
        <f>-'Raw financials'!DO8</f>
        <v/>
      </c>
      <c r="EB6" s="451">
        <f>-'Raw financials'!DP8</f>
        <v/>
      </c>
      <c r="EC6" s="451">
        <f>-'Raw financials'!DQ8</f>
        <v/>
      </c>
      <c r="ED6" s="451">
        <f>-'Raw financials'!DR8</f>
        <v/>
      </c>
      <c r="EE6" s="451">
        <f>-'Raw financials'!DS8</f>
        <v/>
      </c>
      <c r="EF6" s="451">
        <f>-'Raw financials'!DT8</f>
        <v/>
      </c>
      <c r="EG6" s="451">
        <f>-'Raw financials'!DU8</f>
        <v/>
      </c>
      <c r="EH6" s="451">
        <f>-'Raw financials'!DV8</f>
        <v/>
      </c>
      <c r="EI6" s="451">
        <f>-'Raw financials'!DW8</f>
        <v/>
      </c>
      <c r="EJ6" s="451">
        <f>-'Raw financials'!DX8</f>
        <v/>
      </c>
      <c r="EK6" s="451">
        <f>-'Raw financials'!DY8</f>
        <v/>
      </c>
      <c r="EL6" s="451">
        <f>-'Raw financials'!DZ8</f>
        <v/>
      </c>
      <c r="EM6" s="451">
        <f>-'Raw financials'!EA8</f>
        <v/>
      </c>
      <c r="EN6" s="451">
        <f>-'Raw financials'!EB8</f>
        <v/>
      </c>
      <c r="EO6" s="451">
        <f>-'Raw financials'!EC8</f>
        <v/>
      </c>
      <c r="EP6" s="451">
        <f>-'Raw financials'!ED8</f>
        <v/>
      </c>
      <c r="EQ6" s="451">
        <f>-'Raw financials'!EE8</f>
        <v/>
      </c>
      <c r="ER6" s="451">
        <f>-'Raw financials'!EF8</f>
        <v/>
      </c>
      <c r="ES6" s="451">
        <f>-'Raw financials'!EG8</f>
        <v/>
      </c>
      <c r="ET6" s="451">
        <f>-'Raw financials'!EH8</f>
        <v/>
      </c>
      <c r="EU6" s="451">
        <f>-'Raw financials'!EI8</f>
        <v/>
      </c>
      <c r="EV6" s="451">
        <f>-'Raw financials'!EJ8</f>
        <v/>
      </c>
      <c r="EW6" s="451">
        <f>-'Raw financials'!EK8</f>
        <v/>
      </c>
      <c r="EX6" s="451">
        <f>-'Raw financials'!EL8</f>
        <v/>
      </c>
      <c r="EY6" s="451">
        <f>-'Raw financials'!EM8</f>
        <v/>
      </c>
      <c r="EZ6" s="454" t="n"/>
      <c r="FA6" s="454" t="n"/>
      <c r="FB6" s="453">
        <f>+FA6-EW6</f>
        <v/>
      </c>
      <c r="FC6" s="379">
        <f>+FB6/EW6</f>
        <v/>
      </c>
      <c r="FD6" s="379">
        <f>+FA6/T6</f>
        <v/>
      </c>
      <c r="FE6" s="379">
        <f>+FA6/U6</f>
        <v/>
      </c>
    </row>
    <row r="7">
      <c r="A7" s="455" t="inlineStr">
        <is>
          <t>Gross Profit</t>
        </is>
      </c>
      <c r="B7" s="456">
        <f>B4+B6</f>
        <v/>
      </c>
      <c r="C7" s="456">
        <f>C4+C6</f>
        <v/>
      </c>
      <c r="D7" s="456">
        <f>D4+D6</f>
        <v/>
      </c>
      <c r="E7" s="456">
        <f>E4+E6</f>
        <v/>
      </c>
      <c r="F7" s="456">
        <f>F4+F6</f>
        <v/>
      </c>
      <c r="G7" s="456">
        <f>G4+G6</f>
        <v/>
      </c>
      <c r="H7" s="456">
        <f>H4+H6</f>
        <v/>
      </c>
      <c r="I7" s="456">
        <f>I4+I6</f>
        <v/>
      </c>
      <c r="J7" s="456">
        <f>J4+J6</f>
        <v/>
      </c>
      <c r="K7" s="456">
        <f>K4+K6</f>
        <v/>
      </c>
      <c r="L7" s="456">
        <f>L4+L6</f>
        <v/>
      </c>
      <c r="M7" s="456">
        <f>M4+M6</f>
        <v/>
      </c>
      <c r="N7" s="456">
        <f>N4+N6</f>
        <v/>
      </c>
      <c r="O7" s="456">
        <f>O4+O6</f>
        <v/>
      </c>
      <c r="P7" s="456">
        <f>P4+P6</f>
        <v/>
      </c>
      <c r="Q7" s="456">
        <f>Q4+Q6</f>
        <v/>
      </c>
      <c r="R7" s="456">
        <f>R4+R6</f>
        <v/>
      </c>
      <c r="S7" s="456">
        <f>S4+S6</f>
        <v/>
      </c>
      <c r="T7" s="456">
        <f>T4+T6</f>
        <v/>
      </c>
      <c r="U7" s="456">
        <f>U4+U6</f>
        <v/>
      </c>
      <c r="V7" s="456">
        <f>V4+V6</f>
        <v/>
      </c>
      <c r="W7" s="456">
        <f>W4+W6</f>
        <v/>
      </c>
      <c r="X7" s="456">
        <f>X4+X6</f>
        <v/>
      </c>
      <c r="Y7" s="456">
        <f>Y4+Y6</f>
        <v/>
      </c>
      <c r="Z7" s="456">
        <f>Z4+Z6</f>
        <v/>
      </c>
      <c r="AA7" s="457">
        <f>+U7-T7</f>
        <v/>
      </c>
      <c r="AB7" s="342">
        <f>+AA7/T7</f>
        <v/>
      </c>
      <c r="AC7" s="456" t="n">
        <v>13189.79381044983</v>
      </c>
      <c r="AD7" s="457">
        <f>+U7-AC7</f>
        <v/>
      </c>
      <c r="AE7" s="342">
        <f>+AD7/AC7</f>
        <v/>
      </c>
      <c r="AF7" s="169" t="n"/>
      <c r="AG7" s="456">
        <f>AG4+AG6</f>
        <v/>
      </c>
      <c r="AH7" s="456">
        <f>AH4+AH6</f>
        <v/>
      </c>
      <c r="AI7" s="456">
        <f>AI4+AI6</f>
        <v/>
      </c>
      <c r="AJ7" s="456">
        <f>AJ4+AJ6</f>
        <v/>
      </c>
      <c r="AK7" s="456">
        <f>AK4+AK6</f>
        <v/>
      </c>
      <c r="AL7" s="456">
        <f>AL4+AL6</f>
        <v/>
      </c>
      <c r="AM7" s="456">
        <f>AM4+AM6</f>
        <v/>
      </c>
      <c r="AN7" s="456">
        <f>AN4+AN6</f>
        <v/>
      </c>
      <c r="AO7" s="456">
        <f>AO4+AO6</f>
        <v/>
      </c>
      <c r="AP7" s="456">
        <f>AP4+AP6</f>
        <v/>
      </c>
      <c r="AQ7" s="456">
        <f>AQ4+AQ6</f>
        <v/>
      </c>
      <c r="AR7" s="456">
        <f>AR4+AR6</f>
        <v/>
      </c>
      <c r="AS7" s="456">
        <f>AS4+AS6</f>
        <v/>
      </c>
      <c r="AT7" s="456">
        <f>AT4+AT6</f>
        <v/>
      </c>
      <c r="AU7" s="456">
        <f>AU4+AU6</f>
        <v/>
      </c>
      <c r="AV7" s="456">
        <f>AV4+AV6</f>
        <v/>
      </c>
      <c r="AW7" s="456">
        <f>AW4+AW6</f>
        <v/>
      </c>
      <c r="AX7" s="456">
        <f>AX4+AX6</f>
        <v/>
      </c>
      <c r="AY7" s="456">
        <f>AY4+AY6</f>
        <v/>
      </c>
      <c r="AZ7" s="456">
        <f>AZ4+AZ6</f>
        <v/>
      </c>
      <c r="BA7" s="456">
        <f>BA4+BA6</f>
        <v/>
      </c>
      <c r="BB7" s="456">
        <f>BB4+BB6</f>
        <v/>
      </c>
      <c r="BC7" s="456">
        <f>BC4+BC6</f>
        <v/>
      </c>
      <c r="BD7" s="456">
        <f>BD4+BD6</f>
        <v/>
      </c>
      <c r="BE7" s="456">
        <f>BE4+BE6</f>
        <v/>
      </c>
      <c r="BF7" s="456">
        <f>BF4+BF6</f>
        <v/>
      </c>
      <c r="BG7" s="456">
        <f>BG4+BG6</f>
        <v/>
      </c>
      <c r="BH7" s="456">
        <f>BH4+BH6</f>
        <v/>
      </c>
      <c r="BI7" s="456">
        <f>BI4+BI6</f>
        <v/>
      </c>
      <c r="BJ7" s="456">
        <f>BJ4+BJ6</f>
        <v/>
      </c>
      <c r="BK7" s="456">
        <f>BK4+BK6</f>
        <v/>
      </c>
      <c r="BL7" s="456">
        <f>BL4+BL6</f>
        <v/>
      </c>
      <c r="BM7" s="456">
        <f>BM4+BM6</f>
        <v/>
      </c>
      <c r="BN7" s="456">
        <f>BN4+BN6</f>
        <v/>
      </c>
      <c r="BO7" s="456">
        <f>BO4+BO6</f>
        <v/>
      </c>
      <c r="BP7" s="456">
        <f>BP4+BP6</f>
        <v/>
      </c>
      <c r="BQ7" s="456">
        <f>BQ4+BQ6</f>
        <v/>
      </c>
      <c r="BR7" s="456">
        <f>BR4+BR6</f>
        <v/>
      </c>
      <c r="BS7" s="456" t="n"/>
      <c r="BT7" s="456">
        <f>BT4+BT6</f>
        <v/>
      </c>
      <c r="BU7" s="446">
        <f>BT7-BR7</f>
        <v/>
      </c>
      <c r="BV7" s="381">
        <f>BU7/BR7</f>
        <v/>
      </c>
      <c r="BW7" s="381">
        <f>BT7/T7</f>
        <v/>
      </c>
      <c r="BX7" s="381">
        <f>BT7/U7</f>
        <v/>
      </c>
      <c r="BY7" s="436" t="n"/>
      <c r="BZ7" s="456">
        <f>BZ4+BZ6</f>
        <v/>
      </c>
      <c r="CA7" s="456">
        <f>CA4+CA6</f>
        <v/>
      </c>
      <c r="CB7" s="456">
        <f>CB4+CB6</f>
        <v/>
      </c>
      <c r="CC7" s="456">
        <f>CC4+CC6</f>
        <v/>
      </c>
      <c r="CD7" s="456">
        <f>CD4+CD6</f>
        <v/>
      </c>
      <c r="CE7" s="456">
        <f>CE4+CE6</f>
        <v/>
      </c>
      <c r="CF7" s="456">
        <f>CF4+CF6</f>
        <v/>
      </c>
      <c r="CG7" s="456">
        <f>CG4+CG6</f>
        <v/>
      </c>
      <c r="CH7" s="456">
        <f>CH4+CH6</f>
        <v/>
      </c>
      <c r="CI7" s="456">
        <f>CI4+CI6</f>
        <v/>
      </c>
      <c r="CJ7" s="456">
        <f>CJ4+CJ6</f>
        <v/>
      </c>
      <c r="CK7" s="456">
        <f>CK4+CK6</f>
        <v/>
      </c>
      <c r="CL7" s="456">
        <f>CL4+CL6</f>
        <v/>
      </c>
      <c r="CM7" s="456">
        <f>CM4+CM6</f>
        <v/>
      </c>
      <c r="CN7" s="456">
        <f>CN4+CN6</f>
        <v/>
      </c>
      <c r="CO7" s="456">
        <f>CO4+CO6</f>
        <v/>
      </c>
      <c r="CP7" s="456">
        <f>CP4+CP6</f>
        <v/>
      </c>
      <c r="CQ7" s="456">
        <f>CQ4+CQ6</f>
        <v/>
      </c>
      <c r="CR7" s="456">
        <f>CR4+CR6</f>
        <v/>
      </c>
      <c r="CS7" s="456">
        <f>CS4+CS6</f>
        <v/>
      </c>
      <c r="CT7" s="456">
        <f>CT4+CT6</f>
        <v/>
      </c>
      <c r="CU7" s="456">
        <f>CU4+CU6</f>
        <v/>
      </c>
      <c r="CV7" s="456">
        <f>CV4+CV6</f>
        <v/>
      </c>
      <c r="CW7" s="456">
        <f>CW4+CW6</f>
        <v/>
      </c>
      <c r="CX7" s="456">
        <f>CX4+CX6</f>
        <v/>
      </c>
      <c r="CY7" s="456">
        <f>CY4+CY6</f>
        <v/>
      </c>
      <c r="CZ7" s="456">
        <f>CZ4+CZ6</f>
        <v/>
      </c>
      <c r="DA7" s="456">
        <f>DA4+DA6</f>
        <v/>
      </c>
      <c r="DB7" s="456">
        <f>DB4+DB6</f>
        <v/>
      </c>
      <c r="DC7" s="456">
        <f>DC4+DC6</f>
        <v/>
      </c>
      <c r="DD7" s="456">
        <f>DD4+DD6</f>
        <v/>
      </c>
      <c r="DE7" s="456">
        <f>DE4+DE6</f>
        <v/>
      </c>
      <c r="DF7" s="456">
        <f>DF4+DF6</f>
        <v/>
      </c>
      <c r="DG7" s="456">
        <f>DG4+DG6</f>
        <v/>
      </c>
      <c r="DH7" s="456">
        <f>DH4+DH6</f>
        <v/>
      </c>
      <c r="DI7" s="456">
        <f>DI4+DI6</f>
        <v/>
      </c>
      <c r="DJ7" s="456">
        <f>DJ4+DJ6</f>
        <v/>
      </c>
      <c r="DK7" s="456">
        <f>DK4+DK6</f>
        <v/>
      </c>
      <c r="DL7" s="456">
        <f>DL4+DL6</f>
        <v/>
      </c>
      <c r="DM7" s="456">
        <f>DM4+DM6</f>
        <v/>
      </c>
      <c r="DN7" s="456">
        <f>DN4+DN6</f>
        <v/>
      </c>
      <c r="DO7" s="456">
        <f>DO4+DO6</f>
        <v/>
      </c>
      <c r="DP7" s="456">
        <f>DP4+DP6</f>
        <v/>
      </c>
      <c r="DQ7" s="456">
        <f>DQ4+DQ6</f>
        <v/>
      </c>
      <c r="DR7" s="456">
        <f>DR4+DR6</f>
        <v/>
      </c>
      <c r="DS7" s="456">
        <f>DS4+DS6</f>
        <v/>
      </c>
      <c r="DT7" s="456">
        <f>DT4+DT6</f>
        <v/>
      </c>
      <c r="DU7" s="456">
        <f>DU4+DU6</f>
        <v/>
      </c>
      <c r="DV7" s="456">
        <f>DV4+DV6</f>
        <v/>
      </c>
      <c r="DW7" s="456">
        <f>DW4+DW6</f>
        <v/>
      </c>
      <c r="DX7" s="456">
        <f>DX4+DX6</f>
        <v/>
      </c>
      <c r="DY7" s="456">
        <f>DY4+DY6</f>
        <v/>
      </c>
      <c r="DZ7" s="456">
        <f>DZ4+DZ6</f>
        <v/>
      </c>
      <c r="EA7" s="456">
        <f>EA4+EA6</f>
        <v/>
      </c>
      <c r="EB7" s="456">
        <f>EB4+EB6</f>
        <v/>
      </c>
      <c r="EC7" s="456">
        <f>EC4+EC6</f>
        <v/>
      </c>
      <c r="ED7" s="456">
        <f>ED4+ED6</f>
        <v/>
      </c>
      <c r="EE7" s="456">
        <f>EE4+EE6</f>
        <v/>
      </c>
      <c r="EF7" s="456">
        <f>EF4+EF6</f>
        <v/>
      </c>
      <c r="EG7" s="456">
        <f>EG4+EG6</f>
        <v/>
      </c>
      <c r="EH7" s="456">
        <f>EH4+EH6</f>
        <v/>
      </c>
      <c r="EI7" s="456">
        <f>EI4+EI6</f>
        <v/>
      </c>
      <c r="EJ7" s="456">
        <f>EJ4+EJ6</f>
        <v/>
      </c>
      <c r="EK7" s="456">
        <f>EK4+EK6</f>
        <v/>
      </c>
      <c r="EL7" s="456">
        <f>EL4+EL6</f>
        <v/>
      </c>
      <c r="EM7" s="456">
        <f>EM4+EM6</f>
        <v/>
      </c>
      <c r="EN7" s="456">
        <f>EN4+EN6</f>
        <v/>
      </c>
      <c r="EO7" s="456">
        <f>EO4+EO6</f>
        <v/>
      </c>
      <c r="EP7" s="456">
        <f>EP4+EP6</f>
        <v/>
      </c>
      <c r="EQ7" s="456">
        <f>EQ4+EQ6</f>
        <v/>
      </c>
      <c r="ER7" s="456">
        <f>ER4+ER6</f>
        <v/>
      </c>
      <c r="ES7" s="456">
        <f>ES4+ES6</f>
        <v/>
      </c>
      <c r="ET7" s="456">
        <f>ET4+ET6</f>
        <v/>
      </c>
      <c r="EU7" s="456">
        <f>EU4+EU6</f>
        <v/>
      </c>
      <c r="EV7" s="456">
        <f>EV4+EV6</f>
        <v/>
      </c>
      <c r="EW7" s="456">
        <f>EW4+EW6</f>
        <v/>
      </c>
      <c r="EX7" s="456">
        <f>EX4+EX6</f>
        <v/>
      </c>
      <c r="EY7" s="456">
        <f>EY4+EY6</f>
        <v/>
      </c>
      <c r="EZ7" s="448" t="n"/>
      <c r="FA7" s="448" t="n"/>
      <c r="FB7" s="446">
        <f>+FA7-EW7</f>
        <v/>
      </c>
      <c r="FC7" s="381">
        <f>+FB7/EW7</f>
        <v/>
      </c>
      <c r="FD7" s="381">
        <f>+FA7/T7</f>
        <v/>
      </c>
      <c r="FE7" s="381">
        <f>+FA7/U7</f>
        <v/>
      </c>
    </row>
    <row r="8">
      <c r="A8" s="449" t="inlineStr">
        <is>
          <t>GPM</t>
        </is>
      </c>
      <c r="B8" s="67">
        <f>B7/B4</f>
        <v/>
      </c>
      <c r="C8" s="67">
        <f>C7/C4</f>
        <v/>
      </c>
      <c r="D8" s="67">
        <f>D7/D4</f>
        <v/>
      </c>
      <c r="E8" s="67">
        <f>E7/E4</f>
        <v/>
      </c>
      <c r="F8" s="67">
        <f>F7/F4</f>
        <v/>
      </c>
      <c r="G8" s="67">
        <f>G7/G4</f>
        <v/>
      </c>
      <c r="H8" s="67">
        <f>H7/H4</f>
        <v/>
      </c>
      <c r="I8" s="67">
        <f>I7/I4</f>
        <v/>
      </c>
      <c r="J8" s="67">
        <f>J7/J4</f>
        <v/>
      </c>
      <c r="K8" s="67">
        <f>K7/K4</f>
        <v/>
      </c>
      <c r="L8" s="67">
        <f>L7/L4</f>
        <v/>
      </c>
      <c r="M8" s="67">
        <f>M7/M4</f>
        <v/>
      </c>
      <c r="N8" s="67">
        <f>N7/N4</f>
        <v/>
      </c>
      <c r="O8" s="67">
        <f>O7/O4</f>
        <v/>
      </c>
      <c r="P8" s="67">
        <f>P7/P4</f>
        <v/>
      </c>
      <c r="Q8" s="67">
        <f>Q7/Q4</f>
        <v/>
      </c>
      <c r="R8" s="67">
        <f>R7/R4</f>
        <v/>
      </c>
      <c r="S8" s="67">
        <f>S7/S4</f>
        <v/>
      </c>
      <c r="T8" s="67">
        <f>T7/T4</f>
        <v/>
      </c>
      <c r="U8" s="67">
        <f>U7/U4</f>
        <v/>
      </c>
      <c r="V8" s="67">
        <f>V7/V4</f>
        <v/>
      </c>
      <c r="W8" s="67">
        <f>W7/W4</f>
        <v/>
      </c>
      <c r="X8" s="67">
        <f>X7/X4</f>
        <v/>
      </c>
      <c r="Y8" s="67">
        <f>Y7/Y4</f>
        <v/>
      </c>
      <c r="Z8" s="67">
        <f>Z7/Z4</f>
        <v/>
      </c>
      <c r="AA8" s="349" t="n"/>
      <c r="AB8" s="348" t="n"/>
      <c r="AC8" s="67" t="n"/>
      <c r="AD8" s="349" t="n"/>
      <c r="AE8" s="348" t="n"/>
      <c r="AF8" s="67" t="n"/>
      <c r="AG8" s="67">
        <f>AG7/AG4</f>
        <v/>
      </c>
      <c r="AH8" s="67">
        <f>AH7/AH4</f>
        <v/>
      </c>
      <c r="AI8" s="67">
        <f>AI7/AI4</f>
        <v/>
      </c>
      <c r="AJ8" s="67">
        <f>AJ7/AJ4</f>
        <v/>
      </c>
      <c r="AK8" s="67">
        <f>AK7/AK4</f>
        <v/>
      </c>
      <c r="AL8" s="67">
        <f>AL7/AL4</f>
        <v/>
      </c>
      <c r="AM8" s="67">
        <f>AM7/AM4</f>
        <v/>
      </c>
      <c r="AN8" s="67">
        <f>AN7/AN4</f>
        <v/>
      </c>
      <c r="AO8" s="67">
        <f>AO7/AO4</f>
        <v/>
      </c>
      <c r="AP8" s="67">
        <f>AP7/AP4</f>
        <v/>
      </c>
      <c r="AQ8" s="67">
        <f>AQ7/AQ4</f>
        <v/>
      </c>
      <c r="AR8" s="67">
        <f>AR7/AR4</f>
        <v/>
      </c>
      <c r="AS8" s="67">
        <f>AS7/AS4</f>
        <v/>
      </c>
      <c r="AT8" s="67">
        <f>AT7/AT4</f>
        <v/>
      </c>
      <c r="AU8" s="67">
        <f>AU7/AU4</f>
        <v/>
      </c>
      <c r="AV8" s="67">
        <f>AV7/AV4</f>
        <v/>
      </c>
      <c r="AW8" s="67">
        <f>AW7/AW4</f>
        <v/>
      </c>
      <c r="AX8" s="67">
        <f>AX7/AX4</f>
        <v/>
      </c>
      <c r="AY8" s="67">
        <f>AY7/AY4</f>
        <v/>
      </c>
      <c r="AZ8" s="67">
        <f>AZ7/AZ4</f>
        <v/>
      </c>
      <c r="BA8" s="67">
        <f>BA7/BA4</f>
        <v/>
      </c>
      <c r="BB8" s="67">
        <f>BB7/BB4</f>
        <v/>
      </c>
      <c r="BC8" s="67">
        <f>BC7/BC4</f>
        <v/>
      </c>
      <c r="BD8" s="67">
        <f>BD7/BD4</f>
        <v/>
      </c>
      <c r="BE8" s="67">
        <f>BE7/BE4</f>
        <v/>
      </c>
      <c r="BF8" s="67">
        <f>BF7/BF4</f>
        <v/>
      </c>
      <c r="BG8" s="67">
        <f>BG7/BG4</f>
        <v/>
      </c>
      <c r="BH8" s="67">
        <f>BH7/BH4</f>
        <v/>
      </c>
      <c r="BI8" s="67">
        <f>BI7/BI4</f>
        <v/>
      </c>
      <c r="BJ8" s="67">
        <f>BJ7/BJ4</f>
        <v/>
      </c>
      <c r="BK8" s="67">
        <f>BK7/BK4</f>
        <v/>
      </c>
      <c r="BL8" s="67">
        <f>BL7/BL4</f>
        <v/>
      </c>
      <c r="BM8" s="67">
        <f>BM7/BM4</f>
        <v/>
      </c>
      <c r="BN8" s="67">
        <f>BN7/BN4</f>
        <v/>
      </c>
      <c r="BO8" s="67">
        <f>BO7/BO4</f>
        <v/>
      </c>
      <c r="BP8" s="67">
        <f>BP7/BP4</f>
        <v/>
      </c>
      <c r="BQ8" s="458">
        <f>BQ7/BQ4</f>
        <v/>
      </c>
      <c r="BR8" s="458">
        <f>BR7/BR4</f>
        <v/>
      </c>
      <c r="BS8" s="458" t="n"/>
      <c r="BT8" s="458">
        <f>BT7/BT4</f>
        <v/>
      </c>
      <c r="BU8" s="379">
        <f>BT8-BR8</f>
        <v/>
      </c>
      <c r="BV8" s="379">
        <f>BU8/BR8</f>
        <v/>
      </c>
      <c r="BW8" s="379">
        <f>BT8/T8</f>
        <v/>
      </c>
      <c r="BX8" s="379">
        <f>BT8/U8</f>
        <v/>
      </c>
      <c r="BZ8" s="67">
        <f>BZ7/BZ4</f>
        <v/>
      </c>
      <c r="CA8" s="67">
        <f>CA7/CA4</f>
        <v/>
      </c>
      <c r="CB8" s="67">
        <f>CB7/CB4</f>
        <v/>
      </c>
      <c r="CC8" s="67">
        <f>CC7/CC4</f>
        <v/>
      </c>
      <c r="CD8" s="67">
        <f>CD7/CD4</f>
        <v/>
      </c>
      <c r="CE8" s="67">
        <f>CE7/CE4</f>
        <v/>
      </c>
      <c r="CF8" s="67">
        <f>CF7/CF4</f>
        <v/>
      </c>
      <c r="CG8" s="67">
        <f>CG7/CG4</f>
        <v/>
      </c>
      <c r="CH8" s="67">
        <f>CH7/CH4</f>
        <v/>
      </c>
      <c r="CI8" s="67">
        <f>CI7/CI4</f>
        <v/>
      </c>
      <c r="CJ8" s="67">
        <f>CJ7/CJ4</f>
        <v/>
      </c>
      <c r="CK8" s="67">
        <f>CK7/CK4</f>
        <v/>
      </c>
      <c r="CL8" s="67">
        <f>CL7/CL4</f>
        <v/>
      </c>
      <c r="CM8" s="67">
        <f>CM7/CM4</f>
        <v/>
      </c>
      <c r="CN8" s="67">
        <f>CN7/CN4</f>
        <v/>
      </c>
      <c r="CO8" s="67">
        <f>CO7/CO4</f>
        <v/>
      </c>
      <c r="CP8" s="67">
        <f>CP7/CP4</f>
        <v/>
      </c>
      <c r="CQ8" s="67">
        <f>CQ7/CQ4</f>
        <v/>
      </c>
      <c r="CR8" s="67">
        <f>CR7/CR4</f>
        <v/>
      </c>
      <c r="CS8" s="67">
        <f>CS7/CS4</f>
        <v/>
      </c>
      <c r="CT8" s="67">
        <f>CT7/CT4</f>
        <v/>
      </c>
      <c r="CU8" s="67">
        <f>CU7/CU4</f>
        <v/>
      </c>
      <c r="CV8" s="67">
        <f>CV7/CV4</f>
        <v/>
      </c>
      <c r="CW8" s="67">
        <f>CW7/CW4</f>
        <v/>
      </c>
      <c r="CX8" s="67">
        <f>CX7/CX4</f>
        <v/>
      </c>
      <c r="CY8" s="67">
        <f>CY7/CY4</f>
        <v/>
      </c>
      <c r="CZ8" s="67">
        <f>CZ7/CZ4</f>
        <v/>
      </c>
      <c r="DA8" s="67">
        <f>DA7/DA4</f>
        <v/>
      </c>
      <c r="DB8" s="67">
        <f>DB7/DB4</f>
        <v/>
      </c>
      <c r="DC8" s="67">
        <f>DC7/DC4</f>
        <v/>
      </c>
      <c r="DD8" s="67">
        <f>DD7/DD4</f>
        <v/>
      </c>
      <c r="DE8" s="67">
        <f>DE7/DE4</f>
        <v/>
      </c>
      <c r="DF8" s="67">
        <f>DF7/DF4</f>
        <v/>
      </c>
      <c r="DG8" s="67">
        <f>DG7/DG4</f>
        <v/>
      </c>
      <c r="DH8" s="67">
        <f>DH7/DH4</f>
        <v/>
      </c>
      <c r="DI8" s="67">
        <f>DI7/DI4</f>
        <v/>
      </c>
      <c r="DJ8" s="67">
        <f>DJ7/DJ4</f>
        <v/>
      </c>
      <c r="DK8" s="67">
        <f>DK7/DK4</f>
        <v/>
      </c>
      <c r="DL8" s="67">
        <f>DL7/DL4</f>
        <v/>
      </c>
      <c r="DM8" s="67">
        <f>DM7/DM4</f>
        <v/>
      </c>
      <c r="DN8" s="67">
        <f>DN7/DN4</f>
        <v/>
      </c>
      <c r="DO8" s="67">
        <f>DO7/DO4</f>
        <v/>
      </c>
      <c r="DP8" s="67">
        <f>DP7/DP4</f>
        <v/>
      </c>
      <c r="DQ8" s="67">
        <f>DQ7/DQ4</f>
        <v/>
      </c>
      <c r="DR8" s="67">
        <f>DR7/DR4</f>
        <v/>
      </c>
      <c r="DS8" s="67">
        <f>DS7/DS4</f>
        <v/>
      </c>
      <c r="DT8" s="67">
        <f>DT7/DT4</f>
        <v/>
      </c>
      <c r="DU8" s="67">
        <f>DU7/DU4</f>
        <v/>
      </c>
      <c r="DV8" s="67">
        <f>DV7/DV4</f>
        <v/>
      </c>
      <c r="DW8" s="67">
        <f>DW7/DW4</f>
        <v/>
      </c>
      <c r="DX8" s="67">
        <f>DX7/DX4</f>
        <v/>
      </c>
      <c r="DY8" s="67">
        <f>DY7/DY4</f>
        <v/>
      </c>
      <c r="DZ8" s="67">
        <f>DZ7/DZ4</f>
        <v/>
      </c>
      <c r="EA8" s="67">
        <f>EA7/EA4</f>
        <v/>
      </c>
      <c r="EB8" s="67">
        <f>EB7/EB4</f>
        <v/>
      </c>
      <c r="EC8" s="67">
        <f>EC7/EC4</f>
        <v/>
      </c>
      <c r="ED8" s="67">
        <f>ED7/ED4</f>
        <v/>
      </c>
      <c r="EE8" s="67">
        <f>EE7/EE4</f>
        <v/>
      </c>
      <c r="EF8" s="67">
        <f>EF7/EF4</f>
        <v/>
      </c>
      <c r="EG8" s="67">
        <f>EG7/EG4</f>
        <v/>
      </c>
      <c r="EH8" s="67">
        <f>EH7/EH4</f>
        <v/>
      </c>
      <c r="EI8" s="67">
        <f>EI7/EI4</f>
        <v/>
      </c>
      <c r="EJ8" s="67">
        <f>EJ7/EJ4</f>
        <v/>
      </c>
      <c r="EK8" s="67">
        <f>EK7/EK4</f>
        <v/>
      </c>
      <c r="EL8" s="67">
        <f>EL7/EL4</f>
        <v/>
      </c>
      <c r="EM8" s="67">
        <f>EM7/EM4</f>
        <v/>
      </c>
      <c r="EN8" s="67">
        <f>EN7/EN4</f>
        <v/>
      </c>
      <c r="EO8" s="67">
        <f>EO7/EO4</f>
        <v/>
      </c>
      <c r="EP8" s="67">
        <f>EP7/EP4</f>
        <v/>
      </c>
      <c r="EQ8" s="67">
        <f>EQ7/EQ4</f>
        <v/>
      </c>
      <c r="ER8" s="67">
        <f>ER7/ER4</f>
        <v/>
      </c>
      <c r="ES8" s="67">
        <f>ES7/ES4</f>
        <v/>
      </c>
      <c r="ET8" s="67">
        <f>ET7/ET4</f>
        <v/>
      </c>
      <c r="EU8" s="67">
        <f>EU7/EU4</f>
        <v/>
      </c>
      <c r="EV8" s="67">
        <f>EV7/EV4</f>
        <v/>
      </c>
      <c r="EW8" s="67">
        <f>EW7/EW4</f>
        <v/>
      </c>
      <c r="EX8" s="67">
        <f>EX7/EX4</f>
        <v/>
      </c>
      <c r="EY8" s="67">
        <f>EY7/EY4</f>
        <v/>
      </c>
      <c r="EZ8" s="386" t="n"/>
      <c r="FA8" s="386" t="n"/>
      <c r="FB8" s="379" t="n"/>
      <c r="FC8" s="379" t="n"/>
      <c r="FD8" s="379" t="n"/>
      <c r="FE8" s="379" t="n"/>
    </row>
    <row r="9">
      <c r="A9" s="450" t="inlineStr">
        <is>
          <t>Business tax</t>
        </is>
      </c>
      <c r="B9" s="451">
        <f>-'Raw financials'!B9</f>
        <v/>
      </c>
      <c r="C9" s="451">
        <f>-'Raw financials'!C9</f>
        <v/>
      </c>
      <c r="D9" s="451">
        <f>-'Raw financials'!D9</f>
        <v/>
      </c>
      <c r="E9" s="451">
        <f>-'Raw financials'!E9</f>
        <v/>
      </c>
      <c r="F9" s="451">
        <f>-'Raw financials'!F9</f>
        <v/>
      </c>
      <c r="G9" s="451">
        <f>-'Raw financials'!G9</f>
        <v/>
      </c>
      <c r="H9" s="451">
        <f>-'Raw financials'!H9</f>
        <v/>
      </c>
      <c r="I9" s="451">
        <f>-'Raw financials'!I9</f>
        <v/>
      </c>
      <c r="J9" s="451">
        <f>-'Raw financials'!J9</f>
        <v/>
      </c>
      <c r="K9" s="451">
        <f>-'Raw financials'!K9</f>
        <v/>
      </c>
      <c r="L9" s="451">
        <f>-'Raw financials'!L9</f>
        <v/>
      </c>
      <c r="M9" s="451">
        <f>-'Raw financials'!M9</f>
        <v/>
      </c>
      <c r="N9" s="451">
        <f>-'Raw financials'!N9</f>
        <v/>
      </c>
      <c r="O9" s="451">
        <f>-'Raw financials'!O9</f>
        <v/>
      </c>
      <c r="P9" s="451">
        <f>-'Raw financials'!P9</f>
        <v/>
      </c>
      <c r="Q9" s="451">
        <f>-'Raw financials'!Q9</f>
        <v/>
      </c>
      <c r="R9" s="451">
        <f>-'Raw financials'!R9</f>
        <v/>
      </c>
      <c r="S9" s="451">
        <f>-'Raw financials'!S9</f>
        <v/>
      </c>
      <c r="T9" s="451">
        <f>-'Raw financials'!T9</f>
        <v/>
      </c>
      <c r="U9" s="459">
        <f>T9/T4*U4</f>
        <v/>
      </c>
      <c r="V9" s="459">
        <f>U9/U4*V4</f>
        <v/>
      </c>
      <c r="W9" s="459">
        <f>V9/V4*W4</f>
        <v/>
      </c>
      <c r="X9" s="459">
        <f>W9/W4*X4</f>
        <v/>
      </c>
      <c r="Y9" s="459">
        <f>X9/X4*Y4</f>
        <v/>
      </c>
      <c r="Z9" s="459">
        <f>Y9/Y4*Z4</f>
        <v/>
      </c>
      <c r="AA9" s="452">
        <f>+U9-T9</f>
        <v/>
      </c>
      <c r="AB9" s="348">
        <f>+AA9/T9</f>
        <v/>
      </c>
      <c r="AC9" s="459" t="n">
        <v>-441.8594866517586</v>
      </c>
      <c r="AD9" s="452">
        <f>+U9-AC9</f>
        <v/>
      </c>
      <c r="AE9" s="348">
        <f>+AD9/AC9</f>
        <v/>
      </c>
      <c r="AF9" s="169" t="n"/>
      <c r="AG9" s="451">
        <f>-'Raw financials'!AA9</f>
        <v/>
      </c>
      <c r="AH9" s="451">
        <f>B9-AG9</f>
        <v/>
      </c>
      <c r="AI9" s="451">
        <f>-'Raw financials'!AB9</f>
        <v/>
      </c>
      <c r="AJ9" s="451">
        <f>C9-AI9</f>
        <v/>
      </c>
      <c r="AK9" s="451">
        <f>-'Raw financials'!AC9</f>
        <v/>
      </c>
      <c r="AL9" s="451">
        <f>D9-AK9</f>
        <v/>
      </c>
      <c r="AM9" s="451">
        <f>-'Raw financials'!AD9</f>
        <v/>
      </c>
      <c r="AN9" s="451">
        <f>E9-AM9</f>
        <v/>
      </c>
      <c r="AO9" s="451">
        <f>-'Raw financials'!AE9</f>
        <v/>
      </c>
      <c r="AP9" s="451">
        <f>F9-AO9</f>
        <v/>
      </c>
      <c r="AQ9" s="451">
        <f>-'Raw financials'!AF9</f>
        <v/>
      </c>
      <c r="AR9" s="451">
        <f>G9-AQ9</f>
        <v/>
      </c>
      <c r="AS9" s="451">
        <f>-'Raw financials'!AG9</f>
        <v/>
      </c>
      <c r="AT9" s="451">
        <f>H9-AS9</f>
        <v/>
      </c>
      <c r="AU9" s="451">
        <f>-'Raw financials'!AH9</f>
        <v/>
      </c>
      <c r="AV9" s="451">
        <f>I9-AU9</f>
        <v/>
      </c>
      <c r="AW9" s="451">
        <f>-'Raw financials'!AI9</f>
        <v/>
      </c>
      <c r="AX9" s="451">
        <f>J9-AW9</f>
        <v/>
      </c>
      <c r="AY9" s="451">
        <f>-'Raw financials'!AJ9</f>
        <v/>
      </c>
      <c r="AZ9" s="451">
        <f>K9-AY9</f>
        <v/>
      </c>
      <c r="BA9" s="451">
        <f>-'Raw financials'!AK9</f>
        <v/>
      </c>
      <c r="BB9" s="451">
        <f>L9-BA9</f>
        <v/>
      </c>
      <c r="BC9" s="451">
        <f>-'Raw financials'!AL9</f>
        <v/>
      </c>
      <c r="BD9" s="451">
        <f>M9-BC9</f>
        <v/>
      </c>
      <c r="BE9" s="451">
        <f>-'Raw financials'!AM9</f>
        <v/>
      </c>
      <c r="BF9" s="451">
        <f>N9-BE9</f>
        <v/>
      </c>
      <c r="BG9" s="451">
        <f>-'Raw financials'!AN9</f>
        <v/>
      </c>
      <c r="BH9" s="451">
        <f>O9-BG9</f>
        <v/>
      </c>
      <c r="BI9" s="451">
        <f>-'Raw financials'!AO9</f>
        <v/>
      </c>
      <c r="BJ9" s="451">
        <f>P9-BI9</f>
        <v/>
      </c>
      <c r="BK9" s="451">
        <f>-'Raw financials'!AP9</f>
        <v/>
      </c>
      <c r="BL9" s="451">
        <f>Q9-BK9</f>
        <v/>
      </c>
      <c r="BM9" s="451">
        <f>-'Raw financials'!AQ9</f>
        <v/>
      </c>
      <c r="BN9" s="451">
        <f>R9-BM9</f>
        <v/>
      </c>
      <c r="BO9" s="451">
        <f>-'Raw financials'!AR9</f>
        <v/>
      </c>
      <c r="BP9" s="451">
        <f>S9-BO9</f>
        <v/>
      </c>
      <c r="BQ9" s="451">
        <f>-'Raw financials'!AS9</f>
        <v/>
      </c>
      <c r="BR9" s="451">
        <f>T9-BQ9</f>
        <v/>
      </c>
      <c r="BS9" s="451" t="n"/>
      <c r="BT9" s="451">
        <f>U9-BS9</f>
        <v/>
      </c>
      <c r="BU9" s="453">
        <f>BT9-BR9</f>
        <v/>
      </c>
      <c r="BV9" s="379">
        <f>BU9/BR9</f>
        <v/>
      </c>
      <c r="BW9" s="379">
        <f>BT9/T9</f>
        <v/>
      </c>
      <c r="BX9" s="379">
        <f>BT9/U9</f>
        <v/>
      </c>
      <c r="BZ9" s="451">
        <f>-'Raw financials'!BN9</f>
        <v/>
      </c>
      <c r="CA9" s="451">
        <f>-'Raw financials'!BO9</f>
        <v/>
      </c>
      <c r="CB9" s="451">
        <f>-'Raw financials'!BP9</f>
        <v/>
      </c>
      <c r="CC9" s="451">
        <f>-'Raw financials'!BQ9</f>
        <v/>
      </c>
      <c r="CD9" s="451">
        <f>-'Raw financials'!BR9</f>
        <v/>
      </c>
      <c r="CE9" s="451">
        <f>-'Raw financials'!BS9</f>
        <v/>
      </c>
      <c r="CF9" s="451">
        <f>-'Raw financials'!BT9</f>
        <v/>
      </c>
      <c r="CG9" s="451">
        <f>-'Raw financials'!BU9</f>
        <v/>
      </c>
      <c r="CH9" s="451">
        <f>-'Raw financials'!BV9</f>
        <v/>
      </c>
      <c r="CI9" s="451">
        <f>-'Raw financials'!BW9</f>
        <v/>
      </c>
      <c r="CJ9" s="451">
        <f>-'Raw financials'!BX9</f>
        <v/>
      </c>
      <c r="CK9" s="451">
        <f>-'Raw financials'!BY9</f>
        <v/>
      </c>
      <c r="CL9" s="451">
        <f>-'Raw financials'!BZ9</f>
        <v/>
      </c>
      <c r="CM9" s="451">
        <f>-'Raw financials'!CA9</f>
        <v/>
      </c>
      <c r="CN9" s="451">
        <f>-'Raw financials'!CB9</f>
        <v/>
      </c>
      <c r="CO9" s="451">
        <f>-'Raw financials'!CC9</f>
        <v/>
      </c>
      <c r="CP9" s="451">
        <f>-'Raw financials'!CD9</f>
        <v/>
      </c>
      <c r="CQ9" s="451">
        <f>-'Raw financials'!CE9</f>
        <v/>
      </c>
      <c r="CR9" s="451">
        <f>-'Raw financials'!CF9</f>
        <v/>
      </c>
      <c r="CS9" s="451">
        <f>-'Raw financials'!CG9</f>
        <v/>
      </c>
      <c r="CT9" s="451">
        <f>-'Raw financials'!CH9</f>
        <v/>
      </c>
      <c r="CU9" s="451">
        <f>-'Raw financials'!CI9</f>
        <v/>
      </c>
      <c r="CV9" s="451">
        <f>-'Raw financials'!CJ9</f>
        <v/>
      </c>
      <c r="CW9" s="451">
        <f>-'Raw financials'!CK9</f>
        <v/>
      </c>
      <c r="CX9" s="451">
        <f>-'Raw financials'!CL9</f>
        <v/>
      </c>
      <c r="CY9" s="451">
        <f>-'Raw financials'!CM9</f>
        <v/>
      </c>
      <c r="CZ9" s="451">
        <f>-'Raw financials'!CN9</f>
        <v/>
      </c>
      <c r="DA9" s="451">
        <f>-'Raw financials'!CO9</f>
        <v/>
      </c>
      <c r="DB9" s="451">
        <f>-'Raw financials'!CP9</f>
        <v/>
      </c>
      <c r="DC9" s="451">
        <f>-'Raw financials'!CQ9</f>
        <v/>
      </c>
      <c r="DD9" s="451">
        <f>-'Raw financials'!CR9</f>
        <v/>
      </c>
      <c r="DE9" s="451">
        <f>-'Raw financials'!CS9</f>
        <v/>
      </c>
      <c r="DF9" s="451">
        <f>-'Raw financials'!CT9</f>
        <v/>
      </c>
      <c r="DG9" s="451">
        <f>-'Raw financials'!CU9</f>
        <v/>
      </c>
      <c r="DH9" s="451">
        <f>-'Raw financials'!CV9</f>
        <v/>
      </c>
      <c r="DI9" s="451">
        <f>-'Raw financials'!CW9</f>
        <v/>
      </c>
      <c r="DJ9" s="451">
        <f>-'Raw financials'!CX9</f>
        <v/>
      </c>
      <c r="DK9" s="451">
        <f>-'Raw financials'!CY9</f>
        <v/>
      </c>
      <c r="DL9" s="451">
        <f>-'Raw financials'!CZ9</f>
        <v/>
      </c>
      <c r="DM9" s="451">
        <f>-'Raw financials'!DA9</f>
        <v/>
      </c>
      <c r="DN9" s="451">
        <f>-'Raw financials'!DB9</f>
        <v/>
      </c>
      <c r="DO9" s="451">
        <f>-'Raw financials'!DC9</f>
        <v/>
      </c>
      <c r="DP9" s="451">
        <f>-'Raw financials'!DD9</f>
        <v/>
      </c>
      <c r="DQ9" s="451">
        <f>-'Raw financials'!DE9</f>
        <v/>
      </c>
      <c r="DR9" s="451">
        <f>-'Raw financials'!DF9</f>
        <v/>
      </c>
      <c r="DS9" s="451">
        <f>-'Raw financials'!DG9</f>
        <v/>
      </c>
      <c r="DT9" s="451">
        <f>-'Raw financials'!DH9</f>
        <v/>
      </c>
      <c r="DU9" s="451">
        <f>-'Raw financials'!DI9</f>
        <v/>
      </c>
      <c r="DV9" s="451">
        <f>-'Raw financials'!DJ9</f>
        <v/>
      </c>
      <c r="DW9" s="451">
        <f>-'Raw financials'!DK9</f>
        <v/>
      </c>
      <c r="DX9" s="451">
        <f>-'Raw financials'!DL9</f>
        <v/>
      </c>
      <c r="DY9" s="451">
        <f>-'Raw financials'!DM9</f>
        <v/>
      </c>
      <c r="DZ9" s="451">
        <f>-'Raw financials'!DN9</f>
        <v/>
      </c>
      <c r="EA9" s="451">
        <f>-'Raw financials'!DO9</f>
        <v/>
      </c>
      <c r="EB9" s="451">
        <f>-'Raw financials'!DP9</f>
        <v/>
      </c>
      <c r="EC9" s="451">
        <f>-'Raw financials'!DQ9</f>
        <v/>
      </c>
      <c r="ED9" s="451">
        <f>-'Raw financials'!DR9</f>
        <v/>
      </c>
      <c r="EE9" s="451">
        <f>-'Raw financials'!DS9</f>
        <v/>
      </c>
      <c r="EF9" s="451">
        <f>-'Raw financials'!DT9</f>
        <v/>
      </c>
      <c r="EG9" s="451">
        <f>-'Raw financials'!DU9</f>
        <v/>
      </c>
      <c r="EH9" s="451">
        <f>-'Raw financials'!DV9</f>
        <v/>
      </c>
      <c r="EI9" s="451">
        <f>-'Raw financials'!DW9</f>
        <v/>
      </c>
      <c r="EJ9" s="451">
        <f>-'Raw financials'!DX9</f>
        <v/>
      </c>
      <c r="EK9" s="451">
        <f>-'Raw financials'!DY9</f>
        <v/>
      </c>
      <c r="EL9" s="451">
        <f>-'Raw financials'!DZ9</f>
        <v/>
      </c>
      <c r="EM9" s="451">
        <f>-'Raw financials'!EA9</f>
        <v/>
      </c>
      <c r="EN9" s="451">
        <f>-'Raw financials'!EB9</f>
        <v/>
      </c>
      <c r="EO9" s="451">
        <f>-'Raw financials'!EC9</f>
        <v/>
      </c>
      <c r="EP9" s="451">
        <f>-'Raw financials'!ED9</f>
        <v/>
      </c>
      <c r="EQ9" s="451">
        <f>-'Raw financials'!EE9</f>
        <v/>
      </c>
      <c r="ER9" s="451">
        <f>-'Raw financials'!EF9</f>
        <v/>
      </c>
      <c r="ES9" s="451">
        <f>-'Raw financials'!EG9</f>
        <v/>
      </c>
      <c r="ET9" s="451">
        <f>-'Raw financials'!EH9</f>
        <v/>
      </c>
      <c r="EU9" s="451">
        <f>-'Raw financials'!EI9</f>
        <v/>
      </c>
      <c r="EV9" s="451">
        <f>-'Raw financials'!EJ9</f>
        <v/>
      </c>
      <c r="EW9" s="451">
        <f>-'Raw financials'!EK9</f>
        <v/>
      </c>
      <c r="EX9" s="451">
        <f>-'Raw financials'!EL9</f>
        <v/>
      </c>
      <c r="EY9" s="451">
        <f>-'Raw financials'!EM9</f>
        <v/>
      </c>
      <c r="EZ9" s="454" t="n"/>
      <c r="FA9" s="454" t="n"/>
      <c r="FB9" s="453">
        <f>+FA9-EW9</f>
        <v/>
      </c>
      <c r="FC9" s="379">
        <f>+FB9/EW9</f>
        <v/>
      </c>
      <c r="FD9" s="379">
        <f>+FA9/T9</f>
        <v/>
      </c>
      <c r="FE9" s="379">
        <f>+FA9/U9</f>
        <v/>
      </c>
    </row>
    <row r="10">
      <c r="A10" s="450" t="inlineStr">
        <is>
          <t>Selling expense</t>
        </is>
      </c>
      <c r="B10" s="451">
        <f>-'Raw financials'!B10</f>
        <v/>
      </c>
      <c r="C10" s="451">
        <f>-'Raw financials'!C10</f>
        <v/>
      </c>
      <c r="D10" s="451">
        <f>-'Raw financials'!D10</f>
        <v/>
      </c>
      <c r="E10" s="451">
        <f>-'Raw financials'!E10</f>
        <v/>
      </c>
      <c r="F10" s="451">
        <f>-'Raw financials'!F10</f>
        <v/>
      </c>
      <c r="G10" s="451">
        <f>-'Raw financials'!G10</f>
        <v/>
      </c>
      <c r="H10" s="451">
        <f>-'Raw financials'!H10</f>
        <v/>
      </c>
      <c r="I10" s="451">
        <f>-'Raw financials'!I10</f>
        <v/>
      </c>
      <c r="J10" s="451">
        <f>-'Raw financials'!J10</f>
        <v/>
      </c>
      <c r="K10" s="451">
        <f>-'Raw financials'!K10</f>
        <v/>
      </c>
      <c r="L10" s="451">
        <f>-'Raw financials'!L10</f>
        <v/>
      </c>
      <c r="M10" s="451">
        <f>-'Raw financials'!M10</f>
        <v/>
      </c>
      <c r="N10" s="451">
        <f>-'Raw financials'!N10</f>
        <v/>
      </c>
      <c r="O10" s="451">
        <f>-'Raw financials'!O10</f>
        <v/>
      </c>
      <c r="P10" s="451">
        <f>-'Raw financials'!P10</f>
        <v/>
      </c>
      <c r="Q10" s="451">
        <f>-'Raw financials'!Q10</f>
        <v/>
      </c>
      <c r="R10" s="451">
        <f>-'Raw financials'!R10</f>
        <v/>
      </c>
      <c r="S10" s="451">
        <f>-'Raw financials'!S10</f>
        <v/>
      </c>
      <c r="T10" s="451">
        <f>-'Raw financials'!T10</f>
        <v/>
      </c>
      <c r="U10" s="459">
        <f>T10/T4*U4</f>
        <v/>
      </c>
      <c r="V10" s="459">
        <f>U10/U4*V4</f>
        <v/>
      </c>
      <c r="W10" s="459">
        <f>V10/V4*W4</f>
        <v/>
      </c>
      <c r="X10" s="459">
        <f>W10/W4*X4</f>
        <v/>
      </c>
      <c r="Y10" s="459">
        <f>X10/X4*Y4</f>
        <v/>
      </c>
      <c r="Z10" s="459">
        <f>Y10/Y4*Z4</f>
        <v/>
      </c>
      <c r="AA10" s="452">
        <f>+U10-T10</f>
        <v/>
      </c>
      <c r="AB10" s="348">
        <f>+AA10/T10</f>
        <v/>
      </c>
      <c r="AC10" s="459" t="n">
        <v>-959.9439078618344</v>
      </c>
      <c r="AD10" s="452">
        <f>+U10-AC10</f>
        <v/>
      </c>
      <c r="AE10" s="348">
        <f>+AD10/AC10</f>
        <v/>
      </c>
      <c r="AF10" s="169" t="n"/>
      <c r="AG10" s="451">
        <f>-'Raw financials'!AA10</f>
        <v/>
      </c>
      <c r="AH10" s="451">
        <f>B10-AG10</f>
        <v/>
      </c>
      <c r="AI10" s="451">
        <f>-'Raw financials'!AB10</f>
        <v/>
      </c>
      <c r="AJ10" s="451">
        <f>C10-AI10</f>
        <v/>
      </c>
      <c r="AK10" s="451">
        <f>-'Raw financials'!AC10</f>
        <v/>
      </c>
      <c r="AL10" s="451">
        <f>D10-AK10</f>
        <v/>
      </c>
      <c r="AM10" s="451">
        <f>-'Raw financials'!AD10</f>
        <v/>
      </c>
      <c r="AN10" s="451">
        <f>E10-AM10</f>
        <v/>
      </c>
      <c r="AO10" s="451">
        <f>-'Raw financials'!AE10</f>
        <v/>
      </c>
      <c r="AP10" s="451">
        <f>F10-AO10</f>
        <v/>
      </c>
      <c r="AQ10" s="451">
        <f>-'Raw financials'!AF10</f>
        <v/>
      </c>
      <c r="AR10" s="451">
        <f>G10-AQ10</f>
        <v/>
      </c>
      <c r="AS10" s="451">
        <f>-'Raw financials'!AG10</f>
        <v/>
      </c>
      <c r="AT10" s="451">
        <f>H10-AS10</f>
        <v/>
      </c>
      <c r="AU10" s="451">
        <f>-'Raw financials'!AH10</f>
        <v/>
      </c>
      <c r="AV10" s="451">
        <f>I10-AU10</f>
        <v/>
      </c>
      <c r="AW10" s="451">
        <f>-'Raw financials'!AI10</f>
        <v/>
      </c>
      <c r="AX10" s="451">
        <f>J10-AW10</f>
        <v/>
      </c>
      <c r="AY10" s="451">
        <f>-'Raw financials'!AJ10</f>
        <v/>
      </c>
      <c r="AZ10" s="451">
        <f>K10-AY10</f>
        <v/>
      </c>
      <c r="BA10" s="451">
        <f>-'Raw financials'!AK10</f>
        <v/>
      </c>
      <c r="BB10" s="451">
        <f>L10-BA10</f>
        <v/>
      </c>
      <c r="BC10" s="451">
        <f>-'Raw financials'!AL10</f>
        <v/>
      </c>
      <c r="BD10" s="451">
        <f>M10-BC10</f>
        <v/>
      </c>
      <c r="BE10" s="451">
        <f>-'Raw financials'!AM10</f>
        <v/>
      </c>
      <c r="BF10" s="451">
        <f>N10-BE10</f>
        <v/>
      </c>
      <c r="BG10" s="451">
        <f>-'Raw financials'!AN10</f>
        <v/>
      </c>
      <c r="BH10" s="451">
        <f>O10-BG10</f>
        <v/>
      </c>
      <c r="BI10" s="451">
        <f>-'Raw financials'!AO10</f>
        <v/>
      </c>
      <c r="BJ10" s="451">
        <f>P10-BI10</f>
        <v/>
      </c>
      <c r="BK10" s="451">
        <f>-'Raw financials'!AP10</f>
        <v/>
      </c>
      <c r="BL10" s="451">
        <f>Q10-BK10</f>
        <v/>
      </c>
      <c r="BM10" s="451">
        <f>-'Raw financials'!AQ10</f>
        <v/>
      </c>
      <c r="BN10" s="451">
        <f>R10-BM10</f>
        <v/>
      </c>
      <c r="BO10" s="451">
        <f>-'Raw financials'!AR10</f>
        <v/>
      </c>
      <c r="BP10" s="451">
        <f>S10-BO10</f>
        <v/>
      </c>
      <c r="BQ10" s="451">
        <f>-'Raw financials'!AS10</f>
        <v/>
      </c>
      <c r="BR10" s="451">
        <f>T10-BQ10</f>
        <v/>
      </c>
      <c r="BS10" s="451" t="n"/>
      <c r="BT10" s="451">
        <f>U10-BS10</f>
        <v/>
      </c>
      <c r="BU10" s="453">
        <f>BT10-BR10</f>
        <v/>
      </c>
      <c r="BV10" s="379">
        <f>BU10/BR10</f>
        <v/>
      </c>
      <c r="BW10" s="379">
        <f>BT10/T10</f>
        <v/>
      </c>
      <c r="BX10" s="379">
        <f>BT10/U10</f>
        <v/>
      </c>
      <c r="BZ10" s="451">
        <f>-'Raw financials'!BN10</f>
        <v/>
      </c>
      <c r="CA10" s="451">
        <f>-'Raw financials'!BO10</f>
        <v/>
      </c>
      <c r="CB10" s="451">
        <f>-'Raw financials'!BP10</f>
        <v/>
      </c>
      <c r="CC10" s="451">
        <f>-'Raw financials'!BQ10</f>
        <v/>
      </c>
      <c r="CD10" s="451">
        <f>-'Raw financials'!BR10</f>
        <v/>
      </c>
      <c r="CE10" s="451">
        <f>-'Raw financials'!BS10</f>
        <v/>
      </c>
      <c r="CF10" s="451">
        <f>-'Raw financials'!BT10</f>
        <v/>
      </c>
      <c r="CG10" s="451">
        <f>-'Raw financials'!BU10</f>
        <v/>
      </c>
      <c r="CH10" s="451">
        <f>-'Raw financials'!BV10</f>
        <v/>
      </c>
      <c r="CI10" s="451">
        <f>-'Raw financials'!BW10</f>
        <v/>
      </c>
      <c r="CJ10" s="451">
        <f>-'Raw financials'!BX10</f>
        <v/>
      </c>
      <c r="CK10" s="451">
        <f>-'Raw financials'!BY10</f>
        <v/>
      </c>
      <c r="CL10" s="451">
        <f>-'Raw financials'!BZ10</f>
        <v/>
      </c>
      <c r="CM10" s="451">
        <f>-'Raw financials'!CA10</f>
        <v/>
      </c>
      <c r="CN10" s="451">
        <f>-'Raw financials'!CB10</f>
        <v/>
      </c>
      <c r="CO10" s="451">
        <f>-'Raw financials'!CC10</f>
        <v/>
      </c>
      <c r="CP10" s="451">
        <f>-'Raw financials'!CD10</f>
        <v/>
      </c>
      <c r="CQ10" s="451">
        <f>-'Raw financials'!CE10</f>
        <v/>
      </c>
      <c r="CR10" s="451">
        <f>-'Raw financials'!CF10</f>
        <v/>
      </c>
      <c r="CS10" s="451">
        <f>-'Raw financials'!CG10</f>
        <v/>
      </c>
      <c r="CT10" s="451">
        <f>-'Raw financials'!CH10</f>
        <v/>
      </c>
      <c r="CU10" s="451">
        <f>-'Raw financials'!CI10</f>
        <v/>
      </c>
      <c r="CV10" s="451">
        <f>-'Raw financials'!CJ10</f>
        <v/>
      </c>
      <c r="CW10" s="451">
        <f>-'Raw financials'!CK10</f>
        <v/>
      </c>
      <c r="CX10" s="451">
        <f>-'Raw financials'!CL10</f>
        <v/>
      </c>
      <c r="CY10" s="451">
        <f>-'Raw financials'!CM10</f>
        <v/>
      </c>
      <c r="CZ10" s="451">
        <f>-'Raw financials'!CN10</f>
        <v/>
      </c>
      <c r="DA10" s="451">
        <f>-'Raw financials'!CO10</f>
        <v/>
      </c>
      <c r="DB10" s="451">
        <f>-'Raw financials'!CP10</f>
        <v/>
      </c>
      <c r="DC10" s="451">
        <f>-'Raw financials'!CQ10</f>
        <v/>
      </c>
      <c r="DD10" s="451">
        <f>-'Raw financials'!CR10</f>
        <v/>
      </c>
      <c r="DE10" s="451">
        <f>-'Raw financials'!CS10</f>
        <v/>
      </c>
      <c r="DF10" s="451">
        <f>-'Raw financials'!CT10</f>
        <v/>
      </c>
      <c r="DG10" s="451">
        <f>-'Raw financials'!CU10</f>
        <v/>
      </c>
      <c r="DH10" s="451">
        <f>-'Raw financials'!CV10</f>
        <v/>
      </c>
      <c r="DI10" s="451">
        <f>-'Raw financials'!CW10</f>
        <v/>
      </c>
      <c r="DJ10" s="451">
        <f>-'Raw financials'!CX10</f>
        <v/>
      </c>
      <c r="DK10" s="451">
        <f>-'Raw financials'!CY10</f>
        <v/>
      </c>
      <c r="DL10" s="451">
        <f>-'Raw financials'!CZ10</f>
        <v/>
      </c>
      <c r="DM10" s="451">
        <f>-'Raw financials'!DA10</f>
        <v/>
      </c>
      <c r="DN10" s="451">
        <f>-'Raw financials'!DB10</f>
        <v/>
      </c>
      <c r="DO10" s="451">
        <f>-'Raw financials'!DC10</f>
        <v/>
      </c>
      <c r="DP10" s="451">
        <f>-'Raw financials'!DD10</f>
        <v/>
      </c>
      <c r="DQ10" s="451">
        <f>-'Raw financials'!DE10</f>
        <v/>
      </c>
      <c r="DR10" s="451">
        <f>-'Raw financials'!DF10</f>
        <v/>
      </c>
      <c r="DS10" s="451">
        <f>-'Raw financials'!DG10</f>
        <v/>
      </c>
      <c r="DT10" s="451">
        <f>-'Raw financials'!DH10</f>
        <v/>
      </c>
      <c r="DU10" s="451">
        <f>-'Raw financials'!DI10</f>
        <v/>
      </c>
      <c r="DV10" s="451">
        <f>-'Raw financials'!DJ10</f>
        <v/>
      </c>
      <c r="DW10" s="451">
        <f>-'Raw financials'!DK10</f>
        <v/>
      </c>
      <c r="DX10" s="451">
        <f>-'Raw financials'!DL10</f>
        <v/>
      </c>
      <c r="DY10" s="451">
        <f>-'Raw financials'!DM10</f>
        <v/>
      </c>
      <c r="DZ10" s="451">
        <f>-'Raw financials'!DN10</f>
        <v/>
      </c>
      <c r="EA10" s="451">
        <f>-'Raw financials'!DO10</f>
        <v/>
      </c>
      <c r="EB10" s="451">
        <f>-'Raw financials'!DP10</f>
        <v/>
      </c>
      <c r="EC10" s="451">
        <f>-'Raw financials'!DQ10</f>
        <v/>
      </c>
      <c r="ED10" s="451">
        <f>-'Raw financials'!DR10</f>
        <v/>
      </c>
      <c r="EE10" s="451">
        <f>-'Raw financials'!DS10</f>
        <v/>
      </c>
      <c r="EF10" s="451">
        <f>-'Raw financials'!DT10</f>
        <v/>
      </c>
      <c r="EG10" s="451">
        <f>-'Raw financials'!DU10</f>
        <v/>
      </c>
      <c r="EH10" s="451">
        <f>-'Raw financials'!DV10</f>
        <v/>
      </c>
      <c r="EI10" s="451">
        <f>-'Raw financials'!DW10</f>
        <v/>
      </c>
      <c r="EJ10" s="451">
        <f>-'Raw financials'!DX10</f>
        <v/>
      </c>
      <c r="EK10" s="451">
        <f>-'Raw financials'!DY10</f>
        <v/>
      </c>
      <c r="EL10" s="451">
        <f>-'Raw financials'!DZ10</f>
        <v/>
      </c>
      <c r="EM10" s="451">
        <f>-'Raw financials'!EA10</f>
        <v/>
      </c>
      <c r="EN10" s="451">
        <f>-'Raw financials'!EB10</f>
        <v/>
      </c>
      <c r="EO10" s="451">
        <f>-'Raw financials'!EC10</f>
        <v/>
      </c>
      <c r="EP10" s="451">
        <f>-'Raw financials'!ED10</f>
        <v/>
      </c>
      <c r="EQ10" s="451">
        <f>-'Raw financials'!EE10</f>
        <v/>
      </c>
      <c r="ER10" s="451">
        <f>-'Raw financials'!EF10</f>
        <v/>
      </c>
      <c r="ES10" s="451">
        <f>-'Raw financials'!EG10</f>
        <v/>
      </c>
      <c r="ET10" s="451">
        <f>-'Raw financials'!EH10</f>
        <v/>
      </c>
      <c r="EU10" s="451">
        <f>-'Raw financials'!EI10</f>
        <v/>
      </c>
      <c r="EV10" s="451">
        <f>-'Raw financials'!EJ10</f>
        <v/>
      </c>
      <c r="EW10" s="451">
        <f>-'Raw financials'!EK10</f>
        <v/>
      </c>
      <c r="EX10" s="451">
        <f>-'Raw financials'!EL10</f>
        <v/>
      </c>
      <c r="EY10" s="451">
        <f>-'Raw financials'!EM10</f>
        <v/>
      </c>
      <c r="EZ10" s="454" t="n"/>
      <c r="FA10" s="454" t="n"/>
      <c r="FB10" s="453">
        <f>+FA10-EW10</f>
        <v/>
      </c>
      <c r="FC10" s="379">
        <f>+FB10/EW10</f>
        <v/>
      </c>
      <c r="FD10" s="379">
        <f>+FA10/T10</f>
        <v/>
      </c>
      <c r="FE10" s="379">
        <f>+FA10/U10</f>
        <v/>
      </c>
    </row>
    <row r="11">
      <c r="A11" s="450" t="inlineStr">
        <is>
          <t>Administrative &amp; R&amp;D expenses</t>
        </is>
      </c>
      <c r="B11" s="451">
        <f>B12+B13</f>
        <v/>
      </c>
      <c r="C11" s="451">
        <f>C12+C13</f>
        <v/>
      </c>
      <c r="D11" s="451">
        <f>D12+D13</f>
        <v/>
      </c>
      <c r="E11" s="451">
        <f>E12+E13</f>
        <v/>
      </c>
      <c r="F11" s="451">
        <f>F12+F13</f>
        <v/>
      </c>
      <c r="G11" s="451">
        <f>G12+G13</f>
        <v/>
      </c>
      <c r="H11" s="451">
        <f>H12+H13</f>
        <v/>
      </c>
      <c r="I11" s="451">
        <f>I12+I13</f>
        <v/>
      </c>
      <c r="J11" s="451">
        <f>J12+J13</f>
        <v/>
      </c>
      <c r="K11" s="451">
        <f>K12+K13</f>
        <v/>
      </c>
      <c r="L11" s="451">
        <f>L12+L13</f>
        <v/>
      </c>
      <c r="M11" s="451">
        <f>M12+M13</f>
        <v/>
      </c>
      <c r="N11" s="451">
        <f>N12+N13</f>
        <v/>
      </c>
      <c r="O11" s="451">
        <f>O12+O13</f>
        <v/>
      </c>
      <c r="P11" s="451">
        <f>P12+P13</f>
        <v/>
      </c>
      <c r="Q11" s="451">
        <f>Q12+Q13</f>
        <v/>
      </c>
      <c r="R11" s="451">
        <f>R12+R13</f>
        <v/>
      </c>
      <c r="S11" s="451">
        <f>S12+S13</f>
        <v/>
      </c>
      <c r="T11" s="451">
        <f>T12+T13</f>
        <v/>
      </c>
      <c r="U11" s="451">
        <f>-U4*U14-U10</f>
        <v/>
      </c>
      <c r="V11" s="451">
        <f>-V4*V14-V10</f>
        <v/>
      </c>
      <c r="W11" s="451">
        <f>-W4*W14-W10</f>
        <v/>
      </c>
      <c r="X11" s="451">
        <f>-X4*X14-X10</f>
        <v/>
      </c>
      <c r="Y11" s="451">
        <f>-Y4*Y14-Y10</f>
        <v/>
      </c>
      <c r="Z11" s="451">
        <f>-Z4*Z14-Z10</f>
        <v/>
      </c>
      <c r="AA11" s="452">
        <f>+U11-T11</f>
        <v/>
      </c>
      <c r="AB11" s="348">
        <f>+AA11/T11</f>
        <v/>
      </c>
      <c r="AC11" s="451" t="n">
        <v>-7624.898101546736</v>
      </c>
      <c r="AD11" s="452">
        <f>+U11-AC11</f>
        <v/>
      </c>
      <c r="AE11" s="348">
        <f>+AD11/AC11</f>
        <v/>
      </c>
      <c r="AF11" s="169" t="n"/>
      <c r="AG11" s="451">
        <f>AG12+AG13</f>
        <v/>
      </c>
      <c r="AH11" s="451">
        <f>B11-AG11</f>
        <v/>
      </c>
      <c r="AI11" s="451">
        <f>AI12+AI13</f>
        <v/>
      </c>
      <c r="AJ11" s="451">
        <f>C11-AI11</f>
        <v/>
      </c>
      <c r="AK11" s="451">
        <f>AK12+AK13</f>
        <v/>
      </c>
      <c r="AL11" s="451">
        <f>D11-AK11</f>
        <v/>
      </c>
      <c r="AM11" s="451">
        <f>AM12+AM13</f>
        <v/>
      </c>
      <c r="AN11" s="451">
        <f>E11-AM11</f>
        <v/>
      </c>
      <c r="AO11" s="451">
        <f>AO12+AO13</f>
        <v/>
      </c>
      <c r="AP11" s="451">
        <f>F11-AO11</f>
        <v/>
      </c>
      <c r="AQ11" s="451">
        <f>AQ12+AQ13</f>
        <v/>
      </c>
      <c r="AR11" s="451">
        <f>G11-AQ11</f>
        <v/>
      </c>
      <c r="AS11" s="451">
        <f>AS12+AS13</f>
        <v/>
      </c>
      <c r="AT11" s="451">
        <f>H11-AS11</f>
        <v/>
      </c>
      <c r="AU11" s="451">
        <f>AU12+AU13</f>
        <v/>
      </c>
      <c r="AV11" s="451">
        <f>I11-AU11</f>
        <v/>
      </c>
      <c r="AW11" s="451">
        <f>AW12+AW13</f>
        <v/>
      </c>
      <c r="AX11" s="451">
        <f>J11-AW11</f>
        <v/>
      </c>
      <c r="AY11" s="451">
        <f>AY12+AY13</f>
        <v/>
      </c>
      <c r="AZ11" s="451">
        <f>K11-AY11</f>
        <v/>
      </c>
      <c r="BA11" s="451">
        <f>BA12+BA13</f>
        <v/>
      </c>
      <c r="BB11" s="451">
        <f>L11-BA11</f>
        <v/>
      </c>
      <c r="BC11" s="451">
        <f>BC12+BC13</f>
        <v/>
      </c>
      <c r="BD11" s="451">
        <f>M11-BC11</f>
        <v/>
      </c>
      <c r="BE11" s="451">
        <f>BE12+BE13</f>
        <v/>
      </c>
      <c r="BF11" s="451">
        <f>N11-BE11</f>
        <v/>
      </c>
      <c r="BG11" s="451">
        <f>BG12+BG13</f>
        <v/>
      </c>
      <c r="BH11" s="451">
        <f>O11-BG11</f>
        <v/>
      </c>
      <c r="BI11" s="451">
        <f>BI12+BI13</f>
        <v/>
      </c>
      <c r="BJ11" s="451">
        <f>P11-BI11</f>
        <v/>
      </c>
      <c r="BK11" s="451">
        <f>BK12+BK13</f>
        <v/>
      </c>
      <c r="BL11" s="451">
        <f>Q11-BK11</f>
        <v/>
      </c>
      <c r="BM11" s="451">
        <f>BM12+BM13</f>
        <v/>
      </c>
      <c r="BN11" s="451">
        <f>R11-BM11</f>
        <v/>
      </c>
      <c r="BO11" s="451">
        <f>BO12+BO13</f>
        <v/>
      </c>
      <c r="BP11" s="451">
        <f>S11-BO11</f>
        <v/>
      </c>
      <c r="BQ11" s="451">
        <f>BQ12+BQ13</f>
        <v/>
      </c>
      <c r="BR11" s="451">
        <f>T11-BQ11</f>
        <v/>
      </c>
      <c r="BS11" s="451" t="n"/>
      <c r="BT11" s="451">
        <f>U11-BS11</f>
        <v/>
      </c>
      <c r="BU11" s="453">
        <f>BT11-BR11</f>
        <v/>
      </c>
      <c r="BV11" s="379">
        <f>BU11/BR11</f>
        <v/>
      </c>
      <c r="BW11" s="379">
        <f>BT11/T11</f>
        <v/>
      </c>
      <c r="BX11" s="379">
        <f>BT11/U11</f>
        <v/>
      </c>
      <c r="BZ11" s="451">
        <f>BZ12+BZ13</f>
        <v/>
      </c>
      <c r="CA11" s="451">
        <f>CA12+CA13</f>
        <v/>
      </c>
      <c r="CB11" s="451">
        <f>CB12+CB13</f>
        <v/>
      </c>
      <c r="CC11" s="451">
        <f>CC12+CC13</f>
        <v/>
      </c>
      <c r="CD11" s="451">
        <f>CD12+CD13</f>
        <v/>
      </c>
      <c r="CE11" s="451">
        <f>CE12+CE13</f>
        <v/>
      </c>
      <c r="CF11" s="451">
        <f>CF12+CF13</f>
        <v/>
      </c>
      <c r="CG11" s="451">
        <f>CG12+CG13</f>
        <v/>
      </c>
      <c r="CH11" s="451">
        <f>CH12+CH13</f>
        <v/>
      </c>
      <c r="CI11" s="451">
        <f>CI12+CI13</f>
        <v/>
      </c>
      <c r="CJ11" s="451">
        <f>CJ12+CJ13</f>
        <v/>
      </c>
      <c r="CK11" s="451">
        <f>CK12+CK13</f>
        <v/>
      </c>
      <c r="CL11" s="451">
        <f>CL12+CL13</f>
        <v/>
      </c>
      <c r="CM11" s="451">
        <f>CM12+CM13</f>
        <v/>
      </c>
      <c r="CN11" s="451">
        <f>CN12+CN13</f>
        <v/>
      </c>
      <c r="CO11" s="451">
        <f>CO12+CO13</f>
        <v/>
      </c>
      <c r="CP11" s="451">
        <f>CP12+CP13</f>
        <v/>
      </c>
      <c r="CQ11" s="451">
        <f>CQ12+CQ13</f>
        <v/>
      </c>
      <c r="CR11" s="451">
        <f>CR12+CR13</f>
        <v/>
      </c>
      <c r="CS11" s="451">
        <f>CS12+CS13</f>
        <v/>
      </c>
      <c r="CT11" s="451">
        <f>CT12+CT13</f>
        <v/>
      </c>
      <c r="CU11" s="451">
        <f>CU12+CU13</f>
        <v/>
      </c>
      <c r="CV11" s="451">
        <f>CV12+CV13</f>
        <v/>
      </c>
      <c r="CW11" s="451">
        <f>CW12+CW13</f>
        <v/>
      </c>
      <c r="CX11" s="451">
        <f>CX12+CX13</f>
        <v/>
      </c>
      <c r="CY11" s="451">
        <f>CY12+CY13</f>
        <v/>
      </c>
      <c r="CZ11" s="451">
        <f>CZ12+CZ13</f>
        <v/>
      </c>
      <c r="DA11" s="451">
        <f>DA12+DA13</f>
        <v/>
      </c>
      <c r="DB11" s="451">
        <f>DB12+DB13</f>
        <v/>
      </c>
      <c r="DC11" s="451">
        <f>DC12+DC13</f>
        <v/>
      </c>
      <c r="DD11" s="451">
        <f>DD12+DD13</f>
        <v/>
      </c>
      <c r="DE11" s="451">
        <f>DE12+DE13</f>
        <v/>
      </c>
      <c r="DF11" s="451">
        <f>DF12+DF13</f>
        <v/>
      </c>
      <c r="DG11" s="451">
        <f>DG12+DG13</f>
        <v/>
      </c>
      <c r="DH11" s="451">
        <f>DH12+DH13</f>
        <v/>
      </c>
      <c r="DI11" s="451">
        <f>DI12+DI13</f>
        <v/>
      </c>
      <c r="DJ11" s="451">
        <f>DJ12+DJ13</f>
        <v/>
      </c>
      <c r="DK11" s="451">
        <f>DK12+DK13</f>
        <v/>
      </c>
      <c r="DL11" s="451">
        <f>DL12+DL13</f>
        <v/>
      </c>
      <c r="DM11" s="451">
        <f>DM12+DM13</f>
        <v/>
      </c>
      <c r="DN11" s="451">
        <f>DN12+DN13</f>
        <v/>
      </c>
      <c r="DO11" s="451">
        <f>DO12+DO13</f>
        <v/>
      </c>
      <c r="DP11" s="451">
        <f>DP12+DP13</f>
        <v/>
      </c>
      <c r="DQ11" s="451">
        <f>DQ12+DQ13</f>
        <v/>
      </c>
      <c r="DR11" s="451">
        <f>DR12+DR13</f>
        <v/>
      </c>
      <c r="DS11" s="451">
        <f>DS12+DS13</f>
        <v/>
      </c>
      <c r="DT11" s="451">
        <f>DT12+DT13</f>
        <v/>
      </c>
      <c r="DU11" s="451">
        <f>DU12+DU13</f>
        <v/>
      </c>
      <c r="DV11" s="451">
        <f>DV12+DV13</f>
        <v/>
      </c>
      <c r="DW11" s="451">
        <f>DW12+DW13</f>
        <v/>
      </c>
      <c r="DX11" s="451">
        <f>DX12+DX13</f>
        <v/>
      </c>
      <c r="DY11" s="451">
        <f>DY12+DY13</f>
        <v/>
      </c>
      <c r="DZ11" s="451">
        <f>DZ12+DZ13</f>
        <v/>
      </c>
      <c r="EA11" s="451">
        <f>EA12+EA13</f>
        <v/>
      </c>
      <c r="EB11" s="451">
        <f>EB12+EB13</f>
        <v/>
      </c>
      <c r="EC11" s="451">
        <f>EC12+EC13</f>
        <v/>
      </c>
      <c r="ED11" s="451">
        <f>ED12+ED13</f>
        <v/>
      </c>
      <c r="EE11" s="451">
        <f>EE12+EE13</f>
        <v/>
      </c>
      <c r="EF11" s="451">
        <f>EF12+EF13</f>
        <v/>
      </c>
      <c r="EG11" s="451">
        <f>EG12+EG13</f>
        <v/>
      </c>
      <c r="EH11" s="451">
        <f>EH12+EH13</f>
        <v/>
      </c>
      <c r="EI11" s="451">
        <f>EI12+EI13</f>
        <v/>
      </c>
      <c r="EJ11" s="451">
        <f>EJ12+EJ13</f>
        <v/>
      </c>
      <c r="EK11" s="451">
        <f>EK12+EK13</f>
        <v/>
      </c>
      <c r="EL11" s="451">
        <f>EL12+EL13</f>
        <v/>
      </c>
      <c r="EM11" s="451">
        <f>EM12+EM13</f>
        <v/>
      </c>
      <c r="EN11" s="451">
        <f>EN12+EN13</f>
        <v/>
      </c>
      <c r="EO11" s="451">
        <f>EO12+EO13</f>
        <v/>
      </c>
      <c r="EP11" s="451">
        <f>EP12+EP13</f>
        <v/>
      </c>
      <c r="EQ11" s="451">
        <f>EQ12+EQ13</f>
        <v/>
      </c>
      <c r="ER11" s="451">
        <f>ER12+ER13</f>
        <v/>
      </c>
      <c r="ES11" s="451">
        <f>ES12+ES13</f>
        <v/>
      </c>
      <c r="ET11" s="451">
        <f>ET12+ET13</f>
        <v/>
      </c>
      <c r="EU11" s="451">
        <f>EU12+EU13</f>
        <v/>
      </c>
      <c r="EV11" s="451">
        <f>EV12+EV13</f>
        <v/>
      </c>
      <c r="EW11" s="451">
        <f>EW12+EW13</f>
        <v/>
      </c>
      <c r="EX11" s="451">
        <f>EX12+EX13</f>
        <v/>
      </c>
      <c r="EY11" s="451">
        <f>EY12+EY13</f>
        <v/>
      </c>
      <c r="EZ11" s="454" t="n"/>
      <c r="FA11" s="454" t="n"/>
      <c r="FB11" s="453">
        <f>+FA11-EW11</f>
        <v/>
      </c>
      <c r="FC11" s="379">
        <f>+FB11/EW11</f>
        <v/>
      </c>
      <c r="FD11" s="379">
        <f>+FA11/T11</f>
        <v/>
      </c>
      <c r="FE11" s="379">
        <f>+FA11/U11</f>
        <v/>
      </c>
    </row>
    <row r="12">
      <c r="A12" s="450" t="inlineStr">
        <is>
          <t xml:space="preserve">    Admin expense</t>
        </is>
      </c>
      <c r="B12" s="451">
        <f>-'Raw financials'!B11</f>
        <v/>
      </c>
      <c r="C12" s="451">
        <f>-'Raw financials'!C11</f>
        <v/>
      </c>
      <c r="D12" s="451">
        <f>-'Raw financials'!D11</f>
        <v/>
      </c>
      <c r="E12" s="451">
        <f>-'Raw financials'!E11</f>
        <v/>
      </c>
      <c r="F12" s="451">
        <f>-'Raw financials'!F11</f>
        <v/>
      </c>
      <c r="G12" s="451">
        <f>-'Raw financials'!G11</f>
        <v/>
      </c>
      <c r="H12" s="451">
        <f>-'Raw financials'!H11</f>
        <v/>
      </c>
      <c r="I12" s="451">
        <f>-'Raw financials'!I11</f>
        <v/>
      </c>
      <c r="J12" s="451">
        <f>-'Raw financials'!J11</f>
        <v/>
      </c>
      <c r="K12" s="451">
        <f>-'Raw financials'!K11</f>
        <v/>
      </c>
      <c r="L12" s="451">
        <f>-'Raw financials'!L11</f>
        <v/>
      </c>
      <c r="M12" s="451">
        <f>-'Raw financials'!M11</f>
        <v/>
      </c>
      <c r="N12" s="451">
        <f>-'Raw financials'!N11</f>
        <v/>
      </c>
      <c r="O12" s="451">
        <f>-'Raw financials'!O11</f>
        <v/>
      </c>
      <c r="P12" s="451">
        <f>-'Raw financials'!P11</f>
        <v/>
      </c>
      <c r="Q12" s="451">
        <f>-'Raw financials'!Q11</f>
        <v/>
      </c>
      <c r="R12" s="451">
        <f>-'Raw financials'!R11</f>
        <v/>
      </c>
      <c r="S12" s="451">
        <f>-'Raw financials'!S11</f>
        <v/>
      </c>
      <c r="T12" s="451">
        <f>-'Raw financials'!T11</f>
        <v/>
      </c>
      <c r="U12" s="451" t="n"/>
      <c r="V12" s="451" t="n"/>
      <c r="W12" s="451" t="n"/>
      <c r="X12" s="451" t="n"/>
      <c r="Y12" s="451" t="n"/>
      <c r="Z12" s="451" t="n"/>
      <c r="AA12" s="452">
        <f>+U12-T12</f>
        <v/>
      </c>
      <c r="AB12" s="348">
        <f>+AA12/T12</f>
        <v/>
      </c>
      <c r="AC12" s="451" t="n"/>
      <c r="AD12" s="452">
        <f>+U12-AC12</f>
        <v/>
      </c>
      <c r="AE12" s="348">
        <f>+AD12/AC12</f>
        <v/>
      </c>
      <c r="AF12" s="451" t="n"/>
      <c r="AG12" s="451">
        <f>-'Raw financials'!AA11</f>
        <v/>
      </c>
      <c r="AH12" s="451" t="n"/>
      <c r="AI12" s="451">
        <f>-'Raw financials'!AB11</f>
        <v/>
      </c>
      <c r="AJ12" s="451" t="n"/>
      <c r="AK12" s="451">
        <f>-'Raw financials'!AC11</f>
        <v/>
      </c>
      <c r="AL12" s="451" t="n"/>
      <c r="AM12" s="451">
        <f>-'Raw financials'!AD11</f>
        <v/>
      </c>
      <c r="AN12" s="451" t="n"/>
      <c r="AO12" s="451">
        <f>-'Raw financials'!AE11</f>
        <v/>
      </c>
      <c r="AP12" s="451" t="n"/>
      <c r="AQ12" s="451">
        <f>-'Raw financials'!AF11</f>
        <v/>
      </c>
      <c r="AR12" s="451" t="n"/>
      <c r="AS12" s="451">
        <f>-'Raw financials'!AG11</f>
        <v/>
      </c>
      <c r="AT12" s="451" t="n"/>
      <c r="AU12" s="451">
        <f>-'Raw financials'!AH11</f>
        <v/>
      </c>
      <c r="AV12" s="451" t="n"/>
      <c r="AW12" s="451">
        <f>-'Raw financials'!AI11</f>
        <v/>
      </c>
      <c r="AX12" s="451" t="n"/>
      <c r="AY12" s="451">
        <f>-'Raw financials'!AJ11</f>
        <v/>
      </c>
      <c r="AZ12" s="451" t="n"/>
      <c r="BA12" s="451">
        <f>-'Raw financials'!AK11</f>
        <v/>
      </c>
      <c r="BB12" s="451" t="n"/>
      <c r="BC12" s="451">
        <f>-'Raw financials'!AL11</f>
        <v/>
      </c>
      <c r="BD12" s="451" t="n"/>
      <c r="BE12" s="451">
        <f>-'Raw financials'!AM11</f>
        <v/>
      </c>
      <c r="BF12" s="451" t="n"/>
      <c r="BG12" s="451">
        <f>-'Raw financials'!AN11</f>
        <v/>
      </c>
      <c r="BH12" s="451" t="n"/>
      <c r="BI12" s="451">
        <f>-'Raw financials'!AO11</f>
        <v/>
      </c>
      <c r="BJ12" s="451" t="n"/>
      <c r="BK12" s="451">
        <f>-'Raw financials'!AP11</f>
        <v/>
      </c>
      <c r="BL12" s="451" t="n"/>
      <c r="BM12" s="451">
        <f>-'Raw financials'!AQ11</f>
        <v/>
      </c>
      <c r="BN12" s="451" t="n"/>
      <c r="BO12" s="451">
        <f>-'Raw financials'!AR11</f>
        <v/>
      </c>
      <c r="BP12" s="451" t="n"/>
      <c r="BQ12" s="451">
        <f>-'Raw financials'!AS11</f>
        <v/>
      </c>
      <c r="BR12" s="451" t="n"/>
      <c r="BS12" s="451" t="n"/>
      <c r="BT12" s="451" t="n"/>
      <c r="BU12" s="453">
        <f>BT12-BR12</f>
        <v/>
      </c>
      <c r="BV12" s="379">
        <f>BU12/BR12</f>
        <v/>
      </c>
      <c r="BW12" s="379">
        <f>BT12/T12</f>
        <v/>
      </c>
      <c r="BX12" s="379">
        <f>BT12/U12</f>
        <v/>
      </c>
      <c r="BZ12" s="451">
        <f>-'Raw financials'!BN11</f>
        <v/>
      </c>
      <c r="CA12" s="451">
        <f>-'Raw financials'!BO11</f>
        <v/>
      </c>
      <c r="CB12" s="451">
        <f>-'Raw financials'!BP11</f>
        <v/>
      </c>
      <c r="CC12" s="451">
        <f>-'Raw financials'!BQ11</f>
        <v/>
      </c>
      <c r="CD12" s="451">
        <f>-'Raw financials'!BR11</f>
        <v/>
      </c>
      <c r="CE12" s="451">
        <f>-'Raw financials'!BS11</f>
        <v/>
      </c>
      <c r="CF12" s="451">
        <f>-'Raw financials'!BT11</f>
        <v/>
      </c>
      <c r="CG12" s="451">
        <f>-'Raw financials'!BU11</f>
        <v/>
      </c>
      <c r="CH12" s="451">
        <f>-'Raw financials'!BV11</f>
        <v/>
      </c>
      <c r="CI12" s="451">
        <f>-'Raw financials'!BW11</f>
        <v/>
      </c>
      <c r="CJ12" s="451">
        <f>-'Raw financials'!BX11</f>
        <v/>
      </c>
      <c r="CK12" s="451">
        <f>-'Raw financials'!BY11</f>
        <v/>
      </c>
      <c r="CL12" s="451">
        <f>-'Raw financials'!BZ11</f>
        <v/>
      </c>
      <c r="CM12" s="451">
        <f>-'Raw financials'!CA11</f>
        <v/>
      </c>
      <c r="CN12" s="451">
        <f>-'Raw financials'!CB11</f>
        <v/>
      </c>
      <c r="CO12" s="451">
        <f>-'Raw financials'!CC11</f>
        <v/>
      </c>
      <c r="CP12" s="451">
        <f>-'Raw financials'!CD11</f>
        <v/>
      </c>
      <c r="CQ12" s="451">
        <f>-'Raw financials'!CE11</f>
        <v/>
      </c>
      <c r="CR12" s="451">
        <f>-'Raw financials'!CF11</f>
        <v/>
      </c>
      <c r="CS12" s="451">
        <f>-'Raw financials'!CG11</f>
        <v/>
      </c>
      <c r="CT12" s="451">
        <f>-'Raw financials'!CH11</f>
        <v/>
      </c>
      <c r="CU12" s="451">
        <f>-'Raw financials'!CI11</f>
        <v/>
      </c>
      <c r="CV12" s="451">
        <f>-'Raw financials'!CJ11</f>
        <v/>
      </c>
      <c r="CW12" s="451">
        <f>-'Raw financials'!CK11</f>
        <v/>
      </c>
      <c r="CX12" s="451">
        <f>-'Raw financials'!CL11</f>
        <v/>
      </c>
      <c r="CY12" s="451">
        <f>-'Raw financials'!CM11</f>
        <v/>
      </c>
      <c r="CZ12" s="451">
        <f>-'Raw financials'!CN11</f>
        <v/>
      </c>
      <c r="DA12" s="451">
        <f>-'Raw financials'!CO11</f>
        <v/>
      </c>
      <c r="DB12" s="451">
        <f>-'Raw financials'!CP11</f>
        <v/>
      </c>
      <c r="DC12" s="451">
        <f>-'Raw financials'!CQ11</f>
        <v/>
      </c>
      <c r="DD12" s="451">
        <f>-'Raw financials'!CR11</f>
        <v/>
      </c>
      <c r="DE12" s="451">
        <f>-'Raw financials'!CS11</f>
        <v/>
      </c>
      <c r="DF12" s="451">
        <f>-'Raw financials'!CT11</f>
        <v/>
      </c>
      <c r="DG12" s="451">
        <f>-'Raw financials'!CU11</f>
        <v/>
      </c>
      <c r="DH12" s="451">
        <f>-'Raw financials'!CV11</f>
        <v/>
      </c>
      <c r="DI12" s="451">
        <f>-'Raw financials'!CW11</f>
        <v/>
      </c>
      <c r="DJ12" s="451">
        <f>-'Raw financials'!CX11</f>
        <v/>
      </c>
      <c r="DK12" s="451">
        <f>-'Raw financials'!CY11</f>
        <v/>
      </c>
      <c r="DL12" s="451">
        <f>-'Raw financials'!CZ11</f>
        <v/>
      </c>
      <c r="DM12" s="451">
        <f>-'Raw financials'!DA11</f>
        <v/>
      </c>
      <c r="DN12" s="451">
        <f>-'Raw financials'!DB11</f>
        <v/>
      </c>
      <c r="DO12" s="451">
        <f>-'Raw financials'!DC11</f>
        <v/>
      </c>
      <c r="DP12" s="451">
        <f>-'Raw financials'!DD11</f>
        <v/>
      </c>
      <c r="DQ12" s="451">
        <f>-'Raw financials'!DE11</f>
        <v/>
      </c>
      <c r="DR12" s="451">
        <f>-'Raw financials'!DF11</f>
        <v/>
      </c>
      <c r="DS12" s="451">
        <f>-'Raw financials'!DG11</f>
        <v/>
      </c>
      <c r="DT12" s="451">
        <f>-'Raw financials'!DH11</f>
        <v/>
      </c>
      <c r="DU12" s="451">
        <f>-'Raw financials'!DI11</f>
        <v/>
      </c>
      <c r="DV12" s="451">
        <f>-'Raw financials'!DJ11</f>
        <v/>
      </c>
      <c r="DW12" s="451">
        <f>-'Raw financials'!DK11</f>
        <v/>
      </c>
      <c r="DX12" s="451">
        <f>-'Raw financials'!DL11</f>
        <v/>
      </c>
      <c r="DY12" s="451">
        <f>-'Raw financials'!DM11</f>
        <v/>
      </c>
      <c r="DZ12" s="451">
        <f>-'Raw financials'!DN11</f>
        <v/>
      </c>
      <c r="EA12" s="451">
        <f>-'Raw financials'!DO11</f>
        <v/>
      </c>
      <c r="EB12" s="451">
        <f>-'Raw financials'!DP11</f>
        <v/>
      </c>
      <c r="EC12" s="451">
        <f>-'Raw financials'!DQ11</f>
        <v/>
      </c>
      <c r="ED12" s="451">
        <f>-'Raw financials'!DR11</f>
        <v/>
      </c>
      <c r="EE12" s="451">
        <f>-'Raw financials'!DS11</f>
        <v/>
      </c>
      <c r="EF12" s="451">
        <f>-'Raw financials'!DT11</f>
        <v/>
      </c>
      <c r="EG12" s="451">
        <f>-'Raw financials'!DU11</f>
        <v/>
      </c>
      <c r="EH12" s="451">
        <f>-'Raw financials'!DV11</f>
        <v/>
      </c>
      <c r="EI12" s="451">
        <f>-'Raw financials'!DW11</f>
        <v/>
      </c>
      <c r="EJ12" s="451">
        <f>-'Raw financials'!DX11</f>
        <v/>
      </c>
      <c r="EK12" s="451">
        <f>-'Raw financials'!DY11</f>
        <v/>
      </c>
      <c r="EL12" s="451">
        <f>-'Raw financials'!DZ11</f>
        <v/>
      </c>
      <c r="EM12" s="451">
        <f>-'Raw financials'!EA11</f>
        <v/>
      </c>
      <c r="EN12" s="451">
        <f>-'Raw financials'!EB11</f>
        <v/>
      </c>
      <c r="EO12" s="451">
        <f>-'Raw financials'!EC11</f>
        <v/>
      </c>
      <c r="EP12" s="451">
        <f>-'Raw financials'!ED11</f>
        <v/>
      </c>
      <c r="EQ12" s="451">
        <f>-'Raw financials'!EE11</f>
        <v/>
      </c>
      <c r="ER12" s="451">
        <f>-'Raw financials'!EF11</f>
        <v/>
      </c>
      <c r="ES12" s="451">
        <f>-'Raw financials'!EG11</f>
        <v/>
      </c>
      <c r="ET12" s="451">
        <f>-'Raw financials'!EH11</f>
        <v/>
      </c>
      <c r="EU12" s="451">
        <f>-'Raw financials'!EI11</f>
        <v/>
      </c>
      <c r="EV12" s="451">
        <f>-'Raw financials'!EJ11</f>
        <v/>
      </c>
      <c r="EW12" s="451">
        <f>-'Raw financials'!EK11</f>
        <v/>
      </c>
      <c r="EX12" s="451">
        <f>-'Raw financials'!EL11</f>
        <v/>
      </c>
      <c r="EY12" s="451">
        <f>-'Raw financials'!EM11</f>
        <v/>
      </c>
      <c r="EZ12" s="454" t="n"/>
      <c r="FA12" s="454" t="n"/>
      <c r="FB12" s="453">
        <f>+FA12-EW12</f>
        <v/>
      </c>
      <c r="FC12" s="379">
        <f>+FB12/EW12</f>
        <v/>
      </c>
      <c r="FD12" s="379">
        <f>+FA12/T12</f>
        <v/>
      </c>
      <c r="FE12" s="379">
        <f>+FA12/U12</f>
        <v/>
      </c>
    </row>
    <row r="13">
      <c r="A13" s="450" t="inlineStr">
        <is>
          <t xml:space="preserve">    R&amp;D expense</t>
        </is>
      </c>
      <c r="B13" s="451">
        <f>-'Raw financials'!B12</f>
        <v/>
      </c>
      <c r="C13" s="451">
        <f>-'Raw financials'!C12</f>
        <v/>
      </c>
      <c r="D13" s="451">
        <f>-'Raw financials'!D12</f>
        <v/>
      </c>
      <c r="E13" s="451">
        <f>-'Raw financials'!E12</f>
        <v/>
      </c>
      <c r="F13" s="451">
        <f>-'Raw financials'!F12</f>
        <v/>
      </c>
      <c r="G13" s="451">
        <f>-'Raw financials'!G12</f>
        <v/>
      </c>
      <c r="H13" s="451">
        <f>-'Raw financials'!H12</f>
        <v/>
      </c>
      <c r="I13" s="451">
        <f>-'Raw financials'!I12</f>
        <v/>
      </c>
      <c r="J13" s="451">
        <f>-'Raw financials'!J12</f>
        <v/>
      </c>
      <c r="K13" s="451">
        <f>-'Raw financials'!K12</f>
        <v/>
      </c>
      <c r="L13" s="451">
        <f>-'Raw financials'!L12</f>
        <v/>
      </c>
      <c r="M13" s="451">
        <f>-'Raw financials'!M12</f>
        <v/>
      </c>
      <c r="N13" s="451">
        <f>-'Raw financials'!N12</f>
        <v/>
      </c>
      <c r="O13" s="451">
        <f>-'Raw financials'!O12</f>
        <v/>
      </c>
      <c r="P13" s="451">
        <f>-'Raw financials'!P12</f>
        <v/>
      </c>
      <c r="Q13" s="451">
        <f>-'Raw financials'!Q12</f>
        <v/>
      </c>
      <c r="R13" s="451">
        <f>-'Raw financials'!R12</f>
        <v/>
      </c>
      <c r="S13" s="451">
        <f>-'Raw financials'!S12</f>
        <v/>
      </c>
      <c r="T13" s="451">
        <f>-'Raw financials'!T12</f>
        <v/>
      </c>
      <c r="U13" s="451" t="n"/>
      <c r="V13" s="451" t="n"/>
      <c r="W13" s="451" t="n"/>
      <c r="X13" s="451" t="n"/>
      <c r="Y13" s="451" t="n"/>
      <c r="Z13" s="451" t="n"/>
      <c r="AA13" s="452">
        <f>+U13-T13</f>
        <v/>
      </c>
      <c r="AB13" s="348">
        <f>+AA13/T13</f>
        <v/>
      </c>
      <c r="AC13" s="451" t="n"/>
      <c r="AD13" s="452">
        <f>+U13-AC13</f>
        <v/>
      </c>
      <c r="AE13" s="348">
        <f>+AD13/AC13</f>
        <v/>
      </c>
      <c r="AF13" s="451" t="n"/>
      <c r="AG13" s="451">
        <f>-'Raw financials'!AA12</f>
        <v/>
      </c>
      <c r="AH13" s="451" t="n"/>
      <c r="AI13" s="451">
        <f>-'Raw financials'!AB12</f>
        <v/>
      </c>
      <c r="AJ13" s="451" t="n"/>
      <c r="AK13" s="451">
        <f>-'Raw financials'!AC12</f>
        <v/>
      </c>
      <c r="AL13" s="451" t="n"/>
      <c r="AM13" s="451">
        <f>-'Raw financials'!AD12</f>
        <v/>
      </c>
      <c r="AN13" s="451" t="n"/>
      <c r="AO13" s="451">
        <f>-'Raw financials'!AE12</f>
        <v/>
      </c>
      <c r="AP13" s="451" t="n"/>
      <c r="AQ13" s="451">
        <f>-'Raw financials'!AF12</f>
        <v/>
      </c>
      <c r="AR13" s="451" t="n"/>
      <c r="AS13" s="451">
        <f>-'Raw financials'!AG12</f>
        <v/>
      </c>
      <c r="AT13" s="451" t="n"/>
      <c r="AU13" s="451">
        <f>-'Raw financials'!AH12</f>
        <v/>
      </c>
      <c r="AV13" s="451" t="n"/>
      <c r="AW13" s="451">
        <f>-'Raw financials'!AI12</f>
        <v/>
      </c>
      <c r="AX13" s="451" t="n"/>
      <c r="AY13" s="451">
        <f>-'Raw financials'!AJ12</f>
        <v/>
      </c>
      <c r="AZ13" s="451" t="n"/>
      <c r="BA13" s="451">
        <f>-'Raw financials'!AK12</f>
        <v/>
      </c>
      <c r="BB13" s="451" t="n"/>
      <c r="BC13" s="451">
        <f>-'Raw financials'!AL12</f>
        <v/>
      </c>
      <c r="BD13" s="451" t="n"/>
      <c r="BE13" s="451">
        <f>-'Raw financials'!AM12</f>
        <v/>
      </c>
      <c r="BF13" s="451" t="n"/>
      <c r="BG13" s="451">
        <f>-'Raw financials'!AN12</f>
        <v/>
      </c>
      <c r="BH13" s="451" t="n"/>
      <c r="BI13" s="451">
        <f>-'Raw financials'!AO12</f>
        <v/>
      </c>
      <c r="BJ13" s="451" t="n"/>
      <c r="BK13" s="451">
        <f>-'Raw financials'!AP12</f>
        <v/>
      </c>
      <c r="BL13" s="451" t="n"/>
      <c r="BM13" s="451">
        <f>-'Raw financials'!AQ12</f>
        <v/>
      </c>
      <c r="BN13" s="451" t="n"/>
      <c r="BO13" s="451">
        <f>-'Raw financials'!AR12</f>
        <v/>
      </c>
      <c r="BP13" s="451" t="n"/>
      <c r="BQ13" s="451">
        <f>-'Raw financials'!AS12</f>
        <v/>
      </c>
      <c r="BR13" s="451" t="n"/>
      <c r="BS13" s="451" t="n"/>
      <c r="BT13" s="451" t="n"/>
      <c r="BU13" s="453">
        <f>BT13-BR13</f>
        <v/>
      </c>
      <c r="BV13" s="379">
        <f>BU13/BR13</f>
        <v/>
      </c>
      <c r="BW13" s="379">
        <f>BT13/T13</f>
        <v/>
      </c>
      <c r="BX13" s="379">
        <f>BT13/U13</f>
        <v/>
      </c>
      <c r="BZ13" s="451">
        <f>-'Raw financials'!BN12</f>
        <v/>
      </c>
      <c r="CA13" s="451">
        <f>-'Raw financials'!BO12</f>
        <v/>
      </c>
      <c r="CB13" s="451">
        <f>-'Raw financials'!BP12</f>
        <v/>
      </c>
      <c r="CC13" s="451">
        <f>-'Raw financials'!BQ12</f>
        <v/>
      </c>
      <c r="CD13" s="451">
        <f>-'Raw financials'!BR12</f>
        <v/>
      </c>
      <c r="CE13" s="451">
        <f>-'Raw financials'!BS12</f>
        <v/>
      </c>
      <c r="CF13" s="451">
        <f>-'Raw financials'!BT12</f>
        <v/>
      </c>
      <c r="CG13" s="451">
        <f>-'Raw financials'!BU12</f>
        <v/>
      </c>
      <c r="CH13" s="451">
        <f>-'Raw financials'!BV12</f>
        <v/>
      </c>
      <c r="CI13" s="451">
        <f>-'Raw financials'!BW12</f>
        <v/>
      </c>
      <c r="CJ13" s="451">
        <f>-'Raw financials'!BX12</f>
        <v/>
      </c>
      <c r="CK13" s="451">
        <f>-'Raw financials'!BY12</f>
        <v/>
      </c>
      <c r="CL13" s="451">
        <f>-'Raw financials'!BZ12</f>
        <v/>
      </c>
      <c r="CM13" s="451">
        <f>-'Raw financials'!CA12</f>
        <v/>
      </c>
      <c r="CN13" s="451">
        <f>-'Raw financials'!CB12</f>
        <v/>
      </c>
      <c r="CO13" s="451">
        <f>-'Raw financials'!CC12</f>
        <v/>
      </c>
      <c r="CP13" s="451">
        <f>-'Raw financials'!CD12</f>
        <v/>
      </c>
      <c r="CQ13" s="451">
        <f>-'Raw financials'!CE12</f>
        <v/>
      </c>
      <c r="CR13" s="451">
        <f>-'Raw financials'!CF12</f>
        <v/>
      </c>
      <c r="CS13" s="451">
        <f>-'Raw financials'!CG12</f>
        <v/>
      </c>
      <c r="CT13" s="451">
        <f>-'Raw financials'!CH12</f>
        <v/>
      </c>
      <c r="CU13" s="451">
        <f>-'Raw financials'!CI12</f>
        <v/>
      </c>
      <c r="CV13" s="451">
        <f>-'Raw financials'!CJ12</f>
        <v/>
      </c>
      <c r="CW13" s="451">
        <f>-'Raw financials'!CK12</f>
        <v/>
      </c>
      <c r="CX13" s="451">
        <f>-'Raw financials'!CL12</f>
        <v/>
      </c>
      <c r="CY13" s="451">
        <f>-'Raw financials'!CM12</f>
        <v/>
      </c>
      <c r="CZ13" s="451">
        <f>-'Raw financials'!CN12</f>
        <v/>
      </c>
      <c r="DA13" s="451">
        <f>-'Raw financials'!CO12</f>
        <v/>
      </c>
      <c r="DB13" s="451">
        <f>-'Raw financials'!CP12</f>
        <v/>
      </c>
      <c r="DC13" s="451">
        <f>-'Raw financials'!CQ12</f>
        <v/>
      </c>
      <c r="DD13" s="451">
        <f>-'Raw financials'!CR12</f>
        <v/>
      </c>
      <c r="DE13" s="451">
        <f>-'Raw financials'!CS12</f>
        <v/>
      </c>
      <c r="DF13" s="451">
        <f>-'Raw financials'!CT12</f>
        <v/>
      </c>
      <c r="DG13" s="451">
        <f>-'Raw financials'!CU12</f>
        <v/>
      </c>
      <c r="DH13" s="451">
        <f>-'Raw financials'!CV12</f>
        <v/>
      </c>
      <c r="DI13" s="451">
        <f>-'Raw financials'!CW12</f>
        <v/>
      </c>
      <c r="DJ13" s="451">
        <f>-'Raw financials'!CX12</f>
        <v/>
      </c>
      <c r="DK13" s="451">
        <f>-'Raw financials'!CY12</f>
        <v/>
      </c>
      <c r="DL13" s="451">
        <f>-'Raw financials'!CZ12</f>
        <v/>
      </c>
      <c r="DM13" s="451">
        <f>-'Raw financials'!DA12</f>
        <v/>
      </c>
      <c r="DN13" s="451">
        <f>-'Raw financials'!DB12</f>
        <v/>
      </c>
      <c r="DO13" s="451">
        <f>-'Raw financials'!DC12</f>
        <v/>
      </c>
      <c r="DP13" s="451">
        <f>-'Raw financials'!DD12</f>
        <v/>
      </c>
      <c r="DQ13" s="451">
        <f>-'Raw financials'!DE12</f>
        <v/>
      </c>
      <c r="DR13" s="451">
        <f>-'Raw financials'!DF12</f>
        <v/>
      </c>
      <c r="DS13" s="451">
        <f>-'Raw financials'!DG12</f>
        <v/>
      </c>
      <c r="DT13" s="451">
        <f>-'Raw financials'!DH12</f>
        <v/>
      </c>
      <c r="DU13" s="451">
        <f>-'Raw financials'!DI12</f>
        <v/>
      </c>
      <c r="DV13" s="451">
        <f>-'Raw financials'!DJ12</f>
        <v/>
      </c>
      <c r="DW13" s="451">
        <f>-'Raw financials'!DK12</f>
        <v/>
      </c>
      <c r="DX13" s="451">
        <f>-'Raw financials'!DL12</f>
        <v/>
      </c>
      <c r="DY13" s="451">
        <f>-'Raw financials'!DM12</f>
        <v/>
      </c>
      <c r="DZ13" s="451">
        <f>-'Raw financials'!DN12</f>
        <v/>
      </c>
      <c r="EA13" s="451">
        <f>-'Raw financials'!DO12</f>
        <v/>
      </c>
      <c r="EB13" s="451">
        <f>-'Raw financials'!DP12</f>
        <v/>
      </c>
      <c r="EC13" s="451">
        <f>-'Raw financials'!DQ12</f>
        <v/>
      </c>
      <c r="ED13" s="451">
        <f>-'Raw financials'!DR12</f>
        <v/>
      </c>
      <c r="EE13" s="451">
        <f>-'Raw financials'!DS12</f>
        <v/>
      </c>
      <c r="EF13" s="451">
        <f>-'Raw financials'!DT12</f>
        <v/>
      </c>
      <c r="EG13" s="451">
        <f>-'Raw financials'!DU12</f>
        <v/>
      </c>
      <c r="EH13" s="451">
        <f>-'Raw financials'!DV12</f>
        <v/>
      </c>
      <c r="EI13" s="451">
        <f>-'Raw financials'!DW12</f>
        <v/>
      </c>
      <c r="EJ13" s="451">
        <f>-'Raw financials'!DX12</f>
        <v/>
      </c>
      <c r="EK13" s="451">
        <f>-'Raw financials'!DY12</f>
        <v/>
      </c>
      <c r="EL13" s="451">
        <f>-'Raw financials'!DZ12</f>
        <v/>
      </c>
      <c r="EM13" s="451">
        <f>-'Raw financials'!EA12</f>
        <v/>
      </c>
      <c r="EN13" s="451">
        <f>-'Raw financials'!EB12</f>
        <v/>
      </c>
      <c r="EO13" s="451">
        <f>-'Raw financials'!EC12</f>
        <v/>
      </c>
      <c r="EP13" s="451">
        <f>-'Raw financials'!ED12</f>
        <v/>
      </c>
      <c r="EQ13" s="451">
        <f>-'Raw financials'!EE12</f>
        <v/>
      </c>
      <c r="ER13" s="451">
        <f>-'Raw financials'!EF12</f>
        <v/>
      </c>
      <c r="ES13" s="451">
        <f>-'Raw financials'!EG12</f>
        <v/>
      </c>
      <c r="ET13" s="451">
        <f>-'Raw financials'!EH12</f>
        <v/>
      </c>
      <c r="EU13" s="451">
        <f>-'Raw financials'!EI12</f>
        <v/>
      </c>
      <c r="EV13" s="451">
        <f>-'Raw financials'!EJ12</f>
        <v/>
      </c>
      <c r="EW13" s="451">
        <f>-'Raw financials'!EK12</f>
        <v/>
      </c>
      <c r="EX13" s="451">
        <f>-'Raw financials'!EL12</f>
        <v/>
      </c>
      <c r="EY13" s="451">
        <f>-'Raw financials'!EM12</f>
        <v/>
      </c>
      <c r="EZ13" s="454" t="n"/>
      <c r="FA13" s="454" t="n"/>
      <c r="FB13" s="453">
        <f>+FA13-EW13</f>
        <v/>
      </c>
      <c r="FC13" s="379">
        <f>+FB13/EW13</f>
        <v/>
      </c>
      <c r="FD13" s="379">
        <f>+FA13/T13</f>
        <v/>
      </c>
      <c r="FE13" s="379">
        <f>+FA13/U13</f>
        <v/>
      </c>
    </row>
    <row r="14" customFormat="1" s="73">
      <c r="A14" s="85" t="inlineStr">
        <is>
          <t>SGA as % of revenue</t>
        </is>
      </c>
      <c r="B14" s="82">
        <f>-(B11+B10)/B4</f>
        <v/>
      </c>
      <c r="C14" s="82">
        <f>-(C11+C10)/C4</f>
        <v/>
      </c>
      <c r="D14" s="82">
        <f>-(D11+D10)/D4</f>
        <v/>
      </c>
      <c r="E14" s="82">
        <f>-(E11+E10)/E4</f>
        <v/>
      </c>
      <c r="F14" s="82">
        <f>-(F11+F10)/F4</f>
        <v/>
      </c>
      <c r="G14" s="82">
        <f>-(G11+G10)/G4</f>
        <v/>
      </c>
      <c r="H14" s="82">
        <f>-(H11+H10)/H4</f>
        <v/>
      </c>
      <c r="I14" s="82">
        <f>-(I11+I10)/I4</f>
        <v/>
      </c>
      <c r="J14" s="82">
        <f>-(J11+J10)/J4</f>
        <v/>
      </c>
      <c r="K14" s="82">
        <f>-(K11+K10)/K4</f>
        <v/>
      </c>
      <c r="L14" s="82">
        <f>-(L11+L10)/L4</f>
        <v/>
      </c>
      <c r="M14" s="82">
        <f>-(M11+M10)/M4</f>
        <v/>
      </c>
      <c r="N14" s="82">
        <f>-(N11+N10)/N4</f>
        <v/>
      </c>
      <c r="O14" s="82">
        <f>-(O11+O10)/O4</f>
        <v/>
      </c>
      <c r="P14" s="82">
        <f>-(P11+P10)/P4</f>
        <v/>
      </c>
      <c r="Q14" s="82">
        <f>-(Q11+Q10)/Q4</f>
        <v/>
      </c>
      <c r="R14" s="82">
        <f>-(R11+R10)/R4</f>
        <v/>
      </c>
      <c r="S14" s="82">
        <f>-(S11+S10)/S4</f>
        <v/>
      </c>
      <c r="T14" s="82">
        <f>-(T11+T10)/T4</f>
        <v/>
      </c>
      <c r="U14" s="84">
        <f>T14</f>
        <v/>
      </c>
      <c r="V14" s="84">
        <f>U14</f>
        <v/>
      </c>
      <c r="W14" s="84">
        <f>V14</f>
        <v/>
      </c>
      <c r="X14" s="84">
        <f>W14</f>
        <v/>
      </c>
      <c r="Y14" s="84">
        <f>X14</f>
        <v/>
      </c>
      <c r="Z14" s="84">
        <f>Y14</f>
        <v/>
      </c>
      <c r="AA14" s="343" t="n"/>
      <c r="AB14" s="348" t="n"/>
      <c r="AC14" s="84" t="n"/>
      <c r="AD14" s="343" t="n"/>
      <c r="AE14" s="348" t="n"/>
      <c r="AF14" s="84" t="n"/>
      <c r="AG14" s="82">
        <f>-(AG11+AG10)/AG4</f>
        <v/>
      </c>
      <c r="AH14" s="82">
        <f>-(AH11+AH10)/AH4</f>
        <v/>
      </c>
      <c r="AI14" s="82">
        <f>-(AI11+AI10)/AI4</f>
        <v/>
      </c>
      <c r="AJ14" s="82">
        <f>-(AJ11+AJ10)/AJ4</f>
        <v/>
      </c>
      <c r="AK14" s="82">
        <f>-(AK11+AK10)/AK4</f>
        <v/>
      </c>
      <c r="AL14" s="82">
        <f>-(AL11+AL10)/AL4</f>
        <v/>
      </c>
      <c r="AM14" s="82">
        <f>-(AM11+AM10)/AM4</f>
        <v/>
      </c>
      <c r="AN14" s="82">
        <f>-(AN11+AN10)/AN4</f>
        <v/>
      </c>
      <c r="AO14" s="82">
        <f>-(AO11+AO10)/AO4</f>
        <v/>
      </c>
      <c r="AP14" s="82">
        <f>-(AP11+AP10)/AP4</f>
        <v/>
      </c>
      <c r="AQ14" s="82">
        <f>-(AQ11+AQ10)/AQ4</f>
        <v/>
      </c>
      <c r="AR14" s="82">
        <f>-(AR11+AR10)/AR4</f>
        <v/>
      </c>
      <c r="AS14" s="82">
        <f>-(AS11+AS10)/AS4</f>
        <v/>
      </c>
      <c r="AT14" s="82">
        <f>-(AT11+AT10)/AT4</f>
        <v/>
      </c>
      <c r="AU14" s="82">
        <f>-(AU11+AU10)/AU4</f>
        <v/>
      </c>
      <c r="AV14" s="82">
        <f>-(AV11+AV10)/AV4</f>
        <v/>
      </c>
      <c r="AW14" s="82">
        <f>-(AW11+AW10)/AW4</f>
        <v/>
      </c>
      <c r="AX14" s="82">
        <f>-(AX11+AX10)/AX4</f>
        <v/>
      </c>
      <c r="AY14" s="82">
        <f>-(AY11+AY10)/AY4</f>
        <v/>
      </c>
      <c r="AZ14" s="82">
        <f>-(AZ11+AZ10)/AZ4</f>
        <v/>
      </c>
      <c r="BA14" s="82">
        <f>-(BA11+BA10)/BA4</f>
        <v/>
      </c>
      <c r="BB14" s="82">
        <f>-(BB11+BB10)/BB4</f>
        <v/>
      </c>
      <c r="BC14" s="82">
        <f>-(BC11+BC10)/BC4</f>
        <v/>
      </c>
      <c r="BD14" s="82">
        <f>-(BD11+BD10)/BD4</f>
        <v/>
      </c>
      <c r="BE14" s="82">
        <f>-(BE11+BE10)/BE4</f>
        <v/>
      </c>
      <c r="BF14" s="82">
        <f>-(BF11+BF10)/BF4</f>
        <v/>
      </c>
      <c r="BG14" s="82">
        <f>-(BG11+BG10)/BG4</f>
        <v/>
      </c>
      <c r="BH14" s="82">
        <f>-(BH11+BH10)/BH4</f>
        <v/>
      </c>
      <c r="BI14" s="82">
        <f>-(BI11+BI10)/BI4</f>
        <v/>
      </c>
      <c r="BJ14" s="82">
        <f>-(BJ11+BJ10)/BJ4</f>
        <v/>
      </c>
      <c r="BK14" s="82">
        <f>-(BK11+BK10)/BK4</f>
        <v/>
      </c>
      <c r="BL14" s="82">
        <f>-(BL11+BL10)/BL4</f>
        <v/>
      </c>
      <c r="BM14" s="82">
        <f>-(BM11+BM10)/BM4</f>
        <v/>
      </c>
      <c r="BN14" s="82">
        <f>-(BN11+BN10)/BN4</f>
        <v/>
      </c>
      <c r="BO14" s="82">
        <f>-(BO11+BO10)/BO4</f>
        <v/>
      </c>
      <c r="BP14" s="82">
        <f>-(BP11+BP10)/BP4</f>
        <v/>
      </c>
      <c r="BQ14" s="82">
        <f>-(BQ11+BQ10)/BQ4</f>
        <v/>
      </c>
      <c r="BR14" s="82">
        <f>-(BR11+BR10)/BR4</f>
        <v/>
      </c>
      <c r="BS14" s="82" t="n"/>
      <c r="BT14" s="82">
        <f>-(BT11+BT10)/BT4</f>
        <v/>
      </c>
      <c r="BU14" s="294">
        <f>BT14-BR14</f>
        <v/>
      </c>
      <c r="BV14" s="294">
        <f>BU14/BR14</f>
        <v/>
      </c>
      <c r="BW14" s="294">
        <f>BT14/T14</f>
        <v/>
      </c>
      <c r="BX14" s="294">
        <f>BT14/U14</f>
        <v/>
      </c>
      <c r="BY14" s="73" t="n"/>
      <c r="BZ14" s="82">
        <f>-(BZ11+BZ10)/BZ4</f>
        <v/>
      </c>
      <c r="CA14" s="82">
        <f>-(CA11+CA10)/CA4</f>
        <v/>
      </c>
      <c r="CB14" s="82">
        <f>-(CB11+CB10)/CB4</f>
        <v/>
      </c>
      <c r="CC14" s="82">
        <f>-(CC11+CC10)/CC4</f>
        <v/>
      </c>
      <c r="CD14" s="82">
        <f>-(CD11+CD10)/CD4</f>
        <v/>
      </c>
      <c r="CE14" s="82">
        <f>-(CE11+CE10)/CE4</f>
        <v/>
      </c>
      <c r="CF14" s="82">
        <f>-(CF11+CF10)/CF4</f>
        <v/>
      </c>
      <c r="CG14" s="82">
        <f>-(CG11+CG10)/CG4</f>
        <v/>
      </c>
      <c r="CH14" s="82">
        <f>-(CH11+CH10)/CH4</f>
        <v/>
      </c>
      <c r="CI14" s="82">
        <f>-(CI11+CI10)/CI4</f>
        <v/>
      </c>
      <c r="CJ14" s="82">
        <f>-(CJ11+CJ10)/CJ4</f>
        <v/>
      </c>
      <c r="CK14" s="82">
        <f>-(CK11+CK10)/CK4</f>
        <v/>
      </c>
      <c r="CL14" s="82">
        <f>-(CL11+CL10)/CL4</f>
        <v/>
      </c>
      <c r="CM14" s="82">
        <f>-(CM11+CM10)/CM4</f>
        <v/>
      </c>
      <c r="CN14" s="82">
        <f>-(CN11+CN10)/CN4</f>
        <v/>
      </c>
      <c r="CO14" s="82">
        <f>-(CO11+CO10)/CO4</f>
        <v/>
      </c>
      <c r="CP14" s="82">
        <f>-(CP11+CP10)/CP4</f>
        <v/>
      </c>
      <c r="CQ14" s="82">
        <f>-(CQ11+CQ10)/CQ4</f>
        <v/>
      </c>
      <c r="CR14" s="82">
        <f>-(CR11+CR10)/CR4</f>
        <v/>
      </c>
      <c r="CS14" s="82">
        <f>-(CS11+CS10)/CS4</f>
        <v/>
      </c>
      <c r="CT14" s="82">
        <f>-(CT11+CT10)/CT4</f>
        <v/>
      </c>
      <c r="CU14" s="82">
        <f>-(CU11+CU10)/CU4</f>
        <v/>
      </c>
      <c r="CV14" s="82">
        <f>-(CV11+CV10)/CV4</f>
        <v/>
      </c>
      <c r="CW14" s="82">
        <f>-(CW11+CW10)/CW4</f>
        <v/>
      </c>
      <c r="CX14" s="82">
        <f>-(CX11+CX10)/CX4</f>
        <v/>
      </c>
      <c r="CY14" s="82">
        <f>-(CY11+CY10)/CY4</f>
        <v/>
      </c>
      <c r="CZ14" s="82">
        <f>-(CZ11+CZ10)/CZ4</f>
        <v/>
      </c>
      <c r="DA14" s="82">
        <f>-(DA11+DA10)/DA4</f>
        <v/>
      </c>
      <c r="DB14" s="82">
        <f>-(DB11+DB10)/DB4</f>
        <v/>
      </c>
      <c r="DC14" s="82">
        <f>-(DC11+DC10)/DC4</f>
        <v/>
      </c>
      <c r="DD14" s="82">
        <f>-(DD11+DD10)/DD4</f>
        <v/>
      </c>
      <c r="DE14" s="82">
        <f>-(DE11+DE10)/DE4</f>
        <v/>
      </c>
      <c r="DF14" s="82">
        <f>-(DF11+DF10)/DF4</f>
        <v/>
      </c>
      <c r="DG14" s="82">
        <f>-(DG11+DG10)/DG4</f>
        <v/>
      </c>
      <c r="DH14" s="82">
        <f>-(DH11+DH10)/DH4</f>
        <v/>
      </c>
      <c r="DI14" s="82">
        <f>-(DI11+DI10)/DI4</f>
        <v/>
      </c>
      <c r="DJ14" s="82">
        <f>-(DJ11+DJ10)/DJ4</f>
        <v/>
      </c>
      <c r="DK14" s="82">
        <f>-(DK11+DK10)/DK4</f>
        <v/>
      </c>
      <c r="DL14" s="82">
        <f>-(DL11+DL10)/DL4</f>
        <v/>
      </c>
      <c r="DM14" s="82">
        <f>-(DM11+DM10)/DM4</f>
        <v/>
      </c>
      <c r="DN14" s="82">
        <f>-(DN11+DN10)/DN4</f>
        <v/>
      </c>
      <c r="DO14" s="82">
        <f>-(DO11+DO10)/DO4</f>
        <v/>
      </c>
      <c r="DP14" s="82">
        <f>-(DP11+DP10)/DP4</f>
        <v/>
      </c>
      <c r="DQ14" s="82">
        <f>-(DQ11+DQ10)/DQ4</f>
        <v/>
      </c>
      <c r="DR14" s="82">
        <f>-(DR11+DR10)/DR4</f>
        <v/>
      </c>
      <c r="DS14" s="82">
        <f>-(DS11+DS10)/DS4</f>
        <v/>
      </c>
      <c r="DT14" s="82">
        <f>-(DT11+DT10)/DT4</f>
        <v/>
      </c>
      <c r="DU14" s="82">
        <f>-(DU11+DU10)/DU4</f>
        <v/>
      </c>
      <c r="DV14" s="82">
        <f>-(DV11+DV10)/DV4</f>
        <v/>
      </c>
      <c r="DW14" s="82">
        <f>-(DW11+DW10)/DW4</f>
        <v/>
      </c>
      <c r="DX14" s="82">
        <f>-(DX11+DX10)/DX4</f>
        <v/>
      </c>
      <c r="DY14" s="82">
        <f>-(DY11+DY10)/DY4</f>
        <v/>
      </c>
      <c r="DZ14" s="82">
        <f>-(DZ11+DZ10)/DZ4</f>
        <v/>
      </c>
      <c r="EA14" s="82">
        <f>-(EA11+EA10)/EA4</f>
        <v/>
      </c>
      <c r="EB14" s="82">
        <f>-(EB11+EB10)/EB4</f>
        <v/>
      </c>
      <c r="EC14" s="82">
        <f>-(EC11+EC10)/EC4</f>
        <v/>
      </c>
      <c r="ED14" s="82">
        <f>-(ED11+ED10)/ED4</f>
        <v/>
      </c>
      <c r="EE14" s="82">
        <f>-(EE11+EE10)/EE4</f>
        <v/>
      </c>
      <c r="EF14" s="82">
        <f>-(EF11+EF10)/EF4</f>
        <v/>
      </c>
      <c r="EG14" s="82">
        <f>-(EG11+EG10)/EG4</f>
        <v/>
      </c>
      <c r="EH14" s="82">
        <f>-(EH11+EH10)/EH4</f>
        <v/>
      </c>
      <c r="EI14" s="82">
        <f>-(EI11+EI10)/EI4</f>
        <v/>
      </c>
      <c r="EJ14" s="82">
        <f>-(EJ11+EJ10)/EJ4</f>
        <v/>
      </c>
      <c r="EK14" s="82">
        <f>-(EK11+EK10)/EK4</f>
        <v/>
      </c>
      <c r="EL14" s="82">
        <f>-(EL11+EL10)/EL4</f>
        <v/>
      </c>
      <c r="EM14" s="82">
        <f>-(EM11+EM10)/EM4</f>
        <v/>
      </c>
      <c r="EN14" s="82">
        <f>-(EN11+EN10)/EN4</f>
        <v/>
      </c>
      <c r="EO14" s="82">
        <f>-(EO11+EO10)/EO4</f>
        <v/>
      </c>
      <c r="EP14" s="82">
        <f>-(EP11+EP10)/EP4</f>
        <v/>
      </c>
      <c r="EQ14" s="82">
        <f>-(EQ11+EQ10)/EQ4</f>
        <v/>
      </c>
      <c r="ER14" s="82">
        <f>-(ER11+ER10)/ER4</f>
        <v/>
      </c>
      <c r="ES14" s="82">
        <f>-(ES11+ES10)/ES4</f>
        <v/>
      </c>
      <c r="ET14" s="82">
        <f>-(ET11+ET10)/ET4</f>
        <v/>
      </c>
      <c r="EU14" s="82">
        <f>-(EU11+EU10)/EU4</f>
        <v/>
      </c>
      <c r="EV14" s="82">
        <f>-(EV11+EV10)/EV4</f>
        <v/>
      </c>
      <c r="EW14" s="82">
        <f>-(EW11+EW10)/EW4</f>
        <v/>
      </c>
      <c r="EX14" s="82">
        <f>-(EX11+EX10)/EX4</f>
        <v/>
      </c>
      <c r="EY14" s="82">
        <f>-(EY11+EY10)/EY4</f>
        <v/>
      </c>
      <c r="EZ14" s="389" t="n"/>
      <c r="FA14" s="389" t="n"/>
      <c r="FB14" s="294" t="n"/>
      <c r="FC14" s="294" t="n"/>
      <c r="FD14" s="294" t="n"/>
      <c r="FE14" s="294" t="n"/>
    </row>
    <row r="15">
      <c r="A15" s="455" t="inlineStr">
        <is>
          <t>EBIT</t>
        </is>
      </c>
      <c r="B15" s="460">
        <f>B7+B10+B11+B9</f>
        <v/>
      </c>
      <c r="C15" s="460">
        <f>C7+C10+C11+C9</f>
        <v/>
      </c>
      <c r="D15" s="460">
        <f>D7+D10+D11+D9</f>
        <v/>
      </c>
      <c r="E15" s="460">
        <f>E7+E10+E11+E9</f>
        <v/>
      </c>
      <c r="F15" s="460">
        <f>F7+F10+F11+F9</f>
        <v/>
      </c>
      <c r="G15" s="460">
        <f>G7+G10+G11+G9</f>
        <v/>
      </c>
      <c r="H15" s="460">
        <f>H7+H10+H11+H9</f>
        <v/>
      </c>
      <c r="I15" s="460">
        <f>I7+I10+I11+I9</f>
        <v/>
      </c>
      <c r="J15" s="460">
        <f>J7+J10+J11+J9</f>
        <v/>
      </c>
      <c r="K15" s="460">
        <f>K7+K10+K11+K9</f>
        <v/>
      </c>
      <c r="L15" s="460">
        <f>L7+L10+L11+L9</f>
        <v/>
      </c>
      <c r="M15" s="460">
        <f>M7+M10+M11+M9</f>
        <v/>
      </c>
      <c r="N15" s="460">
        <f>N7+N10+N11+N9</f>
        <v/>
      </c>
      <c r="O15" s="460">
        <f>O7+O10+O11+O9</f>
        <v/>
      </c>
      <c r="P15" s="460">
        <f>P7+P10+P11+P9</f>
        <v/>
      </c>
      <c r="Q15" s="460">
        <f>Q7+Q10+Q11+Q9</f>
        <v/>
      </c>
      <c r="R15" s="460">
        <f>R7+R10+R11+R9</f>
        <v/>
      </c>
      <c r="S15" s="460">
        <f>S7+S10+S11+S9</f>
        <v/>
      </c>
      <c r="T15" s="460">
        <f>T7+T10+T11+T9</f>
        <v/>
      </c>
      <c r="U15" s="460">
        <f>U7+U10+U11+U9</f>
        <v/>
      </c>
      <c r="V15" s="460">
        <f>V7+V10+V11+V9</f>
        <v/>
      </c>
      <c r="W15" s="460">
        <f>W7+W10+W11+W9</f>
        <v/>
      </c>
      <c r="X15" s="460">
        <f>X7+X10+X11+X9</f>
        <v/>
      </c>
      <c r="Y15" s="460">
        <f>Y7+Y10+Y11+Y9</f>
        <v/>
      </c>
      <c r="Z15" s="460">
        <f>Z7+Z10+Z11+Z9</f>
        <v/>
      </c>
      <c r="AA15" s="461">
        <f>+U15-T15</f>
        <v/>
      </c>
      <c r="AB15" s="342">
        <f>+AA15/T15</f>
        <v/>
      </c>
      <c r="AC15" s="460" t="n">
        <v>4163.092314389502</v>
      </c>
      <c r="AD15" s="461">
        <f>+U15-AC15</f>
        <v/>
      </c>
      <c r="AE15" s="342">
        <f>+AD15/AC15</f>
        <v/>
      </c>
      <c r="AF15" s="169" t="n"/>
      <c r="AG15" s="460">
        <f>AG7+AG10+AG11+AG9</f>
        <v/>
      </c>
      <c r="AH15" s="460">
        <f>AH7+AH10+AH11+AH9</f>
        <v/>
      </c>
      <c r="AI15" s="460">
        <f>AI7+AI10+AI11+AI9</f>
        <v/>
      </c>
      <c r="AJ15" s="460">
        <f>AJ7+AJ10+AJ11+AJ9</f>
        <v/>
      </c>
      <c r="AK15" s="460">
        <f>AK7+AK10+AK11+AK9</f>
        <v/>
      </c>
      <c r="AL15" s="460">
        <f>AL7+AL10+AL11+AL9</f>
        <v/>
      </c>
      <c r="AM15" s="460">
        <f>AM7+AM10+AM11+AM9</f>
        <v/>
      </c>
      <c r="AN15" s="460">
        <f>AN7+AN10+AN11+AN9</f>
        <v/>
      </c>
      <c r="AO15" s="460">
        <f>AO7+AO10+AO11+AO9</f>
        <v/>
      </c>
      <c r="AP15" s="460">
        <f>AP7+AP10+AP11+AP9</f>
        <v/>
      </c>
      <c r="AQ15" s="460">
        <f>AQ7+AQ10+AQ11+AQ9</f>
        <v/>
      </c>
      <c r="AR15" s="460">
        <f>AR7+AR10+AR11+AR9</f>
        <v/>
      </c>
      <c r="AS15" s="460">
        <f>AS7+AS10+AS11+AS9</f>
        <v/>
      </c>
      <c r="AT15" s="460">
        <f>AT7+AT10+AT11+AT9</f>
        <v/>
      </c>
      <c r="AU15" s="460">
        <f>AU7+AU10+AU11+AU9</f>
        <v/>
      </c>
      <c r="AV15" s="460">
        <f>AV7+AV10+AV11+AV9</f>
        <v/>
      </c>
      <c r="AW15" s="460">
        <f>AW7+AW10+AW11+AW9</f>
        <v/>
      </c>
      <c r="AX15" s="460">
        <f>AX7+AX10+AX11+AX9</f>
        <v/>
      </c>
      <c r="AY15" s="460">
        <f>AY7+AY10+AY11+AY9</f>
        <v/>
      </c>
      <c r="AZ15" s="460">
        <f>AZ7+AZ10+AZ11+AZ9</f>
        <v/>
      </c>
      <c r="BA15" s="460">
        <f>BA7+BA10+BA11+BA9</f>
        <v/>
      </c>
      <c r="BB15" s="460">
        <f>BB7+BB10+BB11+BB9</f>
        <v/>
      </c>
      <c r="BC15" s="460">
        <f>BC7+BC10+BC11+BC9</f>
        <v/>
      </c>
      <c r="BD15" s="460">
        <f>BD7+BD10+BD11+BD9</f>
        <v/>
      </c>
      <c r="BE15" s="460">
        <f>BE7+BE10+BE11+BE9</f>
        <v/>
      </c>
      <c r="BF15" s="460">
        <f>BF7+BF10+BF11+BF9</f>
        <v/>
      </c>
      <c r="BG15" s="460">
        <f>BG7+BG10+BG11+BG9</f>
        <v/>
      </c>
      <c r="BH15" s="460">
        <f>BH7+BH10+BH11+BH9</f>
        <v/>
      </c>
      <c r="BI15" s="460">
        <f>BI7+BI10+BI11+BI9</f>
        <v/>
      </c>
      <c r="BJ15" s="460">
        <f>BJ7+BJ10+BJ11+BJ9</f>
        <v/>
      </c>
      <c r="BK15" s="460">
        <f>BK7+BK10+BK11+BK9</f>
        <v/>
      </c>
      <c r="BL15" s="460">
        <f>BL7+BL10+BL11+BL9</f>
        <v/>
      </c>
      <c r="BM15" s="460">
        <f>BM7+BM10+BM11+BM9</f>
        <v/>
      </c>
      <c r="BN15" s="460">
        <f>BN7+BN10+BN11+BN9</f>
        <v/>
      </c>
      <c r="BO15" s="460">
        <f>BO7+BO10+BO11+BO9</f>
        <v/>
      </c>
      <c r="BP15" s="460">
        <f>BP7+BP10+BP11+BP9</f>
        <v/>
      </c>
      <c r="BQ15" s="460">
        <f>BQ7+BQ10+BQ11+BQ9</f>
        <v/>
      </c>
      <c r="BR15" s="460">
        <f>BR7+BR10+BR11+BR9</f>
        <v/>
      </c>
      <c r="BS15" s="460" t="n"/>
      <c r="BT15" s="460">
        <f>BT7+BT10+BT11+BT9</f>
        <v/>
      </c>
      <c r="BU15" s="446">
        <f>BT15-BR15</f>
        <v/>
      </c>
      <c r="BV15" s="381">
        <f>BU15/BR15</f>
        <v/>
      </c>
      <c r="BW15" s="381">
        <f>BT15/T15</f>
        <v/>
      </c>
      <c r="BX15" s="381">
        <f>BT15/U15</f>
        <v/>
      </c>
      <c r="BY15" s="462" t="n"/>
      <c r="BZ15" s="460">
        <f>BZ7+BZ10+BZ11+BZ9</f>
        <v/>
      </c>
      <c r="CA15" s="460">
        <f>CA7+CA10+CA11+CA9</f>
        <v/>
      </c>
      <c r="CB15" s="460">
        <f>CB7+CB10+CB11+CB9</f>
        <v/>
      </c>
      <c r="CC15" s="460">
        <f>CC7+CC10+CC11+CC9</f>
        <v/>
      </c>
      <c r="CD15" s="460">
        <f>CD7+CD10+CD11+CD9</f>
        <v/>
      </c>
      <c r="CE15" s="460">
        <f>CE7+CE10+CE11+CE9</f>
        <v/>
      </c>
      <c r="CF15" s="460">
        <f>CF7+CF10+CF11+CF9</f>
        <v/>
      </c>
      <c r="CG15" s="460">
        <f>CG7+CG10+CG11+CG9</f>
        <v/>
      </c>
      <c r="CH15" s="460">
        <f>CH7+CH10+CH11+CH9</f>
        <v/>
      </c>
      <c r="CI15" s="460">
        <f>CI7+CI10+CI11+CI9</f>
        <v/>
      </c>
      <c r="CJ15" s="460">
        <f>CJ7+CJ10+CJ11+CJ9</f>
        <v/>
      </c>
      <c r="CK15" s="460">
        <f>CK7+CK10+CK11+CK9</f>
        <v/>
      </c>
      <c r="CL15" s="460">
        <f>CL7+CL10+CL11+CL9</f>
        <v/>
      </c>
      <c r="CM15" s="460">
        <f>CM7+CM10+CM11+CM9</f>
        <v/>
      </c>
      <c r="CN15" s="460">
        <f>CN7+CN10+CN11+CN9</f>
        <v/>
      </c>
      <c r="CO15" s="460">
        <f>CO7+CO10+CO11+CO9</f>
        <v/>
      </c>
      <c r="CP15" s="460">
        <f>CP7+CP10+CP11+CP9</f>
        <v/>
      </c>
      <c r="CQ15" s="460">
        <f>CQ7+CQ10+CQ11+CQ9</f>
        <v/>
      </c>
      <c r="CR15" s="460">
        <f>CR7+CR10+CR11+CR9</f>
        <v/>
      </c>
      <c r="CS15" s="460">
        <f>CS7+CS10+CS11+CS9</f>
        <v/>
      </c>
      <c r="CT15" s="460">
        <f>CT7+CT10+CT11+CT9</f>
        <v/>
      </c>
      <c r="CU15" s="460">
        <f>CU7+CU10+CU11+CU9</f>
        <v/>
      </c>
      <c r="CV15" s="460">
        <f>CV7+CV10+CV11+CV9</f>
        <v/>
      </c>
      <c r="CW15" s="460">
        <f>CW7+CW10+CW11+CW9</f>
        <v/>
      </c>
      <c r="CX15" s="460">
        <f>CX7+CX10+CX11+CX9</f>
        <v/>
      </c>
      <c r="CY15" s="460">
        <f>CY7+CY10+CY11+CY9</f>
        <v/>
      </c>
      <c r="CZ15" s="460">
        <f>CZ7+CZ10+CZ11+CZ9</f>
        <v/>
      </c>
      <c r="DA15" s="460">
        <f>DA7+DA10+DA11+DA9</f>
        <v/>
      </c>
      <c r="DB15" s="460">
        <f>DB7+DB10+DB11+DB9</f>
        <v/>
      </c>
      <c r="DC15" s="460">
        <f>DC7+DC10+DC11+DC9</f>
        <v/>
      </c>
      <c r="DD15" s="460">
        <f>DD7+DD10+DD11+DD9</f>
        <v/>
      </c>
      <c r="DE15" s="460">
        <f>DE7+DE10+DE11+DE9</f>
        <v/>
      </c>
      <c r="DF15" s="460">
        <f>DF7+DF10+DF11+DF9</f>
        <v/>
      </c>
      <c r="DG15" s="460">
        <f>DG7+DG10+DG11+DG9</f>
        <v/>
      </c>
      <c r="DH15" s="460">
        <f>DH7+DH10+DH11+DH9</f>
        <v/>
      </c>
      <c r="DI15" s="460">
        <f>DI7+DI10+DI11+DI9</f>
        <v/>
      </c>
      <c r="DJ15" s="460">
        <f>DJ7+DJ10+DJ11+DJ9</f>
        <v/>
      </c>
      <c r="DK15" s="460">
        <f>DK7+DK10+DK11+DK9</f>
        <v/>
      </c>
      <c r="DL15" s="460">
        <f>DL7+DL10+DL11+DL9</f>
        <v/>
      </c>
      <c r="DM15" s="460">
        <f>DM7+DM10+DM11+DM9</f>
        <v/>
      </c>
      <c r="DN15" s="460">
        <f>DN7+DN10+DN11+DN9</f>
        <v/>
      </c>
      <c r="DO15" s="460">
        <f>DO7+DO10+DO11+DO9</f>
        <v/>
      </c>
      <c r="DP15" s="460">
        <f>DP7+DP10+DP11+DP9</f>
        <v/>
      </c>
      <c r="DQ15" s="460">
        <f>DQ7+DQ10+DQ11+DQ9</f>
        <v/>
      </c>
      <c r="DR15" s="460">
        <f>DR7+DR10+DR11+DR9</f>
        <v/>
      </c>
      <c r="DS15" s="460">
        <f>DS7+DS10+DS11+DS9</f>
        <v/>
      </c>
      <c r="DT15" s="460">
        <f>DT7+DT10+DT11+DT9</f>
        <v/>
      </c>
      <c r="DU15" s="460">
        <f>DU7+DU10+DU11+DU9</f>
        <v/>
      </c>
      <c r="DV15" s="460">
        <f>DV7+DV10+DV11+DV9</f>
        <v/>
      </c>
      <c r="DW15" s="460">
        <f>DW7+DW10+DW11+DW9</f>
        <v/>
      </c>
      <c r="DX15" s="460">
        <f>DX7+DX10+DX11+DX9</f>
        <v/>
      </c>
      <c r="DY15" s="460">
        <f>DY7+DY10+DY11+DY9</f>
        <v/>
      </c>
      <c r="DZ15" s="460">
        <f>DZ7+DZ10+DZ11+DZ9</f>
        <v/>
      </c>
      <c r="EA15" s="460">
        <f>EA7+EA10+EA11+EA9</f>
        <v/>
      </c>
      <c r="EB15" s="460">
        <f>EB7+EB10+EB11+EB9</f>
        <v/>
      </c>
      <c r="EC15" s="460">
        <f>EC7+EC10+EC11+EC9</f>
        <v/>
      </c>
      <c r="ED15" s="460">
        <f>ED7+ED10+ED11+ED9</f>
        <v/>
      </c>
      <c r="EE15" s="460">
        <f>EE7+EE10+EE11+EE9</f>
        <v/>
      </c>
      <c r="EF15" s="460">
        <f>EF7+EF10+EF11+EF9</f>
        <v/>
      </c>
      <c r="EG15" s="460">
        <f>EG7+EG10+EG11+EG9</f>
        <v/>
      </c>
      <c r="EH15" s="460">
        <f>EH7+EH10+EH11+EH9</f>
        <v/>
      </c>
      <c r="EI15" s="460">
        <f>EI7+EI10+EI11+EI9</f>
        <v/>
      </c>
      <c r="EJ15" s="460">
        <f>EJ7+EJ10+EJ11+EJ9</f>
        <v/>
      </c>
      <c r="EK15" s="460">
        <f>EK7+EK10+EK11+EK9</f>
        <v/>
      </c>
      <c r="EL15" s="460">
        <f>EL7+EL10+EL11+EL9</f>
        <v/>
      </c>
      <c r="EM15" s="460">
        <f>EM7+EM10+EM11+EM9</f>
        <v/>
      </c>
      <c r="EN15" s="460">
        <f>EN7+EN10+EN11+EN9</f>
        <v/>
      </c>
      <c r="EO15" s="460">
        <f>EO7+EO10+EO11+EO9</f>
        <v/>
      </c>
      <c r="EP15" s="460">
        <f>EP7+EP10+EP11+EP9</f>
        <v/>
      </c>
      <c r="EQ15" s="460">
        <f>EQ7+EQ10+EQ11+EQ9</f>
        <v/>
      </c>
      <c r="ER15" s="460">
        <f>ER7+ER10+ER11+ER9</f>
        <v/>
      </c>
      <c r="ES15" s="460">
        <f>ES7+ES10+ES11+ES9</f>
        <v/>
      </c>
      <c r="ET15" s="460">
        <f>ET7+ET10+ET11+ET9</f>
        <v/>
      </c>
      <c r="EU15" s="460">
        <f>EU7+EU10+EU11+EU9</f>
        <v/>
      </c>
      <c r="EV15" s="460">
        <f>EV7+EV10+EV11+EV9</f>
        <v/>
      </c>
      <c r="EW15" s="460">
        <f>EW7+EW10+EW11+EW9</f>
        <v/>
      </c>
      <c r="EX15" s="460">
        <f>EX7+EX10+EX11+EX9</f>
        <v/>
      </c>
      <c r="EY15" s="460">
        <f>EY7+EY10+EY11+EY9</f>
        <v/>
      </c>
      <c r="EZ15" s="463" t="n"/>
      <c r="FA15" s="463" t="n"/>
      <c r="FB15" s="446">
        <f>+FA15-EW15</f>
        <v/>
      </c>
      <c r="FC15" s="381">
        <f>+FB15/EW15</f>
        <v/>
      </c>
      <c r="FD15" s="381">
        <f>+FA15/T15</f>
        <v/>
      </c>
      <c r="FE15" s="381">
        <f>+FA15/U15</f>
        <v/>
      </c>
    </row>
    <row r="16">
      <c r="A16" s="449" t="inlineStr">
        <is>
          <t>EBIT margin</t>
        </is>
      </c>
      <c r="B16" s="67">
        <f>B15/B4</f>
        <v/>
      </c>
      <c r="C16" s="67">
        <f>C15/C4</f>
        <v/>
      </c>
      <c r="D16" s="67">
        <f>D15/D4</f>
        <v/>
      </c>
      <c r="E16" s="67">
        <f>E15/E4</f>
        <v/>
      </c>
      <c r="F16" s="67">
        <f>F15/F4</f>
        <v/>
      </c>
      <c r="G16" s="67">
        <f>G15/G4</f>
        <v/>
      </c>
      <c r="H16" s="67">
        <f>H15/H4</f>
        <v/>
      </c>
      <c r="I16" s="67">
        <f>I15/I4</f>
        <v/>
      </c>
      <c r="J16" s="67">
        <f>J15/J4</f>
        <v/>
      </c>
      <c r="K16" s="67">
        <f>K15/K4</f>
        <v/>
      </c>
      <c r="L16" s="67">
        <f>L15/L4</f>
        <v/>
      </c>
      <c r="M16" s="67">
        <f>M15/M4</f>
        <v/>
      </c>
      <c r="N16" s="67">
        <f>N15/N4</f>
        <v/>
      </c>
      <c r="O16" s="67">
        <f>O15/O4</f>
        <v/>
      </c>
      <c r="P16" s="67">
        <f>P15/P4</f>
        <v/>
      </c>
      <c r="Q16" s="67">
        <f>Q15/Q4</f>
        <v/>
      </c>
      <c r="R16" s="67">
        <f>R15/R4</f>
        <v/>
      </c>
      <c r="S16" s="67">
        <f>S15/S4</f>
        <v/>
      </c>
      <c r="T16" s="67">
        <f>T15/T4</f>
        <v/>
      </c>
      <c r="U16" s="67">
        <f>U15/U4</f>
        <v/>
      </c>
      <c r="V16" s="67">
        <f>V15/V4</f>
        <v/>
      </c>
      <c r="W16" s="67">
        <f>W15/W4</f>
        <v/>
      </c>
      <c r="X16" s="67">
        <f>X15/X4</f>
        <v/>
      </c>
      <c r="Y16" s="67">
        <f>Y15/Y4</f>
        <v/>
      </c>
      <c r="Z16" s="67">
        <f>Z15/Z4</f>
        <v/>
      </c>
      <c r="AA16" s="349" t="n"/>
      <c r="AB16" s="348" t="n"/>
      <c r="AC16" s="67" t="n"/>
      <c r="AD16" s="349" t="n"/>
      <c r="AE16" s="348" t="n"/>
      <c r="AF16" s="458" t="n"/>
      <c r="AG16" s="67">
        <f>AG15/AG4</f>
        <v/>
      </c>
      <c r="AH16" s="67">
        <f>AH15/AH4</f>
        <v/>
      </c>
      <c r="AI16" s="67">
        <f>AI15/AI4</f>
        <v/>
      </c>
      <c r="AJ16" s="67">
        <f>AJ15/AJ4</f>
        <v/>
      </c>
      <c r="AK16" s="67">
        <f>AK15/AK4</f>
        <v/>
      </c>
      <c r="AL16" s="67">
        <f>AL15/AL4</f>
        <v/>
      </c>
      <c r="AM16" s="67">
        <f>AM15/AM4</f>
        <v/>
      </c>
      <c r="AN16" s="67">
        <f>AN15/AN4</f>
        <v/>
      </c>
      <c r="AO16" s="67">
        <f>AO15/AO4</f>
        <v/>
      </c>
      <c r="AP16" s="67">
        <f>AP15/AP4</f>
        <v/>
      </c>
      <c r="AQ16" s="67">
        <f>AQ15/AQ4</f>
        <v/>
      </c>
      <c r="AR16" s="67">
        <f>AR15/AR4</f>
        <v/>
      </c>
      <c r="AS16" s="67">
        <f>AS15/AS4</f>
        <v/>
      </c>
      <c r="AT16" s="67">
        <f>AT15/AT4</f>
        <v/>
      </c>
      <c r="AU16" s="67">
        <f>AU15/AU4</f>
        <v/>
      </c>
      <c r="AV16" s="67">
        <f>AV15/AV4</f>
        <v/>
      </c>
      <c r="AW16" s="67">
        <f>AW15/AW4</f>
        <v/>
      </c>
      <c r="AX16" s="67">
        <f>AX15/AX4</f>
        <v/>
      </c>
      <c r="AY16" s="67">
        <f>AY15/AY4</f>
        <v/>
      </c>
      <c r="AZ16" s="67">
        <f>AZ15/AZ4</f>
        <v/>
      </c>
      <c r="BA16" s="67">
        <f>BA15/BA4</f>
        <v/>
      </c>
      <c r="BB16" s="67">
        <f>BB15/BB4</f>
        <v/>
      </c>
      <c r="BC16" s="67">
        <f>BC15/BC4</f>
        <v/>
      </c>
      <c r="BD16" s="67">
        <f>BD15/BD4</f>
        <v/>
      </c>
      <c r="BE16" s="67">
        <f>BE15/BE4</f>
        <v/>
      </c>
      <c r="BF16" s="67">
        <f>BF15/BF4</f>
        <v/>
      </c>
      <c r="BG16" s="67">
        <f>BG15/BG4</f>
        <v/>
      </c>
      <c r="BH16" s="67">
        <f>BH15/BH4</f>
        <v/>
      </c>
      <c r="BI16" s="67">
        <f>BI15/BI4</f>
        <v/>
      </c>
      <c r="BJ16" s="67">
        <f>BJ15/BJ4</f>
        <v/>
      </c>
      <c r="BK16" s="67">
        <f>BK15/BK4</f>
        <v/>
      </c>
      <c r="BL16" s="67">
        <f>BL15/BL4</f>
        <v/>
      </c>
      <c r="BM16" s="67">
        <f>BM15/BM4</f>
        <v/>
      </c>
      <c r="BN16" s="67">
        <f>BN15/BN4</f>
        <v/>
      </c>
      <c r="BO16" s="67">
        <f>BO15/BO4</f>
        <v/>
      </c>
      <c r="BP16" s="67">
        <f>BP15/BP4</f>
        <v/>
      </c>
      <c r="BQ16" s="67">
        <f>BQ15/BQ4</f>
        <v/>
      </c>
      <c r="BR16" s="67">
        <f>BR15/BR4</f>
        <v/>
      </c>
      <c r="BS16" s="67" t="n"/>
      <c r="BT16" s="67">
        <f>BT15/BT4</f>
        <v/>
      </c>
      <c r="BU16" s="379">
        <f>BT16-BR16</f>
        <v/>
      </c>
      <c r="BV16" s="379">
        <f>BU16/BR16</f>
        <v/>
      </c>
      <c r="BW16" s="379">
        <f>BT16/T16</f>
        <v/>
      </c>
      <c r="BX16" s="379">
        <f>BT16/U16</f>
        <v/>
      </c>
      <c r="BZ16" s="67">
        <f>BZ15/BZ4</f>
        <v/>
      </c>
      <c r="CA16" s="67">
        <f>CA15/CA4</f>
        <v/>
      </c>
      <c r="CB16" s="67">
        <f>CB15/CB4</f>
        <v/>
      </c>
      <c r="CC16" s="67">
        <f>CC15/CC4</f>
        <v/>
      </c>
      <c r="CD16" s="67">
        <f>CD15/CD4</f>
        <v/>
      </c>
      <c r="CE16" s="67">
        <f>CE15/CE4</f>
        <v/>
      </c>
      <c r="CF16" s="67">
        <f>CF15/CF4</f>
        <v/>
      </c>
      <c r="CG16" s="67">
        <f>CG15/CG4</f>
        <v/>
      </c>
      <c r="CH16" s="67">
        <f>CH15/CH4</f>
        <v/>
      </c>
      <c r="CI16" s="67">
        <f>CI15/CI4</f>
        <v/>
      </c>
      <c r="CJ16" s="67">
        <f>CJ15/CJ4</f>
        <v/>
      </c>
      <c r="CK16" s="67">
        <f>CK15/CK4</f>
        <v/>
      </c>
      <c r="CL16" s="67">
        <f>CL15/CL4</f>
        <v/>
      </c>
      <c r="CM16" s="67">
        <f>CM15/CM4</f>
        <v/>
      </c>
      <c r="CN16" s="67">
        <f>CN15/CN4</f>
        <v/>
      </c>
      <c r="CO16" s="67">
        <f>CO15/CO4</f>
        <v/>
      </c>
      <c r="CP16" s="67">
        <f>CP15/CP4</f>
        <v/>
      </c>
      <c r="CQ16" s="67">
        <f>CQ15/CQ4</f>
        <v/>
      </c>
      <c r="CR16" s="67">
        <f>CR15/CR4</f>
        <v/>
      </c>
      <c r="CS16" s="67">
        <f>CS15/CS4</f>
        <v/>
      </c>
      <c r="CT16" s="67">
        <f>CT15/CT4</f>
        <v/>
      </c>
      <c r="CU16" s="67">
        <f>CU15/CU4</f>
        <v/>
      </c>
      <c r="CV16" s="67">
        <f>CV15/CV4</f>
        <v/>
      </c>
      <c r="CW16" s="67">
        <f>CW15/CW4</f>
        <v/>
      </c>
      <c r="CX16" s="67">
        <f>CX15/CX4</f>
        <v/>
      </c>
      <c r="CY16" s="67">
        <f>CY15/CY4</f>
        <v/>
      </c>
      <c r="CZ16" s="67">
        <f>CZ15/CZ4</f>
        <v/>
      </c>
      <c r="DA16" s="67">
        <f>DA15/DA4</f>
        <v/>
      </c>
      <c r="DB16" s="67">
        <f>DB15/DB4</f>
        <v/>
      </c>
      <c r="DC16" s="67">
        <f>DC15/DC4</f>
        <v/>
      </c>
      <c r="DD16" s="67">
        <f>DD15/DD4</f>
        <v/>
      </c>
      <c r="DE16" s="67">
        <f>DE15/DE4</f>
        <v/>
      </c>
      <c r="DF16" s="67">
        <f>DF15/DF4</f>
        <v/>
      </c>
      <c r="DG16" s="67">
        <f>DG15/DG4</f>
        <v/>
      </c>
      <c r="DH16" s="67">
        <f>DH15/DH4</f>
        <v/>
      </c>
      <c r="DI16" s="67">
        <f>DI15/DI4</f>
        <v/>
      </c>
      <c r="DJ16" s="67">
        <f>DJ15/DJ4</f>
        <v/>
      </c>
      <c r="DK16" s="67">
        <f>DK15/DK4</f>
        <v/>
      </c>
      <c r="DL16" s="67">
        <f>DL15/DL4</f>
        <v/>
      </c>
      <c r="DM16" s="67">
        <f>DM15/DM4</f>
        <v/>
      </c>
      <c r="DN16" s="67">
        <f>DN15/DN4</f>
        <v/>
      </c>
      <c r="DO16" s="67">
        <f>DO15/DO4</f>
        <v/>
      </c>
      <c r="DP16" s="67">
        <f>DP15/DP4</f>
        <v/>
      </c>
      <c r="DQ16" s="67">
        <f>DQ15/DQ4</f>
        <v/>
      </c>
      <c r="DR16" s="67">
        <f>DR15/DR4</f>
        <v/>
      </c>
      <c r="DS16" s="67">
        <f>DS15/DS4</f>
        <v/>
      </c>
      <c r="DT16" s="67">
        <f>DT15/DT4</f>
        <v/>
      </c>
      <c r="DU16" s="67">
        <f>DU15/DU4</f>
        <v/>
      </c>
      <c r="DV16" s="67">
        <f>DV15/DV4</f>
        <v/>
      </c>
      <c r="DW16" s="67">
        <f>DW15/DW4</f>
        <v/>
      </c>
      <c r="DX16" s="67">
        <f>DX15/DX4</f>
        <v/>
      </c>
      <c r="DY16" s="67">
        <f>DY15/DY4</f>
        <v/>
      </c>
      <c r="DZ16" s="67">
        <f>DZ15/DZ4</f>
        <v/>
      </c>
      <c r="EA16" s="67">
        <f>EA15/EA4</f>
        <v/>
      </c>
      <c r="EB16" s="67">
        <f>EB15/EB4</f>
        <v/>
      </c>
      <c r="EC16" s="67">
        <f>EC15/EC4</f>
        <v/>
      </c>
      <c r="ED16" s="67">
        <f>ED15/ED4</f>
        <v/>
      </c>
      <c r="EE16" s="67">
        <f>EE15/EE4</f>
        <v/>
      </c>
      <c r="EF16" s="67">
        <f>EF15/EF4</f>
        <v/>
      </c>
      <c r="EG16" s="67">
        <f>EG15/EG4</f>
        <v/>
      </c>
      <c r="EH16" s="67">
        <f>EH15/EH4</f>
        <v/>
      </c>
      <c r="EI16" s="67">
        <f>EI15/EI4</f>
        <v/>
      </c>
      <c r="EJ16" s="67">
        <f>EJ15/EJ4</f>
        <v/>
      </c>
      <c r="EK16" s="67">
        <f>EK15/EK4</f>
        <v/>
      </c>
      <c r="EL16" s="67">
        <f>EL15/EL4</f>
        <v/>
      </c>
      <c r="EM16" s="67">
        <f>EM15/EM4</f>
        <v/>
      </c>
      <c r="EN16" s="67">
        <f>EN15/EN4</f>
        <v/>
      </c>
      <c r="EO16" s="67">
        <f>EO15/EO4</f>
        <v/>
      </c>
      <c r="EP16" s="67">
        <f>EP15/EP4</f>
        <v/>
      </c>
      <c r="EQ16" s="67">
        <f>EQ15/EQ4</f>
        <v/>
      </c>
      <c r="ER16" s="67">
        <f>ER15/ER4</f>
        <v/>
      </c>
      <c r="ES16" s="67">
        <f>ES15/ES4</f>
        <v/>
      </c>
      <c r="ET16" s="67">
        <f>ET15/ET4</f>
        <v/>
      </c>
      <c r="EU16" s="67">
        <f>EU15/EU4</f>
        <v/>
      </c>
      <c r="EV16" s="67">
        <f>EV15/EV4</f>
        <v/>
      </c>
      <c r="EW16" s="67">
        <f>EW15/EW4</f>
        <v/>
      </c>
      <c r="EX16" s="67">
        <f>EX15/EX4</f>
        <v/>
      </c>
      <c r="EY16" s="67">
        <f>EY15/EY4</f>
        <v/>
      </c>
      <c r="EZ16" s="386" t="n"/>
      <c r="FA16" s="386" t="n"/>
      <c r="FB16" s="379" t="n"/>
      <c r="FC16" s="379" t="n"/>
      <c r="FD16" s="379" t="n"/>
      <c r="FE16" s="379" t="n"/>
    </row>
    <row r="17">
      <c r="A17" s="450" t="inlineStr">
        <is>
          <t>Finance gain (cost)</t>
        </is>
      </c>
      <c r="B17" s="451">
        <f>-'Raw financials'!B13</f>
        <v/>
      </c>
      <c r="C17" s="451">
        <f>-'Raw financials'!C13</f>
        <v/>
      </c>
      <c r="D17" s="451">
        <f>-'Raw financials'!D13</f>
        <v/>
      </c>
      <c r="E17" s="451">
        <f>-'Raw financials'!E13</f>
        <v/>
      </c>
      <c r="F17" s="451">
        <f>-'Raw financials'!F13</f>
        <v/>
      </c>
      <c r="G17" s="451">
        <f>-'Raw financials'!G13</f>
        <v/>
      </c>
      <c r="H17" s="451">
        <f>-'Raw financials'!H13</f>
        <v/>
      </c>
      <c r="I17" s="451">
        <f>-'Raw financials'!I13</f>
        <v/>
      </c>
      <c r="J17" s="451">
        <f>-'Raw financials'!J13</f>
        <v/>
      </c>
      <c r="K17" s="451">
        <f>-'Raw financials'!K13</f>
        <v/>
      </c>
      <c r="L17" s="451">
        <f>-'Raw financials'!L13</f>
        <v/>
      </c>
      <c r="M17" s="451">
        <f>-'Raw financials'!M13</f>
        <v/>
      </c>
      <c r="N17" s="451">
        <f>-'Raw financials'!N13</f>
        <v/>
      </c>
      <c r="O17" s="451">
        <f>-'Raw financials'!O13</f>
        <v/>
      </c>
      <c r="P17" s="451">
        <f>-'Raw financials'!P13</f>
        <v/>
      </c>
      <c r="Q17" s="451">
        <f>-'Raw financials'!Q13</f>
        <v/>
      </c>
      <c r="R17" s="451">
        <f>-'Raw financials'!R13</f>
        <v/>
      </c>
      <c r="S17" s="451">
        <f>-'Raw financials'!S13</f>
        <v/>
      </c>
      <c r="T17" s="451">
        <f>-'Raw financials'!T13</f>
        <v/>
      </c>
      <c r="U17" s="451">
        <f>Driver!J138</f>
        <v/>
      </c>
      <c r="V17" s="451">
        <f>Driver!K138</f>
        <v/>
      </c>
      <c r="W17" s="451">
        <f>Driver!L138</f>
        <v/>
      </c>
      <c r="X17" s="451">
        <f>Driver!M138</f>
        <v/>
      </c>
      <c r="Y17" s="451">
        <f>Driver!N138</f>
        <v/>
      </c>
      <c r="Z17" s="451">
        <f>Driver!O138</f>
        <v/>
      </c>
      <c r="AA17" s="452">
        <f>+U17-T17</f>
        <v/>
      </c>
      <c r="AB17" s="348">
        <f>+AA17/T17</f>
        <v/>
      </c>
      <c r="AC17" s="451" t="n">
        <v>-28.84085587297665</v>
      </c>
      <c r="AD17" s="452">
        <f>+U17-AC17</f>
        <v/>
      </c>
      <c r="AE17" s="348">
        <f>+AD17/AC17</f>
        <v/>
      </c>
      <c r="AF17" s="451" t="n"/>
      <c r="AG17" s="451">
        <f>-'Raw financials'!AA13</f>
        <v/>
      </c>
      <c r="AH17" s="451">
        <f>B17-AG17</f>
        <v/>
      </c>
      <c r="AI17" s="451">
        <f>-'Raw financials'!AB13</f>
        <v/>
      </c>
      <c r="AJ17" s="451">
        <f>C17-AI17</f>
        <v/>
      </c>
      <c r="AK17" s="451">
        <f>-'Raw financials'!AC13</f>
        <v/>
      </c>
      <c r="AL17" s="451">
        <f>D17-AK17</f>
        <v/>
      </c>
      <c r="AM17" s="451">
        <f>-'Raw financials'!AD13</f>
        <v/>
      </c>
      <c r="AN17" s="451">
        <f>E17-AM17</f>
        <v/>
      </c>
      <c r="AO17" s="451">
        <f>-'Raw financials'!AE13</f>
        <v/>
      </c>
      <c r="AP17" s="451">
        <f>F17-AO17</f>
        <v/>
      </c>
      <c r="AQ17" s="451">
        <f>-'Raw financials'!AF13</f>
        <v/>
      </c>
      <c r="AR17" s="451">
        <f>G17-AQ17</f>
        <v/>
      </c>
      <c r="AS17" s="451">
        <f>-'Raw financials'!AG13</f>
        <v/>
      </c>
      <c r="AT17" s="451">
        <f>H17-AS17</f>
        <v/>
      </c>
      <c r="AU17" s="451">
        <f>-'Raw financials'!AH13</f>
        <v/>
      </c>
      <c r="AV17" s="451">
        <f>I17-AU17</f>
        <v/>
      </c>
      <c r="AW17" s="451">
        <f>-'Raw financials'!AI13</f>
        <v/>
      </c>
      <c r="AX17" s="451">
        <f>J17-AW17</f>
        <v/>
      </c>
      <c r="AY17" s="451">
        <f>-'Raw financials'!AJ13</f>
        <v/>
      </c>
      <c r="AZ17" s="451">
        <f>K17-AY17</f>
        <v/>
      </c>
      <c r="BA17" s="451">
        <f>-'Raw financials'!AK13</f>
        <v/>
      </c>
      <c r="BB17" s="451">
        <f>L17-BA17</f>
        <v/>
      </c>
      <c r="BC17" s="451">
        <f>-'Raw financials'!AL13</f>
        <v/>
      </c>
      <c r="BD17" s="451">
        <f>M17-BC17</f>
        <v/>
      </c>
      <c r="BE17" s="451">
        <f>-'Raw financials'!AM13</f>
        <v/>
      </c>
      <c r="BF17" s="451">
        <f>N17-BE17</f>
        <v/>
      </c>
      <c r="BG17" s="451">
        <f>-'Raw financials'!AN13</f>
        <v/>
      </c>
      <c r="BH17" s="451">
        <f>O17-BG17</f>
        <v/>
      </c>
      <c r="BI17" s="451">
        <f>-'Raw financials'!AO13</f>
        <v/>
      </c>
      <c r="BJ17" s="451">
        <f>P17-BI17</f>
        <v/>
      </c>
      <c r="BK17" s="451">
        <f>-'Raw financials'!AP13</f>
        <v/>
      </c>
      <c r="BL17" s="451">
        <f>Q17-BK17</f>
        <v/>
      </c>
      <c r="BM17" s="451">
        <f>-'Raw financials'!AQ13</f>
        <v/>
      </c>
      <c r="BN17" s="451">
        <f>R17-BM17</f>
        <v/>
      </c>
      <c r="BO17" s="451">
        <f>-'Raw financials'!AR13</f>
        <v/>
      </c>
      <c r="BP17" s="451">
        <f>S17-BO17</f>
        <v/>
      </c>
      <c r="BQ17" s="451">
        <f>-'Raw financials'!AS13</f>
        <v/>
      </c>
      <c r="BR17" s="451">
        <f>T17-BQ17</f>
        <v/>
      </c>
      <c r="BS17" s="451" t="n"/>
      <c r="BT17" s="451">
        <f>U17-BS17</f>
        <v/>
      </c>
      <c r="BU17" s="453">
        <f>BT17-BR17</f>
        <v/>
      </c>
      <c r="BV17" s="379">
        <f>BU17/BR17</f>
        <v/>
      </c>
      <c r="BW17" s="379">
        <f>BT17/T17</f>
        <v/>
      </c>
      <c r="BX17" s="379">
        <f>BT17/U17</f>
        <v/>
      </c>
      <c r="BZ17" s="451">
        <f>-'Raw financials'!BN13</f>
        <v/>
      </c>
      <c r="CA17" s="451">
        <f>-'Raw financials'!BO13</f>
        <v/>
      </c>
      <c r="CB17" s="451">
        <f>-'Raw financials'!BP13</f>
        <v/>
      </c>
      <c r="CC17" s="451">
        <f>-'Raw financials'!BQ13</f>
        <v/>
      </c>
      <c r="CD17" s="451">
        <f>-'Raw financials'!BR13</f>
        <v/>
      </c>
      <c r="CE17" s="451">
        <f>-'Raw financials'!BS13</f>
        <v/>
      </c>
      <c r="CF17" s="451">
        <f>-'Raw financials'!BT13</f>
        <v/>
      </c>
      <c r="CG17" s="451">
        <f>-'Raw financials'!BU13</f>
        <v/>
      </c>
      <c r="CH17" s="451">
        <f>-'Raw financials'!BV13</f>
        <v/>
      </c>
      <c r="CI17" s="451">
        <f>-'Raw financials'!BW13</f>
        <v/>
      </c>
      <c r="CJ17" s="451">
        <f>-'Raw financials'!BX13</f>
        <v/>
      </c>
      <c r="CK17" s="451">
        <f>-'Raw financials'!BY13</f>
        <v/>
      </c>
      <c r="CL17" s="451">
        <f>-'Raw financials'!BZ13</f>
        <v/>
      </c>
      <c r="CM17" s="451">
        <f>-'Raw financials'!CA13</f>
        <v/>
      </c>
      <c r="CN17" s="451">
        <f>-'Raw financials'!CB13</f>
        <v/>
      </c>
      <c r="CO17" s="451">
        <f>-'Raw financials'!CC13</f>
        <v/>
      </c>
      <c r="CP17" s="451">
        <f>-'Raw financials'!CD13</f>
        <v/>
      </c>
      <c r="CQ17" s="451">
        <f>-'Raw financials'!CE13</f>
        <v/>
      </c>
      <c r="CR17" s="451">
        <f>-'Raw financials'!CF13</f>
        <v/>
      </c>
      <c r="CS17" s="451">
        <f>-'Raw financials'!CG13</f>
        <v/>
      </c>
      <c r="CT17" s="451">
        <f>-'Raw financials'!CH13</f>
        <v/>
      </c>
      <c r="CU17" s="451">
        <f>-'Raw financials'!CI13</f>
        <v/>
      </c>
      <c r="CV17" s="451">
        <f>-'Raw financials'!CJ13</f>
        <v/>
      </c>
      <c r="CW17" s="451">
        <f>-'Raw financials'!CK13</f>
        <v/>
      </c>
      <c r="CX17" s="451">
        <f>-'Raw financials'!CL13</f>
        <v/>
      </c>
      <c r="CY17" s="451">
        <f>-'Raw financials'!CM13</f>
        <v/>
      </c>
      <c r="CZ17" s="451">
        <f>-'Raw financials'!CN13</f>
        <v/>
      </c>
      <c r="DA17" s="451">
        <f>-'Raw financials'!CO13</f>
        <v/>
      </c>
      <c r="DB17" s="451">
        <f>-'Raw financials'!CP13</f>
        <v/>
      </c>
      <c r="DC17" s="451">
        <f>-'Raw financials'!CQ13</f>
        <v/>
      </c>
      <c r="DD17" s="451">
        <f>-'Raw financials'!CR13</f>
        <v/>
      </c>
      <c r="DE17" s="451">
        <f>-'Raw financials'!CS13</f>
        <v/>
      </c>
      <c r="DF17" s="451">
        <f>-'Raw financials'!CT13</f>
        <v/>
      </c>
      <c r="DG17" s="451">
        <f>-'Raw financials'!CU13</f>
        <v/>
      </c>
      <c r="DH17" s="451">
        <f>-'Raw financials'!CV13</f>
        <v/>
      </c>
      <c r="DI17" s="451">
        <f>-'Raw financials'!CW13</f>
        <v/>
      </c>
      <c r="DJ17" s="451">
        <f>-'Raw financials'!CX13</f>
        <v/>
      </c>
      <c r="DK17" s="451">
        <f>-'Raw financials'!CY13</f>
        <v/>
      </c>
      <c r="DL17" s="451">
        <f>-'Raw financials'!CZ13</f>
        <v/>
      </c>
      <c r="DM17" s="451">
        <f>-'Raw financials'!DA13</f>
        <v/>
      </c>
      <c r="DN17" s="451">
        <f>-'Raw financials'!DB13</f>
        <v/>
      </c>
      <c r="DO17" s="451">
        <f>-'Raw financials'!DC13</f>
        <v/>
      </c>
      <c r="DP17" s="451">
        <f>-'Raw financials'!DD13</f>
        <v/>
      </c>
      <c r="DQ17" s="451">
        <f>-'Raw financials'!DE13</f>
        <v/>
      </c>
      <c r="DR17" s="451">
        <f>-'Raw financials'!DF13</f>
        <v/>
      </c>
      <c r="DS17" s="451">
        <f>-'Raw financials'!DG13</f>
        <v/>
      </c>
      <c r="DT17" s="451">
        <f>-'Raw financials'!DH13</f>
        <v/>
      </c>
      <c r="DU17" s="451">
        <f>-'Raw financials'!DI13</f>
        <v/>
      </c>
      <c r="DV17" s="451">
        <f>-'Raw financials'!DJ13</f>
        <v/>
      </c>
      <c r="DW17" s="451">
        <f>-'Raw financials'!DK13</f>
        <v/>
      </c>
      <c r="DX17" s="451">
        <f>-'Raw financials'!DL13</f>
        <v/>
      </c>
      <c r="DY17" s="451">
        <f>-'Raw financials'!DM13</f>
        <v/>
      </c>
      <c r="DZ17" s="451">
        <f>-'Raw financials'!DN13</f>
        <v/>
      </c>
      <c r="EA17" s="451">
        <f>-'Raw financials'!DO13</f>
        <v/>
      </c>
      <c r="EB17" s="451">
        <f>-'Raw financials'!DP13</f>
        <v/>
      </c>
      <c r="EC17" s="451">
        <f>-'Raw financials'!DQ13</f>
        <v/>
      </c>
      <c r="ED17" s="451">
        <f>-'Raw financials'!DR13</f>
        <v/>
      </c>
      <c r="EE17" s="451">
        <f>-'Raw financials'!DS13</f>
        <v/>
      </c>
      <c r="EF17" s="451">
        <f>-'Raw financials'!DT13</f>
        <v/>
      </c>
      <c r="EG17" s="451">
        <f>-'Raw financials'!DU13</f>
        <v/>
      </c>
      <c r="EH17" s="451">
        <f>-'Raw financials'!DV13</f>
        <v/>
      </c>
      <c r="EI17" s="451">
        <f>-'Raw financials'!DW13</f>
        <v/>
      </c>
      <c r="EJ17" s="451">
        <f>-'Raw financials'!DX13</f>
        <v/>
      </c>
      <c r="EK17" s="451">
        <f>-'Raw financials'!DY13</f>
        <v/>
      </c>
      <c r="EL17" s="451">
        <f>-'Raw financials'!DZ13</f>
        <v/>
      </c>
      <c r="EM17" s="451">
        <f>-'Raw financials'!EA13</f>
        <v/>
      </c>
      <c r="EN17" s="451">
        <f>-'Raw financials'!EB13</f>
        <v/>
      </c>
      <c r="EO17" s="451">
        <f>-'Raw financials'!EC13</f>
        <v/>
      </c>
      <c r="EP17" s="451">
        <f>-'Raw financials'!ED13</f>
        <v/>
      </c>
      <c r="EQ17" s="451">
        <f>-'Raw financials'!EE13</f>
        <v/>
      </c>
      <c r="ER17" s="451">
        <f>-'Raw financials'!EF13</f>
        <v/>
      </c>
      <c r="ES17" s="451">
        <f>-'Raw financials'!EG13</f>
        <v/>
      </c>
      <c r="ET17" s="451">
        <f>-'Raw financials'!EH13</f>
        <v/>
      </c>
      <c r="EU17" s="451">
        <f>-'Raw financials'!EI13</f>
        <v/>
      </c>
      <c r="EV17" s="451">
        <f>-'Raw financials'!EJ13</f>
        <v/>
      </c>
      <c r="EW17" s="451">
        <f>-'Raw financials'!EK13</f>
        <v/>
      </c>
      <c r="EX17" s="451">
        <f>-'Raw financials'!EL13</f>
        <v/>
      </c>
      <c r="EY17" s="451">
        <f>-'Raw financials'!EM13</f>
        <v/>
      </c>
      <c r="EZ17" s="454" t="n"/>
      <c r="FA17" s="454" t="n"/>
      <c r="FB17" s="453">
        <f>+FA17-EW17</f>
        <v/>
      </c>
      <c r="FC17" s="379">
        <f>+FB17/EW17</f>
        <v/>
      </c>
      <c r="FD17" s="379">
        <f>+FA17/T17</f>
        <v/>
      </c>
      <c r="FE17" s="379">
        <f>+FA17/U17</f>
        <v/>
      </c>
    </row>
    <row r="18">
      <c r="A18" s="450" t="inlineStr">
        <is>
          <t>Investment income</t>
        </is>
      </c>
      <c r="B18" s="451">
        <f>'Raw financials'!B18</f>
        <v/>
      </c>
      <c r="C18" s="451">
        <f>'Raw financials'!C18</f>
        <v/>
      </c>
      <c r="D18" s="451">
        <f>'Raw financials'!D18</f>
        <v/>
      </c>
      <c r="E18" s="451">
        <f>'Raw financials'!E18</f>
        <v/>
      </c>
      <c r="F18" s="451">
        <f>'Raw financials'!F18</f>
        <v/>
      </c>
      <c r="G18" s="451">
        <f>'Raw financials'!G18</f>
        <v/>
      </c>
      <c r="H18" s="451">
        <f>'Raw financials'!H18</f>
        <v/>
      </c>
      <c r="I18" s="451">
        <f>'Raw financials'!I18</f>
        <v/>
      </c>
      <c r="J18" s="451">
        <f>'Raw financials'!J18</f>
        <v/>
      </c>
      <c r="K18" s="451">
        <f>'Raw financials'!K18</f>
        <v/>
      </c>
      <c r="L18" s="451">
        <f>'Raw financials'!L18</f>
        <v/>
      </c>
      <c r="M18" s="451">
        <f>'Raw financials'!M18</f>
        <v/>
      </c>
      <c r="N18" s="451">
        <f>'Raw financials'!N18</f>
        <v/>
      </c>
      <c r="O18" s="451">
        <f>'Raw financials'!O18</f>
        <v/>
      </c>
      <c r="P18" s="451">
        <f>'Raw financials'!P18</f>
        <v/>
      </c>
      <c r="Q18" s="451">
        <f>'Raw financials'!Q18</f>
        <v/>
      </c>
      <c r="R18" s="451">
        <f>'Raw financials'!R18</f>
        <v/>
      </c>
      <c r="S18" s="451">
        <f>'Raw financials'!S18</f>
        <v/>
      </c>
      <c r="T18" s="451">
        <f>'Raw financials'!T18</f>
        <v/>
      </c>
      <c r="U18" s="459">
        <f>+T18</f>
        <v/>
      </c>
      <c r="V18" s="459">
        <f>+U18</f>
        <v/>
      </c>
      <c r="W18" s="459">
        <f>+V18</f>
        <v/>
      </c>
      <c r="X18" s="459">
        <f>+W18</f>
        <v/>
      </c>
      <c r="Y18" s="459">
        <f>+X18</f>
        <v/>
      </c>
      <c r="Z18" s="459">
        <f>+Y18</f>
        <v/>
      </c>
      <c r="AA18" s="452">
        <f>+U18-T18</f>
        <v/>
      </c>
      <c r="AB18" s="348">
        <f>+AA18/T18</f>
        <v/>
      </c>
      <c r="AC18" s="459" t="n">
        <v>1577.06</v>
      </c>
      <c r="AD18" s="452">
        <f>+U18-AC18</f>
        <v/>
      </c>
      <c r="AE18" s="348">
        <f>+AD18/AC18</f>
        <v/>
      </c>
      <c r="AF18" s="169" t="n"/>
      <c r="AG18" s="451">
        <f>'Raw financials'!AA18</f>
        <v/>
      </c>
      <c r="AH18" s="451">
        <f>B18-AG18</f>
        <v/>
      </c>
      <c r="AI18" s="451">
        <f>'Raw financials'!AB18</f>
        <v/>
      </c>
      <c r="AJ18" s="451">
        <f>C18-AI18</f>
        <v/>
      </c>
      <c r="AK18" s="451">
        <f>'Raw financials'!AC18</f>
        <v/>
      </c>
      <c r="AL18" s="451">
        <f>D18-AK18</f>
        <v/>
      </c>
      <c r="AM18" s="451">
        <f>'Raw financials'!AD18</f>
        <v/>
      </c>
      <c r="AN18" s="451">
        <f>E18-AM18</f>
        <v/>
      </c>
      <c r="AO18" s="451">
        <f>'Raw financials'!AE18</f>
        <v/>
      </c>
      <c r="AP18" s="451">
        <f>F18-AO18</f>
        <v/>
      </c>
      <c r="AQ18" s="451">
        <f>'Raw financials'!AF18</f>
        <v/>
      </c>
      <c r="AR18" s="451">
        <f>G18-AQ18</f>
        <v/>
      </c>
      <c r="AS18" s="451">
        <f>'Raw financials'!AG18</f>
        <v/>
      </c>
      <c r="AT18" s="451">
        <f>H18-AS18</f>
        <v/>
      </c>
      <c r="AU18" s="451">
        <f>'Raw financials'!AH18</f>
        <v/>
      </c>
      <c r="AV18" s="451">
        <f>I18-AU18</f>
        <v/>
      </c>
      <c r="AW18" s="451">
        <f>'Raw financials'!AI18</f>
        <v/>
      </c>
      <c r="AX18" s="451">
        <f>J18-AW18</f>
        <v/>
      </c>
      <c r="AY18" s="451">
        <f>'Raw financials'!AJ18</f>
        <v/>
      </c>
      <c r="AZ18" s="451">
        <f>K18-AY18</f>
        <v/>
      </c>
      <c r="BA18" s="451">
        <f>'Raw financials'!AK18</f>
        <v/>
      </c>
      <c r="BB18" s="451">
        <f>L18-BA18</f>
        <v/>
      </c>
      <c r="BC18" s="451">
        <f>'Raw financials'!AL18</f>
        <v/>
      </c>
      <c r="BD18" s="451">
        <f>M18-BC18</f>
        <v/>
      </c>
      <c r="BE18" s="451">
        <f>'Raw financials'!AM18</f>
        <v/>
      </c>
      <c r="BF18" s="451">
        <f>N18-BE18</f>
        <v/>
      </c>
      <c r="BG18" s="451">
        <f>'Raw financials'!AN18</f>
        <v/>
      </c>
      <c r="BH18" s="451">
        <f>O18-BG18</f>
        <v/>
      </c>
      <c r="BI18" s="451">
        <f>'Raw financials'!AO18</f>
        <v/>
      </c>
      <c r="BJ18" s="451">
        <f>P18-BI18</f>
        <v/>
      </c>
      <c r="BK18" s="451">
        <f>'Raw financials'!AP18</f>
        <v/>
      </c>
      <c r="BL18" s="451">
        <f>Q18-BK18</f>
        <v/>
      </c>
      <c r="BM18" s="451">
        <f>'Raw financials'!AQ18</f>
        <v/>
      </c>
      <c r="BN18" s="451">
        <f>R18-BM18</f>
        <v/>
      </c>
      <c r="BO18" s="451">
        <f>'Raw financials'!AR18</f>
        <v/>
      </c>
      <c r="BP18" s="451">
        <f>S18-BO18</f>
        <v/>
      </c>
      <c r="BQ18" s="451">
        <f>'Raw financials'!AS18</f>
        <v/>
      </c>
      <c r="BR18" s="451">
        <f>T18-BQ18</f>
        <v/>
      </c>
      <c r="BS18" s="451" t="n"/>
      <c r="BT18" s="451">
        <f>U18-BS18</f>
        <v/>
      </c>
      <c r="BU18" s="453">
        <f>BT18-BR18</f>
        <v/>
      </c>
      <c r="BV18" s="379">
        <f>BU18/BR18</f>
        <v/>
      </c>
      <c r="BW18" s="379">
        <f>BT18/T18</f>
        <v/>
      </c>
      <c r="BX18" s="379">
        <f>BT18/U18</f>
        <v/>
      </c>
      <c r="BZ18" s="451">
        <f>'Raw financials'!BN18</f>
        <v/>
      </c>
      <c r="CA18" s="451">
        <f>'Raw financials'!BO18</f>
        <v/>
      </c>
      <c r="CB18" s="451">
        <f>'Raw financials'!BP18</f>
        <v/>
      </c>
      <c r="CC18" s="451">
        <f>'Raw financials'!BQ18</f>
        <v/>
      </c>
      <c r="CD18" s="451">
        <f>'Raw financials'!BR18</f>
        <v/>
      </c>
      <c r="CE18" s="451">
        <f>'Raw financials'!BS18</f>
        <v/>
      </c>
      <c r="CF18" s="451">
        <f>'Raw financials'!BT18</f>
        <v/>
      </c>
      <c r="CG18" s="451">
        <f>'Raw financials'!BU18</f>
        <v/>
      </c>
      <c r="CH18" s="451">
        <f>'Raw financials'!BV18</f>
        <v/>
      </c>
      <c r="CI18" s="451">
        <f>'Raw financials'!BW18</f>
        <v/>
      </c>
      <c r="CJ18" s="451">
        <f>'Raw financials'!BX18</f>
        <v/>
      </c>
      <c r="CK18" s="451">
        <f>'Raw financials'!BY18</f>
        <v/>
      </c>
      <c r="CL18" s="451">
        <f>'Raw financials'!BZ18</f>
        <v/>
      </c>
      <c r="CM18" s="451">
        <f>'Raw financials'!CA18</f>
        <v/>
      </c>
      <c r="CN18" s="451">
        <f>'Raw financials'!CB18</f>
        <v/>
      </c>
      <c r="CO18" s="451">
        <f>'Raw financials'!CC18</f>
        <v/>
      </c>
      <c r="CP18" s="451">
        <f>'Raw financials'!CD18</f>
        <v/>
      </c>
      <c r="CQ18" s="451">
        <f>'Raw financials'!CE18</f>
        <v/>
      </c>
      <c r="CR18" s="451">
        <f>'Raw financials'!CF18</f>
        <v/>
      </c>
      <c r="CS18" s="451">
        <f>'Raw financials'!CG18</f>
        <v/>
      </c>
      <c r="CT18" s="451">
        <f>'Raw financials'!CH18</f>
        <v/>
      </c>
      <c r="CU18" s="451">
        <f>'Raw financials'!CI18</f>
        <v/>
      </c>
      <c r="CV18" s="451">
        <f>'Raw financials'!CJ18</f>
        <v/>
      </c>
      <c r="CW18" s="451">
        <f>'Raw financials'!CK18</f>
        <v/>
      </c>
      <c r="CX18" s="451">
        <f>'Raw financials'!CL18</f>
        <v/>
      </c>
      <c r="CY18" s="451">
        <f>'Raw financials'!CM18</f>
        <v/>
      </c>
      <c r="CZ18" s="451">
        <f>'Raw financials'!CN18</f>
        <v/>
      </c>
      <c r="DA18" s="451">
        <f>'Raw financials'!CO18</f>
        <v/>
      </c>
      <c r="DB18" s="451">
        <f>'Raw financials'!CP18</f>
        <v/>
      </c>
      <c r="DC18" s="451">
        <f>'Raw financials'!CQ18</f>
        <v/>
      </c>
      <c r="DD18" s="451">
        <f>'Raw financials'!CR18</f>
        <v/>
      </c>
      <c r="DE18" s="451">
        <f>'Raw financials'!CS18</f>
        <v/>
      </c>
      <c r="DF18" s="451">
        <f>'Raw financials'!CT18</f>
        <v/>
      </c>
      <c r="DG18" s="451">
        <f>'Raw financials'!CU18</f>
        <v/>
      </c>
      <c r="DH18" s="451">
        <f>'Raw financials'!CV18</f>
        <v/>
      </c>
      <c r="DI18" s="451">
        <f>'Raw financials'!CW18</f>
        <v/>
      </c>
      <c r="DJ18" s="451">
        <f>'Raw financials'!CX18</f>
        <v/>
      </c>
      <c r="DK18" s="451">
        <f>'Raw financials'!CY18</f>
        <v/>
      </c>
      <c r="DL18" s="451">
        <f>'Raw financials'!CZ18</f>
        <v/>
      </c>
      <c r="DM18" s="451">
        <f>'Raw financials'!DA18</f>
        <v/>
      </c>
      <c r="DN18" s="451">
        <f>'Raw financials'!DB18</f>
        <v/>
      </c>
      <c r="DO18" s="451">
        <f>'Raw financials'!DC18</f>
        <v/>
      </c>
      <c r="DP18" s="451">
        <f>'Raw financials'!DD18</f>
        <v/>
      </c>
      <c r="DQ18" s="451">
        <f>'Raw financials'!DE18</f>
        <v/>
      </c>
      <c r="DR18" s="451">
        <f>'Raw financials'!DF18</f>
        <v/>
      </c>
      <c r="DS18" s="451">
        <f>'Raw financials'!DG18</f>
        <v/>
      </c>
      <c r="DT18" s="451">
        <f>'Raw financials'!DH18</f>
        <v/>
      </c>
      <c r="DU18" s="451">
        <f>'Raw financials'!DI18</f>
        <v/>
      </c>
      <c r="DV18" s="451">
        <f>'Raw financials'!DJ18</f>
        <v/>
      </c>
      <c r="DW18" s="451">
        <f>'Raw financials'!DK18</f>
        <v/>
      </c>
      <c r="DX18" s="451">
        <f>'Raw financials'!DL18</f>
        <v/>
      </c>
      <c r="DY18" s="451">
        <f>'Raw financials'!DM18</f>
        <v/>
      </c>
      <c r="DZ18" s="451">
        <f>'Raw financials'!DN18</f>
        <v/>
      </c>
      <c r="EA18" s="451">
        <f>'Raw financials'!DO18</f>
        <v/>
      </c>
      <c r="EB18" s="451">
        <f>'Raw financials'!DP18</f>
        <v/>
      </c>
      <c r="EC18" s="451">
        <f>'Raw financials'!DQ18</f>
        <v/>
      </c>
      <c r="ED18" s="451">
        <f>'Raw financials'!DR18</f>
        <v/>
      </c>
      <c r="EE18" s="451">
        <f>'Raw financials'!DS18</f>
        <v/>
      </c>
      <c r="EF18" s="451">
        <f>'Raw financials'!DT18</f>
        <v/>
      </c>
      <c r="EG18" s="451">
        <f>'Raw financials'!DU18</f>
        <v/>
      </c>
      <c r="EH18" s="451">
        <f>'Raw financials'!DV18</f>
        <v/>
      </c>
      <c r="EI18" s="451">
        <f>'Raw financials'!DW18</f>
        <v/>
      </c>
      <c r="EJ18" s="451">
        <f>'Raw financials'!DX18</f>
        <v/>
      </c>
      <c r="EK18" s="451">
        <f>'Raw financials'!DY18</f>
        <v/>
      </c>
      <c r="EL18" s="451">
        <f>'Raw financials'!DZ18</f>
        <v/>
      </c>
      <c r="EM18" s="451">
        <f>'Raw financials'!EA18</f>
        <v/>
      </c>
      <c r="EN18" s="451">
        <f>'Raw financials'!EB18</f>
        <v/>
      </c>
      <c r="EO18" s="451">
        <f>'Raw financials'!EC18</f>
        <v/>
      </c>
      <c r="EP18" s="451">
        <f>'Raw financials'!ED18</f>
        <v/>
      </c>
      <c r="EQ18" s="451">
        <f>'Raw financials'!EE18</f>
        <v/>
      </c>
      <c r="ER18" s="451">
        <f>'Raw financials'!EF18</f>
        <v/>
      </c>
      <c r="ES18" s="451">
        <f>'Raw financials'!EG18</f>
        <v/>
      </c>
      <c r="ET18" s="451">
        <f>'Raw financials'!EH18</f>
        <v/>
      </c>
      <c r="EU18" s="451">
        <f>'Raw financials'!EI18</f>
        <v/>
      </c>
      <c r="EV18" s="451">
        <f>'Raw financials'!EJ18</f>
        <v/>
      </c>
      <c r="EW18" s="451">
        <f>'Raw financials'!EK18</f>
        <v/>
      </c>
      <c r="EX18" s="451">
        <f>'Raw financials'!EL18</f>
        <v/>
      </c>
      <c r="EY18" s="451">
        <f>'Raw financials'!EM18</f>
        <v/>
      </c>
      <c r="EZ18" s="454" t="n"/>
      <c r="FA18" s="454" t="n"/>
      <c r="FB18" s="453">
        <f>+FA18-EW18</f>
        <v/>
      </c>
      <c r="FC18" s="379">
        <f>+FB18/EW18</f>
        <v/>
      </c>
      <c r="FD18" s="379">
        <f>+FA18/T18</f>
        <v/>
      </c>
      <c r="FE18" s="379">
        <f>+FA18/U18</f>
        <v/>
      </c>
    </row>
    <row r="19" hidden="1" outlineLevel="1">
      <c r="A19" s="450" t="inlineStr">
        <is>
          <t xml:space="preserve">         Of which is JV and asso income</t>
        </is>
      </c>
      <c r="B19" s="451" t="n"/>
      <c r="C19" s="451" t="n"/>
      <c r="D19" s="451" t="n"/>
      <c r="E19" s="451" t="n"/>
      <c r="F19" s="451" t="n"/>
      <c r="G19" s="451" t="n"/>
      <c r="H19" s="451" t="n"/>
      <c r="I19" s="451" t="n"/>
      <c r="J19" s="451" t="n"/>
      <c r="K19" s="451" t="n"/>
      <c r="L19" s="451" t="n"/>
      <c r="M19" s="451" t="n"/>
      <c r="N19" s="451" t="n"/>
      <c r="O19" s="451" t="n"/>
      <c r="P19" s="451" t="n"/>
      <c r="Q19" s="451" t="n"/>
      <c r="R19" s="451" t="n"/>
      <c r="S19" s="451" t="n"/>
      <c r="T19" s="451" t="n"/>
      <c r="U19" s="464" t="n"/>
      <c r="V19" s="451" t="n"/>
      <c r="W19" s="451" t="n"/>
      <c r="X19" s="451" t="n"/>
      <c r="Y19" s="451" t="n"/>
      <c r="Z19" s="451" t="n"/>
      <c r="AA19" s="452">
        <f>+U19-T19</f>
        <v/>
      </c>
      <c r="AB19" s="348">
        <f>+AA19/T19</f>
        <v/>
      </c>
      <c r="AC19" s="451" t="n"/>
      <c r="AD19" s="452">
        <f>+U19-AC19</f>
        <v/>
      </c>
      <c r="AE19" s="348">
        <f>+AD19/AC19</f>
        <v/>
      </c>
      <c r="AF19" s="451" t="n"/>
      <c r="AG19" s="451" t="n"/>
      <c r="AH19" s="451">
        <f>B19-AG19</f>
        <v/>
      </c>
      <c r="AI19" s="451" t="n"/>
      <c r="AJ19" s="451">
        <f>C19-AI19</f>
        <v/>
      </c>
      <c r="AK19" s="451" t="n"/>
      <c r="AL19" s="451">
        <f>D19-AK19</f>
        <v/>
      </c>
      <c r="AM19" s="451" t="n"/>
      <c r="AN19" s="451">
        <f>E19-AM19</f>
        <v/>
      </c>
      <c r="AO19" s="451" t="n"/>
      <c r="AP19" s="451">
        <f>F19-AO19</f>
        <v/>
      </c>
      <c r="AQ19" s="451" t="n"/>
      <c r="AR19" s="451">
        <f>G19-AQ19</f>
        <v/>
      </c>
      <c r="AS19" s="451" t="n"/>
      <c r="AT19" s="451">
        <f>H19-AS19</f>
        <v/>
      </c>
      <c r="AU19" s="451" t="n"/>
      <c r="AV19" s="451">
        <f>I19-AU19</f>
        <v/>
      </c>
      <c r="AW19" s="451" t="n"/>
      <c r="AX19" s="451">
        <f>J19-AW19</f>
        <v/>
      </c>
      <c r="AY19" s="451" t="n"/>
      <c r="AZ19" s="451">
        <f>K19-AY19</f>
        <v/>
      </c>
      <c r="BA19" s="451" t="n"/>
      <c r="BB19" s="451">
        <f>L19-BA19</f>
        <v/>
      </c>
      <c r="BC19" s="451" t="n"/>
      <c r="BD19" s="451">
        <f>M19-BC19</f>
        <v/>
      </c>
      <c r="BE19" s="451" t="n"/>
      <c r="BF19" s="451">
        <f>N19-BE19</f>
        <v/>
      </c>
      <c r="BG19" s="451" t="n"/>
      <c r="BH19" s="451">
        <f>O19-BG19</f>
        <v/>
      </c>
      <c r="BI19" s="451" t="n"/>
      <c r="BJ19" s="451">
        <f>P19-BI19</f>
        <v/>
      </c>
      <c r="BK19" s="451" t="n"/>
      <c r="BL19" s="451">
        <f>Q19-BK19</f>
        <v/>
      </c>
      <c r="BM19" s="451" t="n"/>
      <c r="BN19" s="451">
        <f>R19-BM19</f>
        <v/>
      </c>
      <c r="BO19" s="451" t="n"/>
      <c r="BP19" s="451">
        <f>S19-BO19</f>
        <v/>
      </c>
      <c r="BQ19" s="451" t="n"/>
      <c r="BR19" s="451">
        <f>T19-BQ19</f>
        <v/>
      </c>
      <c r="BS19" s="451" t="n"/>
      <c r="BT19" s="451">
        <f>U19-BS19</f>
        <v/>
      </c>
      <c r="BU19" s="453">
        <f>BT19-BR19</f>
        <v/>
      </c>
      <c r="BV19" s="379">
        <f>BU19/BR19</f>
        <v/>
      </c>
      <c r="BW19" s="379">
        <f>BT19/T19</f>
        <v/>
      </c>
      <c r="BX19" s="379">
        <f>BT19/U19</f>
        <v/>
      </c>
      <c r="BZ19" s="451" t="n"/>
      <c r="CA19" s="451" t="n"/>
      <c r="CB19" s="451" t="n"/>
      <c r="CC19" s="451" t="n"/>
      <c r="CD19" s="451" t="n"/>
      <c r="CE19" s="451" t="n"/>
      <c r="CF19" s="451" t="n"/>
      <c r="CG19" s="451" t="n"/>
      <c r="CH19" s="451" t="n"/>
      <c r="CI19" s="451" t="n"/>
      <c r="CJ19" s="451" t="n"/>
      <c r="CK19" s="451" t="n"/>
      <c r="CL19" s="451" t="n"/>
      <c r="CM19" s="451" t="n"/>
      <c r="CN19" s="451" t="n"/>
      <c r="CO19" s="451" t="n"/>
      <c r="CP19" s="451" t="n"/>
      <c r="CQ19" s="451" t="n"/>
      <c r="CR19" s="451" t="n"/>
      <c r="CS19" s="451" t="n"/>
      <c r="CT19" s="451" t="n"/>
      <c r="CU19" s="451" t="n"/>
      <c r="CV19" s="451" t="n"/>
      <c r="CW19" s="451" t="n"/>
      <c r="CX19" s="451" t="n"/>
      <c r="CY19" s="451" t="n"/>
      <c r="CZ19" s="451" t="n"/>
      <c r="DA19" s="451" t="n"/>
      <c r="DB19" s="451" t="n"/>
      <c r="DC19" s="451" t="n"/>
      <c r="DD19" s="451" t="n"/>
      <c r="DE19" s="451" t="n"/>
      <c r="DF19" s="451" t="n"/>
      <c r="DG19" s="451" t="n"/>
      <c r="DH19" s="451" t="n"/>
      <c r="DI19" s="451" t="n"/>
      <c r="DJ19" s="451" t="n"/>
      <c r="DK19" s="451" t="n"/>
      <c r="DL19" s="451" t="n"/>
      <c r="DM19" s="451" t="n"/>
      <c r="DN19" s="451" t="n"/>
      <c r="DO19" s="451" t="n"/>
      <c r="DP19" s="451" t="n"/>
      <c r="DQ19" s="451" t="n"/>
      <c r="DR19" s="451" t="n"/>
      <c r="DS19" s="451" t="n"/>
      <c r="DT19" s="451" t="n"/>
      <c r="DU19" s="451" t="n"/>
      <c r="DV19" s="451" t="n"/>
      <c r="DW19" s="451" t="n"/>
      <c r="DX19" s="451" t="n"/>
      <c r="DY19" s="451" t="n"/>
      <c r="DZ19" s="451" t="n"/>
      <c r="EA19" s="451" t="n"/>
      <c r="EB19" s="451" t="n"/>
      <c r="EC19" s="451" t="n"/>
      <c r="ED19" s="451" t="n"/>
      <c r="EE19" s="451" t="n"/>
      <c r="EF19" s="451" t="n"/>
      <c r="EG19" s="451" t="n"/>
      <c r="EH19" s="451" t="n"/>
      <c r="EI19" s="451" t="n"/>
      <c r="EJ19" s="451" t="n"/>
      <c r="EK19" s="451" t="n"/>
      <c r="EL19" s="451" t="n"/>
      <c r="EM19" s="451" t="n"/>
      <c r="EN19" s="451" t="n"/>
      <c r="EO19" s="451" t="n"/>
      <c r="EP19" s="451" t="n"/>
      <c r="EQ19" s="451" t="n"/>
      <c r="ER19" s="451" t="n"/>
      <c r="ES19" s="451" t="n"/>
      <c r="ET19" s="451" t="n"/>
      <c r="EU19" s="451" t="n"/>
      <c r="EV19" s="451" t="n"/>
      <c r="EW19" s="451" t="n"/>
      <c r="EX19" s="451" t="n"/>
      <c r="EY19" s="451" t="n"/>
      <c r="EZ19" s="454" t="n"/>
      <c r="FA19" s="454" t="n"/>
      <c r="FB19" s="453">
        <f>+FA19-EW19</f>
        <v/>
      </c>
      <c r="FC19" s="379">
        <f>+FB19/EW19</f>
        <v/>
      </c>
      <c r="FD19" s="379">
        <f>+FA19/T19</f>
        <v/>
      </c>
      <c r="FE19" s="379">
        <f>+FA19/U19</f>
        <v/>
      </c>
    </row>
    <row r="20" collapsed="1">
      <c r="A20" s="450" t="inlineStr">
        <is>
          <t>Impairment losses</t>
        </is>
      </c>
      <c r="B20" s="451">
        <f>SUM('Raw financials'!B23,'Raw financials'!B24)</f>
        <v/>
      </c>
      <c r="C20" s="451">
        <f>SUM('Raw financials'!C23,'Raw financials'!C24)</f>
        <v/>
      </c>
      <c r="D20" s="451">
        <f>SUM('Raw financials'!D23,'Raw financials'!D24)</f>
        <v/>
      </c>
      <c r="E20" s="451">
        <f>SUM('Raw financials'!E23,'Raw financials'!E24)</f>
        <v/>
      </c>
      <c r="F20" s="451">
        <f>SUM('Raw financials'!F23,'Raw financials'!F24)</f>
        <v/>
      </c>
      <c r="G20" s="451">
        <f>SUM('Raw financials'!G23,'Raw financials'!G24)</f>
        <v/>
      </c>
      <c r="H20" s="451">
        <f>SUM('Raw financials'!H23,'Raw financials'!H24)</f>
        <v/>
      </c>
      <c r="I20" s="451">
        <f>SUM('Raw financials'!I23,'Raw financials'!I24)</f>
        <v/>
      </c>
      <c r="J20" s="451">
        <f>SUM('Raw financials'!J23,'Raw financials'!J24)</f>
        <v/>
      </c>
      <c r="K20" s="451">
        <f>SUM('Raw financials'!K23,'Raw financials'!K24)</f>
        <v/>
      </c>
      <c r="L20" s="451">
        <f>SUM('Raw financials'!L23,'Raw financials'!L24)</f>
        <v/>
      </c>
      <c r="M20" s="451">
        <f>SUM('Raw financials'!M23,'Raw financials'!M24)</f>
        <v/>
      </c>
      <c r="N20" s="451">
        <f>SUM('Raw financials'!N23,'Raw financials'!N24)</f>
        <v/>
      </c>
      <c r="O20" s="451">
        <f>SUM('Raw financials'!O23,'Raw financials'!O24)</f>
        <v/>
      </c>
      <c r="P20" s="451">
        <f>SUM('Raw financials'!P23,'Raw financials'!P24)</f>
        <v/>
      </c>
      <c r="Q20" s="451">
        <f>SUM('Raw financials'!Q23,'Raw financials'!Q24)</f>
        <v/>
      </c>
      <c r="R20" s="451">
        <f>SUM('Raw financials'!R23,'Raw financials'!R24)</f>
        <v/>
      </c>
      <c r="S20" s="451">
        <f>SUM('Raw financials'!S23,'Raw financials'!S24)</f>
        <v/>
      </c>
      <c r="T20" s="451">
        <f>SUM('Raw financials'!T23,'Raw financials'!T24)</f>
        <v/>
      </c>
      <c r="U20" s="459">
        <f>4*EX20</f>
        <v/>
      </c>
      <c r="V20" s="459">
        <f>U20</f>
        <v/>
      </c>
      <c r="W20" s="459">
        <f>V20</f>
        <v/>
      </c>
      <c r="X20" s="459">
        <f>W20</f>
        <v/>
      </c>
      <c r="Y20" s="459">
        <f>X20</f>
        <v/>
      </c>
      <c r="Z20" s="459">
        <f>Y20</f>
        <v/>
      </c>
      <c r="AA20" s="452">
        <f>+U20-T20</f>
        <v/>
      </c>
      <c r="AB20" s="348">
        <f>+AA20/T20</f>
        <v/>
      </c>
      <c r="AC20" s="459" t="n">
        <v>-574.3000000000001</v>
      </c>
      <c r="AD20" s="452">
        <f>+U20-AC20</f>
        <v/>
      </c>
      <c r="AE20" s="348">
        <f>+AD20/AC20</f>
        <v/>
      </c>
      <c r="AF20" s="169" t="n"/>
      <c r="AG20" s="451">
        <f>SUM('Raw financials'!AA23,'Raw financials'!AA24)</f>
        <v/>
      </c>
      <c r="AH20" s="451">
        <f>B20-AG20</f>
        <v/>
      </c>
      <c r="AI20" s="451">
        <f>SUM('Raw financials'!AB23,'Raw financials'!AB24)</f>
        <v/>
      </c>
      <c r="AJ20" s="451">
        <f>C20-AI20</f>
        <v/>
      </c>
      <c r="AK20" s="451">
        <f>SUM('Raw financials'!AC23,'Raw financials'!AC24)</f>
        <v/>
      </c>
      <c r="AL20" s="451">
        <f>D20-AK20</f>
        <v/>
      </c>
      <c r="AM20" s="451">
        <f>SUM('Raw financials'!AD23,'Raw financials'!AD24)</f>
        <v/>
      </c>
      <c r="AN20" s="451">
        <f>E20-AM20</f>
        <v/>
      </c>
      <c r="AO20" s="451">
        <f>SUM('Raw financials'!AE23,'Raw financials'!AE24)</f>
        <v/>
      </c>
      <c r="AP20" s="451">
        <f>F20-AO20</f>
        <v/>
      </c>
      <c r="AQ20" s="451">
        <f>SUM('Raw financials'!AF23,'Raw financials'!AF24)</f>
        <v/>
      </c>
      <c r="AR20" s="451">
        <f>G20-AQ20</f>
        <v/>
      </c>
      <c r="AS20" s="451">
        <f>SUM('Raw financials'!AG23,'Raw financials'!AG24)</f>
        <v/>
      </c>
      <c r="AT20" s="451">
        <f>H20-AS20</f>
        <v/>
      </c>
      <c r="AU20" s="451">
        <f>SUM('Raw financials'!AH23,'Raw financials'!AH24)</f>
        <v/>
      </c>
      <c r="AV20" s="451">
        <f>I20-AU20</f>
        <v/>
      </c>
      <c r="AW20" s="451">
        <f>SUM('Raw financials'!AI23,'Raw financials'!AI24)</f>
        <v/>
      </c>
      <c r="AX20" s="451">
        <f>J20-AW20</f>
        <v/>
      </c>
      <c r="AY20" s="451">
        <f>SUM('Raw financials'!AJ23,'Raw financials'!AJ24)</f>
        <v/>
      </c>
      <c r="AZ20" s="451">
        <f>K20-AY20</f>
        <v/>
      </c>
      <c r="BA20" s="451">
        <f>SUM('Raw financials'!AK23,'Raw financials'!AK24)</f>
        <v/>
      </c>
      <c r="BB20" s="451">
        <f>L20-BA20</f>
        <v/>
      </c>
      <c r="BC20" s="451">
        <f>SUM('Raw financials'!AL23,'Raw financials'!AL24)</f>
        <v/>
      </c>
      <c r="BD20" s="451">
        <f>M20-BC20</f>
        <v/>
      </c>
      <c r="BE20" s="451">
        <f>SUM('Raw financials'!AM23,'Raw financials'!AM24)</f>
        <v/>
      </c>
      <c r="BF20" s="451">
        <f>N20-BE20</f>
        <v/>
      </c>
      <c r="BG20" s="451">
        <f>SUM('Raw financials'!AN23,'Raw financials'!AN24)</f>
        <v/>
      </c>
      <c r="BH20" s="451">
        <f>O20-BG20</f>
        <v/>
      </c>
      <c r="BI20" s="451">
        <f>SUM('Raw financials'!AO23,'Raw financials'!AO24)</f>
        <v/>
      </c>
      <c r="BJ20" s="451">
        <f>P20-BI20</f>
        <v/>
      </c>
      <c r="BK20" s="451">
        <f>SUM('Raw financials'!AP23,'Raw financials'!AP24)</f>
        <v/>
      </c>
      <c r="BL20" s="451">
        <f>Q20-BK20</f>
        <v/>
      </c>
      <c r="BM20" s="451">
        <f>SUM('Raw financials'!AQ23,'Raw financials'!AQ24)</f>
        <v/>
      </c>
      <c r="BN20" s="451">
        <f>R20-BM20</f>
        <v/>
      </c>
      <c r="BO20" s="451">
        <f>SUM('Raw financials'!AR23,'Raw financials'!AR24)</f>
        <v/>
      </c>
      <c r="BP20" s="451">
        <f>S20-BO20</f>
        <v/>
      </c>
      <c r="BQ20" s="451">
        <f>SUM('Raw financials'!AS23,'Raw financials'!AS24)</f>
        <v/>
      </c>
      <c r="BR20" s="451">
        <f>T20-BQ20</f>
        <v/>
      </c>
      <c r="BS20" s="451" t="n"/>
      <c r="BT20" s="451">
        <f>U20-BS20</f>
        <v/>
      </c>
      <c r="BU20" s="453">
        <f>BT20-BR20</f>
        <v/>
      </c>
      <c r="BV20" s="379">
        <f>BU20/BR20</f>
        <v/>
      </c>
      <c r="BW20" s="379">
        <f>BT20/T20</f>
        <v/>
      </c>
      <c r="BX20" s="379">
        <f>BT20/U20</f>
        <v/>
      </c>
      <c r="BZ20" s="451">
        <f>SUM('Raw financials'!BN23,'Raw financials'!BN24)</f>
        <v/>
      </c>
      <c r="CA20" s="451">
        <f>SUM('Raw financials'!BO23,'Raw financials'!BO24)</f>
        <v/>
      </c>
      <c r="CB20" s="451">
        <f>SUM('Raw financials'!BP23,'Raw financials'!BP24)</f>
        <v/>
      </c>
      <c r="CC20" s="451">
        <f>SUM('Raw financials'!BQ23,'Raw financials'!BQ24)</f>
        <v/>
      </c>
      <c r="CD20" s="451">
        <f>SUM('Raw financials'!BR23,'Raw financials'!BR24)</f>
        <v/>
      </c>
      <c r="CE20" s="451">
        <f>SUM('Raw financials'!BS23,'Raw financials'!BS24)</f>
        <v/>
      </c>
      <c r="CF20" s="451">
        <f>SUM('Raw financials'!BT23,'Raw financials'!BT24)</f>
        <v/>
      </c>
      <c r="CG20" s="451">
        <f>SUM('Raw financials'!BU23,'Raw financials'!BU24)</f>
        <v/>
      </c>
      <c r="CH20" s="451">
        <f>SUM('Raw financials'!BV23,'Raw financials'!BV24)</f>
        <v/>
      </c>
      <c r="CI20" s="451">
        <f>SUM('Raw financials'!BW23,'Raw financials'!BW24)</f>
        <v/>
      </c>
      <c r="CJ20" s="451">
        <f>SUM('Raw financials'!BX23,'Raw financials'!BX24)</f>
        <v/>
      </c>
      <c r="CK20" s="451">
        <f>SUM('Raw financials'!BY23,'Raw financials'!BY24)</f>
        <v/>
      </c>
      <c r="CL20" s="451">
        <f>SUM('Raw financials'!BZ23,'Raw financials'!BZ24)</f>
        <v/>
      </c>
      <c r="CM20" s="451">
        <f>SUM('Raw financials'!CA23,'Raw financials'!CA24)</f>
        <v/>
      </c>
      <c r="CN20" s="451">
        <f>SUM('Raw financials'!CB23,'Raw financials'!CB24)</f>
        <v/>
      </c>
      <c r="CO20" s="451">
        <f>SUM('Raw financials'!CC23,'Raw financials'!CC24)</f>
        <v/>
      </c>
      <c r="CP20" s="451">
        <f>SUM('Raw financials'!CD23,'Raw financials'!CD24)</f>
        <v/>
      </c>
      <c r="CQ20" s="451">
        <f>SUM('Raw financials'!CE23,'Raw financials'!CE24)</f>
        <v/>
      </c>
      <c r="CR20" s="451">
        <f>SUM('Raw financials'!CF23,'Raw financials'!CF24)</f>
        <v/>
      </c>
      <c r="CS20" s="451">
        <f>SUM('Raw financials'!CG23,'Raw financials'!CG24)</f>
        <v/>
      </c>
      <c r="CT20" s="451">
        <f>SUM('Raw financials'!CH23,'Raw financials'!CH24)</f>
        <v/>
      </c>
      <c r="CU20" s="451">
        <f>SUM('Raw financials'!CI23,'Raw financials'!CI24)</f>
        <v/>
      </c>
      <c r="CV20" s="451">
        <f>SUM('Raw financials'!CJ23,'Raw financials'!CJ24)</f>
        <v/>
      </c>
      <c r="CW20" s="451">
        <f>SUM('Raw financials'!CK23,'Raw financials'!CK24)</f>
        <v/>
      </c>
      <c r="CX20" s="451">
        <f>SUM('Raw financials'!CL23,'Raw financials'!CL24)</f>
        <v/>
      </c>
      <c r="CY20" s="451">
        <f>SUM('Raw financials'!CM23,'Raw financials'!CM24)</f>
        <v/>
      </c>
      <c r="CZ20" s="451">
        <f>SUM('Raw financials'!CN23,'Raw financials'!CN24)</f>
        <v/>
      </c>
      <c r="DA20" s="451">
        <f>SUM('Raw financials'!CO23,'Raw financials'!CO24)</f>
        <v/>
      </c>
      <c r="DB20" s="451">
        <f>SUM('Raw financials'!CP23,'Raw financials'!CP24)</f>
        <v/>
      </c>
      <c r="DC20" s="451">
        <f>SUM('Raw financials'!CQ23,'Raw financials'!CQ24)</f>
        <v/>
      </c>
      <c r="DD20" s="451">
        <f>SUM('Raw financials'!CR23,'Raw financials'!CR24)</f>
        <v/>
      </c>
      <c r="DE20" s="451">
        <f>SUM('Raw financials'!CS23,'Raw financials'!CS24)</f>
        <v/>
      </c>
      <c r="DF20" s="451">
        <f>SUM('Raw financials'!CT23,'Raw financials'!CT24)</f>
        <v/>
      </c>
      <c r="DG20" s="451">
        <f>SUM('Raw financials'!CU23,'Raw financials'!CU24)</f>
        <v/>
      </c>
      <c r="DH20" s="451">
        <f>SUM('Raw financials'!CV23,'Raw financials'!CV24)</f>
        <v/>
      </c>
      <c r="DI20" s="451">
        <f>SUM('Raw financials'!CW23,'Raw financials'!CW24)</f>
        <v/>
      </c>
      <c r="DJ20" s="451">
        <f>SUM('Raw financials'!CX23,'Raw financials'!CX24)</f>
        <v/>
      </c>
      <c r="DK20" s="451">
        <f>SUM('Raw financials'!CY23,'Raw financials'!CY24)</f>
        <v/>
      </c>
      <c r="DL20" s="451">
        <f>SUM('Raw financials'!CZ23,'Raw financials'!CZ24)</f>
        <v/>
      </c>
      <c r="DM20" s="451">
        <f>SUM('Raw financials'!DA23,'Raw financials'!DA24)</f>
        <v/>
      </c>
      <c r="DN20" s="451">
        <f>SUM('Raw financials'!DB23,'Raw financials'!DB24)</f>
        <v/>
      </c>
      <c r="DO20" s="451">
        <f>SUM('Raw financials'!DC23,'Raw financials'!DC24)</f>
        <v/>
      </c>
      <c r="DP20" s="451">
        <f>SUM('Raw financials'!DD23,'Raw financials'!DD24)</f>
        <v/>
      </c>
      <c r="DQ20" s="451">
        <f>SUM('Raw financials'!DE23,'Raw financials'!DE24)</f>
        <v/>
      </c>
      <c r="DR20" s="451">
        <f>SUM('Raw financials'!DF23,'Raw financials'!DF24)</f>
        <v/>
      </c>
      <c r="DS20" s="451">
        <f>SUM('Raw financials'!DG23,'Raw financials'!DG24)</f>
        <v/>
      </c>
      <c r="DT20" s="451">
        <f>SUM('Raw financials'!DH23,'Raw financials'!DH24)</f>
        <v/>
      </c>
      <c r="DU20" s="451">
        <f>SUM('Raw financials'!DI23,'Raw financials'!DI24)</f>
        <v/>
      </c>
      <c r="DV20" s="451">
        <f>SUM('Raw financials'!DJ23,'Raw financials'!DJ24)</f>
        <v/>
      </c>
      <c r="DW20" s="451">
        <f>SUM('Raw financials'!DK23,'Raw financials'!DK24)</f>
        <v/>
      </c>
      <c r="DX20" s="451">
        <f>SUM('Raw financials'!DL23,'Raw financials'!DL24)</f>
        <v/>
      </c>
      <c r="DY20" s="451">
        <f>SUM('Raw financials'!DM23,'Raw financials'!DM24)</f>
        <v/>
      </c>
      <c r="DZ20" s="451">
        <f>SUM('Raw financials'!DN23,'Raw financials'!DN24)</f>
        <v/>
      </c>
      <c r="EA20" s="451">
        <f>SUM('Raw financials'!DO23,'Raw financials'!DO24)</f>
        <v/>
      </c>
      <c r="EB20" s="451">
        <f>SUM('Raw financials'!DP23,'Raw financials'!DP24)</f>
        <v/>
      </c>
      <c r="EC20" s="451">
        <f>SUM('Raw financials'!DQ23,'Raw financials'!DQ24)</f>
        <v/>
      </c>
      <c r="ED20" s="451">
        <f>SUM('Raw financials'!DR23,'Raw financials'!DR24)</f>
        <v/>
      </c>
      <c r="EE20" s="451">
        <f>SUM('Raw financials'!DS23,'Raw financials'!DS24)</f>
        <v/>
      </c>
      <c r="EF20" s="451">
        <f>SUM('Raw financials'!DT23,'Raw financials'!DT24)</f>
        <v/>
      </c>
      <c r="EG20" s="451">
        <f>SUM('Raw financials'!DU23,'Raw financials'!DU24)</f>
        <v/>
      </c>
      <c r="EH20" s="451">
        <f>SUM('Raw financials'!DV23,'Raw financials'!DV24)</f>
        <v/>
      </c>
      <c r="EI20" s="451">
        <f>SUM('Raw financials'!DW23,'Raw financials'!DW24)</f>
        <v/>
      </c>
      <c r="EJ20" s="451">
        <f>SUM('Raw financials'!DX23,'Raw financials'!DX24)</f>
        <v/>
      </c>
      <c r="EK20" s="451">
        <f>SUM('Raw financials'!DY23,'Raw financials'!DY24)</f>
        <v/>
      </c>
      <c r="EL20" s="451">
        <f>SUM('Raw financials'!DZ23,'Raw financials'!DZ24)</f>
        <v/>
      </c>
      <c r="EM20" s="451">
        <f>SUM('Raw financials'!EA23,'Raw financials'!EA24)</f>
        <v/>
      </c>
      <c r="EN20" s="451">
        <f>SUM('Raw financials'!EB23,'Raw financials'!EB24)</f>
        <v/>
      </c>
      <c r="EO20" s="451">
        <f>SUM('Raw financials'!EC23,'Raw financials'!EC24)</f>
        <v/>
      </c>
      <c r="EP20" s="451">
        <f>SUM('Raw financials'!ED23,'Raw financials'!ED24)</f>
        <v/>
      </c>
      <c r="EQ20" s="451">
        <f>SUM('Raw financials'!EE23,'Raw financials'!EE24)</f>
        <v/>
      </c>
      <c r="ER20" s="451">
        <f>SUM('Raw financials'!EF23,'Raw financials'!EF24)</f>
        <v/>
      </c>
      <c r="ES20" s="451">
        <f>SUM('Raw financials'!EG23,'Raw financials'!EG24)</f>
        <v/>
      </c>
      <c r="ET20" s="451">
        <f>SUM('Raw financials'!EH23,'Raw financials'!EH24)</f>
        <v/>
      </c>
      <c r="EU20" s="451">
        <f>SUM('Raw financials'!EI23,'Raw financials'!EI24)</f>
        <v/>
      </c>
      <c r="EV20" s="451">
        <f>SUM('Raw financials'!EJ23,'Raw financials'!EJ24)</f>
        <v/>
      </c>
      <c r="EW20" s="451">
        <f>SUM('Raw financials'!EK23,'Raw financials'!EK24)</f>
        <v/>
      </c>
      <c r="EX20" s="451">
        <f>SUM('Raw financials'!EL23,'Raw financials'!EL24)</f>
        <v/>
      </c>
      <c r="EY20" s="451">
        <f>SUM('Raw financials'!EM23,'Raw financials'!EM24)</f>
        <v/>
      </c>
      <c r="EZ20" s="454" t="n"/>
      <c r="FA20" s="454" t="n"/>
      <c r="FB20" s="453">
        <f>+FA20-EW20</f>
        <v/>
      </c>
      <c r="FC20" s="379">
        <f>+FB20/EW20</f>
        <v/>
      </c>
      <c r="FD20" s="379">
        <f>+FA20/T20</f>
        <v/>
      </c>
      <c r="FE20" s="379">
        <f>+FA20/U20</f>
        <v/>
      </c>
    </row>
    <row r="21">
      <c r="A21" s="450" t="inlineStr">
        <is>
          <t>Other income and expenses</t>
        </is>
      </c>
      <c r="B21" s="451">
        <f>SUM('Raw financials'!B17,'Raw financials'!B22,'Raw financials'!B25,'Raw financials'!B30,-'Raw financials'!B31)</f>
        <v/>
      </c>
      <c r="C21" s="451">
        <f>SUM('Raw financials'!C17,'Raw financials'!C22,'Raw financials'!C25,'Raw financials'!C30,-'Raw financials'!C31)</f>
        <v/>
      </c>
      <c r="D21" s="451">
        <f>SUM('Raw financials'!D17,'Raw financials'!D22,'Raw financials'!D25,'Raw financials'!D30,-'Raw financials'!D31)</f>
        <v/>
      </c>
      <c r="E21" s="451">
        <f>SUM('Raw financials'!E17,'Raw financials'!E22,'Raw financials'!E25,'Raw financials'!E30,-'Raw financials'!E31)</f>
        <v/>
      </c>
      <c r="F21" s="451">
        <f>SUM('Raw financials'!F17,'Raw financials'!F22,'Raw financials'!F25,'Raw financials'!F30,-'Raw financials'!F31)</f>
        <v/>
      </c>
      <c r="G21" s="451">
        <f>SUM('Raw financials'!G17,'Raw financials'!G22,'Raw financials'!G25,'Raw financials'!G30,-'Raw financials'!G31)</f>
        <v/>
      </c>
      <c r="H21" s="451">
        <f>SUM('Raw financials'!H17,'Raw financials'!H22,'Raw financials'!H25,'Raw financials'!H30,-'Raw financials'!H31)</f>
        <v/>
      </c>
      <c r="I21" s="451">
        <f>SUM('Raw financials'!I17,'Raw financials'!I22,'Raw financials'!I25,'Raw financials'!I30,-'Raw financials'!I31)</f>
        <v/>
      </c>
      <c r="J21" s="451">
        <f>SUM('Raw financials'!J17,'Raw financials'!J22,'Raw financials'!J25,'Raw financials'!J30,-'Raw financials'!J31)</f>
        <v/>
      </c>
      <c r="K21" s="451">
        <f>SUM('Raw financials'!K17,'Raw financials'!K22,'Raw financials'!K25,'Raw financials'!K30,-'Raw financials'!K31)</f>
        <v/>
      </c>
      <c r="L21" s="451">
        <f>SUM('Raw financials'!L17,'Raw financials'!L22,'Raw financials'!L25,'Raw financials'!L30,-'Raw financials'!L31)</f>
        <v/>
      </c>
      <c r="M21" s="451">
        <f>SUM('Raw financials'!M17,'Raw financials'!M22,'Raw financials'!M25,'Raw financials'!M30,-'Raw financials'!M31)</f>
        <v/>
      </c>
      <c r="N21" s="451">
        <f>SUM('Raw financials'!N17,'Raw financials'!N22,'Raw financials'!N25,'Raw financials'!N30,-'Raw financials'!N31)</f>
        <v/>
      </c>
      <c r="O21" s="451">
        <f>SUM('Raw financials'!O17,'Raw financials'!O22,'Raw financials'!O25,'Raw financials'!O30,-'Raw financials'!O31)</f>
        <v/>
      </c>
      <c r="P21" s="451">
        <f>SUM('Raw financials'!P17,'Raw financials'!P22,'Raw financials'!P25,'Raw financials'!P30,-'Raw financials'!P31)</f>
        <v/>
      </c>
      <c r="Q21" s="451">
        <f>SUM('Raw financials'!Q17,'Raw financials'!Q22,'Raw financials'!Q25,'Raw financials'!Q30,-'Raw financials'!Q31)</f>
        <v/>
      </c>
      <c r="R21" s="451">
        <f>SUM('Raw financials'!R17,'Raw financials'!R22,'Raw financials'!R25,'Raw financials'!R30,-'Raw financials'!R31)</f>
        <v/>
      </c>
      <c r="S21" s="451">
        <f>SUM('Raw financials'!S17,'Raw financials'!S22,'Raw financials'!S25,'Raw financials'!S30,-'Raw financials'!S31)</f>
        <v/>
      </c>
      <c r="T21" s="451">
        <f>SUM(-'Raw financials'!T16,'Raw financials'!T17,'Raw financials'!T22,'Raw financials'!T25,'Raw financials'!T26,'Raw financials'!T30,-'Raw financials'!T31)</f>
        <v/>
      </c>
      <c r="U21" s="459">
        <f>T21/T4*U4</f>
        <v/>
      </c>
      <c r="V21" s="459">
        <f>+V4/U4*U21</f>
        <v/>
      </c>
      <c r="W21" s="459">
        <f>+W4/V4*V21</f>
        <v/>
      </c>
      <c r="X21" s="459">
        <f>+X4/W4*W21</f>
        <v/>
      </c>
      <c r="Y21" s="459">
        <f>+Y4/X4*X21</f>
        <v/>
      </c>
      <c r="Z21" s="459">
        <f>+Z4/Y4*Y21</f>
        <v/>
      </c>
      <c r="AA21" s="452">
        <f>+U21-T21</f>
        <v/>
      </c>
      <c r="AB21" s="348">
        <f>+AA21/T21</f>
        <v/>
      </c>
      <c r="AC21" s="459" t="n">
        <v>653.3399061606459</v>
      </c>
      <c r="AD21" s="452">
        <f>+U21-AC21</f>
        <v/>
      </c>
      <c r="AE21" s="348">
        <f>+AD21/AC21</f>
        <v/>
      </c>
      <c r="AF21" s="169" t="n"/>
      <c r="AG21" s="451">
        <f>SUM(-'Raw financials'!AA16,'Raw financials'!AA17,'Raw financials'!AA22,'Raw financials'!AA25,'Raw financials'!AA26,'Raw financials'!AA30,-'Raw financials'!AA31)</f>
        <v/>
      </c>
      <c r="AH21" s="451">
        <f>B21-AG21</f>
        <v/>
      </c>
      <c r="AI21" s="451">
        <f>SUM(-'Raw financials'!AB16,'Raw financials'!AB17,'Raw financials'!AB22,'Raw financials'!AB25,'Raw financials'!AB26,'Raw financials'!AB30,-'Raw financials'!AB31)</f>
        <v/>
      </c>
      <c r="AJ21" s="451">
        <f>C21-AI21</f>
        <v/>
      </c>
      <c r="AK21" s="451">
        <f>SUM(-'Raw financials'!AC16,'Raw financials'!AC17,'Raw financials'!AC22,'Raw financials'!AC25,'Raw financials'!AC26,'Raw financials'!AC30,-'Raw financials'!AC31)</f>
        <v/>
      </c>
      <c r="AL21" s="451">
        <f>D21-AK21</f>
        <v/>
      </c>
      <c r="AM21" s="451">
        <f>SUM(-'Raw financials'!AD16,'Raw financials'!AD17,'Raw financials'!AD22,'Raw financials'!AD25,'Raw financials'!AD26,'Raw financials'!AD30,-'Raw financials'!AD31)</f>
        <v/>
      </c>
      <c r="AN21" s="451">
        <f>E21-AM21</f>
        <v/>
      </c>
      <c r="AO21" s="451">
        <f>SUM(-'Raw financials'!AE16,'Raw financials'!AE17,'Raw financials'!AE22,'Raw financials'!AE25,'Raw financials'!AE26,'Raw financials'!AE30,-'Raw financials'!AE31)</f>
        <v/>
      </c>
      <c r="AP21" s="451">
        <f>F21-AO21</f>
        <v/>
      </c>
      <c r="AQ21" s="451">
        <f>SUM(-'Raw financials'!AF16,'Raw financials'!AF17,'Raw financials'!AF22,'Raw financials'!AF25,'Raw financials'!AF26,'Raw financials'!AF30,-'Raw financials'!AF31)</f>
        <v/>
      </c>
      <c r="AR21" s="451">
        <f>G21-AQ21</f>
        <v/>
      </c>
      <c r="AS21" s="451">
        <f>SUM(-'Raw financials'!AG16,'Raw financials'!AG17,'Raw financials'!AG22,'Raw financials'!AG25,'Raw financials'!AG26,'Raw financials'!AG30,-'Raw financials'!AG31)</f>
        <v/>
      </c>
      <c r="AT21" s="451">
        <f>H21-AS21</f>
        <v/>
      </c>
      <c r="AU21" s="451">
        <f>SUM(-'Raw financials'!AH16,'Raw financials'!AH17,'Raw financials'!AH22,'Raw financials'!AH25,'Raw financials'!AH26,'Raw financials'!AH30,-'Raw financials'!AH31)</f>
        <v/>
      </c>
      <c r="AV21" s="451">
        <f>I21-AU21</f>
        <v/>
      </c>
      <c r="AW21" s="451">
        <f>SUM(-'Raw financials'!AI16,'Raw financials'!AI17,'Raw financials'!AI22,'Raw financials'!AI25,'Raw financials'!AI26,'Raw financials'!AI30,-'Raw financials'!AI31)</f>
        <v/>
      </c>
      <c r="AX21" s="451">
        <f>J21-AW21</f>
        <v/>
      </c>
      <c r="AY21" s="451">
        <f>SUM(-'Raw financials'!AJ16,'Raw financials'!AJ17,'Raw financials'!AJ22,'Raw financials'!AJ25,'Raw financials'!AJ26,'Raw financials'!AJ30,-'Raw financials'!AJ31)</f>
        <v/>
      </c>
      <c r="AZ21" s="451">
        <f>K21-AY21</f>
        <v/>
      </c>
      <c r="BA21" s="451">
        <f>SUM(-'Raw financials'!AK16,'Raw financials'!AK17,'Raw financials'!AK22,'Raw financials'!AK25,'Raw financials'!AK26,'Raw financials'!AK30,-'Raw financials'!AK31)</f>
        <v/>
      </c>
      <c r="BB21" s="451">
        <f>L21-BA21</f>
        <v/>
      </c>
      <c r="BC21" s="451">
        <f>SUM(-'Raw financials'!AL16,'Raw financials'!AL17,'Raw financials'!AL22,'Raw financials'!AL25,'Raw financials'!AL26,'Raw financials'!AL30,-'Raw financials'!AL31)</f>
        <v/>
      </c>
      <c r="BD21" s="451">
        <f>M21-BC21</f>
        <v/>
      </c>
      <c r="BE21" s="451">
        <f>SUM(-'Raw financials'!AM16,'Raw financials'!AM17,'Raw financials'!AM22,'Raw financials'!AM25,'Raw financials'!AM26,'Raw financials'!AM30,-'Raw financials'!AM31)</f>
        <v/>
      </c>
      <c r="BF21" s="451">
        <f>N21-BE21</f>
        <v/>
      </c>
      <c r="BG21" s="451">
        <f>SUM(-'Raw financials'!AN16,'Raw financials'!AN17,'Raw financials'!AN22,'Raw financials'!AN25,'Raw financials'!AN26,'Raw financials'!AN30,-'Raw financials'!AN31)</f>
        <v/>
      </c>
      <c r="BH21" s="451">
        <f>O21-BG21</f>
        <v/>
      </c>
      <c r="BI21" s="451">
        <f>SUM(-'Raw financials'!AO16,'Raw financials'!AO17,'Raw financials'!AO22,'Raw financials'!AO25,'Raw financials'!AO26,'Raw financials'!AO30,-'Raw financials'!AO31)</f>
        <v/>
      </c>
      <c r="BJ21" s="451">
        <f>P21-BI21</f>
        <v/>
      </c>
      <c r="BK21" s="451">
        <f>SUM(-'Raw financials'!AP16,'Raw financials'!AP17,'Raw financials'!AP22,'Raw financials'!AP25,'Raw financials'!AP26,'Raw financials'!AP30,-'Raw financials'!AP31)</f>
        <v/>
      </c>
      <c r="BL21" s="451">
        <f>Q21-BK21</f>
        <v/>
      </c>
      <c r="BM21" s="451">
        <f>SUM(-'Raw financials'!AQ16,'Raw financials'!AQ17,'Raw financials'!AQ22,'Raw financials'!AQ25,'Raw financials'!AQ26,'Raw financials'!AQ30,-'Raw financials'!AQ31)</f>
        <v/>
      </c>
      <c r="BN21" s="451">
        <f>R21-BM21</f>
        <v/>
      </c>
      <c r="BO21" s="451">
        <f>SUM(-'Raw financials'!AR16,'Raw financials'!AR17,'Raw financials'!AR22,'Raw financials'!AR25,'Raw financials'!AR26,'Raw financials'!AR30,-'Raw financials'!AR31)</f>
        <v/>
      </c>
      <c r="BP21" s="451">
        <f>S21-BO21</f>
        <v/>
      </c>
      <c r="BQ21" s="451">
        <f>SUM(-'Raw financials'!AS16,'Raw financials'!AS17,'Raw financials'!AS22,'Raw financials'!AS25,'Raw financials'!AS26,'Raw financials'!AS30,-'Raw financials'!AS31)-705.08+289.34423726</f>
        <v/>
      </c>
      <c r="BR21" s="451">
        <f>T21-BQ21</f>
        <v/>
      </c>
      <c r="BS21" s="451" t="n"/>
      <c r="BT21" s="451">
        <f>U21-BS21</f>
        <v/>
      </c>
      <c r="BU21" s="453">
        <f>BT21-BR21</f>
        <v/>
      </c>
      <c r="BV21" s="379">
        <f>BU21/BR21</f>
        <v/>
      </c>
      <c r="BW21" s="379">
        <f>BT21/T21</f>
        <v/>
      </c>
      <c r="BX21" s="379">
        <f>BT21/U21</f>
        <v/>
      </c>
      <c r="BZ21" s="451">
        <f>SUM(-'Raw financials'!BN16,'Raw financials'!BN17,'Raw financials'!BN22,'Raw financials'!BN25,'Raw financials'!BN26,'Raw financials'!BN30,-'Raw financials'!BN31)</f>
        <v/>
      </c>
      <c r="CA21" s="451">
        <f>SUM(-'Raw financials'!BO16,'Raw financials'!BO17,'Raw financials'!BO22,'Raw financials'!BO25,'Raw financials'!BO26,'Raw financials'!BO30,-'Raw financials'!BO31)</f>
        <v/>
      </c>
      <c r="CB21" s="451">
        <f>SUM(-'Raw financials'!BP16,'Raw financials'!BP17,'Raw financials'!BP22,'Raw financials'!BP25,'Raw financials'!BP26,'Raw financials'!BP30,-'Raw financials'!BP31)</f>
        <v/>
      </c>
      <c r="CC21" s="451">
        <f>SUM(-'Raw financials'!BQ16,'Raw financials'!BQ17,'Raw financials'!BQ22,'Raw financials'!BQ25,'Raw financials'!BQ26,'Raw financials'!BQ30,-'Raw financials'!BQ31)</f>
        <v/>
      </c>
      <c r="CD21" s="451">
        <f>SUM(-'Raw financials'!BR16,'Raw financials'!BR17,'Raw financials'!BR22,'Raw financials'!BR25,'Raw financials'!BR26,'Raw financials'!BR30,-'Raw financials'!BR31)</f>
        <v/>
      </c>
      <c r="CE21" s="451">
        <f>SUM(-'Raw financials'!BS16,'Raw financials'!BS17,'Raw financials'!BS22,'Raw financials'!BS25,'Raw financials'!BS26,'Raw financials'!BS30,-'Raw financials'!BS31)</f>
        <v/>
      </c>
      <c r="CF21" s="451">
        <f>SUM(-'Raw financials'!BT16,'Raw financials'!BT17,'Raw financials'!BT22,'Raw financials'!BT25,'Raw financials'!BT26,'Raw financials'!BT30,-'Raw financials'!BT31)</f>
        <v/>
      </c>
      <c r="CG21" s="451">
        <f>SUM(-'Raw financials'!BU16,'Raw financials'!BU17,'Raw financials'!BU22,'Raw financials'!BU25,'Raw financials'!BU26,'Raw financials'!BU30,-'Raw financials'!BU31)</f>
        <v/>
      </c>
      <c r="CH21" s="451">
        <f>SUM(-'Raw financials'!BV16,'Raw financials'!BV17,'Raw financials'!BV22,'Raw financials'!BV25,'Raw financials'!BV26,'Raw financials'!BV30,-'Raw financials'!BV31)</f>
        <v/>
      </c>
      <c r="CI21" s="451">
        <f>SUM(-'Raw financials'!BW16,'Raw financials'!BW17,'Raw financials'!BW22,'Raw financials'!BW25,'Raw financials'!BW26,'Raw financials'!BW30,-'Raw financials'!BW31)</f>
        <v/>
      </c>
      <c r="CJ21" s="451">
        <f>SUM(-'Raw financials'!BX16,'Raw financials'!BX17,'Raw financials'!BX22,'Raw financials'!BX25,'Raw financials'!BX26,'Raw financials'!BX30,-'Raw financials'!BX31)</f>
        <v/>
      </c>
      <c r="CK21" s="451">
        <f>SUM(-'Raw financials'!BY16,'Raw financials'!BY17,'Raw financials'!BY22,'Raw financials'!BY25,'Raw financials'!BY26,'Raw financials'!BY30,-'Raw financials'!BY31)</f>
        <v/>
      </c>
      <c r="CL21" s="451">
        <f>SUM(-'Raw financials'!BZ16,'Raw financials'!BZ17,'Raw financials'!BZ22,'Raw financials'!BZ25,'Raw financials'!BZ26,'Raw financials'!BZ30,-'Raw financials'!BZ31)</f>
        <v/>
      </c>
      <c r="CM21" s="451">
        <f>SUM(-'Raw financials'!CA16,'Raw financials'!CA17,'Raw financials'!CA22,'Raw financials'!CA25,'Raw financials'!CA26,'Raw financials'!CA30,-'Raw financials'!CA31)</f>
        <v/>
      </c>
      <c r="CN21" s="451">
        <f>SUM(-'Raw financials'!CB16,'Raw financials'!CB17,'Raw financials'!CB22,'Raw financials'!CB25,'Raw financials'!CB26,'Raw financials'!CB30,-'Raw financials'!CB31)</f>
        <v/>
      </c>
      <c r="CO21" s="451">
        <f>SUM(-'Raw financials'!CC16,'Raw financials'!CC17,'Raw financials'!CC22,'Raw financials'!CC25,'Raw financials'!CC26,'Raw financials'!CC30,-'Raw financials'!CC31)</f>
        <v/>
      </c>
      <c r="CP21" s="451">
        <f>SUM(-'Raw financials'!CD16,'Raw financials'!CD17,'Raw financials'!CD22,'Raw financials'!CD25,'Raw financials'!CD26,'Raw financials'!CD30,-'Raw financials'!CD31)</f>
        <v/>
      </c>
      <c r="CQ21" s="451">
        <f>SUM(-'Raw financials'!CE16,'Raw financials'!CE17,'Raw financials'!CE22,'Raw financials'!CE25,'Raw financials'!CE26,'Raw financials'!CE30,-'Raw financials'!CE31)</f>
        <v/>
      </c>
      <c r="CR21" s="451">
        <f>SUM(-'Raw financials'!CF16,'Raw financials'!CF17,'Raw financials'!CF22,'Raw financials'!CF25,'Raw financials'!CF26,'Raw financials'!CF30,-'Raw financials'!CF31)</f>
        <v/>
      </c>
      <c r="CS21" s="451">
        <f>SUM(-'Raw financials'!CG16,'Raw financials'!CG17,'Raw financials'!CG22,'Raw financials'!CG25,'Raw financials'!CG26,'Raw financials'!CG30,-'Raw financials'!CG31)</f>
        <v/>
      </c>
      <c r="CT21" s="451">
        <f>SUM(-'Raw financials'!CH16,'Raw financials'!CH17,'Raw financials'!CH22,'Raw financials'!CH25,'Raw financials'!CH26,'Raw financials'!CH30,-'Raw financials'!CH31)</f>
        <v/>
      </c>
      <c r="CU21" s="451">
        <f>SUM(-'Raw financials'!CI16,'Raw financials'!CI17,'Raw financials'!CI22,'Raw financials'!CI25,'Raw financials'!CI26,'Raw financials'!CI30,-'Raw financials'!CI31)</f>
        <v/>
      </c>
      <c r="CV21" s="451">
        <f>SUM(-'Raw financials'!CJ16,'Raw financials'!CJ17,'Raw financials'!CJ22,'Raw financials'!CJ25,'Raw financials'!CJ26,'Raw financials'!CJ30,-'Raw financials'!CJ31)</f>
        <v/>
      </c>
      <c r="CW21" s="451">
        <f>SUM(-'Raw financials'!CK16,'Raw financials'!CK17,'Raw financials'!CK22,'Raw financials'!CK25,'Raw financials'!CK26,'Raw financials'!CK30,-'Raw financials'!CK31)</f>
        <v/>
      </c>
      <c r="CX21" s="451">
        <f>SUM(-'Raw financials'!CL16,'Raw financials'!CL17,'Raw financials'!CL22,'Raw financials'!CL25,'Raw financials'!CL26,'Raw financials'!CL30,-'Raw financials'!CL31)</f>
        <v/>
      </c>
      <c r="CY21" s="451">
        <f>SUM(-'Raw financials'!CM16,'Raw financials'!CM17,'Raw financials'!CM22,'Raw financials'!CM25,'Raw financials'!CM26,'Raw financials'!CM30,-'Raw financials'!CM31)</f>
        <v/>
      </c>
      <c r="CZ21" s="451">
        <f>SUM(-'Raw financials'!CN16,'Raw financials'!CN17,'Raw financials'!CN22,'Raw financials'!CN25,'Raw financials'!CN26,'Raw financials'!CN30,-'Raw financials'!CN31)</f>
        <v/>
      </c>
      <c r="DA21" s="451">
        <f>SUM(-'Raw financials'!CO16,'Raw financials'!CO17,'Raw financials'!CO22,'Raw financials'!CO25,'Raw financials'!CO26,'Raw financials'!CO30,-'Raw financials'!CO31)</f>
        <v/>
      </c>
      <c r="DB21" s="451">
        <f>SUM(-'Raw financials'!CP16,'Raw financials'!CP17,'Raw financials'!CP22,'Raw financials'!CP25,'Raw financials'!CP26,'Raw financials'!CP30,-'Raw financials'!CP31)</f>
        <v/>
      </c>
      <c r="DC21" s="451">
        <f>SUM(-'Raw financials'!CQ16,'Raw financials'!CQ17,'Raw financials'!CQ22,'Raw financials'!CQ25,'Raw financials'!CQ26,'Raw financials'!CQ30,-'Raw financials'!CQ31)</f>
        <v/>
      </c>
      <c r="DD21" s="451">
        <f>SUM(-'Raw financials'!CR16,'Raw financials'!CR17,'Raw financials'!CR22,'Raw financials'!CR25,'Raw financials'!CR26,'Raw financials'!CR30,-'Raw financials'!CR31)</f>
        <v/>
      </c>
      <c r="DE21" s="451">
        <f>SUM(-'Raw financials'!CS16,'Raw financials'!CS17,'Raw financials'!CS22,'Raw financials'!CS25,'Raw financials'!CS26,'Raw financials'!CS30,-'Raw financials'!CS31)</f>
        <v/>
      </c>
      <c r="DF21" s="451">
        <f>SUM(-'Raw financials'!CT16,'Raw financials'!CT17,'Raw financials'!CT22,'Raw financials'!CT25,'Raw financials'!CT26,'Raw financials'!CT30,-'Raw financials'!CT31)</f>
        <v/>
      </c>
      <c r="DG21" s="451">
        <f>SUM(-'Raw financials'!CU16,'Raw financials'!CU17,'Raw financials'!CU22,'Raw financials'!CU25,'Raw financials'!CU26,'Raw financials'!CU30,-'Raw financials'!CU31)</f>
        <v/>
      </c>
      <c r="DH21" s="451">
        <f>SUM(-'Raw financials'!CV16,'Raw financials'!CV17,'Raw financials'!CV22,'Raw financials'!CV25,'Raw financials'!CV26,'Raw financials'!CV30,-'Raw financials'!CV31)</f>
        <v/>
      </c>
      <c r="DI21" s="451">
        <f>SUM(-'Raw financials'!CW16,'Raw financials'!CW17,'Raw financials'!CW22,'Raw financials'!CW25,'Raw financials'!CW26,'Raw financials'!CW30,-'Raw financials'!CW31)</f>
        <v/>
      </c>
      <c r="DJ21" s="451">
        <f>SUM(-'Raw financials'!CX16,'Raw financials'!CX17,'Raw financials'!CX22,'Raw financials'!CX25,'Raw financials'!CX26,'Raw financials'!CX30,-'Raw financials'!CX31)</f>
        <v/>
      </c>
      <c r="DK21" s="451">
        <f>SUM(-'Raw financials'!CY16,'Raw financials'!CY17,'Raw financials'!CY22,'Raw financials'!CY25,'Raw financials'!CY26,'Raw financials'!CY30,-'Raw financials'!CY31)</f>
        <v/>
      </c>
      <c r="DL21" s="451">
        <f>SUM(-'Raw financials'!CZ16,'Raw financials'!CZ17,'Raw financials'!CZ22,'Raw financials'!CZ25,'Raw financials'!CZ26,'Raw financials'!CZ30,-'Raw financials'!CZ31)</f>
        <v/>
      </c>
      <c r="DM21" s="451">
        <f>SUM(-'Raw financials'!DA16,'Raw financials'!DA17,'Raw financials'!DA22,'Raw financials'!DA25,'Raw financials'!DA26,'Raw financials'!DA30,-'Raw financials'!DA31)</f>
        <v/>
      </c>
      <c r="DN21" s="451">
        <f>SUM(-'Raw financials'!DB16,'Raw financials'!DB17,'Raw financials'!DB22,'Raw financials'!DB25,'Raw financials'!DB26,'Raw financials'!DB30,-'Raw financials'!DB31)</f>
        <v/>
      </c>
      <c r="DO21" s="451">
        <f>SUM(-'Raw financials'!DC16,'Raw financials'!DC17,'Raw financials'!DC22,'Raw financials'!DC25,'Raw financials'!DC26,'Raw financials'!DC30,-'Raw financials'!DC31)</f>
        <v/>
      </c>
      <c r="DP21" s="451">
        <f>SUM(-'Raw financials'!DD16,'Raw financials'!DD17,'Raw financials'!DD22,'Raw financials'!DD25,'Raw financials'!DD26,'Raw financials'!DD30,-'Raw financials'!DD31)</f>
        <v/>
      </c>
      <c r="DQ21" s="451">
        <f>SUM(-'Raw financials'!DE16,'Raw financials'!DE17,'Raw financials'!DE22,'Raw financials'!DE25,'Raw financials'!DE26,'Raw financials'!DE30,-'Raw financials'!DE31)</f>
        <v/>
      </c>
      <c r="DR21" s="451">
        <f>SUM(-'Raw financials'!DF16,'Raw financials'!DF17,'Raw financials'!DF22,'Raw financials'!DF25,'Raw financials'!DF26,'Raw financials'!DF30,-'Raw financials'!DF31)</f>
        <v/>
      </c>
      <c r="DS21" s="451">
        <f>SUM(-'Raw financials'!DG16,'Raw financials'!DG17,'Raw financials'!DG22,'Raw financials'!DG25,'Raw financials'!DG26,'Raw financials'!DG30,-'Raw financials'!DG31)</f>
        <v/>
      </c>
      <c r="DT21" s="451">
        <f>SUM(-'Raw financials'!DH16,'Raw financials'!DH17,'Raw financials'!DH22,'Raw financials'!DH25,'Raw financials'!DH26,'Raw financials'!DH30,-'Raw financials'!DH31)</f>
        <v/>
      </c>
      <c r="DU21" s="451">
        <f>SUM(-'Raw financials'!DI16,'Raw financials'!DI17,'Raw financials'!DI22,'Raw financials'!DI25,'Raw financials'!DI26,'Raw financials'!DI30,-'Raw financials'!DI31)</f>
        <v/>
      </c>
      <c r="DV21" s="451">
        <f>SUM(-'Raw financials'!DJ16,'Raw financials'!DJ17,'Raw financials'!DJ22,'Raw financials'!DJ25,'Raw financials'!DJ26,'Raw financials'!DJ30,-'Raw financials'!DJ31)</f>
        <v/>
      </c>
      <c r="DW21" s="451">
        <f>SUM(-'Raw financials'!DK16,'Raw financials'!DK17,'Raw financials'!DK22,'Raw financials'!DK25,'Raw financials'!DK26,'Raw financials'!DK30,-'Raw financials'!DK31)</f>
        <v/>
      </c>
      <c r="DX21" s="451">
        <f>SUM(-'Raw financials'!DL16,'Raw financials'!DL17,'Raw financials'!DL22,'Raw financials'!DL25,'Raw financials'!DL26,'Raw financials'!DL30,-'Raw financials'!DL31)</f>
        <v/>
      </c>
      <c r="DY21" s="451">
        <f>SUM(-'Raw financials'!DM16,'Raw financials'!DM17,'Raw financials'!DM22,'Raw financials'!DM25,'Raw financials'!DM26,'Raw financials'!DM30,-'Raw financials'!DM31)</f>
        <v/>
      </c>
      <c r="DZ21" s="451">
        <f>SUM(-'Raw financials'!DN16,'Raw financials'!DN17,'Raw financials'!DN22,'Raw financials'!DN25,'Raw financials'!DN26,'Raw financials'!DN30,-'Raw financials'!DN31)</f>
        <v/>
      </c>
      <c r="EA21" s="451">
        <f>SUM(-'Raw financials'!DO16,'Raw financials'!DO17,'Raw financials'!DO22,'Raw financials'!DO25,'Raw financials'!DO26,'Raw financials'!DO30,-'Raw financials'!DO31)</f>
        <v/>
      </c>
      <c r="EB21" s="451">
        <f>SUM(-'Raw financials'!DP16,'Raw financials'!DP17,'Raw financials'!DP22,'Raw financials'!DP25,'Raw financials'!DP26,'Raw financials'!DP30,-'Raw financials'!DP31)</f>
        <v/>
      </c>
      <c r="EC21" s="451">
        <f>SUM(-'Raw financials'!DQ16,'Raw financials'!DQ17,'Raw financials'!DQ22,'Raw financials'!DQ25,'Raw financials'!DQ26,'Raw financials'!DQ30,-'Raw financials'!DQ31)</f>
        <v/>
      </c>
      <c r="ED21" s="451">
        <f>SUM(-'Raw financials'!DR16,'Raw financials'!DR17,'Raw financials'!DR22,'Raw financials'!DR25,'Raw financials'!DR26,'Raw financials'!DR30,-'Raw financials'!DR31)</f>
        <v/>
      </c>
      <c r="EE21" s="451">
        <f>SUM(-'Raw financials'!DS16,'Raw financials'!DS17,'Raw financials'!DS22,'Raw financials'!DS25,'Raw financials'!DS26,'Raw financials'!DS30,-'Raw financials'!DS31)</f>
        <v/>
      </c>
      <c r="EF21" s="451">
        <f>SUM(-'Raw financials'!DT16,'Raw financials'!DT17,'Raw financials'!DT22,'Raw financials'!DT25,'Raw financials'!DT26,'Raw financials'!DT30,-'Raw financials'!DT31)</f>
        <v/>
      </c>
      <c r="EG21" s="451">
        <f>SUM(-'Raw financials'!DU16,'Raw financials'!DU17,'Raw financials'!DU22,'Raw financials'!DU25,'Raw financials'!DU26,'Raw financials'!DU30,-'Raw financials'!DU31)</f>
        <v/>
      </c>
      <c r="EH21" s="451">
        <f>SUM(-'Raw financials'!DV16,'Raw financials'!DV17,'Raw financials'!DV22,'Raw financials'!DV25,'Raw financials'!DV26,'Raw financials'!DV30,-'Raw financials'!DV31)</f>
        <v/>
      </c>
      <c r="EI21" s="451">
        <f>SUM(-'Raw financials'!DW16,'Raw financials'!DW17,'Raw financials'!DW22,'Raw financials'!DW25,'Raw financials'!DW26,'Raw financials'!DW30,-'Raw financials'!DW31)</f>
        <v/>
      </c>
      <c r="EJ21" s="451">
        <f>SUM(-'Raw financials'!DX16,'Raw financials'!DX17,'Raw financials'!DX22,'Raw financials'!DX25,'Raw financials'!DX26,'Raw financials'!DX30,-'Raw financials'!DX31)</f>
        <v/>
      </c>
      <c r="EK21" s="451">
        <f>SUM(-'Raw financials'!DY16,'Raw financials'!DY17,'Raw financials'!DY22,'Raw financials'!DY25,'Raw financials'!DY26,'Raw financials'!DY30,-'Raw financials'!DY31)</f>
        <v/>
      </c>
      <c r="EL21" s="451">
        <f>SUM(-'Raw financials'!DZ16,'Raw financials'!DZ17,'Raw financials'!DZ22,'Raw financials'!DZ25,'Raw financials'!DZ26,'Raw financials'!DZ30,-'Raw financials'!DZ31)</f>
        <v/>
      </c>
      <c r="EM21" s="451">
        <f>SUM(-'Raw financials'!EA16,'Raw financials'!EA17,'Raw financials'!EA22,'Raw financials'!EA25,'Raw financials'!EA26,'Raw financials'!EA30,-'Raw financials'!EA31)</f>
        <v/>
      </c>
      <c r="EN21" s="451">
        <f>SUM(-'Raw financials'!EB16,'Raw financials'!EB17,'Raw financials'!EB22,'Raw financials'!EB25,'Raw financials'!EB26,'Raw financials'!EB30,-'Raw financials'!EB31)</f>
        <v/>
      </c>
      <c r="EO21" s="451">
        <f>SUM(-'Raw financials'!EC16,'Raw financials'!EC17,'Raw financials'!EC22,'Raw financials'!EC25,'Raw financials'!EC26,'Raw financials'!EC30,-'Raw financials'!EC31)</f>
        <v/>
      </c>
      <c r="EP21" s="451">
        <f>SUM(-'Raw financials'!ED16,'Raw financials'!ED17,'Raw financials'!ED22,'Raw financials'!ED25,'Raw financials'!ED26,'Raw financials'!ED30,-'Raw financials'!ED31)</f>
        <v/>
      </c>
      <c r="EQ21" s="451">
        <f>SUM(-'Raw financials'!EE16,'Raw financials'!EE17,'Raw financials'!EE22,'Raw financials'!EE25,'Raw financials'!EE26,'Raw financials'!EE30,-'Raw financials'!EE31)</f>
        <v/>
      </c>
      <c r="ER21" s="451">
        <f>SUM(-'Raw financials'!EF16,'Raw financials'!EF17,'Raw financials'!EF22,'Raw financials'!EF25,'Raw financials'!EF26,'Raw financials'!EF30,-'Raw financials'!EF31)</f>
        <v/>
      </c>
      <c r="ES21" s="451">
        <f>SUM(-'Raw financials'!EG16,'Raw financials'!EG17,'Raw financials'!EG22,'Raw financials'!EG25,'Raw financials'!EG26,'Raw financials'!EG30,-'Raw financials'!EG31)</f>
        <v/>
      </c>
      <c r="ET21" s="451">
        <f>SUM(-'Raw financials'!EH16,'Raw financials'!EH17,'Raw financials'!EH22,'Raw financials'!EH25,'Raw financials'!EH26,'Raw financials'!EH30,-'Raw financials'!EH31)</f>
        <v/>
      </c>
      <c r="EU21" s="451">
        <f>SUM(-'Raw financials'!EI16,'Raw financials'!EI17,'Raw financials'!EI22,'Raw financials'!EI25,'Raw financials'!EI26,'Raw financials'!EI30,-'Raw financials'!EI31)</f>
        <v/>
      </c>
      <c r="EV21" s="451">
        <f>SUM(-'Raw financials'!EJ16,'Raw financials'!EJ17,'Raw financials'!EJ22,'Raw financials'!EJ25,'Raw financials'!EJ26,'Raw financials'!EJ30,-'Raw financials'!EJ31)</f>
        <v/>
      </c>
      <c r="EW21" s="451">
        <f>SUM(-'Raw financials'!EK16,'Raw financials'!EK17,'Raw financials'!EK22,'Raw financials'!EK25,'Raw financials'!EK26,'Raw financials'!EK30,-'Raw financials'!EK31)</f>
        <v/>
      </c>
      <c r="EX21" s="451">
        <f>SUM(-'Raw financials'!EL16,'Raw financials'!EL17,'Raw financials'!EL22,'Raw financials'!EL25,'Raw financials'!EL26,'Raw financials'!EL30,-'Raw financials'!EL31)</f>
        <v/>
      </c>
      <c r="EY21" s="451">
        <f>SUM(-'Raw financials'!EM16,'Raw financials'!EM17,'Raw financials'!EM22,'Raw financials'!EM25,'Raw financials'!EM26,'Raw financials'!EM30,-'Raw financials'!EM31)</f>
        <v/>
      </c>
      <c r="EZ21" s="454" t="n"/>
      <c r="FA21" s="454" t="n"/>
      <c r="FB21" s="453">
        <f>+FA21-EW21</f>
        <v/>
      </c>
      <c r="FC21" s="379">
        <f>+FB21/EW21</f>
        <v/>
      </c>
      <c r="FD21" s="379">
        <f>+FA21/T21</f>
        <v/>
      </c>
      <c r="FE21" s="379">
        <f>+FA21/U21</f>
        <v/>
      </c>
    </row>
    <row r="22">
      <c r="A22" s="455" t="inlineStr">
        <is>
          <t>Profit before tax</t>
        </is>
      </c>
      <c r="B22" s="456">
        <f>B15+B17+B18+B20+B21</f>
        <v/>
      </c>
      <c r="C22" s="456">
        <f>C15+C17+C18+C20+C21</f>
        <v/>
      </c>
      <c r="D22" s="456">
        <f>D15+D17+D18+D20+D21</f>
        <v/>
      </c>
      <c r="E22" s="456">
        <f>E15+E17+E18+E20+E21</f>
        <v/>
      </c>
      <c r="F22" s="456">
        <f>F15+F17+F18+F20+F21</f>
        <v/>
      </c>
      <c r="G22" s="456">
        <f>G15+G17+G18+G20+G21</f>
        <v/>
      </c>
      <c r="H22" s="456">
        <f>H15+H17+H18+H20+H21</f>
        <v/>
      </c>
      <c r="I22" s="456">
        <f>I15+I17+I18+I20+I21</f>
        <v/>
      </c>
      <c r="J22" s="456">
        <f>J15+J17+J18+J20+J21</f>
        <v/>
      </c>
      <c r="K22" s="456">
        <f>K15+K17+K18+K20+K21</f>
        <v/>
      </c>
      <c r="L22" s="456">
        <f>L15+L17+L18+L20+L21</f>
        <v/>
      </c>
      <c r="M22" s="456">
        <f>M15+M17+M18+M20+M21</f>
        <v/>
      </c>
      <c r="N22" s="456">
        <f>N15+N17+N18+N20+N21</f>
        <v/>
      </c>
      <c r="O22" s="456">
        <f>O15+O17+O18+O20+O21</f>
        <v/>
      </c>
      <c r="P22" s="456">
        <f>P15+P17+P18+P20+P21</f>
        <v/>
      </c>
      <c r="Q22" s="456">
        <f>Q15+Q17+Q18+Q20+Q21</f>
        <v/>
      </c>
      <c r="R22" s="456">
        <f>R15+R17+R18+R20+R21</f>
        <v/>
      </c>
      <c r="S22" s="456">
        <f>S15+S17+S18+S20+S21</f>
        <v/>
      </c>
      <c r="T22" s="456">
        <f>T15+T17+T18+T20+T21</f>
        <v/>
      </c>
      <c r="U22" s="456">
        <f>U15+U17+U18+U20+U21</f>
        <v/>
      </c>
      <c r="V22" s="456">
        <f>V15+V17+V18+V20+V21</f>
        <v/>
      </c>
      <c r="W22" s="456">
        <f>W15+W17+W18+W20+W21</f>
        <v/>
      </c>
      <c r="X22" s="456">
        <f>X15+X17+X18+X20+X21</f>
        <v/>
      </c>
      <c r="Y22" s="456">
        <f>Y15+Y17+Y18+Y20+Y21</f>
        <v/>
      </c>
      <c r="Z22" s="456">
        <f>Z15+Z17+Z18+Z20+Z21</f>
        <v/>
      </c>
      <c r="AA22" s="457">
        <f>+U22-T22</f>
        <v/>
      </c>
      <c r="AB22" s="342">
        <f>+AA22/T22</f>
        <v/>
      </c>
      <c r="AC22" s="456" t="n">
        <v>5790.351364677172</v>
      </c>
      <c r="AD22" s="457">
        <f>+U22-AC22</f>
        <v/>
      </c>
      <c r="AE22" s="342">
        <f>+AD22/AC22</f>
        <v/>
      </c>
      <c r="AF22" s="169" t="n"/>
      <c r="AG22" s="456">
        <f>AG15+AG17+AG18+AG20+AG21</f>
        <v/>
      </c>
      <c r="AH22" s="456">
        <f>AH15+AH17+AH18+AH20+AH21</f>
        <v/>
      </c>
      <c r="AI22" s="456">
        <f>AI15+AI17+AI18+AI20+AI21</f>
        <v/>
      </c>
      <c r="AJ22" s="456">
        <f>AJ15+AJ17+AJ18+AJ20+AJ21</f>
        <v/>
      </c>
      <c r="AK22" s="456">
        <f>AK15+AK17+AK18+AK20+AK21</f>
        <v/>
      </c>
      <c r="AL22" s="456">
        <f>AL15+AL17+AL18+AL20+AL21</f>
        <v/>
      </c>
      <c r="AM22" s="456">
        <f>AM15+AM17+AM18+AM20+AM21</f>
        <v/>
      </c>
      <c r="AN22" s="456">
        <f>AN15+AN17+AN18+AN20+AN21</f>
        <v/>
      </c>
      <c r="AO22" s="456">
        <f>AO15+AO17+AO18+AO20+AO21</f>
        <v/>
      </c>
      <c r="AP22" s="456">
        <f>AP15+AP17+AP18+AP20+AP21</f>
        <v/>
      </c>
      <c r="AQ22" s="456">
        <f>AQ15+AQ17+AQ18+AQ20+AQ21</f>
        <v/>
      </c>
      <c r="AR22" s="456">
        <f>AR15+AR17+AR18+AR20+AR21</f>
        <v/>
      </c>
      <c r="AS22" s="456">
        <f>AS15+AS17+AS18+AS20+AS21</f>
        <v/>
      </c>
      <c r="AT22" s="456">
        <f>AT15+AT17+AT18+AT20+AT21</f>
        <v/>
      </c>
      <c r="AU22" s="456">
        <f>AU15+AU17+AU18+AU20+AU21</f>
        <v/>
      </c>
      <c r="AV22" s="456">
        <f>AV15+AV17+AV18+AV20+AV21</f>
        <v/>
      </c>
      <c r="AW22" s="456">
        <f>AW15+AW17+AW18+AW20+AW21</f>
        <v/>
      </c>
      <c r="AX22" s="456">
        <f>AX15+AX17+AX18+AX20+AX21</f>
        <v/>
      </c>
      <c r="AY22" s="456">
        <f>AY15+AY17+AY18+AY20+AY21</f>
        <v/>
      </c>
      <c r="AZ22" s="456">
        <f>AZ15+AZ17+AZ18+AZ20+AZ21</f>
        <v/>
      </c>
      <c r="BA22" s="456">
        <f>BA15+BA17+BA18+BA20+BA21</f>
        <v/>
      </c>
      <c r="BB22" s="456">
        <f>BB15+BB17+BB18+BB20+BB21</f>
        <v/>
      </c>
      <c r="BC22" s="456">
        <f>BC15+BC17+BC18+BC20+BC21</f>
        <v/>
      </c>
      <c r="BD22" s="456">
        <f>BD15+BD17+BD18+BD20+BD21</f>
        <v/>
      </c>
      <c r="BE22" s="456">
        <f>BE15+BE17+BE18+BE20+BE21</f>
        <v/>
      </c>
      <c r="BF22" s="456">
        <f>BF15+BF17+BF18+BF20+BF21</f>
        <v/>
      </c>
      <c r="BG22" s="456">
        <f>BG15+BG17+BG18+BG20+BG21</f>
        <v/>
      </c>
      <c r="BH22" s="456">
        <f>BH15+BH17+BH18+BH20+BH21</f>
        <v/>
      </c>
      <c r="BI22" s="456">
        <f>BI15+BI17+BI18+BI20+BI21</f>
        <v/>
      </c>
      <c r="BJ22" s="456">
        <f>BJ15+BJ17+BJ18+BJ20+BJ21</f>
        <v/>
      </c>
      <c r="BK22" s="456">
        <f>BK15+BK17+BK18+BK20+BK21</f>
        <v/>
      </c>
      <c r="BL22" s="456">
        <f>BL15+BL17+BL18+BL20+BL21</f>
        <v/>
      </c>
      <c r="BM22" s="456">
        <f>BM15+BM17+BM18+BM20+BM21</f>
        <v/>
      </c>
      <c r="BN22" s="456">
        <f>BN15+BN17+BN18+BN20+BN21</f>
        <v/>
      </c>
      <c r="BO22" s="456">
        <f>BO15+BO17+BO18+BO20+BO21</f>
        <v/>
      </c>
      <c r="BP22" s="456">
        <f>BP15+BP17+BP18+BP20+BP21</f>
        <v/>
      </c>
      <c r="BQ22" s="456">
        <f>BQ15+BQ17+BQ18+BQ20+BQ21</f>
        <v/>
      </c>
      <c r="BR22" s="456">
        <f>BR15+BR17+BR18+BR20+BR21</f>
        <v/>
      </c>
      <c r="BS22" s="456" t="n"/>
      <c r="BT22" s="456">
        <f>BT15+BT17+BT18+BT20+BT21</f>
        <v/>
      </c>
      <c r="BU22" s="446">
        <f>BT22-BR22</f>
        <v/>
      </c>
      <c r="BV22" s="381">
        <f>BU22/BR22</f>
        <v/>
      </c>
      <c r="BW22" s="381">
        <f>BT22/T22</f>
        <v/>
      </c>
      <c r="BX22" s="381">
        <f>BT22/U22</f>
        <v/>
      </c>
      <c r="BZ22" s="456">
        <f>BZ15+BZ17+BZ18+BZ20+BZ21</f>
        <v/>
      </c>
      <c r="CA22" s="456">
        <f>CA15+CA17+CA18+CA20+CA21</f>
        <v/>
      </c>
      <c r="CB22" s="456">
        <f>CB15+CB17+CB18+CB20+CB21</f>
        <v/>
      </c>
      <c r="CC22" s="456">
        <f>CC15+CC17+CC18+CC20+CC21</f>
        <v/>
      </c>
      <c r="CD22" s="456">
        <f>CD15+CD17+CD18+CD20+CD21</f>
        <v/>
      </c>
      <c r="CE22" s="456">
        <f>CE15+CE17+CE18+CE20+CE21</f>
        <v/>
      </c>
      <c r="CF22" s="456">
        <f>CF15+CF17+CF18+CF20+CF21</f>
        <v/>
      </c>
      <c r="CG22" s="456">
        <f>CG15+CG17+CG18+CG20+CG21</f>
        <v/>
      </c>
      <c r="CH22" s="456">
        <f>CH15+CH17+CH18+CH20+CH21</f>
        <v/>
      </c>
      <c r="CI22" s="456">
        <f>CI15+CI17+CI18+CI20+CI21</f>
        <v/>
      </c>
      <c r="CJ22" s="456">
        <f>CJ15+CJ17+CJ18+CJ20+CJ21</f>
        <v/>
      </c>
      <c r="CK22" s="456">
        <f>CK15+CK17+CK18+CK20+CK21</f>
        <v/>
      </c>
      <c r="CL22" s="456">
        <f>CL15+CL17+CL18+CL20+CL21</f>
        <v/>
      </c>
      <c r="CM22" s="456">
        <f>CM15+CM17+CM18+CM20+CM21</f>
        <v/>
      </c>
      <c r="CN22" s="456">
        <f>CN15+CN17+CN18+CN20+CN21</f>
        <v/>
      </c>
      <c r="CO22" s="456">
        <f>CO15+CO17+CO18+CO20+CO21</f>
        <v/>
      </c>
      <c r="CP22" s="456">
        <f>CP15+CP17+CP18+CP20+CP21</f>
        <v/>
      </c>
      <c r="CQ22" s="456">
        <f>CQ15+CQ17+CQ18+CQ20+CQ21</f>
        <v/>
      </c>
      <c r="CR22" s="456">
        <f>CR15+CR17+CR18+CR20+CR21</f>
        <v/>
      </c>
      <c r="CS22" s="456">
        <f>CS15+CS17+CS18+CS20+CS21</f>
        <v/>
      </c>
      <c r="CT22" s="456">
        <f>CT15+CT17+CT18+CT20+CT21</f>
        <v/>
      </c>
      <c r="CU22" s="456">
        <f>CU15+CU17+CU18+CU20+CU21</f>
        <v/>
      </c>
      <c r="CV22" s="456">
        <f>CV15+CV17+CV18+CV20+CV21</f>
        <v/>
      </c>
      <c r="CW22" s="456">
        <f>CW15+CW17+CW18+CW20+CW21</f>
        <v/>
      </c>
      <c r="CX22" s="456">
        <f>CX15+CX17+CX18+CX20+CX21</f>
        <v/>
      </c>
      <c r="CY22" s="456">
        <f>CY15+CY17+CY18+CY20+CY21</f>
        <v/>
      </c>
      <c r="CZ22" s="456">
        <f>CZ15+CZ17+CZ18+CZ20+CZ21</f>
        <v/>
      </c>
      <c r="DA22" s="456">
        <f>DA15+DA17+DA18+DA20+DA21</f>
        <v/>
      </c>
      <c r="DB22" s="456">
        <f>DB15+DB17+DB18+DB20+DB21</f>
        <v/>
      </c>
      <c r="DC22" s="456">
        <f>DC15+DC17+DC18+DC20+DC21</f>
        <v/>
      </c>
      <c r="DD22" s="456">
        <f>DD15+DD17+DD18+DD20+DD21</f>
        <v/>
      </c>
      <c r="DE22" s="456">
        <f>DE15+DE17+DE18+DE20+DE21</f>
        <v/>
      </c>
      <c r="DF22" s="456">
        <f>DF15+DF17+DF18+DF20+DF21</f>
        <v/>
      </c>
      <c r="DG22" s="456">
        <f>DG15+DG17+DG18+DG20+DG21</f>
        <v/>
      </c>
      <c r="DH22" s="456">
        <f>DH15+DH17+DH18+DH20+DH21</f>
        <v/>
      </c>
      <c r="DI22" s="456">
        <f>DI15+DI17+DI18+DI20+DI21</f>
        <v/>
      </c>
      <c r="DJ22" s="456">
        <f>DJ15+DJ17+DJ18+DJ20+DJ21</f>
        <v/>
      </c>
      <c r="DK22" s="456">
        <f>DK15+DK17+DK18+DK20+DK21</f>
        <v/>
      </c>
      <c r="DL22" s="456">
        <f>DL15+DL17+DL18+DL20+DL21</f>
        <v/>
      </c>
      <c r="DM22" s="456">
        <f>DM15+DM17+DM18+DM20+DM21</f>
        <v/>
      </c>
      <c r="DN22" s="456">
        <f>DN15+DN17+DN18+DN20+DN21</f>
        <v/>
      </c>
      <c r="DO22" s="456">
        <f>DO15+DO17+DO18+DO20+DO21</f>
        <v/>
      </c>
      <c r="DP22" s="456">
        <f>DP15+DP17+DP18+DP20+DP21</f>
        <v/>
      </c>
      <c r="DQ22" s="456">
        <f>DQ15+DQ17+DQ18+DQ20+DQ21</f>
        <v/>
      </c>
      <c r="DR22" s="456">
        <f>DR15+DR17+DR18+DR20+DR21</f>
        <v/>
      </c>
      <c r="DS22" s="456">
        <f>DS15+DS17+DS18+DS20+DS21</f>
        <v/>
      </c>
      <c r="DT22" s="456">
        <f>DT15+DT17+DT18+DT20+DT21</f>
        <v/>
      </c>
      <c r="DU22" s="456">
        <f>DU15+DU17+DU18+DU20+DU21</f>
        <v/>
      </c>
      <c r="DV22" s="456">
        <f>DV15+DV17+DV18+DV20+DV21</f>
        <v/>
      </c>
      <c r="DW22" s="456">
        <f>DW15+DW17+DW18+DW20+DW21</f>
        <v/>
      </c>
      <c r="DX22" s="456">
        <f>DX15+DX17+DX18+DX20+DX21</f>
        <v/>
      </c>
      <c r="DY22" s="456">
        <f>DY15+DY17+DY18+DY20+DY21</f>
        <v/>
      </c>
      <c r="DZ22" s="456">
        <f>DZ15+DZ17+DZ18+DZ20+DZ21</f>
        <v/>
      </c>
      <c r="EA22" s="456">
        <f>EA15+EA17+EA18+EA20+EA21</f>
        <v/>
      </c>
      <c r="EB22" s="456">
        <f>EB15+EB17+EB18+EB20+EB21</f>
        <v/>
      </c>
      <c r="EC22" s="456">
        <f>EC15+EC17+EC18+EC20+EC21</f>
        <v/>
      </c>
      <c r="ED22" s="456">
        <f>ED15+ED17+ED18+ED20+ED21</f>
        <v/>
      </c>
      <c r="EE22" s="456">
        <f>EE15+EE17+EE18+EE20+EE21</f>
        <v/>
      </c>
      <c r="EF22" s="456">
        <f>EF15+EF17+EF18+EF20+EF21</f>
        <v/>
      </c>
      <c r="EG22" s="456">
        <f>EG15+EG17+EG18+EG20+EG21</f>
        <v/>
      </c>
      <c r="EH22" s="456">
        <f>EH15+EH17+EH18+EH20+EH21</f>
        <v/>
      </c>
      <c r="EI22" s="456">
        <f>EI15+EI17+EI18+EI20+EI21</f>
        <v/>
      </c>
      <c r="EJ22" s="456">
        <f>EJ15+EJ17+EJ18+EJ20+EJ21</f>
        <v/>
      </c>
      <c r="EK22" s="456">
        <f>EK15+EK17+EK18+EK20+EK21</f>
        <v/>
      </c>
      <c r="EL22" s="456">
        <f>EL15+EL17+EL18+EL20+EL21</f>
        <v/>
      </c>
      <c r="EM22" s="456">
        <f>EM15+EM17+EM18+EM20+EM21</f>
        <v/>
      </c>
      <c r="EN22" s="456">
        <f>EN15+EN17+EN18+EN20+EN21</f>
        <v/>
      </c>
      <c r="EO22" s="456">
        <f>EO15+EO17+EO18+EO20+EO21</f>
        <v/>
      </c>
      <c r="EP22" s="456">
        <f>EP15+EP17+EP18+EP20+EP21</f>
        <v/>
      </c>
      <c r="EQ22" s="456">
        <f>EQ15+EQ17+EQ18+EQ20+EQ21</f>
        <v/>
      </c>
      <c r="ER22" s="456">
        <f>ER15+ER17+ER18+ER20+ER21</f>
        <v/>
      </c>
      <c r="ES22" s="456">
        <f>ES15+ES17+ES18+ES20+ES21</f>
        <v/>
      </c>
      <c r="ET22" s="456">
        <f>ET15+ET17+ET18+ET20+ET21</f>
        <v/>
      </c>
      <c r="EU22" s="456">
        <f>EU15+EU17+EU18+EU20+EU21</f>
        <v/>
      </c>
      <c r="EV22" s="456">
        <f>EV15+EV17+EV18+EV20+EV21</f>
        <v/>
      </c>
      <c r="EW22" s="456">
        <f>EW15+EW17+EW18+EW20+EW21</f>
        <v/>
      </c>
      <c r="EX22" s="456">
        <f>EX15+EX17+EX18+EX20+EX21</f>
        <v/>
      </c>
      <c r="EY22" s="456">
        <f>EY15+EY17+EY18+EY20+EY21</f>
        <v/>
      </c>
      <c r="EZ22" s="448" t="n"/>
      <c r="FA22" s="448" t="n"/>
      <c r="FB22" s="446">
        <f>+FA22-EW22</f>
        <v/>
      </c>
      <c r="FC22" s="381">
        <f>+FB22/EW22</f>
        <v/>
      </c>
      <c r="FD22" s="381">
        <f>+FA22/T22</f>
        <v/>
      </c>
      <c r="FE22" s="381">
        <f>+FA22/U22</f>
        <v/>
      </c>
    </row>
    <row r="23">
      <c r="A23" s="450" t="inlineStr">
        <is>
          <t>Tax</t>
        </is>
      </c>
      <c r="B23" s="465">
        <f>-'Raw financials'!B36</f>
        <v/>
      </c>
      <c r="C23" s="465">
        <f>-'Raw financials'!C36</f>
        <v/>
      </c>
      <c r="D23" s="465">
        <f>-'Raw financials'!D36</f>
        <v/>
      </c>
      <c r="E23" s="465">
        <f>-'Raw financials'!E36</f>
        <v/>
      </c>
      <c r="F23" s="465">
        <f>-'Raw financials'!F36</f>
        <v/>
      </c>
      <c r="G23" s="465">
        <f>-'Raw financials'!G36</f>
        <v/>
      </c>
      <c r="H23" s="465">
        <f>-'Raw financials'!H36</f>
        <v/>
      </c>
      <c r="I23" s="465">
        <f>-'Raw financials'!I36</f>
        <v/>
      </c>
      <c r="J23" s="465">
        <f>-'Raw financials'!J36</f>
        <v/>
      </c>
      <c r="K23" s="465">
        <f>-'Raw financials'!K36</f>
        <v/>
      </c>
      <c r="L23" s="465">
        <f>-'Raw financials'!L36</f>
        <v/>
      </c>
      <c r="M23" s="465">
        <f>-'Raw financials'!M36</f>
        <v/>
      </c>
      <c r="N23" s="465">
        <f>-'Raw financials'!N36</f>
        <v/>
      </c>
      <c r="O23" s="465">
        <f>-'Raw financials'!O36</f>
        <v/>
      </c>
      <c r="P23" s="465">
        <f>-'Raw financials'!P36</f>
        <v/>
      </c>
      <c r="Q23" s="465">
        <f>-'Raw financials'!Q36</f>
        <v/>
      </c>
      <c r="R23" s="465">
        <f>-'Raw financials'!R36</f>
        <v/>
      </c>
      <c r="S23" s="465">
        <f>-'Raw financials'!S36</f>
        <v/>
      </c>
      <c r="T23" s="465">
        <f>-'Raw financials'!T36</f>
        <v/>
      </c>
      <c r="U23" s="465">
        <f>U22*-U24</f>
        <v/>
      </c>
      <c r="V23" s="465">
        <f>V22*-V24</f>
        <v/>
      </c>
      <c r="W23" s="465">
        <f>W22*-W24</f>
        <v/>
      </c>
      <c r="X23" s="465">
        <f>X22*-X24</f>
        <v/>
      </c>
      <c r="Y23" s="465">
        <f>Y22*-Y24</f>
        <v/>
      </c>
      <c r="Z23" s="465">
        <f>Z22*-Z24</f>
        <v/>
      </c>
      <c r="AA23" s="466">
        <f>+U23-T23</f>
        <v/>
      </c>
      <c r="AB23" s="348">
        <f>+AA23/T23</f>
        <v/>
      </c>
      <c r="AC23" s="465" t="n">
        <v>-889.5481397468137</v>
      </c>
      <c r="AD23" s="466">
        <f>+U23-AC23</f>
        <v/>
      </c>
      <c r="AE23" s="348" t="n"/>
      <c r="AF23" s="169" t="n"/>
      <c r="AG23" s="465">
        <f>-'Raw financials'!AA36</f>
        <v/>
      </c>
      <c r="AH23" s="465">
        <f>B23-AG23</f>
        <v/>
      </c>
      <c r="AI23" s="465">
        <f>-'Raw financials'!AB36</f>
        <v/>
      </c>
      <c r="AJ23" s="465">
        <f>C23-AI23</f>
        <v/>
      </c>
      <c r="AK23" s="465">
        <f>-'Raw financials'!AC36</f>
        <v/>
      </c>
      <c r="AL23" s="465">
        <f>D23-AK23</f>
        <v/>
      </c>
      <c r="AM23" s="465">
        <f>-'Raw financials'!AD36</f>
        <v/>
      </c>
      <c r="AN23" s="465">
        <f>E23-AM23</f>
        <v/>
      </c>
      <c r="AO23" s="465">
        <f>-'Raw financials'!AE36</f>
        <v/>
      </c>
      <c r="AP23" s="465">
        <f>F23-AO23</f>
        <v/>
      </c>
      <c r="AQ23" s="465">
        <f>-'Raw financials'!AF36</f>
        <v/>
      </c>
      <c r="AR23" s="465">
        <f>G23-AQ23</f>
        <v/>
      </c>
      <c r="AS23" s="465">
        <f>-'Raw financials'!AG36</f>
        <v/>
      </c>
      <c r="AT23" s="465">
        <f>H23-AS23</f>
        <v/>
      </c>
      <c r="AU23" s="465">
        <f>-'Raw financials'!AH36</f>
        <v/>
      </c>
      <c r="AV23" s="465">
        <f>I23-AU23</f>
        <v/>
      </c>
      <c r="AW23" s="465">
        <f>-'Raw financials'!AI36</f>
        <v/>
      </c>
      <c r="AX23" s="465">
        <f>J23-AW23</f>
        <v/>
      </c>
      <c r="AY23" s="465">
        <f>-'Raw financials'!AJ36</f>
        <v/>
      </c>
      <c r="AZ23" s="465">
        <f>K23-AY23</f>
        <v/>
      </c>
      <c r="BA23" s="465">
        <f>-'Raw financials'!AK36</f>
        <v/>
      </c>
      <c r="BB23" s="465">
        <f>L23-BA23</f>
        <v/>
      </c>
      <c r="BC23" s="465">
        <f>-'Raw financials'!AL36</f>
        <v/>
      </c>
      <c r="BD23" s="465">
        <f>M23-BC23</f>
        <v/>
      </c>
      <c r="BE23" s="465">
        <f>-'Raw financials'!AM36</f>
        <v/>
      </c>
      <c r="BF23" s="465">
        <f>N23-BE23</f>
        <v/>
      </c>
      <c r="BG23" s="465">
        <f>-'Raw financials'!AN36</f>
        <v/>
      </c>
      <c r="BH23" s="465">
        <f>O23-BG23</f>
        <v/>
      </c>
      <c r="BI23" s="465">
        <f>-'Raw financials'!AO36</f>
        <v/>
      </c>
      <c r="BJ23" s="465">
        <f>P23-BI23</f>
        <v/>
      </c>
      <c r="BK23" s="465">
        <f>-'Raw financials'!AP36</f>
        <v/>
      </c>
      <c r="BL23" s="465">
        <f>Q23-BK23</f>
        <v/>
      </c>
      <c r="BM23" s="465">
        <f>-'Raw financials'!AQ36</f>
        <v/>
      </c>
      <c r="BN23" s="465">
        <f>R23-BM23</f>
        <v/>
      </c>
      <c r="BO23" s="465">
        <f>-'Raw financials'!AR36</f>
        <v/>
      </c>
      <c r="BP23" s="465">
        <f>S23-BO23</f>
        <v/>
      </c>
      <c r="BQ23" s="465">
        <f>-'Raw financials'!AS36</f>
        <v/>
      </c>
      <c r="BR23" s="465">
        <f>T23-BQ23</f>
        <v/>
      </c>
      <c r="BS23" s="465" t="n"/>
      <c r="BT23" s="465">
        <f>U23-BS23</f>
        <v/>
      </c>
      <c r="BU23" s="453">
        <f>BT23-BR23</f>
        <v/>
      </c>
      <c r="BV23" s="379">
        <f>BU23/BR23</f>
        <v/>
      </c>
      <c r="BW23" s="379">
        <f>BT23/T23</f>
        <v/>
      </c>
      <c r="BX23" s="379">
        <f>BT23/U23</f>
        <v/>
      </c>
      <c r="BZ23" s="465">
        <f>-'Raw financials'!BN36</f>
        <v/>
      </c>
      <c r="CA23" s="465">
        <f>-'Raw financials'!BO36</f>
        <v/>
      </c>
      <c r="CB23" s="465">
        <f>-'Raw financials'!BP36</f>
        <v/>
      </c>
      <c r="CC23" s="465">
        <f>-'Raw financials'!BQ36</f>
        <v/>
      </c>
      <c r="CD23" s="465">
        <f>-'Raw financials'!BR36</f>
        <v/>
      </c>
      <c r="CE23" s="465">
        <f>-'Raw financials'!BS36</f>
        <v/>
      </c>
      <c r="CF23" s="465">
        <f>-'Raw financials'!BT36</f>
        <v/>
      </c>
      <c r="CG23" s="465">
        <f>-'Raw financials'!BU36</f>
        <v/>
      </c>
      <c r="CH23" s="465">
        <f>-'Raw financials'!BV36</f>
        <v/>
      </c>
      <c r="CI23" s="465">
        <f>-'Raw financials'!BW36</f>
        <v/>
      </c>
      <c r="CJ23" s="465">
        <f>-'Raw financials'!BX36</f>
        <v/>
      </c>
      <c r="CK23" s="465">
        <f>-'Raw financials'!BY36</f>
        <v/>
      </c>
      <c r="CL23" s="465">
        <f>-'Raw financials'!BZ36</f>
        <v/>
      </c>
      <c r="CM23" s="465">
        <f>-'Raw financials'!CA36</f>
        <v/>
      </c>
      <c r="CN23" s="465">
        <f>-'Raw financials'!CB36</f>
        <v/>
      </c>
      <c r="CO23" s="465">
        <f>-'Raw financials'!CC36</f>
        <v/>
      </c>
      <c r="CP23" s="465">
        <f>-'Raw financials'!CD36</f>
        <v/>
      </c>
      <c r="CQ23" s="465">
        <f>-'Raw financials'!CE36</f>
        <v/>
      </c>
      <c r="CR23" s="465">
        <f>-'Raw financials'!CF36</f>
        <v/>
      </c>
      <c r="CS23" s="465">
        <f>-'Raw financials'!CG36</f>
        <v/>
      </c>
      <c r="CT23" s="465">
        <f>-'Raw financials'!CH36</f>
        <v/>
      </c>
      <c r="CU23" s="465">
        <f>-'Raw financials'!CI36</f>
        <v/>
      </c>
      <c r="CV23" s="465">
        <f>-'Raw financials'!CJ36</f>
        <v/>
      </c>
      <c r="CW23" s="465">
        <f>-'Raw financials'!CK36</f>
        <v/>
      </c>
      <c r="CX23" s="465">
        <f>-'Raw financials'!CL36</f>
        <v/>
      </c>
      <c r="CY23" s="465">
        <f>-'Raw financials'!CM36</f>
        <v/>
      </c>
      <c r="CZ23" s="465">
        <f>-'Raw financials'!CN36</f>
        <v/>
      </c>
      <c r="DA23" s="465">
        <f>-'Raw financials'!CO36</f>
        <v/>
      </c>
      <c r="DB23" s="465">
        <f>-'Raw financials'!CP36</f>
        <v/>
      </c>
      <c r="DC23" s="465">
        <f>-'Raw financials'!CQ36</f>
        <v/>
      </c>
      <c r="DD23" s="465">
        <f>-'Raw financials'!CR36</f>
        <v/>
      </c>
      <c r="DE23" s="465">
        <f>-'Raw financials'!CS36</f>
        <v/>
      </c>
      <c r="DF23" s="465">
        <f>-'Raw financials'!CT36</f>
        <v/>
      </c>
      <c r="DG23" s="465">
        <f>-'Raw financials'!CU36</f>
        <v/>
      </c>
      <c r="DH23" s="465">
        <f>-'Raw financials'!CV36</f>
        <v/>
      </c>
      <c r="DI23" s="465">
        <f>-'Raw financials'!CW36</f>
        <v/>
      </c>
      <c r="DJ23" s="465">
        <f>-'Raw financials'!CX36</f>
        <v/>
      </c>
      <c r="DK23" s="465">
        <f>-'Raw financials'!CY36</f>
        <v/>
      </c>
      <c r="DL23" s="465">
        <f>-'Raw financials'!CZ36</f>
        <v/>
      </c>
      <c r="DM23" s="465">
        <f>-'Raw financials'!DA36</f>
        <v/>
      </c>
      <c r="DN23" s="465">
        <f>-'Raw financials'!DB36</f>
        <v/>
      </c>
      <c r="DO23" s="465">
        <f>-'Raw financials'!DC36</f>
        <v/>
      </c>
      <c r="DP23" s="465">
        <f>-'Raw financials'!DD36</f>
        <v/>
      </c>
      <c r="DQ23" s="465">
        <f>-'Raw financials'!DE36</f>
        <v/>
      </c>
      <c r="DR23" s="465">
        <f>-'Raw financials'!DF36</f>
        <v/>
      </c>
      <c r="DS23" s="465">
        <f>-'Raw financials'!DG36</f>
        <v/>
      </c>
      <c r="DT23" s="465">
        <f>-'Raw financials'!DH36</f>
        <v/>
      </c>
      <c r="DU23" s="465">
        <f>-'Raw financials'!DI36</f>
        <v/>
      </c>
      <c r="DV23" s="465">
        <f>-'Raw financials'!DJ36</f>
        <v/>
      </c>
      <c r="DW23" s="465">
        <f>-'Raw financials'!DK36</f>
        <v/>
      </c>
      <c r="DX23" s="465">
        <f>-'Raw financials'!DL36</f>
        <v/>
      </c>
      <c r="DY23" s="465">
        <f>-'Raw financials'!DM36</f>
        <v/>
      </c>
      <c r="DZ23" s="465">
        <f>-'Raw financials'!DN36</f>
        <v/>
      </c>
      <c r="EA23" s="465">
        <f>-'Raw financials'!DO36</f>
        <v/>
      </c>
      <c r="EB23" s="465">
        <f>-'Raw financials'!DP36</f>
        <v/>
      </c>
      <c r="EC23" s="465">
        <f>-'Raw financials'!DQ36</f>
        <v/>
      </c>
      <c r="ED23" s="465">
        <f>-'Raw financials'!DR36</f>
        <v/>
      </c>
      <c r="EE23" s="465">
        <f>-'Raw financials'!DS36</f>
        <v/>
      </c>
      <c r="EF23" s="465">
        <f>-'Raw financials'!DT36</f>
        <v/>
      </c>
      <c r="EG23" s="465">
        <f>-'Raw financials'!DU36</f>
        <v/>
      </c>
      <c r="EH23" s="465">
        <f>-'Raw financials'!DV36</f>
        <v/>
      </c>
      <c r="EI23" s="465">
        <f>-'Raw financials'!DW36</f>
        <v/>
      </c>
      <c r="EJ23" s="465">
        <f>-'Raw financials'!DX36</f>
        <v/>
      </c>
      <c r="EK23" s="465">
        <f>-'Raw financials'!DY36</f>
        <v/>
      </c>
      <c r="EL23" s="465">
        <f>-'Raw financials'!DZ36</f>
        <v/>
      </c>
      <c r="EM23" s="465">
        <f>-'Raw financials'!EA36</f>
        <v/>
      </c>
      <c r="EN23" s="465">
        <f>-'Raw financials'!EB36</f>
        <v/>
      </c>
      <c r="EO23" s="465">
        <f>-'Raw financials'!EC36</f>
        <v/>
      </c>
      <c r="EP23" s="465">
        <f>-'Raw financials'!ED36</f>
        <v/>
      </c>
      <c r="EQ23" s="465">
        <f>-'Raw financials'!EE36</f>
        <v/>
      </c>
      <c r="ER23" s="465">
        <f>-'Raw financials'!EF36</f>
        <v/>
      </c>
      <c r="ES23" s="465">
        <f>-'Raw financials'!EG36</f>
        <v/>
      </c>
      <c r="ET23" s="465">
        <f>-'Raw financials'!EH36</f>
        <v/>
      </c>
      <c r="EU23" s="465">
        <f>-'Raw financials'!EI36</f>
        <v/>
      </c>
      <c r="EV23" s="465">
        <f>-'Raw financials'!EJ36</f>
        <v/>
      </c>
      <c r="EW23" s="465">
        <f>-'Raw financials'!EK36</f>
        <v/>
      </c>
      <c r="EX23" s="465">
        <f>-'Raw financials'!EL36</f>
        <v/>
      </c>
      <c r="EY23" s="465">
        <f>-'Raw financials'!EM36</f>
        <v/>
      </c>
      <c r="EZ23" s="467" t="n"/>
      <c r="FA23" s="467" t="n"/>
      <c r="FB23" s="453">
        <f>+FA23-EW23</f>
        <v/>
      </c>
      <c r="FC23" s="379">
        <f>+FB23/EW23</f>
        <v/>
      </c>
      <c r="FD23" s="379">
        <f>+FA23/T23</f>
        <v/>
      </c>
      <c r="FE23" s="379">
        <f>+FA23/U23</f>
        <v/>
      </c>
    </row>
    <row r="24">
      <c r="A24" s="449" t="inlineStr">
        <is>
          <t>Tax rate</t>
        </is>
      </c>
      <c r="B24" s="67">
        <f>-B23/B22</f>
        <v/>
      </c>
      <c r="C24" s="67">
        <f>-C23/C22</f>
        <v/>
      </c>
      <c r="D24" s="67">
        <f>-D23/D22</f>
        <v/>
      </c>
      <c r="E24" s="67">
        <f>-E23/E22</f>
        <v/>
      </c>
      <c r="F24" s="67">
        <f>-F23/F22</f>
        <v/>
      </c>
      <c r="G24" s="67">
        <f>-G23/G22</f>
        <v/>
      </c>
      <c r="H24" s="67">
        <f>-H23/H22</f>
        <v/>
      </c>
      <c r="I24" s="67">
        <f>-I23/I22</f>
        <v/>
      </c>
      <c r="J24" s="67">
        <f>-J23/J22</f>
        <v/>
      </c>
      <c r="K24" s="67">
        <f>-K23/K22</f>
        <v/>
      </c>
      <c r="L24" s="67">
        <f>-L23/L22</f>
        <v/>
      </c>
      <c r="M24" s="67">
        <f>-M23/M22</f>
        <v/>
      </c>
      <c r="N24" s="67">
        <f>-N23/N22</f>
        <v/>
      </c>
      <c r="O24" s="67">
        <f>-O23/O22</f>
        <v/>
      </c>
      <c r="P24" s="67">
        <f>-P23/P22</f>
        <v/>
      </c>
      <c r="Q24" s="67">
        <f>-Q23/Q22</f>
        <v/>
      </c>
      <c r="R24" s="67">
        <f>-R23/R22</f>
        <v/>
      </c>
      <c r="S24" s="67">
        <f>-S23/S22</f>
        <v/>
      </c>
      <c r="T24" s="67">
        <f>-T23/T22</f>
        <v/>
      </c>
      <c r="U24" s="76">
        <f>T24</f>
        <v/>
      </c>
      <c r="V24" s="76">
        <f>U24</f>
        <v/>
      </c>
      <c r="W24" s="76">
        <f>V24</f>
        <v/>
      </c>
      <c r="X24" s="76">
        <f>W24</f>
        <v/>
      </c>
      <c r="Y24" s="76">
        <f>X24</f>
        <v/>
      </c>
      <c r="Z24" s="76">
        <f>Y24</f>
        <v/>
      </c>
      <c r="AA24" s="349" t="n"/>
      <c r="AB24" s="348" t="n"/>
      <c r="AC24" s="76" t="n"/>
      <c r="AD24" s="349" t="n"/>
      <c r="AE24" s="348" t="n"/>
      <c r="AF24" s="76" t="n"/>
      <c r="AG24" s="67">
        <f>-AG23/AG22</f>
        <v/>
      </c>
      <c r="AH24" s="67">
        <f>-AH23/AH22</f>
        <v/>
      </c>
      <c r="AI24" s="67">
        <f>-AI23/AI22</f>
        <v/>
      </c>
      <c r="AJ24" s="67">
        <f>-AJ23/AJ22</f>
        <v/>
      </c>
      <c r="AK24" s="67">
        <f>-AK23/AK22</f>
        <v/>
      </c>
      <c r="AL24" s="67">
        <f>-AL23/AL22</f>
        <v/>
      </c>
      <c r="AM24" s="67">
        <f>-AM23/AM22</f>
        <v/>
      </c>
      <c r="AN24" s="67">
        <f>-AN23/AN22</f>
        <v/>
      </c>
      <c r="AO24" s="67">
        <f>-AO23/AO22</f>
        <v/>
      </c>
      <c r="AP24" s="67">
        <f>-AP23/AP22</f>
        <v/>
      </c>
      <c r="AQ24" s="67">
        <f>-AQ23/AQ22</f>
        <v/>
      </c>
      <c r="AR24" s="67">
        <f>-AR23/AR22</f>
        <v/>
      </c>
      <c r="AS24" s="67">
        <f>-AS23/AS22</f>
        <v/>
      </c>
      <c r="AT24" s="67">
        <f>-AT23/AT22</f>
        <v/>
      </c>
      <c r="AU24" s="67">
        <f>-AU23/AU22</f>
        <v/>
      </c>
      <c r="AV24" s="67">
        <f>-AV23/AV22</f>
        <v/>
      </c>
      <c r="AW24" s="67">
        <f>-AW23/AW22</f>
        <v/>
      </c>
      <c r="AX24" s="67">
        <f>-AX23/AX22</f>
        <v/>
      </c>
      <c r="AY24" s="67">
        <f>-AY23/AY22</f>
        <v/>
      </c>
      <c r="AZ24" s="67">
        <f>-AZ23/AZ22</f>
        <v/>
      </c>
      <c r="BA24" s="67">
        <f>-BA23/BA22</f>
        <v/>
      </c>
      <c r="BB24" s="67">
        <f>-BB23/BB22</f>
        <v/>
      </c>
      <c r="BC24" s="67">
        <f>-BC23/BC22</f>
        <v/>
      </c>
      <c r="BD24" s="67">
        <f>-BD23/BD22</f>
        <v/>
      </c>
      <c r="BE24" s="67">
        <f>-BE23/BE22</f>
        <v/>
      </c>
      <c r="BF24" s="67">
        <f>-BF23/BF22</f>
        <v/>
      </c>
      <c r="BG24" s="67">
        <f>-BG23/BG22</f>
        <v/>
      </c>
      <c r="BH24" s="67">
        <f>-BH23/BH22</f>
        <v/>
      </c>
      <c r="BI24" s="67">
        <f>-BI23/BI22</f>
        <v/>
      </c>
      <c r="BJ24" s="67">
        <f>-BJ23/BJ22</f>
        <v/>
      </c>
      <c r="BK24" s="67">
        <f>-BK23/BK22</f>
        <v/>
      </c>
      <c r="BL24" s="67">
        <f>-BL23/BL22</f>
        <v/>
      </c>
      <c r="BM24" s="67">
        <f>-BM23/BM22</f>
        <v/>
      </c>
      <c r="BN24" s="67">
        <f>-BN23/BN22</f>
        <v/>
      </c>
      <c r="BO24" s="67">
        <f>-BO23/BO22</f>
        <v/>
      </c>
      <c r="BP24" s="67">
        <f>-BP23/BP22</f>
        <v/>
      </c>
      <c r="BQ24" s="67">
        <f>-BQ23/BQ22</f>
        <v/>
      </c>
      <c r="BR24" s="67">
        <f>-BR23/BR22</f>
        <v/>
      </c>
      <c r="BS24" s="67" t="n"/>
      <c r="BT24" s="67">
        <f>-BT23/BT22</f>
        <v/>
      </c>
      <c r="BU24" s="379">
        <f>BT24-BR24</f>
        <v/>
      </c>
      <c r="BV24" s="379">
        <f>BU24/BR24</f>
        <v/>
      </c>
      <c r="BW24" s="379">
        <f>BT24/T24</f>
        <v/>
      </c>
      <c r="BX24" s="379">
        <f>BT24/U24</f>
        <v/>
      </c>
      <c r="BZ24" s="67">
        <f>-BZ23/BZ22</f>
        <v/>
      </c>
      <c r="CA24" s="67">
        <f>-CA23/CA22</f>
        <v/>
      </c>
      <c r="CB24" s="67">
        <f>-CB23/CB22</f>
        <v/>
      </c>
      <c r="CC24" s="67">
        <f>-CC23/CC22</f>
        <v/>
      </c>
      <c r="CD24" s="67">
        <f>-CD23/CD22</f>
        <v/>
      </c>
      <c r="CE24" s="67">
        <f>-CE23/CE22</f>
        <v/>
      </c>
      <c r="CF24" s="67">
        <f>-CF23/CF22</f>
        <v/>
      </c>
      <c r="CG24" s="67">
        <f>-CG23/CG22</f>
        <v/>
      </c>
      <c r="CH24" s="67">
        <f>-CH23/CH22</f>
        <v/>
      </c>
      <c r="CI24" s="67">
        <f>-CI23/CI22</f>
        <v/>
      </c>
      <c r="CJ24" s="67">
        <f>-CJ23/CJ22</f>
        <v/>
      </c>
      <c r="CK24" s="67">
        <f>-CK23/CK22</f>
        <v/>
      </c>
      <c r="CL24" s="67">
        <f>-CL23/CL22</f>
        <v/>
      </c>
      <c r="CM24" s="67">
        <f>-CM23/CM22</f>
        <v/>
      </c>
      <c r="CN24" s="67">
        <f>-CN23/CN22</f>
        <v/>
      </c>
      <c r="CO24" s="67">
        <f>-CO23/CO22</f>
        <v/>
      </c>
      <c r="CP24" s="67">
        <f>-CP23/CP22</f>
        <v/>
      </c>
      <c r="CQ24" s="67">
        <f>-CQ23/CQ22</f>
        <v/>
      </c>
      <c r="CR24" s="67">
        <f>-CR23/CR22</f>
        <v/>
      </c>
      <c r="CS24" s="67">
        <f>-CS23/CS22</f>
        <v/>
      </c>
      <c r="CT24" s="67">
        <f>-CT23/CT22</f>
        <v/>
      </c>
      <c r="CU24" s="67">
        <f>-CU23/CU22</f>
        <v/>
      </c>
      <c r="CV24" s="67">
        <f>-CV23/CV22</f>
        <v/>
      </c>
      <c r="CW24" s="67">
        <f>-CW23/CW22</f>
        <v/>
      </c>
      <c r="CX24" s="67">
        <f>-CX23/CX22</f>
        <v/>
      </c>
      <c r="CY24" s="67">
        <f>-CY23/CY22</f>
        <v/>
      </c>
      <c r="CZ24" s="67">
        <f>-CZ23/CZ22</f>
        <v/>
      </c>
      <c r="DA24" s="67">
        <f>-DA23/DA22</f>
        <v/>
      </c>
      <c r="DB24" s="67">
        <f>-DB23/DB22</f>
        <v/>
      </c>
      <c r="DC24" s="67">
        <f>-DC23/DC22</f>
        <v/>
      </c>
      <c r="DD24" s="67">
        <f>-DD23/DD22</f>
        <v/>
      </c>
      <c r="DE24" s="67">
        <f>-DE23/DE22</f>
        <v/>
      </c>
      <c r="DF24" s="67">
        <f>-DF23/DF22</f>
        <v/>
      </c>
      <c r="DG24" s="67">
        <f>-DG23/DG22</f>
        <v/>
      </c>
      <c r="DH24" s="67">
        <f>-DH23/DH22</f>
        <v/>
      </c>
      <c r="DI24" s="67">
        <f>-DI23/DI22</f>
        <v/>
      </c>
      <c r="DJ24" s="67">
        <f>-DJ23/DJ22</f>
        <v/>
      </c>
      <c r="DK24" s="67">
        <f>-DK23/DK22</f>
        <v/>
      </c>
      <c r="DL24" s="67">
        <f>-DL23/DL22</f>
        <v/>
      </c>
      <c r="DM24" s="67">
        <f>-DM23/DM22</f>
        <v/>
      </c>
      <c r="DN24" s="67">
        <f>-DN23/DN22</f>
        <v/>
      </c>
      <c r="DO24" s="67">
        <f>-DO23/DO22</f>
        <v/>
      </c>
      <c r="DP24" s="67">
        <f>-DP23/DP22</f>
        <v/>
      </c>
      <c r="DQ24" s="67">
        <f>-DQ23/DQ22</f>
        <v/>
      </c>
      <c r="DR24" s="67">
        <f>-DR23/DR22</f>
        <v/>
      </c>
      <c r="DS24" s="67">
        <f>-DS23/DS22</f>
        <v/>
      </c>
      <c r="DT24" s="67">
        <f>-DT23/DT22</f>
        <v/>
      </c>
      <c r="DU24" s="67">
        <f>-DU23/DU22</f>
        <v/>
      </c>
      <c r="DV24" s="67">
        <f>-DV23/DV22</f>
        <v/>
      </c>
      <c r="DW24" s="67">
        <f>-DW23/DW22</f>
        <v/>
      </c>
      <c r="DX24" s="67">
        <f>-DX23/DX22</f>
        <v/>
      </c>
      <c r="DY24" s="67">
        <f>-DY23/DY22</f>
        <v/>
      </c>
      <c r="DZ24" s="67">
        <f>-DZ23/DZ22</f>
        <v/>
      </c>
      <c r="EA24" s="67">
        <f>-EA23/EA22</f>
        <v/>
      </c>
      <c r="EB24" s="67">
        <f>-EB23/EB22</f>
        <v/>
      </c>
      <c r="EC24" s="67">
        <f>-EC23/EC22</f>
        <v/>
      </c>
      <c r="ED24" s="67">
        <f>-ED23/ED22</f>
        <v/>
      </c>
      <c r="EE24" s="67">
        <f>-EE23/EE22</f>
        <v/>
      </c>
      <c r="EF24" s="67">
        <f>-EF23/EF22</f>
        <v/>
      </c>
      <c r="EG24" s="67">
        <f>-EG23/EG22</f>
        <v/>
      </c>
      <c r="EH24" s="67">
        <f>-EH23/EH22</f>
        <v/>
      </c>
      <c r="EI24" s="67">
        <f>-EI23/EI22</f>
        <v/>
      </c>
      <c r="EJ24" s="67">
        <f>-EJ23/EJ22</f>
        <v/>
      </c>
      <c r="EK24" s="67">
        <f>-EK23/EK22</f>
        <v/>
      </c>
      <c r="EL24" s="67">
        <f>-EL23/EL22</f>
        <v/>
      </c>
      <c r="EM24" s="67">
        <f>-EM23/EM22</f>
        <v/>
      </c>
      <c r="EN24" s="67">
        <f>-EN23/EN22</f>
        <v/>
      </c>
      <c r="EO24" s="67">
        <f>-EO23/EO22</f>
        <v/>
      </c>
      <c r="EP24" s="67">
        <f>-EP23/EP22</f>
        <v/>
      </c>
      <c r="EQ24" s="67">
        <f>-EQ23/EQ22</f>
        <v/>
      </c>
      <c r="ER24" s="67">
        <f>-ER23/ER22</f>
        <v/>
      </c>
      <c r="ES24" s="67">
        <f>-ES23/ES22</f>
        <v/>
      </c>
      <c r="ET24" s="67">
        <f>-ET23/ET22</f>
        <v/>
      </c>
      <c r="EU24" s="67">
        <f>-EU23/EU22</f>
        <v/>
      </c>
      <c r="EV24" s="67">
        <f>-EV23/EV22</f>
        <v/>
      </c>
      <c r="EW24" s="67">
        <f>-EW23/EW22</f>
        <v/>
      </c>
      <c r="EX24" s="67">
        <f>-EX23/EX22</f>
        <v/>
      </c>
      <c r="EY24" s="67">
        <f>-EY23/EY22</f>
        <v/>
      </c>
      <c r="EZ24" s="386" t="n"/>
      <c r="FA24" s="386" t="n"/>
      <c r="FB24" s="379" t="n"/>
      <c r="FC24" s="379" t="n"/>
      <c r="FD24" s="379" t="n"/>
      <c r="FE24" s="379" t="n"/>
    </row>
    <row r="25">
      <c r="A25" s="455" t="inlineStr">
        <is>
          <t>Profit after tax</t>
        </is>
      </c>
      <c r="B25" s="456">
        <f>B22+B23</f>
        <v/>
      </c>
      <c r="C25" s="456">
        <f>C22+C23</f>
        <v/>
      </c>
      <c r="D25" s="456">
        <f>D22+D23</f>
        <v/>
      </c>
      <c r="E25" s="456">
        <f>E22+E23</f>
        <v/>
      </c>
      <c r="F25" s="456">
        <f>F22+F23</f>
        <v/>
      </c>
      <c r="G25" s="456">
        <f>G22+G23</f>
        <v/>
      </c>
      <c r="H25" s="456">
        <f>H22+H23</f>
        <v/>
      </c>
      <c r="I25" s="456">
        <f>I22+I23</f>
        <v/>
      </c>
      <c r="J25" s="456">
        <f>J22+J23</f>
        <v/>
      </c>
      <c r="K25" s="456">
        <f>K22+K23</f>
        <v/>
      </c>
      <c r="L25" s="456">
        <f>L22+L23</f>
        <v/>
      </c>
      <c r="M25" s="456">
        <f>M22+M23</f>
        <v/>
      </c>
      <c r="N25" s="456">
        <f>N22+N23</f>
        <v/>
      </c>
      <c r="O25" s="456">
        <f>O22+O23</f>
        <v/>
      </c>
      <c r="P25" s="456">
        <f>P22+P23</f>
        <v/>
      </c>
      <c r="Q25" s="456">
        <f>Q22+Q23</f>
        <v/>
      </c>
      <c r="R25" s="456">
        <f>R22+R23</f>
        <v/>
      </c>
      <c r="S25" s="456">
        <f>S22+S23</f>
        <v/>
      </c>
      <c r="T25" s="456">
        <f>T22+T23</f>
        <v/>
      </c>
      <c r="U25" s="456">
        <f>U22+U23</f>
        <v/>
      </c>
      <c r="V25" s="456">
        <f>V22+V23</f>
        <v/>
      </c>
      <c r="W25" s="456">
        <f>W22+W23</f>
        <v/>
      </c>
      <c r="X25" s="456">
        <f>X22+X23</f>
        <v/>
      </c>
      <c r="Y25" s="456">
        <f>Y22+Y23</f>
        <v/>
      </c>
      <c r="Z25" s="456">
        <f>Z22+Z23</f>
        <v/>
      </c>
      <c r="AA25" s="457">
        <f>+U25-T25</f>
        <v/>
      </c>
      <c r="AB25" s="342">
        <f>+AA25/T25</f>
        <v/>
      </c>
      <c r="AC25" s="456" t="n">
        <v>4900.803224930358</v>
      </c>
      <c r="AD25" s="457">
        <f>+U25-AC25</f>
        <v/>
      </c>
      <c r="AE25" s="342">
        <f>+AD25/AC25</f>
        <v/>
      </c>
      <c r="AF25" s="169" t="n"/>
      <c r="AG25" s="456">
        <f>AG22+AG23</f>
        <v/>
      </c>
      <c r="AH25" s="456">
        <f>AH22+AH23</f>
        <v/>
      </c>
      <c r="AI25" s="456">
        <f>AI22+AI23</f>
        <v/>
      </c>
      <c r="AJ25" s="456">
        <f>AJ22+AJ23</f>
        <v/>
      </c>
      <c r="AK25" s="456">
        <f>AK22+AK23</f>
        <v/>
      </c>
      <c r="AL25" s="456">
        <f>AL22+AL23</f>
        <v/>
      </c>
      <c r="AM25" s="456">
        <f>AM22+AM23</f>
        <v/>
      </c>
      <c r="AN25" s="456">
        <f>AN22+AN23</f>
        <v/>
      </c>
      <c r="AO25" s="456">
        <f>AO22+AO23</f>
        <v/>
      </c>
      <c r="AP25" s="456">
        <f>AP22+AP23</f>
        <v/>
      </c>
      <c r="AQ25" s="456">
        <f>AQ22+AQ23</f>
        <v/>
      </c>
      <c r="AR25" s="456">
        <f>AR22+AR23</f>
        <v/>
      </c>
      <c r="AS25" s="456">
        <f>AS22+AS23</f>
        <v/>
      </c>
      <c r="AT25" s="456">
        <f>AT22+AT23</f>
        <v/>
      </c>
      <c r="AU25" s="456">
        <f>AU22+AU23</f>
        <v/>
      </c>
      <c r="AV25" s="456">
        <f>AV22+AV23</f>
        <v/>
      </c>
      <c r="AW25" s="456">
        <f>AW22+AW23</f>
        <v/>
      </c>
      <c r="AX25" s="456">
        <f>AX22+AX23</f>
        <v/>
      </c>
      <c r="AY25" s="456">
        <f>AY22+AY23</f>
        <v/>
      </c>
      <c r="AZ25" s="456">
        <f>AZ22+AZ23</f>
        <v/>
      </c>
      <c r="BA25" s="456">
        <f>BA22+BA23</f>
        <v/>
      </c>
      <c r="BB25" s="456">
        <f>BB22+BB23</f>
        <v/>
      </c>
      <c r="BC25" s="456">
        <f>BC22+BC23</f>
        <v/>
      </c>
      <c r="BD25" s="456">
        <f>BD22+BD23</f>
        <v/>
      </c>
      <c r="BE25" s="456">
        <f>BE22+BE23</f>
        <v/>
      </c>
      <c r="BF25" s="456">
        <f>BF22+BF23</f>
        <v/>
      </c>
      <c r="BG25" s="456">
        <f>BG22+BG23</f>
        <v/>
      </c>
      <c r="BH25" s="456">
        <f>BH22+BH23</f>
        <v/>
      </c>
      <c r="BI25" s="456">
        <f>BI22+BI23</f>
        <v/>
      </c>
      <c r="BJ25" s="456">
        <f>BJ22+BJ23</f>
        <v/>
      </c>
      <c r="BK25" s="456">
        <f>BK22+BK23</f>
        <v/>
      </c>
      <c r="BL25" s="456">
        <f>BL22+BL23</f>
        <v/>
      </c>
      <c r="BM25" s="456">
        <f>BM22+BM23</f>
        <v/>
      </c>
      <c r="BN25" s="456">
        <f>BN22+BN23</f>
        <v/>
      </c>
      <c r="BO25" s="456">
        <f>BO22+BO23</f>
        <v/>
      </c>
      <c r="BP25" s="456">
        <f>BP22+BP23</f>
        <v/>
      </c>
      <c r="BQ25" s="456">
        <f>BQ22+BQ23</f>
        <v/>
      </c>
      <c r="BR25" s="456">
        <f>BR22+BR23</f>
        <v/>
      </c>
      <c r="BS25" s="456" t="n"/>
      <c r="BT25" s="456">
        <f>BT22+BT23</f>
        <v/>
      </c>
      <c r="BU25" s="446">
        <f>BT25-BR25</f>
        <v/>
      </c>
      <c r="BV25" s="381">
        <f>BU25/BR25</f>
        <v/>
      </c>
      <c r="BW25" s="381">
        <f>BT25/T25</f>
        <v/>
      </c>
      <c r="BX25" s="381">
        <f>BT25/U25</f>
        <v/>
      </c>
      <c r="BZ25" s="456">
        <f>BZ22+BZ23</f>
        <v/>
      </c>
      <c r="CA25" s="456">
        <f>CA22+CA23</f>
        <v/>
      </c>
      <c r="CB25" s="456">
        <f>CB22+CB23</f>
        <v/>
      </c>
      <c r="CC25" s="456">
        <f>CC22+CC23</f>
        <v/>
      </c>
      <c r="CD25" s="456">
        <f>CD22+CD23</f>
        <v/>
      </c>
      <c r="CE25" s="456">
        <f>CE22+CE23</f>
        <v/>
      </c>
      <c r="CF25" s="456">
        <f>CF22+CF23</f>
        <v/>
      </c>
      <c r="CG25" s="456">
        <f>CG22+CG23</f>
        <v/>
      </c>
      <c r="CH25" s="456">
        <f>CH22+CH23</f>
        <v/>
      </c>
      <c r="CI25" s="456">
        <f>CI22+CI23</f>
        <v/>
      </c>
      <c r="CJ25" s="456">
        <f>CJ22+CJ23</f>
        <v/>
      </c>
      <c r="CK25" s="456">
        <f>CK22+CK23</f>
        <v/>
      </c>
      <c r="CL25" s="456">
        <f>CL22+CL23</f>
        <v/>
      </c>
      <c r="CM25" s="456">
        <f>CM22+CM23</f>
        <v/>
      </c>
      <c r="CN25" s="456">
        <f>CN22+CN23</f>
        <v/>
      </c>
      <c r="CO25" s="456">
        <f>CO22+CO23</f>
        <v/>
      </c>
      <c r="CP25" s="456">
        <f>CP22+CP23</f>
        <v/>
      </c>
      <c r="CQ25" s="456">
        <f>CQ22+CQ23</f>
        <v/>
      </c>
      <c r="CR25" s="456">
        <f>CR22+CR23</f>
        <v/>
      </c>
      <c r="CS25" s="456">
        <f>CS22+CS23</f>
        <v/>
      </c>
      <c r="CT25" s="456">
        <f>CT22+CT23</f>
        <v/>
      </c>
      <c r="CU25" s="456">
        <f>CU22+CU23</f>
        <v/>
      </c>
      <c r="CV25" s="456">
        <f>CV22+CV23</f>
        <v/>
      </c>
      <c r="CW25" s="456">
        <f>CW22+CW23</f>
        <v/>
      </c>
      <c r="CX25" s="456">
        <f>CX22+CX23</f>
        <v/>
      </c>
      <c r="CY25" s="456">
        <f>CY22+CY23</f>
        <v/>
      </c>
      <c r="CZ25" s="456">
        <f>CZ22+CZ23</f>
        <v/>
      </c>
      <c r="DA25" s="456">
        <f>DA22+DA23</f>
        <v/>
      </c>
      <c r="DB25" s="456">
        <f>DB22+DB23</f>
        <v/>
      </c>
      <c r="DC25" s="456">
        <f>DC22+DC23</f>
        <v/>
      </c>
      <c r="DD25" s="456">
        <f>DD22+DD23</f>
        <v/>
      </c>
      <c r="DE25" s="456">
        <f>DE22+DE23</f>
        <v/>
      </c>
      <c r="DF25" s="456">
        <f>DF22+DF23</f>
        <v/>
      </c>
      <c r="DG25" s="456">
        <f>DG22+DG23</f>
        <v/>
      </c>
      <c r="DH25" s="456">
        <f>DH22+DH23</f>
        <v/>
      </c>
      <c r="DI25" s="456">
        <f>DI22+DI23</f>
        <v/>
      </c>
      <c r="DJ25" s="456">
        <f>DJ22+DJ23</f>
        <v/>
      </c>
      <c r="DK25" s="456">
        <f>DK22+DK23</f>
        <v/>
      </c>
      <c r="DL25" s="456">
        <f>DL22+DL23</f>
        <v/>
      </c>
      <c r="DM25" s="456">
        <f>DM22+DM23</f>
        <v/>
      </c>
      <c r="DN25" s="456">
        <f>DN22+DN23</f>
        <v/>
      </c>
      <c r="DO25" s="456">
        <f>DO22+DO23</f>
        <v/>
      </c>
      <c r="DP25" s="456">
        <f>DP22+DP23</f>
        <v/>
      </c>
      <c r="DQ25" s="456">
        <f>DQ22+DQ23</f>
        <v/>
      </c>
      <c r="DR25" s="456">
        <f>DR22+DR23</f>
        <v/>
      </c>
      <c r="DS25" s="456">
        <f>DS22+DS23</f>
        <v/>
      </c>
      <c r="DT25" s="456">
        <f>DT22+DT23</f>
        <v/>
      </c>
      <c r="DU25" s="456">
        <f>DU22+DU23</f>
        <v/>
      </c>
      <c r="DV25" s="456">
        <f>DV22+DV23</f>
        <v/>
      </c>
      <c r="DW25" s="456">
        <f>DW22+DW23</f>
        <v/>
      </c>
      <c r="DX25" s="456">
        <f>DX22+DX23</f>
        <v/>
      </c>
      <c r="DY25" s="456">
        <f>DY22+DY23</f>
        <v/>
      </c>
      <c r="DZ25" s="456">
        <f>DZ22+DZ23</f>
        <v/>
      </c>
      <c r="EA25" s="456">
        <f>EA22+EA23</f>
        <v/>
      </c>
      <c r="EB25" s="456">
        <f>EB22+EB23</f>
        <v/>
      </c>
      <c r="EC25" s="456">
        <f>EC22+EC23</f>
        <v/>
      </c>
      <c r="ED25" s="456">
        <f>ED22+ED23</f>
        <v/>
      </c>
      <c r="EE25" s="456">
        <f>EE22+EE23</f>
        <v/>
      </c>
      <c r="EF25" s="456">
        <f>EF22+EF23</f>
        <v/>
      </c>
      <c r="EG25" s="456">
        <f>EG22+EG23</f>
        <v/>
      </c>
      <c r="EH25" s="456">
        <f>EH22+EH23</f>
        <v/>
      </c>
      <c r="EI25" s="456">
        <f>EI22+EI23</f>
        <v/>
      </c>
      <c r="EJ25" s="456">
        <f>EJ22+EJ23</f>
        <v/>
      </c>
      <c r="EK25" s="456">
        <f>EK22+EK23</f>
        <v/>
      </c>
      <c r="EL25" s="456">
        <f>EL22+EL23</f>
        <v/>
      </c>
      <c r="EM25" s="456">
        <f>EM22+EM23</f>
        <v/>
      </c>
      <c r="EN25" s="456">
        <f>EN22+EN23</f>
        <v/>
      </c>
      <c r="EO25" s="456">
        <f>EO22+EO23</f>
        <v/>
      </c>
      <c r="EP25" s="456">
        <f>EP22+EP23</f>
        <v/>
      </c>
      <c r="EQ25" s="456">
        <f>EQ22+EQ23</f>
        <v/>
      </c>
      <c r="ER25" s="456">
        <f>ER22+ER23</f>
        <v/>
      </c>
      <c r="ES25" s="456">
        <f>ES22+ES23</f>
        <v/>
      </c>
      <c r="ET25" s="456">
        <f>ET22+ET23</f>
        <v/>
      </c>
      <c r="EU25" s="456">
        <f>EU22+EU23</f>
        <v/>
      </c>
      <c r="EV25" s="456">
        <f>EV22+EV23</f>
        <v/>
      </c>
      <c r="EW25" s="456">
        <f>EW22+EW23</f>
        <v/>
      </c>
      <c r="EX25" s="456">
        <f>EX22+EX23</f>
        <v/>
      </c>
      <c r="EY25" s="456">
        <f>EY22+EY23</f>
        <v/>
      </c>
      <c r="EZ25" s="448" t="n"/>
      <c r="FA25" s="448" t="n"/>
      <c r="FB25" s="446">
        <f>+FA25-EW25</f>
        <v/>
      </c>
      <c r="FC25" s="381">
        <f>+FB25/EW25</f>
        <v/>
      </c>
      <c r="FD25" s="381">
        <f>+FA25/T25</f>
        <v/>
      </c>
      <c r="FE25" s="381">
        <f>+FA25/U25</f>
        <v/>
      </c>
    </row>
    <row r="26">
      <c r="A26" s="450" t="inlineStr">
        <is>
          <t>Minority interest</t>
        </is>
      </c>
      <c r="B26" s="451">
        <f>-'Raw financials'!B43</f>
        <v/>
      </c>
      <c r="C26" s="451">
        <f>-'Raw financials'!C43</f>
        <v/>
      </c>
      <c r="D26" s="451">
        <f>-'Raw financials'!D43</f>
        <v/>
      </c>
      <c r="E26" s="451">
        <f>-'Raw financials'!E43</f>
        <v/>
      </c>
      <c r="F26" s="451">
        <f>-'Raw financials'!F43</f>
        <v/>
      </c>
      <c r="G26" s="451">
        <f>-'Raw financials'!G43</f>
        <v/>
      </c>
      <c r="H26" s="451">
        <f>-'Raw financials'!H43</f>
        <v/>
      </c>
      <c r="I26" s="451">
        <f>-'Raw financials'!I43</f>
        <v/>
      </c>
      <c r="J26" s="451">
        <f>-'Raw financials'!J43</f>
        <v/>
      </c>
      <c r="K26" s="451">
        <f>-'Raw financials'!K43</f>
        <v/>
      </c>
      <c r="L26" s="451">
        <f>-'Raw financials'!L43</f>
        <v/>
      </c>
      <c r="M26" s="451">
        <f>-'Raw financials'!M43</f>
        <v/>
      </c>
      <c r="N26" s="451">
        <f>-'Raw financials'!N43</f>
        <v/>
      </c>
      <c r="O26" s="451">
        <f>-'Raw financials'!O43</f>
        <v/>
      </c>
      <c r="P26" s="451">
        <f>-'Raw financials'!P43</f>
        <v/>
      </c>
      <c r="Q26" s="451">
        <f>-'Raw financials'!Q43</f>
        <v/>
      </c>
      <c r="R26" s="451">
        <f>-'Raw financials'!R43</f>
        <v/>
      </c>
      <c r="S26" s="451">
        <f>-'Raw financials'!S43</f>
        <v/>
      </c>
      <c r="T26" s="451">
        <f>-'Raw financials'!T43</f>
        <v/>
      </c>
      <c r="U26" s="451">
        <f>U25*-U27</f>
        <v/>
      </c>
      <c r="V26" s="451">
        <f>V25*-V27</f>
        <v/>
      </c>
      <c r="W26" s="451">
        <f>W25*-W27</f>
        <v/>
      </c>
      <c r="X26" s="451">
        <f>X25*-X27</f>
        <v/>
      </c>
      <c r="Y26" s="451">
        <f>Y25*-Y27</f>
        <v/>
      </c>
      <c r="Z26" s="451">
        <f>Z25*-Z27</f>
        <v/>
      </c>
      <c r="AA26" s="452">
        <f>+U26-T26</f>
        <v/>
      </c>
      <c r="AB26" s="348">
        <f>+AA26/T26</f>
        <v/>
      </c>
      <c r="AC26" s="451" t="n">
        <v>-544.7423937965557</v>
      </c>
      <c r="AD26" s="452" t="n"/>
      <c r="AE26" s="348" t="n"/>
      <c r="AF26" s="451" t="n"/>
      <c r="AG26" s="451">
        <f>-'Raw financials'!AA43</f>
        <v/>
      </c>
      <c r="AH26" s="451">
        <f>B26-AG26</f>
        <v/>
      </c>
      <c r="AI26" s="451">
        <f>-'Raw financials'!AB43</f>
        <v/>
      </c>
      <c r="AJ26" s="451">
        <f>C26-AI26</f>
        <v/>
      </c>
      <c r="AK26" s="451">
        <f>-'Raw financials'!AC43</f>
        <v/>
      </c>
      <c r="AL26" s="451">
        <f>D26-AK26</f>
        <v/>
      </c>
      <c r="AM26" s="451">
        <f>-'Raw financials'!AD43</f>
        <v/>
      </c>
      <c r="AN26" s="451">
        <f>E26-AM26</f>
        <v/>
      </c>
      <c r="AO26" s="451">
        <f>-'Raw financials'!AE43</f>
        <v/>
      </c>
      <c r="AP26" s="451">
        <f>F26-AO26</f>
        <v/>
      </c>
      <c r="AQ26" s="451">
        <f>-'Raw financials'!AF43</f>
        <v/>
      </c>
      <c r="AR26" s="451">
        <f>G26-AQ26</f>
        <v/>
      </c>
      <c r="AS26" s="451">
        <f>-'Raw financials'!AG43</f>
        <v/>
      </c>
      <c r="AT26" s="451">
        <f>H26-AS26</f>
        <v/>
      </c>
      <c r="AU26" s="451">
        <f>-'Raw financials'!AH43</f>
        <v/>
      </c>
      <c r="AV26" s="451">
        <f>I26-AU26</f>
        <v/>
      </c>
      <c r="AW26" s="451">
        <f>-'Raw financials'!AI43</f>
        <v/>
      </c>
      <c r="AX26" s="451">
        <f>J26-AW26</f>
        <v/>
      </c>
      <c r="AY26" s="451">
        <f>-'Raw financials'!AJ43</f>
        <v/>
      </c>
      <c r="AZ26" s="451">
        <f>K26-AY26</f>
        <v/>
      </c>
      <c r="BA26" s="451">
        <f>-'Raw financials'!AK43</f>
        <v/>
      </c>
      <c r="BB26" s="451">
        <f>L26-BA26</f>
        <v/>
      </c>
      <c r="BC26" s="451">
        <f>-'Raw financials'!AL43</f>
        <v/>
      </c>
      <c r="BD26" s="451">
        <f>M26-BC26</f>
        <v/>
      </c>
      <c r="BE26" s="451">
        <f>-'Raw financials'!AM43</f>
        <v/>
      </c>
      <c r="BF26" s="451">
        <f>N26-BE26</f>
        <v/>
      </c>
      <c r="BG26" s="451">
        <f>-'Raw financials'!AN43</f>
        <v/>
      </c>
      <c r="BH26" s="451">
        <f>O26-BG26</f>
        <v/>
      </c>
      <c r="BI26" s="451">
        <f>-'Raw financials'!AO43</f>
        <v/>
      </c>
      <c r="BJ26" s="451">
        <f>P26-BI26</f>
        <v/>
      </c>
      <c r="BK26" s="451">
        <f>-'Raw financials'!AP43</f>
        <v/>
      </c>
      <c r="BL26" s="451">
        <f>Q26-BK26</f>
        <v/>
      </c>
      <c r="BM26" s="451">
        <f>-'Raw financials'!AQ43</f>
        <v/>
      </c>
      <c r="BN26" s="451">
        <f>R26-BM26</f>
        <v/>
      </c>
      <c r="BO26" s="451">
        <f>-'Raw financials'!AR43</f>
        <v/>
      </c>
      <c r="BP26" s="451">
        <f>S26-BO26</f>
        <v/>
      </c>
      <c r="BQ26" s="451">
        <f>-'Raw financials'!AS43</f>
        <v/>
      </c>
      <c r="BR26" s="451">
        <f>T26-BQ26</f>
        <v/>
      </c>
      <c r="BS26" s="451" t="n"/>
      <c r="BT26" s="451">
        <f>U26-BS26</f>
        <v/>
      </c>
      <c r="BU26" s="453">
        <f>BT26-BR26</f>
        <v/>
      </c>
      <c r="BV26" s="379">
        <f>BU26/BR26</f>
        <v/>
      </c>
      <c r="BW26" s="379">
        <f>BT26/T26</f>
        <v/>
      </c>
      <c r="BX26" s="379">
        <f>BT26/U26</f>
        <v/>
      </c>
      <c r="BZ26" s="451">
        <f>-'Raw financials'!BN43</f>
        <v/>
      </c>
      <c r="CA26" s="451">
        <f>-'Raw financials'!BO43</f>
        <v/>
      </c>
      <c r="CB26" s="451">
        <f>-'Raw financials'!BP43</f>
        <v/>
      </c>
      <c r="CC26" s="451">
        <f>-'Raw financials'!BQ43</f>
        <v/>
      </c>
      <c r="CD26" s="451">
        <f>-'Raw financials'!BR43</f>
        <v/>
      </c>
      <c r="CE26" s="451">
        <f>-'Raw financials'!BS43</f>
        <v/>
      </c>
      <c r="CF26" s="451">
        <f>-'Raw financials'!BT43</f>
        <v/>
      </c>
      <c r="CG26" s="451">
        <f>-'Raw financials'!BU43</f>
        <v/>
      </c>
      <c r="CH26" s="451">
        <f>-'Raw financials'!BV43</f>
        <v/>
      </c>
      <c r="CI26" s="451">
        <f>-'Raw financials'!BW43</f>
        <v/>
      </c>
      <c r="CJ26" s="451">
        <f>-'Raw financials'!BX43</f>
        <v/>
      </c>
      <c r="CK26" s="451">
        <f>-'Raw financials'!BY43</f>
        <v/>
      </c>
      <c r="CL26" s="451">
        <f>-'Raw financials'!BZ43</f>
        <v/>
      </c>
      <c r="CM26" s="451">
        <f>-'Raw financials'!CA43</f>
        <v/>
      </c>
      <c r="CN26" s="451">
        <f>-'Raw financials'!CB43</f>
        <v/>
      </c>
      <c r="CO26" s="451">
        <f>-'Raw financials'!CC43</f>
        <v/>
      </c>
      <c r="CP26" s="451">
        <f>-'Raw financials'!CD43</f>
        <v/>
      </c>
      <c r="CQ26" s="451">
        <f>-'Raw financials'!CE43</f>
        <v/>
      </c>
      <c r="CR26" s="451">
        <f>-'Raw financials'!CF43</f>
        <v/>
      </c>
      <c r="CS26" s="451">
        <f>-'Raw financials'!CG43</f>
        <v/>
      </c>
      <c r="CT26" s="451">
        <f>-'Raw financials'!CH43</f>
        <v/>
      </c>
      <c r="CU26" s="451">
        <f>-'Raw financials'!CI43</f>
        <v/>
      </c>
      <c r="CV26" s="451">
        <f>-'Raw financials'!CJ43</f>
        <v/>
      </c>
      <c r="CW26" s="451">
        <f>-'Raw financials'!CK43</f>
        <v/>
      </c>
      <c r="CX26" s="451">
        <f>-'Raw financials'!CL43</f>
        <v/>
      </c>
      <c r="CY26" s="451">
        <f>-'Raw financials'!CM43</f>
        <v/>
      </c>
      <c r="CZ26" s="451">
        <f>-'Raw financials'!CN43</f>
        <v/>
      </c>
      <c r="DA26" s="451">
        <f>-'Raw financials'!CO43</f>
        <v/>
      </c>
      <c r="DB26" s="451">
        <f>-'Raw financials'!CP43</f>
        <v/>
      </c>
      <c r="DC26" s="451">
        <f>-'Raw financials'!CQ43</f>
        <v/>
      </c>
      <c r="DD26" s="451">
        <f>-'Raw financials'!CR43</f>
        <v/>
      </c>
      <c r="DE26" s="451">
        <f>-'Raw financials'!CS43</f>
        <v/>
      </c>
      <c r="DF26" s="451">
        <f>-'Raw financials'!CT43</f>
        <v/>
      </c>
      <c r="DG26" s="451">
        <f>-'Raw financials'!CU43</f>
        <v/>
      </c>
      <c r="DH26" s="451">
        <f>-'Raw financials'!CV43</f>
        <v/>
      </c>
      <c r="DI26" s="451">
        <f>-'Raw financials'!CW43</f>
        <v/>
      </c>
      <c r="DJ26" s="451">
        <f>-'Raw financials'!CX43</f>
        <v/>
      </c>
      <c r="DK26" s="451">
        <f>-'Raw financials'!CY43</f>
        <v/>
      </c>
      <c r="DL26" s="451">
        <f>-'Raw financials'!CZ43</f>
        <v/>
      </c>
      <c r="DM26" s="451">
        <f>-'Raw financials'!DA43</f>
        <v/>
      </c>
      <c r="DN26" s="451">
        <f>-'Raw financials'!DB43</f>
        <v/>
      </c>
      <c r="DO26" s="451">
        <f>-'Raw financials'!DC43</f>
        <v/>
      </c>
      <c r="DP26" s="451">
        <f>-'Raw financials'!DD43</f>
        <v/>
      </c>
      <c r="DQ26" s="451">
        <f>-'Raw financials'!DE43</f>
        <v/>
      </c>
      <c r="DR26" s="451">
        <f>-'Raw financials'!DF43</f>
        <v/>
      </c>
      <c r="DS26" s="451">
        <f>-'Raw financials'!DG43</f>
        <v/>
      </c>
      <c r="DT26" s="451">
        <f>-'Raw financials'!DH43</f>
        <v/>
      </c>
      <c r="DU26" s="451">
        <f>-'Raw financials'!DI43</f>
        <v/>
      </c>
      <c r="DV26" s="451">
        <f>-'Raw financials'!DJ43</f>
        <v/>
      </c>
      <c r="DW26" s="451">
        <f>-'Raw financials'!DK43</f>
        <v/>
      </c>
      <c r="DX26" s="451">
        <f>-'Raw financials'!DL43</f>
        <v/>
      </c>
      <c r="DY26" s="451">
        <f>-'Raw financials'!DM43</f>
        <v/>
      </c>
      <c r="DZ26" s="451">
        <f>-'Raw financials'!DN43</f>
        <v/>
      </c>
      <c r="EA26" s="451">
        <f>-'Raw financials'!DO43</f>
        <v/>
      </c>
      <c r="EB26" s="451">
        <f>-'Raw financials'!DP43</f>
        <v/>
      </c>
      <c r="EC26" s="451">
        <f>-'Raw financials'!DQ43</f>
        <v/>
      </c>
      <c r="ED26" s="451">
        <f>-'Raw financials'!DR43</f>
        <v/>
      </c>
      <c r="EE26" s="451">
        <f>-'Raw financials'!DS43</f>
        <v/>
      </c>
      <c r="EF26" s="451">
        <f>-'Raw financials'!DT43</f>
        <v/>
      </c>
      <c r="EG26" s="451">
        <f>-'Raw financials'!DU43</f>
        <v/>
      </c>
      <c r="EH26" s="451">
        <f>-'Raw financials'!DV43</f>
        <v/>
      </c>
      <c r="EI26" s="451">
        <f>-'Raw financials'!DW43</f>
        <v/>
      </c>
      <c r="EJ26" s="451">
        <f>-'Raw financials'!DX43</f>
        <v/>
      </c>
      <c r="EK26" s="451">
        <f>-'Raw financials'!DY43</f>
        <v/>
      </c>
      <c r="EL26" s="451">
        <f>-'Raw financials'!DZ43</f>
        <v/>
      </c>
      <c r="EM26" s="451">
        <f>-'Raw financials'!EA43</f>
        <v/>
      </c>
      <c r="EN26" s="451">
        <f>-'Raw financials'!EB43</f>
        <v/>
      </c>
      <c r="EO26" s="451">
        <f>-'Raw financials'!EC43</f>
        <v/>
      </c>
      <c r="EP26" s="451">
        <f>-'Raw financials'!ED43</f>
        <v/>
      </c>
      <c r="EQ26" s="451">
        <f>-'Raw financials'!EE43</f>
        <v/>
      </c>
      <c r="ER26" s="451">
        <f>-'Raw financials'!EF43</f>
        <v/>
      </c>
      <c r="ES26" s="451">
        <f>-'Raw financials'!EG43</f>
        <v/>
      </c>
      <c r="ET26" s="451">
        <f>-'Raw financials'!EH43</f>
        <v/>
      </c>
      <c r="EU26" s="451">
        <f>-'Raw financials'!EI43</f>
        <v/>
      </c>
      <c r="EV26" s="451">
        <f>-'Raw financials'!EJ43</f>
        <v/>
      </c>
      <c r="EW26" s="451">
        <f>-'Raw financials'!EK43</f>
        <v/>
      </c>
      <c r="EX26" s="451">
        <f>-'Raw financials'!EL43</f>
        <v/>
      </c>
      <c r="EY26" s="451">
        <f>-'Raw financials'!EM43</f>
        <v/>
      </c>
      <c r="EZ26" s="454" t="n"/>
      <c r="FA26" s="454" t="n"/>
      <c r="FB26" s="453">
        <f>+FA26-EW26</f>
        <v/>
      </c>
      <c r="FC26" s="379">
        <f>+FB26/EW26</f>
        <v/>
      </c>
      <c r="FD26" s="379">
        <f>+FA26/T26</f>
        <v/>
      </c>
      <c r="FE26" s="379">
        <f>+FA26/U26</f>
        <v/>
      </c>
    </row>
    <row r="27">
      <c r="A27" s="449" t="inlineStr">
        <is>
          <t>%  of PAT</t>
        </is>
      </c>
      <c r="B27" s="67">
        <f>-B26/B25</f>
        <v/>
      </c>
      <c r="C27" s="67">
        <f>-C26/C25</f>
        <v/>
      </c>
      <c r="D27" s="67">
        <f>-D26/D25</f>
        <v/>
      </c>
      <c r="E27" s="67">
        <f>-E26/E25</f>
        <v/>
      </c>
      <c r="F27" s="67">
        <f>-F26/F25</f>
        <v/>
      </c>
      <c r="G27" s="67">
        <f>-G26/G25</f>
        <v/>
      </c>
      <c r="H27" s="67">
        <f>-H26/H25</f>
        <v/>
      </c>
      <c r="I27" s="67">
        <f>-I26/I25</f>
        <v/>
      </c>
      <c r="J27" s="67">
        <f>-J26/J25</f>
        <v/>
      </c>
      <c r="K27" s="67">
        <f>-K26/K25</f>
        <v/>
      </c>
      <c r="L27" s="67">
        <f>-L26/L25</f>
        <v/>
      </c>
      <c r="M27" s="67">
        <f>-M26/M25</f>
        <v/>
      </c>
      <c r="N27" s="67">
        <f>-N26/N25</f>
        <v/>
      </c>
      <c r="O27" s="67">
        <f>-O26/O25</f>
        <v/>
      </c>
      <c r="P27" s="67">
        <f>-P26/P25</f>
        <v/>
      </c>
      <c r="Q27" s="67">
        <f>-Q26/Q25</f>
        <v/>
      </c>
      <c r="R27" s="67">
        <f>-R26/R25</f>
        <v/>
      </c>
      <c r="S27" s="67">
        <f>-S26/S25</f>
        <v/>
      </c>
      <c r="T27" s="67">
        <f>-T26/T25</f>
        <v/>
      </c>
      <c r="U27" s="76">
        <f>T27</f>
        <v/>
      </c>
      <c r="V27" s="76">
        <f>U27</f>
        <v/>
      </c>
      <c r="W27" s="76">
        <f>V27</f>
        <v/>
      </c>
      <c r="X27" s="76">
        <f>W27</f>
        <v/>
      </c>
      <c r="Y27" s="76">
        <f>X27</f>
        <v/>
      </c>
      <c r="Z27" s="76">
        <f>Y27</f>
        <v/>
      </c>
      <c r="AA27" s="349" t="n"/>
      <c r="AB27" s="348" t="n"/>
      <c r="AC27" s="76" t="n"/>
      <c r="AD27" s="349" t="n"/>
      <c r="AE27" s="348" t="n"/>
      <c r="AF27" s="76" t="n"/>
      <c r="AG27" s="67">
        <f>-AG26/AG25</f>
        <v/>
      </c>
      <c r="AH27" s="67">
        <f>-AH26/AH25</f>
        <v/>
      </c>
      <c r="AI27" s="67">
        <f>-AI26/AI25</f>
        <v/>
      </c>
      <c r="AJ27" s="67">
        <f>-AJ26/AJ25</f>
        <v/>
      </c>
      <c r="AK27" s="67">
        <f>-AK26/AK25</f>
        <v/>
      </c>
      <c r="AL27" s="67">
        <f>-AL26/AL25</f>
        <v/>
      </c>
      <c r="AM27" s="67">
        <f>-AM26/AM25</f>
        <v/>
      </c>
      <c r="AN27" s="67">
        <f>-AN26/AN25</f>
        <v/>
      </c>
      <c r="AO27" s="67">
        <f>-AO26/AO25</f>
        <v/>
      </c>
      <c r="AP27" s="67">
        <f>-AP26/AP25</f>
        <v/>
      </c>
      <c r="AQ27" s="67">
        <f>-AQ26/AQ25</f>
        <v/>
      </c>
      <c r="AR27" s="67">
        <f>-AR26/AR25</f>
        <v/>
      </c>
      <c r="AS27" s="67">
        <f>-AS26/AS25</f>
        <v/>
      </c>
      <c r="AT27" s="67">
        <f>-AT26/AT25</f>
        <v/>
      </c>
      <c r="AU27" s="67">
        <f>-AU26/AU25</f>
        <v/>
      </c>
      <c r="AV27" s="67">
        <f>-AV26/AV25</f>
        <v/>
      </c>
      <c r="AW27" s="67">
        <f>-AW26/AW25</f>
        <v/>
      </c>
      <c r="AX27" s="67">
        <f>-AX26/AX25</f>
        <v/>
      </c>
      <c r="AY27" s="67">
        <f>-AY26/AY25</f>
        <v/>
      </c>
      <c r="AZ27" s="67">
        <f>-AZ26/AZ25</f>
        <v/>
      </c>
      <c r="BA27" s="67">
        <f>-BA26/BA25</f>
        <v/>
      </c>
      <c r="BB27" s="67">
        <f>-BB26/BB25</f>
        <v/>
      </c>
      <c r="BC27" s="67">
        <f>-BC26/BC25</f>
        <v/>
      </c>
      <c r="BD27" s="67">
        <f>-BD26/BD25</f>
        <v/>
      </c>
      <c r="BE27" s="67">
        <f>-BE26/BE25</f>
        <v/>
      </c>
      <c r="BF27" s="67">
        <f>-BF26/BF25</f>
        <v/>
      </c>
      <c r="BG27" s="67">
        <f>-BG26/BG25</f>
        <v/>
      </c>
      <c r="BH27" s="67">
        <f>-BH26/BH25</f>
        <v/>
      </c>
      <c r="BI27" s="67">
        <f>-BI26/BI25</f>
        <v/>
      </c>
      <c r="BJ27" s="67">
        <f>-BJ26/BJ25</f>
        <v/>
      </c>
      <c r="BK27" s="67">
        <f>-BK26/BK25</f>
        <v/>
      </c>
      <c r="BL27" s="67">
        <f>-BL26/BL25</f>
        <v/>
      </c>
      <c r="BM27" s="67">
        <f>-BM26/BM25</f>
        <v/>
      </c>
      <c r="BN27" s="67">
        <f>-BN26/BN25</f>
        <v/>
      </c>
      <c r="BO27" s="67">
        <f>-BO26/BO25</f>
        <v/>
      </c>
      <c r="BP27" s="67">
        <f>-BP26/BP25</f>
        <v/>
      </c>
      <c r="BQ27" s="67">
        <f>-BQ26/BQ25</f>
        <v/>
      </c>
      <c r="BR27" s="67">
        <f>-BR26/BR25</f>
        <v/>
      </c>
      <c r="BS27" s="67" t="n"/>
      <c r="BT27" s="67">
        <f>-BT26/BT25</f>
        <v/>
      </c>
      <c r="BU27" s="453">
        <f>BT27-BR27</f>
        <v/>
      </c>
      <c r="BV27" s="379">
        <f>BU27/BR27</f>
        <v/>
      </c>
      <c r="BW27" s="379">
        <f>BT27/T27</f>
        <v/>
      </c>
      <c r="BX27" s="379">
        <f>BT27/U27</f>
        <v/>
      </c>
      <c r="BZ27" s="67">
        <f>-BZ26/BZ25</f>
        <v/>
      </c>
      <c r="CA27" s="67">
        <f>-CA26/CA25</f>
        <v/>
      </c>
      <c r="CB27" s="67">
        <f>-CB26/CB25</f>
        <v/>
      </c>
      <c r="CC27" s="67">
        <f>-CC26/CC25</f>
        <v/>
      </c>
      <c r="CD27" s="67">
        <f>-CD26/CD25</f>
        <v/>
      </c>
      <c r="CE27" s="67">
        <f>-CE26/CE25</f>
        <v/>
      </c>
      <c r="CF27" s="67">
        <f>-CF26/CF25</f>
        <v/>
      </c>
      <c r="CG27" s="67">
        <f>-CG26/CG25</f>
        <v/>
      </c>
      <c r="CH27" s="67">
        <f>-CH26/CH25</f>
        <v/>
      </c>
      <c r="CI27" s="67">
        <f>-CI26/CI25</f>
        <v/>
      </c>
      <c r="CJ27" s="67">
        <f>-CJ26/CJ25</f>
        <v/>
      </c>
      <c r="CK27" s="67">
        <f>-CK26/CK25</f>
        <v/>
      </c>
      <c r="CL27" s="67">
        <f>-CL26/CL25</f>
        <v/>
      </c>
      <c r="CM27" s="67">
        <f>-CM26/CM25</f>
        <v/>
      </c>
      <c r="CN27" s="67">
        <f>-CN26/CN25</f>
        <v/>
      </c>
      <c r="CO27" s="67">
        <f>-CO26/CO25</f>
        <v/>
      </c>
      <c r="CP27" s="67">
        <f>-CP26/CP25</f>
        <v/>
      </c>
      <c r="CQ27" s="67">
        <f>-CQ26/CQ25</f>
        <v/>
      </c>
      <c r="CR27" s="67">
        <f>-CR26/CR25</f>
        <v/>
      </c>
      <c r="CS27" s="67">
        <f>-CS26/CS25</f>
        <v/>
      </c>
      <c r="CT27" s="67">
        <f>-CT26/CT25</f>
        <v/>
      </c>
      <c r="CU27" s="67">
        <f>-CU26/CU25</f>
        <v/>
      </c>
      <c r="CV27" s="67">
        <f>-CV26/CV25</f>
        <v/>
      </c>
      <c r="CW27" s="67">
        <f>-CW26/CW25</f>
        <v/>
      </c>
      <c r="CX27" s="67">
        <f>-CX26/CX25</f>
        <v/>
      </c>
      <c r="CY27" s="67">
        <f>-CY26/CY25</f>
        <v/>
      </c>
      <c r="CZ27" s="67">
        <f>-CZ26/CZ25</f>
        <v/>
      </c>
      <c r="DA27" s="67">
        <f>-DA26/DA25</f>
        <v/>
      </c>
      <c r="DB27" s="67">
        <f>-DB26/DB25</f>
        <v/>
      </c>
      <c r="DC27" s="67">
        <f>-DC26/DC25</f>
        <v/>
      </c>
      <c r="DD27" s="67">
        <f>-DD26/DD25</f>
        <v/>
      </c>
      <c r="DE27" s="67">
        <f>-DE26/DE25</f>
        <v/>
      </c>
      <c r="DF27" s="67">
        <f>-DF26/DF25</f>
        <v/>
      </c>
      <c r="DG27" s="67">
        <f>-DG26/DG25</f>
        <v/>
      </c>
      <c r="DH27" s="67">
        <f>-DH26/DH25</f>
        <v/>
      </c>
      <c r="DI27" s="67">
        <f>-DI26/DI25</f>
        <v/>
      </c>
      <c r="DJ27" s="67">
        <f>-DJ26/DJ25</f>
        <v/>
      </c>
      <c r="DK27" s="67">
        <f>-DK26/DK25</f>
        <v/>
      </c>
      <c r="DL27" s="67">
        <f>-DL26/DL25</f>
        <v/>
      </c>
      <c r="DM27" s="67">
        <f>-DM26/DM25</f>
        <v/>
      </c>
      <c r="DN27" s="67">
        <f>-DN26/DN25</f>
        <v/>
      </c>
      <c r="DO27" s="67">
        <f>-DO26/DO25</f>
        <v/>
      </c>
      <c r="DP27" s="67">
        <f>-DP26/DP25</f>
        <v/>
      </c>
      <c r="DQ27" s="67">
        <f>-DQ26/DQ25</f>
        <v/>
      </c>
      <c r="DR27" s="67">
        <f>-DR26/DR25</f>
        <v/>
      </c>
      <c r="DS27" s="67">
        <f>-DS26/DS25</f>
        <v/>
      </c>
      <c r="DT27" s="67">
        <f>-DT26/DT25</f>
        <v/>
      </c>
      <c r="DU27" s="67">
        <f>-DU26/DU25</f>
        <v/>
      </c>
      <c r="DV27" s="67">
        <f>-DV26/DV25</f>
        <v/>
      </c>
      <c r="DW27" s="67">
        <f>-DW26/DW25</f>
        <v/>
      </c>
      <c r="DX27" s="67">
        <f>-DX26/DX25</f>
        <v/>
      </c>
      <c r="DY27" s="67">
        <f>-DY26/DY25</f>
        <v/>
      </c>
      <c r="DZ27" s="67">
        <f>-DZ26/DZ25</f>
        <v/>
      </c>
      <c r="EA27" s="67">
        <f>-EA26/EA25</f>
        <v/>
      </c>
      <c r="EB27" s="67">
        <f>-EB26/EB25</f>
        <v/>
      </c>
      <c r="EC27" s="67">
        <f>-EC26/EC25</f>
        <v/>
      </c>
      <c r="ED27" s="67">
        <f>-ED26/ED25</f>
        <v/>
      </c>
      <c r="EE27" s="67">
        <f>-EE26/EE25</f>
        <v/>
      </c>
      <c r="EF27" s="67">
        <f>-EF26/EF25</f>
        <v/>
      </c>
      <c r="EG27" s="67">
        <f>-EG26/EG25</f>
        <v/>
      </c>
      <c r="EH27" s="67">
        <f>-EH26/EH25</f>
        <v/>
      </c>
      <c r="EI27" s="67">
        <f>-EI26/EI25</f>
        <v/>
      </c>
      <c r="EJ27" s="67">
        <f>-EJ26/EJ25</f>
        <v/>
      </c>
      <c r="EK27" s="67">
        <f>-EK26/EK25</f>
        <v/>
      </c>
      <c r="EL27" s="67">
        <f>-EL26/EL25</f>
        <v/>
      </c>
      <c r="EM27" s="67">
        <f>-EM26/EM25</f>
        <v/>
      </c>
      <c r="EN27" s="67">
        <f>-EN26/EN25</f>
        <v/>
      </c>
      <c r="EO27" s="67">
        <f>-EO26/EO25</f>
        <v/>
      </c>
      <c r="EP27" s="67">
        <f>-EP26/EP25</f>
        <v/>
      </c>
      <c r="EQ27" s="67">
        <f>-EQ26/EQ25</f>
        <v/>
      </c>
      <c r="ER27" s="67">
        <f>-ER26/ER25</f>
        <v/>
      </c>
      <c r="ES27" s="67">
        <f>-ES26/ES25</f>
        <v/>
      </c>
      <c r="ET27" s="67">
        <f>-ET26/ET25</f>
        <v/>
      </c>
      <c r="EU27" s="67">
        <f>-EU26/EU25</f>
        <v/>
      </c>
      <c r="EV27" s="67">
        <f>-EV26/EV25</f>
        <v/>
      </c>
      <c r="EW27" s="67">
        <f>-EW26/EW25</f>
        <v/>
      </c>
      <c r="EX27" s="67">
        <f>-EX26/EX25</f>
        <v/>
      </c>
      <c r="EY27" s="67">
        <f>-EY26/EY25</f>
        <v/>
      </c>
      <c r="EZ27" s="386" t="n"/>
      <c r="FA27" s="386" t="n"/>
      <c r="FB27" s="453">
        <f>+FA27-EW27</f>
        <v/>
      </c>
      <c r="FC27" s="379">
        <f>+FB27/EW27</f>
        <v/>
      </c>
      <c r="FD27" s="379">
        <f>+FA27/T27</f>
        <v/>
      </c>
      <c r="FE27" s="379">
        <f>+FA27/U27</f>
        <v/>
      </c>
    </row>
    <row r="28">
      <c r="A28" s="455" t="inlineStr">
        <is>
          <t>Reported net profit</t>
        </is>
      </c>
      <c r="B28" s="456">
        <f>B25+B26</f>
        <v/>
      </c>
      <c r="C28" s="456">
        <f>C25+C26</f>
        <v/>
      </c>
      <c r="D28" s="456">
        <f>D25+D26</f>
        <v/>
      </c>
      <c r="E28" s="456">
        <f>E25+E26</f>
        <v/>
      </c>
      <c r="F28" s="456">
        <f>F25+F26</f>
        <v/>
      </c>
      <c r="G28" s="456">
        <f>G25+G26</f>
        <v/>
      </c>
      <c r="H28" s="456">
        <f>H25+H26</f>
        <v/>
      </c>
      <c r="I28" s="456">
        <f>I25+I26</f>
        <v/>
      </c>
      <c r="J28" s="456">
        <f>J25+J26</f>
        <v/>
      </c>
      <c r="K28" s="456">
        <f>K25+K26</f>
        <v/>
      </c>
      <c r="L28" s="456">
        <f>L25+L26</f>
        <v/>
      </c>
      <c r="M28" s="456">
        <f>M25+M26</f>
        <v/>
      </c>
      <c r="N28" s="456">
        <f>N25+N26</f>
        <v/>
      </c>
      <c r="O28" s="456">
        <f>O25+O26</f>
        <v/>
      </c>
      <c r="P28" s="456">
        <f>P25+P26</f>
        <v/>
      </c>
      <c r="Q28" s="456">
        <f>Q25+Q26</f>
        <v/>
      </c>
      <c r="R28" s="456">
        <f>R25+R26</f>
        <v/>
      </c>
      <c r="S28" s="456">
        <f>S25+S26</f>
        <v/>
      </c>
      <c r="T28" s="456">
        <f>T25+T26</f>
        <v/>
      </c>
      <c r="U28" s="456">
        <f>U25+U26</f>
        <v/>
      </c>
      <c r="V28" s="456">
        <f>V25+V26</f>
        <v/>
      </c>
      <c r="W28" s="456">
        <f>W25+W26</f>
        <v/>
      </c>
      <c r="X28" s="456">
        <f>X25+X26</f>
        <v/>
      </c>
      <c r="Y28" s="456">
        <f>Y25+Y26</f>
        <v/>
      </c>
      <c r="Z28" s="456">
        <f>Z25+Z26</f>
        <v/>
      </c>
      <c r="AA28" s="457">
        <f>+U28-T28</f>
        <v/>
      </c>
      <c r="AB28" s="342">
        <f>+AA28/T28</f>
        <v/>
      </c>
      <c r="AC28" s="456" t="n">
        <v>4356.060831133802</v>
      </c>
      <c r="AD28" s="457" t="n"/>
      <c r="AE28" s="342" t="n"/>
      <c r="AF28" s="243" t="n"/>
      <c r="AG28" s="456">
        <f>AG25+AG26</f>
        <v/>
      </c>
      <c r="AH28" s="456">
        <f>AH25+AH26</f>
        <v/>
      </c>
      <c r="AI28" s="456">
        <f>AI25+AI26</f>
        <v/>
      </c>
      <c r="AJ28" s="456">
        <f>AJ25+AJ26</f>
        <v/>
      </c>
      <c r="AK28" s="456">
        <f>AK25+AK26</f>
        <v/>
      </c>
      <c r="AL28" s="456">
        <f>AL25+AL26</f>
        <v/>
      </c>
      <c r="AM28" s="456">
        <f>AM25+AM26</f>
        <v/>
      </c>
      <c r="AN28" s="456">
        <f>AN25+AN26</f>
        <v/>
      </c>
      <c r="AO28" s="456">
        <f>AO25+AO26</f>
        <v/>
      </c>
      <c r="AP28" s="456">
        <f>AP25+AP26</f>
        <v/>
      </c>
      <c r="AQ28" s="456">
        <f>AQ25+AQ26</f>
        <v/>
      </c>
      <c r="AR28" s="456">
        <f>AR25+AR26</f>
        <v/>
      </c>
      <c r="AS28" s="456">
        <f>AS25+AS26</f>
        <v/>
      </c>
      <c r="AT28" s="456">
        <f>AT25+AT26</f>
        <v/>
      </c>
      <c r="AU28" s="456">
        <f>AU25+AU26</f>
        <v/>
      </c>
      <c r="AV28" s="456">
        <f>AV25+AV26</f>
        <v/>
      </c>
      <c r="AW28" s="456">
        <f>AW25+AW26</f>
        <v/>
      </c>
      <c r="AX28" s="456">
        <f>AX25+AX26</f>
        <v/>
      </c>
      <c r="AY28" s="456">
        <f>AY25+AY26</f>
        <v/>
      </c>
      <c r="AZ28" s="456">
        <f>AZ25+AZ26</f>
        <v/>
      </c>
      <c r="BA28" s="456">
        <f>BA25+BA26</f>
        <v/>
      </c>
      <c r="BB28" s="456">
        <f>BB25+BB26</f>
        <v/>
      </c>
      <c r="BC28" s="456">
        <f>BC25+BC26</f>
        <v/>
      </c>
      <c r="BD28" s="456">
        <f>BD25+BD26</f>
        <v/>
      </c>
      <c r="BE28" s="456">
        <f>BE25+BE26</f>
        <v/>
      </c>
      <c r="BF28" s="456">
        <f>BF25+BF26</f>
        <v/>
      </c>
      <c r="BG28" s="456">
        <f>BG25+BG26</f>
        <v/>
      </c>
      <c r="BH28" s="456">
        <f>BH25+BH26</f>
        <v/>
      </c>
      <c r="BI28" s="456">
        <f>BI25+BI26</f>
        <v/>
      </c>
      <c r="BJ28" s="456">
        <f>BJ25+BJ26</f>
        <v/>
      </c>
      <c r="BK28" s="456">
        <f>BK25+BK26</f>
        <v/>
      </c>
      <c r="BL28" s="456">
        <f>BL25+BL26</f>
        <v/>
      </c>
      <c r="BM28" s="456">
        <f>BM25+BM26</f>
        <v/>
      </c>
      <c r="BN28" s="456">
        <f>BN25+BN26</f>
        <v/>
      </c>
      <c r="BO28" s="456">
        <f>BO25+BO26</f>
        <v/>
      </c>
      <c r="BP28" s="456">
        <f>BP25+BP26</f>
        <v/>
      </c>
      <c r="BQ28" s="456">
        <f>BQ25+BQ26</f>
        <v/>
      </c>
      <c r="BR28" s="456">
        <f>BR25+BR26</f>
        <v/>
      </c>
      <c r="BS28" s="456" t="n"/>
      <c r="BT28" s="456">
        <f>BT25+BT26</f>
        <v/>
      </c>
      <c r="BU28" s="446">
        <f>BT28-BR28</f>
        <v/>
      </c>
      <c r="BV28" s="381">
        <f>BU28/BR28</f>
        <v/>
      </c>
      <c r="BW28" s="381">
        <f>BT28/T28</f>
        <v/>
      </c>
      <c r="BX28" s="381">
        <f>BT28/U28</f>
        <v/>
      </c>
      <c r="BY28" s="9" t="n"/>
      <c r="BZ28" s="456">
        <f>BZ25+BZ26</f>
        <v/>
      </c>
      <c r="CA28" s="456">
        <f>CA25+CA26</f>
        <v/>
      </c>
      <c r="CB28" s="456">
        <f>CB25+CB26</f>
        <v/>
      </c>
      <c r="CC28" s="456">
        <f>CC25+CC26</f>
        <v/>
      </c>
      <c r="CD28" s="456">
        <f>CD25+CD26</f>
        <v/>
      </c>
      <c r="CE28" s="456">
        <f>CE25+CE26</f>
        <v/>
      </c>
      <c r="CF28" s="456">
        <f>CF25+CF26</f>
        <v/>
      </c>
      <c r="CG28" s="456">
        <f>CG25+CG26</f>
        <v/>
      </c>
      <c r="CH28" s="456">
        <f>CH25+CH26</f>
        <v/>
      </c>
      <c r="CI28" s="456">
        <f>CI25+CI26</f>
        <v/>
      </c>
      <c r="CJ28" s="456">
        <f>CJ25+CJ26</f>
        <v/>
      </c>
      <c r="CK28" s="456">
        <f>CK25+CK26</f>
        <v/>
      </c>
      <c r="CL28" s="456">
        <f>CL25+CL26</f>
        <v/>
      </c>
      <c r="CM28" s="456">
        <f>CM25+CM26</f>
        <v/>
      </c>
      <c r="CN28" s="456">
        <f>CN25+CN26</f>
        <v/>
      </c>
      <c r="CO28" s="456">
        <f>CO25+CO26</f>
        <v/>
      </c>
      <c r="CP28" s="456">
        <f>CP25+CP26</f>
        <v/>
      </c>
      <c r="CQ28" s="456">
        <f>CQ25+CQ26</f>
        <v/>
      </c>
      <c r="CR28" s="456">
        <f>CR25+CR26</f>
        <v/>
      </c>
      <c r="CS28" s="456">
        <f>CS25+CS26</f>
        <v/>
      </c>
      <c r="CT28" s="456">
        <f>CT25+CT26</f>
        <v/>
      </c>
      <c r="CU28" s="456">
        <f>CU25+CU26</f>
        <v/>
      </c>
      <c r="CV28" s="456">
        <f>CV25+CV26</f>
        <v/>
      </c>
      <c r="CW28" s="456">
        <f>CW25+CW26</f>
        <v/>
      </c>
      <c r="CX28" s="456">
        <f>CX25+CX26</f>
        <v/>
      </c>
      <c r="CY28" s="456">
        <f>CY25+CY26</f>
        <v/>
      </c>
      <c r="CZ28" s="456">
        <f>CZ25+CZ26</f>
        <v/>
      </c>
      <c r="DA28" s="456">
        <f>DA25+DA26</f>
        <v/>
      </c>
      <c r="DB28" s="456">
        <f>DB25+DB26</f>
        <v/>
      </c>
      <c r="DC28" s="456">
        <f>DC25+DC26</f>
        <v/>
      </c>
      <c r="DD28" s="456">
        <f>DD25+DD26</f>
        <v/>
      </c>
      <c r="DE28" s="456">
        <f>DE25+DE26</f>
        <v/>
      </c>
      <c r="DF28" s="456">
        <f>DF25+DF26</f>
        <v/>
      </c>
      <c r="DG28" s="456">
        <f>DG25+DG26</f>
        <v/>
      </c>
      <c r="DH28" s="456">
        <f>DH25+DH26</f>
        <v/>
      </c>
      <c r="DI28" s="456">
        <f>DI25+DI26</f>
        <v/>
      </c>
      <c r="DJ28" s="456">
        <f>DJ25+DJ26</f>
        <v/>
      </c>
      <c r="DK28" s="456">
        <f>DK25+DK26</f>
        <v/>
      </c>
      <c r="DL28" s="456">
        <f>DL25+DL26</f>
        <v/>
      </c>
      <c r="DM28" s="456">
        <f>DM25+DM26</f>
        <v/>
      </c>
      <c r="DN28" s="456">
        <f>DN25+DN26</f>
        <v/>
      </c>
      <c r="DO28" s="456">
        <f>DO25+DO26</f>
        <v/>
      </c>
      <c r="DP28" s="456">
        <f>DP25+DP26</f>
        <v/>
      </c>
      <c r="DQ28" s="456">
        <f>DQ25+DQ26</f>
        <v/>
      </c>
      <c r="DR28" s="456">
        <f>DR25+DR26</f>
        <v/>
      </c>
      <c r="DS28" s="456">
        <f>DS25+DS26</f>
        <v/>
      </c>
      <c r="DT28" s="456">
        <f>DT25+DT26</f>
        <v/>
      </c>
      <c r="DU28" s="456">
        <f>DU25+DU26</f>
        <v/>
      </c>
      <c r="DV28" s="456">
        <f>DV25+DV26</f>
        <v/>
      </c>
      <c r="DW28" s="456">
        <f>DW25+DW26</f>
        <v/>
      </c>
      <c r="DX28" s="456">
        <f>DX25+DX26</f>
        <v/>
      </c>
      <c r="DY28" s="456">
        <f>DY25+DY26</f>
        <v/>
      </c>
      <c r="DZ28" s="456">
        <f>DZ25+DZ26</f>
        <v/>
      </c>
      <c r="EA28" s="456">
        <f>EA25+EA26</f>
        <v/>
      </c>
      <c r="EB28" s="456">
        <f>EB25+EB26</f>
        <v/>
      </c>
      <c r="EC28" s="456">
        <f>EC25+EC26</f>
        <v/>
      </c>
      <c r="ED28" s="456">
        <f>ED25+ED26</f>
        <v/>
      </c>
      <c r="EE28" s="456">
        <f>EE25+EE26</f>
        <v/>
      </c>
      <c r="EF28" s="456">
        <f>EF25+EF26</f>
        <v/>
      </c>
      <c r="EG28" s="456">
        <f>EG25+EG26</f>
        <v/>
      </c>
      <c r="EH28" s="456">
        <f>EH25+EH26</f>
        <v/>
      </c>
      <c r="EI28" s="456">
        <f>EI25+EI26</f>
        <v/>
      </c>
      <c r="EJ28" s="456">
        <f>EJ25+EJ26</f>
        <v/>
      </c>
      <c r="EK28" s="456">
        <f>EK25+EK26</f>
        <v/>
      </c>
      <c r="EL28" s="456">
        <f>EL25+EL26</f>
        <v/>
      </c>
      <c r="EM28" s="456">
        <f>EM25+EM26</f>
        <v/>
      </c>
      <c r="EN28" s="456">
        <f>EN25+EN26</f>
        <v/>
      </c>
      <c r="EO28" s="456">
        <f>EO25+EO26</f>
        <v/>
      </c>
      <c r="EP28" s="456">
        <f>EP25+EP26</f>
        <v/>
      </c>
      <c r="EQ28" s="456">
        <f>EQ25+EQ26</f>
        <v/>
      </c>
      <c r="ER28" s="456">
        <f>ER25+ER26</f>
        <v/>
      </c>
      <c r="ES28" s="456">
        <f>ES25+ES26</f>
        <v/>
      </c>
      <c r="ET28" s="456">
        <f>ET25+ET26</f>
        <v/>
      </c>
      <c r="EU28" s="456">
        <f>EU25+EU26</f>
        <v/>
      </c>
      <c r="EV28" s="456">
        <f>EV25+EV26</f>
        <v/>
      </c>
      <c r="EW28" s="456">
        <f>EW25+EW26</f>
        <v/>
      </c>
      <c r="EX28" s="456">
        <f>EX25+EX26</f>
        <v/>
      </c>
      <c r="EY28" s="456">
        <f>EY25+EY26</f>
        <v/>
      </c>
      <c r="EZ28" s="448" t="n"/>
      <c r="FA28" s="448" t="n"/>
      <c r="FB28" s="446">
        <f>+FA28-EW28</f>
        <v/>
      </c>
      <c r="FC28" s="381">
        <f>+FB28/EW28</f>
        <v/>
      </c>
      <c r="FD28" s="381">
        <f>+FA28/T28</f>
        <v/>
      </c>
      <c r="FE28" s="381">
        <f>+FA28/U28</f>
        <v/>
      </c>
    </row>
    <row r="29">
      <c r="A29" s="449" t="inlineStr">
        <is>
          <t>YoY</t>
        </is>
      </c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>
        <f>Q28/P28-1</f>
        <v/>
      </c>
      <c r="R29" s="67">
        <f>R28/Q28-1</f>
        <v/>
      </c>
      <c r="S29" s="67">
        <f>S28/R28-1</f>
        <v/>
      </c>
      <c r="T29" s="67">
        <f>T28/S28-1</f>
        <v/>
      </c>
      <c r="U29" s="67">
        <f>U28/T28-1</f>
        <v/>
      </c>
      <c r="V29" s="67">
        <f>V28/U28-1</f>
        <v/>
      </c>
      <c r="W29" s="67">
        <f>W28/V28-1</f>
        <v/>
      </c>
      <c r="X29" s="67">
        <f>X28/W28-1</f>
        <v/>
      </c>
      <c r="Y29" s="67">
        <f>Y28/X28-1</f>
        <v/>
      </c>
      <c r="Z29" s="67">
        <f>Z28/Y28-1</f>
        <v/>
      </c>
      <c r="AA29" s="349" t="n"/>
      <c r="AB29" s="349" t="n"/>
      <c r="AC29" s="67" t="n">
        <v>0.4907295544758241</v>
      </c>
      <c r="AD29" s="349" t="n"/>
      <c r="AE29" s="348" t="n"/>
      <c r="AF29" s="458" t="n"/>
      <c r="AG29" s="67" t="n"/>
      <c r="AH29" s="67" t="n"/>
      <c r="AI29" s="67" t="n"/>
      <c r="AJ29" s="67" t="n"/>
      <c r="AK29" s="67" t="n"/>
      <c r="AL29" s="67" t="n"/>
      <c r="AM29" s="67" t="n"/>
      <c r="AN29" s="67" t="n"/>
      <c r="AO29" s="67" t="n"/>
      <c r="AP29" s="67" t="n"/>
      <c r="AQ29" s="67" t="n"/>
      <c r="AR29" s="67" t="n"/>
      <c r="AS29" s="67" t="n"/>
      <c r="AT29" s="67" t="n"/>
      <c r="AU29" s="67" t="n"/>
      <c r="AV29" s="67" t="n"/>
      <c r="AW29" s="67" t="n"/>
      <c r="AX29" s="67" t="n"/>
      <c r="AY29" s="67" t="n"/>
      <c r="AZ29" s="67" t="n"/>
      <c r="BA29" s="67" t="n"/>
      <c r="BB29" s="67" t="n"/>
      <c r="BC29" s="67" t="n"/>
      <c r="BD29" s="67" t="n"/>
      <c r="BE29" s="67" t="n"/>
      <c r="BF29" s="67" t="n"/>
      <c r="BG29" s="67" t="n"/>
      <c r="BH29" s="67" t="n"/>
      <c r="BI29" s="67" t="n"/>
      <c r="BJ29" s="67" t="n"/>
      <c r="BK29" s="67" t="n"/>
      <c r="BL29" s="67" t="n"/>
      <c r="BM29" s="67">
        <f>BM28/BK28-1</f>
        <v/>
      </c>
      <c r="BN29" s="67">
        <f>BN28/BL28-1</f>
        <v/>
      </c>
      <c r="BO29" s="67">
        <f>BO28/BM28-1</f>
        <v/>
      </c>
      <c r="BP29" s="67">
        <f>BP28/BN28-1</f>
        <v/>
      </c>
      <c r="BQ29" s="67">
        <f>BQ28/BO28-1</f>
        <v/>
      </c>
      <c r="BR29" s="67">
        <f>BR28/BP28-1</f>
        <v/>
      </c>
      <c r="BS29" s="67" t="n"/>
      <c r="BT29" s="67">
        <f>BT28/BR28-1</f>
        <v/>
      </c>
      <c r="BU29" s="299" t="n"/>
      <c r="BV29" s="299" t="n"/>
      <c r="BW29" s="299" t="n"/>
      <c r="BX29" s="299" t="n"/>
      <c r="BY29" s="73" t="n"/>
      <c r="BZ29" s="67" t="n"/>
      <c r="CA29" s="67" t="n"/>
      <c r="CB29" s="67" t="n"/>
      <c r="CC29" s="67" t="n"/>
      <c r="CD29" s="67" t="n"/>
      <c r="CE29" s="67" t="n"/>
      <c r="CF29" s="67" t="n"/>
      <c r="CG29" s="67" t="n"/>
      <c r="CH29" s="67" t="n"/>
      <c r="CI29" s="67" t="n"/>
      <c r="CJ29" s="67" t="n"/>
      <c r="CK29" s="67" t="n"/>
      <c r="CL29" s="67" t="n"/>
      <c r="CM29" s="67" t="n"/>
      <c r="CN29" s="67" t="n"/>
      <c r="CO29" s="67" t="n"/>
      <c r="CP29" s="67" t="n"/>
      <c r="CQ29" s="67" t="n"/>
      <c r="CR29" s="67" t="n"/>
      <c r="CS29" s="67" t="n"/>
      <c r="CT29" s="67" t="n"/>
      <c r="CU29" s="67" t="n"/>
      <c r="CV29" s="67" t="n"/>
      <c r="CW29" s="67" t="n"/>
      <c r="CX29" s="67" t="n"/>
      <c r="CY29" s="67" t="n"/>
      <c r="CZ29" s="67" t="n"/>
      <c r="DA29" s="67" t="n"/>
      <c r="DB29" s="67" t="n"/>
      <c r="DC29" s="67" t="n"/>
      <c r="DD29" s="67" t="n"/>
      <c r="DE29" s="67" t="n"/>
      <c r="DF29" s="67" t="n"/>
      <c r="DG29" s="67" t="n"/>
      <c r="DH29" s="67" t="n"/>
      <c r="DI29" s="67" t="n"/>
      <c r="DJ29" s="67" t="n"/>
      <c r="DK29" s="67" t="n"/>
      <c r="DL29" s="67" t="n"/>
      <c r="DM29" s="67" t="n"/>
      <c r="DN29" s="67" t="n"/>
      <c r="DO29" s="67" t="n"/>
      <c r="DP29" s="67" t="n"/>
      <c r="DQ29" s="67" t="n"/>
      <c r="DR29" s="67" t="n"/>
      <c r="DS29" s="67" t="n"/>
      <c r="DT29" s="67" t="n"/>
      <c r="DU29" s="67" t="n"/>
      <c r="DV29" s="67" t="n"/>
      <c r="DW29" s="67" t="n"/>
      <c r="DX29" s="67">
        <f>DX28/DT28-1</f>
        <v/>
      </c>
      <c r="DY29" s="67">
        <f>DY28/DU28-1</f>
        <v/>
      </c>
      <c r="DZ29" s="67">
        <f>DZ28/DV28-1</f>
        <v/>
      </c>
      <c r="EA29" s="67">
        <f>EA28/DW28-1</f>
        <v/>
      </c>
      <c r="EB29" s="67">
        <f>EB28/DX28-1</f>
        <v/>
      </c>
      <c r="EC29" s="67">
        <f>EC28/DY28-1</f>
        <v/>
      </c>
      <c r="ED29" s="67">
        <f>ED28/DZ28-1</f>
        <v/>
      </c>
      <c r="EE29" s="67">
        <f>EE28/EA28-1</f>
        <v/>
      </c>
      <c r="EF29" s="67">
        <f>EF28/EB28-1</f>
        <v/>
      </c>
      <c r="EG29" s="67">
        <f>EG28/EC28-1</f>
        <v/>
      </c>
      <c r="EH29" s="67">
        <f>EH28/ED28-1</f>
        <v/>
      </c>
      <c r="EI29" s="67">
        <f>EI28/EE28-1</f>
        <v/>
      </c>
      <c r="EJ29" s="67">
        <f>EJ28/EF28-1</f>
        <v/>
      </c>
      <c r="EK29" s="67">
        <f>EK28/EG28-1</f>
        <v/>
      </c>
      <c r="EL29" s="67">
        <f>EL28/EH28-1</f>
        <v/>
      </c>
      <c r="EM29" s="67">
        <f>EM28/EI28-1</f>
        <v/>
      </c>
      <c r="EN29" s="67">
        <f>EN28/EJ28-1</f>
        <v/>
      </c>
      <c r="EO29" s="67">
        <f>EO28/EK28-1</f>
        <v/>
      </c>
      <c r="EP29" s="67">
        <f>EP28/EL28-1</f>
        <v/>
      </c>
      <c r="EQ29" s="67">
        <f>EQ28/EM28-1</f>
        <v/>
      </c>
      <c r="ER29" s="67">
        <f>ER28/EN28-1</f>
        <v/>
      </c>
      <c r="ES29" s="67">
        <f>ES28/EO28-1</f>
        <v/>
      </c>
      <c r="ET29" s="67">
        <f>ET28/EP28-1</f>
        <v/>
      </c>
      <c r="EU29" s="67">
        <f>EU28/EQ28-1</f>
        <v/>
      </c>
      <c r="EV29" s="67">
        <f>EV28/ER28-1</f>
        <v/>
      </c>
      <c r="EW29" s="67">
        <f>EW28/ES28-1</f>
        <v/>
      </c>
      <c r="EX29" s="67">
        <f>EX28/ET28-1</f>
        <v/>
      </c>
      <c r="EY29" s="67">
        <f>EY28/EU28-1</f>
        <v/>
      </c>
      <c r="EZ29" s="386" t="n"/>
      <c r="FA29" s="386" t="n"/>
      <c r="FB29" s="299" t="n"/>
      <c r="FC29" s="299" t="n"/>
      <c r="FD29" s="299" t="n"/>
      <c r="FE29" s="299" t="n"/>
    </row>
    <row r="30">
      <c r="A30" s="468" t="inlineStr">
        <is>
          <t>NPM</t>
        </is>
      </c>
      <c r="B30" s="469">
        <f>+B28/B4</f>
        <v/>
      </c>
      <c r="C30" s="469">
        <f>+C28/C4</f>
        <v/>
      </c>
      <c r="D30" s="469">
        <f>+D28/D4</f>
        <v/>
      </c>
      <c r="E30" s="469">
        <f>+E28/E4</f>
        <v/>
      </c>
      <c r="F30" s="469">
        <f>+F28/F4</f>
        <v/>
      </c>
      <c r="G30" s="469">
        <f>+G28/G4</f>
        <v/>
      </c>
      <c r="H30" s="469">
        <f>+H28/H4</f>
        <v/>
      </c>
      <c r="I30" s="469">
        <f>+I28/I4</f>
        <v/>
      </c>
      <c r="J30" s="469">
        <f>+J28/J4</f>
        <v/>
      </c>
      <c r="K30" s="469">
        <f>+K28/K4</f>
        <v/>
      </c>
      <c r="L30" s="469">
        <f>+L28/L4</f>
        <v/>
      </c>
      <c r="M30" s="469">
        <f>+M28/M4</f>
        <v/>
      </c>
      <c r="N30" s="469">
        <f>+N28/N4</f>
        <v/>
      </c>
      <c r="O30" s="469">
        <f>+O28/O4</f>
        <v/>
      </c>
      <c r="P30" s="469">
        <f>+P28/P4</f>
        <v/>
      </c>
      <c r="Q30" s="469">
        <f>+Q28/Q4</f>
        <v/>
      </c>
      <c r="R30" s="469">
        <f>+R28/R4</f>
        <v/>
      </c>
      <c r="S30" s="469">
        <f>+S28/S4</f>
        <v/>
      </c>
      <c r="T30" s="469">
        <f>+T28/T4</f>
        <v/>
      </c>
      <c r="U30" s="469">
        <f>+U28/U4</f>
        <v/>
      </c>
      <c r="V30" s="469">
        <f>+V28/V4</f>
        <v/>
      </c>
      <c r="W30" s="469">
        <f>+W28/W4</f>
        <v/>
      </c>
      <c r="X30" s="469">
        <f>+X28/X4</f>
        <v/>
      </c>
      <c r="Y30" s="469">
        <f>+Y28/Y4</f>
        <v/>
      </c>
      <c r="Z30" s="469">
        <f>+Z28/Z4</f>
        <v/>
      </c>
      <c r="AA30" s="470" t="n"/>
      <c r="AB30" s="470" t="n"/>
      <c r="AC30" s="469" t="n">
        <v>0.05354359933565559</v>
      </c>
      <c r="AD30" s="470" t="n"/>
      <c r="AE30" s="371" t="n"/>
      <c r="AF30" s="469" t="n"/>
      <c r="AG30" s="469" t="n"/>
      <c r="AH30" s="469" t="n"/>
      <c r="AI30" s="469" t="n"/>
      <c r="AJ30" s="469" t="n"/>
      <c r="AK30" s="469" t="n"/>
      <c r="AL30" s="469" t="n"/>
      <c r="AM30" s="469" t="n"/>
      <c r="AN30" s="469" t="n"/>
      <c r="AO30" s="469" t="n"/>
      <c r="AP30" s="469" t="n"/>
      <c r="AQ30" s="469" t="n"/>
      <c r="AR30" s="469" t="n"/>
      <c r="AS30" s="469" t="n"/>
      <c r="AT30" s="469" t="n"/>
      <c r="AU30" s="469" t="n"/>
      <c r="AV30" s="469" t="n"/>
      <c r="AW30" s="469" t="n"/>
      <c r="AX30" s="469" t="n"/>
      <c r="AY30" s="469" t="n"/>
      <c r="AZ30" s="469" t="n"/>
      <c r="BA30" s="469" t="n"/>
      <c r="BB30" s="469" t="n"/>
      <c r="BC30" s="469" t="n"/>
      <c r="BD30" s="469" t="n"/>
      <c r="BE30" s="469" t="n"/>
      <c r="BF30" s="469" t="n"/>
      <c r="BG30" s="469" t="n"/>
      <c r="BH30" s="469" t="n"/>
      <c r="BI30" s="469" t="n"/>
      <c r="BJ30" s="469" t="n"/>
      <c r="BK30" s="469" t="n"/>
      <c r="BL30" s="469" t="n"/>
      <c r="BM30" s="469">
        <f>+BM28/BM4</f>
        <v/>
      </c>
      <c r="BN30" s="469">
        <f>+BN28/BN4</f>
        <v/>
      </c>
      <c r="BO30" s="469">
        <f>+BO28/BO4</f>
        <v/>
      </c>
      <c r="BP30" s="469">
        <f>+BP28/BP4</f>
        <v/>
      </c>
      <c r="BQ30" s="469">
        <f>+BQ28/BQ4</f>
        <v/>
      </c>
      <c r="BR30" s="469">
        <f>+BR28/BR4</f>
        <v/>
      </c>
      <c r="BS30" s="469" t="n"/>
      <c r="BT30" s="469">
        <f>+BT28/BT4</f>
        <v/>
      </c>
      <c r="BU30" s="471" t="n"/>
      <c r="BV30" s="471" t="n"/>
      <c r="BW30" s="471" t="n"/>
      <c r="BX30" s="471" t="n"/>
      <c r="BZ30" s="469">
        <f>+BZ28/BZ4</f>
        <v/>
      </c>
      <c r="CA30" s="469">
        <f>+CA28/CA4</f>
        <v/>
      </c>
      <c r="CB30" s="469">
        <f>+CB28/CB4</f>
        <v/>
      </c>
      <c r="CC30" s="469">
        <f>+CC28/CC4</f>
        <v/>
      </c>
      <c r="CD30" s="469">
        <f>+CD28/CD4</f>
        <v/>
      </c>
      <c r="CE30" s="469">
        <f>+CE28/CE4</f>
        <v/>
      </c>
      <c r="CF30" s="469">
        <f>+CF28/CF4</f>
        <v/>
      </c>
      <c r="CG30" s="469">
        <f>+CG28/CG4</f>
        <v/>
      </c>
      <c r="CH30" s="469">
        <f>+CH28/CH4</f>
        <v/>
      </c>
      <c r="CI30" s="469">
        <f>+CI28/CI4</f>
        <v/>
      </c>
      <c r="CJ30" s="469">
        <f>+CJ28/CJ4</f>
        <v/>
      </c>
      <c r="CK30" s="469">
        <f>+CK28/CK4</f>
        <v/>
      </c>
      <c r="CL30" s="469">
        <f>+CL28/CL4</f>
        <v/>
      </c>
      <c r="CM30" s="469">
        <f>+CM28/CM4</f>
        <v/>
      </c>
      <c r="CN30" s="469">
        <f>+CN28/CN4</f>
        <v/>
      </c>
      <c r="CO30" s="469">
        <f>+CO28/CO4</f>
        <v/>
      </c>
      <c r="CP30" s="469">
        <f>+CP28/CP4</f>
        <v/>
      </c>
      <c r="CQ30" s="469">
        <f>+CQ28/CQ4</f>
        <v/>
      </c>
      <c r="CR30" s="469">
        <f>+CR28/CR4</f>
        <v/>
      </c>
      <c r="CS30" s="469">
        <f>+CS28/CS4</f>
        <v/>
      </c>
      <c r="CT30" s="469">
        <f>+CT28/CT4</f>
        <v/>
      </c>
      <c r="CU30" s="469">
        <f>+CU28/CU4</f>
        <v/>
      </c>
      <c r="CV30" s="469">
        <f>+CV28/CV4</f>
        <v/>
      </c>
      <c r="CW30" s="469">
        <f>+CW28/CW4</f>
        <v/>
      </c>
      <c r="CX30" s="469">
        <f>+CX28/CX4</f>
        <v/>
      </c>
      <c r="CY30" s="469">
        <f>+CY28/CY4</f>
        <v/>
      </c>
      <c r="CZ30" s="469">
        <f>+CZ28/CZ4</f>
        <v/>
      </c>
      <c r="DA30" s="469">
        <f>+DA28/DA4</f>
        <v/>
      </c>
      <c r="DB30" s="469">
        <f>+DB28/DB4</f>
        <v/>
      </c>
      <c r="DC30" s="469">
        <f>+DC28/DC4</f>
        <v/>
      </c>
      <c r="DD30" s="469">
        <f>+DD28/DD4</f>
        <v/>
      </c>
      <c r="DE30" s="469">
        <f>+DE28/DE4</f>
        <v/>
      </c>
      <c r="DF30" s="469">
        <f>+DF28/DF4</f>
        <v/>
      </c>
      <c r="DG30" s="469">
        <f>+DG28/DG4</f>
        <v/>
      </c>
      <c r="DH30" s="469">
        <f>+DH28/DH4</f>
        <v/>
      </c>
      <c r="DI30" s="469">
        <f>+DI28/DI4</f>
        <v/>
      </c>
      <c r="DJ30" s="469">
        <f>+DJ28/DJ4</f>
        <v/>
      </c>
      <c r="DK30" s="469">
        <f>+DK28/DK4</f>
        <v/>
      </c>
      <c r="DL30" s="469">
        <f>+DL28/DL4</f>
        <v/>
      </c>
      <c r="DM30" s="469">
        <f>+DM28/DM4</f>
        <v/>
      </c>
      <c r="DN30" s="469">
        <f>+DN28/DN4</f>
        <v/>
      </c>
      <c r="DO30" s="469">
        <f>+DO28/DO4</f>
        <v/>
      </c>
      <c r="DP30" s="469">
        <f>+DP28/DP4</f>
        <v/>
      </c>
      <c r="DQ30" s="469">
        <f>+DQ28/DQ4</f>
        <v/>
      </c>
      <c r="DR30" s="469">
        <f>+DR28/DR4</f>
        <v/>
      </c>
      <c r="DS30" s="469">
        <f>+DS28/DS4</f>
        <v/>
      </c>
      <c r="DT30" s="469">
        <f>+DT28/DT4</f>
        <v/>
      </c>
      <c r="DU30" s="469">
        <f>+DU28/DU4</f>
        <v/>
      </c>
      <c r="DV30" s="469">
        <f>+DV28/DV4</f>
        <v/>
      </c>
      <c r="DW30" s="469">
        <f>+DW28/DW4</f>
        <v/>
      </c>
      <c r="DX30" s="469">
        <f>+DX28/DX4</f>
        <v/>
      </c>
      <c r="DY30" s="469">
        <f>+DY28/DY4</f>
        <v/>
      </c>
      <c r="DZ30" s="469">
        <f>+DZ28/DZ4</f>
        <v/>
      </c>
      <c r="EA30" s="469">
        <f>+EA28/EA4</f>
        <v/>
      </c>
      <c r="EB30" s="469">
        <f>+EB28/EB4</f>
        <v/>
      </c>
      <c r="EC30" s="469">
        <f>+EC28/EC4</f>
        <v/>
      </c>
      <c r="ED30" s="469">
        <f>+ED28/ED4</f>
        <v/>
      </c>
      <c r="EE30" s="469">
        <f>+EE28/EE4</f>
        <v/>
      </c>
      <c r="EF30" s="469">
        <f>+EF28/EF4</f>
        <v/>
      </c>
      <c r="EG30" s="469">
        <f>+EG28/EG4</f>
        <v/>
      </c>
      <c r="EH30" s="469">
        <f>+EH28/EH4</f>
        <v/>
      </c>
      <c r="EI30" s="469">
        <f>+EI28/EI4</f>
        <v/>
      </c>
      <c r="EJ30" s="469">
        <f>+EJ28/EJ4</f>
        <v/>
      </c>
      <c r="EK30" s="469">
        <f>+EK28/EK4</f>
        <v/>
      </c>
      <c r="EL30" s="469">
        <f>+EL28/EL4</f>
        <v/>
      </c>
      <c r="EM30" s="469">
        <f>+EM28/EM4</f>
        <v/>
      </c>
      <c r="EN30" s="469">
        <f>+EN28/EN4</f>
        <v/>
      </c>
      <c r="EO30" s="469">
        <f>+EO28/EO4</f>
        <v/>
      </c>
      <c r="EP30" s="469">
        <f>+EP28/EP4</f>
        <v/>
      </c>
      <c r="EQ30" s="469">
        <f>+EQ28/EQ4</f>
        <v/>
      </c>
      <c r="ER30" s="469">
        <f>+ER28/ER4</f>
        <v/>
      </c>
      <c r="ES30" s="469">
        <f>+ES28/ES4</f>
        <v/>
      </c>
      <c r="ET30" s="469">
        <f>+ET28/ET4</f>
        <v/>
      </c>
      <c r="EU30" s="469">
        <f>+EU28/EU4</f>
        <v/>
      </c>
      <c r="EV30" s="469">
        <f>+EV28/EV4</f>
        <v/>
      </c>
      <c r="EW30" s="469">
        <f>+EW28/EW4</f>
        <v/>
      </c>
      <c r="EX30" s="469">
        <f>+EX28/EX4</f>
        <v/>
      </c>
      <c r="EY30" s="469">
        <f>+EY28/EY4</f>
        <v/>
      </c>
      <c r="EZ30" s="472" t="n"/>
      <c r="FA30" s="472" t="n"/>
      <c r="FB30" s="471" t="n"/>
      <c r="FC30" s="471" t="n"/>
      <c r="FD30" s="471" t="n"/>
      <c r="FE30" s="471" t="n"/>
    </row>
    <row r="31">
      <c r="A31" s="473" t="inlineStr">
        <is>
          <t>ESOP target</t>
        </is>
      </c>
      <c r="B31" s="469" t="n"/>
      <c r="C31" s="469" t="n"/>
      <c r="D31" s="469" t="n"/>
      <c r="E31" s="469" t="n"/>
      <c r="F31" s="469" t="n"/>
      <c r="G31" s="469" t="n"/>
      <c r="H31" s="469" t="n"/>
      <c r="I31" s="469" t="n"/>
      <c r="J31" s="469" t="n"/>
      <c r="K31" s="469" t="n"/>
      <c r="L31" s="469" t="n"/>
      <c r="M31" s="469" t="n"/>
      <c r="N31" s="469" t="n"/>
      <c r="O31" s="469" t="n"/>
      <c r="P31" s="469" t="n"/>
      <c r="Q31" s="469" t="n"/>
      <c r="R31" s="469" t="n"/>
      <c r="S31" s="469" t="n"/>
      <c r="T31" s="469" t="n"/>
      <c r="U31" s="436" t="n"/>
      <c r="V31" s="436" t="n"/>
      <c r="W31" s="153" t="n"/>
      <c r="X31" s="436" t="n"/>
      <c r="Y31" s="469" t="n"/>
      <c r="Z31" s="469" t="n"/>
      <c r="AA31" s="470" t="n"/>
      <c r="AB31" s="470" t="n"/>
      <c r="AC31" s="469" t="n"/>
      <c r="AD31" s="470" t="n"/>
      <c r="AE31" s="371" t="n"/>
      <c r="AF31" s="469" t="n"/>
      <c r="AG31" s="469" t="n"/>
      <c r="AH31" s="469" t="n"/>
      <c r="AI31" s="469" t="n"/>
      <c r="AJ31" s="469" t="n"/>
      <c r="AK31" s="469" t="n"/>
      <c r="AL31" s="469" t="n"/>
      <c r="AM31" s="469" t="n"/>
      <c r="AN31" s="469" t="n"/>
      <c r="AO31" s="469" t="n"/>
      <c r="AP31" s="469" t="n"/>
      <c r="AQ31" s="469" t="n"/>
      <c r="AR31" s="469" t="n"/>
      <c r="AS31" s="469" t="n"/>
      <c r="AT31" s="469" t="n"/>
      <c r="AU31" s="469" t="n"/>
      <c r="AV31" s="469" t="n"/>
      <c r="AW31" s="469" t="n"/>
      <c r="AX31" s="469" t="n"/>
      <c r="AY31" s="469" t="n"/>
      <c r="AZ31" s="469" t="n"/>
      <c r="BA31" s="469" t="n"/>
      <c r="BB31" s="469" t="n"/>
      <c r="BC31" s="469" t="n"/>
      <c r="BD31" s="469" t="n"/>
      <c r="BE31" s="469" t="n"/>
      <c r="BF31" s="469" t="n"/>
      <c r="BG31" s="469" t="n"/>
      <c r="BH31" s="469" t="n"/>
      <c r="BI31" s="469" t="n"/>
      <c r="BJ31" s="469" t="n"/>
      <c r="BK31" s="469" t="n"/>
      <c r="BL31" s="469" t="n"/>
      <c r="BM31" s="469" t="n"/>
      <c r="BN31" s="469" t="n"/>
      <c r="BO31" s="469" t="n"/>
      <c r="BP31" s="469" t="n"/>
      <c r="BQ31" s="469" t="n"/>
      <c r="BR31" s="469" t="n"/>
      <c r="BS31" s="469" t="n"/>
      <c r="BT31" s="469" t="n"/>
      <c r="BU31" s="474" t="n"/>
      <c r="BV31" s="474" t="n"/>
      <c r="BW31" s="474" t="n"/>
      <c r="BX31" s="474" t="n"/>
      <c r="BZ31" s="469" t="n"/>
      <c r="CA31" s="469" t="n"/>
      <c r="CB31" s="469" t="n"/>
      <c r="CC31" s="469" t="n"/>
      <c r="CD31" s="469" t="n"/>
      <c r="CE31" s="469" t="n"/>
      <c r="CF31" s="469" t="n"/>
      <c r="CG31" s="469" t="n"/>
      <c r="CH31" s="469" t="n"/>
      <c r="CI31" s="469" t="n"/>
      <c r="CJ31" s="469" t="n"/>
      <c r="CK31" s="469" t="n"/>
      <c r="CL31" s="469" t="n"/>
      <c r="CM31" s="469" t="n"/>
      <c r="CN31" s="469" t="n"/>
      <c r="CO31" s="469" t="n"/>
      <c r="CP31" s="469" t="n"/>
      <c r="CQ31" s="469" t="n"/>
      <c r="CR31" s="469" t="n"/>
      <c r="CS31" s="469" t="n"/>
      <c r="CT31" s="469" t="n"/>
      <c r="CU31" s="469" t="n"/>
      <c r="CV31" s="469" t="n"/>
      <c r="CW31" s="469" t="n"/>
      <c r="CX31" s="469" t="n"/>
      <c r="CY31" s="469" t="n"/>
      <c r="CZ31" s="469" t="n"/>
      <c r="DA31" s="469" t="n"/>
      <c r="DB31" s="469" t="n"/>
      <c r="DC31" s="469" t="n"/>
      <c r="DD31" s="469" t="n"/>
      <c r="DE31" s="469" t="n"/>
      <c r="DF31" s="469" t="n"/>
      <c r="DG31" s="469" t="n"/>
      <c r="DH31" s="469" t="n"/>
      <c r="DI31" s="469" t="n"/>
      <c r="DJ31" s="469" t="n"/>
      <c r="DK31" s="469" t="n"/>
      <c r="DL31" s="469" t="n"/>
      <c r="DM31" s="469" t="n"/>
      <c r="DN31" s="469" t="n"/>
      <c r="DO31" s="469" t="n"/>
      <c r="DP31" s="469" t="n"/>
      <c r="DQ31" s="469" t="n"/>
      <c r="DR31" s="469" t="n"/>
      <c r="DS31" s="469" t="n"/>
      <c r="DT31" s="469" t="n"/>
      <c r="DU31" s="469" t="n"/>
      <c r="DV31" s="469" t="n"/>
      <c r="DW31" s="469" t="n"/>
      <c r="DX31" s="469" t="n"/>
      <c r="DY31" s="469" t="n"/>
      <c r="DZ31" s="469" t="n"/>
      <c r="EA31" s="469" t="n"/>
      <c r="EB31" s="469" t="n"/>
      <c r="EC31" s="469" t="n"/>
      <c r="ED31" s="469" t="n"/>
      <c r="EE31" s="469" t="n"/>
      <c r="EF31" s="469" t="n"/>
      <c r="EG31" s="469" t="n"/>
      <c r="EH31" s="469" t="n"/>
      <c r="EI31" s="469" t="n"/>
      <c r="EJ31" s="469" t="n"/>
      <c r="EK31" s="469" t="n"/>
      <c r="EL31" s="469" t="n"/>
      <c r="EM31" s="469" t="n"/>
      <c r="EN31" s="469" t="n"/>
      <c r="EO31" s="469" t="n"/>
      <c r="EP31" s="469" t="n"/>
      <c r="EQ31" s="469" t="n"/>
      <c r="ER31" s="469" t="n"/>
      <c r="ES31" s="469" t="n"/>
      <c r="ET31" s="469" t="n"/>
      <c r="EU31" s="469" t="n"/>
      <c r="EV31" s="469" t="n"/>
      <c r="EW31" s="469" t="n"/>
      <c r="EX31" s="469" t="n"/>
      <c r="EY31" s="469" t="n"/>
      <c r="EZ31" s="469" t="n"/>
      <c r="FA31" s="469" t="n"/>
      <c r="FB31" s="469" t="n"/>
      <c r="FC31" s="469" t="n"/>
      <c r="FD31" s="469" t="n"/>
      <c r="FE31" s="469" t="n"/>
    </row>
    <row r="32">
      <c r="A32" s="475" t="inlineStr">
        <is>
          <t>YoY</t>
        </is>
      </c>
      <c r="B32" s="469" t="n"/>
      <c r="C32" s="469" t="n"/>
      <c r="D32" s="469" t="n"/>
      <c r="E32" s="469" t="n"/>
      <c r="F32" s="469" t="n"/>
      <c r="G32" s="469" t="n"/>
      <c r="H32" s="469" t="n"/>
      <c r="I32" s="469" t="n"/>
      <c r="J32" s="469" t="n"/>
      <c r="K32" s="469" t="n"/>
      <c r="L32" s="469" t="n"/>
      <c r="M32" s="469" t="n"/>
      <c r="N32" s="469" t="n"/>
      <c r="O32" s="469" t="n"/>
      <c r="P32" s="469" t="n"/>
      <c r="Q32" s="469" t="n"/>
      <c r="R32" s="469" t="n"/>
      <c r="S32" s="469" t="n"/>
      <c r="T32" s="469" t="n"/>
      <c r="U32" s="469" t="n"/>
      <c r="V32" s="469" t="n"/>
      <c r="W32" s="469" t="n"/>
      <c r="X32" s="469" t="n"/>
      <c r="Y32" s="469" t="n"/>
      <c r="Z32" s="469" t="n"/>
      <c r="AA32" s="470" t="n"/>
      <c r="AB32" s="470" t="n"/>
      <c r="AC32" s="469" t="n"/>
      <c r="AD32" s="470" t="n"/>
      <c r="AE32" s="371" t="n"/>
      <c r="AF32" s="469" t="n"/>
      <c r="AG32" s="469" t="n"/>
      <c r="AH32" s="469" t="n"/>
      <c r="AI32" s="469" t="n"/>
      <c r="AJ32" s="469" t="n"/>
      <c r="AK32" s="469" t="n"/>
      <c r="AL32" s="469" t="n"/>
      <c r="AM32" s="469" t="n"/>
      <c r="AN32" s="469" t="n"/>
      <c r="AO32" s="469" t="n"/>
      <c r="AP32" s="469" t="n"/>
      <c r="AQ32" s="469" t="n"/>
      <c r="AR32" s="469" t="n"/>
      <c r="AS32" s="469" t="n"/>
      <c r="AT32" s="469" t="n"/>
      <c r="AU32" s="469" t="n"/>
      <c r="AV32" s="469" t="n"/>
      <c r="AW32" s="469" t="n"/>
      <c r="AX32" s="469" t="n"/>
      <c r="AY32" s="469" t="n"/>
      <c r="AZ32" s="469" t="n"/>
      <c r="BA32" s="469" t="n"/>
      <c r="BB32" s="469" t="n"/>
      <c r="BC32" s="469" t="n"/>
      <c r="BD32" s="469" t="n"/>
      <c r="BE32" s="469" t="n"/>
      <c r="BF32" s="469" t="n"/>
      <c r="BG32" s="469" t="n"/>
      <c r="BH32" s="469" t="n"/>
      <c r="BI32" s="469" t="n"/>
      <c r="BJ32" s="469" t="n"/>
      <c r="BK32" s="469" t="n"/>
      <c r="BL32" s="469" t="n"/>
      <c r="BM32" s="469" t="n"/>
      <c r="BN32" s="469" t="n"/>
      <c r="BO32" s="469" t="n"/>
      <c r="BP32" s="469" t="n"/>
      <c r="BQ32" s="469" t="n"/>
      <c r="BR32" s="469" t="n"/>
      <c r="BS32" s="469" t="n"/>
      <c r="BT32" s="469" t="n"/>
      <c r="BU32" s="474" t="n"/>
      <c r="BV32" s="474" t="n"/>
      <c r="BW32" s="474" t="n"/>
      <c r="BX32" s="474" t="n"/>
      <c r="BZ32" s="469" t="n"/>
      <c r="CA32" s="469" t="n"/>
      <c r="CB32" s="469" t="n"/>
      <c r="CC32" s="469" t="n"/>
      <c r="CD32" s="469" t="n"/>
      <c r="CE32" s="469" t="n"/>
      <c r="CF32" s="469" t="n"/>
      <c r="CG32" s="469" t="n"/>
      <c r="CH32" s="469" t="n"/>
      <c r="CI32" s="469" t="n"/>
      <c r="CJ32" s="469" t="n"/>
      <c r="CK32" s="469" t="n"/>
      <c r="CL32" s="469" t="n"/>
      <c r="CM32" s="469" t="n"/>
      <c r="CN32" s="469" t="n"/>
      <c r="CO32" s="469" t="n"/>
      <c r="CP32" s="469" t="n"/>
      <c r="CQ32" s="469" t="n"/>
      <c r="CR32" s="469" t="n"/>
      <c r="CS32" s="469" t="n"/>
      <c r="CT32" s="469" t="n"/>
      <c r="CU32" s="469" t="n"/>
      <c r="CV32" s="469" t="n"/>
      <c r="CW32" s="469" t="n"/>
      <c r="CX32" s="469" t="n"/>
      <c r="CY32" s="469" t="n"/>
      <c r="CZ32" s="469" t="n"/>
      <c r="DA32" s="469" t="n"/>
      <c r="DB32" s="469" t="n"/>
      <c r="DC32" s="469" t="n"/>
      <c r="DD32" s="469" t="n"/>
      <c r="DE32" s="469" t="n"/>
      <c r="DF32" s="469" t="n"/>
      <c r="DG32" s="469" t="n"/>
      <c r="DH32" s="469" t="n"/>
      <c r="DI32" s="469" t="n"/>
      <c r="DJ32" s="469" t="n"/>
      <c r="DK32" s="469" t="n"/>
      <c r="DL32" s="469" t="n"/>
      <c r="DM32" s="469" t="n"/>
      <c r="DN32" s="469" t="n"/>
      <c r="DO32" s="469" t="n"/>
      <c r="DP32" s="469" t="n"/>
      <c r="DQ32" s="469" t="n"/>
      <c r="DR32" s="469" t="n"/>
      <c r="DS32" s="469" t="n"/>
      <c r="DT32" s="469" t="n"/>
      <c r="DU32" s="469" t="n"/>
      <c r="DV32" s="469" t="n"/>
      <c r="DW32" s="469" t="n"/>
      <c r="DX32" s="469" t="n"/>
      <c r="DY32" s="469" t="n"/>
      <c r="DZ32" s="469" t="n"/>
      <c r="EA32" s="469" t="n"/>
      <c r="EB32" s="469" t="n"/>
      <c r="EC32" s="469" t="n"/>
      <c r="ED32" s="469" t="n"/>
      <c r="EE32" s="469" t="n"/>
      <c r="EF32" s="469" t="n"/>
      <c r="EG32" s="469" t="n"/>
      <c r="EH32" s="469" t="n"/>
      <c r="EI32" s="469" t="n"/>
      <c r="EJ32" s="469" t="n"/>
      <c r="EK32" s="469" t="n"/>
      <c r="EL32" s="469" t="n"/>
      <c r="EM32" s="469" t="n"/>
      <c r="EN32" s="469" t="n"/>
      <c r="EO32" s="469" t="n"/>
      <c r="EP32" s="469" t="n"/>
      <c r="EQ32" s="469" t="n"/>
      <c r="ER32" s="469" t="n"/>
      <c r="ES32" s="469" t="n"/>
      <c r="ET32" s="469" t="n"/>
      <c r="EU32" s="469" t="n"/>
      <c r="EV32" s="469" t="n"/>
      <c r="EW32" s="469" t="n"/>
      <c r="EX32" s="469" t="n"/>
      <c r="EY32" s="469" t="n"/>
      <c r="EZ32" s="469" t="n"/>
      <c r="FA32" s="469" t="n"/>
      <c r="FB32" s="469" t="n"/>
      <c r="FC32" s="469" t="n"/>
      <c r="FD32" s="469" t="n"/>
      <c r="FE32" s="469" t="n"/>
    </row>
    <row r="33">
      <c r="A33" s="475" t="inlineStr">
        <is>
          <t>Diff vs. UBS-Se</t>
        </is>
      </c>
      <c r="B33" s="469" t="n"/>
      <c r="C33" s="469" t="n"/>
      <c r="D33" s="469" t="n"/>
      <c r="E33" s="469" t="n"/>
      <c r="F33" s="469" t="n"/>
      <c r="G33" s="469" t="n"/>
      <c r="H33" s="469" t="n"/>
      <c r="I33" s="469" t="n"/>
      <c r="J33" s="469" t="n"/>
      <c r="K33" s="469" t="n"/>
      <c r="L33" s="469" t="n"/>
      <c r="M33" s="469" t="n"/>
      <c r="N33" s="469" t="n"/>
      <c r="O33" s="469" t="n"/>
      <c r="P33" s="469" t="n"/>
      <c r="Q33" s="469" t="n"/>
      <c r="R33" s="469" t="n"/>
      <c r="S33" s="469" t="n"/>
      <c r="T33" s="469" t="n"/>
      <c r="U33" s="469" t="n"/>
      <c r="V33" s="469" t="n"/>
      <c r="W33" s="469" t="n"/>
      <c r="X33" s="469" t="n"/>
      <c r="Y33" s="469" t="n"/>
      <c r="Z33" s="469" t="n"/>
      <c r="AA33" s="470" t="n"/>
      <c r="AB33" s="470" t="n"/>
      <c r="AC33" s="469" t="n"/>
      <c r="AD33" s="470" t="n"/>
      <c r="AE33" s="371" t="n"/>
      <c r="AF33" s="469" t="n"/>
      <c r="AG33" s="469" t="n"/>
      <c r="AH33" s="469" t="n"/>
      <c r="AI33" s="469" t="n"/>
      <c r="AJ33" s="469" t="n"/>
      <c r="AK33" s="469" t="n"/>
      <c r="AL33" s="469" t="n"/>
      <c r="AM33" s="469" t="n"/>
      <c r="AN33" s="469" t="n"/>
      <c r="AO33" s="469" t="n"/>
      <c r="AP33" s="469" t="n"/>
      <c r="AQ33" s="469" t="n"/>
      <c r="AR33" s="469" t="n"/>
      <c r="AS33" s="469" t="n"/>
      <c r="AT33" s="469" t="n"/>
      <c r="AU33" s="469" t="n"/>
      <c r="AV33" s="469" t="n"/>
      <c r="AW33" s="469" t="n"/>
      <c r="AX33" s="469" t="n"/>
      <c r="AY33" s="469" t="n"/>
      <c r="AZ33" s="469" t="n"/>
      <c r="BA33" s="469" t="n"/>
      <c r="BB33" s="469" t="n"/>
      <c r="BC33" s="469" t="n"/>
      <c r="BD33" s="469" t="n"/>
      <c r="BE33" s="469" t="n"/>
      <c r="BF33" s="469" t="n"/>
      <c r="BG33" s="469" t="n"/>
      <c r="BH33" s="469" t="n"/>
      <c r="BI33" s="469" t="n"/>
      <c r="BJ33" s="469" t="n"/>
      <c r="BK33" s="469" t="n"/>
      <c r="BL33" s="469" t="n"/>
      <c r="BM33" s="469" t="n"/>
      <c r="BN33" s="469" t="n"/>
      <c r="BO33" s="469" t="n"/>
      <c r="BP33" s="469" t="n"/>
      <c r="BQ33" s="469" t="n"/>
      <c r="BR33" s="469" t="n"/>
      <c r="BS33" s="469" t="n"/>
      <c r="BT33" s="469" t="n"/>
      <c r="BU33" s="474" t="n"/>
      <c r="BV33" s="474" t="n"/>
      <c r="BW33" s="474" t="n"/>
      <c r="BX33" s="474" t="n"/>
      <c r="BZ33" s="469" t="n"/>
      <c r="CA33" s="469" t="n"/>
      <c r="CB33" s="469" t="n"/>
      <c r="CC33" s="469" t="n"/>
      <c r="CD33" s="469" t="n"/>
      <c r="CE33" s="469" t="n"/>
      <c r="CF33" s="469" t="n"/>
      <c r="CG33" s="469" t="n"/>
      <c r="CH33" s="469" t="n"/>
      <c r="CI33" s="469" t="n"/>
      <c r="CJ33" s="469" t="n"/>
      <c r="CK33" s="469" t="n"/>
      <c r="CL33" s="469" t="n"/>
      <c r="CM33" s="469" t="n"/>
      <c r="CN33" s="469" t="n"/>
      <c r="CO33" s="469" t="n"/>
      <c r="CP33" s="469" t="n"/>
      <c r="CQ33" s="469" t="n"/>
      <c r="CR33" s="469" t="n"/>
      <c r="CS33" s="469" t="n"/>
      <c r="CT33" s="469" t="n"/>
      <c r="CU33" s="469" t="n"/>
      <c r="CV33" s="469" t="n"/>
      <c r="CW33" s="469" t="n"/>
      <c r="CX33" s="469" t="n"/>
      <c r="CY33" s="469" t="n"/>
      <c r="CZ33" s="469" t="n"/>
      <c r="DA33" s="469" t="n"/>
      <c r="DB33" s="469" t="n"/>
      <c r="DC33" s="469" t="n"/>
      <c r="DD33" s="469" t="n"/>
      <c r="DE33" s="469" t="n"/>
      <c r="DF33" s="469" t="n"/>
      <c r="DG33" s="469" t="n"/>
      <c r="DH33" s="469" t="n"/>
      <c r="DI33" s="469" t="n"/>
      <c r="DJ33" s="469" t="n"/>
      <c r="DK33" s="469" t="n"/>
      <c r="DL33" s="469" t="n"/>
      <c r="DM33" s="469" t="n"/>
      <c r="DN33" s="469" t="n"/>
      <c r="DO33" s="469" t="n"/>
      <c r="DP33" s="469" t="n"/>
      <c r="DQ33" s="469" t="n"/>
      <c r="DR33" s="469" t="n"/>
      <c r="DS33" s="469" t="n"/>
      <c r="DT33" s="469" t="n"/>
      <c r="DU33" s="469" t="n"/>
      <c r="DV33" s="469" t="n"/>
      <c r="DW33" s="469" t="n"/>
      <c r="DX33" s="469" t="n"/>
      <c r="DY33" s="469" t="n"/>
      <c r="DZ33" s="469" t="n"/>
      <c r="EA33" s="469" t="n"/>
      <c r="EB33" s="469" t="n"/>
      <c r="EC33" s="469" t="n"/>
      <c r="ED33" s="469" t="n"/>
      <c r="EE33" s="469" t="n"/>
      <c r="EF33" s="469" t="n"/>
      <c r="EG33" s="469" t="n"/>
      <c r="EH33" s="469" t="n"/>
      <c r="EI33" s="469" t="n"/>
      <c r="EJ33" s="469" t="n"/>
      <c r="EK33" s="469" t="n"/>
      <c r="EL33" s="469" t="n"/>
      <c r="EM33" s="469" t="n"/>
      <c r="EN33" s="469" t="n"/>
      <c r="EO33" s="469" t="n"/>
      <c r="EP33" s="469" t="n"/>
      <c r="EQ33" s="469" t="n"/>
      <c r="ER33" s="469" t="n"/>
      <c r="ES33" s="469" t="n"/>
      <c r="ET33" s="469" t="n"/>
      <c r="EU33" s="469" t="n"/>
      <c r="EV33" s="469" t="n"/>
      <c r="EW33" s="469" t="n"/>
      <c r="EX33" s="469" t="n"/>
      <c r="EY33" s="469" t="n"/>
      <c r="EZ33" s="469" t="n"/>
      <c r="FA33" s="469" t="n"/>
      <c r="FB33" s="469" t="n"/>
      <c r="FC33" s="469" t="n"/>
      <c r="FD33" s="469" t="n"/>
      <c r="FE33" s="469" t="n"/>
    </row>
    <row r="34">
      <c r="A34" s="468" t="n"/>
      <c r="B34" s="476" t="n"/>
      <c r="C34" s="476" t="n"/>
      <c r="D34" s="476" t="n"/>
      <c r="E34" s="476" t="n"/>
      <c r="F34" s="476" t="n"/>
      <c r="G34" s="476" t="n"/>
      <c r="H34" s="476" t="n"/>
      <c r="I34" s="476" t="n"/>
      <c r="J34" s="476" t="n"/>
      <c r="K34" s="476" t="n"/>
      <c r="L34" s="476" t="n"/>
      <c r="M34" s="476" t="n"/>
      <c r="N34" s="476" t="n"/>
      <c r="O34" s="476" t="n"/>
      <c r="P34" s="476" t="n"/>
      <c r="Q34" s="476" t="n"/>
      <c r="R34" s="476" t="n"/>
      <c r="S34" s="476" t="n"/>
      <c r="T34" s="477" t="n"/>
      <c r="U34" s="469" t="n"/>
      <c r="V34" s="469" t="n"/>
      <c r="W34" s="469" t="n"/>
      <c r="X34" s="469" t="n"/>
      <c r="Y34" s="469" t="n"/>
      <c r="Z34" s="469" t="n"/>
      <c r="AA34" s="470" t="n"/>
      <c r="AB34" s="470" t="n"/>
      <c r="AC34" s="469" t="n"/>
      <c r="AD34" s="470" t="n"/>
      <c r="AE34" s="371" t="n"/>
      <c r="AF34" s="469" t="n"/>
      <c r="AG34" s="469" t="n"/>
      <c r="AH34" s="469" t="n"/>
      <c r="AI34" s="469" t="n"/>
      <c r="AJ34" s="469" t="n"/>
      <c r="AK34" s="469" t="n"/>
      <c r="AL34" s="469" t="n"/>
      <c r="AM34" s="469" t="n"/>
      <c r="AN34" s="469" t="n"/>
      <c r="AO34" s="469" t="n"/>
      <c r="AP34" s="469" t="n"/>
      <c r="AQ34" s="469" t="n"/>
      <c r="AR34" s="469" t="n"/>
      <c r="AS34" s="469" t="n"/>
      <c r="AT34" s="469" t="n"/>
      <c r="AU34" s="469" t="n"/>
      <c r="AV34" s="469" t="n"/>
      <c r="AW34" s="469" t="n"/>
      <c r="AX34" s="469" t="n"/>
      <c r="AY34" s="469" t="n"/>
      <c r="AZ34" s="469" t="n"/>
      <c r="BA34" s="469" t="n"/>
      <c r="BB34" s="469" t="n"/>
      <c r="BC34" s="469" t="n"/>
      <c r="BD34" s="469" t="n"/>
      <c r="BE34" s="469" t="n"/>
      <c r="BF34" s="469" t="n"/>
      <c r="BG34" s="469" t="n"/>
      <c r="BH34" s="469" t="n"/>
      <c r="BI34" s="469" t="n"/>
      <c r="BJ34" s="469" t="n"/>
      <c r="BK34" s="469" t="n"/>
      <c r="BL34" s="469" t="n"/>
      <c r="BM34" s="469" t="n"/>
      <c r="BN34" s="469" t="n"/>
      <c r="BO34" s="469" t="n"/>
      <c r="BP34" s="469" t="n"/>
      <c r="BQ34" s="469" t="n"/>
      <c r="BR34" s="469" t="n"/>
      <c r="BS34" s="469" t="n"/>
      <c r="BT34" s="469" t="n"/>
      <c r="BU34" s="474" t="n"/>
      <c r="BV34" s="474" t="n"/>
      <c r="BW34" s="474" t="n"/>
      <c r="BX34" s="474" t="n"/>
      <c r="BZ34" s="469" t="n"/>
      <c r="CA34" s="469" t="n"/>
      <c r="CB34" s="469" t="n"/>
      <c r="CC34" s="469" t="n"/>
      <c r="CD34" s="469" t="n"/>
      <c r="CE34" s="469" t="n"/>
      <c r="CF34" s="469" t="n"/>
      <c r="CG34" s="469" t="n"/>
      <c r="CH34" s="469" t="n"/>
      <c r="CI34" s="469" t="n"/>
      <c r="CJ34" s="469" t="n"/>
      <c r="CK34" s="469" t="n"/>
      <c r="CL34" s="469" t="n"/>
      <c r="CM34" s="469" t="n"/>
      <c r="CN34" s="469" t="n"/>
      <c r="CO34" s="469" t="n"/>
      <c r="CP34" s="469" t="n"/>
      <c r="CQ34" s="469" t="n"/>
      <c r="CR34" s="469" t="n"/>
      <c r="CS34" s="469" t="n"/>
      <c r="CT34" s="469" t="n"/>
      <c r="CU34" s="469" t="n"/>
      <c r="CV34" s="469" t="n"/>
      <c r="CW34" s="469" t="n"/>
      <c r="CX34" s="469" t="n"/>
      <c r="CY34" s="469" t="n"/>
      <c r="CZ34" s="469" t="n"/>
      <c r="DA34" s="469" t="n"/>
      <c r="DB34" s="469" t="n"/>
      <c r="DC34" s="469" t="n"/>
      <c r="DD34" s="469" t="n"/>
      <c r="DE34" s="469" t="n"/>
      <c r="DF34" s="469" t="n"/>
      <c r="DG34" s="469" t="n"/>
      <c r="DH34" s="469" t="n"/>
      <c r="DI34" s="469" t="n"/>
      <c r="DJ34" s="469" t="n"/>
      <c r="DK34" s="469" t="n"/>
      <c r="DL34" s="469" t="n"/>
      <c r="DM34" s="469" t="n"/>
      <c r="DN34" s="469" t="n"/>
      <c r="DO34" s="469" t="n"/>
      <c r="DP34" s="469" t="n"/>
      <c r="DQ34" s="469" t="n"/>
      <c r="DR34" s="469" t="n"/>
      <c r="DS34" s="469" t="n"/>
      <c r="DT34" s="469" t="n"/>
      <c r="DU34" s="469" t="n"/>
      <c r="DV34" s="469" t="n"/>
      <c r="DW34" s="469" t="n"/>
      <c r="DX34" s="469" t="n"/>
      <c r="DY34" s="469" t="n"/>
      <c r="DZ34" s="469" t="n"/>
      <c r="EA34" s="469" t="n"/>
      <c r="EB34" s="469" t="n"/>
      <c r="EC34" s="469" t="n"/>
      <c r="ED34" s="469" t="n"/>
      <c r="EE34" s="469" t="n"/>
      <c r="EF34" s="469" t="n"/>
      <c r="EG34" s="469" t="n"/>
      <c r="EH34" s="469" t="n"/>
      <c r="EI34" s="469" t="n"/>
      <c r="EJ34" s="469" t="n"/>
      <c r="EK34" s="469" t="n"/>
      <c r="EL34" s="469" t="n"/>
      <c r="EM34" s="469" t="n"/>
      <c r="EN34" s="469" t="n"/>
      <c r="EO34" s="469" t="n"/>
      <c r="EP34" s="469" t="n"/>
      <c r="EQ34" s="469" t="n"/>
      <c r="ER34" s="469" t="n"/>
      <c r="ES34" s="469" t="n"/>
      <c r="ET34" s="469" t="n"/>
      <c r="EU34" s="469" t="n"/>
      <c r="EV34" s="469" t="n"/>
      <c r="EW34" s="469" t="n"/>
      <c r="EX34" s="469" t="n"/>
      <c r="EY34" s="469" t="n"/>
      <c r="EZ34" s="469" t="n"/>
      <c r="FA34" s="469" t="n"/>
      <c r="FB34" s="469" t="n"/>
      <c r="FC34" s="469" t="n"/>
      <c r="FD34" s="469" t="n"/>
      <c r="FE34" s="469" t="n"/>
    </row>
    <row r="35">
      <c r="A35" s="6" t="inlineStr">
        <is>
          <t>EPS - basic</t>
        </is>
      </c>
      <c r="B35" s="478">
        <f>'Raw financials'!B50</f>
        <v/>
      </c>
      <c r="C35" s="478">
        <f>'Raw financials'!C50</f>
        <v/>
      </c>
      <c r="D35" s="478">
        <f>'Raw financials'!D50</f>
        <v/>
      </c>
      <c r="E35" s="478">
        <f>'Raw financials'!E50</f>
        <v/>
      </c>
      <c r="F35" s="478">
        <f>'Raw financials'!F50</f>
        <v/>
      </c>
      <c r="G35" s="478">
        <f>'Raw financials'!G50</f>
        <v/>
      </c>
      <c r="H35" s="478">
        <f>'Raw financials'!H50</f>
        <v/>
      </c>
      <c r="I35" s="478">
        <f>'Raw financials'!I50</f>
        <v/>
      </c>
      <c r="J35" s="478">
        <f>'Raw financials'!J50</f>
        <v/>
      </c>
      <c r="K35" s="478">
        <f>'Raw financials'!K50</f>
        <v/>
      </c>
      <c r="L35" s="478">
        <f>'Raw financials'!L50</f>
        <v/>
      </c>
      <c r="M35" s="478">
        <f>'Raw financials'!M50</f>
        <v/>
      </c>
      <c r="N35" s="478">
        <f>'Raw financials'!N50</f>
        <v/>
      </c>
      <c r="O35" s="478">
        <f>'Raw financials'!O50</f>
        <v/>
      </c>
      <c r="P35" s="478">
        <f>'Raw financials'!P50</f>
        <v/>
      </c>
      <c r="Q35" s="478">
        <f>'Raw financials'!Q50</f>
        <v/>
      </c>
      <c r="R35" s="478">
        <f>'Raw financials'!R50</f>
        <v/>
      </c>
      <c r="S35" s="478">
        <f>'Raw financials'!S50</f>
        <v/>
      </c>
      <c r="T35" s="478">
        <f>'Raw financials'!T50</f>
        <v/>
      </c>
      <c r="U35" s="478">
        <f>U28/U43*U45</f>
        <v/>
      </c>
      <c r="V35" s="478">
        <f>V28/V43*V45</f>
        <v/>
      </c>
      <c r="W35" s="478">
        <f>W28/W43*W45</f>
        <v/>
      </c>
      <c r="X35" s="478">
        <f>X28/X43*X45</f>
        <v/>
      </c>
      <c r="Y35" s="478">
        <f>Y28/Y43*Y45</f>
        <v/>
      </c>
      <c r="Z35" s="478">
        <f>Z28/Z43*Z45</f>
        <v/>
      </c>
      <c r="AA35" s="479" t="n"/>
      <c r="AB35" s="479" t="n"/>
      <c r="AC35" s="478" t="n"/>
      <c r="AD35" s="479" t="n"/>
      <c r="AE35" s="348" t="n"/>
      <c r="AF35" s="478" t="n"/>
      <c r="AG35" s="478">
        <f>'Raw financials'!AA50</f>
        <v/>
      </c>
      <c r="AH35" s="478">
        <f>B35-AG35</f>
        <v/>
      </c>
      <c r="AI35" s="478">
        <f>'Raw financials'!AB50</f>
        <v/>
      </c>
      <c r="AJ35" s="478">
        <f>C35-AI35</f>
        <v/>
      </c>
      <c r="AK35" s="478">
        <f>'Raw financials'!AC50</f>
        <v/>
      </c>
      <c r="AL35" s="478">
        <f>D35-AK35</f>
        <v/>
      </c>
      <c r="AM35" s="478">
        <f>'Raw financials'!AD50</f>
        <v/>
      </c>
      <c r="AN35" s="478">
        <f>E35-AM35</f>
        <v/>
      </c>
      <c r="AO35" s="478">
        <f>'Raw financials'!AE50</f>
        <v/>
      </c>
      <c r="AP35" s="478">
        <f>F35-AO35</f>
        <v/>
      </c>
      <c r="AQ35" s="478">
        <f>'Raw financials'!AF50</f>
        <v/>
      </c>
      <c r="AR35" s="478">
        <f>G35-AQ35</f>
        <v/>
      </c>
      <c r="AS35" s="478">
        <f>'Raw financials'!AG50</f>
        <v/>
      </c>
      <c r="AT35" s="478">
        <f>H35-AS35</f>
        <v/>
      </c>
      <c r="AU35" s="478">
        <f>'Raw financials'!AH50</f>
        <v/>
      </c>
      <c r="AV35" s="478">
        <f>I35-AU35</f>
        <v/>
      </c>
      <c r="AW35" s="478">
        <f>'Raw financials'!AI50</f>
        <v/>
      </c>
      <c r="AX35" s="478">
        <f>J35-AW35</f>
        <v/>
      </c>
      <c r="AY35" s="478">
        <f>'Raw financials'!AJ50</f>
        <v/>
      </c>
      <c r="AZ35" s="478">
        <f>K35-AY35</f>
        <v/>
      </c>
      <c r="BA35" s="478">
        <f>'Raw financials'!AK50</f>
        <v/>
      </c>
      <c r="BB35" s="478">
        <f>L35-BA35</f>
        <v/>
      </c>
      <c r="BC35" s="478">
        <f>'Raw financials'!AL50</f>
        <v/>
      </c>
      <c r="BD35" s="478">
        <f>M35-BC35</f>
        <v/>
      </c>
      <c r="BE35" s="478">
        <f>'Raw financials'!AM50</f>
        <v/>
      </c>
      <c r="BF35" s="478">
        <f>N35-BE35</f>
        <v/>
      </c>
      <c r="BG35" s="478">
        <f>'Raw financials'!AN50</f>
        <v/>
      </c>
      <c r="BH35" s="478">
        <f>O35-BG35</f>
        <v/>
      </c>
      <c r="BI35" s="478">
        <f>'Raw financials'!AO50</f>
        <v/>
      </c>
      <c r="BJ35" s="478">
        <f>P35-BI35</f>
        <v/>
      </c>
      <c r="BK35" s="478">
        <f>'Raw financials'!AP50</f>
        <v/>
      </c>
      <c r="BL35" s="478">
        <f>Q35-BK35</f>
        <v/>
      </c>
      <c r="BM35" s="478">
        <f>'Raw financials'!AQ50</f>
        <v/>
      </c>
      <c r="BN35" s="478">
        <f>R35-BM35</f>
        <v/>
      </c>
      <c r="BO35" s="478">
        <f>'Raw financials'!AR50</f>
        <v/>
      </c>
      <c r="BP35" s="478">
        <f>S35-BO35</f>
        <v/>
      </c>
      <c r="BQ35" s="478">
        <f>'Raw financials'!AS50</f>
        <v/>
      </c>
      <c r="BR35" s="478">
        <f>T35-BQ35</f>
        <v/>
      </c>
      <c r="BS35" s="478" t="n"/>
      <c r="BT35" s="478">
        <f>U35-BS35</f>
        <v/>
      </c>
      <c r="BU35" s="480" t="n"/>
      <c r="BV35" s="480" t="n"/>
      <c r="BW35" s="480" t="n"/>
      <c r="BX35" s="480" t="n"/>
      <c r="BZ35" s="478" t="n"/>
      <c r="CA35" s="478" t="n"/>
      <c r="CB35" s="478" t="n"/>
      <c r="CC35" s="478" t="n"/>
      <c r="CD35" s="478" t="n"/>
      <c r="CE35" s="478" t="n"/>
      <c r="CF35" s="478" t="n"/>
      <c r="CG35" s="478" t="n"/>
      <c r="CH35" s="478" t="n"/>
      <c r="CI35" s="478" t="n"/>
      <c r="CJ35" s="478" t="n"/>
      <c r="CK35" s="478" t="n"/>
      <c r="CL35" s="478" t="n"/>
      <c r="CM35" s="478" t="n"/>
      <c r="CN35" s="478" t="n"/>
      <c r="CO35" s="478" t="n"/>
      <c r="CP35" s="478" t="n"/>
      <c r="CQ35" s="478" t="n"/>
      <c r="CR35" s="478" t="n"/>
      <c r="CS35" s="478" t="n"/>
      <c r="CT35" s="478" t="n"/>
      <c r="CU35" s="478" t="n"/>
      <c r="CV35" s="478" t="n"/>
      <c r="CW35" s="478" t="n"/>
      <c r="CX35" s="478" t="n"/>
      <c r="CY35" s="478" t="n"/>
      <c r="CZ35" s="478" t="n"/>
      <c r="DA35" s="478" t="n"/>
      <c r="DB35" s="478" t="n"/>
      <c r="DC35" s="478" t="n"/>
      <c r="DD35" s="478" t="n"/>
      <c r="DE35" s="478" t="n"/>
      <c r="DF35" s="478" t="n"/>
      <c r="DG35" s="478" t="n"/>
      <c r="DH35" s="478" t="n"/>
      <c r="DI35" s="478" t="n"/>
      <c r="DJ35" s="478" t="n"/>
      <c r="DK35" s="478" t="n"/>
      <c r="DL35" s="478" t="n"/>
      <c r="DM35" s="478" t="n"/>
      <c r="DN35" s="478" t="n"/>
      <c r="DO35" s="478" t="n"/>
      <c r="DP35" s="478" t="n"/>
      <c r="DQ35" s="478" t="n"/>
      <c r="DR35" s="478" t="n"/>
      <c r="DS35" s="478" t="n"/>
      <c r="DT35" s="478" t="n"/>
      <c r="DU35" s="478" t="n"/>
      <c r="DV35" s="478" t="n"/>
      <c r="DW35" s="478" t="n"/>
      <c r="DX35" s="478" t="n"/>
      <c r="DY35" s="478" t="n"/>
      <c r="DZ35" s="478" t="n"/>
      <c r="EA35" s="478" t="n"/>
      <c r="EB35" s="478" t="n"/>
      <c r="EC35" s="478" t="n"/>
      <c r="ED35" s="478" t="n"/>
      <c r="EE35" s="478" t="n"/>
      <c r="EF35" s="478" t="n"/>
      <c r="EG35" s="478" t="n"/>
      <c r="EH35" s="478" t="n"/>
      <c r="EI35" s="478" t="n"/>
      <c r="EJ35" s="478" t="n"/>
      <c r="EK35" s="478" t="n"/>
      <c r="EL35" s="478" t="n"/>
      <c r="EM35" s="478" t="n"/>
      <c r="EN35" s="478" t="n"/>
      <c r="EO35" s="478" t="n"/>
      <c r="EP35" s="478" t="n"/>
      <c r="EQ35" s="478" t="n"/>
      <c r="ER35" s="478" t="n"/>
      <c r="ES35" s="478" t="n"/>
      <c r="ET35" s="478" t="n"/>
      <c r="EU35" s="478" t="n"/>
      <c r="EV35" s="478" t="n"/>
      <c r="EW35" s="478" t="n"/>
      <c r="EX35" s="478" t="n"/>
      <c r="EY35" s="478" t="n"/>
      <c r="EZ35" s="478" t="n"/>
      <c r="FA35" s="478" t="n"/>
      <c r="FB35" s="478" t="n"/>
      <c r="FC35" s="478" t="n"/>
      <c r="FD35" s="478" t="n"/>
      <c r="FE35" s="478" t="n"/>
    </row>
    <row r="36">
      <c r="A36" s="6" t="inlineStr">
        <is>
          <t>EPS - diluted</t>
        </is>
      </c>
      <c r="B36" s="478">
        <f>'Raw financials'!B51</f>
        <v/>
      </c>
      <c r="C36" s="478">
        <f>'Raw financials'!C51</f>
        <v/>
      </c>
      <c r="D36" s="478">
        <f>'Raw financials'!D51</f>
        <v/>
      </c>
      <c r="E36" s="478">
        <f>'Raw financials'!E51</f>
        <v/>
      </c>
      <c r="F36" s="478">
        <f>'Raw financials'!F51</f>
        <v/>
      </c>
      <c r="G36" s="478">
        <f>'Raw financials'!G51</f>
        <v/>
      </c>
      <c r="H36" s="478">
        <f>'Raw financials'!H51</f>
        <v/>
      </c>
      <c r="I36" s="478">
        <f>'Raw financials'!I51</f>
        <v/>
      </c>
      <c r="J36" s="478">
        <f>'Raw financials'!J51</f>
        <v/>
      </c>
      <c r="K36" s="478">
        <f>'Raw financials'!K51</f>
        <v/>
      </c>
      <c r="L36" s="478">
        <f>'Raw financials'!L51</f>
        <v/>
      </c>
      <c r="M36" s="478">
        <f>'Raw financials'!M51</f>
        <v/>
      </c>
      <c r="N36" s="478">
        <f>'Raw financials'!N51</f>
        <v/>
      </c>
      <c r="O36" s="478">
        <f>'Raw financials'!O51</f>
        <v/>
      </c>
      <c r="P36" s="478">
        <f>'Raw financials'!P51</f>
        <v/>
      </c>
      <c r="Q36" s="478">
        <f>'Raw financials'!Q51</f>
        <v/>
      </c>
      <c r="R36" s="478">
        <f>'Raw financials'!R51</f>
        <v/>
      </c>
      <c r="S36" s="478">
        <f>'Raw financials'!S51</f>
        <v/>
      </c>
      <c r="T36" s="478">
        <f>'Raw financials'!T51</f>
        <v/>
      </c>
      <c r="U36" s="478">
        <f>U28/U44*U45</f>
        <v/>
      </c>
      <c r="V36" s="478">
        <f>V28/V44*V45</f>
        <v/>
      </c>
      <c r="W36" s="478">
        <f>W28/W44*W45</f>
        <v/>
      </c>
      <c r="X36" s="478">
        <f>X28/X44*X45</f>
        <v/>
      </c>
      <c r="Y36" s="478">
        <f>Y28/Y44*Y45</f>
        <v/>
      </c>
      <c r="Z36" s="478">
        <f>Z28/Z44*Z45</f>
        <v/>
      </c>
      <c r="AA36" s="479" t="n"/>
      <c r="AB36" s="479" t="n"/>
      <c r="AC36" s="478" t="n"/>
      <c r="AD36" s="479" t="n"/>
      <c r="AE36" s="348" t="n"/>
      <c r="AF36" s="478" t="n"/>
      <c r="AG36" s="478">
        <f>'Raw financials'!AA51</f>
        <v/>
      </c>
      <c r="AH36" s="478">
        <f>B36-AG36</f>
        <v/>
      </c>
      <c r="AI36" s="478">
        <f>'Raw financials'!AB51</f>
        <v/>
      </c>
      <c r="AJ36" s="478">
        <f>C36-AI36</f>
        <v/>
      </c>
      <c r="AK36" s="478">
        <f>'Raw financials'!AC51</f>
        <v/>
      </c>
      <c r="AL36" s="478">
        <f>D36-AK36</f>
        <v/>
      </c>
      <c r="AM36" s="478">
        <f>'Raw financials'!AD51</f>
        <v/>
      </c>
      <c r="AN36" s="478">
        <f>E36-AM36</f>
        <v/>
      </c>
      <c r="AO36" s="478">
        <f>'Raw financials'!AE51</f>
        <v/>
      </c>
      <c r="AP36" s="478">
        <f>F36-AO36</f>
        <v/>
      </c>
      <c r="AQ36" s="478">
        <f>'Raw financials'!AF51</f>
        <v/>
      </c>
      <c r="AR36" s="478">
        <f>G36-AQ36</f>
        <v/>
      </c>
      <c r="AS36" s="478">
        <f>'Raw financials'!AG51</f>
        <v/>
      </c>
      <c r="AT36" s="478">
        <f>H36-AS36</f>
        <v/>
      </c>
      <c r="AU36" s="478">
        <f>'Raw financials'!AH51</f>
        <v/>
      </c>
      <c r="AV36" s="478">
        <f>I36-AU36</f>
        <v/>
      </c>
      <c r="AW36" s="478">
        <f>'Raw financials'!AI51</f>
        <v/>
      </c>
      <c r="AX36" s="478">
        <f>J36-AW36</f>
        <v/>
      </c>
      <c r="AY36" s="478">
        <f>'Raw financials'!AJ51</f>
        <v/>
      </c>
      <c r="AZ36" s="478">
        <f>K36-AY36</f>
        <v/>
      </c>
      <c r="BA36" s="478">
        <f>'Raw financials'!AK51</f>
        <v/>
      </c>
      <c r="BB36" s="478">
        <f>L36-BA36</f>
        <v/>
      </c>
      <c r="BC36" s="478">
        <f>'Raw financials'!AL51</f>
        <v/>
      </c>
      <c r="BD36" s="478">
        <f>M36-BC36</f>
        <v/>
      </c>
      <c r="BE36" s="478">
        <f>'Raw financials'!AM51</f>
        <v/>
      </c>
      <c r="BF36" s="478">
        <f>N36-BE36</f>
        <v/>
      </c>
      <c r="BG36" s="478">
        <f>'Raw financials'!AN51</f>
        <v/>
      </c>
      <c r="BH36" s="478">
        <f>O36-BG36</f>
        <v/>
      </c>
      <c r="BI36" s="478">
        <f>'Raw financials'!AO51</f>
        <v/>
      </c>
      <c r="BJ36" s="478">
        <f>P36-BI36</f>
        <v/>
      </c>
      <c r="BK36" s="478">
        <f>'Raw financials'!AP51</f>
        <v/>
      </c>
      <c r="BL36" s="478">
        <f>Q36-BK36</f>
        <v/>
      </c>
      <c r="BM36" s="478">
        <f>'Raw financials'!AQ51</f>
        <v/>
      </c>
      <c r="BN36" s="478">
        <f>R36-BM36</f>
        <v/>
      </c>
      <c r="BO36" s="478">
        <f>'Raw financials'!AR51</f>
        <v/>
      </c>
      <c r="BP36" s="478">
        <f>S36-BO36</f>
        <v/>
      </c>
      <c r="BQ36" s="478">
        <f>'Raw financials'!AS51</f>
        <v/>
      </c>
      <c r="BR36" s="478">
        <f>T36-BQ36</f>
        <v/>
      </c>
      <c r="BS36" s="478" t="n"/>
      <c r="BT36" s="478">
        <f>U36-BS36</f>
        <v/>
      </c>
      <c r="BU36" s="480" t="n"/>
      <c r="BV36" s="480" t="n"/>
      <c r="BW36" s="480" t="n"/>
      <c r="BX36" s="480" t="n"/>
      <c r="BZ36" s="478" t="n"/>
      <c r="CA36" s="478" t="n"/>
      <c r="CB36" s="478" t="n"/>
      <c r="CC36" s="478" t="n"/>
      <c r="CD36" s="478" t="n"/>
      <c r="CE36" s="478" t="n"/>
      <c r="CF36" s="478" t="n"/>
      <c r="CG36" s="478" t="n"/>
      <c r="CH36" s="478" t="n"/>
      <c r="CI36" s="478" t="n"/>
      <c r="CJ36" s="478" t="n"/>
      <c r="CK36" s="478" t="n"/>
      <c r="CL36" s="478" t="n"/>
      <c r="CM36" s="478" t="n"/>
      <c r="CN36" s="478" t="n"/>
      <c r="CO36" s="478" t="n"/>
      <c r="CP36" s="478" t="n"/>
      <c r="CQ36" s="478" t="n"/>
      <c r="CR36" s="478" t="n"/>
      <c r="CS36" s="478" t="n"/>
      <c r="CT36" s="478" t="n"/>
      <c r="CU36" s="478" t="n"/>
      <c r="CV36" s="478" t="n"/>
      <c r="CW36" s="478" t="n"/>
      <c r="CX36" s="478" t="n"/>
      <c r="CY36" s="478" t="n"/>
      <c r="CZ36" s="478" t="n"/>
      <c r="DA36" s="478" t="n"/>
      <c r="DB36" s="478" t="n"/>
      <c r="DC36" s="478" t="n"/>
      <c r="DD36" s="478" t="n"/>
      <c r="DE36" s="478" t="n"/>
      <c r="DF36" s="478" t="n"/>
      <c r="DG36" s="478" t="n"/>
      <c r="DH36" s="478" t="n"/>
      <c r="DI36" s="478" t="n"/>
      <c r="DJ36" s="478" t="n"/>
      <c r="DK36" s="478" t="n"/>
      <c r="DL36" s="478" t="n"/>
      <c r="DM36" s="478" t="n"/>
      <c r="DN36" s="478" t="n"/>
      <c r="DO36" s="478" t="n"/>
      <c r="DP36" s="478" t="n"/>
      <c r="DQ36" s="478" t="n"/>
      <c r="DR36" s="478" t="n"/>
      <c r="DS36" s="478" t="n"/>
      <c r="DT36" s="478" t="n"/>
      <c r="DU36" s="478" t="n"/>
      <c r="DV36" s="478" t="n"/>
      <c r="DW36" s="478" t="n"/>
      <c r="DX36" s="478" t="n"/>
      <c r="DY36" s="478" t="n"/>
      <c r="DZ36" s="478" t="n"/>
      <c r="EA36" s="478" t="n"/>
      <c r="EB36" s="478" t="n"/>
      <c r="EC36" s="478" t="n"/>
      <c r="ED36" s="478" t="n"/>
      <c r="EE36" s="478" t="n"/>
      <c r="EF36" s="478" t="n"/>
      <c r="EG36" s="478" t="n"/>
      <c r="EH36" s="478" t="n"/>
      <c r="EI36" s="478" t="n"/>
      <c r="EJ36" s="478" t="n"/>
      <c r="EK36" s="478" t="n"/>
      <c r="EL36" s="478" t="n"/>
      <c r="EM36" s="478" t="n"/>
      <c r="EN36" s="478" t="n"/>
      <c r="EO36" s="478" t="n"/>
      <c r="EP36" s="478" t="n"/>
      <c r="EQ36" s="478" t="n"/>
      <c r="ER36" s="478" t="n"/>
      <c r="ES36" s="478" t="n"/>
      <c r="ET36" s="478" t="n"/>
      <c r="EU36" s="478" t="n"/>
      <c r="EV36" s="478" t="n"/>
      <c r="EW36" s="478" t="n"/>
      <c r="EX36" s="478" t="n"/>
      <c r="EY36" s="478" t="n"/>
      <c r="EZ36" s="478" t="n"/>
      <c r="FA36" s="478" t="n"/>
      <c r="FB36" s="478" t="n"/>
      <c r="FC36" s="478" t="n"/>
      <c r="FD36" s="478" t="n"/>
      <c r="FE36" s="478" t="n"/>
    </row>
    <row r="37">
      <c r="A37" s="6" t="inlineStr">
        <is>
          <t>BPS - YE</t>
        </is>
      </c>
      <c r="B37" s="478">
        <f>+B89/B42</f>
        <v/>
      </c>
      <c r="C37" s="478">
        <f>+C89/C42</f>
        <v/>
      </c>
      <c r="D37" s="478">
        <f>+D89/D42</f>
        <v/>
      </c>
      <c r="E37" s="478">
        <f>+E89/E42</f>
        <v/>
      </c>
      <c r="F37" s="478">
        <f>+F89/F42</f>
        <v/>
      </c>
      <c r="G37" s="478">
        <f>+G89/G42</f>
        <v/>
      </c>
      <c r="H37" s="478">
        <f>+H89/H42</f>
        <v/>
      </c>
      <c r="I37" s="478">
        <f>+I89/I42</f>
        <v/>
      </c>
      <c r="J37" s="478">
        <f>+J89/J42</f>
        <v/>
      </c>
      <c r="K37" s="478">
        <f>+K89/K42</f>
        <v/>
      </c>
      <c r="L37" s="478">
        <f>+L89/L42</f>
        <v/>
      </c>
      <c r="M37" s="478">
        <f>+M89/M42</f>
        <v/>
      </c>
      <c r="N37" s="478">
        <f>+N89/N42</f>
        <v/>
      </c>
      <c r="O37" s="478">
        <f>+O89/O42</f>
        <v/>
      </c>
      <c r="P37" s="478">
        <f>+P89/P42</f>
        <v/>
      </c>
      <c r="Q37" s="478">
        <f>+Q89/Q42</f>
        <v/>
      </c>
      <c r="R37" s="478">
        <f>+R89/R42</f>
        <v/>
      </c>
      <c r="S37" s="478">
        <f>+S89/S42</f>
        <v/>
      </c>
      <c r="T37" s="478">
        <f>+T89/T42</f>
        <v/>
      </c>
      <c r="U37" s="478">
        <f>+U89/U42</f>
        <v/>
      </c>
      <c r="V37" s="478">
        <f>+V89/V42</f>
        <v/>
      </c>
      <c r="W37" s="478">
        <f>+W89/W42</f>
        <v/>
      </c>
      <c r="X37" s="478">
        <f>+X89/X42</f>
        <v/>
      </c>
      <c r="Y37" s="478">
        <f>+Y89/Y42</f>
        <v/>
      </c>
      <c r="Z37" s="478">
        <f>+Z89/Z42</f>
        <v/>
      </c>
      <c r="AA37" s="479" t="n"/>
      <c r="AB37" s="479" t="n"/>
      <c r="AC37" s="478" t="n"/>
      <c r="AD37" s="479" t="n"/>
      <c r="AE37" s="348" t="n"/>
      <c r="AF37" s="478" t="n"/>
      <c r="AG37" s="478" t="n"/>
      <c r="AH37" s="478" t="n"/>
      <c r="AI37" s="478" t="n"/>
      <c r="AJ37" s="478" t="n"/>
      <c r="AK37" s="478" t="n"/>
      <c r="AL37" s="478" t="n"/>
      <c r="AM37" s="478" t="n"/>
      <c r="AN37" s="478" t="n"/>
      <c r="AO37" s="478" t="n"/>
      <c r="AP37" s="478" t="n"/>
      <c r="AQ37" s="478" t="n"/>
      <c r="AR37" s="478" t="n"/>
      <c r="AS37" s="478" t="n"/>
      <c r="AT37" s="478" t="n"/>
      <c r="AU37" s="478" t="n"/>
      <c r="AV37" s="478" t="n"/>
      <c r="AW37" s="478" t="n"/>
      <c r="AX37" s="478" t="n"/>
      <c r="AY37" s="478" t="n"/>
      <c r="AZ37" s="478" t="n"/>
      <c r="BA37" s="478" t="n"/>
      <c r="BB37" s="478" t="n"/>
      <c r="BC37" s="478" t="n"/>
      <c r="BD37" s="478" t="n"/>
      <c r="BE37" s="478" t="n"/>
      <c r="BF37" s="478" t="n"/>
      <c r="BG37" s="478" t="n"/>
      <c r="BH37" s="478" t="n"/>
      <c r="BI37" s="478" t="n"/>
      <c r="BJ37" s="478" t="n"/>
      <c r="BK37" s="478" t="n"/>
      <c r="BL37" s="478" t="n"/>
      <c r="BM37" s="478" t="n"/>
      <c r="BN37" s="478" t="n"/>
      <c r="BO37" s="478" t="n"/>
      <c r="BP37" s="478" t="n"/>
      <c r="BQ37" s="478" t="n"/>
      <c r="BR37" s="478" t="n"/>
      <c r="BS37" s="478" t="n"/>
      <c r="BT37" s="478" t="n"/>
      <c r="BU37" s="480" t="n"/>
      <c r="BV37" s="480" t="n"/>
      <c r="BW37" s="480" t="n"/>
      <c r="BX37" s="480" t="n"/>
      <c r="BZ37" s="478" t="n"/>
      <c r="CA37" s="478" t="n"/>
      <c r="CB37" s="478" t="n"/>
      <c r="CC37" s="478" t="n"/>
      <c r="CD37" s="478" t="n"/>
      <c r="CE37" s="478" t="n"/>
      <c r="CF37" s="478" t="n"/>
      <c r="CG37" s="478" t="n"/>
      <c r="CH37" s="478" t="n"/>
      <c r="CI37" s="478" t="n"/>
      <c r="CJ37" s="478" t="n"/>
      <c r="CK37" s="478" t="n"/>
      <c r="CL37" s="478" t="n"/>
      <c r="CM37" s="478" t="n"/>
      <c r="CN37" s="478" t="n"/>
      <c r="CO37" s="478" t="n"/>
      <c r="CP37" s="478" t="n"/>
      <c r="CQ37" s="478" t="n"/>
      <c r="CR37" s="478" t="n"/>
      <c r="CS37" s="478" t="n"/>
      <c r="CT37" s="478" t="n"/>
      <c r="CU37" s="478" t="n"/>
      <c r="CV37" s="478" t="n"/>
      <c r="CW37" s="478" t="n"/>
      <c r="CX37" s="478" t="n"/>
      <c r="CY37" s="478" t="n"/>
      <c r="CZ37" s="478" t="n"/>
      <c r="DA37" s="478" t="n"/>
      <c r="DB37" s="478" t="n"/>
      <c r="DC37" s="478" t="n"/>
      <c r="DD37" s="478" t="n"/>
      <c r="DE37" s="478" t="n"/>
      <c r="DF37" s="478" t="n"/>
      <c r="DG37" s="478" t="n"/>
      <c r="DH37" s="478" t="n"/>
      <c r="DI37" s="478" t="n"/>
      <c r="DJ37" s="478" t="n"/>
      <c r="DK37" s="478" t="n"/>
      <c r="DL37" s="478" t="n"/>
      <c r="DM37" s="478" t="n"/>
      <c r="DN37" s="478" t="n"/>
      <c r="DO37" s="478" t="n"/>
      <c r="DP37" s="478" t="n"/>
      <c r="DQ37" s="478" t="n"/>
      <c r="DR37" s="478" t="n"/>
      <c r="DS37" s="478" t="n"/>
      <c r="DT37" s="478" t="n"/>
      <c r="DU37" s="478" t="n"/>
      <c r="DV37" s="478" t="n"/>
      <c r="DW37" s="478" t="n"/>
      <c r="DX37" s="478" t="n"/>
      <c r="DY37" s="478" t="n"/>
      <c r="DZ37" s="478" t="n"/>
      <c r="EA37" s="478" t="n"/>
      <c r="EB37" s="478" t="n"/>
      <c r="EC37" s="478" t="n"/>
      <c r="ED37" s="478" t="n"/>
      <c r="EE37" s="478" t="n"/>
      <c r="EF37" s="478" t="n"/>
      <c r="EG37" s="478" t="n"/>
      <c r="EH37" s="478" t="n"/>
      <c r="EI37" s="478" t="n"/>
      <c r="EJ37" s="478" t="n"/>
      <c r="EK37" s="478" t="n"/>
      <c r="EL37" s="478" t="n"/>
      <c r="EM37" s="478" t="n"/>
      <c r="EN37" s="478" t="n"/>
      <c r="EO37" s="478" t="n"/>
      <c r="EP37" s="478" t="n"/>
      <c r="EQ37" s="478" t="n"/>
      <c r="ER37" s="478" t="n"/>
      <c r="ES37" s="478" t="n"/>
      <c r="ET37" s="478" t="n"/>
      <c r="EU37" s="478" t="n"/>
      <c r="EV37" s="478" t="n"/>
      <c r="EW37" s="478" t="n"/>
      <c r="EX37" s="478" t="n"/>
      <c r="EY37" s="478" t="n"/>
      <c r="EZ37" s="478" t="n"/>
      <c r="FA37" s="478" t="n"/>
      <c r="FB37" s="478" t="n"/>
      <c r="FC37" s="478" t="n"/>
      <c r="FD37" s="478" t="n"/>
      <c r="FE37" s="478" t="n"/>
    </row>
    <row r="38">
      <c r="A38" s="6" t="inlineStr">
        <is>
          <t>Dividend 现金分红</t>
        </is>
      </c>
      <c r="B38" s="481" t="n">
        <v>90</v>
      </c>
      <c r="C38" s="481" t="n">
        <v>196.08</v>
      </c>
      <c r="D38" s="481" t="n">
        <v>17.64</v>
      </c>
      <c r="E38" s="481" t="n">
        <v>160.31</v>
      </c>
      <c r="F38" s="481" t="n">
        <v>260.5</v>
      </c>
      <c r="G38" s="481" t="n">
        <v>320.62</v>
      </c>
      <c r="H38" s="481" t="n">
        <v>220.42</v>
      </c>
      <c r="I38" s="481" t="n">
        <v>360.69</v>
      </c>
      <c r="J38" s="481" t="n">
        <v>210.32</v>
      </c>
      <c r="K38" s="481" t="n">
        <v>140.21</v>
      </c>
      <c r="L38" s="481" t="n">
        <v>0</v>
      </c>
      <c r="M38" s="481" t="n">
        <v>0</v>
      </c>
      <c r="N38" s="481" t="n">
        <v>339.99</v>
      </c>
      <c r="O38" s="481" t="n">
        <v>639.35</v>
      </c>
      <c r="P38" s="481" t="n">
        <v>561.53</v>
      </c>
      <c r="Q38" s="481" t="n">
        <v>717.33</v>
      </c>
      <c r="R38" s="481" t="n">
        <v>1044.71</v>
      </c>
      <c r="S38" s="481" t="n">
        <v>1480.81</v>
      </c>
      <c r="T38" s="481" t="n">
        <v>1366.32</v>
      </c>
      <c r="U38" s="451">
        <f>U28*U40</f>
        <v/>
      </c>
      <c r="V38" s="451">
        <f>V28*V40</f>
        <v/>
      </c>
      <c r="W38" s="451">
        <f>W28*W40</f>
        <v/>
      </c>
      <c r="X38" s="451">
        <f>X28*X40</f>
        <v/>
      </c>
      <c r="Y38" s="451">
        <f>Y28*Y40</f>
        <v/>
      </c>
      <c r="Z38" s="451">
        <f>Z28*Z40</f>
        <v/>
      </c>
      <c r="AA38" s="452" t="n"/>
      <c r="AB38" s="452" t="n"/>
      <c r="AC38" s="451" t="n"/>
      <c r="AD38" s="452" t="n"/>
      <c r="AE38" s="348" t="n"/>
      <c r="AF38" s="478" t="n"/>
      <c r="AG38" s="451" t="n"/>
      <c r="AH38" s="451" t="n"/>
      <c r="AI38" s="451" t="n"/>
      <c r="AJ38" s="451" t="n"/>
      <c r="AK38" s="451" t="n"/>
      <c r="AL38" s="451" t="n"/>
      <c r="AM38" s="451" t="n"/>
      <c r="AN38" s="451" t="n"/>
      <c r="AO38" s="451" t="n"/>
      <c r="AP38" s="451" t="n"/>
      <c r="AQ38" s="451" t="n"/>
      <c r="AR38" s="451" t="n"/>
      <c r="AS38" s="451" t="n"/>
      <c r="AT38" s="451" t="n"/>
      <c r="AU38" s="451" t="n"/>
      <c r="AV38" s="451" t="n"/>
      <c r="AW38" s="451" t="n"/>
      <c r="AX38" s="451" t="n"/>
      <c r="AY38" s="451" t="n"/>
      <c r="AZ38" s="451" t="n"/>
      <c r="BA38" s="451" t="n"/>
      <c r="BB38" s="451" t="n"/>
      <c r="BC38" s="451" t="n"/>
      <c r="BD38" s="451" t="n"/>
      <c r="BE38" s="451" t="n"/>
      <c r="BF38" s="451" t="n"/>
      <c r="BG38" s="451" t="n"/>
      <c r="BH38" s="451" t="n"/>
      <c r="BI38" s="451" t="n"/>
      <c r="BJ38" s="451" t="n"/>
      <c r="BK38" s="451" t="n"/>
      <c r="BL38" s="451" t="n"/>
      <c r="BM38" s="451" t="n"/>
      <c r="BN38" s="451" t="n"/>
      <c r="BO38" s="451" t="n"/>
      <c r="BP38" s="451" t="n"/>
      <c r="BQ38" s="451" t="n"/>
      <c r="BR38" s="451" t="n"/>
      <c r="BS38" s="451" t="n"/>
      <c r="BT38" s="451" t="n"/>
      <c r="BU38" s="482" t="n"/>
      <c r="BV38" s="482" t="n"/>
      <c r="BW38" s="482" t="n"/>
      <c r="BX38" s="482" t="n"/>
      <c r="BZ38" s="451" t="n"/>
      <c r="CA38" s="451" t="n"/>
      <c r="CB38" s="451" t="n"/>
      <c r="CC38" s="451" t="n"/>
      <c r="CD38" s="451" t="n"/>
      <c r="CE38" s="451" t="n"/>
      <c r="CF38" s="451" t="n"/>
      <c r="CG38" s="451" t="n"/>
      <c r="CH38" s="451" t="n"/>
      <c r="CI38" s="451" t="n"/>
      <c r="CJ38" s="451" t="n"/>
      <c r="CK38" s="451" t="n"/>
      <c r="CL38" s="451" t="n"/>
      <c r="CM38" s="451" t="n"/>
      <c r="CN38" s="451" t="n"/>
      <c r="CO38" s="451" t="n"/>
      <c r="CP38" s="451" t="n"/>
      <c r="CQ38" s="451" t="n"/>
      <c r="CR38" s="451" t="n"/>
      <c r="CS38" s="451" t="n"/>
      <c r="CT38" s="451" t="n"/>
      <c r="CU38" s="451" t="n"/>
      <c r="CV38" s="451" t="n"/>
      <c r="CW38" s="451" t="n"/>
      <c r="CX38" s="451" t="n"/>
      <c r="CY38" s="451" t="n"/>
      <c r="CZ38" s="451" t="n"/>
      <c r="DA38" s="451" t="n"/>
      <c r="DB38" s="451" t="n"/>
      <c r="DC38" s="451" t="n"/>
      <c r="DD38" s="451" t="n"/>
      <c r="DE38" s="451" t="n"/>
      <c r="DF38" s="451" t="n"/>
      <c r="DG38" s="451" t="n"/>
      <c r="DH38" s="451" t="n"/>
      <c r="DI38" s="451" t="n"/>
      <c r="DJ38" s="451" t="n"/>
      <c r="DK38" s="451" t="n"/>
      <c r="DL38" s="451" t="n"/>
      <c r="DM38" s="451" t="n"/>
      <c r="DN38" s="451" t="n"/>
      <c r="DO38" s="451" t="n"/>
      <c r="DP38" s="451" t="n"/>
      <c r="DQ38" s="451" t="n"/>
      <c r="DR38" s="451" t="n"/>
      <c r="DS38" s="451" t="n"/>
      <c r="DT38" s="451" t="n"/>
      <c r="DU38" s="451" t="n"/>
      <c r="DV38" s="451" t="n"/>
      <c r="DW38" s="451" t="n"/>
      <c r="DX38" s="451" t="n"/>
      <c r="DY38" s="451" t="n"/>
      <c r="DZ38" s="451" t="n"/>
      <c r="EA38" s="451" t="n"/>
      <c r="EB38" s="451" t="n"/>
      <c r="EC38" s="451" t="n"/>
      <c r="ED38" s="451" t="n"/>
      <c r="EE38" s="451" t="n"/>
      <c r="EF38" s="451" t="n"/>
      <c r="EG38" s="451" t="n"/>
      <c r="EH38" s="451" t="n"/>
      <c r="EI38" s="451" t="n"/>
      <c r="EJ38" s="451" t="n"/>
      <c r="EK38" s="451" t="n"/>
      <c r="EL38" s="451" t="n"/>
      <c r="EM38" s="451" t="n"/>
      <c r="EN38" s="451" t="n"/>
      <c r="EO38" s="451" t="n"/>
      <c r="EP38" s="451" t="n"/>
      <c r="EQ38" s="451" t="n"/>
      <c r="ER38" s="451" t="n"/>
      <c r="ES38" s="451" t="n"/>
      <c r="ET38" s="451" t="n"/>
      <c r="EU38" s="451" t="n"/>
      <c r="EV38" s="451" t="n"/>
      <c r="EW38" s="451" t="n"/>
      <c r="EX38" s="451" t="n"/>
      <c r="EY38" s="451" t="n"/>
      <c r="EZ38" s="451" t="n"/>
      <c r="FA38" s="451" t="n"/>
      <c r="FB38" s="451" t="n"/>
      <c r="FC38" s="451" t="n"/>
      <c r="FD38" s="451" t="n"/>
      <c r="FE38" s="451" t="n"/>
    </row>
    <row r="39">
      <c r="A39" s="6" t="inlineStr">
        <is>
          <t>DPS</t>
        </is>
      </c>
      <c r="B39" s="478">
        <f>B38/B42</f>
        <v/>
      </c>
      <c r="C39" s="478">
        <f>C38/C42</f>
        <v/>
      </c>
      <c r="D39" s="478">
        <f>D38/D42</f>
        <v/>
      </c>
      <c r="E39" s="478">
        <f>E38/E42</f>
        <v/>
      </c>
      <c r="F39" s="478">
        <f>F38/F42</f>
        <v/>
      </c>
      <c r="G39" s="478">
        <f>G38/G42</f>
        <v/>
      </c>
      <c r="H39" s="478">
        <f>H38/H42</f>
        <v/>
      </c>
      <c r="I39" s="478">
        <f>I38/I42</f>
        <v/>
      </c>
      <c r="J39" s="478">
        <f>J38/J42</f>
        <v/>
      </c>
      <c r="K39" s="478">
        <f>K38/K42</f>
        <v/>
      </c>
      <c r="L39" s="478">
        <f>L38/L42</f>
        <v/>
      </c>
      <c r="M39" s="478">
        <f>M38/M42</f>
        <v/>
      </c>
      <c r="N39" s="478">
        <f>N38/N42</f>
        <v/>
      </c>
      <c r="O39" s="478">
        <f>O38/O42</f>
        <v/>
      </c>
      <c r="P39" s="478">
        <f>P38/P42</f>
        <v/>
      </c>
      <c r="Q39" s="478">
        <f>Q38/Q42</f>
        <v/>
      </c>
      <c r="R39" s="478">
        <f>R38/R42</f>
        <v/>
      </c>
      <c r="S39" s="478">
        <f>S38/S42</f>
        <v/>
      </c>
      <c r="T39" s="478">
        <f>T38/T42</f>
        <v/>
      </c>
      <c r="U39" s="478">
        <f>U38/U42</f>
        <v/>
      </c>
      <c r="V39" s="478">
        <f>V38/V42</f>
        <v/>
      </c>
      <c r="W39" s="478">
        <f>W38/W42</f>
        <v/>
      </c>
      <c r="X39" s="478">
        <f>X38/X42</f>
        <v/>
      </c>
      <c r="Y39" s="478">
        <f>Y38/Y42</f>
        <v/>
      </c>
      <c r="Z39" s="478">
        <f>Z38/Z42</f>
        <v/>
      </c>
      <c r="AA39" s="479" t="n"/>
      <c r="AB39" s="479" t="n"/>
      <c r="AC39" s="478" t="n"/>
      <c r="AD39" s="479" t="n"/>
      <c r="AE39" s="348" t="n"/>
      <c r="AF39" s="478" t="n"/>
      <c r="AG39" s="451" t="n"/>
      <c r="AH39" s="451" t="n"/>
      <c r="AI39" s="451" t="n"/>
      <c r="AJ39" s="451" t="n"/>
      <c r="AK39" s="451" t="n"/>
      <c r="AL39" s="451" t="n"/>
      <c r="AM39" s="451" t="n"/>
      <c r="AN39" s="451" t="n"/>
      <c r="AO39" s="451" t="n"/>
      <c r="AP39" s="451" t="n"/>
      <c r="AQ39" s="451" t="n"/>
      <c r="AR39" s="451" t="n"/>
      <c r="AS39" s="451" t="n"/>
      <c r="AT39" s="451" t="n"/>
      <c r="AU39" s="451" t="n"/>
      <c r="AV39" s="451" t="n"/>
      <c r="AW39" s="451" t="n"/>
      <c r="AX39" s="451" t="n"/>
      <c r="AY39" s="451" t="n"/>
      <c r="AZ39" s="451" t="n"/>
      <c r="BA39" s="451" t="n"/>
      <c r="BB39" s="451" t="n"/>
      <c r="BC39" s="451" t="n"/>
      <c r="BD39" s="451" t="n"/>
      <c r="BE39" s="451" t="n"/>
      <c r="BF39" s="451" t="n"/>
      <c r="BG39" s="451" t="n"/>
      <c r="BH39" s="451" t="n"/>
      <c r="BI39" s="451" t="n"/>
      <c r="BJ39" s="451" t="n"/>
      <c r="BK39" s="451" t="n"/>
      <c r="BL39" s="451" t="n"/>
      <c r="BM39" s="451" t="n"/>
      <c r="BN39" s="451" t="n"/>
      <c r="BO39" s="451" t="n"/>
      <c r="BP39" s="451" t="n"/>
      <c r="BQ39" s="451" t="n"/>
      <c r="BR39" s="451" t="n"/>
      <c r="BS39" s="451" t="n"/>
      <c r="BT39" s="451" t="n"/>
      <c r="BU39" s="482" t="n"/>
      <c r="BV39" s="482" t="n"/>
      <c r="BW39" s="482" t="n"/>
      <c r="BX39" s="482" t="n"/>
      <c r="BZ39" s="451" t="n"/>
      <c r="CA39" s="451" t="n"/>
      <c r="CB39" s="451" t="n"/>
      <c r="CC39" s="451" t="n"/>
      <c r="CD39" s="451" t="n"/>
      <c r="CE39" s="451" t="n"/>
      <c r="CF39" s="451" t="n"/>
      <c r="CG39" s="451" t="n"/>
      <c r="CH39" s="451" t="n"/>
      <c r="CI39" s="451" t="n"/>
      <c r="CJ39" s="451" t="n"/>
      <c r="CK39" s="451" t="n"/>
      <c r="CL39" s="451" t="n"/>
      <c r="CM39" s="451" t="n"/>
      <c r="CN39" s="451" t="n"/>
      <c r="CO39" s="451" t="n"/>
      <c r="CP39" s="451" t="n"/>
      <c r="CQ39" s="451" t="n"/>
      <c r="CR39" s="451" t="n"/>
      <c r="CS39" s="451" t="n"/>
      <c r="CT39" s="451" t="n"/>
      <c r="CU39" s="451" t="n"/>
      <c r="CV39" s="451" t="n"/>
      <c r="CW39" s="451" t="n"/>
      <c r="CX39" s="451" t="n"/>
      <c r="CY39" s="451" t="n"/>
      <c r="CZ39" s="451" t="n"/>
      <c r="DA39" s="451" t="n"/>
      <c r="DB39" s="451" t="n"/>
      <c r="DC39" s="451" t="n"/>
      <c r="DD39" s="451" t="n"/>
      <c r="DE39" s="451" t="n"/>
      <c r="DF39" s="451" t="n"/>
      <c r="DG39" s="451" t="n"/>
      <c r="DH39" s="451" t="n"/>
      <c r="DI39" s="451" t="n"/>
      <c r="DJ39" s="451" t="n"/>
      <c r="DK39" s="451" t="n"/>
      <c r="DL39" s="451" t="n"/>
      <c r="DM39" s="451" t="n"/>
      <c r="DN39" s="451" t="n"/>
      <c r="DO39" s="451" t="n"/>
      <c r="DP39" s="451" t="n"/>
      <c r="DQ39" s="451" t="n"/>
      <c r="DR39" s="451" t="n"/>
      <c r="DS39" s="451" t="n"/>
      <c r="DT39" s="451" t="n"/>
      <c r="DU39" s="451" t="n"/>
      <c r="DV39" s="451" t="n"/>
      <c r="DW39" s="451" t="n"/>
      <c r="DX39" s="451" t="n"/>
      <c r="DY39" s="451" t="n"/>
      <c r="DZ39" s="451" t="n"/>
      <c r="EA39" s="451" t="n"/>
      <c r="EB39" s="451" t="n"/>
      <c r="EC39" s="451" t="n"/>
      <c r="ED39" s="451" t="n"/>
      <c r="EE39" s="451" t="n"/>
      <c r="EF39" s="451" t="n"/>
      <c r="EG39" s="451" t="n"/>
      <c r="EH39" s="451" t="n"/>
      <c r="EI39" s="451" t="n"/>
      <c r="EJ39" s="451" t="n"/>
      <c r="EK39" s="451" t="n"/>
      <c r="EL39" s="451" t="n"/>
      <c r="EM39" s="451" t="n"/>
      <c r="EN39" s="451" t="n"/>
      <c r="EO39" s="451" t="n"/>
      <c r="EP39" s="451" t="n"/>
      <c r="EQ39" s="451" t="n"/>
      <c r="ER39" s="451" t="n"/>
      <c r="ES39" s="451" t="n"/>
      <c r="ET39" s="451" t="n"/>
      <c r="EU39" s="451" t="n"/>
      <c r="EV39" s="464" t="n"/>
      <c r="EW39" s="451" t="n"/>
      <c r="EX39" s="451" t="n"/>
      <c r="EY39" s="451" t="n"/>
      <c r="EZ39" s="451" t="n"/>
      <c r="FA39" s="451" t="n"/>
      <c r="FB39" s="451" t="n"/>
      <c r="FC39" s="451" t="n"/>
      <c r="FD39" s="451" t="n"/>
      <c r="FE39" s="451" t="n"/>
    </row>
    <row r="40">
      <c r="A40" s="6" t="inlineStr">
        <is>
          <t>Payout ratio</t>
        </is>
      </c>
      <c r="B40" s="58">
        <f>B38/B28</f>
        <v/>
      </c>
      <c r="C40" s="58">
        <f>C38/C28</f>
        <v/>
      </c>
      <c r="D40" s="58">
        <f>D38/D28</f>
        <v/>
      </c>
      <c r="E40" s="58">
        <f>E38/E28</f>
        <v/>
      </c>
      <c r="F40" s="58">
        <f>F38/F28</f>
        <v/>
      </c>
      <c r="G40" s="58">
        <f>G38/G28</f>
        <v/>
      </c>
      <c r="H40" s="58">
        <f>H38/H28</f>
        <v/>
      </c>
      <c r="I40" s="58">
        <f>I38/I28</f>
        <v/>
      </c>
      <c r="J40" s="58">
        <f>J38/J28</f>
        <v/>
      </c>
      <c r="K40" s="58">
        <f>K38/K28</f>
        <v/>
      </c>
      <c r="L40" s="58">
        <f>L38/L28</f>
        <v/>
      </c>
      <c r="M40" s="58">
        <f>M38/M28</f>
        <v/>
      </c>
      <c r="N40" s="58">
        <f>N38/N28</f>
        <v/>
      </c>
      <c r="O40" s="58">
        <f>O38/O28</f>
        <v/>
      </c>
      <c r="P40" s="58">
        <f>P38/P28</f>
        <v/>
      </c>
      <c r="Q40" s="58">
        <f>Q38/Q28</f>
        <v/>
      </c>
      <c r="R40" s="58">
        <f>R38/R28</f>
        <v/>
      </c>
      <c r="S40" s="58">
        <f>S38/S28</f>
        <v/>
      </c>
      <c r="T40" s="58">
        <f>T38/T28</f>
        <v/>
      </c>
      <c r="U40" s="57">
        <f>T40+1%</f>
        <v/>
      </c>
      <c r="V40" s="57">
        <f>U40+1%</f>
        <v/>
      </c>
      <c r="W40" s="57">
        <f>V40+1%</f>
        <v/>
      </c>
      <c r="X40" s="57">
        <f>+W40</f>
        <v/>
      </c>
      <c r="Y40" s="57">
        <f>+X40</f>
        <v/>
      </c>
      <c r="Z40" s="57">
        <f>+Y40</f>
        <v/>
      </c>
      <c r="AA40" s="353" t="n"/>
      <c r="AB40" s="353" t="n"/>
      <c r="AC40" s="57" t="n"/>
      <c r="AD40" s="353" t="n"/>
      <c r="AE40" s="368" t="n"/>
      <c r="AF40" s="76" t="n"/>
      <c r="AG40" s="478" t="n"/>
      <c r="AH40" s="478" t="n"/>
      <c r="AI40" s="478" t="n"/>
      <c r="AJ40" s="478" t="n"/>
      <c r="AK40" s="478" t="n"/>
      <c r="AL40" s="478" t="n"/>
      <c r="AM40" s="478" t="n"/>
      <c r="AN40" s="478" t="n"/>
      <c r="AO40" s="478" t="n"/>
      <c r="AP40" s="478" t="n"/>
      <c r="AQ40" s="478" t="n"/>
      <c r="AR40" s="478" t="n"/>
      <c r="AS40" s="478" t="n"/>
      <c r="AT40" s="478" t="n"/>
      <c r="AU40" s="478" t="n"/>
      <c r="AV40" s="478" t="n"/>
      <c r="AW40" s="478" t="n"/>
      <c r="AX40" s="478" t="n"/>
      <c r="AY40" s="478" t="n"/>
      <c r="AZ40" s="478" t="n"/>
      <c r="BA40" s="478" t="n"/>
      <c r="BB40" s="478" t="n"/>
      <c r="BC40" s="478" t="n"/>
      <c r="BD40" s="478" t="n"/>
      <c r="BE40" s="478" t="n"/>
      <c r="BF40" s="478" t="n"/>
      <c r="BG40" s="478" t="n"/>
      <c r="BH40" s="478" t="n"/>
      <c r="BI40" s="478" t="n"/>
      <c r="BJ40" s="478" t="n"/>
      <c r="BK40" s="478" t="n"/>
      <c r="BL40" s="478" t="n"/>
      <c r="BM40" s="478" t="n"/>
      <c r="BN40" s="478" t="n"/>
      <c r="BO40" s="478" t="n"/>
      <c r="BP40" s="478" t="n"/>
      <c r="BQ40" s="478" t="n"/>
      <c r="BR40" s="478" t="n"/>
      <c r="BS40" s="478" t="n"/>
      <c r="BT40" s="478" t="n"/>
      <c r="BU40" s="480" t="n"/>
      <c r="BV40" s="480" t="n"/>
      <c r="BW40" s="480" t="n"/>
      <c r="BX40" s="480" t="n"/>
      <c r="BZ40" s="451" t="n"/>
      <c r="CA40" s="451" t="n"/>
      <c r="CB40" s="451" t="n"/>
      <c r="CC40" s="451" t="n"/>
      <c r="CD40" s="451" t="n"/>
      <c r="CE40" s="451" t="n"/>
      <c r="CF40" s="451" t="n"/>
      <c r="CG40" s="451" t="n"/>
      <c r="CH40" s="451" t="n"/>
      <c r="CI40" s="451" t="n"/>
      <c r="CJ40" s="451" t="n"/>
      <c r="CK40" s="451" t="n"/>
      <c r="CL40" s="451" t="n"/>
      <c r="CM40" s="451" t="n"/>
      <c r="CN40" s="451" t="n"/>
      <c r="CO40" s="451" t="n"/>
      <c r="CP40" s="451" t="n"/>
      <c r="CQ40" s="451" t="n"/>
      <c r="CR40" s="451" t="n"/>
      <c r="CS40" s="451" t="n"/>
      <c r="CT40" s="451" t="n"/>
      <c r="CU40" s="451" t="n"/>
      <c r="CV40" s="451" t="n"/>
      <c r="CW40" s="451" t="n"/>
      <c r="CX40" s="451" t="n"/>
      <c r="CY40" s="451" t="n"/>
      <c r="CZ40" s="451" t="n"/>
      <c r="DA40" s="451" t="n"/>
      <c r="DB40" s="451" t="n"/>
      <c r="DC40" s="451" t="n"/>
      <c r="DD40" s="451" t="n"/>
      <c r="DE40" s="451" t="n"/>
      <c r="DF40" s="451" t="n"/>
      <c r="DG40" s="451" t="n"/>
      <c r="DH40" s="451" t="n"/>
      <c r="DI40" s="451" t="n"/>
      <c r="DJ40" s="451" t="n"/>
      <c r="DK40" s="451" t="n"/>
      <c r="DL40" s="451" t="n"/>
      <c r="DM40" s="451" t="n"/>
      <c r="DN40" s="451" t="n"/>
      <c r="DO40" s="451" t="n"/>
      <c r="DP40" s="451" t="n"/>
      <c r="DQ40" s="451" t="n"/>
      <c r="DR40" s="451" t="n"/>
      <c r="DS40" s="451" t="n"/>
      <c r="DT40" s="451" t="n"/>
      <c r="DU40" s="451" t="n"/>
      <c r="DV40" s="451" t="n"/>
      <c r="DW40" s="451" t="n"/>
      <c r="DX40" s="451" t="n"/>
      <c r="DY40" s="451" t="n"/>
      <c r="DZ40" s="451" t="n"/>
      <c r="EA40" s="451" t="n"/>
      <c r="EB40" s="451" t="n"/>
      <c r="EC40" s="451" t="n"/>
      <c r="ED40" s="451" t="n"/>
      <c r="EE40" s="451" t="n"/>
      <c r="EF40" s="451" t="n"/>
      <c r="EG40" s="451" t="n"/>
      <c r="EH40" s="451" t="n"/>
      <c r="EI40" s="451" t="n"/>
      <c r="EJ40" s="451" t="n"/>
      <c r="EK40" s="451" t="n"/>
      <c r="EL40" s="451" t="n"/>
      <c r="EM40" s="451" t="n"/>
      <c r="EN40" s="451" t="n"/>
      <c r="EO40" s="451" t="n"/>
      <c r="EP40" s="451" t="n"/>
      <c r="EQ40" s="451" t="n"/>
      <c r="ER40" s="451" t="n"/>
      <c r="ES40" s="451" t="n"/>
      <c r="ET40" s="451" t="n"/>
      <c r="EU40" s="451" t="n"/>
      <c r="EV40" s="73" t="n"/>
      <c r="EW40" s="451" t="n"/>
      <c r="EX40" s="451" t="n"/>
      <c r="EY40" s="451" t="n"/>
      <c r="EZ40" s="451" t="n"/>
      <c r="FA40" s="451" t="n"/>
      <c r="FB40" s="478" t="n"/>
      <c r="FC40" s="478" t="n"/>
      <c r="FD40" s="478" t="n"/>
      <c r="FE40" s="478" t="n"/>
    </row>
    <row r="41">
      <c r="A41" s="433" t="n"/>
      <c r="B41" s="451" t="n"/>
      <c r="C41" s="451" t="n"/>
      <c r="D41" s="451" t="n"/>
      <c r="E41" s="451" t="n"/>
      <c r="F41" s="451" t="n"/>
      <c r="G41" s="451" t="n"/>
      <c r="H41" s="451" t="n"/>
      <c r="I41" s="451" t="n"/>
      <c r="J41" s="451" t="n"/>
      <c r="K41" s="451" t="n"/>
      <c r="L41" s="451" t="n"/>
      <c r="M41" s="451" t="n"/>
      <c r="N41" s="451" t="n"/>
      <c r="O41" s="451" t="n"/>
      <c r="P41" s="451" t="n"/>
      <c r="Q41" s="451" t="n"/>
      <c r="R41" s="451" t="n"/>
      <c r="S41" s="464" t="n"/>
      <c r="T41" s="464" t="n"/>
      <c r="U41" s="451" t="n"/>
      <c r="V41" s="451" t="n"/>
      <c r="W41" s="451" t="n"/>
      <c r="X41" s="451" t="n"/>
      <c r="Y41" s="451" t="n"/>
      <c r="Z41" s="451" t="n"/>
      <c r="AA41" s="452" t="n"/>
      <c r="AB41" s="452" t="n"/>
      <c r="AC41" s="451" t="n"/>
      <c r="AD41" s="452" t="n"/>
      <c r="AE41" s="348" t="n"/>
      <c r="AF41" s="451" t="n"/>
      <c r="AG41" s="465" t="n"/>
      <c r="AH41" s="465" t="n"/>
      <c r="AI41" s="465" t="n"/>
      <c r="AJ41" s="465" t="n"/>
      <c r="AK41" s="465" t="n"/>
      <c r="AL41" s="465" t="n"/>
      <c r="AM41" s="465" t="n"/>
      <c r="AN41" s="465" t="n"/>
      <c r="AO41" s="465" t="n"/>
      <c r="AP41" s="465" t="n"/>
      <c r="AQ41" s="465" t="n"/>
      <c r="AR41" s="465" t="n"/>
      <c r="AS41" s="465" t="n"/>
      <c r="AT41" s="465" t="n"/>
      <c r="AU41" s="465" t="n"/>
      <c r="AV41" s="465" t="n"/>
      <c r="AW41" s="465" t="n"/>
      <c r="AX41" s="465" t="n"/>
      <c r="AY41" s="465" t="n"/>
      <c r="AZ41" s="465" t="n"/>
      <c r="BA41" s="465" t="n"/>
      <c r="BB41" s="465" t="n"/>
      <c r="BC41" s="465" t="n"/>
      <c r="BD41" s="465" t="n"/>
      <c r="BE41" s="465" t="n"/>
      <c r="BF41" s="465" t="n"/>
      <c r="BG41" s="465" t="n"/>
      <c r="BH41" s="465" t="n"/>
      <c r="BI41" s="465" t="n"/>
      <c r="BJ41" s="465" t="n"/>
      <c r="BK41" s="465" t="n"/>
      <c r="BL41" s="465" t="n"/>
      <c r="BM41" s="465" t="n"/>
      <c r="BN41" s="465" t="n"/>
      <c r="BO41" s="465" t="n"/>
      <c r="BP41" s="465" t="n"/>
      <c r="BQ41" s="465" t="n"/>
      <c r="BR41" s="465" t="n"/>
      <c r="BS41" s="465" t="n"/>
      <c r="BT41" s="465" t="n"/>
      <c r="BU41" s="483" t="n"/>
      <c r="BV41" s="483" t="n"/>
      <c r="BW41" s="483" t="n"/>
      <c r="BX41" s="483" t="n"/>
      <c r="BZ41" s="465" t="n"/>
      <c r="CA41" s="465" t="n"/>
      <c r="CB41" s="465" t="n"/>
      <c r="CC41" s="465" t="n"/>
      <c r="CD41" s="465" t="n"/>
      <c r="CE41" s="465" t="n"/>
      <c r="CF41" s="465" t="n"/>
      <c r="CG41" s="465" t="n"/>
      <c r="CH41" s="465" t="n"/>
      <c r="CI41" s="465" t="n"/>
      <c r="CJ41" s="465" t="n"/>
      <c r="CK41" s="465" t="n"/>
      <c r="CL41" s="465" t="n"/>
      <c r="CM41" s="465" t="n"/>
      <c r="CN41" s="465" t="n"/>
      <c r="CO41" s="465" t="n"/>
      <c r="CP41" s="465" t="n"/>
      <c r="CQ41" s="465" t="n"/>
      <c r="CR41" s="465" t="n"/>
      <c r="CS41" s="465" t="n"/>
      <c r="CT41" s="465" t="n"/>
      <c r="CU41" s="465" t="n"/>
      <c r="CV41" s="465" t="n"/>
      <c r="CW41" s="465" t="n"/>
      <c r="CX41" s="465" t="n"/>
      <c r="CY41" s="465" t="n"/>
      <c r="CZ41" s="465" t="n"/>
      <c r="DA41" s="465" t="n"/>
      <c r="DB41" s="465" t="n"/>
      <c r="DC41" s="465" t="n"/>
      <c r="DD41" s="465" t="n"/>
      <c r="DE41" s="465" t="n"/>
      <c r="DF41" s="465" t="n"/>
      <c r="DG41" s="465" t="n"/>
      <c r="DH41" s="465" t="n"/>
      <c r="DI41" s="465" t="n"/>
      <c r="DJ41" s="465" t="n"/>
      <c r="DK41" s="465" t="n"/>
      <c r="DL41" s="465" t="n"/>
      <c r="DM41" s="465" t="n"/>
      <c r="DN41" s="465" t="n"/>
      <c r="DO41" s="465" t="n"/>
      <c r="DP41" s="465" t="n"/>
      <c r="DQ41" s="465" t="n"/>
      <c r="DR41" s="465" t="n"/>
      <c r="DS41" s="465" t="n"/>
      <c r="DT41" s="465" t="n"/>
      <c r="DU41" s="465" t="n"/>
      <c r="DV41" s="465" t="n"/>
      <c r="DW41" s="465" t="n"/>
      <c r="DX41" s="465" t="n"/>
      <c r="DY41" s="465" t="n"/>
      <c r="DZ41" s="465" t="n"/>
      <c r="EA41" s="465" t="n"/>
      <c r="EB41" s="465" t="n"/>
      <c r="EC41" s="465" t="n"/>
      <c r="ED41" s="465" t="n"/>
      <c r="EE41" s="465" t="n"/>
      <c r="EF41" s="465" t="n"/>
      <c r="EG41" s="465" t="n"/>
      <c r="EH41" s="465" t="n"/>
      <c r="EI41" s="465" t="n"/>
      <c r="EJ41" s="465" t="n"/>
      <c r="EK41" s="465" t="n"/>
      <c r="EL41" s="465" t="n"/>
      <c r="EM41" s="465" t="n"/>
      <c r="EN41" s="465" t="n"/>
      <c r="EO41" s="465" t="n"/>
      <c r="EP41" s="465" t="n"/>
      <c r="EQ41" s="465" t="n"/>
      <c r="ER41" s="465" t="n"/>
      <c r="ES41" s="465" t="n"/>
      <c r="ET41" s="465" t="n"/>
      <c r="EU41" s="465" t="n"/>
      <c r="EV41" s="465" t="n"/>
      <c r="EW41" s="465" t="n"/>
      <c r="EX41" s="465" t="n"/>
      <c r="EY41" s="465" t="n"/>
      <c r="EZ41" s="465" t="n"/>
      <c r="FA41" s="465" t="n"/>
      <c r="FB41" s="465" t="n"/>
      <c r="FC41" s="465" t="n"/>
      <c r="FD41" s="465" t="n"/>
      <c r="FE41" s="465" t="n"/>
    </row>
    <row r="42">
      <c r="A42" s="6" t="inlineStr">
        <is>
          <t>Numbers of shares - YE</t>
        </is>
      </c>
      <c r="B42" s="465">
        <f>+B84</f>
        <v/>
      </c>
      <c r="C42" s="465">
        <f>+C84</f>
        <v/>
      </c>
      <c r="D42" s="465">
        <f>+D84</f>
        <v/>
      </c>
      <c r="E42" s="465">
        <f>+E84</f>
        <v/>
      </c>
      <c r="F42" s="465">
        <f>+F84</f>
        <v/>
      </c>
      <c r="G42" s="465">
        <f>+G84</f>
        <v/>
      </c>
      <c r="H42" s="465">
        <f>+H84</f>
        <v/>
      </c>
      <c r="I42" s="465">
        <f>+I84</f>
        <v/>
      </c>
      <c r="J42" s="465">
        <f>+J84</f>
        <v/>
      </c>
      <c r="K42" s="465">
        <f>+K84</f>
        <v/>
      </c>
      <c r="L42" s="465">
        <f>+L84</f>
        <v/>
      </c>
      <c r="M42" s="465">
        <f>+M84</f>
        <v/>
      </c>
      <c r="N42" s="465">
        <f>+N84</f>
        <v/>
      </c>
      <c r="O42" s="465">
        <f>+O84</f>
        <v/>
      </c>
      <c r="P42" s="465">
        <f>+P84</f>
        <v/>
      </c>
      <c r="Q42" s="465">
        <f>+Q84</f>
        <v/>
      </c>
      <c r="R42" s="465">
        <f>+R84</f>
        <v/>
      </c>
      <c r="S42" s="465">
        <f>+S84</f>
        <v/>
      </c>
      <c r="T42" s="465">
        <f>+T84</f>
        <v/>
      </c>
      <c r="U42" s="484" t="n">
        <v>3458</v>
      </c>
      <c r="V42" s="484">
        <f>U42</f>
        <v/>
      </c>
      <c r="W42" s="484">
        <f>V42</f>
        <v/>
      </c>
      <c r="X42" s="484">
        <f>W42</f>
        <v/>
      </c>
      <c r="Y42" s="484">
        <f>X42</f>
        <v/>
      </c>
      <c r="Z42" s="484">
        <f>Y42</f>
        <v/>
      </c>
      <c r="AA42" s="466" t="n"/>
      <c r="AB42" s="466" t="n"/>
      <c r="AC42" s="484" t="n"/>
      <c r="AD42" s="466" t="n"/>
      <c r="AE42" s="348" t="n"/>
      <c r="AF42" s="484" t="n"/>
      <c r="AG42" s="465">
        <f>+AG84</f>
        <v/>
      </c>
      <c r="AH42" s="465">
        <f>+AG42</f>
        <v/>
      </c>
      <c r="AI42" s="465">
        <f>+AI84</f>
        <v/>
      </c>
      <c r="AJ42" s="465">
        <f>+AI42</f>
        <v/>
      </c>
      <c r="AK42" s="465">
        <f>+AK84</f>
        <v/>
      </c>
      <c r="AL42" s="465">
        <f>+AK42</f>
        <v/>
      </c>
      <c r="AM42" s="465">
        <f>+AM84</f>
        <v/>
      </c>
      <c r="AN42" s="465">
        <f>+AM42</f>
        <v/>
      </c>
      <c r="AO42" s="465">
        <f>+AO84</f>
        <v/>
      </c>
      <c r="AP42" s="465">
        <f>+AO42</f>
        <v/>
      </c>
      <c r="AQ42" s="465">
        <f>+AQ84</f>
        <v/>
      </c>
      <c r="AR42" s="465">
        <f>+AQ42</f>
        <v/>
      </c>
      <c r="AS42" s="465">
        <f>+AS84</f>
        <v/>
      </c>
      <c r="AT42" s="465">
        <f>+AS42</f>
        <v/>
      </c>
      <c r="AU42" s="465">
        <f>+AU84</f>
        <v/>
      </c>
      <c r="AV42" s="465">
        <f>+AU42</f>
        <v/>
      </c>
      <c r="AW42" s="465">
        <f>+AW84</f>
        <v/>
      </c>
      <c r="AX42" s="465">
        <f>+AW42</f>
        <v/>
      </c>
      <c r="AY42" s="465">
        <f>+AY84</f>
        <v/>
      </c>
      <c r="AZ42" s="465">
        <f>+AY42</f>
        <v/>
      </c>
      <c r="BA42" s="465">
        <f>+BA84</f>
        <v/>
      </c>
      <c r="BB42" s="465">
        <f>+BA42</f>
        <v/>
      </c>
      <c r="BC42" s="465">
        <f>+BC84</f>
        <v/>
      </c>
      <c r="BD42" s="465">
        <f>+BC42</f>
        <v/>
      </c>
      <c r="BE42" s="465">
        <f>+BE84</f>
        <v/>
      </c>
      <c r="BF42" s="465">
        <f>+BE42</f>
        <v/>
      </c>
      <c r="BG42" s="465">
        <f>+BG84</f>
        <v/>
      </c>
      <c r="BH42" s="465">
        <f>+BG42</f>
        <v/>
      </c>
      <c r="BI42" s="465">
        <f>+BI84</f>
        <v/>
      </c>
      <c r="BJ42" s="465">
        <f>+BI42</f>
        <v/>
      </c>
      <c r="BK42" s="465">
        <f>+BK84</f>
        <v/>
      </c>
      <c r="BL42" s="465">
        <f>+BK42</f>
        <v/>
      </c>
      <c r="BM42" s="465">
        <f>+BM84</f>
        <v/>
      </c>
      <c r="BN42" s="465">
        <f>+BM42</f>
        <v/>
      </c>
      <c r="BO42" s="465">
        <f>+BO84</f>
        <v/>
      </c>
      <c r="BP42" s="465">
        <f>+BO42</f>
        <v/>
      </c>
      <c r="BQ42" s="465">
        <f>+BQ84</f>
        <v/>
      </c>
      <c r="BR42" s="465">
        <f>+BQ42</f>
        <v/>
      </c>
      <c r="BS42" s="465" t="n"/>
      <c r="BT42" s="465">
        <f>+BS42</f>
        <v/>
      </c>
      <c r="BU42" s="483" t="n"/>
      <c r="BV42" s="483" t="n"/>
      <c r="BW42" s="483" t="n"/>
      <c r="BX42" s="483" t="n"/>
      <c r="BZ42" s="465" t="n"/>
      <c r="CA42" s="465" t="n"/>
      <c r="CB42" s="465" t="n"/>
      <c r="CC42" s="465" t="n"/>
      <c r="CD42" s="465" t="n"/>
      <c r="CE42" s="465" t="n"/>
      <c r="CF42" s="465" t="n"/>
      <c r="CG42" s="465" t="n"/>
      <c r="CH42" s="465" t="n"/>
      <c r="CI42" s="465" t="n"/>
      <c r="CJ42" s="465" t="n"/>
      <c r="CK42" s="465" t="n"/>
      <c r="CL42" s="465" t="n"/>
      <c r="CM42" s="465" t="n"/>
      <c r="CN42" s="465" t="n"/>
      <c r="CO42" s="465" t="n"/>
      <c r="CP42" s="465" t="n"/>
      <c r="CQ42" s="465" t="n"/>
      <c r="CR42" s="465" t="n"/>
      <c r="CS42" s="465" t="n"/>
      <c r="CT42" s="465" t="n"/>
      <c r="CU42" s="465" t="n"/>
      <c r="CV42" s="465" t="n"/>
      <c r="CW42" s="465" t="n"/>
      <c r="CX42" s="465" t="n"/>
      <c r="CY42" s="465" t="n"/>
      <c r="CZ42" s="465" t="n"/>
      <c r="DA42" s="465" t="n"/>
      <c r="DB42" s="465" t="n"/>
      <c r="DC42" s="465" t="n"/>
      <c r="DD42" s="465" t="n"/>
      <c r="DE42" s="465" t="n"/>
      <c r="DF42" s="465" t="n"/>
      <c r="DG42" s="465" t="n"/>
      <c r="DH42" s="465" t="n"/>
      <c r="DI42" s="465" t="n"/>
      <c r="DJ42" s="465" t="n"/>
      <c r="DK42" s="465" t="n"/>
      <c r="DL42" s="465" t="n"/>
      <c r="DM42" s="465" t="n"/>
      <c r="DN42" s="465" t="n"/>
      <c r="DO42" s="465" t="n"/>
      <c r="DP42" s="465" t="n"/>
      <c r="DQ42" s="465" t="n"/>
      <c r="DR42" s="465" t="n"/>
      <c r="DS42" s="465" t="n"/>
      <c r="DT42" s="465" t="n"/>
      <c r="DU42" s="465" t="n"/>
      <c r="DV42" s="465" t="n"/>
      <c r="DW42" s="465" t="n"/>
      <c r="DX42" s="465" t="n"/>
      <c r="DY42" s="465" t="n"/>
      <c r="DZ42" s="465" t="n"/>
      <c r="EA42" s="465" t="n"/>
      <c r="EB42" s="465" t="n"/>
      <c r="EC42" s="465" t="n"/>
      <c r="ED42" s="465" t="n"/>
      <c r="EE42" s="465" t="n"/>
      <c r="EF42" s="465" t="n"/>
      <c r="EG42" s="465" t="n"/>
      <c r="EH42" s="465" t="n"/>
      <c r="EI42" s="465" t="n"/>
      <c r="EJ42" s="465" t="n"/>
      <c r="EK42" s="465" t="n"/>
      <c r="EL42" s="465" t="n"/>
      <c r="EM42" s="465" t="n"/>
      <c r="EN42" s="465" t="n"/>
      <c r="EO42" s="465" t="n"/>
      <c r="EP42" s="465" t="n"/>
      <c r="EQ42" s="465" t="n"/>
      <c r="ER42" s="465" t="n"/>
      <c r="ES42" s="465" t="n"/>
      <c r="ET42" s="465" t="n"/>
      <c r="EU42" s="465" t="n"/>
      <c r="EV42" s="465" t="n"/>
      <c r="EW42" s="465" t="n"/>
      <c r="EX42" s="465" t="n"/>
      <c r="EY42" s="465" t="n"/>
      <c r="EZ42" s="465" t="n"/>
      <c r="FA42" s="465" t="n"/>
      <c r="FB42" s="465" t="n"/>
      <c r="FC42" s="465" t="n"/>
      <c r="FD42" s="465" t="n"/>
      <c r="FE42" s="465" t="n"/>
    </row>
    <row r="43">
      <c r="A43" s="6" t="inlineStr">
        <is>
          <t>Numbers of shares - Average</t>
        </is>
      </c>
      <c r="B43" s="451">
        <f>MIN(B28/B35,B42)</f>
        <v/>
      </c>
      <c r="C43" s="451">
        <f>MIN(C28/C35,C42)</f>
        <v/>
      </c>
      <c r="D43" s="451">
        <f>MIN(D28/D35,D42)</f>
        <v/>
      </c>
      <c r="E43" s="451">
        <f>MIN(E28/E35,E42)</f>
        <v/>
      </c>
      <c r="F43" s="451">
        <f>MIN(F28/F35,F42)</f>
        <v/>
      </c>
      <c r="G43" s="451">
        <f>MIN(G28/G35,G42)</f>
        <v/>
      </c>
      <c r="H43" s="451">
        <f>MIN(H28/H35,H42)</f>
        <v/>
      </c>
      <c r="I43" s="451">
        <f>MIN(I28/I35,I42)</f>
        <v/>
      </c>
      <c r="J43" s="451">
        <f>MIN(J28/J35,J42)</f>
        <v/>
      </c>
      <c r="K43" s="451">
        <f>MIN(K28/K35,K42)</f>
        <v/>
      </c>
      <c r="L43" s="451">
        <f>MIN(L28/L35,L42)</f>
        <v/>
      </c>
      <c r="M43" s="451">
        <f>MIN(M28/M35,M42)</f>
        <v/>
      </c>
      <c r="N43" s="451">
        <f>MIN(N28/N35,N42)</f>
        <v/>
      </c>
      <c r="O43" s="451">
        <f>MIN(O28/O35,O42)</f>
        <v/>
      </c>
      <c r="P43" s="451">
        <f>MIN(P28/P35,P42)</f>
        <v/>
      </c>
      <c r="Q43" s="451">
        <f>MIN(Q28/Q35,Q42)</f>
        <v/>
      </c>
      <c r="R43" s="451">
        <f>MIN(R28/R35,R42)</f>
        <v/>
      </c>
      <c r="S43" s="451">
        <f>MIN(S28/S35,S42)</f>
        <v/>
      </c>
      <c r="T43" s="451">
        <f>MIN(T28/T35,T42)</f>
        <v/>
      </c>
      <c r="U43" s="459">
        <f>AVERAGE(T42:U42)</f>
        <v/>
      </c>
      <c r="V43" s="459">
        <f>AVERAGE(U42:V42)</f>
        <v/>
      </c>
      <c r="W43" s="459">
        <f>AVERAGE(V42:W42)</f>
        <v/>
      </c>
      <c r="X43" s="459">
        <f>AVERAGE(W42:X42)</f>
        <v/>
      </c>
      <c r="Y43" s="459">
        <f>AVERAGE(X42:Y42)</f>
        <v/>
      </c>
      <c r="Z43" s="459">
        <f>AVERAGE(Y42:Z42)</f>
        <v/>
      </c>
      <c r="AA43" s="452" t="n"/>
      <c r="AB43" s="452" t="n"/>
      <c r="AC43" s="459" t="n"/>
      <c r="AD43" s="452" t="n"/>
      <c r="AE43" s="348" t="n"/>
      <c r="AF43" s="459" t="n"/>
      <c r="AG43" s="451">
        <f>MIN(AG28/AG35,AG42)</f>
        <v/>
      </c>
      <c r="AH43" s="451">
        <f>MIN(AH28/AH35,AH42)</f>
        <v/>
      </c>
      <c r="AI43" s="451">
        <f>MIN(AI28/AI35,AI42)</f>
        <v/>
      </c>
      <c r="AJ43" s="451">
        <f>MIN(AJ28/AJ35,AJ42)</f>
        <v/>
      </c>
      <c r="AK43" s="451">
        <f>MIN(AK28/AK35,AK42)</f>
        <v/>
      </c>
      <c r="AL43" s="451">
        <f>MIN(AL28/AL35,AL42)</f>
        <v/>
      </c>
      <c r="AM43" s="451">
        <f>MIN(AM28/AM35,AM42)</f>
        <v/>
      </c>
      <c r="AN43" s="451">
        <f>MIN(AN28/AN35,AN42)</f>
        <v/>
      </c>
      <c r="AO43" s="451">
        <f>MIN(AO28/AO35,AO42)</f>
        <v/>
      </c>
      <c r="AP43" s="451">
        <f>MIN(AP28/AP35,AP42)</f>
        <v/>
      </c>
      <c r="AQ43" s="451">
        <f>MIN(AQ28/AQ35,AQ42)</f>
        <v/>
      </c>
      <c r="AR43" s="451">
        <f>MIN(AR28/AR35,AR42)</f>
        <v/>
      </c>
      <c r="AS43" s="451">
        <f>MIN(AS28/AS35,AS42)</f>
        <v/>
      </c>
      <c r="AT43" s="451">
        <f>MIN(AT28/AT35,AT42)</f>
        <v/>
      </c>
      <c r="AU43" s="451">
        <f>MIN(AU28/AU35,AU42)</f>
        <v/>
      </c>
      <c r="AV43" s="451">
        <f>MIN(AV28/AV35,AV42)</f>
        <v/>
      </c>
      <c r="AW43" s="451">
        <f>MIN(AW28/AW35,AW42)</f>
        <v/>
      </c>
      <c r="AX43" s="451">
        <f>MIN(AX28/AX35,AX42)</f>
        <v/>
      </c>
      <c r="AY43" s="451">
        <f>MIN(AY28/AY35,AY42)</f>
        <v/>
      </c>
      <c r="AZ43" s="451">
        <f>MIN(AZ28/AZ35,AZ42)</f>
        <v/>
      </c>
      <c r="BA43" s="451">
        <f>MIN(BA28/BA35,BA42)</f>
        <v/>
      </c>
      <c r="BB43" s="451">
        <f>MIN(BB28/BB35,BB42)</f>
        <v/>
      </c>
      <c r="BC43" s="451">
        <f>MIN(BC28/BC35,BC42)</f>
        <v/>
      </c>
      <c r="BD43" s="451">
        <f>MIN(BD28/BD35,BD42)</f>
        <v/>
      </c>
      <c r="BE43" s="451">
        <f>MIN(BE28/BE35,BE42)</f>
        <v/>
      </c>
      <c r="BF43" s="451">
        <f>MIN(BF28/BF35,BF42)</f>
        <v/>
      </c>
      <c r="BG43" s="451">
        <f>MIN(BG28/BG35,BG42)</f>
        <v/>
      </c>
      <c r="BH43" s="451">
        <f>MIN(BH28/BH35,BH42)</f>
        <v/>
      </c>
      <c r="BI43" s="451">
        <f>MIN(BI28/BI35,BI42)</f>
        <v/>
      </c>
      <c r="BJ43" s="451">
        <f>MIN(BJ28/BJ35,BJ42)</f>
        <v/>
      </c>
      <c r="BK43" s="451">
        <f>MIN(BK28/BK35,BK42)</f>
        <v/>
      </c>
      <c r="BL43" s="451">
        <f>MIN(BL28/BL35,BL42)</f>
        <v/>
      </c>
      <c r="BM43" s="451">
        <f>MIN(BM28/BM35,BM42)</f>
        <v/>
      </c>
      <c r="BN43" s="451">
        <f>MIN(BN28/BN35,BN42)</f>
        <v/>
      </c>
      <c r="BO43" s="451">
        <f>MIN(BO28/BO35,BO42)</f>
        <v/>
      </c>
      <c r="BP43" s="451">
        <f>MIN(BP28/BP35,BP42)</f>
        <v/>
      </c>
      <c r="BQ43" s="451">
        <f>MIN(BQ28/BQ35,BQ42)</f>
        <v/>
      </c>
      <c r="BR43" s="451">
        <f>MIN(BR28/BR35,BR42)</f>
        <v/>
      </c>
      <c r="BS43" s="451" t="n"/>
      <c r="BT43" s="451">
        <f>MIN(BT28/BT35,BT42)</f>
        <v/>
      </c>
      <c r="BU43" s="482" t="n"/>
      <c r="BV43" s="482" t="n"/>
      <c r="BW43" s="482" t="n"/>
      <c r="BX43" s="482" t="n"/>
      <c r="BZ43" s="451" t="n"/>
      <c r="CA43" s="451" t="n"/>
      <c r="CB43" s="451" t="n"/>
      <c r="CC43" s="451" t="n"/>
      <c r="CD43" s="451" t="n"/>
      <c r="CE43" s="451" t="n"/>
      <c r="CF43" s="451" t="n"/>
      <c r="CG43" s="451" t="n"/>
      <c r="CH43" s="451" t="n"/>
      <c r="CI43" s="451" t="n"/>
      <c r="CJ43" s="451" t="n"/>
      <c r="CK43" s="451" t="n"/>
      <c r="CL43" s="451" t="n"/>
      <c r="CM43" s="451" t="n"/>
      <c r="CN43" s="451" t="n"/>
      <c r="CO43" s="451" t="n"/>
      <c r="CP43" s="451" t="n"/>
      <c r="CQ43" s="451" t="n"/>
      <c r="CR43" s="451" t="n"/>
      <c r="CS43" s="451" t="n"/>
      <c r="CT43" s="451" t="n"/>
      <c r="CU43" s="451" t="n"/>
      <c r="CV43" s="451" t="n"/>
      <c r="CW43" s="451" t="n"/>
      <c r="CX43" s="451" t="n"/>
      <c r="CY43" s="451" t="n"/>
      <c r="CZ43" s="451" t="n"/>
      <c r="DA43" s="451" t="n"/>
      <c r="DB43" s="451" t="n"/>
      <c r="DC43" s="451" t="n"/>
      <c r="DD43" s="451" t="n"/>
      <c r="DE43" s="451" t="n"/>
      <c r="DF43" s="451" t="n"/>
      <c r="DG43" s="451" t="n"/>
      <c r="DH43" s="451" t="n"/>
      <c r="DI43" s="451" t="n"/>
      <c r="DJ43" s="451" t="n"/>
      <c r="DK43" s="451" t="n"/>
      <c r="DL43" s="451" t="n"/>
      <c r="DM43" s="451" t="n"/>
      <c r="DN43" s="451" t="n"/>
      <c r="DO43" s="451" t="n"/>
      <c r="DP43" s="451" t="n"/>
      <c r="DQ43" s="451" t="n"/>
      <c r="DR43" s="451" t="n"/>
      <c r="DS43" s="451" t="n"/>
      <c r="DT43" s="451" t="n"/>
      <c r="DU43" s="451" t="n"/>
      <c r="DV43" s="451" t="n"/>
      <c r="DW43" s="451" t="n"/>
      <c r="DX43" s="451" t="n"/>
      <c r="DY43" s="451" t="n"/>
      <c r="DZ43" s="451" t="n"/>
      <c r="EA43" s="451" t="n"/>
      <c r="EB43" s="451" t="n"/>
      <c r="EC43" s="451" t="n"/>
      <c r="ED43" s="451" t="n"/>
      <c r="EE43" s="451" t="n"/>
      <c r="EF43" s="451" t="n"/>
      <c r="EG43" s="451" t="n"/>
      <c r="EH43" s="451" t="n"/>
      <c r="EI43" s="451" t="n"/>
      <c r="EJ43" s="451" t="n"/>
      <c r="EK43" s="451" t="n"/>
      <c r="EL43" s="451" t="n"/>
      <c r="EM43" s="451" t="n"/>
      <c r="EN43" s="451" t="n"/>
      <c r="EO43" s="451" t="n"/>
      <c r="EP43" s="451" t="n"/>
      <c r="EQ43" s="451" t="n"/>
      <c r="ER43" s="451" t="n"/>
      <c r="ES43" s="451" t="n"/>
      <c r="ET43" s="451" t="n"/>
      <c r="EU43" s="451" t="n"/>
      <c r="EV43" s="451" t="n"/>
      <c r="EW43" s="451" t="n"/>
      <c r="EX43" s="451" t="n"/>
      <c r="EY43" s="451" t="n"/>
      <c r="EZ43" s="451" t="n"/>
      <c r="FA43" s="451" t="n"/>
      <c r="FB43" s="451" t="n"/>
      <c r="FC43" s="451" t="n"/>
      <c r="FD43" s="451" t="n"/>
      <c r="FE43" s="451" t="n"/>
    </row>
    <row r="44">
      <c r="A44" s="6" t="inlineStr">
        <is>
          <t>Numbers of shares - Diluted</t>
        </is>
      </c>
      <c r="B44" s="451">
        <f>MIN(B28/B36,B42)</f>
        <v/>
      </c>
      <c r="C44" s="451">
        <f>MIN(C28/C36,C42)</f>
        <v/>
      </c>
      <c r="D44" s="451">
        <f>MIN(D28/D36,D42)</f>
        <v/>
      </c>
      <c r="E44" s="451">
        <f>MIN(E28/E36,E42)</f>
        <v/>
      </c>
      <c r="F44" s="451">
        <f>MIN(F28/F36,F42)</f>
        <v/>
      </c>
      <c r="G44" s="451">
        <f>MIN(G28/G36,G42)</f>
        <v/>
      </c>
      <c r="H44" s="451">
        <f>MIN(H28/H36,H42)</f>
        <v/>
      </c>
      <c r="I44" s="451">
        <f>MIN(I28/I36,I42)</f>
        <v/>
      </c>
      <c r="J44" s="451">
        <f>MIN(J28/J36,J42)</f>
        <v/>
      </c>
      <c r="K44" s="451">
        <f>MIN(K28/K36,K42)</f>
        <v/>
      </c>
      <c r="L44" s="451">
        <f>MIN(L28/L36,L42)</f>
        <v/>
      </c>
      <c r="M44" s="451">
        <f>MIN(M28/M36,M42)</f>
        <v/>
      </c>
      <c r="N44" s="451">
        <f>MIN(N28/N36,N42)</f>
        <v/>
      </c>
      <c r="O44" s="451">
        <f>MIN(O28/O36,O42)</f>
        <v/>
      </c>
      <c r="P44" s="451">
        <f>MIN(P28/P36,P42)</f>
        <v/>
      </c>
      <c r="Q44" s="451">
        <f>MIN(Q28/Q36,Q42)</f>
        <v/>
      </c>
      <c r="R44" s="451">
        <f>MIN(R28/R36,R42)</f>
        <v/>
      </c>
      <c r="S44" s="451">
        <f>MIN(S28/S36,S42)</f>
        <v/>
      </c>
      <c r="T44" s="451">
        <f>MIN(T28/T36,T42)</f>
        <v/>
      </c>
      <c r="U44" s="459">
        <f>+U43</f>
        <v/>
      </c>
      <c r="V44" s="459">
        <f>+V43</f>
        <v/>
      </c>
      <c r="W44" s="459">
        <f>+W43</f>
        <v/>
      </c>
      <c r="X44" s="459">
        <f>+X43</f>
        <v/>
      </c>
      <c r="Y44" s="459">
        <f>+Y43</f>
        <v/>
      </c>
      <c r="Z44" s="459">
        <f>+Z43</f>
        <v/>
      </c>
      <c r="AA44" s="452" t="n"/>
      <c r="AB44" s="452" t="n"/>
      <c r="AC44" s="459" t="n"/>
      <c r="AD44" s="452" t="n"/>
      <c r="AE44" s="348" t="n"/>
      <c r="AF44" s="459" t="n"/>
      <c r="AG44" s="451">
        <f>MIN(AG28/AG36,AG42)</f>
        <v/>
      </c>
      <c r="AH44" s="451">
        <f>MIN(AH28/AH36,AH42)</f>
        <v/>
      </c>
      <c r="AI44" s="451">
        <f>MIN(AI28/AI36,AI42)</f>
        <v/>
      </c>
      <c r="AJ44" s="451">
        <f>MIN(AJ28/AJ36,AJ42)</f>
        <v/>
      </c>
      <c r="AK44" s="451">
        <f>MIN(AK28/AK36,AK42)</f>
        <v/>
      </c>
      <c r="AL44" s="451">
        <f>MIN(AL28/AL36,AL42)</f>
        <v/>
      </c>
      <c r="AM44" s="451">
        <f>MIN(AM28/AM36,AM42)</f>
        <v/>
      </c>
      <c r="AN44" s="451">
        <f>MIN(AN28/AN36,AN42)</f>
        <v/>
      </c>
      <c r="AO44" s="451">
        <f>MIN(AO28/AO36,AO42)</f>
        <v/>
      </c>
      <c r="AP44" s="451">
        <f>MIN(AP28/AP36,AP42)</f>
        <v/>
      </c>
      <c r="AQ44" s="451">
        <f>MIN(AQ28/AQ36,AQ42)</f>
        <v/>
      </c>
      <c r="AR44" s="451">
        <f>MIN(AR28/AR36,AR42)</f>
        <v/>
      </c>
      <c r="AS44" s="451">
        <f>MIN(AS28/AS36,AS42)</f>
        <v/>
      </c>
      <c r="AT44" s="451">
        <f>MIN(AT28/AT36,AT42)</f>
        <v/>
      </c>
      <c r="AU44" s="451">
        <f>MIN(AU28/AU36,AU42)</f>
        <v/>
      </c>
      <c r="AV44" s="451">
        <f>MIN(AV28/AV36,AV42)</f>
        <v/>
      </c>
      <c r="AW44" s="451">
        <f>MIN(AW28/AW36,AW42)</f>
        <v/>
      </c>
      <c r="AX44" s="451">
        <f>MIN(AX28/AX36,AX42)</f>
        <v/>
      </c>
      <c r="AY44" s="451">
        <f>MIN(AY28/AY36,AY42)</f>
        <v/>
      </c>
      <c r="AZ44" s="451">
        <f>MIN(AZ28/AZ36,AZ42)</f>
        <v/>
      </c>
      <c r="BA44" s="451">
        <f>MIN(BA28/BA36,BA42)</f>
        <v/>
      </c>
      <c r="BB44" s="451">
        <f>MIN(BB28/BB36,BB42)</f>
        <v/>
      </c>
      <c r="BC44" s="451">
        <f>MIN(BC28/BC36,BC42)</f>
        <v/>
      </c>
      <c r="BD44" s="451">
        <f>MIN(BD28/BD36,BD42)</f>
        <v/>
      </c>
      <c r="BE44" s="451">
        <f>MIN(BE28/BE36,BE42)</f>
        <v/>
      </c>
      <c r="BF44" s="451">
        <f>MIN(BF28/BF36,BF42)</f>
        <v/>
      </c>
      <c r="BG44" s="451">
        <f>MIN(BG28/BG36,BG42)</f>
        <v/>
      </c>
      <c r="BH44" s="451">
        <f>MIN(BH28/BH36,BH42)</f>
        <v/>
      </c>
      <c r="BI44" s="451">
        <f>MIN(BI28/BI36,BI42)</f>
        <v/>
      </c>
      <c r="BJ44" s="451">
        <f>MIN(BJ28/BJ36,BJ42)</f>
        <v/>
      </c>
      <c r="BK44" s="451">
        <f>MIN(BK28/BK36,BK42)</f>
        <v/>
      </c>
      <c r="BL44" s="451">
        <f>MIN(BL28/BL36,BL42)</f>
        <v/>
      </c>
      <c r="BM44" s="451">
        <f>MIN(BM28/BM36,BM42)</f>
        <v/>
      </c>
      <c r="BN44" s="451">
        <f>MIN(BN28/BN36,BN42)</f>
        <v/>
      </c>
      <c r="BO44" s="451">
        <f>MIN(BO28/BO36,BO42)</f>
        <v/>
      </c>
      <c r="BP44" s="451">
        <f>MIN(BP28/BP36,BP42)</f>
        <v/>
      </c>
      <c r="BQ44" s="451">
        <f>MIN(BQ28/BQ36,BQ42)</f>
        <v/>
      </c>
      <c r="BR44" s="451">
        <f>MIN(BR28/BR36,BR42)</f>
        <v/>
      </c>
      <c r="BS44" s="451" t="n"/>
      <c r="BT44" s="451">
        <f>MIN(BT28/BT36,BT42)</f>
        <v/>
      </c>
      <c r="BU44" s="482" t="n"/>
      <c r="BV44" s="482" t="n"/>
      <c r="BW44" s="482" t="n"/>
      <c r="BX44" s="482" t="n"/>
      <c r="BZ44" s="451" t="n"/>
      <c r="CA44" s="451" t="n"/>
      <c r="CB44" s="451" t="n"/>
      <c r="CC44" s="451" t="n"/>
      <c r="CD44" s="451" t="n"/>
      <c r="CE44" s="451" t="n"/>
      <c r="CF44" s="451" t="n"/>
      <c r="CG44" s="451" t="n"/>
      <c r="CH44" s="451" t="n"/>
      <c r="CI44" s="451" t="n"/>
      <c r="CJ44" s="451" t="n"/>
      <c r="CK44" s="451" t="n"/>
      <c r="CL44" s="451" t="n"/>
      <c r="CM44" s="451" t="n"/>
      <c r="CN44" s="451" t="n"/>
      <c r="CO44" s="451" t="n"/>
      <c r="CP44" s="451" t="n"/>
      <c r="CQ44" s="451" t="n"/>
      <c r="CR44" s="451" t="n"/>
      <c r="CS44" s="451" t="n"/>
      <c r="CT44" s="451" t="n"/>
      <c r="CU44" s="451" t="n"/>
      <c r="CV44" s="451" t="n"/>
      <c r="CW44" s="451" t="n"/>
      <c r="CX44" s="451" t="n"/>
      <c r="CY44" s="451" t="n"/>
      <c r="CZ44" s="451" t="n"/>
      <c r="DA44" s="451" t="n"/>
      <c r="DB44" s="451" t="n"/>
      <c r="DC44" s="451" t="n"/>
      <c r="DD44" s="451" t="n"/>
      <c r="DE44" s="451" t="n"/>
      <c r="DF44" s="451" t="n"/>
      <c r="DG44" s="451" t="n"/>
      <c r="DH44" s="451" t="n"/>
      <c r="DI44" s="451" t="n"/>
      <c r="DJ44" s="451" t="n"/>
      <c r="DK44" s="451" t="n"/>
      <c r="DL44" s="451" t="n"/>
      <c r="DM44" s="451" t="n"/>
      <c r="DN44" s="451" t="n"/>
      <c r="DO44" s="451" t="n"/>
      <c r="DP44" s="451" t="n"/>
      <c r="DQ44" s="451" t="n"/>
      <c r="DR44" s="451" t="n"/>
      <c r="DS44" s="451" t="n"/>
      <c r="DT44" s="451" t="n"/>
      <c r="DU44" s="451" t="n"/>
      <c r="DV44" s="451" t="n"/>
      <c r="DW44" s="451" t="n"/>
      <c r="DX44" s="451" t="n"/>
      <c r="DY44" s="451" t="n"/>
      <c r="DZ44" s="451" t="n"/>
      <c r="EA44" s="451" t="n"/>
      <c r="EB44" s="451" t="n"/>
      <c r="EC44" s="451" t="n"/>
      <c r="ED44" s="451" t="n"/>
      <c r="EE44" s="451" t="n"/>
      <c r="EF44" s="451" t="n"/>
      <c r="EG44" s="451" t="n"/>
      <c r="EH44" s="451" t="n"/>
      <c r="EI44" s="451" t="n"/>
      <c r="EJ44" s="451" t="n"/>
      <c r="EK44" s="451" t="n"/>
      <c r="EL44" s="451" t="n"/>
      <c r="EM44" s="451" t="n"/>
      <c r="EN44" s="451" t="n"/>
      <c r="EO44" s="451" t="n"/>
      <c r="EP44" s="451" t="n"/>
      <c r="EQ44" s="451" t="n"/>
      <c r="ER44" s="451" t="n"/>
      <c r="ES44" s="451" t="n"/>
      <c r="ET44" s="451" t="n"/>
      <c r="EU44" s="451" t="n"/>
      <c r="EV44" s="451" t="n"/>
      <c r="EW44" s="451" t="n"/>
      <c r="EX44" s="451" t="n"/>
      <c r="EY44" s="451" t="n"/>
      <c r="EZ44" s="451" t="n"/>
      <c r="FA44" s="451" t="n"/>
      <c r="FB44" s="451" t="n"/>
      <c r="FC44" s="451" t="n"/>
      <c r="FD44" s="451" t="n"/>
      <c r="FE44" s="451" t="n"/>
    </row>
    <row r="45" outlineLevel="1">
      <c r="A45" s="37" t="inlineStr">
        <is>
          <t>Adjusting factor</t>
        </is>
      </c>
      <c r="B45" s="485" t="n">
        <v>1</v>
      </c>
      <c r="C45" s="485" t="n">
        <v>1</v>
      </c>
      <c r="D45" s="485" t="n">
        <v>1</v>
      </c>
      <c r="E45" s="485" t="n">
        <v>1</v>
      </c>
      <c r="F45" s="485" t="n">
        <v>1</v>
      </c>
      <c r="G45" s="485" t="n">
        <v>1</v>
      </c>
      <c r="H45" s="485" t="n">
        <v>1</v>
      </c>
      <c r="I45" s="485" t="n">
        <v>1</v>
      </c>
      <c r="J45" s="485" t="n">
        <v>1</v>
      </c>
      <c r="K45" s="485" t="n">
        <v>1</v>
      </c>
      <c r="L45" s="485" t="n">
        <v>1</v>
      </c>
      <c r="M45" s="485" t="n">
        <v>1</v>
      </c>
      <c r="N45" s="485" t="n">
        <v>1</v>
      </c>
      <c r="O45" s="485" t="n">
        <v>1</v>
      </c>
      <c r="P45" s="485" t="n">
        <v>1</v>
      </c>
      <c r="Q45" s="485" t="n">
        <v>1</v>
      </c>
      <c r="R45" s="485" t="n">
        <v>1</v>
      </c>
      <c r="S45" s="485" t="n">
        <v>1</v>
      </c>
      <c r="T45" s="485" t="n">
        <v>1</v>
      </c>
      <c r="U45" s="485" t="n">
        <v>1</v>
      </c>
      <c r="V45" s="485" t="n">
        <v>1</v>
      </c>
      <c r="W45" s="485" t="n">
        <v>1</v>
      </c>
      <c r="X45" s="485" t="n">
        <v>1</v>
      </c>
      <c r="Y45" s="485" t="n">
        <v>1</v>
      </c>
      <c r="Z45" s="485" t="n">
        <v>1</v>
      </c>
      <c r="AA45" s="486" t="n"/>
      <c r="AB45" s="486" t="n"/>
      <c r="AC45" s="485" t="n"/>
      <c r="AD45" s="486" t="n"/>
      <c r="AE45" s="348" t="n"/>
      <c r="AF45" s="485" t="n"/>
      <c r="AG45" s="465" t="n"/>
      <c r="AH45" s="465" t="n"/>
      <c r="AI45" s="465" t="n"/>
      <c r="AJ45" s="465" t="n"/>
      <c r="AK45" s="465" t="n"/>
      <c r="AL45" s="465" t="n"/>
      <c r="AM45" s="465" t="n"/>
      <c r="AN45" s="465" t="n"/>
      <c r="AO45" s="465" t="n"/>
      <c r="AP45" s="465" t="n"/>
      <c r="AQ45" s="465" t="n"/>
      <c r="AR45" s="465" t="n"/>
      <c r="AS45" s="465" t="n"/>
      <c r="AT45" s="465" t="n"/>
      <c r="AU45" s="465" t="n"/>
      <c r="AV45" s="465" t="n"/>
      <c r="AW45" s="465" t="n"/>
      <c r="AX45" s="465" t="n"/>
      <c r="AY45" s="465" t="n"/>
      <c r="AZ45" s="465" t="n"/>
      <c r="BA45" s="465" t="n"/>
      <c r="BB45" s="465" t="n"/>
      <c r="BC45" s="465" t="n"/>
      <c r="BD45" s="465" t="n"/>
      <c r="BE45" s="465" t="n"/>
      <c r="BF45" s="465" t="n"/>
      <c r="BG45" s="465" t="n"/>
      <c r="BH45" s="465" t="n"/>
      <c r="BI45" s="465" t="n"/>
      <c r="BJ45" s="465" t="n"/>
      <c r="BK45" s="465" t="n"/>
      <c r="BL45" s="465" t="n"/>
      <c r="BM45" s="465" t="n"/>
      <c r="BN45" s="465" t="n"/>
      <c r="BO45" s="465" t="n"/>
      <c r="BP45" s="465" t="n"/>
      <c r="BQ45" s="465" t="n"/>
      <c r="BR45" s="465" t="n"/>
      <c r="BS45" s="465" t="n"/>
      <c r="BT45" s="465" t="n"/>
      <c r="BU45" s="483" t="n"/>
      <c r="BV45" s="483" t="n"/>
      <c r="BW45" s="483" t="n"/>
      <c r="BX45" s="483" t="n"/>
      <c r="BZ45" s="465" t="n"/>
      <c r="CA45" s="465" t="n"/>
      <c r="CB45" s="465" t="n"/>
      <c r="CC45" s="465" t="n"/>
      <c r="CD45" s="465" t="n"/>
      <c r="CE45" s="465" t="n"/>
      <c r="CF45" s="465" t="n"/>
      <c r="CG45" s="465" t="n"/>
      <c r="CH45" s="465" t="n"/>
      <c r="CI45" s="465" t="n"/>
      <c r="CJ45" s="465" t="n"/>
      <c r="CK45" s="465" t="n"/>
      <c r="CL45" s="465" t="n"/>
      <c r="CM45" s="465" t="n"/>
      <c r="CN45" s="465" t="n"/>
      <c r="CO45" s="465" t="n"/>
      <c r="CP45" s="465" t="n"/>
      <c r="CQ45" s="465" t="n"/>
      <c r="CR45" s="465" t="n"/>
      <c r="CS45" s="465" t="n"/>
      <c r="CT45" s="465" t="n"/>
      <c r="CU45" s="465" t="n"/>
      <c r="CV45" s="465" t="n"/>
      <c r="CW45" s="465" t="n"/>
      <c r="CX45" s="465" t="n"/>
      <c r="CY45" s="465" t="n"/>
      <c r="CZ45" s="465" t="n"/>
      <c r="DA45" s="465" t="n"/>
      <c r="DB45" s="465" t="n"/>
      <c r="DC45" s="465" t="n"/>
      <c r="DD45" s="465" t="n"/>
      <c r="DE45" s="465" t="n"/>
      <c r="DF45" s="465" t="n"/>
      <c r="DG45" s="465" t="n"/>
      <c r="DH45" s="465" t="n"/>
      <c r="DI45" s="465" t="n"/>
      <c r="DJ45" s="465" t="n"/>
      <c r="DK45" s="465" t="n"/>
      <c r="DL45" s="465" t="n"/>
      <c r="DM45" s="465" t="n"/>
      <c r="DN45" s="465" t="n"/>
      <c r="DO45" s="465" t="n"/>
      <c r="DP45" s="465" t="n"/>
      <c r="DQ45" s="465" t="n"/>
      <c r="DR45" s="465" t="n"/>
      <c r="DS45" s="465" t="n"/>
      <c r="DT45" s="465" t="n"/>
      <c r="DU45" s="465" t="n"/>
      <c r="DV45" s="465" t="n"/>
      <c r="DW45" s="465" t="n"/>
      <c r="DX45" s="465" t="n"/>
      <c r="DY45" s="465" t="n"/>
      <c r="DZ45" s="465" t="n"/>
      <c r="EA45" s="465" t="n"/>
      <c r="EB45" s="465" t="n"/>
      <c r="EC45" s="465" t="n"/>
      <c r="ED45" s="465" t="n"/>
      <c r="EE45" s="465" t="n"/>
      <c r="EF45" s="465" t="n"/>
      <c r="EG45" s="465" t="n"/>
      <c r="EH45" s="465" t="n"/>
      <c r="EI45" s="465" t="n"/>
      <c r="EJ45" s="465" t="n"/>
      <c r="EK45" s="465" t="n"/>
      <c r="EL45" s="465" t="n"/>
      <c r="EM45" s="465" t="n"/>
      <c r="EN45" s="465" t="n"/>
      <c r="EO45" s="465" t="n"/>
      <c r="EP45" s="465" t="n"/>
      <c r="EQ45" s="465" t="n"/>
      <c r="ER45" s="465" t="n"/>
      <c r="ES45" s="465" t="n"/>
      <c r="ET45" s="465" t="n"/>
      <c r="EU45" s="465" t="n"/>
      <c r="EV45" s="465" t="n"/>
      <c r="EW45" s="465" t="n"/>
      <c r="EX45" s="465" t="n"/>
      <c r="EY45" s="465" t="n"/>
      <c r="EZ45" s="465" t="n"/>
      <c r="FA45" s="465" t="n"/>
      <c r="FB45" s="465" t="n"/>
      <c r="FC45" s="465" t="n"/>
      <c r="FD45" s="465" t="n"/>
      <c r="FE45" s="465" t="n"/>
    </row>
    <row r="46" ht="14.25" customHeight="1">
      <c r="A46" s="31" t="inlineStr">
        <is>
          <t>Balance Sheet</t>
        </is>
      </c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  <c r="AA46" s="356" t="n"/>
      <c r="AB46" s="356" t="n"/>
      <c r="AC46" s="29" t="n"/>
      <c r="AD46" s="356" t="n"/>
      <c r="AE46" s="369" t="n"/>
      <c r="AF46" s="30" t="n"/>
      <c r="AG46" s="29" t="n"/>
      <c r="AH46" s="29" t="n"/>
      <c r="AI46" s="29" t="n"/>
      <c r="AJ46" s="29" t="n"/>
      <c r="AK46" s="29" t="n"/>
      <c r="AL46" s="29" t="n"/>
      <c r="AM46" s="29" t="n"/>
      <c r="AN46" s="29" t="n"/>
      <c r="AO46" s="29" t="n"/>
      <c r="AP46" s="29" t="n"/>
      <c r="AQ46" s="29" t="n"/>
      <c r="AR46" s="29" t="n"/>
      <c r="AS46" s="29" t="n"/>
      <c r="AT46" s="29" t="n"/>
      <c r="AU46" s="29" t="n"/>
      <c r="AV46" s="29" t="n"/>
      <c r="AW46" s="29" t="n"/>
      <c r="AX46" s="29" t="n"/>
      <c r="AY46" s="29" t="n"/>
      <c r="AZ46" s="29" t="n"/>
      <c r="BA46" s="29" t="n"/>
      <c r="BB46" s="29" t="n"/>
      <c r="BC46" s="29" t="n"/>
      <c r="BD46" s="29" t="n"/>
      <c r="BE46" s="29" t="n"/>
      <c r="BF46" s="29" t="n"/>
      <c r="BG46" s="29" t="n"/>
      <c r="BH46" s="29" t="n"/>
      <c r="BI46" s="29" t="n"/>
      <c r="BJ46" s="29" t="n"/>
      <c r="BK46" s="29" t="n"/>
      <c r="BL46" s="29" t="n"/>
      <c r="BM46" s="29" t="n"/>
      <c r="BN46" s="29" t="n"/>
      <c r="BO46" s="29" t="n"/>
      <c r="BP46" s="29" t="n"/>
      <c r="BQ46" s="29" t="n"/>
      <c r="BR46" s="29" t="n"/>
      <c r="BS46" s="29" t="n"/>
      <c r="BT46" s="29" t="n"/>
      <c r="BU46" s="298" t="n"/>
      <c r="BV46" s="298" t="n"/>
      <c r="BW46" s="298" t="n"/>
      <c r="BX46" s="298" t="n"/>
      <c r="BZ46" s="29" t="n"/>
      <c r="CA46" s="29" t="n"/>
      <c r="CB46" s="29" t="n"/>
      <c r="CC46" s="29" t="n"/>
      <c r="CD46" s="29" t="n"/>
      <c r="CE46" s="29" t="n"/>
      <c r="CF46" s="29" t="n"/>
      <c r="CG46" s="29" t="n"/>
      <c r="CH46" s="29" t="n"/>
      <c r="CI46" s="29" t="n"/>
      <c r="CJ46" s="29" t="n"/>
      <c r="CK46" s="29" t="n"/>
      <c r="CL46" s="29" t="n"/>
      <c r="CM46" s="29" t="n"/>
      <c r="CN46" s="29" t="n"/>
      <c r="CO46" s="29" t="n"/>
      <c r="CP46" s="29" t="n"/>
      <c r="CQ46" s="29" t="n"/>
      <c r="CR46" s="29" t="n"/>
      <c r="CS46" s="29" t="n"/>
      <c r="CT46" s="29" t="n"/>
      <c r="CU46" s="29" t="n"/>
      <c r="CV46" s="29" t="n"/>
      <c r="CW46" s="29" t="n"/>
      <c r="CX46" s="29" t="n"/>
      <c r="CY46" s="29" t="n"/>
      <c r="CZ46" s="29" t="n"/>
      <c r="DA46" s="29" t="n"/>
      <c r="DB46" s="29" t="n"/>
      <c r="DC46" s="29" t="n"/>
      <c r="DD46" s="29" t="n"/>
      <c r="DE46" s="29" t="n"/>
      <c r="DF46" s="29" t="n"/>
      <c r="DG46" s="29" t="n"/>
      <c r="DH46" s="29" t="n"/>
      <c r="DI46" s="29" t="n"/>
      <c r="DJ46" s="29" t="n"/>
      <c r="DK46" s="29" t="n"/>
      <c r="DL46" s="29" t="n"/>
      <c r="DM46" s="29" t="n"/>
      <c r="DN46" s="29" t="n"/>
      <c r="DO46" s="29" t="n"/>
      <c r="DP46" s="29" t="n"/>
      <c r="DQ46" s="29" t="n"/>
      <c r="DR46" s="29" t="n"/>
      <c r="DS46" s="29" t="n"/>
      <c r="DT46" s="29" t="n"/>
      <c r="DU46" s="29" t="n"/>
      <c r="DV46" s="29" t="n"/>
      <c r="DW46" s="29" t="n"/>
      <c r="DX46" s="29" t="n"/>
      <c r="DY46" s="29" t="n"/>
      <c r="DZ46" s="29" t="n"/>
      <c r="EA46" s="29" t="n"/>
      <c r="EB46" s="29" t="n"/>
      <c r="EC46" s="29" t="n"/>
      <c r="ED46" s="29" t="n"/>
      <c r="EE46" s="29" t="n"/>
      <c r="EF46" s="29" t="n"/>
      <c r="EG46" s="29" t="n"/>
      <c r="EH46" s="29" t="n"/>
      <c r="EI46" s="29" t="n"/>
      <c r="EJ46" s="29" t="n"/>
      <c r="EK46" s="29" t="n"/>
      <c r="EL46" s="29" t="n"/>
      <c r="EM46" s="29" t="n"/>
      <c r="EN46" s="29" t="n"/>
      <c r="EO46" s="29" t="n"/>
      <c r="EP46" s="29" t="n"/>
      <c r="EQ46" s="29" t="n"/>
      <c r="ER46" s="29" t="n"/>
      <c r="ES46" s="29" t="n"/>
      <c r="ET46" s="29" t="n"/>
      <c r="EU46" s="29" t="n"/>
      <c r="EV46" s="29" t="n"/>
      <c r="EW46" s="29" t="n"/>
      <c r="EX46" s="29" t="n"/>
      <c r="EY46" s="29" t="n"/>
      <c r="EZ46" s="29" t="n"/>
      <c r="FA46" s="29" t="n"/>
      <c r="FB46" s="29" t="n"/>
      <c r="FC46" s="29" t="n"/>
      <c r="FD46" s="29" t="n"/>
      <c r="FE46" s="29" t="n"/>
    </row>
    <row r="47">
      <c r="A47" s="6" t="inlineStr">
        <is>
          <t>Cash</t>
        </is>
      </c>
      <c r="B47" s="451">
        <f>'Raw financials'!B243</f>
        <v/>
      </c>
      <c r="C47" s="451">
        <f>'Raw financials'!C243</f>
        <v/>
      </c>
      <c r="D47" s="451">
        <f>'Raw financials'!D243</f>
        <v/>
      </c>
      <c r="E47" s="451">
        <f>'Raw financials'!E243</f>
        <v/>
      </c>
      <c r="F47" s="451">
        <f>'Raw financials'!F243</f>
        <v/>
      </c>
      <c r="G47" s="451">
        <f>'Raw financials'!G243</f>
        <v/>
      </c>
      <c r="H47" s="451">
        <f>'Raw financials'!H243</f>
        <v/>
      </c>
      <c r="I47" s="451">
        <f>'Raw financials'!I243</f>
        <v/>
      </c>
      <c r="J47" s="451">
        <f>'Raw financials'!J243</f>
        <v/>
      </c>
      <c r="K47" s="451">
        <f>'Raw financials'!K243</f>
        <v/>
      </c>
      <c r="L47" s="451">
        <f>'Raw financials'!L243</f>
        <v/>
      </c>
      <c r="M47" s="451">
        <f>'Raw financials'!M243</f>
        <v/>
      </c>
      <c r="N47" s="451">
        <f>'Raw financials'!N243</f>
        <v/>
      </c>
      <c r="O47" s="451">
        <f>'Raw financials'!O243</f>
        <v/>
      </c>
      <c r="P47" s="451">
        <f>'Raw financials'!P243</f>
        <v/>
      </c>
      <c r="Q47" s="451">
        <f>'Raw financials'!Q243</f>
        <v/>
      </c>
      <c r="R47" s="451">
        <f>'Raw financials'!R243</f>
        <v/>
      </c>
      <c r="S47" s="451">
        <f>'Raw financials'!S243</f>
        <v/>
      </c>
      <c r="T47" s="451">
        <f>'Raw financials'!T243</f>
        <v/>
      </c>
      <c r="U47" s="451">
        <f>U133</f>
        <v/>
      </c>
      <c r="V47" s="451">
        <f>V133</f>
        <v/>
      </c>
      <c r="W47" s="451">
        <f>W133</f>
        <v/>
      </c>
      <c r="X47" s="451">
        <f>X133</f>
        <v/>
      </c>
      <c r="Y47" s="451">
        <f>Y133</f>
        <v/>
      </c>
      <c r="Z47" s="451">
        <f>Z133</f>
        <v/>
      </c>
      <c r="AA47" s="452">
        <f>+U47-T47</f>
        <v/>
      </c>
      <c r="AB47" s="348">
        <f>+AA47/T47</f>
        <v/>
      </c>
      <c r="AC47" s="451" t="n">
        <v>26981.38640135423</v>
      </c>
      <c r="AD47" s="445">
        <f>+X47-W47</f>
        <v/>
      </c>
      <c r="AE47" s="371">
        <f>+AD47/W47</f>
        <v/>
      </c>
      <c r="AF47" s="451" t="n"/>
      <c r="AG47" s="451">
        <f>'Raw financials'!AA243</f>
        <v/>
      </c>
      <c r="AH47" s="451">
        <f>+B47</f>
        <v/>
      </c>
      <c r="AI47" s="451">
        <f>'Raw financials'!AB243</f>
        <v/>
      </c>
      <c r="AJ47" s="451">
        <f>+C47</f>
        <v/>
      </c>
      <c r="AK47" s="451">
        <f>'Raw financials'!AC243</f>
        <v/>
      </c>
      <c r="AL47" s="451">
        <f>+D47</f>
        <v/>
      </c>
      <c r="AM47" s="451">
        <f>'Raw financials'!AD243</f>
        <v/>
      </c>
      <c r="AN47" s="451">
        <f>+E47</f>
        <v/>
      </c>
      <c r="AO47" s="451">
        <f>'Raw financials'!AE243</f>
        <v/>
      </c>
      <c r="AP47" s="451">
        <f>+F47</f>
        <v/>
      </c>
      <c r="AQ47" s="451">
        <f>'Raw financials'!AF243</f>
        <v/>
      </c>
      <c r="AR47" s="451">
        <f>+G47</f>
        <v/>
      </c>
      <c r="AS47" s="451">
        <f>'Raw financials'!AG243</f>
        <v/>
      </c>
      <c r="AT47" s="451">
        <f>+H47</f>
        <v/>
      </c>
      <c r="AU47" s="451">
        <f>'Raw financials'!AH243</f>
        <v/>
      </c>
      <c r="AV47" s="451">
        <f>+I47</f>
        <v/>
      </c>
      <c r="AW47" s="451">
        <f>'Raw financials'!AI243</f>
        <v/>
      </c>
      <c r="AX47" s="451">
        <f>+J47</f>
        <v/>
      </c>
      <c r="AY47" s="451">
        <f>'Raw financials'!AJ243</f>
        <v/>
      </c>
      <c r="AZ47" s="451">
        <f>+K47</f>
        <v/>
      </c>
      <c r="BA47" s="451">
        <f>'Raw financials'!AK243</f>
        <v/>
      </c>
      <c r="BB47" s="451">
        <f>+L47</f>
        <v/>
      </c>
      <c r="BC47" s="451">
        <f>'Raw financials'!AL243</f>
        <v/>
      </c>
      <c r="BD47" s="451">
        <f>+M47</f>
        <v/>
      </c>
      <c r="BE47" s="451">
        <f>'Raw financials'!AM243</f>
        <v/>
      </c>
      <c r="BF47" s="451">
        <f>+N47</f>
        <v/>
      </c>
      <c r="BG47" s="451">
        <f>'Raw financials'!AN243</f>
        <v/>
      </c>
      <c r="BH47" s="451">
        <f>+O47</f>
        <v/>
      </c>
      <c r="BI47" s="451">
        <f>'Raw financials'!AO243</f>
        <v/>
      </c>
      <c r="BJ47" s="451">
        <f>+P47</f>
        <v/>
      </c>
      <c r="BK47" s="451">
        <f>'Raw financials'!AP243</f>
        <v/>
      </c>
      <c r="BL47" s="451">
        <f>+Q47</f>
        <v/>
      </c>
      <c r="BM47" s="451">
        <f>'Raw financials'!AQ243</f>
        <v/>
      </c>
      <c r="BN47" s="451">
        <f>+R47</f>
        <v/>
      </c>
      <c r="BO47" s="451">
        <f>'Raw financials'!AR243</f>
        <v/>
      </c>
      <c r="BP47" s="451">
        <f>+S47</f>
        <v/>
      </c>
      <c r="BQ47" s="451">
        <f>'Raw financials'!AS243</f>
        <v/>
      </c>
      <c r="BR47" s="451">
        <f>+T47</f>
        <v/>
      </c>
      <c r="BS47" s="451" t="n"/>
      <c r="BT47" s="451">
        <f>+U47</f>
        <v/>
      </c>
      <c r="BU47" s="446">
        <f>BT47-BR47</f>
        <v/>
      </c>
      <c r="BV47" s="381">
        <f>BU47/BR47</f>
        <v/>
      </c>
      <c r="BW47" s="381" t="n"/>
      <c r="BX47" s="381" t="n"/>
      <c r="BY47" s="487" t="n"/>
      <c r="BZ47" s="451">
        <f>'Raw financials'!BN243</f>
        <v/>
      </c>
      <c r="CA47" s="451">
        <f>'Raw financials'!BO243</f>
        <v/>
      </c>
      <c r="CB47" s="451">
        <f>'Raw financials'!BP243</f>
        <v/>
      </c>
      <c r="CC47" s="451">
        <f>'Raw financials'!BQ243</f>
        <v/>
      </c>
      <c r="CD47" s="451">
        <f>'Raw financials'!BR243</f>
        <v/>
      </c>
      <c r="CE47" s="451">
        <f>'Raw financials'!BS243</f>
        <v/>
      </c>
      <c r="CF47" s="451">
        <f>'Raw financials'!BT243</f>
        <v/>
      </c>
      <c r="CG47" s="451">
        <f>'Raw financials'!BU243</f>
        <v/>
      </c>
      <c r="CH47" s="451">
        <f>'Raw financials'!BV243</f>
        <v/>
      </c>
      <c r="CI47" s="451">
        <f>'Raw financials'!BW243</f>
        <v/>
      </c>
      <c r="CJ47" s="451">
        <f>'Raw financials'!BX243</f>
        <v/>
      </c>
      <c r="CK47" s="451">
        <f>'Raw financials'!BY243</f>
        <v/>
      </c>
      <c r="CL47" s="451">
        <f>'Raw financials'!BZ243</f>
        <v/>
      </c>
      <c r="CM47" s="451">
        <f>'Raw financials'!CA243</f>
        <v/>
      </c>
      <c r="CN47" s="451">
        <f>'Raw financials'!CB243</f>
        <v/>
      </c>
      <c r="CO47" s="451">
        <f>'Raw financials'!CC243</f>
        <v/>
      </c>
      <c r="CP47" s="451">
        <f>'Raw financials'!CD243</f>
        <v/>
      </c>
      <c r="CQ47" s="451">
        <f>'Raw financials'!CE243</f>
        <v/>
      </c>
      <c r="CR47" s="451">
        <f>'Raw financials'!CF243</f>
        <v/>
      </c>
      <c r="CS47" s="451">
        <f>'Raw financials'!CG243</f>
        <v/>
      </c>
      <c r="CT47" s="451">
        <f>'Raw financials'!CH243</f>
        <v/>
      </c>
      <c r="CU47" s="451">
        <f>'Raw financials'!CI243</f>
        <v/>
      </c>
      <c r="CV47" s="451">
        <f>'Raw financials'!CJ243</f>
        <v/>
      </c>
      <c r="CW47" s="451">
        <f>'Raw financials'!CK243</f>
        <v/>
      </c>
      <c r="CX47" s="451">
        <f>'Raw financials'!CL243</f>
        <v/>
      </c>
      <c r="CY47" s="451">
        <f>'Raw financials'!CM243</f>
        <v/>
      </c>
      <c r="CZ47" s="451">
        <f>'Raw financials'!CN243</f>
        <v/>
      </c>
      <c r="DA47" s="451">
        <f>'Raw financials'!CO243</f>
        <v/>
      </c>
      <c r="DB47" s="451">
        <f>'Raw financials'!CP243</f>
        <v/>
      </c>
      <c r="DC47" s="451">
        <f>'Raw financials'!CQ243</f>
        <v/>
      </c>
      <c r="DD47" s="451">
        <f>'Raw financials'!CR243</f>
        <v/>
      </c>
      <c r="DE47" s="451">
        <f>'Raw financials'!CS243</f>
        <v/>
      </c>
      <c r="DF47" s="451">
        <f>'Raw financials'!CT243</f>
        <v/>
      </c>
      <c r="DG47" s="451">
        <f>'Raw financials'!CU243</f>
        <v/>
      </c>
      <c r="DH47" s="451">
        <f>'Raw financials'!CV243</f>
        <v/>
      </c>
      <c r="DI47" s="451">
        <f>'Raw financials'!CW243</f>
        <v/>
      </c>
      <c r="DJ47" s="451">
        <f>'Raw financials'!CX243</f>
        <v/>
      </c>
      <c r="DK47" s="451">
        <f>'Raw financials'!CY243</f>
        <v/>
      </c>
      <c r="DL47" s="451">
        <f>'Raw financials'!CZ243</f>
        <v/>
      </c>
      <c r="DM47" s="451">
        <f>'Raw financials'!DA243</f>
        <v/>
      </c>
      <c r="DN47" s="451">
        <f>'Raw financials'!DB243</f>
        <v/>
      </c>
      <c r="DO47" s="451">
        <f>'Raw financials'!DC243</f>
        <v/>
      </c>
      <c r="DP47" s="451">
        <f>'Raw financials'!DD243</f>
        <v/>
      </c>
      <c r="DQ47" s="451">
        <f>'Raw financials'!DE243</f>
        <v/>
      </c>
      <c r="DR47" s="451">
        <f>'Raw financials'!DF243</f>
        <v/>
      </c>
      <c r="DS47" s="451">
        <f>'Raw financials'!DG243</f>
        <v/>
      </c>
      <c r="DT47" s="451">
        <f>'Raw financials'!DH243</f>
        <v/>
      </c>
      <c r="DU47" s="451">
        <f>'Raw financials'!DI243</f>
        <v/>
      </c>
      <c r="DV47" s="451">
        <f>'Raw financials'!DJ243</f>
        <v/>
      </c>
      <c r="DW47" s="451">
        <f>'Raw financials'!DK243</f>
        <v/>
      </c>
      <c r="DX47" s="451">
        <f>'Raw financials'!DL243</f>
        <v/>
      </c>
      <c r="DY47" s="451" t="n"/>
      <c r="DZ47" s="451">
        <f>'Raw financials'!DN243</f>
        <v/>
      </c>
      <c r="EA47" s="451">
        <f>'Raw financials'!DO243</f>
        <v/>
      </c>
      <c r="EB47" s="451">
        <f>'Raw financials'!DP243</f>
        <v/>
      </c>
      <c r="EC47" s="451">
        <f>'Raw financials'!DQ243</f>
        <v/>
      </c>
      <c r="ED47" s="451">
        <f>'Raw financials'!DR243</f>
        <v/>
      </c>
      <c r="EE47" s="451">
        <f>'Raw financials'!DS243</f>
        <v/>
      </c>
      <c r="EF47" s="451">
        <f>'Raw financials'!DT243</f>
        <v/>
      </c>
      <c r="EG47" s="451">
        <f>'Raw financials'!DU243</f>
        <v/>
      </c>
      <c r="EH47" s="451">
        <f>'Raw financials'!DV243</f>
        <v/>
      </c>
      <c r="EI47" s="451">
        <f>'Raw financials'!DW243</f>
        <v/>
      </c>
      <c r="EJ47" s="451">
        <f>'Raw financials'!DX243</f>
        <v/>
      </c>
      <c r="EK47" s="451">
        <f>'Raw financials'!DY243</f>
        <v/>
      </c>
      <c r="EL47" s="451">
        <f>'Raw financials'!DZ243</f>
        <v/>
      </c>
      <c r="EM47" s="451">
        <f>'Raw financials'!EA243</f>
        <v/>
      </c>
      <c r="EN47" s="451">
        <f>'Raw financials'!EB243</f>
        <v/>
      </c>
      <c r="EO47" s="451">
        <f>'Raw financials'!EC243</f>
        <v/>
      </c>
      <c r="EP47" s="451">
        <f>'Raw financials'!ED243</f>
        <v/>
      </c>
      <c r="EQ47" s="451">
        <f>'Raw financials'!EE243</f>
        <v/>
      </c>
      <c r="ER47" s="451">
        <f>'Raw financials'!EF243</f>
        <v/>
      </c>
      <c r="ES47" s="451">
        <f>'Raw financials'!EG243</f>
        <v/>
      </c>
      <c r="ET47" s="451">
        <f>'Raw financials'!EH243</f>
        <v/>
      </c>
      <c r="EU47" s="451">
        <f>'Raw financials'!EI243</f>
        <v/>
      </c>
      <c r="EV47" s="451">
        <f>'Raw financials'!EJ243</f>
        <v/>
      </c>
      <c r="EW47" s="451">
        <f>'Raw financials'!EK243</f>
        <v/>
      </c>
      <c r="EX47" s="451">
        <f>'Raw financials'!EL243</f>
        <v/>
      </c>
      <c r="EY47" s="451">
        <f>'Raw financials'!EM243</f>
        <v/>
      </c>
      <c r="EZ47" s="454" t="n"/>
      <c r="FA47" s="454" t="n"/>
      <c r="FB47" s="452">
        <f>+FA47-EW47</f>
        <v/>
      </c>
      <c r="FC47" s="348">
        <f>+FB47/EW47</f>
        <v/>
      </c>
      <c r="FD47" s="451" t="n"/>
      <c r="FE47" s="451" t="n"/>
    </row>
    <row r="48">
      <c r="A48" s="6" t="inlineStr">
        <is>
          <t>Restricted cash</t>
        </is>
      </c>
      <c r="B48" s="451">
        <f>'Raw financials'!B55-Model!B47</f>
        <v/>
      </c>
      <c r="C48" s="451">
        <f>'Raw financials'!C55-Model!C47</f>
        <v/>
      </c>
      <c r="D48" s="451">
        <f>'Raw financials'!D55-Model!D47</f>
        <v/>
      </c>
      <c r="E48" s="451">
        <f>'Raw financials'!E55-Model!E47</f>
        <v/>
      </c>
      <c r="F48" s="451">
        <f>'Raw financials'!F55-Model!F47</f>
        <v/>
      </c>
      <c r="G48" s="451">
        <f>'Raw financials'!G55-Model!G47</f>
        <v/>
      </c>
      <c r="H48" s="451">
        <f>'Raw financials'!H55-Model!H47</f>
        <v/>
      </c>
      <c r="I48" s="451">
        <f>'Raw financials'!I55-Model!I47</f>
        <v/>
      </c>
      <c r="J48" s="451">
        <f>'Raw financials'!J55-Model!J47</f>
        <v/>
      </c>
      <c r="K48" s="451">
        <f>'Raw financials'!K55-Model!K47</f>
        <v/>
      </c>
      <c r="L48" s="451">
        <f>'Raw financials'!L55-Model!L47</f>
        <v/>
      </c>
      <c r="M48" s="451">
        <f>'Raw financials'!M55-Model!M47</f>
        <v/>
      </c>
      <c r="N48" s="451">
        <f>'Raw financials'!N55-Model!N47</f>
        <v/>
      </c>
      <c r="O48" s="451">
        <f>'Raw financials'!O55-Model!O47</f>
        <v/>
      </c>
      <c r="P48" s="451">
        <f>'Raw financials'!P55-Model!P47</f>
        <v/>
      </c>
      <c r="Q48" s="451">
        <f>'Raw financials'!Q55-Model!Q47</f>
        <v/>
      </c>
      <c r="R48" s="451">
        <f>'Raw financials'!R55-Model!R47</f>
        <v/>
      </c>
      <c r="S48" s="451">
        <f>'Raw financials'!S55-Model!S47</f>
        <v/>
      </c>
      <c r="T48" s="451">
        <f>'Raw financials'!T55-Model!T47</f>
        <v/>
      </c>
      <c r="U48" s="459">
        <f>+T48</f>
        <v/>
      </c>
      <c r="V48" s="459">
        <f>+U48</f>
        <v/>
      </c>
      <c r="W48" s="459">
        <f>+V48</f>
        <v/>
      </c>
      <c r="X48" s="459">
        <f>+W48</f>
        <v/>
      </c>
      <c r="Y48" s="459">
        <f>+X48</f>
        <v/>
      </c>
      <c r="Z48" s="459">
        <f>+Y48</f>
        <v/>
      </c>
      <c r="AA48" s="452">
        <f>+U48-T48</f>
        <v/>
      </c>
      <c r="AB48" s="348">
        <f>+AA48/T48</f>
        <v/>
      </c>
      <c r="AC48" s="459" t="n">
        <v>4353.089100000001</v>
      </c>
      <c r="AD48" s="452">
        <f>+X48-W48</f>
        <v/>
      </c>
      <c r="AE48" s="348">
        <f>+AD48/W48</f>
        <v/>
      </c>
      <c r="AF48" s="451" t="n"/>
      <c r="AG48" s="451">
        <f>'Raw financials'!AA55-Model!AG47</f>
        <v/>
      </c>
      <c r="AH48" s="451">
        <f>+B48</f>
        <v/>
      </c>
      <c r="AI48" s="451">
        <f>'Raw financials'!AB55-Model!AI47</f>
        <v/>
      </c>
      <c r="AJ48" s="451">
        <f>+C48</f>
        <v/>
      </c>
      <c r="AK48" s="451">
        <f>'Raw financials'!AC55-Model!AK47</f>
        <v/>
      </c>
      <c r="AL48" s="451">
        <f>+D48</f>
        <v/>
      </c>
      <c r="AM48" s="451">
        <f>'Raw financials'!AD55-Model!AM47</f>
        <v/>
      </c>
      <c r="AN48" s="451">
        <f>+E48</f>
        <v/>
      </c>
      <c r="AO48" s="451">
        <f>'Raw financials'!AE55-Model!AO47</f>
        <v/>
      </c>
      <c r="AP48" s="451">
        <f>+F48</f>
        <v/>
      </c>
      <c r="AQ48" s="451">
        <f>'Raw financials'!AF55-Model!AQ47</f>
        <v/>
      </c>
      <c r="AR48" s="451">
        <f>+G48</f>
        <v/>
      </c>
      <c r="AS48" s="451">
        <f>'Raw financials'!AG55-Model!AS47</f>
        <v/>
      </c>
      <c r="AT48" s="451">
        <f>+H48</f>
        <v/>
      </c>
      <c r="AU48" s="451">
        <f>'Raw financials'!AH55-Model!AU47</f>
        <v/>
      </c>
      <c r="AV48" s="451">
        <f>+I48</f>
        <v/>
      </c>
      <c r="AW48" s="451">
        <f>'Raw financials'!AI55-Model!AW47</f>
        <v/>
      </c>
      <c r="AX48" s="451">
        <f>+J48</f>
        <v/>
      </c>
      <c r="AY48" s="451">
        <f>'Raw financials'!AJ55-Model!AY47</f>
        <v/>
      </c>
      <c r="AZ48" s="451">
        <f>+K48</f>
        <v/>
      </c>
      <c r="BA48" s="451">
        <f>'Raw financials'!AK55-Model!BA47</f>
        <v/>
      </c>
      <c r="BB48" s="451">
        <f>+L48</f>
        <v/>
      </c>
      <c r="BC48" s="451">
        <f>'Raw financials'!AL55-Model!BC47</f>
        <v/>
      </c>
      <c r="BD48" s="451">
        <f>+M48</f>
        <v/>
      </c>
      <c r="BE48" s="451">
        <f>'Raw financials'!AM55-Model!BE47</f>
        <v/>
      </c>
      <c r="BF48" s="451">
        <f>+N48</f>
        <v/>
      </c>
      <c r="BG48" s="451">
        <f>'Raw financials'!AN55-Model!BG47</f>
        <v/>
      </c>
      <c r="BH48" s="451">
        <f>+O48</f>
        <v/>
      </c>
      <c r="BI48" s="451">
        <f>'Raw financials'!AO55-Model!BI47</f>
        <v/>
      </c>
      <c r="BJ48" s="451">
        <f>+P48</f>
        <v/>
      </c>
      <c r="BK48" s="451">
        <f>'Raw financials'!AP55-Model!BK47</f>
        <v/>
      </c>
      <c r="BL48" s="451">
        <f>+Q48</f>
        <v/>
      </c>
      <c r="BM48" s="451">
        <f>'Raw financials'!AQ55-Model!BM47</f>
        <v/>
      </c>
      <c r="BN48" s="451">
        <f>+R48</f>
        <v/>
      </c>
      <c r="BO48" s="451">
        <f>'Raw financials'!AR55-Model!BO47</f>
        <v/>
      </c>
      <c r="BP48" s="451">
        <f>+S48</f>
        <v/>
      </c>
      <c r="BQ48" s="451">
        <f>'Raw financials'!AS55-Model!BQ47</f>
        <v/>
      </c>
      <c r="BR48" s="451">
        <f>+T48</f>
        <v/>
      </c>
      <c r="BS48" s="451" t="n"/>
      <c r="BT48" s="451">
        <f>+U48</f>
        <v/>
      </c>
      <c r="BU48" s="453">
        <f>BT48-BR48</f>
        <v/>
      </c>
      <c r="BV48" s="379">
        <f>BU48/BR48</f>
        <v/>
      </c>
      <c r="BW48" s="482" t="n"/>
      <c r="BX48" s="482" t="n"/>
      <c r="BY48" s="487" t="n"/>
      <c r="BZ48" s="451">
        <f>'Raw financials'!BN55-Model!BZ47</f>
        <v/>
      </c>
      <c r="CA48" s="451">
        <f>'Raw financials'!BO55-Model!CA47</f>
        <v/>
      </c>
      <c r="CB48" s="451">
        <f>'Raw financials'!BP55-Model!CB47</f>
        <v/>
      </c>
      <c r="CC48" s="451">
        <f>'Raw financials'!BQ55-Model!CC47</f>
        <v/>
      </c>
      <c r="CD48" s="451">
        <f>'Raw financials'!BR55-Model!CD47</f>
        <v/>
      </c>
      <c r="CE48" s="451">
        <f>'Raw financials'!BS55-Model!CE47</f>
        <v/>
      </c>
      <c r="CF48" s="451">
        <f>'Raw financials'!BT55-Model!CF47</f>
        <v/>
      </c>
      <c r="CG48" s="451">
        <f>'Raw financials'!BU55-Model!CG47</f>
        <v/>
      </c>
      <c r="CH48" s="451">
        <f>'Raw financials'!BV55-Model!CH47</f>
        <v/>
      </c>
      <c r="CI48" s="451">
        <f>'Raw financials'!BW55-Model!CI47</f>
        <v/>
      </c>
      <c r="CJ48" s="451">
        <f>'Raw financials'!BX55-Model!CJ47</f>
        <v/>
      </c>
      <c r="CK48" s="451">
        <f>'Raw financials'!BY55-Model!CK47</f>
        <v/>
      </c>
      <c r="CL48" s="451">
        <f>'Raw financials'!BZ55-Model!CL47</f>
        <v/>
      </c>
      <c r="CM48" s="451">
        <f>'Raw financials'!CA55-Model!CM47</f>
        <v/>
      </c>
      <c r="CN48" s="451">
        <f>'Raw financials'!CB55-Model!CN47</f>
        <v/>
      </c>
      <c r="CO48" s="451">
        <f>'Raw financials'!CC55-Model!CO47</f>
        <v/>
      </c>
      <c r="CP48" s="451">
        <f>'Raw financials'!CD55-Model!CP47</f>
        <v/>
      </c>
      <c r="CQ48" s="451">
        <f>'Raw financials'!CE55-Model!CQ47</f>
        <v/>
      </c>
      <c r="CR48" s="451">
        <f>'Raw financials'!CF55-Model!CR47</f>
        <v/>
      </c>
      <c r="CS48" s="451">
        <f>'Raw financials'!CG55-Model!CS47</f>
        <v/>
      </c>
      <c r="CT48" s="451">
        <f>'Raw financials'!CH55-Model!CT47</f>
        <v/>
      </c>
      <c r="CU48" s="451">
        <f>'Raw financials'!CI55-Model!CU47</f>
        <v/>
      </c>
      <c r="CV48" s="451">
        <f>'Raw financials'!CJ55-Model!CV47</f>
        <v/>
      </c>
      <c r="CW48" s="451">
        <f>'Raw financials'!CK55-Model!CW47</f>
        <v/>
      </c>
      <c r="CX48" s="451">
        <f>'Raw financials'!CL55-Model!CX47</f>
        <v/>
      </c>
      <c r="CY48" s="451">
        <f>'Raw financials'!CM55-Model!CY47</f>
        <v/>
      </c>
      <c r="CZ48" s="451">
        <f>'Raw financials'!CN55-Model!CZ47</f>
        <v/>
      </c>
      <c r="DA48" s="451">
        <f>'Raw financials'!CO55-Model!DA47</f>
        <v/>
      </c>
      <c r="DB48" s="451">
        <f>'Raw financials'!CP55-Model!DB47</f>
        <v/>
      </c>
      <c r="DC48" s="451">
        <f>'Raw financials'!CQ55-Model!DC47</f>
        <v/>
      </c>
      <c r="DD48" s="451">
        <f>'Raw financials'!CR55-Model!DD47</f>
        <v/>
      </c>
      <c r="DE48" s="451">
        <f>'Raw financials'!CS55-Model!DE47</f>
        <v/>
      </c>
      <c r="DF48" s="451">
        <f>'Raw financials'!CT55-Model!DF47</f>
        <v/>
      </c>
      <c r="DG48" s="451">
        <f>'Raw financials'!CU55-Model!DG47</f>
        <v/>
      </c>
      <c r="DH48" s="451">
        <f>'Raw financials'!CV55-Model!DH47</f>
        <v/>
      </c>
      <c r="DI48" s="451">
        <f>'Raw financials'!CW55-Model!DI47</f>
        <v/>
      </c>
      <c r="DJ48" s="451">
        <f>'Raw financials'!CX55-Model!DJ47</f>
        <v/>
      </c>
      <c r="DK48" s="451">
        <f>'Raw financials'!CY55-Model!DK47</f>
        <v/>
      </c>
      <c r="DL48" s="451">
        <f>'Raw financials'!CZ55-Model!DL47</f>
        <v/>
      </c>
      <c r="DM48" s="451">
        <f>'Raw financials'!DA55-Model!DM47</f>
        <v/>
      </c>
      <c r="DN48" s="451">
        <f>'Raw financials'!DB55-Model!DN47</f>
        <v/>
      </c>
      <c r="DO48" s="451">
        <f>'Raw financials'!DC55-Model!DO47</f>
        <v/>
      </c>
      <c r="DP48" s="451">
        <f>'Raw financials'!DD55-Model!DP47</f>
        <v/>
      </c>
      <c r="DQ48" s="451">
        <f>'Raw financials'!DE55-Model!DQ47</f>
        <v/>
      </c>
      <c r="DR48" s="451">
        <f>'Raw financials'!DF55-Model!DR47</f>
        <v/>
      </c>
      <c r="DS48" s="451">
        <f>'Raw financials'!DG55-Model!DS47</f>
        <v/>
      </c>
      <c r="DT48" s="451">
        <f>'Raw financials'!DH55-Model!DT47</f>
        <v/>
      </c>
      <c r="DU48" s="451">
        <f>'Raw financials'!DI55-Model!DU47</f>
        <v/>
      </c>
      <c r="DV48" s="451">
        <f>'Raw financials'!DJ55-Model!DV47</f>
        <v/>
      </c>
      <c r="DW48" s="451">
        <f>'Raw financials'!DK55-Model!DW47</f>
        <v/>
      </c>
      <c r="DX48" s="451" t="n"/>
      <c r="DY48" s="451" t="n"/>
      <c r="DZ48" s="451">
        <f>'Raw financials'!DN55-Model!DZ47</f>
        <v/>
      </c>
      <c r="EA48" s="451">
        <f>'Raw financials'!DO55-Model!EA47</f>
        <v/>
      </c>
      <c r="EB48" s="451">
        <f>'Raw financials'!DP55-Model!EB47</f>
        <v/>
      </c>
      <c r="EC48" s="451">
        <f>'Raw financials'!DQ55-Model!EC47</f>
        <v/>
      </c>
      <c r="ED48" s="451">
        <f>'Raw financials'!DR55-Model!ED47</f>
        <v/>
      </c>
      <c r="EE48" s="451">
        <f>'Raw financials'!DS55-Model!EE47</f>
        <v/>
      </c>
      <c r="EF48" s="451">
        <f>'Raw financials'!DT55-Model!EF47</f>
        <v/>
      </c>
      <c r="EG48" s="451">
        <f>'Raw financials'!DU55-Model!EG47</f>
        <v/>
      </c>
      <c r="EH48" s="451">
        <f>'Raw financials'!DV55-Model!EH47</f>
        <v/>
      </c>
      <c r="EI48" s="451">
        <f>'Raw financials'!DW55-Model!EI47</f>
        <v/>
      </c>
      <c r="EJ48" s="451">
        <f>'Raw financials'!DX55-Model!EJ47</f>
        <v/>
      </c>
      <c r="EK48" s="451">
        <f>'Raw financials'!DY55-Model!EK47</f>
        <v/>
      </c>
      <c r="EL48" s="451">
        <f>'Raw financials'!DZ55-Model!EL47</f>
        <v/>
      </c>
      <c r="EM48" s="451">
        <f>'Raw financials'!EA55-Model!EM47</f>
        <v/>
      </c>
      <c r="EN48" s="451">
        <f>'Raw financials'!EB55-Model!EN47</f>
        <v/>
      </c>
      <c r="EO48" s="451">
        <f>'Raw financials'!EC55-Model!EO47</f>
        <v/>
      </c>
      <c r="EP48" s="451">
        <f>'Raw financials'!ED55-Model!EP47</f>
        <v/>
      </c>
      <c r="EQ48" s="451">
        <f>'Raw financials'!EE55-Model!EQ47</f>
        <v/>
      </c>
      <c r="ER48" s="451">
        <f>'Raw financials'!EF55-Model!ER47</f>
        <v/>
      </c>
      <c r="ES48" s="451">
        <f>'Raw financials'!EG55-Model!ES47</f>
        <v/>
      </c>
      <c r="ET48" s="451">
        <f>'Raw financials'!EH55-Model!ET47</f>
        <v/>
      </c>
      <c r="EU48" s="451">
        <f>'Raw financials'!EI55-Model!EU47</f>
        <v/>
      </c>
      <c r="EV48" s="451">
        <f>'Raw financials'!EJ55-Model!EV47</f>
        <v/>
      </c>
      <c r="EW48" s="451">
        <f>'Raw financials'!EK55-Model!EW47</f>
        <v/>
      </c>
      <c r="EX48" s="451">
        <f>'Raw financials'!EL55-Model!EX47</f>
        <v/>
      </c>
      <c r="EY48" s="451">
        <f>'Raw financials'!EM55-Model!EY47</f>
        <v/>
      </c>
      <c r="EZ48" s="454" t="n"/>
      <c r="FA48" s="454" t="n"/>
      <c r="FB48" s="452">
        <f>+FA48-EW48</f>
        <v/>
      </c>
      <c r="FC48" s="348">
        <f>+FB48/EW48</f>
        <v/>
      </c>
      <c r="FD48" s="451" t="n"/>
      <c r="FE48" s="451" t="n"/>
    </row>
    <row r="49">
      <c r="A49" s="6" t="inlineStr">
        <is>
          <t>Accounts receivable &amp; contract assets</t>
        </is>
      </c>
      <c r="B49" s="451">
        <f>SUM('Raw financials'!B60,'Raw financials'!B71)</f>
        <v/>
      </c>
      <c r="C49" s="451">
        <f>SUM('Raw financials'!C60,'Raw financials'!C71)</f>
        <v/>
      </c>
      <c r="D49" s="451">
        <f>SUM('Raw financials'!D60,'Raw financials'!D71)</f>
        <v/>
      </c>
      <c r="E49" s="451">
        <f>SUM('Raw financials'!E60,'Raw financials'!E71)</f>
        <v/>
      </c>
      <c r="F49" s="451">
        <f>SUM('Raw financials'!F60,'Raw financials'!F71)</f>
        <v/>
      </c>
      <c r="G49" s="451">
        <f>SUM('Raw financials'!G60,'Raw financials'!G71)</f>
        <v/>
      </c>
      <c r="H49" s="451">
        <f>SUM('Raw financials'!H60,'Raw financials'!H71)</f>
        <v/>
      </c>
      <c r="I49" s="451">
        <f>SUM('Raw financials'!I60,'Raw financials'!I71)</f>
        <v/>
      </c>
      <c r="J49" s="451">
        <f>SUM('Raw financials'!J60,'Raw financials'!J71)</f>
        <v/>
      </c>
      <c r="K49" s="451">
        <f>SUM('Raw financials'!K60,'Raw financials'!K71)</f>
        <v/>
      </c>
      <c r="L49" s="451">
        <f>SUM('Raw financials'!L60,'Raw financials'!L71)</f>
        <v/>
      </c>
      <c r="M49" s="451">
        <f>SUM('Raw financials'!M60,'Raw financials'!M71)</f>
        <v/>
      </c>
      <c r="N49" s="451">
        <f>SUM('Raw financials'!N60,'Raw financials'!N71)</f>
        <v/>
      </c>
      <c r="O49" s="451">
        <f>SUM('Raw financials'!O60,'Raw financials'!O71)</f>
        <v/>
      </c>
      <c r="P49" s="451">
        <f>SUM('Raw financials'!P60,'Raw financials'!P71)</f>
        <v/>
      </c>
      <c r="Q49" s="451">
        <f>SUM('Raw financials'!Q60,'Raw financials'!Q71)</f>
        <v/>
      </c>
      <c r="R49" s="451">
        <f>SUM('Raw financials'!R60,'Raw financials'!R71)</f>
        <v/>
      </c>
      <c r="S49" s="451">
        <f>SUM('Raw financials'!S60,'Raw financials'!S71)</f>
        <v/>
      </c>
      <c r="T49" s="451">
        <f>SUM('Raw financials'!T60,'Raw financials'!T71)</f>
        <v/>
      </c>
      <c r="U49" s="451">
        <f>Driver!J142</f>
        <v/>
      </c>
      <c r="V49" s="451">
        <f>Driver!K142</f>
        <v/>
      </c>
      <c r="W49" s="451">
        <f>Driver!L142</f>
        <v/>
      </c>
      <c r="X49" s="451">
        <f>Driver!M142</f>
        <v/>
      </c>
      <c r="Y49" s="451">
        <f>Driver!N142</f>
        <v/>
      </c>
      <c r="Z49" s="451">
        <f>Driver!O142</f>
        <v/>
      </c>
      <c r="AA49" s="452">
        <f>+U49-T49</f>
        <v/>
      </c>
      <c r="AB49" s="348">
        <f>+AA49/T49</f>
        <v/>
      </c>
      <c r="AC49" s="451" t="n">
        <v>31287.98491990727</v>
      </c>
      <c r="AD49" s="452">
        <f>+X49-W49</f>
        <v/>
      </c>
      <c r="AE49" s="348">
        <f>+AD49/W49</f>
        <v/>
      </c>
      <c r="AF49" s="451" t="n"/>
      <c r="AG49" s="451">
        <f>SUM('Raw financials'!AA60,'Raw financials'!AA71)</f>
        <v/>
      </c>
      <c r="AH49" s="451">
        <f>+B49</f>
        <v/>
      </c>
      <c r="AI49" s="451">
        <f>SUM('Raw financials'!AB60,'Raw financials'!AB71)</f>
        <v/>
      </c>
      <c r="AJ49" s="451">
        <f>+C49</f>
        <v/>
      </c>
      <c r="AK49" s="451">
        <f>SUM('Raw financials'!AC60,'Raw financials'!AC71)</f>
        <v/>
      </c>
      <c r="AL49" s="451">
        <f>+D49</f>
        <v/>
      </c>
      <c r="AM49" s="451">
        <f>SUM('Raw financials'!AD60,'Raw financials'!AD71)</f>
        <v/>
      </c>
      <c r="AN49" s="451">
        <f>+E49</f>
        <v/>
      </c>
      <c r="AO49" s="451">
        <f>SUM('Raw financials'!AE60,'Raw financials'!AE71)</f>
        <v/>
      </c>
      <c r="AP49" s="451">
        <f>+F49</f>
        <v/>
      </c>
      <c r="AQ49" s="451">
        <f>SUM('Raw financials'!AF60,'Raw financials'!AF71)</f>
        <v/>
      </c>
      <c r="AR49" s="451">
        <f>+G49</f>
        <v/>
      </c>
      <c r="AS49" s="451">
        <f>SUM('Raw financials'!AG60,'Raw financials'!AG71)</f>
        <v/>
      </c>
      <c r="AT49" s="451">
        <f>+H49</f>
        <v/>
      </c>
      <c r="AU49" s="451">
        <f>SUM('Raw financials'!AH60,'Raw financials'!AH71)</f>
        <v/>
      </c>
      <c r="AV49" s="451">
        <f>+I49</f>
        <v/>
      </c>
      <c r="AW49" s="451">
        <f>SUM('Raw financials'!AI60,'Raw financials'!AI71)</f>
        <v/>
      </c>
      <c r="AX49" s="451">
        <f>+J49</f>
        <v/>
      </c>
      <c r="AY49" s="451">
        <f>SUM('Raw financials'!AJ60,'Raw financials'!AJ71)</f>
        <v/>
      </c>
      <c r="AZ49" s="451">
        <f>+K49</f>
        <v/>
      </c>
      <c r="BA49" s="451">
        <f>SUM('Raw financials'!AK60,'Raw financials'!AK71)</f>
        <v/>
      </c>
      <c r="BB49" s="451">
        <f>+L49</f>
        <v/>
      </c>
      <c r="BC49" s="451">
        <f>SUM('Raw financials'!AL60,'Raw financials'!AL71)</f>
        <v/>
      </c>
      <c r="BD49" s="451">
        <f>+M49</f>
        <v/>
      </c>
      <c r="BE49" s="451">
        <f>SUM('Raw financials'!AM60,'Raw financials'!AM71)</f>
        <v/>
      </c>
      <c r="BF49" s="451">
        <f>+N49</f>
        <v/>
      </c>
      <c r="BG49" s="451">
        <f>SUM('Raw financials'!AN60,'Raw financials'!AN71)</f>
        <v/>
      </c>
      <c r="BH49" s="451">
        <f>+O49</f>
        <v/>
      </c>
      <c r="BI49" s="451">
        <f>SUM('Raw financials'!AO60,'Raw financials'!AO71)</f>
        <v/>
      </c>
      <c r="BJ49" s="451">
        <f>+P49</f>
        <v/>
      </c>
      <c r="BK49" s="451">
        <f>SUM('Raw financials'!AP60,'Raw financials'!AP71)</f>
        <v/>
      </c>
      <c r="BL49" s="451">
        <f>+Q49</f>
        <v/>
      </c>
      <c r="BM49" s="451">
        <f>SUM('Raw financials'!AQ60,'Raw financials'!AQ71)</f>
        <v/>
      </c>
      <c r="BN49" s="451">
        <f>+R49</f>
        <v/>
      </c>
      <c r="BO49" s="451">
        <f>SUM('Raw financials'!AR60,'Raw financials'!AR71)</f>
        <v/>
      </c>
      <c r="BP49" s="451">
        <f>+S49</f>
        <v/>
      </c>
      <c r="BQ49" s="451">
        <f>SUM('Raw financials'!AS60,'Raw financials'!AS71)</f>
        <v/>
      </c>
      <c r="BR49" s="451">
        <f>+T49</f>
        <v/>
      </c>
      <c r="BS49" s="451" t="n"/>
      <c r="BT49" s="451">
        <f>+U49</f>
        <v/>
      </c>
      <c r="BU49" s="453">
        <f>BT49-BR49</f>
        <v/>
      </c>
      <c r="BV49" s="379">
        <f>BU49/BR49</f>
        <v/>
      </c>
      <c r="BW49" s="488" t="n"/>
      <c r="BX49" s="489" t="n"/>
      <c r="BZ49" s="451">
        <f>SUM('Raw financials'!BN60,'Raw financials'!BN71)</f>
        <v/>
      </c>
      <c r="CA49" s="451">
        <f>SUM('Raw financials'!BO60,'Raw financials'!BO71)</f>
        <v/>
      </c>
      <c r="CB49" s="451">
        <f>SUM('Raw financials'!BP60,'Raw financials'!BP71)</f>
        <v/>
      </c>
      <c r="CC49" s="451">
        <f>SUM('Raw financials'!BQ60,'Raw financials'!BQ71)</f>
        <v/>
      </c>
      <c r="CD49" s="451">
        <f>SUM('Raw financials'!BR60,'Raw financials'!BR71)</f>
        <v/>
      </c>
      <c r="CE49" s="451">
        <f>SUM('Raw financials'!BS60,'Raw financials'!BS71)</f>
        <v/>
      </c>
      <c r="CF49" s="451">
        <f>SUM('Raw financials'!BT60,'Raw financials'!BT71)</f>
        <v/>
      </c>
      <c r="CG49" s="451">
        <f>SUM('Raw financials'!BU60,'Raw financials'!BU71)</f>
        <v/>
      </c>
      <c r="CH49" s="451">
        <f>SUM('Raw financials'!BV60,'Raw financials'!BV71)</f>
        <v/>
      </c>
      <c r="CI49" s="451">
        <f>SUM('Raw financials'!BW60,'Raw financials'!BW71)</f>
        <v/>
      </c>
      <c r="CJ49" s="451">
        <f>SUM('Raw financials'!BX60,'Raw financials'!BX71)</f>
        <v/>
      </c>
      <c r="CK49" s="451">
        <f>SUM('Raw financials'!BY60,'Raw financials'!BY71)</f>
        <v/>
      </c>
      <c r="CL49" s="451">
        <f>SUM('Raw financials'!BZ60,'Raw financials'!BZ71)</f>
        <v/>
      </c>
      <c r="CM49" s="451">
        <f>SUM('Raw financials'!CA60,'Raw financials'!CA71)</f>
        <v/>
      </c>
      <c r="CN49" s="451">
        <f>SUM('Raw financials'!CB60,'Raw financials'!CB71)</f>
        <v/>
      </c>
      <c r="CO49" s="451">
        <f>SUM('Raw financials'!CC60,'Raw financials'!CC71)</f>
        <v/>
      </c>
      <c r="CP49" s="451">
        <f>SUM('Raw financials'!CD60,'Raw financials'!CD71)</f>
        <v/>
      </c>
      <c r="CQ49" s="451">
        <f>SUM('Raw financials'!CE60,'Raw financials'!CE71)</f>
        <v/>
      </c>
      <c r="CR49" s="451">
        <f>SUM('Raw financials'!CF60,'Raw financials'!CF71)</f>
        <v/>
      </c>
      <c r="CS49" s="451">
        <f>SUM('Raw financials'!CG60,'Raw financials'!CG71)</f>
        <v/>
      </c>
      <c r="CT49" s="451">
        <f>SUM('Raw financials'!CH60,'Raw financials'!CH71)</f>
        <v/>
      </c>
      <c r="CU49" s="451">
        <f>SUM('Raw financials'!CI60,'Raw financials'!CI71)</f>
        <v/>
      </c>
      <c r="CV49" s="451">
        <f>SUM('Raw financials'!CJ60,'Raw financials'!CJ71)</f>
        <v/>
      </c>
      <c r="CW49" s="451">
        <f>SUM('Raw financials'!CK60,'Raw financials'!CK71)</f>
        <v/>
      </c>
      <c r="CX49" s="451">
        <f>SUM('Raw financials'!CL60,'Raw financials'!CL71)</f>
        <v/>
      </c>
      <c r="CY49" s="451">
        <f>SUM('Raw financials'!CM60,'Raw financials'!CM71)</f>
        <v/>
      </c>
      <c r="CZ49" s="451">
        <f>SUM('Raw financials'!CN60,'Raw financials'!CN71)</f>
        <v/>
      </c>
      <c r="DA49" s="451">
        <f>SUM('Raw financials'!CO60,'Raw financials'!CO71)</f>
        <v/>
      </c>
      <c r="DB49" s="451">
        <f>SUM('Raw financials'!CP60,'Raw financials'!CP71)</f>
        <v/>
      </c>
      <c r="DC49" s="451">
        <f>SUM('Raw financials'!CQ60,'Raw financials'!CQ71)</f>
        <v/>
      </c>
      <c r="DD49" s="451">
        <f>SUM('Raw financials'!CR60,'Raw financials'!CR71)</f>
        <v/>
      </c>
      <c r="DE49" s="451">
        <f>SUM('Raw financials'!CS60,'Raw financials'!CS71)</f>
        <v/>
      </c>
      <c r="DF49" s="451">
        <f>SUM('Raw financials'!CT60,'Raw financials'!CT71)</f>
        <v/>
      </c>
      <c r="DG49" s="451">
        <f>SUM('Raw financials'!CU60,'Raw financials'!CU71)</f>
        <v/>
      </c>
      <c r="DH49" s="451">
        <f>SUM('Raw financials'!CV60,'Raw financials'!CV71)</f>
        <v/>
      </c>
      <c r="DI49" s="451">
        <f>SUM('Raw financials'!CW60,'Raw financials'!CW71)</f>
        <v/>
      </c>
      <c r="DJ49" s="451">
        <f>SUM('Raw financials'!CX60,'Raw financials'!CX71)</f>
        <v/>
      </c>
      <c r="DK49" s="451">
        <f>SUM('Raw financials'!CY60,'Raw financials'!CY71)</f>
        <v/>
      </c>
      <c r="DL49" s="451">
        <f>SUM('Raw financials'!CZ60,'Raw financials'!CZ71)</f>
        <v/>
      </c>
      <c r="DM49" s="451">
        <f>SUM('Raw financials'!DA60,'Raw financials'!DA71)</f>
        <v/>
      </c>
      <c r="DN49" s="451">
        <f>SUM('Raw financials'!DB60,'Raw financials'!DB71)</f>
        <v/>
      </c>
      <c r="DO49" s="451">
        <f>SUM('Raw financials'!DC60,'Raw financials'!DC71)</f>
        <v/>
      </c>
      <c r="DP49" s="451">
        <f>SUM('Raw financials'!DD60,'Raw financials'!DD71)</f>
        <v/>
      </c>
      <c r="DQ49" s="451">
        <f>SUM('Raw financials'!DE60,'Raw financials'!DE71)</f>
        <v/>
      </c>
      <c r="DR49" s="451">
        <f>SUM('Raw financials'!DF60,'Raw financials'!DF71)</f>
        <v/>
      </c>
      <c r="DS49" s="451">
        <f>SUM('Raw financials'!DG60,'Raw financials'!DG71)</f>
        <v/>
      </c>
      <c r="DT49" s="451">
        <f>SUM('Raw financials'!DH60,'Raw financials'!DH71)</f>
        <v/>
      </c>
      <c r="DU49" s="451">
        <f>SUM('Raw financials'!DI60,'Raw financials'!DI71)</f>
        <v/>
      </c>
      <c r="DV49" s="451">
        <f>SUM('Raw financials'!DJ60,'Raw financials'!DJ71)</f>
        <v/>
      </c>
      <c r="DW49" s="451">
        <f>SUM('Raw financials'!DK60,'Raw financials'!DK71)</f>
        <v/>
      </c>
      <c r="DX49" s="451" t="n"/>
      <c r="DY49" s="451" t="n"/>
      <c r="DZ49" s="451">
        <f>SUM('Raw financials'!DN60,'Raw financials'!DN71)</f>
        <v/>
      </c>
      <c r="EA49" s="451">
        <f>SUM('Raw financials'!DO60,'Raw financials'!DO71)</f>
        <v/>
      </c>
      <c r="EB49" s="451">
        <f>SUM('Raw financials'!DP60,'Raw financials'!DP71)</f>
        <v/>
      </c>
      <c r="EC49" s="451">
        <f>SUM('Raw financials'!DQ60,'Raw financials'!DQ71)</f>
        <v/>
      </c>
      <c r="ED49" s="451">
        <f>SUM('Raw financials'!DR60,'Raw financials'!DR71)</f>
        <v/>
      </c>
      <c r="EE49" s="451">
        <f>SUM('Raw financials'!DS60,'Raw financials'!DS71)</f>
        <v/>
      </c>
      <c r="EF49" s="451">
        <f>SUM('Raw financials'!DT60,'Raw financials'!DT71)</f>
        <v/>
      </c>
      <c r="EG49" s="451">
        <f>SUM('Raw financials'!DU60,'Raw financials'!DU71)</f>
        <v/>
      </c>
      <c r="EH49" s="451">
        <f>SUM('Raw financials'!DV60,'Raw financials'!DV71)</f>
        <v/>
      </c>
      <c r="EI49" s="451">
        <f>SUM('Raw financials'!DW60,'Raw financials'!DW71)</f>
        <v/>
      </c>
      <c r="EJ49" s="451">
        <f>SUM('Raw financials'!DX60,'Raw financials'!DX71)</f>
        <v/>
      </c>
      <c r="EK49" s="451">
        <f>SUM('Raw financials'!DY60,'Raw financials'!DY71)</f>
        <v/>
      </c>
      <c r="EL49" s="451">
        <f>SUM('Raw financials'!DZ60,'Raw financials'!DZ71)</f>
        <v/>
      </c>
      <c r="EM49" s="451">
        <f>SUM('Raw financials'!EA60,'Raw financials'!EA71)</f>
        <v/>
      </c>
      <c r="EN49" s="451">
        <f>SUM('Raw financials'!EB60,'Raw financials'!EB71)</f>
        <v/>
      </c>
      <c r="EO49" s="451">
        <f>SUM('Raw financials'!EC60,'Raw financials'!EC71)</f>
        <v/>
      </c>
      <c r="EP49" s="451">
        <f>SUM('Raw financials'!ED60,'Raw financials'!ED71)</f>
        <v/>
      </c>
      <c r="EQ49" s="451">
        <f>SUM('Raw financials'!EE60,'Raw financials'!EE71)</f>
        <v/>
      </c>
      <c r="ER49" s="451">
        <f>SUM('Raw financials'!EF60,'Raw financials'!EF71)</f>
        <v/>
      </c>
      <c r="ES49" s="451">
        <f>SUM('Raw financials'!EG60,'Raw financials'!EG71)</f>
        <v/>
      </c>
      <c r="ET49" s="451">
        <f>SUM('Raw financials'!EH60,'Raw financials'!EH71)</f>
        <v/>
      </c>
      <c r="EU49" s="451">
        <f>SUM('Raw financials'!EI60,'Raw financials'!EI71)</f>
        <v/>
      </c>
      <c r="EV49" s="451">
        <f>SUM('Raw financials'!EJ60,'Raw financials'!EJ71)</f>
        <v/>
      </c>
      <c r="EW49" s="451">
        <f>SUM('Raw financials'!EK60,'Raw financials'!EK71)</f>
        <v/>
      </c>
      <c r="EX49" s="451">
        <f>SUM('Raw financials'!EL60,'Raw financials'!EL71)</f>
        <v/>
      </c>
      <c r="EY49" s="451">
        <f>SUM('Raw financials'!EM60,'Raw financials'!EM71)</f>
        <v/>
      </c>
      <c r="EZ49" s="454" t="n"/>
      <c r="FA49" s="454" t="n"/>
      <c r="FB49" s="452">
        <f>+FA49-EW49</f>
        <v/>
      </c>
      <c r="FC49" s="348">
        <f>+FB49/EW49</f>
        <v/>
      </c>
      <c r="FD49" s="451" t="n"/>
      <c r="FE49" s="451" t="n"/>
    </row>
    <row r="50">
      <c r="A50" s="6" t="inlineStr">
        <is>
          <t>Other receivables</t>
        </is>
      </c>
      <c r="B50" s="451">
        <f>SUM('Raw financials'!B59,'Raw financials'!B61,'Raw financials'!B63)</f>
        <v/>
      </c>
      <c r="C50" s="451">
        <f>SUM('Raw financials'!C59,'Raw financials'!C61,'Raw financials'!C63)</f>
        <v/>
      </c>
      <c r="D50" s="451">
        <f>SUM('Raw financials'!D59,'Raw financials'!D61,'Raw financials'!D63)</f>
        <v/>
      </c>
      <c r="E50" s="451">
        <f>SUM('Raw financials'!E59,'Raw financials'!E61,'Raw financials'!E63)</f>
        <v/>
      </c>
      <c r="F50" s="451">
        <f>SUM('Raw financials'!F59,'Raw financials'!F61,'Raw financials'!F63)</f>
        <v/>
      </c>
      <c r="G50" s="451">
        <f>SUM('Raw financials'!G59,'Raw financials'!G61,'Raw financials'!G63)</f>
        <v/>
      </c>
      <c r="H50" s="451">
        <f>SUM('Raw financials'!H59,'Raw financials'!H61,'Raw financials'!H63)</f>
        <v/>
      </c>
      <c r="I50" s="451">
        <f>SUM('Raw financials'!I59,'Raw financials'!I61,'Raw financials'!I63)</f>
        <v/>
      </c>
      <c r="J50" s="451">
        <f>SUM('Raw financials'!J59,'Raw financials'!J61,'Raw financials'!J63)</f>
        <v/>
      </c>
      <c r="K50" s="451">
        <f>SUM('Raw financials'!K59,'Raw financials'!K61,'Raw financials'!K63)</f>
        <v/>
      </c>
      <c r="L50" s="451">
        <f>SUM('Raw financials'!L59,'Raw financials'!L61,'Raw financials'!L63)</f>
        <v/>
      </c>
      <c r="M50" s="451">
        <f>SUM('Raw financials'!M59,'Raw financials'!M61,'Raw financials'!M63)</f>
        <v/>
      </c>
      <c r="N50" s="451">
        <f>SUM('Raw financials'!N59,'Raw financials'!N61,'Raw financials'!N63)</f>
        <v/>
      </c>
      <c r="O50" s="451">
        <f>SUM('Raw financials'!O59,'Raw financials'!O61,'Raw financials'!O63)</f>
        <v/>
      </c>
      <c r="P50" s="451">
        <f>SUM('Raw financials'!P59,'Raw financials'!P61,'Raw financials'!P63)</f>
        <v/>
      </c>
      <c r="Q50" s="451">
        <f>SUM('Raw financials'!Q59,'Raw financials'!Q61,'Raw financials'!Q63)</f>
        <v/>
      </c>
      <c r="R50" s="451">
        <f>SUM('Raw financials'!R59,'Raw financials'!R61,'Raw financials'!R63)</f>
        <v/>
      </c>
      <c r="S50" s="451">
        <f>SUM('Raw financials'!S59,'Raw financials'!S61,'Raw financials'!S63)</f>
        <v/>
      </c>
      <c r="T50" s="451">
        <f>SUM('Raw financials'!T59,'Raw financials'!T61,'Raw financials'!T63)</f>
        <v/>
      </c>
      <c r="U50" s="451">
        <f>Driver!J144</f>
        <v/>
      </c>
      <c r="V50" s="451">
        <f>Driver!K144</f>
        <v/>
      </c>
      <c r="W50" s="451">
        <f>Driver!L144</f>
        <v/>
      </c>
      <c r="X50" s="451">
        <f>Driver!M144</f>
        <v/>
      </c>
      <c r="Y50" s="451">
        <f>Driver!N144</f>
        <v/>
      </c>
      <c r="Z50" s="451">
        <f>Driver!O144</f>
        <v/>
      </c>
      <c r="AA50" s="452">
        <f>+U50-T50</f>
        <v/>
      </c>
      <c r="AB50" s="348">
        <f>+AA50/T50</f>
        <v/>
      </c>
      <c r="AC50" s="451" t="n">
        <v>4316.922710314991</v>
      </c>
      <c r="AD50" s="452">
        <f>+X50-W50</f>
        <v/>
      </c>
      <c r="AE50" s="348">
        <f>+AD50/W50</f>
        <v/>
      </c>
      <c r="AF50" s="451" t="n"/>
      <c r="AG50" s="451">
        <f>SUM('Raw financials'!AA59,'Raw financials'!AA61,'Raw financials'!AA64,'Raw financials'!AA65,'Raw financials'!AA66)</f>
        <v/>
      </c>
      <c r="AH50" s="451">
        <f>+B50</f>
        <v/>
      </c>
      <c r="AI50" s="451">
        <f>SUM('Raw financials'!AB59,'Raw financials'!AB61,'Raw financials'!AB64,'Raw financials'!AB65,'Raw financials'!AB66)</f>
        <v/>
      </c>
      <c r="AJ50" s="451">
        <f>+C50</f>
        <v/>
      </c>
      <c r="AK50" s="451">
        <f>SUM('Raw financials'!AC59,'Raw financials'!AC61,'Raw financials'!AC64,'Raw financials'!AC65,'Raw financials'!AC66)</f>
        <v/>
      </c>
      <c r="AL50" s="451">
        <f>+D50</f>
        <v/>
      </c>
      <c r="AM50" s="451">
        <f>SUM('Raw financials'!AD59,'Raw financials'!AD61,'Raw financials'!AD64,'Raw financials'!AD65,'Raw financials'!AD66)</f>
        <v/>
      </c>
      <c r="AN50" s="451">
        <f>+E50</f>
        <v/>
      </c>
      <c r="AO50" s="451">
        <f>SUM('Raw financials'!AE59,'Raw financials'!AE61,'Raw financials'!AE64,'Raw financials'!AE65,'Raw financials'!AE66)</f>
        <v/>
      </c>
      <c r="AP50" s="451">
        <f>+F50</f>
        <v/>
      </c>
      <c r="AQ50" s="451">
        <f>SUM('Raw financials'!AF59,'Raw financials'!AF61,'Raw financials'!AF64,'Raw financials'!AF65,'Raw financials'!AF66)</f>
        <v/>
      </c>
      <c r="AR50" s="451">
        <f>+G50</f>
        <v/>
      </c>
      <c r="AS50" s="451">
        <f>SUM('Raw financials'!AG59,'Raw financials'!AG61,'Raw financials'!AG64,'Raw financials'!AG65,'Raw financials'!AG66)</f>
        <v/>
      </c>
      <c r="AT50" s="451">
        <f>+H50</f>
        <v/>
      </c>
      <c r="AU50" s="451">
        <f>SUM('Raw financials'!AH59,'Raw financials'!AH61,'Raw financials'!AH64,'Raw financials'!AH65,'Raw financials'!AH66)</f>
        <v/>
      </c>
      <c r="AV50" s="451">
        <f>+I50</f>
        <v/>
      </c>
      <c r="AW50" s="451">
        <f>SUM('Raw financials'!AI59,'Raw financials'!AI61,'Raw financials'!AI64,'Raw financials'!AI65,'Raw financials'!AI66)</f>
        <v/>
      </c>
      <c r="AX50" s="451">
        <f>+J50</f>
        <v/>
      </c>
      <c r="AY50" s="451">
        <f>SUM('Raw financials'!AJ59,'Raw financials'!AJ61,'Raw financials'!AJ64,'Raw financials'!AJ65,'Raw financials'!AJ66)</f>
        <v/>
      </c>
      <c r="AZ50" s="451">
        <f>+K50</f>
        <v/>
      </c>
      <c r="BA50" s="451">
        <f>SUM('Raw financials'!AK59,'Raw financials'!AK61,'Raw financials'!AK64,'Raw financials'!AK65,'Raw financials'!AK66)</f>
        <v/>
      </c>
      <c r="BB50" s="451">
        <f>+L50</f>
        <v/>
      </c>
      <c r="BC50" s="451">
        <f>SUM('Raw financials'!AL59,'Raw financials'!AL61,'Raw financials'!AL64,'Raw financials'!AL65,'Raw financials'!AL66)</f>
        <v/>
      </c>
      <c r="BD50" s="451">
        <f>+M50</f>
        <v/>
      </c>
      <c r="BE50" s="451">
        <f>SUM('Raw financials'!AM59,'Raw financials'!AM61,'Raw financials'!AM64,'Raw financials'!AM65,'Raw financials'!AM66)</f>
        <v/>
      </c>
      <c r="BF50" s="451">
        <f>+N50</f>
        <v/>
      </c>
      <c r="BG50" s="451">
        <f>SUM('Raw financials'!AN59,'Raw financials'!AN61,'Raw financials'!AN64,'Raw financials'!AN65,'Raw financials'!AN66)</f>
        <v/>
      </c>
      <c r="BH50" s="451">
        <f>+O50</f>
        <v/>
      </c>
      <c r="BI50" s="451">
        <f>SUM('Raw financials'!AO59,'Raw financials'!AO61,'Raw financials'!AO64,'Raw financials'!AO65,'Raw financials'!AO66)</f>
        <v/>
      </c>
      <c r="BJ50" s="451">
        <f>+P50</f>
        <v/>
      </c>
      <c r="BK50" s="451">
        <f>SUM('Raw financials'!AP59,'Raw financials'!AP61,'Raw financials'!AP64,'Raw financials'!AP65,'Raw financials'!AP66)</f>
        <v/>
      </c>
      <c r="BL50" s="451">
        <f>+Q50</f>
        <v/>
      </c>
      <c r="BM50" s="451">
        <f>SUM('Raw financials'!AQ59,'Raw financials'!AQ61,'Raw financials'!AQ64,'Raw financials'!AQ65,'Raw financials'!AQ66)</f>
        <v/>
      </c>
      <c r="BN50" s="451">
        <f>+R50</f>
        <v/>
      </c>
      <c r="BO50" s="451">
        <f>SUM('Raw financials'!AR59,'Raw financials'!AR61,'Raw financials'!AR64,'Raw financials'!AR65,'Raw financials'!AR66)</f>
        <v/>
      </c>
      <c r="BP50" s="451">
        <f>+S50</f>
        <v/>
      </c>
      <c r="BQ50" s="451">
        <f>SUM('Raw financials'!AS59,'Raw financials'!AS61,'Raw financials'!AS64,'Raw financials'!AS65,'Raw financials'!AS66)</f>
        <v/>
      </c>
      <c r="BR50" s="451">
        <f>+T50</f>
        <v/>
      </c>
      <c r="BS50" s="451" t="n"/>
      <c r="BT50" s="451">
        <f>+U50</f>
        <v/>
      </c>
      <c r="BU50" s="453">
        <f>BT50-BR50</f>
        <v/>
      </c>
      <c r="BV50" s="379">
        <f>BU50/BR50</f>
        <v/>
      </c>
      <c r="BW50" s="489" t="n"/>
      <c r="BX50" s="489" t="n"/>
      <c r="BZ50" s="451">
        <f>SUM('Raw financials'!BN59,'Raw financials'!BN61,'Raw financials'!BN64,'Raw financials'!BN65,'Raw financials'!BN66)</f>
        <v/>
      </c>
      <c r="CA50" s="451">
        <f>SUM('Raw financials'!BO59,'Raw financials'!BO61,'Raw financials'!BO64,'Raw financials'!BO65,'Raw financials'!BO66)</f>
        <v/>
      </c>
      <c r="CB50" s="451">
        <f>SUM('Raw financials'!BP59,'Raw financials'!BP61,'Raw financials'!BP64,'Raw financials'!BP65,'Raw financials'!BP66)</f>
        <v/>
      </c>
      <c r="CC50" s="451">
        <f>SUM('Raw financials'!BQ59,'Raw financials'!BQ61,'Raw financials'!BQ64,'Raw financials'!BQ65,'Raw financials'!BQ66)</f>
        <v/>
      </c>
      <c r="CD50" s="451">
        <f>SUM('Raw financials'!BR59,'Raw financials'!BR61,'Raw financials'!BR64,'Raw financials'!BR65,'Raw financials'!BR66)</f>
        <v/>
      </c>
      <c r="CE50" s="451">
        <f>SUM('Raw financials'!BS59,'Raw financials'!BS61,'Raw financials'!BS64,'Raw financials'!BS65,'Raw financials'!BS66)</f>
        <v/>
      </c>
      <c r="CF50" s="451">
        <f>SUM('Raw financials'!BT59,'Raw financials'!BT61,'Raw financials'!BT64,'Raw financials'!BT65,'Raw financials'!BT66)</f>
        <v/>
      </c>
      <c r="CG50" s="451">
        <f>SUM('Raw financials'!BU59,'Raw financials'!BU61,'Raw financials'!BU64,'Raw financials'!BU65,'Raw financials'!BU66)</f>
        <v/>
      </c>
      <c r="CH50" s="451">
        <f>SUM('Raw financials'!BV59,'Raw financials'!BV61,'Raw financials'!BV64,'Raw financials'!BV65,'Raw financials'!BV66)</f>
        <v/>
      </c>
      <c r="CI50" s="451">
        <f>SUM('Raw financials'!BW59,'Raw financials'!BW61,'Raw financials'!BW64,'Raw financials'!BW65,'Raw financials'!BW66)</f>
        <v/>
      </c>
      <c r="CJ50" s="451">
        <f>SUM('Raw financials'!BX59,'Raw financials'!BX61,'Raw financials'!BX64,'Raw financials'!BX65,'Raw financials'!BX66)</f>
        <v/>
      </c>
      <c r="CK50" s="451">
        <f>SUM('Raw financials'!BY59,'Raw financials'!BY61,'Raw financials'!BY64,'Raw financials'!BY65,'Raw financials'!BY66)</f>
        <v/>
      </c>
      <c r="CL50" s="451">
        <f>SUM('Raw financials'!BZ59,'Raw financials'!BZ61,'Raw financials'!BZ64,'Raw financials'!BZ65,'Raw financials'!BZ66)</f>
        <v/>
      </c>
      <c r="CM50" s="451">
        <f>SUM('Raw financials'!CA59,'Raw financials'!CA61,'Raw financials'!CA64,'Raw financials'!CA65,'Raw financials'!CA66)</f>
        <v/>
      </c>
      <c r="CN50" s="451">
        <f>SUM('Raw financials'!CB59,'Raw financials'!CB61,'Raw financials'!CB64,'Raw financials'!CB65,'Raw financials'!CB66)</f>
        <v/>
      </c>
      <c r="CO50" s="451">
        <f>SUM('Raw financials'!CC59,'Raw financials'!CC61,'Raw financials'!CC64,'Raw financials'!CC65,'Raw financials'!CC66)</f>
        <v/>
      </c>
      <c r="CP50" s="451">
        <f>SUM('Raw financials'!CD59,'Raw financials'!CD61,'Raw financials'!CD64,'Raw financials'!CD65,'Raw financials'!CD66)</f>
        <v/>
      </c>
      <c r="CQ50" s="451">
        <f>SUM('Raw financials'!CE59,'Raw financials'!CE61,'Raw financials'!CE64,'Raw financials'!CE65,'Raw financials'!CE66)</f>
        <v/>
      </c>
      <c r="CR50" s="451">
        <f>SUM('Raw financials'!CF59,'Raw financials'!CF61,'Raw financials'!CF64,'Raw financials'!CF65,'Raw financials'!CF66)</f>
        <v/>
      </c>
      <c r="CS50" s="451">
        <f>SUM('Raw financials'!CG59,'Raw financials'!CG61,'Raw financials'!CG64,'Raw financials'!CG65,'Raw financials'!CG66)</f>
        <v/>
      </c>
      <c r="CT50" s="451">
        <f>SUM('Raw financials'!CH59,'Raw financials'!CH61,'Raw financials'!CH64,'Raw financials'!CH65,'Raw financials'!CH66)</f>
        <v/>
      </c>
      <c r="CU50" s="451">
        <f>SUM('Raw financials'!CI59,'Raw financials'!CI61,'Raw financials'!CI64,'Raw financials'!CI65,'Raw financials'!CI66)</f>
        <v/>
      </c>
      <c r="CV50" s="451">
        <f>SUM('Raw financials'!CJ59,'Raw financials'!CJ61,'Raw financials'!CJ64,'Raw financials'!CJ65,'Raw financials'!CJ66)</f>
        <v/>
      </c>
      <c r="CW50" s="451">
        <f>SUM('Raw financials'!CK59,'Raw financials'!CK61,'Raw financials'!CK64,'Raw financials'!CK65,'Raw financials'!CK66)</f>
        <v/>
      </c>
      <c r="CX50" s="451">
        <f>SUM('Raw financials'!CL59,'Raw financials'!CL61,'Raw financials'!CL64,'Raw financials'!CL65,'Raw financials'!CL66)</f>
        <v/>
      </c>
      <c r="CY50" s="451">
        <f>SUM('Raw financials'!CM59,'Raw financials'!CM61,'Raw financials'!CM64,'Raw financials'!CM65,'Raw financials'!CM66)</f>
        <v/>
      </c>
      <c r="CZ50" s="451">
        <f>SUM('Raw financials'!CN59,'Raw financials'!CN61,'Raw financials'!CN64,'Raw financials'!CN65,'Raw financials'!CN66)</f>
        <v/>
      </c>
      <c r="DA50" s="451">
        <f>SUM('Raw financials'!CO59,'Raw financials'!CO61,'Raw financials'!CO64,'Raw financials'!CO65,'Raw financials'!CO66)</f>
        <v/>
      </c>
      <c r="DB50" s="451">
        <f>SUM('Raw financials'!CP59,'Raw financials'!CP61,'Raw financials'!CP64,'Raw financials'!CP65,'Raw financials'!CP66)</f>
        <v/>
      </c>
      <c r="DC50" s="451">
        <f>SUM('Raw financials'!CQ59,'Raw financials'!CQ61,'Raw financials'!CQ64,'Raw financials'!CQ65,'Raw financials'!CQ66)</f>
        <v/>
      </c>
      <c r="DD50" s="451">
        <f>SUM('Raw financials'!CR59,'Raw financials'!CR61,'Raw financials'!CR64,'Raw financials'!CR65,'Raw financials'!CR66)</f>
        <v/>
      </c>
      <c r="DE50" s="451">
        <f>SUM('Raw financials'!CS59,'Raw financials'!CS61,'Raw financials'!CS64,'Raw financials'!CS65,'Raw financials'!CS66)</f>
        <v/>
      </c>
      <c r="DF50" s="451">
        <f>SUM('Raw financials'!CT59,'Raw financials'!CT61,'Raw financials'!CT64,'Raw financials'!CT65,'Raw financials'!CT66)</f>
        <v/>
      </c>
      <c r="DG50" s="451">
        <f>SUM('Raw financials'!CU59,'Raw financials'!CU61,'Raw financials'!CU64,'Raw financials'!CU65,'Raw financials'!CU66)</f>
        <v/>
      </c>
      <c r="DH50" s="451">
        <f>SUM('Raw financials'!CV59,'Raw financials'!CV61,'Raw financials'!CV64,'Raw financials'!CV65,'Raw financials'!CV66)</f>
        <v/>
      </c>
      <c r="DI50" s="451">
        <f>SUM('Raw financials'!CW59,'Raw financials'!CW61,'Raw financials'!CW64,'Raw financials'!CW65,'Raw financials'!CW66)</f>
        <v/>
      </c>
      <c r="DJ50" s="451">
        <f>SUM('Raw financials'!CX59,'Raw financials'!CX61,'Raw financials'!CX64,'Raw financials'!CX65,'Raw financials'!CX66)</f>
        <v/>
      </c>
      <c r="DK50" s="451">
        <f>SUM('Raw financials'!CY59,'Raw financials'!CY61,'Raw financials'!CY64,'Raw financials'!CY65,'Raw financials'!CY66)</f>
        <v/>
      </c>
      <c r="DL50" s="451">
        <f>SUM('Raw financials'!CZ59,'Raw financials'!CZ61,'Raw financials'!CZ64,'Raw financials'!CZ65,'Raw financials'!CZ66)</f>
        <v/>
      </c>
      <c r="DM50" s="451">
        <f>SUM('Raw financials'!DA59,'Raw financials'!DA61,'Raw financials'!DA64,'Raw financials'!DA65,'Raw financials'!DA66)</f>
        <v/>
      </c>
      <c r="DN50" s="451">
        <f>SUM('Raw financials'!DB59,'Raw financials'!DB61,'Raw financials'!DB64,'Raw financials'!DB65,'Raw financials'!DB66)</f>
        <v/>
      </c>
      <c r="DO50" s="451">
        <f>SUM('Raw financials'!DC59,'Raw financials'!DC61,'Raw financials'!DC64,'Raw financials'!DC65,'Raw financials'!DC66)</f>
        <v/>
      </c>
      <c r="DP50" s="451">
        <f>SUM('Raw financials'!DD59,'Raw financials'!DD61,'Raw financials'!DD64,'Raw financials'!DD65,'Raw financials'!DD66)</f>
        <v/>
      </c>
      <c r="DQ50" s="451">
        <f>SUM('Raw financials'!DE59,'Raw financials'!DE61,'Raw financials'!DE64,'Raw financials'!DE65,'Raw financials'!DE66)</f>
        <v/>
      </c>
      <c r="DR50" s="451">
        <f>SUM('Raw financials'!DF59,'Raw financials'!DF61,'Raw financials'!DF64,'Raw financials'!DF65,'Raw financials'!DF66)</f>
        <v/>
      </c>
      <c r="DS50" s="451">
        <f>SUM('Raw financials'!DG59,'Raw financials'!DG61,'Raw financials'!DG64,'Raw financials'!DG65,'Raw financials'!DG66)</f>
        <v/>
      </c>
      <c r="DT50" s="451">
        <f>SUM('Raw financials'!DH59,'Raw financials'!DH61,'Raw financials'!DH64,'Raw financials'!DH65,'Raw financials'!DH66)</f>
        <v/>
      </c>
      <c r="DU50" s="451">
        <f>SUM('Raw financials'!DI59,'Raw financials'!DI61,'Raw financials'!DI64,'Raw financials'!DI65,'Raw financials'!DI66)</f>
        <v/>
      </c>
      <c r="DV50" s="451">
        <f>SUM('Raw financials'!DJ59,'Raw financials'!DJ61,'Raw financials'!DJ64,'Raw financials'!DJ65,'Raw financials'!DJ66)</f>
        <v/>
      </c>
      <c r="DW50" s="451">
        <f>SUM('Raw financials'!DK59,'Raw financials'!DK61,'Raw financials'!DK64,'Raw financials'!DK65,'Raw financials'!DK66)</f>
        <v/>
      </c>
      <c r="DX50" s="451" t="n"/>
      <c r="DY50" s="451" t="n"/>
      <c r="DZ50" s="451">
        <f>SUM('Raw financials'!DN59,'Raw financials'!DN61,'Raw financials'!DN64,'Raw financials'!DN65,'Raw financials'!DN66)</f>
        <v/>
      </c>
      <c r="EA50" s="451">
        <f>SUM('Raw financials'!DO59,'Raw financials'!DO61,'Raw financials'!DO63)</f>
        <v/>
      </c>
      <c r="EB50" s="451">
        <f>SUM('Raw financials'!DP59,'Raw financials'!DP61,'Raw financials'!DP63)</f>
        <v/>
      </c>
      <c r="EC50" s="451">
        <f>SUM('Raw financials'!DQ59,'Raw financials'!DQ61,'Raw financials'!DQ63)</f>
        <v/>
      </c>
      <c r="ED50" s="451">
        <f>SUM('Raw financials'!DR59,'Raw financials'!DR61,'Raw financials'!DR63)</f>
        <v/>
      </c>
      <c r="EE50" s="451">
        <f>SUM('Raw financials'!DS59,'Raw financials'!DS61,'Raw financials'!DS63)</f>
        <v/>
      </c>
      <c r="EF50" s="451">
        <f>SUM('Raw financials'!DT59,'Raw financials'!DT61,'Raw financials'!DT63)</f>
        <v/>
      </c>
      <c r="EG50" s="451">
        <f>SUM('Raw financials'!DU59,'Raw financials'!DU61,'Raw financials'!DU63)</f>
        <v/>
      </c>
      <c r="EH50" s="451">
        <f>SUM('Raw financials'!DV59,'Raw financials'!DV61,'Raw financials'!DV63)</f>
        <v/>
      </c>
      <c r="EI50" s="451">
        <f>SUM('Raw financials'!DW59,'Raw financials'!DW61,'Raw financials'!DW63)</f>
        <v/>
      </c>
      <c r="EJ50" s="451">
        <f>SUM('Raw financials'!DX59,'Raw financials'!DX61,'Raw financials'!DX63)</f>
        <v/>
      </c>
      <c r="EK50" s="451">
        <f>SUM('Raw financials'!DY59,'Raw financials'!DY61,'Raw financials'!DY63)</f>
        <v/>
      </c>
      <c r="EL50" s="451">
        <f>SUM('Raw financials'!DZ59,'Raw financials'!DZ61,'Raw financials'!DZ63)</f>
        <v/>
      </c>
      <c r="EM50" s="451">
        <f>SUM('Raw financials'!EA59,'Raw financials'!EA61,'Raw financials'!EA63)</f>
        <v/>
      </c>
      <c r="EN50" s="451">
        <f>SUM('Raw financials'!EB59,'Raw financials'!EB61,'Raw financials'!EB63)</f>
        <v/>
      </c>
      <c r="EO50" s="451">
        <f>SUM('Raw financials'!EC59,'Raw financials'!EC61,'Raw financials'!EC63)</f>
        <v/>
      </c>
      <c r="EP50" s="451">
        <f>SUM('Raw financials'!ED59,'Raw financials'!ED61,'Raw financials'!ED63)</f>
        <v/>
      </c>
      <c r="EQ50" s="451">
        <f>SUM('Raw financials'!EE59,'Raw financials'!EE61,'Raw financials'!EE63)</f>
        <v/>
      </c>
      <c r="ER50" s="451">
        <f>SUM('Raw financials'!EF59,'Raw financials'!EF61,'Raw financials'!EF63)</f>
        <v/>
      </c>
      <c r="ES50" s="451">
        <f>SUM('Raw financials'!EG59,'Raw financials'!EG61,'Raw financials'!EG63)</f>
        <v/>
      </c>
      <c r="ET50" s="451">
        <f>SUM('Raw financials'!EH59,'Raw financials'!EH61,'Raw financials'!EH63)</f>
        <v/>
      </c>
      <c r="EU50" s="451">
        <f>SUM('Raw financials'!EI59,'Raw financials'!EI61,'Raw financials'!EI63)</f>
        <v/>
      </c>
      <c r="EV50" s="451">
        <f>SUM('Raw financials'!EJ59,'Raw financials'!EJ61,'Raw financials'!EJ63)</f>
        <v/>
      </c>
      <c r="EW50" s="451">
        <f>SUM('Raw financials'!EK59,'Raw financials'!EK61,'Raw financials'!EK63)</f>
        <v/>
      </c>
      <c r="EX50" s="451">
        <f>SUM('Raw financials'!EL59,'Raw financials'!EL61,'Raw financials'!EL63)</f>
        <v/>
      </c>
      <c r="EY50" s="451">
        <f>SUM('Raw financials'!EM59,'Raw financials'!EM61,'Raw financials'!EM63)</f>
        <v/>
      </c>
      <c r="EZ50" s="454" t="n"/>
      <c r="FA50" s="454" t="n"/>
      <c r="FB50" s="452">
        <f>+FA50-EW50</f>
        <v/>
      </c>
      <c r="FC50" s="348">
        <f>+FB50/EW50</f>
        <v/>
      </c>
      <c r="FD50" s="451" t="n"/>
      <c r="FE50" s="451" t="n"/>
    </row>
    <row r="51">
      <c r="A51" s="6" t="inlineStr">
        <is>
          <t>Inventory</t>
        </is>
      </c>
      <c r="B51" s="451">
        <f>'Raw financials'!B68</f>
        <v/>
      </c>
      <c r="C51" s="451">
        <f>'Raw financials'!C68</f>
        <v/>
      </c>
      <c r="D51" s="451">
        <f>'Raw financials'!D68</f>
        <v/>
      </c>
      <c r="E51" s="451">
        <f>'Raw financials'!E68</f>
        <v/>
      </c>
      <c r="F51" s="451">
        <f>'Raw financials'!F68</f>
        <v/>
      </c>
      <c r="G51" s="451">
        <f>'Raw financials'!G68</f>
        <v/>
      </c>
      <c r="H51" s="451">
        <f>'Raw financials'!H68</f>
        <v/>
      </c>
      <c r="I51" s="451">
        <f>'Raw financials'!I68</f>
        <v/>
      </c>
      <c r="J51" s="451">
        <f>'Raw financials'!J68</f>
        <v/>
      </c>
      <c r="K51" s="451">
        <f>'Raw financials'!K68</f>
        <v/>
      </c>
      <c r="L51" s="451">
        <f>'Raw financials'!L68</f>
        <v/>
      </c>
      <c r="M51" s="451">
        <f>'Raw financials'!M68</f>
        <v/>
      </c>
      <c r="N51" s="451">
        <f>'Raw financials'!N68</f>
        <v/>
      </c>
      <c r="O51" s="451">
        <f>'Raw financials'!O68</f>
        <v/>
      </c>
      <c r="P51" s="451">
        <f>'Raw financials'!P68</f>
        <v/>
      </c>
      <c r="Q51" s="451">
        <f>'Raw financials'!Q68</f>
        <v/>
      </c>
      <c r="R51" s="451">
        <f>'Raw financials'!R68</f>
        <v/>
      </c>
      <c r="S51" s="451">
        <f>'Raw financials'!S68</f>
        <v/>
      </c>
      <c r="T51" s="451">
        <f>'Raw financials'!T68</f>
        <v/>
      </c>
      <c r="U51" s="451">
        <f>Driver!J146</f>
        <v/>
      </c>
      <c r="V51" s="451">
        <f>Driver!K146</f>
        <v/>
      </c>
      <c r="W51" s="451">
        <f>Driver!L146</f>
        <v/>
      </c>
      <c r="X51" s="451">
        <f>Driver!M146</f>
        <v/>
      </c>
      <c r="Y51" s="451">
        <f>Driver!N146</f>
        <v/>
      </c>
      <c r="Z51" s="451">
        <f>Driver!O146</f>
        <v/>
      </c>
      <c r="AA51" s="452">
        <f>+U51-T51</f>
        <v/>
      </c>
      <c r="AB51" s="348">
        <f>+AA51/T51</f>
        <v/>
      </c>
      <c r="AC51" s="451" t="n">
        <v>25106.81003553963</v>
      </c>
      <c r="AD51" s="452">
        <f>+X51-W51</f>
        <v/>
      </c>
      <c r="AE51" s="348">
        <f>+AD51/W51</f>
        <v/>
      </c>
      <c r="AF51" s="451" t="n"/>
      <c r="AG51" s="451">
        <f>'Raw financials'!AA68</f>
        <v/>
      </c>
      <c r="AH51" s="451">
        <f>+B51</f>
        <v/>
      </c>
      <c r="AI51" s="451">
        <f>'Raw financials'!AB68</f>
        <v/>
      </c>
      <c r="AJ51" s="451">
        <f>+C51</f>
        <v/>
      </c>
      <c r="AK51" s="451">
        <f>'Raw financials'!AC68</f>
        <v/>
      </c>
      <c r="AL51" s="451">
        <f>+D51</f>
        <v/>
      </c>
      <c r="AM51" s="451">
        <f>'Raw financials'!AD68</f>
        <v/>
      </c>
      <c r="AN51" s="451">
        <f>+E51</f>
        <v/>
      </c>
      <c r="AO51" s="451">
        <f>'Raw financials'!AE68</f>
        <v/>
      </c>
      <c r="AP51" s="451">
        <f>+F51</f>
        <v/>
      </c>
      <c r="AQ51" s="451">
        <f>'Raw financials'!AF68</f>
        <v/>
      </c>
      <c r="AR51" s="451">
        <f>+G51</f>
        <v/>
      </c>
      <c r="AS51" s="451">
        <f>'Raw financials'!AG68</f>
        <v/>
      </c>
      <c r="AT51" s="451">
        <f>+H51</f>
        <v/>
      </c>
      <c r="AU51" s="451">
        <f>'Raw financials'!AH68</f>
        <v/>
      </c>
      <c r="AV51" s="451">
        <f>+I51</f>
        <v/>
      </c>
      <c r="AW51" s="451">
        <f>'Raw financials'!AI68</f>
        <v/>
      </c>
      <c r="AX51" s="451">
        <f>+J51</f>
        <v/>
      </c>
      <c r="AY51" s="451">
        <f>'Raw financials'!AJ68</f>
        <v/>
      </c>
      <c r="AZ51" s="451">
        <f>+K51</f>
        <v/>
      </c>
      <c r="BA51" s="451">
        <f>'Raw financials'!AK68</f>
        <v/>
      </c>
      <c r="BB51" s="451">
        <f>+L51</f>
        <v/>
      </c>
      <c r="BC51" s="451">
        <f>'Raw financials'!AL68</f>
        <v/>
      </c>
      <c r="BD51" s="451">
        <f>+M51</f>
        <v/>
      </c>
      <c r="BE51" s="451">
        <f>'Raw financials'!AM68</f>
        <v/>
      </c>
      <c r="BF51" s="451">
        <f>+N51</f>
        <v/>
      </c>
      <c r="BG51" s="451">
        <f>'Raw financials'!AN68</f>
        <v/>
      </c>
      <c r="BH51" s="451">
        <f>+O51</f>
        <v/>
      </c>
      <c r="BI51" s="451">
        <f>'Raw financials'!AO68</f>
        <v/>
      </c>
      <c r="BJ51" s="451">
        <f>+P51</f>
        <v/>
      </c>
      <c r="BK51" s="451">
        <f>'Raw financials'!AP68</f>
        <v/>
      </c>
      <c r="BL51" s="451">
        <f>+Q51</f>
        <v/>
      </c>
      <c r="BM51" s="451">
        <f>'Raw financials'!AQ68</f>
        <v/>
      </c>
      <c r="BN51" s="451">
        <f>+R51</f>
        <v/>
      </c>
      <c r="BO51" s="451">
        <f>'Raw financials'!AR68</f>
        <v/>
      </c>
      <c r="BP51" s="451">
        <f>+S51</f>
        <v/>
      </c>
      <c r="BQ51" s="451">
        <f>'Raw financials'!AS68</f>
        <v/>
      </c>
      <c r="BR51" s="451">
        <f>+T51</f>
        <v/>
      </c>
      <c r="BS51" s="451" t="n"/>
      <c r="BT51" s="451">
        <f>+U51</f>
        <v/>
      </c>
      <c r="BU51" s="446">
        <f>BT51-BR51</f>
        <v/>
      </c>
      <c r="BV51" s="381">
        <f>BU51/BR51</f>
        <v/>
      </c>
      <c r="BW51" s="489" t="n"/>
      <c r="BX51" s="489" t="n"/>
      <c r="BZ51" s="451">
        <f>'Raw financials'!BN68</f>
        <v/>
      </c>
      <c r="CA51" s="451">
        <f>'Raw financials'!BO68</f>
        <v/>
      </c>
      <c r="CB51" s="451">
        <f>'Raw financials'!BP68</f>
        <v/>
      </c>
      <c r="CC51" s="451">
        <f>'Raw financials'!BQ68</f>
        <v/>
      </c>
      <c r="CD51" s="451">
        <f>'Raw financials'!BR68</f>
        <v/>
      </c>
      <c r="CE51" s="451">
        <f>'Raw financials'!BS68</f>
        <v/>
      </c>
      <c r="CF51" s="451">
        <f>'Raw financials'!BT68</f>
        <v/>
      </c>
      <c r="CG51" s="451">
        <f>'Raw financials'!BU68</f>
        <v/>
      </c>
      <c r="CH51" s="451">
        <f>'Raw financials'!BV68</f>
        <v/>
      </c>
      <c r="CI51" s="451">
        <f>'Raw financials'!BW68</f>
        <v/>
      </c>
      <c r="CJ51" s="451">
        <f>'Raw financials'!BX68</f>
        <v/>
      </c>
      <c r="CK51" s="451">
        <f>'Raw financials'!BY68</f>
        <v/>
      </c>
      <c r="CL51" s="451">
        <f>'Raw financials'!BZ68</f>
        <v/>
      </c>
      <c r="CM51" s="451">
        <f>'Raw financials'!CA68</f>
        <v/>
      </c>
      <c r="CN51" s="451">
        <f>'Raw financials'!CB68</f>
        <v/>
      </c>
      <c r="CO51" s="451">
        <f>'Raw financials'!CC68</f>
        <v/>
      </c>
      <c r="CP51" s="451">
        <f>'Raw financials'!CD68</f>
        <v/>
      </c>
      <c r="CQ51" s="451">
        <f>'Raw financials'!CE68</f>
        <v/>
      </c>
      <c r="CR51" s="451">
        <f>'Raw financials'!CF68</f>
        <v/>
      </c>
      <c r="CS51" s="451">
        <f>'Raw financials'!CG68</f>
        <v/>
      </c>
      <c r="CT51" s="451">
        <f>'Raw financials'!CH68</f>
        <v/>
      </c>
      <c r="CU51" s="451">
        <f>'Raw financials'!CI68</f>
        <v/>
      </c>
      <c r="CV51" s="451">
        <f>'Raw financials'!CJ68</f>
        <v/>
      </c>
      <c r="CW51" s="451">
        <f>'Raw financials'!CK68</f>
        <v/>
      </c>
      <c r="CX51" s="451">
        <f>'Raw financials'!CL68</f>
        <v/>
      </c>
      <c r="CY51" s="451">
        <f>'Raw financials'!CM68</f>
        <v/>
      </c>
      <c r="CZ51" s="451">
        <f>'Raw financials'!CN68</f>
        <v/>
      </c>
      <c r="DA51" s="451">
        <f>'Raw financials'!CO68</f>
        <v/>
      </c>
      <c r="DB51" s="451">
        <f>'Raw financials'!CP68</f>
        <v/>
      </c>
      <c r="DC51" s="451">
        <f>'Raw financials'!CQ68</f>
        <v/>
      </c>
      <c r="DD51" s="451">
        <f>'Raw financials'!CR68</f>
        <v/>
      </c>
      <c r="DE51" s="451">
        <f>'Raw financials'!CS68</f>
        <v/>
      </c>
      <c r="DF51" s="451">
        <f>'Raw financials'!CT68</f>
        <v/>
      </c>
      <c r="DG51" s="451">
        <f>'Raw financials'!CU68</f>
        <v/>
      </c>
      <c r="DH51" s="451">
        <f>'Raw financials'!CV68</f>
        <v/>
      </c>
      <c r="DI51" s="451">
        <f>'Raw financials'!CW68</f>
        <v/>
      </c>
      <c r="DJ51" s="451">
        <f>'Raw financials'!CX68</f>
        <v/>
      </c>
      <c r="DK51" s="451">
        <f>'Raw financials'!CY68</f>
        <v/>
      </c>
      <c r="DL51" s="451">
        <f>'Raw financials'!CZ68</f>
        <v/>
      </c>
      <c r="DM51" s="451">
        <f>'Raw financials'!DA68</f>
        <v/>
      </c>
      <c r="DN51" s="451">
        <f>'Raw financials'!DB68</f>
        <v/>
      </c>
      <c r="DO51" s="451">
        <f>'Raw financials'!DC68</f>
        <v/>
      </c>
      <c r="DP51" s="451">
        <f>'Raw financials'!DD68</f>
        <v/>
      </c>
      <c r="DQ51" s="451">
        <f>'Raw financials'!DE68</f>
        <v/>
      </c>
      <c r="DR51" s="451">
        <f>'Raw financials'!DF68</f>
        <v/>
      </c>
      <c r="DS51" s="451">
        <f>'Raw financials'!DG68</f>
        <v/>
      </c>
      <c r="DT51" s="451">
        <f>'Raw financials'!DH68</f>
        <v/>
      </c>
      <c r="DU51" s="451">
        <f>'Raw financials'!DI68</f>
        <v/>
      </c>
      <c r="DV51" s="451">
        <f>'Raw financials'!DJ68</f>
        <v/>
      </c>
      <c r="DW51" s="451">
        <f>'Raw financials'!DK68</f>
        <v/>
      </c>
      <c r="DX51" s="451" t="n"/>
      <c r="DY51" s="451" t="n"/>
      <c r="DZ51" s="451">
        <f>'Raw financials'!DN68</f>
        <v/>
      </c>
      <c r="EA51" s="451">
        <f>'Raw financials'!DO68</f>
        <v/>
      </c>
      <c r="EB51" s="451">
        <f>'Raw financials'!DP68</f>
        <v/>
      </c>
      <c r="EC51" s="451">
        <f>'Raw financials'!DQ68</f>
        <v/>
      </c>
      <c r="ED51" s="451">
        <f>'Raw financials'!DR68</f>
        <v/>
      </c>
      <c r="EE51" s="451">
        <f>'Raw financials'!DS68</f>
        <v/>
      </c>
      <c r="EF51" s="451">
        <f>'Raw financials'!DT68</f>
        <v/>
      </c>
      <c r="EG51" s="451">
        <f>'Raw financials'!DU68</f>
        <v/>
      </c>
      <c r="EH51" s="451">
        <f>'Raw financials'!DV68</f>
        <v/>
      </c>
      <c r="EI51" s="451">
        <f>'Raw financials'!DW68</f>
        <v/>
      </c>
      <c r="EJ51" s="451">
        <f>'Raw financials'!DX68</f>
        <v/>
      </c>
      <c r="EK51" s="451">
        <f>'Raw financials'!DY68</f>
        <v/>
      </c>
      <c r="EL51" s="451">
        <f>'Raw financials'!DZ68</f>
        <v/>
      </c>
      <c r="EM51" s="451">
        <f>'Raw financials'!EA68</f>
        <v/>
      </c>
      <c r="EN51" s="451">
        <f>'Raw financials'!EB68</f>
        <v/>
      </c>
      <c r="EO51" s="451">
        <f>'Raw financials'!EC68</f>
        <v/>
      </c>
      <c r="EP51" s="451">
        <f>'Raw financials'!ED68</f>
        <v/>
      </c>
      <c r="EQ51" s="451">
        <f>'Raw financials'!EE68</f>
        <v/>
      </c>
      <c r="ER51" s="451">
        <f>'Raw financials'!EF68</f>
        <v/>
      </c>
      <c r="ES51" s="451">
        <f>'Raw financials'!EG68</f>
        <v/>
      </c>
      <c r="ET51" s="451">
        <f>'Raw financials'!EH68</f>
        <v/>
      </c>
      <c r="EU51" s="451">
        <f>'Raw financials'!EI68</f>
        <v/>
      </c>
      <c r="EV51" s="451">
        <f>'Raw financials'!EJ68</f>
        <v/>
      </c>
      <c r="EW51" s="451">
        <f>'Raw financials'!EK68</f>
        <v/>
      </c>
      <c r="EX51" s="451">
        <f>'Raw financials'!EL68</f>
        <v/>
      </c>
      <c r="EY51" s="451">
        <f>'Raw financials'!EM68</f>
        <v/>
      </c>
      <c r="EZ51" s="454" t="n"/>
      <c r="FA51" s="454" t="n"/>
      <c r="FB51" s="452">
        <f>+FA51-EW51</f>
        <v/>
      </c>
      <c r="FC51" s="348">
        <f>+FB51/EW51</f>
        <v/>
      </c>
      <c r="FD51" s="451" t="n"/>
      <c r="FE51" s="451" t="n"/>
    </row>
    <row r="52">
      <c r="A52" s="6" t="inlineStr">
        <is>
          <t>Fixed assets available-for-sale</t>
        </is>
      </c>
      <c r="B52" s="451">
        <f>+'Raw financials'!B72</f>
        <v/>
      </c>
      <c r="C52" s="451">
        <f>+'Raw financials'!C72</f>
        <v/>
      </c>
      <c r="D52" s="451">
        <f>+'Raw financials'!D72</f>
        <v/>
      </c>
      <c r="E52" s="451">
        <f>+'Raw financials'!E72</f>
        <v/>
      </c>
      <c r="F52" s="451">
        <f>+'Raw financials'!F72</f>
        <v/>
      </c>
      <c r="G52" s="451">
        <f>+'Raw financials'!G72</f>
        <v/>
      </c>
      <c r="H52" s="451">
        <f>+'Raw financials'!H72</f>
        <v/>
      </c>
      <c r="I52" s="451">
        <f>+'Raw financials'!I72</f>
        <v/>
      </c>
      <c r="J52" s="451">
        <f>+'Raw financials'!J72</f>
        <v/>
      </c>
      <c r="K52" s="451">
        <f>+'Raw financials'!K72</f>
        <v/>
      </c>
      <c r="L52" s="451">
        <f>+'Raw financials'!L72</f>
        <v/>
      </c>
      <c r="M52" s="451">
        <f>+'Raw financials'!M72</f>
        <v/>
      </c>
      <c r="N52" s="451">
        <f>+'Raw financials'!N72</f>
        <v/>
      </c>
      <c r="O52" s="451">
        <f>+'Raw financials'!O72</f>
        <v/>
      </c>
      <c r="P52" s="451">
        <f>+'Raw financials'!P72</f>
        <v/>
      </c>
      <c r="Q52" s="451">
        <f>+'Raw financials'!Q72</f>
        <v/>
      </c>
      <c r="R52" s="451">
        <f>+'Raw financials'!R72</f>
        <v/>
      </c>
      <c r="S52" s="451">
        <f>+'Raw financials'!S72</f>
        <v/>
      </c>
      <c r="T52" s="451">
        <f>+'Raw financials'!T72</f>
        <v/>
      </c>
      <c r="U52" s="490">
        <f>+T52</f>
        <v/>
      </c>
      <c r="V52" s="490">
        <f>+U52</f>
        <v/>
      </c>
      <c r="W52" s="490">
        <f>+V52</f>
        <v/>
      </c>
      <c r="X52" s="490">
        <f>+W52</f>
        <v/>
      </c>
      <c r="Y52" s="490">
        <f>+X52</f>
        <v/>
      </c>
      <c r="Z52" s="490">
        <f>+Y52</f>
        <v/>
      </c>
      <c r="AA52" s="452">
        <f>+U52-T52</f>
        <v/>
      </c>
      <c r="AB52" s="348">
        <f>+AA52/T52</f>
        <v/>
      </c>
      <c r="AC52" s="459" t="n">
        <v>0</v>
      </c>
      <c r="AD52" s="452">
        <f>+X52-W52</f>
        <v/>
      </c>
      <c r="AE52" s="348">
        <f>+AD52/W52</f>
        <v/>
      </c>
      <c r="AF52" s="451" t="n"/>
      <c r="AG52" s="451">
        <f>+'Raw financials'!AA72</f>
        <v/>
      </c>
      <c r="AH52" s="451">
        <f>+B52</f>
        <v/>
      </c>
      <c r="AI52" s="451">
        <f>+'Raw financials'!AB72</f>
        <v/>
      </c>
      <c r="AJ52" s="451">
        <f>+C52</f>
        <v/>
      </c>
      <c r="AK52" s="451">
        <f>+'Raw financials'!AC72</f>
        <v/>
      </c>
      <c r="AL52" s="451">
        <f>+D52</f>
        <v/>
      </c>
      <c r="AM52" s="451">
        <f>+'Raw financials'!AD72</f>
        <v/>
      </c>
      <c r="AN52" s="451">
        <f>+E52</f>
        <v/>
      </c>
      <c r="AO52" s="451">
        <f>+'Raw financials'!AE72</f>
        <v/>
      </c>
      <c r="AP52" s="451">
        <f>+F52</f>
        <v/>
      </c>
      <c r="AQ52" s="451">
        <f>+'Raw financials'!AF72</f>
        <v/>
      </c>
      <c r="AR52" s="451">
        <f>+G52</f>
        <v/>
      </c>
      <c r="AS52" s="451">
        <f>+'Raw financials'!AG72</f>
        <v/>
      </c>
      <c r="AT52" s="451">
        <f>+H52</f>
        <v/>
      </c>
      <c r="AU52" s="451">
        <f>+'Raw financials'!AH72</f>
        <v/>
      </c>
      <c r="AV52" s="451">
        <f>+I52</f>
        <v/>
      </c>
      <c r="AW52" s="451">
        <f>+'Raw financials'!AI72</f>
        <v/>
      </c>
      <c r="AX52" s="451">
        <f>+J52</f>
        <v/>
      </c>
      <c r="AY52" s="451">
        <f>+'Raw financials'!AJ72</f>
        <v/>
      </c>
      <c r="AZ52" s="451">
        <f>+K52</f>
        <v/>
      </c>
      <c r="BA52" s="451">
        <f>+'Raw financials'!AK72</f>
        <v/>
      </c>
      <c r="BB52" s="451">
        <f>+L52</f>
        <v/>
      </c>
      <c r="BC52" s="451">
        <f>+'Raw financials'!AL72</f>
        <v/>
      </c>
      <c r="BD52" s="451">
        <f>+M52</f>
        <v/>
      </c>
      <c r="BE52" s="451">
        <f>+'Raw financials'!AM72</f>
        <v/>
      </c>
      <c r="BF52" s="451">
        <f>+N52</f>
        <v/>
      </c>
      <c r="BG52" s="451">
        <f>+'Raw financials'!AN72</f>
        <v/>
      </c>
      <c r="BH52" s="451">
        <f>+O52</f>
        <v/>
      </c>
      <c r="BI52" s="451">
        <f>+'Raw financials'!AO72</f>
        <v/>
      </c>
      <c r="BJ52" s="451">
        <f>+P52</f>
        <v/>
      </c>
      <c r="BK52" s="451">
        <f>+'Raw financials'!AP72</f>
        <v/>
      </c>
      <c r="BL52" s="451">
        <f>+Q52</f>
        <v/>
      </c>
      <c r="BM52" s="451">
        <f>+'Raw financials'!AQ72</f>
        <v/>
      </c>
      <c r="BN52" s="451">
        <f>+R52</f>
        <v/>
      </c>
      <c r="BO52" s="451">
        <f>+'Raw financials'!AR72</f>
        <v/>
      </c>
      <c r="BP52" s="451">
        <f>+S52</f>
        <v/>
      </c>
      <c r="BQ52" s="451">
        <f>+'Raw financials'!AS72</f>
        <v/>
      </c>
      <c r="BR52" s="451">
        <f>+T52</f>
        <v/>
      </c>
      <c r="BS52" s="451" t="n"/>
      <c r="BT52" s="451">
        <f>+U52</f>
        <v/>
      </c>
      <c r="BU52" s="453">
        <f>BT52-BR52</f>
        <v/>
      </c>
      <c r="BV52" s="379">
        <f>BU52/BR52</f>
        <v/>
      </c>
      <c r="BW52" s="489" t="n"/>
      <c r="BX52" s="489" t="n"/>
      <c r="BZ52" s="451">
        <f>+'Raw financials'!BN72</f>
        <v/>
      </c>
      <c r="CA52" s="451">
        <f>+'Raw financials'!BO72</f>
        <v/>
      </c>
      <c r="CB52" s="451">
        <f>+'Raw financials'!BP72</f>
        <v/>
      </c>
      <c r="CC52" s="451">
        <f>+'Raw financials'!BQ72</f>
        <v/>
      </c>
      <c r="CD52" s="451">
        <f>+'Raw financials'!BR72</f>
        <v/>
      </c>
      <c r="CE52" s="451">
        <f>+'Raw financials'!BS72</f>
        <v/>
      </c>
      <c r="CF52" s="451">
        <f>+'Raw financials'!BT72</f>
        <v/>
      </c>
      <c r="CG52" s="451">
        <f>+'Raw financials'!BU72</f>
        <v/>
      </c>
      <c r="CH52" s="451">
        <f>+'Raw financials'!BV72</f>
        <v/>
      </c>
      <c r="CI52" s="451">
        <f>+'Raw financials'!BW72</f>
        <v/>
      </c>
      <c r="CJ52" s="451">
        <f>+'Raw financials'!BX72</f>
        <v/>
      </c>
      <c r="CK52" s="451">
        <f>+'Raw financials'!BY72</f>
        <v/>
      </c>
      <c r="CL52" s="451">
        <f>+'Raw financials'!BZ72</f>
        <v/>
      </c>
      <c r="CM52" s="451">
        <f>+'Raw financials'!CA72</f>
        <v/>
      </c>
      <c r="CN52" s="451">
        <f>+'Raw financials'!CB72</f>
        <v/>
      </c>
      <c r="CO52" s="451">
        <f>+'Raw financials'!CC72</f>
        <v/>
      </c>
      <c r="CP52" s="451">
        <f>+'Raw financials'!CD72</f>
        <v/>
      </c>
      <c r="CQ52" s="451">
        <f>+'Raw financials'!CE72</f>
        <v/>
      </c>
      <c r="CR52" s="451">
        <f>+'Raw financials'!CF72</f>
        <v/>
      </c>
      <c r="CS52" s="451">
        <f>+'Raw financials'!CG72</f>
        <v/>
      </c>
      <c r="CT52" s="451">
        <f>+'Raw financials'!CH72</f>
        <v/>
      </c>
      <c r="CU52" s="451">
        <f>+'Raw financials'!CI72</f>
        <v/>
      </c>
      <c r="CV52" s="451">
        <f>+'Raw financials'!CJ72</f>
        <v/>
      </c>
      <c r="CW52" s="451">
        <f>+'Raw financials'!CK72</f>
        <v/>
      </c>
      <c r="CX52" s="451">
        <f>+'Raw financials'!CL72</f>
        <v/>
      </c>
      <c r="CY52" s="451">
        <f>+'Raw financials'!CM72</f>
        <v/>
      </c>
      <c r="CZ52" s="451">
        <f>+'Raw financials'!CN72</f>
        <v/>
      </c>
      <c r="DA52" s="451">
        <f>+'Raw financials'!CO72</f>
        <v/>
      </c>
      <c r="DB52" s="451">
        <f>+'Raw financials'!CP72</f>
        <v/>
      </c>
      <c r="DC52" s="451">
        <f>+'Raw financials'!CQ72</f>
        <v/>
      </c>
      <c r="DD52" s="451">
        <f>+'Raw financials'!CR72</f>
        <v/>
      </c>
      <c r="DE52" s="451">
        <f>+'Raw financials'!CS72</f>
        <v/>
      </c>
      <c r="DF52" s="451">
        <f>+'Raw financials'!CT72</f>
        <v/>
      </c>
      <c r="DG52" s="451">
        <f>+'Raw financials'!CU72</f>
        <v/>
      </c>
      <c r="DH52" s="451">
        <f>+'Raw financials'!CV72</f>
        <v/>
      </c>
      <c r="DI52" s="451">
        <f>+'Raw financials'!CW72</f>
        <v/>
      </c>
      <c r="DJ52" s="451">
        <f>+'Raw financials'!CX72</f>
        <v/>
      </c>
      <c r="DK52" s="451">
        <f>+'Raw financials'!CY72</f>
        <v/>
      </c>
      <c r="DL52" s="451">
        <f>+'Raw financials'!CZ72</f>
        <v/>
      </c>
      <c r="DM52" s="451">
        <f>+'Raw financials'!DA72</f>
        <v/>
      </c>
      <c r="DN52" s="451">
        <f>+'Raw financials'!DB72</f>
        <v/>
      </c>
      <c r="DO52" s="451">
        <f>+'Raw financials'!DC72</f>
        <v/>
      </c>
      <c r="DP52" s="451">
        <f>+'Raw financials'!DD72</f>
        <v/>
      </c>
      <c r="DQ52" s="451">
        <f>+'Raw financials'!DE72</f>
        <v/>
      </c>
      <c r="DR52" s="451">
        <f>+'Raw financials'!DF72</f>
        <v/>
      </c>
      <c r="DS52" s="451">
        <f>+'Raw financials'!DG72</f>
        <v/>
      </c>
      <c r="DT52" s="451">
        <f>+'Raw financials'!DH72</f>
        <v/>
      </c>
      <c r="DU52" s="451">
        <f>+'Raw financials'!DI72</f>
        <v/>
      </c>
      <c r="DV52" s="451">
        <f>+'Raw financials'!DJ72</f>
        <v/>
      </c>
      <c r="DW52" s="451">
        <f>+'Raw financials'!DK72</f>
        <v/>
      </c>
      <c r="DX52" s="451" t="n"/>
      <c r="DY52" s="451" t="n"/>
      <c r="DZ52" s="451">
        <f>+'Raw financials'!DN72</f>
        <v/>
      </c>
      <c r="EA52" s="451">
        <f>+'Raw financials'!DO72</f>
        <v/>
      </c>
      <c r="EB52" s="451">
        <f>+'Raw financials'!DP72</f>
        <v/>
      </c>
      <c r="EC52" s="451">
        <f>+'Raw financials'!DQ72</f>
        <v/>
      </c>
      <c r="ED52" s="451">
        <f>+'Raw financials'!DR72</f>
        <v/>
      </c>
      <c r="EE52" s="451">
        <f>+'Raw financials'!DS72</f>
        <v/>
      </c>
      <c r="EF52" s="451">
        <f>+'Raw financials'!DT72</f>
        <v/>
      </c>
      <c r="EG52" s="451">
        <f>+'Raw financials'!DU72</f>
        <v/>
      </c>
      <c r="EH52" s="451">
        <f>+'Raw financials'!DV72</f>
        <v/>
      </c>
      <c r="EI52" s="451">
        <f>+'Raw financials'!DW72</f>
        <v/>
      </c>
      <c r="EJ52" s="451">
        <f>+'Raw financials'!DX72</f>
        <v/>
      </c>
      <c r="EK52" s="451">
        <f>+'Raw financials'!DY72</f>
        <v/>
      </c>
      <c r="EL52" s="451">
        <f>+'Raw financials'!DZ72</f>
        <v/>
      </c>
      <c r="EM52" s="451">
        <f>+'Raw financials'!EA72</f>
        <v/>
      </c>
      <c r="EN52" s="451">
        <f>+'Raw financials'!EB72</f>
        <v/>
      </c>
      <c r="EO52" s="451">
        <f>+'Raw financials'!EC72</f>
        <v/>
      </c>
      <c r="EP52" s="451">
        <f>+'Raw financials'!ED72</f>
        <v/>
      </c>
      <c r="EQ52" s="451">
        <f>+'Raw financials'!EE72</f>
        <v/>
      </c>
      <c r="ER52" s="451">
        <f>+'Raw financials'!EF72</f>
        <v/>
      </c>
      <c r="ES52" s="451">
        <f>+'Raw financials'!EG72</f>
        <v/>
      </c>
      <c r="ET52" s="451">
        <f>+'Raw financials'!EH72</f>
        <v/>
      </c>
      <c r="EU52" s="451">
        <f>+'Raw financials'!EI72</f>
        <v/>
      </c>
      <c r="EV52" s="451">
        <f>+'Raw financials'!EJ72</f>
        <v/>
      </c>
      <c r="EW52" s="451">
        <f>+'Raw financials'!EK72</f>
        <v/>
      </c>
      <c r="EX52" s="451">
        <f>+'Raw financials'!EL72</f>
        <v/>
      </c>
      <c r="EY52" s="451">
        <f>+'Raw financials'!EM72</f>
        <v/>
      </c>
      <c r="EZ52" s="454" t="n"/>
      <c r="FA52" s="454" t="n"/>
      <c r="FB52" s="452">
        <f>+FA52-EW52</f>
        <v/>
      </c>
      <c r="FC52" s="348">
        <f>+FB52/EW52</f>
        <v/>
      </c>
      <c r="FD52" s="451" t="n"/>
      <c r="FE52" s="451" t="n"/>
    </row>
    <row r="53">
      <c r="A53" s="6" t="inlineStr">
        <is>
          <t>Other current assets</t>
        </is>
      </c>
      <c r="B53" s="451">
        <f>SUM('Raw financials'!B56,'Raw financials'!B62,'Raw financials'!B67,'Raw financials'!B72,'Raw financials'!B73,'Raw financials'!B75,'Raw financials'!B76)</f>
        <v/>
      </c>
      <c r="C53" s="451">
        <f>SUM('Raw financials'!C56,'Raw financials'!C62,'Raw financials'!C67,'Raw financials'!C72,'Raw financials'!C73,'Raw financials'!C75,'Raw financials'!C76)</f>
        <v/>
      </c>
      <c r="D53" s="451">
        <f>SUM('Raw financials'!D56,'Raw financials'!D62,'Raw financials'!D67,'Raw financials'!D72,'Raw financials'!D73,'Raw financials'!D75,'Raw financials'!D76)</f>
        <v/>
      </c>
      <c r="E53" s="451">
        <f>SUM('Raw financials'!E56,'Raw financials'!E62,'Raw financials'!E67,'Raw financials'!E72,'Raw financials'!E73,'Raw financials'!E75,'Raw financials'!E76)</f>
        <v/>
      </c>
      <c r="F53" s="451">
        <f>SUM('Raw financials'!F56,'Raw financials'!F62,'Raw financials'!F67,'Raw financials'!F72,'Raw financials'!F73,'Raw financials'!F75,'Raw financials'!F76)</f>
        <v/>
      </c>
      <c r="G53" s="451">
        <f>SUM('Raw financials'!G56,'Raw financials'!G62,'Raw financials'!G67,'Raw financials'!G72,'Raw financials'!G73,'Raw financials'!G75,'Raw financials'!G76)</f>
        <v/>
      </c>
      <c r="H53" s="451">
        <f>SUM('Raw financials'!H56,'Raw financials'!H62,'Raw financials'!H67,'Raw financials'!H72,'Raw financials'!H73,'Raw financials'!H75,'Raw financials'!H76)</f>
        <v/>
      </c>
      <c r="I53" s="451">
        <f>SUM('Raw financials'!I56,'Raw financials'!I62,'Raw financials'!I67,'Raw financials'!I72,'Raw financials'!I73,'Raw financials'!I75,'Raw financials'!I76)</f>
        <v/>
      </c>
      <c r="J53" s="451">
        <f>SUM('Raw financials'!J56,'Raw financials'!J62,'Raw financials'!J67,'Raw financials'!J72,'Raw financials'!J73,'Raw financials'!J75,'Raw financials'!J76)</f>
        <v/>
      </c>
      <c r="K53" s="451">
        <f>SUM('Raw financials'!K56,'Raw financials'!K62,'Raw financials'!K67,'Raw financials'!K72,'Raw financials'!K73,'Raw financials'!K75,'Raw financials'!K76)</f>
        <v/>
      </c>
      <c r="L53" s="451">
        <f>SUM('Raw financials'!L56,'Raw financials'!L62,'Raw financials'!L67,'Raw financials'!L72,'Raw financials'!L73,'Raw financials'!L75,'Raw financials'!L76)</f>
        <v/>
      </c>
      <c r="M53" s="451">
        <f>SUM('Raw financials'!M56,'Raw financials'!M62,'Raw financials'!M67,'Raw financials'!M72,'Raw financials'!M73,'Raw financials'!M75,'Raw financials'!M76)</f>
        <v/>
      </c>
      <c r="N53" s="451">
        <f>SUM('Raw financials'!N56,'Raw financials'!N62,'Raw financials'!N67,'Raw financials'!N72,'Raw financials'!N73,'Raw financials'!N75,'Raw financials'!N76)</f>
        <v/>
      </c>
      <c r="O53" s="451">
        <f>SUM('Raw financials'!O56,'Raw financials'!O62,'Raw financials'!O67,'Raw financials'!O72,'Raw financials'!O73,'Raw financials'!O75,'Raw financials'!O76)</f>
        <v/>
      </c>
      <c r="P53" s="451">
        <f>SUM('Raw financials'!P56,'Raw financials'!P62,'Raw financials'!P67,'Raw financials'!P72,'Raw financials'!P73,'Raw financials'!P75,'Raw financials'!P76)</f>
        <v/>
      </c>
      <c r="Q53" s="451">
        <f>SUM('Raw financials'!Q56,'Raw financials'!Q62,'Raw financials'!Q67,'Raw financials'!Q72,'Raw financials'!Q73,'Raw financials'!Q75,'Raw financials'!Q76)</f>
        <v/>
      </c>
      <c r="R53" s="451">
        <f>SUM('Raw financials'!R56,'Raw financials'!R62,'Raw financials'!R67,'Raw financials'!R72,'Raw financials'!R73,'Raw financials'!R75,'Raw financials'!R76)</f>
        <v/>
      </c>
      <c r="S53" s="451">
        <f>SUM('Raw financials'!S56,'Raw financials'!S62,'Raw financials'!S67,'Raw financials'!S72,'Raw financials'!S73,'Raw financials'!S75,'Raw financials'!S76)</f>
        <v/>
      </c>
      <c r="T53" s="451">
        <f>SUM('Raw financials'!T56,'Raw financials'!T62,'Raw financials'!T67,'Raw financials'!T72,'Raw financials'!T73,'Raw financials'!T75,'Raw financials'!T76)</f>
        <v/>
      </c>
      <c r="U53" s="459">
        <f>T53</f>
        <v/>
      </c>
      <c r="V53" s="459">
        <f>U53</f>
        <v/>
      </c>
      <c r="W53" s="459">
        <f>V53</f>
        <v/>
      </c>
      <c r="X53" s="459">
        <f>W53</f>
        <v/>
      </c>
      <c r="Y53" s="459">
        <f>X53</f>
        <v/>
      </c>
      <c r="Z53" s="459">
        <f>Y53</f>
        <v/>
      </c>
      <c r="AA53" s="452">
        <f>+U53-T53</f>
        <v/>
      </c>
      <c r="AB53" s="348">
        <f>+AA53/T53</f>
        <v/>
      </c>
      <c r="AC53" s="459" t="n">
        <v>14736.7009</v>
      </c>
      <c r="AD53" s="452">
        <f>+X53-W53</f>
        <v/>
      </c>
      <c r="AE53" s="348">
        <f>+AD53/W53</f>
        <v/>
      </c>
      <c r="AF53" s="451" t="n"/>
      <c r="AG53" s="451">
        <f>SUM('Raw financials'!AA74,'Raw financials'!AA56,'Raw financials'!AA62,'Raw financials'!AA67,'Raw financials'!AA72,'Raw financials'!AA73,'Raw financials'!AA75,'Raw financials'!AA76,'Raw financials'!AA77)</f>
        <v/>
      </c>
      <c r="AH53" s="451">
        <f>+B53</f>
        <v/>
      </c>
      <c r="AI53" s="451">
        <f>SUM('Raw financials'!AB74,'Raw financials'!AB56,'Raw financials'!AB62,'Raw financials'!AB67,'Raw financials'!AB72,'Raw financials'!AB73,'Raw financials'!AB75,'Raw financials'!AB76,'Raw financials'!AB77)</f>
        <v/>
      </c>
      <c r="AJ53" s="451">
        <f>+C53</f>
        <v/>
      </c>
      <c r="AK53" s="451">
        <f>SUM('Raw financials'!AC74,'Raw financials'!AC56,'Raw financials'!AC62,'Raw financials'!AC67,'Raw financials'!AC72,'Raw financials'!AC73,'Raw financials'!AC75,'Raw financials'!AC76,'Raw financials'!AC77)</f>
        <v/>
      </c>
      <c r="AL53" s="451">
        <f>+D53</f>
        <v/>
      </c>
      <c r="AM53" s="451">
        <f>SUM('Raw financials'!AD74,'Raw financials'!AD56,'Raw financials'!AD62,'Raw financials'!AD67,'Raw financials'!AD72,'Raw financials'!AD73,'Raw financials'!AD75,'Raw financials'!AD76,'Raw financials'!AD77)</f>
        <v/>
      </c>
      <c r="AN53" s="451">
        <f>+E53</f>
        <v/>
      </c>
      <c r="AO53" s="451">
        <f>SUM('Raw financials'!AE74,'Raw financials'!AE56,'Raw financials'!AE62,'Raw financials'!AE67,'Raw financials'!AE72,'Raw financials'!AE73,'Raw financials'!AE75,'Raw financials'!AE76,'Raw financials'!AE77)</f>
        <v/>
      </c>
      <c r="AP53" s="451">
        <f>+F53</f>
        <v/>
      </c>
      <c r="AQ53" s="451">
        <f>SUM('Raw financials'!AF74,'Raw financials'!AF56,'Raw financials'!AF62,'Raw financials'!AF67,'Raw financials'!AF72,'Raw financials'!AF73,'Raw financials'!AF75,'Raw financials'!AF76,'Raw financials'!AF77)</f>
        <v/>
      </c>
      <c r="AR53" s="451">
        <f>+G53</f>
        <v/>
      </c>
      <c r="AS53" s="451">
        <f>SUM('Raw financials'!AG74,'Raw financials'!AG56,'Raw financials'!AG62,'Raw financials'!AG67,'Raw financials'!AG72,'Raw financials'!AG73,'Raw financials'!AG75,'Raw financials'!AG76,'Raw financials'!AG77)</f>
        <v/>
      </c>
      <c r="AT53" s="451">
        <f>+H53</f>
        <v/>
      </c>
      <c r="AU53" s="451">
        <f>SUM('Raw financials'!AH74,'Raw financials'!AH56,'Raw financials'!AH62,'Raw financials'!AH67,'Raw financials'!AH72,'Raw financials'!AH73,'Raw financials'!AH75,'Raw financials'!AH76,'Raw financials'!AH77)</f>
        <v/>
      </c>
      <c r="AV53" s="451">
        <f>+I53</f>
        <v/>
      </c>
      <c r="AW53" s="451">
        <f>SUM('Raw financials'!AI74,'Raw financials'!AI56,'Raw financials'!AI62,'Raw financials'!AI67,'Raw financials'!AI72,'Raw financials'!AI73,'Raw financials'!AI75,'Raw financials'!AI76,'Raw financials'!AI77)</f>
        <v/>
      </c>
      <c r="AX53" s="451">
        <f>+J53</f>
        <v/>
      </c>
      <c r="AY53" s="451">
        <f>SUM('Raw financials'!AJ74,'Raw financials'!AJ56,'Raw financials'!AJ62,'Raw financials'!AJ67,'Raw financials'!AJ72,'Raw financials'!AJ73,'Raw financials'!AJ75,'Raw financials'!AJ76,'Raw financials'!AJ77)</f>
        <v/>
      </c>
      <c r="AZ53" s="451">
        <f>+K53</f>
        <v/>
      </c>
      <c r="BA53" s="451">
        <f>SUM('Raw financials'!AK74,'Raw financials'!AK56,'Raw financials'!AK62,'Raw financials'!AK67,'Raw financials'!AK72,'Raw financials'!AK73,'Raw financials'!AK75,'Raw financials'!AK76,'Raw financials'!AK77)</f>
        <v/>
      </c>
      <c r="BB53" s="451">
        <f>+L53</f>
        <v/>
      </c>
      <c r="BC53" s="451">
        <f>SUM('Raw financials'!AL74,'Raw financials'!AL56,'Raw financials'!AL62,'Raw financials'!AL67,'Raw financials'!AL72,'Raw financials'!AL73,'Raw financials'!AL75,'Raw financials'!AL76,'Raw financials'!AL77)</f>
        <v/>
      </c>
      <c r="BD53" s="451">
        <f>+M53</f>
        <v/>
      </c>
      <c r="BE53" s="451">
        <f>SUM('Raw financials'!AM74,'Raw financials'!AM56,'Raw financials'!AM62,'Raw financials'!AM67,'Raw financials'!AM72,'Raw financials'!AM73,'Raw financials'!AM75,'Raw financials'!AM76,'Raw financials'!AM77)</f>
        <v/>
      </c>
      <c r="BF53" s="451">
        <f>+N53</f>
        <v/>
      </c>
      <c r="BG53" s="451">
        <f>SUM('Raw financials'!AN74,'Raw financials'!AN56,'Raw financials'!AN62,'Raw financials'!AN67,'Raw financials'!AN72,'Raw financials'!AN73,'Raw financials'!AN75,'Raw financials'!AN76,'Raw financials'!AN77)</f>
        <v/>
      </c>
      <c r="BH53" s="451">
        <f>+O53</f>
        <v/>
      </c>
      <c r="BI53" s="451">
        <f>SUM('Raw financials'!AO74,'Raw financials'!AO56,'Raw financials'!AO62,'Raw financials'!AO67,'Raw financials'!AO72,'Raw financials'!AO73,'Raw financials'!AO75,'Raw financials'!AO76,'Raw financials'!AO77)</f>
        <v/>
      </c>
      <c r="BJ53" s="451">
        <f>+P53</f>
        <v/>
      </c>
      <c r="BK53" s="451">
        <f>SUM('Raw financials'!AP74,'Raw financials'!AP56,'Raw financials'!AP62,'Raw financials'!AP67,'Raw financials'!AP72,'Raw financials'!AP73,'Raw financials'!AP75,'Raw financials'!AP76,'Raw financials'!AP77)</f>
        <v/>
      </c>
      <c r="BL53" s="451">
        <f>+Q53</f>
        <v/>
      </c>
      <c r="BM53" s="451">
        <f>SUM('Raw financials'!AQ74,'Raw financials'!AQ56,'Raw financials'!AQ62,'Raw financials'!AQ67,'Raw financials'!AQ72,'Raw financials'!AQ73,'Raw financials'!AQ75,'Raw financials'!AQ76,'Raw financials'!AQ77)</f>
        <v/>
      </c>
      <c r="BN53" s="451">
        <f>+R53</f>
        <v/>
      </c>
      <c r="BO53" s="451">
        <f>SUM('Raw financials'!AR74,'Raw financials'!AR56,'Raw financials'!AR62,'Raw financials'!AR67,'Raw financials'!AR72,'Raw financials'!AR73,'Raw financials'!AR75,'Raw financials'!AR76,'Raw financials'!AR77)</f>
        <v/>
      </c>
      <c r="BP53" s="451">
        <f>+S53</f>
        <v/>
      </c>
      <c r="BQ53" s="451">
        <f>SUM('Raw financials'!AS74,'Raw financials'!AS56,'Raw financials'!AS62,'Raw financials'!AS67,'Raw financials'!AS72,'Raw financials'!AS73,'Raw financials'!AS75,'Raw financials'!AS76,'Raw financials'!AS77)</f>
        <v/>
      </c>
      <c r="BR53" s="451">
        <f>+T53</f>
        <v/>
      </c>
      <c r="BS53" s="451" t="n"/>
      <c r="BT53" s="451">
        <f>+U53</f>
        <v/>
      </c>
      <c r="BU53" s="453">
        <f>BT53-BR53</f>
        <v/>
      </c>
      <c r="BV53" s="379">
        <f>BU53/BR53</f>
        <v/>
      </c>
      <c r="BW53" s="489" t="n"/>
      <c r="BX53" s="489" t="n"/>
      <c r="BZ53" s="451">
        <f>SUM('Raw financials'!BN74,'Raw financials'!BN56,'Raw financials'!BN62,'Raw financials'!BN67,'Raw financials'!BN72,'Raw financials'!BN73,'Raw financials'!BN75,'Raw financials'!BN76,'Raw financials'!BN77)</f>
        <v/>
      </c>
      <c r="CA53" s="451">
        <f>SUM('Raw financials'!BO74,'Raw financials'!BO56,'Raw financials'!BO62,'Raw financials'!BO67,'Raw financials'!BO72,'Raw financials'!BO73,'Raw financials'!BO75,'Raw financials'!BO76,'Raw financials'!BO77)</f>
        <v/>
      </c>
      <c r="CB53" s="451">
        <f>SUM('Raw financials'!BP74,'Raw financials'!BP56,'Raw financials'!BP62,'Raw financials'!BP67,'Raw financials'!BP72,'Raw financials'!BP73,'Raw financials'!BP75,'Raw financials'!BP76,'Raw financials'!BP77)</f>
        <v/>
      </c>
      <c r="CC53" s="451">
        <f>SUM('Raw financials'!BQ74,'Raw financials'!BQ56,'Raw financials'!BQ62,'Raw financials'!BQ67,'Raw financials'!BQ72,'Raw financials'!BQ73,'Raw financials'!BQ75,'Raw financials'!BQ76,'Raw financials'!BQ77)</f>
        <v/>
      </c>
      <c r="CD53" s="451">
        <f>SUM('Raw financials'!BR74,'Raw financials'!BR56,'Raw financials'!BR62,'Raw financials'!BR67,'Raw financials'!BR72,'Raw financials'!BR73,'Raw financials'!BR75,'Raw financials'!BR76,'Raw financials'!BR77)</f>
        <v/>
      </c>
      <c r="CE53" s="451">
        <f>SUM('Raw financials'!BS74,'Raw financials'!BS56,'Raw financials'!BS62,'Raw financials'!BS67,'Raw financials'!BS72,'Raw financials'!BS73,'Raw financials'!BS75,'Raw financials'!BS76,'Raw financials'!BS77)</f>
        <v/>
      </c>
      <c r="CF53" s="451">
        <f>SUM('Raw financials'!BT74,'Raw financials'!BT56,'Raw financials'!BT62,'Raw financials'!BT67,'Raw financials'!BT72,'Raw financials'!BT73,'Raw financials'!BT75,'Raw financials'!BT76,'Raw financials'!BT77)</f>
        <v/>
      </c>
      <c r="CG53" s="451">
        <f>SUM('Raw financials'!BU74,'Raw financials'!BU56,'Raw financials'!BU62,'Raw financials'!BU67,'Raw financials'!BU72,'Raw financials'!BU73,'Raw financials'!BU75,'Raw financials'!BU76,'Raw financials'!BU77)</f>
        <v/>
      </c>
      <c r="CH53" s="451">
        <f>SUM('Raw financials'!BV74,'Raw financials'!BV56,'Raw financials'!BV62,'Raw financials'!BV67,'Raw financials'!BV72,'Raw financials'!BV73,'Raw financials'!BV75,'Raw financials'!BV76,'Raw financials'!BV77)</f>
        <v/>
      </c>
      <c r="CI53" s="451">
        <f>SUM('Raw financials'!BW74,'Raw financials'!BW56,'Raw financials'!BW62,'Raw financials'!BW67,'Raw financials'!BW72,'Raw financials'!BW73,'Raw financials'!BW75,'Raw financials'!BW76,'Raw financials'!BW77)</f>
        <v/>
      </c>
      <c r="CJ53" s="451">
        <f>SUM('Raw financials'!BX74,'Raw financials'!BX56,'Raw financials'!BX62,'Raw financials'!BX67,'Raw financials'!BX72,'Raw financials'!BX73,'Raw financials'!BX75,'Raw financials'!BX76,'Raw financials'!BX77)</f>
        <v/>
      </c>
      <c r="CK53" s="451">
        <f>SUM('Raw financials'!BY74,'Raw financials'!BY56,'Raw financials'!BY62,'Raw financials'!BY67,'Raw financials'!BY72,'Raw financials'!BY73,'Raw financials'!BY75,'Raw financials'!BY76,'Raw financials'!BY77)</f>
        <v/>
      </c>
      <c r="CL53" s="451">
        <f>SUM('Raw financials'!BZ74,'Raw financials'!BZ56,'Raw financials'!BZ62,'Raw financials'!BZ67,'Raw financials'!BZ72,'Raw financials'!BZ73,'Raw financials'!BZ75,'Raw financials'!BZ76,'Raw financials'!BZ77)</f>
        <v/>
      </c>
      <c r="CM53" s="451">
        <f>SUM('Raw financials'!CA74,'Raw financials'!CA56,'Raw financials'!CA62,'Raw financials'!CA67,'Raw financials'!CA72,'Raw financials'!CA73,'Raw financials'!CA75,'Raw financials'!CA76,'Raw financials'!CA77)</f>
        <v/>
      </c>
      <c r="CN53" s="451">
        <f>SUM('Raw financials'!CB74,'Raw financials'!CB56,'Raw financials'!CB62,'Raw financials'!CB67,'Raw financials'!CB72,'Raw financials'!CB73,'Raw financials'!CB75,'Raw financials'!CB76,'Raw financials'!CB77)</f>
        <v/>
      </c>
      <c r="CO53" s="451">
        <f>SUM('Raw financials'!CC74,'Raw financials'!CC56,'Raw financials'!CC62,'Raw financials'!CC67,'Raw financials'!CC72,'Raw financials'!CC73,'Raw financials'!CC75,'Raw financials'!CC76,'Raw financials'!CC77)</f>
        <v/>
      </c>
      <c r="CP53" s="451">
        <f>SUM('Raw financials'!CD74,'Raw financials'!CD56,'Raw financials'!CD62,'Raw financials'!CD67,'Raw financials'!CD72,'Raw financials'!CD73,'Raw financials'!CD75,'Raw financials'!CD76,'Raw financials'!CD77)</f>
        <v/>
      </c>
      <c r="CQ53" s="451">
        <f>SUM('Raw financials'!CE74,'Raw financials'!CE56,'Raw financials'!CE62,'Raw financials'!CE67,'Raw financials'!CE72,'Raw financials'!CE73,'Raw financials'!CE75,'Raw financials'!CE76,'Raw financials'!CE77)</f>
        <v/>
      </c>
      <c r="CR53" s="451">
        <f>SUM('Raw financials'!CF74,'Raw financials'!CF56,'Raw financials'!CF62,'Raw financials'!CF67,'Raw financials'!CF72,'Raw financials'!CF73,'Raw financials'!CF75,'Raw financials'!CF76,'Raw financials'!CF77)</f>
        <v/>
      </c>
      <c r="CS53" s="451">
        <f>SUM('Raw financials'!CG74,'Raw financials'!CG56,'Raw financials'!CG62,'Raw financials'!CG67,'Raw financials'!CG72,'Raw financials'!CG73,'Raw financials'!CG75,'Raw financials'!CG76,'Raw financials'!CG77)</f>
        <v/>
      </c>
      <c r="CT53" s="451">
        <f>SUM('Raw financials'!CH74,'Raw financials'!CH56,'Raw financials'!CH62,'Raw financials'!CH67,'Raw financials'!CH72,'Raw financials'!CH73,'Raw financials'!CH75,'Raw financials'!CH76,'Raw financials'!CH77)</f>
        <v/>
      </c>
      <c r="CU53" s="451">
        <f>SUM('Raw financials'!CI74,'Raw financials'!CI56,'Raw financials'!CI62,'Raw financials'!CI67,'Raw financials'!CI72,'Raw financials'!CI73,'Raw financials'!CI75,'Raw financials'!CI76,'Raw financials'!CI77)</f>
        <v/>
      </c>
      <c r="CV53" s="451">
        <f>SUM('Raw financials'!CJ74,'Raw financials'!CJ56,'Raw financials'!CJ62,'Raw financials'!CJ67,'Raw financials'!CJ72,'Raw financials'!CJ73,'Raw financials'!CJ75,'Raw financials'!CJ76,'Raw financials'!CJ77)</f>
        <v/>
      </c>
      <c r="CW53" s="451">
        <f>SUM('Raw financials'!CK74,'Raw financials'!CK56,'Raw financials'!CK62,'Raw financials'!CK67,'Raw financials'!CK72,'Raw financials'!CK73,'Raw financials'!CK75,'Raw financials'!CK76,'Raw financials'!CK77)</f>
        <v/>
      </c>
      <c r="CX53" s="451">
        <f>SUM('Raw financials'!CL74,'Raw financials'!CL56,'Raw financials'!CL62,'Raw financials'!CL67,'Raw financials'!CL72,'Raw financials'!CL73,'Raw financials'!CL75,'Raw financials'!CL76,'Raw financials'!CL77)</f>
        <v/>
      </c>
      <c r="CY53" s="451">
        <f>SUM('Raw financials'!CM74,'Raw financials'!CM56,'Raw financials'!CM62,'Raw financials'!CM67,'Raw financials'!CM72,'Raw financials'!CM73,'Raw financials'!CM75,'Raw financials'!CM76,'Raw financials'!CM77)</f>
        <v/>
      </c>
      <c r="CZ53" s="451">
        <f>SUM('Raw financials'!CN74,'Raw financials'!CN56,'Raw financials'!CN62,'Raw financials'!CN67,'Raw financials'!CN72,'Raw financials'!CN73,'Raw financials'!CN75,'Raw financials'!CN76,'Raw financials'!CN77)</f>
        <v/>
      </c>
      <c r="DA53" s="451">
        <f>SUM('Raw financials'!CO74,'Raw financials'!CO56,'Raw financials'!CO62,'Raw financials'!CO67,'Raw financials'!CO72,'Raw financials'!CO73,'Raw financials'!CO75,'Raw financials'!CO76,'Raw financials'!CO77)</f>
        <v/>
      </c>
      <c r="DB53" s="451">
        <f>SUM('Raw financials'!CP74,'Raw financials'!CP56,'Raw financials'!CP62,'Raw financials'!CP67,'Raw financials'!CP72,'Raw financials'!CP73,'Raw financials'!CP75,'Raw financials'!CP76,'Raw financials'!CP77)</f>
        <v/>
      </c>
      <c r="DC53" s="451">
        <f>SUM('Raw financials'!CQ74,'Raw financials'!CQ56,'Raw financials'!CQ62,'Raw financials'!CQ67,'Raw financials'!CQ72,'Raw financials'!CQ73,'Raw financials'!CQ75,'Raw financials'!CQ76,'Raw financials'!CQ77)</f>
        <v/>
      </c>
      <c r="DD53" s="451">
        <f>SUM('Raw financials'!CR74,'Raw financials'!CR56,'Raw financials'!CR62,'Raw financials'!CR67,'Raw financials'!CR72,'Raw financials'!CR73,'Raw financials'!CR75,'Raw financials'!CR76,'Raw financials'!CR77)</f>
        <v/>
      </c>
      <c r="DE53" s="451">
        <f>SUM('Raw financials'!CS74,'Raw financials'!CS56,'Raw financials'!CS62,'Raw financials'!CS67,'Raw financials'!CS72,'Raw financials'!CS73,'Raw financials'!CS75,'Raw financials'!CS76,'Raw financials'!CS77)</f>
        <v/>
      </c>
      <c r="DF53" s="451">
        <f>SUM('Raw financials'!CT74,'Raw financials'!CT56,'Raw financials'!CT62,'Raw financials'!CT67,'Raw financials'!CT72,'Raw financials'!CT73,'Raw financials'!CT75,'Raw financials'!CT76,'Raw financials'!CT77)</f>
        <v/>
      </c>
      <c r="DG53" s="451">
        <f>SUM('Raw financials'!CU74,'Raw financials'!CU56,'Raw financials'!CU62,'Raw financials'!CU67,'Raw financials'!CU72,'Raw financials'!CU73,'Raw financials'!CU75,'Raw financials'!CU76,'Raw financials'!CU77)</f>
        <v/>
      </c>
      <c r="DH53" s="451">
        <f>SUM('Raw financials'!CV74,'Raw financials'!CV56,'Raw financials'!CV62,'Raw financials'!CV67,'Raw financials'!CV72,'Raw financials'!CV73,'Raw financials'!CV75,'Raw financials'!CV76,'Raw financials'!CV77)</f>
        <v/>
      </c>
      <c r="DI53" s="451">
        <f>SUM('Raw financials'!CW74,'Raw financials'!CW56,'Raw financials'!CW62,'Raw financials'!CW67,'Raw financials'!CW72,'Raw financials'!CW73,'Raw financials'!CW75,'Raw financials'!CW76,'Raw financials'!CW77)</f>
        <v/>
      </c>
      <c r="DJ53" s="451">
        <f>SUM('Raw financials'!CX74,'Raw financials'!CX56,'Raw financials'!CX62,'Raw financials'!CX67,'Raw financials'!CX72,'Raw financials'!CX73,'Raw financials'!CX75,'Raw financials'!CX76,'Raw financials'!CX77)</f>
        <v/>
      </c>
      <c r="DK53" s="451">
        <f>SUM('Raw financials'!CY74,'Raw financials'!CY56,'Raw financials'!CY62,'Raw financials'!CY67,'Raw financials'!CY72,'Raw financials'!CY73,'Raw financials'!CY75,'Raw financials'!CY76,'Raw financials'!CY77)</f>
        <v/>
      </c>
      <c r="DL53" s="451">
        <f>SUM('Raw financials'!CZ74,'Raw financials'!CZ56,'Raw financials'!CZ62,'Raw financials'!CZ67,'Raw financials'!CZ72,'Raw financials'!CZ73,'Raw financials'!CZ75,'Raw financials'!CZ76,'Raw financials'!CZ77)</f>
        <v/>
      </c>
      <c r="DM53" s="451">
        <f>SUM('Raw financials'!DA74,'Raw financials'!DA56,'Raw financials'!DA62,'Raw financials'!DA67,'Raw financials'!DA72,'Raw financials'!DA73,'Raw financials'!DA75,'Raw financials'!DA76,'Raw financials'!DA77)</f>
        <v/>
      </c>
      <c r="DN53" s="451">
        <f>SUM('Raw financials'!DB74,'Raw financials'!DB56,'Raw financials'!DB62,'Raw financials'!DB67,'Raw financials'!DB72,'Raw financials'!DB73,'Raw financials'!DB75,'Raw financials'!DB76,'Raw financials'!DB77)</f>
        <v/>
      </c>
      <c r="DO53" s="451">
        <f>SUM('Raw financials'!DC74,'Raw financials'!DC56,'Raw financials'!DC62,'Raw financials'!DC67,'Raw financials'!DC72,'Raw financials'!DC73,'Raw financials'!DC75,'Raw financials'!DC76,'Raw financials'!DC77)</f>
        <v/>
      </c>
      <c r="DP53" s="451">
        <f>SUM('Raw financials'!DD74,'Raw financials'!DD56,'Raw financials'!DD62,'Raw financials'!DD67,'Raw financials'!DD72,'Raw financials'!DD73,'Raw financials'!DD75,'Raw financials'!DD76,'Raw financials'!DD77)</f>
        <v/>
      </c>
      <c r="DQ53" s="451">
        <f>SUM('Raw financials'!DE74,'Raw financials'!DE56,'Raw financials'!DE62,'Raw financials'!DE67,'Raw financials'!DE72,'Raw financials'!DE73,'Raw financials'!DE75,'Raw financials'!DE76,'Raw financials'!DE77)</f>
        <v/>
      </c>
      <c r="DR53" s="451">
        <f>SUM('Raw financials'!DF74,'Raw financials'!DF56,'Raw financials'!DF62,'Raw financials'!DF67,'Raw financials'!DF72,'Raw financials'!DF73,'Raw financials'!DF75,'Raw financials'!DF76,'Raw financials'!DF77)</f>
        <v/>
      </c>
      <c r="DS53" s="451">
        <f>SUM('Raw financials'!DG74,'Raw financials'!DG56,'Raw financials'!DG62,'Raw financials'!DG67,'Raw financials'!DG72,'Raw financials'!DG73,'Raw financials'!DG75,'Raw financials'!DG76,'Raw financials'!DG77)</f>
        <v/>
      </c>
      <c r="DT53" s="451">
        <f>SUM('Raw financials'!DH74,'Raw financials'!DH56,'Raw financials'!DH62,'Raw financials'!DH67,'Raw financials'!DH72,'Raw financials'!DH73,'Raw financials'!DH75,'Raw financials'!DH76,'Raw financials'!DH77)</f>
        <v/>
      </c>
      <c r="DU53" s="451">
        <f>SUM('Raw financials'!DI74,'Raw financials'!DI56,'Raw financials'!DI62,'Raw financials'!DI67,'Raw financials'!DI72,'Raw financials'!DI73,'Raw financials'!DI75,'Raw financials'!DI76,'Raw financials'!DI77)</f>
        <v/>
      </c>
      <c r="DV53" s="451">
        <f>SUM('Raw financials'!DJ74,'Raw financials'!DJ56,'Raw financials'!DJ62,'Raw financials'!DJ67,'Raw financials'!DJ72,'Raw financials'!DJ73,'Raw financials'!DJ75,'Raw financials'!DJ76,'Raw financials'!DJ77)</f>
        <v/>
      </c>
      <c r="DW53" s="451">
        <f>SUM('Raw financials'!DK74,'Raw financials'!DK56,'Raw financials'!DK62,'Raw financials'!DK67,'Raw financials'!DK72,'Raw financials'!DK73,'Raw financials'!DK75,'Raw financials'!DK76,'Raw financials'!DK77)</f>
        <v/>
      </c>
      <c r="DX53" s="451" t="n"/>
      <c r="DY53" s="451" t="n"/>
      <c r="DZ53" s="451">
        <f>SUM('Raw financials'!DN74,'Raw financials'!DN56,'Raw financials'!DN62,'Raw financials'!DN67,'Raw financials'!DN72,'Raw financials'!DN73,'Raw financials'!DN75,'Raw financials'!DN76,'Raw financials'!DN77)</f>
        <v/>
      </c>
      <c r="EA53" s="451">
        <f>SUM('Raw financials'!DO74,'Raw financials'!DO56,'Raw financials'!DO62,'Raw financials'!DO67,'Raw financials'!DO72,'Raw financials'!DO73,'Raw financials'!DO75,'Raw financials'!DO76,'Raw financials'!DO77)</f>
        <v/>
      </c>
      <c r="EB53" s="451">
        <f>SUM('Raw financials'!DP74,'Raw financials'!DP56,'Raw financials'!DP62,'Raw financials'!DP67,'Raw financials'!DP72,'Raw financials'!DP73,'Raw financials'!DP75,'Raw financials'!DP76,'Raw financials'!DP77)</f>
        <v/>
      </c>
      <c r="EC53" s="451">
        <f>SUM('Raw financials'!DQ74,'Raw financials'!DQ56,'Raw financials'!DQ62,'Raw financials'!DQ67,'Raw financials'!DQ72,'Raw financials'!DQ73,'Raw financials'!DQ75,'Raw financials'!DQ76,'Raw financials'!DQ77)</f>
        <v/>
      </c>
      <c r="ED53" s="451">
        <f>SUM('Raw financials'!DR74,'Raw financials'!DR56,'Raw financials'!DR62,'Raw financials'!DR67,'Raw financials'!DR72,'Raw financials'!DR73,'Raw financials'!DR75,'Raw financials'!DR76,'Raw financials'!DR77)</f>
        <v/>
      </c>
      <c r="EE53" s="451">
        <f>SUM('Raw financials'!DS74,'Raw financials'!DS56,'Raw financials'!DS62,'Raw financials'!DS67,'Raw financials'!DS72,'Raw financials'!DS73,'Raw financials'!DS75,'Raw financials'!DS76,'Raw financials'!DS77)</f>
        <v/>
      </c>
      <c r="EF53" s="451">
        <f>SUM('Raw financials'!DT74,'Raw financials'!DT56,'Raw financials'!DT62,'Raw financials'!DT67,'Raw financials'!DT72,'Raw financials'!DT73,'Raw financials'!DT75,'Raw financials'!DT76,'Raw financials'!DT77)</f>
        <v/>
      </c>
      <c r="EG53" s="451">
        <f>SUM('Raw financials'!DU74,'Raw financials'!DU56,'Raw financials'!DU62,'Raw financials'!DU67,'Raw financials'!DU72,'Raw financials'!DU73,'Raw financials'!DU75,'Raw financials'!DU76,'Raw financials'!DU77)</f>
        <v/>
      </c>
      <c r="EH53" s="451">
        <f>SUM('Raw financials'!DV74,'Raw financials'!DV56,'Raw financials'!DV62,'Raw financials'!DV67,'Raw financials'!DV72,'Raw financials'!DV73,'Raw financials'!DV75,'Raw financials'!DV76,'Raw financials'!DV77)</f>
        <v/>
      </c>
      <c r="EI53" s="451">
        <f>SUM('Raw financials'!DW74,'Raw financials'!DW56,'Raw financials'!DW62,'Raw financials'!DW67,'Raw financials'!DW72,'Raw financials'!DW73,'Raw financials'!DW75,'Raw financials'!DW76,'Raw financials'!DW77)</f>
        <v/>
      </c>
      <c r="EJ53" s="451">
        <f>SUM('Raw financials'!DX74,'Raw financials'!DX56,'Raw financials'!DX62,'Raw financials'!DX67,'Raw financials'!DX72,'Raw financials'!DX73,'Raw financials'!DX75,'Raw financials'!DX76,'Raw financials'!DX77)</f>
        <v/>
      </c>
      <c r="EK53" s="451">
        <f>SUM('Raw financials'!DY74,'Raw financials'!DY56,'Raw financials'!DY62,'Raw financials'!DY67,'Raw financials'!DY72,'Raw financials'!DY73,'Raw financials'!DY75,'Raw financials'!DY76,'Raw financials'!DY77)</f>
        <v/>
      </c>
      <c r="EL53" s="451">
        <f>SUM('Raw financials'!DZ74,'Raw financials'!DZ56,'Raw financials'!DZ62,'Raw financials'!DZ67,'Raw financials'!DZ72,'Raw financials'!DZ73,'Raw financials'!DZ75,'Raw financials'!DZ76,'Raw financials'!DZ77)</f>
        <v/>
      </c>
      <c r="EM53" s="451">
        <f>SUM('Raw financials'!EA74,'Raw financials'!EA56,'Raw financials'!EA62,'Raw financials'!EA67,'Raw financials'!EA72,'Raw financials'!EA73,'Raw financials'!EA75,'Raw financials'!EA76,'Raw financials'!EA77)</f>
        <v/>
      </c>
      <c r="EN53" s="451">
        <f>SUM('Raw financials'!EB74,'Raw financials'!EB56,'Raw financials'!EB62,'Raw financials'!EB67,'Raw financials'!EB72,'Raw financials'!EB73,'Raw financials'!EB75,'Raw financials'!EB76,'Raw financials'!EB77)</f>
        <v/>
      </c>
      <c r="EO53" s="451">
        <f>SUM('Raw financials'!EC74,'Raw financials'!EC56,'Raw financials'!EC62,'Raw financials'!EC67,'Raw financials'!EC72,'Raw financials'!EC73,'Raw financials'!EC75,'Raw financials'!EC76,'Raw financials'!EC77)</f>
        <v/>
      </c>
      <c r="EP53" s="451">
        <f>SUM('Raw financials'!ED74,'Raw financials'!ED56,'Raw financials'!ED62,'Raw financials'!ED67,'Raw financials'!ED72,'Raw financials'!ED73,'Raw financials'!ED75,'Raw financials'!ED76,'Raw financials'!ED77)</f>
        <v/>
      </c>
      <c r="EQ53" s="451">
        <f>SUM('Raw financials'!EE74,'Raw financials'!EE56,'Raw financials'!EE62,'Raw financials'!EE67,'Raw financials'!EE72,'Raw financials'!EE73,'Raw financials'!EE75,'Raw financials'!EE76,'Raw financials'!EE77)</f>
        <v/>
      </c>
      <c r="ER53" s="451">
        <f>SUM('Raw financials'!EF74,'Raw financials'!EF56,'Raw financials'!EF62,'Raw financials'!EF67,'Raw financials'!EF72,'Raw financials'!EF73,'Raw financials'!EF75,'Raw financials'!EF76,'Raw financials'!EF77)</f>
        <v/>
      </c>
      <c r="ES53" s="451">
        <f>SUM('Raw financials'!EG74,'Raw financials'!EG56,'Raw financials'!EG62,'Raw financials'!EG67,'Raw financials'!EG72,'Raw financials'!EG73,'Raw financials'!EG75,'Raw financials'!EG76,'Raw financials'!EG77)</f>
        <v/>
      </c>
      <c r="ET53" s="451">
        <f>SUM('Raw financials'!EH74,'Raw financials'!EH56,'Raw financials'!EH62,'Raw financials'!EH67,'Raw financials'!EH72,'Raw financials'!EH73,'Raw financials'!EH75,'Raw financials'!EH76,'Raw financials'!EH77)</f>
        <v/>
      </c>
      <c r="EU53" s="451">
        <f>SUM('Raw financials'!EI74,'Raw financials'!EI56,'Raw financials'!EI62,'Raw financials'!EI67,'Raw financials'!EI72,'Raw financials'!EI73,'Raw financials'!EI75,'Raw financials'!EI76,'Raw financials'!EI77)</f>
        <v/>
      </c>
      <c r="EV53" s="451">
        <f>SUM('Raw financials'!EJ74,'Raw financials'!EJ56,'Raw financials'!EJ62,'Raw financials'!EJ67,'Raw financials'!EJ72,'Raw financials'!EJ73,'Raw financials'!EJ75,'Raw financials'!EJ76,'Raw financials'!EJ77)</f>
        <v/>
      </c>
      <c r="EW53" s="451">
        <f>SUM('Raw financials'!EK74,'Raw financials'!EK56,'Raw financials'!EK62,'Raw financials'!EK67,'Raw financials'!EK72,'Raw financials'!EK73,'Raw financials'!EK75,'Raw financials'!EK76,'Raw financials'!EK77)</f>
        <v/>
      </c>
      <c r="EX53" s="451">
        <f>SUM('Raw financials'!EL74,'Raw financials'!EL56,'Raw financials'!EL62,'Raw financials'!EL67,'Raw financials'!EL72,'Raw financials'!EL73,'Raw financials'!EL75,'Raw financials'!EL76,'Raw financials'!EL77)</f>
        <v/>
      </c>
      <c r="EY53" s="451">
        <f>SUM('Raw financials'!EM74,'Raw financials'!EM56,'Raw financials'!EM62,'Raw financials'!EM67,'Raw financials'!EM72,'Raw financials'!EM73,'Raw financials'!EM75,'Raw financials'!EM76,'Raw financials'!EM77)</f>
        <v/>
      </c>
      <c r="EZ53" s="454" t="n"/>
      <c r="FA53" s="454" t="n"/>
      <c r="FB53" s="452">
        <f>+FA53-EW53</f>
        <v/>
      </c>
      <c r="FC53" s="348">
        <f>+FB53/EW53</f>
        <v/>
      </c>
      <c r="FD53" s="451" t="n"/>
      <c r="FE53" s="451" t="n"/>
    </row>
    <row r="54">
      <c r="A54" s="21" t="inlineStr">
        <is>
          <t>Total current assets</t>
        </is>
      </c>
      <c r="B54" s="491">
        <f>SUM(B47:B53)</f>
        <v/>
      </c>
      <c r="C54" s="491">
        <f>SUM(C47:C53)</f>
        <v/>
      </c>
      <c r="D54" s="491">
        <f>SUM(D47:D53)</f>
        <v/>
      </c>
      <c r="E54" s="491">
        <f>SUM(E47:E53)</f>
        <v/>
      </c>
      <c r="F54" s="491">
        <f>SUM(F47:F53)</f>
        <v/>
      </c>
      <c r="G54" s="491">
        <f>SUM(G47:G53)</f>
        <v/>
      </c>
      <c r="H54" s="491">
        <f>SUM(H47:H53)</f>
        <v/>
      </c>
      <c r="I54" s="491">
        <f>SUM(I47:I53)</f>
        <v/>
      </c>
      <c r="J54" s="491">
        <f>SUM(J47:J53)</f>
        <v/>
      </c>
      <c r="K54" s="491">
        <f>SUM(K47:K53)</f>
        <v/>
      </c>
      <c r="L54" s="491">
        <f>SUM(L47:L53)</f>
        <v/>
      </c>
      <c r="M54" s="491">
        <f>SUM(M47:M53)</f>
        <v/>
      </c>
      <c r="N54" s="491">
        <f>SUM(N47:N53)</f>
        <v/>
      </c>
      <c r="O54" s="491">
        <f>SUM(O47:O53)</f>
        <v/>
      </c>
      <c r="P54" s="491">
        <f>SUM(P47:P53)</f>
        <v/>
      </c>
      <c r="Q54" s="491">
        <f>SUM(Q47:Q53)</f>
        <v/>
      </c>
      <c r="R54" s="491">
        <f>SUM(R47:R53)</f>
        <v/>
      </c>
      <c r="S54" s="491">
        <f>SUM(S47:S53)</f>
        <v/>
      </c>
      <c r="T54" s="491">
        <f>SUM(T47:T53)</f>
        <v/>
      </c>
      <c r="U54" s="491">
        <f>SUM(U47:U53)</f>
        <v/>
      </c>
      <c r="V54" s="491">
        <f>SUM(V47:V53)</f>
        <v/>
      </c>
      <c r="W54" s="491">
        <f>SUM(W47:W53)</f>
        <v/>
      </c>
      <c r="X54" s="491">
        <f>SUM(X47:X53)</f>
        <v/>
      </c>
      <c r="Y54" s="491">
        <f>SUM(Y47:Y53)</f>
        <v/>
      </c>
      <c r="Z54" s="491">
        <f>SUM(Z47:Z53)</f>
        <v/>
      </c>
      <c r="AA54" s="492">
        <f>+U54-T54</f>
        <v/>
      </c>
      <c r="AB54" s="371">
        <f>+AA54/T54</f>
        <v/>
      </c>
      <c r="AC54" s="493" t="n">
        <v>106782.8940671161</v>
      </c>
      <c r="AD54" s="494">
        <f>+X54-W54</f>
        <v/>
      </c>
      <c r="AE54" s="371">
        <f>+AD54/W54</f>
        <v/>
      </c>
      <c r="AF54" s="451" t="n"/>
      <c r="AG54" s="491">
        <f>SUM(AG47:AG53)</f>
        <v/>
      </c>
      <c r="AH54" s="491">
        <f>SUM(AH47:AH53)</f>
        <v/>
      </c>
      <c r="AI54" s="491">
        <f>SUM(AI47:AI53)</f>
        <v/>
      </c>
      <c r="AJ54" s="491">
        <f>SUM(AJ47:AJ53)</f>
        <v/>
      </c>
      <c r="AK54" s="491">
        <f>SUM(AK47:AK53)</f>
        <v/>
      </c>
      <c r="AL54" s="491">
        <f>SUM(AL47:AL53)</f>
        <v/>
      </c>
      <c r="AM54" s="491">
        <f>SUM(AM47:AM53)</f>
        <v/>
      </c>
      <c r="AN54" s="491">
        <f>SUM(AN47:AN53)</f>
        <v/>
      </c>
      <c r="AO54" s="491">
        <f>SUM(AO47:AO53)</f>
        <v/>
      </c>
      <c r="AP54" s="491">
        <f>SUM(AP47:AP53)</f>
        <v/>
      </c>
      <c r="AQ54" s="491">
        <f>SUM(AQ47:AQ53)</f>
        <v/>
      </c>
      <c r="AR54" s="491">
        <f>SUM(AR47:AR53)</f>
        <v/>
      </c>
      <c r="AS54" s="491">
        <f>SUM(AS47:AS53)</f>
        <v/>
      </c>
      <c r="AT54" s="491">
        <f>SUM(AT47:AT53)</f>
        <v/>
      </c>
      <c r="AU54" s="491">
        <f>SUM(AU47:AU53)</f>
        <v/>
      </c>
      <c r="AV54" s="491">
        <f>SUM(AV47:AV53)</f>
        <v/>
      </c>
      <c r="AW54" s="491">
        <f>SUM(AW47:AW53)</f>
        <v/>
      </c>
      <c r="AX54" s="491">
        <f>SUM(AX47:AX53)</f>
        <v/>
      </c>
      <c r="AY54" s="491">
        <f>SUM(AY47:AY53)</f>
        <v/>
      </c>
      <c r="AZ54" s="491">
        <f>SUM(AZ47:AZ53)</f>
        <v/>
      </c>
      <c r="BA54" s="491">
        <f>SUM(BA47:BA53)</f>
        <v/>
      </c>
      <c r="BB54" s="491">
        <f>SUM(BB47:BB53)</f>
        <v/>
      </c>
      <c r="BC54" s="491">
        <f>SUM(BC47:BC53)</f>
        <v/>
      </c>
      <c r="BD54" s="491">
        <f>SUM(BD47:BD53)</f>
        <v/>
      </c>
      <c r="BE54" s="491">
        <f>SUM(BE47:BE53)</f>
        <v/>
      </c>
      <c r="BF54" s="491">
        <f>SUM(BF47:BF53)</f>
        <v/>
      </c>
      <c r="BG54" s="491">
        <f>SUM(BG47:BG53)</f>
        <v/>
      </c>
      <c r="BH54" s="491">
        <f>SUM(BH47:BH53)</f>
        <v/>
      </c>
      <c r="BI54" s="491">
        <f>SUM(BI47:BI53)</f>
        <v/>
      </c>
      <c r="BJ54" s="491">
        <f>SUM(BJ47:BJ53)</f>
        <v/>
      </c>
      <c r="BK54" s="491">
        <f>SUM(BK47:BK53)</f>
        <v/>
      </c>
      <c r="BL54" s="491">
        <f>SUM(BL47:BL53)</f>
        <v/>
      </c>
      <c r="BM54" s="491">
        <f>SUM(BM47:BM53)</f>
        <v/>
      </c>
      <c r="BN54" s="491">
        <f>SUM(BN47:BN53)</f>
        <v/>
      </c>
      <c r="BO54" s="491">
        <f>SUM(BO47:BO53)</f>
        <v/>
      </c>
      <c r="BP54" s="491">
        <f>SUM(BP47:BP53)</f>
        <v/>
      </c>
      <c r="BQ54" s="491">
        <f>SUM(BQ47:BQ53)</f>
        <v/>
      </c>
      <c r="BR54" s="491">
        <f>SUM(BR47:BR53)</f>
        <v/>
      </c>
      <c r="BS54" s="491" t="n"/>
      <c r="BT54" s="491">
        <f>SUM(BT47:BT53)</f>
        <v/>
      </c>
      <c r="BU54" s="446">
        <f>BT54-BR54</f>
        <v/>
      </c>
      <c r="BV54" s="381">
        <f>BU54/BR54</f>
        <v/>
      </c>
      <c r="BW54" s="495" t="n"/>
      <c r="BX54" s="495" t="n"/>
      <c r="BZ54" s="491">
        <f>SUM(BZ47:BZ53)</f>
        <v/>
      </c>
      <c r="CA54" s="491">
        <f>SUM(CA47:CA53)</f>
        <v/>
      </c>
      <c r="CB54" s="491">
        <f>SUM(CB47:CB53)</f>
        <v/>
      </c>
      <c r="CC54" s="491">
        <f>SUM(CC47:CC53)</f>
        <v/>
      </c>
      <c r="CD54" s="491">
        <f>SUM(CD47:CD53)</f>
        <v/>
      </c>
      <c r="CE54" s="491">
        <f>SUM(CE47:CE53)</f>
        <v/>
      </c>
      <c r="CF54" s="491">
        <f>SUM(CF47:CF53)</f>
        <v/>
      </c>
      <c r="CG54" s="491">
        <f>SUM(CG47:CG53)</f>
        <v/>
      </c>
      <c r="CH54" s="491">
        <f>SUM(CH47:CH53)</f>
        <v/>
      </c>
      <c r="CI54" s="491">
        <f>SUM(CI47:CI53)</f>
        <v/>
      </c>
      <c r="CJ54" s="491">
        <f>SUM(CJ47:CJ53)</f>
        <v/>
      </c>
      <c r="CK54" s="491">
        <f>SUM(CK47:CK53)</f>
        <v/>
      </c>
      <c r="CL54" s="491">
        <f>SUM(CL47:CL53)</f>
        <v/>
      </c>
      <c r="CM54" s="491">
        <f>SUM(CM47:CM53)</f>
        <v/>
      </c>
      <c r="CN54" s="491">
        <f>SUM(CN47:CN53)</f>
        <v/>
      </c>
      <c r="CO54" s="491">
        <f>SUM(CO47:CO53)</f>
        <v/>
      </c>
      <c r="CP54" s="491">
        <f>SUM(CP47:CP53)</f>
        <v/>
      </c>
      <c r="CQ54" s="491">
        <f>SUM(CQ47:CQ53)</f>
        <v/>
      </c>
      <c r="CR54" s="491">
        <f>SUM(CR47:CR53)</f>
        <v/>
      </c>
      <c r="CS54" s="491">
        <f>SUM(CS47:CS53)</f>
        <v/>
      </c>
      <c r="CT54" s="491">
        <f>SUM(CT47:CT53)</f>
        <v/>
      </c>
      <c r="CU54" s="491">
        <f>SUM(CU47:CU53)</f>
        <v/>
      </c>
      <c r="CV54" s="491">
        <f>SUM(CV47:CV53)</f>
        <v/>
      </c>
      <c r="CW54" s="491">
        <f>SUM(CW47:CW53)</f>
        <v/>
      </c>
      <c r="CX54" s="491">
        <f>SUM(CX47:CX53)</f>
        <v/>
      </c>
      <c r="CY54" s="491">
        <f>SUM(CY47:CY53)</f>
        <v/>
      </c>
      <c r="CZ54" s="491">
        <f>SUM(CZ47:CZ53)</f>
        <v/>
      </c>
      <c r="DA54" s="491">
        <f>SUM(DA47:DA53)</f>
        <v/>
      </c>
      <c r="DB54" s="491">
        <f>SUM(DB47:DB53)</f>
        <v/>
      </c>
      <c r="DC54" s="491">
        <f>SUM(DC47:DC53)</f>
        <v/>
      </c>
      <c r="DD54" s="491">
        <f>SUM(DD47:DD53)</f>
        <v/>
      </c>
      <c r="DE54" s="491">
        <f>SUM(DE47:DE53)</f>
        <v/>
      </c>
      <c r="DF54" s="491">
        <f>SUM(DF47:DF53)</f>
        <v/>
      </c>
      <c r="DG54" s="491">
        <f>SUM(DG47:DG53)</f>
        <v/>
      </c>
      <c r="DH54" s="491">
        <f>SUM(DH47:DH53)</f>
        <v/>
      </c>
      <c r="DI54" s="491">
        <f>SUM(DI47:DI53)</f>
        <v/>
      </c>
      <c r="DJ54" s="491">
        <f>SUM(DJ47:DJ53)</f>
        <v/>
      </c>
      <c r="DK54" s="491">
        <f>SUM(DK47:DK53)</f>
        <v/>
      </c>
      <c r="DL54" s="491">
        <f>SUM(DL47:DL53)</f>
        <v/>
      </c>
      <c r="DM54" s="491">
        <f>SUM(DM47:DM53)</f>
        <v/>
      </c>
      <c r="DN54" s="491">
        <f>SUM(DN47:DN53)</f>
        <v/>
      </c>
      <c r="DO54" s="491">
        <f>SUM(DO47:DO53)</f>
        <v/>
      </c>
      <c r="DP54" s="491">
        <f>SUM(DP47:DP53)</f>
        <v/>
      </c>
      <c r="DQ54" s="491">
        <f>SUM(DQ47:DQ53)</f>
        <v/>
      </c>
      <c r="DR54" s="491">
        <f>SUM(DR47:DR53)</f>
        <v/>
      </c>
      <c r="DS54" s="491">
        <f>SUM(DS47:DS53)</f>
        <v/>
      </c>
      <c r="DT54" s="491">
        <f>SUM(DT47:DT53)</f>
        <v/>
      </c>
      <c r="DU54" s="491">
        <f>SUM(DU47:DU53)</f>
        <v/>
      </c>
      <c r="DV54" s="491">
        <f>SUM(DV47:DV53)</f>
        <v/>
      </c>
      <c r="DW54" s="491">
        <f>SUM(DW47:DW53)</f>
        <v/>
      </c>
      <c r="DX54" s="491" t="n"/>
      <c r="DY54" s="491" t="n"/>
      <c r="DZ54" s="491">
        <f>SUM(DZ47:DZ53)</f>
        <v/>
      </c>
      <c r="EA54" s="491">
        <f>SUM(EA47:EA53)</f>
        <v/>
      </c>
      <c r="EB54" s="491">
        <f>SUM(EB47:EB53)</f>
        <v/>
      </c>
      <c r="EC54" s="491">
        <f>SUM(EC47:EC53)</f>
        <v/>
      </c>
      <c r="ED54" s="491">
        <f>SUM(ED47:ED53)</f>
        <v/>
      </c>
      <c r="EE54" s="491">
        <f>SUM(EE47:EE53)</f>
        <v/>
      </c>
      <c r="EF54" s="491">
        <f>SUM(EF47:EF53)</f>
        <v/>
      </c>
      <c r="EG54" s="491">
        <f>SUM(EG47:EG53)</f>
        <v/>
      </c>
      <c r="EH54" s="491">
        <f>SUM(EH47:EH53)</f>
        <v/>
      </c>
      <c r="EI54" s="491">
        <f>SUM(EI47:EI53)</f>
        <v/>
      </c>
      <c r="EJ54" s="491">
        <f>SUM(EJ47:EJ53)</f>
        <v/>
      </c>
      <c r="EK54" s="491">
        <f>SUM(EK47:EK53)</f>
        <v/>
      </c>
      <c r="EL54" s="491">
        <f>SUM(EL47:EL53)</f>
        <v/>
      </c>
      <c r="EM54" s="491">
        <f>SUM(EM47:EM53)</f>
        <v/>
      </c>
      <c r="EN54" s="491">
        <f>SUM(EN47:EN53)</f>
        <v/>
      </c>
      <c r="EO54" s="491">
        <f>SUM(EO47:EO53)</f>
        <v/>
      </c>
      <c r="EP54" s="491">
        <f>SUM(EP47:EP53)</f>
        <v/>
      </c>
      <c r="EQ54" s="491">
        <f>SUM(EQ47:EQ53)</f>
        <v/>
      </c>
      <c r="ER54" s="491">
        <f>SUM(ER47:ER53)</f>
        <v/>
      </c>
      <c r="ES54" s="491">
        <f>SUM(ES47:ES53)</f>
        <v/>
      </c>
      <c r="ET54" s="491">
        <f>SUM(ET47:ET53)</f>
        <v/>
      </c>
      <c r="EU54" s="491">
        <f>SUM(EU47:EU53)</f>
        <v/>
      </c>
      <c r="EV54" s="491">
        <f>SUM(EV47:EV53)</f>
        <v/>
      </c>
      <c r="EW54" s="491">
        <f>SUM(EW47:EW53)</f>
        <v/>
      </c>
      <c r="EX54" s="491">
        <f>SUM(EX47:EX53)</f>
        <v/>
      </c>
      <c r="EY54" s="491">
        <f>SUM(EY47:EY53)</f>
        <v/>
      </c>
      <c r="EZ54" s="496" t="n"/>
      <c r="FA54" s="496" t="n"/>
      <c r="FB54" s="452">
        <f>+FA54-EW54</f>
        <v/>
      </c>
      <c r="FC54" s="348">
        <f>+FB54/EW54</f>
        <v/>
      </c>
      <c r="FD54" s="493" t="n"/>
      <c r="FE54" s="493" t="n"/>
    </row>
    <row r="55">
      <c r="AB55" s="348" t="n"/>
      <c r="AE55" s="348" t="n"/>
      <c r="AF55" s="451" t="n"/>
      <c r="AH55" s="435" t="n"/>
      <c r="AJ55" s="435" t="n"/>
      <c r="AL55" s="435" t="n"/>
      <c r="AN55" s="435" t="n"/>
      <c r="AP55" s="435" t="n"/>
      <c r="AR55" s="435" t="n"/>
      <c r="AT55" s="435" t="n"/>
      <c r="AV55" s="435" t="n"/>
      <c r="AX55" s="435" t="n"/>
      <c r="AZ55" s="435" t="n"/>
      <c r="BB55" s="435" t="n"/>
      <c r="BD55" s="435" t="n"/>
      <c r="BF55" s="435" t="n"/>
      <c r="BH55" s="435" t="n"/>
      <c r="BJ55" s="435" t="n"/>
      <c r="BL55" s="435" t="n"/>
      <c r="BN55" s="435" t="n"/>
      <c r="BP55" s="435" t="n"/>
      <c r="BR55" s="435" t="n"/>
      <c r="BT55" s="435" t="n"/>
      <c r="BU55" s="453" t="n"/>
      <c r="BV55" s="379" t="n"/>
      <c r="BW55" s="128" t="n"/>
      <c r="BX55" s="128" t="n"/>
      <c r="EZ55" s="394" t="n"/>
      <c r="FA55" s="394" t="n"/>
      <c r="FB55" s="452" t="n"/>
      <c r="FC55" s="348" t="n"/>
    </row>
    <row r="56">
      <c r="A56" s="6" t="inlineStr">
        <is>
          <t>Financial assets</t>
        </is>
      </c>
      <c r="B56" s="451">
        <f>SUM('Raw financials'!B81,'Raw financials'!B84,'Raw financials'!B86,'Raw financials'!B87,'Raw financials'!B89)</f>
        <v/>
      </c>
      <c r="C56" s="451">
        <f>SUM('Raw financials'!C81,'Raw financials'!C84,'Raw financials'!C86,'Raw financials'!C87,'Raw financials'!C89)</f>
        <v/>
      </c>
      <c r="D56" s="451">
        <f>SUM('Raw financials'!D81,'Raw financials'!D84,'Raw financials'!D86,'Raw financials'!D87,'Raw financials'!D89)</f>
        <v/>
      </c>
      <c r="E56" s="451">
        <f>SUM('Raw financials'!E81,'Raw financials'!E84,'Raw financials'!E86,'Raw financials'!E87,'Raw financials'!E89)</f>
        <v/>
      </c>
      <c r="F56" s="451">
        <f>SUM('Raw financials'!F81,'Raw financials'!F84,'Raw financials'!F86,'Raw financials'!F87,'Raw financials'!F89)</f>
        <v/>
      </c>
      <c r="G56" s="451">
        <f>SUM('Raw financials'!G81,'Raw financials'!G84,'Raw financials'!G86,'Raw financials'!G87,'Raw financials'!G89)</f>
        <v/>
      </c>
      <c r="H56" s="451">
        <f>SUM('Raw financials'!H81,'Raw financials'!H84,'Raw financials'!H86,'Raw financials'!H87,'Raw financials'!H89)</f>
        <v/>
      </c>
      <c r="I56" s="451">
        <f>SUM('Raw financials'!I81,'Raw financials'!I84,'Raw financials'!I86,'Raw financials'!I87,'Raw financials'!I89)</f>
        <v/>
      </c>
      <c r="J56" s="451">
        <f>SUM('Raw financials'!J81,'Raw financials'!J84,'Raw financials'!J86,'Raw financials'!J87,'Raw financials'!J89)</f>
        <v/>
      </c>
      <c r="K56" s="497">
        <f>SUM('Raw financials'!K81,'Raw financials'!K84,'Raw financials'!K86,'Raw financials'!K87,'Raw financials'!K89)</f>
        <v/>
      </c>
      <c r="L56" s="451">
        <f>SUM('Raw financials'!L81,'Raw financials'!L84,'Raw financials'!L86,'Raw financials'!L87,'Raw financials'!L89)</f>
        <v/>
      </c>
      <c r="M56" s="451">
        <f>SUM('Raw financials'!M81,'Raw financials'!M84,'Raw financials'!M86,'Raw financials'!M87,'Raw financials'!M89)</f>
        <v/>
      </c>
      <c r="N56" s="451">
        <f>SUM('Raw financials'!N81,'Raw financials'!N84,'Raw financials'!N86,'Raw financials'!N87,'Raw financials'!N89)</f>
        <v/>
      </c>
      <c r="O56" s="451">
        <f>SUM('Raw financials'!O81,'Raw financials'!O84,'Raw financials'!O86,'Raw financials'!O87,'Raw financials'!O89)</f>
        <v/>
      </c>
      <c r="P56" s="451">
        <f>SUM('Raw financials'!P81,'Raw financials'!P84,'Raw financials'!P86,'Raw financials'!P87,'Raw financials'!P89)</f>
        <v/>
      </c>
      <c r="Q56" s="451">
        <f>SUM('Raw financials'!Q81,'Raw financials'!Q84,'Raw financials'!Q86,'Raw financials'!Q87,'Raw financials'!Q89)</f>
        <v/>
      </c>
      <c r="R56" s="451">
        <f>SUM('Raw financials'!R81,'Raw financials'!R84,'Raw financials'!R86,'Raw financials'!R87,'Raw financials'!R89)</f>
        <v/>
      </c>
      <c r="S56" s="451">
        <f>SUM('Raw financials'!S81,'Raw financials'!S84,'Raw financials'!S86,'Raw financials'!S87,'Raw financials'!S89)</f>
        <v/>
      </c>
      <c r="T56" s="451">
        <f>SUM('Raw financials'!T81,'Raw financials'!T84,'Raw financials'!T86,'Raw financials'!T87,'Raw financials'!T89)</f>
        <v/>
      </c>
      <c r="U56" s="459">
        <f>T56</f>
        <v/>
      </c>
      <c r="V56" s="459">
        <f>U56</f>
        <v/>
      </c>
      <c r="W56" s="459">
        <f>V56</f>
        <v/>
      </c>
      <c r="X56" s="459">
        <f>W56</f>
        <v/>
      </c>
      <c r="Y56" s="459">
        <f>X56</f>
        <v/>
      </c>
      <c r="Z56" s="459">
        <f>Y56</f>
        <v/>
      </c>
      <c r="AA56" s="452">
        <f>+U56-T56</f>
        <v/>
      </c>
      <c r="AB56" s="348">
        <f>+AA56/T56</f>
        <v/>
      </c>
      <c r="AC56" s="459" t="n">
        <v>24813.7907</v>
      </c>
      <c r="AD56" s="452">
        <f>+X56-W56</f>
        <v/>
      </c>
      <c r="AE56" s="348">
        <f>+AD56/W56</f>
        <v/>
      </c>
      <c r="AF56" s="451" t="n"/>
      <c r="AG56" s="451">
        <f>SUM('Raw financials'!AA81,'Raw financials'!AA84,'Raw financials'!AA85,'Raw financials'!AA86,'Raw financials'!AA87,'Raw financials'!AA89)</f>
        <v/>
      </c>
      <c r="AH56" s="451">
        <f>+B56</f>
        <v/>
      </c>
      <c r="AI56" s="451">
        <f>SUM('Raw financials'!AB81,'Raw financials'!AB84,'Raw financials'!AB85,'Raw financials'!AB86,'Raw financials'!AB87,'Raw financials'!AB89)</f>
        <v/>
      </c>
      <c r="AJ56" s="451">
        <f>+C56</f>
        <v/>
      </c>
      <c r="AK56" s="451">
        <f>SUM('Raw financials'!AC81,'Raw financials'!AC84,'Raw financials'!AC85,'Raw financials'!AC86,'Raw financials'!AC87,'Raw financials'!AC89)</f>
        <v/>
      </c>
      <c r="AL56" s="451">
        <f>+D56</f>
        <v/>
      </c>
      <c r="AM56" s="451">
        <f>SUM('Raw financials'!AD81,'Raw financials'!AD84,'Raw financials'!AD85,'Raw financials'!AD86,'Raw financials'!AD87,'Raw financials'!AD89)</f>
        <v/>
      </c>
      <c r="AN56" s="451">
        <f>+E56</f>
        <v/>
      </c>
      <c r="AO56" s="451">
        <f>SUM('Raw financials'!AE81,'Raw financials'!AE84,'Raw financials'!AE85,'Raw financials'!AE86,'Raw financials'!AE87,'Raw financials'!AE89)</f>
        <v/>
      </c>
      <c r="AP56" s="451">
        <f>+F56</f>
        <v/>
      </c>
      <c r="AQ56" s="451">
        <f>SUM('Raw financials'!AF81,'Raw financials'!AF84,'Raw financials'!AF85,'Raw financials'!AF86,'Raw financials'!AF87,'Raw financials'!AF89)</f>
        <v/>
      </c>
      <c r="AR56" s="451">
        <f>+G56</f>
        <v/>
      </c>
      <c r="AS56" s="451">
        <f>SUM('Raw financials'!AG81,'Raw financials'!AG84,'Raw financials'!AG85,'Raw financials'!AG86,'Raw financials'!AG87,'Raw financials'!AG89)</f>
        <v/>
      </c>
      <c r="AT56" s="451">
        <f>+H56</f>
        <v/>
      </c>
      <c r="AU56" s="451">
        <f>SUM('Raw financials'!AH81,'Raw financials'!AH84,'Raw financials'!AH85,'Raw financials'!AH86,'Raw financials'!AH87,'Raw financials'!AH89)</f>
        <v/>
      </c>
      <c r="AV56" s="451">
        <f>+I56</f>
        <v/>
      </c>
      <c r="AW56" s="451">
        <f>SUM('Raw financials'!AI81,'Raw financials'!AI84,'Raw financials'!AI85,'Raw financials'!AI86,'Raw financials'!AI87,'Raw financials'!AI89)</f>
        <v/>
      </c>
      <c r="AX56" s="451">
        <f>+J56</f>
        <v/>
      </c>
      <c r="AY56" s="451">
        <f>SUM('Raw financials'!AJ81,'Raw financials'!AJ84,'Raw financials'!AJ85,'Raw financials'!AJ86,'Raw financials'!AJ87,'Raw financials'!AJ89)</f>
        <v/>
      </c>
      <c r="AZ56" s="451">
        <f>+K56</f>
        <v/>
      </c>
      <c r="BA56" s="451">
        <f>SUM('Raw financials'!AK81,'Raw financials'!AK84,'Raw financials'!AK85,'Raw financials'!AK86,'Raw financials'!AK87,'Raw financials'!AK89)</f>
        <v/>
      </c>
      <c r="BB56" s="451">
        <f>+L56</f>
        <v/>
      </c>
      <c r="BC56" s="451">
        <f>SUM('Raw financials'!AL81,'Raw financials'!AL84,'Raw financials'!AL85,'Raw financials'!AL86,'Raw financials'!AL87,'Raw financials'!AL89)</f>
        <v/>
      </c>
      <c r="BD56" s="451">
        <f>+M56</f>
        <v/>
      </c>
      <c r="BE56" s="451">
        <f>SUM('Raw financials'!AM81,'Raw financials'!AM84,'Raw financials'!AM85,'Raw financials'!AM86,'Raw financials'!AM87,'Raw financials'!AM89)</f>
        <v/>
      </c>
      <c r="BF56" s="451">
        <f>+N56</f>
        <v/>
      </c>
      <c r="BG56" s="451">
        <f>SUM('Raw financials'!AN81,'Raw financials'!AN84,'Raw financials'!AN85,'Raw financials'!AN86,'Raw financials'!AN87,'Raw financials'!AN89)</f>
        <v/>
      </c>
      <c r="BH56" s="451">
        <f>+O56</f>
        <v/>
      </c>
      <c r="BI56" s="451">
        <f>SUM('Raw financials'!AO81,'Raw financials'!AO84,'Raw financials'!AO85,'Raw financials'!AO86,'Raw financials'!AO87,'Raw financials'!AO89)</f>
        <v/>
      </c>
      <c r="BJ56" s="451">
        <f>+P56</f>
        <v/>
      </c>
      <c r="BK56" s="451">
        <f>SUM('Raw financials'!AP81,'Raw financials'!AP84,'Raw financials'!AP85,'Raw financials'!AP86,'Raw financials'!AP87,'Raw financials'!AP89)</f>
        <v/>
      </c>
      <c r="BL56" s="451">
        <f>+Q56</f>
        <v/>
      </c>
      <c r="BM56" s="451">
        <f>SUM('Raw financials'!AQ81,'Raw financials'!AQ84,'Raw financials'!AQ85,'Raw financials'!AQ86,'Raw financials'!AQ87,'Raw financials'!AQ89)</f>
        <v/>
      </c>
      <c r="BN56" s="451">
        <f>+R56</f>
        <v/>
      </c>
      <c r="BO56" s="451">
        <f>SUM('Raw financials'!AR81,'Raw financials'!AR84,'Raw financials'!AR85,'Raw financials'!AR86,'Raw financials'!AR87,'Raw financials'!AR89)</f>
        <v/>
      </c>
      <c r="BP56" s="451">
        <f>+S56</f>
        <v/>
      </c>
      <c r="BQ56" s="451">
        <f>SUM('Raw financials'!AS81,'Raw financials'!AS84,'Raw financials'!AS85,'Raw financials'!AS86,'Raw financials'!AS87,'Raw financials'!AS89)</f>
        <v/>
      </c>
      <c r="BR56" s="451">
        <f>+T56</f>
        <v/>
      </c>
      <c r="BS56" s="451" t="n"/>
      <c r="BT56" s="451">
        <f>+U56</f>
        <v/>
      </c>
      <c r="BU56" s="453">
        <f>BT56-BR56</f>
        <v/>
      </c>
      <c r="BV56" s="379">
        <f>BU56/BR56</f>
        <v/>
      </c>
      <c r="BW56" s="489" t="n"/>
      <c r="BX56" s="489" t="n"/>
      <c r="BZ56" s="451">
        <f>SUM('Raw financials'!BN81,'Raw financials'!BN84,'Raw financials'!BN85,'Raw financials'!BN86,'Raw financials'!BN87,'Raw financials'!BN89)</f>
        <v/>
      </c>
      <c r="CA56" s="451">
        <f>SUM('Raw financials'!BO81,'Raw financials'!BO84,'Raw financials'!BO85,'Raw financials'!BO86,'Raw financials'!BO87,'Raw financials'!BO89)</f>
        <v/>
      </c>
      <c r="CB56" s="451">
        <f>SUM('Raw financials'!BP81,'Raw financials'!BP84,'Raw financials'!BP85,'Raw financials'!BP86,'Raw financials'!BP87,'Raw financials'!BP89)</f>
        <v/>
      </c>
      <c r="CC56" s="451">
        <f>SUM('Raw financials'!BQ81,'Raw financials'!BQ84,'Raw financials'!BQ85,'Raw financials'!BQ86,'Raw financials'!BQ87,'Raw financials'!BQ89)</f>
        <v/>
      </c>
      <c r="CD56" s="451">
        <f>SUM('Raw financials'!BR81,'Raw financials'!BR84,'Raw financials'!BR85,'Raw financials'!BR86,'Raw financials'!BR87,'Raw financials'!BR89)</f>
        <v/>
      </c>
      <c r="CE56" s="451">
        <f>SUM('Raw financials'!BS81,'Raw financials'!BS84,'Raw financials'!BS85,'Raw financials'!BS86,'Raw financials'!BS87,'Raw financials'!BS89)</f>
        <v/>
      </c>
      <c r="CF56" s="451">
        <f>SUM('Raw financials'!BT81,'Raw financials'!BT84,'Raw financials'!BT85,'Raw financials'!BT86,'Raw financials'!BT87,'Raw financials'!BT89)</f>
        <v/>
      </c>
      <c r="CG56" s="451">
        <f>SUM('Raw financials'!BU81,'Raw financials'!BU84,'Raw financials'!BU85,'Raw financials'!BU86,'Raw financials'!BU87,'Raw financials'!BU89)</f>
        <v/>
      </c>
      <c r="CH56" s="451">
        <f>SUM('Raw financials'!BV81,'Raw financials'!BV84,'Raw financials'!BV85,'Raw financials'!BV86,'Raw financials'!BV87,'Raw financials'!BV89)</f>
        <v/>
      </c>
      <c r="CI56" s="451">
        <f>SUM('Raw financials'!BW81,'Raw financials'!BW84,'Raw financials'!BW85,'Raw financials'!BW86,'Raw financials'!BW87,'Raw financials'!BW89)</f>
        <v/>
      </c>
      <c r="CJ56" s="451">
        <f>SUM('Raw financials'!BX81,'Raw financials'!BX84,'Raw financials'!BX85,'Raw financials'!BX86,'Raw financials'!BX87,'Raw financials'!BX89)</f>
        <v/>
      </c>
      <c r="CK56" s="451">
        <f>SUM('Raw financials'!BY81,'Raw financials'!BY84,'Raw financials'!BY85,'Raw financials'!BY86,'Raw financials'!BY87,'Raw financials'!BY89)</f>
        <v/>
      </c>
      <c r="CL56" s="451">
        <f>SUM('Raw financials'!BZ81,'Raw financials'!BZ84,'Raw financials'!BZ85,'Raw financials'!BZ86,'Raw financials'!BZ87,'Raw financials'!BZ89)</f>
        <v/>
      </c>
      <c r="CM56" s="451">
        <f>SUM('Raw financials'!CA81,'Raw financials'!CA84,'Raw financials'!CA85,'Raw financials'!CA86,'Raw financials'!CA87,'Raw financials'!CA89)</f>
        <v/>
      </c>
      <c r="CN56" s="451">
        <f>SUM('Raw financials'!CB81,'Raw financials'!CB84,'Raw financials'!CB85,'Raw financials'!CB86,'Raw financials'!CB87,'Raw financials'!CB89)</f>
        <v/>
      </c>
      <c r="CO56" s="451">
        <f>SUM('Raw financials'!CC81,'Raw financials'!CC84,'Raw financials'!CC85,'Raw financials'!CC86,'Raw financials'!CC87,'Raw financials'!CC89)</f>
        <v/>
      </c>
      <c r="CP56" s="451">
        <f>SUM('Raw financials'!CD81,'Raw financials'!CD84,'Raw financials'!CD85,'Raw financials'!CD86,'Raw financials'!CD87,'Raw financials'!CD89)</f>
        <v/>
      </c>
      <c r="CQ56" s="451">
        <f>SUM('Raw financials'!CE81,'Raw financials'!CE84,'Raw financials'!CE85,'Raw financials'!CE86,'Raw financials'!CE87,'Raw financials'!CE89)</f>
        <v/>
      </c>
      <c r="CR56" s="451">
        <f>SUM('Raw financials'!CF81,'Raw financials'!CF84,'Raw financials'!CF85,'Raw financials'!CF86,'Raw financials'!CF87,'Raw financials'!CF89)</f>
        <v/>
      </c>
      <c r="CS56" s="451">
        <f>SUM('Raw financials'!CG81,'Raw financials'!CG84,'Raw financials'!CG85,'Raw financials'!CG86,'Raw financials'!CG87,'Raw financials'!CG89)</f>
        <v/>
      </c>
      <c r="CT56" s="451">
        <f>SUM('Raw financials'!CH81,'Raw financials'!CH84,'Raw financials'!CH85,'Raw financials'!CH86,'Raw financials'!CH87,'Raw financials'!CH89)</f>
        <v/>
      </c>
      <c r="CU56" s="451">
        <f>SUM('Raw financials'!CI81,'Raw financials'!CI84,'Raw financials'!CI85,'Raw financials'!CI86,'Raw financials'!CI87,'Raw financials'!CI89)</f>
        <v/>
      </c>
      <c r="CV56" s="451">
        <f>SUM('Raw financials'!CJ81,'Raw financials'!CJ84,'Raw financials'!CJ85,'Raw financials'!CJ86,'Raw financials'!CJ87,'Raw financials'!CJ89)</f>
        <v/>
      </c>
      <c r="CW56" s="451">
        <f>SUM('Raw financials'!CK81,'Raw financials'!CK84,'Raw financials'!CK85,'Raw financials'!CK86,'Raw financials'!CK87,'Raw financials'!CK89)</f>
        <v/>
      </c>
      <c r="CX56" s="451">
        <f>SUM('Raw financials'!CL81,'Raw financials'!CL84,'Raw financials'!CL85,'Raw financials'!CL86,'Raw financials'!CL87,'Raw financials'!CL89)</f>
        <v/>
      </c>
      <c r="CY56" s="451">
        <f>SUM('Raw financials'!CM81,'Raw financials'!CM84,'Raw financials'!CM85,'Raw financials'!CM86,'Raw financials'!CM87,'Raw financials'!CM89)</f>
        <v/>
      </c>
      <c r="CZ56" s="451">
        <f>SUM('Raw financials'!CN81,'Raw financials'!CN84,'Raw financials'!CN85,'Raw financials'!CN86,'Raw financials'!CN87,'Raw financials'!CN89)</f>
        <v/>
      </c>
      <c r="DA56" s="451">
        <f>SUM('Raw financials'!CO81,'Raw financials'!CO84,'Raw financials'!CO85,'Raw financials'!CO86,'Raw financials'!CO87,'Raw financials'!CO89)</f>
        <v/>
      </c>
      <c r="DB56" s="451">
        <f>SUM('Raw financials'!CP81,'Raw financials'!CP84,'Raw financials'!CP85,'Raw financials'!CP86,'Raw financials'!CP87,'Raw financials'!CP89)</f>
        <v/>
      </c>
      <c r="DC56" s="451">
        <f>SUM('Raw financials'!CQ81,'Raw financials'!CQ84,'Raw financials'!CQ85,'Raw financials'!CQ86,'Raw financials'!CQ87,'Raw financials'!CQ89)</f>
        <v/>
      </c>
      <c r="DD56" s="451">
        <f>SUM('Raw financials'!CR81,'Raw financials'!CR84,'Raw financials'!CR85,'Raw financials'!CR86,'Raw financials'!CR87,'Raw financials'!CR89)</f>
        <v/>
      </c>
      <c r="DE56" s="451">
        <f>SUM('Raw financials'!CS81,'Raw financials'!CS84,'Raw financials'!CS85,'Raw financials'!CS86,'Raw financials'!CS87,'Raw financials'!CS89)</f>
        <v/>
      </c>
      <c r="DF56" s="451">
        <f>SUM('Raw financials'!CT81,'Raw financials'!CT84,'Raw financials'!CT85,'Raw financials'!CT86,'Raw financials'!CT87,'Raw financials'!CT89)</f>
        <v/>
      </c>
      <c r="DG56" s="451">
        <f>SUM('Raw financials'!CU81,'Raw financials'!CU84,'Raw financials'!CU85,'Raw financials'!CU86,'Raw financials'!CU87,'Raw financials'!CU89)</f>
        <v/>
      </c>
      <c r="DH56" s="451">
        <f>SUM('Raw financials'!CV81,'Raw financials'!CV84,'Raw financials'!CV85,'Raw financials'!CV86,'Raw financials'!CV87,'Raw financials'!CV89)</f>
        <v/>
      </c>
      <c r="DI56" s="451">
        <f>SUM('Raw financials'!CW81,'Raw financials'!CW84,'Raw financials'!CW85,'Raw financials'!CW86,'Raw financials'!CW87,'Raw financials'!CW89)</f>
        <v/>
      </c>
      <c r="DJ56" s="451">
        <f>SUM('Raw financials'!CX81,'Raw financials'!CX84,'Raw financials'!CX85,'Raw financials'!CX86,'Raw financials'!CX87,'Raw financials'!CX89)</f>
        <v/>
      </c>
      <c r="DK56" s="451">
        <f>SUM('Raw financials'!CY81,'Raw financials'!CY84,'Raw financials'!CY85,'Raw financials'!CY86,'Raw financials'!CY87,'Raw financials'!CY89)</f>
        <v/>
      </c>
      <c r="DL56" s="451">
        <f>SUM('Raw financials'!CZ81,'Raw financials'!CZ84,'Raw financials'!CZ85,'Raw financials'!CZ86,'Raw financials'!CZ87,'Raw financials'!CZ89)</f>
        <v/>
      </c>
      <c r="DM56" s="451">
        <f>SUM('Raw financials'!DA81,'Raw financials'!DA84,'Raw financials'!DA85,'Raw financials'!DA86,'Raw financials'!DA87,'Raw financials'!DA89)</f>
        <v/>
      </c>
      <c r="DN56" s="451">
        <f>SUM('Raw financials'!DB81,'Raw financials'!DB84,'Raw financials'!DB85,'Raw financials'!DB86,'Raw financials'!DB87,'Raw financials'!DB89)</f>
        <v/>
      </c>
      <c r="DO56" s="451">
        <f>SUM('Raw financials'!DC81,'Raw financials'!DC84,'Raw financials'!DC85,'Raw financials'!DC86,'Raw financials'!DC87,'Raw financials'!DC89)</f>
        <v/>
      </c>
      <c r="DP56" s="451">
        <f>SUM('Raw financials'!DD81,'Raw financials'!DD84,'Raw financials'!DD85,'Raw financials'!DD86,'Raw financials'!DD87,'Raw financials'!DD89)</f>
        <v/>
      </c>
      <c r="DQ56" s="451">
        <f>SUM('Raw financials'!DE81,'Raw financials'!DE84,'Raw financials'!DE85,'Raw financials'!DE86,'Raw financials'!DE87,'Raw financials'!DE89)</f>
        <v/>
      </c>
      <c r="DR56" s="451">
        <f>SUM('Raw financials'!DF81,'Raw financials'!DF84,'Raw financials'!DF85,'Raw financials'!DF86,'Raw financials'!DF87,'Raw financials'!DF89)</f>
        <v/>
      </c>
      <c r="DS56" s="451">
        <f>SUM('Raw financials'!DG81,'Raw financials'!DG84,'Raw financials'!DG85,'Raw financials'!DG86,'Raw financials'!DG87,'Raw financials'!DG89)</f>
        <v/>
      </c>
      <c r="DT56" s="451">
        <f>SUM('Raw financials'!DH81,'Raw financials'!DH84,'Raw financials'!DH85,'Raw financials'!DH86,'Raw financials'!DH87,'Raw financials'!DH89)</f>
        <v/>
      </c>
      <c r="DU56" s="451">
        <f>SUM('Raw financials'!DI81,'Raw financials'!DI84,'Raw financials'!DI85,'Raw financials'!DI86,'Raw financials'!DI87,'Raw financials'!DI89)</f>
        <v/>
      </c>
      <c r="DV56" s="451">
        <f>SUM('Raw financials'!DJ81,'Raw financials'!DJ84,'Raw financials'!DJ85,'Raw financials'!DJ86,'Raw financials'!DJ87,'Raw financials'!DJ89)</f>
        <v/>
      </c>
      <c r="DW56" s="451">
        <f>SUM('Raw financials'!DK81,'Raw financials'!DK84,'Raw financials'!DK85,'Raw financials'!DK86,'Raw financials'!DK87,'Raw financials'!DK89)</f>
        <v/>
      </c>
      <c r="DX56" s="451" t="n"/>
      <c r="DY56" s="451" t="n"/>
      <c r="DZ56" s="451">
        <f>SUM('Raw financials'!DN81,'Raw financials'!DN84,'Raw financials'!DN85,'Raw financials'!DN86,'Raw financials'!DN87,'Raw financials'!DN89)</f>
        <v/>
      </c>
      <c r="EA56" s="451">
        <f>SUM('Raw financials'!DO81,'Raw financials'!DO84,'Raw financials'!DO85,'Raw financials'!DO86,'Raw financials'!DO87,'Raw financials'!DO89)</f>
        <v/>
      </c>
      <c r="EB56" s="451">
        <f>SUM('Raw financials'!DP81,'Raw financials'!DP84,'Raw financials'!DP85,'Raw financials'!DP86,'Raw financials'!DP87,'Raw financials'!DP89)</f>
        <v/>
      </c>
      <c r="EC56" s="451">
        <f>SUM('Raw financials'!DQ81,'Raw financials'!DQ84,'Raw financials'!DQ85,'Raw financials'!DQ86,'Raw financials'!DQ87,'Raw financials'!DQ89)</f>
        <v/>
      </c>
      <c r="ED56" s="451">
        <f>SUM('Raw financials'!DR81,'Raw financials'!DR84,'Raw financials'!DR85,'Raw financials'!DR86,'Raw financials'!DR87,'Raw financials'!DR89)</f>
        <v/>
      </c>
      <c r="EE56" s="451">
        <f>SUM('Raw financials'!DS81,'Raw financials'!DS84,'Raw financials'!DS85,'Raw financials'!DS86,'Raw financials'!DS87,'Raw financials'!DS89)</f>
        <v/>
      </c>
      <c r="EF56" s="451">
        <f>SUM('Raw financials'!DT81,'Raw financials'!DT84,'Raw financials'!DT85,'Raw financials'!DT86,'Raw financials'!DT87,'Raw financials'!DT89)</f>
        <v/>
      </c>
      <c r="EG56" s="451">
        <f>SUM('Raw financials'!DU81,'Raw financials'!DU84,'Raw financials'!DU85,'Raw financials'!DU86,'Raw financials'!DU87,'Raw financials'!DU89)</f>
        <v/>
      </c>
      <c r="EH56" s="451">
        <f>SUM('Raw financials'!DV81,'Raw financials'!DV84,'Raw financials'!DV85,'Raw financials'!DV86,'Raw financials'!DV87,'Raw financials'!DV89)</f>
        <v/>
      </c>
      <c r="EI56" s="451">
        <f>SUM('Raw financials'!DW81,'Raw financials'!DW84,'Raw financials'!DW85,'Raw financials'!DW86,'Raw financials'!DW87,'Raw financials'!DW89)</f>
        <v/>
      </c>
      <c r="EJ56" s="451">
        <f>SUM('Raw financials'!DX81,'Raw financials'!DX84,'Raw financials'!DX85,'Raw financials'!DX86,'Raw financials'!DX87,'Raw financials'!DX89)</f>
        <v/>
      </c>
      <c r="EK56" s="451">
        <f>SUM('Raw financials'!DY81,'Raw financials'!DY84,'Raw financials'!DY85,'Raw financials'!DY86,'Raw financials'!DY87,'Raw financials'!DY89)</f>
        <v/>
      </c>
      <c r="EL56" s="451">
        <f>SUM('Raw financials'!DZ81,'Raw financials'!DZ84,'Raw financials'!DZ85,'Raw financials'!DZ86,'Raw financials'!DZ87,'Raw financials'!DZ89)</f>
        <v/>
      </c>
      <c r="EM56" s="451">
        <f>SUM('Raw financials'!EA81,'Raw financials'!EA84,'Raw financials'!EA85,'Raw financials'!EA86,'Raw financials'!EA87,'Raw financials'!EA89)</f>
        <v/>
      </c>
      <c r="EN56" s="451">
        <f>SUM('Raw financials'!EB81,'Raw financials'!EB84,'Raw financials'!EB85,'Raw financials'!EB86,'Raw financials'!EB87,'Raw financials'!EB89)</f>
        <v/>
      </c>
      <c r="EO56" s="451">
        <f>SUM('Raw financials'!EC81,'Raw financials'!EC84,'Raw financials'!EC85,'Raw financials'!EC86,'Raw financials'!EC87,'Raw financials'!EC89)</f>
        <v/>
      </c>
      <c r="EP56" s="451">
        <f>SUM('Raw financials'!ED81,'Raw financials'!ED84,'Raw financials'!ED85,'Raw financials'!ED86,'Raw financials'!ED87,'Raw financials'!ED89)</f>
        <v/>
      </c>
      <c r="EQ56" s="451">
        <f>SUM('Raw financials'!EE81,'Raw financials'!EE84,'Raw financials'!EE85,'Raw financials'!EE86,'Raw financials'!EE87,'Raw financials'!EE89)</f>
        <v/>
      </c>
      <c r="ER56" s="451">
        <f>SUM('Raw financials'!EF81,'Raw financials'!EF84,'Raw financials'!EF85,'Raw financials'!EF86,'Raw financials'!EF87,'Raw financials'!EF89)</f>
        <v/>
      </c>
      <c r="ES56" s="451">
        <f>SUM('Raw financials'!EG81,'Raw financials'!EG84,'Raw financials'!EG85,'Raw financials'!EG86,'Raw financials'!EG87,'Raw financials'!EG89)</f>
        <v/>
      </c>
      <c r="ET56" s="451">
        <f>SUM('Raw financials'!EH81,'Raw financials'!EH84,'Raw financials'!EH85,'Raw financials'!EH86,'Raw financials'!EH87,'Raw financials'!EH89)</f>
        <v/>
      </c>
      <c r="EU56" s="451">
        <f>SUM('Raw financials'!EI81,'Raw financials'!EI84,'Raw financials'!EI85,'Raw financials'!EI86,'Raw financials'!EI87,'Raw financials'!EI89)</f>
        <v/>
      </c>
      <c r="EV56" s="451">
        <f>SUM('Raw financials'!EJ81,'Raw financials'!EJ84,'Raw financials'!EJ85,'Raw financials'!EJ86,'Raw financials'!EJ87,'Raw financials'!EJ89)</f>
        <v/>
      </c>
      <c r="EW56" s="451">
        <f>SUM('Raw financials'!EK81,'Raw financials'!EK84,'Raw financials'!EK85,'Raw financials'!EK86,'Raw financials'!EK87,'Raw financials'!EK89)</f>
        <v/>
      </c>
      <c r="EX56" s="451">
        <f>SUM('Raw financials'!EL81,'Raw financials'!EL84,'Raw financials'!EL85,'Raw financials'!EL86,'Raw financials'!EL87,'Raw financials'!EL89)</f>
        <v/>
      </c>
      <c r="EY56" s="451">
        <f>SUM('Raw financials'!EM81,'Raw financials'!EM84,'Raw financials'!EM85,'Raw financials'!EM86,'Raw financials'!EM87,'Raw financials'!EM89)</f>
        <v/>
      </c>
      <c r="EZ56" s="454" t="n"/>
      <c r="FA56" s="454" t="n"/>
      <c r="FB56" s="452">
        <f>+FA56-EW56</f>
        <v/>
      </c>
      <c r="FC56" s="348">
        <f>+FB56/EW56</f>
        <v/>
      </c>
      <c r="FD56" s="451" t="n"/>
      <c r="FE56" s="451" t="n"/>
    </row>
    <row r="57">
      <c r="A57" s="6" t="inlineStr">
        <is>
          <t>Long term receivables</t>
        </is>
      </c>
      <c r="B57" s="451">
        <f>'Raw financials'!B90</f>
        <v/>
      </c>
      <c r="C57" s="451">
        <f>'Raw financials'!C90</f>
        <v/>
      </c>
      <c r="D57" s="451">
        <f>'Raw financials'!D90</f>
        <v/>
      </c>
      <c r="E57" s="451">
        <f>'Raw financials'!E90</f>
        <v/>
      </c>
      <c r="F57" s="451">
        <f>'Raw financials'!F90</f>
        <v/>
      </c>
      <c r="G57" s="451">
        <f>'Raw financials'!G90</f>
        <v/>
      </c>
      <c r="H57" s="451">
        <f>'Raw financials'!H90</f>
        <v/>
      </c>
      <c r="I57" s="451">
        <f>'Raw financials'!I90</f>
        <v/>
      </c>
      <c r="J57" s="451">
        <f>'Raw financials'!J90</f>
        <v/>
      </c>
      <c r="K57" s="497">
        <f>'Raw financials'!K90</f>
        <v/>
      </c>
      <c r="L57" s="451">
        <f>'Raw financials'!L90</f>
        <v/>
      </c>
      <c r="M57" s="451">
        <f>'Raw financials'!M90</f>
        <v/>
      </c>
      <c r="N57" s="451">
        <f>'Raw financials'!N90</f>
        <v/>
      </c>
      <c r="O57" s="451">
        <f>'Raw financials'!O90</f>
        <v/>
      </c>
      <c r="P57" s="451">
        <f>'Raw financials'!P90</f>
        <v/>
      </c>
      <c r="Q57" s="451">
        <f>'Raw financials'!Q90</f>
        <v/>
      </c>
      <c r="R57" s="451">
        <f>'Raw financials'!R90</f>
        <v/>
      </c>
      <c r="S57" s="451">
        <f>'Raw financials'!S90</f>
        <v/>
      </c>
      <c r="T57" s="451">
        <f>'Raw financials'!T90</f>
        <v/>
      </c>
      <c r="U57" s="459">
        <f>T57</f>
        <v/>
      </c>
      <c r="V57" s="459">
        <f>U57</f>
        <v/>
      </c>
      <c r="W57" s="459">
        <f>V57</f>
        <v/>
      </c>
      <c r="X57" s="459">
        <f>W57</f>
        <v/>
      </c>
      <c r="Y57" s="459">
        <f>X57</f>
        <v/>
      </c>
      <c r="Z57" s="459">
        <f>Y57</f>
        <v/>
      </c>
      <c r="AA57" s="452">
        <f>+U57-T57</f>
        <v/>
      </c>
      <c r="AB57" s="348">
        <f>+AA57/T57</f>
        <v/>
      </c>
      <c r="AC57" s="459" t="n">
        <v>21.8791</v>
      </c>
      <c r="AD57" s="452">
        <f>+X57-W57</f>
        <v/>
      </c>
      <c r="AE57" s="348">
        <f>+AD57/W57</f>
        <v/>
      </c>
      <c r="AF57" s="451" t="n"/>
      <c r="AG57" s="451">
        <f>'Raw financials'!AA90</f>
        <v/>
      </c>
      <c r="AH57" s="451">
        <f>+B57</f>
        <v/>
      </c>
      <c r="AI57" s="451">
        <f>'Raw financials'!AB90</f>
        <v/>
      </c>
      <c r="AJ57" s="451">
        <f>+C57</f>
        <v/>
      </c>
      <c r="AK57" s="451">
        <f>'Raw financials'!AC90</f>
        <v/>
      </c>
      <c r="AL57" s="451">
        <f>+D57</f>
        <v/>
      </c>
      <c r="AM57" s="451">
        <f>'Raw financials'!AD90</f>
        <v/>
      </c>
      <c r="AN57" s="451">
        <f>+E57</f>
        <v/>
      </c>
      <c r="AO57" s="451">
        <f>'Raw financials'!AE90</f>
        <v/>
      </c>
      <c r="AP57" s="451">
        <f>+F57</f>
        <v/>
      </c>
      <c r="AQ57" s="451">
        <f>'Raw financials'!AF90</f>
        <v/>
      </c>
      <c r="AR57" s="451">
        <f>+G57</f>
        <v/>
      </c>
      <c r="AS57" s="451">
        <f>'Raw financials'!AG90</f>
        <v/>
      </c>
      <c r="AT57" s="451">
        <f>+H57</f>
        <v/>
      </c>
      <c r="AU57" s="451">
        <f>'Raw financials'!AH90</f>
        <v/>
      </c>
      <c r="AV57" s="451">
        <f>+I57</f>
        <v/>
      </c>
      <c r="AW57" s="451">
        <f>'Raw financials'!AI90</f>
        <v/>
      </c>
      <c r="AX57" s="451">
        <f>+J57</f>
        <v/>
      </c>
      <c r="AY57" s="451">
        <f>'Raw financials'!AJ90</f>
        <v/>
      </c>
      <c r="AZ57" s="451">
        <f>+K57</f>
        <v/>
      </c>
      <c r="BA57" s="451">
        <f>'Raw financials'!AK90</f>
        <v/>
      </c>
      <c r="BB57" s="451">
        <f>+L57</f>
        <v/>
      </c>
      <c r="BC57" s="451">
        <f>'Raw financials'!AL90</f>
        <v/>
      </c>
      <c r="BD57" s="451">
        <f>+M57</f>
        <v/>
      </c>
      <c r="BE57" s="451">
        <f>'Raw financials'!AM90</f>
        <v/>
      </c>
      <c r="BF57" s="451">
        <f>+N57</f>
        <v/>
      </c>
      <c r="BG57" s="451">
        <f>'Raw financials'!AN90</f>
        <v/>
      </c>
      <c r="BH57" s="451">
        <f>+O57</f>
        <v/>
      </c>
      <c r="BI57" s="451">
        <f>'Raw financials'!AO90</f>
        <v/>
      </c>
      <c r="BJ57" s="451">
        <f>+P57</f>
        <v/>
      </c>
      <c r="BK57" s="451">
        <f>'Raw financials'!AP90</f>
        <v/>
      </c>
      <c r="BL57" s="451">
        <f>+Q57</f>
        <v/>
      </c>
      <c r="BM57" s="451">
        <f>'Raw financials'!AQ90</f>
        <v/>
      </c>
      <c r="BN57" s="451">
        <f>+R57</f>
        <v/>
      </c>
      <c r="BO57" s="451">
        <f>'Raw financials'!AR90</f>
        <v/>
      </c>
      <c r="BP57" s="451">
        <f>+S57</f>
        <v/>
      </c>
      <c r="BQ57" s="451">
        <f>'Raw financials'!AS90</f>
        <v/>
      </c>
      <c r="BR57" s="451">
        <f>+T57</f>
        <v/>
      </c>
      <c r="BS57" s="451" t="n"/>
      <c r="BT57" s="451">
        <f>+U57</f>
        <v/>
      </c>
      <c r="BU57" s="453">
        <f>BT57-BR57</f>
        <v/>
      </c>
      <c r="BV57" s="379">
        <f>BU57/BR57</f>
        <v/>
      </c>
      <c r="BW57" s="489" t="n"/>
      <c r="BX57" s="489" t="n"/>
      <c r="BZ57" s="451">
        <f>'Raw financials'!BN90</f>
        <v/>
      </c>
      <c r="CA57" s="451">
        <f>'Raw financials'!BO90</f>
        <v/>
      </c>
      <c r="CB57" s="451">
        <f>'Raw financials'!BP90</f>
        <v/>
      </c>
      <c r="CC57" s="451">
        <f>'Raw financials'!BQ90</f>
        <v/>
      </c>
      <c r="CD57" s="451">
        <f>'Raw financials'!BR90</f>
        <v/>
      </c>
      <c r="CE57" s="451">
        <f>'Raw financials'!BS90</f>
        <v/>
      </c>
      <c r="CF57" s="451">
        <f>'Raw financials'!BT90</f>
        <v/>
      </c>
      <c r="CG57" s="451">
        <f>'Raw financials'!BU90</f>
        <v/>
      </c>
      <c r="CH57" s="451">
        <f>'Raw financials'!BV90</f>
        <v/>
      </c>
      <c r="CI57" s="451">
        <f>'Raw financials'!BW90</f>
        <v/>
      </c>
      <c r="CJ57" s="451">
        <f>'Raw financials'!BX90</f>
        <v/>
      </c>
      <c r="CK57" s="451">
        <f>'Raw financials'!BY90</f>
        <v/>
      </c>
      <c r="CL57" s="451">
        <f>'Raw financials'!BZ90</f>
        <v/>
      </c>
      <c r="CM57" s="451">
        <f>'Raw financials'!CA90</f>
        <v/>
      </c>
      <c r="CN57" s="451">
        <f>'Raw financials'!CB90</f>
        <v/>
      </c>
      <c r="CO57" s="451">
        <f>'Raw financials'!CC90</f>
        <v/>
      </c>
      <c r="CP57" s="451">
        <f>'Raw financials'!CD90</f>
        <v/>
      </c>
      <c r="CQ57" s="451">
        <f>'Raw financials'!CE90</f>
        <v/>
      </c>
      <c r="CR57" s="451">
        <f>'Raw financials'!CF90</f>
        <v/>
      </c>
      <c r="CS57" s="451">
        <f>'Raw financials'!CG90</f>
        <v/>
      </c>
      <c r="CT57" s="451">
        <f>'Raw financials'!CH90</f>
        <v/>
      </c>
      <c r="CU57" s="451">
        <f>'Raw financials'!CI90</f>
        <v/>
      </c>
      <c r="CV57" s="451">
        <f>'Raw financials'!CJ90</f>
        <v/>
      </c>
      <c r="CW57" s="451">
        <f>'Raw financials'!CK90</f>
        <v/>
      </c>
      <c r="CX57" s="451">
        <f>'Raw financials'!CL90</f>
        <v/>
      </c>
      <c r="CY57" s="451">
        <f>'Raw financials'!CM90</f>
        <v/>
      </c>
      <c r="CZ57" s="451">
        <f>'Raw financials'!CN90</f>
        <v/>
      </c>
      <c r="DA57" s="451">
        <f>'Raw financials'!CO90</f>
        <v/>
      </c>
      <c r="DB57" s="451">
        <f>'Raw financials'!CP90</f>
        <v/>
      </c>
      <c r="DC57" s="451">
        <f>'Raw financials'!CQ90</f>
        <v/>
      </c>
      <c r="DD57" s="451">
        <f>'Raw financials'!CR90</f>
        <v/>
      </c>
      <c r="DE57" s="451">
        <f>'Raw financials'!CS90</f>
        <v/>
      </c>
      <c r="DF57" s="451">
        <f>'Raw financials'!CT90</f>
        <v/>
      </c>
      <c r="DG57" s="451">
        <f>'Raw financials'!CU90</f>
        <v/>
      </c>
      <c r="DH57" s="451">
        <f>'Raw financials'!CV90</f>
        <v/>
      </c>
      <c r="DI57" s="451">
        <f>'Raw financials'!CW90</f>
        <v/>
      </c>
      <c r="DJ57" s="451">
        <f>'Raw financials'!CX90</f>
        <v/>
      </c>
      <c r="DK57" s="451">
        <f>'Raw financials'!CY90</f>
        <v/>
      </c>
      <c r="DL57" s="451">
        <f>'Raw financials'!CZ90</f>
        <v/>
      </c>
      <c r="DM57" s="451">
        <f>'Raw financials'!DA90</f>
        <v/>
      </c>
      <c r="DN57" s="451">
        <f>'Raw financials'!DB90</f>
        <v/>
      </c>
      <c r="DO57" s="451">
        <f>'Raw financials'!DC90</f>
        <v/>
      </c>
      <c r="DP57" s="451">
        <f>'Raw financials'!DD90</f>
        <v/>
      </c>
      <c r="DQ57" s="451">
        <f>'Raw financials'!DE90</f>
        <v/>
      </c>
      <c r="DR57" s="451">
        <f>'Raw financials'!DF90</f>
        <v/>
      </c>
      <c r="DS57" s="451">
        <f>'Raw financials'!DG90</f>
        <v/>
      </c>
      <c r="DT57" s="451">
        <f>'Raw financials'!DH90</f>
        <v/>
      </c>
      <c r="DU57" s="451">
        <f>'Raw financials'!DI90</f>
        <v/>
      </c>
      <c r="DV57" s="451">
        <f>'Raw financials'!DJ90</f>
        <v/>
      </c>
      <c r="DW57" s="451">
        <f>'Raw financials'!DK90</f>
        <v/>
      </c>
      <c r="DX57" s="451" t="n"/>
      <c r="DY57" s="451" t="n"/>
      <c r="DZ57" s="451">
        <f>'Raw financials'!DN90</f>
        <v/>
      </c>
      <c r="EA57" s="451">
        <f>'Raw financials'!DO90</f>
        <v/>
      </c>
      <c r="EB57" s="451">
        <f>'Raw financials'!DP90</f>
        <v/>
      </c>
      <c r="EC57" s="451">
        <f>'Raw financials'!DQ90</f>
        <v/>
      </c>
      <c r="ED57" s="451">
        <f>'Raw financials'!DR90</f>
        <v/>
      </c>
      <c r="EE57" s="451">
        <f>'Raw financials'!DS90</f>
        <v/>
      </c>
      <c r="EF57" s="451">
        <f>'Raw financials'!DT90</f>
        <v/>
      </c>
      <c r="EG57" s="451">
        <f>'Raw financials'!DU90</f>
        <v/>
      </c>
      <c r="EH57" s="451">
        <f>'Raw financials'!DV90</f>
        <v/>
      </c>
      <c r="EI57" s="451">
        <f>'Raw financials'!DW90</f>
        <v/>
      </c>
      <c r="EJ57" s="451">
        <f>'Raw financials'!DX90</f>
        <v/>
      </c>
      <c r="EK57" s="451">
        <f>'Raw financials'!DY90</f>
        <v/>
      </c>
      <c r="EL57" s="451">
        <f>'Raw financials'!DZ90</f>
        <v/>
      </c>
      <c r="EM57" s="451">
        <f>'Raw financials'!EA90</f>
        <v/>
      </c>
      <c r="EN57" s="451">
        <f>'Raw financials'!EB90</f>
        <v/>
      </c>
      <c r="EO57" s="451">
        <f>'Raw financials'!EC90</f>
        <v/>
      </c>
      <c r="EP57" s="451">
        <f>'Raw financials'!ED90</f>
        <v/>
      </c>
      <c r="EQ57" s="451">
        <f>'Raw financials'!EE90</f>
        <v/>
      </c>
      <c r="ER57" s="451">
        <f>'Raw financials'!EF90</f>
        <v/>
      </c>
      <c r="ES57" s="451">
        <f>'Raw financials'!EG90</f>
        <v/>
      </c>
      <c r="ET57" s="451">
        <f>'Raw financials'!EH90</f>
        <v/>
      </c>
      <c r="EU57" s="451">
        <f>'Raw financials'!EI90</f>
        <v/>
      </c>
      <c r="EV57" s="451">
        <f>'Raw financials'!EJ90</f>
        <v/>
      </c>
      <c r="EW57" s="451">
        <f>'Raw financials'!EK90</f>
        <v/>
      </c>
      <c r="EX57" s="451">
        <f>'Raw financials'!EL90</f>
        <v/>
      </c>
      <c r="EY57" s="451">
        <f>'Raw financials'!EM90</f>
        <v/>
      </c>
      <c r="EZ57" s="454" t="n"/>
      <c r="FA57" s="454" t="n"/>
      <c r="FB57" s="452">
        <f>+FA57-EW57</f>
        <v/>
      </c>
      <c r="FC57" s="348">
        <f>+FB57/EW57</f>
        <v/>
      </c>
      <c r="FD57" s="451" t="n"/>
      <c r="FE57" s="451" t="n"/>
    </row>
    <row r="58">
      <c r="A58" s="6" t="inlineStr">
        <is>
          <t>Long term investment and investment property</t>
        </is>
      </c>
      <c r="B58" s="451">
        <f>SUM('Raw financials'!B91:B92)</f>
        <v/>
      </c>
      <c r="C58" s="451">
        <f>SUM('Raw financials'!C91:C92)</f>
        <v/>
      </c>
      <c r="D58" s="451">
        <f>SUM('Raw financials'!D91:D92)</f>
        <v/>
      </c>
      <c r="E58" s="451">
        <f>SUM('Raw financials'!E91:E92)</f>
        <v/>
      </c>
      <c r="F58" s="451">
        <f>SUM('Raw financials'!F91:F92)</f>
        <v/>
      </c>
      <c r="G58" s="451">
        <f>SUM('Raw financials'!G91:G92)</f>
        <v/>
      </c>
      <c r="H58" s="451">
        <f>SUM('Raw financials'!H91:H92)</f>
        <v/>
      </c>
      <c r="I58" s="451">
        <f>SUM('Raw financials'!I91:I92)</f>
        <v/>
      </c>
      <c r="J58" s="451">
        <f>SUM('Raw financials'!J91:J92)</f>
        <v/>
      </c>
      <c r="K58" s="497">
        <f>SUM('Raw financials'!K91:K92)</f>
        <v/>
      </c>
      <c r="L58" s="451">
        <f>SUM('Raw financials'!L91:L92)</f>
        <v/>
      </c>
      <c r="M58" s="451">
        <f>SUM('Raw financials'!M91:M92)</f>
        <v/>
      </c>
      <c r="N58" s="451">
        <f>SUM('Raw financials'!N91:N92)</f>
        <v/>
      </c>
      <c r="O58" s="451">
        <f>SUM('Raw financials'!O91:O92)</f>
        <v/>
      </c>
      <c r="P58" s="451">
        <f>SUM('Raw financials'!P91:P92)</f>
        <v/>
      </c>
      <c r="Q58" s="451">
        <f>SUM('Raw financials'!Q91:Q92)</f>
        <v/>
      </c>
      <c r="R58" s="451">
        <f>SUM('Raw financials'!R91:R92)</f>
        <v/>
      </c>
      <c r="S58" s="451">
        <f>SUM('Raw financials'!S91:S92)</f>
        <v/>
      </c>
      <c r="T58" s="451">
        <f>SUM('Raw financials'!T91:T92)</f>
        <v/>
      </c>
      <c r="U58" s="451">
        <f>T58</f>
        <v/>
      </c>
      <c r="V58" s="451">
        <f>U58</f>
        <v/>
      </c>
      <c r="W58" s="451">
        <f>V58</f>
        <v/>
      </c>
      <c r="X58" s="451">
        <f>W58</f>
        <v/>
      </c>
      <c r="Y58" s="451">
        <f>X58</f>
        <v/>
      </c>
      <c r="Z58" s="451">
        <f>Y58</f>
        <v/>
      </c>
      <c r="AA58" s="452">
        <f>+U58-T58</f>
        <v/>
      </c>
      <c r="AB58" s="348">
        <f>+AA58/T58</f>
        <v/>
      </c>
      <c r="AC58" s="451" t="n">
        <v>3068.2095</v>
      </c>
      <c r="AD58" s="452">
        <f>+X58-W58</f>
        <v/>
      </c>
      <c r="AE58" s="348">
        <f>+AD58/W58</f>
        <v/>
      </c>
      <c r="AF58" s="451" t="n"/>
      <c r="AG58" s="451">
        <f>SUM('Raw financials'!AA91:AA92)</f>
        <v/>
      </c>
      <c r="AH58" s="451">
        <f>+B58</f>
        <v/>
      </c>
      <c r="AI58" s="451">
        <f>SUM('Raw financials'!AB91:AB92)</f>
        <v/>
      </c>
      <c r="AJ58" s="451">
        <f>+C58</f>
        <v/>
      </c>
      <c r="AK58" s="451">
        <f>SUM('Raw financials'!AC91:AC92)</f>
        <v/>
      </c>
      <c r="AL58" s="451">
        <f>+D58</f>
        <v/>
      </c>
      <c r="AM58" s="451">
        <f>SUM('Raw financials'!AD91:AD92)</f>
        <v/>
      </c>
      <c r="AN58" s="451">
        <f>+E58</f>
        <v/>
      </c>
      <c r="AO58" s="451">
        <f>SUM('Raw financials'!AE91:AE92)</f>
        <v/>
      </c>
      <c r="AP58" s="451">
        <f>+F58</f>
        <v/>
      </c>
      <c r="AQ58" s="451">
        <f>SUM('Raw financials'!AF91:AF92)</f>
        <v/>
      </c>
      <c r="AR58" s="451">
        <f>+G58</f>
        <v/>
      </c>
      <c r="AS58" s="451">
        <f>SUM('Raw financials'!AG91:AG92)</f>
        <v/>
      </c>
      <c r="AT58" s="451">
        <f>+H58</f>
        <v/>
      </c>
      <c r="AU58" s="451">
        <f>SUM('Raw financials'!AH91:AH92)</f>
        <v/>
      </c>
      <c r="AV58" s="451">
        <f>+I58</f>
        <v/>
      </c>
      <c r="AW58" s="451">
        <f>SUM('Raw financials'!AI91:AI92)</f>
        <v/>
      </c>
      <c r="AX58" s="451">
        <f>+J58</f>
        <v/>
      </c>
      <c r="AY58" s="451">
        <f>SUM('Raw financials'!AJ91:AJ92)</f>
        <v/>
      </c>
      <c r="AZ58" s="451">
        <f>+K58</f>
        <v/>
      </c>
      <c r="BA58" s="451">
        <f>SUM('Raw financials'!AK91:AK92)</f>
        <v/>
      </c>
      <c r="BB58" s="451">
        <f>+L58</f>
        <v/>
      </c>
      <c r="BC58" s="451">
        <f>SUM('Raw financials'!AL91:AL92)</f>
        <v/>
      </c>
      <c r="BD58" s="451">
        <f>+M58</f>
        <v/>
      </c>
      <c r="BE58" s="451">
        <f>SUM('Raw financials'!AM91:AM92)</f>
        <v/>
      </c>
      <c r="BF58" s="451">
        <f>+N58</f>
        <v/>
      </c>
      <c r="BG58" s="451">
        <f>SUM('Raw financials'!AN91:AN92)</f>
        <v/>
      </c>
      <c r="BH58" s="451">
        <f>+O58</f>
        <v/>
      </c>
      <c r="BI58" s="451">
        <f>SUM('Raw financials'!AO91:AO92)</f>
        <v/>
      </c>
      <c r="BJ58" s="451">
        <f>+P58</f>
        <v/>
      </c>
      <c r="BK58" s="451">
        <f>SUM('Raw financials'!AP91:AP92)</f>
        <v/>
      </c>
      <c r="BL58" s="451">
        <f>+Q58</f>
        <v/>
      </c>
      <c r="BM58" s="451">
        <f>SUM('Raw financials'!AQ91:AQ92)</f>
        <v/>
      </c>
      <c r="BN58" s="451">
        <f>+R58</f>
        <v/>
      </c>
      <c r="BO58" s="451">
        <f>SUM('Raw financials'!AR91:AR92)</f>
        <v/>
      </c>
      <c r="BP58" s="451">
        <f>+S58</f>
        <v/>
      </c>
      <c r="BQ58" s="451">
        <f>SUM('Raw financials'!AS91:AS92)</f>
        <v/>
      </c>
      <c r="BR58" s="451">
        <f>+T58</f>
        <v/>
      </c>
      <c r="BS58" s="451" t="n"/>
      <c r="BT58" s="451">
        <f>+U58</f>
        <v/>
      </c>
      <c r="BU58" s="453">
        <f>BT58-BR58</f>
        <v/>
      </c>
      <c r="BV58" s="379">
        <f>BU58/BR58</f>
        <v/>
      </c>
      <c r="BW58" s="489" t="n"/>
      <c r="BX58" s="489" t="n"/>
      <c r="BZ58" s="451">
        <f>SUM('Raw financials'!BN91:BN92)</f>
        <v/>
      </c>
      <c r="CA58" s="451">
        <f>SUM('Raw financials'!BO91:BO92)</f>
        <v/>
      </c>
      <c r="CB58" s="451">
        <f>SUM('Raw financials'!BP91:BP92)</f>
        <v/>
      </c>
      <c r="CC58" s="451">
        <f>SUM('Raw financials'!BQ91:BQ92)</f>
        <v/>
      </c>
      <c r="CD58" s="451">
        <f>SUM('Raw financials'!BR91:BR92)</f>
        <v/>
      </c>
      <c r="CE58" s="451">
        <f>SUM('Raw financials'!BS91:BS92)</f>
        <v/>
      </c>
      <c r="CF58" s="451">
        <f>SUM('Raw financials'!BT91:BT92)</f>
        <v/>
      </c>
      <c r="CG58" s="451">
        <f>SUM('Raw financials'!BU91:BU92)</f>
        <v/>
      </c>
      <c r="CH58" s="451">
        <f>SUM('Raw financials'!BV91:BV92)</f>
        <v/>
      </c>
      <c r="CI58" s="451">
        <f>SUM('Raw financials'!BW91:BW92)</f>
        <v/>
      </c>
      <c r="CJ58" s="451">
        <f>SUM('Raw financials'!BX91:BX92)</f>
        <v/>
      </c>
      <c r="CK58" s="451">
        <f>SUM('Raw financials'!BY91:BY92)</f>
        <v/>
      </c>
      <c r="CL58" s="451">
        <f>SUM('Raw financials'!BZ91:BZ92)</f>
        <v/>
      </c>
      <c r="CM58" s="451">
        <f>SUM('Raw financials'!CA91:CA92)</f>
        <v/>
      </c>
      <c r="CN58" s="451">
        <f>SUM('Raw financials'!CB91:CB92)</f>
        <v/>
      </c>
      <c r="CO58" s="451">
        <f>SUM('Raw financials'!CC91:CC92)</f>
        <v/>
      </c>
      <c r="CP58" s="451">
        <f>SUM('Raw financials'!CD91:CD92)</f>
        <v/>
      </c>
      <c r="CQ58" s="451">
        <f>SUM('Raw financials'!CE91:CE92)</f>
        <v/>
      </c>
      <c r="CR58" s="451">
        <f>SUM('Raw financials'!CF91:CF92)</f>
        <v/>
      </c>
      <c r="CS58" s="451">
        <f>SUM('Raw financials'!CG91:CG92)</f>
        <v/>
      </c>
      <c r="CT58" s="451">
        <f>SUM('Raw financials'!CH91:CH92)</f>
        <v/>
      </c>
      <c r="CU58" s="451">
        <f>SUM('Raw financials'!CI91:CI92)</f>
        <v/>
      </c>
      <c r="CV58" s="451">
        <f>SUM('Raw financials'!CJ91:CJ92)</f>
        <v/>
      </c>
      <c r="CW58" s="451">
        <f>SUM('Raw financials'!CK91:CK92)</f>
        <v/>
      </c>
      <c r="CX58" s="451">
        <f>SUM('Raw financials'!CL91:CL92)</f>
        <v/>
      </c>
      <c r="CY58" s="451">
        <f>SUM('Raw financials'!CM91:CM92)</f>
        <v/>
      </c>
      <c r="CZ58" s="451">
        <f>SUM('Raw financials'!CN91:CN92)</f>
        <v/>
      </c>
      <c r="DA58" s="451">
        <f>SUM('Raw financials'!CO91:CO92)</f>
        <v/>
      </c>
      <c r="DB58" s="451">
        <f>SUM('Raw financials'!CP91:CP92)</f>
        <v/>
      </c>
      <c r="DC58" s="451">
        <f>SUM('Raw financials'!CQ91:CQ92)</f>
        <v/>
      </c>
      <c r="DD58" s="451">
        <f>SUM('Raw financials'!CR91:CR92)</f>
        <v/>
      </c>
      <c r="DE58" s="451">
        <f>SUM('Raw financials'!CS91:CS92)</f>
        <v/>
      </c>
      <c r="DF58" s="451">
        <f>SUM('Raw financials'!CT91:CT92)</f>
        <v/>
      </c>
      <c r="DG58" s="451">
        <f>SUM('Raw financials'!CU91:CU92)</f>
        <v/>
      </c>
      <c r="DH58" s="451">
        <f>SUM('Raw financials'!CV91:CV92)</f>
        <v/>
      </c>
      <c r="DI58" s="451">
        <f>SUM('Raw financials'!CW91:CW92)</f>
        <v/>
      </c>
      <c r="DJ58" s="451">
        <f>SUM('Raw financials'!CX91:CX92)</f>
        <v/>
      </c>
      <c r="DK58" s="451">
        <f>SUM('Raw financials'!CY91:CY92)</f>
        <v/>
      </c>
      <c r="DL58" s="451">
        <f>SUM('Raw financials'!CZ91:CZ92)</f>
        <v/>
      </c>
      <c r="DM58" s="451">
        <f>SUM('Raw financials'!DA91:DA92)</f>
        <v/>
      </c>
      <c r="DN58" s="451">
        <f>SUM('Raw financials'!DB91:DB92)</f>
        <v/>
      </c>
      <c r="DO58" s="451">
        <f>SUM('Raw financials'!DC91:DC92)</f>
        <v/>
      </c>
      <c r="DP58" s="451">
        <f>SUM('Raw financials'!DD91:DD92)</f>
        <v/>
      </c>
      <c r="DQ58" s="451">
        <f>SUM('Raw financials'!DE91:DE92)</f>
        <v/>
      </c>
      <c r="DR58" s="451">
        <f>SUM('Raw financials'!DF91:DF92)</f>
        <v/>
      </c>
      <c r="DS58" s="451">
        <f>SUM('Raw financials'!DG91:DG92)</f>
        <v/>
      </c>
      <c r="DT58" s="451">
        <f>SUM('Raw financials'!DH91:DH92)</f>
        <v/>
      </c>
      <c r="DU58" s="451">
        <f>SUM('Raw financials'!DI91:DI92)</f>
        <v/>
      </c>
      <c r="DV58" s="451">
        <f>SUM('Raw financials'!DJ91:DJ92)</f>
        <v/>
      </c>
      <c r="DW58" s="451">
        <f>SUM('Raw financials'!DK91:DK92)</f>
        <v/>
      </c>
      <c r="DX58" s="451" t="n"/>
      <c r="DY58" s="451" t="n"/>
      <c r="DZ58" s="451">
        <f>SUM('Raw financials'!DN91:DN92)</f>
        <v/>
      </c>
      <c r="EA58" s="451">
        <f>SUM('Raw financials'!DO91:DO92)</f>
        <v/>
      </c>
      <c r="EB58" s="451">
        <f>SUM('Raw financials'!DP91:DP92)</f>
        <v/>
      </c>
      <c r="EC58" s="451">
        <f>SUM('Raw financials'!DQ91:DQ92)</f>
        <v/>
      </c>
      <c r="ED58" s="451">
        <f>SUM('Raw financials'!DR91:DR92)</f>
        <v/>
      </c>
      <c r="EE58" s="451">
        <f>SUM('Raw financials'!DS91:DS92)</f>
        <v/>
      </c>
      <c r="EF58" s="451">
        <f>SUM('Raw financials'!DT91:DT92)</f>
        <v/>
      </c>
      <c r="EG58" s="451">
        <f>SUM('Raw financials'!DU91:DU92)</f>
        <v/>
      </c>
      <c r="EH58" s="451">
        <f>SUM('Raw financials'!DV91:DV92)</f>
        <v/>
      </c>
      <c r="EI58" s="451">
        <f>SUM('Raw financials'!DW91:DW92)</f>
        <v/>
      </c>
      <c r="EJ58" s="451">
        <f>SUM('Raw financials'!DX91:DX92)</f>
        <v/>
      </c>
      <c r="EK58" s="451">
        <f>SUM('Raw financials'!DY91:DY92)</f>
        <v/>
      </c>
      <c r="EL58" s="451">
        <f>SUM('Raw financials'!DZ91:DZ92)</f>
        <v/>
      </c>
      <c r="EM58" s="451">
        <f>SUM('Raw financials'!EA91:EA92)</f>
        <v/>
      </c>
      <c r="EN58" s="451">
        <f>SUM('Raw financials'!EB91:EB92)</f>
        <v/>
      </c>
      <c r="EO58" s="451">
        <f>SUM('Raw financials'!EC91:EC92)</f>
        <v/>
      </c>
      <c r="EP58" s="451">
        <f>SUM('Raw financials'!ED91:ED92)</f>
        <v/>
      </c>
      <c r="EQ58" s="451">
        <f>SUM('Raw financials'!EE91:EE92)</f>
        <v/>
      </c>
      <c r="ER58" s="451">
        <f>SUM('Raw financials'!EF91:EF92)</f>
        <v/>
      </c>
      <c r="ES58" s="451">
        <f>SUM('Raw financials'!EG91:EG92)</f>
        <v/>
      </c>
      <c r="ET58" s="451">
        <f>SUM('Raw financials'!EH91:EH92)</f>
        <v/>
      </c>
      <c r="EU58" s="451">
        <f>SUM('Raw financials'!EI91:EI92)</f>
        <v/>
      </c>
      <c r="EV58" s="451">
        <f>SUM('Raw financials'!EJ91:EJ92)</f>
        <v/>
      </c>
      <c r="EW58" s="451">
        <f>SUM('Raw financials'!EK91:EK92)</f>
        <v/>
      </c>
      <c r="EX58" s="451">
        <f>SUM('Raw financials'!EL91:EL92)</f>
        <v/>
      </c>
      <c r="EY58" s="451">
        <f>SUM('Raw financials'!EM91:EM92)</f>
        <v/>
      </c>
      <c r="EZ58" s="454" t="n"/>
      <c r="FA58" s="454" t="n"/>
      <c r="FB58" s="452">
        <f>+FA58-EW58</f>
        <v/>
      </c>
      <c r="FC58" s="348">
        <f>+FB58/EW58</f>
        <v/>
      </c>
      <c r="FD58" s="451" t="n"/>
      <c r="FE58" s="451" t="n"/>
    </row>
    <row r="59">
      <c r="A59" s="6" t="inlineStr">
        <is>
          <t>PPE</t>
        </is>
      </c>
      <c r="B59" s="451">
        <f>'Raw financials'!B93</f>
        <v/>
      </c>
      <c r="C59" s="451">
        <f>'Raw financials'!C93</f>
        <v/>
      </c>
      <c r="D59" s="451">
        <f>'Raw financials'!D93</f>
        <v/>
      </c>
      <c r="E59" s="451">
        <f>'Raw financials'!E93</f>
        <v/>
      </c>
      <c r="F59" s="451">
        <f>'Raw financials'!F93</f>
        <v/>
      </c>
      <c r="G59" s="451">
        <f>'Raw financials'!G93</f>
        <v/>
      </c>
      <c r="H59" s="451">
        <f>'Raw financials'!H93</f>
        <v/>
      </c>
      <c r="I59" s="451">
        <f>'Raw financials'!I93</f>
        <v/>
      </c>
      <c r="J59" s="451">
        <f>'Raw financials'!J93</f>
        <v/>
      </c>
      <c r="K59" s="497">
        <f>'Raw financials'!K93</f>
        <v/>
      </c>
      <c r="L59" s="451">
        <f>'Raw financials'!L93</f>
        <v/>
      </c>
      <c r="M59" s="451">
        <f>'Raw financials'!M93</f>
        <v/>
      </c>
      <c r="N59" s="451">
        <f>'Raw financials'!N93</f>
        <v/>
      </c>
      <c r="O59" s="451">
        <f>'Raw financials'!O93</f>
        <v/>
      </c>
      <c r="P59" s="451">
        <f>'Raw financials'!P93</f>
        <v/>
      </c>
      <c r="Q59" s="451">
        <f>'Raw financials'!Q93</f>
        <v/>
      </c>
      <c r="R59" s="451">
        <f>'Raw financials'!R93</f>
        <v/>
      </c>
      <c r="S59" s="451">
        <f>'Raw financials'!S93</f>
        <v/>
      </c>
      <c r="T59" s="451">
        <f>'Raw financials'!T93</f>
        <v/>
      </c>
      <c r="U59" s="451">
        <f>Driver!J108</f>
        <v/>
      </c>
      <c r="V59" s="451">
        <f>Driver!K108</f>
        <v/>
      </c>
      <c r="W59" s="451">
        <f>Driver!L108</f>
        <v/>
      </c>
      <c r="X59" s="451">
        <f>Driver!M108</f>
        <v/>
      </c>
      <c r="Y59" s="451">
        <f>Driver!N108</f>
        <v/>
      </c>
      <c r="Z59" s="451">
        <f>Driver!O108</f>
        <v/>
      </c>
      <c r="AA59" s="452">
        <f>+U59-T59</f>
        <v/>
      </c>
      <c r="AB59" s="348">
        <f>+AA59/T59</f>
        <v/>
      </c>
      <c r="AC59" s="451" t="n">
        <v>6200.594870662324</v>
      </c>
      <c r="AD59" s="452">
        <f>+X59-W59</f>
        <v/>
      </c>
      <c r="AE59" s="348">
        <f>+AD59/W59</f>
        <v/>
      </c>
      <c r="AF59" s="451" t="n"/>
      <c r="AG59" s="451">
        <f>'Raw financials'!AA94+'Raw financials'!AA95</f>
        <v/>
      </c>
      <c r="AH59" s="451">
        <f>+B59</f>
        <v/>
      </c>
      <c r="AI59" s="451">
        <f>'Raw financials'!AB94+'Raw financials'!AB95</f>
        <v/>
      </c>
      <c r="AJ59" s="451">
        <f>+C59</f>
        <v/>
      </c>
      <c r="AK59" s="451">
        <f>'Raw financials'!AC94+'Raw financials'!AC95</f>
        <v/>
      </c>
      <c r="AL59" s="451">
        <f>+D59</f>
        <v/>
      </c>
      <c r="AM59" s="451">
        <f>'Raw financials'!AD94+'Raw financials'!AD95</f>
        <v/>
      </c>
      <c r="AN59" s="451">
        <f>+E59</f>
        <v/>
      </c>
      <c r="AO59" s="451">
        <f>'Raw financials'!AE94+'Raw financials'!AE95</f>
        <v/>
      </c>
      <c r="AP59" s="451">
        <f>+F59</f>
        <v/>
      </c>
      <c r="AQ59" s="451">
        <f>'Raw financials'!AF94+'Raw financials'!AF95</f>
        <v/>
      </c>
      <c r="AR59" s="451">
        <f>+G59</f>
        <v/>
      </c>
      <c r="AS59" s="451">
        <f>'Raw financials'!AG94+'Raw financials'!AG95</f>
        <v/>
      </c>
      <c r="AT59" s="451">
        <f>+H59</f>
        <v/>
      </c>
      <c r="AU59" s="451">
        <f>'Raw financials'!AH94+'Raw financials'!AH95</f>
        <v/>
      </c>
      <c r="AV59" s="451">
        <f>+I59</f>
        <v/>
      </c>
      <c r="AW59" s="451">
        <f>'Raw financials'!AI94+'Raw financials'!AI95</f>
        <v/>
      </c>
      <c r="AX59" s="451">
        <f>+J59</f>
        <v/>
      </c>
      <c r="AY59" s="451">
        <f>'Raw financials'!AJ94+'Raw financials'!AJ95</f>
        <v/>
      </c>
      <c r="AZ59" s="451">
        <f>+K59</f>
        <v/>
      </c>
      <c r="BA59" s="451">
        <f>'Raw financials'!AK94+'Raw financials'!AK95</f>
        <v/>
      </c>
      <c r="BB59" s="451">
        <f>+L59</f>
        <v/>
      </c>
      <c r="BC59" s="451">
        <f>'Raw financials'!AL94+'Raw financials'!AL95</f>
        <v/>
      </c>
      <c r="BD59" s="451">
        <f>+M59</f>
        <v/>
      </c>
      <c r="BE59" s="451">
        <f>'Raw financials'!AM94+'Raw financials'!AM95</f>
        <v/>
      </c>
      <c r="BF59" s="451">
        <f>+N59</f>
        <v/>
      </c>
      <c r="BG59" s="451">
        <f>'Raw financials'!AN94+'Raw financials'!AN95</f>
        <v/>
      </c>
      <c r="BH59" s="451">
        <f>+O59</f>
        <v/>
      </c>
      <c r="BI59" s="451">
        <f>'Raw financials'!AO94+'Raw financials'!AO95</f>
        <v/>
      </c>
      <c r="BJ59" s="451">
        <f>+P59</f>
        <v/>
      </c>
      <c r="BK59" s="451">
        <f>'Raw financials'!AP94+'Raw financials'!AP95</f>
        <v/>
      </c>
      <c r="BL59" s="451">
        <f>+Q59</f>
        <v/>
      </c>
      <c r="BM59" s="451">
        <f>'Raw financials'!AQ94+'Raw financials'!AQ95</f>
        <v/>
      </c>
      <c r="BN59" s="451">
        <f>+R59</f>
        <v/>
      </c>
      <c r="BO59" s="451">
        <f>'Raw financials'!AR94+'Raw financials'!AR95</f>
        <v/>
      </c>
      <c r="BP59" s="451">
        <f>+S59</f>
        <v/>
      </c>
      <c r="BQ59" s="451">
        <f>'Raw financials'!AS94+'Raw financials'!AS95</f>
        <v/>
      </c>
      <c r="BR59" s="451">
        <f>+T59</f>
        <v/>
      </c>
      <c r="BS59" s="451" t="n"/>
      <c r="BT59" s="451">
        <f>+U59</f>
        <v/>
      </c>
      <c r="BU59" s="453">
        <f>BT59-BR59</f>
        <v/>
      </c>
      <c r="BV59" s="379">
        <f>BU59/BR59</f>
        <v/>
      </c>
      <c r="BW59" s="489" t="n"/>
      <c r="BX59" s="489" t="n"/>
      <c r="BZ59" s="451">
        <f>'Raw financials'!BN94+'Raw financials'!BN95</f>
        <v/>
      </c>
      <c r="CA59" s="451">
        <f>'Raw financials'!BO94+'Raw financials'!BO95</f>
        <v/>
      </c>
      <c r="CB59" s="451">
        <f>'Raw financials'!BP94+'Raw financials'!BP95</f>
        <v/>
      </c>
      <c r="CC59" s="451">
        <f>'Raw financials'!BQ94+'Raw financials'!BQ95</f>
        <v/>
      </c>
      <c r="CD59" s="451">
        <f>'Raw financials'!BR94+'Raw financials'!BR95</f>
        <v/>
      </c>
      <c r="CE59" s="451">
        <f>'Raw financials'!BS94+'Raw financials'!BS95</f>
        <v/>
      </c>
      <c r="CF59" s="451">
        <f>'Raw financials'!BT94+'Raw financials'!BT95</f>
        <v/>
      </c>
      <c r="CG59" s="451">
        <f>'Raw financials'!BU94+'Raw financials'!BU95</f>
        <v/>
      </c>
      <c r="CH59" s="451">
        <f>'Raw financials'!BV94+'Raw financials'!BV95</f>
        <v/>
      </c>
      <c r="CI59" s="451">
        <f>'Raw financials'!BW94+'Raw financials'!BW95</f>
        <v/>
      </c>
      <c r="CJ59" s="451">
        <f>'Raw financials'!BX94+'Raw financials'!BX95</f>
        <v/>
      </c>
      <c r="CK59" s="451">
        <f>'Raw financials'!BY94+'Raw financials'!BY95</f>
        <v/>
      </c>
      <c r="CL59" s="451">
        <f>'Raw financials'!BZ94+'Raw financials'!BZ95</f>
        <v/>
      </c>
      <c r="CM59" s="451">
        <f>'Raw financials'!CA94+'Raw financials'!CA95</f>
        <v/>
      </c>
      <c r="CN59" s="451">
        <f>'Raw financials'!CB94+'Raw financials'!CB95</f>
        <v/>
      </c>
      <c r="CO59" s="451">
        <f>'Raw financials'!CC94+'Raw financials'!CC95</f>
        <v/>
      </c>
      <c r="CP59" s="451">
        <f>'Raw financials'!CD94+'Raw financials'!CD95</f>
        <v/>
      </c>
      <c r="CQ59" s="451">
        <f>'Raw financials'!CE94+'Raw financials'!CE95</f>
        <v/>
      </c>
      <c r="CR59" s="451">
        <f>'Raw financials'!CF94+'Raw financials'!CF95</f>
        <v/>
      </c>
      <c r="CS59" s="451">
        <f>'Raw financials'!CG94+'Raw financials'!CG95</f>
        <v/>
      </c>
      <c r="CT59" s="451">
        <f>'Raw financials'!CH94+'Raw financials'!CH95</f>
        <v/>
      </c>
      <c r="CU59" s="451">
        <f>'Raw financials'!CI94+'Raw financials'!CI95</f>
        <v/>
      </c>
      <c r="CV59" s="451">
        <f>'Raw financials'!CJ94+'Raw financials'!CJ95</f>
        <v/>
      </c>
      <c r="CW59" s="451">
        <f>'Raw financials'!CK94+'Raw financials'!CK95</f>
        <v/>
      </c>
      <c r="CX59" s="451">
        <f>'Raw financials'!CL94+'Raw financials'!CL95</f>
        <v/>
      </c>
      <c r="CY59" s="451">
        <f>'Raw financials'!CM94+'Raw financials'!CM95</f>
        <v/>
      </c>
      <c r="CZ59" s="451">
        <f>'Raw financials'!CN94+'Raw financials'!CN95</f>
        <v/>
      </c>
      <c r="DA59" s="451">
        <f>'Raw financials'!CO94+'Raw financials'!CO95</f>
        <v/>
      </c>
      <c r="DB59" s="451">
        <f>'Raw financials'!CP94+'Raw financials'!CP95</f>
        <v/>
      </c>
      <c r="DC59" s="451">
        <f>'Raw financials'!CQ94+'Raw financials'!CQ95</f>
        <v/>
      </c>
      <c r="DD59" s="451">
        <f>'Raw financials'!CR94+'Raw financials'!CR95</f>
        <v/>
      </c>
      <c r="DE59" s="451">
        <f>'Raw financials'!CS94+'Raw financials'!CS95</f>
        <v/>
      </c>
      <c r="DF59" s="451">
        <f>'Raw financials'!CT94+'Raw financials'!CT95</f>
        <v/>
      </c>
      <c r="DG59" s="451">
        <f>'Raw financials'!CU94+'Raw financials'!CU95</f>
        <v/>
      </c>
      <c r="DH59" s="451">
        <f>'Raw financials'!CV94+'Raw financials'!CV95</f>
        <v/>
      </c>
      <c r="DI59" s="451">
        <f>'Raw financials'!CW94+'Raw financials'!CW95</f>
        <v/>
      </c>
      <c r="DJ59" s="451">
        <f>'Raw financials'!CX94+'Raw financials'!CX95</f>
        <v/>
      </c>
      <c r="DK59" s="451">
        <f>'Raw financials'!CY94+'Raw financials'!CY95</f>
        <v/>
      </c>
      <c r="DL59" s="451">
        <f>'Raw financials'!CZ94+'Raw financials'!CZ95</f>
        <v/>
      </c>
      <c r="DM59" s="451">
        <f>'Raw financials'!DA94+'Raw financials'!DA95</f>
        <v/>
      </c>
      <c r="DN59" s="451">
        <f>'Raw financials'!DB94+'Raw financials'!DB95</f>
        <v/>
      </c>
      <c r="DO59" s="451">
        <f>'Raw financials'!DC94+'Raw financials'!DC95</f>
        <v/>
      </c>
      <c r="DP59" s="451">
        <f>'Raw financials'!DD94+'Raw financials'!DD95</f>
        <v/>
      </c>
      <c r="DQ59" s="451">
        <f>'Raw financials'!DE94+'Raw financials'!DE95</f>
        <v/>
      </c>
      <c r="DR59" s="451">
        <f>'Raw financials'!DF94+'Raw financials'!DF95</f>
        <v/>
      </c>
      <c r="DS59" s="451">
        <f>'Raw financials'!DG94+'Raw financials'!DG95</f>
        <v/>
      </c>
      <c r="DT59" s="451">
        <f>'Raw financials'!DH94+'Raw financials'!DH95</f>
        <v/>
      </c>
      <c r="DU59" s="451">
        <f>'Raw financials'!DI94+'Raw financials'!DI95</f>
        <v/>
      </c>
      <c r="DV59" s="451">
        <f>'Raw financials'!DJ94+'Raw financials'!DJ95</f>
        <v/>
      </c>
      <c r="DW59" s="451">
        <f>'Raw financials'!DK94+'Raw financials'!DK95</f>
        <v/>
      </c>
      <c r="DX59" s="451" t="n"/>
      <c r="DY59" s="451" t="n"/>
      <c r="DZ59" s="451">
        <f>'Raw financials'!DN93</f>
        <v/>
      </c>
      <c r="EA59" s="451">
        <f>'Raw financials'!DO93</f>
        <v/>
      </c>
      <c r="EB59" s="451">
        <f>'Raw financials'!DP93</f>
        <v/>
      </c>
      <c r="EC59" s="451">
        <f>'Raw financials'!DQ93</f>
        <v/>
      </c>
      <c r="ED59" s="451">
        <f>'Raw financials'!DR93</f>
        <v/>
      </c>
      <c r="EE59" s="451">
        <f>'Raw financials'!DS93</f>
        <v/>
      </c>
      <c r="EF59" s="451">
        <f>'Raw financials'!DT93</f>
        <v/>
      </c>
      <c r="EG59" s="451">
        <f>'Raw financials'!DU93</f>
        <v/>
      </c>
      <c r="EH59" s="451">
        <f>'Raw financials'!DV93</f>
        <v/>
      </c>
      <c r="EI59" s="451">
        <f>'Raw financials'!DW93</f>
        <v/>
      </c>
      <c r="EJ59" s="451">
        <f>'Raw financials'!DX93</f>
        <v/>
      </c>
      <c r="EK59" s="451">
        <f>'Raw financials'!DY93</f>
        <v/>
      </c>
      <c r="EL59" s="451">
        <f>'Raw financials'!DZ93</f>
        <v/>
      </c>
      <c r="EM59" s="451">
        <f>'Raw financials'!EA93</f>
        <v/>
      </c>
      <c r="EN59" s="451">
        <f>'Raw financials'!EB93</f>
        <v/>
      </c>
      <c r="EO59" s="451">
        <f>'Raw financials'!EC93</f>
        <v/>
      </c>
      <c r="EP59" s="451">
        <f>'Raw financials'!ED93</f>
        <v/>
      </c>
      <c r="EQ59" s="451">
        <f>'Raw financials'!EE93</f>
        <v/>
      </c>
      <c r="ER59" s="451">
        <f>'Raw financials'!EF93</f>
        <v/>
      </c>
      <c r="ES59" s="451">
        <f>'Raw financials'!EG93</f>
        <v/>
      </c>
      <c r="ET59" s="451">
        <f>'Raw financials'!EH93</f>
        <v/>
      </c>
      <c r="EU59" s="451">
        <f>'Raw financials'!EI93</f>
        <v/>
      </c>
      <c r="EV59" s="451">
        <f>'Raw financials'!EJ93</f>
        <v/>
      </c>
      <c r="EW59" s="451">
        <f>'Raw financials'!EK93</f>
        <v/>
      </c>
      <c r="EX59" s="451">
        <f>'Raw financials'!EL93</f>
        <v/>
      </c>
      <c r="EY59" s="451">
        <f>'Raw financials'!EM93</f>
        <v/>
      </c>
      <c r="EZ59" s="454" t="n"/>
      <c r="FA59" s="454" t="n"/>
      <c r="FB59" s="452">
        <f>+FA59-EW59</f>
        <v/>
      </c>
      <c r="FC59" s="348">
        <f>+FB59/EW59</f>
        <v/>
      </c>
      <c r="FD59" s="451" t="n"/>
      <c r="FE59" s="451" t="n"/>
    </row>
    <row r="60">
      <c r="A60" s="6" t="inlineStr">
        <is>
          <t>Construction in progress</t>
        </is>
      </c>
      <c r="B60" s="451">
        <f>'Raw financials'!B96</f>
        <v/>
      </c>
      <c r="C60" s="451">
        <f>'Raw financials'!C96</f>
        <v/>
      </c>
      <c r="D60" s="451">
        <f>'Raw financials'!D96</f>
        <v/>
      </c>
      <c r="E60" s="451">
        <f>'Raw financials'!E96</f>
        <v/>
      </c>
      <c r="F60" s="451">
        <f>'Raw financials'!F96</f>
        <v/>
      </c>
      <c r="G60" s="451">
        <f>'Raw financials'!G96</f>
        <v/>
      </c>
      <c r="H60" s="451">
        <f>'Raw financials'!H96</f>
        <v/>
      </c>
      <c r="I60" s="451">
        <f>'Raw financials'!I96</f>
        <v/>
      </c>
      <c r="J60" s="451">
        <f>'Raw financials'!J96</f>
        <v/>
      </c>
      <c r="K60" s="497">
        <f>'Raw financials'!K96</f>
        <v/>
      </c>
      <c r="L60" s="451">
        <f>'Raw financials'!L96</f>
        <v/>
      </c>
      <c r="M60" s="451">
        <f>'Raw financials'!M96</f>
        <v/>
      </c>
      <c r="N60" s="451">
        <f>'Raw financials'!N96</f>
        <v/>
      </c>
      <c r="O60" s="451">
        <f>'Raw financials'!O96</f>
        <v/>
      </c>
      <c r="P60" s="451">
        <f>'Raw financials'!P96</f>
        <v/>
      </c>
      <c r="Q60" s="451">
        <f>'Raw financials'!Q96</f>
        <v/>
      </c>
      <c r="R60" s="451">
        <f>'Raw financials'!R96</f>
        <v/>
      </c>
      <c r="S60" s="451">
        <f>'Raw financials'!S96</f>
        <v/>
      </c>
      <c r="T60" s="451">
        <f>'Raw financials'!T96</f>
        <v/>
      </c>
      <c r="U60" s="451">
        <f>Driver!J115</f>
        <v/>
      </c>
      <c r="V60" s="451">
        <f>Driver!K115</f>
        <v/>
      </c>
      <c r="W60" s="451">
        <f>Driver!L115</f>
        <v/>
      </c>
      <c r="X60" s="451">
        <f>Driver!M115</f>
        <v/>
      </c>
      <c r="Y60" s="451">
        <f>Driver!N115</f>
        <v/>
      </c>
      <c r="Z60" s="451">
        <f>Driver!O115</f>
        <v/>
      </c>
      <c r="AA60" s="452">
        <f>+U60-T60</f>
        <v/>
      </c>
      <c r="AB60" s="348">
        <f>+AA60/T60</f>
        <v/>
      </c>
      <c r="AC60" s="451" t="n">
        <v>2559.428810734122</v>
      </c>
      <c r="AD60" s="452">
        <f>+X60-W60</f>
        <v/>
      </c>
      <c r="AE60" s="348">
        <f>+AD60/W60</f>
        <v/>
      </c>
      <c r="AF60" s="451" t="n"/>
      <c r="AG60" s="451">
        <f>'Raw financials'!AA97+'Raw financials'!AA98</f>
        <v/>
      </c>
      <c r="AH60" s="451">
        <f>+B60</f>
        <v/>
      </c>
      <c r="AI60" s="451">
        <f>'Raw financials'!AB97+'Raw financials'!AB98</f>
        <v/>
      </c>
      <c r="AJ60" s="451">
        <f>+C60</f>
        <v/>
      </c>
      <c r="AK60" s="451">
        <f>'Raw financials'!AC97+'Raw financials'!AC98</f>
        <v/>
      </c>
      <c r="AL60" s="451">
        <f>+D60</f>
        <v/>
      </c>
      <c r="AM60" s="451">
        <f>'Raw financials'!AD97+'Raw financials'!AD98</f>
        <v/>
      </c>
      <c r="AN60" s="451">
        <f>+E60</f>
        <v/>
      </c>
      <c r="AO60" s="451">
        <f>'Raw financials'!AE97+'Raw financials'!AE98</f>
        <v/>
      </c>
      <c r="AP60" s="451">
        <f>+F60</f>
        <v/>
      </c>
      <c r="AQ60" s="451">
        <f>'Raw financials'!AF97+'Raw financials'!AF98</f>
        <v/>
      </c>
      <c r="AR60" s="451">
        <f>+G60</f>
        <v/>
      </c>
      <c r="AS60" s="451">
        <f>'Raw financials'!AG97+'Raw financials'!AG98</f>
        <v/>
      </c>
      <c r="AT60" s="451">
        <f>+H60</f>
        <v/>
      </c>
      <c r="AU60" s="451">
        <f>'Raw financials'!AH97+'Raw financials'!AH98</f>
        <v/>
      </c>
      <c r="AV60" s="451">
        <f>+I60</f>
        <v/>
      </c>
      <c r="AW60" s="451">
        <f>'Raw financials'!AI97+'Raw financials'!AI98</f>
        <v/>
      </c>
      <c r="AX60" s="451">
        <f>+J60</f>
        <v/>
      </c>
      <c r="AY60" s="451">
        <f>'Raw financials'!AJ97+'Raw financials'!AJ98</f>
        <v/>
      </c>
      <c r="AZ60" s="451">
        <f>+K60</f>
        <v/>
      </c>
      <c r="BA60" s="451">
        <f>'Raw financials'!AK97+'Raw financials'!AK98</f>
        <v/>
      </c>
      <c r="BB60" s="451">
        <f>+L60</f>
        <v/>
      </c>
      <c r="BC60" s="451">
        <f>'Raw financials'!AL97+'Raw financials'!AL98</f>
        <v/>
      </c>
      <c r="BD60" s="451">
        <f>+M60</f>
        <v/>
      </c>
      <c r="BE60" s="451">
        <f>'Raw financials'!AM97+'Raw financials'!AM98</f>
        <v/>
      </c>
      <c r="BF60" s="451">
        <f>+N60</f>
        <v/>
      </c>
      <c r="BG60" s="451">
        <f>'Raw financials'!AN97+'Raw financials'!AN98</f>
        <v/>
      </c>
      <c r="BH60" s="451">
        <f>+O60</f>
        <v/>
      </c>
      <c r="BI60" s="451">
        <f>'Raw financials'!AO97+'Raw financials'!AO98</f>
        <v/>
      </c>
      <c r="BJ60" s="451">
        <f>+P60</f>
        <v/>
      </c>
      <c r="BK60" s="451">
        <f>'Raw financials'!AP97+'Raw financials'!AP98</f>
        <v/>
      </c>
      <c r="BL60" s="451">
        <f>+Q60</f>
        <v/>
      </c>
      <c r="BM60" s="451">
        <f>'Raw financials'!AQ97+'Raw financials'!AQ98</f>
        <v/>
      </c>
      <c r="BN60" s="451">
        <f>+R60</f>
        <v/>
      </c>
      <c r="BO60" s="451">
        <f>'Raw financials'!AR97+'Raw financials'!AR98</f>
        <v/>
      </c>
      <c r="BP60" s="451">
        <f>+S60</f>
        <v/>
      </c>
      <c r="BQ60" s="451">
        <f>'Raw financials'!AS97+'Raw financials'!AS98</f>
        <v/>
      </c>
      <c r="BR60" s="451">
        <f>+T60</f>
        <v/>
      </c>
      <c r="BS60" s="451" t="n"/>
      <c r="BT60" s="451">
        <f>+U60</f>
        <v/>
      </c>
      <c r="BU60" s="453">
        <f>BT60-BR60</f>
        <v/>
      </c>
      <c r="BV60" s="379">
        <f>BU60/BR60</f>
        <v/>
      </c>
      <c r="BW60" s="489" t="n"/>
      <c r="BX60" s="489" t="n"/>
      <c r="BZ60" s="451">
        <f>'Raw financials'!BN97+'Raw financials'!BN98</f>
        <v/>
      </c>
      <c r="CA60" s="451">
        <f>'Raw financials'!BO97+'Raw financials'!BO98</f>
        <v/>
      </c>
      <c r="CB60" s="451">
        <f>'Raw financials'!BP97+'Raw financials'!BP98</f>
        <v/>
      </c>
      <c r="CC60" s="451">
        <f>'Raw financials'!BQ97+'Raw financials'!BQ98</f>
        <v/>
      </c>
      <c r="CD60" s="451">
        <f>'Raw financials'!BR97+'Raw financials'!BR98</f>
        <v/>
      </c>
      <c r="CE60" s="451">
        <f>'Raw financials'!BS97+'Raw financials'!BS98</f>
        <v/>
      </c>
      <c r="CF60" s="451">
        <f>'Raw financials'!BT97+'Raw financials'!BT98</f>
        <v/>
      </c>
      <c r="CG60" s="451">
        <f>'Raw financials'!BU97+'Raw financials'!BU98</f>
        <v/>
      </c>
      <c r="CH60" s="451">
        <f>'Raw financials'!BV97+'Raw financials'!BV98</f>
        <v/>
      </c>
      <c r="CI60" s="451">
        <f>'Raw financials'!BW97+'Raw financials'!BW98</f>
        <v/>
      </c>
      <c r="CJ60" s="451">
        <f>'Raw financials'!BX97+'Raw financials'!BX98</f>
        <v/>
      </c>
      <c r="CK60" s="451">
        <f>'Raw financials'!BY97+'Raw financials'!BY98</f>
        <v/>
      </c>
      <c r="CL60" s="451">
        <f>'Raw financials'!BZ97+'Raw financials'!BZ98</f>
        <v/>
      </c>
      <c r="CM60" s="451">
        <f>'Raw financials'!CA97+'Raw financials'!CA98</f>
        <v/>
      </c>
      <c r="CN60" s="451">
        <f>'Raw financials'!CB97+'Raw financials'!CB98</f>
        <v/>
      </c>
      <c r="CO60" s="451">
        <f>'Raw financials'!CC97+'Raw financials'!CC98</f>
        <v/>
      </c>
      <c r="CP60" s="451">
        <f>'Raw financials'!CD97+'Raw financials'!CD98</f>
        <v/>
      </c>
      <c r="CQ60" s="451">
        <f>'Raw financials'!CE97+'Raw financials'!CE98</f>
        <v/>
      </c>
      <c r="CR60" s="451">
        <f>'Raw financials'!CF97+'Raw financials'!CF98</f>
        <v/>
      </c>
      <c r="CS60" s="451">
        <f>'Raw financials'!CG97+'Raw financials'!CG98</f>
        <v/>
      </c>
      <c r="CT60" s="451">
        <f>'Raw financials'!CH97+'Raw financials'!CH98</f>
        <v/>
      </c>
      <c r="CU60" s="451">
        <f>'Raw financials'!CI97+'Raw financials'!CI98</f>
        <v/>
      </c>
      <c r="CV60" s="451">
        <f>'Raw financials'!CJ97+'Raw financials'!CJ98</f>
        <v/>
      </c>
      <c r="CW60" s="451">
        <f>'Raw financials'!CK97+'Raw financials'!CK98</f>
        <v/>
      </c>
      <c r="CX60" s="451">
        <f>'Raw financials'!CL97+'Raw financials'!CL98</f>
        <v/>
      </c>
      <c r="CY60" s="451">
        <f>'Raw financials'!CM97+'Raw financials'!CM98</f>
        <v/>
      </c>
      <c r="CZ60" s="451">
        <f>'Raw financials'!CN97+'Raw financials'!CN98</f>
        <v/>
      </c>
      <c r="DA60" s="451">
        <f>'Raw financials'!CO97+'Raw financials'!CO98</f>
        <v/>
      </c>
      <c r="DB60" s="451">
        <f>'Raw financials'!CP97+'Raw financials'!CP98</f>
        <v/>
      </c>
      <c r="DC60" s="451">
        <f>'Raw financials'!CQ97+'Raw financials'!CQ98</f>
        <v/>
      </c>
      <c r="DD60" s="451">
        <f>'Raw financials'!CR97+'Raw financials'!CR98</f>
        <v/>
      </c>
      <c r="DE60" s="451">
        <f>'Raw financials'!CS97+'Raw financials'!CS98</f>
        <v/>
      </c>
      <c r="DF60" s="451">
        <f>'Raw financials'!CT97+'Raw financials'!CT98</f>
        <v/>
      </c>
      <c r="DG60" s="451">
        <f>'Raw financials'!CU97+'Raw financials'!CU98</f>
        <v/>
      </c>
      <c r="DH60" s="451">
        <f>'Raw financials'!CV97+'Raw financials'!CV98</f>
        <v/>
      </c>
      <c r="DI60" s="451">
        <f>'Raw financials'!CW97+'Raw financials'!CW98</f>
        <v/>
      </c>
      <c r="DJ60" s="451">
        <f>'Raw financials'!CX97+'Raw financials'!CX98</f>
        <v/>
      </c>
      <c r="DK60" s="451">
        <f>'Raw financials'!CY97+'Raw financials'!CY98</f>
        <v/>
      </c>
      <c r="DL60" s="451">
        <f>'Raw financials'!CZ97+'Raw financials'!CZ98</f>
        <v/>
      </c>
      <c r="DM60" s="451">
        <f>'Raw financials'!DA97+'Raw financials'!DA98</f>
        <v/>
      </c>
      <c r="DN60" s="451">
        <f>'Raw financials'!DB97+'Raw financials'!DB98</f>
        <v/>
      </c>
      <c r="DO60" s="451">
        <f>'Raw financials'!DC97+'Raw financials'!DC98</f>
        <v/>
      </c>
      <c r="DP60" s="451">
        <f>'Raw financials'!DD97+'Raw financials'!DD98</f>
        <v/>
      </c>
      <c r="DQ60" s="451">
        <f>'Raw financials'!DE97+'Raw financials'!DE98</f>
        <v/>
      </c>
      <c r="DR60" s="451">
        <f>'Raw financials'!DF97+'Raw financials'!DF98</f>
        <v/>
      </c>
      <c r="DS60" s="451">
        <f>'Raw financials'!DG97+'Raw financials'!DG98</f>
        <v/>
      </c>
      <c r="DT60" s="451">
        <f>'Raw financials'!DH97+'Raw financials'!DH98</f>
        <v/>
      </c>
      <c r="DU60" s="451">
        <f>'Raw financials'!DI97+'Raw financials'!DI98</f>
        <v/>
      </c>
      <c r="DV60" s="451">
        <f>'Raw financials'!DJ97+'Raw financials'!DJ98</f>
        <v/>
      </c>
      <c r="DW60" s="451">
        <f>'Raw financials'!DK97+'Raw financials'!DK98</f>
        <v/>
      </c>
      <c r="DX60" s="451" t="n"/>
      <c r="DY60" s="451" t="n"/>
      <c r="DZ60" s="451">
        <f>'Raw financials'!DN96</f>
        <v/>
      </c>
      <c r="EA60" s="451">
        <f>'Raw financials'!DO96</f>
        <v/>
      </c>
      <c r="EB60" s="451">
        <f>'Raw financials'!DP96</f>
        <v/>
      </c>
      <c r="EC60" s="451">
        <f>'Raw financials'!DQ96</f>
        <v/>
      </c>
      <c r="ED60" s="451">
        <f>'Raw financials'!DR96</f>
        <v/>
      </c>
      <c r="EE60" s="451">
        <f>'Raw financials'!DS96</f>
        <v/>
      </c>
      <c r="EF60" s="451">
        <f>'Raw financials'!DT96</f>
        <v/>
      </c>
      <c r="EG60" s="451">
        <f>'Raw financials'!DU96</f>
        <v/>
      </c>
      <c r="EH60" s="451">
        <f>'Raw financials'!DV96</f>
        <v/>
      </c>
      <c r="EI60" s="451">
        <f>'Raw financials'!DW96</f>
        <v/>
      </c>
      <c r="EJ60" s="451">
        <f>'Raw financials'!DX96</f>
        <v/>
      </c>
      <c r="EK60" s="451">
        <f>'Raw financials'!DY96</f>
        <v/>
      </c>
      <c r="EL60" s="451">
        <f>'Raw financials'!DZ96</f>
        <v/>
      </c>
      <c r="EM60" s="451">
        <f>'Raw financials'!EA96</f>
        <v/>
      </c>
      <c r="EN60" s="451">
        <f>'Raw financials'!EB96</f>
        <v/>
      </c>
      <c r="EO60" s="451">
        <f>'Raw financials'!EC96</f>
        <v/>
      </c>
      <c r="EP60" s="451">
        <f>'Raw financials'!ED96</f>
        <v/>
      </c>
      <c r="EQ60" s="451">
        <f>'Raw financials'!EE96</f>
        <v/>
      </c>
      <c r="ER60" s="451">
        <f>'Raw financials'!EF96</f>
        <v/>
      </c>
      <c r="ES60" s="451">
        <f>'Raw financials'!EG96</f>
        <v/>
      </c>
      <c r="ET60" s="451">
        <f>'Raw financials'!EH96</f>
        <v/>
      </c>
      <c r="EU60" s="451">
        <f>'Raw financials'!EI96</f>
        <v/>
      </c>
      <c r="EV60" s="451">
        <f>'Raw financials'!EJ96</f>
        <v/>
      </c>
      <c r="EW60" s="451">
        <f>'Raw financials'!EK96</f>
        <v/>
      </c>
      <c r="EX60" s="451">
        <f>'Raw financials'!EL96</f>
        <v/>
      </c>
      <c r="EY60" s="451">
        <f>'Raw financials'!EM96</f>
        <v/>
      </c>
      <c r="EZ60" s="454" t="n"/>
      <c r="FA60" s="454" t="n"/>
      <c r="FB60" s="452">
        <f>+FA60-EW60</f>
        <v/>
      </c>
      <c r="FC60" s="348">
        <f>+FB60/EW60</f>
        <v/>
      </c>
      <c r="FD60" s="451" t="n"/>
      <c r="FE60" s="451" t="n"/>
    </row>
    <row r="61">
      <c r="A61" s="6" t="inlineStr">
        <is>
          <t>Intangible assets</t>
        </is>
      </c>
      <c r="B61" s="451">
        <f>SUM('Raw financials'!B101:B102)</f>
        <v/>
      </c>
      <c r="C61" s="451">
        <f>SUM('Raw financials'!C101:C102)</f>
        <v/>
      </c>
      <c r="D61" s="451">
        <f>SUM('Raw financials'!D101:D102)</f>
        <v/>
      </c>
      <c r="E61" s="451">
        <f>SUM('Raw financials'!E101:E102)</f>
        <v/>
      </c>
      <c r="F61" s="451">
        <f>SUM('Raw financials'!F101:F102)</f>
        <v/>
      </c>
      <c r="G61" s="451">
        <f>SUM('Raw financials'!G101:G102)</f>
        <v/>
      </c>
      <c r="H61" s="451">
        <f>SUM('Raw financials'!H101:H102)</f>
        <v/>
      </c>
      <c r="I61" s="451">
        <f>SUM('Raw financials'!I101:I102)</f>
        <v/>
      </c>
      <c r="J61" s="451">
        <f>SUM('Raw financials'!J101:J102)</f>
        <v/>
      </c>
      <c r="K61" s="497">
        <f>SUM('Raw financials'!K101:K102)</f>
        <v/>
      </c>
      <c r="L61" s="451">
        <f>SUM('Raw financials'!L101:L102)</f>
        <v/>
      </c>
      <c r="M61" s="451">
        <f>SUM('Raw financials'!M101:M102)</f>
        <v/>
      </c>
      <c r="N61" s="451">
        <f>SUM('Raw financials'!N101:N102)</f>
        <v/>
      </c>
      <c r="O61" s="451">
        <f>SUM('Raw financials'!O101:O102)</f>
        <v/>
      </c>
      <c r="P61" s="451">
        <f>SUM('Raw financials'!P101:P102)</f>
        <v/>
      </c>
      <c r="Q61" s="451">
        <f>SUM('Raw financials'!Q101:Q102)</f>
        <v/>
      </c>
      <c r="R61" s="451">
        <f>SUM('Raw financials'!R101:R102)</f>
        <v/>
      </c>
      <c r="S61" s="451">
        <f>SUM('Raw financials'!S101:S102)</f>
        <v/>
      </c>
      <c r="T61" s="451">
        <f>SUM('Raw financials'!T101:T102)</f>
        <v/>
      </c>
      <c r="U61" s="459">
        <f>T61-U108+Driver!J121</f>
        <v/>
      </c>
      <c r="V61" s="459">
        <f>U61-V108+Driver!K121</f>
        <v/>
      </c>
      <c r="W61" s="459">
        <f>V61-W108+Driver!L121</f>
        <v/>
      </c>
      <c r="X61" s="459">
        <f>W61-X108+Driver!M121</f>
        <v/>
      </c>
      <c r="Y61" s="459">
        <f>X61-Y108+Driver!N121</f>
        <v/>
      </c>
      <c r="Z61" s="459">
        <f>Y61-Z108+Driver!O121</f>
        <v/>
      </c>
      <c r="AA61" s="452">
        <f>+U61-T61</f>
        <v/>
      </c>
      <c r="AB61" s="348">
        <f>+AA61/T61</f>
        <v/>
      </c>
      <c r="AC61" s="459" t="n">
        <v>2731.455706080766</v>
      </c>
      <c r="AD61" s="452">
        <f>+X61-W61</f>
        <v/>
      </c>
      <c r="AE61" s="348">
        <f>+AD61/W61</f>
        <v/>
      </c>
      <c r="AF61" s="451" t="n"/>
      <c r="AG61" s="451">
        <f>SUM('Raw financials'!AA101:AA102)</f>
        <v/>
      </c>
      <c r="AH61" s="451">
        <f>+B61</f>
        <v/>
      </c>
      <c r="AI61" s="451">
        <f>SUM('Raw financials'!AB101:AB102)</f>
        <v/>
      </c>
      <c r="AJ61" s="451">
        <f>+C61</f>
        <v/>
      </c>
      <c r="AK61" s="451">
        <f>SUM('Raw financials'!AC101:AC102)</f>
        <v/>
      </c>
      <c r="AL61" s="451">
        <f>+D61</f>
        <v/>
      </c>
      <c r="AM61" s="451">
        <f>SUM('Raw financials'!AD101:AD102)</f>
        <v/>
      </c>
      <c r="AN61" s="451">
        <f>+E61</f>
        <v/>
      </c>
      <c r="AO61" s="451">
        <f>SUM('Raw financials'!AE101:AE102)</f>
        <v/>
      </c>
      <c r="AP61" s="451">
        <f>+F61</f>
        <v/>
      </c>
      <c r="AQ61" s="451">
        <f>SUM('Raw financials'!AF101:AF102)</f>
        <v/>
      </c>
      <c r="AR61" s="451">
        <f>+G61</f>
        <v/>
      </c>
      <c r="AS61" s="451">
        <f>SUM('Raw financials'!AG101:AG102)</f>
        <v/>
      </c>
      <c r="AT61" s="451">
        <f>+H61</f>
        <v/>
      </c>
      <c r="AU61" s="451">
        <f>SUM('Raw financials'!AH101:AH102)</f>
        <v/>
      </c>
      <c r="AV61" s="451">
        <f>+I61</f>
        <v/>
      </c>
      <c r="AW61" s="451">
        <f>SUM('Raw financials'!AI101:AI102)</f>
        <v/>
      </c>
      <c r="AX61" s="451">
        <f>+J61</f>
        <v/>
      </c>
      <c r="AY61" s="451">
        <f>SUM('Raw financials'!AJ101:AJ102)</f>
        <v/>
      </c>
      <c r="AZ61" s="451">
        <f>+K61</f>
        <v/>
      </c>
      <c r="BA61" s="451">
        <f>SUM('Raw financials'!AK101:AK102)</f>
        <v/>
      </c>
      <c r="BB61" s="451">
        <f>+L61</f>
        <v/>
      </c>
      <c r="BC61" s="451">
        <f>SUM('Raw financials'!AL101:AL102)</f>
        <v/>
      </c>
      <c r="BD61" s="451">
        <f>+M61</f>
        <v/>
      </c>
      <c r="BE61" s="451">
        <f>SUM('Raw financials'!AM101:AM102)</f>
        <v/>
      </c>
      <c r="BF61" s="451">
        <f>+N61</f>
        <v/>
      </c>
      <c r="BG61" s="451">
        <f>SUM('Raw financials'!AN101:AN102)</f>
        <v/>
      </c>
      <c r="BH61" s="451">
        <f>+O61</f>
        <v/>
      </c>
      <c r="BI61" s="451">
        <f>SUM('Raw financials'!AO101:AO102)</f>
        <v/>
      </c>
      <c r="BJ61" s="451">
        <f>+P61</f>
        <v/>
      </c>
      <c r="BK61" s="451">
        <f>SUM('Raw financials'!AP101:AP102)</f>
        <v/>
      </c>
      <c r="BL61" s="451">
        <f>+Q61</f>
        <v/>
      </c>
      <c r="BM61" s="451">
        <f>SUM('Raw financials'!AQ101:AQ102)</f>
        <v/>
      </c>
      <c r="BN61" s="451">
        <f>+R61</f>
        <v/>
      </c>
      <c r="BO61" s="451">
        <f>SUM('Raw financials'!AR101:AR102)</f>
        <v/>
      </c>
      <c r="BP61" s="451">
        <f>+S61</f>
        <v/>
      </c>
      <c r="BQ61" s="451">
        <f>SUM('Raw financials'!AS101:AS102)</f>
        <v/>
      </c>
      <c r="BR61" s="451">
        <f>+T61</f>
        <v/>
      </c>
      <c r="BS61" s="451" t="n"/>
      <c r="BT61" s="451">
        <f>+U61</f>
        <v/>
      </c>
      <c r="BU61" s="453">
        <f>BT61-BR61</f>
        <v/>
      </c>
      <c r="BV61" s="379">
        <f>BU61/BR61</f>
        <v/>
      </c>
      <c r="BW61" s="489" t="n"/>
      <c r="BX61" s="489" t="n"/>
      <c r="BZ61" s="451">
        <f>SUM('Raw financials'!BN101:BN102)</f>
        <v/>
      </c>
      <c r="CA61" s="451">
        <f>SUM('Raw financials'!BO101:BO102)</f>
        <v/>
      </c>
      <c r="CB61" s="451">
        <f>SUM('Raw financials'!BP101:BP102)</f>
        <v/>
      </c>
      <c r="CC61" s="451">
        <f>SUM('Raw financials'!BQ101:BQ102)</f>
        <v/>
      </c>
      <c r="CD61" s="451">
        <f>SUM('Raw financials'!BR101:BR102)</f>
        <v/>
      </c>
      <c r="CE61" s="451">
        <f>SUM('Raw financials'!BS101:BS102)</f>
        <v/>
      </c>
      <c r="CF61" s="451">
        <f>SUM('Raw financials'!BT101:BT102)</f>
        <v/>
      </c>
      <c r="CG61" s="451">
        <f>SUM('Raw financials'!BU101:BU102)</f>
        <v/>
      </c>
      <c r="CH61" s="451">
        <f>SUM('Raw financials'!BV101:BV102)</f>
        <v/>
      </c>
      <c r="CI61" s="451">
        <f>SUM('Raw financials'!BW101:BW102)</f>
        <v/>
      </c>
      <c r="CJ61" s="451">
        <f>SUM('Raw financials'!BX101:BX102)</f>
        <v/>
      </c>
      <c r="CK61" s="451">
        <f>SUM('Raw financials'!BY101:BY102)</f>
        <v/>
      </c>
      <c r="CL61" s="451">
        <f>SUM('Raw financials'!BZ101:BZ102)</f>
        <v/>
      </c>
      <c r="CM61" s="451">
        <f>SUM('Raw financials'!CA101:CA102)</f>
        <v/>
      </c>
      <c r="CN61" s="451">
        <f>SUM('Raw financials'!CB101:CB102)</f>
        <v/>
      </c>
      <c r="CO61" s="451">
        <f>SUM('Raw financials'!CC101:CC102)</f>
        <v/>
      </c>
      <c r="CP61" s="451">
        <f>SUM('Raw financials'!CD101:CD102)</f>
        <v/>
      </c>
      <c r="CQ61" s="451">
        <f>SUM('Raw financials'!CE101:CE102)</f>
        <v/>
      </c>
      <c r="CR61" s="451">
        <f>SUM('Raw financials'!CF101:CF102)</f>
        <v/>
      </c>
      <c r="CS61" s="451">
        <f>SUM('Raw financials'!CG101:CG102)</f>
        <v/>
      </c>
      <c r="CT61" s="451">
        <f>SUM('Raw financials'!CH101:CH102)</f>
        <v/>
      </c>
      <c r="CU61" s="451">
        <f>SUM('Raw financials'!CI101:CI102)</f>
        <v/>
      </c>
      <c r="CV61" s="451">
        <f>SUM('Raw financials'!CJ101:CJ102)</f>
        <v/>
      </c>
      <c r="CW61" s="451">
        <f>SUM('Raw financials'!CK101:CK102)</f>
        <v/>
      </c>
      <c r="CX61" s="451">
        <f>SUM('Raw financials'!CL101:CL102)</f>
        <v/>
      </c>
      <c r="CY61" s="451">
        <f>SUM('Raw financials'!CM101:CM102)</f>
        <v/>
      </c>
      <c r="CZ61" s="451">
        <f>SUM('Raw financials'!CN101:CN102)</f>
        <v/>
      </c>
      <c r="DA61" s="451">
        <f>SUM('Raw financials'!CO101:CO102)</f>
        <v/>
      </c>
      <c r="DB61" s="451">
        <f>SUM('Raw financials'!CP101:CP102)</f>
        <v/>
      </c>
      <c r="DC61" s="451">
        <f>SUM('Raw financials'!CQ101:CQ102)</f>
        <v/>
      </c>
      <c r="DD61" s="451">
        <f>SUM('Raw financials'!CR101:CR102)</f>
        <v/>
      </c>
      <c r="DE61" s="451">
        <f>SUM('Raw financials'!CS101:CS102)</f>
        <v/>
      </c>
      <c r="DF61" s="451">
        <f>SUM('Raw financials'!CT101:CT102)</f>
        <v/>
      </c>
      <c r="DG61" s="451">
        <f>SUM('Raw financials'!CU101:CU102)</f>
        <v/>
      </c>
      <c r="DH61" s="451">
        <f>SUM('Raw financials'!CV101:CV102)</f>
        <v/>
      </c>
      <c r="DI61" s="451">
        <f>SUM('Raw financials'!CW101:CW102)</f>
        <v/>
      </c>
      <c r="DJ61" s="451">
        <f>SUM('Raw financials'!CX101:CX102)</f>
        <v/>
      </c>
      <c r="DK61" s="451">
        <f>SUM('Raw financials'!CY101:CY102)</f>
        <v/>
      </c>
      <c r="DL61" s="451">
        <f>SUM('Raw financials'!CZ101:CZ102)</f>
        <v/>
      </c>
      <c r="DM61" s="451">
        <f>SUM('Raw financials'!DA101:DA102)</f>
        <v/>
      </c>
      <c r="DN61" s="451">
        <f>SUM('Raw financials'!DB101:DB102)</f>
        <v/>
      </c>
      <c r="DO61" s="451">
        <f>SUM('Raw financials'!DC101:DC102)</f>
        <v/>
      </c>
      <c r="DP61" s="451">
        <f>SUM('Raw financials'!DD101:DD102)</f>
        <v/>
      </c>
      <c r="DQ61" s="451">
        <f>SUM('Raw financials'!DE101:DE102)</f>
        <v/>
      </c>
      <c r="DR61" s="451">
        <f>SUM('Raw financials'!DF101:DF102)</f>
        <v/>
      </c>
      <c r="DS61" s="451">
        <f>SUM('Raw financials'!DG101:DG102)</f>
        <v/>
      </c>
      <c r="DT61" s="451">
        <f>SUM('Raw financials'!DH101:DH102)</f>
        <v/>
      </c>
      <c r="DU61" s="451">
        <f>SUM('Raw financials'!DI101:DI102)</f>
        <v/>
      </c>
      <c r="DV61" s="451">
        <f>SUM('Raw financials'!DJ101:DJ102)</f>
        <v/>
      </c>
      <c r="DW61" s="451">
        <f>SUM('Raw financials'!DK101:DK102)</f>
        <v/>
      </c>
      <c r="DX61" s="451" t="n"/>
      <c r="DY61" s="451" t="n"/>
      <c r="DZ61" s="451">
        <f>SUM('Raw financials'!DN101:DN102)</f>
        <v/>
      </c>
      <c r="EA61" s="451">
        <f>SUM('Raw financials'!DO101:DO102)</f>
        <v/>
      </c>
      <c r="EB61" s="451">
        <f>SUM('Raw financials'!DP101:DP102)</f>
        <v/>
      </c>
      <c r="EC61" s="451">
        <f>SUM('Raw financials'!DQ101:DQ102)</f>
        <v/>
      </c>
      <c r="ED61" s="451">
        <f>SUM('Raw financials'!DR101:DR102)</f>
        <v/>
      </c>
      <c r="EE61" s="451">
        <f>SUM('Raw financials'!DS101:DS102)</f>
        <v/>
      </c>
      <c r="EF61" s="451">
        <f>SUM('Raw financials'!DT101:DT102)</f>
        <v/>
      </c>
      <c r="EG61" s="451">
        <f>SUM('Raw financials'!DU101:DU102)</f>
        <v/>
      </c>
      <c r="EH61" s="451">
        <f>SUM('Raw financials'!DV101:DV102)</f>
        <v/>
      </c>
      <c r="EI61" s="451">
        <f>SUM('Raw financials'!DW101:DW102)</f>
        <v/>
      </c>
      <c r="EJ61" s="451">
        <f>SUM('Raw financials'!DX101:DX102)</f>
        <v/>
      </c>
      <c r="EK61" s="451">
        <f>SUM('Raw financials'!DY101:DY102)</f>
        <v/>
      </c>
      <c r="EL61" s="451">
        <f>SUM('Raw financials'!DZ101:DZ102)</f>
        <v/>
      </c>
      <c r="EM61" s="451">
        <f>SUM('Raw financials'!EA101:EA102)</f>
        <v/>
      </c>
      <c r="EN61" s="451">
        <f>SUM('Raw financials'!EB101:EB102)</f>
        <v/>
      </c>
      <c r="EO61" s="451">
        <f>SUM('Raw financials'!EC101:EC102)</f>
        <v/>
      </c>
      <c r="EP61" s="451">
        <f>SUM('Raw financials'!ED101:ED102)</f>
        <v/>
      </c>
      <c r="EQ61" s="451">
        <f>SUM('Raw financials'!EE101:EE102)</f>
        <v/>
      </c>
      <c r="ER61" s="451">
        <f>SUM('Raw financials'!EF101:EF102)</f>
        <v/>
      </c>
      <c r="ES61" s="451">
        <f>SUM('Raw financials'!EG101:EG102)</f>
        <v/>
      </c>
      <c r="ET61" s="451">
        <f>SUM('Raw financials'!EH101:EH102)</f>
        <v/>
      </c>
      <c r="EU61" s="451">
        <f>SUM('Raw financials'!EI101:EI102)</f>
        <v/>
      </c>
      <c r="EV61" s="451">
        <f>SUM('Raw financials'!EJ101:EJ102)</f>
        <v/>
      </c>
      <c r="EW61" s="451">
        <f>SUM('Raw financials'!EK101:EK102)</f>
        <v/>
      </c>
      <c r="EX61" s="451">
        <f>SUM('Raw financials'!EL101:EL102)</f>
        <v/>
      </c>
      <c r="EY61" s="451">
        <f>SUM('Raw financials'!EM101:EM102)</f>
        <v/>
      </c>
      <c r="EZ61" s="454" t="n"/>
      <c r="FA61" s="454" t="n"/>
      <c r="FB61" s="452">
        <f>+FA61-EW61</f>
        <v/>
      </c>
      <c r="FC61" s="348">
        <f>+FB61/EW61</f>
        <v/>
      </c>
      <c r="FD61" s="451" t="n"/>
      <c r="FE61" s="451" t="n"/>
    </row>
    <row r="62">
      <c r="A62" s="6" t="inlineStr">
        <is>
          <t>Goodwill</t>
        </is>
      </c>
      <c r="B62" s="451">
        <f>'Raw financials'!B106</f>
        <v/>
      </c>
      <c r="C62" s="451">
        <f>'Raw financials'!C106</f>
        <v/>
      </c>
      <c r="D62" s="451">
        <f>'Raw financials'!D106</f>
        <v/>
      </c>
      <c r="E62" s="451">
        <f>'Raw financials'!E106</f>
        <v/>
      </c>
      <c r="F62" s="451">
        <f>'Raw financials'!F106</f>
        <v/>
      </c>
      <c r="G62" s="451">
        <f>'Raw financials'!G106</f>
        <v/>
      </c>
      <c r="H62" s="451">
        <f>'Raw financials'!H106</f>
        <v/>
      </c>
      <c r="I62" s="451">
        <f>'Raw financials'!I106</f>
        <v/>
      </c>
      <c r="J62" s="451">
        <f>'Raw financials'!J106</f>
        <v/>
      </c>
      <c r="K62" s="497">
        <f>'Raw financials'!K106</f>
        <v/>
      </c>
      <c r="L62" s="451">
        <f>'Raw financials'!L106</f>
        <v/>
      </c>
      <c r="M62" s="451">
        <f>'Raw financials'!M106</f>
        <v/>
      </c>
      <c r="N62" s="451">
        <f>'Raw financials'!N106</f>
        <v/>
      </c>
      <c r="O62" s="451">
        <f>'Raw financials'!O106</f>
        <v/>
      </c>
      <c r="P62" s="451">
        <f>'Raw financials'!P106</f>
        <v/>
      </c>
      <c r="Q62" s="451">
        <f>'Raw financials'!Q106</f>
        <v/>
      </c>
      <c r="R62" s="451">
        <f>'Raw financials'!R106</f>
        <v/>
      </c>
      <c r="S62" s="451">
        <f>'Raw financials'!S106</f>
        <v/>
      </c>
      <c r="T62" s="451">
        <f>'Raw financials'!T106</f>
        <v/>
      </c>
      <c r="U62" s="459">
        <f>T62</f>
        <v/>
      </c>
      <c r="V62" s="459">
        <f>U62</f>
        <v/>
      </c>
      <c r="W62" s="459">
        <f>V62</f>
        <v/>
      </c>
      <c r="X62" s="459">
        <f>W62</f>
        <v/>
      </c>
      <c r="Y62" s="459">
        <f>X62</f>
        <v/>
      </c>
      <c r="Z62" s="459">
        <f>Y62</f>
        <v/>
      </c>
      <c r="AA62" s="452">
        <f>+U62-T62</f>
        <v/>
      </c>
      <c r="AB62" s="348">
        <f>+AA62/T62</f>
        <v/>
      </c>
      <c r="AC62" s="459" t="n">
        <v>0</v>
      </c>
      <c r="AD62" s="452">
        <f>+X62-W62</f>
        <v/>
      </c>
      <c r="AE62" s="348">
        <f>+AD62/W62</f>
        <v/>
      </c>
      <c r="AF62" s="451" t="n"/>
      <c r="AG62" s="451">
        <f>'Raw financials'!AA106</f>
        <v/>
      </c>
      <c r="AH62" s="451">
        <f>+B62</f>
        <v/>
      </c>
      <c r="AI62" s="451">
        <f>'Raw financials'!AB106</f>
        <v/>
      </c>
      <c r="AJ62" s="451">
        <f>+C62</f>
        <v/>
      </c>
      <c r="AK62" s="451">
        <f>'Raw financials'!AC106</f>
        <v/>
      </c>
      <c r="AL62" s="451">
        <f>+D62</f>
        <v/>
      </c>
      <c r="AM62" s="451">
        <f>'Raw financials'!AD106</f>
        <v/>
      </c>
      <c r="AN62" s="451">
        <f>+E62</f>
        <v/>
      </c>
      <c r="AO62" s="451">
        <f>'Raw financials'!AE106</f>
        <v/>
      </c>
      <c r="AP62" s="451">
        <f>+F62</f>
        <v/>
      </c>
      <c r="AQ62" s="451">
        <f>'Raw financials'!AF106</f>
        <v/>
      </c>
      <c r="AR62" s="451">
        <f>+G62</f>
        <v/>
      </c>
      <c r="AS62" s="451">
        <f>'Raw financials'!AG106</f>
        <v/>
      </c>
      <c r="AT62" s="451">
        <f>+H62</f>
        <v/>
      </c>
      <c r="AU62" s="451">
        <f>'Raw financials'!AH106</f>
        <v/>
      </c>
      <c r="AV62" s="451">
        <f>+I62</f>
        <v/>
      </c>
      <c r="AW62" s="451">
        <f>'Raw financials'!AI106</f>
        <v/>
      </c>
      <c r="AX62" s="451">
        <f>+J62</f>
        <v/>
      </c>
      <c r="AY62" s="451">
        <f>'Raw financials'!AJ106</f>
        <v/>
      </c>
      <c r="AZ62" s="451">
        <f>+K62</f>
        <v/>
      </c>
      <c r="BA62" s="451">
        <f>'Raw financials'!AK106</f>
        <v/>
      </c>
      <c r="BB62" s="451">
        <f>+L62</f>
        <v/>
      </c>
      <c r="BC62" s="451">
        <f>'Raw financials'!AL106</f>
        <v/>
      </c>
      <c r="BD62" s="451">
        <f>+M62</f>
        <v/>
      </c>
      <c r="BE62" s="451">
        <f>'Raw financials'!AM106</f>
        <v/>
      </c>
      <c r="BF62" s="451">
        <f>+N62</f>
        <v/>
      </c>
      <c r="BG62" s="451">
        <f>'Raw financials'!AN106</f>
        <v/>
      </c>
      <c r="BH62" s="451">
        <f>+O62</f>
        <v/>
      </c>
      <c r="BI62" s="451">
        <f>'Raw financials'!AO106</f>
        <v/>
      </c>
      <c r="BJ62" s="451">
        <f>+P62</f>
        <v/>
      </c>
      <c r="BK62" s="451">
        <f>'Raw financials'!AP106</f>
        <v/>
      </c>
      <c r="BL62" s="451">
        <f>+Q62</f>
        <v/>
      </c>
      <c r="BM62" s="451">
        <f>'Raw financials'!AQ106</f>
        <v/>
      </c>
      <c r="BN62" s="451">
        <f>+R62</f>
        <v/>
      </c>
      <c r="BO62" s="451">
        <f>'Raw financials'!AR106</f>
        <v/>
      </c>
      <c r="BP62" s="451">
        <f>+S62</f>
        <v/>
      </c>
      <c r="BQ62" s="451">
        <f>'Raw financials'!AS106</f>
        <v/>
      </c>
      <c r="BR62" s="451">
        <f>+T62</f>
        <v/>
      </c>
      <c r="BS62" s="451" t="n"/>
      <c r="BT62" s="451">
        <f>+U62</f>
        <v/>
      </c>
      <c r="BU62" s="453">
        <f>BT62-BR62</f>
        <v/>
      </c>
      <c r="BV62" s="379">
        <f>BU62/BR62</f>
        <v/>
      </c>
      <c r="BW62" s="489" t="n"/>
      <c r="BX62" s="489" t="n"/>
      <c r="BZ62" s="451">
        <f>'Raw financials'!BN106</f>
        <v/>
      </c>
      <c r="CA62" s="451">
        <f>'Raw financials'!BO106</f>
        <v/>
      </c>
      <c r="CB62" s="451">
        <f>'Raw financials'!BP106</f>
        <v/>
      </c>
      <c r="CC62" s="451">
        <f>'Raw financials'!BQ106</f>
        <v/>
      </c>
      <c r="CD62" s="451">
        <f>'Raw financials'!BR106</f>
        <v/>
      </c>
      <c r="CE62" s="451">
        <f>'Raw financials'!BS106</f>
        <v/>
      </c>
      <c r="CF62" s="451">
        <f>'Raw financials'!BT106</f>
        <v/>
      </c>
      <c r="CG62" s="451">
        <f>'Raw financials'!BU106</f>
        <v/>
      </c>
      <c r="CH62" s="451">
        <f>'Raw financials'!BV106</f>
        <v/>
      </c>
      <c r="CI62" s="451">
        <f>'Raw financials'!BW106</f>
        <v/>
      </c>
      <c r="CJ62" s="451">
        <f>'Raw financials'!BX106</f>
        <v/>
      </c>
      <c r="CK62" s="451">
        <f>'Raw financials'!BY106</f>
        <v/>
      </c>
      <c r="CL62" s="451">
        <f>'Raw financials'!BZ106</f>
        <v/>
      </c>
      <c r="CM62" s="451">
        <f>'Raw financials'!CA106</f>
        <v/>
      </c>
      <c r="CN62" s="451">
        <f>'Raw financials'!CB106</f>
        <v/>
      </c>
      <c r="CO62" s="451">
        <f>'Raw financials'!CC106</f>
        <v/>
      </c>
      <c r="CP62" s="451">
        <f>'Raw financials'!CD106</f>
        <v/>
      </c>
      <c r="CQ62" s="451">
        <f>'Raw financials'!CE106</f>
        <v/>
      </c>
      <c r="CR62" s="451">
        <f>'Raw financials'!CF106</f>
        <v/>
      </c>
      <c r="CS62" s="451">
        <f>'Raw financials'!CG106</f>
        <v/>
      </c>
      <c r="CT62" s="451">
        <f>'Raw financials'!CH106</f>
        <v/>
      </c>
      <c r="CU62" s="451">
        <f>'Raw financials'!CI106</f>
        <v/>
      </c>
      <c r="CV62" s="451">
        <f>'Raw financials'!CJ106</f>
        <v/>
      </c>
      <c r="CW62" s="451">
        <f>'Raw financials'!CK106</f>
        <v/>
      </c>
      <c r="CX62" s="451">
        <f>'Raw financials'!CL106</f>
        <v/>
      </c>
      <c r="CY62" s="451">
        <f>'Raw financials'!CM106</f>
        <v/>
      </c>
      <c r="CZ62" s="451">
        <f>'Raw financials'!CN106</f>
        <v/>
      </c>
      <c r="DA62" s="451">
        <f>'Raw financials'!CO106</f>
        <v/>
      </c>
      <c r="DB62" s="451">
        <f>'Raw financials'!CP106</f>
        <v/>
      </c>
      <c r="DC62" s="451">
        <f>'Raw financials'!CQ106</f>
        <v/>
      </c>
      <c r="DD62" s="451">
        <f>'Raw financials'!CR106</f>
        <v/>
      </c>
      <c r="DE62" s="451">
        <f>'Raw financials'!CS106</f>
        <v/>
      </c>
      <c r="DF62" s="451">
        <f>'Raw financials'!CT106</f>
        <v/>
      </c>
      <c r="DG62" s="451">
        <f>'Raw financials'!CU106</f>
        <v/>
      </c>
      <c r="DH62" s="451">
        <f>'Raw financials'!CV106</f>
        <v/>
      </c>
      <c r="DI62" s="451">
        <f>'Raw financials'!CW106</f>
        <v/>
      </c>
      <c r="DJ62" s="451">
        <f>'Raw financials'!CX106</f>
        <v/>
      </c>
      <c r="DK62" s="451">
        <f>'Raw financials'!CY106</f>
        <v/>
      </c>
      <c r="DL62" s="451">
        <f>'Raw financials'!CZ106</f>
        <v/>
      </c>
      <c r="DM62" s="451">
        <f>'Raw financials'!DA106</f>
        <v/>
      </c>
      <c r="DN62" s="451">
        <f>'Raw financials'!DB106</f>
        <v/>
      </c>
      <c r="DO62" s="451">
        <f>'Raw financials'!DC106</f>
        <v/>
      </c>
      <c r="DP62" s="451">
        <f>'Raw financials'!DD106</f>
        <v/>
      </c>
      <c r="DQ62" s="451">
        <f>'Raw financials'!DE106</f>
        <v/>
      </c>
      <c r="DR62" s="451">
        <f>'Raw financials'!DF106</f>
        <v/>
      </c>
      <c r="DS62" s="451">
        <f>'Raw financials'!DG106</f>
        <v/>
      </c>
      <c r="DT62" s="451">
        <f>'Raw financials'!DH106</f>
        <v/>
      </c>
      <c r="DU62" s="451">
        <f>'Raw financials'!DI106</f>
        <v/>
      </c>
      <c r="DV62" s="451">
        <f>'Raw financials'!DJ106</f>
        <v/>
      </c>
      <c r="DW62" s="451">
        <f>'Raw financials'!DK106</f>
        <v/>
      </c>
      <c r="DX62" s="451" t="n"/>
      <c r="DY62" s="451" t="n"/>
      <c r="DZ62" s="451">
        <f>'Raw financials'!DN106</f>
        <v/>
      </c>
      <c r="EA62" s="451">
        <f>'Raw financials'!DO106</f>
        <v/>
      </c>
      <c r="EB62" s="451">
        <f>'Raw financials'!DP106</f>
        <v/>
      </c>
      <c r="EC62" s="451">
        <f>'Raw financials'!DQ106</f>
        <v/>
      </c>
      <c r="ED62" s="451">
        <f>'Raw financials'!DR106</f>
        <v/>
      </c>
      <c r="EE62" s="451">
        <f>'Raw financials'!DS106</f>
        <v/>
      </c>
      <c r="EF62" s="451">
        <f>'Raw financials'!DT106</f>
        <v/>
      </c>
      <c r="EG62" s="451">
        <f>'Raw financials'!DU106</f>
        <v/>
      </c>
      <c r="EH62" s="451">
        <f>'Raw financials'!DV106</f>
        <v/>
      </c>
      <c r="EI62" s="451">
        <f>'Raw financials'!DW106</f>
        <v/>
      </c>
      <c r="EJ62" s="451">
        <f>'Raw financials'!DX106</f>
        <v/>
      </c>
      <c r="EK62" s="451">
        <f>'Raw financials'!DY106</f>
        <v/>
      </c>
      <c r="EL62" s="451">
        <f>'Raw financials'!DZ106</f>
        <v/>
      </c>
      <c r="EM62" s="451">
        <f>'Raw financials'!EA106</f>
        <v/>
      </c>
      <c r="EN62" s="451">
        <f>'Raw financials'!EB106</f>
        <v/>
      </c>
      <c r="EO62" s="451">
        <f>'Raw financials'!EC106</f>
        <v/>
      </c>
      <c r="EP62" s="451">
        <f>'Raw financials'!ED106</f>
        <v/>
      </c>
      <c r="EQ62" s="451">
        <f>'Raw financials'!EE106</f>
        <v/>
      </c>
      <c r="ER62" s="451">
        <f>'Raw financials'!EF106</f>
        <v/>
      </c>
      <c r="ES62" s="451">
        <f>'Raw financials'!EG106</f>
        <v/>
      </c>
      <c r="ET62" s="451">
        <f>'Raw financials'!EH106</f>
        <v/>
      </c>
      <c r="EU62" s="451">
        <f>'Raw financials'!EI106</f>
        <v/>
      </c>
      <c r="EV62" s="451">
        <f>'Raw financials'!EJ106</f>
        <v/>
      </c>
      <c r="EW62" s="451">
        <f>'Raw financials'!EK106</f>
        <v/>
      </c>
      <c r="EX62" s="451">
        <f>'Raw financials'!EL106</f>
        <v/>
      </c>
      <c r="EY62" s="451">
        <f>'Raw financials'!EM106</f>
        <v/>
      </c>
      <c r="EZ62" s="454" t="n"/>
      <c r="FA62" s="454" t="n"/>
      <c r="FB62" s="452">
        <f>+FA62-EW62</f>
        <v/>
      </c>
      <c r="FC62" s="348">
        <f>+FB62/EW62</f>
        <v/>
      </c>
      <c r="FD62" s="451" t="n"/>
      <c r="FE62" s="451" t="n"/>
    </row>
    <row r="63">
      <c r="A63" s="6" t="inlineStr">
        <is>
          <t>Deferred tax asset</t>
        </is>
      </c>
      <c r="B63" s="451">
        <f>'Raw financials'!B108</f>
        <v/>
      </c>
      <c r="C63" s="451">
        <f>'Raw financials'!C108</f>
        <v/>
      </c>
      <c r="D63" s="451">
        <f>'Raw financials'!D108</f>
        <v/>
      </c>
      <c r="E63" s="451">
        <f>'Raw financials'!E108</f>
        <v/>
      </c>
      <c r="F63" s="451">
        <f>'Raw financials'!F108</f>
        <v/>
      </c>
      <c r="G63" s="451">
        <f>'Raw financials'!G108</f>
        <v/>
      </c>
      <c r="H63" s="451">
        <f>'Raw financials'!H108</f>
        <v/>
      </c>
      <c r="I63" s="451">
        <f>'Raw financials'!I108</f>
        <v/>
      </c>
      <c r="J63" s="451">
        <f>'Raw financials'!J108</f>
        <v/>
      </c>
      <c r="K63" s="497">
        <f>'Raw financials'!K108</f>
        <v/>
      </c>
      <c r="L63" s="451">
        <f>'Raw financials'!L108</f>
        <v/>
      </c>
      <c r="M63" s="451">
        <f>'Raw financials'!M108</f>
        <v/>
      </c>
      <c r="N63" s="451">
        <f>'Raw financials'!N108</f>
        <v/>
      </c>
      <c r="O63" s="451">
        <f>'Raw financials'!O108</f>
        <v/>
      </c>
      <c r="P63" s="451">
        <f>'Raw financials'!P108</f>
        <v/>
      </c>
      <c r="Q63" s="451">
        <f>'Raw financials'!Q108</f>
        <v/>
      </c>
      <c r="R63" s="451">
        <f>'Raw financials'!R108</f>
        <v/>
      </c>
      <c r="S63" s="451">
        <f>'Raw financials'!S108</f>
        <v/>
      </c>
      <c r="T63" s="451">
        <f>'Raw financials'!T108</f>
        <v/>
      </c>
      <c r="U63" s="459">
        <f>T63</f>
        <v/>
      </c>
      <c r="V63" s="459">
        <f>U63</f>
        <v/>
      </c>
      <c r="W63" s="459">
        <f>V63</f>
        <v/>
      </c>
      <c r="X63" s="459">
        <f>W63</f>
        <v/>
      </c>
      <c r="Y63" s="459">
        <f>X63</f>
        <v/>
      </c>
      <c r="Z63" s="459">
        <f>Y63</f>
        <v/>
      </c>
      <c r="AA63" s="452">
        <f>+U63-T63</f>
        <v/>
      </c>
      <c r="AB63" s="348">
        <f>+AA63/T63</f>
        <v/>
      </c>
      <c r="AC63" s="459" t="n">
        <v>3320.5671</v>
      </c>
      <c r="AD63" s="452">
        <f>+X63-W63</f>
        <v/>
      </c>
      <c r="AE63" s="348">
        <f>+AD63/W63</f>
        <v/>
      </c>
      <c r="AF63" s="451" t="n"/>
      <c r="AG63" s="451">
        <f>'Raw financials'!AA108</f>
        <v/>
      </c>
      <c r="AH63" s="451">
        <f>+B63</f>
        <v/>
      </c>
      <c r="AI63" s="451">
        <f>'Raw financials'!AB108</f>
        <v/>
      </c>
      <c r="AJ63" s="451">
        <f>+C63</f>
        <v/>
      </c>
      <c r="AK63" s="451">
        <f>'Raw financials'!AC108</f>
        <v/>
      </c>
      <c r="AL63" s="451">
        <f>+D63</f>
        <v/>
      </c>
      <c r="AM63" s="451">
        <f>'Raw financials'!AD108</f>
        <v/>
      </c>
      <c r="AN63" s="451">
        <f>+E63</f>
        <v/>
      </c>
      <c r="AO63" s="451">
        <f>'Raw financials'!AE108</f>
        <v/>
      </c>
      <c r="AP63" s="451">
        <f>+F63</f>
        <v/>
      </c>
      <c r="AQ63" s="451">
        <f>'Raw financials'!AF108</f>
        <v/>
      </c>
      <c r="AR63" s="451">
        <f>+G63</f>
        <v/>
      </c>
      <c r="AS63" s="451">
        <f>'Raw financials'!AG108</f>
        <v/>
      </c>
      <c r="AT63" s="451">
        <f>+H63</f>
        <v/>
      </c>
      <c r="AU63" s="451">
        <f>'Raw financials'!AH108</f>
        <v/>
      </c>
      <c r="AV63" s="451">
        <f>+I63</f>
        <v/>
      </c>
      <c r="AW63" s="451">
        <f>'Raw financials'!AI108</f>
        <v/>
      </c>
      <c r="AX63" s="451">
        <f>+J63</f>
        <v/>
      </c>
      <c r="AY63" s="451">
        <f>'Raw financials'!AJ108</f>
        <v/>
      </c>
      <c r="AZ63" s="451">
        <f>+K63</f>
        <v/>
      </c>
      <c r="BA63" s="451">
        <f>'Raw financials'!AK108</f>
        <v/>
      </c>
      <c r="BB63" s="451">
        <f>+L63</f>
        <v/>
      </c>
      <c r="BC63" s="451">
        <f>'Raw financials'!AL108</f>
        <v/>
      </c>
      <c r="BD63" s="451">
        <f>+M63</f>
        <v/>
      </c>
      <c r="BE63" s="451">
        <f>'Raw financials'!AM108</f>
        <v/>
      </c>
      <c r="BF63" s="451">
        <f>+N63</f>
        <v/>
      </c>
      <c r="BG63" s="451">
        <f>'Raw financials'!AN108</f>
        <v/>
      </c>
      <c r="BH63" s="451">
        <f>+O63</f>
        <v/>
      </c>
      <c r="BI63" s="451">
        <f>'Raw financials'!AO108</f>
        <v/>
      </c>
      <c r="BJ63" s="451">
        <f>+P63</f>
        <v/>
      </c>
      <c r="BK63" s="451">
        <f>'Raw financials'!AP108</f>
        <v/>
      </c>
      <c r="BL63" s="451">
        <f>+Q63</f>
        <v/>
      </c>
      <c r="BM63" s="451">
        <f>'Raw financials'!AQ108</f>
        <v/>
      </c>
      <c r="BN63" s="451">
        <f>+R63</f>
        <v/>
      </c>
      <c r="BO63" s="451">
        <f>'Raw financials'!AR108</f>
        <v/>
      </c>
      <c r="BP63" s="451">
        <f>+S63</f>
        <v/>
      </c>
      <c r="BQ63" s="451">
        <f>'Raw financials'!AS108</f>
        <v/>
      </c>
      <c r="BR63" s="451">
        <f>+T63</f>
        <v/>
      </c>
      <c r="BS63" s="451" t="n"/>
      <c r="BT63" s="451">
        <f>+U63</f>
        <v/>
      </c>
      <c r="BU63" s="453">
        <f>BT63-BR63</f>
        <v/>
      </c>
      <c r="BV63" s="379">
        <f>BU63/BR63</f>
        <v/>
      </c>
      <c r="BW63" s="489" t="n"/>
      <c r="BX63" s="489" t="n"/>
      <c r="BZ63" s="451">
        <f>'Raw financials'!BN108</f>
        <v/>
      </c>
      <c r="CA63" s="451">
        <f>'Raw financials'!BO108</f>
        <v/>
      </c>
      <c r="CB63" s="451">
        <f>'Raw financials'!BP108</f>
        <v/>
      </c>
      <c r="CC63" s="451">
        <f>'Raw financials'!BQ108</f>
        <v/>
      </c>
      <c r="CD63" s="451">
        <f>'Raw financials'!BR108</f>
        <v/>
      </c>
      <c r="CE63" s="451">
        <f>'Raw financials'!BS108</f>
        <v/>
      </c>
      <c r="CF63" s="451">
        <f>'Raw financials'!BT108</f>
        <v/>
      </c>
      <c r="CG63" s="451">
        <f>'Raw financials'!BU108</f>
        <v/>
      </c>
      <c r="CH63" s="451">
        <f>'Raw financials'!BV108</f>
        <v/>
      </c>
      <c r="CI63" s="451">
        <f>'Raw financials'!BW108</f>
        <v/>
      </c>
      <c r="CJ63" s="451">
        <f>'Raw financials'!BX108</f>
        <v/>
      </c>
      <c r="CK63" s="451">
        <f>'Raw financials'!BY108</f>
        <v/>
      </c>
      <c r="CL63" s="451">
        <f>'Raw financials'!BZ108</f>
        <v/>
      </c>
      <c r="CM63" s="451">
        <f>'Raw financials'!CA108</f>
        <v/>
      </c>
      <c r="CN63" s="451">
        <f>'Raw financials'!CB108</f>
        <v/>
      </c>
      <c r="CO63" s="451">
        <f>'Raw financials'!CC108</f>
        <v/>
      </c>
      <c r="CP63" s="451">
        <f>'Raw financials'!CD108</f>
        <v/>
      </c>
      <c r="CQ63" s="451">
        <f>'Raw financials'!CE108</f>
        <v/>
      </c>
      <c r="CR63" s="451">
        <f>'Raw financials'!CF108</f>
        <v/>
      </c>
      <c r="CS63" s="451">
        <f>'Raw financials'!CG108</f>
        <v/>
      </c>
      <c r="CT63" s="451">
        <f>'Raw financials'!CH108</f>
        <v/>
      </c>
      <c r="CU63" s="451">
        <f>'Raw financials'!CI108</f>
        <v/>
      </c>
      <c r="CV63" s="451">
        <f>'Raw financials'!CJ108</f>
        <v/>
      </c>
      <c r="CW63" s="451">
        <f>'Raw financials'!CK108</f>
        <v/>
      </c>
      <c r="CX63" s="451">
        <f>'Raw financials'!CL108</f>
        <v/>
      </c>
      <c r="CY63" s="451">
        <f>'Raw financials'!CM108</f>
        <v/>
      </c>
      <c r="CZ63" s="451">
        <f>'Raw financials'!CN108</f>
        <v/>
      </c>
      <c r="DA63" s="451">
        <f>'Raw financials'!CO108</f>
        <v/>
      </c>
      <c r="DB63" s="451">
        <f>'Raw financials'!CP108</f>
        <v/>
      </c>
      <c r="DC63" s="451">
        <f>'Raw financials'!CQ108</f>
        <v/>
      </c>
      <c r="DD63" s="451">
        <f>'Raw financials'!CR108</f>
        <v/>
      </c>
      <c r="DE63" s="451">
        <f>'Raw financials'!CS108</f>
        <v/>
      </c>
      <c r="DF63" s="451">
        <f>'Raw financials'!CT108</f>
        <v/>
      </c>
      <c r="DG63" s="451">
        <f>'Raw financials'!CU108</f>
        <v/>
      </c>
      <c r="DH63" s="451">
        <f>'Raw financials'!CV108</f>
        <v/>
      </c>
      <c r="DI63" s="451">
        <f>'Raw financials'!CW108</f>
        <v/>
      </c>
      <c r="DJ63" s="451">
        <f>'Raw financials'!CX108</f>
        <v/>
      </c>
      <c r="DK63" s="451">
        <f>'Raw financials'!CY108</f>
        <v/>
      </c>
      <c r="DL63" s="451">
        <f>'Raw financials'!CZ108</f>
        <v/>
      </c>
      <c r="DM63" s="451">
        <f>'Raw financials'!DA108</f>
        <v/>
      </c>
      <c r="DN63" s="451">
        <f>'Raw financials'!DB108</f>
        <v/>
      </c>
      <c r="DO63" s="451">
        <f>'Raw financials'!DC108</f>
        <v/>
      </c>
      <c r="DP63" s="451">
        <f>'Raw financials'!DD108</f>
        <v/>
      </c>
      <c r="DQ63" s="451">
        <f>'Raw financials'!DE108</f>
        <v/>
      </c>
      <c r="DR63" s="451">
        <f>'Raw financials'!DF108</f>
        <v/>
      </c>
      <c r="DS63" s="451">
        <f>'Raw financials'!DG108</f>
        <v/>
      </c>
      <c r="DT63" s="451">
        <f>'Raw financials'!DH108</f>
        <v/>
      </c>
      <c r="DU63" s="451">
        <f>'Raw financials'!DI108</f>
        <v/>
      </c>
      <c r="DV63" s="451">
        <f>'Raw financials'!DJ108</f>
        <v/>
      </c>
      <c r="DW63" s="451">
        <f>'Raw financials'!DK108</f>
        <v/>
      </c>
      <c r="DX63" s="451" t="n"/>
      <c r="DY63" s="451" t="n"/>
      <c r="DZ63" s="451">
        <f>'Raw financials'!DN108</f>
        <v/>
      </c>
      <c r="EA63" s="451">
        <f>'Raw financials'!DO108</f>
        <v/>
      </c>
      <c r="EB63" s="451">
        <f>'Raw financials'!DP108</f>
        <v/>
      </c>
      <c r="EC63" s="451">
        <f>'Raw financials'!DQ108</f>
        <v/>
      </c>
      <c r="ED63" s="451">
        <f>'Raw financials'!DR108</f>
        <v/>
      </c>
      <c r="EE63" s="451">
        <f>'Raw financials'!DS108</f>
        <v/>
      </c>
      <c r="EF63" s="451">
        <f>'Raw financials'!DT108</f>
        <v/>
      </c>
      <c r="EG63" s="451">
        <f>'Raw financials'!DU108</f>
        <v/>
      </c>
      <c r="EH63" s="451">
        <f>'Raw financials'!DV108</f>
        <v/>
      </c>
      <c r="EI63" s="451">
        <f>'Raw financials'!DW108</f>
        <v/>
      </c>
      <c r="EJ63" s="451">
        <f>'Raw financials'!DX108</f>
        <v/>
      </c>
      <c r="EK63" s="451">
        <f>'Raw financials'!DY108</f>
        <v/>
      </c>
      <c r="EL63" s="451">
        <f>'Raw financials'!DZ108</f>
        <v/>
      </c>
      <c r="EM63" s="451">
        <f>'Raw financials'!EA108</f>
        <v/>
      </c>
      <c r="EN63" s="451">
        <f>'Raw financials'!EB108</f>
        <v/>
      </c>
      <c r="EO63" s="451">
        <f>'Raw financials'!EC108</f>
        <v/>
      </c>
      <c r="EP63" s="451">
        <f>'Raw financials'!ED108</f>
        <v/>
      </c>
      <c r="EQ63" s="451">
        <f>'Raw financials'!EE108</f>
        <v/>
      </c>
      <c r="ER63" s="451">
        <f>'Raw financials'!EF108</f>
        <v/>
      </c>
      <c r="ES63" s="451">
        <f>'Raw financials'!EG108</f>
        <v/>
      </c>
      <c r="ET63" s="451">
        <f>'Raw financials'!EH108</f>
        <v/>
      </c>
      <c r="EU63" s="451">
        <f>'Raw financials'!EI108</f>
        <v/>
      </c>
      <c r="EV63" s="451">
        <f>'Raw financials'!EJ108</f>
        <v/>
      </c>
      <c r="EW63" s="451">
        <f>'Raw financials'!EK108</f>
        <v/>
      </c>
      <c r="EX63" s="451">
        <f>'Raw financials'!EL108</f>
        <v/>
      </c>
      <c r="EY63" s="451">
        <f>'Raw financials'!EM108</f>
        <v/>
      </c>
      <c r="EZ63" s="454" t="n"/>
      <c r="FA63" s="454" t="n"/>
      <c r="FB63" s="452">
        <f>+FA63-EW63</f>
        <v/>
      </c>
      <c r="FC63" s="348">
        <f>+FB63/EW63</f>
        <v/>
      </c>
      <c r="FD63" s="451" t="n"/>
      <c r="FE63" s="451" t="n"/>
    </row>
    <row r="64">
      <c r="A64" s="6" t="inlineStr">
        <is>
          <t>Other non-current assets</t>
        </is>
      </c>
      <c r="B64" s="451">
        <f>SUM('Raw financials'!B103,'Raw financials'!B104,'Raw financials'!B107,'Raw financials'!B109)</f>
        <v/>
      </c>
      <c r="C64" s="451">
        <f>SUM('Raw financials'!C103,'Raw financials'!C104,'Raw financials'!C107,'Raw financials'!C109)</f>
        <v/>
      </c>
      <c r="D64" s="451">
        <f>SUM('Raw financials'!D103,'Raw financials'!D104,'Raw financials'!D107,'Raw financials'!D109)</f>
        <v/>
      </c>
      <c r="E64" s="451">
        <f>SUM('Raw financials'!E103,'Raw financials'!E104,'Raw financials'!E107,'Raw financials'!E109)</f>
        <v/>
      </c>
      <c r="F64" s="451">
        <f>SUM('Raw financials'!F103,'Raw financials'!F104,'Raw financials'!F107,'Raw financials'!F109)</f>
        <v/>
      </c>
      <c r="G64" s="451">
        <f>SUM('Raw financials'!G103,'Raw financials'!G104,'Raw financials'!G107,'Raw financials'!G109)</f>
        <v/>
      </c>
      <c r="H64" s="451">
        <f>SUM('Raw financials'!H103,'Raw financials'!H104,'Raw financials'!H107,'Raw financials'!H109)</f>
        <v/>
      </c>
      <c r="I64" s="451">
        <f>SUM('Raw financials'!I103,'Raw financials'!I104,'Raw financials'!I107,'Raw financials'!I109)</f>
        <v/>
      </c>
      <c r="J64" s="451">
        <f>SUM('Raw financials'!J103,'Raw financials'!J104,'Raw financials'!J107,'Raw financials'!J109)</f>
        <v/>
      </c>
      <c r="K64" s="497">
        <f>SUM('Raw financials'!K103,'Raw financials'!K104,'Raw financials'!K107,'Raw financials'!K109)</f>
        <v/>
      </c>
      <c r="L64" s="451">
        <f>SUM('Raw financials'!L103,'Raw financials'!L104,'Raw financials'!L107,'Raw financials'!L109)</f>
        <v/>
      </c>
      <c r="M64" s="451">
        <f>SUM('Raw financials'!M103,'Raw financials'!M104,'Raw financials'!M107,'Raw financials'!M109)</f>
        <v/>
      </c>
      <c r="N64" s="451">
        <f>SUM('Raw financials'!N103,'Raw financials'!N104,'Raw financials'!N107,'Raw financials'!N109)</f>
        <v/>
      </c>
      <c r="O64" s="451">
        <f>SUM('Raw financials'!O103,'Raw financials'!O104,'Raw financials'!O107,'Raw financials'!O109)</f>
        <v/>
      </c>
      <c r="P64" s="451">
        <f>SUM('Raw financials'!P103,'Raw financials'!P104,'Raw financials'!P107,'Raw financials'!P109)</f>
        <v/>
      </c>
      <c r="Q64" s="451">
        <f>SUM('Raw financials'!Q103,'Raw financials'!Q104,'Raw financials'!Q107,'Raw financials'!Q109)</f>
        <v/>
      </c>
      <c r="R64" s="451">
        <f>SUM('Raw financials'!R103,'Raw financials'!R104,'Raw financials'!R107,'Raw financials'!R109)</f>
        <v/>
      </c>
      <c r="S64" s="451">
        <f>SUM('Raw financials'!S103,'Raw financials'!S104,'Raw financials'!S107,'Raw financials'!S109)</f>
        <v/>
      </c>
      <c r="T64" s="451">
        <f>SUM('Raw financials'!T103,'Raw financials'!T104,'Raw financials'!T107,'Raw financials'!T109)</f>
        <v/>
      </c>
      <c r="U64" s="459">
        <f>T64</f>
        <v/>
      </c>
      <c r="V64" s="459">
        <f>U64</f>
        <v/>
      </c>
      <c r="W64" s="459">
        <f>V64</f>
        <v/>
      </c>
      <c r="X64" s="459">
        <f>W64</f>
        <v/>
      </c>
      <c r="Y64" s="459">
        <f>X64</f>
        <v/>
      </c>
      <c r="Z64" s="459">
        <f>Y64</f>
        <v/>
      </c>
      <c r="AA64" s="452">
        <f>+U64-T64</f>
        <v/>
      </c>
      <c r="AB64" s="348">
        <f>+AA64/T64</f>
        <v/>
      </c>
      <c r="AC64" s="459" t="n">
        <v>7601.3349</v>
      </c>
      <c r="AD64" s="452">
        <f>+X64-W64</f>
        <v/>
      </c>
      <c r="AE64" s="348">
        <f>+AD64/W64</f>
        <v/>
      </c>
      <c r="AF64" s="451" t="n"/>
      <c r="AG64" s="451">
        <f>SUM('Raw financials'!AA103,'Raw financials'!AA104,'Raw financials'!AA107,'Raw financials'!AA109)</f>
        <v/>
      </c>
      <c r="AH64" s="451">
        <f>+B64</f>
        <v/>
      </c>
      <c r="AI64" s="451">
        <f>SUM('Raw financials'!AB103,'Raw financials'!AB104,'Raw financials'!AB107,'Raw financials'!AB109)</f>
        <v/>
      </c>
      <c r="AJ64" s="451">
        <f>+C64</f>
        <v/>
      </c>
      <c r="AK64" s="451">
        <f>SUM('Raw financials'!AC103,'Raw financials'!AC104,'Raw financials'!AC107,'Raw financials'!AC109)</f>
        <v/>
      </c>
      <c r="AL64" s="451">
        <f>+D64</f>
        <v/>
      </c>
      <c r="AM64" s="451">
        <f>SUM('Raw financials'!AD103,'Raw financials'!AD104,'Raw financials'!AD107,'Raw financials'!AD109)</f>
        <v/>
      </c>
      <c r="AN64" s="451">
        <f>+E64</f>
        <v/>
      </c>
      <c r="AO64" s="451">
        <f>SUM('Raw financials'!AE103,'Raw financials'!AE104,'Raw financials'!AE107,'Raw financials'!AE109)</f>
        <v/>
      </c>
      <c r="AP64" s="451">
        <f>+F64</f>
        <v/>
      </c>
      <c r="AQ64" s="451">
        <f>SUM('Raw financials'!AF103,'Raw financials'!AF104,'Raw financials'!AF107,'Raw financials'!AF109)</f>
        <v/>
      </c>
      <c r="AR64" s="451">
        <f>+G64</f>
        <v/>
      </c>
      <c r="AS64" s="451">
        <f>SUM('Raw financials'!AG103,'Raw financials'!AG104,'Raw financials'!AG107,'Raw financials'!AG109)</f>
        <v/>
      </c>
      <c r="AT64" s="451">
        <f>+H64</f>
        <v/>
      </c>
      <c r="AU64" s="451">
        <f>SUM('Raw financials'!AH103,'Raw financials'!AH104,'Raw financials'!AH107,'Raw financials'!AH109)</f>
        <v/>
      </c>
      <c r="AV64" s="451">
        <f>+I64</f>
        <v/>
      </c>
      <c r="AW64" s="451">
        <f>SUM('Raw financials'!AI103,'Raw financials'!AI104,'Raw financials'!AI107,'Raw financials'!AI109)</f>
        <v/>
      </c>
      <c r="AX64" s="451">
        <f>+J64</f>
        <v/>
      </c>
      <c r="AY64" s="451">
        <f>SUM('Raw financials'!AJ103,'Raw financials'!AJ104,'Raw financials'!AJ107,'Raw financials'!AJ109)</f>
        <v/>
      </c>
      <c r="AZ64" s="451">
        <f>+K64</f>
        <v/>
      </c>
      <c r="BA64" s="451">
        <f>SUM('Raw financials'!AK103,'Raw financials'!AK104,'Raw financials'!AK107,'Raw financials'!AK109)</f>
        <v/>
      </c>
      <c r="BB64" s="451">
        <f>+L64</f>
        <v/>
      </c>
      <c r="BC64" s="451">
        <f>SUM('Raw financials'!AL103,'Raw financials'!AL104,'Raw financials'!AL107,'Raw financials'!AL109)</f>
        <v/>
      </c>
      <c r="BD64" s="451">
        <f>+M64</f>
        <v/>
      </c>
      <c r="BE64" s="451">
        <f>SUM('Raw financials'!AM103,'Raw financials'!AM104,'Raw financials'!AM107,'Raw financials'!AM109)</f>
        <v/>
      </c>
      <c r="BF64" s="451">
        <f>+N64</f>
        <v/>
      </c>
      <c r="BG64" s="451">
        <f>SUM('Raw financials'!AN103,'Raw financials'!AN104,'Raw financials'!AN107,'Raw financials'!AN109)</f>
        <v/>
      </c>
      <c r="BH64" s="451">
        <f>+O64</f>
        <v/>
      </c>
      <c r="BI64" s="451">
        <f>SUM('Raw financials'!AO103,'Raw financials'!AO104,'Raw financials'!AO107,'Raw financials'!AO109)</f>
        <v/>
      </c>
      <c r="BJ64" s="451">
        <f>+P64</f>
        <v/>
      </c>
      <c r="BK64" s="451">
        <f>SUM('Raw financials'!AP103,'Raw financials'!AP104,'Raw financials'!AP107,'Raw financials'!AP109)</f>
        <v/>
      </c>
      <c r="BL64" s="451">
        <f>+Q64</f>
        <v/>
      </c>
      <c r="BM64" s="451">
        <f>SUM('Raw financials'!AQ103,'Raw financials'!AQ104,'Raw financials'!AQ107,'Raw financials'!AQ109)</f>
        <v/>
      </c>
      <c r="BN64" s="451">
        <f>+R64</f>
        <v/>
      </c>
      <c r="BO64" s="451">
        <f>SUM('Raw financials'!AR103,'Raw financials'!AR104,'Raw financials'!AR107,'Raw financials'!AR109)</f>
        <v/>
      </c>
      <c r="BP64" s="451">
        <f>+S64</f>
        <v/>
      </c>
      <c r="BQ64" s="451">
        <f>SUM('Raw financials'!AS103,'Raw financials'!AS104,'Raw financials'!AS107,'Raw financials'!AS109)</f>
        <v/>
      </c>
      <c r="BR64" s="451">
        <f>+T64</f>
        <v/>
      </c>
      <c r="BS64" s="451" t="n"/>
      <c r="BT64" s="451">
        <f>+U64</f>
        <v/>
      </c>
      <c r="BU64" s="453">
        <f>BT64-BR64</f>
        <v/>
      </c>
      <c r="BV64" s="379">
        <f>BU64/BR64</f>
        <v/>
      </c>
      <c r="BW64" s="489" t="n"/>
      <c r="BX64" s="489" t="n"/>
      <c r="BZ64" s="451">
        <f>SUM('Raw financials'!BN103,'Raw financials'!BN104,'Raw financials'!BN107,'Raw financials'!BN109)</f>
        <v/>
      </c>
      <c r="CA64" s="451">
        <f>SUM('Raw financials'!BO103,'Raw financials'!BO104,'Raw financials'!BO107,'Raw financials'!BO109)</f>
        <v/>
      </c>
      <c r="CB64" s="451">
        <f>SUM('Raw financials'!BP103,'Raw financials'!BP104,'Raw financials'!BP107,'Raw financials'!BP109)</f>
        <v/>
      </c>
      <c r="CC64" s="451">
        <f>SUM('Raw financials'!BQ103,'Raw financials'!BQ104,'Raw financials'!BQ107,'Raw financials'!BQ109)</f>
        <v/>
      </c>
      <c r="CD64" s="451">
        <f>SUM('Raw financials'!BR103,'Raw financials'!BR104,'Raw financials'!BR107,'Raw financials'!BR109)</f>
        <v/>
      </c>
      <c r="CE64" s="451">
        <f>SUM('Raw financials'!BS103,'Raw financials'!BS104,'Raw financials'!BS107,'Raw financials'!BS109)</f>
        <v/>
      </c>
      <c r="CF64" s="451">
        <f>SUM('Raw financials'!BT103,'Raw financials'!BT104,'Raw financials'!BT107,'Raw financials'!BT109)</f>
        <v/>
      </c>
      <c r="CG64" s="451">
        <f>SUM('Raw financials'!BU103,'Raw financials'!BU104,'Raw financials'!BU107,'Raw financials'!BU109)</f>
        <v/>
      </c>
      <c r="CH64" s="451">
        <f>SUM('Raw financials'!BV103,'Raw financials'!BV104,'Raw financials'!BV107,'Raw financials'!BV109)</f>
        <v/>
      </c>
      <c r="CI64" s="451">
        <f>SUM('Raw financials'!BW103,'Raw financials'!BW104,'Raw financials'!BW107,'Raw financials'!BW109)</f>
        <v/>
      </c>
      <c r="CJ64" s="451">
        <f>SUM('Raw financials'!BX103,'Raw financials'!BX104,'Raw financials'!BX107,'Raw financials'!BX109)</f>
        <v/>
      </c>
      <c r="CK64" s="451">
        <f>SUM('Raw financials'!BY103,'Raw financials'!BY104,'Raw financials'!BY107,'Raw financials'!BY109)</f>
        <v/>
      </c>
      <c r="CL64" s="451">
        <f>SUM('Raw financials'!BZ103,'Raw financials'!BZ104,'Raw financials'!BZ107,'Raw financials'!BZ109)</f>
        <v/>
      </c>
      <c r="CM64" s="451">
        <f>SUM('Raw financials'!CA103,'Raw financials'!CA104,'Raw financials'!CA107,'Raw financials'!CA109)</f>
        <v/>
      </c>
      <c r="CN64" s="451">
        <f>SUM('Raw financials'!CB103,'Raw financials'!CB104,'Raw financials'!CB107,'Raw financials'!CB109)</f>
        <v/>
      </c>
      <c r="CO64" s="451">
        <f>SUM('Raw financials'!CC103,'Raw financials'!CC104,'Raw financials'!CC107,'Raw financials'!CC109)</f>
        <v/>
      </c>
      <c r="CP64" s="451">
        <f>SUM('Raw financials'!CD103,'Raw financials'!CD104,'Raw financials'!CD107,'Raw financials'!CD109)</f>
        <v/>
      </c>
      <c r="CQ64" s="451">
        <f>SUM('Raw financials'!CE103,'Raw financials'!CE104,'Raw financials'!CE107,'Raw financials'!CE109)</f>
        <v/>
      </c>
      <c r="CR64" s="451">
        <f>SUM('Raw financials'!CF103,'Raw financials'!CF104,'Raw financials'!CF107,'Raw financials'!CF109)</f>
        <v/>
      </c>
      <c r="CS64" s="451">
        <f>SUM('Raw financials'!CG103,'Raw financials'!CG104,'Raw financials'!CG107,'Raw financials'!CG109)</f>
        <v/>
      </c>
      <c r="CT64" s="451">
        <f>SUM('Raw financials'!CH103,'Raw financials'!CH104,'Raw financials'!CH107,'Raw financials'!CH109)</f>
        <v/>
      </c>
      <c r="CU64" s="451">
        <f>SUM('Raw financials'!CI103,'Raw financials'!CI104,'Raw financials'!CI107,'Raw financials'!CI109)</f>
        <v/>
      </c>
      <c r="CV64" s="451">
        <f>SUM('Raw financials'!CJ103,'Raw financials'!CJ104,'Raw financials'!CJ107,'Raw financials'!CJ109)</f>
        <v/>
      </c>
      <c r="CW64" s="451">
        <f>SUM('Raw financials'!CK103,'Raw financials'!CK104,'Raw financials'!CK107,'Raw financials'!CK109)</f>
        <v/>
      </c>
      <c r="CX64" s="451">
        <f>SUM('Raw financials'!CL103,'Raw financials'!CL104,'Raw financials'!CL107,'Raw financials'!CL109)</f>
        <v/>
      </c>
      <c r="CY64" s="451">
        <f>SUM('Raw financials'!CM103,'Raw financials'!CM104,'Raw financials'!CM107,'Raw financials'!CM109)</f>
        <v/>
      </c>
      <c r="CZ64" s="451">
        <f>SUM('Raw financials'!CN103,'Raw financials'!CN104,'Raw financials'!CN107,'Raw financials'!CN109)</f>
        <v/>
      </c>
      <c r="DA64" s="451">
        <f>SUM('Raw financials'!CO103,'Raw financials'!CO104,'Raw financials'!CO107,'Raw financials'!CO109)</f>
        <v/>
      </c>
      <c r="DB64" s="451">
        <f>SUM('Raw financials'!CP103,'Raw financials'!CP104,'Raw financials'!CP107,'Raw financials'!CP109)</f>
        <v/>
      </c>
      <c r="DC64" s="451">
        <f>SUM('Raw financials'!CQ103,'Raw financials'!CQ104,'Raw financials'!CQ107,'Raw financials'!CQ109)</f>
        <v/>
      </c>
      <c r="DD64" s="451">
        <f>SUM('Raw financials'!CR103,'Raw financials'!CR104,'Raw financials'!CR107,'Raw financials'!CR109)</f>
        <v/>
      </c>
      <c r="DE64" s="451">
        <f>SUM('Raw financials'!CS103,'Raw financials'!CS104,'Raw financials'!CS107,'Raw financials'!CS109)</f>
        <v/>
      </c>
      <c r="DF64" s="451">
        <f>SUM('Raw financials'!CT103,'Raw financials'!CT104,'Raw financials'!CT107,'Raw financials'!CT109)</f>
        <v/>
      </c>
      <c r="DG64" s="451">
        <f>SUM('Raw financials'!CU103,'Raw financials'!CU104,'Raw financials'!CU107,'Raw financials'!CU109)</f>
        <v/>
      </c>
      <c r="DH64" s="451">
        <f>SUM('Raw financials'!CV103,'Raw financials'!CV104,'Raw financials'!CV107,'Raw financials'!CV109)</f>
        <v/>
      </c>
      <c r="DI64" s="451">
        <f>SUM('Raw financials'!CW103,'Raw financials'!CW104,'Raw financials'!CW107,'Raw financials'!CW109)</f>
        <v/>
      </c>
      <c r="DJ64" s="451">
        <f>SUM('Raw financials'!CX103,'Raw financials'!CX104,'Raw financials'!CX107,'Raw financials'!CX109)</f>
        <v/>
      </c>
      <c r="DK64" s="451">
        <f>SUM('Raw financials'!CY103,'Raw financials'!CY104,'Raw financials'!CY107,'Raw financials'!CY109)</f>
        <v/>
      </c>
      <c r="DL64" s="451">
        <f>SUM('Raw financials'!CZ103,'Raw financials'!CZ104,'Raw financials'!CZ107,'Raw financials'!CZ109)</f>
        <v/>
      </c>
      <c r="DM64" s="451">
        <f>SUM('Raw financials'!DA103,'Raw financials'!DA104,'Raw financials'!DA107,'Raw financials'!DA109)</f>
        <v/>
      </c>
      <c r="DN64" s="451">
        <f>SUM('Raw financials'!DB103,'Raw financials'!DB104,'Raw financials'!DB107,'Raw financials'!DB109)</f>
        <v/>
      </c>
      <c r="DO64" s="451">
        <f>SUM('Raw financials'!DC103,'Raw financials'!DC104,'Raw financials'!DC107,'Raw financials'!DC109)</f>
        <v/>
      </c>
      <c r="DP64" s="451">
        <f>SUM('Raw financials'!DD103,'Raw financials'!DD104,'Raw financials'!DD107,'Raw financials'!DD109)</f>
        <v/>
      </c>
      <c r="DQ64" s="451">
        <f>SUM('Raw financials'!DE103,'Raw financials'!DE104,'Raw financials'!DE107,'Raw financials'!DE109)</f>
        <v/>
      </c>
      <c r="DR64" s="451">
        <f>SUM('Raw financials'!DF103,'Raw financials'!DF104,'Raw financials'!DF107,'Raw financials'!DF109)</f>
        <v/>
      </c>
      <c r="DS64" s="451">
        <f>SUM('Raw financials'!DG103,'Raw financials'!DG104,'Raw financials'!DG107,'Raw financials'!DG109)</f>
        <v/>
      </c>
      <c r="DT64" s="451">
        <f>SUM('Raw financials'!DH103,'Raw financials'!DH104,'Raw financials'!DH107,'Raw financials'!DH109)</f>
        <v/>
      </c>
      <c r="DU64" s="451">
        <f>SUM('Raw financials'!DI103,'Raw financials'!DI104,'Raw financials'!DI107,'Raw financials'!DI109)</f>
        <v/>
      </c>
      <c r="DV64" s="451">
        <f>SUM('Raw financials'!DJ103,'Raw financials'!DJ104,'Raw financials'!DJ107,'Raw financials'!DJ109)</f>
        <v/>
      </c>
      <c r="DW64" s="451">
        <f>SUM('Raw financials'!DK103,'Raw financials'!DK104,'Raw financials'!DK107,'Raw financials'!DK109)</f>
        <v/>
      </c>
      <c r="DX64" s="451" t="n"/>
      <c r="DY64" s="451" t="n"/>
      <c r="DZ64" s="451">
        <f>SUM('Raw financials'!DN103,'Raw financials'!DN104,'Raw financials'!DN107,'Raw financials'!DN109)</f>
        <v/>
      </c>
      <c r="EA64" s="451">
        <f>SUM('Raw financials'!DO103,'Raw financials'!DO104,'Raw financials'!DO107,'Raw financials'!DO109)</f>
        <v/>
      </c>
      <c r="EB64" s="451">
        <f>SUM('Raw financials'!DP103,'Raw financials'!DP104,'Raw financials'!DP107,'Raw financials'!DP109)</f>
        <v/>
      </c>
      <c r="EC64" s="451">
        <f>SUM('Raw financials'!DQ103,'Raw financials'!DQ104,'Raw financials'!DQ107,'Raw financials'!DQ109)</f>
        <v/>
      </c>
      <c r="ED64" s="451">
        <f>SUM('Raw financials'!DR103,'Raw financials'!DR104,'Raw financials'!DR107,'Raw financials'!DR109)</f>
        <v/>
      </c>
      <c r="EE64" s="451">
        <f>SUM('Raw financials'!DS103,'Raw financials'!DS104,'Raw financials'!DS107,'Raw financials'!DS109)</f>
        <v/>
      </c>
      <c r="EF64" s="451">
        <f>SUM('Raw financials'!DT103,'Raw financials'!DT104,'Raw financials'!DT107,'Raw financials'!DT109)</f>
        <v/>
      </c>
      <c r="EG64" s="451">
        <f>SUM('Raw financials'!DU103,'Raw financials'!DU104,'Raw financials'!DU107,'Raw financials'!DU109)</f>
        <v/>
      </c>
      <c r="EH64" s="451">
        <f>SUM('Raw financials'!DV103,'Raw financials'!DV104,'Raw financials'!DV107,'Raw financials'!DV109)</f>
        <v/>
      </c>
      <c r="EI64" s="451">
        <f>SUM('Raw financials'!DW103,'Raw financials'!DW104,'Raw financials'!DW107,'Raw financials'!DW109)</f>
        <v/>
      </c>
      <c r="EJ64" s="451">
        <f>SUM('Raw financials'!DX103,'Raw financials'!DX104,'Raw financials'!DX107,'Raw financials'!DX109)</f>
        <v/>
      </c>
      <c r="EK64" s="451">
        <f>SUM('Raw financials'!DY103,'Raw financials'!DY104,'Raw financials'!DY107,'Raw financials'!DY109)</f>
        <v/>
      </c>
      <c r="EL64" s="451">
        <f>SUM('Raw financials'!DZ103,'Raw financials'!DZ104,'Raw financials'!DZ107,'Raw financials'!DZ109)</f>
        <v/>
      </c>
      <c r="EM64" s="451">
        <f>SUM('Raw financials'!EA103,'Raw financials'!EA104,'Raw financials'!EA107,'Raw financials'!EA109)</f>
        <v/>
      </c>
      <c r="EN64" s="451">
        <f>SUM('Raw financials'!EB103,'Raw financials'!EB104,'Raw financials'!EB107,'Raw financials'!EB109)</f>
        <v/>
      </c>
      <c r="EO64" s="451">
        <f>SUM('Raw financials'!EC103,'Raw financials'!EC104,'Raw financials'!EC107,'Raw financials'!EC109)</f>
        <v/>
      </c>
      <c r="EP64" s="451">
        <f>SUM('Raw financials'!ED103,'Raw financials'!ED104,'Raw financials'!ED107,'Raw financials'!ED109)</f>
        <v/>
      </c>
      <c r="EQ64" s="451">
        <f>SUM('Raw financials'!EE103,'Raw financials'!EE104,'Raw financials'!EE107,'Raw financials'!EE109)</f>
        <v/>
      </c>
      <c r="ER64" s="451">
        <f>SUM('Raw financials'!EF103,'Raw financials'!EF104,'Raw financials'!EF107,'Raw financials'!EF109)</f>
        <v/>
      </c>
      <c r="ES64" s="451">
        <f>SUM('Raw financials'!EG103,'Raw financials'!EG104,'Raw financials'!EG107,'Raw financials'!EG109)</f>
        <v/>
      </c>
      <c r="ET64" s="451">
        <f>SUM('Raw financials'!EH103,'Raw financials'!EH104,'Raw financials'!EH107,'Raw financials'!EH109)</f>
        <v/>
      </c>
      <c r="EU64" s="451">
        <f>SUM('Raw financials'!EI103,'Raw financials'!EI104,'Raw financials'!EI107,'Raw financials'!EI109)</f>
        <v/>
      </c>
      <c r="EV64" s="451">
        <f>SUM('Raw financials'!EJ103,'Raw financials'!EJ104,'Raw financials'!EJ107,'Raw financials'!EJ109)</f>
        <v/>
      </c>
      <c r="EW64" s="451">
        <f>SUM('Raw financials'!EK103,'Raw financials'!EK104,'Raw financials'!EK107,'Raw financials'!EK109)</f>
        <v/>
      </c>
      <c r="EX64" s="451">
        <f>SUM('Raw financials'!EL103,'Raw financials'!EL104,'Raw financials'!EL107,'Raw financials'!EL109)</f>
        <v/>
      </c>
      <c r="EY64" s="451">
        <f>SUM('Raw financials'!EM103,'Raw financials'!EM104,'Raw financials'!EM107,'Raw financials'!EM109)</f>
        <v/>
      </c>
      <c r="EZ64" s="454" t="n"/>
      <c r="FA64" s="454" t="n"/>
      <c r="FB64" s="452">
        <f>+FA64-EW64</f>
        <v/>
      </c>
      <c r="FC64" s="348">
        <f>+FB64/EW64</f>
        <v/>
      </c>
      <c r="FD64" s="451" t="n"/>
      <c r="FE64" s="451" t="n"/>
    </row>
    <row r="65">
      <c r="A65" s="21" t="inlineStr">
        <is>
          <t>Total non-current assets</t>
        </is>
      </c>
      <c r="B65" s="498">
        <f>SUM(B56:B64)</f>
        <v/>
      </c>
      <c r="C65" s="498">
        <f>SUM(C56:C64)</f>
        <v/>
      </c>
      <c r="D65" s="498">
        <f>SUM(D56:D64)</f>
        <v/>
      </c>
      <c r="E65" s="498">
        <f>SUM(E56:E64)</f>
        <v/>
      </c>
      <c r="F65" s="498">
        <f>SUM(F56:F64)</f>
        <v/>
      </c>
      <c r="G65" s="498">
        <f>SUM(G56:G64)</f>
        <v/>
      </c>
      <c r="H65" s="498">
        <f>SUM(H56:H64)</f>
        <v/>
      </c>
      <c r="I65" s="498">
        <f>SUM(I56:I64)</f>
        <v/>
      </c>
      <c r="J65" s="498">
        <f>SUM(J56:J64)</f>
        <v/>
      </c>
      <c r="K65" s="498">
        <f>SUM(K56:K64)</f>
        <v/>
      </c>
      <c r="L65" s="498">
        <f>SUM(L56:L64)</f>
        <v/>
      </c>
      <c r="M65" s="498">
        <f>SUM(M56:M64)</f>
        <v/>
      </c>
      <c r="N65" s="498">
        <f>SUM(N56:N64)</f>
        <v/>
      </c>
      <c r="O65" s="498">
        <f>SUM(O56:O64)</f>
        <v/>
      </c>
      <c r="P65" s="498">
        <f>SUM(P56:P64)</f>
        <v/>
      </c>
      <c r="Q65" s="498">
        <f>SUM(Q56:Q64)</f>
        <v/>
      </c>
      <c r="R65" s="498">
        <f>SUM(R56:R64)</f>
        <v/>
      </c>
      <c r="S65" s="498">
        <f>SUM(S56:S64)</f>
        <v/>
      </c>
      <c r="T65" s="498">
        <f>SUM(T56:T64)</f>
        <v/>
      </c>
      <c r="U65" s="498">
        <f>SUM(U56:U64)</f>
        <v/>
      </c>
      <c r="V65" s="498">
        <f>SUM(V56:V64)</f>
        <v/>
      </c>
      <c r="W65" s="498">
        <f>SUM(W56:W64)</f>
        <v/>
      </c>
      <c r="X65" s="498">
        <f>SUM(X56:X64)</f>
        <v/>
      </c>
      <c r="Y65" s="498">
        <f>SUM(Y56:Y64)</f>
        <v/>
      </c>
      <c r="Z65" s="498">
        <f>SUM(Z56:Z64)</f>
        <v/>
      </c>
      <c r="AA65" s="499">
        <f>+U65-T65</f>
        <v/>
      </c>
      <c r="AB65" s="371">
        <f>+AA65/T65</f>
        <v/>
      </c>
      <c r="AC65" s="500" t="n">
        <v>50317.2606874772</v>
      </c>
      <c r="AD65" s="501">
        <f>+X65-W65</f>
        <v/>
      </c>
      <c r="AE65" s="371">
        <f>+AD65/W65</f>
        <v/>
      </c>
      <c r="AF65" s="451" t="n"/>
      <c r="AG65" s="498">
        <f>SUM(AG56:AG64)</f>
        <v/>
      </c>
      <c r="AH65" s="498">
        <f>SUM(AH56:AH64)</f>
        <v/>
      </c>
      <c r="AI65" s="498">
        <f>SUM(AI56:AI64)</f>
        <v/>
      </c>
      <c r="AJ65" s="498">
        <f>SUM(AJ56:AJ64)</f>
        <v/>
      </c>
      <c r="AK65" s="498">
        <f>SUM(AK56:AK64)</f>
        <v/>
      </c>
      <c r="AL65" s="498">
        <f>SUM(AL56:AL64)</f>
        <v/>
      </c>
      <c r="AM65" s="498">
        <f>SUM(AM56:AM64)</f>
        <v/>
      </c>
      <c r="AN65" s="498">
        <f>SUM(AN56:AN64)</f>
        <v/>
      </c>
      <c r="AO65" s="498">
        <f>SUM(AO56:AO64)</f>
        <v/>
      </c>
      <c r="AP65" s="498">
        <f>SUM(AP56:AP64)</f>
        <v/>
      </c>
      <c r="AQ65" s="498">
        <f>SUM(AQ56:AQ64)</f>
        <v/>
      </c>
      <c r="AR65" s="498">
        <f>SUM(AR56:AR64)</f>
        <v/>
      </c>
      <c r="AS65" s="498">
        <f>SUM(AS56:AS64)</f>
        <v/>
      </c>
      <c r="AT65" s="498">
        <f>SUM(AT56:AT64)</f>
        <v/>
      </c>
      <c r="AU65" s="498">
        <f>SUM(AU56:AU64)</f>
        <v/>
      </c>
      <c r="AV65" s="498">
        <f>SUM(AV56:AV64)</f>
        <v/>
      </c>
      <c r="AW65" s="498">
        <f>SUM(AW56:AW64)</f>
        <v/>
      </c>
      <c r="AX65" s="498">
        <f>SUM(AX56:AX64)</f>
        <v/>
      </c>
      <c r="AY65" s="498">
        <f>SUM(AY56:AY64)</f>
        <v/>
      </c>
      <c r="AZ65" s="498">
        <f>SUM(AZ56:AZ64)</f>
        <v/>
      </c>
      <c r="BA65" s="498">
        <f>SUM(BA56:BA64)</f>
        <v/>
      </c>
      <c r="BB65" s="498">
        <f>SUM(BB56:BB64)</f>
        <v/>
      </c>
      <c r="BC65" s="498">
        <f>SUM(BC56:BC64)</f>
        <v/>
      </c>
      <c r="BD65" s="498">
        <f>SUM(BD56:BD64)</f>
        <v/>
      </c>
      <c r="BE65" s="498">
        <f>SUM(BE56:BE64)</f>
        <v/>
      </c>
      <c r="BF65" s="498">
        <f>SUM(BF56:BF64)</f>
        <v/>
      </c>
      <c r="BG65" s="498">
        <f>SUM(BG56:BG64)</f>
        <v/>
      </c>
      <c r="BH65" s="498">
        <f>SUM(BH56:BH64)</f>
        <v/>
      </c>
      <c r="BI65" s="498">
        <f>SUM(BI56:BI64)</f>
        <v/>
      </c>
      <c r="BJ65" s="498">
        <f>SUM(BJ56:BJ64)</f>
        <v/>
      </c>
      <c r="BK65" s="498">
        <f>SUM(BK56:BK64)</f>
        <v/>
      </c>
      <c r="BL65" s="498">
        <f>SUM(BL56:BL64)</f>
        <v/>
      </c>
      <c r="BM65" s="498">
        <f>SUM(BM56:BM64)</f>
        <v/>
      </c>
      <c r="BN65" s="498">
        <f>SUM(BN56:BN64)</f>
        <v/>
      </c>
      <c r="BO65" s="498">
        <f>SUM(BO56:BO64)</f>
        <v/>
      </c>
      <c r="BP65" s="498">
        <f>SUM(BP56:BP64)</f>
        <v/>
      </c>
      <c r="BQ65" s="498">
        <f>SUM(BQ56:BQ64)</f>
        <v/>
      </c>
      <c r="BR65" s="498">
        <f>SUM(BR56:BR64)</f>
        <v/>
      </c>
      <c r="BS65" s="498" t="n"/>
      <c r="BT65" s="498">
        <f>SUM(BT56:BT64)</f>
        <v/>
      </c>
      <c r="BU65" s="446">
        <f>BT65-BR65</f>
        <v/>
      </c>
      <c r="BV65" s="381">
        <f>BU65/BR65</f>
        <v/>
      </c>
      <c r="BW65" s="502" t="n"/>
      <c r="BX65" s="502" t="n"/>
      <c r="BZ65" s="498">
        <f>SUM(BZ56:BZ64)</f>
        <v/>
      </c>
      <c r="CA65" s="498">
        <f>SUM(CA56:CA64)</f>
        <v/>
      </c>
      <c r="CB65" s="498">
        <f>SUM(CB56:CB64)</f>
        <v/>
      </c>
      <c r="CC65" s="498">
        <f>SUM(CC56:CC64)</f>
        <v/>
      </c>
      <c r="CD65" s="498">
        <f>SUM(CD56:CD64)</f>
        <v/>
      </c>
      <c r="CE65" s="498">
        <f>SUM(CE56:CE64)</f>
        <v/>
      </c>
      <c r="CF65" s="498">
        <f>SUM(CF56:CF64)</f>
        <v/>
      </c>
      <c r="CG65" s="498">
        <f>SUM(CG56:CG64)</f>
        <v/>
      </c>
      <c r="CH65" s="498">
        <f>SUM(CH56:CH64)</f>
        <v/>
      </c>
      <c r="CI65" s="498">
        <f>SUM(CI56:CI64)</f>
        <v/>
      </c>
      <c r="CJ65" s="498">
        <f>SUM(CJ56:CJ64)</f>
        <v/>
      </c>
      <c r="CK65" s="498">
        <f>SUM(CK56:CK64)</f>
        <v/>
      </c>
      <c r="CL65" s="498">
        <f>SUM(CL56:CL64)</f>
        <v/>
      </c>
      <c r="CM65" s="498">
        <f>SUM(CM56:CM64)</f>
        <v/>
      </c>
      <c r="CN65" s="498">
        <f>SUM(CN56:CN64)</f>
        <v/>
      </c>
      <c r="CO65" s="498">
        <f>SUM(CO56:CO64)</f>
        <v/>
      </c>
      <c r="CP65" s="498">
        <f>SUM(CP56:CP64)</f>
        <v/>
      </c>
      <c r="CQ65" s="498">
        <f>SUM(CQ56:CQ64)</f>
        <v/>
      </c>
      <c r="CR65" s="498">
        <f>SUM(CR56:CR64)</f>
        <v/>
      </c>
      <c r="CS65" s="498">
        <f>SUM(CS56:CS64)</f>
        <v/>
      </c>
      <c r="CT65" s="498">
        <f>SUM(CT56:CT64)</f>
        <v/>
      </c>
      <c r="CU65" s="498">
        <f>SUM(CU56:CU64)</f>
        <v/>
      </c>
      <c r="CV65" s="498">
        <f>SUM(CV56:CV64)</f>
        <v/>
      </c>
      <c r="CW65" s="498">
        <f>SUM(CW56:CW64)</f>
        <v/>
      </c>
      <c r="CX65" s="498">
        <f>SUM(CX56:CX64)</f>
        <v/>
      </c>
      <c r="CY65" s="498">
        <f>SUM(CY56:CY64)</f>
        <v/>
      </c>
      <c r="CZ65" s="498">
        <f>SUM(CZ56:CZ64)</f>
        <v/>
      </c>
      <c r="DA65" s="498">
        <f>SUM(DA56:DA64)</f>
        <v/>
      </c>
      <c r="DB65" s="498">
        <f>SUM(DB56:DB64)</f>
        <v/>
      </c>
      <c r="DC65" s="498">
        <f>SUM(DC56:DC64)</f>
        <v/>
      </c>
      <c r="DD65" s="498">
        <f>SUM(DD56:DD64)</f>
        <v/>
      </c>
      <c r="DE65" s="498">
        <f>SUM(DE56:DE64)</f>
        <v/>
      </c>
      <c r="DF65" s="498">
        <f>SUM(DF56:DF64)</f>
        <v/>
      </c>
      <c r="DG65" s="498">
        <f>SUM(DG56:DG64)</f>
        <v/>
      </c>
      <c r="DH65" s="498">
        <f>SUM(DH56:DH64)</f>
        <v/>
      </c>
      <c r="DI65" s="498">
        <f>SUM(DI56:DI64)</f>
        <v/>
      </c>
      <c r="DJ65" s="498">
        <f>SUM(DJ56:DJ64)</f>
        <v/>
      </c>
      <c r="DK65" s="498">
        <f>SUM(DK56:DK64)</f>
        <v/>
      </c>
      <c r="DL65" s="498">
        <f>SUM(DL56:DL64)</f>
        <v/>
      </c>
      <c r="DM65" s="498">
        <f>SUM(DM56:DM64)</f>
        <v/>
      </c>
      <c r="DN65" s="498">
        <f>SUM(DN56:DN64)</f>
        <v/>
      </c>
      <c r="DO65" s="498">
        <f>SUM(DO56:DO64)</f>
        <v/>
      </c>
      <c r="DP65" s="498">
        <f>SUM(DP56:DP64)</f>
        <v/>
      </c>
      <c r="DQ65" s="498">
        <f>SUM(DQ56:DQ64)</f>
        <v/>
      </c>
      <c r="DR65" s="498">
        <f>SUM(DR56:DR64)</f>
        <v/>
      </c>
      <c r="DS65" s="498">
        <f>SUM(DS56:DS64)</f>
        <v/>
      </c>
      <c r="DT65" s="498">
        <f>SUM(DT56:DT64)</f>
        <v/>
      </c>
      <c r="DU65" s="498">
        <f>SUM(DU56:DU64)</f>
        <v/>
      </c>
      <c r="DV65" s="498">
        <f>SUM(DV56:DV64)</f>
        <v/>
      </c>
      <c r="DW65" s="498">
        <f>SUM(DW56:DW64)</f>
        <v/>
      </c>
      <c r="DX65" s="498" t="n"/>
      <c r="DY65" s="498" t="n"/>
      <c r="DZ65" s="498">
        <f>SUM(DZ56:DZ64)</f>
        <v/>
      </c>
      <c r="EA65" s="498">
        <f>SUM(EA56:EA64)</f>
        <v/>
      </c>
      <c r="EB65" s="498">
        <f>SUM(EB56:EB64)</f>
        <v/>
      </c>
      <c r="EC65" s="498">
        <f>SUM(EC56:EC64)</f>
        <v/>
      </c>
      <c r="ED65" s="498">
        <f>SUM(ED56:ED64)</f>
        <v/>
      </c>
      <c r="EE65" s="498">
        <f>SUM(EE56:EE64)</f>
        <v/>
      </c>
      <c r="EF65" s="498">
        <f>SUM(EF56:EF64)</f>
        <v/>
      </c>
      <c r="EG65" s="498">
        <f>SUM(EG56:EG64)</f>
        <v/>
      </c>
      <c r="EH65" s="498">
        <f>SUM(EH56:EH64)</f>
        <v/>
      </c>
      <c r="EI65" s="498">
        <f>SUM(EI56:EI64)</f>
        <v/>
      </c>
      <c r="EJ65" s="498">
        <f>SUM(EJ56:EJ64)</f>
        <v/>
      </c>
      <c r="EK65" s="498">
        <f>SUM(EK56:EK64)</f>
        <v/>
      </c>
      <c r="EL65" s="498">
        <f>SUM(EL56:EL64)</f>
        <v/>
      </c>
      <c r="EM65" s="498">
        <f>SUM(EM56:EM64)</f>
        <v/>
      </c>
      <c r="EN65" s="498">
        <f>SUM(EN56:EN64)</f>
        <v/>
      </c>
      <c r="EO65" s="498">
        <f>SUM(EO56:EO64)</f>
        <v/>
      </c>
      <c r="EP65" s="498">
        <f>SUM(EP56:EP64)</f>
        <v/>
      </c>
      <c r="EQ65" s="498">
        <f>SUM(EQ56:EQ64)</f>
        <v/>
      </c>
      <c r="ER65" s="498">
        <f>SUM(ER56:ER64)</f>
        <v/>
      </c>
      <c r="ES65" s="498">
        <f>SUM(ES56:ES64)</f>
        <v/>
      </c>
      <c r="ET65" s="498">
        <f>SUM(ET56:ET64)</f>
        <v/>
      </c>
      <c r="EU65" s="498">
        <f>SUM(EU56:EU64)</f>
        <v/>
      </c>
      <c r="EV65" s="498">
        <f>SUM(EV56:EV64)</f>
        <v/>
      </c>
      <c r="EW65" s="498">
        <f>SUM(EW56:EW64)</f>
        <v/>
      </c>
      <c r="EX65" s="498">
        <f>SUM(EX56:EX64)</f>
        <v/>
      </c>
      <c r="EY65" s="498">
        <f>SUM(EY56:EY64)</f>
        <v/>
      </c>
      <c r="EZ65" s="503" t="n"/>
      <c r="FA65" s="503" t="n"/>
      <c r="FB65" s="452">
        <f>+FA65-EW65</f>
        <v/>
      </c>
      <c r="FC65" s="348">
        <f>+FB65/EW65</f>
        <v/>
      </c>
      <c r="FD65" s="500" t="n"/>
      <c r="FE65" s="500" t="n"/>
    </row>
    <row r="66">
      <c r="A66" s="28" t="n"/>
      <c r="AB66" s="348" t="n"/>
      <c r="AE66" s="348" t="n"/>
      <c r="AF66" s="451" t="n"/>
      <c r="AH66" s="435" t="n"/>
      <c r="AJ66" s="435" t="n"/>
      <c r="AL66" s="435" t="n"/>
      <c r="AN66" s="435" t="n"/>
      <c r="AP66" s="435" t="n"/>
      <c r="AR66" s="435" t="n"/>
      <c r="AT66" s="435" t="n"/>
      <c r="AV66" s="435" t="n"/>
      <c r="AX66" s="435" t="n"/>
      <c r="AZ66" s="435" t="n"/>
      <c r="BB66" s="435" t="n"/>
      <c r="BD66" s="435" t="n"/>
      <c r="BF66" s="435" t="n"/>
      <c r="BH66" s="435" t="n"/>
      <c r="BJ66" s="435" t="n"/>
      <c r="BL66" s="435" t="n"/>
      <c r="BN66" s="435" t="n"/>
      <c r="BP66" s="435" t="n"/>
      <c r="BR66" s="435" t="n"/>
      <c r="BT66" s="435" t="n"/>
      <c r="BU66" s="453" t="n"/>
      <c r="BV66" s="379" t="n"/>
      <c r="BW66" s="128" t="n"/>
      <c r="BX66" s="128" t="n"/>
      <c r="EZ66" s="394" t="n"/>
      <c r="FA66" s="394" t="n"/>
      <c r="FB66" s="452" t="n"/>
      <c r="FC66" s="348" t="n"/>
    </row>
    <row r="67" ht="15" customHeight="1" thickBot="1">
      <c r="A67" s="17" t="inlineStr">
        <is>
          <t>Total Assets</t>
        </is>
      </c>
      <c r="B67" s="504">
        <f>B54+B65</f>
        <v/>
      </c>
      <c r="C67" s="504">
        <f>C54+C65</f>
        <v/>
      </c>
      <c r="D67" s="504">
        <f>D54+D65</f>
        <v/>
      </c>
      <c r="E67" s="504">
        <f>E54+E65</f>
        <v/>
      </c>
      <c r="F67" s="504">
        <f>F54+F65</f>
        <v/>
      </c>
      <c r="G67" s="504">
        <f>G54+G65</f>
        <v/>
      </c>
      <c r="H67" s="504">
        <f>H54+H65</f>
        <v/>
      </c>
      <c r="I67" s="504">
        <f>I54+I65</f>
        <v/>
      </c>
      <c r="J67" s="504">
        <f>J54+J65</f>
        <v/>
      </c>
      <c r="K67" s="504">
        <f>K54+K65</f>
        <v/>
      </c>
      <c r="L67" s="504">
        <f>L54+L65</f>
        <v/>
      </c>
      <c r="M67" s="504">
        <f>M54+M65</f>
        <v/>
      </c>
      <c r="N67" s="504">
        <f>N54+N65</f>
        <v/>
      </c>
      <c r="O67" s="504">
        <f>O54+O65</f>
        <v/>
      </c>
      <c r="P67" s="504">
        <f>P54+P65</f>
        <v/>
      </c>
      <c r="Q67" s="504">
        <f>Q54+Q65</f>
        <v/>
      </c>
      <c r="R67" s="504">
        <f>R54+R65</f>
        <v/>
      </c>
      <c r="S67" s="504">
        <f>S54+S65</f>
        <v/>
      </c>
      <c r="T67" s="504">
        <f>T54+T65</f>
        <v/>
      </c>
      <c r="U67" s="504">
        <f>U54+U65</f>
        <v/>
      </c>
      <c r="V67" s="504">
        <f>V54+V65</f>
        <v/>
      </c>
      <c r="W67" s="504">
        <f>W54+W65</f>
        <v/>
      </c>
      <c r="X67" s="504">
        <f>X54+X65</f>
        <v/>
      </c>
      <c r="Y67" s="504">
        <f>Y54+Y65</f>
        <v/>
      </c>
      <c r="Z67" s="504">
        <f>Z54+Z65</f>
        <v/>
      </c>
      <c r="AA67" s="505">
        <f>+U67-T67</f>
        <v/>
      </c>
      <c r="AB67" s="371">
        <f>+AA67/T67</f>
        <v/>
      </c>
      <c r="AC67" s="500" t="n">
        <v>157100.1547545933</v>
      </c>
      <c r="AD67" s="501">
        <f>+X67-W67</f>
        <v/>
      </c>
      <c r="AE67" s="371">
        <f>+AD67/W67</f>
        <v/>
      </c>
      <c r="AF67" s="451" t="n"/>
      <c r="AG67" s="504">
        <f>AG54+AG65</f>
        <v/>
      </c>
      <c r="AH67" s="504">
        <f>AH54+AH65</f>
        <v/>
      </c>
      <c r="AI67" s="504">
        <f>AI54+AI65</f>
        <v/>
      </c>
      <c r="AJ67" s="504">
        <f>AJ54+AJ65</f>
        <v/>
      </c>
      <c r="AK67" s="504">
        <f>AK54+AK65</f>
        <v/>
      </c>
      <c r="AL67" s="504">
        <f>AL54+AL65</f>
        <v/>
      </c>
      <c r="AM67" s="504">
        <f>AM54+AM65</f>
        <v/>
      </c>
      <c r="AN67" s="504">
        <f>AN54+AN65</f>
        <v/>
      </c>
      <c r="AO67" s="504">
        <f>AO54+AO65</f>
        <v/>
      </c>
      <c r="AP67" s="504">
        <f>AP54+AP65</f>
        <v/>
      </c>
      <c r="AQ67" s="504">
        <f>AQ54+AQ65</f>
        <v/>
      </c>
      <c r="AR67" s="504">
        <f>AR54+AR65</f>
        <v/>
      </c>
      <c r="AS67" s="504">
        <f>AS54+AS65</f>
        <v/>
      </c>
      <c r="AT67" s="504">
        <f>AT54+AT65</f>
        <v/>
      </c>
      <c r="AU67" s="504">
        <f>AU54+AU65</f>
        <v/>
      </c>
      <c r="AV67" s="504">
        <f>AV54+AV65</f>
        <v/>
      </c>
      <c r="AW67" s="504">
        <f>AW54+AW65</f>
        <v/>
      </c>
      <c r="AX67" s="504">
        <f>AX54+AX65</f>
        <v/>
      </c>
      <c r="AY67" s="504">
        <f>AY54+AY65</f>
        <v/>
      </c>
      <c r="AZ67" s="504">
        <f>AZ54+AZ65</f>
        <v/>
      </c>
      <c r="BA67" s="504">
        <f>BA54+BA65</f>
        <v/>
      </c>
      <c r="BB67" s="504">
        <f>BB54+BB65</f>
        <v/>
      </c>
      <c r="BC67" s="504">
        <f>BC54+BC65</f>
        <v/>
      </c>
      <c r="BD67" s="504">
        <f>BD54+BD65</f>
        <v/>
      </c>
      <c r="BE67" s="504">
        <f>BE54+BE65</f>
        <v/>
      </c>
      <c r="BF67" s="504">
        <f>BF54+BF65</f>
        <v/>
      </c>
      <c r="BG67" s="504">
        <f>BG54+BG65</f>
        <v/>
      </c>
      <c r="BH67" s="504">
        <f>BH54+BH65</f>
        <v/>
      </c>
      <c r="BI67" s="504">
        <f>BI54+BI65</f>
        <v/>
      </c>
      <c r="BJ67" s="504">
        <f>BJ54+BJ65</f>
        <v/>
      </c>
      <c r="BK67" s="504">
        <f>BK54+BK65</f>
        <v/>
      </c>
      <c r="BL67" s="504">
        <f>BL54+BL65</f>
        <v/>
      </c>
      <c r="BM67" s="504">
        <f>BM54+BM65</f>
        <v/>
      </c>
      <c r="BN67" s="504">
        <f>BN54+BN65</f>
        <v/>
      </c>
      <c r="BO67" s="504">
        <f>BO54+BO65</f>
        <v/>
      </c>
      <c r="BP67" s="504">
        <f>BP54+BP65</f>
        <v/>
      </c>
      <c r="BQ67" s="504">
        <f>BQ54+BQ65</f>
        <v/>
      </c>
      <c r="BR67" s="504">
        <f>BR54+BR65</f>
        <v/>
      </c>
      <c r="BS67" s="504" t="n"/>
      <c r="BT67" s="504">
        <f>BT54+BT65</f>
        <v/>
      </c>
      <c r="BU67" s="446">
        <f>BT67-BR67</f>
        <v/>
      </c>
      <c r="BV67" s="381">
        <f>BU67/BR67</f>
        <v/>
      </c>
      <c r="BW67" s="502" t="n"/>
      <c r="BX67" s="502" t="n"/>
      <c r="BZ67" s="504">
        <f>BZ54+BZ65</f>
        <v/>
      </c>
      <c r="CA67" s="504">
        <f>CA54+CA65</f>
        <v/>
      </c>
      <c r="CB67" s="504">
        <f>CB54+CB65</f>
        <v/>
      </c>
      <c r="CC67" s="504">
        <f>CC54+CC65</f>
        <v/>
      </c>
      <c r="CD67" s="504">
        <f>CD54+CD65</f>
        <v/>
      </c>
      <c r="CE67" s="504">
        <f>CE54+CE65</f>
        <v/>
      </c>
      <c r="CF67" s="504">
        <f>CF54+CF65</f>
        <v/>
      </c>
      <c r="CG67" s="504">
        <f>CG54+CG65</f>
        <v/>
      </c>
      <c r="CH67" s="504">
        <f>CH54+CH65</f>
        <v/>
      </c>
      <c r="CI67" s="504">
        <f>CI54+CI65</f>
        <v/>
      </c>
      <c r="CJ67" s="504">
        <f>CJ54+CJ65</f>
        <v/>
      </c>
      <c r="CK67" s="504">
        <f>CK54+CK65</f>
        <v/>
      </c>
      <c r="CL67" s="504">
        <f>CL54+CL65</f>
        <v/>
      </c>
      <c r="CM67" s="504">
        <f>CM54+CM65</f>
        <v/>
      </c>
      <c r="CN67" s="504">
        <f>CN54+CN65</f>
        <v/>
      </c>
      <c r="CO67" s="504">
        <f>CO54+CO65</f>
        <v/>
      </c>
      <c r="CP67" s="504">
        <f>CP54+CP65</f>
        <v/>
      </c>
      <c r="CQ67" s="504">
        <f>CQ54+CQ65</f>
        <v/>
      </c>
      <c r="CR67" s="504">
        <f>CR54+CR65</f>
        <v/>
      </c>
      <c r="CS67" s="504">
        <f>CS54+CS65</f>
        <v/>
      </c>
      <c r="CT67" s="504">
        <f>CT54+CT65</f>
        <v/>
      </c>
      <c r="CU67" s="504">
        <f>CU54+CU65</f>
        <v/>
      </c>
      <c r="CV67" s="504">
        <f>CV54+CV65</f>
        <v/>
      </c>
      <c r="CW67" s="504">
        <f>CW54+CW65</f>
        <v/>
      </c>
      <c r="CX67" s="504">
        <f>CX54+CX65</f>
        <v/>
      </c>
      <c r="CY67" s="504">
        <f>CY54+CY65</f>
        <v/>
      </c>
      <c r="CZ67" s="504">
        <f>CZ54+CZ65</f>
        <v/>
      </c>
      <c r="DA67" s="504">
        <f>DA54+DA65</f>
        <v/>
      </c>
      <c r="DB67" s="504">
        <f>DB54+DB65</f>
        <v/>
      </c>
      <c r="DC67" s="504">
        <f>DC54+DC65</f>
        <v/>
      </c>
      <c r="DD67" s="504">
        <f>DD54+DD65</f>
        <v/>
      </c>
      <c r="DE67" s="504">
        <f>DE54+DE65</f>
        <v/>
      </c>
      <c r="DF67" s="504">
        <f>DF54+DF65</f>
        <v/>
      </c>
      <c r="DG67" s="504">
        <f>DG54+DG65</f>
        <v/>
      </c>
      <c r="DH67" s="504">
        <f>DH54+DH65</f>
        <v/>
      </c>
      <c r="DI67" s="504">
        <f>DI54+DI65</f>
        <v/>
      </c>
      <c r="DJ67" s="504">
        <f>DJ54+DJ65</f>
        <v/>
      </c>
      <c r="DK67" s="504">
        <f>DK54+DK65</f>
        <v/>
      </c>
      <c r="DL67" s="504">
        <f>DL54+DL65</f>
        <v/>
      </c>
      <c r="DM67" s="504">
        <f>DM54+DM65</f>
        <v/>
      </c>
      <c r="DN67" s="504">
        <f>DN54+DN65</f>
        <v/>
      </c>
      <c r="DO67" s="504">
        <f>DO54+DO65</f>
        <v/>
      </c>
      <c r="DP67" s="504">
        <f>DP54+DP65</f>
        <v/>
      </c>
      <c r="DQ67" s="504">
        <f>DQ54+DQ65</f>
        <v/>
      </c>
      <c r="DR67" s="504">
        <f>DR54+DR65</f>
        <v/>
      </c>
      <c r="DS67" s="504">
        <f>DS54+DS65</f>
        <v/>
      </c>
      <c r="DT67" s="504">
        <f>DT54+DT65</f>
        <v/>
      </c>
      <c r="DU67" s="504">
        <f>DU54+DU65</f>
        <v/>
      </c>
      <c r="DV67" s="504">
        <f>DV54+DV65</f>
        <v/>
      </c>
      <c r="DW67" s="504">
        <f>DW54+DW65</f>
        <v/>
      </c>
      <c r="DX67" s="504" t="n"/>
      <c r="DY67" s="504" t="n"/>
      <c r="DZ67" s="504">
        <f>DZ54+DZ65</f>
        <v/>
      </c>
      <c r="EA67" s="504">
        <f>EA54+EA65</f>
        <v/>
      </c>
      <c r="EB67" s="504">
        <f>EB54+EB65</f>
        <v/>
      </c>
      <c r="EC67" s="504">
        <f>EC54+EC65</f>
        <v/>
      </c>
      <c r="ED67" s="504">
        <f>ED54+ED65</f>
        <v/>
      </c>
      <c r="EE67" s="504">
        <f>EE54+EE65</f>
        <v/>
      </c>
      <c r="EF67" s="504">
        <f>EF54+EF65</f>
        <v/>
      </c>
      <c r="EG67" s="504">
        <f>EG54+EG65</f>
        <v/>
      </c>
      <c r="EH67" s="504">
        <f>EH54+EH65</f>
        <v/>
      </c>
      <c r="EI67" s="504">
        <f>EI54+EI65</f>
        <v/>
      </c>
      <c r="EJ67" s="504">
        <f>EJ54+EJ65</f>
        <v/>
      </c>
      <c r="EK67" s="504">
        <f>EK54+EK65</f>
        <v/>
      </c>
      <c r="EL67" s="504">
        <f>EL54+EL65</f>
        <v/>
      </c>
      <c r="EM67" s="504">
        <f>EM54+EM65</f>
        <v/>
      </c>
      <c r="EN67" s="504">
        <f>EN54+EN65</f>
        <v/>
      </c>
      <c r="EO67" s="504">
        <f>EO54+EO65</f>
        <v/>
      </c>
      <c r="EP67" s="504">
        <f>EP54+EP65</f>
        <v/>
      </c>
      <c r="EQ67" s="504">
        <f>EQ54+EQ65</f>
        <v/>
      </c>
      <c r="ER67" s="504">
        <f>ER54+ER65</f>
        <v/>
      </c>
      <c r="ES67" s="504">
        <f>ES54+ES65</f>
        <v/>
      </c>
      <c r="ET67" s="504">
        <f>ET54+ET65</f>
        <v/>
      </c>
      <c r="EU67" s="504">
        <f>EU54+EU65</f>
        <v/>
      </c>
      <c r="EV67" s="504">
        <f>EV54+EV65</f>
        <v/>
      </c>
      <c r="EW67" s="504">
        <f>EW54+EW65</f>
        <v/>
      </c>
      <c r="EX67" s="504">
        <f>EX54+EX65</f>
        <v/>
      </c>
      <c r="EY67" s="504">
        <f>EY54+EY65</f>
        <v/>
      </c>
      <c r="EZ67" s="503" t="n"/>
      <c r="FA67" s="503" t="n"/>
      <c r="FB67" s="452">
        <f>+FA67-EW67</f>
        <v/>
      </c>
      <c r="FC67" s="348">
        <f>+FB67/EW67</f>
        <v/>
      </c>
      <c r="FD67" s="500" t="n"/>
      <c r="FE67" s="500" t="n"/>
    </row>
    <row r="68" ht="15" customHeight="1" thickTop="1">
      <c r="AB68" s="348" t="n"/>
      <c r="AE68" s="348" t="n"/>
      <c r="AF68" s="451" t="n"/>
      <c r="BU68" s="453" t="n"/>
      <c r="BV68" s="379" t="n"/>
      <c r="BW68" s="128" t="n"/>
      <c r="BX68" s="128" t="n"/>
      <c r="EZ68" s="394" t="n"/>
      <c r="FA68" s="394" t="n"/>
      <c r="FB68" s="452" t="n"/>
      <c r="FC68" s="348" t="n"/>
    </row>
    <row r="69">
      <c r="A69" s="6" t="inlineStr">
        <is>
          <t>Short term borrowing</t>
        </is>
      </c>
      <c r="B69" s="451">
        <f>'Raw financials'!B117</f>
        <v/>
      </c>
      <c r="C69" s="451">
        <f>'Raw financials'!C117</f>
        <v/>
      </c>
      <c r="D69" s="451">
        <f>'Raw financials'!D117</f>
        <v/>
      </c>
      <c r="E69" s="451">
        <f>'Raw financials'!E117</f>
        <v/>
      </c>
      <c r="F69" s="451">
        <f>'Raw financials'!F117</f>
        <v/>
      </c>
      <c r="G69" s="451">
        <f>'Raw financials'!G117</f>
        <v/>
      </c>
      <c r="H69" s="451">
        <f>'Raw financials'!H117</f>
        <v/>
      </c>
      <c r="I69" s="451">
        <f>'Raw financials'!I117</f>
        <v/>
      </c>
      <c r="J69" s="451">
        <f>'Raw financials'!J117</f>
        <v/>
      </c>
      <c r="K69" s="497">
        <f>'Raw financials'!K117</f>
        <v/>
      </c>
      <c r="L69" s="451">
        <f>'Raw financials'!L117</f>
        <v/>
      </c>
      <c r="M69" s="451">
        <f>'Raw financials'!M117</f>
        <v/>
      </c>
      <c r="N69" s="451">
        <f>'Raw financials'!N117</f>
        <v/>
      </c>
      <c r="O69" s="451">
        <f>'Raw financials'!O117</f>
        <v/>
      </c>
      <c r="P69" s="451">
        <f>'Raw financials'!P117</f>
        <v/>
      </c>
      <c r="Q69" s="451">
        <f>'Raw financials'!Q117</f>
        <v/>
      </c>
      <c r="R69" s="451">
        <f>'Raw financials'!R117</f>
        <v/>
      </c>
      <c r="S69" s="451">
        <f>'Raw financials'!S117</f>
        <v/>
      </c>
      <c r="T69" s="451">
        <f>'Raw financials'!T117</f>
        <v/>
      </c>
      <c r="U69" s="459">
        <f>T69</f>
        <v/>
      </c>
      <c r="V69" s="459">
        <f>U69</f>
        <v/>
      </c>
      <c r="W69" s="459">
        <f>V69</f>
        <v/>
      </c>
      <c r="X69" s="459">
        <f>W69</f>
        <v/>
      </c>
      <c r="Y69" s="459">
        <f>X69</f>
        <v/>
      </c>
      <c r="Z69" s="459">
        <f>Y69</f>
        <v/>
      </c>
      <c r="AA69" s="452">
        <f>+U69-T69</f>
        <v/>
      </c>
      <c r="AB69" s="348">
        <f>+AA69/T69</f>
        <v/>
      </c>
      <c r="AC69" s="459" t="n">
        <v>75.08</v>
      </c>
      <c r="AD69" s="452">
        <f>+X69-W69</f>
        <v/>
      </c>
      <c r="AE69" s="348">
        <f>+AD69/W69</f>
        <v/>
      </c>
      <c r="AF69" s="451" t="n"/>
      <c r="AG69" s="451">
        <f>'Raw financials'!AA117</f>
        <v/>
      </c>
      <c r="AH69" s="451">
        <f>+B69</f>
        <v/>
      </c>
      <c r="AI69" s="451">
        <f>'Raw financials'!AB117</f>
        <v/>
      </c>
      <c r="AJ69" s="451">
        <f>+C69</f>
        <v/>
      </c>
      <c r="AK69" s="451">
        <f>'Raw financials'!AC117</f>
        <v/>
      </c>
      <c r="AL69" s="451">
        <f>+D69</f>
        <v/>
      </c>
      <c r="AM69" s="451">
        <f>'Raw financials'!AD117</f>
        <v/>
      </c>
      <c r="AN69" s="451">
        <f>+E69</f>
        <v/>
      </c>
      <c r="AO69" s="451">
        <f>'Raw financials'!AE117</f>
        <v/>
      </c>
      <c r="AP69" s="451">
        <f>+F69</f>
        <v/>
      </c>
      <c r="AQ69" s="451">
        <f>'Raw financials'!AF117</f>
        <v/>
      </c>
      <c r="AR69" s="451">
        <f>+G69</f>
        <v/>
      </c>
      <c r="AS69" s="451">
        <f>'Raw financials'!AG117</f>
        <v/>
      </c>
      <c r="AT69" s="451">
        <f>+H69</f>
        <v/>
      </c>
      <c r="AU69" s="451">
        <f>'Raw financials'!AH117</f>
        <v/>
      </c>
      <c r="AV69" s="451">
        <f>+I69</f>
        <v/>
      </c>
      <c r="AW69" s="451">
        <f>'Raw financials'!AI117</f>
        <v/>
      </c>
      <c r="AX69" s="451">
        <f>+J69</f>
        <v/>
      </c>
      <c r="AY69" s="451">
        <f>'Raw financials'!AJ117</f>
        <v/>
      </c>
      <c r="AZ69" s="451">
        <f>+K69</f>
        <v/>
      </c>
      <c r="BA69" s="451">
        <f>'Raw financials'!AK117</f>
        <v/>
      </c>
      <c r="BB69" s="451">
        <f>+L69</f>
        <v/>
      </c>
      <c r="BC69" s="451">
        <f>'Raw financials'!AL117</f>
        <v/>
      </c>
      <c r="BD69" s="451">
        <f>+M69</f>
        <v/>
      </c>
      <c r="BE69" s="451">
        <f>'Raw financials'!AM117</f>
        <v/>
      </c>
      <c r="BF69" s="451">
        <f>+N69</f>
        <v/>
      </c>
      <c r="BG69" s="451">
        <f>'Raw financials'!AN117</f>
        <v/>
      </c>
      <c r="BH69" s="451">
        <f>+O69</f>
        <v/>
      </c>
      <c r="BI69" s="451">
        <f>'Raw financials'!AO117</f>
        <v/>
      </c>
      <c r="BJ69" s="451">
        <f>+P69</f>
        <v/>
      </c>
      <c r="BK69" s="451">
        <f>'Raw financials'!AP117</f>
        <v/>
      </c>
      <c r="BL69" s="451">
        <f>+Q69</f>
        <v/>
      </c>
      <c r="BM69" s="451">
        <f>'Raw financials'!AQ117</f>
        <v/>
      </c>
      <c r="BN69" s="451">
        <f>+R69</f>
        <v/>
      </c>
      <c r="BO69" s="451">
        <f>'Raw financials'!AR117</f>
        <v/>
      </c>
      <c r="BP69" s="451">
        <f>+S69</f>
        <v/>
      </c>
      <c r="BQ69" s="451">
        <f>'Raw financials'!AS117</f>
        <v/>
      </c>
      <c r="BR69" s="451">
        <f>+T69</f>
        <v/>
      </c>
      <c r="BS69" s="451" t="n"/>
      <c r="BT69" s="451">
        <f>+U69</f>
        <v/>
      </c>
      <c r="BU69" s="453">
        <f>BT69-BR69</f>
        <v/>
      </c>
      <c r="BV69" s="379">
        <f>BU69/BR69</f>
        <v/>
      </c>
      <c r="BW69" s="489" t="n"/>
      <c r="BX69" s="489" t="n"/>
      <c r="BZ69" s="451">
        <f>'Raw financials'!BN117</f>
        <v/>
      </c>
      <c r="CA69" s="451">
        <f>'Raw financials'!BO117</f>
        <v/>
      </c>
      <c r="CB69" s="451">
        <f>'Raw financials'!BP117</f>
        <v/>
      </c>
      <c r="CC69" s="451">
        <f>'Raw financials'!BQ117</f>
        <v/>
      </c>
      <c r="CD69" s="451">
        <f>'Raw financials'!BR117</f>
        <v/>
      </c>
      <c r="CE69" s="451">
        <f>'Raw financials'!BS117</f>
        <v/>
      </c>
      <c r="CF69" s="451">
        <f>'Raw financials'!BT117</f>
        <v/>
      </c>
      <c r="CG69" s="451">
        <f>'Raw financials'!BU117</f>
        <v/>
      </c>
      <c r="CH69" s="451">
        <f>'Raw financials'!BV117</f>
        <v/>
      </c>
      <c r="CI69" s="451">
        <f>'Raw financials'!BW117</f>
        <v/>
      </c>
      <c r="CJ69" s="451">
        <f>'Raw financials'!BX117</f>
        <v/>
      </c>
      <c r="CK69" s="451">
        <f>'Raw financials'!BY117</f>
        <v/>
      </c>
      <c r="CL69" s="451">
        <f>'Raw financials'!BZ117</f>
        <v/>
      </c>
      <c r="CM69" s="451">
        <f>'Raw financials'!CA117</f>
        <v/>
      </c>
      <c r="CN69" s="451">
        <f>'Raw financials'!CB117</f>
        <v/>
      </c>
      <c r="CO69" s="451">
        <f>'Raw financials'!CC117</f>
        <v/>
      </c>
      <c r="CP69" s="451">
        <f>'Raw financials'!CD117</f>
        <v/>
      </c>
      <c r="CQ69" s="451">
        <f>'Raw financials'!CE117</f>
        <v/>
      </c>
      <c r="CR69" s="451">
        <f>'Raw financials'!CF117</f>
        <v/>
      </c>
      <c r="CS69" s="451">
        <f>'Raw financials'!CG117</f>
        <v/>
      </c>
      <c r="CT69" s="451">
        <f>'Raw financials'!CH117</f>
        <v/>
      </c>
      <c r="CU69" s="451">
        <f>'Raw financials'!CI117</f>
        <v/>
      </c>
      <c r="CV69" s="451">
        <f>'Raw financials'!CJ117</f>
        <v/>
      </c>
      <c r="CW69" s="451">
        <f>'Raw financials'!CK117</f>
        <v/>
      </c>
      <c r="CX69" s="451">
        <f>'Raw financials'!CL117</f>
        <v/>
      </c>
      <c r="CY69" s="451">
        <f>'Raw financials'!CM117</f>
        <v/>
      </c>
      <c r="CZ69" s="451">
        <f>'Raw financials'!CN117</f>
        <v/>
      </c>
      <c r="DA69" s="451">
        <f>'Raw financials'!CO117</f>
        <v/>
      </c>
      <c r="DB69" s="451">
        <f>'Raw financials'!CP117</f>
        <v/>
      </c>
      <c r="DC69" s="451">
        <f>'Raw financials'!CQ117</f>
        <v/>
      </c>
      <c r="DD69" s="451">
        <f>'Raw financials'!CR117</f>
        <v/>
      </c>
      <c r="DE69" s="451">
        <f>'Raw financials'!CS117</f>
        <v/>
      </c>
      <c r="DF69" s="451">
        <f>'Raw financials'!CT117</f>
        <v/>
      </c>
      <c r="DG69" s="451">
        <f>'Raw financials'!CU117</f>
        <v/>
      </c>
      <c r="DH69" s="451">
        <f>'Raw financials'!CV117</f>
        <v/>
      </c>
      <c r="DI69" s="451">
        <f>'Raw financials'!CW117</f>
        <v/>
      </c>
      <c r="DJ69" s="451">
        <f>'Raw financials'!CX117</f>
        <v/>
      </c>
      <c r="DK69" s="451">
        <f>'Raw financials'!CY117</f>
        <v/>
      </c>
      <c r="DL69" s="451">
        <f>'Raw financials'!CZ117</f>
        <v/>
      </c>
      <c r="DM69" s="451">
        <f>'Raw financials'!DA117</f>
        <v/>
      </c>
      <c r="DN69" s="451">
        <f>'Raw financials'!DB117</f>
        <v/>
      </c>
      <c r="DO69" s="451">
        <f>'Raw financials'!DC117</f>
        <v/>
      </c>
      <c r="DP69" s="451">
        <f>'Raw financials'!DD117</f>
        <v/>
      </c>
      <c r="DQ69" s="451">
        <f>'Raw financials'!DE117</f>
        <v/>
      </c>
      <c r="DR69" s="451">
        <f>'Raw financials'!DF117</f>
        <v/>
      </c>
      <c r="DS69" s="451">
        <f>'Raw financials'!DG117</f>
        <v/>
      </c>
      <c r="DT69" s="451">
        <f>'Raw financials'!DH117</f>
        <v/>
      </c>
      <c r="DU69" s="451">
        <f>'Raw financials'!DI117</f>
        <v/>
      </c>
      <c r="DV69" s="451">
        <f>'Raw financials'!DJ117</f>
        <v/>
      </c>
      <c r="DW69" s="451">
        <f>'Raw financials'!DK117</f>
        <v/>
      </c>
      <c r="DX69" s="451" t="n"/>
      <c r="DY69" s="451" t="n"/>
      <c r="DZ69" s="451">
        <f>'Raw financials'!DN117</f>
        <v/>
      </c>
      <c r="EA69" s="451">
        <f>'Raw financials'!DO117</f>
        <v/>
      </c>
      <c r="EB69" s="451">
        <f>'Raw financials'!DP117</f>
        <v/>
      </c>
      <c r="EC69" s="451">
        <f>'Raw financials'!DQ117</f>
        <v/>
      </c>
      <c r="ED69" s="451">
        <f>'Raw financials'!DR117</f>
        <v/>
      </c>
      <c r="EE69" s="451">
        <f>'Raw financials'!DS117</f>
        <v/>
      </c>
      <c r="EF69" s="451">
        <f>'Raw financials'!DT117</f>
        <v/>
      </c>
      <c r="EG69" s="451">
        <f>'Raw financials'!DU117</f>
        <v/>
      </c>
      <c r="EH69" s="451">
        <f>'Raw financials'!DV117</f>
        <v/>
      </c>
      <c r="EI69" s="451">
        <f>'Raw financials'!DW117</f>
        <v/>
      </c>
      <c r="EJ69" s="451">
        <f>'Raw financials'!DX117</f>
        <v/>
      </c>
      <c r="EK69" s="451">
        <f>'Raw financials'!DY117</f>
        <v/>
      </c>
      <c r="EL69" s="451">
        <f>'Raw financials'!DZ117</f>
        <v/>
      </c>
      <c r="EM69" s="451">
        <f>'Raw financials'!EA117</f>
        <v/>
      </c>
      <c r="EN69" s="451">
        <f>'Raw financials'!EB117</f>
        <v/>
      </c>
      <c r="EO69" s="451">
        <f>'Raw financials'!EC117</f>
        <v/>
      </c>
      <c r="EP69" s="451">
        <f>'Raw financials'!ED117</f>
        <v/>
      </c>
      <c r="EQ69" s="451">
        <f>'Raw financials'!EE117</f>
        <v/>
      </c>
      <c r="ER69" s="451">
        <f>'Raw financials'!EF117</f>
        <v/>
      </c>
      <c r="ES69" s="451">
        <f>'Raw financials'!EG117</f>
        <v/>
      </c>
      <c r="ET69" s="451">
        <f>'Raw financials'!EH117</f>
        <v/>
      </c>
      <c r="EU69" s="451">
        <f>'Raw financials'!EI117</f>
        <v/>
      </c>
      <c r="EV69" s="451">
        <f>'Raw financials'!EJ117</f>
        <v/>
      </c>
      <c r="EW69" s="451">
        <f>'Raw financials'!EK117</f>
        <v/>
      </c>
      <c r="EX69" s="451">
        <f>'Raw financials'!EL117</f>
        <v/>
      </c>
      <c r="EY69" s="451">
        <f>'Raw financials'!EM117</f>
        <v/>
      </c>
      <c r="EZ69" s="454" t="n"/>
      <c r="FA69" s="454" t="n"/>
      <c r="FB69" s="452">
        <f>+FA69-EW69</f>
        <v/>
      </c>
      <c r="FC69" s="348">
        <f>+FB69/EW69</f>
        <v/>
      </c>
      <c r="FD69" s="451" t="n"/>
      <c r="FE69" s="451" t="n"/>
    </row>
    <row r="70">
      <c r="A70" s="6" t="inlineStr">
        <is>
          <t>Accounts payable</t>
        </is>
      </c>
      <c r="B70" s="451">
        <f>'Raw financials'!B122</f>
        <v/>
      </c>
      <c r="C70" s="451">
        <f>'Raw financials'!C122</f>
        <v/>
      </c>
      <c r="D70" s="451">
        <f>'Raw financials'!D122</f>
        <v/>
      </c>
      <c r="E70" s="451">
        <f>'Raw financials'!E122</f>
        <v/>
      </c>
      <c r="F70" s="451">
        <f>'Raw financials'!F122</f>
        <v/>
      </c>
      <c r="G70" s="451">
        <f>'Raw financials'!G122</f>
        <v/>
      </c>
      <c r="H70" s="451">
        <f>'Raw financials'!H122</f>
        <v/>
      </c>
      <c r="I70" s="451">
        <f>'Raw financials'!I122</f>
        <v/>
      </c>
      <c r="J70" s="451">
        <f>'Raw financials'!J122</f>
        <v/>
      </c>
      <c r="K70" s="497">
        <f>'Raw financials'!K122</f>
        <v/>
      </c>
      <c r="L70" s="451">
        <f>'Raw financials'!L122</f>
        <v/>
      </c>
      <c r="M70" s="451">
        <f>'Raw financials'!M122</f>
        <v/>
      </c>
      <c r="N70" s="451">
        <f>'Raw financials'!N122</f>
        <v/>
      </c>
      <c r="O70" s="451">
        <f>'Raw financials'!O122</f>
        <v/>
      </c>
      <c r="P70" s="451">
        <f>'Raw financials'!P122</f>
        <v/>
      </c>
      <c r="Q70" s="451">
        <f>'Raw financials'!Q122</f>
        <v/>
      </c>
      <c r="R70" s="451">
        <f>'Raw financials'!R122</f>
        <v/>
      </c>
      <c r="S70" s="451">
        <f>'Raw financials'!S122</f>
        <v/>
      </c>
      <c r="T70" s="451">
        <f>'Raw financials'!T122</f>
        <v/>
      </c>
      <c r="U70" s="451">
        <f>Driver!J148</f>
        <v/>
      </c>
      <c r="V70" s="451">
        <f>Driver!K148</f>
        <v/>
      </c>
      <c r="W70" s="451">
        <f>Driver!L148</f>
        <v/>
      </c>
      <c r="X70" s="451">
        <f>Driver!M148</f>
        <v/>
      </c>
      <c r="Y70" s="451">
        <f>Driver!N148</f>
        <v/>
      </c>
      <c r="Z70" s="451">
        <f>Driver!O148</f>
        <v/>
      </c>
      <c r="AA70" s="452">
        <f>+U70-T70</f>
        <v/>
      </c>
      <c r="AB70" s="348">
        <f>+AA70/T70</f>
        <v/>
      </c>
      <c r="AC70" s="451" t="n">
        <v>28751.21190616379</v>
      </c>
      <c r="AD70" s="452">
        <f>+X70-W70</f>
        <v/>
      </c>
      <c r="AE70" s="348">
        <f>+AD70/W70</f>
        <v/>
      </c>
      <c r="AF70" s="451" t="n"/>
      <c r="AG70" s="451">
        <f>'Raw financials'!AA122</f>
        <v/>
      </c>
      <c r="AH70" s="451">
        <f>+B70</f>
        <v/>
      </c>
      <c r="AI70" s="451">
        <f>'Raw financials'!AB122</f>
        <v/>
      </c>
      <c r="AJ70" s="451">
        <f>+C70</f>
        <v/>
      </c>
      <c r="AK70" s="451">
        <f>'Raw financials'!AC122</f>
        <v/>
      </c>
      <c r="AL70" s="451">
        <f>+D70</f>
        <v/>
      </c>
      <c r="AM70" s="451">
        <f>'Raw financials'!AD122</f>
        <v/>
      </c>
      <c r="AN70" s="451">
        <f>+E70</f>
        <v/>
      </c>
      <c r="AO70" s="451">
        <f>'Raw financials'!AE122</f>
        <v/>
      </c>
      <c r="AP70" s="451">
        <f>+F70</f>
        <v/>
      </c>
      <c r="AQ70" s="451">
        <f>'Raw financials'!AF122</f>
        <v/>
      </c>
      <c r="AR70" s="451">
        <f>+G70</f>
        <v/>
      </c>
      <c r="AS70" s="451">
        <f>'Raw financials'!AG122</f>
        <v/>
      </c>
      <c r="AT70" s="451">
        <f>+H70</f>
        <v/>
      </c>
      <c r="AU70" s="451">
        <f>'Raw financials'!AH122</f>
        <v/>
      </c>
      <c r="AV70" s="451">
        <f>+I70</f>
        <v/>
      </c>
      <c r="AW70" s="451">
        <f>'Raw financials'!AI122</f>
        <v/>
      </c>
      <c r="AX70" s="451">
        <f>+J70</f>
        <v/>
      </c>
      <c r="AY70" s="451">
        <f>'Raw financials'!AJ122</f>
        <v/>
      </c>
      <c r="AZ70" s="451">
        <f>+K70</f>
        <v/>
      </c>
      <c r="BA70" s="451">
        <f>'Raw financials'!AK122</f>
        <v/>
      </c>
      <c r="BB70" s="451">
        <f>+L70</f>
        <v/>
      </c>
      <c r="BC70" s="451">
        <f>'Raw financials'!AL122</f>
        <v/>
      </c>
      <c r="BD70" s="451">
        <f>+M70</f>
        <v/>
      </c>
      <c r="BE70" s="451">
        <f>'Raw financials'!AM122</f>
        <v/>
      </c>
      <c r="BF70" s="451">
        <f>+N70</f>
        <v/>
      </c>
      <c r="BG70" s="451">
        <f>'Raw financials'!AN122</f>
        <v/>
      </c>
      <c r="BH70" s="451">
        <f>+O70</f>
        <v/>
      </c>
      <c r="BI70" s="451">
        <f>'Raw financials'!AO122</f>
        <v/>
      </c>
      <c r="BJ70" s="451">
        <f>+P70</f>
        <v/>
      </c>
      <c r="BK70" s="451">
        <f>'Raw financials'!AP122</f>
        <v/>
      </c>
      <c r="BL70" s="451">
        <f>+Q70</f>
        <v/>
      </c>
      <c r="BM70" s="451">
        <f>'Raw financials'!AQ122</f>
        <v/>
      </c>
      <c r="BN70" s="451">
        <f>+R70</f>
        <v/>
      </c>
      <c r="BO70" s="451">
        <f>'Raw financials'!AR122</f>
        <v/>
      </c>
      <c r="BP70" s="451">
        <f>+S70</f>
        <v/>
      </c>
      <c r="BQ70" s="451">
        <f>'Raw financials'!AS122</f>
        <v/>
      </c>
      <c r="BR70" s="451">
        <f>+T70</f>
        <v/>
      </c>
      <c r="BS70" s="451" t="n"/>
      <c r="BT70" s="451">
        <f>+U70</f>
        <v/>
      </c>
      <c r="BU70" s="453">
        <f>BT70-BR70</f>
        <v/>
      </c>
      <c r="BV70" s="379">
        <f>BU70/BR70</f>
        <v/>
      </c>
      <c r="BW70" s="489" t="n"/>
      <c r="BX70" s="489" t="n"/>
      <c r="BZ70" s="451">
        <f>'Raw financials'!BN122</f>
        <v/>
      </c>
      <c r="CA70" s="451">
        <f>'Raw financials'!BO122</f>
        <v/>
      </c>
      <c r="CB70" s="451">
        <f>'Raw financials'!BP122</f>
        <v/>
      </c>
      <c r="CC70" s="451">
        <f>'Raw financials'!BQ122</f>
        <v/>
      </c>
      <c r="CD70" s="451">
        <f>'Raw financials'!BR122</f>
        <v/>
      </c>
      <c r="CE70" s="451">
        <f>'Raw financials'!BS122</f>
        <v/>
      </c>
      <c r="CF70" s="451">
        <f>'Raw financials'!BT122</f>
        <v/>
      </c>
      <c r="CG70" s="451">
        <f>'Raw financials'!BU122</f>
        <v/>
      </c>
      <c r="CH70" s="451">
        <f>'Raw financials'!BV122</f>
        <v/>
      </c>
      <c r="CI70" s="451">
        <f>'Raw financials'!BW122</f>
        <v/>
      </c>
      <c r="CJ70" s="451">
        <f>'Raw financials'!BX122</f>
        <v/>
      </c>
      <c r="CK70" s="451">
        <f>'Raw financials'!BY122</f>
        <v/>
      </c>
      <c r="CL70" s="451">
        <f>'Raw financials'!BZ122</f>
        <v/>
      </c>
      <c r="CM70" s="451">
        <f>'Raw financials'!CA122</f>
        <v/>
      </c>
      <c r="CN70" s="451">
        <f>'Raw financials'!CB122</f>
        <v/>
      </c>
      <c r="CO70" s="451">
        <f>'Raw financials'!CC122</f>
        <v/>
      </c>
      <c r="CP70" s="451">
        <f>'Raw financials'!CD122</f>
        <v/>
      </c>
      <c r="CQ70" s="451">
        <f>'Raw financials'!CE122</f>
        <v/>
      </c>
      <c r="CR70" s="451">
        <f>'Raw financials'!CF122</f>
        <v/>
      </c>
      <c r="CS70" s="451">
        <f>'Raw financials'!CG122</f>
        <v/>
      </c>
      <c r="CT70" s="451">
        <f>'Raw financials'!CH122</f>
        <v/>
      </c>
      <c r="CU70" s="451">
        <f>'Raw financials'!CI122</f>
        <v/>
      </c>
      <c r="CV70" s="451">
        <f>'Raw financials'!CJ122</f>
        <v/>
      </c>
      <c r="CW70" s="451">
        <f>'Raw financials'!CK122</f>
        <v/>
      </c>
      <c r="CX70" s="451">
        <f>'Raw financials'!CL122</f>
        <v/>
      </c>
      <c r="CY70" s="451">
        <f>'Raw financials'!CM122</f>
        <v/>
      </c>
      <c r="CZ70" s="451">
        <f>'Raw financials'!CN122</f>
        <v/>
      </c>
      <c r="DA70" s="451">
        <f>'Raw financials'!CO122</f>
        <v/>
      </c>
      <c r="DB70" s="451">
        <f>'Raw financials'!CP122</f>
        <v/>
      </c>
      <c r="DC70" s="451">
        <f>'Raw financials'!CQ122</f>
        <v/>
      </c>
      <c r="DD70" s="451">
        <f>'Raw financials'!CR122</f>
        <v/>
      </c>
      <c r="DE70" s="451">
        <f>'Raw financials'!CS122</f>
        <v/>
      </c>
      <c r="DF70" s="451">
        <f>'Raw financials'!CT122</f>
        <v/>
      </c>
      <c r="DG70" s="451">
        <f>'Raw financials'!CU122</f>
        <v/>
      </c>
      <c r="DH70" s="451">
        <f>'Raw financials'!CV122</f>
        <v/>
      </c>
      <c r="DI70" s="451">
        <f>'Raw financials'!CW122</f>
        <v/>
      </c>
      <c r="DJ70" s="451">
        <f>'Raw financials'!CX122</f>
        <v/>
      </c>
      <c r="DK70" s="451">
        <f>'Raw financials'!CY122</f>
        <v/>
      </c>
      <c r="DL70" s="451">
        <f>'Raw financials'!CZ122</f>
        <v/>
      </c>
      <c r="DM70" s="451">
        <f>'Raw financials'!DA122</f>
        <v/>
      </c>
      <c r="DN70" s="451">
        <f>'Raw financials'!DB122</f>
        <v/>
      </c>
      <c r="DO70" s="451">
        <f>'Raw financials'!DC122</f>
        <v/>
      </c>
      <c r="DP70" s="451">
        <f>'Raw financials'!DD122</f>
        <v/>
      </c>
      <c r="DQ70" s="451">
        <f>'Raw financials'!DE122</f>
        <v/>
      </c>
      <c r="DR70" s="451">
        <f>'Raw financials'!DF122</f>
        <v/>
      </c>
      <c r="DS70" s="451">
        <f>'Raw financials'!DG122</f>
        <v/>
      </c>
      <c r="DT70" s="451">
        <f>'Raw financials'!DH122</f>
        <v/>
      </c>
      <c r="DU70" s="451">
        <f>'Raw financials'!DI122</f>
        <v/>
      </c>
      <c r="DV70" s="451">
        <f>'Raw financials'!DJ122</f>
        <v/>
      </c>
      <c r="DW70" s="451">
        <f>'Raw financials'!DK122</f>
        <v/>
      </c>
      <c r="DX70" s="451" t="n"/>
      <c r="DY70" s="451" t="n"/>
      <c r="DZ70" s="451">
        <f>'Raw financials'!DN120</f>
        <v/>
      </c>
      <c r="EA70" s="451">
        <f>'Raw financials'!DO122</f>
        <v/>
      </c>
      <c r="EB70" s="451">
        <f>'Raw financials'!DP122</f>
        <v/>
      </c>
      <c r="EC70" s="451">
        <f>'Raw financials'!DQ122</f>
        <v/>
      </c>
      <c r="ED70" s="451">
        <f>'Raw financials'!DR122</f>
        <v/>
      </c>
      <c r="EE70" s="451">
        <f>'Raw financials'!DS122</f>
        <v/>
      </c>
      <c r="EF70" s="451">
        <f>'Raw financials'!DT122</f>
        <v/>
      </c>
      <c r="EG70" s="451">
        <f>'Raw financials'!DU122</f>
        <v/>
      </c>
      <c r="EH70" s="451">
        <f>'Raw financials'!DV122</f>
        <v/>
      </c>
      <c r="EI70" s="451">
        <f>'Raw financials'!DW122</f>
        <v/>
      </c>
      <c r="EJ70" s="451">
        <f>'Raw financials'!DX122</f>
        <v/>
      </c>
      <c r="EK70" s="451">
        <f>'Raw financials'!DY122</f>
        <v/>
      </c>
      <c r="EL70" s="451">
        <f>'Raw financials'!DZ122</f>
        <v/>
      </c>
      <c r="EM70" s="451">
        <f>'Raw financials'!EA122</f>
        <v/>
      </c>
      <c r="EN70" s="451">
        <f>'Raw financials'!EB122</f>
        <v/>
      </c>
      <c r="EO70" s="451">
        <f>'Raw financials'!EC122</f>
        <v/>
      </c>
      <c r="EP70" s="451">
        <f>'Raw financials'!ED122</f>
        <v/>
      </c>
      <c r="EQ70" s="451">
        <f>'Raw financials'!EE122</f>
        <v/>
      </c>
      <c r="ER70" s="451">
        <f>'Raw financials'!EF122</f>
        <v/>
      </c>
      <c r="ES70" s="451">
        <f>'Raw financials'!EG122</f>
        <v/>
      </c>
      <c r="ET70" s="451">
        <f>'Raw financials'!EH122</f>
        <v/>
      </c>
      <c r="EU70" s="451">
        <f>'Raw financials'!EI122</f>
        <v/>
      </c>
      <c r="EV70" s="451">
        <f>'Raw financials'!EJ122</f>
        <v/>
      </c>
      <c r="EW70" s="451">
        <f>'Raw financials'!EK122</f>
        <v/>
      </c>
      <c r="EX70" s="451">
        <f>'Raw financials'!EL122</f>
        <v/>
      </c>
      <c r="EY70" s="451">
        <f>'Raw financials'!EM122</f>
        <v/>
      </c>
      <c r="EZ70" s="454" t="n"/>
      <c r="FA70" s="454" t="n"/>
      <c r="FB70" s="452">
        <f>+FA70-EW70</f>
        <v/>
      </c>
      <c r="FC70" s="348">
        <f>+FB70/EW70</f>
        <v/>
      </c>
      <c r="FD70" s="451" t="n"/>
      <c r="FE70" s="451" t="n"/>
    </row>
    <row r="71">
      <c r="A71" s="6" t="inlineStr">
        <is>
          <t>Advance payment / contract liabilities</t>
        </is>
      </c>
      <c r="B71" s="451">
        <f>SUM('Raw financials'!B123,'Raw financials'!B124)</f>
        <v/>
      </c>
      <c r="C71" s="451">
        <f>SUM('Raw financials'!C123,'Raw financials'!C124)</f>
        <v/>
      </c>
      <c r="D71" s="451">
        <f>SUM('Raw financials'!D123,'Raw financials'!D124)</f>
        <v/>
      </c>
      <c r="E71" s="451">
        <f>SUM('Raw financials'!E123,'Raw financials'!E124)</f>
        <v/>
      </c>
      <c r="F71" s="451">
        <f>SUM('Raw financials'!F123,'Raw financials'!F124)</f>
        <v/>
      </c>
      <c r="G71" s="451">
        <f>SUM('Raw financials'!G123,'Raw financials'!G124)</f>
        <v/>
      </c>
      <c r="H71" s="451">
        <f>SUM('Raw financials'!H123,'Raw financials'!H124)</f>
        <v/>
      </c>
      <c r="I71" s="451">
        <f>SUM('Raw financials'!I123,'Raw financials'!I124)</f>
        <v/>
      </c>
      <c r="J71" s="451">
        <f>SUM('Raw financials'!J123,'Raw financials'!J124)</f>
        <v/>
      </c>
      <c r="K71" s="497">
        <f>SUM('Raw financials'!K123,'Raw financials'!K124)</f>
        <v/>
      </c>
      <c r="L71" s="451">
        <f>SUM('Raw financials'!L123,'Raw financials'!L124)</f>
        <v/>
      </c>
      <c r="M71" s="451">
        <f>SUM('Raw financials'!M123,'Raw financials'!M124)</f>
        <v/>
      </c>
      <c r="N71" s="451">
        <f>SUM('Raw financials'!N123,'Raw financials'!N124)</f>
        <v/>
      </c>
      <c r="O71" s="451">
        <f>SUM('Raw financials'!O123,'Raw financials'!O124)</f>
        <v/>
      </c>
      <c r="P71" s="451">
        <f>SUM('Raw financials'!P123,'Raw financials'!P124)</f>
        <v/>
      </c>
      <c r="Q71" s="451">
        <f>SUM('Raw financials'!Q123,'Raw financials'!Q124)</f>
        <v/>
      </c>
      <c r="R71" s="451">
        <f>SUM('Raw financials'!R123,'Raw financials'!R124)</f>
        <v/>
      </c>
      <c r="S71" s="451">
        <f>SUM('Raw financials'!S123,'Raw financials'!S124)</f>
        <v/>
      </c>
      <c r="T71" s="451">
        <f>SUM('Raw financials'!T123,'Raw financials'!T124)</f>
        <v/>
      </c>
      <c r="U71" s="459">
        <f>T71</f>
        <v/>
      </c>
      <c r="V71" s="459">
        <f>U71</f>
        <v/>
      </c>
      <c r="W71" s="459">
        <f>V71</f>
        <v/>
      </c>
      <c r="X71" s="459">
        <f>W71</f>
        <v/>
      </c>
      <c r="Y71" s="459">
        <f>X71</f>
        <v/>
      </c>
      <c r="Z71" s="459">
        <f>Y71</f>
        <v/>
      </c>
      <c r="AA71" s="452">
        <f>+U71-T71</f>
        <v/>
      </c>
      <c r="AB71" s="348">
        <f>+AA71/T71</f>
        <v/>
      </c>
      <c r="AC71" s="459" t="n">
        <v>40665.9968</v>
      </c>
      <c r="AD71" s="452">
        <f>+X71-W71</f>
        <v/>
      </c>
      <c r="AE71" s="348">
        <f>+AD71/W71</f>
        <v/>
      </c>
      <c r="AF71" s="451" t="n"/>
      <c r="AG71" s="451">
        <f>SUM('Raw financials'!AA123,'Raw financials'!AA124)</f>
        <v/>
      </c>
      <c r="AH71" s="451">
        <f>+B71</f>
        <v/>
      </c>
      <c r="AI71" s="451">
        <f>SUM('Raw financials'!AB123,'Raw financials'!AB124)</f>
        <v/>
      </c>
      <c r="AJ71" s="451">
        <f>+C71</f>
        <v/>
      </c>
      <c r="AK71" s="451">
        <f>SUM('Raw financials'!AC123,'Raw financials'!AC124)</f>
        <v/>
      </c>
      <c r="AL71" s="451">
        <f>+D71</f>
        <v/>
      </c>
      <c r="AM71" s="451">
        <f>SUM('Raw financials'!AD123,'Raw financials'!AD124)</f>
        <v/>
      </c>
      <c r="AN71" s="451">
        <f>+E71</f>
        <v/>
      </c>
      <c r="AO71" s="451">
        <f>SUM('Raw financials'!AE123,'Raw financials'!AE124)</f>
        <v/>
      </c>
      <c r="AP71" s="451">
        <f>+F71</f>
        <v/>
      </c>
      <c r="AQ71" s="451">
        <f>SUM('Raw financials'!AF123,'Raw financials'!AF124)</f>
        <v/>
      </c>
      <c r="AR71" s="451">
        <f>+G71</f>
        <v/>
      </c>
      <c r="AS71" s="451">
        <f>SUM('Raw financials'!AG123,'Raw financials'!AG124)</f>
        <v/>
      </c>
      <c r="AT71" s="451">
        <f>+H71</f>
        <v/>
      </c>
      <c r="AU71" s="451">
        <f>SUM('Raw financials'!AH123,'Raw financials'!AH124)</f>
        <v/>
      </c>
      <c r="AV71" s="451">
        <f>+I71</f>
        <v/>
      </c>
      <c r="AW71" s="451">
        <f>SUM('Raw financials'!AI123,'Raw financials'!AI124)</f>
        <v/>
      </c>
      <c r="AX71" s="451">
        <f>+J71</f>
        <v/>
      </c>
      <c r="AY71" s="451">
        <f>SUM('Raw financials'!AJ123,'Raw financials'!AJ124)</f>
        <v/>
      </c>
      <c r="AZ71" s="451">
        <f>+K71</f>
        <v/>
      </c>
      <c r="BA71" s="451">
        <f>SUM('Raw financials'!AK123,'Raw financials'!AK124)</f>
        <v/>
      </c>
      <c r="BB71" s="451">
        <f>+L71</f>
        <v/>
      </c>
      <c r="BC71" s="451">
        <f>SUM('Raw financials'!AL123,'Raw financials'!AL124)</f>
        <v/>
      </c>
      <c r="BD71" s="451">
        <f>+M71</f>
        <v/>
      </c>
      <c r="BE71" s="451">
        <f>SUM('Raw financials'!AM123,'Raw financials'!AM124)</f>
        <v/>
      </c>
      <c r="BF71" s="451">
        <f>+N71</f>
        <v/>
      </c>
      <c r="BG71" s="451">
        <f>SUM('Raw financials'!AN123,'Raw financials'!AN124)</f>
        <v/>
      </c>
      <c r="BH71" s="451">
        <f>+O71</f>
        <v/>
      </c>
      <c r="BI71" s="451">
        <f>SUM('Raw financials'!AO123,'Raw financials'!AO124)</f>
        <v/>
      </c>
      <c r="BJ71" s="451">
        <f>+P71</f>
        <v/>
      </c>
      <c r="BK71" s="451">
        <f>SUM('Raw financials'!AP123,'Raw financials'!AP124)</f>
        <v/>
      </c>
      <c r="BL71" s="451">
        <f>+Q71</f>
        <v/>
      </c>
      <c r="BM71" s="451">
        <f>SUM('Raw financials'!AQ123,'Raw financials'!AQ124)</f>
        <v/>
      </c>
      <c r="BN71" s="451">
        <f>+R71</f>
        <v/>
      </c>
      <c r="BO71" s="451">
        <f>SUM('Raw financials'!AR123,'Raw financials'!AR124)</f>
        <v/>
      </c>
      <c r="BP71" s="451">
        <f>+S71</f>
        <v/>
      </c>
      <c r="BQ71" s="451">
        <f>SUM('Raw financials'!AS123,'Raw financials'!AS124)</f>
        <v/>
      </c>
      <c r="BR71" s="451">
        <f>+T71</f>
        <v/>
      </c>
      <c r="BS71" s="451" t="n"/>
      <c r="BT71" s="451">
        <f>+U71</f>
        <v/>
      </c>
      <c r="BU71" s="446">
        <f>BT71-BR71</f>
        <v/>
      </c>
      <c r="BV71" s="381">
        <f>BU71/BR71</f>
        <v/>
      </c>
      <c r="BW71" s="489" t="n"/>
      <c r="BX71" s="489" t="n"/>
      <c r="BZ71" s="451">
        <f>SUM('Raw financials'!BN123,'Raw financials'!BN124)</f>
        <v/>
      </c>
      <c r="CA71" s="451">
        <f>SUM('Raw financials'!BO123,'Raw financials'!BO124)</f>
        <v/>
      </c>
      <c r="CB71" s="451">
        <f>SUM('Raw financials'!BP123,'Raw financials'!BP124)</f>
        <v/>
      </c>
      <c r="CC71" s="451">
        <f>SUM('Raw financials'!BQ123,'Raw financials'!BQ124)</f>
        <v/>
      </c>
      <c r="CD71" s="451">
        <f>SUM('Raw financials'!BR123,'Raw financials'!BR124)</f>
        <v/>
      </c>
      <c r="CE71" s="451">
        <f>SUM('Raw financials'!BS123,'Raw financials'!BS124)</f>
        <v/>
      </c>
      <c r="CF71" s="451">
        <f>SUM('Raw financials'!BT123,'Raw financials'!BT124)</f>
        <v/>
      </c>
      <c r="CG71" s="451">
        <f>SUM('Raw financials'!BU123,'Raw financials'!BU124)</f>
        <v/>
      </c>
      <c r="CH71" s="451">
        <f>SUM('Raw financials'!BV123,'Raw financials'!BV124)</f>
        <v/>
      </c>
      <c r="CI71" s="451">
        <f>SUM('Raw financials'!BW123,'Raw financials'!BW124)</f>
        <v/>
      </c>
      <c r="CJ71" s="451">
        <f>SUM('Raw financials'!BX123,'Raw financials'!BX124)</f>
        <v/>
      </c>
      <c r="CK71" s="451">
        <f>SUM('Raw financials'!BY123,'Raw financials'!BY124)</f>
        <v/>
      </c>
      <c r="CL71" s="451">
        <f>SUM('Raw financials'!BZ123,'Raw financials'!BZ124)</f>
        <v/>
      </c>
      <c r="CM71" s="451">
        <f>SUM('Raw financials'!CA123,'Raw financials'!CA124)</f>
        <v/>
      </c>
      <c r="CN71" s="451">
        <f>SUM('Raw financials'!CB123,'Raw financials'!CB124)</f>
        <v/>
      </c>
      <c r="CO71" s="451">
        <f>SUM('Raw financials'!CC123,'Raw financials'!CC124)</f>
        <v/>
      </c>
      <c r="CP71" s="451">
        <f>SUM('Raw financials'!CD123,'Raw financials'!CD124)</f>
        <v/>
      </c>
      <c r="CQ71" s="451">
        <f>SUM('Raw financials'!CE123,'Raw financials'!CE124)</f>
        <v/>
      </c>
      <c r="CR71" s="451">
        <f>SUM('Raw financials'!CF123,'Raw financials'!CF124)</f>
        <v/>
      </c>
      <c r="CS71" s="451">
        <f>SUM('Raw financials'!CG123,'Raw financials'!CG124)</f>
        <v/>
      </c>
      <c r="CT71" s="451">
        <f>SUM('Raw financials'!CH123,'Raw financials'!CH124)</f>
        <v/>
      </c>
      <c r="CU71" s="451">
        <f>SUM('Raw financials'!CI123,'Raw financials'!CI124)</f>
        <v/>
      </c>
      <c r="CV71" s="451">
        <f>SUM('Raw financials'!CJ123,'Raw financials'!CJ124)</f>
        <v/>
      </c>
      <c r="CW71" s="451">
        <f>SUM('Raw financials'!CK123,'Raw financials'!CK124)</f>
        <v/>
      </c>
      <c r="CX71" s="451">
        <f>SUM('Raw financials'!CL123,'Raw financials'!CL124)</f>
        <v/>
      </c>
      <c r="CY71" s="451">
        <f>SUM('Raw financials'!CM123,'Raw financials'!CM124)</f>
        <v/>
      </c>
      <c r="CZ71" s="451">
        <f>SUM('Raw financials'!CN123,'Raw financials'!CN124)</f>
        <v/>
      </c>
      <c r="DA71" s="451">
        <f>SUM('Raw financials'!CO123,'Raw financials'!CO124)</f>
        <v/>
      </c>
      <c r="DB71" s="451">
        <f>SUM('Raw financials'!CP123,'Raw financials'!CP124)</f>
        <v/>
      </c>
      <c r="DC71" s="451">
        <f>SUM('Raw financials'!CQ123,'Raw financials'!CQ124)</f>
        <v/>
      </c>
      <c r="DD71" s="451">
        <f>SUM('Raw financials'!CR123,'Raw financials'!CR124)</f>
        <v/>
      </c>
      <c r="DE71" s="451">
        <f>SUM('Raw financials'!CS123,'Raw financials'!CS124)</f>
        <v/>
      </c>
      <c r="DF71" s="451">
        <f>SUM('Raw financials'!CT123,'Raw financials'!CT124)</f>
        <v/>
      </c>
      <c r="DG71" s="451">
        <f>SUM('Raw financials'!CU123,'Raw financials'!CU124)</f>
        <v/>
      </c>
      <c r="DH71" s="451">
        <f>SUM('Raw financials'!CV123,'Raw financials'!CV124)</f>
        <v/>
      </c>
      <c r="DI71" s="451">
        <f>SUM('Raw financials'!CW123,'Raw financials'!CW124)</f>
        <v/>
      </c>
      <c r="DJ71" s="451">
        <f>SUM('Raw financials'!CX123,'Raw financials'!CX124)</f>
        <v/>
      </c>
      <c r="DK71" s="451">
        <f>SUM('Raw financials'!CY123,'Raw financials'!CY124)</f>
        <v/>
      </c>
      <c r="DL71" s="451">
        <f>SUM('Raw financials'!CZ123,'Raw financials'!CZ124)</f>
        <v/>
      </c>
      <c r="DM71" s="451">
        <f>SUM('Raw financials'!DA123,'Raw financials'!DA124)</f>
        <v/>
      </c>
      <c r="DN71" s="451">
        <f>SUM('Raw financials'!DB123,'Raw financials'!DB124)</f>
        <v/>
      </c>
      <c r="DO71" s="451">
        <f>SUM('Raw financials'!DC123,'Raw financials'!DC124)</f>
        <v/>
      </c>
      <c r="DP71" s="451">
        <f>SUM('Raw financials'!DD123,'Raw financials'!DD124)</f>
        <v/>
      </c>
      <c r="DQ71" s="451">
        <f>SUM('Raw financials'!DE123,'Raw financials'!DE124)</f>
        <v/>
      </c>
      <c r="DR71" s="451">
        <f>SUM('Raw financials'!DF123,'Raw financials'!DF124)</f>
        <v/>
      </c>
      <c r="DS71" s="451">
        <f>SUM('Raw financials'!DG123,'Raw financials'!DG124)</f>
        <v/>
      </c>
      <c r="DT71" s="451">
        <f>SUM('Raw financials'!DH123,'Raw financials'!DH124)</f>
        <v/>
      </c>
      <c r="DU71" s="451">
        <f>SUM('Raw financials'!DI123,'Raw financials'!DI124)</f>
        <v/>
      </c>
      <c r="DV71" s="451">
        <f>SUM('Raw financials'!DJ123,'Raw financials'!DJ124)</f>
        <v/>
      </c>
      <c r="DW71" s="451">
        <f>SUM('Raw financials'!DK123,'Raw financials'!DK124)</f>
        <v/>
      </c>
      <c r="DX71" s="451" t="n"/>
      <c r="DY71" s="451" t="n"/>
      <c r="DZ71" s="451">
        <f>SUM('Raw financials'!DN123,'Raw financials'!DN124)</f>
        <v/>
      </c>
      <c r="EA71" s="451">
        <f>SUM('Raw financials'!DO123,'Raw financials'!DO124)</f>
        <v/>
      </c>
      <c r="EB71" s="451">
        <f>SUM('Raw financials'!DP123,'Raw financials'!DP124)</f>
        <v/>
      </c>
      <c r="EC71" s="451">
        <f>SUM('Raw financials'!DQ123,'Raw financials'!DQ124)</f>
        <v/>
      </c>
      <c r="ED71" s="451">
        <f>SUM('Raw financials'!DR123,'Raw financials'!DR124)</f>
        <v/>
      </c>
      <c r="EE71" s="451">
        <f>SUM('Raw financials'!DS123,'Raw financials'!DS124)</f>
        <v/>
      </c>
      <c r="EF71" s="451">
        <f>SUM('Raw financials'!DT123,'Raw financials'!DT124)</f>
        <v/>
      </c>
      <c r="EG71" s="451">
        <f>SUM('Raw financials'!DU123,'Raw financials'!DU124)</f>
        <v/>
      </c>
      <c r="EH71" s="451">
        <f>SUM('Raw financials'!DV123,'Raw financials'!DV124)</f>
        <v/>
      </c>
      <c r="EI71" s="451">
        <f>SUM('Raw financials'!DW123,'Raw financials'!DW124)</f>
        <v/>
      </c>
      <c r="EJ71" s="451">
        <f>SUM('Raw financials'!DX123,'Raw financials'!DX124)</f>
        <v/>
      </c>
      <c r="EK71" s="451">
        <f>SUM('Raw financials'!DY123,'Raw financials'!DY124)</f>
        <v/>
      </c>
      <c r="EL71" s="451">
        <f>SUM('Raw financials'!DZ123,'Raw financials'!DZ124)</f>
        <v/>
      </c>
      <c r="EM71" s="451">
        <f>SUM('Raw financials'!EA123,'Raw financials'!EA124)</f>
        <v/>
      </c>
      <c r="EN71" s="451">
        <f>SUM('Raw financials'!EB123,'Raw financials'!EB124)</f>
        <v/>
      </c>
      <c r="EO71" s="451">
        <f>SUM('Raw financials'!EC123,'Raw financials'!EC124)</f>
        <v/>
      </c>
      <c r="EP71" s="451">
        <f>SUM('Raw financials'!ED123,'Raw financials'!ED124)</f>
        <v/>
      </c>
      <c r="EQ71" s="451">
        <f>SUM('Raw financials'!EE123,'Raw financials'!EE124)</f>
        <v/>
      </c>
      <c r="ER71" s="451">
        <f>SUM('Raw financials'!EF123,'Raw financials'!EF124)</f>
        <v/>
      </c>
      <c r="ES71" s="451">
        <f>SUM('Raw financials'!EG123,'Raw financials'!EG124)</f>
        <v/>
      </c>
      <c r="ET71" s="451">
        <f>SUM('Raw financials'!EH123,'Raw financials'!EH124)</f>
        <v/>
      </c>
      <c r="EU71" s="451">
        <f>SUM('Raw financials'!EI123,'Raw financials'!EI124)</f>
        <v/>
      </c>
      <c r="EV71" s="451">
        <f>SUM('Raw financials'!EJ123,'Raw financials'!EJ124)</f>
        <v/>
      </c>
      <c r="EW71" s="451">
        <f>SUM('Raw financials'!EK123,'Raw financials'!EK124)</f>
        <v/>
      </c>
      <c r="EX71" s="451">
        <f>SUM('Raw financials'!EL123,'Raw financials'!EL124)</f>
        <v/>
      </c>
      <c r="EY71" s="451">
        <f>SUM('Raw financials'!EM123,'Raw financials'!EM124)</f>
        <v/>
      </c>
      <c r="EZ71" s="454" t="n"/>
      <c r="FA71" s="454" t="n"/>
      <c r="FB71" s="452">
        <f>+FA71-EW71</f>
        <v/>
      </c>
      <c r="FC71" s="348">
        <f>+FB71/EW71</f>
        <v/>
      </c>
      <c r="FD71" s="451" t="n"/>
      <c r="FE71" s="451" t="n"/>
    </row>
    <row r="72">
      <c r="A72" s="6" t="inlineStr">
        <is>
          <t>Other payables</t>
        </is>
      </c>
      <c r="B72" s="451">
        <f>SUM('Raw financials'!B121,'Raw financials'!B126,'Raw financials'!B127,'Raw financials'!B128)</f>
        <v/>
      </c>
      <c r="C72" s="451">
        <f>SUM('Raw financials'!C121,'Raw financials'!C126,'Raw financials'!C127,'Raw financials'!C128)</f>
        <v/>
      </c>
      <c r="D72" s="451">
        <f>SUM('Raw financials'!D121,'Raw financials'!D126,'Raw financials'!D127,'Raw financials'!D128)</f>
        <v/>
      </c>
      <c r="E72" s="451">
        <f>SUM('Raw financials'!E121,'Raw financials'!E126,'Raw financials'!E127,'Raw financials'!E128)</f>
        <v/>
      </c>
      <c r="F72" s="451">
        <f>SUM('Raw financials'!F121,'Raw financials'!F126,'Raw financials'!F127,'Raw financials'!F128)</f>
        <v/>
      </c>
      <c r="G72" s="451">
        <f>SUM('Raw financials'!G121,'Raw financials'!G126,'Raw financials'!G127,'Raw financials'!G128)</f>
        <v/>
      </c>
      <c r="H72" s="451">
        <f>SUM('Raw financials'!H121,'Raw financials'!H126,'Raw financials'!H127,'Raw financials'!H128)</f>
        <v/>
      </c>
      <c r="I72" s="451">
        <f>SUM('Raw financials'!I121,'Raw financials'!I126,'Raw financials'!I127,'Raw financials'!I128)</f>
        <v/>
      </c>
      <c r="J72" s="451">
        <f>SUM('Raw financials'!J121,'Raw financials'!J126,'Raw financials'!J127,'Raw financials'!J128)</f>
        <v/>
      </c>
      <c r="K72" s="451">
        <f>SUM('Raw financials'!K121,'Raw financials'!K126,'Raw financials'!K127,'Raw financials'!K128)</f>
        <v/>
      </c>
      <c r="L72" s="451">
        <f>SUM('Raw financials'!L121,'Raw financials'!L126,'Raw financials'!L127,'Raw financials'!L128)</f>
        <v/>
      </c>
      <c r="M72" s="451">
        <f>SUM('Raw financials'!M121,'Raw financials'!M126,'Raw financials'!M127,'Raw financials'!M128)</f>
        <v/>
      </c>
      <c r="N72" s="451">
        <f>SUM('Raw financials'!N121,'Raw financials'!N126,'Raw financials'!N127,'Raw financials'!N128)</f>
        <v/>
      </c>
      <c r="O72" s="451">
        <f>SUM('Raw financials'!O121,'Raw financials'!O126,'Raw financials'!O127,'Raw financials'!O128)</f>
        <v/>
      </c>
      <c r="P72" s="451">
        <f>SUM('Raw financials'!P121,'Raw financials'!P126,'Raw financials'!P127,'Raw financials'!P128)</f>
        <v/>
      </c>
      <c r="Q72" s="451">
        <f>SUM('Raw financials'!Q121,'Raw financials'!Q126,'Raw financials'!Q127,'Raw financials'!Q128)</f>
        <v/>
      </c>
      <c r="R72" s="451">
        <f>SUM('Raw financials'!R121,'Raw financials'!R126,'Raw financials'!R127,'Raw financials'!R128)</f>
        <v/>
      </c>
      <c r="S72" s="451">
        <f>SUM('Raw financials'!S121,'Raw financials'!S126,'Raw financials'!S127,'Raw financials'!S128)</f>
        <v/>
      </c>
      <c r="T72" s="451">
        <f>SUM('Raw financials'!T121,'Raw financials'!T126,'Raw financials'!T127,'Raw financials'!T128)</f>
        <v/>
      </c>
      <c r="U72" s="451">
        <f>Driver!J150</f>
        <v/>
      </c>
      <c r="V72" s="451">
        <f>Driver!K150</f>
        <v/>
      </c>
      <c r="W72" s="451">
        <f>Driver!L150</f>
        <v/>
      </c>
      <c r="X72" s="451">
        <f>Driver!M150</f>
        <v/>
      </c>
      <c r="Y72" s="451">
        <f>Driver!N150</f>
        <v/>
      </c>
      <c r="Z72" s="451">
        <f>Driver!O150</f>
        <v/>
      </c>
      <c r="AA72" s="452">
        <f>+U72-T72</f>
        <v/>
      </c>
      <c r="AB72" s="348">
        <f>+AA72/T72</f>
        <v/>
      </c>
      <c r="AC72" s="451" t="n">
        <v>21988.49603723573</v>
      </c>
      <c r="AD72" s="452">
        <f>+X72-W72</f>
        <v/>
      </c>
      <c r="AE72" s="348">
        <f>+AD72/W72</f>
        <v/>
      </c>
      <c r="AF72" s="451" t="n"/>
      <c r="AG72" s="451">
        <f>SUM('Raw financials'!AA121,'Raw financials'!AA126,'Raw financials'!AA127,'Raw financials'!AA129,'Raw financials'!AA130,'Raw financials'!AA131)</f>
        <v/>
      </c>
      <c r="AH72" s="451">
        <f>+B72</f>
        <v/>
      </c>
      <c r="AI72" s="451">
        <f>SUM('Raw financials'!AB121,'Raw financials'!AB126,'Raw financials'!AB127,'Raw financials'!AB129,'Raw financials'!AB130,'Raw financials'!AB131)</f>
        <v/>
      </c>
      <c r="AJ72" s="451">
        <f>+C72</f>
        <v/>
      </c>
      <c r="AK72" s="451">
        <f>SUM('Raw financials'!AC121,'Raw financials'!AC126,'Raw financials'!AC127,'Raw financials'!AC129,'Raw financials'!AC130,'Raw financials'!AC131)</f>
        <v/>
      </c>
      <c r="AL72" s="451">
        <f>+D72</f>
        <v/>
      </c>
      <c r="AM72" s="451">
        <f>SUM('Raw financials'!AD121,'Raw financials'!AD126,'Raw financials'!AD127,'Raw financials'!AD129,'Raw financials'!AD130,'Raw financials'!AD131)</f>
        <v/>
      </c>
      <c r="AN72" s="451">
        <f>+E72</f>
        <v/>
      </c>
      <c r="AO72" s="451">
        <f>SUM('Raw financials'!AE121,'Raw financials'!AE126,'Raw financials'!AE127,'Raw financials'!AE129,'Raw financials'!AE130,'Raw financials'!AE131)</f>
        <v/>
      </c>
      <c r="AP72" s="451">
        <f>+F72</f>
        <v/>
      </c>
      <c r="AQ72" s="451">
        <f>SUM('Raw financials'!AF121,'Raw financials'!AF126,'Raw financials'!AF127,'Raw financials'!AF129,'Raw financials'!AF130,'Raw financials'!AF131)</f>
        <v/>
      </c>
      <c r="AR72" s="451">
        <f>+G72</f>
        <v/>
      </c>
      <c r="AS72" s="451">
        <f>SUM('Raw financials'!AG121,'Raw financials'!AG126,'Raw financials'!AG127,'Raw financials'!AG129,'Raw financials'!AG130,'Raw financials'!AG131)</f>
        <v/>
      </c>
      <c r="AT72" s="451">
        <f>+H72</f>
        <v/>
      </c>
      <c r="AU72" s="451">
        <f>SUM('Raw financials'!AH121,'Raw financials'!AH126,'Raw financials'!AH127,'Raw financials'!AH129,'Raw financials'!AH130,'Raw financials'!AH131)</f>
        <v/>
      </c>
      <c r="AV72" s="451">
        <f>+I72</f>
        <v/>
      </c>
      <c r="AW72" s="451">
        <f>SUM('Raw financials'!AI121,'Raw financials'!AI126,'Raw financials'!AI127,'Raw financials'!AI129,'Raw financials'!AI130,'Raw financials'!AI131)</f>
        <v/>
      </c>
      <c r="AX72" s="451">
        <f>+J72</f>
        <v/>
      </c>
      <c r="AY72" s="451">
        <f>SUM('Raw financials'!AJ121,'Raw financials'!AJ126,'Raw financials'!AJ127,'Raw financials'!AJ129,'Raw financials'!AJ130,'Raw financials'!AJ131)</f>
        <v/>
      </c>
      <c r="AZ72" s="451">
        <f>+K72</f>
        <v/>
      </c>
      <c r="BA72" s="451">
        <f>SUM('Raw financials'!AK121,'Raw financials'!AK126,'Raw financials'!AK127,'Raw financials'!AK129,'Raw financials'!AK130,'Raw financials'!AK131)</f>
        <v/>
      </c>
      <c r="BB72" s="451">
        <f>+L72</f>
        <v/>
      </c>
      <c r="BC72" s="451">
        <f>SUM('Raw financials'!AL121,'Raw financials'!AL126,'Raw financials'!AL127,'Raw financials'!AL129,'Raw financials'!AL130,'Raw financials'!AL131)</f>
        <v/>
      </c>
      <c r="BD72" s="451">
        <f>+M72</f>
        <v/>
      </c>
      <c r="BE72" s="451">
        <f>SUM('Raw financials'!AM121,'Raw financials'!AM126,'Raw financials'!AM127,'Raw financials'!AM129,'Raw financials'!AM130,'Raw financials'!AM131)</f>
        <v/>
      </c>
      <c r="BF72" s="451">
        <f>+N72</f>
        <v/>
      </c>
      <c r="BG72" s="451">
        <f>SUM('Raw financials'!AN121,'Raw financials'!AN126,'Raw financials'!AN127,'Raw financials'!AN129,'Raw financials'!AN130,'Raw financials'!AN131)</f>
        <v/>
      </c>
      <c r="BH72" s="451">
        <f>+O72</f>
        <v/>
      </c>
      <c r="BI72" s="451">
        <f>SUM('Raw financials'!AO121,'Raw financials'!AO126,'Raw financials'!AO127,'Raw financials'!AO129,'Raw financials'!AO130,'Raw financials'!AO131)</f>
        <v/>
      </c>
      <c r="BJ72" s="451">
        <f>+P72</f>
        <v/>
      </c>
      <c r="BK72" s="451">
        <f>SUM('Raw financials'!AP121,'Raw financials'!AP126,'Raw financials'!AP127,'Raw financials'!AP129,'Raw financials'!AP130,'Raw financials'!AP131)</f>
        <v/>
      </c>
      <c r="BL72" s="451">
        <f>+Q72</f>
        <v/>
      </c>
      <c r="BM72" s="451">
        <f>SUM('Raw financials'!AQ121,'Raw financials'!AQ126,'Raw financials'!AQ127,'Raw financials'!AQ129,'Raw financials'!AQ130,'Raw financials'!AQ131)</f>
        <v/>
      </c>
      <c r="BN72" s="451">
        <f>+R72</f>
        <v/>
      </c>
      <c r="BO72" s="451">
        <f>SUM('Raw financials'!AR121,'Raw financials'!AR126,'Raw financials'!AR127,'Raw financials'!AR129,'Raw financials'!AR130,'Raw financials'!AR131)</f>
        <v/>
      </c>
      <c r="BP72" s="451">
        <f>+S72</f>
        <v/>
      </c>
      <c r="BQ72" s="451">
        <f>SUM('Raw financials'!AS121,'Raw financials'!AS126,'Raw financials'!AS127,'Raw financials'!AS129,'Raw financials'!AS130,'Raw financials'!AS131)</f>
        <v/>
      </c>
      <c r="BR72" s="451">
        <f>+T72</f>
        <v/>
      </c>
      <c r="BS72" s="451" t="n"/>
      <c r="BT72" s="451">
        <f>+U72</f>
        <v/>
      </c>
      <c r="BU72" s="453">
        <f>BT72-BR72</f>
        <v/>
      </c>
      <c r="BV72" s="379">
        <f>BU72/BR72</f>
        <v/>
      </c>
      <c r="BW72" s="489" t="n"/>
      <c r="BX72" s="489" t="n"/>
      <c r="BZ72" s="451">
        <f>SUM('Raw financials'!BN121,'Raw financials'!BN126,'Raw financials'!BN127,'Raw financials'!BN129,'Raw financials'!BN130,'Raw financials'!BN131)</f>
        <v/>
      </c>
      <c r="CA72" s="451">
        <f>SUM('Raw financials'!BO121,'Raw financials'!BO126,'Raw financials'!BO127,'Raw financials'!BO129,'Raw financials'!BO130,'Raw financials'!BO131)</f>
        <v/>
      </c>
      <c r="CB72" s="451">
        <f>SUM('Raw financials'!BP121,'Raw financials'!BP126,'Raw financials'!BP127,'Raw financials'!BP129,'Raw financials'!BP130,'Raw financials'!BP131)</f>
        <v/>
      </c>
      <c r="CC72" s="451">
        <f>SUM('Raw financials'!BQ121,'Raw financials'!BQ126,'Raw financials'!BQ127,'Raw financials'!BQ129,'Raw financials'!BQ130,'Raw financials'!BQ131)</f>
        <v/>
      </c>
      <c r="CD72" s="451">
        <f>SUM('Raw financials'!BR121,'Raw financials'!BR126,'Raw financials'!BR127,'Raw financials'!BR129,'Raw financials'!BR130,'Raw financials'!BR131)</f>
        <v/>
      </c>
      <c r="CE72" s="451">
        <f>SUM('Raw financials'!BS121,'Raw financials'!BS126,'Raw financials'!BS127,'Raw financials'!BS129,'Raw financials'!BS130,'Raw financials'!BS131)</f>
        <v/>
      </c>
      <c r="CF72" s="451">
        <f>SUM('Raw financials'!BT121,'Raw financials'!BT126,'Raw financials'!BT127,'Raw financials'!BT129,'Raw financials'!BT130,'Raw financials'!BT131)</f>
        <v/>
      </c>
      <c r="CG72" s="451">
        <f>SUM('Raw financials'!BU121,'Raw financials'!BU126,'Raw financials'!BU127,'Raw financials'!BU129,'Raw financials'!BU130,'Raw financials'!BU131)</f>
        <v/>
      </c>
      <c r="CH72" s="451">
        <f>SUM('Raw financials'!BV121,'Raw financials'!BV126,'Raw financials'!BV127,'Raw financials'!BV129,'Raw financials'!BV130,'Raw financials'!BV131)</f>
        <v/>
      </c>
      <c r="CI72" s="451">
        <f>SUM('Raw financials'!BW121,'Raw financials'!BW126,'Raw financials'!BW127,'Raw financials'!BW129,'Raw financials'!BW130,'Raw financials'!BW131)</f>
        <v/>
      </c>
      <c r="CJ72" s="451">
        <f>SUM('Raw financials'!BX121,'Raw financials'!BX126,'Raw financials'!BX127,'Raw financials'!BX129,'Raw financials'!BX130,'Raw financials'!BX131)</f>
        <v/>
      </c>
      <c r="CK72" s="451">
        <f>SUM('Raw financials'!BY121,'Raw financials'!BY126,'Raw financials'!BY127,'Raw financials'!BY129,'Raw financials'!BY130,'Raw financials'!BY131)</f>
        <v/>
      </c>
      <c r="CL72" s="451">
        <f>SUM('Raw financials'!BZ121,'Raw financials'!BZ126,'Raw financials'!BZ127,'Raw financials'!BZ129,'Raw financials'!BZ130,'Raw financials'!BZ131)</f>
        <v/>
      </c>
      <c r="CM72" s="451">
        <f>SUM('Raw financials'!CA121,'Raw financials'!CA126,'Raw financials'!CA127,'Raw financials'!CA129,'Raw financials'!CA130,'Raw financials'!CA131)</f>
        <v/>
      </c>
      <c r="CN72" s="451">
        <f>SUM('Raw financials'!CB121,'Raw financials'!CB126,'Raw financials'!CB127,'Raw financials'!CB129,'Raw financials'!CB130,'Raw financials'!CB131)</f>
        <v/>
      </c>
      <c r="CO72" s="451">
        <f>SUM('Raw financials'!CC121,'Raw financials'!CC126,'Raw financials'!CC127,'Raw financials'!CC129,'Raw financials'!CC130,'Raw financials'!CC131)</f>
        <v/>
      </c>
      <c r="CP72" s="451">
        <f>SUM('Raw financials'!CD121,'Raw financials'!CD126,'Raw financials'!CD127,'Raw financials'!CD129,'Raw financials'!CD130,'Raw financials'!CD131)</f>
        <v/>
      </c>
      <c r="CQ72" s="451">
        <f>SUM('Raw financials'!CE121,'Raw financials'!CE126,'Raw financials'!CE127,'Raw financials'!CE129,'Raw financials'!CE130,'Raw financials'!CE131)</f>
        <v/>
      </c>
      <c r="CR72" s="451">
        <f>SUM('Raw financials'!CF121,'Raw financials'!CF126,'Raw financials'!CF127,'Raw financials'!CF129,'Raw financials'!CF130,'Raw financials'!CF131)</f>
        <v/>
      </c>
      <c r="CS72" s="451">
        <f>SUM('Raw financials'!CG121,'Raw financials'!CG126,'Raw financials'!CG127,'Raw financials'!CG129,'Raw financials'!CG130,'Raw financials'!CG131)</f>
        <v/>
      </c>
      <c r="CT72" s="451">
        <f>SUM('Raw financials'!CH121,'Raw financials'!CH126,'Raw financials'!CH127,'Raw financials'!CH129,'Raw financials'!CH130,'Raw financials'!CH131)</f>
        <v/>
      </c>
      <c r="CU72" s="451">
        <f>SUM('Raw financials'!CI121,'Raw financials'!CI126,'Raw financials'!CI127,'Raw financials'!CI129,'Raw financials'!CI130,'Raw financials'!CI131)</f>
        <v/>
      </c>
      <c r="CV72" s="451">
        <f>SUM('Raw financials'!CJ121,'Raw financials'!CJ126,'Raw financials'!CJ127,'Raw financials'!CJ129,'Raw financials'!CJ130,'Raw financials'!CJ131)</f>
        <v/>
      </c>
      <c r="CW72" s="451">
        <f>SUM('Raw financials'!CK121,'Raw financials'!CK126,'Raw financials'!CK127,'Raw financials'!CK129,'Raw financials'!CK130,'Raw financials'!CK131)</f>
        <v/>
      </c>
      <c r="CX72" s="451">
        <f>SUM('Raw financials'!CL121,'Raw financials'!CL126,'Raw financials'!CL127,'Raw financials'!CL129,'Raw financials'!CL130,'Raw financials'!CL131)</f>
        <v/>
      </c>
      <c r="CY72" s="451">
        <f>SUM('Raw financials'!CM121,'Raw financials'!CM126,'Raw financials'!CM127,'Raw financials'!CM129,'Raw financials'!CM130,'Raw financials'!CM131)</f>
        <v/>
      </c>
      <c r="CZ72" s="451">
        <f>SUM('Raw financials'!CN121,'Raw financials'!CN126,'Raw financials'!CN127,'Raw financials'!CN129,'Raw financials'!CN130,'Raw financials'!CN131)</f>
        <v/>
      </c>
      <c r="DA72" s="451">
        <f>SUM('Raw financials'!CO121,'Raw financials'!CO126,'Raw financials'!CO127,'Raw financials'!CO129,'Raw financials'!CO130,'Raw financials'!CO131)</f>
        <v/>
      </c>
      <c r="DB72" s="451">
        <f>SUM('Raw financials'!CP121,'Raw financials'!CP126,'Raw financials'!CP127,'Raw financials'!CP129,'Raw financials'!CP130,'Raw financials'!CP131)</f>
        <v/>
      </c>
      <c r="DC72" s="451">
        <f>SUM('Raw financials'!CQ121,'Raw financials'!CQ126,'Raw financials'!CQ127,'Raw financials'!CQ129,'Raw financials'!CQ130,'Raw financials'!CQ131)</f>
        <v/>
      </c>
      <c r="DD72" s="451">
        <f>SUM('Raw financials'!CR121,'Raw financials'!CR126,'Raw financials'!CR127,'Raw financials'!CR129,'Raw financials'!CR130,'Raw financials'!CR131)</f>
        <v/>
      </c>
      <c r="DE72" s="451">
        <f>SUM('Raw financials'!CS121,'Raw financials'!CS126,'Raw financials'!CS127,'Raw financials'!CS129,'Raw financials'!CS130,'Raw financials'!CS131)</f>
        <v/>
      </c>
      <c r="DF72" s="451">
        <f>SUM('Raw financials'!CT121,'Raw financials'!CT126,'Raw financials'!CT127,'Raw financials'!CT129,'Raw financials'!CT130,'Raw financials'!CT131)</f>
        <v/>
      </c>
      <c r="DG72" s="451">
        <f>SUM('Raw financials'!CU121,'Raw financials'!CU126,'Raw financials'!CU127,'Raw financials'!CU129,'Raw financials'!CU130,'Raw financials'!CU131)</f>
        <v/>
      </c>
      <c r="DH72" s="451">
        <f>SUM('Raw financials'!CV121,'Raw financials'!CV126,'Raw financials'!CV127,'Raw financials'!CV129,'Raw financials'!CV130,'Raw financials'!CV131)</f>
        <v/>
      </c>
      <c r="DI72" s="451">
        <f>SUM('Raw financials'!CW121,'Raw financials'!CW126,'Raw financials'!CW127,'Raw financials'!CW129,'Raw financials'!CW130,'Raw financials'!CW131)</f>
        <v/>
      </c>
      <c r="DJ72" s="451">
        <f>SUM('Raw financials'!CX121,'Raw financials'!CX126,'Raw financials'!CX127,'Raw financials'!CX129,'Raw financials'!CX130,'Raw financials'!CX131)</f>
        <v/>
      </c>
      <c r="DK72" s="451">
        <f>SUM('Raw financials'!CY121,'Raw financials'!CY126,'Raw financials'!CY127,'Raw financials'!CY129,'Raw financials'!CY130,'Raw financials'!CY131)</f>
        <v/>
      </c>
      <c r="DL72" s="451">
        <f>SUM('Raw financials'!CZ121,'Raw financials'!CZ126,'Raw financials'!CZ127,'Raw financials'!CZ129,'Raw financials'!CZ130,'Raw financials'!CZ131)</f>
        <v/>
      </c>
      <c r="DM72" s="451">
        <f>SUM('Raw financials'!DA121,'Raw financials'!DA126,'Raw financials'!DA127,'Raw financials'!DA129,'Raw financials'!DA130,'Raw financials'!DA131)</f>
        <v/>
      </c>
      <c r="DN72" s="451">
        <f>SUM('Raw financials'!DB121,'Raw financials'!DB126,'Raw financials'!DB127,'Raw financials'!DB129,'Raw financials'!DB130,'Raw financials'!DB131)</f>
        <v/>
      </c>
      <c r="DO72" s="451">
        <f>SUM('Raw financials'!DC121,'Raw financials'!DC126,'Raw financials'!DC127,'Raw financials'!DC129,'Raw financials'!DC130,'Raw financials'!DC131)</f>
        <v/>
      </c>
      <c r="DP72" s="451">
        <f>SUM('Raw financials'!DD121,'Raw financials'!DD126,'Raw financials'!DD127,'Raw financials'!DD129,'Raw financials'!DD130,'Raw financials'!DD131)</f>
        <v/>
      </c>
      <c r="DQ72" s="451">
        <f>SUM('Raw financials'!DE121,'Raw financials'!DE126,'Raw financials'!DE127,'Raw financials'!DE129,'Raw financials'!DE130,'Raw financials'!DE131)</f>
        <v/>
      </c>
      <c r="DR72" s="451">
        <f>SUM('Raw financials'!DF121,'Raw financials'!DF126,'Raw financials'!DF127,'Raw financials'!DF129,'Raw financials'!DF130,'Raw financials'!DF131)</f>
        <v/>
      </c>
      <c r="DS72" s="451">
        <f>SUM('Raw financials'!DG121,'Raw financials'!DG126,'Raw financials'!DG127,'Raw financials'!DG129,'Raw financials'!DG130,'Raw financials'!DG131)</f>
        <v/>
      </c>
      <c r="DT72" s="451">
        <f>SUM('Raw financials'!DH121,'Raw financials'!DH126,'Raw financials'!DH127,'Raw financials'!DH129,'Raw financials'!DH130,'Raw financials'!DH131)</f>
        <v/>
      </c>
      <c r="DU72" s="451">
        <f>SUM('Raw financials'!DI121,'Raw financials'!DI126,'Raw financials'!DI127,'Raw financials'!DI129,'Raw financials'!DI130,'Raw financials'!DI131)</f>
        <v/>
      </c>
      <c r="DV72" s="451">
        <f>SUM('Raw financials'!DJ121,'Raw financials'!DJ126,'Raw financials'!DJ127,'Raw financials'!DJ129,'Raw financials'!DJ130,'Raw financials'!DJ131)</f>
        <v/>
      </c>
      <c r="DW72" s="451">
        <f>SUM('Raw financials'!DK121,'Raw financials'!DK126,'Raw financials'!DK127,'Raw financials'!DK129,'Raw financials'!DK130,'Raw financials'!DK131)</f>
        <v/>
      </c>
      <c r="DX72" s="451" t="n"/>
      <c r="DY72" s="451" t="n"/>
      <c r="DZ72" s="451">
        <f>SUM('Raw financials'!DN121,'Raw financials'!DN126,'Raw financials'!DN127,'Raw financials'!DN129,'Raw financials'!DN130,'Raw financials'!DN131)</f>
        <v/>
      </c>
      <c r="EA72" s="451">
        <f>SUM('Raw financials'!DO121,'Raw financials'!DO126,'Raw financials'!DO127,'Raw financials'!DO128)</f>
        <v/>
      </c>
      <c r="EB72" s="451">
        <f>SUM('Raw financials'!DP121,'Raw financials'!DP126,'Raw financials'!DP127,'Raw financials'!DP128)</f>
        <v/>
      </c>
      <c r="EC72" s="451">
        <f>SUM('Raw financials'!DQ121,'Raw financials'!DQ126,'Raw financials'!DQ127,'Raw financials'!DQ128)</f>
        <v/>
      </c>
      <c r="ED72" s="451">
        <f>SUM('Raw financials'!DR121,'Raw financials'!DR126,'Raw financials'!DR127,'Raw financials'!DR128)</f>
        <v/>
      </c>
      <c r="EE72" s="451">
        <f>SUM('Raw financials'!DS121,'Raw financials'!DS126,'Raw financials'!DS127,'Raw financials'!DS128)</f>
        <v/>
      </c>
      <c r="EF72" s="451">
        <f>SUM('Raw financials'!DT121,'Raw financials'!DT126,'Raw financials'!DT127,'Raw financials'!DT128)</f>
        <v/>
      </c>
      <c r="EG72" s="451">
        <f>SUM('Raw financials'!DU121,'Raw financials'!DU126,'Raw financials'!DU127,'Raw financials'!DU128)</f>
        <v/>
      </c>
      <c r="EH72" s="451">
        <f>SUM('Raw financials'!DV121,'Raw financials'!DV126,'Raw financials'!DV127,'Raw financials'!DV128)</f>
        <v/>
      </c>
      <c r="EI72" s="451">
        <f>SUM('Raw financials'!DW121,'Raw financials'!DW126,'Raw financials'!DW127,'Raw financials'!DW128)</f>
        <v/>
      </c>
      <c r="EJ72" s="451">
        <f>SUM('Raw financials'!DX121,'Raw financials'!DX126,'Raw financials'!DX127,'Raw financials'!DX128)</f>
        <v/>
      </c>
      <c r="EK72" s="451">
        <f>SUM('Raw financials'!DY121,'Raw financials'!DY126,'Raw financials'!DY127,'Raw financials'!DY128)</f>
        <v/>
      </c>
      <c r="EL72" s="451">
        <f>SUM('Raw financials'!DZ121,'Raw financials'!DZ126,'Raw financials'!DZ127,'Raw financials'!DZ128)</f>
        <v/>
      </c>
      <c r="EM72" s="451">
        <f>SUM('Raw financials'!EA121,'Raw financials'!EA126,'Raw financials'!EA127,'Raw financials'!EA128)</f>
        <v/>
      </c>
      <c r="EN72" s="451">
        <f>SUM('Raw financials'!EB121,'Raw financials'!EB126,'Raw financials'!EB127,'Raw financials'!EB128)</f>
        <v/>
      </c>
      <c r="EO72" s="451">
        <f>SUM('Raw financials'!EC121,'Raw financials'!EC126,'Raw financials'!EC127,'Raw financials'!EC128)</f>
        <v/>
      </c>
      <c r="EP72" s="451">
        <f>SUM('Raw financials'!ED121,'Raw financials'!ED126,'Raw financials'!ED127,'Raw financials'!ED128)</f>
        <v/>
      </c>
      <c r="EQ72" s="451">
        <f>SUM('Raw financials'!EE121,'Raw financials'!EE126,'Raw financials'!EE127,'Raw financials'!EE128)</f>
        <v/>
      </c>
      <c r="ER72" s="451">
        <f>SUM('Raw financials'!EF121,'Raw financials'!EF126,'Raw financials'!EF127,'Raw financials'!EF128)</f>
        <v/>
      </c>
      <c r="ES72" s="451">
        <f>SUM('Raw financials'!EG121,'Raw financials'!EG126,'Raw financials'!EG127,'Raw financials'!EG128)</f>
        <v/>
      </c>
      <c r="ET72" s="451">
        <f>SUM('Raw financials'!EH121,'Raw financials'!EH126,'Raw financials'!EH127,'Raw financials'!EH128)</f>
        <v/>
      </c>
      <c r="EU72" s="451">
        <f>SUM('Raw financials'!EI121,'Raw financials'!EI126,'Raw financials'!EI127,'Raw financials'!EI128)</f>
        <v/>
      </c>
      <c r="EV72" s="451">
        <f>SUM('Raw financials'!EJ121,'Raw financials'!EJ126,'Raw financials'!EJ127,'Raw financials'!EJ128)</f>
        <v/>
      </c>
      <c r="EW72" s="451">
        <f>SUM('Raw financials'!EK121,'Raw financials'!EK126,'Raw financials'!EK127,'Raw financials'!EK128)</f>
        <v/>
      </c>
      <c r="EX72" s="451">
        <f>SUM('Raw financials'!EL121,'Raw financials'!EL126,'Raw financials'!EL127,'Raw financials'!EL128)</f>
        <v/>
      </c>
      <c r="EY72" s="451">
        <f>SUM('Raw financials'!EM121,'Raw financials'!EM126,'Raw financials'!EM127,'Raw financials'!EM128)</f>
        <v/>
      </c>
      <c r="EZ72" s="454" t="n"/>
      <c r="FA72" s="454" t="n"/>
      <c r="FB72" s="452">
        <f>+FA72-EW72</f>
        <v/>
      </c>
      <c r="FC72" s="348">
        <f>+FB72/EW72</f>
        <v/>
      </c>
      <c r="FD72" s="451" t="n"/>
      <c r="FE72" s="451" t="n"/>
    </row>
    <row r="73">
      <c r="A73" s="6" t="inlineStr">
        <is>
          <t>LT borrowing mature in 1 year</t>
        </is>
      </c>
      <c r="B73" s="451">
        <f>'Raw financials'!B133</f>
        <v/>
      </c>
      <c r="C73" s="451">
        <f>'Raw financials'!C133</f>
        <v/>
      </c>
      <c r="D73" s="451">
        <f>'Raw financials'!D133</f>
        <v/>
      </c>
      <c r="E73" s="451">
        <f>'Raw financials'!E133</f>
        <v/>
      </c>
      <c r="F73" s="451">
        <f>'Raw financials'!F133</f>
        <v/>
      </c>
      <c r="G73" s="451">
        <f>'Raw financials'!G133</f>
        <v/>
      </c>
      <c r="H73" s="451">
        <f>'Raw financials'!H133</f>
        <v/>
      </c>
      <c r="I73" s="451">
        <f>'Raw financials'!I133</f>
        <v/>
      </c>
      <c r="J73" s="451">
        <f>'Raw financials'!J133</f>
        <v/>
      </c>
      <c r="K73" s="497">
        <f>'Raw financials'!K133</f>
        <v/>
      </c>
      <c r="L73" s="451">
        <f>'Raw financials'!L133</f>
        <v/>
      </c>
      <c r="M73" s="451">
        <f>'Raw financials'!M133</f>
        <v/>
      </c>
      <c r="N73" s="451">
        <f>'Raw financials'!N133</f>
        <v/>
      </c>
      <c r="O73" s="451">
        <f>'Raw financials'!O133</f>
        <v/>
      </c>
      <c r="P73" s="451">
        <f>'Raw financials'!P133</f>
        <v/>
      </c>
      <c r="Q73" s="451">
        <f>'Raw financials'!Q133</f>
        <v/>
      </c>
      <c r="R73" s="451">
        <f>'Raw financials'!R133</f>
        <v/>
      </c>
      <c r="S73" s="451">
        <f>'Raw financials'!S133</f>
        <v/>
      </c>
      <c r="T73" s="451">
        <f>'Raw financials'!T133</f>
        <v/>
      </c>
      <c r="U73" s="459">
        <f>T73</f>
        <v/>
      </c>
      <c r="V73" s="459">
        <f>U73</f>
        <v/>
      </c>
      <c r="W73" s="459">
        <f>V73</f>
        <v/>
      </c>
      <c r="X73" s="459">
        <f>W73</f>
        <v/>
      </c>
      <c r="Y73" s="459">
        <f>X73</f>
        <v/>
      </c>
      <c r="Z73" s="459">
        <f>Y73</f>
        <v/>
      </c>
      <c r="AA73" s="452">
        <f>+U73-T73</f>
        <v/>
      </c>
      <c r="AB73" s="348">
        <f>+AA73/T73</f>
        <v/>
      </c>
      <c r="AC73" s="459" t="n">
        <v>331.4051</v>
      </c>
      <c r="AD73" s="452">
        <f>+X73-W73</f>
        <v/>
      </c>
      <c r="AE73" s="348">
        <f>+AD73/W73</f>
        <v/>
      </c>
      <c r="AF73" s="451" t="n"/>
      <c r="AG73" s="451">
        <f>'Raw financials'!AA133</f>
        <v/>
      </c>
      <c r="AH73" s="451">
        <f>+B73</f>
        <v/>
      </c>
      <c r="AI73" s="451">
        <f>'Raw financials'!AB133</f>
        <v/>
      </c>
      <c r="AJ73" s="451">
        <f>+C73</f>
        <v/>
      </c>
      <c r="AK73" s="451">
        <f>'Raw financials'!AC133</f>
        <v/>
      </c>
      <c r="AL73" s="451">
        <f>+D73</f>
        <v/>
      </c>
      <c r="AM73" s="451">
        <f>'Raw financials'!AD133</f>
        <v/>
      </c>
      <c r="AN73" s="451">
        <f>+E73</f>
        <v/>
      </c>
      <c r="AO73" s="451">
        <f>'Raw financials'!AE133</f>
        <v/>
      </c>
      <c r="AP73" s="451">
        <f>+F73</f>
        <v/>
      </c>
      <c r="AQ73" s="451">
        <f>'Raw financials'!AF133</f>
        <v/>
      </c>
      <c r="AR73" s="451">
        <f>+G73</f>
        <v/>
      </c>
      <c r="AS73" s="451">
        <f>'Raw financials'!AG133</f>
        <v/>
      </c>
      <c r="AT73" s="451">
        <f>+H73</f>
        <v/>
      </c>
      <c r="AU73" s="451">
        <f>'Raw financials'!AH133</f>
        <v/>
      </c>
      <c r="AV73" s="451">
        <f>+I73</f>
        <v/>
      </c>
      <c r="AW73" s="451">
        <f>'Raw financials'!AI133</f>
        <v/>
      </c>
      <c r="AX73" s="451">
        <f>+J73</f>
        <v/>
      </c>
      <c r="AY73" s="451">
        <f>'Raw financials'!AJ133</f>
        <v/>
      </c>
      <c r="AZ73" s="451">
        <f>+K73</f>
        <v/>
      </c>
      <c r="BA73" s="451">
        <f>'Raw financials'!AK133</f>
        <v/>
      </c>
      <c r="BB73" s="451">
        <f>+L73</f>
        <v/>
      </c>
      <c r="BC73" s="451">
        <f>'Raw financials'!AL133</f>
        <v/>
      </c>
      <c r="BD73" s="451">
        <f>+M73</f>
        <v/>
      </c>
      <c r="BE73" s="451">
        <f>'Raw financials'!AM133</f>
        <v/>
      </c>
      <c r="BF73" s="451">
        <f>+N73</f>
        <v/>
      </c>
      <c r="BG73" s="451">
        <f>'Raw financials'!AN133</f>
        <v/>
      </c>
      <c r="BH73" s="451">
        <f>+O73</f>
        <v/>
      </c>
      <c r="BI73" s="451">
        <f>'Raw financials'!AO133</f>
        <v/>
      </c>
      <c r="BJ73" s="451">
        <f>+P73</f>
        <v/>
      </c>
      <c r="BK73" s="451">
        <f>'Raw financials'!AP133</f>
        <v/>
      </c>
      <c r="BL73" s="451">
        <f>+Q73</f>
        <v/>
      </c>
      <c r="BM73" s="451">
        <f>'Raw financials'!AQ133</f>
        <v/>
      </c>
      <c r="BN73" s="451">
        <f>+R73</f>
        <v/>
      </c>
      <c r="BO73" s="451">
        <f>'Raw financials'!AR133</f>
        <v/>
      </c>
      <c r="BP73" s="451">
        <f>+S73</f>
        <v/>
      </c>
      <c r="BQ73" s="451">
        <f>'Raw financials'!AS133</f>
        <v/>
      </c>
      <c r="BR73" s="451">
        <f>+T73</f>
        <v/>
      </c>
      <c r="BS73" s="451" t="n"/>
      <c r="BT73" s="451">
        <f>+U73</f>
        <v/>
      </c>
      <c r="BU73" s="453">
        <f>BT73-BR73</f>
        <v/>
      </c>
      <c r="BV73" s="379">
        <f>BU73/BR73</f>
        <v/>
      </c>
      <c r="BW73" s="489" t="n"/>
      <c r="BX73" s="489" t="n"/>
      <c r="BZ73" s="451">
        <f>'Raw financials'!BN133</f>
        <v/>
      </c>
      <c r="CA73" s="451">
        <f>'Raw financials'!BO133</f>
        <v/>
      </c>
      <c r="CB73" s="451">
        <f>'Raw financials'!BP133</f>
        <v/>
      </c>
      <c r="CC73" s="451">
        <f>'Raw financials'!BQ133</f>
        <v/>
      </c>
      <c r="CD73" s="451">
        <f>'Raw financials'!BR133</f>
        <v/>
      </c>
      <c r="CE73" s="451">
        <f>'Raw financials'!BS133</f>
        <v/>
      </c>
      <c r="CF73" s="451">
        <f>'Raw financials'!BT133</f>
        <v/>
      </c>
      <c r="CG73" s="451">
        <f>'Raw financials'!BU133</f>
        <v/>
      </c>
      <c r="CH73" s="451">
        <f>'Raw financials'!BV133</f>
        <v/>
      </c>
      <c r="CI73" s="451">
        <f>'Raw financials'!BW133</f>
        <v/>
      </c>
      <c r="CJ73" s="451">
        <f>'Raw financials'!BX133</f>
        <v/>
      </c>
      <c r="CK73" s="451">
        <f>'Raw financials'!BY133</f>
        <v/>
      </c>
      <c r="CL73" s="451">
        <f>'Raw financials'!BZ133</f>
        <v/>
      </c>
      <c r="CM73" s="451">
        <f>'Raw financials'!CA133</f>
        <v/>
      </c>
      <c r="CN73" s="451">
        <f>'Raw financials'!CB133</f>
        <v/>
      </c>
      <c r="CO73" s="451">
        <f>'Raw financials'!CC133</f>
        <v/>
      </c>
      <c r="CP73" s="451">
        <f>'Raw financials'!CD133</f>
        <v/>
      </c>
      <c r="CQ73" s="451">
        <f>'Raw financials'!CE133</f>
        <v/>
      </c>
      <c r="CR73" s="451">
        <f>'Raw financials'!CF133</f>
        <v/>
      </c>
      <c r="CS73" s="451">
        <f>'Raw financials'!CG133</f>
        <v/>
      </c>
      <c r="CT73" s="451">
        <f>'Raw financials'!CH133</f>
        <v/>
      </c>
      <c r="CU73" s="451">
        <f>'Raw financials'!CI133</f>
        <v/>
      </c>
      <c r="CV73" s="451">
        <f>'Raw financials'!CJ133</f>
        <v/>
      </c>
      <c r="CW73" s="451">
        <f>'Raw financials'!CK133</f>
        <v/>
      </c>
      <c r="CX73" s="451">
        <f>'Raw financials'!CL133</f>
        <v/>
      </c>
      <c r="CY73" s="451">
        <f>'Raw financials'!CM133</f>
        <v/>
      </c>
      <c r="CZ73" s="451">
        <f>'Raw financials'!CN133</f>
        <v/>
      </c>
      <c r="DA73" s="451">
        <f>'Raw financials'!CO133</f>
        <v/>
      </c>
      <c r="DB73" s="451">
        <f>'Raw financials'!CP133</f>
        <v/>
      </c>
      <c r="DC73" s="451">
        <f>'Raw financials'!CQ133</f>
        <v/>
      </c>
      <c r="DD73" s="451">
        <f>'Raw financials'!CR133</f>
        <v/>
      </c>
      <c r="DE73" s="451">
        <f>'Raw financials'!CS133</f>
        <v/>
      </c>
      <c r="DF73" s="451">
        <f>'Raw financials'!CT133</f>
        <v/>
      </c>
      <c r="DG73" s="451">
        <f>'Raw financials'!CU133</f>
        <v/>
      </c>
      <c r="DH73" s="451">
        <f>'Raw financials'!CV133</f>
        <v/>
      </c>
      <c r="DI73" s="451">
        <f>'Raw financials'!CW133</f>
        <v/>
      </c>
      <c r="DJ73" s="451">
        <f>'Raw financials'!CX133</f>
        <v/>
      </c>
      <c r="DK73" s="451">
        <f>'Raw financials'!CY133</f>
        <v/>
      </c>
      <c r="DL73" s="451">
        <f>'Raw financials'!CZ133</f>
        <v/>
      </c>
      <c r="DM73" s="451">
        <f>'Raw financials'!DA133</f>
        <v/>
      </c>
      <c r="DN73" s="451">
        <f>'Raw financials'!DB133</f>
        <v/>
      </c>
      <c r="DO73" s="451">
        <f>'Raw financials'!DC133</f>
        <v/>
      </c>
      <c r="DP73" s="451">
        <f>'Raw financials'!DD133</f>
        <v/>
      </c>
      <c r="DQ73" s="451">
        <f>'Raw financials'!DE133</f>
        <v/>
      </c>
      <c r="DR73" s="451">
        <f>'Raw financials'!DF133</f>
        <v/>
      </c>
      <c r="DS73" s="451">
        <f>'Raw financials'!DG133</f>
        <v/>
      </c>
      <c r="DT73" s="451">
        <f>'Raw financials'!DH133</f>
        <v/>
      </c>
      <c r="DU73" s="451">
        <f>'Raw financials'!DI133</f>
        <v/>
      </c>
      <c r="DV73" s="451">
        <f>'Raw financials'!DJ133</f>
        <v/>
      </c>
      <c r="DW73" s="451">
        <f>'Raw financials'!DK133</f>
        <v/>
      </c>
      <c r="DX73" s="451" t="n"/>
      <c r="DY73" s="451" t="n"/>
      <c r="DZ73" s="451">
        <f>'Raw financials'!DN133</f>
        <v/>
      </c>
      <c r="EA73" s="451">
        <f>'Raw financials'!DO133</f>
        <v/>
      </c>
      <c r="EB73" s="451">
        <f>'Raw financials'!DP133</f>
        <v/>
      </c>
      <c r="EC73" s="451">
        <f>'Raw financials'!DQ133</f>
        <v/>
      </c>
      <c r="ED73" s="451">
        <f>'Raw financials'!DR133</f>
        <v/>
      </c>
      <c r="EE73" s="451">
        <f>'Raw financials'!DS133</f>
        <v/>
      </c>
      <c r="EF73" s="451">
        <f>'Raw financials'!DT133</f>
        <v/>
      </c>
      <c r="EG73" s="451">
        <f>'Raw financials'!DU133</f>
        <v/>
      </c>
      <c r="EH73" s="451">
        <f>'Raw financials'!DV133</f>
        <v/>
      </c>
      <c r="EI73" s="451">
        <f>'Raw financials'!DW133</f>
        <v/>
      </c>
      <c r="EJ73" s="451">
        <f>'Raw financials'!DX133</f>
        <v/>
      </c>
      <c r="EK73" s="451">
        <f>'Raw financials'!DY133</f>
        <v/>
      </c>
      <c r="EL73" s="451">
        <f>'Raw financials'!DZ133</f>
        <v/>
      </c>
      <c r="EM73" s="451">
        <f>'Raw financials'!EA133</f>
        <v/>
      </c>
      <c r="EN73" s="451">
        <f>'Raw financials'!EB133</f>
        <v/>
      </c>
      <c r="EO73" s="451">
        <f>'Raw financials'!EC133</f>
        <v/>
      </c>
      <c r="EP73" s="451">
        <f>'Raw financials'!ED133</f>
        <v/>
      </c>
      <c r="EQ73" s="451">
        <f>'Raw financials'!EE133</f>
        <v/>
      </c>
      <c r="ER73" s="451">
        <f>'Raw financials'!EF133</f>
        <v/>
      </c>
      <c r="ES73" s="451">
        <f>'Raw financials'!EG133</f>
        <v/>
      </c>
      <c r="ET73" s="451">
        <f>'Raw financials'!EH133</f>
        <v/>
      </c>
      <c r="EU73" s="451">
        <f>'Raw financials'!EI133</f>
        <v/>
      </c>
      <c r="EV73" s="451">
        <f>'Raw financials'!EJ133</f>
        <v/>
      </c>
      <c r="EW73" s="451">
        <f>'Raw financials'!EK133</f>
        <v/>
      </c>
      <c r="EX73" s="451">
        <f>'Raw financials'!EL133</f>
        <v/>
      </c>
      <c r="EY73" s="451">
        <f>'Raw financials'!EM133</f>
        <v/>
      </c>
      <c r="EZ73" s="454" t="n"/>
      <c r="FA73" s="454" t="n"/>
      <c r="FB73" s="452">
        <f>+FA73-EW73</f>
        <v/>
      </c>
      <c r="FC73" s="348">
        <f>+FB73/EW73</f>
        <v/>
      </c>
      <c r="FD73" s="451" t="n"/>
      <c r="FE73" s="451" t="n"/>
    </row>
    <row r="74">
      <c r="A74" s="6" t="inlineStr">
        <is>
          <t>Other current liabilities</t>
        </is>
      </c>
      <c r="B74" s="451">
        <f>SUM('Raw financials'!B118,'Raw financials'!B119,'Raw financials'!B137,'Raw financials'!B138)</f>
        <v/>
      </c>
      <c r="C74" s="451">
        <f>SUM('Raw financials'!C118,'Raw financials'!C119,'Raw financials'!C137,'Raw financials'!C138)</f>
        <v/>
      </c>
      <c r="D74" s="451">
        <f>SUM('Raw financials'!D118,'Raw financials'!D119,'Raw financials'!D137,'Raw financials'!D138)</f>
        <v/>
      </c>
      <c r="E74" s="451">
        <f>SUM('Raw financials'!E118,'Raw financials'!E119,'Raw financials'!E137,'Raw financials'!E138)</f>
        <v/>
      </c>
      <c r="F74" s="451">
        <f>SUM('Raw financials'!F118,'Raw financials'!F119,'Raw financials'!F137,'Raw financials'!F138)</f>
        <v/>
      </c>
      <c r="G74" s="451">
        <f>SUM('Raw financials'!G118,'Raw financials'!G119,'Raw financials'!G137,'Raw financials'!G138)</f>
        <v/>
      </c>
      <c r="H74" s="451">
        <f>SUM('Raw financials'!H118,'Raw financials'!H119,'Raw financials'!H137,'Raw financials'!H138)</f>
        <v/>
      </c>
      <c r="I74" s="451">
        <f>SUM('Raw financials'!I118,'Raw financials'!I119,'Raw financials'!I137,'Raw financials'!I138)</f>
        <v/>
      </c>
      <c r="J74" s="451">
        <f>SUM('Raw financials'!J118,'Raw financials'!J119,'Raw financials'!J137,'Raw financials'!J138)</f>
        <v/>
      </c>
      <c r="K74" s="451">
        <f>SUM('Raw financials'!K118,'Raw financials'!K119,'Raw financials'!K137,'Raw financials'!K138)</f>
        <v/>
      </c>
      <c r="L74" s="451">
        <f>SUM('Raw financials'!L118,'Raw financials'!L119,'Raw financials'!L137,'Raw financials'!L138)</f>
        <v/>
      </c>
      <c r="M74" s="451">
        <f>SUM('Raw financials'!M118,'Raw financials'!M119,'Raw financials'!M137,'Raw financials'!M138)</f>
        <v/>
      </c>
      <c r="N74" s="451">
        <f>SUM('Raw financials'!N118,'Raw financials'!N119,'Raw financials'!N137,'Raw financials'!N138)</f>
        <v/>
      </c>
      <c r="O74" s="451">
        <f>SUM('Raw financials'!O118,'Raw financials'!O119,'Raw financials'!O137,'Raw financials'!O138)</f>
        <v/>
      </c>
      <c r="P74" s="451">
        <f>SUM('Raw financials'!P118,'Raw financials'!P119,'Raw financials'!P137,'Raw financials'!P138)</f>
        <v/>
      </c>
      <c r="Q74" s="451">
        <f>SUM('Raw financials'!Q118,'Raw financials'!Q119,'Raw financials'!Q137,'Raw financials'!Q138)</f>
        <v/>
      </c>
      <c r="R74" s="451">
        <f>SUM('Raw financials'!R118,'Raw financials'!R119,'Raw financials'!R137,'Raw financials'!R138)</f>
        <v/>
      </c>
      <c r="S74" s="451">
        <f>SUM('Raw financials'!S118,'Raw financials'!S119,'Raw financials'!S137,'Raw financials'!S138)</f>
        <v/>
      </c>
      <c r="T74" s="451">
        <f>SUM('Raw financials'!T118,'Raw financials'!T119,'Raw financials'!T137,'Raw financials'!T138)</f>
        <v/>
      </c>
      <c r="U74" s="459">
        <f>T74</f>
        <v/>
      </c>
      <c r="V74" s="459">
        <f>U74</f>
        <v/>
      </c>
      <c r="W74" s="459">
        <f>V74</f>
        <v/>
      </c>
      <c r="X74" s="459">
        <f>W74</f>
        <v/>
      </c>
      <c r="Y74" s="459">
        <f>X74</f>
        <v/>
      </c>
      <c r="Z74" s="459">
        <f>Y74</f>
        <v/>
      </c>
      <c r="AA74" s="452">
        <f>+U74-T74</f>
        <v/>
      </c>
      <c r="AB74" s="348">
        <f>+AA74/T74</f>
        <v/>
      </c>
      <c r="AC74" s="459" t="n">
        <v>4015.501600000001</v>
      </c>
      <c r="AD74" s="452">
        <f>+X74-W74</f>
        <v/>
      </c>
      <c r="AE74" s="348">
        <f>+AD74/W74</f>
        <v/>
      </c>
      <c r="AF74" s="451" t="n"/>
      <c r="AG74" s="451">
        <f>SUM('Raw financials'!AA119,'Raw financials'!AA118,'Raw financials'!AA134,'Raw financials'!AA137,'Raw financials'!AA138)</f>
        <v/>
      </c>
      <c r="AH74" s="451">
        <f>+B74</f>
        <v/>
      </c>
      <c r="AI74" s="451">
        <f>SUM('Raw financials'!AB119,'Raw financials'!AB118,'Raw financials'!AB134,'Raw financials'!AB137,'Raw financials'!AB138)</f>
        <v/>
      </c>
      <c r="AJ74" s="451">
        <f>+C74</f>
        <v/>
      </c>
      <c r="AK74" s="451">
        <f>SUM('Raw financials'!AC119,'Raw financials'!AC118,'Raw financials'!AC134,'Raw financials'!AC137,'Raw financials'!AC138)</f>
        <v/>
      </c>
      <c r="AL74" s="451">
        <f>+D74</f>
        <v/>
      </c>
      <c r="AM74" s="451">
        <f>SUM('Raw financials'!AD119,'Raw financials'!AD118,'Raw financials'!AD134,'Raw financials'!AD137,'Raw financials'!AD138)</f>
        <v/>
      </c>
      <c r="AN74" s="451">
        <f>+E74</f>
        <v/>
      </c>
      <c r="AO74" s="451">
        <f>SUM('Raw financials'!AE119,'Raw financials'!AE118,'Raw financials'!AE134,'Raw financials'!AE137,'Raw financials'!AE138)</f>
        <v/>
      </c>
      <c r="AP74" s="451">
        <f>+F74</f>
        <v/>
      </c>
      <c r="AQ74" s="451">
        <f>SUM('Raw financials'!AF119,'Raw financials'!AF118,'Raw financials'!AF134,'Raw financials'!AF137,'Raw financials'!AF138)</f>
        <v/>
      </c>
      <c r="AR74" s="451">
        <f>+G74</f>
        <v/>
      </c>
      <c r="AS74" s="451">
        <f>SUM('Raw financials'!AG119,'Raw financials'!AG118,'Raw financials'!AG134,'Raw financials'!AG137,'Raw financials'!AG138)</f>
        <v/>
      </c>
      <c r="AT74" s="451">
        <f>+H74</f>
        <v/>
      </c>
      <c r="AU74" s="451">
        <f>SUM('Raw financials'!AH119,'Raw financials'!AH118,'Raw financials'!AH134,'Raw financials'!AH137,'Raw financials'!AH138)</f>
        <v/>
      </c>
      <c r="AV74" s="451">
        <f>+I74</f>
        <v/>
      </c>
      <c r="AW74" s="451">
        <f>SUM('Raw financials'!AI119,'Raw financials'!AI118,'Raw financials'!AI134,'Raw financials'!AI137,'Raw financials'!AI138)</f>
        <v/>
      </c>
      <c r="AX74" s="451">
        <f>+J74</f>
        <v/>
      </c>
      <c r="AY74" s="451">
        <f>SUM('Raw financials'!AJ119,'Raw financials'!AJ118,'Raw financials'!AJ134,'Raw financials'!AJ137,'Raw financials'!AJ138)</f>
        <v/>
      </c>
      <c r="AZ74" s="451">
        <f>+K74</f>
        <v/>
      </c>
      <c r="BA74" s="451">
        <f>SUM('Raw financials'!AK119,'Raw financials'!AK118,'Raw financials'!AK134,'Raw financials'!AK137,'Raw financials'!AK138)</f>
        <v/>
      </c>
      <c r="BB74" s="451">
        <f>+L74</f>
        <v/>
      </c>
      <c r="BC74" s="451">
        <f>SUM('Raw financials'!AL119,'Raw financials'!AL118,'Raw financials'!AL134,'Raw financials'!AL137,'Raw financials'!AL138)</f>
        <v/>
      </c>
      <c r="BD74" s="451">
        <f>+M74</f>
        <v/>
      </c>
      <c r="BE74" s="451">
        <f>SUM('Raw financials'!AM119,'Raw financials'!AM118,'Raw financials'!AM134,'Raw financials'!AM137,'Raw financials'!AM138)</f>
        <v/>
      </c>
      <c r="BF74" s="451">
        <f>+N74</f>
        <v/>
      </c>
      <c r="BG74" s="451">
        <f>SUM('Raw financials'!AN119,'Raw financials'!AN118,'Raw financials'!AN134,'Raw financials'!AN137,'Raw financials'!AN138)</f>
        <v/>
      </c>
      <c r="BH74" s="451">
        <f>+O74</f>
        <v/>
      </c>
      <c r="BI74" s="451">
        <f>SUM('Raw financials'!AO119,'Raw financials'!AO118,'Raw financials'!AO134,'Raw financials'!AO137,'Raw financials'!AO138)</f>
        <v/>
      </c>
      <c r="BJ74" s="451">
        <f>+P74</f>
        <v/>
      </c>
      <c r="BK74" s="451">
        <f>SUM('Raw financials'!AP119,'Raw financials'!AP118,'Raw financials'!AP134,'Raw financials'!AP137,'Raw financials'!AP138)</f>
        <v/>
      </c>
      <c r="BL74" s="451">
        <f>+Q74</f>
        <v/>
      </c>
      <c r="BM74" s="451">
        <f>SUM('Raw financials'!AQ119,'Raw financials'!AQ118,'Raw financials'!AQ134,'Raw financials'!AQ137,'Raw financials'!AQ138)</f>
        <v/>
      </c>
      <c r="BN74" s="451">
        <f>+R74</f>
        <v/>
      </c>
      <c r="BO74" s="451">
        <f>SUM('Raw financials'!AR119,'Raw financials'!AR118,'Raw financials'!AR134,'Raw financials'!AR137,'Raw financials'!AR138)</f>
        <v/>
      </c>
      <c r="BP74" s="451">
        <f>+S74</f>
        <v/>
      </c>
      <c r="BQ74" s="451">
        <f>SUM('Raw financials'!AS119,'Raw financials'!AS118,'Raw financials'!AS134,'Raw financials'!AS137,'Raw financials'!AS138)</f>
        <v/>
      </c>
      <c r="BR74" s="451">
        <f>+T74</f>
        <v/>
      </c>
      <c r="BS74" s="451" t="n"/>
      <c r="BT74" s="451">
        <f>+U74</f>
        <v/>
      </c>
      <c r="BU74" s="453">
        <f>BT74-BR74</f>
        <v/>
      </c>
      <c r="BV74" s="379">
        <f>BU74/BR74</f>
        <v/>
      </c>
      <c r="BW74" s="489" t="n"/>
      <c r="BX74" s="489" t="n"/>
      <c r="BZ74" s="451">
        <f>SUM('Raw financials'!BN119,'Raw financials'!BN118,'Raw financials'!BN134,'Raw financials'!BN137,'Raw financials'!BN138)</f>
        <v/>
      </c>
      <c r="CA74" s="451">
        <f>SUM('Raw financials'!BO119,'Raw financials'!BO118,'Raw financials'!BO134,'Raw financials'!BO137,'Raw financials'!BO138)</f>
        <v/>
      </c>
      <c r="CB74" s="451">
        <f>SUM('Raw financials'!BP119,'Raw financials'!BP118,'Raw financials'!BP134,'Raw financials'!BP137,'Raw financials'!BP138)</f>
        <v/>
      </c>
      <c r="CC74" s="451">
        <f>SUM('Raw financials'!BQ119,'Raw financials'!BQ118,'Raw financials'!BQ134,'Raw financials'!BQ137,'Raw financials'!BQ138)</f>
        <v/>
      </c>
      <c r="CD74" s="451">
        <f>SUM('Raw financials'!BR119,'Raw financials'!BR118,'Raw financials'!BR134,'Raw financials'!BR137,'Raw financials'!BR138)</f>
        <v/>
      </c>
      <c r="CE74" s="451">
        <f>SUM('Raw financials'!BS119,'Raw financials'!BS118,'Raw financials'!BS134,'Raw financials'!BS137,'Raw financials'!BS138)</f>
        <v/>
      </c>
      <c r="CF74" s="451">
        <f>SUM('Raw financials'!BT119,'Raw financials'!BT118,'Raw financials'!BT134,'Raw financials'!BT137,'Raw financials'!BT138)</f>
        <v/>
      </c>
      <c r="CG74" s="451">
        <f>SUM('Raw financials'!BU119,'Raw financials'!BU118,'Raw financials'!BU134,'Raw financials'!BU137,'Raw financials'!BU138)</f>
        <v/>
      </c>
      <c r="CH74" s="451">
        <f>SUM('Raw financials'!BV119,'Raw financials'!BV118,'Raw financials'!BV134,'Raw financials'!BV137,'Raw financials'!BV138)</f>
        <v/>
      </c>
      <c r="CI74" s="451">
        <f>SUM('Raw financials'!BW119,'Raw financials'!BW118,'Raw financials'!BW134,'Raw financials'!BW137,'Raw financials'!BW138)</f>
        <v/>
      </c>
      <c r="CJ74" s="451">
        <f>SUM('Raw financials'!BX119,'Raw financials'!BX118,'Raw financials'!BX134,'Raw financials'!BX137,'Raw financials'!BX138)</f>
        <v/>
      </c>
      <c r="CK74" s="451">
        <f>SUM('Raw financials'!BY119,'Raw financials'!BY118,'Raw financials'!BY134,'Raw financials'!BY137,'Raw financials'!BY138)</f>
        <v/>
      </c>
      <c r="CL74" s="451">
        <f>SUM('Raw financials'!BZ119,'Raw financials'!BZ118,'Raw financials'!BZ134,'Raw financials'!BZ137,'Raw financials'!BZ138)</f>
        <v/>
      </c>
      <c r="CM74" s="451">
        <f>SUM('Raw financials'!CA119,'Raw financials'!CA118,'Raw financials'!CA134,'Raw financials'!CA137,'Raw financials'!CA138)</f>
        <v/>
      </c>
      <c r="CN74" s="451">
        <f>SUM('Raw financials'!CB119,'Raw financials'!CB118,'Raw financials'!CB134,'Raw financials'!CB137,'Raw financials'!CB138)</f>
        <v/>
      </c>
      <c r="CO74" s="451">
        <f>SUM('Raw financials'!CC119,'Raw financials'!CC118,'Raw financials'!CC134,'Raw financials'!CC137,'Raw financials'!CC138)</f>
        <v/>
      </c>
      <c r="CP74" s="451">
        <f>SUM('Raw financials'!CD119,'Raw financials'!CD118,'Raw financials'!CD134,'Raw financials'!CD137,'Raw financials'!CD138)</f>
        <v/>
      </c>
      <c r="CQ74" s="451">
        <f>SUM('Raw financials'!CE119,'Raw financials'!CE118,'Raw financials'!CE134,'Raw financials'!CE137,'Raw financials'!CE138)</f>
        <v/>
      </c>
      <c r="CR74" s="451">
        <f>SUM('Raw financials'!CF119,'Raw financials'!CF118,'Raw financials'!CF134,'Raw financials'!CF137,'Raw financials'!CF138)</f>
        <v/>
      </c>
      <c r="CS74" s="451">
        <f>SUM('Raw financials'!CG119,'Raw financials'!CG118,'Raw financials'!CG134,'Raw financials'!CG137,'Raw financials'!CG138)</f>
        <v/>
      </c>
      <c r="CT74" s="451">
        <f>SUM('Raw financials'!CH119,'Raw financials'!CH118,'Raw financials'!CH134,'Raw financials'!CH137,'Raw financials'!CH138)</f>
        <v/>
      </c>
      <c r="CU74" s="451">
        <f>SUM('Raw financials'!CI119,'Raw financials'!CI118,'Raw financials'!CI134,'Raw financials'!CI137,'Raw financials'!CI138)</f>
        <v/>
      </c>
      <c r="CV74" s="451">
        <f>SUM('Raw financials'!CJ119,'Raw financials'!CJ118,'Raw financials'!CJ134,'Raw financials'!CJ137,'Raw financials'!CJ138)</f>
        <v/>
      </c>
      <c r="CW74" s="451">
        <f>SUM('Raw financials'!CK119,'Raw financials'!CK118,'Raw financials'!CK134,'Raw financials'!CK137,'Raw financials'!CK138)</f>
        <v/>
      </c>
      <c r="CX74" s="451">
        <f>SUM('Raw financials'!CL119,'Raw financials'!CL118,'Raw financials'!CL134,'Raw financials'!CL137,'Raw financials'!CL138)</f>
        <v/>
      </c>
      <c r="CY74" s="451">
        <f>SUM('Raw financials'!CM119,'Raw financials'!CM118,'Raw financials'!CM134,'Raw financials'!CM137,'Raw financials'!CM138)</f>
        <v/>
      </c>
      <c r="CZ74" s="451">
        <f>SUM('Raw financials'!CN119,'Raw financials'!CN118,'Raw financials'!CN134,'Raw financials'!CN137,'Raw financials'!CN138)</f>
        <v/>
      </c>
      <c r="DA74" s="451">
        <f>SUM('Raw financials'!CO119,'Raw financials'!CO118,'Raw financials'!CO134,'Raw financials'!CO137,'Raw financials'!CO138)</f>
        <v/>
      </c>
      <c r="DB74" s="451">
        <f>SUM('Raw financials'!CP119,'Raw financials'!CP118,'Raw financials'!CP134,'Raw financials'!CP137,'Raw financials'!CP138)</f>
        <v/>
      </c>
      <c r="DC74" s="451">
        <f>SUM('Raw financials'!CQ119,'Raw financials'!CQ118,'Raw financials'!CQ134,'Raw financials'!CQ137,'Raw financials'!CQ138)</f>
        <v/>
      </c>
      <c r="DD74" s="451">
        <f>SUM('Raw financials'!CR119,'Raw financials'!CR118,'Raw financials'!CR134,'Raw financials'!CR137,'Raw financials'!CR138)</f>
        <v/>
      </c>
      <c r="DE74" s="451">
        <f>SUM('Raw financials'!CS119,'Raw financials'!CS118,'Raw financials'!CS134,'Raw financials'!CS137,'Raw financials'!CS138)</f>
        <v/>
      </c>
      <c r="DF74" s="451">
        <f>SUM('Raw financials'!CT119,'Raw financials'!CT118,'Raw financials'!CT134,'Raw financials'!CT137,'Raw financials'!CT138)</f>
        <v/>
      </c>
      <c r="DG74" s="451">
        <f>SUM('Raw financials'!CU119,'Raw financials'!CU118,'Raw financials'!CU134,'Raw financials'!CU137,'Raw financials'!CU138)</f>
        <v/>
      </c>
      <c r="DH74" s="451">
        <f>SUM('Raw financials'!CV119,'Raw financials'!CV118,'Raw financials'!CV134,'Raw financials'!CV137,'Raw financials'!CV138)</f>
        <v/>
      </c>
      <c r="DI74" s="451">
        <f>SUM('Raw financials'!CW119,'Raw financials'!CW118,'Raw financials'!CW134,'Raw financials'!CW137,'Raw financials'!CW138)</f>
        <v/>
      </c>
      <c r="DJ74" s="451">
        <f>SUM('Raw financials'!CX119,'Raw financials'!CX118,'Raw financials'!CX134,'Raw financials'!CX137,'Raw financials'!CX138)</f>
        <v/>
      </c>
      <c r="DK74" s="451">
        <f>SUM('Raw financials'!CY119,'Raw financials'!CY118,'Raw financials'!CY134,'Raw financials'!CY137,'Raw financials'!CY138)</f>
        <v/>
      </c>
      <c r="DL74" s="451">
        <f>SUM('Raw financials'!CZ119,'Raw financials'!CZ118,'Raw financials'!CZ134,'Raw financials'!CZ137,'Raw financials'!CZ138)</f>
        <v/>
      </c>
      <c r="DM74" s="451">
        <f>SUM('Raw financials'!DA119,'Raw financials'!DA118,'Raw financials'!DA134,'Raw financials'!DA137,'Raw financials'!DA138)</f>
        <v/>
      </c>
      <c r="DN74" s="451">
        <f>SUM('Raw financials'!DB119,'Raw financials'!DB118,'Raw financials'!DB134,'Raw financials'!DB137,'Raw financials'!DB138)</f>
        <v/>
      </c>
      <c r="DO74" s="451">
        <f>SUM('Raw financials'!DC119,'Raw financials'!DC118,'Raw financials'!DC134,'Raw financials'!DC137,'Raw financials'!DC138)</f>
        <v/>
      </c>
      <c r="DP74" s="451">
        <f>SUM('Raw financials'!DD119,'Raw financials'!DD118,'Raw financials'!DD134,'Raw financials'!DD137,'Raw financials'!DD138)</f>
        <v/>
      </c>
      <c r="DQ74" s="451">
        <f>SUM('Raw financials'!DE119,'Raw financials'!DE118,'Raw financials'!DE134,'Raw financials'!DE137,'Raw financials'!DE138)</f>
        <v/>
      </c>
      <c r="DR74" s="451">
        <f>SUM('Raw financials'!DF119,'Raw financials'!DF118,'Raw financials'!DF134,'Raw financials'!DF137,'Raw financials'!DF138)</f>
        <v/>
      </c>
      <c r="DS74" s="451">
        <f>SUM('Raw financials'!DG119,'Raw financials'!DG118,'Raw financials'!DG134,'Raw financials'!DG137,'Raw financials'!DG138)</f>
        <v/>
      </c>
      <c r="DT74" s="451">
        <f>SUM('Raw financials'!DH119,'Raw financials'!DH118,'Raw financials'!DH134,'Raw financials'!DH137,'Raw financials'!DH138)</f>
        <v/>
      </c>
      <c r="DU74" s="451">
        <f>SUM('Raw financials'!DI119,'Raw financials'!DI118,'Raw financials'!DI134,'Raw financials'!DI137,'Raw financials'!DI138)</f>
        <v/>
      </c>
      <c r="DV74" s="451">
        <f>SUM('Raw financials'!DJ119,'Raw financials'!DJ118,'Raw financials'!DJ134,'Raw financials'!DJ137,'Raw financials'!DJ138)</f>
        <v/>
      </c>
      <c r="DW74" s="451">
        <f>SUM('Raw financials'!DK119,'Raw financials'!DK118,'Raw financials'!DK134,'Raw financials'!DK137,'Raw financials'!DK138)</f>
        <v/>
      </c>
      <c r="DX74" s="451" t="n"/>
      <c r="DY74" s="451" t="n"/>
      <c r="DZ74" s="451">
        <f>SUM('Raw financials'!DN119,'Raw financials'!DN118,'Raw financials'!DN134,'Raw financials'!DN137,'Raw financials'!DN138)</f>
        <v/>
      </c>
      <c r="EA74" s="451">
        <f>SUM('Raw financials'!DO119,'Raw financials'!DO118,'Raw financials'!DO134,'Raw financials'!DO137,'Raw financials'!DO138)</f>
        <v/>
      </c>
      <c r="EB74" s="451">
        <f>SUM('Raw financials'!DP119,'Raw financials'!DP118,'Raw financials'!DP134,'Raw financials'!DP137,'Raw financials'!DP138)</f>
        <v/>
      </c>
      <c r="EC74" s="451">
        <f>SUM('Raw financials'!DQ119,'Raw financials'!DQ118,'Raw financials'!DQ134,'Raw financials'!DQ137,'Raw financials'!DQ138)</f>
        <v/>
      </c>
      <c r="ED74" s="451">
        <f>SUM('Raw financials'!DR119,'Raw financials'!DR118,'Raw financials'!DR134,'Raw financials'!DR137,'Raw financials'!DR138)</f>
        <v/>
      </c>
      <c r="EE74" s="451">
        <f>SUM('Raw financials'!DS119,'Raw financials'!DS118,'Raw financials'!DS134,'Raw financials'!DS137,'Raw financials'!DS138)</f>
        <v/>
      </c>
      <c r="EF74" s="451">
        <f>SUM('Raw financials'!DT119,'Raw financials'!DT118,'Raw financials'!DT134,'Raw financials'!DT137,'Raw financials'!DT138)</f>
        <v/>
      </c>
      <c r="EG74" s="451">
        <f>SUM('Raw financials'!DU119,'Raw financials'!DU118,'Raw financials'!DU134,'Raw financials'!DU137,'Raw financials'!DU138)</f>
        <v/>
      </c>
      <c r="EH74" s="451">
        <f>SUM('Raw financials'!DV119,'Raw financials'!DV118,'Raw financials'!DV134,'Raw financials'!DV137,'Raw financials'!DV138)</f>
        <v/>
      </c>
      <c r="EI74" s="451">
        <f>SUM('Raw financials'!DW119,'Raw financials'!DW118,'Raw financials'!DW134,'Raw financials'!DW137,'Raw financials'!DW138)</f>
        <v/>
      </c>
      <c r="EJ74" s="451">
        <f>SUM('Raw financials'!DX119,'Raw financials'!DX118,'Raw financials'!DX134,'Raw financials'!DX137,'Raw financials'!DX138)</f>
        <v/>
      </c>
      <c r="EK74" s="451">
        <f>SUM('Raw financials'!DY119,'Raw financials'!DY118,'Raw financials'!DY134,'Raw financials'!DY137,'Raw financials'!DY138)</f>
        <v/>
      </c>
      <c r="EL74" s="451">
        <f>SUM('Raw financials'!DZ119,'Raw financials'!DZ118,'Raw financials'!DZ134,'Raw financials'!DZ137,'Raw financials'!DZ138)</f>
        <v/>
      </c>
      <c r="EM74" s="451">
        <f>SUM('Raw financials'!EA119,'Raw financials'!EA118,'Raw financials'!EA134,'Raw financials'!EA137,'Raw financials'!EA138)</f>
        <v/>
      </c>
      <c r="EN74" s="451">
        <f>SUM('Raw financials'!EB119,'Raw financials'!EB118,'Raw financials'!EB134,'Raw financials'!EB137,'Raw financials'!EB138)</f>
        <v/>
      </c>
      <c r="EO74" s="451">
        <f>SUM('Raw financials'!EC119,'Raw financials'!EC118,'Raw financials'!EC134,'Raw financials'!EC137,'Raw financials'!EC138)</f>
        <v/>
      </c>
      <c r="EP74" s="451">
        <f>SUM('Raw financials'!ED119,'Raw financials'!ED118,'Raw financials'!ED134,'Raw financials'!ED137,'Raw financials'!ED138)</f>
        <v/>
      </c>
      <c r="EQ74" s="451">
        <f>SUM('Raw financials'!EE119,'Raw financials'!EE118,'Raw financials'!EE134,'Raw financials'!EE137,'Raw financials'!EE138)</f>
        <v/>
      </c>
      <c r="ER74" s="451">
        <f>SUM('Raw financials'!EF119,'Raw financials'!EF118,'Raw financials'!EF134,'Raw financials'!EF137,'Raw financials'!EF138)</f>
        <v/>
      </c>
      <c r="ES74" s="451">
        <f>SUM('Raw financials'!EG119,'Raw financials'!EG118,'Raw financials'!EG134,'Raw financials'!EG137,'Raw financials'!EG138)</f>
        <v/>
      </c>
      <c r="ET74" s="451">
        <f>SUM('Raw financials'!EH119,'Raw financials'!EH118,'Raw financials'!EH134,'Raw financials'!EH137,'Raw financials'!EH138)</f>
        <v/>
      </c>
      <c r="EU74" s="451">
        <f>SUM('Raw financials'!EI119,'Raw financials'!EI118,'Raw financials'!EI134,'Raw financials'!EI137,'Raw financials'!EI138)</f>
        <v/>
      </c>
      <c r="EV74" s="451">
        <f>SUM('Raw financials'!EJ119,'Raw financials'!EJ118,'Raw financials'!EJ134,'Raw financials'!EJ137,'Raw financials'!EJ138)</f>
        <v/>
      </c>
      <c r="EW74" s="451">
        <f>SUM('Raw financials'!EK119,'Raw financials'!EK118,'Raw financials'!EK134,'Raw financials'!EK137,'Raw financials'!EK138)</f>
        <v/>
      </c>
      <c r="EX74" s="451">
        <f>SUM('Raw financials'!EL119,'Raw financials'!EL118,'Raw financials'!EL134,'Raw financials'!EL137,'Raw financials'!EL138)</f>
        <v/>
      </c>
      <c r="EY74" s="451">
        <f>SUM('Raw financials'!EM119,'Raw financials'!EM118,'Raw financials'!EM134,'Raw financials'!EM137,'Raw financials'!EM138)</f>
        <v/>
      </c>
      <c r="EZ74" s="454" t="n"/>
      <c r="FA74" s="454" t="n"/>
      <c r="FB74" s="452">
        <f>+FA74-EW74</f>
        <v/>
      </c>
      <c r="FC74" s="348">
        <f>+FB74/EW74</f>
        <v/>
      </c>
      <c r="FD74" s="451" t="n"/>
      <c r="FE74" s="451" t="n"/>
    </row>
    <row r="75">
      <c r="A75" s="21" t="inlineStr">
        <is>
          <t>Total current liabilities</t>
        </is>
      </c>
      <c r="B75" s="491">
        <f>SUM(B69:B74)</f>
        <v/>
      </c>
      <c r="C75" s="491">
        <f>SUM(C69:C74)</f>
        <v/>
      </c>
      <c r="D75" s="491">
        <f>SUM(D69:D74)</f>
        <v/>
      </c>
      <c r="E75" s="491">
        <f>SUM(E69:E74)</f>
        <v/>
      </c>
      <c r="F75" s="491">
        <f>SUM(F69:F74)</f>
        <v/>
      </c>
      <c r="G75" s="491">
        <f>SUM(G69:G74)</f>
        <v/>
      </c>
      <c r="H75" s="491">
        <f>SUM(H69:H74)</f>
        <v/>
      </c>
      <c r="I75" s="491">
        <f>SUM(I69:I74)</f>
        <v/>
      </c>
      <c r="J75" s="491">
        <f>SUM(J69:J74)</f>
        <v/>
      </c>
      <c r="K75" s="491">
        <f>SUM(K69:K74)</f>
        <v/>
      </c>
      <c r="L75" s="491">
        <f>SUM(L69:L74)</f>
        <v/>
      </c>
      <c r="M75" s="491">
        <f>SUM(M69:M74)</f>
        <v/>
      </c>
      <c r="N75" s="491">
        <f>SUM(N69:N74)</f>
        <v/>
      </c>
      <c r="O75" s="491">
        <f>SUM(O69:O74)</f>
        <v/>
      </c>
      <c r="P75" s="491">
        <f>SUM(P69:P74)</f>
        <v/>
      </c>
      <c r="Q75" s="491">
        <f>SUM(Q69:Q74)</f>
        <v/>
      </c>
      <c r="R75" s="491">
        <f>SUM(R69:R74)</f>
        <v/>
      </c>
      <c r="S75" s="491">
        <f>SUM(S69:S74)</f>
        <v/>
      </c>
      <c r="T75" s="491">
        <f>SUM(T69:T74)</f>
        <v/>
      </c>
      <c r="U75" s="491">
        <f>SUM(U69:U74)</f>
        <v/>
      </c>
      <c r="V75" s="491">
        <f>SUM(V69:V74)</f>
        <v/>
      </c>
      <c r="W75" s="491">
        <f>SUM(W69:W74)</f>
        <v/>
      </c>
      <c r="X75" s="491">
        <f>SUM(X69:X74)</f>
        <v/>
      </c>
      <c r="Y75" s="491">
        <f>SUM(Y69:Y74)</f>
        <v/>
      </c>
      <c r="Z75" s="491">
        <f>SUM(Z69:Z74)</f>
        <v/>
      </c>
      <c r="AA75" s="492">
        <f>+U75-T75</f>
        <v/>
      </c>
      <c r="AB75" s="371">
        <f>+AA75/T75</f>
        <v/>
      </c>
      <c r="AC75" s="493" t="n">
        <v>95827.69144339953</v>
      </c>
      <c r="AD75" s="494">
        <f>+X75-W75</f>
        <v/>
      </c>
      <c r="AE75" s="371">
        <f>+AD75/W75</f>
        <v/>
      </c>
      <c r="AF75" s="451" t="n"/>
      <c r="AG75" s="491">
        <f>SUM(AG69:AG74)</f>
        <v/>
      </c>
      <c r="AH75" s="491">
        <f>SUM(AH69:AH74)</f>
        <v/>
      </c>
      <c r="AI75" s="491">
        <f>SUM(AI69:AI74)</f>
        <v/>
      </c>
      <c r="AJ75" s="491">
        <f>SUM(AJ69:AJ74)</f>
        <v/>
      </c>
      <c r="AK75" s="491">
        <f>SUM(AK69:AK74)</f>
        <v/>
      </c>
      <c r="AL75" s="491">
        <f>SUM(AL69:AL74)</f>
        <v/>
      </c>
      <c r="AM75" s="491">
        <f>SUM(AM69:AM74)</f>
        <v/>
      </c>
      <c r="AN75" s="491">
        <f>SUM(AN69:AN74)</f>
        <v/>
      </c>
      <c r="AO75" s="491">
        <f>SUM(AO69:AO74)</f>
        <v/>
      </c>
      <c r="AP75" s="491">
        <f>SUM(AP69:AP74)</f>
        <v/>
      </c>
      <c r="AQ75" s="491">
        <f>SUM(AQ69:AQ74)</f>
        <v/>
      </c>
      <c r="AR75" s="491">
        <f>SUM(AR69:AR74)</f>
        <v/>
      </c>
      <c r="AS75" s="491">
        <f>SUM(AS69:AS74)</f>
        <v/>
      </c>
      <c r="AT75" s="491">
        <f>SUM(AT69:AT74)</f>
        <v/>
      </c>
      <c r="AU75" s="491">
        <f>SUM(AU69:AU74)</f>
        <v/>
      </c>
      <c r="AV75" s="491">
        <f>SUM(AV69:AV74)</f>
        <v/>
      </c>
      <c r="AW75" s="491">
        <f>SUM(AW69:AW74)</f>
        <v/>
      </c>
      <c r="AX75" s="491">
        <f>SUM(AX69:AX74)</f>
        <v/>
      </c>
      <c r="AY75" s="491">
        <f>SUM(AY69:AY74)</f>
        <v/>
      </c>
      <c r="AZ75" s="491">
        <f>SUM(AZ69:AZ74)</f>
        <v/>
      </c>
      <c r="BA75" s="491">
        <f>SUM(BA69:BA74)</f>
        <v/>
      </c>
      <c r="BB75" s="491">
        <f>SUM(BB69:BB74)</f>
        <v/>
      </c>
      <c r="BC75" s="491">
        <f>SUM(BC69:BC74)</f>
        <v/>
      </c>
      <c r="BD75" s="491">
        <f>SUM(BD69:BD74)</f>
        <v/>
      </c>
      <c r="BE75" s="491">
        <f>SUM(BE69:BE74)</f>
        <v/>
      </c>
      <c r="BF75" s="491">
        <f>SUM(BF69:BF74)</f>
        <v/>
      </c>
      <c r="BG75" s="491">
        <f>SUM(BG69:BG74)</f>
        <v/>
      </c>
      <c r="BH75" s="491">
        <f>SUM(BH69:BH74)</f>
        <v/>
      </c>
      <c r="BI75" s="491">
        <f>SUM(BI69:BI74)</f>
        <v/>
      </c>
      <c r="BJ75" s="491">
        <f>SUM(BJ69:BJ74)</f>
        <v/>
      </c>
      <c r="BK75" s="491">
        <f>SUM(BK69:BK74)</f>
        <v/>
      </c>
      <c r="BL75" s="491">
        <f>SUM(BL69:BL74)</f>
        <v/>
      </c>
      <c r="BM75" s="491">
        <f>SUM(BM69:BM74)</f>
        <v/>
      </c>
      <c r="BN75" s="491">
        <f>SUM(BN69:BN74)</f>
        <v/>
      </c>
      <c r="BO75" s="491">
        <f>SUM(BO69:BO74)</f>
        <v/>
      </c>
      <c r="BP75" s="491">
        <f>SUM(BP69:BP74)</f>
        <v/>
      </c>
      <c r="BQ75" s="491">
        <f>SUM(BQ69:BQ74)</f>
        <v/>
      </c>
      <c r="BR75" s="491">
        <f>SUM(BR69:BR74)</f>
        <v/>
      </c>
      <c r="BS75" s="491" t="n"/>
      <c r="BT75" s="491">
        <f>SUM(BT69:BT74)</f>
        <v/>
      </c>
      <c r="BU75" s="446">
        <f>BT75-BR75</f>
        <v/>
      </c>
      <c r="BV75" s="381">
        <f>BU75/BR75</f>
        <v/>
      </c>
      <c r="BW75" s="495" t="n"/>
      <c r="BX75" s="495" t="n"/>
      <c r="BZ75" s="491">
        <f>SUM(BZ69:BZ74)</f>
        <v/>
      </c>
      <c r="CA75" s="491">
        <f>SUM(CA69:CA74)</f>
        <v/>
      </c>
      <c r="CB75" s="491">
        <f>SUM(CB69:CB74)</f>
        <v/>
      </c>
      <c r="CC75" s="491">
        <f>SUM(CC69:CC74)</f>
        <v/>
      </c>
      <c r="CD75" s="491">
        <f>SUM(CD69:CD74)</f>
        <v/>
      </c>
      <c r="CE75" s="491">
        <f>SUM(CE69:CE74)</f>
        <v/>
      </c>
      <c r="CF75" s="491">
        <f>SUM(CF69:CF74)</f>
        <v/>
      </c>
      <c r="CG75" s="491">
        <f>SUM(CG69:CG74)</f>
        <v/>
      </c>
      <c r="CH75" s="491">
        <f>SUM(CH69:CH74)</f>
        <v/>
      </c>
      <c r="CI75" s="491">
        <f>SUM(CI69:CI74)</f>
        <v/>
      </c>
      <c r="CJ75" s="491">
        <f>SUM(CJ69:CJ74)</f>
        <v/>
      </c>
      <c r="CK75" s="491">
        <f>SUM(CK69:CK74)</f>
        <v/>
      </c>
      <c r="CL75" s="491">
        <f>SUM(CL69:CL74)</f>
        <v/>
      </c>
      <c r="CM75" s="491">
        <f>SUM(CM69:CM74)</f>
        <v/>
      </c>
      <c r="CN75" s="491">
        <f>SUM(CN69:CN74)</f>
        <v/>
      </c>
      <c r="CO75" s="491">
        <f>SUM(CO69:CO74)</f>
        <v/>
      </c>
      <c r="CP75" s="491">
        <f>SUM(CP69:CP74)</f>
        <v/>
      </c>
      <c r="CQ75" s="491">
        <f>SUM(CQ69:CQ74)</f>
        <v/>
      </c>
      <c r="CR75" s="491">
        <f>SUM(CR69:CR74)</f>
        <v/>
      </c>
      <c r="CS75" s="491">
        <f>SUM(CS69:CS74)</f>
        <v/>
      </c>
      <c r="CT75" s="491">
        <f>SUM(CT69:CT74)</f>
        <v/>
      </c>
      <c r="CU75" s="491">
        <f>SUM(CU69:CU74)</f>
        <v/>
      </c>
      <c r="CV75" s="491">
        <f>SUM(CV69:CV74)</f>
        <v/>
      </c>
      <c r="CW75" s="491">
        <f>SUM(CW69:CW74)</f>
        <v/>
      </c>
      <c r="CX75" s="491">
        <f>SUM(CX69:CX74)</f>
        <v/>
      </c>
      <c r="CY75" s="491">
        <f>SUM(CY69:CY74)</f>
        <v/>
      </c>
      <c r="CZ75" s="491">
        <f>SUM(CZ69:CZ74)</f>
        <v/>
      </c>
      <c r="DA75" s="491">
        <f>SUM(DA69:DA74)</f>
        <v/>
      </c>
      <c r="DB75" s="491">
        <f>SUM(DB69:DB74)</f>
        <v/>
      </c>
      <c r="DC75" s="491">
        <f>SUM(DC69:DC74)</f>
        <v/>
      </c>
      <c r="DD75" s="491">
        <f>SUM(DD69:DD74)</f>
        <v/>
      </c>
      <c r="DE75" s="491">
        <f>SUM(DE69:DE74)</f>
        <v/>
      </c>
      <c r="DF75" s="491">
        <f>SUM(DF69:DF74)</f>
        <v/>
      </c>
      <c r="DG75" s="491">
        <f>SUM(DG69:DG74)</f>
        <v/>
      </c>
      <c r="DH75" s="491">
        <f>SUM(DH69:DH74)</f>
        <v/>
      </c>
      <c r="DI75" s="491">
        <f>SUM(DI69:DI74)</f>
        <v/>
      </c>
      <c r="DJ75" s="491">
        <f>SUM(DJ69:DJ74)</f>
        <v/>
      </c>
      <c r="DK75" s="491">
        <f>SUM(DK69:DK74)</f>
        <v/>
      </c>
      <c r="DL75" s="491">
        <f>SUM(DL69:DL74)</f>
        <v/>
      </c>
      <c r="DM75" s="491">
        <f>SUM(DM69:DM74)</f>
        <v/>
      </c>
      <c r="DN75" s="491">
        <f>SUM(DN69:DN74)</f>
        <v/>
      </c>
      <c r="DO75" s="491">
        <f>SUM(DO69:DO74)</f>
        <v/>
      </c>
      <c r="DP75" s="491">
        <f>SUM(DP69:DP74)</f>
        <v/>
      </c>
      <c r="DQ75" s="491">
        <f>SUM(DQ69:DQ74)</f>
        <v/>
      </c>
      <c r="DR75" s="491">
        <f>SUM(DR69:DR74)</f>
        <v/>
      </c>
      <c r="DS75" s="491">
        <f>SUM(DS69:DS74)</f>
        <v/>
      </c>
      <c r="DT75" s="491">
        <f>SUM(DT69:DT74)</f>
        <v/>
      </c>
      <c r="DU75" s="491">
        <f>SUM(DU69:DU74)</f>
        <v/>
      </c>
      <c r="DV75" s="491">
        <f>SUM(DV69:DV74)</f>
        <v/>
      </c>
      <c r="DW75" s="491">
        <f>SUM(DW69:DW74)</f>
        <v/>
      </c>
      <c r="DX75" s="491" t="n"/>
      <c r="DY75" s="491" t="n"/>
      <c r="DZ75" s="491">
        <f>SUM(DZ69:DZ74)</f>
        <v/>
      </c>
      <c r="EA75" s="491">
        <f>SUM(EA69:EA74)</f>
        <v/>
      </c>
      <c r="EB75" s="491">
        <f>SUM(EB69:EB74)</f>
        <v/>
      </c>
      <c r="EC75" s="491">
        <f>SUM(EC69:EC74)</f>
        <v/>
      </c>
      <c r="ED75" s="491">
        <f>SUM(ED69:ED74)</f>
        <v/>
      </c>
      <c r="EE75" s="491">
        <f>SUM(EE69:EE74)</f>
        <v/>
      </c>
      <c r="EF75" s="491">
        <f>SUM(EF69:EF74)</f>
        <v/>
      </c>
      <c r="EG75" s="491">
        <f>SUM(EG69:EG74)</f>
        <v/>
      </c>
      <c r="EH75" s="491">
        <f>SUM(EH69:EH74)</f>
        <v/>
      </c>
      <c r="EI75" s="491">
        <f>SUM(EI69:EI74)</f>
        <v/>
      </c>
      <c r="EJ75" s="491">
        <f>SUM(EJ69:EJ74)</f>
        <v/>
      </c>
      <c r="EK75" s="491">
        <f>SUM(EK69:EK74)</f>
        <v/>
      </c>
      <c r="EL75" s="491">
        <f>SUM(EL69:EL74)</f>
        <v/>
      </c>
      <c r="EM75" s="491">
        <f>SUM(EM69:EM74)</f>
        <v/>
      </c>
      <c r="EN75" s="491">
        <f>SUM(EN69:EN74)</f>
        <v/>
      </c>
      <c r="EO75" s="491">
        <f>SUM(EO69:EO74)</f>
        <v/>
      </c>
      <c r="EP75" s="491">
        <f>SUM(EP69:EP74)</f>
        <v/>
      </c>
      <c r="EQ75" s="491">
        <f>SUM(EQ69:EQ74)</f>
        <v/>
      </c>
      <c r="ER75" s="491">
        <f>SUM(ER69:ER74)</f>
        <v/>
      </c>
      <c r="ES75" s="491">
        <f>SUM(ES69:ES74)</f>
        <v/>
      </c>
      <c r="ET75" s="491">
        <f>SUM(ET69:ET74)</f>
        <v/>
      </c>
      <c r="EU75" s="491">
        <f>SUM(EU69:EU74)</f>
        <v/>
      </c>
      <c r="EV75" s="491">
        <f>SUM(EV69:EV74)</f>
        <v/>
      </c>
      <c r="EW75" s="491">
        <f>SUM(EW69:EW74)</f>
        <v/>
      </c>
      <c r="EX75" s="491">
        <f>SUM(EX69:EX74)</f>
        <v/>
      </c>
      <c r="EY75" s="491">
        <f>SUM(EY69:EY74)</f>
        <v/>
      </c>
      <c r="EZ75" s="496" t="n"/>
      <c r="FA75" s="496" t="n"/>
      <c r="FB75" s="452">
        <f>+FA75-EW75</f>
        <v/>
      </c>
      <c r="FC75" s="348">
        <f>+FB75/EW75</f>
        <v/>
      </c>
      <c r="FD75" s="493" t="n"/>
      <c r="FE75" s="493" t="n"/>
    </row>
    <row r="76">
      <c r="AB76" s="348" t="n"/>
      <c r="AE76" s="348" t="n"/>
      <c r="AF76" s="451" t="n"/>
      <c r="BU76" s="453" t="n"/>
      <c r="BV76" s="379" t="n"/>
      <c r="BW76" s="128" t="n"/>
      <c r="BX76" s="128" t="n"/>
      <c r="EZ76" s="394" t="n"/>
      <c r="FA76" s="394" t="n"/>
      <c r="FB76" s="452" t="n"/>
      <c r="FC76" s="348" t="n"/>
    </row>
    <row r="77">
      <c r="A77" s="481" t="inlineStr">
        <is>
          <t>Long term borrowing and bonds payable</t>
        </is>
      </c>
      <c r="B77" s="451">
        <f>SUM('Raw financials'!B143:B144)</f>
        <v/>
      </c>
      <c r="C77" s="451">
        <f>SUM('Raw financials'!C143:C144)</f>
        <v/>
      </c>
      <c r="D77" s="451">
        <f>SUM('Raw financials'!D143:D144)</f>
        <v/>
      </c>
      <c r="E77" s="451">
        <f>SUM('Raw financials'!E143:E144)</f>
        <v/>
      </c>
      <c r="F77" s="451">
        <f>SUM('Raw financials'!F143:F144)</f>
        <v/>
      </c>
      <c r="G77" s="451">
        <f>SUM('Raw financials'!G143:G144)</f>
        <v/>
      </c>
      <c r="H77" s="451">
        <f>SUM('Raw financials'!H143:H144)</f>
        <v/>
      </c>
      <c r="I77" s="451">
        <f>SUM('Raw financials'!I143:I144)</f>
        <v/>
      </c>
      <c r="J77" s="451">
        <f>SUM('Raw financials'!J143:J144)</f>
        <v/>
      </c>
      <c r="K77" s="451">
        <f>SUM('Raw financials'!K143:K144)</f>
        <v/>
      </c>
      <c r="L77" s="451">
        <f>SUM('Raw financials'!L143:L144)</f>
        <v/>
      </c>
      <c r="M77" s="451">
        <f>SUM('Raw financials'!M143:M144)</f>
        <v/>
      </c>
      <c r="N77" s="451">
        <f>SUM('Raw financials'!N143:N144)</f>
        <v/>
      </c>
      <c r="O77" s="451">
        <f>SUM('Raw financials'!O143:O144)</f>
        <v/>
      </c>
      <c r="P77" s="451">
        <f>SUM('Raw financials'!P143:P144)</f>
        <v/>
      </c>
      <c r="Q77" s="451">
        <f>SUM('Raw financials'!Q143:Q144)</f>
        <v/>
      </c>
      <c r="R77" s="451">
        <f>SUM('Raw financials'!R143:R144)</f>
        <v/>
      </c>
      <c r="S77" s="451">
        <f>SUM('Raw financials'!S143:S144)</f>
        <v/>
      </c>
      <c r="T77" s="451">
        <f>SUM('Raw financials'!T143:T144)</f>
        <v/>
      </c>
      <c r="U77" s="459">
        <f>+T77</f>
        <v/>
      </c>
      <c r="V77" s="459">
        <f>+U77</f>
        <v/>
      </c>
      <c r="W77" s="459">
        <f>+V77</f>
        <v/>
      </c>
      <c r="X77" s="459">
        <f>+W77</f>
        <v/>
      </c>
      <c r="Y77" s="459">
        <f>+X77</f>
        <v/>
      </c>
      <c r="Z77" s="459">
        <f>+Y77</f>
        <v/>
      </c>
      <c r="AA77" s="452">
        <f>+U77-T77</f>
        <v/>
      </c>
      <c r="AB77" s="348">
        <f>+AA77/T77</f>
        <v/>
      </c>
      <c r="AC77" s="459" t="n">
        <v>2167.1769</v>
      </c>
      <c r="AD77" s="452">
        <f>+X77-W77</f>
        <v/>
      </c>
      <c r="AE77" s="348">
        <f>+AD77/W77</f>
        <v/>
      </c>
      <c r="AF77" s="451" t="n"/>
      <c r="AG77" s="451">
        <f>SUM('Raw financials'!AA143:AA144)</f>
        <v/>
      </c>
      <c r="AH77" s="451">
        <f>+B77</f>
        <v/>
      </c>
      <c r="AI77" s="451">
        <f>SUM('Raw financials'!AB143:AB144)</f>
        <v/>
      </c>
      <c r="AJ77" s="451">
        <f>+C77</f>
        <v/>
      </c>
      <c r="AK77" s="451">
        <f>SUM('Raw financials'!AC143:AC144)</f>
        <v/>
      </c>
      <c r="AL77" s="451">
        <f>+D77</f>
        <v/>
      </c>
      <c r="AM77" s="451">
        <f>SUM('Raw financials'!AD143:AD144)</f>
        <v/>
      </c>
      <c r="AN77" s="451">
        <f>+E77</f>
        <v/>
      </c>
      <c r="AO77" s="451">
        <f>SUM('Raw financials'!AE143:AE144)</f>
        <v/>
      </c>
      <c r="AP77" s="451">
        <f>+F77</f>
        <v/>
      </c>
      <c r="AQ77" s="451">
        <f>SUM('Raw financials'!AF143:AF144)</f>
        <v/>
      </c>
      <c r="AR77" s="451">
        <f>+G77</f>
        <v/>
      </c>
      <c r="AS77" s="451">
        <f>SUM('Raw financials'!AG143:AG144)</f>
        <v/>
      </c>
      <c r="AT77" s="451">
        <f>+H77</f>
        <v/>
      </c>
      <c r="AU77" s="451">
        <f>SUM('Raw financials'!AH143:AH144)</f>
        <v/>
      </c>
      <c r="AV77" s="451">
        <f>+I77</f>
        <v/>
      </c>
      <c r="AW77" s="451">
        <f>SUM('Raw financials'!AI143:AI144)</f>
        <v/>
      </c>
      <c r="AX77" s="451">
        <f>+J77</f>
        <v/>
      </c>
      <c r="AY77" s="451">
        <f>SUM('Raw financials'!AJ143:AJ144)</f>
        <v/>
      </c>
      <c r="AZ77" s="451">
        <f>+K77</f>
        <v/>
      </c>
      <c r="BA77" s="451">
        <f>SUM('Raw financials'!AK143:AK144)</f>
        <v/>
      </c>
      <c r="BB77" s="451">
        <f>+L77</f>
        <v/>
      </c>
      <c r="BC77" s="451">
        <f>SUM('Raw financials'!AL143:AL144)</f>
        <v/>
      </c>
      <c r="BD77" s="451">
        <f>+M77</f>
        <v/>
      </c>
      <c r="BE77" s="451">
        <f>SUM('Raw financials'!AM143:AM144)</f>
        <v/>
      </c>
      <c r="BF77" s="451">
        <f>+N77</f>
        <v/>
      </c>
      <c r="BG77" s="451">
        <f>SUM('Raw financials'!AN143:AN144)</f>
        <v/>
      </c>
      <c r="BH77" s="451">
        <f>+O77</f>
        <v/>
      </c>
      <c r="BI77" s="451">
        <f>SUM('Raw financials'!AO143:AO144)</f>
        <v/>
      </c>
      <c r="BJ77" s="451">
        <f>+P77</f>
        <v/>
      </c>
      <c r="BK77" s="451">
        <f>SUM('Raw financials'!AP143:AP144)</f>
        <v/>
      </c>
      <c r="BL77" s="451">
        <f>+Q77</f>
        <v/>
      </c>
      <c r="BM77" s="451">
        <f>SUM('Raw financials'!AQ143:AQ144)</f>
        <v/>
      </c>
      <c r="BN77" s="451">
        <f>+R77</f>
        <v/>
      </c>
      <c r="BO77" s="451">
        <f>SUM('Raw financials'!AR143:AR144)</f>
        <v/>
      </c>
      <c r="BP77" s="451">
        <f>+S77</f>
        <v/>
      </c>
      <c r="BQ77" s="451">
        <f>SUM('Raw financials'!AS143:AS144)</f>
        <v/>
      </c>
      <c r="BR77" s="451">
        <f>+T77</f>
        <v/>
      </c>
      <c r="BS77" s="451" t="n"/>
      <c r="BT77" s="451">
        <f>+U77</f>
        <v/>
      </c>
      <c r="BU77" s="453">
        <f>BT77-BR77</f>
        <v/>
      </c>
      <c r="BV77" s="379">
        <f>BU77/BR77</f>
        <v/>
      </c>
      <c r="BW77" s="489" t="n"/>
      <c r="BX77" s="489" t="n"/>
      <c r="BZ77" s="451">
        <f>SUM('Raw financials'!BN143:BN144)</f>
        <v/>
      </c>
      <c r="CA77" s="451">
        <f>SUM('Raw financials'!BO143:BO144)</f>
        <v/>
      </c>
      <c r="CB77" s="451">
        <f>SUM('Raw financials'!BP143:BP144)</f>
        <v/>
      </c>
      <c r="CC77" s="451">
        <f>SUM('Raw financials'!BQ143:BQ144)</f>
        <v/>
      </c>
      <c r="CD77" s="451">
        <f>SUM('Raw financials'!BR143:BR144)</f>
        <v/>
      </c>
      <c r="CE77" s="451">
        <f>SUM('Raw financials'!BS143:BS144)</f>
        <v/>
      </c>
      <c r="CF77" s="451">
        <f>SUM('Raw financials'!BT143:BT144)</f>
        <v/>
      </c>
      <c r="CG77" s="451">
        <f>SUM('Raw financials'!BU143:BU144)</f>
        <v/>
      </c>
      <c r="CH77" s="451">
        <f>SUM('Raw financials'!BV143:BV144)</f>
        <v/>
      </c>
      <c r="CI77" s="451">
        <f>SUM('Raw financials'!BW143:BW144)</f>
        <v/>
      </c>
      <c r="CJ77" s="451">
        <f>SUM('Raw financials'!BX143:BX144)</f>
        <v/>
      </c>
      <c r="CK77" s="451">
        <f>SUM('Raw financials'!BY143:BY144)</f>
        <v/>
      </c>
      <c r="CL77" s="451">
        <f>SUM('Raw financials'!BZ143:BZ144)</f>
        <v/>
      </c>
      <c r="CM77" s="451">
        <f>SUM('Raw financials'!CA143:CA144)</f>
        <v/>
      </c>
      <c r="CN77" s="451">
        <f>SUM('Raw financials'!CB143:CB144)</f>
        <v/>
      </c>
      <c r="CO77" s="451">
        <f>SUM('Raw financials'!CC143:CC144)</f>
        <v/>
      </c>
      <c r="CP77" s="451">
        <f>SUM('Raw financials'!CD143:CD144)</f>
        <v/>
      </c>
      <c r="CQ77" s="451">
        <f>SUM('Raw financials'!CE143:CE144)</f>
        <v/>
      </c>
      <c r="CR77" s="451">
        <f>SUM('Raw financials'!CF143:CF144)</f>
        <v/>
      </c>
      <c r="CS77" s="451">
        <f>SUM('Raw financials'!CG143:CG144)</f>
        <v/>
      </c>
      <c r="CT77" s="451">
        <f>SUM('Raw financials'!CH143:CH144)</f>
        <v/>
      </c>
      <c r="CU77" s="451">
        <f>SUM('Raw financials'!CI143:CI144)</f>
        <v/>
      </c>
      <c r="CV77" s="451">
        <f>SUM('Raw financials'!CJ143:CJ144)</f>
        <v/>
      </c>
      <c r="CW77" s="451">
        <f>SUM('Raw financials'!CK143:CK144)</f>
        <v/>
      </c>
      <c r="CX77" s="451">
        <f>SUM('Raw financials'!CL143:CL144)</f>
        <v/>
      </c>
      <c r="CY77" s="451">
        <f>SUM('Raw financials'!CM143:CM144)</f>
        <v/>
      </c>
      <c r="CZ77" s="451">
        <f>SUM('Raw financials'!CN143:CN144)</f>
        <v/>
      </c>
      <c r="DA77" s="451">
        <f>SUM('Raw financials'!CO143:CO144)</f>
        <v/>
      </c>
      <c r="DB77" s="451">
        <f>SUM('Raw financials'!CP143:CP144)</f>
        <v/>
      </c>
      <c r="DC77" s="451">
        <f>SUM('Raw financials'!CQ143:CQ144)</f>
        <v/>
      </c>
      <c r="DD77" s="451">
        <f>SUM('Raw financials'!CR143:CR144)</f>
        <v/>
      </c>
      <c r="DE77" s="451">
        <f>SUM('Raw financials'!CS143:CS144)</f>
        <v/>
      </c>
      <c r="DF77" s="451">
        <f>SUM('Raw financials'!CT143:CT144)</f>
        <v/>
      </c>
      <c r="DG77" s="451">
        <f>SUM('Raw financials'!CU143:CU144)</f>
        <v/>
      </c>
      <c r="DH77" s="451">
        <f>SUM('Raw financials'!CV143:CV144)</f>
        <v/>
      </c>
      <c r="DI77" s="451">
        <f>SUM('Raw financials'!CW143:CW144)</f>
        <v/>
      </c>
      <c r="DJ77" s="451">
        <f>SUM('Raw financials'!CX143:CX144)</f>
        <v/>
      </c>
      <c r="DK77" s="451">
        <f>SUM('Raw financials'!CY143:CY144)</f>
        <v/>
      </c>
      <c r="DL77" s="451">
        <f>SUM('Raw financials'!CZ143:CZ144)</f>
        <v/>
      </c>
      <c r="DM77" s="451">
        <f>SUM('Raw financials'!DA143:DA144)</f>
        <v/>
      </c>
      <c r="DN77" s="451">
        <f>SUM('Raw financials'!DB143:DB144)</f>
        <v/>
      </c>
      <c r="DO77" s="451">
        <f>SUM('Raw financials'!DC143:DC144)</f>
        <v/>
      </c>
      <c r="DP77" s="451">
        <f>SUM('Raw financials'!DD143:DD144)</f>
        <v/>
      </c>
      <c r="DQ77" s="451">
        <f>SUM('Raw financials'!DE143:DE144)</f>
        <v/>
      </c>
      <c r="DR77" s="451">
        <f>SUM('Raw financials'!DF143:DF144)</f>
        <v/>
      </c>
      <c r="DS77" s="451">
        <f>SUM('Raw financials'!DG143:DG144)</f>
        <v/>
      </c>
      <c r="DT77" s="451">
        <f>SUM('Raw financials'!DH143:DH144)</f>
        <v/>
      </c>
      <c r="DU77" s="451">
        <f>SUM('Raw financials'!DI143:DI144)</f>
        <v/>
      </c>
      <c r="DV77" s="451">
        <f>SUM('Raw financials'!DJ143:DJ144)</f>
        <v/>
      </c>
      <c r="DW77" s="451">
        <f>SUM('Raw financials'!DK143:DK144)</f>
        <v/>
      </c>
      <c r="DX77" s="451" t="n"/>
      <c r="DY77" s="451" t="n"/>
      <c r="DZ77" s="451">
        <f>SUM('Raw financials'!DN143:DN144)</f>
        <v/>
      </c>
      <c r="EA77" s="451">
        <f>SUM('Raw financials'!DO143:DO144)</f>
        <v/>
      </c>
      <c r="EB77" s="451">
        <f>SUM('Raw financials'!DP143:DP144)</f>
        <v/>
      </c>
      <c r="EC77" s="451">
        <f>SUM('Raw financials'!DQ143:DQ144)</f>
        <v/>
      </c>
      <c r="ED77" s="451">
        <f>SUM('Raw financials'!DR143:DR144)</f>
        <v/>
      </c>
      <c r="EE77" s="451">
        <f>SUM('Raw financials'!DS143:DS144)</f>
        <v/>
      </c>
      <c r="EF77" s="451">
        <f>SUM('Raw financials'!DT143:DT144)</f>
        <v/>
      </c>
      <c r="EG77" s="451">
        <f>SUM('Raw financials'!DU143:DU144)</f>
        <v/>
      </c>
      <c r="EH77" s="451">
        <f>SUM('Raw financials'!DV143:DV144)</f>
        <v/>
      </c>
      <c r="EI77" s="451">
        <f>SUM('Raw financials'!DW143:DW144)</f>
        <v/>
      </c>
      <c r="EJ77" s="451">
        <f>SUM('Raw financials'!DX143:DX144)</f>
        <v/>
      </c>
      <c r="EK77" s="451">
        <f>SUM('Raw financials'!DY143:DY144)</f>
        <v/>
      </c>
      <c r="EL77" s="451">
        <f>SUM('Raw financials'!DZ143:DZ144)</f>
        <v/>
      </c>
      <c r="EM77" s="451">
        <f>SUM('Raw financials'!EA143:EA144)</f>
        <v/>
      </c>
      <c r="EN77" s="451">
        <f>SUM('Raw financials'!EB143:EB144)</f>
        <v/>
      </c>
      <c r="EO77" s="451">
        <f>SUM('Raw financials'!EC143:EC144)</f>
        <v/>
      </c>
      <c r="EP77" s="451">
        <f>SUM('Raw financials'!ED143:ED144)</f>
        <v/>
      </c>
      <c r="EQ77" s="451">
        <f>SUM('Raw financials'!EE143:EE144)</f>
        <v/>
      </c>
      <c r="ER77" s="451">
        <f>SUM('Raw financials'!EF143:EF144)</f>
        <v/>
      </c>
      <c r="ES77" s="451">
        <f>SUM('Raw financials'!EG143:EG144)</f>
        <v/>
      </c>
      <c r="ET77" s="451">
        <f>SUM('Raw financials'!EH143:EH144)</f>
        <v/>
      </c>
      <c r="EU77" s="451">
        <f>SUM('Raw financials'!EI143:EI144)</f>
        <v/>
      </c>
      <c r="EV77" s="451">
        <f>SUM('Raw financials'!EJ143:EJ144)</f>
        <v/>
      </c>
      <c r="EW77" s="451">
        <f>SUM('Raw financials'!EK143:EK144)</f>
        <v/>
      </c>
      <c r="EX77" s="451">
        <f>SUM('Raw financials'!EL143:EL144)</f>
        <v/>
      </c>
      <c r="EY77" s="451">
        <f>SUM('Raw financials'!EM143:EM144)</f>
        <v/>
      </c>
      <c r="EZ77" s="454" t="n"/>
      <c r="FA77" s="454" t="n"/>
      <c r="FB77" s="452">
        <f>+FA77-EW77</f>
        <v/>
      </c>
      <c r="FC77" s="348">
        <f>+FB77/EW77</f>
        <v/>
      </c>
      <c r="FD77" s="451" t="n"/>
      <c r="FE77" s="451" t="n"/>
    </row>
    <row r="78">
      <c r="A78" s="481" t="inlineStr">
        <is>
          <t>Long term payables</t>
        </is>
      </c>
      <c r="B78" s="451">
        <f>'Raw financials'!B146</f>
        <v/>
      </c>
      <c r="C78" s="451">
        <f>'Raw financials'!C146</f>
        <v/>
      </c>
      <c r="D78" s="451">
        <f>'Raw financials'!D146</f>
        <v/>
      </c>
      <c r="E78" s="451">
        <f>'Raw financials'!E146</f>
        <v/>
      </c>
      <c r="F78" s="451">
        <f>'Raw financials'!F146</f>
        <v/>
      </c>
      <c r="G78" s="451">
        <f>'Raw financials'!G146</f>
        <v/>
      </c>
      <c r="H78" s="451">
        <f>'Raw financials'!H146</f>
        <v/>
      </c>
      <c r="I78" s="451">
        <f>'Raw financials'!I146</f>
        <v/>
      </c>
      <c r="J78" s="451">
        <f>'Raw financials'!J146</f>
        <v/>
      </c>
      <c r="K78" s="451">
        <f>'Raw financials'!K146</f>
        <v/>
      </c>
      <c r="L78" s="451">
        <f>'Raw financials'!L146</f>
        <v/>
      </c>
      <c r="M78" s="451">
        <f>'Raw financials'!M146</f>
        <v/>
      </c>
      <c r="N78" s="451">
        <f>'Raw financials'!N146</f>
        <v/>
      </c>
      <c r="O78" s="451">
        <f>'Raw financials'!O146</f>
        <v/>
      </c>
      <c r="P78" s="451">
        <f>'Raw financials'!P146</f>
        <v/>
      </c>
      <c r="Q78" s="451">
        <f>'Raw financials'!Q146</f>
        <v/>
      </c>
      <c r="R78" s="451">
        <f>'Raw financials'!R146</f>
        <v/>
      </c>
      <c r="S78" s="451">
        <f>'Raw financials'!S146</f>
        <v/>
      </c>
      <c r="T78" s="451">
        <f>'Raw financials'!T146</f>
        <v/>
      </c>
      <c r="U78" s="459">
        <f>T78</f>
        <v/>
      </c>
      <c r="V78" s="459">
        <f>U78</f>
        <v/>
      </c>
      <c r="W78" s="459">
        <f>V78</f>
        <v/>
      </c>
      <c r="X78" s="459">
        <f>W78</f>
        <v/>
      </c>
      <c r="Y78" s="459">
        <f>X78</f>
        <v/>
      </c>
      <c r="Z78" s="459">
        <f>Y78</f>
        <v/>
      </c>
      <c r="AA78" s="452">
        <f>+U78-T78</f>
        <v/>
      </c>
      <c r="AB78" s="348">
        <f>+AA78/T78</f>
        <v/>
      </c>
      <c r="AC78" s="459" t="n">
        <v>0.24</v>
      </c>
      <c r="AD78" s="452">
        <f>+X78-W78</f>
        <v/>
      </c>
      <c r="AE78" s="348">
        <f>+AD78/W78</f>
        <v/>
      </c>
      <c r="AF78" s="451" t="n"/>
      <c r="AG78" s="451">
        <f>'Raw financials'!AA147+'Raw financials'!AA148</f>
        <v/>
      </c>
      <c r="AH78" s="451">
        <f>+B78</f>
        <v/>
      </c>
      <c r="AI78" s="451">
        <f>'Raw financials'!AB147+'Raw financials'!AB148</f>
        <v/>
      </c>
      <c r="AJ78" s="451">
        <f>+C78</f>
        <v/>
      </c>
      <c r="AK78" s="451">
        <f>'Raw financials'!AC147+'Raw financials'!AC148</f>
        <v/>
      </c>
      <c r="AL78" s="451">
        <f>+D78</f>
        <v/>
      </c>
      <c r="AM78" s="451">
        <f>'Raw financials'!AD147+'Raw financials'!AD148</f>
        <v/>
      </c>
      <c r="AN78" s="451">
        <f>+E78</f>
        <v/>
      </c>
      <c r="AO78" s="451">
        <f>'Raw financials'!AE147+'Raw financials'!AE148</f>
        <v/>
      </c>
      <c r="AP78" s="451">
        <f>+F78</f>
        <v/>
      </c>
      <c r="AQ78" s="451">
        <f>'Raw financials'!AF147+'Raw financials'!AF148</f>
        <v/>
      </c>
      <c r="AR78" s="451">
        <f>+G78</f>
        <v/>
      </c>
      <c r="AS78" s="451">
        <f>'Raw financials'!AG147+'Raw financials'!AG148</f>
        <v/>
      </c>
      <c r="AT78" s="451">
        <f>+H78</f>
        <v/>
      </c>
      <c r="AU78" s="451">
        <f>'Raw financials'!AH147+'Raw financials'!AH148</f>
        <v/>
      </c>
      <c r="AV78" s="451">
        <f>+I78</f>
        <v/>
      </c>
      <c r="AW78" s="451">
        <f>'Raw financials'!AI147+'Raw financials'!AI148</f>
        <v/>
      </c>
      <c r="AX78" s="451">
        <f>+J78</f>
        <v/>
      </c>
      <c r="AY78" s="451">
        <f>'Raw financials'!AJ147+'Raw financials'!AJ148</f>
        <v/>
      </c>
      <c r="AZ78" s="451">
        <f>+K78</f>
        <v/>
      </c>
      <c r="BA78" s="451">
        <f>'Raw financials'!AK147+'Raw financials'!AK148</f>
        <v/>
      </c>
      <c r="BB78" s="451">
        <f>+L78</f>
        <v/>
      </c>
      <c r="BC78" s="451">
        <f>'Raw financials'!AL147+'Raw financials'!AL148</f>
        <v/>
      </c>
      <c r="BD78" s="451">
        <f>+M78</f>
        <v/>
      </c>
      <c r="BE78" s="451">
        <f>'Raw financials'!AM147+'Raw financials'!AM148</f>
        <v/>
      </c>
      <c r="BF78" s="451">
        <f>+N78</f>
        <v/>
      </c>
      <c r="BG78" s="451">
        <f>'Raw financials'!AN147+'Raw financials'!AN148</f>
        <v/>
      </c>
      <c r="BH78" s="451">
        <f>+O78</f>
        <v/>
      </c>
      <c r="BI78" s="451">
        <f>'Raw financials'!AO147+'Raw financials'!AO148</f>
        <v/>
      </c>
      <c r="BJ78" s="451">
        <f>+P78</f>
        <v/>
      </c>
      <c r="BK78" s="451">
        <f>'Raw financials'!AP147+'Raw financials'!AP148</f>
        <v/>
      </c>
      <c r="BL78" s="451">
        <f>+Q78</f>
        <v/>
      </c>
      <c r="BM78" s="451">
        <f>'Raw financials'!AQ147+'Raw financials'!AQ148</f>
        <v/>
      </c>
      <c r="BN78" s="451">
        <f>+R78</f>
        <v/>
      </c>
      <c r="BO78" s="451">
        <f>'Raw financials'!AR147+'Raw financials'!AR148</f>
        <v/>
      </c>
      <c r="BP78" s="451">
        <f>+S78</f>
        <v/>
      </c>
      <c r="BQ78" s="451">
        <f>'Raw financials'!AS147+'Raw financials'!AS148</f>
        <v/>
      </c>
      <c r="BR78" s="451">
        <f>+T78</f>
        <v/>
      </c>
      <c r="BS78" s="451" t="n"/>
      <c r="BT78" s="451">
        <f>+U78</f>
        <v/>
      </c>
      <c r="BU78" s="453">
        <f>BT78-BR78</f>
        <v/>
      </c>
      <c r="BV78" s="379">
        <f>BU78/BR78</f>
        <v/>
      </c>
      <c r="BW78" s="489" t="n"/>
      <c r="BX78" s="489" t="n"/>
      <c r="BZ78" s="451">
        <f>'Raw financials'!BN147+'Raw financials'!BN148</f>
        <v/>
      </c>
      <c r="CA78" s="451">
        <f>'Raw financials'!BO147+'Raw financials'!BO148</f>
        <v/>
      </c>
      <c r="CB78" s="451">
        <f>'Raw financials'!BP147+'Raw financials'!BP148</f>
        <v/>
      </c>
      <c r="CC78" s="451">
        <f>'Raw financials'!BQ147+'Raw financials'!BQ148</f>
        <v/>
      </c>
      <c r="CD78" s="451">
        <f>'Raw financials'!BR147+'Raw financials'!BR148</f>
        <v/>
      </c>
      <c r="CE78" s="451">
        <f>'Raw financials'!BS147+'Raw financials'!BS148</f>
        <v/>
      </c>
      <c r="CF78" s="451">
        <f>'Raw financials'!BT147+'Raw financials'!BT148</f>
        <v/>
      </c>
      <c r="CG78" s="451">
        <f>'Raw financials'!BU147+'Raw financials'!BU148</f>
        <v/>
      </c>
      <c r="CH78" s="451">
        <f>'Raw financials'!BV147+'Raw financials'!BV148</f>
        <v/>
      </c>
      <c r="CI78" s="451">
        <f>'Raw financials'!BW147+'Raw financials'!BW148</f>
        <v/>
      </c>
      <c r="CJ78" s="451">
        <f>'Raw financials'!BX147+'Raw financials'!BX148</f>
        <v/>
      </c>
      <c r="CK78" s="451">
        <f>'Raw financials'!BY147+'Raw financials'!BY148</f>
        <v/>
      </c>
      <c r="CL78" s="451">
        <f>'Raw financials'!BZ147+'Raw financials'!BZ148</f>
        <v/>
      </c>
      <c r="CM78" s="451">
        <f>'Raw financials'!CA147+'Raw financials'!CA148</f>
        <v/>
      </c>
      <c r="CN78" s="451">
        <f>'Raw financials'!CB147+'Raw financials'!CB148</f>
        <v/>
      </c>
      <c r="CO78" s="451">
        <f>'Raw financials'!CC147+'Raw financials'!CC148</f>
        <v/>
      </c>
      <c r="CP78" s="451">
        <f>'Raw financials'!CD147+'Raw financials'!CD148</f>
        <v/>
      </c>
      <c r="CQ78" s="451">
        <f>'Raw financials'!CE147+'Raw financials'!CE148</f>
        <v/>
      </c>
      <c r="CR78" s="451">
        <f>'Raw financials'!CF147+'Raw financials'!CF148</f>
        <v/>
      </c>
      <c r="CS78" s="451">
        <f>'Raw financials'!CG147+'Raw financials'!CG148</f>
        <v/>
      </c>
      <c r="CT78" s="451">
        <f>'Raw financials'!CH147+'Raw financials'!CH148</f>
        <v/>
      </c>
      <c r="CU78" s="451">
        <f>'Raw financials'!CI147+'Raw financials'!CI148</f>
        <v/>
      </c>
      <c r="CV78" s="451">
        <f>'Raw financials'!CJ147+'Raw financials'!CJ148</f>
        <v/>
      </c>
      <c r="CW78" s="451">
        <f>'Raw financials'!CK147+'Raw financials'!CK148</f>
        <v/>
      </c>
      <c r="CX78" s="451">
        <f>'Raw financials'!CL147+'Raw financials'!CL148</f>
        <v/>
      </c>
      <c r="CY78" s="451">
        <f>'Raw financials'!CM147+'Raw financials'!CM148</f>
        <v/>
      </c>
      <c r="CZ78" s="451">
        <f>'Raw financials'!CN147+'Raw financials'!CN148</f>
        <v/>
      </c>
      <c r="DA78" s="451">
        <f>'Raw financials'!CO147+'Raw financials'!CO148</f>
        <v/>
      </c>
      <c r="DB78" s="451">
        <f>'Raw financials'!CP147+'Raw financials'!CP148</f>
        <v/>
      </c>
      <c r="DC78" s="451">
        <f>'Raw financials'!CQ147+'Raw financials'!CQ148</f>
        <v/>
      </c>
      <c r="DD78" s="451">
        <f>'Raw financials'!CR147+'Raw financials'!CR148</f>
        <v/>
      </c>
      <c r="DE78" s="451">
        <f>'Raw financials'!CS147+'Raw financials'!CS148</f>
        <v/>
      </c>
      <c r="DF78" s="451">
        <f>'Raw financials'!CT147+'Raw financials'!CT148</f>
        <v/>
      </c>
      <c r="DG78" s="451">
        <f>'Raw financials'!CU147+'Raw financials'!CU148</f>
        <v/>
      </c>
      <c r="DH78" s="451">
        <f>'Raw financials'!CV147+'Raw financials'!CV148</f>
        <v/>
      </c>
      <c r="DI78" s="451">
        <f>'Raw financials'!CW147+'Raw financials'!CW148</f>
        <v/>
      </c>
      <c r="DJ78" s="451">
        <f>'Raw financials'!CX147+'Raw financials'!CX148</f>
        <v/>
      </c>
      <c r="DK78" s="451">
        <f>'Raw financials'!CY147+'Raw financials'!CY148</f>
        <v/>
      </c>
      <c r="DL78" s="451">
        <f>'Raw financials'!CZ147+'Raw financials'!CZ148</f>
        <v/>
      </c>
      <c r="DM78" s="451">
        <f>'Raw financials'!DA147+'Raw financials'!DA148</f>
        <v/>
      </c>
      <c r="DN78" s="451">
        <f>'Raw financials'!DB147+'Raw financials'!DB148</f>
        <v/>
      </c>
      <c r="DO78" s="451">
        <f>'Raw financials'!DC147+'Raw financials'!DC148</f>
        <v/>
      </c>
      <c r="DP78" s="451">
        <f>'Raw financials'!DD147+'Raw financials'!DD148</f>
        <v/>
      </c>
      <c r="DQ78" s="451">
        <f>'Raw financials'!DE147+'Raw financials'!DE148</f>
        <v/>
      </c>
      <c r="DR78" s="451">
        <f>'Raw financials'!DF147+'Raw financials'!DF148</f>
        <v/>
      </c>
      <c r="DS78" s="451">
        <f>'Raw financials'!DG147+'Raw financials'!DG148</f>
        <v/>
      </c>
      <c r="DT78" s="451">
        <f>'Raw financials'!DH147+'Raw financials'!DH148</f>
        <v/>
      </c>
      <c r="DU78" s="451">
        <f>'Raw financials'!DI147+'Raw financials'!DI148</f>
        <v/>
      </c>
      <c r="DV78" s="451">
        <f>'Raw financials'!DJ147+'Raw financials'!DJ148</f>
        <v/>
      </c>
      <c r="DW78" s="451">
        <f>'Raw financials'!DK147+'Raw financials'!DK148</f>
        <v/>
      </c>
      <c r="DX78" s="451" t="n"/>
      <c r="DY78" s="451" t="n"/>
      <c r="DZ78" s="451">
        <f>'Raw financials'!DN146</f>
        <v/>
      </c>
      <c r="EA78" s="451">
        <f>'Raw financials'!DO146</f>
        <v/>
      </c>
      <c r="EB78" s="451">
        <f>'Raw financials'!DP146</f>
        <v/>
      </c>
      <c r="EC78" s="451">
        <f>'Raw financials'!DQ146</f>
        <v/>
      </c>
      <c r="ED78" s="451">
        <f>'Raw financials'!DR146</f>
        <v/>
      </c>
      <c r="EE78" s="451">
        <f>'Raw financials'!DS146</f>
        <v/>
      </c>
      <c r="EF78" s="451">
        <f>'Raw financials'!DT146</f>
        <v/>
      </c>
      <c r="EG78" s="451">
        <f>'Raw financials'!DU146</f>
        <v/>
      </c>
      <c r="EH78" s="451">
        <f>'Raw financials'!DV146</f>
        <v/>
      </c>
      <c r="EI78" s="451">
        <f>'Raw financials'!DW146</f>
        <v/>
      </c>
      <c r="EJ78" s="451">
        <f>'Raw financials'!DX146</f>
        <v/>
      </c>
      <c r="EK78" s="451">
        <f>'Raw financials'!DY146</f>
        <v/>
      </c>
      <c r="EL78" s="451">
        <f>'Raw financials'!DZ146</f>
        <v/>
      </c>
      <c r="EM78" s="451">
        <f>'Raw financials'!EA146</f>
        <v/>
      </c>
      <c r="EN78" s="451">
        <f>'Raw financials'!EB146</f>
        <v/>
      </c>
      <c r="EO78" s="451">
        <f>'Raw financials'!EC146</f>
        <v/>
      </c>
      <c r="EP78" s="451">
        <f>'Raw financials'!ED146</f>
        <v/>
      </c>
      <c r="EQ78" s="451">
        <f>'Raw financials'!EE146</f>
        <v/>
      </c>
      <c r="ER78" s="451">
        <f>'Raw financials'!EF146</f>
        <v/>
      </c>
      <c r="ES78" s="451">
        <f>'Raw financials'!EG146</f>
        <v/>
      </c>
      <c r="ET78" s="451">
        <f>'Raw financials'!EH146</f>
        <v/>
      </c>
      <c r="EU78" s="451">
        <f>'Raw financials'!EI146</f>
        <v/>
      </c>
      <c r="EV78" s="451">
        <f>'Raw financials'!EJ146</f>
        <v/>
      </c>
      <c r="EW78" s="451">
        <f>'Raw financials'!EK146</f>
        <v/>
      </c>
      <c r="EX78" s="451">
        <f>'Raw financials'!EL146</f>
        <v/>
      </c>
      <c r="EY78" s="451">
        <f>'Raw financials'!EM146</f>
        <v/>
      </c>
      <c r="EZ78" s="454" t="n"/>
      <c r="FA78" s="454" t="n"/>
      <c r="FB78" s="452">
        <f>+FA78-EW78</f>
        <v/>
      </c>
      <c r="FC78" s="348">
        <f>+FB78/EW78</f>
        <v/>
      </c>
      <c r="FD78" s="451" t="n"/>
      <c r="FE78" s="451" t="n"/>
    </row>
    <row r="79">
      <c r="A79" s="481" t="inlineStr">
        <is>
          <t>Other LT payable</t>
        </is>
      </c>
      <c r="B79" s="451">
        <f>SUM('Raw financials'!B149)</f>
        <v/>
      </c>
      <c r="C79" s="451">
        <f>SUM('Raw financials'!C149)</f>
        <v/>
      </c>
      <c r="D79" s="451">
        <f>SUM('Raw financials'!D149)</f>
        <v/>
      </c>
      <c r="E79" s="451">
        <f>SUM('Raw financials'!E149)</f>
        <v/>
      </c>
      <c r="F79" s="451">
        <f>SUM('Raw financials'!F149)</f>
        <v/>
      </c>
      <c r="G79" s="451">
        <f>SUM('Raw financials'!G149)</f>
        <v/>
      </c>
      <c r="H79" s="451">
        <f>SUM('Raw financials'!H149)</f>
        <v/>
      </c>
      <c r="I79" s="451">
        <f>SUM('Raw financials'!I149)</f>
        <v/>
      </c>
      <c r="J79" s="451">
        <f>SUM('Raw financials'!J149)</f>
        <v/>
      </c>
      <c r="K79" s="451">
        <f>SUM('Raw financials'!K149)</f>
        <v/>
      </c>
      <c r="L79" s="451">
        <f>SUM('Raw financials'!L149)</f>
        <v/>
      </c>
      <c r="M79" s="451">
        <f>SUM('Raw financials'!M149)</f>
        <v/>
      </c>
      <c r="N79" s="451">
        <f>SUM('Raw financials'!N149)</f>
        <v/>
      </c>
      <c r="O79" s="451">
        <f>SUM('Raw financials'!O149)</f>
        <v/>
      </c>
      <c r="P79" s="451">
        <f>SUM('Raw financials'!P149)</f>
        <v/>
      </c>
      <c r="Q79" s="451">
        <f>SUM('Raw financials'!Q149)</f>
        <v/>
      </c>
      <c r="R79" s="451">
        <f>SUM('Raw financials'!R149)</f>
        <v/>
      </c>
      <c r="S79" s="451">
        <f>SUM('Raw financials'!S149)</f>
        <v/>
      </c>
      <c r="T79" s="451">
        <f>SUM('Raw financials'!T149)</f>
        <v/>
      </c>
      <c r="U79" s="459">
        <f>T79</f>
        <v/>
      </c>
      <c r="V79" s="459">
        <f>U79</f>
        <v/>
      </c>
      <c r="W79" s="459">
        <f>V79</f>
        <v/>
      </c>
      <c r="X79" s="459">
        <f>W79</f>
        <v/>
      </c>
      <c r="Y79" s="459">
        <f>X79</f>
        <v/>
      </c>
      <c r="Z79" s="459">
        <f>Y79</f>
        <v/>
      </c>
      <c r="AA79" s="452">
        <f>+U79-T79</f>
        <v/>
      </c>
      <c r="AB79" s="348">
        <f>+AA79/T79</f>
        <v/>
      </c>
      <c r="AC79" s="459" t="n">
        <v>1003.1062</v>
      </c>
      <c r="AD79" s="452">
        <f>+X79-W79</f>
        <v/>
      </c>
      <c r="AE79" s="348">
        <f>+AD79/W79</f>
        <v/>
      </c>
      <c r="AF79" s="451" t="n"/>
      <c r="AG79" s="451">
        <f>SUM('Raw financials'!AA149)</f>
        <v/>
      </c>
      <c r="AH79" s="451">
        <f>+B79</f>
        <v/>
      </c>
      <c r="AI79" s="451">
        <f>SUM('Raw financials'!AB149)</f>
        <v/>
      </c>
      <c r="AJ79" s="451">
        <f>+C79</f>
        <v/>
      </c>
      <c r="AK79" s="451">
        <f>SUM('Raw financials'!AC149)</f>
        <v/>
      </c>
      <c r="AL79" s="451">
        <f>+D79</f>
        <v/>
      </c>
      <c r="AM79" s="451">
        <f>SUM('Raw financials'!AD149)</f>
        <v/>
      </c>
      <c r="AN79" s="451">
        <f>+E79</f>
        <v/>
      </c>
      <c r="AO79" s="451">
        <f>SUM('Raw financials'!AE149)</f>
        <v/>
      </c>
      <c r="AP79" s="451">
        <f>+F79</f>
        <v/>
      </c>
      <c r="AQ79" s="451">
        <f>SUM('Raw financials'!AF149)</f>
        <v/>
      </c>
      <c r="AR79" s="451">
        <f>+G79</f>
        <v/>
      </c>
      <c r="AS79" s="451">
        <f>SUM('Raw financials'!AG149)</f>
        <v/>
      </c>
      <c r="AT79" s="451">
        <f>+H79</f>
        <v/>
      </c>
      <c r="AU79" s="451">
        <f>SUM('Raw financials'!AH149)</f>
        <v/>
      </c>
      <c r="AV79" s="451">
        <f>+I79</f>
        <v/>
      </c>
      <c r="AW79" s="451">
        <f>SUM('Raw financials'!AI149)</f>
        <v/>
      </c>
      <c r="AX79" s="451">
        <f>+J79</f>
        <v/>
      </c>
      <c r="AY79" s="451">
        <f>SUM('Raw financials'!AJ149)</f>
        <v/>
      </c>
      <c r="AZ79" s="451">
        <f>+K79</f>
        <v/>
      </c>
      <c r="BA79" s="451">
        <f>SUM('Raw financials'!AK149)</f>
        <v/>
      </c>
      <c r="BB79" s="451">
        <f>+L79</f>
        <v/>
      </c>
      <c r="BC79" s="451">
        <f>SUM('Raw financials'!AL149)</f>
        <v/>
      </c>
      <c r="BD79" s="451">
        <f>+M79</f>
        <v/>
      </c>
      <c r="BE79" s="451">
        <f>SUM('Raw financials'!AM149)</f>
        <v/>
      </c>
      <c r="BF79" s="451">
        <f>+N79</f>
        <v/>
      </c>
      <c r="BG79" s="451">
        <f>SUM('Raw financials'!AN149)</f>
        <v/>
      </c>
      <c r="BH79" s="451">
        <f>+O79</f>
        <v/>
      </c>
      <c r="BI79" s="451">
        <f>SUM('Raw financials'!AO149)</f>
        <v/>
      </c>
      <c r="BJ79" s="451">
        <f>+P79</f>
        <v/>
      </c>
      <c r="BK79" s="451">
        <f>SUM('Raw financials'!AP149)</f>
        <v/>
      </c>
      <c r="BL79" s="451">
        <f>+Q79</f>
        <v/>
      </c>
      <c r="BM79" s="451">
        <f>SUM('Raw financials'!AQ149)</f>
        <v/>
      </c>
      <c r="BN79" s="451">
        <f>+R79</f>
        <v/>
      </c>
      <c r="BO79" s="451">
        <f>SUM('Raw financials'!AR149)</f>
        <v/>
      </c>
      <c r="BP79" s="451">
        <f>+S79</f>
        <v/>
      </c>
      <c r="BQ79" s="451">
        <f>SUM('Raw financials'!AS149)</f>
        <v/>
      </c>
      <c r="BR79" s="451">
        <f>+T79</f>
        <v/>
      </c>
      <c r="BS79" s="451" t="n"/>
      <c r="BT79" s="451">
        <f>+U79</f>
        <v/>
      </c>
      <c r="BU79" s="453">
        <f>BT79-BR79</f>
        <v/>
      </c>
      <c r="BV79" s="379">
        <f>BU79/BR79</f>
        <v/>
      </c>
      <c r="BW79" s="489" t="n"/>
      <c r="BX79" s="489" t="n"/>
      <c r="BZ79" s="451">
        <f>SUM('Raw financials'!BN149)</f>
        <v/>
      </c>
      <c r="CA79" s="451">
        <f>SUM('Raw financials'!BO149)</f>
        <v/>
      </c>
      <c r="CB79" s="451">
        <f>SUM('Raw financials'!BP149)</f>
        <v/>
      </c>
      <c r="CC79" s="451">
        <f>SUM('Raw financials'!BQ149)</f>
        <v/>
      </c>
      <c r="CD79" s="451">
        <f>SUM('Raw financials'!BR149)</f>
        <v/>
      </c>
      <c r="CE79" s="451">
        <f>SUM('Raw financials'!BS149)</f>
        <v/>
      </c>
      <c r="CF79" s="451">
        <f>SUM('Raw financials'!BT149)</f>
        <v/>
      </c>
      <c r="CG79" s="451">
        <f>SUM('Raw financials'!BU149)</f>
        <v/>
      </c>
      <c r="CH79" s="451">
        <f>SUM('Raw financials'!BV149)</f>
        <v/>
      </c>
      <c r="CI79" s="451">
        <f>SUM('Raw financials'!BW149)</f>
        <v/>
      </c>
      <c r="CJ79" s="451">
        <f>SUM('Raw financials'!BX149)</f>
        <v/>
      </c>
      <c r="CK79" s="451">
        <f>SUM('Raw financials'!BY149)</f>
        <v/>
      </c>
      <c r="CL79" s="451">
        <f>SUM('Raw financials'!BZ149)</f>
        <v/>
      </c>
      <c r="CM79" s="451">
        <f>SUM('Raw financials'!CA149)</f>
        <v/>
      </c>
      <c r="CN79" s="451">
        <f>SUM('Raw financials'!CB149)</f>
        <v/>
      </c>
      <c r="CO79" s="451">
        <f>SUM('Raw financials'!CC149)</f>
        <v/>
      </c>
      <c r="CP79" s="451">
        <f>SUM('Raw financials'!CD149)</f>
        <v/>
      </c>
      <c r="CQ79" s="451">
        <f>SUM('Raw financials'!CE149)</f>
        <v/>
      </c>
      <c r="CR79" s="451">
        <f>SUM('Raw financials'!CF149)</f>
        <v/>
      </c>
      <c r="CS79" s="451">
        <f>SUM('Raw financials'!CG149)</f>
        <v/>
      </c>
      <c r="CT79" s="451">
        <f>SUM('Raw financials'!CH149)</f>
        <v/>
      </c>
      <c r="CU79" s="451">
        <f>SUM('Raw financials'!CI149)</f>
        <v/>
      </c>
      <c r="CV79" s="451">
        <f>SUM('Raw financials'!CJ149)</f>
        <v/>
      </c>
      <c r="CW79" s="451">
        <f>SUM('Raw financials'!CK149)</f>
        <v/>
      </c>
      <c r="CX79" s="451">
        <f>SUM('Raw financials'!CL149)</f>
        <v/>
      </c>
      <c r="CY79" s="451">
        <f>SUM('Raw financials'!CM149)</f>
        <v/>
      </c>
      <c r="CZ79" s="451">
        <f>SUM('Raw financials'!CN149)</f>
        <v/>
      </c>
      <c r="DA79" s="451">
        <f>SUM('Raw financials'!CO149)</f>
        <v/>
      </c>
      <c r="DB79" s="451">
        <f>SUM('Raw financials'!CP149)</f>
        <v/>
      </c>
      <c r="DC79" s="451">
        <f>SUM('Raw financials'!CQ149)</f>
        <v/>
      </c>
      <c r="DD79" s="451">
        <f>SUM('Raw financials'!CR149)</f>
        <v/>
      </c>
      <c r="DE79" s="451">
        <f>SUM('Raw financials'!CS149)</f>
        <v/>
      </c>
      <c r="DF79" s="451">
        <f>SUM('Raw financials'!CT149)</f>
        <v/>
      </c>
      <c r="DG79" s="451">
        <f>SUM('Raw financials'!CU149)</f>
        <v/>
      </c>
      <c r="DH79" s="451">
        <f>SUM('Raw financials'!CV149)</f>
        <v/>
      </c>
      <c r="DI79" s="451">
        <f>SUM('Raw financials'!CW149)</f>
        <v/>
      </c>
      <c r="DJ79" s="451">
        <f>SUM('Raw financials'!CX149)</f>
        <v/>
      </c>
      <c r="DK79" s="451">
        <f>SUM('Raw financials'!CY149)</f>
        <v/>
      </c>
      <c r="DL79" s="451">
        <f>SUM('Raw financials'!CZ149)</f>
        <v/>
      </c>
      <c r="DM79" s="451">
        <f>SUM('Raw financials'!DA149)</f>
        <v/>
      </c>
      <c r="DN79" s="451">
        <f>SUM('Raw financials'!DB149)</f>
        <v/>
      </c>
      <c r="DO79" s="451">
        <f>SUM('Raw financials'!DC149)</f>
        <v/>
      </c>
      <c r="DP79" s="451">
        <f>SUM('Raw financials'!DD149)</f>
        <v/>
      </c>
      <c r="DQ79" s="451">
        <f>SUM('Raw financials'!DE149)</f>
        <v/>
      </c>
      <c r="DR79" s="451">
        <f>SUM('Raw financials'!DF149)</f>
        <v/>
      </c>
      <c r="DS79" s="451">
        <f>SUM('Raw financials'!DG149)</f>
        <v/>
      </c>
      <c r="DT79" s="451">
        <f>SUM('Raw financials'!DH149)</f>
        <v/>
      </c>
      <c r="DU79" s="451">
        <f>SUM('Raw financials'!DI149)</f>
        <v/>
      </c>
      <c r="DV79" s="451">
        <f>SUM('Raw financials'!DJ149)</f>
        <v/>
      </c>
      <c r="DW79" s="451">
        <f>SUM('Raw financials'!DK149)</f>
        <v/>
      </c>
      <c r="DX79" s="451" t="n"/>
      <c r="DY79" s="451" t="n"/>
      <c r="DZ79" s="451">
        <f>SUM('Raw financials'!DN149)</f>
        <v/>
      </c>
      <c r="EA79" s="451">
        <f>SUM('Raw financials'!DO149)</f>
        <v/>
      </c>
      <c r="EB79" s="451">
        <f>SUM('Raw financials'!DP149)</f>
        <v/>
      </c>
      <c r="EC79" s="451">
        <f>SUM('Raw financials'!DQ149)</f>
        <v/>
      </c>
      <c r="ED79" s="451">
        <f>SUM('Raw financials'!DR149)</f>
        <v/>
      </c>
      <c r="EE79" s="451">
        <f>SUM('Raw financials'!DS149)</f>
        <v/>
      </c>
      <c r="EF79" s="451">
        <f>SUM('Raw financials'!DT149)</f>
        <v/>
      </c>
      <c r="EG79" s="451">
        <f>SUM('Raw financials'!DU149)</f>
        <v/>
      </c>
      <c r="EH79" s="451">
        <f>SUM('Raw financials'!DV149)</f>
        <v/>
      </c>
      <c r="EI79" s="451">
        <f>SUM('Raw financials'!DW149)</f>
        <v/>
      </c>
      <c r="EJ79" s="451">
        <f>SUM('Raw financials'!DX149)</f>
        <v/>
      </c>
      <c r="EK79" s="451">
        <f>SUM('Raw financials'!DY149)</f>
        <v/>
      </c>
      <c r="EL79" s="451">
        <f>SUM('Raw financials'!DZ149)</f>
        <v/>
      </c>
      <c r="EM79" s="451">
        <f>SUM('Raw financials'!EA149)</f>
        <v/>
      </c>
      <c r="EN79" s="451">
        <f>SUM('Raw financials'!EB149)</f>
        <v/>
      </c>
      <c r="EO79" s="451">
        <f>SUM('Raw financials'!EC149)</f>
        <v/>
      </c>
      <c r="EP79" s="451">
        <f>SUM('Raw financials'!ED149)</f>
        <v/>
      </c>
      <c r="EQ79" s="451">
        <f>SUM('Raw financials'!EE149)</f>
        <v/>
      </c>
      <c r="ER79" s="451">
        <f>SUM('Raw financials'!EF149)</f>
        <v/>
      </c>
      <c r="ES79" s="451">
        <f>SUM('Raw financials'!EG149)</f>
        <v/>
      </c>
      <c r="ET79" s="451">
        <f>SUM('Raw financials'!EH149)</f>
        <v/>
      </c>
      <c r="EU79" s="451">
        <f>SUM('Raw financials'!EI149)</f>
        <v/>
      </c>
      <c r="EV79" s="451">
        <f>SUM('Raw financials'!EJ149)</f>
        <v/>
      </c>
      <c r="EW79" s="451">
        <f>SUM('Raw financials'!EK149)</f>
        <v/>
      </c>
      <c r="EX79" s="451">
        <f>SUM('Raw financials'!EL149)</f>
        <v/>
      </c>
      <c r="EY79" s="451">
        <f>SUM('Raw financials'!EM149)</f>
        <v/>
      </c>
      <c r="EZ79" s="454" t="n"/>
      <c r="FA79" s="454" t="n"/>
      <c r="FB79" s="452">
        <f>+FA79-EW79</f>
        <v/>
      </c>
      <c r="FC79" s="348">
        <f>+FB79/EW79</f>
        <v/>
      </c>
      <c r="FD79" s="451" t="n"/>
      <c r="FE79" s="451" t="n"/>
    </row>
    <row r="80">
      <c r="A80" s="481" t="inlineStr">
        <is>
          <t>Deferred tax liabilities</t>
        </is>
      </c>
      <c r="B80" s="451">
        <f>'Raw financials'!B151</f>
        <v/>
      </c>
      <c r="C80" s="451">
        <f>'Raw financials'!C151</f>
        <v/>
      </c>
      <c r="D80" s="451">
        <f>'Raw financials'!D151</f>
        <v/>
      </c>
      <c r="E80" s="451">
        <f>'Raw financials'!E151</f>
        <v/>
      </c>
      <c r="F80" s="451">
        <f>'Raw financials'!F151</f>
        <v/>
      </c>
      <c r="G80" s="451">
        <f>'Raw financials'!G151</f>
        <v/>
      </c>
      <c r="H80" s="451">
        <f>'Raw financials'!H151</f>
        <v/>
      </c>
      <c r="I80" s="451">
        <f>'Raw financials'!I151</f>
        <v/>
      </c>
      <c r="J80" s="451">
        <f>'Raw financials'!J151</f>
        <v/>
      </c>
      <c r="K80" s="451">
        <f>'Raw financials'!K151</f>
        <v/>
      </c>
      <c r="L80" s="451">
        <f>'Raw financials'!L151</f>
        <v/>
      </c>
      <c r="M80" s="451">
        <f>'Raw financials'!M151</f>
        <v/>
      </c>
      <c r="N80" s="451">
        <f>'Raw financials'!N151</f>
        <v/>
      </c>
      <c r="O80" s="451">
        <f>'Raw financials'!O151</f>
        <v/>
      </c>
      <c r="P80" s="451">
        <f>'Raw financials'!P151</f>
        <v/>
      </c>
      <c r="Q80" s="451">
        <f>'Raw financials'!Q151</f>
        <v/>
      </c>
      <c r="R80" s="451">
        <f>'Raw financials'!R151</f>
        <v/>
      </c>
      <c r="S80" s="451">
        <f>'Raw financials'!S151</f>
        <v/>
      </c>
      <c r="T80" s="451">
        <f>'Raw financials'!T151</f>
        <v/>
      </c>
      <c r="U80" s="459">
        <f>T80</f>
        <v/>
      </c>
      <c r="V80" s="459">
        <f>U80</f>
        <v/>
      </c>
      <c r="W80" s="459">
        <f>V80</f>
        <v/>
      </c>
      <c r="X80" s="459">
        <f>W80</f>
        <v/>
      </c>
      <c r="Y80" s="459">
        <f>X80</f>
        <v/>
      </c>
      <c r="Z80" s="459">
        <f>Y80</f>
        <v/>
      </c>
      <c r="AA80" s="452">
        <f>+U80-T80</f>
        <v/>
      </c>
      <c r="AB80" s="348">
        <f>+AA80/T80</f>
        <v/>
      </c>
      <c r="AC80" s="459" t="n">
        <v>229.8504</v>
      </c>
      <c r="AD80" s="452">
        <f>+X80-W80</f>
        <v/>
      </c>
      <c r="AE80" s="348">
        <f>+AD80/W80</f>
        <v/>
      </c>
      <c r="AF80" s="451" t="n"/>
      <c r="AG80" s="451">
        <f>'Raw financials'!AA151</f>
        <v/>
      </c>
      <c r="AH80" s="451">
        <f>+B80</f>
        <v/>
      </c>
      <c r="AI80" s="451">
        <f>'Raw financials'!AB151</f>
        <v/>
      </c>
      <c r="AJ80" s="451">
        <f>+C80</f>
        <v/>
      </c>
      <c r="AK80" s="451">
        <f>'Raw financials'!AC151</f>
        <v/>
      </c>
      <c r="AL80" s="451">
        <f>+D80</f>
        <v/>
      </c>
      <c r="AM80" s="451">
        <f>'Raw financials'!AD151</f>
        <v/>
      </c>
      <c r="AN80" s="451">
        <f>+E80</f>
        <v/>
      </c>
      <c r="AO80" s="451">
        <f>'Raw financials'!AE151</f>
        <v/>
      </c>
      <c r="AP80" s="451">
        <f>+F80</f>
        <v/>
      </c>
      <c r="AQ80" s="451">
        <f>'Raw financials'!AF151</f>
        <v/>
      </c>
      <c r="AR80" s="451">
        <f>+G80</f>
        <v/>
      </c>
      <c r="AS80" s="451">
        <f>'Raw financials'!AG151</f>
        <v/>
      </c>
      <c r="AT80" s="451">
        <f>+H80</f>
        <v/>
      </c>
      <c r="AU80" s="451">
        <f>'Raw financials'!AH151</f>
        <v/>
      </c>
      <c r="AV80" s="451">
        <f>+I80</f>
        <v/>
      </c>
      <c r="AW80" s="451">
        <f>'Raw financials'!AI151</f>
        <v/>
      </c>
      <c r="AX80" s="451">
        <f>+J80</f>
        <v/>
      </c>
      <c r="AY80" s="451">
        <f>'Raw financials'!AJ151</f>
        <v/>
      </c>
      <c r="AZ80" s="451">
        <f>+K80</f>
        <v/>
      </c>
      <c r="BA80" s="451">
        <f>'Raw financials'!AK151</f>
        <v/>
      </c>
      <c r="BB80" s="451">
        <f>+L80</f>
        <v/>
      </c>
      <c r="BC80" s="451">
        <f>'Raw financials'!AL151</f>
        <v/>
      </c>
      <c r="BD80" s="451">
        <f>+M80</f>
        <v/>
      </c>
      <c r="BE80" s="451">
        <f>'Raw financials'!AM151</f>
        <v/>
      </c>
      <c r="BF80" s="451">
        <f>+N80</f>
        <v/>
      </c>
      <c r="BG80" s="451">
        <f>'Raw financials'!AN151</f>
        <v/>
      </c>
      <c r="BH80" s="451">
        <f>+O80</f>
        <v/>
      </c>
      <c r="BI80" s="451">
        <f>'Raw financials'!AO151</f>
        <v/>
      </c>
      <c r="BJ80" s="451">
        <f>+P80</f>
        <v/>
      </c>
      <c r="BK80" s="451">
        <f>'Raw financials'!AP151</f>
        <v/>
      </c>
      <c r="BL80" s="451">
        <f>+Q80</f>
        <v/>
      </c>
      <c r="BM80" s="451">
        <f>'Raw financials'!AQ151</f>
        <v/>
      </c>
      <c r="BN80" s="451">
        <f>+R80</f>
        <v/>
      </c>
      <c r="BO80" s="451">
        <f>'Raw financials'!AR151</f>
        <v/>
      </c>
      <c r="BP80" s="451">
        <f>+S80</f>
        <v/>
      </c>
      <c r="BQ80" s="451">
        <f>'Raw financials'!AS151</f>
        <v/>
      </c>
      <c r="BR80" s="451">
        <f>+T80</f>
        <v/>
      </c>
      <c r="BS80" s="451" t="n"/>
      <c r="BT80" s="451">
        <f>+U80</f>
        <v/>
      </c>
      <c r="BU80" s="453">
        <f>BT80-BR80</f>
        <v/>
      </c>
      <c r="BV80" s="379">
        <f>BU80/BR80</f>
        <v/>
      </c>
      <c r="BW80" s="489" t="n"/>
      <c r="BX80" s="489" t="n"/>
      <c r="BZ80" s="451">
        <f>'Raw financials'!BN151</f>
        <v/>
      </c>
      <c r="CA80" s="451">
        <f>'Raw financials'!BO151</f>
        <v/>
      </c>
      <c r="CB80" s="451">
        <f>'Raw financials'!BP151</f>
        <v/>
      </c>
      <c r="CC80" s="451">
        <f>'Raw financials'!BQ151</f>
        <v/>
      </c>
      <c r="CD80" s="451">
        <f>'Raw financials'!BR151</f>
        <v/>
      </c>
      <c r="CE80" s="451">
        <f>'Raw financials'!BS151</f>
        <v/>
      </c>
      <c r="CF80" s="451">
        <f>'Raw financials'!BT151</f>
        <v/>
      </c>
      <c r="CG80" s="451">
        <f>'Raw financials'!BU151</f>
        <v/>
      </c>
      <c r="CH80" s="451">
        <f>'Raw financials'!BV151</f>
        <v/>
      </c>
      <c r="CI80" s="451">
        <f>'Raw financials'!BW151</f>
        <v/>
      </c>
      <c r="CJ80" s="451">
        <f>'Raw financials'!BX151</f>
        <v/>
      </c>
      <c r="CK80" s="451">
        <f>'Raw financials'!BY151</f>
        <v/>
      </c>
      <c r="CL80" s="451">
        <f>'Raw financials'!BZ151</f>
        <v/>
      </c>
      <c r="CM80" s="451">
        <f>'Raw financials'!CA151</f>
        <v/>
      </c>
      <c r="CN80" s="451">
        <f>'Raw financials'!CB151</f>
        <v/>
      </c>
      <c r="CO80" s="451">
        <f>'Raw financials'!CC151</f>
        <v/>
      </c>
      <c r="CP80" s="451">
        <f>'Raw financials'!CD151</f>
        <v/>
      </c>
      <c r="CQ80" s="451">
        <f>'Raw financials'!CE151</f>
        <v/>
      </c>
      <c r="CR80" s="451">
        <f>'Raw financials'!CF151</f>
        <v/>
      </c>
      <c r="CS80" s="451">
        <f>'Raw financials'!CG151</f>
        <v/>
      </c>
      <c r="CT80" s="451">
        <f>'Raw financials'!CH151</f>
        <v/>
      </c>
      <c r="CU80" s="451">
        <f>'Raw financials'!CI151</f>
        <v/>
      </c>
      <c r="CV80" s="451">
        <f>'Raw financials'!CJ151</f>
        <v/>
      </c>
      <c r="CW80" s="451">
        <f>'Raw financials'!CK151</f>
        <v/>
      </c>
      <c r="CX80" s="451">
        <f>'Raw financials'!CL151</f>
        <v/>
      </c>
      <c r="CY80" s="451">
        <f>'Raw financials'!CM151</f>
        <v/>
      </c>
      <c r="CZ80" s="451">
        <f>'Raw financials'!CN151</f>
        <v/>
      </c>
      <c r="DA80" s="451">
        <f>'Raw financials'!CO151</f>
        <v/>
      </c>
      <c r="DB80" s="451">
        <f>'Raw financials'!CP151</f>
        <v/>
      </c>
      <c r="DC80" s="451">
        <f>'Raw financials'!CQ151</f>
        <v/>
      </c>
      <c r="DD80" s="451">
        <f>'Raw financials'!CR151</f>
        <v/>
      </c>
      <c r="DE80" s="451">
        <f>'Raw financials'!CS151</f>
        <v/>
      </c>
      <c r="DF80" s="451">
        <f>'Raw financials'!CT151</f>
        <v/>
      </c>
      <c r="DG80" s="451">
        <f>'Raw financials'!CU151</f>
        <v/>
      </c>
      <c r="DH80" s="451">
        <f>'Raw financials'!CV151</f>
        <v/>
      </c>
      <c r="DI80" s="451">
        <f>'Raw financials'!CW151</f>
        <v/>
      </c>
      <c r="DJ80" s="451">
        <f>'Raw financials'!CX151</f>
        <v/>
      </c>
      <c r="DK80" s="451">
        <f>'Raw financials'!CY151</f>
        <v/>
      </c>
      <c r="DL80" s="451">
        <f>'Raw financials'!CZ151</f>
        <v/>
      </c>
      <c r="DM80" s="451">
        <f>'Raw financials'!DA151</f>
        <v/>
      </c>
      <c r="DN80" s="451">
        <f>'Raw financials'!DB151</f>
        <v/>
      </c>
      <c r="DO80" s="451">
        <f>'Raw financials'!DC151</f>
        <v/>
      </c>
      <c r="DP80" s="451">
        <f>'Raw financials'!DD151</f>
        <v/>
      </c>
      <c r="DQ80" s="451">
        <f>'Raw financials'!DE151</f>
        <v/>
      </c>
      <c r="DR80" s="451">
        <f>'Raw financials'!DF151</f>
        <v/>
      </c>
      <c r="DS80" s="451">
        <f>'Raw financials'!DG151</f>
        <v/>
      </c>
      <c r="DT80" s="451">
        <f>'Raw financials'!DH151</f>
        <v/>
      </c>
      <c r="DU80" s="451">
        <f>'Raw financials'!DI151</f>
        <v/>
      </c>
      <c r="DV80" s="451">
        <f>'Raw financials'!DJ151</f>
        <v/>
      </c>
      <c r="DW80" s="451">
        <f>'Raw financials'!DK151</f>
        <v/>
      </c>
      <c r="DX80" s="451" t="n"/>
      <c r="DY80" s="451" t="n"/>
      <c r="DZ80" s="451">
        <f>'Raw financials'!DN151</f>
        <v/>
      </c>
      <c r="EA80" s="451">
        <f>'Raw financials'!DO151</f>
        <v/>
      </c>
      <c r="EB80" s="451">
        <f>'Raw financials'!DP151</f>
        <v/>
      </c>
      <c r="EC80" s="451">
        <f>'Raw financials'!DQ151</f>
        <v/>
      </c>
      <c r="ED80" s="451">
        <f>'Raw financials'!DR151</f>
        <v/>
      </c>
      <c r="EE80" s="451">
        <f>'Raw financials'!DS151</f>
        <v/>
      </c>
      <c r="EF80" s="451">
        <f>'Raw financials'!DT151</f>
        <v/>
      </c>
      <c r="EG80" s="451">
        <f>'Raw financials'!DU151</f>
        <v/>
      </c>
      <c r="EH80" s="451">
        <f>'Raw financials'!DV151</f>
        <v/>
      </c>
      <c r="EI80" s="451">
        <f>'Raw financials'!DW151</f>
        <v/>
      </c>
      <c r="EJ80" s="451">
        <f>'Raw financials'!DX151</f>
        <v/>
      </c>
      <c r="EK80" s="451">
        <f>'Raw financials'!DY151</f>
        <v/>
      </c>
      <c r="EL80" s="451">
        <f>'Raw financials'!DZ151</f>
        <v/>
      </c>
      <c r="EM80" s="451">
        <f>'Raw financials'!EA151</f>
        <v/>
      </c>
      <c r="EN80" s="451">
        <f>'Raw financials'!EB151</f>
        <v/>
      </c>
      <c r="EO80" s="451">
        <f>'Raw financials'!EC151</f>
        <v/>
      </c>
      <c r="EP80" s="451">
        <f>'Raw financials'!ED151</f>
        <v/>
      </c>
      <c r="EQ80" s="451">
        <f>'Raw financials'!EE151</f>
        <v/>
      </c>
      <c r="ER80" s="451">
        <f>'Raw financials'!EF151</f>
        <v/>
      </c>
      <c r="ES80" s="451">
        <f>'Raw financials'!EG151</f>
        <v/>
      </c>
      <c r="ET80" s="451">
        <f>'Raw financials'!EH151</f>
        <v/>
      </c>
      <c r="EU80" s="451">
        <f>'Raw financials'!EI151</f>
        <v/>
      </c>
      <c r="EV80" s="451">
        <f>'Raw financials'!EJ151</f>
        <v/>
      </c>
      <c r="EW80" s="451">
        <f>'Raw financials'!EK151</f>
        <v/>
      </c>
      <c r="EX80" s="451">
        <f>'Raw financials'!EL151</f>
        <v/>
      </c>
      <c r="EY80" s="451">
        <f>'Raw financials'!EM151</f>
        <v/>
      </c>
      <c r="EZ80" s="454" t="n"/>
      <c r="FA80" s="454" t="n"/>
      <c r="FB80" s="452">
        <f>+FA80-EW80</f>
        <v/>
      </c>
      <c r="FC80" s="348">
        <f>+FB80/EW80</f>
        <v/>
      </c>
      <c r="FD80" s="451" t="n"/>
      <c r="FE80" s="451" t="n"/>
    </row>
    <row r="81">
      <c r="A81" s="481" t="inlineStr">
        <is>
          <t>Other non-current liabilities</t>
        </is>
      </c>
      <c r="B81" s="451">
        <f>SUM('Raw financials'!B145,'Raw financials'!B150,'Raw financials'!B152,'Raw financials'!B153)</f>
        <v/>
      </c>
      <c r="C81" s="451">
        <f>SUM('Raw financials'!C145,'Raw financials'!C150,'Raw financials'!C152,'Raw financials'!C153)</f>
        <v/>
      </c>
      <c r="D81" s="451">
        <f>SUM('Raw financials'!D145,'Raw financials'!D150,'Raw financials'!D152,'Raw financials'!D153)</f>
        <v/>
      </c>
      <c r="E81" s="451">
        <f>SUM('Raw financials'!E145,'Raw financials'!E150,'Raw financials'!E152,'Raw financials'!E153)</f>
        <v/>
      </c>
      <c r="F81" s="451">
        <f>SUM('Raw financials'!F145,'Raw financials'!F150,'Raw financials'!F152,'Raw financials'!F153)</f>
        <v/>
      </c>
      <c r="G81" s="451">
        <f>SUM('Raw financials'!G145,'Raw financials'!G150,'Raw financials'!G152,'Raw financials'!G153)</f>
        <v/>
      </c>
      <c r="H81" s="451">
        <f>SUM('Raw financials'!H145,'Raw financials'!H150,'Raw financials'!H152,'Raw financials'!H153)</f>
        <v/>
      </c>
      <c r="I81" s="451">
        <f>SUM('Raw financials'!I145,'Raw financials'!I150,'Raw financials'!I152,'Raw financials'!I153)</f>
        <v/>
      </c>
      <c r="J81" s="451">
        <f>SUM('Raw financials'!J145,'Raw financials'!J150,'Raw financials'!J152,'Raw financials'!J153)</f>
        <v/>
      </c>
      <c r="K81" s="451">
        <f>SUM('Raw financials'!K145,'Raw financials'!K150,'Raw financials'!K152,'Raw financials'!K153)</f>
        <v/>
      </c>
      <c r="L81" s="451">
        <f>SUM('Raw financials'!L145,'Raw financials'!L150,'Raw financials'!L152,'Raw financials'!L153)</f>
        <v/>
      </c>
      <c r="M81" s="451">
        <f>SUM('Raw financials'!M145,'Raw financials'!M150,'Raw financials'!M152,'Raw financials'!M153)</f>
        <v/>
      </c>
      <c r="N81" s="451">
        <f>SUM('Raw financials'!N145,'Raw financials'!N150,'Raw financials'!N152,'Raw financials'!N153)</f>
        <v/>
      </c>
      <c r="O81" s="451">
        <f>SUM('Raw financials'!O145,'Raw financials'!O150,'Raw financials'!O152,'Raw financials'!O153)</f>
        <v/>
      </c>
      <c r="P81" s="451">
        <f>SUM('Raw financials'!P145,'Raw financials'!P150,'Raw financials'!P152,'Raw financials'!P153)</f>
        <v/>
      </c>
      <c r="Q81" s="451">
        <f>SUM('Raw financials'!Q145,'Raw financials'!Q150,'Raw financials'!Q152,'Raw financials'!Q153)</f>
        <v/>
      </c>
      <c r="R81" s="451">
        <f>SUM('Raw financials'!R145,'Raw financials'!R150,'Raw financials'!R152,'Raw financials'!R153)</f>
        <v/>
      </c>
      <c r="S81" s="451">
        <f>SUM('Raw financials'!S145,'Raw financials'!S150,'Raw financials'!S152,'Raw financials'!S153)</f>
        <v/>
      </c>
      <c r="T81" s="451">
        <f>SUM('Raw financials'!T145,'Raw financials'!T150,'Raw financials'!T152,'Raw financials'!T153)</f>
        <v/>
      </c>
      <c r="U81" s="459">
        <f>T81</f>
        <v/>
      </c>
      <c r="V81" s="459">
        <f>U81</f>
        <v/>
      </c>
      <c r="W81" s="459">
        <f>V81</f>
        <v/>
      </c>
      <c r="X81" s="459">
        <f>W81</f>
        <v/>
      </c>
      <c r="Y81" s="459">
        <f>X81</f>
        <v/>
      </c>
      <c r="Z81" s="459">
        <f>Y81</f>
        <v/>
      </c>
      <c r="AA81" s="452">
        <f>+U81-T81</f>
        <v/>
      </c>
      <c r="AB81" s="348">
        <f>+AA81/T81</f>
        <v/>
      </c>
      <c r="AC81" s="459" t="n">
        <v>6553.694099999999</v>
      </c>
      <c r="AD81" s="452">
        <f>+X81-W81</f>
        <v/>
      </c>
      <c r="AE81" s="348">
        <f>+AD81/W81</f>
        <v/>
      </c>
      <c r="AF81" s="451" t="n"/>
      <c r="AG81" s="451">
        <f>SUM('Raw financials'!AA145,'Raw financials'!AA150,'Raw financials'!AA152,'Raw financials'!AA153)</f>
        <v/>
      </c>
      <c r="AH81" s="451">
        <f>+B81</f>
        <v/>
      </c>
      <c r="AI81" s="451">
        <f>SUM('Raw financials'!AB145,'Raw financials'!AB150,'Raw financials'!AB152,'Raw financials'!AB153)</f>
        <v/>
      </c>
      <c r="AJ81" s="451">
        <f>+C81</f>
        <v/>
      </c>
      <c r="AK81" s="451">
        <f>SUM('Raw financials'!AC145,'Raw financials'!AC150,'Raw financials'!AC152,'Raw financials'!AC153)</f>
        <v/>
      </c>
      <c r="AL81" s="451">
        <f>+D81</f>
        <v/>
      </c>
      <c r="AM81" s="451">
        <f>SUM('Raw financials'!AD145,'Raw financials'!AD150,'Raw financials'!AD152,'Raw financials'!AD153)</f>
        <v/>
      </c>
      <c r="AN81" s="451">
        <f>+E81</f>
        <v/>
      </c>
      <c r="AO81" s="451">
        <f>SUM('Raw financials'!AE145,'Raw financials'!AE150,'Raw financials'!AE152,'Raw financials'!AE153)</f>
        <v/>
      </c>
      <c r="AP81" s="451">
        <f>+F81</f>
        <v/>
      </c>
      <c r="AQ81" s="451">
        <f>SUM('Raw financials'!AF145,'Raw financials'!AF150,'Raw financials'!AF152,'Raw financials'!AF153)</f>
        <v/>
      </c>
      <c r="AR81" s="451">
        <f>+G81</f>
        <v/>
      </c>
      <c r="AS81" s="451">
        <f>SUM('Raw financials'!AG145,'Raw financials'!AG150,'Raw financials'!AG152,'Raw financials'!AG153)</f>
        <v/>
      </c>
      <c r="AT81" s="451">
        <f>+H81</f>
        <v/>
      </c>
      <c r="AU81" s="451">
        <f>SUM('Raw financials'!AH145,'Raw financials'!AH150,'Raw financials'!AH152,'Raw financials'!AH153)</f>
        <v/>
      </c>
      <c r="AV81" s="451">
        <f>+I81</f>
        <v/>
      </c>
      <c r="AW81" s="451">
        <f>SUM('Raw financials'!AI145,'Raw financials'!AI150,'Raw financials'!AI152,'Raw financials'!AI153)</f>
        <v/>
      </c>
      <c r="AX81" s="451">
        <f>+J81</f>
        <v/>
      </c>
      <c r="AY81" s="451">
        <f>SUM('Raw financials'!AJ145,'Raw financials'!AJ150,'Raw financials'!AJ152,'Raw financials'!AJ153)</f>
        <v/>
      </c>
      <c r="AZ81" s="451">
        <f>+K81</f>
        <v/>
      </c>
      <c r="BA81" s="451">
        <f>SUM('Raw financials'!AK145,'Raw financials'!AK150,'Raw financials'!AK152,'Raw financials'!AK153)</f>
        <v/>
      </c>
      <c r="BB81" s="451">
        <f>+L81</f>
        <v/>
      </c>
      <c r="BC81" s="451">
        <f>SUM('Raw financials'!AL145,'Raw financials'!AL150,'Raw financials'!AL152,'Raw financials'!AL153)</f>
        <v/>
      </c>
      <c r="BD81" s="451">
        <f>+M81</f>
        <v/>
      </c>
      <c r="BE81" s="451">
        <f>SUM('Raw financials'!AM145,'Raw financials'!AM150,'Raw financials'!AM152,'Raw financials'!AM153)</f>
        <v/>
      </c>
      <c r="BF81" s="451">
        <f>+N81</f>
        <v/>
      </c>
      <c r="BG81" s="451">
        <f>SUM('Raw financials'!AN145,'Raw financials'!AN150,'Raw financials'!AN152,'Raw financials'!AN153)</f>
        <v/>
      </c>
      <c r="BH81" s="451">
        <f>+O81</f>
        <v/>
      </c>
      <c r="BI81" s="451">
        <f>SUM('Raw financials'!AO145,'Raw financials'!AO150,'Raw financials'!AO152,'Raw financials'!AO153)</f>
        <v/>
      </c>
      <c r="BJ81" s="451">
        <f>+P81</f>
        <v/>
      </c>
      <c r="BK81" s="451">
        <f>SUM('Raw financials'!AP145,'Raw financials'!AP150,'Raw financials'!AP152,'Raw financials'!AP153)</f>
        <v/>
      </c>
      <c r="BL81" s="451">
        <f>+Q81</f>
        <v/>
      </c>
      <c r="BM81" s="451">
        <f>SUM('Raw financials'!AQ145,'Raw financials'!AQ150,'Raw financials'!AQ152,'Raw financials'!AQ153)</f>
        <v/>
      </c>
      <c r="BN81" s="451">
        <f>+R81</f>
        <v/>
      </c>
      <c r="BO81" s="451">
        <f>SUM('Raw financials'!AR145,'Raw financials'!AR150,'Raw financials'!AR152,'Raw financials'!AR153)</f>
        <v/>
      </c>
      <c r="BP81" s="451">
        <f>+S81</f>
        <v/>
      </c>
      <c r="BQ81" s="451">
        <f>SUM('Raw financials'!AS145,'Raw financials'!AS150,'Raw financials'!AS152,'Raw financials'!AS153)</f>
        <v/>
      </c>
      <c r="BR81" s="451">
        <f>+T81</f>
        <v/>
      </c>
      <c r="BS81" s="451" t="n"/>
      <c r="BT81" s="451">
        <f>+U81</f>
        <v/>
      </c>
      <c r="BU81" s="453">
        <f>BT81-BR81</f>
        <v/>
      </c>
      <c r="BV81" s="379">
        <f>BU81/BR81</f>
        <v/>
      </c>
      <c r="BW81" s="489" t="n"/>
      <c r="BX81" s="489" t="n"/>
      <c r="BZ81" s="451">
        <f>SUM('Raw financials'!BN145,'Raw financials'!BN150,'Raw financials'!BN152,'Raw financials'!BN153)</f>
        <v/>
      </c>
      <c r="CA81" s="451">
        <f>SUM('Raw financials'!BO145,'Raw financials'!BO150,'Raw financials'!BO152,'Raw financials'!BO153)</f>
        <v/>
      </c>
      <c r="CB81" s="451">
        <f>SUM('Raw financials'!BP145,'Raw financials'!BP150,'Raw financials'!BP152,'Raw financials'!BP153)</f>
        <v/>
      </c>
      <c r="CC81" s="451">
        <f>SUM('Raw financials'!BQ145,'Raw financials'!BQ150,'Raw financials'!BQ152,'Raw financials'!BQ153)</f>
        <v/>
      </c>
      <c r="CD81" s="451">
        <f>SUM('Raw financials'!BR145,'Raw financials'!BR150,'Raw financials'!BR152,'Raw financials'!BR153)</f>
        <v/>
      </c>
      <c r="CE81" s="451">
        <f>SUM('Raw financials'!BS145,'Raw financials'!BS150,'Raw financials'!BS152,'Raw financials'!BS153)</f>
        <v/>
      </c>
      <c r="CF81" s="451">
        <f>SUM('Raw financials'!BT145,'Raw financials'!BT150,'Raw financials'!BT152,'Raw financials'!BT153)</f>
        <v/>
      </c>
      <c r="CG81" s="451">
        <f>SUM('Raw financials'!BU145,'Raw financials'!BU150,'Raw financials'!BU152,'Raw financials'!BU153)</f>
        <v/>
      </c>
      <c r="CH81" s="451">
        <f>SUM('Raw financials'!BV145,'Raw financials'!BV150,'Raw financials'!BV152,'Raw financials'!BV153)</f>
        <v/>
      </c>
      <c r="CI81" s="451">
        <f>SUM('Raw financials'!BW145,'Raw financials'!BW150,'Raw financials'!BW152,'Raw financials'!BW153)</f>
        <v/>
      </c>
      <c r="CJ81" s="451">
        <f>SUM('Raw financials'!BX145,'Raw financials'!BX150,'Raw financials'!BX152,'Raw financials'!BX153)</f>
        <v/>
      </c>
      <c r="CK81" s="451">
        <f>SUM('Raw financials'!BY145,'Raw financials'!BY150,'Raw financials'!BY152,'Raw financials'!BY153)</f>
        <v/>
      </c>
      <c r="CL81" s="451">
        <f>SUM('Raw financials'!BZ145,'Raw financials'!BZ150,'Raw financials'!BZ152,'Raw financials'!BZ153)</f>
        <v/>
      </c>
      <c r="CM81" s="451">
        <f>SUM('Raw financials'!CA145,'Raw financials'!CA150,'Raw financials'!CA152,'Raw financials'!CA153)</f>
        <v/>
      </c>
      <c r="CN81" s="451">
        <f>SUM('Raw financials'!CB145,'Raw financials'!CB150,'Raw financials'!CB152,'Raw financials'!CB153)</f>
        <v/>
      </c>
      <c r="CO81" s="451">
        <f>SUM('Raw financials'!CC145,'Raw financials'!CC150,'Raw financials'!CC152,'Raw financials'!CC153)</f>
        <v/>
      </c>
      <c r="CP81" s="451">
        <f>SUM('Raw financials'!CD145,'Raw financials'!CD150,'Raw financials'!CD152,'Raw financials'!CD153)</f>
        <v/>
      </c>
      <c r="CQ81" s="451">
        <f>SUM('Raw financials'!CE145,'Raw financials'!CE150,'Raw financials'!CE152,'Raw financials'!CE153)</f>
        <v/>
      </c>
      <c r="CR81" s="451">
        <f>SUM('Raw financials'!CF145,'Raw financials'!CF150,'Raw financials'!CF152,'Raw financials'!CF153)</f>
        <v/>
      </c>
      <c r="CS81" s="451">
        <f>SUM('Raw financials'!CG145,'Raw financials'!CG150,'Raw financials'!CG152,'Raw financials'!CG153)</f>
        <v/>
      </c>
      <c r="CT81" s="451">
        <f>SUM('Raw financials'!CH145,'Raw financials'!CH150,'Raw financials'!CH152,'Raw financials'!CH153)</f>
        <v/>
      </c>
      <c r="CU81" s="451">
        <f>SUM('Raw financials'!CI145,'Raw financials'!CI150,'Raw financials'!CI152,'Raw financials'!CI153)</f>
        <v/>
      </c>
      <c r="CV81" s="451">
        <f>SUM('Raw financials'!CJ145,'Raw financials'!CJ150,'Raw financials'!CJ152,'Raw financials'!CJ153)</f>
        <v/>
      </c>
      <c r="CW81" s="451">
        <f>SUM('Raw financials'!CK145,'Raw financials'!CK150,'Raw financials'!CK152,'Raw financials'!CK153)</f>
        <v/>
      </c>
      <c r="CX81" s="451">
        <f>SUM('Raw financials'!CL145,'Raw financials'!CL150,'Raw financials'!CL152,'Raw financials'!CL153)</f>
        <v/>
      </c>
      <c r="CY81" s="451">
        <f>SUM('Raw financials'!CM145,'Raw financials'!CM150,'Raw financials'!CM152,'Raw financials'!CM153)</f>
        <v/>
      </c>
      <c r="CZ81" s="451">
        <f>SUM('Raw financials'!CN145,'Raw financials'!CN150,'Raw financials'!CN152,'Raw financials'!CN153)</f>
        <v/>
      </c>
      <c r="DA81" s="451">
        <f>SUM('Raw financials'!CO145,'Raw financials'!CO150,'Raw financials'!CO152,'Raw financials'!CO153)</f>
        <v/>
      </c>
      <c r="DB81" s="451">
        <f>SUM('Raw financials'!CP145,'Raw financials'!CP150,'Raw financials'!CP152,'Raw financials'!CP153)</f>
        <v/>
      </c>
      <c r="DC81" s="451">
        <f>SUM('Raw financials'!CQ145,'Raw financials'!CQ150,'Raw financials'!CQ152,'Raw financials'!CQ153)</f>
        <v/>
      </c>
      <c r="DD81" s="451">
        <f>SUM('Raw financials'!CR145,'Raw financials'!CR150,'Raw financials'!CR152,'Raw financials'!CR153)</f>
        <v/>
      </c>
      <c r="DE81" s="451">
        <f>SUM('Raw financials'!CS145,'Raw financials'!CS150,'Raw financials'!CS152,'Raw financials'!CS153)</f>
        <v/>
      </c>
      <c r="DF81" s="451">
        <f>SUM('Raw financials'!CT145,'Raw financials'!CT150,'Raw financials'!CT152,'Raw financials'!CT153)</f>
        <v/>
      </c>
      <c r="DG81" s="451">
        <f>SUM('Raw financials'!CU145,'Raw financials'!CU150,'Raw financials'!CU152,'Raw financials'!CU153)</f>
        <v/>
      </c>
      <c r="DH81" s="451">
        <f>SUM('Raw financials'!CV145,'Raw financials'!CV150,'Raw financials'!CV152,'Raw financials'!CV153)</f>
        <v/>
      </c>
      <c r="DI81" s="451">
        <f>SUM('Raw financials'!CW145,'Raw financials'!CW150,'Raw financials'!CW152,'Raw financials'!CW153)</f>
        <v/>
      </c>
      <c r="DJ81" s="451">
        <f>SUM('Raw financials'!CX145,'Raw financials'!CX150,'Raw financials'!CX152,'Raw financials'!CX153)</f>
        <v/>
      </c>
      <c r="DK81" s="451">
        <f>SUM('Raw financials'!CY145,'Raw financials'!CY150,'Raw financials'!CY152,'Raw financials'!CY153)</f>
        <v/>
      </c>
      <c r="DL81" s="451">
        <f>SUM('Raw financials'!CZ145,'Raw financials'!CZ150,'Raw financials'!CZ152,'Raw financials'!CZ153)</f>
        <v/>
      </c>
      <c r="DM81" s="451">
        <f>SUM('Raw financials'!DA145,'Raw financials'!DA150,'Raw financials'!DA152,'Raw financials'!DA153)</f>
        <v/>
      </c>
      <c r="DN81" s="451">
        <f>SUM('Raw financials'!DB145,'Raw financials'!DB150,'Raw financials'!DB152,'Raw financials'!DB153)</f>
        <v/>
      </c>
      <c r="DO81" s="451">
        <f>SUM('Raw financials'!DC145,'Raw financials'!DC150,'Raw financials'!DC152,'Raw financials'!DC153)</f>
        <v/>
      </c>
      <c r="DP81" s="451">
        <f>SUM('Raw financials'!DD145,'Raw financials'!DD150,'Raw financials'!DD152,'Raw financials'!DD153)</f>
        <v/>
      </c>
      <c r="DQ81" s="451">
        <f>SUM('Raw financials'!DE145,'Raw financials'!DE150,'Raw financials'!DE152,'Raw financials'!DE153)</f>
        <v/>
      </c>
      <c r="DR81" s="451">
        <f>SUM('Raw financials'!DF145,'Raw financials'!DF150,'Raw financials'!DF152,'Raw financials'!DF153)</f>
        <v/>
      </c>
      <c r="DS81" s="451">
        <f>SUM('Raw financials'!DG145,'Raw financials'!DG150,'Raw financials'!DG152,'Raw financials'!DG153)</f>
        <v/>
      </c>
      <c r="DT81" s="451">
        <f>SUM('Raw financials'!DH145,'Raw financials'!DH150,'Raw financials'!DH152,'Raw financials'!DH153)</f>
        <v/>
      </c>
      <c r="DU81" s="451">
        <f>SUM('Raw financials'!DI145,'Raw financials'!DI150,'Raw financials'!DI152,'Raw financials'!DI153)</f>
        <v/>
      </c>
      <c r="DV81" s="451">
        <f>SUM('Raw financials'!DJ145,'Raw financials'!DJ150,'Raw financials'!DJ152,'Raw financials'!DJ153)</f>
        <v/>
      </c>
      <c r="DW81" s="451">
        <f>SUM('Raw financials'!DK145,'Raw financials'!DK150,'Raw financials'!DK152,'Raw financials'!DK153)</f>
        <v/>
      </c>
      <c r="DX81" s="451" t="n"/>
      <c r="DY81" s="451" t="n"/>
      <c r="DZ81" s="451">
        <f>SUM('Raw financials'!DN145,'Raw financials'!DN150,'Raw financials'!DN152,'Raw financials'!DN153)</f>
        <v/>
      </c>
      <c r="EA81" s="451">
        <f>SUM('Raw financials'!DO145,'Raw financials'!DO150,'Raw financials'!DO152,'Raw financials'!DO153)</f>
        <v/>
      </c>
      <c r="EB81" s="451">
        <f>SUM('Raw financials'!DP145,'Raw financials'!DP150,'Raw financials'!DP152,'Raw financials'!DP153)</f>
        <v/>
      </c>
      <c r="EC81" s="451">
        <f>SUM('Raw financials'!DQ145,'Raw financials'!DQ150,'Raw financials'!DQ152,'Raw financials'!DQ153)</f>
        <v/>
      </c>
      <c r="ED81" s="451">
        <f>SUM('Raw financials'!DR145,'Raw financials'!DR150,'Raw financials'!DR152,'Raw financials'!DR153)</f>
        <v/>
      </c>
      <c r="EE81" s="451">
        <f>SUM('Raw financials'!DS145,'Raw financials'!DS150,'Raw financials'!DS152,'Raw financials'!DS153)</f>
        <v/>
      </c>
      <c r="EF81" s="451">
        <f>SUM('Raw financials'!DT145,'Raw financials'!DT150,'Raw financials'!DT152,'Raw financials'!DT153)</f>
        <v/>
      </c>
      <c r="EG81" s="451">
        <f>SUM('Raw financials'!DU145,'Raw financials'!DU150,'Raw financials'!DU152,'Raw financials'!DU153)</f>
        <v/>
      </c>
      <c r="EH81" s="451">
        <f>SUM('Raw financials'!DV145,'Raw financials'!DV150,'Raw financials'!DV152,'Raw financials'!DV153)</f>
        <v/>
      </c>
      <c r="EI81" s="451">
        <f>SUM('Raw financials'!DW145,'Raw financials'!DW150,'Raw financials'!DW152,'Raw financials'!DW153)</f>
        <v/>
      </c>
      <c r="EJ81" s="451">
        <f>SUM('Raw financials'!DX145,'Raw financials'!DX150,'Raw financials'!DX152,'Raw financials'!DX153)</f>
        <v/>
      </c>
      <c r="EK81" s="451">
        <f>SUM('Raw financials'!DY145,'Raw financials'!DY150,'Raw financials'!DY152,'Raw financials'!DY153)</f>
        <v/>
      </c>
      <c r="EL81" s="451">
        <f>SUM('Raw financials'!DZ145,'Raw financials'!DZ150,'Raw financials'!DZ152,'Raw financials'!DZ153)</f>
        <v/>
      </c>
      <c r="EM81" s="451">
        <f>SUM('Raw financials'!EA145,'Raw financials'!EA150,'Raw financials'!EA152,'Raw financials'!EA153)</f>
        <v/>
      </c>
      <c r="EN81" s="451">
        <f>SUM('Raw financials'!EB145,'Raw financials'!EB150,'Raw financials'!EB152,'Raw financials'!EB153)</f>
        <v/>
      </c>
      <c r="EO81" s="451">
        <f>SUM('Raw financials'!EC145,'Raw financials'!EC150,'Raw financials'!EC152,'Raw financials'!EC153)</f>
        <v/>
      </c>
      <c r="EP81" s="451">
        <f>SUM('Raw financials'!ED145,'Raw financials'!ED150,'Raw financials'!ED152,'Raw financials'!ED153)</f>
        <v/>
      </c>
      <c r="EQ81" s="451">
        <f>SUM('Raw financials'!EE145,'Raw financials'!EE150,'Raw financials'!EE152,'Raw financials'!EE153)</f>
        <v/>
      </c>
      <c r="ER81" s="451">
        <f>SUM('Raw financials'!EF145,'Raw financials'!EF150,'Raw financials'!EF152,'Raw financials'!EF153)</f>
        <v/>
      </c>
      <c r="ES81" s="451">
        <f>SUM('Raw financials'!EG145,'Raw financials'!EG150,'Raw financials'!EG152,'Raw financials'!EG153)</f>
        <v/>
      </c>
      <c r="ET81" s="451">
        <f>SUM('Raw financials'!EH145,'Raw financials'!EH150,'Raw financials'!EH152,'Raw financials'!EH153)</f>
        <v/>
      </c>
      <c r="EU81" s="451">
        <f>SUM('Raw financials'!EI145,'Raw financials'!EI150,'Raw financials'!EI152,'Raw financials'!EI153)</f>
        <v/>
      </c>
      <c r="EV81" s="451">
        <f>SUM('Raw financials'!EJ145,'Raw financials'!EJ150,'Raw financials'!EJ152,'Raw financials'!EJ153)</f>
        <v/>
      </c>
      <c r="EW81" s="451">
        <f>SUM('Raw financials'!EK145,'Raw financials'!EK150,'Raw financials'!EK152,'Raw financials'!EK153)</f>
        <v/>
      </c>
      <c r="EX81" s="451">
        <f>SUM('Raw financials'!EL145,'Raw financials'!EL150,'Raw financials'!EL152,'Raw financials'!EL153)</f>
        <v/>
      </c>
      <c r="EY81" s="451">
        <f>SUM('Raw financials'!EM145,'Raw financials'!EM150,'Raw financials'!EM152,'Raw financials'!EM153)</f>
        <v/>
      </c>
      <c r="EZ81" s="454" t="n"/>
      <c r="FA81" s="454" t="n"/>
      <c r="FB81" s="452">
        <f>+FA81-EW81</f>
        <v/>
      </c>
      <c r="FC81" s="348">
        <f>+FB81/EW81</f>
        <v/>
      </c>
      <c r="FD81" s="451" t="n"/>
      <c r="FE81" s="451" t="n"/>
    </row>
    <row r="82">
      <c r="A82" s="21" t="inlineStr">
        <is>
          <t>Total non-current liabilities</t>
        </is>
      </c>
      <c r="B82" s="491">
        <f>SUM(B77:B81)</f>
        <v/>
      </c>
      <c r="C82" s="491">
        <f>SUM(C77:C81)</f>
        <v/>
      </c>
      <c r="D82" s="491">
        <f>SUM(D77:D81)</f>
        <v/>
      </c>
      <c r="E82" s="491">
        <f>SUM(E77:E81)</f>
        <v/>
      </c>
      <c r="F82" s="491">
        <f>SUM(F77:F81)</f>
        <v/>
      </c>
      <c r="G82" s="491">
        <f>SUM(G77:G81)</f>
        <v/>
      </c>
      <c r="H82" s="491">
        <f>SUM(H77:H81)</f>
        <v/>
      </c>
      <c r="I82" s="491">
        <f>SUM(I77:I81)</f>
        <v/>
      </c>
      <c r="J82" s="491">
        <f>SUM(J77:J81)</f>
        <v/>
      </c>
      <c r="K82" s="491">
        <f>SUM(K77:K81)</f>
        <v/>
      </c>
      <c r="L82" s="491">
        <f>SUM(L77:L81)</f>
        <v/>
      </c>
      <c r="M82" s="491">
        <f>SUM(M77:M81)</f>
        <v/>
      </c>
      <c r="N82" s="491">
        <f>SUM(N77:N81)</f>
        <v/>
      </c>
      <c r="O82" s="491">
        <f>SUM(O77:O81)</f>
        <v/>
      </c>
      <c r="P82" s="491">
        <f>SUM(P77:P81)</f>
        <v/>
      </c>
      <c r="Q82" s="491">
        <f>SUM(Q77:Q81)</f>
        <v/>
      </c>
      <c r="R82" s="491">
        <f>SUM(R77:R81)</f>
        <v/>
      </c>
      <c r="S82" s="491">
        <f>SUM(S77:S81)</f>
        <v/>
      </c>
      <c r="T82" s="491">
        <f>SUM(T77:T81)</f>
        <v/>
      </c>
      <c r="U82" s="491">
        <f>SUM(U77:U81)</f>
        <v/>
      </c>
      <c r="V82" s="491">
        <f>SUM(V77:V81)</f>
        <v/>
      </c>
      <c r="W82" s="491">
        <f>SUM(W77:W81)</f>
        <v/>
      </c>
      <c r="X82" s="491">
        <f>SUM(X77:X81)</f>
        <v/>
      </c>
      <c r="Y82" s="491">
        <f>SUM(Y77:Y81)</f>
        <v/>
      </c>
      <c r="Z82" s="491">
        <f>SUM(Z77:Z81)</f>
        <v/>
      </c>
      <c r="AA82" s="492">
        <f>+U82-T82</f>
        <v/>
      </c>
      <c r="AB82" s="371">
        <f>+AA82/T82</f>
        <v/>
      </c>
      <c r="AC82" s="493" t="n">
        <v>9954.067599999998</v>
      </c>
      <c r="AD82" s="494">
        <f>+X82-W82</f>
        <v/>
      </c>
      <c r="AE82" s="371">
        <f>+AD82/W82</f>
        <v/>
      </c>
      <c r="AF82" s="451" t="n"/>
      <c r="AG82" s="491">
        <f>SUM(AG77:AG81)</f>
        <v/>
      </c>
      <c r="AH82" s="491">
        <f>SUM(AH77:AH81)</f>
        <v/>
      </c>
      <c r="AI82" s="491">
        <f>SUM(AI77:AI81)</f>
        <v/>
      </c>
      <c r="AJ82" s="491">
        <f>SUM(AJ77:AJ81)</f>
        <v/>
      </c>
      <c r="AK82" s="491">
        <f>SUM(AK77:AK81)</f>
        <v/>
      </c>
      <c r="AL82" s="491">
        <f>SUM(AL77:AL81)</f>
        <v/>
      </c>
      <c r="AM82" s="491">
        <f>SUM(AM77:AM81)</f>
        <v/>
      </c>
      <c r="AN82" s="491">
        <f>SUM(AN77:AN81)</f>
        <v/>
      </c>
      <c r="AO82" s="491">
        <f>SUM(AO77:AO81)</f>
        <v/>
      </c>
      <c r="AP82" s="491">
        <f>SUM(AP77:AP81)</f>
        <v/>
      </c>
      <c r="AQ82" s="491">
        <f>SUM(AQ77:AQ81)</f>
        <v/>
      </c>
      <c r="AR82" s="491">
        <f>SUM(AR77:AR81)</f>
        <v/>
      </c>
      <c r="AS82" s="491">
        <f>SUM(AS77:AS81)</f>
        <v/>
      </c>
      <c r="AT82" s="491">
        <f>SUM(AT77:AT81)</f>
        <v/>
      </c>
      <c r="AU82" s="491">
        <f>SUM(AU77:AU81)</f>
        <v/>
      </c>
      <c r="AV82" s="491">
        <f>SUM(AV77:AV81)</f>
        <v/>
      </c>
      <c r="AW82" s="491">
        <f>SUM(AW77:AW81)</f>
        <v/>
      </c>
      <c r="AX82" s="491">
        <f>SUM(AX77:AX81)</f>
        <v/>
      </c>
      <c r="AY82" s="491">
        <f>SUM(AY77:AY81)</f>
        <v/>
      </c>
      <c r="AZ82" s="491">
        <f>SUM(AZ77:AZ81)</f>
        <v/>
      </c>
      <c r="BA82" s="491">
        <f>SUM(BA77:BA81)</f>
        <v/>
      </c>
      <c r="BB82" s="491">
        <f>SUM(BB77:BB81)</f>
        <v/>
      </c>
      <c r="BC82" s="491">
        <f>SUM(BC77:BC81)</f>
        <v/>
      </c>
      <c r="BD82" s="491">
        <f>SUM(BD77:BD81)</f>
        <v/>
      </c>
      <c r="BE82" s="491">
        <f>SUM(BE77:BE81)</f>
        <v/>
      </c>
      <c r="BF82" s="491">
        <f>SUM(BF77:BF81)</f>
        <v/>
      </c>
      <c r="BG82" s="491">
        <f>SUM(BG77:BG81)</f>
        <v/>
      </c>
      <c r="BH82" s="491">
        <f>SUM(BH77:BH81)</f>
        <v/>
      </c>
      <c r="BI82" s="491">
        <f>SUM(BI77:BI81)</f>
        <v/>
      </c>
      <c r="BJ82" s="491">
        <f>SUM(BJ77:BJ81)</f>
        <v/>
      </c>
      <c r="BK82" s="491">
        <f>SUM(BK77:BK81)</f>
        <v/>
      </c>
      <c r="BL82" s="491">
        <f>SUM(BL77:BL81)</f>
        <v/>
      </c>
      <c r="BM82" s="491">
        <f>SUM(BM77:BM81)</f>
        <v/>
      </c>
      <c r="BN82" s="491">
        <f>SUM(BN77:BN81)</f>
        <v/>
      </c>
      <c r="BO82" s="491">
        <f>SUM(BO77:BO81)</f>
        <v/>
      </c>
      <c r="BP82" s="491">
        <f>SUM(BP77:BP81)</f>
        <v/>
      </c>
      <c r="BQ82" s="491">
        <f>SUM(BQ77:BQ81)</f>
        <v/>
      </c>
      <c r="BR82" s="491">
        <f>SUM(BR77:BR81)</f>
        <v/>
      </c>
      <c r="BS82" s="491" t="n"/>
      <c r="BT82" s="491">
        <f>SUM(BT77:BT81)</f>
        <v/>
      </c>
      <c r="BU82" s="446">
        <f>BT82-BR82</f>
        <v/>
      </c>
      <c r="BV82" s="381">
        <f>BU82/BR82</f>
        <v/>
      </c>
      <c r="BW82" s="495" t="n"/>
      <c r="BX82" s="495" t="n"/>
      <c r="BZ82" s="491">
        <f>SUM(BZ77:BZ81)</f>
        <v/>
      </c>
      <c r="CA82" s="491">
        <f>SUM(CA77:CA81)</f>
        <v/>
      </c>
      <c r="CB82" s="491">
        <f>SUM(CB77:CB81)</f>
        <v/>
      </c>
      <c r="CC82" s="491">
        <f>SUM(CC77:CC81)</f>
        <v/>
      </c>
      <c r="CD82" s="491">
        <f>SUM(CD77:CD81)</f>
        <v/>
      </c>
      <c r="CE82" s="491">
        <f>SUM(CE77:CE81)</f>
        <v/>
      </c>
      <c r="CF82" s="491">
        <f>SUM(CF77:CF81)</f>
        <v/>
      </c>
      <c r="CG82" s="491">
        <f>SUM(CG77:CG81)</f>
        <v/>
      </c>
      <c r="CH82" s="491">
        <f>SUM(CH77:CH81)</f>
        <v/>
      </c>
      <c r="CI82" s="491">
        <f>SUM(CI77:CI81)</f>
        <v/>
      </c>
      <c r="CJ82" s="491">
        <f>SUM(CJ77:CJ81)</f>
        <v/>
      </c>
      <c r="CK82" s="491">
        <f>SUM(CK77:CK81)</f>
        <v/>
      </c>
      <c r="CL82" s="491">
        <f>SUM(CL77:CL81)</f>
        <v/>
      </c>
      <c r="CM82" s="491">
        <f>SUM(CM77:CM81)</f>
        <v/>
      </c>
      <c r="CN82" s="491">
        <f>SUM(CN77:CN81)</f>
        <v/>
      </c>
      <c r="CO82" s="491">
        <f>SUM(CO77:CO81)</f>
        <v/>
      </c>
      <c r="CP82" s="491">
        <f>SUM(CP77:CP81)</f>
        <v/>
      </c>
      <c r="CQ82" s="491">
        <f>SUM(CQ77:CQ81)</f>
        <v/>
      </c>
      <c r="CR82" s="491">
        <f>SUM(CR77:CR81)</f>
        <v/>
      </c>
      <c r="CS82" s="491">
        <f>SUM(CS77:CS81)</f>
        <v/>
      </c>
      <c r="CT82" s="491">
        <f>SUM(CT77:CT81)</f>
        <v/>
      </c>
      <c r="CU82" s="491">
        <f>SUM(CU77:CU81)</f>
        <v/>
      </c>
      <c r="CV82" s="491">
        <f>SUM(CV77:CV81)</f>
        <v/>
      </c>
      <c r="CW82" s="491">
        <f>SUM(CW77:CW81)</f>
        <v/>
      </c>
      <c r="CX82" s="491">
        <f>SUM(CX77:CX81)</f>
        <v/>
      </c>
      <c r="CY82" s="491">
        <f>SUM(CY77:CY81)</f>
        <v/>
      </c>
      <c r="CZ82" s="491">
        <f>SUM(CZ77:CZ81)</f>
        <v/>
      </c>
      <c r="DA82" s="491">
        <f>SUM(DA77:DA81)</f>
        <v/>
      </c>
      <c r="DB82" s="491">
        <f>SUM(DB77:DB81)</f>
        <v/>
      </c>
      <c r="DC82" s="491">
        <f>SUM(DC77:DC81)</f>
        <v/>
      </c>
      <c r="DD82" s="491">
        <f>SUM(DD77:DD81)</f>
        <v/>
      </c>
      <c r="DE82" s="491">
        <f>SUM(DE77:DE81)</f>
        <v/>
      </c>
      <c r="DF82" s="491">
        <f>SUM(DF77:DF81)</f>
        <v/>
      </c>
      <c r="DG82" s="491">
        <f>SUM(DG77:DG81)</f>
        <v/>
      </c>
      <c r="DH82" s="491">
        <f>SUM(DH77:DH81)</f>
        <v/>
      </c>
      <c r="DI82" s="491">
        <f>SUM(DI77:DI81)</f>
        <v/>
      </c>
      <c r="DJ82" s="491">
        <f>SUM(DJ77:DJ81)</f>
        <v/>
      </c>
      <c r="DK82" s="491">
        <f>SUM(DK77:DK81)</f>
        <v/>
      </c>
      <c r="DL82" s="491">
        <f>SUM(DL77:DL81)</f>
        <v/>
      </c>
      <c r="DM82" s="491">
        <f>SUM(DM77:DM81)</f>
        <v/>
      </c>
      <c r="DN82" s="491">
        <f>SUM(DN77:DN81)</f>
        <v/>
      </c>
      <c r="DO82" s="491">
        <f>SUM(DO77:DO81)</f>
        <v/>
      </c>
      <c r="DP82" s="491">
        <f>SUM(DP77:DP81)</f>
        <v/>
      </c>
      <c r="DQ82" s="491">
        <f>SUM(DQ77:DQ81)</f>
        <v/>
      </c>
      <c r="DR82" s="491">
        <f>SUM(DR77:DR81)</f>
        <v/>
      </c>
      <c r="DS82" s="491">
        <f>SUM(DS77:DS81)</f>
        <v/>
      </c>
      <c r="DT82" s="491">
        <f>SUM(DT77:DT81)</f>
        <v/>
      </c>
      <c r="DU82" s="491">
        <f>SUM(DU77:DU81)</f>
        <v/>
      </c>
      <c r="DV82" s="491">
        <f>SUM(DV77:DV81)</f>
        <v/>
      </c>
      <c r="DW82" s="491">
        <f>SUM(DW77:DW81)</f>
        <v/>
      </c>
      <c r="DX82" s="491" t="n"/>
      <c r="DY82" s="491" t="n"/>
      <c r="DZ82" s="491">
        <f>SUM(DZ77:DZ81)</f>
        <v/>
      </c>
      <c r="EA82" s="491">
        <f>SUM(EA77:EA81)</f>
        <v/>
      </c>
      <c r="EB82" s="491">
        <f>SUM(EB77:EB81)</f>
        <v/>
      </c>
      <c r="EC82" s="491">
        <f>SUM(EC77:EC81)</f>
        <v/>
      </c>
      <c r="ED82" s="491">
        <f>SUM(ED77:ED81)</f>
        <v/>
      </c>
      <c r="EE82" s="491">
        <f>SUM(EE77:EE81)</f>
        <v/>
      </c>
      <c r="EF82" s="491">
        <f>SUM(EF77:EF81)</f>
        <v/>
      </c>
      <c r="EG82" s="491">
        <f>SUM(EG77:EG81)</f>
        <v/>
      </c>
      <c r="EH82" s="491">
        <f>SUM(EH77:EH81)</f>
        <v/>
      </c>
      <c r="EI82" s="491">
        <f>SUM(EI77:EI81)</f>
        <v/>
      </c>
      <c r="EJ82" s="491">
        <f>SUM(EJ77:EJ81)</f>
        <v/>
      </c>
      <c r="EK82" s="491">
        <f>SUM(EK77:EK81)</f>
        <v/>
      </c>
      <c r="EL82" s="491">
        <f>SUM(EL77:EL81)</f>
        <v/>
      </c>
      <c r="EM82" s="491">
        <f>SUM(EM77:EM81)</f>
        <v/>
      </c>
      <c r="EN82" s="491">
        <f>SUM(EN77:EN81)</f>
        <v/>
      </c>
      <c r="EO82" s="491">
        <f>SUM(EO77:EO81)</f>
        <v/>
      </c>
      <c r="EP82" s="491">
        <f>SUM(EP77:EP81)</f>
        <v/>
      </c>
      <c r="EQ82" s="491">
        <f>SUM(EQ77:EQ81)</f>
        <v/>
      </c>
      <c r="ER82" s="491">
        <f>SUM(ER77:ER81)</f>
        <v/>
      </c>
      <c r="ES82" s="491">
        <f>SUM(ES77:ES81)</f>
        <v/>
      </c>
      <c r="ET82" s="491">
        <f>SUM(ET77:ET81)</f>
        <v/>
      </c>
      <c r="EU82" s="491">
        <f>SUM(EU77:EU81)</f>
        <v/>
      </c>
      <c r="EV82" s="491">
        <f>SUM(EV77:EV81)</f>
        <v/>
      </c>
      <c r="EW82" s="491">
        <f>SUM(EW77:EW81)</f>
        <v/>
      </c>
      <c r="EX82" s="491">
        <f>SUM(EX77:EX81)</f>
        <v/>
      </c>
      <c r="EY82" s="491">
        <f>SUM(EY77:EY81)</f>
        <v/>
      </c>
      <c r="EZ82" s="496" t="n"/>
      <c r="FA82" s="496" t="n"/>
      <c r="FB82" s="452">
        <f>+FA82-EW82</f>
        <v/>
      </c>
      <c r="FC82" s="348">
        <f>+FB82/EW82</f>
        <v/>
      </c>
      <c r="FD82" s="493" t="n"/>
      <c r="FE82" s="493" t="n"/>
    </row>
    <row r="83">
      <c r="AB83" s="348" t="n"/>
      <c r="AE83" s="348" t="n"/>
      <c r="AF83" s="451" t="n"/>
      <c r="AH83" s="506" t="n"/>
      <c r="AJ83" s="506" t="n"/>
      <c r="AL83" s="506" t="n"/>
      <c r="AN83" s="506" t="n"/>
      <c r="AP83" s="506" t="n"/>
      <c r="AR83" s="506" t="n"/>
      <c r="AT83" s="506" t="n"/>
      <c r="AV83" s="506" t="n"/>
      <c r="AX83" s="506" t="n"/>
      <c r="AZ83" s="506" t="n"/>
      <c r="BB83" s="506" t="n"/>
      <c r="BD83" s="506" t="n"/>
      <c r="BF83" s="506" t="n"/>
      <c r="BH83" s="506" t="n"/>
      <c r="BJ83" s="506" t="n"/>
      <c r="BL83" s="506" t="n"/>
      <c r="BN83" s="506" t="n"/>
      <c r="BP83" s="506" t="n"/>
      <c r="BR83" s="506" t="n"/>
      <c r="BT83" s="506" t="n"/>
      <c r="BU83" s="453" t="n"/>
      <c r="BV83" s="379" t="n"/>
      <c r="BW83" s="128" t="n"/>
      <c r="BX83" s="128" t="n"/>
      <c r="EZ83" s="394" t="n"/>
      <c r="FA83" s="394" t="n"/>
      <c r="FB83" s="452" t="n"/>
      <c r="FC83" s="348" t="n"/>
    </row>
    <row r="84">
      <c r="A84" s="6" t="inlineStr">
        <is>
          <t>Paid-in capital</t>
        </is>
      </c>
      <c r="B84" s="451">
        <f>'Raw financials'!B161</f>
        <v/>
      </c>
      <c r="C84" s="451">
        <f>'Raw financials'!C161</f>
        <v/>
      </c>
      <c r="D84" s="451">
        <f>'Raw financials'!D161</f>
        <v/>
      </c>
      <c r="E84" s="451">
        <f>'Raw financials'!E161</f>
        <v/>
      </c>
      <c r="F84" s="451">
        <f>'Raw financials'!F161</f>
        <v/>
      </c>
      <c r="G84" s="451">
        <f>'Raw financials'!G161</f>
        <v/>
      </c>
      <c r="H84" s="451">
        <f>'Raw financials'!H161</f>
        <v/>
      </c>
      <c r="I84" s="451">
        <f>'Raw financials'!I161</f>
        <v/>
      </c>
      <c r="J84" s="451">
        <f>'Raw financials'!J161</f>
        <v/>
      </c>
      <c r="K84" s="451">
        <f>'Raw financials'!K161</f>
        <v/>
      </c>
      <c r="L84" s="451">
        <f>'Raw financials'!L161</f>
        <v/>
      </c>
      <c r="M84" s="451">
        <f>'Raw financials'!M161</f>
        <v/>
      </c>
      <c r="N84" s="451">
        <f>'Raw financials'!N161</f>
        <v/>
      </c>
      <c r="O84" s="451">
        <f>'Raw financials'!O161</f>
        <v/>
      </c>
      <c r="P84" s="451">
        <f>'Raw financials'!P161</f>
        <v/>
      </c>
      <c r="Q84" s="451">
        <f>'Raw financials'!Q161</f>
        <v/>
      </c>
      <c r="R84" s="451">
        <f>'Raw financials'!R161</f>
        <v/>
      </c>
      <c r="S84" s="451">
        <f>'Raw financials'!S161</f>
        <v/>
      </c>
      <c r="T84" s="451">
        <f>'Raw financials'!T161</f>
        <v/>
      </c>
      <c r="U84" s="459">
        <f>U42</f>
        <v/>
      </c>
      <c r="V84" s="459">
        <f>U84</f>
        <v/>
      </c>
      <c r="W84" s="459">
        <f>V84</f>
        <v/>
      </c>
      <c r="X84" s="459">
        <f>W84</f>
        <v/>
      </c>
      <c r="Y84" s="459">
        <f>X84</f>
        <v/>
      </c>
      <c r="Z84" s="459">
        <f>Y84</f>
        <v/>
      </c>
      <c r="AA84" s="452">
        <f>+U84-T84</f>
        <v/>
      </c>
      <c r="AB84" s="348">
        <f>+AA84/T84</f>
        <v/>
      </c>
      <c r="AC84" s="459" t="n">
        <v>3458</v>
      </c>
      <c r="AD84" s="452">
        <f>+X84-W84</f>
        <v/>
      </c>
      <c r="AE84" s="348">
        <f>+AD84/W84</f>
        <v/>
      </c>
      <c r="AF84" s="451" t="n"/>
      <c r="AG84" s="451">
        <f>'Raw financials'!AA161</f>
        <v/>
      </c>
      <c r="AH84" s="451">
        <f>+B84</f>
        <v/>
      </c>
      <c r="AI84" s="451">
        <f>'Raw financials'!AB161</f>
        <v/>
      </c>
      <c r="AJ84" s="451">
        <f>+C84</f>
        <v/>
      </c>
      <c r="AK84" s="451">
        <f>'Raw financials'!AC161</f>
        <v/>
      </c>
      <c r="AL84" s="451">
        <f>+D84</f>
        <v/>
      </c>
      <c r="AM84" s="451">
        <f>'Raw financials'!AD161</f>
        <v/>
      </c>
      <c r="AN84" s="451">
        <f>+E84</f>
        <v/>
      </c>
      <c r="AO84" s="451">
        <f>'Raw financials'!AE161</f>
        <v/>
      </c>
      <c r="AP84" s="451">
        <f>+F84</f>
        <v/>
      </c>
      <c r="AQ84" s="451">
        <f>'Raw financials'!AF161</f>
        <v/>
      </c>
      <c r="AR84" s="451">
        <f>+G84</f>
        <v/>
      </c>
      <c r="AS84" s="451">
        <f>'Raw financials'!AG161</f>
        <v/>
      </c>
      <c r="AT84" s="451">
        <f>+H84</f>
        <v/>
      </c>
      <c r="AU84" s="451">
        <f>'Raw financials'!AH161</f>
        <v/>
      </c>
      <c r="AV84" s="451">
        <f>+I84</f>
        <v/>
      </c>
      <c r="AW84" s="451">
        <f>'Raw financials'!AI161</f>
        <v/>
      </c>
      <c r="AX84" s="451">
        <f>+J84</f>
        <v/>
      </c>
      <c r="AY84" s="451">
        <f>'Raw financials'!AJ161</f>
        <v/>
      </c>
      <c r="AZ84" s="451">
        <f>+K84</f>
        <v/>
      </c>
      <c r="BA84" s="451">
        <f>'Raw financials'!AK161</f>
        <v/>
      </c>
      <c r="BB84" s="451">
        <f>+L84</f>
        <v/>
      </c>
      <c r="BC84" s="451">
        <f>'Raw financials'!AL161</f>
        <v/>
      </c>
      <c r="BD84" s="451">
        <f>+M84</f>
        <v/>
      </c>
      <c r="BE84" s="451">
        <f>'Raw financials'!AM161</f>
        <v/>
      </c>
      <c r="BF84" s="451">
        <f>+N84</f>
        <v/>
      </c>
      <c r="BG84" s="451">
        <f>'Raw financials'!AN161</f>
        <v/>
      </c>
      <c r="BH84" s="451">
        <f>+O84</f>
        <v/>
      </c>
      <c r="BI84" s="451">
        <f>'Raw financials'!AO161</f>
        <v/>
      </c>
      <c r="BJ84" s="451">
        <f>+P84</f>
        <v/>
      </c>
      <c r="BK84" s="451">
        <f>'Raw financials'!AP161</f>
        <v/>
      </c>
      <c r="BL84" s="451">
        <f>+Q84</f>
        <v/>
      </c>
      <c r="BM84" s="451">
        <f>'Raw financials'!AQ161</f>
        <v/>
      </c>
      <c r="BN84" s="451">
        <f>+R84</f>
        <v/>
      </c>
      <c r="BO84" s="451">
        <f>'Raw financials'!AR161</f>
        <v/>
      </c>
      <c r="BP84" s="451">
        <f>+S84</f>
        <v/>
      </c>
      <c r="BQ84" s="451">
        <f>'Raw financials'!AS161</f>
        <v/>
      </c>
      <c r="BR84" s="451">
        <f>+T84</f>
        <v/>
      </c>
      <c r="BS84" s="451" t="n"/>
      <c r="BT84" s="451">
        <f>+U84</f>
        <v/>
      </c>
      <c r="BU84" s="453">
        <f>BT84-BR84</f>
        <v/>
      </c>
      <c r="BV84" s="379">
        <f>BU84/BR84</f>
        <v/>
      </c>
      <c r="BW84" s="489" t="n"/>
      <c r="BX84" s="489" t="n"/>
      <c r="BZ84" s="451">
        <f>'Raw financials'!BN161</f>
        <v/>
      </c>
      <c r="CA84" s="451">
        <f>'Raw financials'!BO161</f>
        <v/>
      </c>
      <c r="CB84" s="451">
        <f>'Raw financials'!BP161</f>
        <v/>
      </c>
      <c r="CC84" s="451">
        <f>'Raw financials'!BQ161</f>
        <v/>
      </c>
      <c r="CD84" s="451">
        <f>'Raw financials'!BR161</f>
        <v/>
      </c>
      <c r="CE84" s="451">
        <f>'Raw financials'!BS161</f>
        <v/>
      </c>
      <c r="CF84" s="451">
        <f>'Raw financials'!BT161</f>
        <v/>
      </c>
      <c r="CG84" s="451">
        <f>'Raw financials'!BU161</f>
        <v/>
      </c>
      <c r="CH84" s="451">
        <f>'Raw financials'!BV161</f>
        <v/>
      </c>
      <c r="CI84" s="451">
        <f>'Raw financials'!BW161</f>
        <v/>
      </c>
      <c r="CJ84" s="451">
        <f>'Raw financials'!BX161</f>
        <v/>
      </c>
      <c r="CK84" s="451">
        <f>'Raw financials'!BY161</f>
        <v/>
      </c>
      <c r="CL84" s="451">
        <f>'Raw financials'!BZ161</f>
        <v/>
      </c>
      <c r="CM84" s="451">
        <f>'Raw financials'!CA161</f>
        <v/>
      </c>
      <c r="CN84" s="451">
        <f>'Raw financials'!CB161</f>
        <v/>
      </c>
      <c r="CO84" s="451">
        <f>'Raw financials'!CC161</f>
        <v/>
      </c>
      <c r="CP84" s="451">
        <f>'Raw financials'!CD161</f>
        <v/>
      </c>
      <c r="CQ84" s="451">
        <f>'Raw financials'!CE161</f>
        <v/>
      </c>
      <c r="CR84" s="451">
        <f>'Raw financials'!CF161</f>
        <v/>
      </c>
      <c r="CS84" s="451">
        <f>'Raw financials'!CG161</f>
        <v/>
      </c>
      <c r="CT84" s="451">
        <f>'Raw financials'!CH161</f>
        <v/>
      </c>
      <c r="CU84" s="451">
        <f>'Raw financials'!CI161</f>
        <v/>
      </c>
      <c r="CV84" s="451">
        <f>'Raw financials'!CJ161</f>
        <v/>
      </c>
      <c r="CW84" s="451">
        <f>'Raw financials'!CK161</f>
        <v/>
      </c>
      <c r="CX84" s="451">
        <f>'Raw financials'!CL161</f>
        <v/>
      </c>
      <c r="CY84" s="451">
        <f>'Raw financials'!CM161</f>
        <v/>
      </c>
      <c r="CZ84" s="451">
        <f>'Raw financials'!CN161</f>
        <v/>
      </c>
      <c r="DA84" s="451">
        <f>'Raw financials'!CO161</f>
        <v/>
      </c>
      <c r="DB84" s="451">
        <f>'Raw financials'!CP161</f>
        <v/>
      </c>
      <c r="DC84" s="451">
        <f>'Raw financials'!CQ161</f>
        <v/>
      </c>
      <c r="DD84" s="451">
        <f>'Raw financials'!CR161</f>
        <v/>
      </c>
      <c r="DE84" s="451">
        <f>'Raw financials'!CS161</f>
        <v/>
      </c>
      <c r="DF84" s="451">
        <f>'Raw financials'!CT161</f>
        <v/>
      </c>
      <c r="DG84" s="451">
        <f>'Raw financials'!CU161</f>
        <v/>
      </c>
      <c r="DH84" s="451">
        <f>'Raw financials'!CV161</f>
        <v/>
      </c>
      <c r="DI84" s="451">
        <f>'Raw financials'!CW161</f>
        <v/>
      </c>
      <c r="DJ84" s="451">
        <f>'Raw financials'!CX161</f>
        <v/>
      </c>
      <c r="DK84" s="451">
        <f>'Raw financials'!CY161</f>
        <v/>
      </c>
      <c r="DL84" s="451">
        <f>'Raw financials'!CZ161</f>
        <v/>
      </c>
      <c r="DM84" s="451">
        <f>'Raw financials'!DA161</f>
        <v/>
      </c>
      <c r="DN84" s="451">
        <f>'Raw financials'!DB161</f>
        <v/>
      </c>
      <c r="DO84" s="451">
        <f>'Raw financials'!DC161</f>
        <v/>
      </c>
      <c r="DP84" s="451">
        <f>'Raw financials'!DD161</f>
        <v/>
      </c>
      <c r="DQ84" s="451">
        <f>'Raw financials'!DE161</f>
        <v/>
      </c>
      <c r="DR84" s="451">
        <f>'Raw financials'!DF161</f>
        <v/>
      </c>
      <c r="DS84" s="451">
        <f>'Raw financials'!DG161</f>
        <v/>
      </c>
      <c r="DT84" s="451">
        <f>'Raw financials'!DH161</f>
        <v/>
      </c>
      <c r="DU84" s="451">
        <f>'Raw financials'!DI161</f>
        <v/>
      </c>
      <c r="DV84" s="451">
        <f>'Raw financials'!DJ161</f>
        <v/>
      </c>
      <c r="DW84" s="451">
        <f>'Raw financials'!DK161</f>
        <v/>
      </c>
      <c r="DX84" s="451" t="n"/>
      <c r="DY84" s="451" t="n"/>
      <c r="DZ84" s="451">
        <f>'Raw financials'!DN161</f>
        <v/>
      </c>
      <c r="EA84" s="451">
        <f>'Raw financials'!DO161</f>
        <v/>
      </c>
      <c r="EB84" s="451">
        <f>'Raw financials'!DP161</f>
        <v/>
      </c>
      <c r="EC84" s="451">
        <f>'Raw financials'!DQ161</f>
        <v/>
      </c>
      <c r="ED84" s="451">
        <f>'Raw financials'!DR161</f>
        <v/>
      </c>
      <c r="EE84" s="451">
        <f>'Raw financials'!DS161</f>
        <v/>
      </c>
      <c r="EF84" s="451">
        <f>'Raw financials'!DT161</f>
        <v/>
      </c>
      <c r="EG84" s="451">
        <f>'Raw financials'!DU161</f>
        <v/>
      </c>
      <c r="EH84" s="451">
        <f>'Raw financials'!DV161</f>
        <v/>
      </c>
      <c r="EI84" s="451">
        <f>'Raw financials'!DW161</f>
        <v/>
      </c>
      <c r="EJ84" s="451">
        <f>'Raw financials'!DX161</f>
        <v/>
      </c>
      <c r="EK84" s="451">
        <f>'Raw financials'!DY161</f>
        <v/>
      </c>
      <c r="EL84" s="451">
        <f>'Raw financials'!DZ161</f>
        <v/>
      </c>
      <c r="EM84" s="451">
        <f>'Raw financials'!EA161</f>
        <v/>
      </c>
      <c r="EN84" s="451">
        <f>'Raw financials'!EB161</f>
        <v/>
      </c>
      <c r="EO84" s="451">
        <f>'Raw financials'!EC161</f>
        <v/>
      </c>
      <c r="EP84" s="451">
        <f>'Raw financials'!ED161</f>
        <v/>
      </c>
      <c r="EQ84" s="451">
        <f>'Raw financials'!EE161</f>
        <v/>
      </c>
      <c r="ER84" s="451">
        <f>'Raw financials'!EF161</f>
        <v/>
      </c>
      <c r="ES84" s="451">
        <f>'Raw financials'!EG161</f>
        <v/>
      </c>
      <c r="ET84" s="451">
        <f>'Raw financials'!EH161</f>
        <v/>
      </c>
      <c r="EU84" s="451">
        <f>'Raw financials'!EI161</f>
        <v/>
      </c>
      <c r="EV84" s="451">
        <f>'Raw financials'!EJ161</f>
        <v/>
      </c>
      <c r="EW84" s="451">
        <f>'Raw financials'!EK161</f>
        <v/>
      </c>
      <c r="EX84" s="451">
        <f>'Raw financials'!EL161</f>
        <v/>
      </c>
      <c r="EY84" s="451">
        <f>'Raw financials'!EM161</f>
        <v/>
      </c>
      <c r="EZ84" s="454" t="n"/>
      <c r="FA84" s="454" t="n"/>
      <c r="FB84" s="452">
        <f>+FA84-EW84</f>
        <v/>
      </c>
      <c r="FC84" s="348">
        <f>+FB84/EW84</f>
        <v/>
      </c>
      <c r="FD84" s="451" t="n"/>
      <c r="FE84" s="451" t="n"/>
    </row>
    <row r="85">
      <c r="A85" s="6" t="inlineStr">
        <is>
          <t>Additional paid-in capital</t>
        </is>
      </c>
      <c r="B85" s="451">
        <f>'Raw financials'!B165-'Raw financials'!B166+'Raw financials'!B168</f>
        <v/>
      </c>
      <c r="C85" s="451">
        <f>'Raw financials'!C165-'Raw financials'!C166+'Raw financials'!C168</f>
        <v/>
      </c>
      <c r="D85" s="451">
        <f>'Raw financials'!D165-'Raw financials'!D166+'Raw financials'!D168</f>
        <v/>
      </c>
      <c r="E85" s="451">
        <f>'Raw financials'!E165-'Raw financials'!E166+'Raw financials'!E168</f>
        <v/>
      </c>
      <c r="F85" s="451">
        <f>'Raw financials'!F165-'Raw financials'!F166+'Raw financials'!F168</f>
        <v/>
      </c>
      <c r="G85" s="451">
        <f>'Raw financials'!G165-'Raw financials'!G166+'Raw financials'!G168</f>
        <v/>
      </c>
      <c r="H85" s="451">
        <f>'Raw financials'!H165-'Raw financials'!H166+'Raw financials'!H168</f>
        <v/>
      </c>
      <c r="I85" s="451">
        <f>'Raw financials'!I165-'Raw financials'!I166+'Raw financials'!I168</f>
        <v/>
      </c>
      <c r="J85" s="451">
        <f>'Raw financials'!J165-'Raw financials'!J166+'Raw financials'!J168</f>
        <v/>
      </c>
      <c r="K85" s="451">
        <f>'Raw financials'!K165-'Raw financials'!K166+'Raw financials'!K168</f>
        <v/>
      </c>
      <c r="L85" s="451">
        <f>'Raw financials'!L165-'Raw financials'!L166+'Raw financials'!L168</f>
        <v/>
      </c>
      <c r="M85" s="451">
        <f>'Raw financials'!M165-'Raw financials'!M166+'Raw financials'!M168</f>
        <v/>
      </c>
      <c r="N85" s="451">
        <f>'Raw financials'!N165-'Raw financials'!N166+'Raw financials'!N168</f>
        <v/>
      </c>
      <c r="O85" s="451">
        <f>'Raw financials'!O165-'Raw financials'!O166+'Raw financials'!O168</f>
        <v/>
      </c>
      <c r="P85" s="451">
        <f>'Raw financials'!P165-'Raw financials'!P166+'Raw financials'!P168</f>
        <v/>
      </c>
      <c r="Q85" s="451">
        <f>'Raw financials'!Q165-'Raw financials'!Q166+'Raw financials'!Q168</f>
        <v/>
      </c>
      <c r="R85" s="451">
        <f>'Raw financials'!R165-'Raw financials'!R166+'Raw financials'!R168</f>
        <v/>
      </c>
      <c r="S85" s="451">
        <f>'Raw financials'!S165-'Raw financials'!S166+'Raw financials'!S168</f>
        <v/>
      </c>
      <c r="T85" s="451">
        <f>'Raw financials'!T165-'Raw financials'!T166+'Raw financials'!T168</f>
        <v/>
      </c>
      <c r="U85" s="459">
        <f>T85+4116.565363-(U84-T84)+1070</f>
        <v/>
      </c>
      <c r="V85" s="459">
        <f>U85</f>
        <v/>
      </c>
      <c r="W85" s="459">
        <f>V85</f>
        <v/>
      </c>
      <c r="X85" s="459">
        <f>W85</f>
        <v/>
      </c>
      <c r="Y85" s="459">
        <f>X85</f>
        <v/>
      </c>
      <c r="Z85" s="459">
        <f>Y85</f>
        <v/>
      </c>
      <c r="AA85" s="452">
        <f>+U85-T85</f>
        <v/>
      </c>
      <c r="AB85" s="348">
        <f>+AA85/T85</f>
        <v/>
      </c>
      <c r="AC85" s="459" t="n">
        <v>16529.435663</v>
      </c>
      <c r="AD85" s="452">
        <f>+X85-W85</f>
        <v/>
      </c>
      <c r="AE85" s="348">
        <f>+AD85/W85</f>
        <v/>
      </c>
      <c r="AF85" s="451" t="n"/>
      <c r="AG85" s="451">
        <f>'Raw financials'!AA165-'Raw financials'!AA166+'Raw financials'!AA168</f>
        <v/>
      </c>
      <c r="AH85" s="451">
        <f>+B85</f>
        <v/>
      </c>
      <c r="AI85" s="451">
        <f>'Raw financials'!AB165-'Raw financials'!AB166+'Raw financials'!AB168</f>
        <v/>
      </c>
      <c r="AJ85" s="451">
        <f>+C85</f>
        <v/>
      </c>
      <c r="AK85" s="451">
        <f>'Raw financials'!AC165-'Raw financials'!AC166+'Raw financials'!AC168</f>
        <v/>
      </c>
      <c r="AL85" s="451">
        <f>+D85</f>
        <v/>
      </c>
      <c r="AM85" s="451">
        <f>'Raw financials'!AD165-'Raw financials'!AD166+'Raw financials'!AD168</f>
        <v/>
      </c>
      <c r="AN85" s="451">
        <f>+E85</f>
        <v/>
      </c>
      <c r="AO85" s="451">
        <f>'Raw financials'!AE165-'Raw financials'!AE166+'Raw financials'!AE168</f>
        <v/>
      </c>
      <c r="AP85" s="451">
        <f>+F85</f>
        <v/>
      </c>
      <c r="AQ85" s="451">
        <f>'Raw financials'!AF165-'Raw financials'!AF166+'Raw financials'!AF168</f>
        <v/>
      </c>
      <c r="AR85" s="451">
        <f>+G85</f>
        <v/>
      </c>
      <c r="AS85" s="451">
        <f>'Raw financials'!AG165-'Raw financials'!AG166+'Raw financials'!AG168</f>
        <v/>
      </c>
      <c r="AT85" s="451">
        <f>+H85</f>
        <v/>
      </c>
      <c r="AU85" s="451">
        <f>'Raw financials'!AH165-'Raw financials'!AH166+'Raw financials'!AH168</f>
        <v/>
      </c>
      <c r="AV85" s="451">
        <f>+I85</f>
        <v/>
      </c>
      <c r="AW85" s="451">
        <f>'Raw financials'!AI165-'Raw financials'!AI166+'Raw financials'!AI168</f>
        <v/>
      </c>
      <c r="AX85" s="451">
        <f>+J85</f>
        <v/>
      </c>
      <c r="AY85" s="451">
        <f>'Raw financials'!AJ165-'Raw financials'!AJ166+'Raw financials'!AJ168</f>
        <v/>
      </c>
      <c r="AZ85" s="451">
        <f>+K85</f>
        <v/>
      </c>
      <c r="BA85" s="451">
        <f>'Raw financials'!AK165-'Raw financials'!AK166+'Raw financials'!AK168</f>
        <v/>
      </c>
      <c r="BB85" s="451">
        <f>+L85</f>
        <v/>
      </c>
      <c r="BC85" s="451">
        <f>'Raw financials'!AL165-'Raw financials'!AL166+'Raw financials'!AL168</f>
        <v/>
      </c>
      <c r="BD85" s="451">
        <f>+M85</f>
        <v/>
      </c>
      <c r="BE85" s="451">
        <f>'Raw financials'!AM165-'Raw financials'!AM166+'Raw financials'!AM168</f>
        <v/>
      </c>
      <c r="BF85" s="451">
        <f>+N85</f>
        <v/>
      </c>
      <c r="BG85" s="451">
        <f>'Raw financials'!AN165-'Raw financials'!AN166+'Raw financials'!AN168</f>
        <v/>
      </c>
      <c r="BH85" s="451">
        <f>+O85</f>
        <v/>
      </c>
      <c r="BI85" s="451">
        <f>'Raw financials'!AO165-'Raw financials'!AO166+'Raw financials'!AO168</f>
        <v/>
      </c>
      <c r="BJ85" s="451">
        <f>+P85</f>
        <v/>
      </c>
      <c r="BK85" s="451">
        <f>'Raw financials'!AP165-'Raw financials'!AP166+'Raw financials'!AP168</f>
        <v/>
      </c>
      <c r="BL85" s="451">
        <f>+Q85</f>
        <v/>
      </c>
      <c r="BM85" s="451">
        <f>'Raw financials'!AQ165-'Raw financials'!AQ166+'Raw financials'!AQ168</f>
        <v/>
      </c>
      <c r="BN85" s="451">
        <f>+R85</f>
        <v/>
      </c>
      <c r="BO85" s="451">
        <f>'Raw financials'!AR165-'Raw financials'!AR166+'Raw financials'!AR168</f>
        <v/>
      </c>
      <c r="BP85" s="451">
        <f>+S85</f>
        <v/>
      </c>
      <c r="BQ85" s="451">
        <f>'Raw financials'!AS165-'Raw financials'!AS166+'Raw financials'!AS168</f>
        <v/>
      </c>
      <c r="BR85" s="451">
        <f>+T85</f>
        <v/>
      </c>
      <c r="BS85" s="451" t="n"/>
      <c r="BT85" s="451">
        <f>+U85</f>
        <v/>
      </c>
      <c r="BU85" s="453">
        <f>BT85-BR85</f>
        <v/>
      </c>
      <c r="BV85" s="379">
        <f>BU85/BR85</f>
        <v/>
      </c>
      <c r="BW85" s="489" t="n"/>
      <c r="BX85" s="489" t="n"/>
      <c r="BZ85" s="451">
        <f>'Raw financials'!BN165-'Raw financials'!BN166+'Raw financials'!BN168</f>
        <v/>
      </c>
      <c r="CA85" s="451">
        <f>'Raw financials'!BO165-'Raw financials'!BO166+'Raw financials'!BO168</f>
        <v/>
      </c>
      <c r="CB85" s="451">
        <f>'Raw financials'!BP165-'Raw financials'!BP166+'Raw financials'!BP168</f>
        <v/>
      </c>
      <c r="CC85" s="451">
        <f>'Raw financials'!BQ165-'Raw financials'!BQ166+'Raw financials'!BQ168</f>
        <v/>
      </c>
      <c r="CD85" s="451">
        <f>'Raw financials'!BR165-'Raw financials'!BR166+'Raw financials'!BR168</f>
        <v/>
      </c>
      <c r="CE85" s="451">
        <f>'Raw financials'!BS165-'Raw financials'!BS166+'Raw financials'!BS168</f>
        <v/>
      </c>
      <c r="CF85" s="451">
        <f>'Raw financials'!BT165-'Raw financials'!BT166+'Raw financials'!BT168</f>
        <v/>
      </c>
      <c r="CG85" s="451">
        <f>'Raw financials'!BU165-'Raw financials'!BU166+'Raw financials'!BU168</f>
        <v/>
      </c>
      <c r="CH85" s="451">
        <f>'Raw financials'!BV165-'Raw financials'!BV166+'Raw financials'!BV168</f>
        <v/>
      </c>
      <c r="CI85" s="451">
        <f>'Raw financials'!BW165-'Raw financials'!BW166+'Raw financials'!BW168</f>
        <v/>
      </c>
      <c r="CJ85" s="451">
        <f>'Raw financials'!BX165-'Raw financials'!BX166+'Raw financials'!BX168</f>
        <v/>
      </c>
      <c r="CK85" s="451">
        <f>'Raw financials'!BY165-'Raw financials'!BY166+'Raw financials'!BY168</f>
        <v/>
      </c>
      <c r="CL85" s="451">
        <f>'Raw financials'!BZ165-'Raw financials'!BZ166+'Raw financials'!BZ168</f>
        <v/>
      </c>
      <c r="CM85" s="451">
        <f>'Raw financials'!CA165-'Raw financials'!CA166+'Raw financials'!CA168</f>
        <v/>
      </c>
      <c r="CN85" s="451">
        <f>'Raw financials'!CB165-'Raw financials'!CB166+'Raw financials'!CB168</f>
        <v/>
      </c>
      <c r="CO85" s="451">
        <f>'Raw financials'!CC165-'Raw financials'!CC166+'Raw financials'!CC168</f>
        <v/>
      </c>
      <c r="CP85" s="451">
        <f>'Raw financials'!CD165-'Raw financials'!CD166+'Raw financials'!CD168</f>
        <v/>
      </c>
      <c r="CQ85" s="451">
        <f>'Raw financials'!CE165-'Raw financials'!CE166+'Raw financials'!CE168</f>
        <v/>
      </c>
      <c r="CR85" s="451">
        <f>'Raw financials'!CF165-'Raw financials'!CF166+'Raw financials'!CF168</f>
        <v/>
      </c>
      <c r="CS85" s="451">
        <f>'Raw financials'!CG165-'Raw financials'!CG166+'Raw financials'!CG168</f>
        <v/>
      </c>
      <c r="CT85" s="451">
        <f>'Raw financials'!CH165-'Raw financials'!CH166+'Raw financials'!CH168</f>
        <v/>
      </c>
      <c r="CU85" s="451">
        <f>'Raw financials'!CI165-'Raw financials'!CI166+'Raw financials'!CI168</f>
        <v/>
      </c>
      <c r="CV85" s="451">
        <f>'Raw financials'!CJ165-'Raw financials'!CJ166+'Raw financials'!CJ168</f>
        <v/>
      </c>
      <c r="CW85" s="451">
        <f>'Raw financials'!CK165-'Raw financials'!CK166+'Raw financials'!CK168</f>
        <v/>
      </c>
      <c r="CX85" s="451">
        <f>'Raw financials'!CL165-'Raw financials'!CL166+'Raw financials'!CL168</f>
        <v/>
      </c>
      <c r="CY85" s="451">
        <f>'Raw financials'!CM165-'Raw financials'!CM166+'Raw financials'!CM168</f>
        <v/>
      </c>
      <c r="CZ85" s="451">
        <f>'Raw financials'!CN165-'Raw financials'!CN166+'Raw financials'!CN168</f>
        <v/>
      </c>
      <c r="DA85" s="451">
        <f>'Raw financials'!CO165-'Raw financials'!CO166+'Raw financials'!CO168</f>
        <v/>
      </c>
      <c r="DB85" s="451">
        <f>'Raw financials'!CP165-'Raw financials'!CP166+'Raw financials'!CP168</f>
        <v/>
      </c>
      <c r="DC85" s="451">
        <f>'Raw financials'!CQ165-'Raw financials'!CQ166+'Raw financials'!CQ168</f>
        <v/>
      </c>
      <c r="DD85" s="451">
        <f>'Raw financials'!CR165-'Raw financials'!CR166+'Raw financials'!CR168</f>
        <v/>
      </c>
      <c r="DE85" s="451">
        <f>'Raw financials'!CS165-'Raw financials'!CS166+'Raw financials'!CS168</f>
        <v/>
      </c>
      <c r="DF85" s="451">
        <f>'Raw financials'!CT165-'Raw financials'!CT166+'Raw financials'!CT168</f>
        <v/>
      </c>
      <c r="DG85" s="451">
        <f>'Raw financials'!CU165-'Raw financials'!CU166+'Raw financials'!CU168</f>
        <v/>
      </c>
      <c r="DH85" s="451">
        <f>'Raw financials'!CV165-'Raw financials'!CV166+'Raw financials'!CV168</f>
        <v/>
      </c>
      <c r="DI85" s="451">
        <f>'Raw financials'!CW165-'Raw financials'!CW166+'Raw financials'!CW168</f>
        <v/>
      </c>
      <c r="DJ85" s="451">
        <f>'Raw financials'!CX165-'Raw financials'!CX166+'Raw financials'!CX168</f>
        <v/>
      </c>
      <c r="DK85" s="451">
        <f>'Raw financials'!CY165-'Raw financials'!CY166+'Raw financials'!CY168</f>
        <v/>
      </c>
      <c r="DL85" s="451">
        <f>'Raw financials'!CZ165-'Raw financials'!CZ166+'Raw financials'!CZ168</f>
        <v/>
      </c>
      <c r="DM85" s="451">
        <f>'Raw financials'!DA165-'Raw financials'!DA166+'Raw financials'!DA168</f>
        <v/>
      </c>
      <c r="DN85" s="451">
        <f>'Raw financials'!DB165-'Raw financials'!DB166+'Raw financials'!DB168</f>
        <v/>
      </c>
      <c r="DO85" s="451">
        <f>'Raw financials'!DC165-'Raw financials'!DC166+'Raw financials'!DC168</f>
        <v/>
      </c>
      <c r="DP85" s="451">
        <f>'Raw financials'!DD165-'Raw financials'!DD166+'Raw financials'!DD168</f>
        <v/>
      </c>
      <c r="DQ85" s="451">
        <f>'Raw financials'!DE165-'Raw financials'!DE166+'Raw financials'!DE168</f>
        <v/>
      </c>
      <c r="DR85" s="451">
        <f>'Raw financials'!DF165-'Raw financials'!DF166+'Raw financials'!DF168</f>
        <v/>
      </c>
      <c r="DS85" s="451">
        <f>'Raw financials'!DG165-'Raw financials'!DG166+'Raw financials'!DG168</f>
        <v/>
      </c>
      <c r="DT85" s="451">
        <f>'Raw financials'!DH165-'Raw financials'!DH166+'Raw financials'!DH168</f>
        <v/>
      </c>
      <c r="DU85" s="451">
        <f>'Raw financials'!DI165-'Raw financials'!DI166+'Raw financials'!DI168</f>
        <v/>
      </c>
      <c r="DV85" s="451">
        <f>'Raw financials'!DJ165-'Raw financials'!DJ166+'Raw financials'!DJ168</f>
        <v/>
      </c>
      <c r="DW85" s="451">
        <f>'Raw financials'!DK165-'Raw financials'!DK166+'Raw financials'!DK168</f>
        <v/>
      </c>
      <c r="DX85" s="451" t="n"/>
      <c r="DY85" s="451" t="n"/>
      <c r="DZ85" s="451">
        <f>'Raw financials'!DN165-'Raw financials'!DN166+'Raw financials'!DN168</f>
        <v/>
      </c>
      <c r="EA85" s="451">
        <f>'Raw financials'!DO165-'Raw financials'!DO166+'Raw financials'!DO168</f>
        <v/>
      </c>
      <c r="EB85" s="451">
        <f>'Raw financials'!DP165-'Raw financials'!DP166+'Raw financials'!DP168</f>
        <v/>
      </c>
      <c r="EC85" s="451">
        <f>'Raw financials'!DQ165-'Raw financials'!DQ166+'Raw financials'!DQ168</f>
        <v/>
      </c>
      <c r="ED85" s="451">
        <f>'Raw financials'!DR165-'Raw financials'!DR166+'Raw financials'!DR168</f>
        <v/>
      </c>
      <c r="EE85" s="451">
        <f>'Raw financials'!DS165-'Raw financials'!DS166+'Raw financials'!DS168</f>
        <v/>
      </c>
      <c r="EF85" s="451">
        <f>'Raw financials'!DT165-'Raw financials'!DT166+'Raw financials'!DT168</f>
        <v/>
      </c>
      <c r="EG85" s="451">
        <f>'Raw financials'!DU165-'Raw financials'!DU166+'Raw financials'!DU168</f>
        <v/>
      </c>
      <c r="EH85" s="451">
        <f>'Raw financials'!DV165-'Raw financials'!DV166+'Raw financials'!DV168</f>
        <v/>
      </c>
      <c r="EI85" s="451">
        <f>'Raw financials'!DW165-'Raw financials'!DW166+'Raw financials'!DW168</f>
        <v/>
      </c>
      <c r="EJ85" s="451">
        <f>'Raw financials'!DX165-'Raw financials'!DX166+'Raw financials'!DX168</f>
        <v/>
      </c>
      <c r="EK85" s="451">
        <f>'Raw financials'!DY165-'Raw financials'!DY166+'Raw financials'!DY168</f>
        <v/>
      </c>
      <c r="EL85" s="451">
        <f>'Raw financials'!DZ165-'Raw financials'!DZ166+'Raw financials'!DZ168</f>
        <v/>
      </c>
      <c r="EM85" s="451">
        <f>'Raw financials'!EA165-'Raw financials'!EA166+'Raw financials'!EA168</f>
        <v/>
      </c>
      <c r="EN85" s="451">
        <f>'Raw financials'!EB165-'Raw financials'!EB166+'Raw financials'!EB168</f>
        <v/>
      </c>
      <c r="EO85" s="451">
        <f>'Raw financials'!EC165-'Raw financials'!EC166+'Raw financials'!EC168</f>
        <v/>
      </c>
      <c r="EP85" s="451">
        <f>'Raw financials'!ED165-'Raw financials'!ED166+'Raw financials'!ED168</f>
        <v/>
      </c>
      <c r="EQ85" s="451">
        <f>'Raw financials'!EE165-'Raw financials'!EE166+'Raw financials'!EE168</f>
        <v/>
      </c>
      <c r="ER85" s="451">
        <f>'Raw financials'!EF165-'Raw financials'!EF166+'Raw financials'!EF168</f>
        <v/>
      </c>
      <c r="ES85" s="451">
        <f>'Raw financials'!EG165-'Raw financials'!EG166+'Raw financials'!EG168</f>
        <v/>
      </c>
      <c r="ET85" s="451">
        <f>'Raw financials'!EH165-'Raw financials'!EH166+'Raw financials'!EH168</f>
        <v/>
      </c>
      <c r="EU85" s="451">
        <f>'Raw financials'!EI165-'Raw financials'!EI166+'Raw financials'!EI168</f>
        <v/>
      </c>
      <c r="EV85" s="451">
        <f>'Raw financials'!EJ165-'Raw financials'!EJ166+'Raw financials'!EJ168</f>
        <v/>
      </c>
      <c r="EW85" s="451">
        <f>'Raw financials'!EK165-'Raw financials'!EK166+'Raw financials'!EK168</f>
        <v/>
      </c>
      <c r="EX85" s="451">
        <f>'Raw financials'!EL165-'Raw financials'!EL166+'Raw financials'!EL168</f>
        <v/>
      </c>
      <c r="EY85" s="451">
        <f>'Raw financials'!EM165-'Raw financials'!EM166+'Raw financials'!EM168</f>
        <v/>
      </c>
      <c r="EZ85" s="454" t="n"/>
      <c r="FA85" s="454" t="n"/>
      <c r="FB85" s="452">
        <f>+FA85-EW85</f>
        <v/>
      </c>
      <c r="FC85" s="348">
        <f>+FB85/EW85</f>
        <v/>
      </c>
      <c r="FD85" s="451" t="n"/>
      <c r="FE85" s="451" t="n"/>
    </row>
    <row r="86">
      <c r="A86" s="6" t="inlineStr">
        <is>
          <t>Other comprehensive income</t>
        </is>
      </c>
      <c r="B86" s="451">
        <f>'Raw financials'!B167</f>
        <v/>
      </c>
      <c r="C86" s="451">
        <f>'Raw financials'!C167</f>
        <v/>
      </c>
      <c r="D86" s="451">
        <f>'Raw financials'!D167</f>
        <v/>
      </c>
      <c r="E86" s="451">
        <f>'Raw financials'!E167</f>
        <v/>
      </c>
      <c r="F86" s="451">
        <f>'Raw financials'!F167</f>
        <v/>
      </c>
      <c r="G86" s="451">
        <f>'Raw financials'!G167</f>
        <v/>
      </c>
      <c r="H86" s="451">
        <f>'Raw financials'!H167</f>
        <v/>
      </c>
      <c r="I86" s="451">
        <f>'Raw financials'!I167</f>
        <v/>
      </c>
      <c r="J86" s="451">
        <f>'Raw financials'!J167</f>
        <v/>
      </c>
      <c r="K86" s="451">
        <f>'Raw financials'!K167</f>
        <v/>
      </c>
      <c r="L86" s="451">
        <f>'Raw financials'!L167</f>
        <v/>
      </c>
      <c r="M86" s="451">
        <f>'Raw financials'!M167</f>
        <v/>
      </c>
      <c r="N86" s="451">
        <f>'Raw financials'!N167</f>
        <v/>
      </c>
      <c r="O86" s="451">
        <f>'Raw financials'!O167</f>
        <v/>
      </c>
      <c r="P86" s="451">
        <f>'Raw financials'!P167</f>
        <v/>
      </c>
      <c r="Q86" s="451">
        <f>'Raw financials'!Q167</f>
        <v/>
      </c>
      <c r="R86" s="451">
        <f>'Raw financials'!R167</f>
        <v/>
      </c>
      <c r="S86" s="451">
        <f>'Raw financials'!S167</f>
        <v/>
      </c>
      <c r="T86" s="451">
        <f>'Raw financials'!T167</f>
        <v/>
      </c>
      <c r="U86" s="459">
        <f>T86</f>
        <v/>
      </c>
      <c r="V86" s="459">
        <f>U86</f>
        <v/>
      </c>
      <c r="W86" s="459">
        <f>V86</f>
        <v/>
      </c>
      <c r="X86" s="459">
        <f>W86</f>
        <v/>
      </c>
      <c r="Y86" s="459">
        <f>X86</f>
        <v/>
      </c>
      <c r="Z86" s="459">
        <f>Y86</f>
        <v/>
      </c>
      <c r="AA86" s="452">
        <f>+U86-T86</f>
        <v/>
      </c>
      <c r="AB86" s="348">
        <f>+AA86/T86</f>
        <v/>
      </c>
      <c r="AC86" s="459" t="n">
        <v>-120.0822</v>
      </c>
      <c r="AD86" s="452">
        <f>+X86-W86</f>
        <v/>
      </c>
      <c r="AE86" s="348">
        <f>+AD86/W86</f>
        <v/>
      </c>
      <c r="AF86" s="451" t="n"/>
      <c r="AG86" s="451">
        <f>'Raw financials'!AA167</f>
        <v/>
      </c>
      <c r="AH86" s="451">
        <f>+B86</f>
        <v/>
      </c>
      <c r="AI86" s="451">
        <f>'Raw financials'!AB167</f>
        <v/>
      </c>
      <c r="AJ86" s="451">
        <f>+C86</f>
        <v/>
      </c>
      <c r="AK86" s="451">
        <f>'Raw financials'!AC167</f>
        <v/>
      </c>
      <c r="AL86" s="451">
        <f>+D86</f>
        <v/>
      </c>
      <c r="AM86" s="451">
        <f>'Raw financials'!AD167</f>
        <v/>
      </c>
      <c r="AN86" s="451">
        <f>+E86</f>
        <v/>
      </c>
      <c r="AO86" s="451">
        <f>'Raw financials'!AE167</f>
        <v/>
      </c>
      <c r="AP86" s="451">
        <f>+F86</f>
        <v/>
      </c>
      <c r="AQ86" s="451">
        <f>'Raw financials'!AF167</f>
        <v/>
      </c>
      <c r="AR86" s="451">
        <f>+G86</f>
        <v/>
      </c>
      <c r="AS86" s="451">
        <f>'Raw financials'!AG167</f>
        <v/>
      </c>
      <c r="AT86" s="451">
        <f>+H86</f>
        <v/>
      </c>
      <c r="AU86" s="451">
        <f>'Raw financials'!AH167</f>
        <v/>
      </c>
      <c r="AV86" s="451">
        <f>+I86</f>
        <v/>
      </c>
      <c r="AW86" s="451">
        <f>'Raw financials'!AI167</f>
        <v/>
      </c>
      <c r="AX86" s="451">
        <f>+J86</f>
        <v/>
      </c>
      <c r="AY86" s="451">
        <f>'Raw financials'!AJ167</f>
        <v/>
      </c>
      <c r="AZ86" s="451">
        <f>+K86</f>
        <v/>
      </c>
      <c r="BA86" s="451">
        <f>'Raw financials'!AK167</f>
        <v/>
      </c>
      <c r="BB86" s="451">
        <f>+L86</f>
        <v/>
      </c>
      <c r="BC86" s="451">
        <f>'Raw financials'!AL167</f>
        <v/>
      </c>
      <c r="BD86" s="451">
        <f>+M86</f>
        <v/>
      </c>
      <c r="BE86" s="451">
        <f>'Raw financials'!AM167</f>
        <v/>
      </c>
      <c r="BF86" s="451">
        <f>+N86</f>
        <v/>
      </c>
      <c r="BG86" s="451">
        <f>'Raw financials'!AN167</f>
        <v/>
      </c>
      <c r="BH86" s="451">
        <f>+O86</f>
        <v/>
      </c>
      <c r="BI86" s="451">
        <f>'Raw financials'!AO167</f>
        <v/>
      </c>
      <c r="BJ86" s="451">
        <f>+P86</f>
        <v/>
      </c>
      <c r="BK86" s="451">
        <f>'Raw financials'!AP167</f>
        <v/>
      </c>
      <c r="BL86" s="451">
        <f>+Q86</f>
        <v/>
      </c>
      <c r="BM86" s="451">
        <f>'Raw financials'!AQ167</f>
        <v/>
      </c>
      <c r="BN86" s="451">
        <f>+R86</f>
        <v/>
      </c>
      <c r="BO86" s="451">
        <f>'Raw financials'!AR167</f>
        <v/>
      </c>
      <c r="BP86" s="451">
        <f>+S86</f>
        <v/>
      </c>
      <c r="BQ86" s="451">
        <f>'Raw financials'!AS167</f>
        <v/>
      </c>
      <c r="BR86" s="451">
        <f>+T86</f>
        <v/>
      </c>
      <c r="BS86" s="451" t="n"/>
      <c r="BT86" s="451">
        <f>+U86</f>
        <v/>
      </c>
      <c r="BU86" s="453">
        <f>BT86-BR86</f>
        <v/>
      </c>
      <c r="BV86" s="379">
        <f>BU86/BR86</f>
        <v/>
      </c>
      <c r="BW86" s="489" t="n"/>
      <c r="BX86" s="489" t="n"/>
      <c r="BZ86" s="451">
        <f>'Raw financials'!BN167</f>
        <v/>
      </c>
      <c r="CA86" s="451">
        <f>'Raw financials'!BO167</f>
        <v/>
      </c>
      <c r="CB86" s="451">
        <f>'Raw financials'!BP167</f>
        <v/>
      </c>
      <c r="CC86" s="451">
        <f>'Raw financials'!BQ167</f>
        <v/>
      </c>
      <c r="CD86" s="451">
        <f>'Raw financials'!BR167</f>
        <v/>
      </c>
      <c r="CE86" s="451">
        <f>'Raw financials'!BS167</f>
        <v/>
      </c>
      <c r="CF86" s="451">
        <f>'Raw financials'!BT167</f>
        <v/>
      </c>
      <c r="CG86" s="451">
        <f>'Raw financials'!BU167</f>
        <v/>
      </c>
      <c r="CH86" s="451">
        <f>'Raw financials'!BV167</f>
        <v/>
      </c>
      <c r="CI86" s="451">
        <f>'Raw financials'!BW167</f>
        <v/>
      </c>
      <c r="CJ86" s="451">
        <f>'Raw financials'!BX167</f>
        <v/>
      </c>
      <c r="CK86" s="451">
        <f>'Raw financials'!BY167</f>
        <v/>
      </c>
      <c r="CL86" s="451">
        <f>'Raw financials'!BZ167</f>
        <v/>
      </c>
      <c r="CM86" s="451">
        <f>'Raw financials'!CA167</f>
        <v/>
      </c>
      <c r="CN86" s="451">
        <f>'Raw financials'!CB167</f>
        <v/>
      </c>
      <c r="CO86" s="451">
        <f>'Raw financials'!CC167</f>
        <v/>
      </c>
      <c r="CP86" s="451">
        <f>'Raw financials'!CD167</f>
        <v/>
      </c>
      <c r="CQ86" s="451">
        <f>'Raw financials'!CE167</f>
        <v/>
      </c>
      <c r="CR86" s="451">
        <f>'Raw financials'!CF167</f>
        <v/>
      </c>
      <c r="CS86" s="451">
        <f>'Raw financials'!CG167</f>
        <v/>
      </c>
      <c r="CT86" s="451">
        <f>'Raw financials'!CH167</f>
        <v/>
      </c>
      <c r="CU86" s="451">
        <f>'Raw financials'!CI167</f>
        <v/>
      </c>
      <c r="CV86" s="451">
        <f>'Raw financials'!CJ167</f>
        <v/>
      </c>
      <c r="CW86" s="451">
        <f>'Raw financials'!CK167</f>
        <v/>
      </c>
      <c r="CX86" s="451">
        <f>'Raw financials'!CL167</f>
        <v/>
      </c>
      <c r="CY86" s="451">
        <f>'Raw financials'!CM167</f>
        <v/>
      </c>
      <c r="CZ86" s="451">
        <f>'Raw financials'!CN167</f>
        <v/>
      </c>
      <c r="DA86" s="451">
        <f>'Raw financials'!CO167</f>
        <v/>
      </c>
      <c r="DB86" s="451">
        <f>'Raw financials'!CP167</f>
        <v/>
      </c>
      <c r="DC86" s="451">
        <f>'Raw financials'!CQ167</f>
        <v/>
      </c>
      <c r="DD86" s="451">
        <f>'Raw financials'!CR167</f>
        <v/>
      </c>
      <c r="DE86" s="451">
        <f>'Raw financials'!CS167</f>
        <v/>
      </c>
      <c r="DF86" s="451">
        <f>'Raw financials'!CT167</f>
        <v/>
      </c>
      <c r="DG86" s="451">
        <f>'Raw financials'!CU167</f>
        <v/>
      </c>
      <c r="DH86" s="451">
        <f>'Raw financials'!CV167</f>
        <v/>
      </c>
      <c r="DI86" s="451">
        <f>'Raw financials'!CW167</f>
        <v/>
      </c>
      <c r="DJ86" s="451">
        <f>'Raw financials'!CX167</f>
        <v/>
      </c>
      <c r="DK86" s="451">
        <f>'Raw financials'!CY167</f>
        <v/>
      </c>
      <c r="DL86" s="451">
        <f>'Raw financials'!CZ167</f>
        <v/>
      </c>
      <c r="DM86" s="451">
        <f>'Raw financials'!DA167</f>
        <v/>
      </c>
      <c r="DN86" s="451">
        <f>'Raw financials'!DB167</f>
        <v/>
      </c>
      <c r="DO86" s="451">
        <f>'Raw financials'!DC167</f>
        <v/>
      </c>
      <c r="DP86" s="451">
        <f>'Raw financials'!DD167</f>
        <v/>
      </c>
      <c r="DQ86" s="451">
        <f>'Raw financials'!DE167</f>
        <v/>
      </c>
      <c r="DR86" s="451">
        <f>'Raw financials'!DF167</f>
        <v/>
      </c>
      <c r="DS86" s="451">
        <f>'Raw financials'!DG167</f>
        <v/>
      </c>
      <c r="DT86" s="451">
        <f>'Raw financials'!DH167</f>
        <v/>
      </c>
      <c r="DU86" s="451">
        <f>'Raw financials'!DI167</f>
        <v/>
      </c>
      <c r="DV86" s="451">
        <f>'Raw financials'!DJ167</f>
        <v/>
      </c>
      <c r="DW86" s="451">
        <f>'Raw financials'!DK167</f>
        <v/>
      </c>
      <c r="DX86" s="451" t="n"/>
      <c r="DY86" s="451" t="n"/>
      <c r="DZ86" s="451">
        <f>'Raw financials'!DN167</f>
        <v/>
      </c>
      <c r="EA86" s="451">
        <f>'Raw financials'!DO167</f>
        <v/>
      </c>
      <c r="EB86" s="451">
        <f>'Raw financials'!DP167</f>
        <v/>
      </c>
      <c r="EC86" s="451">
        <f>'Raw financials'!DQ167</f>
        <v/>
      </c>
      <c r="ED86" s="451">
        <f>'Raw financials'!DR167</f>
        <v/>
      </c>
      <c r="EE86" s="451">
        <f>'Raw financials'!DS167</f>
        <v/>
      </c>
      <c r="EF86" s="451">
        <f>'Raw financials'!DT167</f>
        <v/>
      </c>
      <c r="EG86" s="451">
        <f>'Raw financials'!DU167</f>
        <v/>
      </c>
      <c r="EH86" s="451">
        <f>'Raw financials'!DV167</f>
        <v/>
      </c>
      <c r="EI86" s="451">
        <f>'Raw financials'!DW167</f>
        <v/>
      </c>
      <c r="EJ86" s="451">
        <f>'Raw financials'!DX167</f>
        <v/>
      </c>
      <c r="EK86" s="451">
        <f>'Raw financials'!DY167</f>
        <v/>
      </c>
      <c r="EL86" s="451">
        <f>'Raw financials'!DZ167</f>
        <v/>
      </c>
      <c r="EM86" s="451">
        <f>'Raw financials'!EA167</f>
        <v/>
      </c>
      <c r="EN86" s="451">
        <f>'Raw financials'!EB167</f>
        <v/>
      </c>
      <c r="EO86" s="451">
        <f>'Raw financials'!EC167</f>
        <v/>
      </c>
      <c r="EP86" s="451">
        <f>'Raw financials'!ED167</f>
        <v/>
      </c>
      <c r="EQ86" s="451">
        <f>'Raw financials'!EE167</f>
        <v/>
      </c>
      <c r="ER86" s="451">
        <f>'Raw financials'!EF167</f>
        <v/>
      </c>
      <c r="ES86" s="451">
        <f>'Raw financials'!EG167</f>
        <v/>
      </c>
      <c r="ET86" s="451">
        <f>'Raw financials'!EH167</f>
        <v/>
      </c>
      <c r="EU86" s="451">
        <f>'Raw financials'!EI167</f>
        <v/>
      </c>
      <c r="EV86" s="451">
        <f>'Raw financials'!EJ167</f>
        <v/>
      </c>
      <c r="EW86" s="451">
        <f>'Raw financials'!EK167</f>
        <v/>
      </c>
      <c r="EX86" s="451">
        <f>'Raw financials'!EL167</f>
        <v/>
      </c>
      <c r="EY86" s="451">
        <f>'Raw financials'!EM167</f>
        <v/>
      </c>
      <c r="EZ86" s="454" t="n"/>
      <c r="FA86" s="454" t="n"/>
      <c r="FB86" s="452">
        <f>+FA86-EW86</f>
        <v/>
      </c>
      <c r="FC86" s="348">
        <f>+FB86/EW86</f>
        <v/>
      </c>
      <c r="FD86" s="451" t="n"/>
      <c r="FE86" s="451" t="n"/>
    </row>
    <row r="87">
      <c r="A87" s="6" t="inlineStr">
        <is>
          <t>Surplus reserves</t>
        </is>
      </c>
      <c r="B87" s="451">
        <f>'Raw financials'!B169</f>
        <v/>
      </c>
      <c r="C87" s="451">
        <f>'Raw financials'!C169</f>
        <v/>
      </c>
      <c r="D87" s="451">
        <f>'Raw financials'!D169</f>
        <v/>
      </c>
      <c r="E87" s="451">
        <f>'Raw financials'!E169</f>
        <v/>
      </c>
      <c r="F87" s="451">
        <f>'Raw financials'!F169</f>
        <v/>
      </c>
      <c r="G87" s="451">
        <f>'Raw financials'!G169</f>
        <v/>
      </c>
      <c r="H87" s="451">
        <f>'Raw financials'!H169</f>
        <v/>
      </c>
      <c r="I87" s="451">
        <f>'Raw financials'!I169</f>
        <v/>
      </c>
      <c r="J87" s="451">
        <f>'Raw financials'!J169</f>
        <v/>
      </c>
      <c r="K87" s="451">
        <f>'Raw financials'!K169</f>
        <v/>
      </c>
      <c r="L87" s="451">
        <f>'Raw financials'!L169</f>
        <v/>
      </c>
      <c r="M87" s="451">
        <f>'Raw financials'!M169</f>
        <v/>
      </c>
      <c r="N87" s="451">
        <f>'Raw financials'!N169</f>
        <v/>
      </c>
      <c r="O87" s="451">
        <f>'Raw financials'!O169</f>
        <v/>
      </c>
      <c r="P87" s="451">
        <f>'Raw financials'!P169</f>
        <v/>
      </c>
      <c r="Q87" s="451">
        <f>'Raw financials'!Q169</f>
        <v/>
      </c>
      <c r="R87" s="451">
        <f>'Raw financials'!R169</f>
        <v/>
      </c>
      <c r="S87" s="451">
        <f>'Raw financials'!S169</f>
        <v/>
      </c>
      <c r="T87" s="451">
        <f>'Raw financials'!T169</f>
        <v/>
      </c>
      <c r="U87" s="459">
        <f>T87</f>
        <v/>
      </c>
      <c r="V87" s="459">
        <f>U87</f>
        <v/>
      </c>
      <c r="W87" s="459">
        <f>V87</f>
        <v/>
      </c>
      <c r="X87" s="459">
        <f>W87</f>
        <v/>
      </c>
      <c r="Y87" s="459">
        <f>X87</f>
        <v/>
      </c>
      <c r="Z87" s="459">
        <f>Y87</f>
        <v/>
      </c>
      <c r="AA87" s="452">
        <f>+U87-T87</f>
        <v/>
      </c>
      <c r="AB87" s="348">
        <f>+AA87/T87</f>
        <v/>
      </c>
      <c r="AC87" s="459" t="n">
        <v>1424.8892</v>
      </c>
      <c r="AD87" s="452">
        <f>+X87-W87</f>
        <v/>
      </c>
      <c r="AE87" s="348">
        <f>+AD87/W87</f>
        <v/>
      </c>
      <c r="AF87" s="451" t="n"/>
      <c r="AG87" s="451">
        <f>'Raw financials'!AA169+'Raw financials'!AA170</f>
        <v/>
      </c>
      <c r="AH87" s="451">
        <f>+B87</f>
        <v/>
      </c>
      <c r="AI87" s="451">
        <f>'Raw financials'!AB169+'Raw financials'!AB170</f>
        <v/>
      </c>
      <c r="AJ87" s="451">
        <f>+C87</f>
        <v/>
      </c>
      <c r="AK87" s="451">
        <f>'Raw financials'!AC169+'Raw financials'!AC170</f>
        <v/>
      </c>
      <c r="AL87" s="451">
        <f>+D87</f>
        <v/>
      </c>
      <c r="AM87" s="451">
        <f>'Raw financials'!AD169+'Raw financials'!AD170</f>
        <v/>
      </c>
      <c r="AN87" s="451">
        <f>+E87</f>
        <v/>
      </c>
      <c r="AO87" s="451">
        <f>'Raw financials'!AE169+'Raw financials'!AE170</f>
        <v/>
      </c>
      <c r="AP87" s="451">
        <f>+F87</f>
        <v/>
      </c>
      <c r="AQ87" s="451">
        <f>'Raw financials'!AF169+'Raw financials'!AF170</f>
        <v/>
      </c>
      <c r="AR87" s="451">
        <f>+G87</f>
        <v/>
      </c>
      <c r="AS87" s="451">
        <f>'Raw financials'!AG169+'Raw financials'!AG170</f>
        <v/>
      </c>
      <c r="AT87" s="451">
        <f>+H87</f>
        <v/>
      </c>
      <c r="AU87" s="451">
        <f>'Raw financials'!AH169+'Raw financials'!AH170</f>
        <v/>
      </c>
      <c r="AV87" s="451">
        <f>+I87</f>
        <v/>
      </c>
      <c r="AW87" s="451">
        <f>'Raw financials'!AI169+'Raw financials'!AI170</f>
        <v/>
      </c>
      <c r="AX87" s="451">
        <f>+J87</f>
        <v/>
      </c>
      <c r="AY87" s="451">
        <f>'Raw financials'!AJ169+'Raw financials'!AJ170</f>
        <v/>
      </c>
      <c r="AZ87" s="451">
        <f>+K87</f>
        <v/>
      </c>
      <c r="BA87" s="451">
        <f>'Raw financials'!AK169+'Raw financials'!AK170</f>
        <v/>
      </c>
      <c r="BB87" s="451">
        <f>+L87</f>
        <v/>
      </c>
      <c r="BC87" s="451">
        <f>'Raw financials'!AL169+'Raw financials'!AL170</f>
        <v/>
      </c>
      <c r="BD87" s="451">
        <f>+M87</f>
        <v/>
      </c>
      <c r="BE87" s="451">
        <f>'Raw financials'!AM169+'Raw financials'!AM170</f>
        <v/>
      </c>
      <c r="BF87" s="451">
        <f>+N87</f>
        <v/>
      </c>
      <c r="BG87" s="451">
        <f>'Raw financials'!AN169+'Raw financials'!AN170</f>
        <v/>
      </c>
      <c r="BH87" s="451">
        <f>+O87</f>
        <v/>
      </c>
      <c r="BI87" s="451">
        <f>'Raw financials'!AO169+'Raw financials'!AO170</f>
        <v/>
      </c>
      <c r="BJ87" s="451">
        <f>+P87</f>
        <v/>
      </c>
      <c r="BK87" s="451">
        <f>'Raw financials'!AP169+'Raw financials'!AP170</f>
        <v/>
      </c>
      <c r="BL87" s="451">
        <f>+Q87</f>
        <v/>
      </c>
      <c r="BM87" s="451">
        <f>'Raw financials'!AQ169+'Raw financials'!AQ170</f>
        <v/>
      </c>
      <c r="BN87" s="451">
        <f>+R87</f>
        <v/>
      </c>
      <c r="BO87" s="451">
        <f>'Raw financials'!AR169+'Raw financials'!AR170</f>
        <v/>
      </c>
      <c r="BP87" s="451">
        <f>+S87</f>
        <v/>
      </c>
      <c r="BQ87" s="451">
        <f>'Raw financials'!AS169+'Raw financials'!AS170</f>
        <v/>
      </c>
      <c r="BR87" s="451">
        <f>+T87</f>
        <v/>
      </c>
      <c r="BS87" s="451" t="n"/>
      <c r="BT87" s="451">
        <f>+U87</f>
        <v/>
      </c>
      <c r="BU87" s="453">
        <f>BT87-BR87</f>
        <v/>
      </c>
      <c r="BV87" s="379">
        <f>BU87/BR87</f>
        <v/>
      </c>
      <c r="BW87" s="489" t="n"/>
      <c r="BX87" s="489" t="n"/>
      <c r="BZ87" s="451">
        <f>'Raw financials'!BN169+'Raw financials'!BN170</f>
        <v/>
      </c>
      <c r="CA87" s="451">
        <f>'Raw financials'!BO169+'Raw financials'!BO170</f>
        <v/>
      </c>
      <c r="CB87" s="451">
        <f>'Raw financials'!BP169+'Raw financials'!BP170</f>
        <v/>
      </c>
      <c r="CC87" s="451">
        <f>'Raw financials'!BQ169+'Raw financials'!BQ170</f>
        <v/>
      </c>
      <c r="CD87" s="451">
        <f>'Raw financials'!BR169+'Raw financials'!BR170</f>
        <v/>
      </c>
      <c r="CE87" s="451">
        <f>'Raw financials'!BS169+'Raw financials'!BS170</f>
        <v/>
      </c>
      <c r="CF87" s="451">
        <f>'Raw financials'!BT169+'Raw financials'!BT170</f>
        <v/>
      </c>
      <c r="CG87" s="451">
        <f>'Raw financials'!BU169+'Raw financials'!BU170</f>
        <v/>
      </c>
      <c r="CH87" s="451">
        <f>'Raw financials'!BV169+'Raw financials'!BV170</f>
        <v/>
      </c>
      <c r="CI87" s="451">
        <f>'Raw financials'!BW169+'Raw financials'!BW170</f>
        <v/>
      </c>
      <c r="CJ87" s="451">
        <f>'Raw financials'!BX169+'Raw financials'!BX170</f>
        <v/>
      </c>
      <c r="CK87" s="451">
        <f>'Raw financials'!BY169+'Raw financials'!BY170</f>
        <v/>
      </c>
      <c r="CL87" s="451">
        <f>'Raw financials'!BZ169+'Raw financials'!BZ170</f>
        <v/>
      </c>
      <c r="CM87" s="451">
        <f>'Raw financials'!CA169+'Raw financials'!CA170</f>
        <v/>
      </c>
      <c r="CN87" s="451">
        <f>'Raw financials'!CB169+'Raw financials'!CB170</f>
        <v/>
      </c>
      <c r="CO87" s="451">
        <f>'Raw financials'!CC169+'Raw financials'!CC170</f>
        <v/>
      </c>
      <c r="CP87" s="451">
        <f>'Raw financials'!CD169+'Raw financials'!CD170</f>
        <v/>
      </c>
      <c r="CQ87" s="451">
        <f>'Raw financials'!CE169+'Raw financials'!CE170</f>
        <v/>
      </c>
      <c r="CR87" s="451">
        <f>'Raw financials'!CF169+'Raw financials'!CF170</f>
        <v/>
      </c>
      <c r="CS87" s="451">
        <f>'Raw financials'!CG169+'Raw financials'!CG170</f>
        <v/>
      </c>
      <c r="CT87" s="451">
        <f>'Raw financials'!CH169+'Raw financials'!CH170</f>
        <v/>
      </c>
      <c r="CU87" s="451">
        <f>'Raw financials'!CI169+'Raw financials'!CI170</f>
        <v/>
      </c>
      <c r="CV87" s="451">
        <f>'Raw financials'!CJ169+'Raw financials'!CJ170</f>
        <v/>
      </c>
      <c r="CW87" s="451">
        <f>'Raw financials'!CK169+'Raw financials'!CK170</f>
        <v/>
      </c>
      <c r="CX87" s="451">
        <f>'Raw financials'!CL169+'Raw financials'!CL170</f>
        <v/>
      </c>
      <c r="CY87" s="451">
        <f>'Raw financials'!CM169+'Raw financials'!CM170</f>
        <v/>
      </c>
      <c r="CZ87" s="451">
        <f>'Raw financials'!CN169+'Raw financials'!CN170</f>
        <v/>
      </c>
      <c r="DA87" s="451">
        <f>'Raw financials'!CO169+'Raw financials'!CO170</f>
        <v/>
      </c>
      <c r="DB87" s="451">
        <f>'Raw financials'!CP169+'Raw financials'!CP170</f>
        <v/>
      </c>
      <c r="DC87" s="451">
        <f>'Raw financials'!CQ169+'Raw financials'!CQ170</f>
        <v/>
      </c>
      <c r="DD87" s="451">
        <f>'Raw financials'!CR169+'Raw financials'!CR170</f>
        <v/>
      </c>
      <c r="DE87" s="451">
        <f>'Raw financials'!CS169+'Raw financials'!CS170</f>
        <v/>
      </c>
      <c r="DF87" s="451">
        <f>'Raw financials'!CT169+'Raw financials'!CT170</f>
        <v/>
      </c>
      <c r="DG87" s="451">
        <f>'Raw financials'!CU169+'Raw financials'!CU170</f>
        <v/>
      </c>
      <c r="DH87" s="451">
        <f>'Raw financials'!CV169+'Raw financials'!CV170</f>
        <v/>
      </c>
      <c r="DI87" s="451">
        <f>'Raw financials'!CW169+'Raw financials'!CW170</f>
        <v/>
      </c>
      <c r="DJ87" s="451">
        <f>'Raw financials'!CX169+'Raw financials'!CX170</f>
        <v/>
      </c>
      <c r="DK87" s="451">
        <f>'Raw financials'!CY169+'Raw financials'!CY170</f>
        <v/>
      </c>
      <c r="DL87" s="451">
        <f>'Raw financials'!CZ169+'Raw financials'!CZ170</f>
        <v/>
      </c>
      <c r="DM87" s="451">
        <f>'Raw financials'!DA169+'Raw financials'!DA170</f>
        <v/>
      </c>
      <c r="DN87" s="451">
        <f>'Raw financials'!DB169+'Raw financials'!DB170</f>
        <v/>
      </c>
      <c r="DO87" s="451">
        <f>'Raw financials'!DC169+'Raw financials'!DC170</f>
        <v/>
      </c>
      <c r="DP87" s="451">
        <f>'Raw financials'!DD169+'Raw financials'!DD170</f>
        <v/>
      </c>
      <c r="DQ87" s="451">
        <f>'Raw financials'!DE169+'Raw financials'!DE170</f>
        <v/>
      </c>
      <c r="DR87" s="451">
        <f>'Raw financials'!DF169+'Raw financials'!DF170</f>
        <v/>
      </c>
      <c r="DS87" s="451">
        <f>'Raw financials'!DG169+'Raw financials'!DG170</f>
        <v/>
      </c>
      <c r="DT87" s="451">
        <f>'Raw financials'!DH169+'Raw financials'!DH170</f>
        <v/>
      </c>
      <c r="DU87" s="451">
        <f>'Raw financials'!DI169+'Raw financials'!DI170</f>
        <v/>
      </c>
      <c r="DV87" s="451">
        <f>'Raw financials'!DJ169+'Raw financials'!DJ170</f>
        <v/>
      </c>
      <c r="DW87" s="451">
        <f>'Raw financials'!DK169+'Raw financials'!DK170</f>
        <v/>
      </c>
      <c r="DX87" s="451" t="n"/>
      <c r="DY87" s="451" t="n"/>
      <c r="DZ87" s="451">
        <f>'Raw financials'!DN169+'Raw financials'!DN170</f>
        <v/>
      </c>
      <c r="EA87" s="451">
        <f>'Raw financials'!DO169+'Raw financials'!DO170</f>
        <v/>
      </c>
      <c r="EB87" s="451">
        <f>'Raw financials'!DP169+'Raw financials'!DP170</f>
        <v/>
      </c>
      <c r="EC87" s="451">
        <f>'Raw financials'!DQ169+'Raw financials'!DQ170</f>
        <v/>
      </c>
      <c r="ED87" s="451">
        <f>'Raw financials'!DR169+'Raw financials'!DR170</f>
        <v/>
      </c>
      <c r="EE87" s="451">
        <f>'Raw financials'!DS169+'Raw financials'!DS170</f>
        <v/>
      </c>
      <c r="EF87" s="451">
        <f>'Raw financials'!DT169+'Raw financials'!DT170</f>
        <v/>
      </c>
      <c r="EG87" s="451">
        <f>'Raw financials'!DU169+'Raw financials'!DU170</f>
        <v/>
      </c>
      <c r="EH87" s="451">
        <f>'Raw financials'!DV169+'Raw financials'!DV170</f>
        <v/>
      </c>
      <c r="EI87" s="451">
        <f>'Raw financials'!DW169+'Raw financials'!DW170</f>
        <v/>
      </c>
      <c r="EJ87" s="451">
        <f>'Raw financials'!DX169+'Raw financials'!DX170</f>
        <v/>
      </c>
      <c r="EK87" s="451">
        <f>'Raw financials'!DY169+'Raw financials'!DY170</f>
        <v/>
      </c>
      <c r="EL87" s="451">
        <f>'Raw financials'!DZ169+'Raw financials'!DZ170</f>
        <v/>
      </c>
      <c r="EM87" s="451">
        <f>'Raw financials'!EA169+'Raw financials'!EA170</f>
        <v/>
      </c>
      <c r="EN87" s="451">
        <f>'Raw financials'!EB169+'Raw financials'!EB170</f>
        <v/>
      </c>
      <c r="EO87" s="451">
        <f>'Raw financials'!EC169+'Raw financials'!EC170</f>
        <v/>
      </c>
      <c r="EP87" s="451">
        <f>'Raw financials'!ED169+'Raw financials'!ED170</f>
        <v/>
      </c>
      <c r="EQ87" s="451">
        <f>'Raw financials'!EE169+'Raw financials'!EE170</f>
        <v/>
      </c>
      <c r="ER87" s="451">
        <f>'Raw financials'!EF169+'Raw financials'!EF170</f>
        <v/>
      </c>
      <c r="ES87" s="451">
        <f>'Raw financials'!EG169+'Raw financials'!EG170</f>
        <v/>
      </c>
      <c r="ET87" s="451">
        <f>'Raw financials'!EH169+'Raw financials'!EH170</f>
        <v/>
      </c>
      <c r="EU87" s="451">
        <f>'Raw financials'!EI169+'Raw financials'!EI170</f>
        <v/>
      </c>
      <c r="EV87" s="451">
        <f>'Raw financials'!EJ169+'Raw financials'!EJ170</f>
        <v/>
      </c>
      <c r="EW87" s="451">
        <f>'Raw financials'!EK169+'Raw financials'!EK170</f>
        <v/>
      </c>
      <c r="EX87" s="451">
        <f>'Raw financials'!EL169+'Raw financials'!EL170</f>
        <v/>
      </c>
      <c r="EY87" s="451">
        <f>'Raw financials'!EM169+'Raw financials'!EM170</f>
        <v/>
      </c>
      <c r="EZ87" s="454" t="n"/>
      <c r="FA87" s="454" t="n"/>
      <c r="FB87" s="452">
        <f>+FA87-EW87</f>
        <v/>
      </c>
      <c r="FC87" s="348">
        <f>+FB87/EW87</f>
        <v/>
      </c>
      <c r="FD87" s="451" t="n"/>
      <c r="FE87" s="451" t="n"/>
    </row>
    <row r="88">
      <c r="A88" s="6" t="inlineStr">
        <is>
          <t>Retained earnings</t>
        </is>
      </c>
      <c r="B88" s="451">
        <f>'Raw financials'!B171+'Raw financials'!B172</f>
        <v/>
      </c>
      <c r="C88" s="451">
        <f>'Raw financials'!C171+'Raw financials'!C172</f>
        <v/>
      </c>
      <c r="D88" s="451">
        <f>'Raw financials'!D171+'Raw financials'!D172</f>
        <v/>
      </c>
      <c r="E88" s="451">
        <f>'Raw financials'!E171+'Raw financials'!E172</f>
        <v/>
      </c>
      <c r="F88" s="451">
        <f>'Raw financials'!F171+'Raw financials'!F172</f>
        <v/>
      </c>
      <c r="G88" s="451">
        <f>'Raw financials'!G171+'Raw financials'!G172</f>
        <v/>
      </c>
      <c r="H88" s="451">
        <f>'Raw financials'!H171+'Raw financials'!H172</f>
        <v/>
      </c>
      <c r="I88" s="451">
        <f>'Raw financials'!I171+'Raw financials'!I172</f>
        <v/>
      </c>
      <c r="J88" s="451">
        <f>'Raw financials'!J171+'Raw financials'!J172</f>
        <v/>
      </c>
      <c r="K88" s="451">
        <f>'Raw financials'!K171+'Raw financials'!K172</f>
        <v/>
      </c>
      <c r="L88" s="451">
        <f>'Raw financials'!L171+'Raw financials'!L172</f>
        <v/>
      </c>
      <c r="M88" s="451">
        <f>'Raw financials'!M171+'Raw financials'!M172</f>
        <v/>
      </c>
      <c r="N88" s="451">
        <f>'Raw financials'!N171+'Raw financials'!N172</f>
        <v/>
      </c>
      <c r="O88" s="451">
        <f>'Raw financials'!O171+'Raw financials'!O172</f>
        <v/>
      </c>
      <c r="P88" s="451">
        <f>'Raw financials'!P171+'Raw financials'!P172</f>
        <v/>
      </c>
      <c r="Q88" s="451">
        <f>'Raw financials'!Q171+'Raw financials'!Q172</f>
        <v/>
      </c>
      <c r="R88" s="451">
        <f>'Raw financials'!R171+'Raw financials'!R172</f>
        <v/>
      </c>
      <c r="S88" s="451">
        <f>'Raw financials'!S171+'Raw financials'!S172</f>
        <v/>
      </c>
      <c r="T88" s="451">
        <f>'Raw financials'!T171+'Raw financials'!T172</f>
        <v/>
      </c>
      <c r="U88" s="451">
        <f>T88+U28-T38</f>
        <v/>
      </c>
      <c r="V88" s="451">
        <f>U88+V28-U38</f>
        <v/>
      </c>
      <c r="W88" s="451">
        <f>V88+W28-V38</f>
        <v/>
      </c>
      <c r="X88" s="451">
        <f>W88+X28-W38</f>
        <v/>
      </c>
      <c r="Y88" s="451">
        <f>X88+Y28-X38</f>
        <v/>
      </c>
      <c r="Z88" s="451">
        <f>Y88+Z28-Y38</f>
        <v/>
      </c>
      <c r="AA88" s="452">
        <f>+U88-T88</f>
        <v/>
      </c>
      <c r="AB88" s="348">
        <f>+AA88/T88</f>
        <v/>
      </c>
      <c r="AC88" s="451" t="n">
        <v>25680.3459311338</v>
      </c>
      <c r="AD88" s="452">
        <f>+X88-W88</f>
        <v/>
      </c>
      <c r="AE88" s="348">
        <f>+AD88/W88</f>
        <v/>
      </c>
      <c r="AF88" s="451" t="n"/>
      <c r="AG88" s="451">
        <f>'Raw financials'!AA171+'Raw financials'!AA172</f>
        <v/>
      </c>
      <c r="AH88" s="451">
        <f>+B88</f>
        <v/>
      </c>
      <c r="AI88" s="451">
        <f>'Raw financials'!AB171+'Raw financials'!AB172</f>
        <v/>
      </c>
      <c r="AJ88" s="451">
        <f>+C88</f>
        <v/>
      </c>
      <c r="AK88" s="451">
        <f>'Raw financials'!AC171+'Raw financials'!AC172</f>
        <v/>
      </c>
      <c r="AL88" s="451">
        <f>+D88</f>
        <v/>
      </c>
      <c r="AM88" s="451">
        <f>'Raw financials'!AD171+'Raw financials'!AD172</f>
        <v/>
      </c>
      <c r="AN88" s="451">
        <f>+E88</f>
        <v/>
      </c>
      <c r="AO88" s="451">
        <f>'Raw financials'!AE171+'Raw financials'!AE172</f>
        <v/>
      </c>
      <c r="AP88" s="451">
        <f>+F88</f>
        <v/>
      </c>
      <c r="AQ88" s="451">
        <f>'Raw financials'!AF171+'Raw financials'!AF172</f>
        <v/>
      </c>
      <c r="AR88" s="451">
        <f>+G88</f>
        <v/>
      </c>
      <c r="AS88" s="451">
        <f>'Raw financials'!AG171+'Raw financials'!AG172</f>
        <v/>
      </c>
      <c r="AT88" s="451">
        <f>+H88</f>
        <v/>
      </c>
      <c r="AU88" s="451">
        <f>'Raw financials'!AH171+'Raw financials'!AH172</f>
        <v/>
      </c>
      <c r="AV88" s="451">
        <f>+I88</f>
        <v/>
      </c>
      <c r="AW88" s="451">
        <f>'Raw financials'!AI171+'Raw financials'!AI172</f>
        <v/>
      </c>
      <c r="AX88" s="451">
        <f>+J88</f>
        <v/>
      </c>
      <c r="AY88" s="451">
        <f>'Raw financials'!AJ171+'Raw financials'!AJ172</f>
        <v/>
      </c>
      <c r="AZ88" s="451">
        <f>+K88</f>
        <v/>
      </c>
      <c r="BA88" s="451">
        <f>'Raw financials'!AK171+'Raw financials'!AK172</f>
        <v/>
      </c>
      <c r="BB88" s="451">
        <f>+L88</f>
        <v/>
      </c>
      <c r="BC88" s="451">
        <f>'Raw financials'!AL171+'Raw financials'!AL172</f>
        <v/>
      </c>
      <c r="BD88" s="451">
        <f>+M88</f>
        <v/>
      </c>
      <c r="BE88" s="451">
        <f>'Raw financials'!AM171+'Raw financials'!AM172</f>
        <v/>
      </c>
      <c r="BF88" s="451">
        <f>+N88</f>
        <v/>
      </c>
      <c r="BG88" s="451">
        <f>'Raw financials'!AN171+'Raw financials'!AN172</f>
        <v/>
      </c>
      <c r="BH88" s="451">
        <f>+O88</f>
        <v/>
      </c>
      <c r="BI88" s="451">
        <f>'Raw financials'!AO171+'Raw financials'!AO172</f>
        <v/>
      </c>
      <c r="BJ88" s="451">
        <f>+P88</f>
        <v/>
      </c>
      <c r="BK88" s="451">
        <f>'Raw financials'!AP171+'Raw financials'!AP172</f>
        <v/>
      </c>
      <c r="BL88" s="451">
        <f>+Q88</f>
        <v/>
      </c>
      <c r="BM88" s="451">
        <f>'Raw financials'!AQ171+'Raw financials'!AQ172</f>
        <v/>
      </c>
      <c r="BN88" s="451">
        <f>+R88</f>
        <v/>
      </c>
      <c r="BO88" s="451">
        <f>'Raw financials'!AR171+'Raw financials'!AR172</f>
        <v/>
      </c>
      <c r="BP88" s="451">
        <f>+S88</f>
        <v/>
      </c>
      <c r="BQ88" s="451">
        <f>'Raw financials'!AS171+'Raw financials'!AS172</f>
        <v/>
      </c>
      <c r="BR88" s="451">
        <f>+T88</f>
        <v/>
      </c>
      <c r="BS88" s="451" t="n"/>
      <c r="BT88" s="451">
        <f>+U88</f>
        <v/>
      </c>
      <c r="BU88" s="453">
        <f>BT88-BR88</f>
        <v/>
      </c>
      <c r="BV88" s="379">
        <f>BU88/BR88</f>
        <v/>
      </c>
      <c r="BW88" s="489" t="n"/>
      <c r="BX88" s="489" t="n"/>
      <c r="BZ88" s="451">
        <f>'Raw financials'!BN171+'Raw financials'!BN172</f>
        <v/>
      </c>
      <c r="CA88" s="451">
        <f>'Raw financials'!BO171+'Raw financials'!BO172</f>
        <v/>
      </c>
      <c r="CB88" s="451">
        <f>'Raw financials'!BP171+'Raw financials'!BP172</f>
        <v/>
      </c>
      <c r="CC88" s="451">
        <f>'Raw financials'!BQ171+'Raw financials'!BQ172</f>
        <v/>
      </c>
      <c r="CD88" s="451">
        <f>'Raw financials'!BR171+'Raw financials'!BR172</f>
        <v/>
      </c>
      <c r="CE88" s="451">
        <f>'Raw financials'!BS171+'Raw financials'!BS172</f>
        <v/>
      </c>
      <c r="CF88" s="451">
        <f>'Raw financials'!BT171+'Raw financials'!BT172</f>
        <v/>
      </c>
      <c r="CG88" s="451">
        <f>'Raw financials'!BU171+'Raw financials'!BU172</f>
        <v/>
      </c>
      <c r="CH88" s="451">
        <f>'Raw financials'!BV171+'Raw financials'!BV172</f>
        <v/>
      </c>
      <c r="CI88" s="451">
        <f>'Raw financials'!BW171+'Raw financials'!BW172</f>
        <v/>
      </c>
      <c r="CJ88" s="451">
        <f>'Raw financials'!BX171+'Raw financials'!BX172</f>
        <v/>
      </c>
      <c r="CK88" s="451">
        <f>'Raw financials'!BY171+'Raw financials'!BY172</f>
        <v/>
      </c>
      <c r="CL88" s="451">
        <f>'Raw financials'!BZ171+'Raw financials'!BZ172</f>
        <v/>
      </c>
      <c r="CM88" s="451">
        <f>'Raw financials'!CA171+'Raw financials'!CA172</f>
        <v/>
      </c>
      <c r="CN88" s="451">
        <f>'Raw financials'!CB171+'Raw financials'!CB172</f>
        <v/>
      </c>
      <c r="CO88" s="451">
        <f>'Raw financials'!CC171+'Raw financials'!CC172</f>
        <v/>
      </c>
      <c r="CP88" s="451">
        <f>'Raw financials'!CD171+'Raw financials'!CD172</f>
        <v/>
      </c>
      <c r="CQ88" s="451">
        <f>'Raw financials'!CE171+'Raw financials'!CE172</f>
        <v/>
      </c>
      <c r="CR88" s="451">
        <f>'Raw financials'!CF171+'Raw financials'!CF172</f>
        <v/>
      </c>
      <c r="CS88" s="451">
        <f>'Raw financials'!CG171+'Raw financials'!CG172</f>
        <v/>
      </c>
      <c r="CT88" s="451">
        <f>'Raw financials'!CH171+'Raw financials'!CH172</f>
        <v/>
      </c>
      <c r="CU88" s="451">
        <f>'Raw financials'!CI171+'Raw financials'!CI172</f>
        <v/>
      </c>
      <c r="CV88" s="451">
        <f>'Raw financials'!CJ171+'Raw financials'!CJ172</f>
        <v/>
      </c>
      <c r="CW88" s="451">
        <f>'Raw financials'!CK171+'Raw financials'!CK172</f>
        <v/>
      </c>
      <c r="CX88" s="451">
        <f>'Raw financials'!CL171+'Raw financials'!CL172</f>
        <v/>
      </c>
      <c r="CY88" s="451">
        <f>'Raw financials'!CM171+'Raw financials'!CM172</f>
        <v/>
      </c>
      <c r="CZ88" s="451">
        <f>'Raw financials'!CN171+'Raw financials'!CN172</f>
        <v/>
      </c>
      <c r="DA88" s="451">
        <f>'Raw financials'!CO171+'Raw financials'!CO172</f>
        <v/>
      </c>
      <c r="DB88" s="451">
        <f>'Raw financials'!CP171+'Raw financials'!CP172</f>
        <v/>
      </c>
      <c r="DC88" s="451">
        <f>'Raw financials'!CQ171+'Raw financials'!CQ172</f>
        <v/>
      </c>
      <c r="DD88" s="451">
        <f>'Raw financials'!CR171+'Raw financials'!CR172</f>
        <v/>
      </c>
      <c r="DE88" s="451">
        <f>'Raw financials'!CS171+'Raw financials'!CS172</f>
        <v/>
      </c>
      <c r="DF88" s="451">
        <f>'Raw financials'!CT171+'Raw financials'!CT172</f>
        <v/>
      </c>
      <c r="DG88" s="451">
        <f>'Raw financials'!CU171+'Raw financials'!CU172</f>
        <v/>
      </c>
      <c r="DH88" s="451">
        <f>'Raw financials'!CV171+'Raw financials'!CV172</f>
        <v/>
      </c>
      <c r="DI88" s="451">
        <f>'Raw financials'!CW171+'Raw financials'!CW172</f>
        <v/>
      </c>
      <c r="DJ88" s="451">
        <f>'Raw financials'!CX171+'Raw financials'!CX172</f>
        <v/>
      </c>
      <c r="DK88" s="451">
        <f>'Raw financials'!CY171+'Raw financials'!CY172</f>
        <v/>
      </c>
      <c r="DL88" s="451">
        <f>'Raw financials'!CZ171+'Raw financials'!CZ172</f>
        <v/>
      </c>
      <c r="DM88" s="451">
        <f>'Raw financials'!DA171+'Raw financials'!DA172</f>
        <v/>
      </c>
      <c r="DN88" s="451">
        <f>'Raw financials'!DB171+'Raw financials'!DB172</f>
        <v/>
      </c>
      <c r="DO88" s="451">
        <f>'Raw financials'!DC171+'Raw financials'!DC172</f>
        <v/>
      </c>
      <c r="DP88" s="451">
        <f>'Raw financials'!DD171+'Raw financials'!DD172</f>
        <v/>
      </c>
      <c r="DQ88" s="451">
        <f>'Raw financials'!DE171+'Raw financials'!DE172</f>
        <v/>
      </c>
      <c r="DR88" s="451">
        <f>'Raw financials'!DF171+'Raw financials'!DF172</f>
        <v/>
      </c>
      <c r="DS88" s="451">
        <f>'Raw financials'!DG171+'Raw financials'!DG172</f>
        <v/>
      </c>
      <c r="DT88" s="451">
        <f>'Raw financials'!DH171+'Raw financials'!DH172</f>
        <v/>
      </c>
      <c r="DU88" s="451">
        <f>'Raw financials'!DI171+'Raw financials'!DI172</f>
        <v/>
      </c>
      <c r="DV88" s="451">
        <f>'Raw financials'!DJ171+'Raw financials'!DJ172</f>
        <v/>
      </c>
      <c r="DW88" s="451">
        <f>'Raw financials'!DK171+'Raw financials'!DK172</f>
        <v/>
      </c>
      <c r="DX88" s="451" t="n"/>
      <c r="DY88" s="451" t="n"/>
      <c r="DZ88" s="451">
        <f>'Raw financials'!DN171+'Raw financials'!DN172</f>
        <v/>
      </c>
      <c r="EA88" s="451">
        <f>'Raw financials'!DO171+'Raw financials'!DO172</f>
        <v/>
      </c>
      <c r="EB88" s="451">
        <f>'Raw financials'!DP171+'Raw financials'!DP172</f>
        <v/>
      </c>
      <c r="EC88" s="451">
        <f>'Raw financials'!DQ171+'Raw financials'!DQ172</f>
        <v/>
      </c>
      <c r="ED88" s="451">
        <f>'Raw financials'!DR171+'Raw financials'!DR172</f>
        <v/>
      </c>
      <c r="EE88" s="451">
        <f>'Raw financials'!DS171+'Raw financials'!DS172</f>
        <v/>
      </c>
      <c r="EF88" s="451">
        <f>'Raw financials'!DT171+'Raw financials'!DT172</f>
        <v/>
      </c>
      <c r="EG88" s="451">
        <f>'Raw financials'!DU171+'Raw financials'!DU172</f>
        <v/>
      </c>
      <c r="EH88" s="451">
        <f>'Raw financials'!DV171+'Raw financials'!DV172</f>
        <v/>
      </c>
      <c r="EI88" s="451">
        <f>'Raw financials'!DW171+'Raw financials'!DW172</f>
        <v/>
      </c>
      <c r="EJ88" s="451">
        <f>'Raw financials'!DX171+'Raw financials'!DX172</f>
        <v/>
      </c>
      <c r="EK88" s="451">
        <f>'Raw financials'!DY171+'Raw financials'!DY172</f>
        <v/>
      </c>
      <c r="EL88" s="451">
        <f>'Raw financials'!DZ171+'Raw financials'!DZ172</f>
        <v/>
      </c>
      <c r="EM88" s="451">
        <f>'Raw financials'!EA171+'Raw financials'!EA172</f>
        <v/>
      </c>
      <c r="EN88" s="451">
        <f>'Raw financials'!EB171+'Raw financials'!EB172</f>
        <v/>
      </c>
      <c r="EO88" s="451">
        <f>'Raw financials'!EC171+'Raw financials'!EC172</f>
        <v/>
      </c>
      <c r="EP88" s="451">
        <f>'Raw financials'!ED171+'Raw financials'!ED172</f>
        <v/>
      </c>
      <c r="EQ88" s="451">
        <f>'Raw financials'!EE171+'Raw financials'!EE172</f>
        <v/>
      </c>
      <c r="ER88" s="451">
        <f>'Raw financials'!EF171+'Raw financials'!EF172</f>
        <v/>
      </c>
      <c r="ES88" s="451">
        <f>'Raw financials'!EG171+'Raw financials'!EG172</f>
        <v/>
      </c>
      <c r="ET88" s="451">
        <f>'Raw financials'!EH171+'Raw financials'!EH172</f>
        <v/>
      </c>
      <c r="EU88" s="451">
        <f>'Raw financials'!EI171+'Raw financials'!EI172</f>
        <v/>
      </c>
      <c r="EV88" s="451">
        <f>'Raw financials'!EJ171+'Raw financials'!EJ172</f>
        <v/>
      </c>
      <c r="EW88" s="451">
        <f>'Raw financials'!EK171+'Raw financials'!EK172</f>
        <v/>
      </c>
      <c r="EX88" s="451">
        <f>'Raw financials'!EL171+'Raw financials'!EL172</f>
        <v/>
      </c>
      <c r="EY88" s="451">
        <f>'Raw financials'!EM171+'Raw financials'!EM172</f>
        <v/>
      </c>
      <c r="EZ88" s="454" t="n"/>
      <c r="FA88" s="454" t="n"/>
      <c r="FB88" s="452">
        <f>+FA88-EW88</f>
        <v/>
      </c>
      <c r="FC88" s="348">
        <f>+FB88/EW88</f>
        <v/>
      </c>
      <c r="FD88" s="451" t="n"/>
      <c r="FE88" s="451" t="n"/>
    </row>
    <row r="89">
      <c r="A89" s="21" t="inlineStr">
        <is>
          <t>Total shareholder's equity</t>
        </is>
      </c>
      <c r="B89" s="491">
        <f>SUM(B84:B88)</f>
        <v/>
      </c>
      <c r="C89" s="491">
        <f>SUM(C84:C88)</f>
        <v/>
      </c>
      <c r="D89" s="491">
        <f>SUM(D84:D88)</f>
        <v/>
      </c>
      <c r="E89" s="491">
        <f>SUM(E84:E88)</f>
        <v/>
      </c>
      <c r="F89" s="491">
        <f>SUM(F84:F88)</f>
        <v/>
      </c>
      <c r="G89" s="491">
        <f>SUM(G84:G88)</f>
        <v/>
      </c>
      <c r="H89" s="491">
        <f>SUM(H84:H88)</f>
        <v/>
      </c>
      <c r="I89" s="491">
        <f>SUM(I84:I88)</f>
        <v/>
      </c>
      <c r="J89" s="491">
        <f>SUM(J84:J88)</f>
        <v/>
      </c>
      <c r="K89" s="491">
        <f>SUM(K84:K88)</f>
        <v/>
      </c>
      <c r="L89" s="491">
        <f>SUM(L84:L88)</f>
        <v/>
      </c>
      <c r="M89" s="491">
        <f>SUM(M84:M88)</f>
        <v/>
      </c>
      <c r="N89" s="491">
        <f>SUM(N84:N88)</f>
        <v/>
      </c>
      <c r="O89" s="491">
        <f>SUM(O84:O88)</f>
        <v/>
      </c>
      <c r="P89" s="491">
        <f>SUM(P84:P88)</f>
        <v/>
      </c>
      <c r="Q89" s="491">
        <f>SUM(Q84:Q88)</f>
        <v/>
      </c>
      <c r="R89" s="491">
        <f>SUM(R84:R88)</f>
        <v/>
      </c>
      <c r="S89" s="491">
        <f>SUM(S84:S88)</f>
        <v/>
      </c>
      <c r="T89" s="491">
        <f>SUM(T84:T88)</f>
        <v/>
      </c>
      <c r="U89" s="491">
        <f>SUM(U84:U88)</f>
        <v/>
      </c>
      <c r="V89" s="491">
        <f>SUM(V84:V88)</f>
        <v/>
      </c>
      <c r="W89" s="491">
        <f>SUM(W84:W88)</f>
        <v/>
      </c>
      <c r="X89" s="491">
        <f>SUM(X84:X88)</f>
        <v/>
      </c>
      <c r="Y89" s="491">
        <f>SUM(Y84:Y88)</f>
        <v/>
      </c>
      <c r="Z89" s="491">
        <f>SUM(Z84:Z88)</f>
        <v/>
      </c>
      <c r="AA89" s="492">
        <f>+U89-T89</f>
        <v/>
      </c>
      <c r="AB89" s="371">
        <f>+AA89/T89</f>
        <v/>
      </c>
      <c r="AC89" s="493" t="n">
        <v>46972.5885941338</v>
      </c>
      <c r="AD89" s="494">
        <f>+X89-W89</f>
        <v/>
      </c>
      <c r="AE89" s="371">
        <f>+AD89/W89</f>
        <v/>
      </c>
      <c r="AF89" s="451" t="n"/>
      <c r="AG89" s="491">
        <f>SUM(AG84:AG88)</f>
        <v/>
      </c>
      <c r="AH89" s="491">
        <f>SUM(AH84:AH88)</f>
        <v/>
      </c>
      <c r="AI89" s="491">
        <f>SUM(AI84:AI88)</f>
        <v/>
      </c>
      <c r="AJ89" s="491">
        <f>SUM(AJ84:AJ88)</f>
        <v/>
      </c>
      <c r="AK89" s="491">
        <f>SUM(AK84:AK88)</f>
        <v/>
      </c>
      <c r="AL89" s="491">
        <f>SUM(AL84:AL88)</f>
        <v/>
      </c>
      <c r="AM89" s="491">
        <f>SUM(AM84:AM88)</f>
        <v/>
      </c>
      <c r="AN89" s="491">
        <f>SUM(AN84:AN88)</f>
        <v/>
      </c>
      <c r="AO89" s="491">
        <f>SUM(AO84:AO88)</f>
        <v/>
      </c>
      <c r="AP89" s="491">
        <f>SUM(AP84:AP88)</f>
        <v/>
      </c>
      <c r="AQ89" s="491">
        <f>SUM(AQ84:AQ88)</f>
        <v/>
      </c>
      <c r="AR89" s="491">
        <f>SUM(AR84:AR88)</f>
        <v/>
      </c>
      <c r="AS89" s="491">
        <f>SUM(AS84:AS88)</f>
        <v/>
      </c>
      <c r="AT89" s="491">
        <f>SUM(AT84:AT88)</f>
        <v/>
      </c>
      <c r="AU89" s="491">
        <f>SUM(AU84:AU88)</f>
        <v/>
      </c>
      <c r="AV89" s="491">
        <f>SUM(AV84:AV88)</f>
        <v/>
      </c>
      <c r="AW89" s="491">
        <f>SUM(AW84:AW88)</f>
        <v/>
      </c>
      <c r="AX89" s="491">
        <f>SUM(AX84:AX88)</f>
        <v/>
      </c>
      <c r="AY89" s="491">
        <f>SUM(AY84:AY88)</f>
        <v/>
      </c>
      <c r="AZ89" s="491">
        <f>SUM(AZ84:AZ88)</f>
        <v/>
      </c>
      <c r="BA89" s="491">
        <f>SUM(BA84:BA88)</f>
        <v/>
      </c>
      <c r="BB89" s="491">
        <f>SUM(BB84:BB88)</f>
        <v/>
      </c>
      <c r="BC89" s="491">
        <f>SUM(BC84:BC88)</f>
        <v/>
      </c>
      <c r="BD89" s="491">
        <f>SUM(BD84:BD88)</f>
        <v/>
      </c>
      <c r="BE89" s="491">
        <f>SUM(BE84:BE88)</f>
        <v/>
      </c>
      <c r="BF89" s="491">
        <f>SUM(BF84:BF88)</f>
        <v/>
      </c>
      <c r="BG89" s="491">
        <f>SUM(BG84:BG88)</f>
        <v/>
      </c>
      <c r="BH89" s="491">
        <f>SUM(BH84:BH88)</f>
        <v/>
      </c>
      <c r="BI89" s="491">
        <f>SUM(BI84:BI88)</f>
        <v/>
      </c>
      <c r="BJ89" s="491">
        <f>SUM(BJ84:BJ88)</f>
        <v/>
      </c>
      <c r="BK89" s="491">
        <f>SUM(BK84:BK88)</f>
        <v/>
      </c>
      <c r="BL89" s="491">
        <f>SUM(BL84:BL88)</f>
        <v/>
      </c>
      <c r="BM89" s="491">
        <f>SUM(BM84:BM88)</f>
        <v/>
      </c>
      <c r="BN89" s="491">
        <f>SUM(BN84:BN88)</f>
        <v/>
      </c>
      <c r="BO89" s="491">
        <f>SUM(BO84:BO88)</f>
        <v/>
      </c>
      <c r="BP89" s="491">
        <f>SUM(BP84:BP88)</f>
        <v/>
      </c>
      <c r="BQ89" s="491">
        <f>SUM(BQ84:BQ88)</f>
        <v/>
      </c>
      <c r="BR89" s="491">
        <f>SUM(BR84:BR88)</f>
        <v/>
      </c>
      <c r="BS89" s="491" t="n"/>
      <c r="BT89" s="491">
        <f>SUM(BT84:BT88)</f>
        <v/>
      </c>
      <c r="BU89" s="446">
        <f>BT89-BR89</f>
        <v/>
      </c>
      <c r="BV89" s="381">
        <f>BU89/BR89</f>
        <v/>
      </c>
      <c r="BW89" s="495" t="n"/>
      <c r="BX89" s="495" t="n"/>
      <c r="BZ89" s="491">
        <f>SUM(BZ84:BZ88)</f>
        <v/>
      </c>
      <c r="CA89" s="491">
        <f>SUM(CA84:CA88)</f>
        <v/>
      </c>
      <c r="CB89" s="491">
        <f>SUM(CB84:CB88)</f>
        <v/>
      </c>
      <c r="CC89" s="491">
        <f>SUM(CC84:CC88)</f>
        <v/>
      </c>
      <c r="CD89" s="491">
        <f>SUM(CD84:CD88)</f>
        <v/>
      </c>
      <c r="CE89" s="491">
        <f>SUM(CE84:CE88)</f>
        <v/>
      </c>
      <c r="CF89" s="491">
        <f>SUM(CF84:CF88)</f>
        <v/>
      </c>
      <c r="CG89" s="491">
        <f>SUM(CG84:CG88)</f>
        <v/>
      </c>
      <c r="CH89" s="491">
        <f>SUM(CH84:CH88)</f>
        <v/>
      </c>
      <c r="CI89" s="491">
        <f>SUM(CI84:CI88)</f>
        <v/>
      </c>
      <c r="CJ89" s="491">
        <f>SUM(CJ84:CJ88)</f>
        <v/>
      </c>
      <c r="CK89" s="491">
        <f>SUM(CK84:CK88)</f>
        <v/>
      </c>
      <c r="CL89" s="491">
        <f>SUM(CL84:CL88)</f>
        <v/>
      </c>
      <c r="CM89" s="491">
        <f>SUM(CM84:CM88)</f>
        <v/>
      </c>
      <c r="CN89" s="491">
        <f>SUM(CN84:CN88)</f>
        <v/>
      </c>
      <c r="CO89" s="491">
        <f>SUM(CO84:CO88)</f>
        <v/>
      </c>
      <c r="CP89" s="491">
        <f>SUM(CP84:CP88)</f>
        <v/>
      </c>
      <c r="CQ89" s="491">
        <f>SUM(CQ84:CQ88)</f>
        <v/>
      </c>
      <c r="CR89" s="491">
        <f>SUM(CR84:CR88)</f>
        <v/>
      </c>
      <c r="CS89" s="491">
        <f>SUM(CS84:CS88)</f>
        <v/>
      </c>
      <c r="CT89" s="491">
        <f>SUM(CT84:CT88)</f>
        <v/>
      </c>
      <c r="CU89" s="491">
        <f>SUM(CU84:CU88)</f>
        <v/>
      </c>
      <c r="CV89" s="491">
        <f>SUM(CV84:CV88)</f>
        <v/>
      </c>
      <c r="CW89" s="491">
        <f>SUM(CW84:CW88)</f>
        <v/>
      </c>
      <c r="CX89" s="491">
        <f>SUM(CX84:CX88)</f>
        <v/>
      </c>
      <c r="CY89" s="491">
        <f>SUM(CY84:CY88)</f>
        <v/>
      </c>
      <c r="CZ89" s="491">
        <f>SUM(CZ84:CZ88)</f>
        <v/>
      </c>
      <c r="DA89" s="491">
        <f>SUM(DA84:DA88)</f>
        <v/>
      </c>
      <c r="DB89" s="491">
        <f>SUM(DB84:DB88)</f>
        <v/>
      </c>
      <c r="DC89" s="491">
        <f>SUM(DC84:DC88)</f>
        <v/>
      </c>
      <c r="DD89" s="491">
        <f>SUM(DD84:DD88)</f>
        <v/>
      </c>
      <c r="DE89" s="491">
        <f>SUM(DE84:DE88)</f>
        <v/>
      </c>
      <c r="DF89" s="491">
        <f>SUM(DF84:DF88)</f>
        <v/>
      </c>
      <c r="DG89" s="491">
        <f>SUM(DG84:DG88)</f>
        <v/>
      </c>
      <c r="DH89" s="491">
        <f>SUM(DH84:DH88)</f>
        <v/>
      </c>
      <c r="DI89" s="491">
        <f>SUM(DI84:DI88)</f>
        <v/>
      </c>
      <c r="DJ89" s="491">
        <f>SUM(DJ84:DJ88)</f>
        <v/>
      </c>
      <c r="DK89" s="491">
        <f>SUM(DK84:DK88)</f>
        <v/>
      </c>
      <c r="DL89" s="491">
        <f>SUM(DL84:DL88)</f>
        <v/>
      </c>
      <c r="DM89" s="491">
        <f>SUM(DM84:DM88)</f>
        <v/>
      </c>
      <c r="DN89" s="491">
        <f>SUM(DN84:DN88)</f>
        <v/>
      </c>
      <c r="DO89" s="491">
        <f>SUM(DO84:DO88)</f>
        <v/>
      </c>
      <c r="DP89" s="491">
        <f>SUM(DP84:DP88)</f>
        <v/>
      </c>
      <c r="DQ89" s="491">
        <f>SUM(DQ84:DQ88)</f>
        <v/>
      </c>
      <c r="DR89" s="491">
        <f>SUM(DR84:DR88)</f>
        <v/>
      </c>
      <c r="DS89" s="491">
        <f>SUM(DS84:DS88)</f>
        <v/>
      </c>
      <c r="DT89" s="491">
        <f>SUM(DT84:DT88)</f>
        <v/>
      </c>
      <c r="DU89" s="491">
        <f>SUM(DU84:DU88)</f>
        <v/>
      </c>
      <c r="DV89" s="491">
        <f>SUM(DV84:DV88)</f>
        <v/>
      </c>
      <c r="DW89" s="491">
        <f>SUM(DW84:DW88)</f>
        <v/>
      </c>
      <c r="DX89" s="491" t="n"/>
      <c r="DY89" s="491" t="n"/>
      <c r="DZ89" s="491">
        <f>SUM(DZ84:DZ88)</f>
        <v/>
      </c>
      <c r="EA89" s="491">
        <f>SUM(EA84:EA88)</f>
        <v/>
      </c>
      <c r="EB89" s="491">
        <f>SUM(EB84:EB88)</f>
        <v/>
      </c>
      <c r="EC89" s="491">
        <f>SUM(EC84:EC88)</f>
        <v/>
      </c>
      <c r="ED89" s="491">
        <f>SUM(ED84:ED88)</f>
        <v/>
      </c>
      <c r="EE89" s="491">
        <f>SUM(EE84:EE88)</f>
        <v/>
      </c>
      <c r="EF89" s="491">
        <f>SUM(EF84:EF88)</f>
        <v/>
      </c>
      <c r="EG89" s="491">
        <f>SUM(EG84:EG88)</f>
        <v/>
      </c>
      <c r="EH89" s="491">
        <f>SUM(EH84:EH88)</f>
        <v/>
      </c>
      <c r="EI89" s="491">
        <f>SUM(EI84:EI88)</f>
        <v/>
      </c>
      <c r="EJ89" s="491">
        <f>SUM(EJ84:EJ88)</f>
        <v/>
      </c>
      <c r="EK89" s="491">
        <f>SUM(EK84:EK88)</f>
        <v/>
      </c>
      <c r="EL89" s="491">
        <f>SUM(EL84:EL88)</f>
        <v/>
      </c>
      <c r="EM89" s="491">
        <f>SUM(EM84:EM88)</f>
        <v/>
      </c>
      <c r="EN89" s="491">
        <f>SUM(EN84:EN88)</f>
        <v/>
      </c>
      <c r="EO89" s="491">
        <f>SUM(EO84:EO88)</f>
        <v/>
      </c>
      <c r="EP89" s="491">
        <f>SUM(EP84:EP88)</f>
        <v/>
      </c>
      <c r="EQ89" s="491">
        <f>SUM(EQ84:EQ88)</f>
        <v/>
      </c>
      <c r="ER89" s="491">
        <f>SUM(ER84:ER88)</f>
        <v/>
      </c>
      <c r="ES89" s="491">
        <f>SUM(ES84:ES88)</f>
        <v/>
      </c>
      <c r="ET89" s="491">
        <f>SUM(ET84:ET88)</f>
        <v/>
      </c>
      <c r="EU89" s="491">
        <f>SUM(EU84:EU88)</f>
        <v/>
      </c>
      <c r="EV89" s="491">
        <f>SUM(EV84:EV88)</f>
        <v/>
      </c>
      <c r="EW89" s="491">
        <f>SUM(EW84:EW88)</f>
        <v/>
      </c>
      <c r="EX89" s="491">
        <f>SUM(EX84:EX88)</f>
        <v/>
      </c>
      <c r="EY89" s="491">
        <f>SUM(EY84:EY88)</f>
        <v/>
      </c>
      <c r="EZ89" s="496" t="n"/>
      <c r="FA89" s="496" t="n"/>
      <c r="FB89" s="452">
        <f>+FA89-EW89</f>
        <v/>
      </c>
      <c r="FC89" s="348">
        <f>+FB89/EW89</f>
        <v/>
      </c>
      <c r="FD89" s="493" t="n"/>
      <c r="FE89" s="493" t="n"/>
    </row>
    <row r="90">
      <c r="A90" s="6" t="inlineStr">
        <is>
          <t>Minority interest</t>
        </is>
      </c>
      <c r="B90" s="451">
        <f>'Raw financials'!B177</f>
        <v/>
      </c>
      <c r="C90" s="451">
        <f>'Raw financials'!C177</f>
        <v/>
      </c>
      <c r="D90" s="451">
        <f>'Raw financials'!D177</f>
        <v/>
      </c>
      <c r="E90" s="451">
        <f>'Raw financials'!E177</f>
        <v/>
      </c>
      <c r="F90" s="451">
        <f>'Raw financials'!F177</f>
        <v/>
      </c>
      <c r="G90" s="451">
        <f>'Raw financials'!G177</f>
        <v/>
      </c>
      <c r="H90" s="451">
        <f>'Raw financials'!H177</f>
        <v/>
      </c>
      <c r="I90" s="451">
        <f>'Raw financials'!I177</f>
        <v/>
      </c>
      <c r="J90" s="451">
        <f>'Raw financials'!J177</f>
        <v/>
      </c>
      <c r="K90" s="451">
        <f>'Raw financials'!K177</f>
        <v/>
      </c>
      <c r="L90" s="451">
        <f>'Raw financials'!L177</f>
        <v/>
      </c>
      <c r="M90" s="451">
        <f>'Raw financials'!M177</f>
        <v/>
      </c>
      <c r="N90" s="451">
        <f>'Raw financials'!N177</f>
        <v/>
      </c>
      <c r="O90" s="451">
        <f>'Raw financials'!O177</f>
        <v/>
      </c>
      <c r="P90" s="451">
        <f>'Raw financials'!P177</f>
        <v/>
      </c>
      <c r="Q90" s="451">
        <f>'Raw financials'!Q177</f>
        <v/>
      </c>
      <c r="R90" s="451">
        <f>'Raw financials'!R177</f>
        <v/>
      </c>
      <c r="S90" s="451">
        <f>'Raw financials'!S177</f>
        <v/>
      </c>
      <c r="T90" s="451">
        <f>'Raw financials'!T177</f>
        <v/>
      </c>
      <c r="U90" s="451">
        <f>T90</f>
        <v/>
      </c>
      <c r="V90" s="451">
        <f>U90</f>
        <v/>
      </c>
      <c r="W90" s="451">
        <f>V90</f>
        <v/>
      </c>
      <c r="X90" s="451">
        <f>W90</f>
        <v/>
      </c>
      <c r="Y90" s="451">
        <f>X90</f>
        <v/>
      </c>
      <c r="Z90" s="451">
        <f>Y90</f>
        <v/>
      </c>
      <c r="AA90" s="452">
        <f>+U90-T90</f>
        <v/>
      </c>
      <c r="AB90" s="348">
        <f>+AA90/T90</f>
        <v/>
      </c>
      <c r="AC90" s="451" t="n">
        <v>4345.9658</v>
      </c>
      <c r="AD90" s="452">
        <f>+X90-W90</f>
        <v/>
      </c>
      <c r="AE90" s="348">
        <f>+AD90/W90</f>
        <v/>
      </c>
      <c r="AF90" s="451" t="n"/>
      <c r="AG90" s="451">
        <f>'Raw financials'!AA177</f>
        <v/>
      </c>
      <c r="AH90" s="451">
        <f>+B90</f>
        <v/>
      </c>
      <c r="AI90" s="451">
        <f>'Raw financials'!AB177</f>
        <v/>
      </c>
      <c r="AJ90" s="451">
        <f>+C90</f>
        <v/>
      </c>
      <c r="AK90" s="451">
        <f>'Raw financials'!AC177</f>
        <v/>
      </c>
      <c r="AL90" s="451">
        <f>+D90</f>
        <v/>
      </c>
      <c r="AM90" s="451">
        <f>'Raw financials'!AD177</f>
        <v/>
      </c>
      <c r="AN90" s="451">
        <f>+E90</f>
        <v/>
      </c>
      <c r="AO90" s="451">
        <f>'Raw financials'!AE177</f>
        <v/>
      </c>
      <c r="AP90" s="451">
        <f>+F90</f>
        <v/>
      </c>
      <c r="AQ90" s="451">
        <f>'Raw financials'!AF177</f>
        <v/>
      </c>
      <c r="AR90" s="451">
        <f>+G90</f>
        <v/>
      </c>
      <c r="AS90" s="451">
        <f>'Raw financials'!AG177</f>
        <v/>
      </c>
      <c r="AT90" s="451">
        <f>+H90</f>
        <v/>
      </c>
      <c r="AU90" s="451">
        <f>'Raw financials'!AH177</f>
        <v/>
      </c>
      <c r="AV90" s="451">
        <f>+I90</f>
        <v/>
      </c>
      <c r="AW90" s="451">
        <f>'Raw financials'!AI177</f>
        <v/>
      </c>
      <c r="AX90" s="451">
        <f>+J90</f>
        <v/>
      </c>
      <c r="AY90" s="451">
        <f>'Raw financials'!AJ177</f>
        <v/>
      </c>
      <c r="AZ90" s="451">
        <f>+K90</f>
        <v/>
      </c>
      <c r="BA90" s="451">
        <f>'Raw financials'!AK177</f>
        <v/>
      </c>
      <c r="BB90" s="451">
        <f>+L90</f>
        <v/>
      </c>
      <c r="BC90" s="451">
        <f>'Raw financials'!AL177</f>
        <v/>
      </c>
      <c r="BD90" s="451">
        <f>+M90</f>
        <v/>
      </c>
      <c r="BE90" s="451">
        <f>'Raw financials'!AM177</f>
        <v/>
      </c>
      <c r="BF90" s="451">
        <f>+N90</f>
        <v/>
      </c>
      <c r="BG90" s="451">
        <f>'Raw financials'!AN177</f>
        <v/>
      </c>
      <c r="BH90" s="451">
        <f>+O90</f>
        <v/>
      </c>
      <c r="BI90" s="451">
        <f>'Raw financials'!AO177</f>
        <v/>
      </c>
      <c r="BJ90" s="451">
        <f>+P90</f>
        <v/>
      </c>
      <c r="BK90" s="451">
        <f>'Raw financials'!AP177</f>
        <v/>
      </c>
      <c r="BL90" s="451">
        <f>+Q90</f>
        <v/>
      </c>
      <c r="BM90" s="451">
        <f>'Raw financials'!AQ177</f>
        <v/>
      </c>
      <c r="BN90" s="451">
        <f>+R90</f>
        <v/>
      </c>
      <c r="BO90" s="451">
        <f>'Raw financials'!AR177</f>
        <v/>
      </c>
      <c r="BP90" s="451">
        <f>+S90</f>
        <v/>
      </c>
      <c r="BQ90" s="451">
        <f>'Raw financials'!AS177</f>
        <v/>
      </c>
      <c r="BR90" s="451">
        <f>+T90</f>
        <v/>
      </c>
      <c r="BS90" s="451" t="n"/>
      <c r="BT90" s="451">
        <f>+U90</f>
        <v/>
      </c>
      <c r="BU90" s="453">
        <f>BT90-BR90</f>
        <v/>
      </c>
      <c r="BV90" s="379">
        <f>BU90/BR90</f>
        <v/>
      </c>
      <c r="BW90" s="489" t="n"/>
      <c r="BX90" s="489" t="n"/>
      <c r="BZ90" s="451">
        <f>'Raw financials'!BN177</f>
        <v/>
      </c>
      <c r="CA90" s="451">
        <f>'Raw financials'!BO177</f>
        <v/>
      </c>
      <c r="CB90" s="451">
        <f>'Raw financials'!BP177</f>
        <v/>
      </c>
      <c r="CC90" s="451">
        <f>'Raw financials'!BQ177</f>
        <v/>
      </c>
      <c r="CD90" s="451">
        <f>'Raw financials'!BR177</f>
        <v/>
      </c>
      <c r="CE90" s="451">
        <f>'Raw financials'!BS177</f>
        <v/>
      </c>
      <c r="CF90" s="451">
        <f>'Raw financials'!BT177</f>
        <v/>
      </c>
      <c r="CG90" s="451">
        <f>'Raw financials'!BU177</f>
        <v/>
      </c>
      <c r="CH90" s="451">
        <f>'Raw financials'!BV177</f>
        <v/>
      </c>
      <c r="CI90" s="451">
        <f>'Raw financials'!BW177</f>
        <v/>
      </c>
      <c r="CJ90" s="451">
        <f>'Raw financials'!BX177</f>
        <v/>
      </c>
      <c r="CK90" s="451">
        <f>'Raw financials'!BY177</f>
        <v/>
      </c>
      <c r="CL90" s="451">
        <f>'Raw financials'!BZ177</f>
        <v/>
      </c>
      <c r="CM90" s="451">
        <f>'Raw financials'!CA177</f>
        <v/>
      </c>
      <c r="CN90" s="451">
        <f>'Raw financials'!CB177</f>
        <v/>
      </c>
      <c r="CO90" s="451">
        <f>'Raw financials'!CC177</f>
        <v/>
      </c>
      <c r="CP90" s="451">
        <f>'Raw financials'!CD177</f>
        <v/>
      </c>
      <c r="CQ90" s="451">
        <f>'Raw financials'!CE177</f>
        <v/>
      </c>
      <c r="CR90" s="451">
        <f>'Raw financials'!CF177</f>
        <v/>
      </c>
      <c r="CS90" s="451">
        <f>'Raw financials'!CG177</f>
        <v/>
      </c>
      <c r="CT90" s="451">
        <f>'Raw financials'!CH177</f>
        <v/>
      </c>
      <c r="CU90" s="451">
        <f>'Raw financials'!CI177</f>
        <v/>
      </c>
      <c r="CV90" s="451">
        <f>'Raw financials'!CJ177</f>
        <v/>
      </c>
      <c r="CW90" s="451">
        <f>'Raw financials'!CK177</f>
        <v/>
      </c>
      <c r="CX90" s="451">
        <f>'Raw financials'!CL177</f>
        <v/>
      </c>
      <c r="CY90" s="451">
        <f>'Raw financials'!CM177</f>
        <v/>
      </c>
      <c r="CZ90" s="451">
        <f>'Raw financials'!CN177</f>
        <v/>
      </c>
      <c r="DA90" s="451">
        <f>'Raw financials'!CO177</f>
        <v/>
      </c>
      <c r="DB90" s="451">
        <f>'Raw financials'!CP177</f>
        <v/>
      </c>
      <c r="DC90" s="451">
        <f>'Raw financials'!CQ177</f>
        <v/>
      </c>
      <c r="DD90" s="451">
        <f>'Raw financials'!CR177</f>
        <v/>
      </c>
      <c r="DE90" s="451">
        <f>'Raw financials'!CS177</f>
        <v/>
      </c>
      <c r="DF90" s="451">
        <f>'Raw financials'!CT177</f>
        <v/>
      </c>
      <c r="DG90" s="451">
        <f>'Raw financials'!CU177</f>
        <v/>
      </c>
      <c r="DH90" s="451">
        <f>'Raw financials'!CV177</f>
        <v/>
      </c>
      <c r="DI90" s="451">
        <f>'Raw financials'!CW177</f>
        <v/>
      </c>
      <c r="DJ90" s="451">
        <f>'Raw financials'!CX177</f>
        <v/>
      </c>
      <c r="DK90" s="451">
        <f>'Raw financials'!CY177</f>
        <v/>
      </c>
      <c r="DL90" s="451">
        <f>'Raw financials'!CZ177</f>
        <v/>
      </c>
      <c r="DM90" s="451">
        <f>'Raw financials'!DA177</f>
        <v/>
      </c>
      <c r="DN90" s="451">
        <f>'Raw financials'!DB177</f>
        <v/>
      </c>
      <c r="DO90" s="451">
        <f>'Raw financials'!DC177</f>
        <v/>
      </c>
      <c r="DP90" s="451">
        <f>'Raw financials'!DD177</f>
        <v/>
      </c>
      <c r="DQ90" s="451">
        <f>'Raw financials'!DE177</f>
        <v/>
      </c>
      <c r="DR90" s="451">
        <f>'Raw financials'!DF177</f>
        <v/>
      </c>
      <c r="DS90" s="451">
        <f>'Raw financials'!DG177</f>
        <v/>
      </c>
      <c r="DT90" s="451">
        <f>'Raw financials'!DH177</f>
        <v/>
      </c>
      <c r="DU90" s="451">
        <f>'Raw financials'!DI177</f>
        <v/>
      </c>
      <c r="DV90" s="451">
        <f>'Raw financials'!DJ177</f>
        <v/>
      </c>
      <c r="DW90" s="451">
        <f>'Raw financials'!DK177</f>
        <v/>
      </c>
      <c r="DX90" s="451" t="n"/>
      <c r="DY90" s="451" t="n"/>
      <c r="DZ90" s="451">
        <f>'Raw financials'!DN177</f>
        <v/>
      </c>
      <c r="EA90" s="451">
        <f>'Raw financials'!DO177</f>
        <v/>
      </c>
      <c r="EB90" s="451">
        <f>'Raw financials'!DP177</f>
        <v/>
      </c>
      <c r="EC90" s="451">
        <f>'Raw financials'!DQ177</f>
        <v/>
      </c>
      <c r="ED90" s="451">
        <f>'Raw financials'!DR177</f>
        <v/>
      </c>
      <c r="EE90" s="451">
        <f>'Raw financials'!DS177</f>
        <v/>
      </c>
      <c r="EF90" s="451">
        <f>'Raw financials'!DT177</f>
        <v/>
      </c>
      <c r="EG90" s="451">
        <f>'Raw financials'!DU177</f>
        <v/>
      </c>
      <c r="EH90" s="451">
        <f>'Raw financials'!DV177</f>
        <v/>
      </c>
      <c r="EI90" s="451">
        <f>'Raw financials'!DW177</f>
        <v/>
      </c>
      <c r="EJ90" s="451">
        <f>'Raw financials'!DX177</f>
        <v/>
      </c>
      <c r="EK90" s="451">
        <f>'Raw financials'!DY177</f>
        <v/>
      </c>
      <c r="EL90" s="451">
        <f>'Raw financials'!DZ177</f>
        <v/>
      </c>
      <c r="EM90" s="451">
        <f>'Raw financials'!EA177</f>
        <v/>
      </c>
      <c r="EN90" s="451">
        <f>'Raw financials'!EB177</f>
        <v/>
      </c>
      <c r="EO90" s="451">
        <f>'Raw financials'!EC177</f>
        <v/>
      </c>
      <c r="EP90" s="451">
        <f>'Raw financials'!ED177</f>
        <v/>
      </c>
      <c r="EQ90" s="451">
        <f>'Raw financials'!EE177</f>
        <v/>
      </c>
      <c r="ER90" s="451">
        <f>'Raw financials'!EF177</f>
        <v/>
      </c>
      <c r="ES90" s="451">
        <f>'Raw financials'!EG177</f>
        <v/>
      </c>
      <c r="ET90" s="451">
        <f>'Raw financials'!EH177</f>
        <v/>
      </c>
      <c r="EU90" s="451">
        <f>'Raw financials'!EI177</f>
        <v/>
      </c>
      <c r="EV90" s="451">
        <f>'Raw financials'!EJ177</f>
        <v/>
      </c>
      <c r="EW90" s="451">
        <f>'Raw financials'!EK177</f>
        <v/>
      </c>
      <c r="EX90" s="451">
        <f>'Raw financials'!EL177</f>
        <v/>
      </c>
      <c r="EY90" s="451">
        <f>'Raw financials'!EM177</f>
        <v/>
      </c>
      <c r="EZ90" s="454" t="n"/>
      <c r="FA90" s="454" t="n"/>
      <c r="FB90" s="452">
        <f>+FA90-EW90</f>
        <v/>
      </c>
      <c r="FC90" s="348">
        <f>+FB90/EW90</f>
        <v/>
      </c>
      <c r="FD90" s="451" t="n"/>
      <c r="FE90" s="451" t="n"/>
    </row>
    <row r="91">
      <c r="A91" s="21" t="inlineStr">
        <is>
          <t>Total equity</t>
        </is>
      </c>
      <c r="B91" s="491">
        <f>B89+B90</f>
        <v/>
      </c>
      <c r="C91" s="491">
        <f>C89+C90</f>
        <v/>
      </c>
      <c r="D91" s="491">
        <f>D89+D90</f>
        <v/>
      </c>
      <c r="E91" s="491">
        <f>E89+E90</f>
        <v/>
      </c>
      <c r="F91" s="491">
        <f>F89+F90</f>
        <v/>
      </c>
      <c r="G91" s="491">
        <f>G89+G90</f>
        <v/>
      </c>
      <c r="H91" s="491">
        <f>H89+H90</f>
        <v/>
      </c>
      <c r="I91" s="491">
        <f>I89+I90</f>
        <v/>
      </c>
      <c r="J91" s="491">
        <f>J89+J90</f>
        <v/>
      </c>
      <c r="K91" s="491">
        <f>K89+K90</f>
        <v/>
      </c>
      <c r="L91" s="491">
        <f>L89+L90</f>
        <v/>
      </c>
      <c r="M91" s="491">
        <f>M89+M90</f>
        <v/>
      </c>
      <c r="N91" s="491">
        <f>N89+N90</f>
        <v/>
      </c>
      <c r="O91" s="491">
        <f>O89+O90</f>
        <v/>
      </c>
      <c r="P91" s="491">
        <f>P89+P90</f>
        <v/>
      </c>
      <c r="Q91" s="491">
        <f>Q89+Q90</f>
        <v/>
      </c>
      <c r="R91" s="491">
        <f>R89+R90</f>
        <v/>
      </c>
      <c r="S91" s="491">
        <f>S89+S90</f>
        <v/>
      </c>
      <c r="T91" s="491">
        <f>T89+T90</f>
        <v/>
      </c>
      <c r="U91" s="491">
        <f>U89+U90</f>
        <v/>
      </c>
      <c r="V91" s="491">
        <f>V89+V90</f>
        <v/>
      </c>
      <c r="W91" s="491">
        <f>W89+W90</f>
        <v/>
      </c>
      <c r="X91" s="491">
        <f>X89+X90</f>
        <v/>
      </c>
      <c r="Y91" s="491">
        <f>Y89+Y90</f>
        <v/>
      </c>
      <c r="Z91" s="491">
        <f>Z89+Z90</f>
        <v/>
      </c>
      <c r="AA91" s="492">
        <f>+U91-T91</f>
        <v/>
      </c>
      <c r="AB91" s="371">
        <f>+AA91/T91</f>
        <v/>
      </c>
      <c r="AC91" s="493" t="n">
        <v>51318.5543941338</v>
      </c>
      <c r="AD91" s="494">
        <f>+X91-W91</f>
        <v/>
      </c>
      <c r="AE91" s="371">
        <f>+AD91/W91</f>
        <v/>
      </c>
      <c r="AF91" s="493" t="n"/>
      <c r="AG91" s="491">
        <f>AG89+AG90</f>
        <v/>
      </c>
      <c r="AH91" s="491">
        <f>AH89+AH90</f>
        <v/>
      </c>
      <c r="AI91" s="491">
        <f>AI89+AI90</f>
        <v/>
      </c>
      <c r="AJ91" s="491">
        <f>AJ89+AJ90</f>
        <v/>
      </c>
      <c r="AK91" s="491">
        <f>AK89+AK90</f>
        <v/>
      </c>
      <c r="AL91" s="491">
        <f>AL89+AL90</f>
        <v/>
      </c>
      <c r="AM91" s="491">
        <f>AM89+AM90</f>
        <v/>
      </c>
      <c r="AN91" s="491">
        <f>AN89+AN90</f>
        <v/>
      </c>
      <c r="AO91" s="491">
        <f>AO89+AO90</f>
        <v/>
      </c>
      <c r="AP91" s="491">
        <f>AP89+AP90</f>
        <v/>
      </c>
      <c r="AQ91" s="491">
        <f>AQ89+AQ90</f>
        <v/>
      </c>
      <c r="AR91" s="491">
        <f>AR89+AR90</f>
        <v/>
      </c>
      <c r="AS91" s="491">
        <f>AS89+AS90</f>
        <v/>
      </c>
      <c r="AT91" s="491">
        <f>AT89+AT90</f>
        <v/>
      </c>
      <c r="AU91" s="491">
        <f>AU89+AU90</f>
        <v/>
      </c>
      <c r="AV91" s="491">
        <f>AV89+AV90</f>
        <v/>
      </c>
      <c r="AW91" s="491">
        <f>AW89+AW90</f>
        <v/>
      </c>
      <c r="AX91" s="491">
        <f>AX89+AX90</f>
        <v/>
      </c>
      <c r="AY91" s="491">
        <f>AY89+AY90</f>
        <v/>
      </c>
      <c r="AZ91" s="491">
        <f>AZ89+AZ90</f>
        <v/>
      </c>
      <c r="BA91" s="491">
        <f>BA89+BA90</f>
        <v/>
      </c>
      <c r="BB91" s="491">
        <f>BB89+BB90</f>
        <v/>
      </c>
      <c r="BC91" s="491">
        <f>BC89+BC90</f>
        <v/>
      </c>
      <c r="BD91" s="491">
        <f>BD89+BD90</f>
        <v/>
      </c>
      <c r="BE91" s="491">
        <f>BE89+BE90</f>
        <v/>
      </c>
      <c r="BF91" s="491">
        <f>BF89+BF90</f>
        <v/>
      </c>
      <c r="BG91" s="491">
        <f>BG89+BG90</f>
        <v/>
      </c>
      <c r="BH91" s="491">
        <f>BH89+BH90</f>
        <v/>
      </c>
      <c r="BI91" s="491">
        <f>BI89+BI90</f>
        <v/>
      </c>
      <c r="BJ91" s="491">
        <f>BJ89+BJ90</f>
        <v/>
      </c>
      <c r="BK91" s="491">
        <f>BK89+BK90</f>
        <v/>
      </c>
      <c r="BL91" s="491">
        <f>BL89+BL90</f>
        <v/>
      </c>
      <c r="BM91" s="491">
        <f>BM89+BM90</f>
        <v/>
      </c>
      <c r="BN91" s="491">
        <f>BN89+BN90</f>
        <v/>
      </c>
      <c r="BO91" s="491">
        <f>BO89+BO90</f>
        <v/>
      </c>
      <c r="BP91" s="491">
        <f>BP89+BP90</f>
        <v/>
      </c>
      <c r="BQ91" s="491">
        <f>BQ89+BQ90</f>
        <v/>
      </c>
      <c r="BR91" s="491">
        <f>BR89+BR90</f>
        <v/>
      </c>
      <c r="BS91" s="491" t="n"/>
      <c r="BT91" s="491">
        <f>BT89+BT90</f>
        <v/>
      </c>
      <c r="BU91" s="446">
        <f>BT91-BR91</f>
        <v/>
      </c>
      <c r="BV91" s="381">
        <f>BU91/BR91</f>
        <v/>
      </c>
      <c r="BW91" s="495" t="n"/>
      <c r="BX91" s="495" t="n"/>
      <c r="BZ91" s="491">
        <f>BZ89+BZ90</f>
        <v/>
      </c>
      <c r="CA91" s="491">
        <f>CA89+CA90</f>
        <v/>
      </c>
      <c r="CB91" s="491">
        <f>CB89+CB90</f>
        <v/>
      </c>
      <c r="CC91" s="491">
        <f>CC89+CC90</f>
        <v/>
      </c>
      <c r="CD91" s="491">
        <f>CD89+CD90</f>
        <v/>
      </c>
      <c r="CE91" s="491">
        <f>CE89+CE90</f>
        <v/>
      </c>
      <c r="CF91" s="491">
        <f>CF89+CF90</f>
        <v/>
      </c>
      <c r="CG91" s="491">
        <f>CG89+CG90</f>
        <v/>
      </c>
      <c r="CH91" s="491">
        <f>CH89+CH90</f>
        <v/>
      </c>
      <c r="CI91" s="491">
        <f>CI89+CI90</f>
        <v/>
      </c>
      <c r="CJ91" s="491">
        <f>CJ89+CJ90</f>
        <v/>
      </c>
      <c r="CK91" s="491">
        <f>CK89+CK90</f>
        <v/>
      </c>
      <c r="CL91" s="491">
        <f>CL89+CL90</f>
        <v/>
      </c>
      <c r="CM91" s="491">
        <f>CM89+CM90</f>
        <v/>
      </c>
      <c r="CN91" s="491">
        <f>CN89+CN90</f>
        <v/>
      </c>
      <c r="CO91" s="491">
        <f>CO89+CO90</f>
        <v/>
      </c>
      <c r="CP91" s="491">
        <f>CP89+CP90</f>
        <v/>
      </c>
      <c r="CQ91" s="491">
        <f>CQ89+CQ90</f>
        <v/>
      </c>
      <c r="CR91" s="491">
        <f>CR89+CR90</f>
        <v/>
      </c>
      <c r="CS91" s="491">
        <f>CS89+CS90</f>
        <v/>
      </c>
      <c r="CT91" s="491">
        <f>CT89+CT90</f>
        <v/>
      </c>
      <c r="CU91" s="491">
        <f>CU89+CU90</f>
        <v/>
      </c>
      <c r="CV91" s="491">
        <f>CV89+CV90</f>
        <v/>
      </c>
      <c r="CW91" s="491">
        <f>CW89+CW90</f>
        <v/>
      </c>
      <c r="CX91" s="491">
        <f>CX89+CX90</f>
        <v/>
      </c>
      <c r="CY91" s="491">
        <f>CY89+CY90</f>
        <v/>
      </c>
      <c r="CZ91" s="491">
        <f>CZ89+CZ90</f>
        <v/>
      </c>
      <c r="DA91" s="491">
        <f>DA89+DA90</f>
        <v/>
      </c>
      <c r="DB91" s="491">
        <f>DB89+DB90</f>
        <v/>
      </c>
      <c r="DC91" s="491">
        <f>DC89+DC90</f>
        <v/>
      </c>
      <c r="DD91" s="491">
        <f>DD89+DD90</f>
        <v/>
      </c>
      <c r="DE91" s="491">
        <f>DE89+DE90</f>
        <v/>
      </c>
      <c r="DF91" s="491">
        <f>DF89+DF90</f>
        <v/>
      </c>
      <c r="DG91" s="491">
        <f>DG89+DG90</f>
        <v/>
      </c>
      <c r="DH91" s="491">
        <f>DH89+DH90</f>
        <v/>
      </c>
      <c r="DI91" s="491">
        <f>DI89+DI90</f>
        <v/>
      </c>
      <c r="DJ91" s="491">
        <f>DJ89+DJ90</f>
        <v/>
      </c>
      <c r="DK91" s="491">
        <f>DK89+DK90</f>
        <v/>
      </c>
      <c r="DL91" s="491">
        <f>DL89+DL90</f>
        <v/>
      </c>
      <c r="DM91" s="491">
        <f>DM89+DM90</f>
        <v/>
      </c>
      <c r="DN91" s="491">
        <f>DN89+DN90</f>
        <v/>
      </c>
      <c r="DO91" s="491">
        <f>DO89+DO90</f>
        <v/>
      </c>
      <c r="DP91" s="491">
        <f>DP89+DP90</f>
        <v/>
      </c>
      <c r="DQ91" s="491">
        <f>DQ89+DQ90</f>
        <v/>
      </c>
      <c r="DR91" s="491">
        <f>DR89+DR90</f>
        <v/>
      </c>
      <c r="DS91" s="491">
        <f>DS89+DS90</f>
        <v/>
      </c>
      <c r="DT91" s="491">
        <f>DT89+DT90</f>
        <v/>
      </c>
      <c r="DU91" s="491">
        <f>DU89+DU90</f>
        <v/>
      </c>
      <c r="DV91" s="491">
        <f>DV89+DV90</f>
        <v/>
      </c>
      <c r="DW91" s="491">
        <f>DW89+DW90</f>
        <v/>
      </c>
      <c r="DX91" s="491" t="n"/>
      <c r="DY91" s="491" t="n"/>
      <c r="DZ91" s="491">
        <f>DZ89+DZ90</f>
        <v/>
      </c>
      <c r="EA91" s="491">
        <f>EA89+EA90</f>
        <v/>
      </c>
      <c r="EB91" s="491">
        <f>EB89+EB90</f>
        <v/>
      </c>
      <c r="EC91" s="491">
        <f>EC89+EC90</f>
        <v/>
      </c>
      <c r="ED91" s="491">
        <f>ED89+ED90</f>
        <v/>
      </c>
      <c r="EE91" s="491">
        <f>EE89+EE90</f>
        <v/>
      </c>
      <c r="EF91" s="491">
        <f>EF89+EF90</f>
        <v/>
      </c>
      <c r="EG91" s="491">
        <f>EG89+EG90</f>
        <v/>
      </c>
      <c r="EH91" s="491">
        <f>EH89+EH90</f>
        <v/>
      </c>
      <c r="EI91" s="491">
        <f>EI89+EI90</f>
        <v/>
      </c>
      <c r="EJ91" s="491">
        <f>EJ89+EJ90</f>
        <v/>
      </c>
      <c r="EK91" s="491">
        <f>EK89+EK90</f>
        <v/>
      </c>
      <c r="EL91" s="491">
        <f>EL89+EL90</f>
        <v/>
      </c>
      <c r="EM91" s="491">
        <f>EM89+EM90</f>
        <v/>
      </c>
      <c r="EN91" s="491">
        <f>EN89+EN90</f>
        <v/>
      </c>
      <c r="EO91" s="491">
        <f>EO89+EO90</f>
        <v/>
      </c>
      <c r="EP91" s="491">
        <f>EP89+EP90</f>
        <v/>
      </c>
      <c r="EQ91" s="491">
        <f>EQ89+EQ90</f>
        <v/>
      </c>
      <c r="ER91" s="491">
        <f>ER89+ER90</f>
        <v/>
      </c>
      <c r="ES91" s="491">
        <f>ES89+ES90</f>
        <v/>
      </c>
      <c r="ET91" s="491">
        <f>ET89+ET90</f>
        <v/>
      </c>
      <c r="EU91" s="491">
        <f>EU89+EU90</f>
        <v/>
      </c>
      <c r="EV91" s="491">
        <f>EV89+EV90</f>
        <v/>
      </c>
      <c r="EW91" s="491">
        <f>EW89+EW90</f>
        <v/>
      </c>
      <c r="EX91" s="491">
        <f>EX89+EX90</f>
        <v/>
      </c>
      <c r="EY91" s="491">
        <f>EY89+EY90</f>
        <v/>
      </c>
      <c r="EZ91" s="496" t="n"/>
      <c r="FA91" s="496" t="n"/>
      <c r="FB91" s="452">
        <f>+FA91-EW91</f>
        <v/>
      </c>
      <c r="FC91" s="348">
        <f>+FB91/EW91</f>
        <v/>
      </c>
      <c r="FD91" s="493" t="n"/>
      <c r="FE91" s="493" t="n"/>
    </row>
    <row r="92">
      <c r="AB92" s="348" t="n"/>
      <c r="AE92" s="348" t="n"/>
      <c r="BU92" s="453" t="n"/>
      <c r="BV92" s="379" t="n"/>
      <c r="BW92" s="128" t="n"/>
      <c r="BX92" s="128" t="n"/>
      <c r="EZ92" s="394" t="n"/>
      <c r="FA92" s="394" t="n"/>
      <c r="FB92" s="452" t="n"/>
      <c r="FC92" s="348" t="n"/>
    </row>
    <row r="93" ht="15" customHeight="1" thickBot="1">
      <c r="A93" s="17" t="inlineStr">
        <is>
          <t>Total liabilities and equity</t>
        </is>
      </c>
      <c r="B93" s="507">
        <f>B75+B82+B91</f>
        <v/>
      </c>
      <c r="C93" s="507">
        <f>C75+C82+C91</f>
        <v/>
      </c>
      <c r="D93" s="507">
        <f>D75+D82+D91</f>
        <v/>
      </c>
      <c r="E93" s="507">
        <f>E75+E82+E91</f>
        <v/>
      </c>
      <c r="F93" s="507">
        <f>F75+F82+F91</f>
        <v/>
      </c>
      <c r="G93" s="507">
        <f>G75+G82+G91</f>
        <v/>
      </c>
      <c r="H93" s="507">
        <f>H75+H82+H91</f>
        <v/>
      </c>
      <c r="I93" s="507">
        <f>I75+I82+I91</f>
        <v/>
      </c>
      <c r="J93" s="507">
        <f>J75+J82+J91</f>
        <v/>
      </c>
      <c r="K93" s="507">
        <f>K75+K82+K91</f>
        <v/>
      </c>
      <c r="L93" s="507">
        <f>L75+L82+L91</f>
        <v/>
      </c>
      <c r="M93" s="507">
        <f>M75+M82+M91</f>
        <v/>
      </c>
      <c r="N93" s="507">
        <f>N75+N82+N91</f>
        <v/>
      </c>
      <c r="O93" s="507">
        <f>O75+O82+O91</f>
        <v/>
      </c>
      <c r="P93" s="507">
        <f>P75+P82+P91</f>
        <v/>
      </c>
      <c r="Q93" s="507">
        <f>Q75+Q82+Q91</f>
        <v/>
      </c>
      <c r="R93" s="507">
        <f>R75+R82+R91</f>
        <v/>
      </c>
      <c r="S93" s="507">
        <f>S75+S82+S91</f>
        <v/>
      </c>
      <c r="T93" s="507">
        <f>T75+T82+T91</f>
        <v/>
      </c>
      <c r="U93" s="507">
        <f>U75+U82+U91</f>
        <v/>
      </c>
      <c r="V93" s="507">
        <f>V75+V82+V91</f>
        <v/>
      </c>
      <c r="W93" s="507">
        <f>W75+W82+W91</f>
        <v/>
      </c>
      <c r="X93" s="507">
        <f>X75+X82+X91</f>
        <v/>
      </c>
      <c r="Y93" s="507">
        <f>Y75+Y82+Y91</f>
        <v/>
      </c>
      <c r="Z93" s="507">
        <f>Z75+Z82+Z91</f>
        <v/>
      </c>
      <c r="AA93" s="508">
        <f>+U93-T93</f>
        <v/>
      </c>
      <c r="AB93" s="371">
        <f>+AA93/T93</f>
        <v/>
      </c>
      <c r="AC93" s="462" t="n">
        <v>157100.3134375333</v>
      </c>
      <c r="AD93" s="509">
        <f>+X93-W93</f>
        <v/>
      </c>
      <c r="AE93" s="371">
        <f>+AD93/W93</f>
        <v/>
      </c>
      <c r="AF93" s="462" t="n"/>
      <c r="AG93" s="507">
        <f>AG75+AG82+AG91</f>
        <v/>
      </c>
      <c r="AH93" s="507">
        <f>AH75+AH82+AH91</f>
        <v/>
      </c>
      <c r="AI93" s="507">
        <f>AI75+AI82+AI91</f>
        <v/>
      </c>
      <c r="AJ93" s="507">
        <f>AJ75+AJ82+AJ91</f>
        <v/>
      </c>
      <c r="AK93" s="507">
        <f>AK75+AK82+AK91</f>
        <v/>
      </c>
      <c r="AL93" s="507">
        <f>AL75+AL82+AL91</f>
        <v/>
      </c>
      <c r="AM93" s="507">
        <f>AM75+AM82+AM91</f>
        <v/>
      </c>
      <c r="AN93" s="507">
        <f>AN75+AN82+AN91</f>
        <v/>
      </c>
      <c r="AO93" s="507">
        <f>AO75+AO82+AO91</f>
        <v/>
      </c>
      <c r="AP93" s="507">
        <f>AP75+AP82+AP91</f>
        <v/>
      </c>
      <c r="AQ93" s="507">
        <f>AQ75+AQ82+AQ91</f>
        <v/>
      </c>
      <c r="AR93" s="507">
        <f>AR75+AR82+AR91</f>
        <v/>
      </c>
      <c r="AS93" s="507">
        <f>AS75+AS82+AS91</f>
        <v/>
      </c>
      <c r="AT93" s="507">
        <f>AT75+AT82+AT91</f>
        <v/>
      </c>
      <c r="AU93" s="507">
        <f>AU75+AU82+AU91</f>
        <v/>
      </c>
      <c r="AV93" s="507">
        <f>AV75+AV82+AV91</f>
        <v/>
      </c>
      <c r="AW93" s="507">
        <f>AW75+AW82+AW91</f>
        <v/>
      </c>
      <c r="AX93" s="507">
        <f>AX75+AX82+AX91</f>
        <v/>
      </c>
      <c r="AY93" s="507">
        <f>AY75+AY82+AY91</f>
        <v/>
      </c>
      <c r="AZ93" s="507">
        <f>AZ75+AZ82+AZ91</f>
        <v/>
      </c>
      <c r="BA93" s="507">
        <f>BA75+BA82+BA91</f>
        <v/>
      </c>
      <c r="BB93" s="507">
        <f>BB75+BB82+BB91</f>
        <v/>
      </c>
      <c r="BC93" s="507">
        <f>BC75+BC82+BC91</f>
        <v/>
      </c>
      <c r="BD93" s="507">
        <f>BD75+BD82+BD91</f>
        <v/>
      </c>
      <c r="BE93" s="507">
        <f>BE75+BE82+BE91</f>
        <v/>
      </c>
      <c r="BF93" s="507">
        <f>BF75+BF82+BF91</f>
        <v/>
      </c>
      <c r="BG93" s="507">
        <f>BG75+BG82+BG91</f>
        <v/>
      </c>
      <c r="BH93" s="507">
        <f>BH75+BH82+BH91</f>
        <v/>
      </c>
      <c r="BI93" s="507">
        <f>BI75+BI82+BI91</f>
        <v/>
      </c>
      <c r="BJ93" s="507">
        <f>BJ75+BJ82+BJ91</f>
        <v/>
      </c>
      <c r="BK93" s="507">
        <f>BK75+BK82+BK91</f>
        <v/>
      </c>
      <c r="BL93" s="507">
        <f>BL75+BL82+BL91</f>
        <v/>
      </c>
      <c r="BM93" s="507">
        <f>BM75+BM82+BM91</f>
        <v/>
      </c>
      <c r="BN93" s="507">
        <f>BN75+BN82+BN91</f>
        <v/>
      </c>
      <c r="BO93" s="507">
        <f>BO75+BO82+BO91</f>
        <v/>
      </c>
      <c r="BP93" s="507">
        <f>BP75+BP82+BP91</f>
        <v/>
      </c>
      <c r="BQ93" s="507">
        <f>BQ75+BQ82+BQ91</f>
        <v/>
      </c>
      <c r="BR93" s="507">
        <f>BR75+BR82+BR91</f>
        <v/>
      </c>
      <c r="BS93" s="507" t="n"/>
      <c r="BT93" s="507">
        <f>BT75+BT82+BT91</f>
        <v/>
      </c>
      <c r="BU93" s="446">
        <f>BT93-BR93</f>
        <v/>
      </c>
      <c r="BV93" s="381">
        <f>BU93/BR93</f>
        <v/>
      </c>
      <c r="BW93" s="510" t="n"/>
      <c r="BX93" s="510" t="n"/>
      <c r="BZ93" s="507">
        <f>BZ75+BZ82+BZ91</f>
        <v/>
      </c>
      <c r="CA93" s="507">
        <f>CA75+CA82+CA91</f>
        <v/>
      </c>
      <c r="CB93" s="507">
        <f>CB75+CB82+CB91</f>
        <v/>
      </c>
      <c r="CC93" s="507">
        <f>CC75+CC82+CC91</f>
        <v/>
      </c>
      <c r="CD93" s="507">
        <f>CD75+CD82+CD91</f>
        <v/>
      </c>
      <c r="CE93" s="507">
        <f>CE75+CE82+CE91</f>
        <v/>
      </c>
      <c r="CF93" s="507">
        <f>CF75+CF82+CF91</f>
        <v/>
      </c>
      <c r="CG93" s="507">
        <f>CG75+CG82+CG91</f>
        <v/>
      </c>
      <c r="CH93" s="507">
        <f>CH75+CH82+CH91</f>
        <v/>
      </c>
      <c r="CI93" s="507">
        <f>CI75+CI82+CI91</f>
        <v/>
      </c>
      <c r="CJ93" s="507">
        <f>CJ75+CJ82+CJ91</f>
        <v/>
      </c>
      <c r="CK93" s="507">
        <f>CK75+CK82+CK91</f>
        <v/>
      </c>
      <c r="CL93" s="507">
        <f>CL75+CL82+CL91</f>
        <v/>
      </c>
      <c r="CM93" s="507">
        <f>CM75+CM82+CM91</f>
        <v/>
      </c>
      <c r="CN93" s="507">
        <f>CN75+CN82+CN91</f>
        <v/>
      </c>
      <c r="CO93" s="507">
        <f>CO75+CO82+CO91</f>
        <v/>
      </c>
      <c r="CP93" s="507">
        <f>CP75+CP82+CP91</f>
        <v/>
      </c>
      <c r="CQ93" s="507">
        <f>CQ75+CQ82+CQ91</f>
        <v/>
      </c>
      <c r="CR93" s="507">
        <f>CR75+CR82+CR91</f>
        <v/>
      </c>
      <c r="CS93" s="507">
        <f>CS75+CS82+CS91</f>
        <v/>
      </c>
      <c r="CT93" s="507">
        <f>CT75+CT82+CT91</f>
        <v/>
      </c>
      <c r="CU93" s="507">
        <f>CU75+CU82+CU91</f>
        <v/>
      </c>
      <c r="CV93" s="507">
        <f>CV75+CV82+CV91</f>
        <v/>
      </c>
      <c r="CW93" s="507">
        <f>CW75+CW82+CW91</f>
        <v/>
      </c>
      <c r="CX93" s="507">
        <f>CX75+CX82+CX91</f>
        <v/>
      </c>
      <c r="CY93" s="507">
        <f>CY75+CY82+CY91</f>
        <v/>
      </c>
      <c r="CZ93" s="507">
        <f>CZ75+CZ82+CZ91</f>
        <v/>
      </c>
      <c r="DA93" s="507">
        <f>DA75+DA82+DA91</f>
        <v/>
      </c>
      <c r="DB93" s="507">
        <f>DB75+DB82+DB91</f>
        <v/>
      </c>
      <c r="DC93" s="507">
        <f>DC75+DC82+DC91</f>
        <v/>
      </c>
      <c r="DD93" s="507">
        <f>DD75+DD82+DD91</f>
        <v/>
      </c>
      <c r="DE93" s="507">
        <f>DE75+DE82+DE91</f>
        <v/>
      </c>
      <c r="DF93" s="507">
        <f>DF75+DF82+DF91</f>
        <v/>
      </c>
      <c r="DG93" s="507">
        <f>DG75+DG82+DG91</f>
        <v/>
      </c>
      <c r="DH93" s="507">
        <f>DH75+DH82+DH91</f>
        <v/>
      </c>
      <c r="DI93" s="507">
        <f>DI75+DI82+DI91</f>
        <v/>
      </c>
      <c r="DJ93" s="507">
        <f>DJ75+DJ82+DJ91</f>
        <v/>
      </c>
      <c r="DK93" s="507">
        <f>DK75+DK82+DK91</f>
        <v/>
      </c>
      <c r="DL93" s="507">
        <f>DL75+DL82+DL91</f>
        <v/>
      </c>
      <c r="DM93" s="507">
        <f>DM75+DM82+DM91</f>
        <v/>
      </c>
      <c r="DN93" s="507">
        <f>DN75+DN82+DN91</f>
        <v/>
      </c>
      <c r="DO93" s="507">
        <f>DO75+DO82+DO91</f>
        <v/>
      </c>
      <c r="DP93" s="507">
        <f>DP75+DP82+DP91</f>
        <v/>
      </c>
      <c r="DQ93" s="507">
        <f>DQ75+DQ82+DQ91</f>
        <v/>
      </c>
      <c r="DR93" s="507">
        <f>DR75+DR82+DR91</f>
        <v/>
      </c>
      <c r="DS93" s="507">
        <f>DS75+DS82+DS91</f>
        <v/>
      </c>
      <c r="DT93" s="507">
        <f>DT75+DT82+DT91</f>
        <v/>
      </c>
      <c r="DU93" s="507">
        <f>DU75+DU82+DU91</f>
        <v/>
      </c>
      <c r="DV93" s="507">
        <f>DV75+DV82+DV91</f>
        <v/>
      </c>
      <c r="DW93" s="507">
        <f>DW75+DW82+DW91</f>
        <v/>
      </c>
      <c r="DX93" s="507" t="n"/>
      <c r="DY93" s="507" t="n"/>
      <c r="DZ93" s="507">
        <f>DZ75+DZ82+DZ91</f>
        <v/>
      </c>
      <c r="EA93" s="507">
        <f>EA75+EA82+EA91</f>
        <v/>
      </c>
      <c r="EB93" s="507">
        <f>EB75+EB82+EB91</f>
        <v/>
      </c>
      <c r="EC93" s="507">
        <f>EC75+EC82+EC91</f>
        <v/>
      </c>
      <c r="ED93" s="507">
        <f>ED75+ED82+ED91</f>
        <v/>
      </c>
      <c r="EE93" s="507">
        <f>EE75+EE82+EE91</f>
        <v/>
      </c>
      <c r="EF93" s="507">
        <f>EF75+EF82+EF91</f>
        <v/>
      </c>
      <c r="EG93" s="507">
        <f>EG75+EG82+EG91</f>
        <v/>
      </c>
      <c r="EH93" s="507">
        <f>EH75+EH82+EH91</f>
        <v/>
      </c>
      <c r="EI93" s="507">
        <f>EI75+EI82+EI91</f>
        <v/>
      </c>
      <c r="EJ93" s="507">
        <f>EJ75+EJ82+EJ91</f>
        <v/>
      </c>
      <c r="EK93" s="507">
        <f>EK75+EK82+EK91</f>
        <v/>
      </c>
      <c r="EL93" s="507">
        <f>EL75+EL82+EL91</f>
        <v/>
      </c>
      <c r="EM93" s="507">
        <f>EM75+EM82+EM91</f>
        <v/>
      </c>
      <c r="EN93" s="507">
        <f>EN75+EN82+EN91</f>
        <v/>
      </c>
      <c r="EO93" s="507">
        <f>EO75+EO82+EO91</f>
        <v/>
      </c>
      <c r="EP93" s="507">
        <f>EP75+EP82+EP91</f>
        <v/>
      </c>
      <c r="EQ93" s="507">
        <f>EQ75+EQ82+EQ91</f>
        <v/>
      </c>
      <c r="ER93" s="507">
        <f>ER75+ER82+ER91</f>
        <v/>
      </c>
      <c r="ES93" s="507">
        <f>ES75+ES82+ES91</f>
        <v/>
      </c>
      <c r="ET93" s="507">
        <f>ET75+ET82+ET91</f>
        <v/>
      </c>
      <c r="EU93" s="507">
        <f>EU75+EU82+EU91</f>
        <v/>
      </c>
      <c r="EV93" s="507">
        <f>EV75+EV82+EV91</f>
        <v/>
      </c>
      <c r="EW93" s="507">
        <f>EW75+EW82+EW91</f>
        <v/>
      </c>
      <c r="EX93" s="507">
        <f>EX75+EX82+EX91</f>
        <v/>
      </c>
      <c r="EY93" s="507">
        <f>EY75+EY82+EY91</f>
        <v/>
      </c>
      <c r="EZ93" s="463" t="n"/>
      <c r="FA93" s="463" t="n"/>
      <c r="FB93" s="452">
        <f>+FA93-EW93</f>
        <v/>
      </c>
      <c r="FC93" s="348">
        <f>+FB93/EW93</f>
        <v/>
      </c>
      <c r="FD93" s="462" t="n"/>
      <c r="FE93" s="462" t="n"/>
    </row>
    <row r="94" ht="15" customHeight="1" thickTop="1">
      <c r="B94" s="511" t="n"/>
      <c r="C94" s="511" t="n"/>
      <c r="D94" s="511" t="n"/>
      <c r="E94" s="511" t="n"/>
      <c r="F94" s="511" t="n"/>
      <c r="G94" s="511" t="n"/>
      <c r="H94" s="511" t="n"/>
      <c r="I94" s="511" t="n"/>
      <c r="J94" s="511" t="n"/>
      <c r="K94" s="511" t="n"/>
      <c r="L94" s="511" t="n"/>
      <c r="M94" s="511" t="n"/>
      <c r="N94" s="511" t="n"/>
      <c r="O94" s="511" t="n"/>
      <c r="P94" s="511" t="n"/>
      <c r="Q94" s="511" t="n"/>
      <c r="R94" s="511" t="n"/>
      <c r="S94" s="511" t="n"/>
      <c r="T94" s="511" t="n"/>
      <c r="U94" s="511" t="n"/>
      <c r="V94" s="511" t="n"/>
      <c r="W94" s="511" t="n"/>
      <c r="X94" s="511" t="n"/>
      <c r="Y94" s="511" t="n"/>
      <c r="Z94" s="511" t="n"/>
      <c r="AA94" s="512" t="n"/>
      <c r="AB94" s="512" t="n"/>
      <c r="AC94" s="511" t="n"/>
      <c r="AD94" s="512" t="n"/>
      <c r="AE94" s="348" t="n"/>
      <c r="BU94" s="128" t="n"/>
      <c r="BV94" s="128" t="n"/>
      <c r="BW94" s="128" t="n"/>
      <c r="BX94" s="128" t="n"/>
    </row>
    <row r="95">
      <c r="A95" s="37" t="inlineStr">
        <is>
          <t>Check</t>
        </is>
      </c>
      <c r="B95" s="513">
        <f>ROUND(B67-B93,0)</f>
        <v/>
      </c>
      <c r="C95" s="513">
        <f>ROUND(C67-C93,0)</f>
        <v/>
      </c>
      <c r="D95" s="513">
        <f>ROUND(D67-D93,0)</f>
        <v/>
      </c>
      <c r="E95" s="513">
        <f>ROUND(E67-E93,0)</f>
        <v/>
      </c>
      <c r="F95" s="513">
        <f>ROUND(F67-F93,0)</f>
        <v/>
      </c>
      <c r="G95" s="513">
        <f>ROUND(G67-G93,0)</f>
        <v/>
      </c>
      <c r="H95" s="513">
        <f>ROUND(H67-H93,0)</f>
        <v/>
      </c>
      <c r="I95" s="513">
        <f>ROUND(I67-I93,0)</f>
        <v/>
      </c>
      <c r="J95" s="513">
        <f>ROUND(J67-J93,0)</f>
        <v/>
      </c>
      <c r="K95" s="513">
        <f>ROUND(K67-K93,0)</f>
        <v/>
      </c>
      <c r="L95" s="513">
        <f>ROUND(L67-L93,0)</f>
        <v/>
      </c>
      <c r="M95" s="513">
        <f>ROUND(M67-M93,0)</f>
        <v/>
      </c>
      <c r="N95" s="513">
        <f>ROUND(N67-N93,0)</f>
        <v/>
      </c>
      <c r="O95" s="513">
        <f>ROUND(O67-O93,0)</f>
        <v/>
      </c>
      <c r="P95" s="513">
        <f>ROUND(P67-P93,0)</f>
        <v/>
      </c>
      <c r="Q95" s="513">
        <f>ROUND(Q67-Q93,0)</f>
        <v/>
      </c>
      <c r="R95" s="513">
        <f>ROUND(R67-R93,0)</f>
        <v/>
      </c>
      <c r="S95" s="513">
        <f>ROUND(S67-S93,0)</f>
        <v/>
      </c>
      <c r="T95" s="513">
        <f>ROUND(T67-T93,0)</f>
        <v/>
      </c>
      <c r="U95" s="513">
        <f>ROUND(U67-U93,0)</f>
        <v/>
      </c>
      <c r="V95" s="513">
        <f>ROUND(V67-V93,0)</f>
        <v/>
      </c>
      <c r="W95" s="513">
        <f>ROUND(W67-W93,0)</f>
        <v/>
      </c>
      <c r="X95" s="513">
        <f>ROUND(X67-X93,0)</f>
        <v/>
      </c>
      <c r="Y95" s="513">
        <f>ROUND(Y67-Y93,0)</f>
        <v/>
      </c>
      <c r="Z95" s="513">
        <f>ROUND(Z67-Z93,0)</f>
        <v/>
      </c>
      <c r="AA95" s="514" t="n"/>
      <c r="AB95" s="514" t="n"/>
      <c r="AC95" s="513" t="n"/>
      <c r="AD95" s="514" t="n"/>
      <c r="AE95" s="348" t="n"/>
      <c r="AF95" s="515" t="n"/>
      <c r="AG95" s="513">
        <f>ROUND(AG67-AG93,0)</f>
        <v/>
      </c>
      <c r="AH95" s="513">
        <f>ROUND(AH67-AH93,0)</f>
        <v/>
      </c>
      <c r="AI95" s="513">
        <f>ROUND(AI67-AI93,0)</f>
        <v/>
      </c>
      <c r="AJ95" s="513">
        <f>ROUND(AJ67-AJ93,0)</f>
        <v/>
      </c>
      <c r="AK95" s="513">
        <f>ROUND(AK67-AK93,0)</f>
        <v/>
      </c>
      <c r="AL95" s="513">
        <f>ROUND(AL67-AL93,0)</f>
        <v/>
      </c>
      <c r="AM95" s="513">
        <f>ROUND(AM67-AM93,0)</f>
        <v/>
      </c>
      <c r="AN95" s="513">
        <f>ROUND(AN67-AN93,0)</f>
        <v/>
      </c>
      <c r="AO95" s="513">
        <f>ROUND(AO67-AO93,0)</f>
        <v/>
      </c>
      <c r="AP95" s="513">
        <f>ROUND(AP67-AP93,0)</f>
        <v/>
      </c>
      <c r="AQ95" s="513">
        <f>ROUND(AQ67-AQ93,0)</f>
        <v/>
      </c>
      <c r="AR95" s="513">
        <f>ROUND(AR67-AR93,0)</f>
        <v/>
      </c>
      <c r="AS95" s="513">
        <f>ROUND(AS67-AS93,0)</f>
        <v/>
      </c>
      <c r="AT95" s="513">
        <f>ROUND(AT67-AT93,0)</f>
        <v/>
      </c>
      <c r="AU95" s="513">
        <f>ROUND(AU67-AU93,0)</f>
        <v/>
      </c>
      <c r="AV95" s="513">
        <f>ROUND(AV67-AV93,0)</f>
        <v/>
      </c>
      <c r="AW95" s="513">
        <f>ROUND(AW67-AW93,0)</f>
        <v/>
      </c>
      <c r="AX95" s="513">
        <f>ROUND(AX67-AX93,0)</f>
        <v/>
      </c>
      <c r="AY95" s="513">
        <f>ROUND(AY67-AY93,0)</f>
        <v/>
      </c>
      <c r="AZ95" s="513">
        <f>ROUND(AZ67-AZ93,0)</f>
        <v/>
      </c>
      <c r="BA95" s="513">
        <f>ROUND(BA67-BA93,0)</f>
        <v/>
      </c>
      <c r="BB95" s="513">
        <f>ROUND(BB67-BB93,0)</f>
        <v/>
      </c>
      <c r="BC95" s="513">
        <f>ROUND(BC67-BC93,0)</f>
        <v/>
      </c>
      <c r="BD95" s="513">
        <f>ROUND(BD67-BD93,0)</f>
        <v/>
      </c>
      <c r="BE95" s="513">
        <f>ROUND(BE67-BE93,0)</f>
        <v/>
      </c>
      <c r="BF95" s="513">
        <f>ROUND(BF67-BF93,0)</f>
        <v/>
      </c>
      <c r="BG95" s="513">
        <f>ROUND(BG67-BG93,0)</f>
        <v/>
      </c>
      <c r="BH95" s="513">
        <f>ROUND(BH67-BH93,0)</f>
        <v/>
      </c>
      <c r="BI95" s="513">
        <f>ROUND(BI67-BI93,0)</f>
        <v/>
      </c>
      <c r="BJ95" s="513">
        <f>ROUND(BJ67-BJ93,0)</f>
        <v/>
      </c>
      <c r="BK95" s="513">
        <f>ROUND(BK67-BK93,0)</f>
        <v/>
      </c>
      <c r="BL95" s="513">
        <f>ROUND(BL67-BL93,0)</f>
        <v/>
      </c>
      <c r="BM95" s="513">
        <f>ROUND(BM67-BM93,0)</f>
        <v/>
      </c>
      <c r="BN95" s="513">
        <f>ROUND(BN67-BN93,0)</f>
        <v/>
      </c>
      <c r="BO95" s="513">
        <f>ROUND(BO67-BO93,0)</f>
        <v/>
      </c>
      <c r="BP95" s="513">
        <f>ROUND(BP67-BP93,0)</f>
        <v/>
      </c>
      <c r="BQ95" s="513">
        <f>ROUND(BQ67-BQ93,0)</f>
        <v/>
      </c>
      <c r="BR95" s="513">
        <f>ROUND(BR67-BR93,0)</f>
        <v/>
      </c>
      <c r="BS95" s="513" t="n"/>
      <c r="BT95" s="513">
        <f>ROUND(BT67-BT93,0)</f>
        <v/>
      </c>
      <c r="BU95" s="516" t="n"/>
      <c r="BV95" s="516" t="n"/>
      <c r="BW95" s="516" t="n"/>
      <c r="BX95" s="516" t="n"/>
      <c r="BZ95" s="513">
        <f>ROUND(BZ67-BZ93,0)</f>
        <v/>
      </c>
      <c r="CA95" s="513">
        <f>ROUND(CA67-CA93,0)</f>
        <v/>
      </c>
      <c r="CB95" s="513">
        <f>ROUND(CB67-CB93,0)</f>
        <v/>
      </c>
      <c r="CC95" s="513">
        <f>ROUND(CC67-CC93,0)</f>
        <v/>
      </c>
      <c r="CD95" s="513">
        <f>ROUND(CD67-CD93,0)</f>
        <v/>
      </c>
      <c r="CE95" s="513">
        <f>ROUND(CE67-CE93,0)</f>
        <v/>
      </c>
      <c r="CF95" s="513">
        <f>ROUND(CF67-CF93,0)</f>
        <v/>
      </c>
      <c r="CG95" s="513">
        <f>ROUND(CG67-CG93,0)</f>
        <v/>
      </c>
      <c r="CH95" s="513">
        <f>ROUND(CH67-CH93,0)</f>
        <v/>
      </c>
      <c r="CI95" s="513">
        <f>ROUND(CI67-CI93,0)</f>
        <v/>
      </c>
      <c r="CJ95" s="513">
        <f>ROUND(CJ67-CJ93,0)</f>
        <v/>
      </c>
      <c r="CK95" s="513">
        <f>ROUND(CK67-CK93,0)</f>
        <v/>
      </c>
      <c r="CL95" s="513">
        <f>ROUND(CL67-CL93,0)</f>
        <v/>
      </c>
      <c r="CM95" s="513">
        <f>ROUND(CM67-CM93,0)</f>
        <v/>
      </c>
      <c r="CN95" s="513">
        <f>ROUND(CN67-CN93,0)</f>
        <v/>
      </c>
      <c r="CO95" s="513">
        <f>ROUND(CO67-CO93,0)</f>
        <v/>
      </c>
      <c r="CP95" s="513">
        <f>ROUND(CP67-CP93,0)</f>
        <v/>
      </c>
      <c r="CQ95" s="513">
        <f>ROUND(CQ67-CQ93,0)</f>
        <v/>
      </c>
      <c r="CR95" s="513">
        <f>ROUND(CR67-CR93,0)</f>
        <v/>
      </c>
      <c r="CS95" s="513">
        <f>ROUND(CS67-CS93,0)</f>
        <v/>
      </c>
      <c r="CT95" s="513">
        <f>ROUND(CT67-CT93,0)</f>
        <v/>
      </c>
      <c r="CU95" s="513">
        <f>ROUND(CU67-CU93,0)</f>
        <v/>
      </c>
      <c r="CV95" s="513">
        <f>ROUND(CV67-CV93,0)</f>
        <v/>
      </c>
      <c r="CW95" s="513">
        <f>ROUND(CW67-CW93,0)</f>
        <v/>
      </c>
      <c r="CX95" s="513">
        <f>ROUND(CX67-CX93,0)</f>
        <v/>
      </c>
      <c r="CY95" s="513">
        <f>ROUND(CY67-CY93,0)</f>
        <v/>
      </c>
      <c r="CZ95" s="513">
        <f>ROUND(CZ67-CZ93,0)</f>
        <v/>
      </c>
      <c r="DA95" s="513">
        <f>ROUND(DA67-DA93,0)</f>
        <v/>
      </c>
      <c r="DB95" s="513">
        <f>ROUND(DB67-DB93,0)</f>
        <v/>
      </c>
      <c r="DC95" s="513">
        <f>ROUND(DC67-DC93,0)</f>
        <v/>
      </c>
      <c r="DD95" s="513">
        <f>ROUND(DD67-DD93,0)</f>
        <v/>
      </c>
      <c r="DE95" s="513">
        <f>ROUND(DE67-DE93,0)</f>
        <v/>
      </c>
      <c r="DF95" s="513">
        <f>ROUND(DF67-DF93,0)</f>
        <v/>
      </c>
      <c r="DG95" s="513">
        <f>ROUND(DG67-DG93,0)</f>
        <v/>
      </c>
      <c r="DH95" s="513">
        <f>ROUND(DH67-DH93,0)</f>
        <v/>
      </c>
      <c r="DI95" s="513">
        <f>ROUND(DI67-DI93,0)</f>
        <v/>
      </c>
      <c r="DJ95" s="513">
        <f>ROUND(DJ67-DJ93,0)</f>
        <v/>
      </c>
      <c r="DK95" s="513">
        <f>ROUND(DK67-DK93,0)</f>
        <v/>
      </c>
      <c r="DL95" s="513">
        <f>ROUND(DL67-DL93,0)</f>
        <v/>
      </c>
      <c r="DM95" s="513">
        <f>ROUND(DM67-DM93,0)</f>
        <v/>
      </c>
      <c r="DN95" s="513">
        <f>ROUND(DN67-DN93,0)</f>
        <v/>
      </c>
      <c r="DO95" s="513">
        <f>ROUND(DO67-DO93,0)</f>
        <v/>
      </c>
      <c r="DP95" s="513">
        <f>ROUND(DP67-DP93,0)</f>
        <v/>
      </c>
      <c r="DQ95" s="513">
        <f>ROUND(DQ67-DQ93,0)</f>
        <v/>
      </c>
      <c r="DR95" s="513">
        <f>ROUND(DR67-DR93,0)</f>
        <v/>
      </c>
      <c r="DS95" s="513">
        <f>ROUND(DS67-DS93,0)</f>
        <v/>
      </c>
      <c r="DT95" s="513">
        <f>ROUND(DT67-DT93,0)</f>
        <v/>
      </c>
      <c r="DU95" s="513">
        <f>ROUND(DU67-DU93,0)</f>
        <v/>
      </c>
      <c r="DV95" s="513">
        <f>ROUND(DV67-DV93,0)</f>
        <v/>
      </c>
      <c r="DW95" s="513">
        <f>ROUND(DW67-DW93,0)</f>
        <v/>
      </c>
      <c r="DX95" s="513">
        <f>ROUND(DX67-DX93,0)</f>
        <v/>
      </c>
      <c r="DY95" s="513">
        <f>ROUND(DY67-DY93,0)</f>
        <v/>
      </c>
      <c r="DZ95" s="513">
        <f>ROUND(DZ67-DZ93,0)</f>
        <v/>
      </c>
      <c r="EA95" s="513">
        <f>ROUND(EA67-EA93,0)</f>
        <v/>
      </c>
      <c r="EB95" s="513">
        <f>ROUND(EB67-EB93,0)</f>
        <v/>
      </c>
      <c r="EC95" s="513">
        <f>ROUND(EC67-EC93,0)</f>
        <v/>
      </c>
      <c r="ED95" s="513">
        <f>ROUND(ED67-ED93,0)</f>
        <v/>
      </c>
      <c r="EE95" s="513">
        <f>ROUND(EE67-EE93,0)</f>
        <v/>
      </c>
      <c r="EF95" s="513">
        <f>ROUND(EF67-EF93,0)</f>
        <v/>
      </c>
      <c r="EG95" s="513">
        <f>ROUND(EG67-EG93,0)</f>
        <v/>
      </c>
      <c r="EH95" s="513">
        <f>ROUND(EH67-EH93,0)</f>
        <v/>
      </c>
      <c r="EI95" s="513">
        <f>ROUND(EI67-EI93,0)</f>
        <v/>
      </c>
      <c r="EJ95" s="513">
        <f>ROUND(EJ67-EJ93,0)</f>
        <v/>
      </c>
      <c r="EK95" s="513">
        <f>ROUND(EK67-EK93,0)</f>
        <v/>
      </c>
      <c r="EL95" s="513">
        <f>ROUND(EL67-EL93,0)</f>
        <v/>
      </c>
      <c r="EM95" s="513">
        <f>ROUND(EM67-EM93,0)</f>
        <v/>
      </c>
      <c r="EN95" s="513">
        <f>ROUND(EN67-EN93,0)</f>
        <v/>
      </c>
      <c r="EO95" s="513">
        <f>ROUND(EO67-EO93,0)</f>
        <v/>
      </c>
      <c r="EP95" s="513">
        <f>ROUND(EP67-EP93,0)</f>
        <v/>
      </c>
      <c r="EQ95" s="513">
        <f>ROUND(EQ67-EQ93,0)</f>
        <v/>
      </c>
      <c r="ER95" s="513">
        <f>ROUND(ER67-ER93,0)</f>
        <v/>
      </c>
      <c r="ES95" s="513">
        <f>ROUND(ES67-ES93,0)</f>
        <v/>
      </c>
      <c r="ET95" s="513">
        <f>ROUND(ET67-ET93,0)</f>
        <v/>
      </c>
      <c r="EU95" s="513">
        <f>ROUND(EU67-EU93,0)</f>
        <v/>
      </c>
      <c r="EV95" s="513">
        <f>ROUND(EV67-EV93,0)</f>
        <v/>
      </c>
      <c r="EW95" s="513">
        <f>ROUND(EW67-EW93,0)</f>
        <v/>
      </c>
      <c r="EX95" s="513">
        <f>ROUND(EX67-EX93,0)</f>
        <v/>
      </c>
      <c r="EY95" s="513">
        <f>ROUND(EY67-EY93,0)</f>
        <v/>
      </c>
      <c r="EZ95" s="513">
        <f>ROUND(EZ67-EZ93,0)</f>
        <v/>
      </c>
      <c r="FA95" s="513">
        <f>ROUND(FA67-FA93,0)</f>
        <v/>
      </c>
      <c r="FB95" s="513" t="n"/>
      <c r="FC95" s="513" t="n"/>
      <c r="FD95" s="513" t="n"/>
      <c r="FE95" s="513" t="n"/>
    </row>
    <row r="96">
      <c r="B96" s="517" t="n"/>
      <c r="C96" s="517" t="n"/>
      <c r="D96" s="517" t="n"/>
      <c r="E96" s="517" t="n"/>
      <c r="F96" s="517" t="n"/>
      <c r="G96" s="517" t="n"/>
      <c r="H96" s="517" t="n"/>
      <c r="I96" s="517" t="n"/>
      <c r="J96" s="517" t="n"/>
      <c r="K96" s="517" t="n"/>
      <c r="L96" s="517" t="n"/>
      <c r="M96" s="517" t="n"/>
      <c r="N96" s="517" t="n"/>
      <c r="O96" s="517" t="n"/>
      <c r="P96" s="517" t="n"/>
      <c r="Q96" s="517" t="n"/>
      <c r="R96" s="517" t="n"/>
      <c r="S96" s="517" t="n"/>
      <c r="T96" s="517" t="n"/>
      <c r="U96" s="517" t="n"/>
      <c r="V96" s="517">
        <f>V95-U95</f>
        <v/>
      </c>
      <c r="W96" s="517">
        <f>W95-V95</f>
        <v/>
      </c>
      <c r="X96" s="517">
        <f>X95-W95</f>
        <v/>
      </c>
      <c r="Y96" s="517">
        <f>Y95-X95</f>
        <v/>
      </c>
      <c r="Z96" s="517">
        <f>Z95-Y95</f>
        <v/>
      </c>
      <c r="AA96" s="518" t="n"/>
      <c r="AB96" s="518" t="n"/>
      <c r="AC96" s="517" t="n"/>
      <c r="AD96" s="518" t="n"/>
      <c r="AE96" s="348" t="n"/>
      <c r="AG96" s="137" t="n"/>
      <c r="AI96" s="137" t="n"/>
      <c r="AK96" s="137" t="n"/>
      <c r="AM96" s="137" t="n"/>
      <c r="AO96" s="137" t="n"/>
      <c r="AQ96" s="137" t="n"/>
      <c r="AS96" s="137" t="n"/>
      <c r="AU96" s="137" t="n"/>
      <c r="AW96" s="137" t="n"/>
      <c r="AY96" s="137" t="n"/>
      <c r="BA96" s="137" t="n"/>
      <c r="BC96" s="137" t="n"/>
      <c r="BE96" s="137" t="n"/>
      <c r="BG96" s="137" t="n"/>
      <c r="BI96" s="137" t="n"/>
      <c r="BK96" s="137" t="n"/>
      <c r="BM96" s="137" t="n"/>
      <c r="BO96" s="137" t="n"/>
      <c r="BQ96" s="137" t="n"/>
      <c r="BS96" s="137" t="n"/>
      <c r="BU96" s="313" t="n"/>
      <c r="BV96" s="313" t="n"/>
      <c r="BW96" s="313" t="n"/>
      <c r="BX96" s="313" t="n"/>
      <c r="FB96" s="137" t="n"/>
      <c r="FC96" s="137" t="n"/>
      <c r="FD96" s="137" t="n"/>
      <c r="FE96" s="137" t="n"/>
    </row>
    <row r="97">
      <c r="A97" s="6" t="inlineStr">
        <is>
          <t>Total liability/asset ratio</t>
        </is>
      </c>
      <c r="B97" s="73">
        <f>(B75+B82)/B67</f>
        <v/>
      </c>
      <c r="C97" s="73">
        <f>(C75+C82)/C67</f>
        <v/>
      </c>
      <c r="D97" s="73">
        <f>(D75+D82)/D67</f>
        <v/>
      </c>
      <c r="E97" s="73">
        <f>(E75+E82)/E67</f>
        <v/>
      </c>
      <c r="F97" s="73">
        <f>(F75+F82)/F67</f>
        <v/>
      </c>
      <c r="G97" s="73">
        <f>(G75+G82)/G67</f>
        <v/>
      </c>
      <c r="H97" s="73">
        <f>(H75+H82)/H67</f>
        <v/>
      </c>
      <c r="I97" s="73">
        <f>(I75+I82)/I67</f>
        <v/>
      </c>
      <c r="J97" s="73">
        <f>(J75+J82)/J67</f>
        <v/>
      </c>
      <c r="K97" s="73">
        <f>(K75+K82)/K67</f>
        <v/>
      </c>
      <c r="L97" s="73">
        <f>(L75+L82)/L67</f>
        <v/>
      </c>
      <c r="M97" s="73">
        <f>(M75+M82)/M67</f>
        <v/>
      </c>
      <c r="N97" s="73">
        <f>(N75+N82)/N67</f>
        <v/>
      </c>
      <c r="O97" s="73">
        <f>(O75+O82)/O67</f>
        <v/>
      </c>
      <c r="P97" s="73">
        <f>(P75+P82)/P67</f>
        <v/>
      </c>
      <c r="Q97" s="73">
        <f>(Q75+Q82)/Q67</f>
        <v/>
      </c>
      <c r="R97" s="73">
        <f>(R75+R82)/R67</f>
        <v/>
      </c>
      <c r="S97" s="73">
        <f>(S75+S82)/S67</f>
        <v/>
      </c>
      <c r="T97" s="73">
        <f>(T75+T82)/T67</f>
        <v/>
      </c>
      <c r="U97" s="73">
        <f>(U75+U82)/U67</f>
        <v/>
      </c>
      <c r="V97" s="73">
        <f>(V75+V82)/V67</f>
        <v/>
      </c>
      <c r="W97" s="73">
        <f>(W75+W82)/W67</f>
        <v/>
      </c>
      <c r="X97" s="73">
        <f>(X75+X82)/X67</f>
        <v/>
      </c>
      <c r="Y97" s="73">
        <f>(Y75+Y82)/Y67</f>
        <v/>
      </c>
      <c r="Z97" s="73">
        <f>(Z75+Z82)/Z67</f>
        <v/>
      </c>
      <c r="AA97" s="343" t="n"/>
      <c r="AB97" s="343" t="n"/>
      <c r="AC97" s="73" t="n"/>
      <c r="AD97" s="343" t="n"/>
      <c r="AE97" s="348" t="n"/>
      <c r="AF97" s="73" t="n"/>
      <c r="BU97" s="128" t="n"/>
      <c r="BV97" s="128" t="n"/>
      <c r="BW97" s="128" t="n"/>
      <c r="BX97" s="128" t="n"/>
    </row>
    <row r="98">
      <c r="A98" s="6" t="inlineStr">
        <is>
          <t>Total debt</t>
        </is>
      </c>
      <c r="B98" s="506">
        <f>B69+B73+B77</f>
        <v/>
      </c>
      <c r="C98" s="506">
        <f>C69+C73+C77</f>
        <v/>
      </c>
      <c r="D98" s="506">
        <f>D69+D73+D77</f>
        <v/>
      </c>
      <c r="E98" s="506">
        <f>E69+E73+E77</f>
        <v/>
      </c>
      <c r="F98" s="506">
        <f>F69+F73+F77</f>
        <v/>
      </c>
      <c r="G98" s="506">
        <f>G69+G73+G77</f>
        <v/>
      </c>
      <c r="H98" s="506">
        <f>H69+H73+H77</f>
        <v/>
      </c>
      <c r="I98" s="506">
        <f>I69+I73+I77</f>
        <v/>
      </c>
      <c r="J98" s="506">
        <f>J69+J73+J77</f>
        <v/>
      </c>
      <c r="K98" s="506">
        <f>K69+K73+K77</f>
        <v/>
      </c>
      <c r="L98" s="506">
        <f>L69+L73+L77</f>
        <v/>
      </c>
      <c r="M98" s="506">
        <f>M69+M73+M77</f>
        <v/>
      </c>
      <c r="N98" s="506">
        <f>N69+N73+N77</f>
        <v/>
      </c>
      <c r="O98" s="506">
        <f>O69+O73+O77</f>
        <v/>
      </c>
      <c r="P98" s="506">
        <f>P69+P73+P77</f>
        <v/>
      </c>
      <c r="Q98" s="506">
        <f>Q69+Q73+Q77</f>
        <v/>
      </c>
      <c r="R98" s="506">
        <f>R69+R73+R77</f>
        <v/>
      </c>
      <c r="S98" s="506">
        <f>S69+S73+S77</f>
        <v/>
      </c>
      <c r="T98" s="506">
        <f>T69+T73+T77</f>
        <v/>
      </c>
      <c r="U98" s="506">
        <f>U69+U73+U77</f>
        <v/>
      </c>
      <c r="V98" s="506">
        <f>V69+V73+V77</f>
        <v/>
      </c>
      <c r="W98" s="506">
        <f>W69+W73+W77</f>
        <v/>
      </c>
      <c r="X98" s="506">
        <f>X69+X73+X77</f>
        <v/>
      </c>
      <c r="Y98" s="506">
        <f>Y69+Y73+Y77</f>
        <v/>
      </c>
      <c r="Z98" s="506">
        <f>Z69+Z73+Z77</f>
        <v/>
      </c>
      <c r="AA98" s="519" t="n"/>
      <c r="AB98" s="519" t="n"/>
      <c r="AC98" s="506" t="n"/>
      <c r="AD98" s="519" t="n"/>
      <c r="AE98" s="348" t="n"/>
      <c r="AF98" s="506" t="n"/>
      <c r="AG98" s="506" t="n"/>
      <c r="AH98" s="506" t="n"/>
      <c r="AI98" s="506" t="n"/>
      <c r="AJ98" s="506" t="n"/>
      <c r="AK98" s="506" t="n"/>
      <c r="AL98" s="506" t="n"/>
      <c r="AM98" s="506" t="n"/>
      <c r="AN98" s="506" t="n"/>
      <c r="AO98" s="506" t="n"/>
      <c r="AP98" s="506" t="n"/>
      <c r="AQ98" s="506" t="n"/>
      <c r="AR98" s="506" t="n"/>
      <c r="AS98" s="506" t="n"/>
      <c r="AT98" s="506" t="n"/>
      <c r="AU98" s="506" t="n"/>
      <c r="AV98" s="506" t="n"/>
      <c r="AW98" s="506" t="n"/>
      <c r="AX98" s="506" t="n"/>
      <c r="AY98" s="506" t="n"/>
      <c r="AZ98" s="506" t="n"/>
      <c r="BA98" s="506" t="n"/>
      <c r="BB98" s="506" t="n"/>
      <c r="BC98" s="506" t="n"/>
      <c r="BD98" s="506" t="n"/>
      <c r="BE98" s="506" t="n"/>
      <c r="BF98" s="506" t="n"/>
      <c r="BG98" s="506" t="n"/>
      <c r="BH98" s="506" t="n"/>
      <c r="BI98" s="506" t="n"/>
      <c r="BJ98" s="506" t="n"/>
      <c r="BK98" s="506" t="n"/>
      <c r="BL98" s="506" t="n"/>
      <c r="BM98" s="506" t="n"/>
      <c r="BN98" s="506" t="n"/>
      <c r="BO98" s="506" t="n"/>
      <c r="BP98" s="506" t="n"/>
      <c r="BQ98" s="506" t="n"/>
      <c r="BR98" s="506" t="n"/>
      <c r="BS98" s="506" t="n"/>
      <c r="BT98" s="506" t="n"/>
      <c r="BU98" s="520" t="n"/>
      <c r="BV98" s="520" t="n"/>
      <c r="BW98" s="520" t="n"/>
      <c r="BX98" s="520" t="n"/>
      <c r="FB98" s="506" t="n"/>
      <c r="FC98" s="506" t="n"/>
      <c r="FD98" s="506" t="n"/>
      <c r="FE98" s="506" t="n"/>
    </row>
    <row r="99">
      <c r="A99" s="6" t="inlineStr">
        <is>
          <t>Net debt/(cash)</t>
        </is>
      </c>
      <c r="B99" s="506">
        <f>B98-B47</f>
        <v/>
      </c>
      <c r="C99" s="506">
        <f>C98-C47</f>
        <v/>
      </c>
      <c r="D99" s="506">
        <f>D98-D47</f>
        <v/>
      </c>
      <c r="E99" s="506">
        <f>E98-E47</f>
        <v/>
      </c>
      <c r="F99" s="506">
        <f>F98-F47</f>
        <v/>
      </c>
      <c r="G99" s="506">
        <f>G98-G47</f>
        <v/>
      </c>
      <c r="H99" s="506">
        <f>H98-H47</f>
        <v/>
      </c>
      <c r="I99" s="506">
        <f>I98-I47</f>
        <v/>
      </c>
      <c r="J99" s="506">
        <f>J98-J47</f>
        <v/>
      </c>
      <c r="K99" s="506">
        <f>K98-K47</f>
        <v/>
      </c>
      <c r="L99" s="506">
        <f>L98-L47</f>
        <v/>
      </c>
      <c r="M99" s="506">
        <f>M98-M47</f>
        <v/>
      </c>
      <c r="N99" s="506">
        <f>N98-N47</f>
        <v/>
      </c>
      <c r="O99" s="506">
        <f>O98-O47</f>
        <v/>
      </c>
      <c r="P99" s="506">
        <f>P98-P47</f>
        <v/>
      </c>
      <c r="Q99" s="506">
        <f>Q98-Q47</f>
        <v/>
      </c>
      <c r="R99" s="506">
        <f>R98-R47</f>
        <v/>
      </c>
      <c r="S99" s="506">
        <f>S98-S47</f>
        <v/>
      </c>
      <c r="T99" s="506">
        <f>T98-T47</f>
        <v/>
      </c>
      <c r="U99" s="506">
        <f>U98-U47</f>
        <v/>
      </c>
      <c r="V99" s="506">
        <f>V98-V47</f>
        <v/>
      </c>
      <c r="W99" s="506">
        <f>W98-W47</f>
        <v/>
      </c>
      <c r="X99" s="506">
        <f>X98-X47</f>
        <v/>
      </c>
      <c r="Y99" s="506">
        <f>Y98-Y47</f>
        <v/>
      </c>
      <c r="Z99" s="506">
        <f>Z98-Z47</f>
        <v/>
      </c>
      <c r="AA99" s="519" t="n"/>
      <c r="AB99" s="519" t="n"/>
      <c r="AC99" s="506" t="n"/>
      <c r="AD99" s="519" t="n"/>
      <c r="AE99" s="348" t="n"/>
      <c r="AF99" s="506" t="n"/>
      <c r="AG99" s="506" t="n"/>
      <c r="AH99" s="506" t="n"/>
      <c r="AI99" s="506" t="n"/>
      <c r="AJ99" s="506" t="n"/>
      <c r="AK99" s="506" t="n"/>
      <c r="AL99" s="506" t="n"/>
      <c r="AM99" s="506" t="n"/>
      <c r="AN99" s="506" t="n"/>
      <c r="AO99" s="506" t="n"/>
      <c r="AP99" s="506" t="n"/>
      <c r="AQ99" s="506" t="n"/>
      <c r="AR99" s="506" t="n"/>
      <c r="AS99" s="506" t="n"/>
      <c r="AT99" s="506" t="n"/>
      <c r="AU99" s="506" t="n"/>
      <c r="AV99" s="506" t="n"/>
      <c r="AW99" s="506" t="n"/>
      <c r="AX99" s="506" t="n"/>
      <c r="AY99" s="506" t="n"/>
      <c r="AZ99" s="506" t="n"/>
      <c r="BA99" s="506" t="n"/>
      <c r="BB99" s="506" t="n"/>
      <c r="BC99" s="506" t="n"/>
      <c r="BD99" s="506" t="n"/>
      <c r="BE99" s="506" t="n"/>
      <c r="BF99" s="506" t="n"/>
      <c r="BG99" s="506" t="n"/>
      <c r="BH99" s="506" t="n"/>
      <c r="BI99" s="506" t="n"/>
      <c r="BJ99" s="506" t="n"/>
      <c r="BK99" s="506" t="n"/>
      <c r="BL99" s="506" t="n"/>
      <c r="BM99" s="506" t="n"/>
      <c r="BN99" s="506" t="n"/>
      <c r="BO99" s="506" t="n"/>
      <c r="BP99" s="506" t="n"/>
      <c r="BQ99" s="506" t="n"/>
      <c r="BR99" s="506" t="n"/>
      <c r="BS99" s="506" t="n"/>
      <c r="BT99" s="506" t="n"/>
      <c r="BU99" s="520" t="n"/>
      <c r="BV99" s="520" t="n"/>
      <c r="BW99" s="520" t="n"/>
      <c r="BX99" s="520" t="n"/>
      <c r="FB99" s="506" t="n"/>
      <c r="FC99" s="506" t="n"/>
      <c r="FD99" s="506" t="n"/>
      <c r="FE99" s="506" t="n"/>
    </row>
    <row r="100">
      <c r="A100" s="6" t="inlineStr">
        <is>
          <t>Net gearing</t>
        </is>
      </c>
      <c r="B100" s="32">
        <f>B99/B91</f>
        <v/>
      </c>
      <c r="C100" s="32">
        <f>C99/C91</f>
        <v/>
      </c>
      <c r="D100" s="32">
        <f>D99/D91</f>
        <v/>
      </c>
      <c r="E100" s="32">
        <f>E99/E91</f>
        <v/>
      </c>
      <c r="F100" s="32">
        <f>F99/F91</f>
        <v/>
      </c>
      <c r="G100" s="32">
        <f>G99/G91</f>
        <v/>
      </c>
      <c r="H100" s="32">
        <f>H99/H91</f>
        <v/>
      </c>
      <c r="I100" s="32">
        <f>I99/I91</f>
        <v/>
      </c>
      <c r="J100" s="32">
        <f>J99/J91</f>
        <v/>
      </c>
      <c r="K100" s="32">
        <f>K99/K91</f>
        <v/>
      </c>
      <c r="L100" s="32">
        <f>L99/L91</f>
        <v/>
      </c>
      <c r="M100" s="32">
        <f>M99/M91</f>
        <v/>
      </c>
      <c r="N100" s="32">
        <f>N99/N91</f>
        <v/>
      </c>
      <c r="O100" s="32">
        <f>O99/O91</f>
        <v/>
      </c>
      <c r="P100" s="32">
        <f>P99/P91</f>
        <v/>
      </c>
      <c r="Q100" s="32">
        <f>Q99/Q91</f>
        <v/>
      </c>
      <c r="R100" s="32">
        <f>R99/R91</f>
        <v/>
      </c>
      <c r="S100" s="32">
        <f>S99/S91</f>
        <v/>
      </c>
      <c r="T100" s="32">
        <f>T99/T91</f>
        <v/>
      </c>
      <c r="U100" s="32">
        <f>U99/U91</f>
        <v/>
      </c>
      <c r="V100" s="32">
        <f>V99/V91</f>
        <v/>
      </c>
      <c r="W100" s="32">
        <f>W99/W91</f>
        <v/>
      </c>
      <c r="X100" s="32">
        <f>X99/X91</f>
        <v/>
      </c>
      <c r="Y100" s="32">
        <f>Y99/Y91</f>
        <v/>
      </c>
      <c r="Z100" s="32">
        <f>Z99/Z91</f>
        <v/>
      </c>
      <c r="AA100" s="364" t="n"/>
      <c r="AB100" s="364" t="n"/>
      <c r="AC100" s="32" t="n"/>
      <c r="AD100" s="364" t="n"/>
      <c r="AE100" s="348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  <c r="AV100" s="32" t="n"/>
      <c r="AW100" s="32" t="n"/>
      <c r="AX100" s="32" t="n"/>
      <c r="AY100" s="32" t="n"/>
      <c r="AZ100" s="32" t="n"/>
      <c r="BA100" s="32" t="n"/>
      <c r="BB100" s="32" t="n"/>
      <c r="BC100" s="32" t="n"/>
      <c r="BD100" s="32" t="n"/>
      <c r="BE100" s="32" t="n"/>
      <c r="BF100" s="32" t="n"/>
      <c r="BG100" s="32" t="n"/>
      <c r="BH100" s="32" t="n"/>
      <c r="BI100" s="32" t="n"/>
      <c r="BJ100" s="32" t="n"/>
      <c r="BK100" s="32" t="n"/>
      <c r="BL100" s="32" t="n"/>
      <c r="BM100" s="32" t="n"/>
      <c r="BN100" s="32" t="n"/>
      <c r="BO100" s="32" t="n"/>
      <c r="BP100" s="32" t="n"/>
      <c r="BQ100" s="32" t="n"/>
      <c r="BR100" s="32" t="n"/>
      <c r="BS100" s="32" t="n"/>
      <c r="BT100" s="32" t="n"/>
      <c r="BU100" s="315" t="n"/>
      <c r="BV100" s="315" t="n"/>
      <c r="BW100" s="315" t="n"/>
      <c r="BX100" s="315" t="n"/>
      <c r="FB100" s="32" t="n"/>
      <c r="FC100" s="32" t="n"/>
      <c r="FD100" s="32" t="n"/>
      <c r="FE100" s="32" t="n"/>
    </row>
    <row r="101">
      <c r="A101" s="6" t="inlineStr">
        <is>
          <t>ROE</t>
        </is>
      </c>
      <c r="B101" s="32">
        <f>B28/AVERAGE(A91:B91)</f>
        <v/>
      </c>
      <c r="C101" s="32">
        <f>C28/AVERAGE(B91:C91)</f>
        <v/>
      </c>
      <c r="D101" s="32">
        <f>D28/AVERAGE(C91:D91)</f>
        <v/>
      </c>
      <c r="E101" s="32">
        <f>E28/AVERAGE(D91:E91)</f>
        <v/>
      </c>
      <c r="F101" s="32">
        <f>F28/AVERAGE(E91:F91)</f>
        <v/>
      </c>
      <c r="G101" s="32">
        <f>G28/AVERAGE(F91:G91)</f>
        <v/>
      </c>
      <c r="H101" s="32">
        <f>H28/AVERAGE(G91:H91)</f>
        <v/>
      </c>
      <c r="I101" s="32">
        <f>I28/AVERAGE(H91:I91)</f>
        <v/>
      </c>
      <c r="J101" s="32">
        <f>J28/AVERAGE(I91:J91)</f>
        <v/>
      </c>
      <c r="K101" s="32">
        <f>K28/AVERAGE(J91:K91)</f>
        <v/>
      </c>
      <c r="L101" s="32">
        <f>L28/AVERAGE(K91:L91)</f>
        <v/>
      </c>
      <c r="M101" s="32">
        <f>M28/AVERAGE(L91:M91)</f>
        <v/>
      </c>
      <c r="N101" s="32">
        <f>N28/AVERAGE(M91:N91)</f>
        <v/>
      </c>
      <c r="O101" s="32">
        <f>O28/AVERAGE(N91:O91)</f>
        <v/>
      </c>
      <c r="P101" s="32">
        <f>P28/AVERAGE(O91:P91)</f>
        <v/>
      </c>
      <c r="Q101" s="32">
        <f>Q28/AVERAGE(P91:Q91)</f>
        <v/>
      </c>
      <c r="R101" s="32">
        <f>R28/AVERAGE(Q91:R91)</f>
        <v/>
      </c>
      <c r="S101" s="32">
        <f>S28/AVERAGE(R91:S91)</f>
        <v/>
      </c>
      <c r="T101" s="32">
        <f>T28/AVERAGE(S91:T91)</f>
        <v/>
      </c>
      <c r="U101" s="32">
        <f>U28/AVERAGE(T91:U91)</f>
        <v/>
      </c>
      <c r="V101" s="32">
        <f>V28/AVERAGE(U91:V91)</f>
        <v/>
      </c>
      <c r="W101" s="32">
        <f>W28/AVERAGE(V91:W91)</f>
        <v/>
      </c>
      <c r="X101" s="32">
        <f>X28/AVERAGE(W91:X91)</f>
        <v/>
      </c>
      <c r="Y101" s="32">
        <f>Y28/AVERAGE(X91:Y91)</f>
        <v/>
      </c>
      <c r="Z101" s="32">
        <f>Z28/AVERAGE(Y91:Z91)</f>
        <v/>
      </c>
      <c r="AA101" s="364" t="n"/>
      <c r="AB101" s="364" t="n"/>
      <c r="AC101" s="32" t="n"/>
      <c r="AD101" s="364" t="n"/>
      <c r="AE101" s="348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  <c r="AV101" s="32" t="n"/>
      <c r="AW101" s="32" t="n"/>
      <c r="AX101" s="32" t="n"/>
      <c r="AY101" s="32" t="n"/>
      <c r="AZ101" s="32" t="n"/>
      <c r="BA101" s="32" t="n"/>
      <c r="BB101" s="32" t="n"/>
      <c r="BC101" s="32" t="n"/>
      <c r="BD101" s="32" t="n"/>
      <c r="BE101" s="32" t="n"/>
      <c r="BF101" s="32" t="n"/>
      <c r="BG101" s="32" t="n"/>
      <c r="BH101" s="32" t="n"/>
      <c r="BI101" s="32" t="n"/>
      <c r="BJ101" s="32" t="n"/>
      <c r="BK101" s="32" t="n"/>
      <c r="BL101" s="32" t="n"/>
      <c r="BM101" s="32" t="n"/>
      <c r="BN101" s="32" t="n"/>
      <c r="BO101" s="32" t="n"/>
      <c r="BP101" s="32" t="n"/>
      <c r="BQ101" s="32" t="n"/>
      <c r="BR101" s="32" t="n"/>
      <c r="BS101" s="32" t="n"/>
      <c r="BT101" s="32" t="n"/>
      <c r="BU101" s="315" t="n"/>
      <c r="BV101" s="315" t="n"/>
      <c r="BW101" s="315" t="n"/>
      <c r="BX101" s="315" t="n"/>
      <c r="FB101" s="32" t="n"/>
      <c r="FC101" s="32" t="n"/>
      <c r="FD101" s="32" t="n"/>
      <c r="FE101" s="32" t="n"/>
    </row>
    <row r="102">
      <c r="A102" s="6" t="inlineStr">
        <is>
          <t>ROIC</t>
        </is>
      </c>
      <c r="B102" s="32" t="n"/>
      <c r="U102" s="32">
        <f>(U15*(1-U24))/AVERAGE(U91+U99,T91+T99)</f>
        <v/>
      </c>
      <c r="V102" s="32">
        <f>(V15*(1-V24))/AVERAGE(V91+V99,U91+U99)</f>
        <v/>
      </c>
      <c r="W102" s="32">
        <f>(W15*(1-W24))/AVERAGE(W91+W99,V91+V99)</f>
        <v/>
      </c>
      <c r="X102" s="32">
        <f>(X15*(1-X24))/AVERAGE(X91+X99,W91+W99)</f>
        <v/>
      </c>
      <c r="Y102" s="32">
        <f>(Y15*(1-Y24))/AVERAGE(Y91+Y99,X91+X99)</f>
        <v/>
      </c>
      <c r="Z102" s="32">
        <f>(Z15*(1-Z24))/AVERAGE(Z91+Z99,Y91+Y99)</f>
        <v/>
      </c>
      <c r="AA102" s="364" t="n"/>
      <c r="AB102" s="364" t="n"/>
      <c r="AC102" s="32" t="n"/>
      <c r="AD102" s="364" t="n"/>
      <c r="AE102" s="348" t="n"/>
      <c r="AF102" s="32" t="n"/>
      <c r="BU102" s="128" t="n"/>
      <c r="BV102" s="128" t="n"/>
      <c r="BW102" s="128" t="n"/>
      <c r="BX102" s="128" t="n"/>
    </row>
    <row r="103"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  <c r="AA103" s="364" t="n"/>
      <c r="AB103" s="364" t="n"/>
      <c r="AC103" s="32" t="n"/>
      <c r="AD103" s="364" t="n"/>
      <c r="AE103" s="348" t="n"/>
      <c r="AF103" s="32" t="n"/>
      <c r="BU103" s="128" t="n"/>
      <c r="BV103" s="128" t="n"/>
      <c r="BW103" s="128" t="n"/>
      <c r="BX103" s="128" t="n"/>
    </row>
    <row r="104" ht="14.25" customHeight="1">
      <c r="A104" s="31" t="inlineStr">
        <is>
          <t>Cash flow statement</t>
        </is>
      </c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  <c r="AA104" s="356" t="n"/>
      <c r="AB104" s="356" t="n"/>
      <c r="AC104" s="29" t="n"/>
      <c r="AD104" s="356" t="n"/>
      <c r="AE104" s="369" t="n"/>
      <c r="AF104" s="30" t="n"/>
      <c r="AG104" s="29" t="n"/>
      <c r="AH104" s="29" t="n"/>
      <c r="AI104" s="29" t="n"/>
      <c r="AJ104" s="29" t="n"/>
      <c r="AK104" s="29" t="n"/>
      <c r="AL104" s="29" t="n"/>
      <c r="AM104" s="29" t="n"/>
      <c r="AN104" s="29" t="n"/>
      <c r="AO104" s="29" t="n"/>
      <c r="AP104" s="29" t="n"/>
      <c r="AQ104" s="29" t="n"/>
      <c r="AR104" s="29" t="n"/>
      <c r="AS104" s="29" t="n"/>
      <c r="AT104" s="29" t="n"/>
      <c r="AU104" s="29" t="n"/>
      <c r="AV104" s="29" t="n"/>
      <c r="AW104" s="29" t="n"/>
      <c r="AX104" s="29" t="n"/>
      <c r="AY104" s="29" t="n"/>
      <c r="AZ104" s="29" t="n"/>
      <c r="BA104" s="29" t="n"/>
      <c r="BB104" s="29" t="n"/>
      <c r="BC104" s="29" t="n"/>
      <c r="BD104" s="29" t="n"/>
      <c r="BE104" s="29" t="n"/>
      <c r="BF104" s="29" t="n"/>
      <c r="BG104" s="29" t="n"/>
      <c r="BH104" s="29" t="n"/>
      <c r="BI104" s="29" t="n"/>
      <c r="BJ104" s="29" t="n"/>
      <c r="BK104" s="29" t="n"/>
      <c r="BL104" s="29" t="n"/>
      <c r="BM104" s="29" t="n"/>
      <c r="BN104" s="29" t="n"/>
      <c r="BO104" s="29" t="n"/>
      <c r="BP104" s="29" t="n"/>
      <c r="BQ104" s="29" t="n"/>
      <c r="BR104" s="29" t="n"/>
      <c r="BS104" s="29" t="n"/>
      <c r="BT104" s="29" t="n"/>
      <c r="BU104" s="316" t="n"/>
      <c r="BV104" s="316" t="n"/>
      <c r="BW104" s="316" t="n"/>
      <c r="BX104" s="316" t="n"/>
      <c r="BZ104" s="29" t="n"/>
      <c r="CA104" s="29" t="n"/>
      <c r="CB104" s="29" t="n"/>
      <c r="CC104" s="29" t="n"/>
      <c r="CD104" s="29" t="n"/>
      <c r="CE104" s="29" t="n"/>
      <c r="CF104" s="29" t="n"/>
      <c r="CG104" s="29" t="n"/>
      <c r="CH104" s="29" t="n"/>
      <c r="CI104" s="29" t="n"/>
      <c r="CJ104" s="29" t="n"/>
      <c r="CK104" s="29" t="n"/>
      <c r="CL104" s="29" t="n"/>
      <c r="CM104" s="29" t="n"/>
      <c r="CN104" s="29" t="n"/>
      <c r="CO104" s="29" t="n"/>
      <c r="CP104" s="29" t="n"/>
      <c r="CQ104" s="29" t="n"/>
      <c r="CR104" s="29" t="n"/>
      <c r="CS104" s="29" t="n"/>
      <c r="CT104" s="29" t="n"/>
      <c r="CU104" s="29" t="n"/>
      <c r="CV104" s="29" t="n"/>
      <c r="CW104" s="29" t="n"/>
      <c r="CX104" s="29" t="n"/>
      <c r="CY104" s="29" t="n"/>
      <c r="CZ104" s="29" t="n"/>
      <c r="DA104" s="29" t="n"/>
      <c r="DB104" s="29" t="n"/>
      <c r="DC104" s="29" t="n"/>
      <c r="DD104" s="29" t="n"/>
      <c r="DE104" s="29" t="n"/>
      <c r="DF104" s="29" t="n"/>
      <c r="DG104" s="29" t="n"/>
      <c r="DH104" s="29" t="n"/>
      <c r="DI104" s="29" t="n"/>
      <c r="DJ104" s="29" t="n"/>
      <c r="DK104" s="29" t="n"/>
      <c r="DL104" s="29" t="n"/>
      <c r="DM104" s="29" t="n"/>
      <c r="DN104" s="29" t="n"/>
      <c r="DO104" s="29" t="n"/>
      <c r="DP104" s="29" t="n"/>
      <c r="DQ104" s="29" t="n"/>
      <c r="DR104" s="29" t="n"/>
      <c r="DS104" s="29" t="n"/>
      <c r="DT104" s="29" t="n"/>
      <c r="DU104" s="29" t="n"/>
      <c r="DV104" s="29" t="n"/>
      <c r="DW104" s="29" t="n"/>
      <c r="DX104" s="29" t="n"/>
      <c r="DY104" s="29" t="n"/>
      <c r="DZ104" s="29" t="n"/>
      <c r="EA104" s="29" t="n"/>
      <c r="EB104" s="29" t="n"/>
      <c r="EC104" s="29" t="n"/>
      <c r="ED104" s="29" t="n"/>
      <c r="EE104" s="29" t="n"/>
      <c r="EF104" s="29" t="n"/>
      <c r="EG104" s="29" t="n"/>
      <c r="EH104" s="29" t="n"/>
      <c r="EI104" s="29" t="n"/>
      <c r="EJ104" s="29" t="n"/>
      <c r="EK104" s="29" t="n"/>
      <c r="EL104" s="29" t="n"/>
      <c r="EM104" s="29" t="n"/>
      <c r="EN104" s="29" t="n"/>
      <c r="EO104" s="29" t="n"/>
      <c r="EP104" s="29" t="n"/>
      <c r="EQ104" s="29" t="n"/>
      <c r="ER104" s="29" t="n"/>
      <c r="ES104" s="29" t="n"/>
      <c r="ET104" s="29" t="n"/>
      <c r="EU104" s="29" t="n"/>
      <c r="EV104" s="29" t="n"/>
      <c r="EW104" s="29" t="n"/>
      <c r="EX104" s="29" t="n"/>
      <c r="EY104" s="29" t="n"/>
      <c r="EZ104" s="29" t="n"/>
      <c r="FA104" s="29" t="n"/>
      <c r="FB104" s="29" t="n"/>
      <c r="FC104" s="29" t="n"/>
      <c r="FD104" s="29" t="n"/>
      <c r="FE104" s="29" t="n"/>
    </row>
    <row r="105">
      <c r="A105" s="28" t="inlineStr">
        <is>
          <t>Net profit</t>
        </is>
      </c>
      <c r="B105" s="451">
        <f>B28</f>
        <v/>
      </c>
      <c r="C105" s="451">
        <f>C28</f>
        <v/>
      </c>
      <c r="D105" s="451">
        <f>D28</f>
        <v/>
      </c>
      <c r="E105" s="451">
        <f>E28</f>
        <v/>
      </c>
      <c r="F105" s="451">
        <f>F28</f>
        <v/>
      </c>
      <c r="G105" s="451">
        <f>G28</f>
        <v/>
      </c>
      <c r="H105" s="451">
        <f>H28</f>
        <v/>
      </c>
      <c r="I105" s="451">
        <f>I28</f>
        <v/>
      </c>
      <c r="J105" s="451">
        <f>J28</f>
        <v/>
      </c>
      <c r="K105" s="451">
        <f>K28</f>
        <v/>
      </c>
      <c r="L105" s="451">
        <f>L28</f>
        <v/>
      </c>
      <c r="M105" s="451">
        <f>M28</f>
        <v/>
      </c>
      <c r="N105" s="451">
        <f>N28</f>
        <v/>
      </c>
      <c r="O105" s="451">
        <f>O28</f>
        <v/>
      </c>
      <c r="P105" s="451">
        <f>P28</f>
        <v/>
      </c>
      <c r="Q105" s="451">
        <f>Q28</f>
        <v/>
      </c>
      <c r="R105" s="451">
        <f>R28</f>
        <v/>
      </c>
      <c r="S105" s="451">
        <f>S28</f>
        <v/>
      </c>
      <c r="T105" s="451">
        <f>T28</f>
        <v/>
      </c>
      <c r="U105" s="451">
        <f>U28</f>
        <v/>
      </c>
      <c r="V105" s="451">
        <f>V28</f>
        <v/>
      </c>
      <c r="W105" s="451">
        <f>W28</f>
        <v/>
      </c>
      <c r="X105" s="451">
        <f>X28</f>
        <v/>
      </c>
      <c r="Y105" s="451">
        <f>Y28</f>
        <v/>
      </c>
      <c r="Z105" s="451">
        <f>Z28</f>
        <v/>
      </c>
      <c r="AA105" s="452">
        <f>+U105-T105</f>
        <v/>
      </c>
      <c r="AB105" s="348">
        <f>+AA105/T105</f>
        <v/>
      </c>
      <c r="AC105" s="451" t="n">
        <v>4356.060831133802</v>
      </c>
      <c r="AD105" s="452">
        <f>+X105-W105</f>
        <v/>
      </c>
      <c r="AE105" s="348">
        <f>+AD105/W105</f>
        <v/>
      </c>
      <c r="AF105" s="451" t="n"/>
      <c r="AG105" s="451">
        <f>AG25</f>
        <v/>
      </c>
      <c r="AH105" s="451">
        <f>+B105-AG105</f>
        <v/>
      </c>
      <c r="AI105" s="451">
        <f>AI25</f>
        <v/>
      </c>
      <c r="AJ105" s="451">
        <f>+C105-AI105</f>
        <v/>
      </c>
      <c r="AK105" s="451">
        <f>AK25</f>
        <v/>
      </c>
      <c r="AL105" s="451">
        <f>+D105-AK105</f>
        <v/>
      </c>
      <c r="AM105" s="451">
        <f>AM25</f>
        <v/>
      </c>
      <c r="AN105" s="451">
        <f>+E105-AM105</f>
        <v/>
      </c>
      <c r="AO105" s="451">
        <f>AO25</f>
        <v/>
      </c>
      <c r="AP105" s="451">
        <f>+F105-AO105</f>
        <v/>
      </c>
      <c r="AQ105" s="451">
        <f>AQ25</f>
        <v/>
      </c>
      <c r="AR105" s="451">
        <f>+G105-AQ105</f>
        <v/>
      </c>
      <c r="AS105" s="451">
        <f>AS25</f>
        <v/>
      </c>
      <c r="AT105" s="451">
        <f>+H105-AS105</f>
        <v/>
      </c>
      <c r="AU105" s="451">
        <f>AU25</f>
        <v/>
      </c>
      <c r="AV105" s="451">
        <f>+I105-AU105</f>
        <v/>
      </c>
      <c r="AW105" s="451">
        <f>AW25</f>
        <v/>
      </c>
      <c r="AX105" s="451">
        <f>+J105-AW105</f>
        <v/>
      </c>
      <c r="AY105" s="451">
        <f>AY25</f>
        <v/>
      </c>
      <c r="AZ105" s="451">
        <f>+K105-AY105</f>
        <v/>
      </c>
      <c r="BA105" s="451">
        <f>BA25</f>
        <v/>
      </c>
      <c r="BB105" s="451">
        <f>+L105-BA105</f>
        <v/>
      </c>
      <c r="BC105" s="451">
        <f>BC25</f>
        <v/>
      </c>
      <c r="BD105" s="451">
        <f>+M105-BC105</f>
        <v/>
      </c>
      <c r="BE105" s="451">
        <f>BE25</f>
        <v/>
      </c>
      <c r="BF105" s="451">
        <f>+N105-BE105</f>
        <v/>
      </c>
      <c r="BG105" s="451">
        <f>BG25</f>
        <v/>
      </c>
      <c r="BH105" s="451">
        <f>+O105-BG105</f>
        <v/>
      </c>
      <c r="BI105" s="451">
        <f>BI25</f>
        <v/>
      </c>
      <c r="BJ105" s="451">
        <f>+P105-BI105</f>
        <v/>
      </c>
      <c r="BK105" s="451">
        <f>BK25</f>
        <v/>
      </c>
      <c r="BL105" s="451">
        <f>+Q105-BK105</f>
        <v/>
      </c>
      <c r="BM105" s="451">
        <f>BM25</f>
        <v/>
      </c>
      <c r="BN105" s="451">
        <f>+R105-BM105</f>
        <v/>
      </c>
      <c r="BO105" s="451">
        <f>BO25</f>
        <v/>
      </c>
      <c r="BP105" s="451">
        <f>+S105-BO105</f>
        <v/>
      </c>
      <c r="BQ105" s="451">
        <f>BQ25</f>
        <v/>
      </c>
      <c r="BR105" s="451">
        <f>+T105-BQ105</f>
        <v/>
      </c>
      <c r="BS105" s="451" t="n"/>
      <c r="BT105" s="451">
        <f>+U105-BS105</f>
        <v/>
      </c>
      <c r="BU105" s="489">
        <f>BT105-BR105</f>
        <v/>
      </c>
      <c r="BV105" s="384">
        <f>BU105/BR105</f>
        <v/>
      </c>
      <c r="BW105" s="384">
        <f>+BT105/T105</f>
        <v/>
      </c>
      <c r="BX105" s="384">
        <f>+BT105/U105</f>
        <v/>
      </c>
      <c r="BZ105" s="451">
        <f>BZ25</f>
        <v/>
      </c>
      <c r="CA105" s="451">
        <f>CA25</f>
        <v/>
      </c>
      <c r="CB105" s="451">
        <f>CB25</f>
        <v/>
      </c>
      <c r="CC105" s="451" t="n"/>
      <c r="CD105" s="451">
        <f>CD25</f>
        <v/>
      </c>
      <c r="CE105" s="451" t="n"/>
      <c r="CF105" s="451">
        <f>CF25</f>
        <v/>
      </c>
      <c r="CG105" s="451" t="n"/>
      <c r="CH105" s="451">
        <f>CH25</f>
        <v/>
      </c>
      <c r="CI105" s="451" t="n"/>
      <c r="CJ105" s="451">
        <f>CJ25</f>
        <v/>
      </c>
      <c r="CK105" s="451" t="n"/>
      <c r="CL105" s="451">
        <f>CL25</f>
        <v/>
      </c>
      <c r="CM105" s="451" t="n"/>
      <c r="CN105" s="451">
        <f>CN25</f>
        <v/>
      </c>
      <c r="CO105" s="451" t="n"/>
      <c r="CP105" s="451">
        <f>CP25</f>
        <v/>
      </c>
      <c r="CQ105" s="451" t="n"/>
      <c r="CR105" s="451">
        <f>CR25</f>
        <v/>
      </c>
      <c r="CS105" s="451" t="n"/>
      <c r="CT105" s="451">
        <f>CT25</f>
        <v/>
      </c>
      <c r="CU105" s="451" t="n"/>
      <c r="CV105" s="451">
        <f>CV25</f>
        <v/>
      </c>
      <c r="CW105" s="451" t="n"/>
      <c r="CX105" s="451">
        <f>CX25</f>
        <v/>
      </c>
      <c r="CY105" s="451" t="n"/>
      <c r="CZ105" s="451">
        <f>CZ25</f>
        <v/>
      </c>
      <c r="DA105" s="451" t="n"/>
      <c r="DB105" s="451">
        <f>DB25</f>
        <v/>
      </c>
      <c r="DC105" s="451" t="n"/>
      <c r="DD105" s="451">
        <f>DD25</f>
        <v/>
      </c>
      <c r="DE105" s="451" t="n"/>
      <c r="DF105" s="451">
        <f>DF25</f>
        <v/>
      </c>
      <c r="DG105" s="451" t="n"/>
      <c r="DH105" s="451">
        <f>DH25</f>
        <v/>
      </c>
      <c r="DI105" s="451" t="n"/>
      <c r="DJ105" s="451">
        <f>DJ25</f>
        <v/>
      </c>
      <c r="DK105" s="451" t="n"/>
      <c r="DL105" s="451">
        <f>DL25</f>
        <v/>
      </c>
      <c r="DM105" s="451" t="n"/>
      <c r="DN105" s="451">
        <f>DN25</f>
        <v/>
      </c>
      <c r="DO105" s="451" t="n"/>
      <c r="DP105" s="451">
        <f>DP25</f>
        <v/>
      </c>
      <c r="DQ105" s="451" t="n"/>
      <c r="DR105" s="451">
        <f>DR25</f>
        <v/>
      </c>
      <c r="DS105" s="451" t="n"/>
      <c r="DT105" s="451">
        <f>DT25</f>
        <v/>
      </c>
      <c r="DU105" s="451" t="n"/>
      <c r="DV105" s="451">
        <f>DV25</f>
        <v/>
      </c>
      <c r="DW105" s="451" t="n"/>
      <c r="DX105" s="451">
        <f>DX25</f>
        <v/>
      </c>
      <c r="DY105" s="451" t="n"/>
      <c r="DZ105" s="451">
        <f>DZ25</f>
        <v/>
      </c>
      <c r="EA105" s="451" t="n"/>
      <c r="EB105" s="451">
        <f>EB25</f>
        <v/>
      </c>
      <c r="EC105" s="451" t="n"/>
      <c r="ED105" s="451">
        <f>ED25</f>
        <v/>
      </c>
      <c r="EE105" s="451" t="n"/>
      <c r="EF105" s="451">
        <f>EF25</f>
        <v/>
      </c>
      <c r="EG105" s="451" t="n"/>
      <c r="EH105" s="451">
        <f>EH25</f>
        <v/>
      </c>
      <c r="EI105" s="451" t="n"/>
      <c r="EJ105" s="451">
        <f>EJ25</f>
        <v/>
      </c>
      <c r="EK105" s="451" t="n"/>
      <c r="EL105" s="451">
        <f>EL25</f>
        <v/>
      </c>
      <c r="EM105" s="451" t="n"/>
      <c r="EN105" s="451">
        <f>EN25</f>
        <v/>
      </c>
      <c r="EO105" s="451" t="n"/>
      <c r="EP105" s="451">
        <f>EP25</f>
        <v/>
      </c>
      <c r="EQ105" s="451" t="n"/>
      <c r="ER105" s="451">
        <f>ER25</f>
        <v/>
      </c>
      <c r="ES105" s="451" t="n"/>
      <c r="ET105" s="451">
        <f>ET25</f>
        <v/>
      </c>
      <c r="EU105" s="451">
        <f>+BQ105-ET105</f>
        <v/>
      </c>
      <c r="EV105" s="451">
        <f>EV25</f>
        <v/>
      </c>
      <c r="EW105" s="451">
        <f>EW25</f>
        <v/>
      </c>
      <c r="EX105" s="451">
        <f>EX25</f>
        <v/>
      </c>
      <c r="EY105" s="451">
        <f>EY25</f>
        <v/>
      </c>
      <c r="EZ105" s="521" t="n"/>
      <c r="FA105" s="521" t="n"/>
      <c r="FB105" s="452">
        <f>+FA105-EW105</f>
        <v/>
      </c>
      <c r="FC105" s="348">
        <f>+FB105/EW105</f>
        <v/>
      </c>
      <c r="FD105" s="348">
        <f>+FA105/T105</f>
        <v/>
      </c>
      <c r="FE105" s="348">
        <f>+FA105/U105</f>
        <v/>
      </c>
    </row>
    <row r="106">
      <c r="A106" s="6" t="inlineStr">
        <is>
          <t>Impairment and fair value adjustment</t>
        </is>
      </c>
      <c r="B106" s="451">
        <f>-B20</f>
        <v/>
      </c>
      <c r="C106" s="451">
        <f>-C20</f>
        <v/>
      </c>
      <c r="D106" s="451">
        <f>-D20</f>
        <v/>
      </c>
      <c r="E106" s="451">
        <f>-E20</f>
        <v/>
      </c>
      <c r="F106" s="451">
        <f>-F20</f>
        <v/>
      </c>
      <c r="G106" s="451">
        <f>-G20</f>
        <v/>
      </c>
      <c r="H106" s="451">
        <f>-H20</f>
        <v/>
      </c>
      <c r="I106" s="451">
        <f>-I20</f>
        <v/>
      </c>
      <c r="J106" s="451">
        <f>-J20</f>
        <v/>
      </c>
      <c r="K106" s="451">
        <f>-K20</f>
        <v/>
      </c>
      <c r="L106" s="451">
        <f>-L20</f>
        <v/>
      </c>
      <c r="M106" s="451">
        <f>-M20</f>
        <v/>
      </c>
      <c r="N106" s="451">
        <f>-N20</f>
        <v/>
      </c>
      <c r="O106" s="451">
        <f>-O20</f>
        <v/>
      </c>
      <c r="P106" s="451">
        <f>-P20</f>
        <v/>
      </c>
      <c r="Q106" s="451">
        <f>-Q20</f>
        <v/>
      </c>
      <c r="R106" s="451">
        <f>-R20</f>
        <v/>
      </c>
      <c r="S106" s="451">
        <f>-S20</f>
        <v/>
      </c>
      <c r="T106" s="451">
        <f>-T20</f>
        <v/>
      </c>
      <c r="U106" s="451">
        <f>-U20</f>
        <v/>
      </c>
      <c r="V106" s="451">
        <f>-V20</f>
        <v/>
      </c>
      <c r="W106" s="451">
        <f>-W20</f>
        <v/>
      </c>
      <c r="X106" s="451">
        <f>-X20</f>
        <v/>
      </c>
      <c r="Y106" s="451">
        <f>-Y20</f>
        <v/>
      </c>
      <c r="Z106" s="451">
        <f>-Z20</f>
        <v/>
      </c>
      <c r="AA106" s="452">
        <f>+U106-T106</f>
        <v/>
      </c>
      <c r="AB106" s="348">
        <f>+AA106/T106</f>
        <v/>
      </c>
      <c r="AC106" s="451" t="n">
        <v>574.3000000000001</v>
      </c>
      <c r="AD106" s="452">
        <f>+X106-W106</f>
        <v/>
      </c>
      <c r="AE106" s="348">
        <f>+AD106/W106</f>
        <v/>
      </c>
      <c r="AF106" s="451" t="n"/>
      <c r="AG106" s="451">
        <f>-AG20</f>
        <v/>
      </c>
      <c r="AH106" s="451">
        <f>+B106-AG106</f>
        <v/>
      </c>
      <c r="AI106" s="451">
        <f>-AI20</f>
        <v/>
      </c>
      <c r="AJ106" s="451">
        <f>+C106-AI106</f>
        <v/>
      </c>
      <c r="AK106" s="451">
        <f>-AK20</f>
        <v/>
      </c>
      <c r="AL106" s="451">
        <f>+D106-AK106</f>
        <v/>
      </c>
      <c r="AM106" s="451">
        <f>-AM20</f>
        <v/>
      </c>
      <c r="AN106" s="451">
        <f>+E106-AM106</f>
        <v/>
      </c>
      <c r="AO106" s="451">
        <f>-AO20</f>
        <v/>
      </c>
      <c r="AP106" s="451">
        <f>+F106-AO106</f>
        <v/>
      </c>
      <c r="AQ106" s="451">
        <f>-AQ20</f>
        <v/>
      </c>
      <c r="AR106" s="451">
        <f>+G106-AQ106</f>
        <v/>
      </c>
      <c r="AS106" s="451">
        <f>-AS20</f>
        <v/>
      </c>
      <c r="AT106" s="451">
        <f>+H106-AS106</f>
        <v/>
      </c>
      <c r="AU106" s="451">
        <f>-AU20</f>
        <v/>
      </c>
      <c r="AV106" s="451">
        <f>+I106-AU106</f>
        <v/>
      </c>
      <c r="AW106" s="451">
        <f>-AW20</f>
        <v/>
      </c>
      <c r="AX106" s="451">
        <f>+J106-AW106</f>
        <v/>
      </c>
      <c r="AY106" s="451">
        <f>-AY20</f>
        <v/>
      </c>
      <c r="AZ106" s="451">
        <f>+K106-AY106</f>
        <v/>
      </c>
      <c r="BA106" s="451">
        <f>-BA20</f>
        <v/>
      </c>
      <c r="BB106" s="451">
        <f>+L106-BA106</f>
        <v/>
      </c>
      <c r="BC106" s="451">
        <f>-BC20</f>
        <v/>
      </c>
      <c r="BD106" s="451">
        <f>+M106-BC106</f>
        <v/>
      </c>
      <c r="BE106" s="451">
        <f>-BE20</f>
        <v/>
      </c>
      <c r="BF106" s="451">
        <f>+N106-BE106</f>
        <v/>
      </c>
      <c r="BG106" s="451">
        <f>-BG20</f>
        <v/>
      </c>
      <c r="BH106" s="451">
        <f>+O106-BG106</f>
        <v/>
      </c>
      <c r="BI106" s="451">
        <f>-BI20</f>
        <v/>
      </c>
      <c r="BJ106" s="451">
        <f>+P106-BI106</f>
        <v/>
      </c>
      <c r="BK106" s="451">
        <f>-BK20</f>
        <v/>
      </c>
      <c r="BL106" s="451">
        <f>+Q106-BK106</f>
        <v/>
      </c>
      <c r="BM106" s="451">
        <f>-BM20</f>
        <v/>
      </c>
      <c r="BN106" s="451">
        <f>+R106-BM106</f>
        <v/>
      </c>
      <c r="BO106" s="451">
        <f>-BO20</f>
        <v/>
      </c>
      <c r="BP106" s="451">
        <f>+S106-BO106</f>
        <v/>
      </c>
      <c r="BQ106" s="451">
        <f>-BQ20</f>
        <v/>
      </c>
      <c r="BR106" s="451">
        <f>+T106-BQ106</f>
        <v/>
      </c>
      <c r="BS106" s="451" t="n"/>
      <c r="BT106" s="451">
        <f>+U106-BS106</f>
        <v/>
      </c>
      <c r="BU106" s="489">
        <f>BT106-BR106</f>
        <v/>
      </c>
      <c r="BV106" s="384">
        <f>BU106/BR106</f>
        <v/>
      </c>
      <c r="BW106" s="384">
        <f>+BT106/T106</f>
        <v/>
      </c>
      <c r="BX106" s="384">
        <f>+BT106/U106</f>
        <v/>
      </c>
      <c r="BZ106" s="451">
        <f>-BZ20</f>
        <v/>
      </c>
      <c r="CA106" s="451">
        <f>-CA20</f>
        <v/>
      </c>
      <c r="CB106" s="451">
        <f>-CB20</f>
        <v/>
      </c>
      <c r="CC106" s="451" t="n"/>
      <c r="CD106" s="451">
        <f>-CD20</f>
        <v/>
      </c>
      <c r="CE106" s="451" t="n"/>
      <c r="CF106" s="451">
        <f>-CF20</f>
        <v/>
      </c>
      <c r="CG106" s="451" t="n"/>
      <c r="CH106" s="451">
        <f>-CH20</f>
        <v/>
      </c>
      <c r="CI106" s="451" t="n"/>
      <c r="CJ106" s="451">
        <f>-CJ20</f>
        <v/>
      </c>
      <c r="CK106" s="451" t="n"/>
      <c r="CL106" s="451">
        <f>-CL20</f>
        <v/>
      </c>
      <c r="CM106" s="451" t="n"/>
      <c r="CN106" s="451">
        <f>-CN20</f>
        <v/>
      </c>
      <c r="CO106" s="451" t="n"/>
      <c r="CP106" s="451">
        <f>-CP20</f>
        <v/>
      </c>
      <c r="CQ106" s="451" t="n"/>
      <c r="CR106" s="451">
        <f>-CR20</f>
        <v/>
      </c>
      <c r="CS106" s="451" t="n"/>
      <c r="CT106" s="451">
        <f>-CT20</f>
        <v/>
      </c>
      <c r="CU106" s="451" t="n"/>
      <c r="CV106" s="451">
        <f>-CV20</f>
        <v/>
      </c>
      <c r="CW106" s="451" t="n"/>
      <c r="CX106" s="451">
        <f>-CX20</f>
        <v/>
      </c>
      <c r="CY106" s="451" t="n"/>
      <c r="CZ106" s="451">
        <f>-CZ20</f>
        <v/>
      </c>
      <c r="DA106" s="451" t="n"/>
      <c r="DB106" s="451">
        <f>-DB20</f>
        <v/>
      </c>
      <c r="DC106" s="451" t="n"/>
      <c r="DD106" s="451">
        <f>-DD20</f>
        <v/>
      </c>
      <c r="DE106" s="451" t="n"/>
      <c r="DF106" s="451">
        <f>-DF20</f>
        <v/>
      </c>
      <c r="DG106" s="451" t="n"/>
      <c r="DH106" s="451">
        <f>-DH20</f>
        <v/>
      </c>
      <c r="DI106" s="451" t="n"/>
      <c r="DJ106" s="451">
        <f>-DJ20</f>
        <v/>
      </c>
      <c r="DK106" s="451" t="n"/>
      <c r="DL106" s="451">
        <f>-DL20</f>
        <v/>
      </c>
      <c r="DM106" s="451" t="n"/>
      <c r="DN106" s="451">
        <f>-DN20</f>
        <v/>
      </c>
      <c r="DO106" s="451" t="n"/>
      <c r="DP106" s="451">
        <f>-DP20</f>
        <v/>
      </c>
      <c r="DQ106" s="451" t="n"/>
      <c r="DR106" s="451">
        <f>-DR20</f>
        <v/>
      </c>
      <c r="DS106" s="451" t="n"/>
      <c r="DT106" s="451">
        <f>-DT20</f>
        <v/>
      </c>
      <c r="DU106" s="451" t="n"/>
      <c r="DV106" s="451">
        <f>-DV20</f>
        <v/>
      </c>
      <c r="DW106" s="451" t="n"/>
      <c r="DX106" s="451">
        <f>-DX20</f>
        <v/>
      </c>
      <c r="DY106" s="451" t="n"/>
      <c r="DZ106" s="451">
        <f>-DZ20</f>
        <v/>
      </c>
      <c r="EA106" s="451" t="n"/>
      <c r="EB106" s="451">
        <f>-EB20</f>
        <v/>
      </c>
      <c r="EC106" s="451" t="n"/>
      <c r="ED106" s="451">
        <f>-ED20</f>
        <v/>
      </c>
      <c r="EE106" s="451" t="n"/>
      <c r="EF106" s="451">
        <f>-EF20</f>
        <v/>
      </c>
      <c r="EG106" s="451" t="n"/>
      <c r="EH106" s="451">
        <f>-EH20</f>
        <v/>
      </c>
      <c r="EI106" s="451" t="n"/>
      <c r="EJ106" s="451">
        <f>-EJ20</f>
        <v/>
      </c>
      <c r="EK106" s="451" t="n"/>
      <c r="EL106" s="451">
        <f>-EL20</f>
        <v/>
      </c>
      <c r="EM106" s="451" t="n"/>
      <c r="EN106" s="451">
        <f>-EN20</f>
        <v/>
      </c>
      <c r="EO106" s="451" t="n"/>
      <c r="EP106" s="451">
        <f>-EP20</f>
        <v/>
      </c>
      <c r="EQ106" s="451" t="n"/>
      <c r="ER106" s="451">
        <f>-ER20</f>
        <v/>
      </c>
      <c r="ES106" s="451" t="n"/>
      <c r="ET106" s="451">
        <f>-ET20</f>
        <v/>
      </c>
      <c r="EU106" s="451">
        <f>+BQ106-ET106</f>
        <v/>
      </c>
      <c r="EV106" s="451">
        <f>-EV20</f>
        <v/>
      </c>
      <c r="EW106" s="451">
        <f>-EW20</f>
        <v/>
      </c>
      <c r="EX106" s="451">
        <f>-EX20</f>
        <v/>
      </c>
      <c r="EY106" s="451">
        <f>-EY20</f>
        <v/>
      </c>
      <c r="EZ106" s="521" t="n"/>
      <c r="FA106" s="521" t="n"/>
      <c r="FB106" s="452">
        <f>+FA106-EW106</f>
        <v/>
      </c>
      <c r="FC106" s="348">
        <f>+FB106/EW106</f>
        <v/>
      </c>
      <c r="FD106" s="348">
        <f>+FA106/T106</f>
        <v/>
      </c>
      <c r="FE106" s="348">
        <f>+FA106/U106</f>
        <v/>
      </c>
    </row>
    <row r="107">
      <c r="A107" s="6" t="inlineStr">
        <is>
          <t xml:space="preserve">Depreciation </t>
        </is>
      </c>
      <c r="B107" s="451">
        <f>'Raw financials'!B248</f>
        <v/>
      </c>
      <c r="C107" s="451">
        <f>'Raw financials'!C248</f>
        <v/>
      </c>
      <c r="D107" s="451">
        <f>'Raw financials'!D248</f>
        <v/>
      </c>
      <c r="E107" s="451">
        <f>'Raw financials'!E248</f>
        <v/>
      </c>
      <c r="F107" s="451">
        <f>'Raw financials'!F248</f>
        <v/>
      </c>
      <c r="G107" s="451">
        <f>'Raw financials'!G248</f>
        <v/>
      </c>
      <c r="H107" s="451">
        <f>'Raw financials'!H248</f>
        <v/>
      </c>
      <c r="I107" s="451">
        <f>'Raw financials'!I248</f>
        <v/>
      </c>
      <c r="J107" s="451">
        <f>'Raw financials'!J248</f>
        <v/>
      </c>
      <c r="K107" s="451">
        <f>'Raw financials'!K248</f>
        <v/>
      </c>
      <c r="L107" s="451">
        <f>'Raw financials'!L248</f>
        <v/>
      </c>
      <c r="M107" s="451">
        <f>'Raw financials'!M248</f>
        <v/>
      </c>
      <c r="N107" s="451">
        <f>'Raw financials'!N248</f>
        <v/>
      </c>
      <c r="O107" s="451">
        <f>'Raw financials'!O248</f>
        <v/>
      </c>
      <c r="P107" s="451">
        <f>'Raw financials'!P248</f>
        <v/>
      </c>
      <c r="Q107" s="451">
        <f>'Raw financials'!Q248</f>
        <v/>
      </c>
      <c r="R107" s="451">
        <f>'Raw financials'!R248</f>
        <v/>
      </c>
      <c r="S107" s="451">
        <f>'Raw financials'!S248</f>
        <v/>
      </c>
      <c r="T107" s="451">
        <f>'Raw financials'!T248</f>
        <v/>
      </c>
      <c r="U107" s="451">
        <f>-Driver!J102</f>
        <v/>
      </c>
      <c r="V107" s="451">
        <f>-Driver!K102</f>
        <v/>
      </c>
      <c r="W107" s="451">
        <f>-Driver!L102</f>
        <v/>
      </c>
      <c r="X107" s="451">
        <f>-Driver!M102</f>
        <v/>
      </c>
      <c r="Y107" s="451">
        <f>-Driver!N102</f>
        <v/>
      </c>
      <c r="Z107" s="451">
        <f>-Driver!O102</f>
        <v/>
      </c>
      <c r="AA107" s="452">
        <f>+U107-T107</f>
        <v/>
      </c>
      <c r="AB107" s="348">
        <f>+AA107/T107</f>
        <v/>
      </c>
      <c r="AC107" s="451" t="n">
        <v>837.2498302881636</v>
      </c>
      <c r="AD107" s="452">
        <f>+X107-W107</f>
        <v/>
      </c>
      <c r="AE107" s="348">
        <f>+AD107/W107</f>
        <v/>
      </c>
      <c r="AF107" s="451" t="n"/>
      <c r="AG107" s="451">
        <f>'Raw financials'!AA248</f>
        <v/>
      </c>
      <c r="AH107" s="451">
        <f>+B107-AG107</f>
        <v/>
      </c>
      <c r="AI107" s="451">
        <f>'Raw financials'!AB248</f>
        <v/>
      </c>
      <c r="AJ107" s="451">
        <f>+C107-AI107</f>
        <v/>
      </c>
      <c r="AK107" s="451">
        <f>'Raw financials'!AC248</f>
        <v/>
      </c>
      <c r="AL107" s="451">
        <f>+D107-AK107</f>
        <v/>
      </c>
      <c r="AM107" s="451">
        <f>'Raw financials'!AD248</f>
        <v/>
      </c>
      <c r="AN107" s="451">
        <f>+E107-AM107</f>
        <v/>
      </c>
      <c r="AO107" s="451">
        <f>'Raw financials'!AE248</f>
        <v/>
      </c>
      <c r="AP107" s="451">
        <f>+F107-AO107</f>
        <v/>
      </c>
      <c r="AQ107" s="451">
        <f>'Raw financials'!AF248</f>
        <v/>
      </c>
      <c r="AR107" s="451">
        <f>+G107-AQ107</f>
        <v/>
      </c>
      <c r="AS107" s="451">
        <f>'Raw financials'!AG248</f>
        <v/>
      </c>
      <c r="AT107" s="451">
        <f>+H107-AS107</f>
        <v/>
      </c>
      <c r="AU107" s="451">
        <f>'Raw financials'!AH248</f>
        <v/>
      </c>
      <c r="AV107" s="451">
        <f>+I107-AU107</f>
        <v/>
      </c>
      <c r="AW107" s="451">
        <f>'Raw financials'!AI248</f>
        <v/>
      </c>
      <c r="AX107" s="451">
        <f>+J107-AW107</f>
        <v/>
      </c>
      <c r="AY107" s="451">
        <f>'Raw financials'!AJ248</f>
        <v/>
      </c>
      <c r="AZ107" s="451">
        <f>+K107-AY107</f>
        <v/>
      </c>
      <c r="BA107" s="451">
        <f>'Raw financials'!AK248</f>
        <v/>
      </c>
      <c r="BB107" s="451">
        <f>+L107-BA107</f>
        <v/>
      </c>
      <c r="BC107" s="451">
        <f>'Raw financials'!AL248</f>
        <v/>
      </c>
      <c r="BD107" s="451">
        <f>+M107-BC107</f>
        <v/>
      </c>
      <c r="BE107" s="451">
        <f>'Raw financials'!AM248</f>
        <v/>
      </c>
      <c r="BF107" s="451">
        <f>+N107-BE107</f>
        <v/>
      </c>
      <c r="BG107" s="451">
        <f>'Raw financials'!AN248</f>
        <v/>
      </c>
      <c r="BH107" s="451">
        <f>+O107-BG107</f>
        <v/>
      </c>
      <c r="BI107" s="451">
        <f>'Raw financials'!AO248</f>
        <v/>
      </c>
      <c r="BJ107" s="451">
        <f>+P107-BI107</f>
        <v/>
      </c>
      <c r="BK107" s="451">
        <f>'Raw financials'!AP248</f>
        <v/>
      </c>
      <c r="BL107" s="451">
        <f>+Q107-BK107</f>
        <v/>
      </c>
      <c r="BM107" s="451">
        <f>'Raw financials'!AQ248</f>
        <v/>
      </c>
      <c r="BN107" s="451">
        <f>+R107-BM107</f>
        <v/>
      </c>
      <c r="BO107" s="451">
        <f>'Raw financials'!AR248</f>
        <v/>
      </c>
      <c r="BP107" s="451">
        <f>+S107-BO107</f>
        <v/>
      </c>
      <c r="BQ107" s="451">
        <f>'Raw financials'!AS248</f>
        <v/>
      </c>
      <c r="BR107" s="451">
        <f>+T107-BQ107</f>
        <v/>
      </c>
      <c r="BS107" s="451" t="n"/>
      <c r="BT107" s="451">
        <f>+U107-BS107</f>
        <v/>
      </c>
      <c r="BU107" s="489">
        <f>BT107-BR107</f>
        <v/>
      </c>
      <c r="BV107" s="384">
        <f>BU107/BR107</f>
        <v/>
      </c>
      <c r="BW107" s="384">
        <f>+BT107/T107</f>
        <v/>
      </c>
      <c r="BX107" s="384">
        <f>+BT107/U107</f>
        <v/>
      </c>
      <c r="BZ107" s="451">
        <f>I107/2</f>
        <v/>
      </c>
      <c r="CA107" s="451">
        <f>J107/2</f>
        <v/>
      </c>
      <c r="CB107" s="451">
        <f>K107/2</f>
        <v/>
      </c>
      <c r="CC107" s="451" t="n"/>
      <c r="CD107" s="451">
        <f>K107/2</f>
        <v/>
      </c>
      <c r="CE107" s="451" t="n"/>
      <c r="CF107" s="451">
        <f>L107/2</f>
        <v/>
      </c>
      <c r="CG107" s="451" t="n"/>
      <c r="CH107" s="451">
        <f>M107/2</f>
        <v/>
      </c>
      <c r="CI107" s="451" t="n"/>
      <c r="CJ107" s="451">
        <f>N107/2</f>
        <v/>
      </c>
      <c r="CK107" s="451" t="n"/>
      <c r="CL107" s="451">
        <f>O107/2</f>
        <v/>
      </c>
      <c r="CM107" s="451" t="n"/>
      <c r="CN107" s="451">
        <f>P107/2</f>
        <v/>
      </c>
      <c r="CO107" s="451" t="n"/>
      <c r="CP107" s="451">
        <f>Q107/2</f>
        <v/>
      </c>
      <c r="CQ107" s="451" t="n"/>
      <c r="CR107" s="451">
        <f>R107/2</f>
        <v/>
      </c>
      <c r="CS107" s="451" t="n"/>
      <c r="CT107" s="451">
        <f>S107/2</f>
        <v/>
      </c>
      <c r="CU107" s="451" t="n"/>
      <c r="CV107" s="451">
        <f>T107/2</f>
        <v/>
      </c>
      <c r="CW107" s="451" t="n"/>
      <c r="CX107" s="451">
        <f>U107/2</f>
        <v/>
      </c>
      <c r="CY107" s="451" t="n"/>
      <c r="CZ107" s="451">
        <f>V107/2</f>
        <v/>
      </c>
      <c r="DA107" s="451" t="n"/>
      <c r="DB107" s="451">
        <f>W107/2</f>
        <v/>
      </c>
      <c r="DC107" s="451" t="n"/>
      <c r="DD107" s="451">
        <f>X107/2</f>
        <v/>
      </c>
      <c r="DE107" s="451" t="n"/>
      <c r="DF107" s="451">
        <f>Y107/2</f>
        <v/>
      </c>
      <c r="DG107" s="451" t="n"/>
      <c r="DH107" s="451">
        <f>AF107/2</f>
        <v/>
      </c>
      <c r="DI107" s="451" t="n"/>
      <c r="DJ107" s="451">
        <f>AG107/2</f>
        <v/>
      </c>
      <c r="DK107" s="451" t="n"/>
      <c r="DL107" s="451">
        <f>AI107/2</f>
        <v/>
      </c>
      <c r="DM107" s="451" t="n"/>
      <c r="DN107" s="451">
        <f>AK107/2</f>
        <v/>
      </c>
      <c r="DO107" s="451" t="n"/>
      <c r="DP107" s="451">
        <f>AM107/2</f>
        <v/>
      </c>
      <c r="DQ107" s="451" t="n"/>
      <c r="DR107" s="451">
        <f>AO107/2</f>
        <v/>
      </c>
      <c r="DS107" s="451" t="n"/>
      <c r="DT107" s="451">
        <f>AQ107/2</f>
        <v/>
      </c>
      <c r="DU107" s="451" t="n"/>
      <c r="DV107" s="451">
        <f>AS107/2</f>
        <v/>
      </c>
      <c r="DW107" s="451" t="n"/>
      <c r="DX107" s="451">
        <f>AU107/2</f>
        <v/>
      </c>
      <c r="DY107" s="451" t="n"/>
      <c r="DZ107" s="451">
        <f>AW107/2</f>
        <v/>
      </c>
      <c r="EA107" s="451" t="n"/>
      <c r="EB107" s="451">
        <f>AY107/2</f>
        <v/>
      </c>
      <c r="EC107" s="451" t="n"/>
      <c r="ED107" s="451">
        <f>BA107/2</f>
        <v/>
      </c>
      <c r="EE107" s="451" t="n"/>
      <c r="EF107" s="451">
        <f>BC107/2</f>
        <v/>
      </c>
      <c r="EG107" s="451" t="n"/>
      <c r="EH107" s="451">
        <f>BE107/2</f>
        <v/>
      </c>
      <c r="EI107" s="451" t="n"/>
      <c r="EJ107" s="451">
        <f>BG107/2</f>
        <v/>
      </c>
      <c r="EK107" s="451" t="n"/>
      <c r="EL107" s="451">
        <f>BI107/2</f>
        <v/>
      </c>
      <c r="EM107" s="451" t="n"/>
      <c r="EN107" s="451">
        <f>BK107/2</f>
        <v/>
      </c>
      <c r="EO107" s="451" t="n"/>
      <c r="EP107" s="451">
        <f>BM107/2</f>
        <v/>
      </c>
      <c r="EQ107" s="451" t="n"/>
      <c r="ER107" s="451">
        <f>BO107/2</f>
        <v/>
      </c>
      <c r="ES107" s="451" t="n"/>
      <c r="ET107" s="451">
        <f>BQ107/2</f>
        <v/>
      </c>
      <c r="EU107" s="451">
        <f>+BQ107-ET107</f>
        <v/>
      </c>
      <c r="EV107" s="451">
        <f>BR107/2</f>
        <v/>
      </c>
      <c r="EW107" s="451">
        <f>+T107/4</f>
        <v/>
      </c>
      <c r="EX107" s="451">
        <f>+U107/4</f>
        <v/>
      </c>
      <c r="EY107" s="451">
        <f>+V107/4</f>
        <v/>
      </c>
      <c r="EZ107" s="521" t="n"/>
      <c r="FA107" s="521" t="n"/>
      <c r="FB107" s="452">
        <f>+FA107-EW107</f>
        <v/>
      </c>
      <c r="FC107" s="348">
        <f>+FB107/EW107</f>
        <v/>
      </c>
      <c r="FD107" s="348">
        <f>+FA107/T107</f>
        <v/>
      </c>
      <c r="FE107" s="348">
        <f>+FA107/U107</f>
        <v/>
      </c>
    </row>
    <row r="108">
      <c r="A108" s="6" t="inlineStr">
        <is>
          <t>Amortization</t>
        </is>
      </c>
      <c r="B108" s="451">
        <f>SUM('Raw financials'!B249:B251)</f>
        <v/>
      </c>
      <c r="C108" s="451">
        <f>SUM('Raw financials'!C249:C251)</f>
        <v/>
      </c>
      <c r="D108" s="451">
        <f>SUM('Raw financials'!D249:D251)</f>
        <v/>
      </c>
      <c r="E108" s="451">
        <f>SUM('Raw financials'!E249:E251)</f>
        <v/>
      </c>
      <c r="F108" s="451">
        <f>SUM('Raw financials'!F249:F251)</f>
        <v/>
      </c>
      <c r="G108" s="451">
        <f>SUM('Raw financials'!G249:G251)</f>
        <v/>
      </c>
      <c r="H108" s="451">
        <f>SUM('Raw financials'!H249:H251)</f>
        <v/>
      </c>
      <c r="I108" s="451">
        <f>SUM('Raw financials'!I249:I251)</f>
        <v/>
      </c>
      <c r="J108" s="451">
        <f>SUM('Raw financials'!J249:J251)</f>
        <v/>
      </c>
      <c r="K108" s="451">
        <f>SUM('Raw financials'!K249:K251)</f>
        <v/>
      </c>
      <c r="L108" s="451">
        <f>SUM('Raw financials'!L249:L251)</f>
        <v/>
      </c>
      <c r="M108" s="451">
        <f>SUM('Raw financials'!M249:M251)</f>
        <v/>
      </c>
      <c r="N108" s="451">
        <f>SUM('Raw financials'!N249:N251)</f>
        <v/>
      </c>
      <c r="O108" s="451">
        <f>SUM('Raw financials'!O249:O251)</f>
        <v/>
      </c>
      <c r="P108" s="451">
        <f>SUM('Raw financials'!P249:P251)</f>
        <v/>
      </c>
      <c r="Q108" s="451">
        <f>SUM('Raw financials'!Q249:Q251)</f>
        <v/>
      </c>
      <c r="R108" s="451">
        <f>SUM('Raw financials'!R249:R251)</f>
        <v/>
      </c>
      <c r="S108" s="451">
        <f>SUM('Raw financials'!S249:S251)</f>
        <v/>
      </c>
      <c r="T108" s="451">
        <f>SUM('Raw financials'!T249:T251)</f>
        <v/>
      </c>
      <c r="U108" s="459">
        <f>-Driver!J119</f>
        <v/>
      </c>
      <c r="V108" s="459">
        <f>-Driver!K119</f>
        <v/>
      </c>
      <c r="W108" s="459">
        <f>-Driver!L119</f>
        <v/>
      </c>
      <c r="X108" s="459">
        <f>-Driver!M119</f>
        <v/>
      </c>
      <c r="Y108" s="459">
        <f>-Driver!N119</f>
        <v/>
      </c>
      <c r="Z108" s="459">
        <f>-Driver!O119</f>
        <v/>
      </c>
      <c r="AA108" s="452">
        <f>+U108-T108</f>
        <v/>
      </c>
      <c r="AB108" s="348">
        <f>+AA108/T108</f>
        <v/>
      </c>
      <c r="AC108" s="459" t="n">
        <v>296.4156060892343</v>
      </c>
      <c r="AD108" s="452">
        <f>+X108-W108</f>
        <v/>
      </c>
      <c r="AE108" s="348">
        <f>+AD108/W108</f>
        <v/>
      </c>
      <c r="AF108" s="459" t="n"/>
      <c r="AG108" s="451">
        <f>SUM('Raw financials'!AA249:AA251)</f>
        <v/>
      </c>
      <c r="AH108" s="451">
        <f>+B108-AG108</f>
        <v/>
      </c>
      <c r="AI108" s="451">
        <f>SUM('Raw financials'!AB249:AB251)</f>
        <v/>
      </c>
      <c r="AJ108" s="451">
        <f>+C108-AI108</f>
        <v/>
      </c>
      <c r="AK108" s="451">
        <f>SUM('Raw financials'!AC249:AC251)</f>
        <v/>
      </c>
      <c r="AL108" s="451">
        <f>+D108-AK108</f>
        <v/>
      </c>
      <c r="AM108" s="451">
        <f>SUM('Raw financials'!AD249:AD251)</f>
        <v/>
      </c>
      <c r="AN108" s="451">
        <f>+E108-AM108</f>
        <v/>
      </c>
      <c r="AO108" s="451">
        <f>SUM('Raw financials'!AE249:AE251)</f>
        <v/>
      </c>
      <c r="AP108" s="451">
        <f>+F108-AO108</f>
        <v/>
      </c>
      <c r="AQ108" s="451">
        <f>SUM('Raw financials'!AF249:AF251)</f>
        <v/>
      </c>
      <c r="AR108" s="451">
        <f>+G108-AQ108</f>
        <v/>
      </c>
      <c r="AS108" s="451">
        <f>SUM('Raw financials'!AG249:AG251)</f>
        <v/>
      </c>
      <c r="AT108" s="451">
        <f>+H108-AS108</f>
        <v/>
      </c>
      <c r="AU108" s="451">
        <f>SUM('Raw financials'!AH249:AH251)</f>
        <v/>
      </c>
      <c r="AV108" s="451">
        <f>+I108-AU108</f>
        <v/>
      </c>
      <c r="AW108" s="451">
        <f>SUM('Raw financials'!AI249:AI251)</f>
        <v/>
      </c>
      <c r="AX108" s="451">
        <f>+J108-AW108</f>
        <v/>
      </c>
      <c r="AY108" s="451">
        <f>SUM('Raw financials'!AJ249:AJ251)</f>
        <v/>
      </c>
      <c r="AZ108" s="451">
        <f>+K108-AY108</f>
        <v/>
      </c>
      <c r="BA108" s="451">
        <f>SUM('Raw financials'!AK249:AK251)</f>
        <v/>
      </c>
      <c r="BB108" s="451">
        <f>+L108-BA108</f>
        <v/>
      </c>
      <c r="BC108" s="451">
        <f>SUM('Raw financials'!AL249:AL251)</f>
        <v/>
      </c>
      <c r="BD108" s="451">
        <f>+M108-BC108</f>
        <v/>
      </c>
      <c r="BE108" s="451">
        <f>SUM('Raw financials'!AM249:AM251)</f>
        <v/>
      </c>
      <c r="BF108" s="451">
        <f>+N108-BE108</f>
        <v/>
      </c>
      <c r="BG108" s="451">
        <f>SUM('Raw financials'!AN249:AN251)</f>
        <v/>
      </c>
      <c r="BH108" s="451">
        <f>+O108-BG108</f>
        <v/>
      </c>
      <c r="BI108" s="451">
        <f>SUM('Raw financials'!AO249:AO251)</f>
        <v/>
      </c>
      <c r="BJ108" s="451">
        <f>+P108-BI108</f>
        <v/>
      </c>
      <c r="BK108" s="451">
        <f>SUM('Raw financials'!AP249:AP251)</f>
        <v/>
      </c>
      <c r="BL108" s="451">
        <f>+Q108-BK108</f>
        <v/>
      </c>
      <c r="BM108" s="451">
        <f>SUM('Raw financials'!AQ249:AQ251)</f>
        <v/>
      </c>
      <c r="BN108" s="451">
        <f>+R108-BM108</f>
        <v/>
      </c>
      <c r="BO108" s="451">
        <f>SUM('Raw financials'!AR249:AR251)</f>
        <v/>
      </c>
      <c r="BP108" s="451">
        <f>+S108-BO108</f>
        <v/>
      </c>
      <c r="BQ108" s="451">
        <f>SUM('Raw financials'!AS249:AS251)</f>
        <v/>
      </c>
      <c r="BR108" s="451">
        <f>+T108-BQ108</f>
        <v/>
      </c>
      <c r="BS108" s="451" t="n"/>
      <c r="BT108" s="451">
        <f>+U108-BS108</f>
        <v/>
      </c>
      <c r="BU108" s="489">
        <f>BT108-BR108</f>
        <v/>
      </c>
      <c r="BV108" s="384">
        <f>BU108/BR108</f>
        <v/>
      </c>
      <c r="BW108" s="384">
        <f>+BT108/T108</f>
        <v/>
      </c>
      <c r="BX108" s="384">
        <f>+BT108/U108</f>
        <v/>
      </c>
      <c r="BZ108" s="451">
        <f>I108/2</f>
        <v/>
      </c>
      <c r="CA108" s="451">
        <f>J108/2</f>
        <v/>
      </c>
      <c r="CB108" s="451">
        <f>K108/2</f>
        <v/>
      </c>
      <c r="CC108" s="451" t="n"/>
      <c r="CD108" s="451">
        <f>K108/2</f>
        <v/>
      </c>
      <c r="CE108" s="451" t="n"/>
      <c r="CF108" s="451">
        <f>L108/2</f>
        <v/>
      </c>
      <c r="CG108" s="451" t="n"/>
      <c r="CH108" s="451">
        <f>M108/2</f>
        <v/>
      </c>
      <c r="CI108" s="451" t="n"/>
      <c r="CJ108" s="451">
        <f>N108/2</f>
        <v/>
      </c>
      <c r="CK108" s="451" t="n"/>
      <c r="CL108" s="451">
        <f>O108/2</f>
        <v/>
      </c>
      <c r="CM108" s="451" t="n"/>
      <c r="CN108" s="451">
        <f>P108/2</f>
        <v/>
      </c>
      <c r="CO108" s="451" t="n"/>
      <c r="CP108" s="451">
        <f>Q108/2</f>
        <v/>
      </c>
      <c r="CQ108" s="451" t="n"/>
      <c r="CR108" s="451">
        <f>R108/2</f>
        <v/>
      </c>
      <c r="CS108" s="451" t="n"/>
      <c r="CT108" s="451">
        <f>S108/2</f>
        <v/>
      </c>
      <c r="CU108" s="451" t="n"/>
      <c r="CV108" s="451">
        <f>T108/2</f>
        <v/>
      </c>
      <c r="CW108" s="451" t="n"/>
      <c r="CX108" s="451">
        <f>U108/2</f>
        <v/>
      </c>
      <c r="CY108" s="451" t="n"/>
      <c r="CZ108" s="451">
        <f>V108/2</f>
        <v/>
      </c>
      <c r="DA108" s="451" t="n"/>
      <c r="DB108" s="451">
        <f>W108/2</f>
        <v/>
      </c>
      <c r="DC108" s="451" t="n"/>
      <c r="DD108" s="451">
        <f>X108/2</f>
        <v/>
      </c>
      <c r="DE108" s="451" t="n"/>
      <c r="DF108" s="451">
        <f>Y108/2</f>
        <v/>
      </c>
      <c r="DG108" s="451" t="n"/>
      <c r="DH108" s="451">
        <f>AF108/2</f>
        <v/>
      </c>
      <c r="DI108" s="451" t="n"/>
      <c r="DJ108" s="451">
        <f>AG108/2</f>
        <v/>
      </c>
      <c r="DK108" s="451" t="n"/>
      <c r="DL108" s="451">
        <f>AI108/2</f>
        <v/>
      </c>
      <c r="DM108" s="451" t="n"/>
      <c r="DN108" s="451">
        <f>AK108/2</f>
        <v/>
      </c>
      <c r="DO108" s="451" t="n"/>
      <c r="DP108" s="451">
        <f>AM108/2</f>
        <v/>
      </c>
      <c r="DQ108" s="451" t="n"/>
      <c r="DR108" s="451">
        <f>AO108/2</f>
        <v/>
      </c>
      <c r="DS108" s="451" t="n"/>
      <c r="DT108" s="451">
        <f>AQ108/2</f>
        <v/>
      </c>
      <c r="DU108" s="451" t="n"/>
      <c r="DV108" s="451">
        <f>AS108/2</f>
        <v/>
      </c>
      <c r="DW108" s="451" t="n"/>
      <c r="DX108" s="451">
        <f>AU108/2</f>
        <v/>
      </c>
      <c r="DY108" s="451" t="n"/>
      <c r="DZ108" s="451">
        <f>AW108/2</f>
        <v/>
      </c>
      <c r="EA108" s="451" t="n"/>
      <c r="EB108" s="451">
        <f>AY108/2</f>
        <v/>
      </c>
      <c r="EC108" s="451" t="n"/>
      <c r="ED108" s="451">
        <f>BA108/2</f>
        <v/>
      </c>
      <c r="EE108" s="451" t="n"/>
      <c r="EF108" s="451">
        <f>BC108/2</f>
        <v/>
      </c>
      <c r="EG108" s="451" t="n"/>
      <c r="EH108" s="451">
        <f>BE108/2</f>
        <v/>
      </c>
      <c r="EI108" s="451" t="n"/>
      <c r="EJ108" s="451">
        <f>BG108/2</f>
        <v/>
      </c>
      <c r="EK108" s="451" t="n"/>
      <c r="EL108" s="451">
        <f>BI108/2</f>
        <v/>
      </c>
      <c r="EM108" s="451" t="n"/>
      <c r="EN108" s="451">
        <f>BK108/2</f>
        <v/>
      </c>
      <c r="EO108" s="451" t="n"/>
      <c r="EP108" s="451">
        <f>BM108/2</f>
        <v/>
      </c>
      <c r="EQ108" s="451" t="n"/>
      <c r="ER108" s="451">
        <f>BO108/2</f>
        <v/>
      </c>
      <c r="ES108" s="451" t="n"/>
      <c r="ET108" s="451">
        <f>BQ108/2</f>
        <v/>
      </c>
      <c r="EU108" s="451">
        <f>+BQ108-ET108</f>
        <v/>
      </c>
      <c r="EV108" s="451">
        <f>BR108/2</f>
        <v/>
      </c>
      <c r="EW108" s="451">
        <f>+T108/4</f>
        <v/>
      </c>
      <c r="EX108" s="451">
        <f>+U108/4</f>
        <v/>
      </c>
      <c r="EY108" s="451">
        <f>+V108/4</f>
        <v/>
      </c>
      <c r="EZ108" s="521" t="n"/>
      <c r="FA108" s="521" t="n"/>
      <c r="FB108" s="452">
        <f>+FA108-EW108</f>
        <v/>
      </c>
      <c r="FC108" s="348">
        <f>+FB108/EW108</f>
        <v/>
      </c>
      <c r="FD108" s="348">
        <f>+FA108/T108</f>
        <v/>
      </c>
      <c r="FE108" s="348">
        <f>+FA108/U108</f>
        <v/>
      </c>
    </row>
    <row r="109">
      <c r="A109" s="6" t="inlineStr">
        <is>
          <t>Disposal (gain)/losses</t>
        </is>
      </c>
      <c r="B109" s="451">
        <f>SUM('Raw financials'!B254:B256)</f>
        <v/>
      </c>
      <c r="C109" s="451">
        <f>SUM('Raw financials'!C254:C256)</f>
        <v/>
      </c>
      <c r="D109" s="451">
        <f>SUM('Raw financials'!D254:D256)</f>
        <v/>
      </c>
      <c r="E109" s="451">
        <f>SUM('Raw financials'!E254:E256)</f>
        <v/>
      </c>
      <c r="F109" s="451">
        <f>SUM('Raw financials'!F254:F256)</f>
        <v/>
      </c>
      <c r="G109" s="451">
        <f>SUM('Raw financials'!G254:G256)</f>
        <v/>
      </c>
      <c r="H109" s="451">
        <f>SUM('Raw financials'!H254:H256)</f>
        <v/>
      </c>
      <c r="I109" s="451">
        <f>SUM('Raw financials'!I254:I256)</f>
        <v/>
      </c>
      <c r="J109" s="451">
        <f>SUM('Raw financials'!J254:J256)</f>
        <v/>
      </c>
      <c r="K109" s="451">
        <f>SUM('Raw financials'!K254:K256)</f>
        <v/>
      </c>
      <c r="L109" s="451">
        <f>SUM('Raw financials'!L254:L256)</f>
        <v/>
      </c>
      <c r="M109" s="451">
        <f>SUM('Raw financials'!M254:M256)</f>
        <v/>
      </c>
      <c r="N109" s="451">
        <f>SUM('Raw financials'!N254:N256)</f>
        <v/>
      </c>
      <c r="O109" s="451">
        <f>SUM('Raw financials'!O254:O256)</f>
        <v/>
      </c>
      <c r="P109" s="451">
        <f>SUM('Raw financials'!P254:P256)</f>
        <v/>
      </c>
      <c r="Q109" s="451">
        <f>SUM('Raw financials'!Q254:Q256)</f>
        <v/>
      </c>
      <c r="R109" s="451">
        <f>SUM('Raw financials'!R254:R256)</f>
        <v/>
      </c>
      <c r="S109" s="451">
        <f>SUM('Raw financials'!S254:S256)</f>
        <v/>
      </c>
      <c r="T109" s="451">
        <f>SUM('Raw financials'!T254:T256)</f>
        <v/>
      </c>
      <c r="U109" s="522" t="n">
        <v>0</v>
      </c>
      <c r="V109" s="522" t="n">
        <v>0</v>
      </c>
      <c r="W109" s="522" t="n">
        <v>0</v>
      </c>
      <c r="X109" s="522" t="n">
        <v>0</v>
      </c>
      <c r="Y109" s="522" t="n">
        <v>0</v>
      </c>
      <c r="Z109" s="522" t="n">
        <v>0</v>
      </c>
      <c r="AA109" s="523">
        <f>+U109-T109</f>
        <v/>
      </c>
      <c r="AB109" s="368">
        <f>+AA109/T109</f>
        <v/>
      </c>
      <c r="AC109" s="522" t="n">
        <v>0</v>
      </c>
      <c r="AD109" s="523">
        <f>+X109-W109</f>
        <v/>
      </c>
      <c r="AE109" s="368">
        <f>+AD109/W109</f>
        <v/>
      </c>
      <c r="AF109" s="515" t="n"/>
      <c r="AG109" s="451">
        <f>SUM('Raw financials'!AA254:AA256)</f>
        <v/>
      </c>
      <c r="AH109" s="451">
        <f>+B109-AG109</f>
        <v/>
      </c>
      <c r="AI109" s="451">
        <f>SUM('Raw financials'!AB254:AB256)</f>
        <v/>
      </c>
      <c r="AJ109" s="451">
        <f>+C109-AI109</f>
        <v/>
      </c>
      <c r="AK109" s="451">
        <f>SUM('Raw financials'!AC254:AC256)</f>
        <v/>
      </c>
      <c r="AL109" s="451">
        <f>+D109-AK109</f>
        <v/>
      </c>
      <c r="AM109" s="451">
        <f>SUM('Raw financials'!AD254:AD256)</f>
        <v/>
      </c>
      <c r="AN109" s="451">
        <f>+E109-AM109</f>
        <v/>
      </c>
      <c r="AO109" s="451">
        <f>SUM('Raw financials'!AE254:AE256)</f>
        <v/>
      </c>
      <c r="AP109" s="451">
        <f>+F109-AO109</f>
        <v/>
      </c>
      <c r="AQ109" s="451">
        <f>SUM('Raw financials'!AF254:AF256)</f>
        <v/>
      </c>
      <c r="AR109" s="451">
        <f>+G109-AQ109</f>
        <v/>
      </c>
      <c r="AS109" s="451">
        <f>SUM('Raw financials'!AG254:AG256)</f>
        <v/>
      </c>
      <c r="AT109" s="451">
        <f>+H109-AS109</f>
        <v/>
      </c>
      <c r="AU109" s="451">
        <f>SUM('Raw financials'!AH254:AH256)</f>
        <v/>
      </c>
      <c r="AV109" s="451">
        <f>+I109-AU109</f>
        <v/>
      </c>
      <c r="AW109" s="451">
        <f>SUM('Raw financials'!AI254:AI256)</f>
        <v/>
      </c>
      <c r="AX109" s="451">
        <f>+J109-AW109</f>
        <v/>
      </c>
      <c r="AY109" s="451">
        <f>SUM('Raw financials'!AJ254:AJ256)</f>
        <v/>
      </c>
      <c r="AZ109" s="451">
        <f>+K109-AY109</f>
        <v/>
      </c>
      <c r="BA109" s="451">
        <f>SUM('Raw financials'!AK254:AK256)</f>
        <v/>
      </c>
      <c r="BB109" s="451">
        <f>+L109-BA109</f>
        <v/>
      </c>
      <c r="BC109" s="451">
        <f>SUM('Raw financials'!AL254:AL256)</f>
        <v/>
      </c>
      <c r="BD109" s="451">
        <f>+M109-BC109</f>
        <v/>
      </c>
      <c r="BE109" s="451">
        <f>SUM('Raw financials'!AM254:AM256)</f>
        <v/>
      </c>
      <c r="BF109" s="451">
        <f>+N109-BE109</f>
        <v/>
      </c>
      <c r="BG109" s="451">
        <f>SUM('Raw financials'!AN254:AN256)</f>
        <v/>
      </c>
      <c r="BH109" s="451">
        <f>+O109-BG109</f>
        <v/>
      </c>
      <c r="BI109" s="451">
        <f>SUM('Raw financials'!AO254:AO256)</f>
        <v/>
      </c>
      <c r="BJ109" s="451">
        <f>+P109-BI109</f>
        <v/>
      </c>
      <c r="BK109" s="451">
        <f>SUM('Raw financials'!AP254:AP256)</f>
        <v/>
      </c>
      <c r="BL109" s="451">
        <f>+Q109-BK109</f>
        <v/>
      </c>
      <c r="BM109" s="451">
        <f>SUM('Raw financials'!AQ254:AQ256)</f>
        <v/>
      </c>
      <c r="BN109" s="451">
        <f>+R109-BM109</f>
        <v/>
      </c>
      <c r="BO109" s="451">
        <f>SUM('Raw financials'!AR254:AR256)</f>
        <v/>
      </c>
      <c r="BP109" s="451">
        <f>+S109-BO109</f>
        <v/>
      </c>
      <c r="BQ109" s="451">
        <f>SUM('Raw financials'!AS254:AS256)</f>
        <v/>
      </c>
      <c r="BR109" s="451">
        <f>+T109-BQ109</f>
        <v/>
      </c>
      <c r="BS109" s="451" t="n"/>
      <c r="BT109" s="451">
        <f>+U109-BS109</f>
        <v/>
      </c>
      <c r="BU109" s="489">
        <f>BT109-BR109</f>
        <v/>
      </c>
      <c r="BV109" s="384">
        <f>BU109/BR109</f>
        <v/>
      </c>
      <c r="BW109" s="384">
        <f>+BT109/T109</f>
        <v/>
      </c>
      <c r="BX109" s="384">
        <f>+BT109/U109</f>
        <v/>
      </c>
      <c r="BZ109" s="451">
        <f>I109/2</f>
        <v/>
      </c>
      <c r="CA109" s="451">
        <f>J109/2</f>
        <v/>
      </c>
      <c r="CB109" s="451">
        <f>K109/2</f>
        <v/>
      </c>
      <c r="CC109" s="451" t="n"/>
      <c r="CD109" s="451">
        <f>K109/2</f>
        <v/>
      </c>
      <c r="CE109" s="451" t="n"/>
      <c r="CF109" s="451">
        <f>L109/2</f>
        <v/>
      </c>
      <c r="CG109" s="451" t="n"/>
      <c r="CH109" s="451">
        <f>M109/2</f>
        <v/>
      </c>
      <c r="CI109" s="451" t="n"/>
      <c r="CJ109" s="451">
        <f>N109/2</f>
        <v/>
      </c>
      <c r="CK109" s="451" t="n"/>
      <c r="CL109" s="451">
        <f>O109/2</f>
        <v/>
      </c>
      <c r="CM109" s="451" t="n"/>
      <c r="CN109" s="451">
        <f>P109/2</f>
        <v/>
      </c>
      <c r="CO109" s="451" t="n"/>
      <c r="CP109" s="451">
        <f>Q109/2</f>
        <v/>
      </c>
      <c r="CQ109" s="451" t="n"/>
      <c r="CR109" s="451">
        <f>R109/2</f>
        <v/>
      </c>
      <c r="CS109" s="451" t="n"/>
      <c r="CT109" s="451">
        <f>S109/2</f>
        <v/>
      </c>
      <c r="CU109" s="451" t="n"/>
      <c r="CV109" s="451">
        <f>T109/2</f>
        <v/>
      </c>
      <c r="CW109" s="451" t="n"/>
      <c r="CX109" s="451">
        <f>U109/2</f>
        <v/>
      </c>
      <c r="CY109" s="451" t="n"/>
      <c r="CZ109" s="451">
        <f>V109/2</f>
        <v/>
      </c>
      <c r="DA109" s="451" t="n"/>
      <c r="DB109" s="451">
        <f>W109/2</f>
        <v/>
      </c>
      <c r="DC109" s="451" t="n"/>
      <c r="DD109" s="451">
        <f>X109/2</f>
        <v/>
      </c>
      <c r="DE109" s="451" t="n"/>
      <c r="DF109" s="451">
        <f>Y109/2</f>
        <v/>
      </c>
      <c r="DG109" s="451" t="n"/>
      <c r="DH109" s="451">
        <f>AF109/2</f>
        <v/>
      </c>
      <c r="DI109" s="451" t="n"/>
      <c r="DJ109" s="451">
        <f>AG109/2</f>
        <v/>
      </c>
      <c r="DK109" s="451" t="n"/>
      <c r="DL109" s="451">
        <f>AI109/2</f>
        <v/>
      </c>
      <c r="DM109" s="451" t="n"/>
      <c r="DN109" s="451">
        <f>AK109/2</f>
        <v/>
      </c>
      <c r="DO109" s="451" t="n"/>
      <c r="DP109" s="451">
        <f>AM109/2</f>
        <v/>
      </c>
      <c r="DQ109" s="451" t="n"/>
      <c r="DR109" s="451">
        <f>AO109/2</f>
        <v/>
      </c>
      <c r="DS109" s="451" t="n"/>
      <c r="DT109" s="451">
        <f>AQ109/2</f>
        <v/>
      </c>
      <c r="DU109" s="451" t="n"/>
      <c r="DV109" s="451">
        <f>AS109/2</f>
        <v/>
      </c>
      <c r="DW109" s="451" t="n"/>
      <c r="DX109" s="451">
        <f>AU109/2</f>
        <v/>
      </c>
      <c r="DY109" s="451" t="n"/>
      <c r="DZ109" s="451">
        <f>AW109/2</f>
        <v/>
      </c>
      <c r="EA109" s="451" t="n"/>
      <c r="EB109" s="451">
        <f>AY109/2</f>
        <v/>
      </c>
      <c r="EC109" s="451" t="n"/>
      <c r="ED109" s="451">
        <f>BA109/2</f>
        <v/>
      </c>
      <c r="EE109" s="451" t="n"/>
      <c r="EF109" s="451">
        <f>BC109/2</f>
        <v/>
      </c>
      <c r="EG109" s="451" t="n"/>
      <c r="EH109" s="451">
        <f>BE109/2</f>
        <v/>
      </c>
      <c r="EI109" s="451" t="n"/>
      <c r="EJ109" s="451">
        <f>BG109/2</f>
        <v/>
      </c>
      <c r="EK109" s="451" t="n"/>
      <c r="EL109" s="451">
        <f>BI109/2</f>
        <v/>
      </c>
      <c r="EM109" s="451" t="n"/>
      <c r="EN109" s="451">
        <f>BK109/2</f>
        <v/>
      </c>
      <c r="EO109" s="451" t="n"/>
      <c r="EP109" s="451">
        <f>BM109/2</f>
        <v/>
      </c>
      <c r="EQ109" s="451" t="n"/>
      <c r="ER109" s="451">
        <f>BO109/2</f>
        <v/>
      </c>
      <c r="ES109" s="451" t="n"/>
      <c r="ET109" s="451">
        <f>BQ109/2</f>
        <v/>
      </c>
      <c r="EU109" s="451">
        <f>+BQ109-ET109</f>
        <v/>
      </c>
      <c r="EV109" s="451">
        <f>BR109/2</f>
        <v/>
      </c>
      <c r="EW109" s="451">
        <f>+T109/4</f>
        <v/>
      </c>
      <c r="EX109" s="451">
        <f>+U109/4</f>
        <v/>
      </c>
      <c r="EY109" s="451">
        <f>+V109/4</f>
        <v/>
      </c>
      <c r="EZ109" s="521" t="n"/>
      <c r="FA109" s="521" t="n"/>
      <c r="FB109" s="452">
        <f>+FA109-EW109</f>
        <v/>
      </c>
      <c r="FC109" s="348">
        <f>+FB109/EW109</f>
        <v/>
      </c>
      <c r="FD109" s="348">
        <f>+FA109/T109</f>
        <v/>
      </c>
      <c r="FE109" s="348">
        <f>+FA109/U109</f>
        <v/>
      </c>
    </row>
    <row r="110">
      <c r="A110" s="6" t="inlineStr">
        <is>
          <t>Net finance costs ("-" gains)</t>
        </is>
      </c>
      <c r="B110" s="451">
        <f>'Raw financials'!B257</f>
        <v/>
      </c>
      <c r="C110" s="451">
        <f>'Raw financials'!C257</f>
        <v/>
      </c>
      <c r="D110" s="451">
        <f>'Raw financials'!D257</f>
        <v/>
      </c>
      <c r="E110" s="451">
        <f>'Raw financials'!E257</f>
        <v/>
      </c>
      <c r="F110" s="451">
        <f>'Raw financials'!F257</f>
        <v/>
      </c>
      <c r="G110" s="451">
        <f>'Raw financials'!G257</f>
        <v/>
      </c>
      <c r="H110" s="451">
        <f>'Raw financials'!H257</f>
        <v/>
      </c>
      <c r="I110" s="451">
        <f>'Raw financials'!I257</f>
        <v/>
      </c>
      <c r="J110" s="451">
        <f>'Raw financials'!J257</f>
        <v/>
      </c>
      <c r="K110" s="451">
        <f>'Raw financials'!K257</f>
        <v/>
      </c>
      <c r="L110" s="451">
        <f>'Raw financials'!L257</f>
        <v/>
      </c>
      <c r="M110" s="451">
        <f>'Raw financials'!M257</f>
        <v/>
      </c>
      <c r="N110" s="451">
        <f>'Raw financials'!N257</f>
        <v/>
      </c>
      <c r="O110" s="451">
        <f>'Raw financials'!O257</f>
        <v/>
      </c>
      <c r="P110" s="451">
        <f>'Raw financials'!P257</f>
        <v/>
      </c>
      <c r="Q110" s="451">
        <f>'Raw financials'!Q257</f>
        <v/>
      </c>
      <c r="R110" s="451">
        <f>'Raw financials'!R257</f>
        <v/>
      </c>
      <c r="S110" s="451">
        <f>'Raw financials'!S257</f>
        <v/>
      </c>
      <c r="T110" s="451">
        <f>'Raw financials'!T257</f>
        <v/>
      </c>
      <c r="U110" s="451">
        <f>-U17</f>
        <v/>
      </c>
      <c r="V110" s="451">
        <f>-V17</f>
        <v/>
      </c>
      <c r="W110" s="451">
        <f>-W17</f>
        <v/>
      </c>
      <c r="X110" s="451">
        <f>-X17</f>
        <v/>
      </c>
      <c r="Y110" s="451">
        <f>-Y17</f>
        <v/>
      </c>
      <c r="Z110" s="451">
        <f>-Z17</f>
        <v/>
      </c>
      <c r="AA110" s="452">
        <f>+U110-T110</f>
        <v/>
      </c>
      <c r="AB110" s="348">
        <f>+AA110/T110</f>
        <v/>
      </c>
      <c r="AC110" s="451" t="n">
        <v>28.84085587297665</v>
      </c>
      <c r="AD110" s="452">
        <f>+X110-W110</f>
        <v/>
      </c>
      <c r="AE110" s="348">
        <f>+AD110/W110</f>
        <v/>
      </c>
      <c r="AF110" s="451" t="n"/>
      <c r="AG110" s="451">
        <f>'Raw financials'!AA257</f>
        <v/>
      </c>
      <c r="AH110" s="451">
        <f>+B110-AG110</f>
        <v/>
      </c>
      <c r="AI110" s="451">
        <f>'Raw financials'!AB257</f>
        <v/>
      </c>
      <c r="AJ110" s="451">
        <f>+C110-AI110</f>
        <v/>
      </c>
      <c r="AK110" s="451">
        <f>'Raw financials'!AC257</f>
        <v/>
      </c>
      <c r="AL110" s="451">
        <f>+D110-AK110</f>
        <v/>
      </c>
      <c r="AM110" s="451">
        <f>'Raw financials'!AD257</f>
        <v/>
      </c>
      <c r="AN110" s="451">
        <f>+E110-AM110</f>
        <v/>
      </c>
      <c r="AO110" s="451">
        <f>'Raw financials'!AE257</f>
        <v/>
      </c>
      <c r="AP110" s="451">
        <f>+F110-AO110</f>
        <v/>
      </c>
      <c r="AQ110" s="451">
        <f>'Raw financials'!AF257</f>
        <v/>
      </c>
      <c r="AR110" s="451">
        <f>+G110-AQ110</f>
        <v/>
      </c>
      <c r="AS110" s="451">
        <f>'Raw financials'!AG257</f>
        <v/>
      </c>
      <c r="AT110" s="451">
        <f>+H110-AS110</f>
        <v/>
      </c>
      <c r="AU110" s="451">
        <f>'Raw financials'!AH257</f>
        <v/>
      </c>
      <c r="AV110" s="451">
        <f>+I110-AU110</f>
        <v/>
      </c>
      <c r="AW110" s="451">
        <f>'Raw financials'!AI257</f>
        <v/>
      </c>
      <c r="AX110" s="451">
        <f>+J110-AW110</f>
        <v/>
      </c>
      <c r="AY110" s="451">
        <f>'Raw financials'!AJ257</f>
        <v/>
      </c>
      <c r="AZ110" s="451">
        <f>+K110-AY110</f>
        <v/>
      </c>
      <c r="BA110" s="451">
        <f>'Raw financials'!AK257</f>
        <v/>
      </c>
      <c r="BB110" s="451">
        <f>+L110-BA110</f>
        <v/>
      </c>
      <c r="BC110" s="451">
        <f>'Raw financials'!AL257</f>
        <v/>
      </c>
      <c r="BD110" s="451">
        <f>+M110-BC110</f>
        <v/>
      </c>
      <c r="BE110" s="451">
        <f>'Raw financials'!AM257</f>
        <v/>
      </c>
      <c r="BF110" s="451">
        <f>+N110-BE110</f>
        <v/>
      </c>
      <c r="BG110" s="451">
        <f>'Raw financials'!AN257</f>
        <v/>
      </c>
      <c r="BH110" s="451">
        <f>+O110-BG110</f>
        <v/>
      </c>
      <c r="BI110" s="451">
        <f>'Raw financials'!AO257</f>
        <v/>
      </c>
      <c r="BJ110" s="451">
        <f>+P110-BI110</f>
        <v/>
      </c>
      <c r="BK110" s="451">
        <f>'Raw financials'!AP257</f>
        <v/>
      </c>
      <c r="BL110" s="451">
        <f>+Q110-BK110</f>
        <v/>
      </c>
      <c r="BM110" s="451">
        <f>'Raw financials'!AQ257</f>
        <v/>
      </c>
      <c r="BN110" s="451">
        <f>+R110-BM110</f>
        <v/>
      </c>
      <c r="BO110" s="451">
        <f>'Raw financials'!AR257</f>
        <v/>
      </c>
      <c r="BP110" s="451">
        <f>+S110-BO110</f>
        <v/>
      </c>
      <c r="BQ110" s="451">
        <f>'Raw financials'!AS257</f>
        <v/>
      </c>
      <c r="BR110" s="451">
        <f>+T110-BQ110</f>
        <v/>
      </c>
      <c r="BS110" s="451" t="n"/>
      <c r="BT110" s="451">
        <f>+U110-BS110</f>
        <v/>
      </c>
      <c r="BU110" s="489">
        <f>BT110-BR110</f>
        <v/>
      </c>
      <c r="BV110" s="384">
        <f>BU110/BR110</f>
        <v/>
      </c>
      <c r="BW110" s="384">
        <f>+BT110/T110</f>
        <v/>
      </c>
      <c r="BX110" s="384">
        <f>+BT110/U110</f>
        <v/>
      </c>
      <c r="BZ110" s="451">
        <f>-BZ125</f>
        <v/>
      </c>
      <c r="CA110" s="451">
        <f>-CA125</f>
        <v/>
      </c>
      <c r="CB110" s="451">
        <f>-CB125</f>
        <v/>
      </c>
      <c r="CC110" s="451" t="n"/>
      <c r="CD110" s="451">
        <f>-CD125</f>
        <v/>
      </c>
      <c r="CE110" s="451" t="n"/>
      <c r="CF110" s="451">
        <f>-CF125</f>
        <v/>
      </c>
      <c r="CG110" s="451" t="n"/>
      <c r="CH110" s="451">
        <f>-CH125</f>
        <v/>
      </c>
      <c r="CI110" s="451" t="n"/>
      <c r="CJ110" s="451">
        <f>-CJ125</f>
        <v/>
      </c>
      <c r="CK110" s="451" t="n"/>
      <c r="CL110" s="451">
        <f>-CL125</f>
        <v/>
      </c>
      <c r="CM110" s="451" t="n"/>
      <c r="CN110" s="451">
        <f>-CN125</f>
        <v/>
      </c>
      <c r="CO110" s="451" t="n"/>
      <c r="CP110" s="451">
        <f>-CP125</f>
        <v/>
      </c>
      <c r="CQ110" s="451" t="n"/>
      <c r="CR110" s="451">
        <f>-CR125</f>
        <v/>
      </c>
      <c r="CS110" s="451" t="n"/>
      <c r="CT110" s="451">
        <f>-CT125</f>
        <v/>
      </c>
      <c r="CU110" s="451" t="n"/>
      <c r="CV110" s="451">
        <f>-CV125</f>
        <v/>
      </c>
      <c r="CW110" s="451" t="n"/>
      <c r="CX110" s="451">
        <f>-CX125</f>
        <v/>
      </c>
      <c r="CY110" s="451" t="n"/>
      <c r="CZ110" s="451">
        <f>-CZ125</f>
        <v/>
      </c>
      <c r="DA110" s="451" t="n"/>
      <c r="DB110" s="451">
        <f>-DB125</f>
        <v/>
      </c>
      <c r="DC110" s="451" t="n"/>
      <c r="DD110" s="451">
        <f>-DD125</f>
        <v/>
      </c>
      <c r="DE110" s="451" t="n"/>
      <c r="DF110" s="451">
        <f>-DF125</f>
        <v/>
      </c>
      <c r="DG110" s="451" t="n"/>
      <c r="DH110" s="451">
        <f>-DH125</f>
        <v/>
      </c>
      <c r="DI110" s="451" t="n"/>
      <c r="DJ110" s="451">
        <f>-DJ125</f>
        <v/>
      </c>
      <c r="DK110" s="451" t="n"/>
      <c r="DL110" s="451">
        <f>-DL125</f>
        <v/>
      </c>
      <c r="DM110" s="451" t="n"/>
      <c r="DN110" s="451">
        <f>-DN125</f>
        <v/>
      </c>
      <c r="DO110" s="451" t="n"/>
      <c r="DP110" s="451">
        <f>-DP125</f>
        <v/>
      </c>
      <c r="DQ110" s="451" t="n"/>
      <c r="DR110" s="451">
        <f>-DR125</f>
        <v/>
      </c>
      <c r="DS110" s="451" t="n"/>
      <c r="DT110" s="451">
        <f>-DT125</f>
        <v/>
      </c>
      <c r="DU110" s="451" t="n"/>
      <c r="DV110" s="451">
        <f>-DV125</f>
        <v/>
      </c>
      <c r="DW110" s="451" t="n"/>
      <c r="DX110" s="451">
        <f>-DX125</f>
        <v/>
      </c>
      <c r="DY110" s="451" t="n"/>
      <c r="DZ110" s="451">
        <f>-DZ125</f>
        <v/>
      </c>
      <c r="EA110" s="451" t="n"/>
      <c r="EB110" s="451">
        <f>-EB125</f>
        <v/>
      </c>
      <c r="EC110" s="451" t="n"/>
      <c r="ED110" s="451">
        <f>-ED125</f>
        <v/>
      </c>
      <c r="EE110" s="451" t="n"/>
      <c r="EF110" s="451">
        <f>-EF125</f>
        <v/>
      </c>
      <c r="EG110" s="451" t="n"/>
      <c r="EH110" s="451">
        <f>-EH125</f>
        <v/>
      </c>
      <c r="EI110" s="451" t="n"/>
      <c r="EJ110" s="451">
        <f>-EJ125</f>
        <v/>
      </c>
      <c r="EK110" s="451" t="n"/>
      <c r="EL110" s="451">
        <f>-EL125</f>
        <v/>
      </c>
      <c r="EM110" s="451" t="n"/>
      <c r="EN110" s="451">
        <f>-EN125</f>
        <v/>
      </c>
      <c r="EO110" s="451" t="n"/>
      <c r="EP110" s="451">
        <f>-EP125</f>
        <v/>
      </c>
      <c r="EQ110" s="451" t="n"/>
      <c r="ER110" s="451">
        <f>-ER125</f>
        <v/>
      </c>
      <c r="ES110" s="451" t="n"/>
      <c r="ET110" s="451">
        <f>-ET125</f>
        <v/>
      </c>
      <c r="EU110" s="451">
        <f>+BQ110-ET110</f>
        <v/>
      </c>
      <c r="EV110" s="451">
        <f>-EV125</f>
        <v/>
      </c>
      <c r="EW110" s="451">
        <f>-EW125</f>
        <v/>
      </c>
      <c r="EX110" s="451">
        <f>-EX125</f>
        <v/>
      </c>
      <c r="EY110" s="451">
        <f>-EY125</f>
        <v/>
      </c>
      <c r="EZ110" s="521" t="n"/>
      <c r="FA110" s="521" t="n"/>
      <c r="FB110" s="452">
        <f>+FA110-EW110</f>
        <v/>
      </c>
      <c r="FC110" s="348">
        <f>+FB110/EW110</f>
        <v/>
      </c>
      <c r="FD110" s="348">
        <f>+FA110/T110</f>
        <v/>
      </c>
      <c r="FE110" s="348">
        <f>+FA110/U110</f>
        <v/>
      </c>
    </row>
    <row r="111">
      <c r="A111" s="6" t="inlineStr">
        <is>
          <t>Investment (gain)/losses</t>
        </is>
      </c>
      <c r="B111" s="451">
        <f>'Raw financials'!B258</f>
        <v/>
      </c>
      <c r="C111" s="451">
        <f>'Raw financials'!C258</f>
        <v/>
      </c>
      <c r="D111" s="451">
        <f>'Raw financials'!D258</f>
        <v/>
      </c>
      <c r="E111" s="451">
        <f>'Raw financials'!E258</f>
        <v/>
      </c>
      <c r="F111" s="451">
        <f>'Raw financials'!F258</f>
        <v/>
      </c>
      <c r="G111" s="451">
        <f>'Raw financials'!G258</f>
        <v/>
      </c>
      <c r="H111" s="451">
        <f>'Raw financials'!H258</f>
        <v/>
      </c>
      <c r="I111" s="451">
        <f>'Raw financials'!I258</f>
        <v/>
      </c>
      <c r="J111" s="451">
        <f>'Raw financials'!J258</f>
        <v/>
      </c>
      <c r="K111" s="451">
        <f>'Raw financials'!K258</f>
        <v/>
      </c>
      <c r="L111" s="451">
        <f>'Raw financials'!L258</f>
        <v/>
      </c>
      <c r="M111" s="451">
        <f>'Raw financials'!M258</f>
        <v/>
      </c>
      <c r="N111" s="451">
        <f>'Raw financials'!N258</f>
        <v/>
      </c>
      <c r="O111" s="451">
        <f>'Raw financials'!O258</f>
        <v/>
      </c>
      <c r="P111" s="451">
        <f>'Raw financials'!P258</f>
        <v/>
      </c>
      <c r="Q111" s="451">
        <f>'Raw financials'!Q258</f>
        <v/>
      </c>
      <c r="R111" s="451">
        <f>'Raw financials'!R258</f>
        <v/>
      </c>
      <c r="S111" s="451">
        <f>'Raw financials'!S258</f>
        <v/>
      </c>
      <c r="T111" s="451">
        <f>'Raw financials'!T258</f>
        <v/>
      </c>
      <c r="U111" s="459">
        <f>-U18</f>
        <v/>
      </c>
      <c r="V111" s="459">
        <f>-V18</f>
        <v/>
      </c>
      <c r="W111" s="459">
        <f>-W18</f>
        <v/>
      </c>
      <c r="X111" s="459">
        <f>-X18</f>
        <v/>
      </c>
      <c r="Y111" s="459">
        <f>-Y18</f>
        <v/>
      </c>
      <c r="Z111" s="459">
        <f>-Z18</f>
        <v/>
      </c>
      <c r="AA111" s="452">
        <f>+U111-T111</f>
        <v/>
      </c>
      <c r="AB111" s="348">
        <f>+AA111/T111</f>
        <v/>
      </c>
      <c r="AC111" s="459" t="n">
        <v>-1577.06</v>
      </c>
      <c r="AD111" s="452">
        <f>+X111-W111</f>
        <v/>
      </c>
      <c r="AE111" s="348">
        <f>+AD111/W111</f>
        <v/>
      </c>
      <c r="AF111" s="451" t="n"/>
      <c r="AG111" s="451">
        <f>'Raw financials'!AA258</f>
        <v/>
      </c>
      <c r="AH111" s="451">
        <f>+B111-AG111</f>
        <v/>
      </c>
      <c r="AI111" s="451">
        <f>'Raw financials'!AB258</f>
        <v/>
      </c>
      <c r="AJ111" s="451">
        <f>+C111-AI111</f>
        <v/>
      </c>
      <c r="AK111" s="451">
        <f>'Raw financials'!AC258</f>
        <v/>
      </c>
      <c r="AL111" s="451">
        <f>+D111-AK111</f>
        <v/>
      </c>
      <c r="AM111" s="451">
        <f>'Raw financials'!AD258</f>
        <v/>
      </c>
      <c r="AN111" s="451">
        <f>+E111-AM111</f>
        <v/>
      </c>
      <c r="AO111" s="451">
        <f>'Raw financials'!AE258</f>
        <v/>
      </c>
      <c r="AP111" s="451">
        <f>+F111-AO111</f>
        <v/>
      </c>
      <c r="AQ111" s="451">
        <f>'Raw financials'!AF258</f>
        <v/>
      </c>
      <c r="AR111" s="451">
        <f>+G111-AQ111</f>
        <v/>
      </c>
      <c r="AS111" s="451">
        <f>'Raw financials'!AG258</f>
        <v/>
      </c>
      <c r="AT111" s="451">
        <f>+H111-AS111</f>
        <v/>
      </c>
      <c r="AU111" s="451">
        <f>'Raw financials'!AH258</f>
        <v/>
      </c>
      <c r="AV111" s="451">
        <f>+I111-AU111</f>
        <v/>
      </c>
      <c r="AW111" s="451">
        <f>'Raw financials'!AI258</f>
        <v/>
      </c>
      <c r="AX111" s="451">
        <f>+J111-AW111</f>
        <v/>
      </c>
      <c r="AY111" s="451">
        <f>'Raw financials'!AJ258</f>
        <v/>
      </c>
      <c r="AZ111" s="451">
        <f>+K111-AY111</f>
        <v/>
      </c>
      <c r="BA111" s="451">
        <f>'Raw financials'!AK258</f>
        <v/>
      </c>
      <c r="BB111" s="451">
        <f>+L111-BA111</f>
        <v/>
      </c>
      <c r="BC111" s="451">
        <f>'Raw financials'!AL258</f>
        <v/>
      </c>
      <c r="BD111" s="451">
        <f>+M111-BC111</f>
        <v/>
      </c>
      <c r="BE111" s="451">
        <f>'Raw financials'!AM258</f>
        <v/>
      </c>
      <c r="BF111" s="451">
        <f>+N111-BE111</f>
        <v/>
      </c>
      <c r="BG111" s="451">
        <f>'Raw financials'!AN258</f>
        <v/>
      </c>
      <c r="BH111" s="451">
        <f>+O111-BG111</f>
        <v/>
      </c>
      <c r="BI111" s="451">
        <f>'Raw financials'!AO258</f>
        <v/>
      </c>
      <c r="BJ111" s="451">
        <f>+P111-BI111</f>
        <v/>
      </c>
      <c r="BK111" s="451">
        <f>'Raw financials'!AP258</f>
        <v/>
      </c>
      <c r="BL111" s="451">
        <f>+Q111-BK111</f>
        <v/>
      </c>
      <c r="BM111" s="451">
        <f>'Raw financials'!AQ258</f>
        <v/>
      </c>
      <c r="BN111" s="451">
        <f>+R111-BM111</f>
        <v/>
      </c>
      <c r="BO111" s="451">
        <f>'Raw financials'!AR258</f>
        <v/>
      </c>
      <c r="BP111" s="451">
        <f>+S111-BO111</f>
        <v/>
      </c>
      <c r="BQ111" s="451">
        <f>'Raw financials'!AS258</f>
        <v/>
      </c>
      <c r="BR111" s="451">
        <f>+T111-BQ111</f>
        <v/>
      </c>
      <c r="BS111" s="451" t="n"/>
      <c r="BT111" s="451">
        <f>+U111-BS111</f>
        <v/>
      </c>
      <c r="BU111" s="489">
        <f>BT111-BR111</f>
        <v/>
      </c>
      <c r="BV111" s="384">
        <f>BU111/BR111</f>
        <v/>
      </c>
      <c r="BW111" s="384">
        <f>+BT111/T111</f>
        <v/>
      </c>
      <c r="BX111" s="384">
        <f>+BT111/U111</f>
        <v/>
      </c>
      <c r="BZ111" s="451">
        <f>+I111/2</f>
        <v/>
      </c>
      <c r="CA111" s="451">
        <f>+J111/2</f>
        <v/>
      </c>
      <c r="CB111" s="451">
        <f>+K111/2</f>
        <v/>
      </c>
      <c r="CC111" s="451" t="n"/>
      <c r="CD111" s="451">
        <f>+K111/2</f>
        <v/>
      </c>
      <c r="CE111" s="451" t="n"/>
      <c r="CF111" s="451">
        <f>+L111/2</f>
        <v/>
      </c>
      <c r="CG111" s="451" t="n"/>
      <c r="CH111" s="451">
        <f>+M111/2</f>
        <v/>
      </c>
      <c r="CI111" s="451" t="n"/>
      <c r="CJ111" s="451">
        <f>+N111/2</f>
        <v/>
      </c>
      <c r="CK111" s="451" t="n"/>
      <c r="CL111" s="451">
        <f>+O111/2</f>
        <v/>
      </c>
      <c r="CM111" s="451" t="n"/>
      <c r="CN111" s="451">
        <f>+P111/2</f>
        <v/>
      </c>
      <c r="CO111" s="451" t="n"/>
      <c r="CP111" s="451">
        <f>+Q111/2</f>
        <v/>
      </c>
      <c r="CQ111" s="451" t="n"/>
      <c r="CR111" s="451">
        <f>+R111/2</f>
        <v/>
      </c>
      <c r="CS111" s="451" t="n"/>
      <c r="CT111" s="451">
        <f>+S111/2</f>
        <v/>
      </c>
      <c r="CU111" s="451" t="n"/>
      <c r="CV111" s="451">
        <f>+T111/2</f>
        <v/>
      </c>
      <c r="CW111" s="451" t="n"/>
      <c r="CX111" s="451">
        <f>+U111/2</f>
        <v/>
      </c>
      <c r="CY111" s="451" t="n"/>
      <c r="CZ111" s="451">
        <f>+V111/2</f>
        <v/>
      </c>
      <c r="DA111" s="451" t="n"/>
      <c r="DB111" s="451">
        <f>+W111/2</f>
        <v/>
      </c>
      <c r="DC111" s="451" t="n"/>
      <c r="DD111" s="451">
        <f>+X111/2</f>
        <v/>
      </c>
      <c r="DE111" s="451" t="n"/>
      <c r="DF111" s="451">
        <f>+Y111/2</f>
        <v/>
      </c>
      <c r="DG111" s="451" t="n"/>
      <c r="DH111" s="451">
        <f>+AF111/2</f>
        <v/>
      </c>
      <c r="DI111" s="451" t="n"/>
      <c r="DJ111" s="451">
        <f>+AG111/2</f>
        <v/>
      </c>
      <c r="DK111" s="451" t="n"/>
      <c r="DL111" s="451">
        <f>+AI111/2</f>
        <v/>
      </c>
      <c r="DM111" s="451" t="n"/>
      <c r="DN111" s="451">
        <f>+AK111/2</f>
        <v/>
      </c>
      <c r="DO111" s="451" t="n"/>
      <c r="DP111" s="451">
        <f>+AM111/2</f>
        <v/>
      </c>
      <c r="DQ111" s="451" t="n"/>
      <c r="DR111" s="451">
        <f>+AO111/2</f>
        <v/>
      </c>
      <c r="DS111" s="451" t="n"/>
      <c r="DT111" s="451">
        <f>+AQ111/2</f>
        <v/>
      </c>
      <c r="DU111" s="451" t="n"/>
      <c r="DV111" s="451">
        <f>+AS111/2</f>
        <v/>
      </c>
      <c r="DW111" s="451" t="n"/>
      <c r="DX111" s="451">
        <f>+AU111/2</f>
        <v/>
      </c>
      <c r="DY111" s="451" t="n"/>
      <c r="DZ111" s="451">
        <f>+AW111/2</f>
        <v/>
      </c>
      <c r="EA111" s="451" t="n"/>
      <c r="EB111" s="451">
        <f>+AY111/2</f>
        <v/>
      </c>
      <c r="EC111" s="451" t="n"/>
      <c r="ED111" s="451">
        <f>+BA111/2</f>
        <v/>
      </c>
      <c r="EE111" s="451" t="n"/>
      <c r="EF111" s="451">
        <f>+BC111/2</f>
        <v/>
      </c>
      <c r="EG111" s="451" t="n"/>
      <c r="EH111" s="451">
        <f>+BE111/2</f>
        <v/>
      </c>
      <c r="EI111" s="451" t="n"/>
      <c r="EJ111" s="451">
        <f>+BG111/2</f>
        <v/>
      </c>
      <c r="EK111" s="451" t="n"/>
      <c r="EL111" s="451">
        <f>+BI111/2</f>
        <v/>
      </c>
      <c r="EM111" s="451" t="n"/>
      <c r="EN111" s="451">
        <f>+BK111/2</f>
        <v/>
      </c>
      <c r="EO111" s="451" t="n"/>
      <c r="EP111" s="451">
        <f>+BM111/2</f>
        <v/>
      </c>
      <c r="EQ111" s="451" t="n"/>
      <c r="ER111" s="451">
        <f>+BO111/2</f>
        <v/>
      </c>
      <c r="ES111" s="451" t="n"/>
      <c r="ET111" s="451">
        <f>+BQ111/2</f>
        <v/>
      </c>
      <c r="EU111" s="451">
        <f>+BQ111-ET111</f>
        <v/>
      </c>
      <c r="EV111" s="451">
        <f>BR111/2</f>
        <v/>
      </c>
      <c r="EW111" s="451">
        <f>+T111/4</f>
        <v/>
      </c>
      <c r="EX111" s="451">
        <f>+U111/4</f>
        <v/>
      </c>
      <c r="EY111" s="451">
        <f>+V111/4</f>
        <v/>
      </c>
      <c r="EZ111" s="521" t="n"/>
      <c r="FA111" s="521" t="n"/>
      <c r="FB111" s="452">
        <f>+FA111-EW111</f>
        <v/>
      </c>
      <c r="FC111" s="348">
        <f>+FB111/EW111</f>
        <v/>
      </c>
      <c r="FD111" s="348">
        <f>+FA111/T111</f>
        <v/>
      </c>
      <c r="FE111" s="348">
        <f>+FA111/U111</f>
        <v/>
      </c>
    </row>
    <row r="112">
      <c r="A112" s="6" t="inlineStr">
        <is>
          <t>Changes in net working capital</t>
        </is>
      </c>
      <c r="B112" s="451">
        <f>SUM('Raw financials'!B261:B263)</f>
        <v/>
      </c>
      <c r="C112" s="451">
        <f>SUM('Raw financials'!C261:C263)</f>
        <v/>
      </c>
      <c r="D112" s="451">
        <f>SUM('Raw financials'!D261:D263)</f>
        <v/>
      </c>
      <c r="E112" s="451">
        <f>SUM('Raw financials'!E261:E263)</f>
        <v/>
      </c>
      <c r="F112" s="451">
        <f>SUM('Raw financials'!F261:F263)</f>
        <v/>
      </c>
      <c r="G112" s="451">
        <f>SUM('Raw financials'!G261:G263)</f>
        <v/>
      </c>
      <c r="H112" s="451">
        <f>SUM('Raw financials'!H261:H263)</f>
        <v/>
      </c>
      <c r="I112" s="451">
        <f>SUM('Raw financials'!I261:I263)</f>
        <v/>
      </c>
      <c r="J112" s="451">
        <f>SUM('Raw financials'!J261:J263)</f>
        <v/>
      </c>
      <c r="K112" s="451">
        <f>SUM('Raw financials'!K261:K263)</f>
        <v/>
      </c>
      <c r="L112" s="451">
        <f>SUM('Raw financials'!L261:L263)</f>
        <v/>
      </c>
      <c r="M112" s="451">
        <f>SUM('Raw financials'!M261:M263)</f>
        <v/>
      </c>
      <c r="N112" s="451">
        <f>SUM('Raw financials'!N261:N263)</f>
        <v/>
      </c>
      <c r="O112" s="451">
        <f>SUM('Raw financials'!O261:O263)</f>
        <v/>
      </c>
      <c r="P112" s="451">
        <f>SUM('Raw financials'!P261:P263)</f>
        <v/>
      </c>
      <c r="Q112" s="451">
        <f>SUM('Raw financials'!Q261:Q263)</f>
        <v/>
      </c>
      <c r="R112" s="451">
        <f>SUM('Raw financials'!R261:R263)</f>
        <v/>
      </c>
      <c r="S112" s="451">
        <f>SUM('Raw financials'!S261:S263)</f>
        <v/>
      </c>
      <c r="T112" s="451">
        <f>SUM('Raw financials'!T261:T263)</f>
        <v/>
      </c>
      <c r="U112" s="459">
        <f>T49+T50+T51-U49-U50-U51+U70+U72-T70-T72+U71-T71+U74-T74+T53-U53</f>
        <v/>
      </c>
      <c r="V112" s="459">
        <f>U49+U50+U51-V49-V50-V51+V70+V72-U70-U72+V71-U71+V74-U74+U53-V53</f>
        <v/>
      </c>
      <c r="W112" s="459">
        <f>V49+V50+V51-W49-W50-W51+W70+W72-V70-V72+W71-V71+W74-V74+V53-W53</f>
        <v/>
      </c>
      <c r="X112" s="459">
        <f>W49+W50+W51-X49-X50-X51+X70+X72-W70-W72+X71-W71+X74-W74+W53-X53</f>
        <v/>
      </c>
      <c r="Y112" s="459">
        <f>X49+X50+X51-Y49-Y50-Y51+Y70+Y72-X70-X72+Y71-X71+Y74-X74+X53-Y53</f>
        <v/>
      </c>
      <c r="Z112" s="459">
        <f>Y49+Y50+Y51-Z49-Z50-Z51+Z70+Z72-Y70-Y72+Z71-Y71+Z74-Y74+Y53-Z53</f>
        <v/>
      </c>
      <c r="AA112" s="452">
        <f>+U112-T112</f>
        <v/>
      </c>
      <c r="AB112" s="348">
        <f>+AA112/T112</f>
        <v/>
      </c>
      <c r="AC112" s="459" t="n">
        <v>-1609.86312236236</v>
      </c>
      <c r="AD112" s="452">
        <f>+X112-W112</f>
        <v/>
      </c>
      <c r="AE112" s="348">
        <f>+AD112/W112</f>
        <v/>
      </c>
      <c r="AF112" s="451" t="n"/>
      <c r="AG112" s="451">
        <f>SUM('Raw financials'!AA261:AA263)</f>
        <v/>
      </c>
      <c r="AH112" s="451">
        <f>+B112-AG112</f>
        <v/>
      </c>
      <c r="AI112" s="451">
        <f>SUM('Raw financials'!AB261:AB263)</f>
        <v/>
      </c>
      <c r="AJ112" s="451">
        <f>+C112-AI112</f>
        <v/>
      </c>
      <c r="AK112" s="451">
        <f>SUM('Raw financials'!AC261:AC263)</f>
        <v/>
      </c>
      <c r="AL112" s="451">
        <f>+D112-AK112</f>
        <v/>
      </c>
      <c r="AM112" s="451">
        <f>SUM('Raw financials'!AD261:AD263)</f>
        <v/>
      </c>
      <c r="AN112" s="451">
        <f>+E112-AM112</f>
        <v/>
      </c>
      <c r="AO112" s="451">
        <f>SUM('Raw financials'!AE261:AE263)</f>
        <v/>
      </c>
      <c r="AP112" s="451">
        <f>+F112-AO112</f>
        <v/>
      </c>
      <c r="AQ112" s="451">
        <f>SUM('Raw financials'!AF261:AF263)</f>
        <v/>
      </c>
      <c r="AR112" s="451">
        <f>+G112-AQ112</f>
        <v/>
      </c>
      <c r="AS112" s="451">
        <f>SUM('Raw financials'!AG261:AG263)</f>
        <v/>
      </c>
      <c r="AT112" s="451">
        <f>+H112-AS112</f>
        <v/>
      </c>
      <c r="AU112" s="451">
        <f>SUM('Raw financials'!AH261:AH263)</f>
        <v/>
      </c>
      <c r="AV112" s="451">
        <f>+I112-AU112</f>
        <v/>
      </c>
      <c r="AW112" s="451">
        <f>SUM('Raw financials'!AI261:AI263)</f>
        <v/>
      </c>
      <c r="AX112" s="451">
        <f>+J112-AW112</f>
        <v/>
      </c>
      <c r="AY112" s="451">
        <f>SUM('Raw financials'!AJ261:AJ263)</f>
        <v/>
      </c>
      <c r="AZ112" s="451">
        <f>+K112-AY112</f>
        <v/>
      </c>
      <c r="BA112" s="451">
        <f>SUM('Raw financials'!AK261:AK263)</f>
        <v/>
      </c>
      <c r="BB112" s="451">
        <f>+L112-BA112</f>
        <v/>
      </c>
      <c r="BC112" s="451">
        <f>SUM('Raw financials'!AL261:AL263)</f>
        <v/>
      </c>
      <c r="BD112" s="451">
        <f>+M112-BC112</f>
        <v/>
      </c>
      <c r="BE112" s="451">
        <f>SUM('Raw financials'!AM261:AM263)</f>
        <v/>
      </c>
      <c r="BF112" s="451">
        <f>+N112-BE112</f>
        <v/>
      </c>
      <c r="BG112" s="451">
        <f>SUM('Raw financials'!AN261:AN263)</f>
        <v/>
      </c>
      <c r="BH112" s="451">
        <f>+O112-BG112</f>
        <v/>
      </c>
      <c r="BI112" s="451">
        <f>SUM('Raw financials'!AO261:AO263)</f>
        <v/>
      </c>
      <c r="BJ112" s="451">
        <f>+P112-BI112</f>
        <v/>
      </c>
      <c r="BK112" s="451">
        <f>SUM('Raw financials'!AP261:AP263)</f>
        <v/>
      </c>
      <c r="BL112" s="451">
        <f>+Q112-BK112</f>
        <v/>
      </c>
      <c r="BM112" s="451">
        <f>SUM('Raw financials'!AQ261:AQ263)</f>
        <v/>
      </c>
      <c r="BN112" s="451">
        <f>+R112-BM112</f>
        <v/>
      </c>
      <c r="BO112" s="451">
        <f>SUM('Raw financials'!AR261:AR263)</f>
        <v/>
      </c>
      <c r="BP112" s="451">
        <f>+S112-BO112</f>
        <v/>
      </c>
      <c r="BQ112" s="451">
        <f>SUM('Raw financials'!AS261:AS263)</f>
        <v/>
      </c>
      <c r="BR112" s="451">
        <f>+T112-BQ112</f>
        <v/>
      </c>
      <c r="BS112" s="451" t="n"/>
      <c r="BT112" s="451">
        <f>+U112-BS112</f>
        <v/>
      </c>
      <c r="BU112" s="489">
        <f>BT112-BR112</f>
        <v/>
      </c>
      <c r="BV112" s="384">
        <f>BU112/BR112</f>
        <v/>
      </c>
      <c r="BW112" s="384">
        <f>+BT112/T112</f>
        <v/>
      </c>
      <c r="BX112" s="384">
        <f>+BT112/U112</f>
        <v/>
      </c>
      <c r="BZ112" s="451">
        <f>BZ114-SUM(BZ105:BZ111)-BZ113</f>
        <v/>
      </c>
      <c r="CA112" s="451">
        <f>CA114-SUM(CA105:CA111)-CA113</f>
        <v/>
      </c>
      <c r="CB112" s="451">
        <f>CB114-SUM(CB105:CB111)-CB113</f>
        <v/>
      </c>
      <c r="CC112" s="451" t="n"/>
      <c r="CD112" s="451">
        <f>CD114-SUM(CD105:CD111)-CD113</f>
        <v/>
      </c>
      <c r="CE112" s="451" t="n"/>
      <c r="CF112" s="451">
        <f>CF114-SUM(CF105:CF111)-CF113</f>
        <v/>
      </c>
      <c r="CG112" s="451" t="n"/>
      <c r="CH112" s="451">
        <f>CH114-SUM(CH105:CH111)-CH113</f>
        <v/>
      </c>
      <c r="CI112" s="451" t="n"/>
      <c r="CJ112" s="451">
        <f>CJ114-SUM(CJ105:CJ111)-CJ113</f>
        <v/>
      </c>
      <c r="CK112" s="451" t="n"/>
      <c r="CL112" s="451">
        <f>CL114-SUM(CL105:CL111)-CL113</f>
        <v/>
      </c>
      <c r="CM112" s="451" t="n"/>
      <c r="CN112" s="451">
        <f>CN114-SUM(CN105:CN111)-CN113</f>
        <v/>
      </c>
      <c r="CO112" s="451" t="n"/>
      <c r="CP112" s="451">
        <f>CP114-SUM(CP105:CP111)-CP113</f>
        <v/>
      </c>
      <c r="CQ112" s="451" t="n"/>
      <c r="CR112" s="451">
        <f>CR114-SUM(CR105:CR111)-CR113</f>
        <v/>
      </c>
      <c r="CS112" s="451" t="n"/>
      <c r="CT112" s="451">
        <f>CT114-SUM(CT105:CT111)-CT113</f>
        <v/>
      </c>
      <c r="CU112" s="451" t="n"/>
      <c r="CV112" s="451">
        <f>CV114-SUM(CV105:CV111)-CV113</f>
        <v/>
      </c>
      <c r="CW112" s="451" t="n"/>
      <c r="CX112" s="451">
        <f>CX114-SUM(CX105:CX111)-CX113</f>
        <v/>
      </c>
      <c r="CY112" s="451" t="n"/>
      <c r="CZ112" s="451">
        <f>CZ114-SUM(CZ105:CZ111)-CZ113</f>
        <v/>
      </c>
      <c r="DA112" s="451" t="n"/>
      <c r="DB112" s="451">
        <f>DB114-SUM(DB105:DB111)-DB113</f>
        <v/>
      </c>
      <c r="DC112" s="451" t="n"/>
      <c r="DD112" s="451">
        <f>DD114-SUM(DD105:DD111)-DD113</f>
        <v/>
      </c>
      <c r="DE112" s="451" t="n"/>
      <c r="DF112" s="451">
        <f>DF114-SUM(DF105:DF111)-DF113</f>
        <v/>
      </c>
      <c r="DG112" s="451" t="n"/>
      <c r="DH112" s="451">
        <f>DH114-SUM(DH105:DH111)-DH113</f>
        <v/>
      </c>
      <c r="DI112" s="451" t="n"/>
      <c r="DJ112" s="451">
        <f>DJ114-SUM(DJ105:DJ111)-DJ113</f>
        <v/>
      </c>
      <c r="DK112" s="451" t="n"/>
      <c r="DL112" s="451">
        <f>DL114-SUM(DL105:DL111)-DL113</f>
        <v/>
      </c>
      <c r="DM112" s="451" t="n"/>
      <c r="DN112" s="451">
        <f>DN114-SUM(DN105:DN111)-DN113</f>
        <v/>
      </c>
      <c r="DO112" s="451" t="n"/>
      <c r="DP112" s="451">
        <f>DP114-SUM(DP105:DP111)-DP113</f>
        <v/>
      </c>
      <c r="DQ112" s="451" t="n"/>
      <c r="DR112" s="451">
        <f>DR114-SUM(DR105:DR111)-DR113</f>
        <v/>
      </c>
      <c r="DS112" s="451" t="n"/>
      <c r="DT112" s="451">
        <f>DT114-SUM(DT105:DT111)-DT113</f>
        <v/>
      </c>
      <c r="DU112" s="451" t="n"/>
      <c r="DV112" s="451">
        <f>DV114-SUM(DV105:DV111)-DV113</f>
        <v/>
      </c>
      <c r="DW112" s="451" t="n"/>
      <c r="DX112" s="451">
        <f>DX114-SUM(DX105:DX111)-DX113</f>
        <v/>
      </c>
      <c r="DY112" s="451" t="n"/>
      <c r="DZ112" s="451">
        <f>DZ114-SUM(DZ105:DZ111)-DZ113</f>
        <v/>
      </c>
      <c r="EA112" s="451" t="n"/>
      <c r="EB112" s="451">
        <f>EB114-SUM(EB105:EB111)-EB113</f>
        <v/>
      </c>
      <c r="EC112" s="451" t="n"/>
      <c r="ED112" s="451">
        <f>ED114-SUM(ED105:ED111)-ED113</f>
        <v/>
      </c>
      <c r="EE112" s="451" t="n"/>
      <c r="EF112" s="451">
        <f>EF114-SUM(EF105:EF111)-EF113</f>
        <v/>
      </c>
      <c r="EG112" s="451" t="n"/>
      <c r="EH112" s="451">
        <f>EH114-SUM(EH105:EH111)-EH113</f>
        <v/>
      </c>
      <c r="EI112" s="451" t="n"/>
      <c r="EJ112" s="451">
        <f>EJ114-SUM(EJ105:EJ111)-EJ113</f>
        <v/>
      </c>
      <c r="EK112" s="451" t="n"/>
      <c r="EL112" s="451">
        <f>EL114-SUM(EL105:EL111)-EL113</f>
        <v/>
      </c>
      <c r="EM112" s="451" t="n"/>
      <c r="EN112" s="451">
        <f>EN114-SUM(EN105:EN111)-EN113</f>
        <v/>
      </c>
      <c r="EO112" s="451" t="n"/>
      <c r="EP112" s="451">
        <f>EP114-SUM(EP105:EP111)-EP113</f>
        <v/>
      </c>
      <c r="EQ112" s="451" t="n"/>
      <c r="ER112" s="451">
        <f>ER114-SUM(ER105:ER111)-ER113</f>
        <v/>
      </c>
      <c r="ES112" s="451" t="n"/>
      <c r="ET112" s="451">
        <f>ET114-SUM(ET105:ET111)-ET113</f>
        <v/>
      </c>
      <c r="EU112" s="451">
        <f>+BQ112-ET112</f>
        <v/>
      </c>
      <c r="EV112" s="451">
        <f>EV114-SUM(EV105:EV111)-EV113</f>
        <v/>
      </c>
      <c r="EW112" s="451">
        <f>EW114-SUM(EW105:EW111)-EW113</f>
        <v/>
      </c>
      <c r="EX112" s="451">
        <f>EX114-SUM(EX105:EX111)-EX113</f>
        <v/>
      </c>
      <c r="EY112" s="451">
        <f>EY114-SUM(EY105:EY111)-EY113</f>
        <v/>
      </c>
      <c r="EZ112" s="521" t="n"/>
      <c r="FA112" s="521" t="n"/>
      <c r="FB112" s="452">
        <f>+FA112-EW112</f>
        <v/>
      </c>
      <c r="FC112" s="348">
        <f>+FB112/EW112</f>
        <v/>
      </c>
      <c r="FD112" s="348">
        <f>+FA112/T112</f>
        <v/>
      </c>
      <c r="FE112" s="348">
        <f>+FA112/U112</f>
        <v/>
      </c>
    </row>
    <row r="113">
      <c r="A113" s="6" t="inlineStr">
        <is>
          <t>Others</t>
        </is>
      </c>
      <c r="B113" s="451">
        <f>B114-SUM(B105:B112)</f>
        <v/>
      </c>
      <c r="C113" s="451">
        <f>C114-SUM(C105:C112)</f>
        <v/>
      </c>
      <c r="D113" s="451">
        <f>D114-SUM(D105:D112)</f>
        <v/>
      </c>
      <c r="E113" s="451">
        <f>E114-SUM(E105:E112)</f>
        <v/>
      </c>
      <c r="F113" s="451">
        <f>F114-SUM(F105:F112)</f>
        <v/>
      </c>
      <c r="G113" s="451">
        <f>G114-SUM(G105:G112)</f>
        <v/>
      </c>
      <c r="H113" s="451">
        <f>H114-SUM(H105:H112)</f>
        <v/>
      </c>
      <c r="I113" s="451">
        <f>I114-SUM(I105:I112)</f>
        <v/>
      </c>
      <c r="J113" s="451">
        <f>J114-SUM(J105:J112)</f>
        <v/>
      </c>
      <c r="K113" s="451">
        <f>K114-SUM(K105:K112)</f>
        <v/>
      </c>
      <c r="L113" s="451">
        <f>L114-SUM(L105:L112)</f>
        <v/>
      </c>
      <c r="M113" s="451">
        <f>M114-SUM(M105:M112)</f>
        <v/>
      </c>
      <c r="N113" s="451">
        <f>N114-SUM(N105:N112)</f>
        <v/>
      </c>
      <c r="O113" s="451">
        <f>O114-SUM(O105:O112)</f>
        <v/>
      </c>
      <c r="P113" s="451">
        <f>P114-SUM(P105:P112)</f>
        <v/>
      </c>
      <c r="Q113" s="451">
        <f>Q114-SUM(Q105:Q112)</f>
        <v/>
      </c>
      <c r="R113" s="451">
        <f>R114-SUM(R105:R112)</f>
        <v/>
      </c>
      <c r="S113" s="451">
        <f>S114-SUM(S105:S112)</f>
        <v/>
      </c>
      <c r="T113" s="451">
        <f>T114-SUM(T105:T112)</f>
        <v/>
      </c>
      <c r="U113" s="459" t="n">
        <v>0</v>
      </c>
      <c r="V113" s="459" t="n">
        <v>0</v>
      </c>
      <c r="W113" s="459" t="n">
        <v>0</v>
      </c>
      <c r="X113" s="459" t="n">
        <v>0</v>
      </c>
      <c r="Y113" s="459" t="n">
        <v>0</v>
      </c>
      <c r="Z113" s="459" t="n">
        <v>0</v>
      </c>
      <c r="AA113" s="452">
        <f>+U113-T113</f>
        <v/>
      </c>
      <c r="AB113" s="348">
        <f>+AA113/T113</f>
        <v/>
      </c>
      <c r="AC113" s="459" t="n">
        <v>0</v>
      </c>
      <c r="AD113" s="452">
        <f>+X113-W113</f>
        <v/>
      </c>
      <c r="AE113" s="348">
        <f>+AD113/W113</f>
        <v/>
      </c>
      <c r="AF113" s="451" t="n"/>
      <c r="AG113" s="451">
        <f>AG114-SUM(AG105:AG112)</f>
        <v/>
      </c>
      <c r="AH113" s="451">
        <f>+B113-AG113</f>
        <v/>
      </c>
      <c r="AI113" s="451">
        <f>AI114-SUM(AI105:AI112)</f>
        <v/>
      </c>
      <c r="AJ113" s="451">
        <f>+C113-AI113</f>
        <v/>
      </c>
      <c r="AK113" s="451">
        <f>AK114-SUM(AK105:AK112)</f>
        <v/>
      </c>
      <c r="AL113" s="451">
        <f>+D113-AK113</f>
        <v/>
      </c>
      <c r="AM113" s="451">
        <f>AM114-SUM(AM105:AM112)</f>
        <v/>
      </c>
      <c r="AN113" s="451">
        <f>+E113-AM113</f>
        <v/>
      </c>
      <c r="AO113" s="451">
        <f>AO114-SUM(AO105:AO112)</f>
        <v/>
      </c>
      <c r="AP113" s="451">
        <f>+F113-AO113</f>
        <v/>
      </c>
      <c r="AQ113" s="451">
        <f>AQ114-SUM(AQ105:AQ112)</f>
        <v/>
      </c>
      <c r="AR113" s="451">
        <f>+G113-AQ113</f>
        <v/>
      </c>
      <c r="AS113" s="451">
        <f>AS114-SUM(AS105:AS112)</f>
        <v/>
      </c>
      <c r="AT113" s="451">
        <f>+H113-AS113</f>
        <v/>
      </c>
      <c r="AU113" s="451">
        <f>AU114-SUM(AU105:AU112)</f>
        <v/>
      </c>
      <c r="AV113" s="451">
        <f>+I113-AU113</f>
        <v/>
      </c>
      <c r="AW113" s="451">
        <f>AW114-SUM(AW105:AW112)</f>
        <v/>
      </c>
      <c r="AX113" s="451">
        <f>+J113-AW113</f>
        <v/>
      </c>
      <c r="AY113" s="451">
        <f>AY114-SUM(AY105:AY112)</f>
        <v/>
      </c>
      <c r="AZ113" s="451">
        <f>+K113-AY113</f>
        <v/>
      </c>
      <c r="BA113" s="451">
        <f>BA114-SUM(BA105:BA112)</f>
        <v/>
      </c>
      <c r="BB113" s="451">
        <f>+L113-BA113</f>
        <v/>
      </c>
      <c r="BC113" s="451">
        <f>BC114-SUM(BC105:BC112)</f>
        <v/>
      </c>
      <c r="BD113" s="451">
        <f>+M113-BC113</f>
        <v/>
      </c>
      <c r="BE113" s="451">
        <f>BE114-SUM(BE105:BE112)</f>
        <v/>
      </c>
      <c r="BF113" s="451">
        <f>+N113-BE113</f>
        <v/>
      </c>
      <c r="BG113" s="451">
        <f>BG114-SUM(BG105:BG112)</f>
        <v/>
      </c>
      <c r="BH113" s="451">
        <f>+O113-BG113</f>
        <v/>
      </c>
      <c r="BI113" s="451">
        <f>BI114-SUM(BI105:BI112)</f>
        <v/>
      </c>
      <c r="BJ113" s="451">
        <f>+P113-BI113</f>
        <v/>
      </c>
      <c r="BK113" s="451">
        <f>BK114-SUM(BK105:BK112)</f>
        <v/>
      </c>
      <c r="BL113" s="451">
        <f>+Q113-BK113</f>
        <v/>
      </c>
      <c r="BM113" s="451">
        <f>BM114-SUM(BM105:BM112)</f>
        <v/>
      </c>
      <c r="BN113" s="451">
        <f>+R113-BM113</f>
        <v/>
      </c>
      <c r="BO113" s="451">
        <f>BO114-SUM(BO105:BO112)</f>
        <v/>
      </c>
      <c r="BP113" s="451">
        <f>+S113-BO113</f>
        <v/>
      </c>
      <c r="BQ113" s="451">
        <f>BQ114-SUM(BQ105:BQ112)</f>
        <v/>
      </c>
      <c r="BR113" s="451">
        <f>+T113-BQ113</f>
        <v/>
      </c>
      <c r="BS113" s="451" t="n"/>
      <c r="BT113" s="451">
        <f>+U113-BS113</f>
        <v/>
      </c>
      <c r="BU113" s="489">
        <f>BT113-BR113</f>
        <v/>
      </c>
      <c r="BV113" s="384">
        <f>BU113/BR113</f>
        <v/>
      </c>
      <c r="BW113" s="384">
        <f>+BT113/T113</f>
        <v/>
      </c>
      <c r="BX113" s="384">
        <f>+BT113/U113</f>
        <v/>
      </c>
      <c r="BZ113" s="451">
        <f>I113/2</f>
        <v/>
      </c>
      <c r="CA113" s="451">
        <f>J113/2</f>
        <v/>
      </c>
      <c r="CB113" s="451">
        <f>K113/2</f>
        <v/>
      </c>
      <c r="CC113" s="451" t="n"/>
      <c r="CD113" s="451">
        <f>K113/2</f>
        <v/>
      </c>
      <c r="CE113" s="451" t="n"/>
      <c r="CF113" s="451">
        <f>L113/2</f>
        <v/>
      </c>
      <c r="CG113" s="451" t="n"/>
      <c r="CH113" s="451">
        <f>M113/2</f>
        <v/>
      </c>
      <c r="CI113" s="451" t="n"/>
      <c r="CJ113" s="451">
        <f>N113/2</f>
        <v/>
      </c>
      <c r="CK113" s="451" t="n"/>
      <c r="CL113" s="451">
        <f>O113/2</f>
        <v/>
      </c>
      <c r="CM113" s="451" t="n"/>
      <c r="CN113" s="451">
        <f>P113/2</f>
        <v/>
      </c>
      <c r="CO113" s="451" t="n"/>
      <c r="CP113" s="451">
        <f>Q113/2</f>
        <v/>
      </c>
      <c r="CQ113" s="451" t="n"/>
      <c r="CR113" s="451">
        <f>R113/2</f>
        <v/>
      </c>
      <c r="CS113" s="451" t="n"/>
      <c r="CT113" s="451">
        <f>S113/2</f>
        <v/>
      </c>
      <c r="CU113" s="451" t="n"/>
      <c r="CV113" s="451">
        <f>T113/2</f>
        <v/>
      </c>
      <c r="CW113" s="451" t="n"/>
      <c r="CX113" s="451">
        <f>U113/2</f>
        <v/>
      </c>
      <c r="CY113" s="451" t="n"/>
      <c r="CZ113" s="451">
        <f>V113/2</f>
        <v/>
      </c>
      <c r="DA113" s="451" t="n"/>
      <c r="DB113" s="451">
        <f>W113/2</f>
        <v/>
      </c>
      <c r="DC113" s="451" t="n"/>
      <c r="DD113" s="451">
        <f>X113/2</f>
        <v/>
      </c>
      <c r="DE113" s="451" t="n"/>
      <c r="DF113" s="451">
        <f>Y113/2</f>
        <v/>
      </c>
      <c r="DG113" s="451" t="n"/>
      <c r="DH113" s="451">
        <f>AF113/2</f>
        <v/>
      </c>
      <c r="DI113" s="451" t="n"/>
      <c r="DJ113" s="451">
        <f>AG113/2</f>
        <v/>
      </c>
      <c r="DK113" s="451" t="n"/>
      <c r="DL113" s="451">
        <f>AI113/2</f>
        <v/>
      </c>
      <c r="DM113" s="451" t="n"/>
      <c r="DN113" s="451">
        <f>AK113/2</f>
        <v/>
      </c>
      <c r="DO113" s="451" t="n"/>
      <c r="DP113" s="451">
        <f>AM113/2</f>
        <v/>
      </c>
      <c r="DQ113" s="451" t="n"/>
      <c r="DR113" s="451">
        <f>AO113/2</f>
        <v/>
      </c>
      <c r="DS113" s="451" t="n"/>
      <c r="DT113" s="451">
        <f>AQ113/2</f>
        <v/>
      </c>
      <c r="DU113" s="451" t="n"/>
      <c r="DV113" s="451">
        <f>AS113/2</f>
        <v/>
      </c>
      <c r="DW113" s="451" t="n"/>
      <c r="DX113" s="451">
        <f>AU113/2</f>
        <v/>
      </c>
      <c r="DY113" s="451" t="n"/>
      <c r="DZ113" s="451">
        <f>AW113/2</f>
        <v/>
      </c>
      <c r="EA113" s="451" t="n"/>
      <c r="EB113" s="451">
        <f>AY113/2</f>
        <v/>
      </c>
      <c r="EC113" s="451" t="n"/>
      <c r="ED113" s="451">
        <f>BA113/2</f>
        <v/>
      </c>
      <c r="EE113" s="451" t="n"/>
      <c r="EF113" s="451">
        <f>BC113/2</f>
        <v/>
      </c>
      <c r="EG113" s="451" t="n"/>
      <c r="EH113" s="451">
        <f>BE113/2</f>
        <v/>
      </c>
      <c r="EI113" s="451" t="n"/>
      <c r="EJ113" s="451">
        <f>BG113/2</f>
        <v/>
      </c>
      <c r="EK113" s="451" t="n"/>
      <c r="EL113" s="451">
        <f>BI113/2</f>
        <v/>
      </c>
      <c r="EM113" s="451" t="n"/>
      <c r="EN113" s="451">
        <f>BK113/2</f>
        <v/>
      </c>
      <c r="EO113" s="451" t="n"/>
      <c r="EP113" s="451">
        <f>BM113/2</f>
        <v/>
      </c>
      <c r="EQ113" s="451" t="n"/>
      <c r="ER113" s="451">
        <f>BO113/2</f>
        <v/>
      </c>
      <c r="ES113" s="451" t="n"/>
      <c r="ET113" s="451">
        <f>BQ113/2</f>
        <v/>
      </c>
      <c r="EU113" s="451">
        <f>+BQ113-ET113</f>
        <v/>
      </c>
      <c r="EV113" s="451">
        <f>BR113/2</f>
        <v/>
      </c>
      <c r="EW113" s="451">
        <f>+T113/4</f>
        <v/>
      </c>
      <c r="EX113" s="451">
        <f>+U113/4</f>
        <v/>
      </c>
      <c r="EY113" s="451">
        <f>+V113/4</f>
        <v/>
      </c>
      <c r="EZ113" s="521" t="n"/>
      <c r="FA113" s="521" t="n"/>
      <c r="FB113" s="452">
        <f>+FA113-EW113</f>
        <v/>
      </c>
      <c r="FC113" s="348">
        <f>+FB113/EW113</f>
        <v/>
      </c>
      <c r="FD113" s="348">
        <f>+FA113/T113</f>
        <v/>
      </c>
      <c r="FE113" s="348">
        <f>+FA113/U113</f>
        <v/>
      </c>
    </row>
    <row r="114">
      <c r="A114" s="21" t="inlineStr">
        <is>
          <t>Operating cash flow</t>
        </is>
      </c>
      <c r="B114" s="460">
        <f>'Raw financials'!B201</f>
        <v/>
      </c>
      <c r="C114" s="460">
        <f>'Raw financials'!C201</f>
        <v/>
      </c>
      <c r="D114" s="460">
        <f>'Raw financials'!D201</f>
        <v/>
      </c>
      <c r="E114" s="460">
        <f>'Raw financials'!E201</f>
        <v/>
      </c>
      <c r="F114" s="460">
        <f>'Raw financials'!F201</f>
        <v/>
      </c>
      <c r="G114" s="460">
        <f>'Raw financials'!G201</f>
        <v/>
      </c>
      <c r="H114" s="460">
        <f>'Raw financials'!H201</f>
        <v/>
      </c>
      <c r="I114" s="460">
        <f>'Raw financials'!I201</f>
        <v/>
      </c>
      <c r="J114" s="460">
        <f>'Raw financials'!J201</f>
        <v/>
      </c>
      <c r="K114" s="460">
        <f>'Raw financials'!K201</f>
        <v/>
      </c>
      <c r="L114" s="460">
        <f>'Raw financials'!L201</f>
        <v/>
      </c>
      <c r="M114" s="460">
        <f>'Raw financials'!M201</f>
        <v/>
      </c>
      <c r="N114" s="460">
        <f>'Raw financials'!N201</f>
        <v/>
      </c>
      <c r="O114" s="460">
        <f>'Raw financials'!O201</f>
        <v/>
      </c>
      <c r="P114" s="460">
        <f>'Raw financials'!P201</f>
        <v/>
      </c>
      <c r="Q114" s="460">
        <f>'Raw financials'!Q201</f>
        <v/>
      </c>
      <c r="R114" s="460">
        <f>'Raw financials'!R201</f>
        <v/>
      </c>
      <c r="S114" s="460">
        <f>'Raw financials'!S201</f>
        <v/>
      </c>
      <c r="T114" s="460">
        <f>'Raw financials'!T201</f>
        <v/>
      </c>
      <c r="U114" s="460">
        <f>SUM(U105:U113)</f>
        <v/>
      </c>
      <c r="V114" s="460">
        <f>SUM(V105:V113)</f>
        <v/>
      </c>
      <c r="W114" s="460">
        <f>SUM(W105:W113)</f>
        <v/>
      </c>
      <c r="X114" s="460">
        <f>SUM(X105:X113)</f>
        <v/>
      </c>
      <c r="Y114" s="460">
        <f>SUM(Y105:Y113)</f>
        <v/>
      </c>
      <c r="Z114" s="460">
        <f>SUM(Z105:Z113)</f>
        <v/>
      </c>
      <c r="AA114" s="509">
        <f>+U114-T114</f>
        <v/>
      </c>
      <c r="AB114" s="371">
        <f>+AA114/T114</f>
        <v/>
      </c>
      <c r="AC114" s="462" t="n">
        <v>2905.944001021819</v>
      </c>
      <c r="AD114" s="509">
        <f>+X114-W114</f>
        <v/>
      </c>
      <c r="AE114" s="371">
        <f>+AD114/W114</f>
        <v/>
      </c>
      <c r="AF114" s="462" t="n"/>
      <c r="AG114" s="460">
        <f>'Raw financials'!AA201</f>
        <v/>
      </c>
      <c r="AH114" s="460">
        <f>SUM(AH105:AH113)</f>
        <v/>
      </c>
      <c r="AI114" s="460">
        <f>'Raw financials'!AB201</f>
        <v/>
      </c>
      <c r="AJ114" s="460">
        <f>SUM(AJ105:AJ113)</f>
        <v/>
      </c>
      <c r="AK114" s="460">
        <f>'Raw financials'!AC201</f>
        <v/>
      </c>
      <c r="AL114" s="460">
        <f>SUM(AL105:AL113)</f>
        <v/>
      </c>
      <c r="AM114" s="460">
        <f>'Raw financials'!AD201</f>
        <v/>
      </c>
      <c r="AN114" s="460">
        <f>SUM(AN105:AN113)</f>
        <v/>
      </c>
      <c r="AO114" s="460">
        <f>'Raw financials'!AE201</f>
        <v/>
      </c>
      <c r="AP114" s="460">
        <f>SUM(AP105:AP113)</f>
        <v/>
      </c>
      <c r="AQ114" s="460">
        <f>'Raw financials'!AF201</f>
        <v/>
      </c>
      <c r="AR114" s="460">
        <f>SUM(AR105:AR113)</f>
        <v/>
      </c>
      <c r="AS114" s="460">
        <f>'Raw financials'!AG201</f>
        <v/>
      </c>
      <c r="AT114" s="460">
        <f>SUM(AT105:AT113)</f>
        <v/>
      </c>
      <c r="AU114" s="460">
        <f>'Raw financials'!AH201</f>
        <v/>
      </c>
      <c r="AV114" s="460">
        <f>SUM(AV105:AV113)</f>
        <v/>
      </c>
      <c r="AW114" s="460">
        <f>'Raw financials'!AI201</f>
        <v/>
      </c>
      <c r="AX114" s="460">
        <f>SUM(AX105:AX113)</f>
        <v/>
      </c>
      <c r="AY114" s="460">
        <f>'Raw financials'!AJ201</f>
        <v/>
      </c>
      <c r="AZ114" s="460">
        <f>SUM(AZ105:AZ113)</f>
        <v/>
      </c>
      <c r="BA114" s="460">
        <f>'Raw financials'!AK201</f>
        <v/>
      </c>
      <c r="BB114" s="460">
        <f>SUM(BB105:BB113)</f>
        <v/>
      </c>
      <c r="BC114" s="460">
        <f>'Raw financials'!AL201</f>
        <v/>
      </c>
      <c r="BD114" s="460">
        <f>SUM(BD105:BD113)</f>
        <v/>
      </c>
      <c r="BE114" s="460">
        <f>'Raw financials'!AM201</f>
        <v/>
      </c>
      <c r="BF114" s="460">
        <f>SUM(BF105:BF113)</f>
        <v/>
      </c>
      <c r="BG114" s="460">
        <f>'Raw financials'!AN201</f>
        <v/>
      </c>
      <c r="BH114" s="460">
        <f>SUM(BH105:BH113)</f>
        <v/>
      </c>
      <c r="BI114" s="460">
        <f>'Raw financials'!AO201</f>
        <v/>
      </c>
      <c r="BJ114" s="460">
        <f>SUM(BJ105:BJ113)</f>
        <v/>
      </c>
      <c r="BK114" s="460">
        <f>'Raw financials'!AP201</f>
        <v/>
      </c>
      <c r="BL114" s="460">
        <f>SUM(BL105:BL113)</f>
        <v/>
      </c>
      <c r="BM114" s="460">
        <f>'Raw financials'!AQ201</f>
        <v/>
      </c>
      <c r="BN114" s="460">
        <f>SUM(BN105:BN113)</f>
        <v/>
      </c>
      <c r="BO114" s="460">
        <f>'Raw financials'!AR201</f>
        <v/>
      </c>
      <c r="BP114" s="460">
        <f>SUM(BP105:BP113)</f>
        <v/>
      </c>
      <c r="BQ114" s="460">
        <f>'Raw financials'!AS201</f>
        <v/>
      </c>
      <c r="BR114" s="460">
        <f>SUM(BR105:BR113)</f>
        <v/>
      </c>
      <c r="BS114" s="460" t="n"/>
      <c r="BT114" s="460">
        <f>SUM(BT105:BT113)</f>
        <v/>
      </c>
      <c r="BU114" s="510">
        <f>BT114-BR114</f>
        <v/>
      </c>
      <c r="BV114" s="383">
        <f>BU114/BR114</f>
        <v/>
      </c>
      <c r="BW114" s="383">
        <f>+BT114/T114</f>
        <v/>
      </c>
      <c r="BX114" s="383">
        <f>+BT114/U114</f>
        <v/>
      </c>
      <c r="BZ114" s="460">
        <f>'Raw financials'!BN201</f>
        <v/>
      </c>
      <c r="CA114" s="460">
        <f>'Raw financials'!BO201</f>
        <v/>
      </c>
      <c r="CB114" s="460">
        <f>'Raw financials'!BP201</f>
        <v/>
      </c>
      <c r="CC114" s="460" t="n"/>
      <c r="CD114" s="460">
        <f>'Raw financials'!BR201</f>
        <v/>
      </c>
      <c r="CE114" s="460" t="n"/>
      <c r="CF114" s="460">
        <f>'Raw financials'!BT201</f>
        <v/>
      </c>
      <c r="CG114" s="460" t="n"/>
      <c r="CH114" s="460">
        <f>'Raw financials'!BV201</f>
        <v/>
      </c>
      <c r="CI114" s="460" t="n"/>
      <c r="CJ114" s="460">
        <f>'Raw financials'!BX201</f>
        <v/>
      </c>
      <c r="CK114" s="460" t="n"/>
      <c r="CL114" s="460">
        <f>'Raw financials'!BZ201</f>
        <v/>
      </c>
      <c r="CM114" s="460" t="n"/>
      <c r="CN114" s="460">
        <f>'Raw financials'!CB201</f>
        <v/>
      </c>
      <c r="CO114" s="460" t="n"/>
      <c r="CP114" s="460">
        <f>'Raw financials'!CD201</f>
        <v/>
      </c>
      <c r="CQ114" s="460" t="n"/>
      <c r="CR114" s="460">
        <f>'Raw financials'!CF201</f>
        <v/>
      </c>
      <c r="CS114" s="460" t="n"/>
      <c r="CT114" s="460">
        <f>'Raw financials'!CH201</f>
        <v/>
      </c>
      <c r="CU114" s="460" t="n"/>
      <c r="CV114" s="460">
        <f>'Raw financials'!CJ201</f>
        <v/>
      </c>
      <c r="CW114" s="460" t="n"/>
      <c r="CX114" s="460">
        <f>'Raw financials'!CL201</f>
        <v/>
      </c>
      <c r="CY114" s="460" t="n"/>
      <c r="CZ114" s="460">
        <f>'Raw financials'!CN201</f>
        <v/>
      </c>
      <c r="DA114" s="460" t="n"/>
      <c r="DB114" s="460">
        <f>'Raw financials'!CP201</f>
        <v/>
      </c>
      <c r="DC114" s="460" t="n"/>
      <c r="DD114" s="460">
        <f>'Raw financials'!CR201</f>
        <v/>
      </c>
      <c r="DE114" s="460" t="n"/>
      <c r="DF114" s="460">
        <f>'Raw financials'!CT201</f>
        <v/>
      </c>
      <c r="DG114" s="460" t="n"/>
      <c r="DH114" s="460">
        <f>'Raw financials'!CV201</f>
        <v/>
      </c>
      <c r="DI114" s="460" t="n"/>
      <c r="DJ114" s="460">
        <f>'Raw financials'!CX201</f>
        <v/>
      </c>
      <c r="DK114" s="460" t="n"/>
      <c r="DL114" s="460">
        <f>'Raw financials'!CZ201</f>
        <v/>
      </c>
      <c r="DM114" s="460" t="n"/>
      <c r="DN114" s="460">
        <f>'Raw financials'!DB201</f>
        <v/>
      </c>
      <c r="DO114" s="460" t="n"/>
      <c r="DP114" s="460">
        <f>'Raw financials'!DD201</f>
        <v/>
      </c>
      <c r="DQ114" s="460" t="n"/>
      <c r="DR114" s="460">
        <f>'Raw financials'!DF201</f>
        <v/>
      </c>
      <c r="DS114" s="460" t="n"/>
      <c r="DT114" s="460">
        <f>'Raw financials'!DH201</f>
        <v/>
      </c>
      <c r="DU114" s="460" t="n"/>
      <c r="DV114" s="460">
        <f>'Raw financials'!DJ201</f>
        <v/>
      </c>
      <c r="DW114" s="460" t="n"/>
      <c r="DX114" s="460">
        <f>'Raw financials'!DL201</f>
        <v/>
      </c>
      <c r="DY114" s="460" t="n"/>
      <c r="DZ114" s="460">
        <f>'Raw financials'!DN201</f>
        <v/>
      </c>
      <c r="EA114" s="460" t="n"/>
      <c r="EB114" s="460">
        <f>'Raw financials'!DP201</f>
        <v/>
      </c>
      <c r="EC114" s="460" t="n"/>
      <c r="ED114" s="460">
        <f>'Raw financials'!DR201</f>
        <v/>
      </c>
      <c r="EE114" s="460" t="n"/>
      <c r="EF114" s="460">
        <f>'Raw financials'!DT201</f>
        <v/>
      </c>
      <c r="EG114" s="460" t="n"/>
      <c r="EH114" s="460">
        <f>'Raw financials'!DV201</f>
        <v/>
      </c>
      <c r="EI114" s="460" t="n"/>
      <c r="EJ114" s="460">
        <f>'Raw financials'!DX201</f>
        <v/>
      </c>
      <c r="EK114" s="460" t="n"/>
      <c r="EL114" s="460">
        <f>'Raw financials'!DZ201</f>
        <v/>
      </c>
      <c r="EM114" s="460" t="n"/>
      <c r="EN114" s="460">
        <f>'Raw financials'!EB201</f>
        <v/>
      </c>
      <c r="EO114" s="460" t="n"/>
      <c r="EP114" s="460">
        <f>'Raw financials'!ED201</f>
        <v/>
      </c>
      <c r="EQ114" s="460" t="n"/>
      <c r="ER114" s="460">
        <f>'Raw financials'!EF201</f>
        <v/>
      </c>
      <c r="ES114" s="460" t="n"/>
      <c r="ET114" s="460">
        <f>'Raw financials'!EH201</f>
        <v/>
      </c>
      <c r="EU114" s="460">
        <f>SUM(EU105:EU113)</f>
        <v/>
      </c>
      <c r="EV114" s="460">
        <f>'Raw financials'!EJ201</f>
        <v/>
      </c>
      <c r="EW114" s="460">
        <f>'Raw financials'!EK201</f>
        <v/>
      </c>
      <c r="EX114" s="460">
        <f>'Raw financials'!EL201</f>
        <v/>
      </c>
      <c r="EY114" s="460">
        <f>'Raw financials'!EM201</f>
        <v/>
      </c>
      <c r="EZ114" s="524" t="n"/>
      <c r="FA114" s="524" t="n"/>
      <c r="FB114" s="452">
        <f>+FA114-EW114</f>
        <v/>
      </c>
      <c r="FC114" s="348">
        <f>+FB114/EW114</f>
        <v/>
      </c>
      <c r="FD114" s="348">
        <f>+FA114/T114</f>
        <v/>
      </c>
      <c r="FE114" s="348">
        <f>+FA114/U114</f>
        <v/>
      </c>
    </row>
    <row r="115">
      <c r="B115" s="451" t="n"/>
      <c r="C115" s="451" t="n"/>
      <c r="D115" s="451" t="n"/>
      <c r="E115" s="451" t="n"/>
      <c r="F115" s="451" t="n"/>
      <c r="G115" s="451" t="n"/>
      <c r="H115" s="451" t="n"/>
      <c r="I115" s="451" t="n"/>
      <c r="J115" s="451" t="n"/>
      <c r="K115" s="451" t="n"/>
      <c r="L115" s="451" t="n"/>
      <c r="M115" s="451" t="n"/>
      <c r="N115" s="451" t="n"/>
      <c r="O115" s="451" t="n"/>
      <c r="P115" s="451" t="n"/>
      <c r="Q115" s="451" t="n"/>
      <c r="R115" s="451" t="n"/>
      <c r="S115" s="451" t="n"/>
      <c r="T115" s="451" t="n"/>
      <c r="U115" s="451" t="n"/>
      <c r="V115" s="451" t="n"/>
      <c r="W115" s="451" t="n"/>
      <c r="X115" s="451" t="n"/>
      <c r="Y115" s="451" t="n"/>
      <c r="Z115" s="451" t="n"/>
      <c r="AA115" s="452" t="n"/>
      <c r="AB115" s="348" t="n"/>
      <c r="AC115" s="451" t="n"/>
      <c r="AD115" s="452" t="n"/>
      <c r="AE115" s="348" t="n"/>
      <c r="AF115" s="451" t="n"/>
      <c r="AG115" s="451" t="n"/>
      <c r="AH115" s="451" t="n"/>
      <c r="AI115" s="451" t="n"/>
      <c r="AJ115" s="451" t="n"/>
      <c r="AK115" s="451" t="n"/>
      <c r="AL115" s="451" t="n"/>
      <c r="AM115" s="451" t="n"/>
      <c r="AN115" s="451" t="n"/>
      <c r="AO115" s="451" t="n"/>
      <c r="AP115" s="451" t="n"/>
      <c r="AQ115" s="451" t="n"/>
      <c r="AR115" s="451" t="n"/>
      <c r="AS115" s="451" t="n"/>
      <c r="AT115" s="451" t="n"/>
      <c r="AU115" s="451" t="n"/>
      <c r="AV115" s="451" t="n"/>
      <c r="AW115" s="451" t="n"/>
      <c r="AX115" s="451" t="n"/>
      <c r="AY115" s="451" t="n"/>
      <c r="AZ115" s="451" t="n"/>
      <c r="BA115" s="451" t="n"/>
      <c r="BB115" s="451" t="n"/>
      <c r="BC115" s="451" t="n"/>
      <c r="BD115" s="451" t="n"/>
      <c r="BE115" s="451" t="n"/>
      <c r="BF115" s="451" t="n"/>
      <c r="BG115" s="451" t="n"/>
      <c r="BH115" s="451" t="n"/>
      <c r="BI115" s="451" t="n"/>
      <c r="BJ115" s="451" t="n"/>
      <c r="BK115" s="451" t="n"/>
      <c r="BL115" s="451" t="n"/>
      <c r="BM115" s="451" t="n"/>
      <c r="BN115" s="451" t="n"/>
      <c r="BO115" s="451" t="n"/>
      <c r="BP115" s="451" t="n"/>
      <c r="BQ115" s="451" t="n"/>
      <c r="BR115" s="451" t="n"/>
      <c r="BS115" s="451" t="n"/>
      <c r="BT115" s="451" t="n"/>
      <c r="BU115" s="489" t="n"/>
      <c r="BV115" s="384" t="n"/>
      <c r="BW115" s="384" t="n"/>
      <c r="BX115" s="384" t="n"/>
      <c r="EZ115" s="404" t="n"/>
      <c r="FA115" s="404" t="n"/>
      <c r="FB115" s="452" t="n"/>
      <c r="FC115" s="348" t="n"/>
      <c r="FD115" s="348" t="n"/>
      <c r="FE115" s="348" t="n"/>
    </row>
    <row r="116">
      <c r="A116" s="6" t="inlineStr">
        <is>
          <t>Cash inflow/(outflow) from investment</t>
        </is>
      </c>
      <c r="B116" s="451">
        <f>SUM('Raw financials'!B203,'Raw financials'!B204,-'Raw financials'!B212)</f>
        <v/>
      </c>
      <c r="C116" s="451">
        <f>SUM('Raw financials'!C203,'Raw financials'!C204,-'Raw financials'!C212)</f>
        <v/>
      </c>
      <c r="D116" s="451">
        <f>SUM('Raw financials'!D203,'Raw financials'!D204,-'Raw financials'!D212)</f>
        <v/>
      </c>
      <c r="E116" s="451">
        <f>SUM('Raw financials'!E203,'Raw financials'!E204,-'Raw financials'!E212)</f>
        <v/>
      </c>
      <c r="F116" s="451">
        <f>SUM('Raw financials'!F203,'Raw financials'!F204,-'Raw financials'!F212)</f>
        <v/>
      </c>
      <c r="G116" s="451">
        <f>SUM('Raw financials'!G203,'Raw financials'!G204,-'Raw financials'!G212)</f>
        <v/>
      </c>
      <c r="H116" s="451">
        <f>SUM('Raw financials'!H203,'Raw financials'!H204,-'Raw financials'!H212)</f>
        <v/>
      </c>
      <c r="I116" s="451">
        <f>SUM('Raw financials'!I203,'Raw financials'!I204,-'Raw financials'!I212)</f>
        <v/>
      </c>
      <c r="J116" s="451">
        <f>SUM('Raw financials'!J203,'Raw financials'!J204,-'Raw financials'!J212)</f>
        <v/>
      </c>
      <c r="K116" s="451">
        <f>SUM('Raw financials'!K203,'Raw financials'!K204,-'Raw financials'!K212)</f>
        <v/>
      </c>
      <c r="L116" s="451">
        <f>SUM('Raw financials'!L203,'Raw financials'!L204,-'Raw financials'!L212)</f>
        <v/>
      </c>
      <c r="M116" s="451">
        <f>SUM('Raw financials'!M203,'Raw financials'!M204,-'Raw financials'!M212)</f>
        <v/>
      </c>
      <c r="N116" s="451">
        <f>SUM('Raw financials'!N203,'Raw financials'!N204,-'Raw financials'!N212)</f>
        <v/>
      </c>
      <c r="O116" s="451">
        <f>SUM('Raw financials'!O203,'Raw financials'!O204,-'Raw financials'!O212)</f>
        <v/>
      </c>
      <c r="P116" s="451">
        <f>SUM('Raw financials'!P203,'Raw financials'!P204,-'Raw financials'!P212)</f>
        <v/>
      </c>
      <c r="Q116" s="451">
        <f>SUM('Raw financials'!Q203,'Raw financials'!Q204,-'Raw financials'!Q212)</f>
        <v/>
      </c>
      <c r="R116" s="451">
        <f>SUM('Raw financials'!R203,'Raw financials'!R204,-'Raw financials'!R212)</f>
        <v/>
      </c>
      <c r="S116" s="451">
        <f>SUM('Raw financials'!S203,'Raw financials'!S204,-'Raw financials'!S212)</f>
        <v/>
      </c>
      <c r="T116" s="451">
        <f>SUM('Raw financials'!T203,'Raw financials'!T204,-'Raw financials'!T212)</f>
        <v/>
      </c>
      <c r="U116" s="459">
        <f>-U111</f>
        <v/>
      </c>
      <c r="V116" s="459">
        <f>-V111</f>
        <v/>
      </c>
      <c r="W116" s="459">
        <f>-W111</f>
        <v/>
      </c>
      <c r="X116" s="459">
        <f>-X111</f>
        <v/>
      </c>
      <c r="Y116" s="459">
        <f>-Y111</f>
        <v/>
      </c>
      <c r="Z116" s="459">
        <f>-Z111</f>
        <v/>
      </c>
      <c r="AA116" s="452">
        <f>+U116-T116</f>
        <v/>
      </c>
      <c r="AB116" s="348">
        <f>+AA116/T116</f>
        <v/>
      </c>
      <c r="AC116" s="459" t="n">
        <v>1577.06</v>
      </c>
      <c r="AD116" s="452">
        <f>+X116-W116</f>
        <v/>
      </c>
      <c r="AE116" s="348">
        <f>+AD116/W116</f>
        <v/>
      </c>
      <c r="AF116" s="459" t="n"/>
      <c r="AG116" s="451">
        <f>SUM('Raw financials'!AA203,'Raw financials'!AA204,-'Raw financials'!AA212)</f>
        <v/>
      </c>
      <c r="AH116" s="451">
        <f>+B116-AG116</f>
        <v/>
      </c>
      <c r="AI116" s="451">
        <f>SUM('Raw financials'!AB203,'Raw financials'!AB204,-'Raw financials'!AB212)</f>
        <v/>
      </c>
      <c r="AJ116" s="451">
        <f>+C116-AI116</f>
        <v/>
      </c>
      <c r="AK116" s="451">
        <f>SUM('Raw financials'!AC203,'Raw financials'!AC204,-'Raw financials'!AC212)</f>
        <v/>
      </c>
      <c r="AL116" s="451">
        <f>+D116-AK116</f>
        <v/>
      </c>
      <c r="AM116" s="451">
        <f>SUM('Raw financials'!AD203,'Raw financials'!AD204,-'Raw financials'!AD212)</f>
        <v/>
      </c>
      <c r="AN116" s="451">
        <f>+E116-AM116</f>
        <v/>
      </c>
      <c r="AO116" s="451">
        <f>SUM('Raw financials'!AE203,'Raw financials'!AE204,-'Raw financials'!AE212)</f>
        <v/>
      </c>
      <c r="AP116" s="451">
        <f>+F116-AO116</f>
        <v/>
      </c>
      <c r="AQ116" s="451">
        <f>SUM('Raw financials'!AF203,'Raw financials'!AF204,-'Raw financials'!AF212)</f>
        <v/>
      </c>
      <c r="AR116" s="451">
        <f>+G116-AQ116</f>
        <v/>
      </c>
      <c r="AS116" s="451">
        <f>SUM('Raw financials'!AG203,'Raw financials'!AG204,-'Raw financials'!AG212)</f>
        <v/>
      </c>
      <c r="AT116" s="451">
        <f>+H116-AS116</f>
        <v/>
      </c>
      <c r="AU116" s="451">
        <f>SUM('Raw financials'!AH203,'Raw financials'!AH204,-'Raw financials'!AH212)</f>
        <v/>
      </c>
      <c r="AV116" s="451">
        <f>+I116-AU116</f>
        <v/>
      </c>
      <c r="AW116" s="451">
        <f>SUM('Raw financials'!AI203,'Raw financials'!AI204,-'Raw financials'!AI212)</f>
        <v/>
      </c>
      <c r="AX116" s="451">
        <f>+J116-AW116</f>
        <v/>
      </c>
      <c r="AY116" s="451">
        <f>SUM('Raw financials'!AJ203,'Raw financials'!AJ204,-'Raw financials'!AJ212)</f>
        <v/>
      </c>
      <c r="AZ116" s="451">
        <f>+K116-AY116</f>
        <v/>
      </c>
      <c r="BA116" s="451">
        <f>SUM('Raw financials'!AK203,'Raw financials'!AK204,-'Raw financials'!AK212)</f>
        <v/>
      </c>
      <c r="BB116" s="451">
        <f>+L116-BA116</f>
        <v/>
      </c>
      <c r="BC116" s="451">
        <f>SUM('Raw financials'!AL203,'Raw financials'!AL204,-'Raw financials'!AL212)</f>
        <v/>
      </c>
      <c r="BD116" s="451">
        <f>+M116-BC116</f>
        <v/>
      </c>
      <c r="BE116" s="451">
        <f>SUM('Raw financials'!AM203,'Raw financials'!AM204,-'Raw financials'!AM212)</f>
        <v/>
      </c>
      <c r="BF116" s="451">
        <f>+N116-BE116</f>
        <v/>
      </c>
      <c r="BG116" s="451">
        <f>SUM('Raw financials'!AN203,'Raw financials'!AN204,-'Raw financials'!AN212)</f>
        <v/>
      </c>
      <c r="BH116" s="451">
        <f>+O116-BG116</f>
        <v/>
      </c>
      <c r="BI116" s="451">
        <f>SUM('Raw financials'!AO203,'Raw financials'!AO204,-'Raw financials'!AO212)</f>
        <v/>
      </c>
      <c r="BJ116" s="451">
        <f>+P116-BI116</f>
        <v/>
      </c>
      <c r="BK116" s="451">
        <f>SUM('Raw financials'!AP203,'Raw financials'!AP204,-'Raw financials'!AP212)</f>
        <v/>
      </c>
      <c r="BL116" s="451">
        <f>+Q116-BK116</f>
        <v/>
      </c>
      <c r="BM116" s="451">
        <f>SUM('Raw financials'!AQ203,'Raw financials'!AQ204,-'Raw financials'!AQ212)</f>
        <v/>
      </c>
      <c r="BN116" s="451">
        <f>+R116-BM116</f>
        <v/>
      </c>
      <c r="BO116" s="451">
        <f>SUM('Raw financials'!AR203,'Raw financials'!AR204,-'Raw financials'!AR212)</f>
        <v/>
      </c>
      <c r="BP116" s="451">
        <f>+S116-BO116</f>
        <v/>
      </c>
      <c r="BQ116" s="451">
        <f>SUM('Raw financials'!AS203,'Raw financials'!AS204,-'Raw financials'!AS212)</f>
        <v/>
      </c>
      <c r="BR116" s="451">
        <f>+T116-BQ116</f>
        <v/>
      </c>
      <c r="BS116" s="451" t="n"/>
      <c r="BT116" s="451">
        <f>+U116-BS116</f>
        <v/>
      </c>
      <c r="BU116" s="489">
        <f>BT116-BR116</f>
        <v/>
      </c>
      <c r="BV116" s="384">
        <f>BU116/BR116</f>
        <v/>
      </c>
      <c r="BW116" s="384">
        <f>+BT116/T116</f>
        <v/>
      </c>
      <c r="BX116" s="384">
        <f>+BT116/U116</f>
        <v/>
      </c>
      <c r="BZ116" s="451">
        <f>SUM('Raw financials'!BN203,'Raw financials'!BN204,-'Raw financials'!BN212)</f>
        <v/>
      </c>
      <c r="CA116" s="451">
        <f>SUM('Raw financials'!BO203,'Raw financials'!BO204,-'Raw financials'!BO212)</f>
        <v/>
      </c>
      <c r="CB116" s="451">
        <f>SUM('Raw financials'!BP203,'Raw financials'!BP204,-'Raw financials'!BP212)</f>
        <v/>
      </c>
      <c r="CC116" s="451" t="n"/>
      <c r="CD116" s="451">
        <f>SUM('Raw financials'!BR203,'Raw financials'!BR204,-'Raw financials'!BR212)</f>
        <v/>
      </c>
      <c r="CE116" s="451" t="n"/>
      <c r="CF116" s="451">
        <f>SUM('Raw financials'!BT203,'Raw financials'!BT204,-'Raw financials'!BT212)</f>
        <v/>
      </c>
      <c r="CG116" s="451" t="n"/>
      <c r="CH116" s="451">
        <f>SUM('Raw financials'!BV203,'Raw financials'!BV204,-'Raw financials'!BV212)</f>
        <v/>
      </c>
      <c r="CI116" s="451" t="n"/>
      <c r="CJ116" s="451">
        <f>SUM('Raw financials'!BX203,'Raw financials'!BX204,-'Raw financials'!BX212)</f>
        <v/>
      </c>
      <c r="CK116" s="451" t="n"/>
      <c r="CL116" s="451">
        <f>SUM('Raw financials'!BZ203,'Raw financials'!BZ204,-'Raw financials'!BZ212)</f>
        <v/>
      </c>
      <c r="CM116" s="451" t="n"/>
      <c r="CN116" s="451">
        <f>SUM('Raw financials'!CB203,'Raw financials'!CB204,-'Raw financials'!CB212)</f>
        <v/>
      </c>
      <c r="CO116" s="451" t="n"/>
      <c r="CP116" s="451">
        <f>SUM('Raw financials'!CD203,'Raw financials'!CD204,-'Raw financials'!CD212)</f>
        <v/>
      </c>
      <c r="CQ116" s="451" t="n"/>
      <c r="CR116" s="451">
        <f>SUM('Raw financials'!CF203,'Raw financials'!CF204,-'Raw financials'!CF212)</f>
        <v/>
      </c>
      <c r="CS116" s="451" t="n"/>
      <c r="CT116" s="451">
        <f>SUM('Raw financials'!CH203,'Raw financials'!CH204,-'Raw financials'!CH212)</f>
        <v/>
      </c>
      <c r="CU116" s="451" t="n"/>
      <c r="CV116" s="451">
        <f>SUM('Raw financials'!CJ203,'Raw financials'!CJ204,-'Raw financials'!CJ212)</f>
        <v/>
      </c>
      <c r="CW116" s="451" t="n"/>
      <c r="CX116" s="451">
        <f>SUM('Raw financials'!CL203,'Raw financials'!CL204,-'Raw financials'!CL212)</f>
        <v/>
      </c>
      <c r="CY116" s="451" t="n"/>
      <c r="CZ116" s="451">
        <f>SUM('Raw financials'!CN203,'Raw financials'!CN204,-'Raw financials'!CN212)</f>
        <v/>
      </c>
      <c r="DA116" s="451" t="n"/>
      <c r="DB116" s="451">
        <f>SUM('Raw financials'!CP203,'Raw financials'!CP204,-'Raw financials'!CP212)</f>
        <v/>
      </c>
      <c r="DC116" s="451" t="n"/>
      <c r="DD116" s="451">
        <f>SUM('Raw financials'!CR203,'Raw financials'!CR204,-'Raw financials'!CR212)</f>
        <v/>
      </c>
      <c r="DE116" s="451" t="n"/>
      <c r="DF116" s="451">
        <f>SUM('Raw financials'!CT203,'Raw financials'!CT204,-'Raw financials'!CT212)</f>
        <v/>
      </c>
      <c r="DG116" s="451" t="n"/>
      <c r="DH116" s="451">
        <f>SUM('Raw financials'!CV203,'Raw financials'!CV204,-'Raw financials'!CV212)</f>
        <v/>
      </c>
      <c r="DI116" s="451" t="n"/>
      <c r="DJ116" s="451">
        <f>SUM('Raw financials'!CX203,'Raw financials'!CX204,-'Raw financials'!CX212)</f>
        <v/>
      </c>
      <c r="DK116" s="451" t="n"/>
      <c r="DL116" s="451">
        <f>SUM('Raw financials'!CZ203,'Raw financials'!CZ204,-'Raw financials'!CZ212)</f>
        <v/>
      </c>
      <c r="DM116" s="451" t="n"/>
      <c r="DN116" s="451">
        <f>SUM('Raw financials'!DB203,'Raw financials'!DB204,-'Raw financials'!DB212)</f>
        <v/>
      </c>
      <c r="DO116" s="451" t="n"/>
      <c r="DP116" s="451">
        <f>SUM('Raw financials'!DD203,'Raw financials'!DD204,-'Raw financials'!DD212)</f>
        <v/>
      </c>
      <c r="DQ116" s="451" t="n"/>
      <c r="DR116" s="451">
        <f>SUM('Raw financials'!DF203,'Raw financials'!DF204,-'Raw financials'!DF212)</f>
        <v/>
      </c>
      <c r="DS116" s="451" t="n"/>
      <c r="DT116" s="451">
        <f>SUM('Raw financials'!DH203,'Raw financials'!DH204,-'Raw financials'!DH212)</f>
        <v/>
      </c>
      <c r="DU116" s="451" t="n"/>
      <c r="DV116" s="451">
        <f>SUM('Raw financials'!DJ203,'Raw financials'!DJ204,-'Raw financials'!DJ212)</f>
        <v/>
      </c>
      <c r="DW116" s="451" t="n"/>
      <c r="DX116" s="451">
        <f>SUM('Raw financials'!DL203,'Raw financials'!DL204,-'Raw financials'!DL212)</f>
        <v/>
      </c>
      <c r="DY116" s="451" t="n"/>
      <c r="DZ116" s="451">
        <f>SUM('Raw financials'!DN203,'Raw financials'!DN204,-'Raw financials'!DN212)</f>
        <v/>
      </c>
      <c r="EA116" s="451" t="n"/>
      <c r="EB116" s="451">
        <f>SUM('Raw financials'!DP203,'Raw financials'!DP204,-'Raw financials'!DP212)</f>
        <v/>
      </c>
      <c r="EC116" s="451" t="n"/>
      <c r="ED116" s="451">
        <f>SUM('Raw financials'!DR203,'Raw financials'!DR204,-'Raw financials'!DR212)</f>
        <v/>
      </c>
      <c r="EE116" s="451" t="n"/>
      <c r="EF116" s="451">
        <f>SUM('Raw financials'!DT203,'Raw financials'!DT204,-'Raw financials'!DT212)</f>
        <v/>
      </c>
      <c r="EG116" s="451" t="n"/>
      <c r="EH116" s="451">
        <f>SUM('Raw financials'!DV203,'Raw financials'!DV204,-'Raw financials'!DV212)</f>
        <v/>
      </c>
      <c r="EI116" s="451" t="n"/>
      <c r="EJ116" s="451">
        <f>SUM('Raw financials'!DX203,'Raw financials'!DX204,-'Raw financials'!DX212)</f>
        <v/>
      </c>
      <c r="EK116" s="451" t="n"/>
      <c r="EL116" s="451">
        <f>SUM('Raw financials'!DZ203,'Raw financials'!DZ204,-'Raw financials'!DZ212)</f>
        <v/>
      </c>
      <c r="EM116" s="451" t="n"/>
      <c r="EN116" s="451">
        <f>SUM('Raw financials'!EB203,'Raw financials'!EB204,-'Raw financials'!EB212)</f>
        <v/>
      </c>
      <c r="EO116" s="451" t="n"/>
      <c r="EP116" s="451">
        <f>SUM('Raw financials'!ED203,'Raw financials'!ED204,-'Raw financials'!ED212)</f>
        <v/>
      </c>
      <c r="EQ116" s="451" t="n"/>
      <c r="ER116" s="451">
        <f>SUM('Raw financials'!EF203,'Raw financials'!EF204,-'Raw financials'!EF212)</f>
        <v/>
      </c>
      <c r="ES116" s="451" t="n"/>
      <c r="ET116" s="451">
        <f>SUM('Raw financials'!EH203,'Raw financials'!EH204,-'Raw financials'!EH212)</f>
        <v/>
      </c>
      <c r="EU116" s="451">
        <f>+BQ116-ET116</f>
        <v/>
      </c>
      <c r="EV116" s="451">
        <f>SUM('Raw financials'!EJ203,'Raw financials'!EJ204,-'Raw financials'!EJ212)</f>
        <v/>
      </c>
      <c r="EW116" s="451">
        <f>SUM('Raw financials'!EK203,'Raw financials'!EK204,-'Raw financials'!EK212)</f>
        <v/>
      </c>
      <c r="EX116" s="451">
        <f>SUM('Raw financials'!EL203,'Raw financials'!EL204,-'Raw financials'!EL212)</f>
        <v/>
      </c>
      <c r="EY116" s="451">
        <f>SUM('Raw financials'!EM203,'Raw financials'!EM204,-'Raw financials'!EM212)</f>
        <v/>
      </c>
      <c r="EZ116" s="521" t="n"/>
      <c r="FA116" s="521" t="n"/>
      <c r="FB116" s="452">
        <f>+FA116-EW116</f>
        <v/>
      </c>
      <c r="FC116" s="348">
        <f>+FB116/EW116</f>
        <v/>
      </c>
      <c r="FD116" s="348">
        <f>+FA116/T116</f>
        <v/>
      </c>
      <c r="FE116" s="348">
        <f>+FA116/U116</f>
        <v/>
      </c>
    </row>
    <row r="117">
      <c r="A117" s="6" t="inlineStr">
        <is>
          <t>CAPEX</t>
        </is>
      </c>
      <c r="B117" s="451">
        <f>-'Raw financials'!B211</f>
        <v/>
      </c>
      <c r="C117" s="451">
        <f>-'Raw financials'!C211</f>
        <v/>
      </c>
      <c r="D117" s="451">
        <f>-'Raw financials'!D211</f>
        <v/>
      </c>
      <c r="E117" s="451">
        <f>-'Raw financials'!E211</f>
        <v/>
      </c>
      <c r="F117" s="451">
        <f>-'Raw financials'!F211</f>
        <v/>
      </c>
      <c r="G117" s="451">
        <f>-'Raw financials'!G211</f>
        <v/>
      </c>
      <c r="H117" s="451">
        <f>-'Raw financials'!H211</f>
        <v/>
      </c>
      <c r="I117" s="451">
        <f>-'Raw financials'!I211</f>
        <v/>
      </c>
      <c r="J117" s="451">
        <f>-'Raw financials'!J211</f>
        <v/>
      </c>
      <c r="K117" s="451">
        <f>-'Raw financials'!K211</f>
        <v/>
      </c>
      <c r="L117" s="451">
        <f>-'Raw financials'!L211</f>
        <v/>
      </c>
      <c r="M117" s="451">
        <f>-'Raw financials'!M211</f>
        <v/>
      </c>
      <c r="N117" s="451">
        <f>-'Raw financials'!N211</f>
        <v/>
      </c>
      <c r="O117" s="451">
        <f>-'Raw financials'!O211</f>
        <v/>
      </c>
      <c r="P117" s="451">
        <f>-'Raw financials'!P211</f>
        <v/>
      </c>
      <c r="Q117" s="451">
        <f>-'Raw financials'!Q211</f>
        <v/>
      </c>
      <c r="R117" s="451">
        <f>-'Raw financials'!R211</f>
        <v/>
      </c>
      <c r="S117" s="451">
        <f>-'Raw financials'!S211</f>
        <v/>
      </c>
      <c r="T117" s="451">
        <f>-'Raw financials'!T211</f>
        <v/>
      </c>
      <c r="U117" s="451">
        <f>-Driver!J124</f>
        <v/>
      </c>
      <c r="V117" s="451">
        <f>-Driver!K124</f>
        <v/>
      </c>
      <c r="W117" s="451">
        <f>-Driver!L124</f>
        <v/>
      </c>
      <c r="X117" s="451">
        <f>-Driver!M124</f>
        <v/>
      </c>
      <c r="Y117" s="451">
        <f>-Driver!N124</f>
        <v/>
      </c>
      <c r="Z117" s="451">
        <f>-Driver!O124</f>
        <v/>
      </c>
      <c r="AA117" s="452">
        <f>+U117-T117</f>
        <v/>
      </c>
      <c r="AB117" s="348">
        <f>+AA117/T117</f>
        <v/>
      </c>
      <c r="AC117" s="451" t="n">
        <v>-3795.882106794612</v>
      </c>
      <c r="AD117" s="452">
        <f>+X117-W117</f>
        <v/>
      </c>
      <c r="AE117" s="348">
        <f>+AD117/W117</f>
        <v/>
      </c>
      <c r="AF117" s="451" t="n"/>
      <c r="AG117" s="451">
        <f>-'Raw financials'!AA211</f>
        <v/>
      </c>
      <c r="AH117" s="451">
        <f>+B117-AG117</f>
        <v/>
      </c>
      <c r="AI117" s="451">
        <f>-'Raw financials'!AB211</f>
        <v/>
      </c>
      <c r="AJ117" s="451">
        <f>+C117-AI117</f>
        <v/>
      </c>
      <c r="AK117" s="451">
        <f>-'Raw financials'!AC211</f>
        <v/>
      </c>
      <c r="AL117" s="451">
        <f>+D117-AK117</f>
        <v/>
      </c>
      <c r="AM117" s="451">
        <f>-'Raw financials'!AD211</f>
        <v/>
      </c>
      <c r="AN117" s="451">
        <f>+E117-AM117</f>
        <v/>
      </c>
      <c r="AO117" s="451">
        <f>-'Raw financials'!AE211</f>
        <v/>
      </c>
      <c r="AP117" s="451">
        <f>+F117-AO117</f>
        <v/>
      </c>
      <c r="AQ117" s="451">
        <f>-'Raw financials'!AF211</f>
        <v/>
      </c>
      <c r="AR117" s="451">
        <f>+G117-AQ117</f>
        <v/>
      </c>
      <c r="AS117" s="451">
        <f>-'Raw financials'!AG211</f>
        <v/>
      </c>
      <c r="AT117" s="451">
        <f>+H117-AS117</f>
        <v/>
      </c>
      <c r="AU117" s="451">
        <f>-'Raw financials'!AH211</f>
        <v/>
      </c>
      <c r="AV117" s="451">
        <f>+I117-AU117</f>
        <v/>
      </c>
      <c r="AW117" s="451">
        <f>-'Raw financials'!AI211</f>
        <v/>
      </c>
      <c r="AX117" s="451">
        <f>+J117-AW117</f>
        <v/>
      </c>
      <c r="AY117" s="451">
        <f>-'Raw financials'!AJ211</f>
        <v/>
      </c>
      <c r="AZ117" s="451">
        <f>+K117-AY117</f>
        <v/>
      </c>
      <c r="BA117" s="451">
        <f>-'Raw financials'!AK211</f>
        <v/>
      </c>
      <c r="BB117" s="451">
        <f>+L117-BA117</f>
        <v/>
      </c>
      <c r="BC117" s="451">
        <f>-'Raw financials'!AL211</f>
        <v/>
      </c>
      <c r="BD117" s="451">
        <f>+M117-BC117</f>
        <v/>
      </c>
      <c r="BE117" s="451">
        <f>-'Raw financials'!AM211</f>
        <v/>
      </c>
      <c r="BF117" s="451">
        <f>+N117-BE117</f>
        <v/>
      </c>
      <c r="BG117" s="451">
        <f>-'Raw financials'!AN211</f>
        <v/>
      </c>
      <c r="BH117" s="451">
        <f>+O117-BG117</f>
        <v/>
      </c>
      <c r="BI117" s="451">
        <f>-'Raw financials'!AO211</f>
        <v/>
      </c>
      <c r="BJ117" s="451">
        <f>+P117-BI117</f>
        <v/>
      </c>
      <c r="BK117" s="451">
        <f>-'Raw financials'!AP211</f>
        <v/>
      </c>
      <c r="BL117" s="451">
        <f>+Q117-BK117</f>
        <v/>
      </c>
      <c r="BM117" s="451">
        <f>-'Raw financials'!AQ211</f>
        <v/>
      </c>
      <c r="BN117" s="451">
        <f>+R117-BM117</f>
        <v/>
      </c>
      <c r="BO117" s="451">
        <f>-'Raw financials'!AR211</f>
        <v/>
      </c>
      <c r="BP117" s="451">
        <f>+S117-BO117</f>
        <v/>
      </c>
      <c r="BQ117" s="451">
        <f>-'Raw financials'!AS211</f>
        <v/>
      </c>
      <c r="BR117" s="451">
        <f>+T117-BQ117</f>
        <v/>
      </c>
      <c r="BS117" s="451" t="n"/>
      <c r="BT117" s="451">
        <f>+U117-BS117</f>
        <v/>
      </c>
      <c r="BU117" s="489">
        <f>BT117-BR117</f>
        <v/>
      </c>
      <c r="BV117" s="384">
        <f>BU117/BR117</f>
        <v/>
      </c>
      <c r="BW117" s="384">
        <f>+BT117/T117</f>
        <v/>
      </c>
      <c r="BX117" s="384">
        <f>+BT117/U117</f>
        <v/>
      </c>
      <c r="BZ117" s="451">
        <f>-'Raw financials'!BN211</f>
        <v/>
      </c>
      <c r="CA117" s="451">
        <f>-'Raw financials'!BO211</f>
        <v/>
      </c>
      <c r="CB117" s="451">
        <f>-'Raw financials'!BP211</f>
        <v/>
      </c>
      <c r="CC117" s="451" t="n"/>
      <c r="CD117" s="451">
        <f>-'Raw financials'!BR211</f>
        <v/>
      </c>
      <c r="CE117" s="451" t="n"/>
      <c r="CF117" s="451">
        <f>-'Raw financials'!BT211</f>
        <v/>
      </c>
      <c r="CG117" s="451" t="n"/>
      <c r="CH117" s="451">
        <f>-'Raw financials'!BV211</f>
        <v/>
      </c>
      <c r="CI117" s="451" t="n"/>
      <c r="CJ117" s="451">
        <f>-'Raw financials'!BX211</f>
        <v/>
      </c>
      <c r="CK117" s="451" t="n"/>
      <c r="CL117" s="451">
        <f>-'Raw financials'!BZ211</f>
        <v/>
      </c>
      <c r="CM117" s="451" t="n"/>
      <c r="CN117" s="451">
        <f>-'Raw financials'!CB211</f>
        <v/>
      </c>
      <c r="CO117" s="451" t="n"/>
      <c r="CP117" s="451">
        <f>-'Raw financials'!CD211</f>
        <v/>
      </c>
      <c r="CQ117" s="451" t="n"/>
      <c r="CR117" s="451">
        <f>-'Raw financials'!CF211</f>
        <v/>
      </c>
      <c r="CS117" s="451" t="n"/>
      <c r="CT117" s="451">
        <f>-'Raw financials'!CH211</f>
        <v/>
      </c>
      <c r="CU117" s="451" t="n"/>
      <c r="CV117" s="451">
        <f>-'Raw financials'!CJ211</f>
        <v/>
      </c>
      <c r="CW117" s="451" t="n"/>
      <c r="CX117" s="451">
        <f>-'Raw financials'!CL211</f>
        <v/>
      </c>
      <c r="CY117" s="451" t="n"/>
      <c r="CZ117" s="451">
        <f>-'Raw financials'!CN211</f>
        <v/>
      </c>
      <c r="DA117" s="451" t="n"/>
      <c r="DB117" s="451">
        <f>-'Raw financials'!CP211</f>
        <v/>
      </c>
      <c r="DC117" s="451" t="n"/>
      <c r="DD117" s="451">
        <f>-'Raw financials'!CR211</f>
        <v/>
      </c>
      <c r="DE117" s="451" t="n"/>
      <c r="DF117" s="451">
        <f>-'Raw financials'!CT211</f>
        <v/>
      </c>
      <c r="DG117" s="451" t="n"/>
      <c r="DH117" s="451">
        <f>-'Raw financials'!CV211</f>
        <v/>
      </c>
      <c r="DI117" s="451" t="n"/>
      <c r="DJ117" s="451">
        <f>-'Raw financials'!CX211</f>
        <v/>
      </c>
      <c r="DK117" s="451" t="n"/>
      <c r="DL117" s="451">
        <f>-'Raw financials'!CZ211</f>
        <v/>
      </c>
      <c r="DM117" s="451" t="n"/>
      <c r="DN117" s="451">
        <f>-'Raw financials'!DB211</f>
        <v/>
      </c>
      <c r="DO117" s="451" t="n"/>
      <c r="DP117" s="451">
        <f>-'Raw financials'!DD211</f>
        <v/>
      </c>
      <c r="DQ117" s="451" t="n"/>
      <c r="DR117" s="451">
        <f>-'Raw financials'!DF211</f>
        <v/>
      </c>
      <c r="DS117" s="451" t="n"/>
      <c r="DT117" s="451">
        <f>-'Raw financials'!DH211</f>
        <v/>
      </c>
      <c r="DU117" s="451" t="n"/>
      <c r="DV117" s="451">
        <f>-'Raw financials'!DJ211</f>
        <v/>
      </c>
      <c r="DW117" s="451" t="n"/>
      <c r="DX117" s="451">
        <f>-'Raw financials'!DL211</f>
        <v/>
      </c>
      <c r="DY117" s="451" t="n"/>
      <c r="DZ117" s="451">
        <f>-'Raw financials'!DN211</f>
        <v/>
      </c>
      <c r="EA117" s="451" t="n"/>
      <c r="EB117" s="451">
        <f>-'Raw financials'!DP211</f>
        <v/>
      </c>
      <c r="EC117" s="451" t="n"/>
      <c r="ED117" s="451">
        <f>-'Raw financials'!DR211</f>
        <v/>
      </c>
      <c r="EE117" s="451" t="n"/>
      <c r="EF117" s="451">
        <f>-'Raw financials'!DT211</f>
        <v/>
      </c>
      <c r="EG117" s="451" t="n"/>
      <c r="EH117" s="451">
        <f>-'Raw financials'!DV211</f>
        <v/>
      </c>
      <c r="EI117" s="451" t="n"/>
      <c r="EJ117" s="451">
        <f>-'Raw financials'!DX211</f>
        <v/>
      </c>
      <c r="EK117" s="451" t="n"/>
      <c r="EL117" s="451">
        <f>-'Raw financials'!DZ211</f>
        <v/>
      </c>
      <c r="EM117" s="451" t="n"/>
      <c r="EN117" s="451">
        <f>-'Raw financials'!EB211</f>
        <v/>
      </c>
      <c r="EO117" s="451" t="n"/>
      <c r="EP117" s="451">
        <f>-'Raw financials'!ED211</f>
        <v/>
      </c>
      <c r="EQ117" s="451" t="n"/>
      <c r="ER117" s="451">
        <f>-'Raw financials'!EF211</f>
        <v/>
      </c>
      <c r="ES117" s="451" t="n"/>
      <c r="ET117" s="451">
        <f>-'Raw financials'!EH211</f>
        <v/>
      </c>
      <c r="EU117" s="451">
        <f>+BQ117-ET117</f>
        <v/>
      </c>
      <c r="EV117" s="451">
        <f>-'Raw financials'!EJ211</f>
        <v/>
      </c>
      <c r="EW117" s="451">
        <f>-'Raw financials'!EK211</f>
        <v/>
      </c>
      <c r="EX117" s="451">
        <f>-'Raw financials'!EL211</f>
        <v/>
      </c>
      <c r="EY117" s="451">
        <f>-'Raw financials'!EM211</f>
        <v/>
      </c>
      <c r="EZ117" s="521" t="n"/>
      <c r="FA117" s="521" t="n"/>
      <c r="FB117" s="452">
        <f>+FA117-EW117</f>
        <v/>
      </c>
      <c r="FC117" s="348">
        <f>+FB117/EW117</f>
        <v/>
      </c>
      <c r="FD117" s="348">
        <f>+FA117/T117</f>
        <v/>
      </c>
      <c r="FE117" s="348">
        <f>+FA117/U117</f>
        <v/>
      </c>
    </row>
    <row r="118">
      <c r="A118" s="6" t="inlineStr">
        <is>
          <t>(Investment) in / Dividend from asso and JCEs</t>
        </is>
      </c>
      <c r="B118" s="451">
        <f>SUM('Raw financials'!B206,-'Raw financials'!B213)</f>
        <v/>
      </c>
      <c r="C118" s="451">
        <f>SUM('Raw financials'!C206,-'Raw financials'!C213)</f>
        <v/>
      </c>
      <c r="D118" s="451">
        <f>SUM('Raw financials'!D206,-'Raw financials'!D213)</f>
        <v/>
      </c>
      <c r="E118" s="451">
        <f>SUM('Raw financials'!E206,-'Raw financials'!E213)</f>
        <v/>
      </c>
      <c r="F118" s="451">
        <f>SUM('Raw financials'!F206,-'Raw financials'!F213)</f>
        <v/>
      </c>
      <c r="G118" s="451">
        <f>SUM('Raw financials'!G206,-'Raw financials'!G213)</f>
        <v/>
      </c>
      <c r="H118" s="451">
        <f>SUM('Raw financials'!H206,-'Raw financials'!H213)</f>
        <v/>
      </c>
      <c r="I118" s="451">
        <f>SUM('Raw financials'!I206,-'Raw financials'!I213)</f>
        <v/>
      </c>
      <c r="J118" s="451">
        <f>SUM('Raw financials'!J206,-'Raw financials'!J213)</f>
        <v/>
      </c>
      <c r="K118" s="451">
        <f>SUM('Raw financials'!K206,-'Raw financials'!K213)</f>
        <v/>
      </c>
      <c r="L118" s="451">
        <f>SUM('Raw financials'!L206,-'Raw financials'!L213)</f>
        <v/>
      </c>
      <c r="M118" s="451">
        <f>SUM('Raw financials'!M206,-'Raw financials'!M213)</f>
        <v/>
      </c>
      <c r="N118" s="451">
        <f>SUM('Raw financials'!N206,-'Raw financials'!N213)</f>
        <v/>
      </c>
      <c r="O118" s="451">
        <f>SUM('Raw financials'!O206,-'Raw financials'!O213)</f>
        <v/>
      </c>
      <c r="P118" s="451">
        <f>SUM('Raw financials'!P206,-'Raw financials'!P213)</f>
        <v/>
      </c>
      <c r="Q118" s="451">
        <f>SUM('Raw financials'!Q206,-'Raw financials'!Q213)</f>
        <v/>
      </c>
      <c r="R118" s="451">
        <f>SUM('Raw financials'!R206,-'Raw financials'!R213)</f>
        <v/>
      </c>
      <c r="S118" s="451">
        <f>SUM('Raw financials'!S206,-'Raw financials'!S213)</f>
        <v/>
      </c>
      <c r="T118" s="451">
        <f>SUM('Raw financials'!T206,-'Raw financials'!T213)</f>
        <v/>
      </c>
      <c r="U118" s="459" t="n">
        <v>0</v>
      </c>
      <c r="V118" s="459" t="n">
        <v>0</v>
      </c>
      <c r="W118" s="459" t="n">
        <v>0</v>
      </c>
      <c r="X118" s="459" t="n">
        <v>0</v>
      </c>
      <c r="Y118" s="459" t="n">
        <v>0</v>
      </c>
      <c r="Z118" s="459" t="n">
        <v>0</v>
      </c>
      <c r="AA118" s="452">
        <f>+U118-T118</f>
        <v/>
      </c>
      <c r="AB118" s="348">
        <f>+AA118/T118</f>
        <v/>
      </c>
      <c r="AC118" s="459" t="n">
        <v>0</v>
      </c>
      <c r="AD118" s="452">
        <f>+X118-W118</f>
        <v/>
      </c>
      <c r="AE118" s="348">
        <f>+AD118/W118</f>
        <v/>
      </c>
      <c r="AF118" s="459" t="n"/>
      <c r="AG118" s="451">
        <f>SUM('Raw financials'!AA206,-'Raw financials'!AA213)</f>
        <v/>
      </c>
      <c r="AH118" s="451">
        <f>+B118-AG118</f>
        <v/>
      </c>
      <c r="AI118" s="451">
        <f>SUM('Raw financials'!AB206,-'Raw financials'!AB213)</f>
        <v/>
      </c>
      <c r="AJ118" s="451">
        <f>+C118-AI118</f>
        <v/>
      </c>
      <c r="AK118" s="451">
        <f>SUM('Raw financials'!AC206,-'Raw financials'!AC213)</f>
        <v/>
      </c>
      <c r="AL118" s="451">
        <f>+D118-AK118</f>
        <v/>
      </c>
      <c r="AM118" s="451">
        <f>SUM('Raw financials'!AD206,-'Raw financials'!AD213)</f>
        <v/>
      </c>
      <c r="AN118" s="451">
        <f>+E118-AM118</f>
        <v/>
      </c>
      <c r="AO118" s="451">
        <f>SUM('Raw financials'!AE206,-'Raw financials'!AE213)</f>
        <v/>
      </c>
      <c r="AP118" s="451">
        <f>+F118-AO118</f>
        <v/>
      </c>
      <c r="AQ118" s="451">
        <f>SUM('Raw financials'!AF206,-'Raw financials'!AF213)</f>
        <v/>
      </c>
      <c r="AR118" s="451">
        <f>+G118-AQ118</f>
        <v/>
      </c>
      <c r="AS118" s="451">
        <f>SUM('Raw financials'!AG206,-'Raw financials'!AG213)</f>
        <v/>
      </c>
      <c r="AT118" s="451">
        <f>+H118-AS118</f>
        <v/>
      </c>
      <c r="AU118" s="451">
        <f>SUM('Raw financials'!AH206,-'Raw financials'!AH213)</f>
        <v/>
      </c>
      <c r="AV118" s="451">
        <f>+I118-AU118</f>
        <v/>
      </c>
      <c r="AW118" s="451">
        <f>SUM('Raw financials'!AI206,-'Raw financials'!AI213)</f>
        <v/>
      </c>
      <c r="AX118" s="451">
        <f>+J118-AW118</f>
        <v/>
      </c>
      <c r="AY118" s="451">
        <f>SUM('Raw financials'!AJ206,-'Raw financials'!AJ213)</f>
        <v/>
      </c>
      <c r="AZ118" s="451">
        <f>+K118-AY118</f>
        <v/>
      </c>
      <c r="BA118" s="451">
        <f>SUM('Raw financials'!AK206,-'Raw financials'!AK213)</f>
        <v/>
      </c>
      <c r="BB118" s="451">
        <f>+L118-BA118</f>
        <v/>
      </c>
      <c r="BC118" s="451">
        <f>SUM('Raw financials'!AL206,-'Raw financials'!AL213)</f>
        <v/>
      </c>
      <c r="BD118" s="451">
        <f>+M118-BC118</f>
        <v/>
      </c>
      <c r="BE118" s="451">
        <f>SUM('Raw financials'!AM206,-'Raw financials'!AM213)</f>
        <v/>
      </c>
      <c r="BF118" s="451">
        <f>+N118-BE118</f>
        <v/>
      </c>
      <c r="BG118" s="451">
        <f>SUM('Raw financials'!AN206,-'Raw financials'!AN213)</f>
        <v/>
      </c>
      <c r="BH118" s="451">
        <f>+O118-BG118</f>
        <v/>
      </c>
      <c r="BI118" s="451">
        <f>SUM('Raw financials'!AO206,-'Raw financials'!AO213)</f>
        <v/>
      </c>
      <c r="BJ118" s="451">
        <f>+P118-BI118</f>
        <v/>
      </c>
      <c r="BK118" s="451">
        <f>SUM('Raw financials'!AP206,-'Raw financials'!AP213)</f>
        <v/>
      </c>
      <c r="BL118" s="451">
        <f>+Q118-BK118</f>
        <v/>
      </c>
      <c r="BM118" s="451">
        <f>SUM('Raw financials'!AQ206,-'Raw financials'!AQ213)</f>
        <v/>
      </c>
      <c r="BN118" s="451">
        <f>+R118-BM118</f>
        <v/>
      </c>
      <c r="BO118" s="451">
        <f>SUM('Raw financials'!AR206,-'Raw financials'!AR213)</f>
        <v/>
      </c>
      <c r="BP118" s="451">
        <f>+S118-BO118</f>
        <v/>
      </c>
      <c r="BQ118" s="451">
        <f>SUM('Raw financials'!AS206,-'Raw financials'!AS213)</f>
        <v/>
      </c>
      <c r="BR118" s="451">
        <f>+T118-BQ118</f>
        <v/>
      </c>
      <c r="BS118" s="451" t="n"/>
      <c r="BT118" s="451">
        <f>+U118-BS118</f>
        <v/>
      </c>
      <c r="BU118" s="489">
        <f>BT118-BR118</f>
        <v/>
      </c>
      <c r="BV118" s="384">
        <f>BU118/BR118</f>
        <v/>
      </c>
      <c r="BW118" s="384">
        <f>+BT118/T118</f>
        <v/>
      </c>
      <c r="BX118" s="384">
        <f>+BT118/U118</f>
        <v/>
      </c>
      <c r="BZ118" s="451">
        <f>SUM('Raw financials'!BN206,-'Raw financials'!BN213)</f>
        <v/>
      </c>
      <c r="CA118" s="451">
        <f>SUM('Raw financials'!BO206,-'Raw financials'!BO213)</f>
        <v/>
      </c>
      <c r="CB118" s="451">
        <f>SUM('Raw financials'!BP206,-'Raw financials'!BP213)</f>
        <v/>
      </c>
      <c r="CC118" s="451" t="n"/>
      <c r="CD118" s="451">
        <f>SUM('Raw financials'!BR206,-'Raw financials'!BR213)</f>
        <v/>
      </c>
      <c r="CE118" s="451" t="n"/>
      <c r="CF118" s="451">
        <f>SUM('Raw financials'!BT206,-'Raw financials'!BT213)</f>
        <v/>
      </c>
      <c r="CG118" s="451" t="n"/>
      <c r="CH118" s="451">
        <f>SUM('Raw financials'!BV206,-'Raw financials'!BV213)</f>
        <v/>
      </c>
      <c r="CI118" s="451" t="n"/>
      <c r="CJ118" s="451">
        <f>SUM('Raw financials'!BX206,-'Raw financials'!BX213)</f>
        <v/>
      </c>
      <c r="CK118" s="451" t="n"/>
      <c r="CL118" s="451">
        <f>SUM('Raw financials'!BZ206,-'Raw financials'!BZ213)</f>
        <v/>
      </c>
      <c r="CM118" s="451" t="n"/>
      <c r="CN118" s="451">
        <f>SUM('Raw financials'!CB206,-'Raw financials'!CB213)</f>
        <v/>
      </c>
      <c r="CO118" s="451" t="n"/>
      <c r="CP118" s="451">
        <f>SUM('Raw financials'!CD206,-'Raw financials'!CD213)</f>
        <v/>
      </c>
      <c r="CQ118" s="451" t="n"/>
      <c r="CR118" s="451">
        <f>SUM('Raw financials'!CF206,-'Raw financials'!CF213)</f>
        <v/>
      </c>
      <c r="CS118" s="451" t="n"/>
      <c r="CT118" s="451">
        <f>SUM('Raw financials'!CH206,-'Raw financials'!CH213)</f>
        <v/>
      </c>
      <c r="CU118" s="451" t="n"/>
      <c r="CV118" s="451">
        <f>SUM('Raw financials'!CJ206,-'Raw financials'!CJ213)</f>
        <v/>
      </c>
      <c r="CW118" s="451" t="n"/>
      <c r="CX118" s="451">
        <f>SUM('Raw financials'!CL206,-'Raw financials'!CL213)</f>
        <v/>
      </c>
      <c r="CY118" s="451" t="n"/>
      <c r="CZ118" s="451">
        <f>SUM('Raw financials'!CN206,-'Raw financials'!CN213)</f>
        <v/>
      </c>
      <c r="DA118" s="451" t="n"/>
      <c r="DB118" s="451">
        <f>SUM('Raw financials'!CP206,-'Raw financials'!CP213)</f>
        <v/>
      </c>
      <c r="DC118" s="451" t="n"/>
      <c r="DD118" s="451">
        <f>SUM('Raw financials'!CR206,-'Raw financials'!CR213)</f>
        <v/>
      </c>
      <c r="DE118" s="451" t="n"/>
      <c r="DF118" s="451">
        <f>SUM('Raw financials'!CT206,-'Raw financials'!CT213)</f>
        <v/>
      </c>
      <c r="DG118" s="451" t="n"/>
      <c r="DH118" s="451">
        <f>SUM('Raw financials'!CV206,-'Raw financials'!CV213)</f>
        <v/>
      </c>
      <c r="DI118" s="451" t="n"/>
      <c r="DJ118" s="451">
        <f>SUM('Raw financials'!CX206,-'Raw financials'!CX213)</f>
        <v/>
      </c>
      <c r="DK118" s="451" t="n"/>
      <c r="DL118" s="451">
        <f>SUM('Raw financials'!CZ206,-'Raw financials'!CZ213)</f>
        <v/>
      </c>
      <c r="DM118" s="451" t="n"/>
      <c r="DN118" s="451">
        <f>SUM('Raw financials'!DB206,-'Raw financials'!DB213)</f>
        <v/>
      </c>
      <c r="DO118" s="451" t="n"/>
      <c r="DP118" s="451">
        <f>SUM('Raw financials'!DD206,-'Raw financials'!DD213)</f>
        <v/>
      </c>
      <c r="DQ118" s="451" t="n"/>
      <c r="DR118" s="451">
        <f>SUM('Raw financials'!DF206,-'Raw financials'!DF213)</f>
        <v/>
      </c>
      <c r="DS118" s="451" t="n"/>
      <c r="DT118" s="451">
        <f>SUM('Raw financials'!DH206,-'Raw financials'!DH213)</f>
        <v/>
      </c>
      <c r="DU118" s="451" t="n"/>
      <c r="DV118" s="451">
        <f>SUM('Raw financials'!DJ206,-'Raw financials'!DJ213)</f>
        <v/>
      </c>
      <c r="DW118" s="451" t="n"/>
      <c r="DX118" s="451">
        <f>SUM('Raw financials'!DL206,-'Raw financials'!DL213)</f>
        <v/>
      </c>
      <c r="DY118" s="451" t="n"/>
      <c r="DZ118" s="451">
        <f>SUM('Raw financials'!DN206,-'Raw financials'!DN213)</f>
        <v/>
      </c>
      <c r="EA118" s="451" t="n"/>
      <c r="EB118" s="451">
        <f>SUM('Raw financials'!DP206,-'Raw financials'!DP213)</f>
        <v/>
      </c>
      <c r="EC118" s="451" t="n"/>
      <c r="ED118" s="451">
        <f>SUM('Raw financials'!DR206,-'Raw financials'!DR213)</f>
        <v/>
      </c>
      <c r="EE118" s="451" t="n"/>
      <c r="EF118" s="451">
        <f>SUM('Raw financials'!DT206,-'Raw financials'!DT213)</f>
        <v/>
      </c>
      <c r="EG118" s="451" t="n"/>
      <c r="EH118" s="451">
        <f>SUM('Raw financials'!DV206,-'Raw financials'!DV213)</f>
        <v/>
      </c>
      <c r="EI118" s="451" t="n"/>
      <c r="EJ118" s="451">
        <f>SUM('Raw financials'!DX206,-'Raw financials'!DX213)</f>
        <v/>
      </c>
      <c r="EK118" s="451" t="n"/>
      <c r="EL118" s="451">
        <f>SUM('Raw financials'!DZ206,-'Raw financials'!DZ213)</f>
        <v/>
      </c>
      <c r="EM118" s="451" t="n"/>
      <c r="EN118" s="451">
        <f>SUM('Raw financials'!EB206,-'Raw financials'!EB213)</f>
        <v/>
      </c>
      <c r="EO118" s="451" t="n"/>
      <c r="EP118" s="451">
        <f>SUM('Raw financials'!ED206,-'Raw financials'!ED213)</f>
        <v/>
      </c>
      <c r="EQ118" s="451" t="n"/>
      <c r="ER118" s="451">
        <f>SUM('Raw financials'!EF206,-'Raw financials'!EF213)</f>
        <v/>
      </c>
      <c r="ES118" s="451" t="n"/>
      <c r="ET118" s="451">
        <f>SUM('Raw financials'!EH206,-'Raw financials'!EH213)</f>
        <v/>
      </c>
      <c r="EU118" s="451">
        <f>+BQ118-ET118</f>
        <v/>
      </c>
      <c r="EV118" s="451">
        <f>SUM('Raw financials'!EJ206,-'Raw financials'!EJ213)</f>
        <v/>
      </c>
      <c r="EW118" s="451">
        <f>SUM('Raw financials'!EK206,-'Raw financials'!EK213)</f>
        <v/>
      </c>
      <c r="EX118" s="451">
        <f>SUM('Raw financials'!EL206,-'Raw financials'!EL213)</f>
        <v/>
      </c>
      <c r="EY118" s="451">
        <f>SUM('Raw financials'!EM206,-'Raw financials'!EM213)</f>
        <v/>
      </c>
      <c r="EZ118" s="521" t="n"/>
      <c r="FA118" s="521" t="n"/>
      <c r="FB118" s="452">
        <f>+FA118-EW118</f>
        <v/>
      </c>
      <c r="FC118" s="348">
        <f>+FB118/EW118</f>
        <v/>
      </c>
      <c r="FD118" s="348">
        <f>+FA118/T118</f>
        <v/>
      </c>
      <c r="FE118" s="348">
        <f>+FA118/U118</f>
        <v/>
      </c>
    </row>
    <row r="119">
      <c r="A119" s="6" t="inlineStr">
        <is>
          <t>Others</t>
        </is>
      </c>
      <c r="B119" s="451">
        <f>SUM('Raw financials'!B205,'Raw financials'!B207,-'Raw financials'!B214)</f>
        <v/>
      </c>
      <c r="C119" s="451">
        <f>SUM('Raw financials'!C205,'Raw financials'!C207,-'Raw financials'!C214)</f>
        <v/>
      </c>
      <c r="D119" s="451">
        <f>SUM('Raw financials'!D205,'Raw financials'!D207,-'Raw financials'!D214)</f>
        <v/>
      </c>
      <c r="E119" s="451">
        <f>SUM('Raw financials'!E205,'Raw financials'!E207,-'Raw financials'!E214)</f>
        <v/>
      </c>
      <c r="F119" s="451">
        <f>SUM('Raw financials'!F205,'Raw financials'!F207,-'Raw financials'!F214)</f>
        <v/>
      </c>
      <c r="G119" s="451">
        <f>SUM('Raw financials'!G205,'Raw financials'!G207,-'Raw financials'!G214)</f>
        <v/>
      </c>
      <c r="H119" s="451">
        <f>SUM('Raw financials'!H205,'Raw financials'!H207,-'Raw financials'!H214)</f>
        <v/>
      </c>
      <c r="I119" s="451">
        <f>SUM('Raw financials'!I205,'Raw financials'!I207,-'Raw financials'!I214)</f>
        <v/>
      </c>
      <c r="J119" s="451">
        <f>SUM('Raw financials'!J205,'Raw financials'!J207,-'Raw financials'!J214)</f>
        <v/>
      </c>
      <c r="K119" s="451">
        <f>SUM('Raw financials'!K205,'Raw financials'!K207,-'Raw financials'!K214)</f>
        <v/>
      </c>
      <c r="L119" s="451">
        <f>SUM('Raw financials'!L205,'Raw financials'!L207,-'Raw financials'!L214)</f>
        <v/>
      </c>
      <c r="M119" s="451">
        <f>SUM('Raw financials'!M205,'Raw financials'!M207,-'Raw financials'!M214)</f>
        <v/>
      </c>
      <c r="N119" s="451">
        <f>SUM('Raw financials'!N205,'Raw financials'!N207,-'Raw financials'!N214)</f>
        <v/>
      </c>
      <c r="O119" s="451">
        <f>SUM('Raw financials'!O205,'Raw financials'!O207,-'Raw financials'!O214)</f>
        <v/>
      </c>
      <c r="P119" s="451">
        <f>SUM('Raw financials'!P205,'Raw financials'!P207,-'Raw financials'!P214)</f>
        <v/>
      </c>
      <c r="Q119" s="451">
        <f>SUM('Raw financials'!Q205,'Raw financials'!Q207,-'Raw financials'!Q214)</f>
        <v/>
      </c>
      <c r="R119" s="451">
        <f>SUM('Raw financials'!R205,'Raw financials'!R207,-'Raw financials'!R214)</f>
        <v/>
      </c>
      <c r="S119" s="451">
        <f>SUM('Raw financials'!S205,'Raw financials'!S207,-'Raw financials'!S214)</f>
        <v/>
      </c>
      <c r="T119" s="451">
        <f>SUM('Raw financials'!T205,'Raw financials'!T207,-'Raw financials'!T214)</f>
        <v/>
      </c>
      <c r="U119" s="459">
        <f>(T56+T57+T62+T63+T64+U78+U81)-(U56+U57+U62+U63+U64+T78+T81)</f>
        <v/>
      </c>
      <c r="V119" s="459">
        <f>(U56+U57+U62+U63+U64+V78+V81)-(V56+V57+V62+V63+V64+U78+U81)</f>
        <v/>
      </c>
      <c r="W119" s="459">
        <f>(V56+V57+V62+V63+V64+W78+W81)-(W56+W57+W62+W63+W64+V78+V81)</f>
        <v/>
      </c>
      <c r="X119" s="459">
        <f>(W56+W57+W62+W63+W64+X78+X81)-(X56+X57+X62+X63+X64+W78+W81)</f>
        <v/>
      </c>
      <c r="Y119" s="459">
        <f>(X56+X57+X62+X63+X64+Y78+Y81)-(Y56+Y57+Y62+Y63+Y64+X78+X81)</f>
        <v/>
      </c>
      <c r="Z119" s="459">
        <f>(Y56+Y57+Y62+Y63+Y64+Z78+Z81)-(Z56+Z57+Z62+Z63+Z64+Y78+Y81)</f>
        <v/>
      </c>
      <c r="AA119" s="452">
        <f>+U119-T119</f>
        <v/>
      </c>
      <c r="AB119" s="348">
        <f>+AA119/T119</f>
        <v/>
      </c>
      <c r="AC119" s="459" t="n">
        <v>0</v>
      </c>
      <c r="AD119" s="452">
        <f>+X119-W119</f>
        <v/>
      </c>
      <c r="AE119" s="348">
        <f>+AD119/W119</f>
        <v/>
      </c>
      <c r="AF119" s="459" t="n"/>
      <c r="AG119" s="451">
        <f>SUM('Raw financials'!AA205,'Raw financials'!AA207,-'Raw financials'!AA214)</f>
        <v/>
      </c>
      <c r="AH119" s="451">
        <f>+B119-AG119</f>
        <v/>
      </c>
      <c r="AI119" s="451">
        <f>SUM('Raw financials'!AB205,'Raw financials'!AB207,-'Raw financials'!AB214)</f>
        <v/>
      </c>
      <c r="AJ119" s="451">
        <f>+C119-AI119</f>
        <v/>
      </c>
      <c r="AK119" s="451">
        <f>SUM('Raw financials'!AC205,'Raw financials'!AC207,-'Raw financials'!AC214)</f>
        <v/>
      </c>
      <c r="AL119" s="451">
        <f>+D119-AK119</f>
        <v/>
      </c>
      <c r="AM119" s="451">
        <f>SUM('Raw financials'!AD205,'Raw financials'!AD207,-'Raw financials'!AD214)</f>
        <v/>
      </c>
      <c r="AN119" s="451">
        <f>+E119-AM119</f>
        <v/>
      </c>
      <c r="AO119" s="451">
        <f>SUM('Raw financials'!AE205,'Raw financials'!AE207,-'Raw financials'!AE214)</f>
        <v/>
      </c>
      <c r="AP119" s="451">
        <f>+F119-AO119</f>
        <v/>
      </c>
      <c r="AQ119" s="451">
        <f>SUM('Raw financials'!AF205,'Raw financials'!AF207,-'Raw financials'!AF214)</f>
        <v/>
      </c>
      <c r="AR119" s="451">
        <f>+G119-AQ119</f>
        <v/>
      </c>
      <c r="AS119" s="451">
        <f>SUM('Raw financials'!AG205,'Raw financials'!AG207,-'Raw financials'!AG214)</f>
        <v/>
      </c>
      <c r="AT119" s="451">
        <f>+H119-AS119</f>
        <v/>
      </c>
      <c r="AU119" s="451">
        <f>SUM('Raw financials'!AH205,'Raw financials'!AH207,-'Raw financials'!AH214)</f>
        <v/>
      </c>
      <c r="AV119" s="451">
        <f>+I119-AU119</f>
        <v/>
      </c>
      <c r="AW119" s="451">
        <f>SUM('Raw financials'!AI205,'Raw financials'!AI207,-'Raw financials'!AI214)</f>
        <v/>
      </c>
      <c r="AX119" s="451">
        <f>+J119-AW119</f>
        <v/>
      </c>
      <c r="AY119" s="451">
        <f>SUM('Raw financials'!AJ205,'Raw financials'!AJ207,-'Raw financials'!AJ214)</f>
        <v/>
      </c>
      <c r="AZ119" s="451">
        <f>+K119-AY119</f>
        <v/>
      </c>
      <c r="BA119" s="451">
        <f>SUM('Raw financials'!AK205,'Raw financials'!AK207,-'Raw financials'!AK214)</f>
        <v/>
      </c>
      <c r="BB119" s="451">
        <f>+L119-BA119</f>
        <v/>
      </c>
      <c r="BC119" s="451">
        <f>SUM('Raw financials'!AL205,'Raw financials'!AL207,-'Raw financials'!AL214)</f>
        <v/>
      </c>
      <c r="BD119" s="451">
        <f>+M119-BC119</f>
        <v/>
      </c>
      <c r="BE119" s="451">
        <f>SUM('Raw financials'!AM205,'Raw financials'!AM207,-'Raw financials'!AM214)</f>
        <v/>
      </c>
      <c r="BF119" s="451">
        <f>+N119-BE119</f>
        <v/>
      </c>
      <c r="BG119" s="451">
        <f>SUM('Raw financials'!AN205,'Raw financials'!AN207,-'Raw financials'!AN214)</f>
        <v/>
      </c>
      <c r="BH119" s="451">
        <f>+O119-BG119</f>
        <v/>
      </c>
      <c r="BI119" s="451">
        <f>SUM('Raw financials'!AO205,'Raw financials'!AO207,-'Raw financials'!AO214)</f>
        <v/>
      </c>
      <c r="BJ119" s="451">
        <f>+P119-BI119</f>
        <v/>
      </c>
      <c r="BK119" s="451">
        <f>SUM('Raw financials'!AP205,'Raw financials'!AP207,-'Raw financials'!AP214)</f>
        <v/>
      </c>
      <c r="BL119" s="451">
        <f>+Q119-BK119</f>
        <v/>
      </c>
      <c r="BM119" s="451">
        <f>SUM('Raw financials'!AQ205,'Raw financials'!AQ207,-'Raw financials'!AQ214)</f>
        <v/>
      </c>
      <c r="BN119" s="451">
        <f>+R119-BM119</f>
        <v/>
      </c>
      <c r="BO119" s="451">
        <f>SUM('Raw financials'!AR205,'Raw financials'!AR207,-'Raw financials'!AR214)</f>
        <v/>
      </c>
      <c r="BP119" s="451">
        <f>+S119-BO119</f>
        <v/>
      </c>
      <c r="BQ119" s="451">
        <f>SUM('Raw financials'!AS205,'Raw financials'!AS207,-'Raw financials'!AS214)</f>
        <v/>
      </c>
      <c r="BR119" s="451">
        <f>+T119-BQ119</f>
        <v/>
      </c>
      <c r="BS119" s="451" t="n"/>
      <c r="BT119" s="451">
        <f>+U119-BS119</f>
        <v/>
      </c>
      <c r="BU119" s="489">
        <f>BT119-BR119</f>
        <v/>
      </c>
      <c r="BV119" s="384">
        <f>BU119/BR119</f>
        <v/>
      </c>
      <c r="BW119" s="384">
        <f>+BT119/T119</f>
        <v/>
      </c>
      <c r="BX119" s="384">
        <f>+BT119/U119</f>
        <v/>
      </c>
      <c r="BZ119" s="451">
        <f>SUM('Raw financials'!BN205,'Raw financials'!BN207,-'Raw financials'!BN214)</f>
        <v/>
      </c>
      <c r="CA119" s="451">
        <f>SUM('Raw financials'!BO205,'Raw financials'!BO207,-'Raw financials'!BO214)</f>
        <v/>
      </c>
      <c r="CB119" s="451">
        <f>SUM('Raw financials'!BP205,'Raw financials'!BP207,-'Raw financials'!BP214)</f>
        <v/>
      </c>
      <c r="CC119" s="451" t="n"/>
      <c r="CD119" s="451">
        <f>SUM('Raw financials'!BR205,'Raw financials'!BR207,-'Raw financials'!BR214)</f>
        <v/>
      </c>
      <c r="CE119" s="451" t="n"/>
      <c r="CF119" s="451">
        <f>SUM('Raw financials'!BT205,'Raw financials'!BT207,-'Raw financials'!BT214)</f>
        <v/>
      </c>
      <c r="CG119" s="451" t="n"/>
      <c r="CH119" s="451">
        <f>SUM('Raw financials'!BV205,'Raw financials'!BV207,-'Raw financials'!BV214)</f>
        <v/>
      </c>
      <c r="CI119" s="451" t="n"/>
      <c r="CJ119" s="451">
        <f>SUM('Raw financials'!BX205,'Raw financials'!BX207,-'Raw financials'!BX214)</f>
        <v/>
      </c>
      <c r="CK119" s="451" t="n"/>
      <c r="CL119" s="451">
        <f>SUM('Raw financials'!BZ205,'Raw financials'!BZ207,-'Raw financials'!BZ214)</f>
        <v/>
      </c>
      <c r="CM119" s="451" t="n"/>
      <c r="CN119" s="451">
        <f>SUM('Raw financials'!CB205,'Raw financials'!CB207,-'Raw financials'!CB214)</f>
        <v/>
      </c>
      <c r="CO119" s="451" t="n"/>
      <c r="CP119" s="451">
        <f>SUM('Raw financials'!CD205,'Raw financials'!CD207,-'Raw financials'!CD214)</f>
        <v/>
      </c>
      <c r="CQ119" s="451" t="n"/>
      <c r="CR119" s="451">
        <f>SUM('Raw financials'!CF205,'Raw financials'!CF207,-'Raw financials'!CF214)</f>
        <v/>
      </c>
      <c r="CS119" s="451" t="n"/>
      <c r="CT119" s="451">
        <f>SUM('Raw financials'!CH205,'Raw financials'!CH207,-'Raw financials'!CH214)</f>
        <v/>
      </c>
      <c r="CU119" s="451" t="n"/>
      <c r="CV119" s="451">
        <f>SUM('Raw financials'!CJ205,'Raw financials'!CJ207,-'Raw financials'!CJ214)</f>
        <v/>
      </c>
      <c r="CW119" s="451" t="n"/>
      <c r="CX119" s="451">
        <f>SUM('Raw financials'!CL205,'Raw financials'!CL207,-'Raw financials'!CL214)</f>
        <v/>
      </c>
      <c r="CY119" s="451" t="n"/>
      <c r="CZ119" s="451">
        <f>SUM('Raw financials'!CN205,'Raw financials'!CN207,-'Raw financials'!CN214)</f>
        <v/>
      </c>
      <c r="DA119" s="451" t="n"/>
      <c r="DB119" s="451">
        <f>SUM('Raw financials'!CP205,'Raw financials'!CP207,-'Raw financials'!CP214)</f>
        <v/>
      </c>
      <c r="DC119" s="451" t="n"/>
      <c r="DD119" s="451">
        <f>SUM('Raw financials'!CR205,'Raw financials'!CR207,-'Raw financials'!CR214)</f>
        <v/>
      </c>
      <c r="DE119" s="451" t="n"/>
      <c r="DF119" s="451">
        <f>SUM('Raw financials'!CT205,'Raw financials'!CT207,-'Raw financials'!CT214)</f>
        <v/>
      </c>
      <c r="DG119" s="451" t="n"/>
      <c r="DH119" s="451">
        <f>SUM('Raw financials'!CV205,'Raw financials'!CV207,-'Raw financials'!CV214)</f>
        <v/>
      </c>
      <c r="DI119" s="451" t="n"/>
      <c r="DJ119" s="451">
        <f>SUM('Raw financials'!CX205,'Raw financials'!CX207,-'Raw financials'!CX214)</f>
        <v/>
      </c>
      <c r="DK119" s="451" t="n"/>
      <c r="DL119" s="451">
        <f>SUM('Raw financials'!CZ205,'Raw financials'!CZ207,-'Raw financials'!CZ214)</f>
        <v/>
      </c>
      <c r="DM119" s="451" t="n"/>
      <c r="DN119" s="451">
        <f>SUM('Raw financials'!DB205,'Raw financials'!DB207,-'Raw financials'!DB214)</f>
        <v/>
      </c>
      <c r="DO119" s="451" t="n"/>
      <c r="DP119" s="451">
        <f>SUM('Raw financials'!DD205,'Raw financials'!DD207,-'Raw financials'!DD214)</f>
        <v/>
      </c>
      <c r="DQ119" s="451" t="n"/>
      <c r="DR119" s="451">
        <f>SUM('Raw financials'!DF205,'Raw financials'!DF207,-'Raw financials'!DF214)</f>
        <v/>
      </c>
      <c r="DS119" s="451" t="n"/>
      <c r="DT119" s="451">
        <f>SUM('Raw financials'!DH205,'Raw financials'!DH207,-'Raw financials'!DH214)</f>
        <v/>
      </c>
      <c r="DU119" s="451" t="n"/>
      <c r="DV119" s="451">
        <f>SUM('Raw financials'!DJ205,'Raw financials'!DJ207,-'Raw financials'!DJ214)</f>
        <v/>
      </c>
      <c r="DW119" s="451" t="n"/>
      <c r="DX119" s="451">
        <f>SUM('Raw financials'!DL205,'Raw financials'!DL207,-'Raw financials'!DL214)</f>
        <v/>
      </c>
      <c r="DY119" s="451" t="n"/>
      <c r="DZ119" s="451">
        <f>SUM('Raw financials'!DN205,'Raw financials'!DN207,-'Raw financials'!DN214)</f>
        <v/>
      </c>
      <c r="EA119" s="451" t="n"/>
      <c r="EB119" s="451">
        <f>SUM('Raw financials'!DP205,'Raw financials'!DP207,-'Raw financials'!DP214)</f>
        <v/>
      </c>
      <c r="EC119" s="451" t="n"/>
      <c r="ED119" s="451">
        <f>SUM('Raw financials'!DR205,'Raw financials'!DR207,-'Raw financials'!DR214)</f>
        <v/>
      </c>
      <c r="EE119" s="451" t="n"/>
      <c r="EF119" s="451">
        <f>SUM('Raw financials'!DT205,'Raw financials'!DT207,-'Raw financials'!DT214)</f>
        <v/>
      </c>
      <c r="EG119" s="451" t="n"/>
      <c r="EH119" s="451">
        <f>SUM('Raw financials'!DV205,'Raw financials'!DV207,-'Raw financials'!DV214)</f>
        <v/>
      </c>
      <c r="EI119" s="451" t="n"/>
      <c r="EJ119" s="451">
        <f>SUM('Raw financials'!DX205,'Raw financials'!DX207,-'Raw financials'!DX214)</f>
        <v/>
      </c>
      <c r="EK119" s="451" t="n"/>
      <c r="EL119" s="451">
        <f>SUM('Raw financials'!DZ205,'Raw financials'!DZ207,-'Raw financials'!DZ214)</f>
        <v/>
      </c>
      <c r="EM119" s="451" t="n"/>
      <c r="EN119" s="451">
        <f>SUM('Raw financials'!EB205,'Raw financials'!EB207,-'Raw financials'!EB214)</f>
        <v/>
      </c>
      <c r="EO119" s="451" t="n"/>
      <c r="EP119" s="451">
        <f>SUM('Raw financials'!ED205,'Raw financials'!ED207,-'Raw financials'!ED214)</f>
        <v/>
      </c>
      <c r="EQ119" s="451" t="n"/>
      <c r="ER119" s="451">
        <f>SUM('Raw financials'!EF205,'Raw financials'!EF207,-'Raw financials'!EF214)</f>
        <v/>
      </c>
      <c r="ES119" s="451" t="n"/>
      <c r="ET119" s="451">
        <f>SUM('Raw financials'!EH205,'Raw financials'!EH207,-'Raw financials'!EH214)</f>
        <v/>
      </c>
      <c r="EU119" s="451">
        <f>+BQ119-ET119</f>
        <v/>
      </c>
      <c r="EV119" s="451">
        <f>SUM('Raw financials'!EJ205,'Raw financials'!EJ207,-'Raw financials'!EJ214)</f>
        <v/>
      </c>
      <c r="EW119" s="451">
        <f>SUM('Raw financials'!EK205,'Raw financials'!EK207,-'Raw financials'!EK214)</f>
        <v/>
      </c>
      <c r="EX119" s="451">
        <f>SUM('Raw financials'!EL205,'Raw financials'!EL207,-'Raw financials'!EL214)</f>
        <v/>
      </c>
      <c r="EY119" s="451">
        <f>SUM('Raw financials'!EM205,'Raw financials'!EM207,-'Raw financials'!EM214)</f>
        <v/>
      </c>
      <c r="EZ119" s="521" t="n"/>
      <c r="FA119" s="521" t="n"/>
      <c r="FB119" s="452">
        <f>+FA119-EW119</f>
        <v/>
      </c>
      <c r="FC119" s="348">
        <f>+FB119/EW119</f>
        <v/>
      </c>
      <c r="FD119" s="348">
        <f>+FA119/T119</f>
        <v/>
      </c>
      <c r="FE119" s="348">
        <f>+FA119/U119</f>
        <v/>
      </c>
    </row>
    <row r="120">
      <c r="A120" s="21" t="inlineStr">
        <is>
          <t>Investing cash flow</t>
        </is>
      </c>
      <c r="B120" s="460">
        <f>SUM(B116:B119)</f>
        <v/>
      </c>
      <c r="C120" s="460">
        <f>SUM(C116:C119)</f>
        <v/>
      </c>
      <c r="D120" s="460">
        <f>SUM(D116:D119)</f>
        <v/>
      </c>
      <c r="E120" s="460">
        <f>SUM(E116:E119)</f>
        <v/>
      </c>
      <c r="F120" s="460">
        <f>SUM(F116:F119)</f>
        <v/>
      </c>
      <c r="G120" s="460">
        <f>SUM(G116:G119)</f>
        <v/>
      </c>
      <c r="H120" s="460">
        <f>SUM(H116:H119)</f>
        <v/>
      </c>
      <c r="I120" s="460">
        <f>SUM(I116:I119)</f>
        <v/>
      </c>
      <c r="J120" s="460">
        <f>SUM(J116:J119)</f>
        <v/>
      </c>
      <c r="K120" s="460">
        <f>SUM(K116:K119)</f>
        <v/>
      </c>
      <c r="L120" s="460">
        <f>SUM(L116:L119)</f>
        <v/>
      </c>
      <c r="M120" s="460">
        <f>SUM(M116:M119)</f>
        <v/>
      </c>
      <c r="N120" s="460">
        <f>SUM(N116:N119)</f>
        <v/>
      </c>
      <c r="O120" s="460">
        <f>SUM(O116:O119)</f>
        <v/>
      </c>
      <c r="P120" s="460">
        <f>SUM(P116:P119)</f>
        <v/>
      </c>
      <c r="Q120" s="460">
        <f>SUM(Q116:Q119)</f>
        <v/>
      </c>
      <c r="R120" s="460">
        <f>SUM(R116:R119)</f>
        <v/>
      </c>
      <c r="S120" s="460">
        <f>SUM(S116:S119)</f>
        <v/>
      </c>
      <c r="T120" s="460">
        <f>SUM(T116:T119)</f>
        <v/>
      </c>
      <c r="U120" s="460">
        <f>SUM(U116:U119)</f>
        <v/>
      </c>
      <c r="V120" s="460">
        <f>SUM(V116:V119)</f>
        <v/>
      </c>
      <c r="W120" s="460">
        <f>SUM(W116:W119)</f>
        <v/>
      </c>
      <c r="X120" s="460">
        <f>SUM(X116:X119)</f>
        <v/>
      </c>
      <c r="Y120" s="460">
        <f>SUM(Y116:Y119)</f>
        <v/>
      </c>
      <c r="Z120" s="460">
        <f>SUM(Z116:Z119)</f>
        <v/>
      </c>
      <c r="AA120" s="509">
        <f>+U120-T120</f>
        <v/>
      </c>
      <c r="AB120" s="371">
        <f>+AA120/T120</f>
        <v/>
      </c>
      <c r="AC120" s="462" t="n">
        <v>-2218.822106794612</v>
      </c>
      <c r="AD120" s="509">
        <f>+X120-W120</f>
        <v/>
      </c>
      <c r="AE120" s="371">
        <f>+AD120/W120</f>
        <v/>
      </c>
      <c r="AF120" s="462" t="n"/>
      <c r="AG120" s="460">
        <f>SUM(AG116:AG119)</f>
        <v/>
      </c>
      <c r="AH120" s="460">
        <f>SUM(AH116:AH119)</f>
        <v/>
      </c>
      <c r="AI120" s="460">
        <f>SUM(AI116:AI119)</f>
        <v/>
      </c>
      <c r="AJ120" s="460">
        <f>SUM(AJ116:AJ119)</f>
        <v/>
      </c>
      <c r="AK120" s="460">
        <f>SUM(AK116:AK119)</f>
        <v/>
      </c>
      <c r="AL120" s="460">
        <f>SUM(AL116:AL119)</f>
        <v/>
      </c>
      <c r="AM120" s="460">
        <f>SUM(AM116:AM119)</f>
        <v/>
      </c>
      <c r="AN120" s="460">
        <f>SUM(AN116:AN119)</f>
        <v/>
      </c>
      <c r="AO120" s="460">
        <f>SUM(AO116:AO119)</f>
        <v/>
      </c>
      <c r="AP120" s="460">
        <f>SUM(AP116:AP119)</f>
        <v/>
      </c>
      <c r="AQ120" s="460">
        <f>SUM(AQ116:AQ119)</f>
        <v/>
      </c>
      <c r="AR120" s="460">
        <f>SUM(AR116:AR119)</f>
        <v/>
      </c>
      <c r="AS120" s="460">
        <f>SUM(AS116:AS119)</f>
        <v/>
      </c>
      <c r="AT120" s="460">
        <f>SUM(AT116:AT119)</f>
        <v/>
      </c>
      <c r="AU120" s="460">
        <f>SUM(AU116:AU119)</f>
        <v/>
      </c>
      <c r="AV120" s="460">
        <f>SUM(AV116:AV119)</f>
        <v/>
      </c>
      <c r="AW120" s="460">
        <f>SUM(AW116:AW119)</f>
        <v/>
      </c>
      <c r="AX120" s="460">
        <f>SUM(AX116:AX119)</f>
        <v/>
      </c>
      <c r="AY120" s="460">
        <f>SUM(AY116:AY119)</f>
        <v/>
      </c>
      <c r="AZ120" s="460">
        <f>SUM(AZ116:AZ119)</f>
        <v/>
      </c>
      <c r="BA120" s="460">
        <f>SUM(BA116:BA119)</f>
        <v/>
      </c>
      <c r="BB120" s="460">
        <f>SUM(BB116:BB119)</f>
        <v/>
      </c>
      <c r="BC120" s="460">
        <f>SUM(BC116:BC119)</f>
        <v/>
      </c>
      <c r="BD120" s="460">
        <f>SUM(BD116:BD119)</f>
        <v/>
      </c>
      <c r="BE120" s="460">
        <f>SUM(BE116:BE119)</f>
        <v/>
      </c>
      <c r="BF120" s="460">
        <f>SUM(BF116:BF119)</f>
        <v/>
      </c>
      <c r="BG120" s="460">
        <f>SUM(BG116:BG119)</f>
        <v/>
      </c>
      <c r="BH120" s="460">
        <f>SUM(BH116:BH119)</f>
        <v/>
      </c>
      <c r="BI120" s="460">
        <f>SUM(BI116:BI119)</f>
        <v/>
      </c>
      <c r="BJ120" s="460">
        <f>SUM(BJ116:BJ119)</f>
        <v/>
      </c>
      <c r="BK120" s="460">
        <f>SUM(BK116:BK119)</f>
        <v/>
      </c>
      <c r="BL120" s="460">
        <f>SUM(BL116:BL119)</f>
        <v/>
      </c>
      <c r="BM120" s="460">
        <f>SUM(BM116:BM119)</f>
        <v/>
      </c>
      <c r="BN120" s="460">
        <f>SUM(BN116:BN119)</f>
        <v/>
      </c>
      <c r="BO120" s="460">
        <f>SUM(BO116:BO119)</f>
        <v/>
      </c>
      <c r="BP120" s="460">
        <f>SUM(BP116:BP119)</f>
        <v/>
      </c>
      <c r="BQ120" s="460">
        <f>SUM(BQ116:BQ119)</f>
        <v/>
      </c>
      <c r="BR120" s="460">
        <f>SUM(BR116:BR119)</f>
        <v/>
      </c>
      <c r="BS120" s="460" t="n"/>
      <c r="BT120" s="460">
        <f>SUM(BT116:BT119)</f>
        <v/>
      </c>
      <c r="BU120" s="510">
        <f>BT120-BR120</f>
        <v/>
      </c>
      <c r="BV120" s="383">
        <f>BU120/BR120</f>
        <v/>
      </c>
      <c r="BW120" s="383">
        <f>+BT120/T120</f>
        <v/>
      </c>
      <c r="BX120" s="383">
        <f>+BT120/U120</f>
        <v/>
      </c>
      <c r="BZ120" s="460">
        <f>SUM(BZ116:BZ119)</f>
        <v/>
      </c>
      <c r="CA120" s="460">
        <f>SUM(CA116:CA119)</f>
        <v/>
      </c>
      <c r="CB120" s="460">
        <f>SUM(CB116:CB119)</f>
        <v/>
      </c>
      <c r="CC120" s="460" t="n"/>
      <c r="CD120" s="460">
        <f>SUM(CD116:CD119)</f>
        <v/>
      </c>
      <c r="CE120" s="460" t="n"/>
      <c r="CF120" s="460">
        <f>SUM(CF116:CF119)</f>
        <v/>
      </c>
      <c r="CG120" s="460" t="n"/>
      <c r="CH120" s="460">
        <f>SUM(CH116:CH119)</f>
        <v/>
      </c>
      <c r="CI120" s="460" t="n"/>
      <c r="CJ120" s="460">
        <f>SUM(CJ116:CJ119)</f>
        <v/>
      </c>
      <c r="CK120" s="460" t="n"/>
      <c r="CL120" s="460">
        <f>SUM(CL116:CL119)</f>
        <v/>
      </c>
      <c r="CM120" s="460" t="n"/>
      <c r="CN120" s="460">
        <f>SUM(CN116:CN119)</f>
        <v/>
      </c>
      <c r="CO120" s="460" t="n"/>
      <c r="CP120" s="460">
        <f>SUM(CP116:CP119)</f>
        <v/>
      </c>
      <c r="CQ120" s="460" t="n"/>
      <c r="CR120" s="460">
        <f>SUM(CR116:CR119)</f>
        <v/>
      </c>
      <c r="CS120" s="460" t="n"/>
      <c r="CT120" s="460">
        <f>SUM(CT116:CT119)</f>
        <v/>
      </c>
      <c r="CU120" s="460" t="n"/>
      <c r="CV120" s="460">
        <f>SUM(CV116:CV119)</f>
        <v/>
      </c>
      <c r="CW120" s="460" t="n"/>
      <c r="CX120" s="460">
        <f>SUM(CX116:CX119)</f>
        <v/>
      </c>
      <c r="CY120" s="460" t="n"/>
      <c r="CZ120" s="460">
        <f>SUM(CZ116:CZ119)</f>
        <v/>
      </c>
      <c r="DA120" s="460" t="n"/>
      <c r="DB120" s="460">
        <f>SUM(DB116:DB119)</f>
        <v/>
      </c>
      <c r="DC120" s="460" t="n"/>
      <c r="DD120" s="460">
        <f>SUM(DD116:DD119)</f>
        <v/>
      </c>
      <c r="DE120" s="460" t="n"/>
      <c r="DF120" s="460">
        <f>SUM(DF116:DF119)</f>
        <v/>
      </c>
      <c r="DG120" s="460" t="n"/>
      <c r="DH120" s="460">
        <f>SUM(DH116:DH119)</f>
        <v/>
      </c>
      <c r="DI120" s="460" t="n"/>
      <c r="DJ120" s="460">
        <f>SUM(DJ116:DJ119)</f>
        <v/>
      </c>
      <c r="DK120" s="460" t="n"/>
      <c r="DL120" s="460">
        <f>SUM(DL116:DL119)</f>
        <v/>
      </c>
      <c r="DM120" s="460" t="n"/>
      <c r="DN120" s="460">
        <f>SUM(DN116:DN119)</f>
        <v/>
      </c>
      <c r="DO120" s="460" t="n"/>
      <c r="DP120" s="460">
        <f>SUM(DP116:DP119)</f>
        <v/>
      </c>
      <c r="DQ120" s="460" t="n"/>
      <c r="DR120" s="460">
        <f>SUM(DR116:DR119)</f>
        <v/>
      </c>
      <c r="DS120" s="460" t="n"/>
      <c r="DT120" s="460">
        <f>SUM(DT116:DT119)</f>
        <v/>
      </c>
      <c r="DU120" s="460" t="n"/>
      <c r="DV120" s="460">
        <f>SUM(DV116:DV119)</f>
        <v/>
      </c>
      <c r="DW120" s="460" t="n"/>
      <c r="DX120" s="460">
        <f>SUM(DX116:DX119)</f>
        <v/>
      </c>
      <c r="DY120" s="460" t="n"/>
      <c r="DZ120" s="460">
        <f>SUM(DZ116:DZ119)</f>
        <v/>
      </c>
      <c r="EA120" s="460" t="n"/>
      <c r="EB120" s="460">
        <f>SUM(EB116:EB119)</f>
        <v/>
      </c>
      <c r="EC120" s="460" t="n"/>
      <c r="ED120" s="460">
        <f>SUM(ED116:ED119)</f>
        <v/>
      </c>
      <c r="EE120" s="460" t="n"/>
      <c r="EF120" s="460">
        <f>SUM(EF116:EF119)</f>
        <v/>
      </c>
      <c r="EG120" s="460" t="n"/>
      <c r="EH120" s="460">
        <f>SUM(EH116:EH119)</f>
        <v/>
      </c>
      <c r="EI120" s="460" t="n"/>
      <c r="EJ120" s="460">
        <f>SUM(EJ116:EJ119)</f>
        <v/>
      </c>
      <c r="EK120" s="460" t="n"/>
      <c r="EL120" s="460">
        <f>SUM(EL116:EL119)</f>
        <v/>
      </c>
      <c r="EM120" s="460" t="n"/>
      <c r="EN120" s="460">
        <f>SUM(EN116:EN119)</f>
        <v/>
      </c>
      <c r="EO120" s="460" t="n"/>
      <c r="EP120" s="460">
        <f>SUM(EP116:EP119)</f>
        <v/>
      </c>
      <c r="EQ120" s="460" t="n"/>
      <c r="ER120" s="460">
        <f>SUM(ER116:ER119)</f>
        <v/>
      </c>
      <c r="ES120" s="460" t="n"/>
      <c r="ET120" s="460">
        <f>SUM(ET116:ET119)</f>
        <v/>
      </c>
      <c r="EU120" s="460">
        <f>SUM(EU116:EU119)</f>
        <v/>
      </c>
      <c r="EV120" s="460">
        <f>SUM(EV116:EV119)</f>
        <v/>
      </c>
      <c r="EW120" s="460">
        <f>SUM(EW116:EW119)</f>
        <v/>
      </c>
      <c r="EX120" s="460">
        <f>SUM(EX116:EX119)</f>
        <v/>
      </c>
      <c r="EY120" s="460">
        <f>SUM(EY116:EY119)</f>
        <v/>
      </c>
      <c r="EZ120" s="524" t="n"/>
      <c r="FA120" s="524" t="n"/>
      <c r="FB120" s="452">
        <f>+FA120-EW120</f>
        <v/>
      </c>
      <c r="FC120" s="348">
        <f>+FB120/EW120</f>
        <v/>
      </c>
      <c r="FD120" s="348">
        <f>+FA120/T120</f>
        <v/>
      </c>
      <c r="FE120" s="348">
        <f>+FA120/U120</f>
        <v/>
      </c>
    </row>
    <row r="121">
      <c r="B121" s="451" t="n"/>
      <c r="C121" s="451" t="n"/>
      <c r="D121" s="451" t="n"/>
      <c r="E121" s="451" t="n"/>
      <c r="F121" s="451" t="n"/>
      <c r="G121" s="451" t="n"/>
      <c r="H121" s="451" t="n"/>
      <c r="I121" s="451" t="n"/>
      <c r="J121" s="451" t="n"/>
      <c r="K121" s="451" t="n"/>
      <c r="L121" s="451" t="n"/>
      <c r="M121" s="451" t="n"/>
      <c r="N121" s="451" t="n"/>
      <c r="O121" s="451" t="n"/>
      <c r="P121" s="451" t="n"/>
      <c r="Q121" s="451" t="n"/>
      <c r="R121" s="451" t="n"/>
      <c r="S121" s="451" t="n"/>
      <c r="T121" s="451" t="n"/>
      <c r="U121" s="451" t="n"/>
      <c r="V121" s="451" t="n"/>
      <c r="W121" s="451" t="n"/>
      <c r="X121" s="451" t="n"/>
      <c r="Y121" s="451" t="n"/>
      <c r="Z121" s="451" t="n"/>
      <c r="AA121" s="452" t="n"/>
      <c r="AB121" s="348" t="n"/>
      <c r="AC121" s="451" t="n"/>
      <c r="AD121" s="452" t="n"/>
      <c r="AE121" s="348" t="n"/>
      <c r="AF121" s="451" t="n"/>
      <c r="AG121" s="451" t="n"/>
      <c r="AH121" s="451" t="n"/>
      <c r="AI121" s="451" t="n"/>
      <c r="AJ121" s="451" t="n"/>
      <c r="AK121" s="451" t="n"/>
      <c r="AL121" s="451" t="n"/>
      <c r="AM121" s="451" t="n"/>
      <c r="AN121" s="451" t="n"/>
      <c r="AO121" s="451" t="n"/>
      <c r="AP121" s="451" t="n"/>
      <c r="AQ121" s="451" t="n"/>
      <c r="AR121" s="451" t="n"/>
      <c r="AS121" s="451" t="n"/>
      <c r="AT121" s="451" t="n"/>
      <c r="AU121" s="451" t="n"/>
      <c r="AV121" s="451" t="n"/>
      <c r="AW121" s="451" t="n"/>
      <c r="AX121" s="451" t="n"/>
      <c r="AY121" s="451" t="n"/>
      <c r="AZ121" s="451" t="n"/>
      <c r="BA121" s="451" t="n"/>
      <c r="BB121" s="451" t="n"/>
      <c r="BC121" s="451" t="n"/>
      <c r="BD121" s="451" t="n"/>
      <c r="BE121" s="451" t="n"/>
      <c r="BF121" s="451" t="n"/>
      <c r="BG121" s="451" t="n"/>
      <c r="BH121" s="451" t="n"/>
      <c r="BI121" s="451" t="n"/>
      <c r="BJ121" s="451" t="n"/>
      <c r="BK121" s="451" t="n"/>
      <c r="BL121" s="451" t="n"/>
      <c r="BM121" s="451" t="n"/>
      <c r="BN121" s="451" t="n"/>
      <c r="BO121" s="451" t="n"/>
      <c r="BP121" s="451" t="n"/>
      <c r="BQ121" s="451" t="n"/>
      <c r="BR121" s="451" t="n"/>
      <c r="BS121" s="451" t="n"/>
      <c r="BT121" s="451" t="n"/>
      <c r="BU121" s="489" t="n"/>
      <c r="BV121" s="384" t="n"/>
      <c r="BW121" s="384" t="n"/>
      <c r="BX121" s="384" t="n"/>
      <c r="EW121" s="451" t="n"/>
      <c r="EX121" s="451" t="n"/>
      <c r="EY121" s="451" t="n"/>
      <c r="EZ121" s="521" t="n"/>
      <c r="FA121" s="521" t="n"/>
      <c r="FB121" s="452" t="n"/>
      <c r="FC121" s="348" t="n"/>
      <c r="FD121" s="348" t="n"/>
      <c r="FE121" s="348" t="n"/>
    </row>
    <row r="122">
      <c r="A122" s="6" t="inlineStr">
        <is>
          <t>Net proceeds from borrowing</t>
        </is>
      </c>
      <c r="B122" s="451">
        <f>SUM('Raw financials'!B223,'Raw financials'!B225,-'Raw financials'!B229)</f>
        <v/>
      </c>
      <c r="C122" s="451">
        <f>SUM('Raw financials'!C223,'Raw financials'!C225,-'Raw financials'!C229)</f>
        <v/>
      </c>
      <c r="D122" s="451">
        <f>SUM('Raw financials'!D223,'Raw financials'!D225,-'Raw financials'!D229)</f>
        <v/>
      </c>
      <c r="E122" s="451">
        <f>SUM('Raw financials'!E223,'Raw financials'!E225,-'Raw financials'!E229)</f>
        <v/>
      </c>
      <c r="F122" s="451">
        <f>SUM('Raw financials'!F223,'Raw financials'!F225,-'Raw financials'!F229)</f>
        <v/>
      </c>
      <c r="G122" s="451">
        <f>SUM('Raw financials'!G223,'Raw financials'!G225,-'Raw financials'!G229)</f>
        <v/>
      </c>
      <c r="H122" s="451">
        <f>SUM('Raw financials'!H223,'Raw financials'!H225,-'Raw financials'!H229)</f>
        <v/>
      </c>
      <c r="I122" s="451">
        <f>SUM('Raw financials'!I223,'Raw financials'!I225,-'Raw financials'!I229)</f>
        <v/>
      </c>
      <c r="J122" s="451">
        <f>SUM('Raw financials'!J223,'Raw financials'!J225,-'Raw financials'!J229)</f>
        <v/>
      </c>
      <c r="K122" s="451">
        <f>SUM('Raw financials'!K223,'Raw financials'!K225,-'Raw financials'!K229)</f>
        <v/>
      </c>
      <c r="L122" s="451">
        <f>SUM('Raw financials'!L223,'Raw financials'!L225,-'Raw financials'!L229)</f>
        <v/>
      </c>
      <c r="M122" s="451">
        <f>SUM('Raw financials'!M223,'Raw financials'!M225,-'Raw financials'!M229)</f>
        <v/>
      </c>
      <c r="N122" s="451">
        <f>SUM('Raw financials'!N223,'Raw financials'!N225,-'Raw financials'!N229)</f>
        <v/>
      </c>
      <c r="O122" s="451">
        <f>SUM('Raw financials'!O223,'Raw financials'!O225,-'Raw financials'!O229)</f>
        <v/>
      </c>
      <c r="P122" s="451">
        <f>SUM('Raw financials'!P223,'Raw financials'!P225,-'Raw financials'!P229)</f>
        <v/>
      </c>
      <c r="Q122" s="451">
        <f>SUM('Raw financials'!Q223,'Raw financials'!Q225,-'Raw financials'!Q229)</f>
        <v/>
      </c>
      <c r="R122" s="451">
        <f>SUM('Raw financials'!R223,'Raw financials'!R225,-'Raw financials'!R229)</f>
        <v/>
      </c>
      <c r="S122" s="451">
        <f>SUM('Raw financials'!S223,'Raw financials'!S225,-'Raw financials'!S229)</f>
        <v/>
      </c>
      <c r="T122" s="451">
        <f>SUM('Raw financials'!T223,'Raw financials'!T225,-'Raw financials'!T229)</f>
        <v/>
      </c>
      <c r="U122" s="451">
        <f>U69+U73+U77-T69-+T73-T77</f>
        <v/>
      </c>
      <c r="V122" s="451">
        <f>V69+V73+V77-U69-+U73-U77</f>
        <v/>
      </c>
      <c r="W122" s="451">
        <f>W69+W73+W77-V69-+V73-V77</f>
        <v/>
      </c>
      <c r="X122" s="451">
        <f>X69+X73+X77-W69-+W73-W77</f>
        <v/>
      </c>
      <c r="Y122" s="451">
        <f>Y69+Y73+Y77-X69-+X73-X77</f>
        <v/>
      </c>
      <c r="Z122" s="451">
        <f>Z69+Z73+Z77-Y69-+Y73-Y77</f>
        <v/>
      </c>
      <c r="AA122" s="452">
        <f>+U122-T122</f>
        <v/>
      </c>
      <c r="AB122" s="348">
        <f>+AA122/T122</f>
        <v/>
      </c>
      <c r="AC122" s="451" t="n">
        <v>0</v>
      </c>
      <c r="AD122" s="452">
        <f>+X122-W122</f>
        <v/>
      </c>
      <c r="AE122" s="348">
        <f>+AD122/W122</f>
        <v/>
      </c>
      <c r="AF122" s="451" t="n"/>
      <c r="AG122" s="451">
        <f>SUM('Raw financials'!AA223,'Raw financials'!AA225,-'Raw financials'!AA229)</f>
        <v/>
      </c>
      <c r="AH122" s="451">
        <f>+B122-AG122</f>
        <v/>
      </c>
      <c r="AI122" s="451">
        <f>SUM('Raw financials'!AB223,'Raw financials'!AB225,-'Raw financials'!AB229)</f>
        <v/>
      </c>
      <c r="AJ122" s="451">
        <f>+C122-AI122</f>
        <v/>
      </c>
      <c r="AK122" s="451">
        <f>SUM('Raw financials'!AC223,'Raw financials'!AC225,-'Raw financials'!AC229)</f>
        <v/>
      </c>
      <c r="AL122" s="451">
        <f>+D122-AK122</f>
        <v/>
      </c>
      <c r="AM122" s="451">
        <f>SUM('Raw financials'!AD223,'Raw financials'!AD225,-'Raw financials'!AD229)</f>
        <v/>
      </c>
      <c r="AN122" s="451">
        <f>+E122-AM122</f>
        <v/>
      </c>
      <c r="AO122" s="451">
        <f>SUM('Raw financials'!AE223,'Raw financials'!AE225,-'Raw financials'!AE229)</f>
        <v/>
      </c>
      <c r="AP122" s="451">
        <f>+F122-AO122</f>
        <v/>
      </c>
      <c r="AQ122" s="451">
        <f>SUM('Raw financials'!AF223,'Raw financials'!AF225,-'Raw financials'!AF229)</f>
        <v/>
      </c>
      <c r="AR122" s="451">
        <f>+G122-AQ122</f>
        <v/>
      </c>
      <c r="AS122" s="451">
        <f>SUM('Raw financials'!AG223,'Raw financials'!AG225,-'Raw financials'!AG229)</f>
        <v/>
      </c>
      <c r="AT122" s="451">
        <f>+H122-AS122</f>
        <v/>
      </c>
      <c r="AU122" s="451">
        <f>SUM('Raw financials'!AH223,'Raw financials'!AH225,-'Raw financials'!AH229)</f>
        <v/>
      </c>
      <c r="AV122" s="451">
        <f>+I122-AU122</f>
        <v/>
      </c>
      <c r="AW122" s="451">
        <f>SUM('Raw financials'!AI223,'Raw financials'!AI225,-'Raw financials'!AI229)</f>
        <v/>
      </c>
      <c r="AX122" s="451">
        <f>+J122-AW122</f>
        <v/>
      </c>
      <c r="AY122" s="451">
        <f>SUM('Raw financials'!AJ223,'Raw financials'!AJ225,-'Raw financials'!AJ229)</f>
        <v/>
      </c>
      <c r="AZ122" s="451">
        <f>+K122-AY122</f>
        <v/>
      </c>
      <c r="BA122" s="451">
        <f>SUM('Raw financials'!AK223,'Raw financials'!AK225,-'Raw financials'!AK229)</f>
        <v/>
      </c>
      <c r="BB122" s="451">
        <f>+L122-BA122</f>
        <v/>
      </c>
      <c r="BC122" s="451">
        <f>SUM('Raw financials'!AL223,'Raw financials'!AL225,-'Raw financials'!AL229)</f>
        <v/>
      </c>
      <c r="BD122" s="451">
        <f>+M122-BC122</f>
        <v/>
      </c>
      <c r="BE122" s="451">
        <f>SUM('Raw financials'!AM223,'Raw financials'!AM225,-'Raw financials'!AM229)</f>
        <v/>
      </c>
      <c r="BF122" s="451">
        <f>+N122-BE122</f>
        <v/>
      </c>
      <c r="BG122" s="451">
        <f>SUM('Raw financials'!AN223,'Raw financials'!AN225,-'Raw financials'!AN229)</f>
        <v/>
      </c>
      <c r="BH122" s="451">
        <f>+O122-BG122</f>
        <v/>
      </c>
      <c r="BI122" s="451">
        <f>SUM('Raw financials'!AO223,'Raw financials'!AO225,-'Raw financials'!AO229)</f>
        <v/>
      </c>
      <c r="BJ122" s="451">
        <f>+P122-BI122</f>
        <v/>
      </c>
      <c r="BK122" s="451">
        <f>SUM('Raw financials'!AP223,'Raw financials'!AP225,-'Raw financials'!AP229)</f>
        <v/>
      </c>
      <c r="BL122" s="451">
        <f>+Q122-BK122</f>
        <v/>
      </c>
      <c r="BM122" s="451">
        <f>SUM('Raw financials'!AQ223,'Raw financials'!AQ225,-'Raw financials'!AQ229)</f>
        <v/>
      </c>
      <c r="BN122" s="451">
        <f>+R122-BM122</f>
        <v/>
      </c>
      <c r="BO122" s="451">
        <f>SUM('Raw financials'!AR223,'Raw financials'!AR225,-'Raw financials'!AR229)</f>
        <v/>
      </c>
      <c r="BP122" s="451">
        <f>+S122-BO122</f>
        <v/>
      </c>
      <c r="BQ122" s="451">
        <f>SUM('Raw financials'!AS223,'Raw financials'!AS225,-'Raw financials'!AS229)</f>
        <v/>
      </c>
      <c r="BR122" s="451">
        <f>+T122-BQ122</f>
        <v/>
      </c>
      <c r="BS122" s="451" t="n"/>
      <c r="BT122" s="451">
        <f>+U122-BS122</f>
        <v/>
      </c>
      <c r="BU122" s="489">
        <f>BT122-BR122</f>
        <v/>
      </c>
      <c r="BV122" s="384">
        <f>BU122/BR122</f>
        <v/>
      </c>
      <c r="BW122" s="384">
        <f>+BT122/T122</f>
        <v/>
      </c>
      <c r="BX122" s="384">
        <f>+BT122/U122</f>
        <v/>
      </c>
      <c r="BZ122" s="451">
        <f>SUM('Raw financials'!BN223,'Raw financials'!BN225,-'Raw financials'!BN229)</f>
        <v/>
      </c>
      <c r="CA122" s="451">
        <f>SUM('Raw financials'!BO223,'Raw financials'!BO225,-'Raw financials'!BO229)</f>
        <v/>
      </c>
      <c r="CB122" s="451">
        <f>SUM('Raw financials'!BP223,'Raw financials'!BP225,-'Raw financials'!BP229)</f>
        <v/>
      </c>
      <c r="CC122" s="451" t="n"/>
      <c r="CD122" s="451">
        <f>SUM('Raw financials'!BR223,'Raw financials'!BR225,-'Raw financials'!BR229)</f>
        <v/>
      </c>
      <c r="CE122" s="451" t="n"/>
      <c r="CF122" s="451">
        <f>SUM('Raw financials'!BT223,'Raw financials'!BT225,-'Raw financials'!BT229)</f>
        <v/>
      </c>
      <c r="CG122" s="451" t="n"/>
      <c r="CH122" s="451">
        <f>SUM('Raw financials'!BV223,'Raw financials'!BV225,-'Raw financials'!BV229)</f>
        <v/>
      </c>
      <c r="CI122" s="451" t="n"/>
      <c r="CJ122" s="451">
        <f>SUM('Raw financials'!BX223,'Raw financials'!BX225,-'Raw financials'!BX229)</f>
        <v/>
      </c>
      <c r="CK122" s="451" t="n"/>
      <c r="CL122" s="451">
        <f>SUM('Raw financials'!BZ223,'Raw financials'!BZ225,-'Raw financials'!BZ229)</f>
        <v/>
      </c>
      <c r="CM122" s="451" t="n"/>
      <c r="CN122" s="451">
        <f>SUM('Raw financials'!CB223,'Raw financials'!CB225,-'Raw financials'!CB229)</f>
        <v/>
      </c>
      <c r="CO122" s="451" t="n"/>
      <c r="CP122" s="451">
        <f>SUM('Raw financials'!CD223,'Raw financials'!CD225,-'Raw financials'!CD229)</f>
        <v/>
      </c>
      <c r="CQ122" s="451" t="n"/>
      <c r="CR122" s="451">
        <f>SUM('Raw financials'!CF223,'Raw financials'!CF225,-'Raw financials'!CF229)</f>
        <v/>
      </c>
      <c r="CS122" s="451" t="n"/>
      <c r="CT122" s="451">
        <f>SUM('Raw financials'!CH223,'Raw financials'!CH225,-'Raw financials'!CH229)</f>
        <v/>
      </c>
      <c r="CU122" s="451" t="n"/>
      <c r="CV122" s="451">
        <f>SUM('Raw financials'!CJ223,'Raw financials'!CJ225,-'Raw financials'!CJ229)</f>
        <v/>
      </c>
      <c r="CW122" s="451" t="n"/>
      <c r="CX122" s="451">
        <f>SUM('Raw financials'!CL223,'Raw financials'!CL225,-'Raw financials'!CL229)</f>
        <v/>
      </c>
      <c r="CY122" s="451" t="n"/>
      <c r="CZ122" s="451">
        <f>SUM('Raw financials'!CN223,'Raw financials'!CN225,-'Raw financials'!CN229)</f>
        <v/>
      </c>
      <c r="DA122" s="451" t="n"/>
      <c r="DB122" s="451">
        <f>SUM('Raw financials'!CP223,'Raw financials'!CP225,-'Raw financials'!CP229)</f>
        <v/>
      </c>
      <c r="DC122" s="451" t="n"/>
      <c r="DD122" s="451">
        <f>SUM('Raw financials'!CR223,'Raw financials'!CR225,-'Raw financials'!CR229)</f>
        <v/>
      </c>
      <c r="DE122" s="451" t="n"/>
      <c r="DF122" s="451">
        <f>SUM('Raw financials'!CT223,'Raw financials'!CT225,-'Raw financials'!CT229)</f>
        <v/>
      </c>
      <c r="DG122" s="451" t="n"/>
      <c r="DH122" s="451">
        <f>SUM('Raw financials'!CV223,'Raw financials'!CV225,-'Raw financials'!CV229)</f>
        <v/>
      </c>
      <c r="DI122" s="451" t="n"/>
      <c r="DJ122" s="451">
        <f>SUM('Raw financials'!CX223,'Raw financials'!CX225,-'Raw financials'!CX229)</f>
        <v/>
      </c>
      <c r="DK122" s="451" t="n"/>
      <c r="DL122" s="451">
        <f>SUM('Raw financials'!CZ223,'Raw financials'!CZ225,-'Raw financials'!CZ229)</f>
        <v/>
      </c>
      <c r="DM122" s="451" t="n"/>
      <c r="DN122" s="451">
        <f>SUM('Raw financials'!DB223,'Raw financials'!DB225,-'Raw financials'!DB229)</f>
        <v/>
      </c>
      <c r="DO122" s="451" t="n"/>
      <c r="DP122" s="451">
        <f>SUM('Raw financials'!DD223,'Raw financials'!DD225,-'Raw financials'!DD229)</f>
        <v/>
      </c>
      <c r="DQ122" s="451" t="n"/>
      <c r="DR122" s="451">
        <f>SUM('Raw financials'!DF223,'Raw financials'!DF225,-'Raw financials'!DF229)</f>
        <v/>
      </c>
      <c r="DS122" s="451" t="n"/>
      <c r="DT122" s="451">
        <f>SUM('Raw financials'!DH223,'Raw financials'!DH225,-'Raw financials'!DH229)</f>
        <v/>
      </c>
      <c r="DU122" s="451" t="n"/>
      <c r="DV122" s="451">
        <f>SUM('Raw financials'!DJ223,'Raw financials'!DJ225,-'Raw financials'!DJ229)</f>
        <v/>
      </c>
      <c r="DW122" s="451" t="n"/>
      <c r="DX122" s="451">
        <f>SUM('Raw financials'!DL223,'Raw financials'!DL225,-'Raw financials'!DL229)</f>
        <v/>
      </c>
      <c r="DY122" s="451" t="n"/>
      <c r="DZ122" s="451">
        <f>SUM('Raw financials'!DN223,'Raw financials'!DN225,-'Raw financials'!DN229)</f>
        <v/>
      </c>
      <c r="EA122" s="451" t="n"/>
      <c r="EB122" s="451">
        <f>SUM('Raw financials'!DP223,'Raw financials'!DP225,-'Raw financials'!DP229)</f>
        <v/>
      </c>
      <c r="EC122" s="451" t="n"/>
      <c r="ED122" s="451">
        <f>SUM('Raw financials'!DR223,'Raw financials'!DR225,-'Raw financials'!DR229)</f>
        <v/>
      </c>
      <c r="EE122" s="451" t="n"/>
      <c r="EF122" s="451">
        <f>SUM('Raw financials'!DT223,'Raw financials'!DT225,-'Raw financials'!DT229)</f>
        <v/>
      </c>
      <c r="EG122" s="451" t="n"/>
      <c r="EH122" s="451">
        <f>SUM('Raw financials'!DV223,'Raw financials'!DV225,-'Raw financials'!DV229)</f>
        <v/>
      </c>
      <c r="EI122" s="451" t="n"/>
      <c r="EJ122" s="451">
        <f>SUM('Raw financials'!DX223,'Raw financials'!DX225,-'Raw financials'!DX229)</f>
        <v/>
      </c>
      <c r="EK122" s="451" t="n"/>
      <c r="EL122" s="451">
        <f>SUM('Raw financials'!DZ223,'Raw financials'!DZ225,-'Raw financials'!DZ229)</f>
        <v/>
      </c>
      <c r="EM122" s="451" t="n"/>
      <c r="EN122" s="451">
        <f>SUM('Raw financials'!EB223,'Raw financials'!EB225,-'Raw financials'!EB229)</f>
        <v/>
      </c>
      <c r="EO122" s="451" t="n"/>
      <c r="EP122" s="451">
        <f>SUM('Raw financials'!ED223,'Raw financials'!ED225,-'Raw financials'!ED229)</f>
        <v/>
      </c>
      <c r="EQ122" s="451" t="n"/>
      <c r="ER122" s="451">
        <f>SUM('Raw financials'!EF223,'Raw financials'!EF225,-'Raw financials'!EF229)</f>
        <v/>
      </c>
      <c r="ES122" s="451" t="n"/>
      <c r="ET122" s="451">
        <f>SUM('Raw financials'!EH223,'Raw financials'!EH225,-'Raw financials'!EH229)</f>
        <v/>
      </c>
      <c r="EU122" s="451">
        <f>+BQ122-ET122</f>
        <v/>
      </c>
      <c r="EV122" s="451">
        <f>SUM('Raw financials'!EJ223,'Raw financials'!EJ225,-'Raw financials'!EJ229)</f>
        <v/>
      </c>
      <c r="EW122" s="451">
        <f>SUM('Raw financials'!EK223,'Raw financials'!EK225,-'Raw financials'!EK229)</f>
        <v/>
      </c>
      <c r="EX122" s="451">
        <f>SUM('Raw financials'!EL223,'Raw financials'!EL225,-'Raw financials'!EL229)</f>
        <v/>
      </c>
      <c r="EY122" s="451">
        <f>SUM('Raw financials'!EM223,'Raw financials'!EM225,-'Raw financials'!EM229)</f>
        <v/>
      </c>
      <c r="EZ122" s="521" t="n"/>
      <c r="FA122" s="521" t="n"/>
      <c r="FB122" s="452">
        <f>+FA122-EW122</f>
        <v/>
      </c>
      <c r="FC122" s="348">
        <f>+FB122/EW122</f>
        <v/>
      </c>
      <c r="FD122" s="348">
        <f>+FA122/T122</f>
        <v/>
      </c>
      <c r="FE122" s="348">
        <f>+FA122/U122</f>
        <v/>
      </c>
    </row>
    <row r="123">
      <c r="A123" s="6" t="inlineStr">
        <is>
          <t>Share issuance</t>
        </is>
      </c>
      <c r="B123" s="451">
        <f>'Raw financials'!B221</f>
        <v/>
      </c>
      <c r="C123" s="451">
        <f>'Raw financials'!C221</f>
        <v/>
      </c>
      <c r="D123" s="451">
        <f>'Raw financials'!D221</f>
        <v/>
      </c>
      <c r="E123" s="451">
        <f>'Raw financials'!E221</f>
        <v/>
      </c>
      <c r="F123" s="451">
        <f>'Raw financials'!F221</f>
        <v/>
      </c>
      <c r="G123" s="451">
        <f>'Raw financials'!G221</f>
        <v/>
      </c>
      <c r="H123" s="451">
        <f>'Raw financials'!H221</f>
        <v/>
      </c>
      <c r="I123" s="451">
        <f>'Raw financials'!I221</f>
        <v/>
      </c>
      <c r="J123" s="451">
        <f>'Raw financials'!J221</f>
        <v/>
      </c>
      <c r="K123" s="451">
        <f>'Raw financials'!K221</f>
        <v/>
      </c>
      <c r="L123" s="451">
        <f>'Raw financials'!L221</f>
        <v/>
      </c>
      <c r="M123" s="451">
        <f>'Raw financials'!M221</f>
        <v/>
      </c>
      <c r="N123" s="451">
        <f>'Raw financials'!N221</f>
        <v/>
      </c>
      <c r="O123" s="451">
        <f>'Raw financials'!O221</f>
        <v/>
      </c>
      <c r="P123" s="451">
        <f>'Raw financials'!P221</f>
        <v/>
      </c>
      <c r="Q123" s="451">
        <f>'Raw financials'!Q221</f>
        <v/>
      </c>
      <c r="R123" s="451">
        <f>'Raw financials'!R221</f>
        <v/>
      </c>
      <c r="S123" s="451">
        <f>'Raw financials'!S221</f>
        <v/>
      </c>
      <c r="T123" s="451">
        <f>'Raw financials'!T221</f>
        <v/>
      </c>
      <c r="U123" s="459">
        <f>+(U84+U85+U86+U87)-(T84+T85+T86+T87)</f>
        <v/>
      </c>
      <c r="V123" s="459">
        <f>+(V84+V85+V86+V87)-(U84+U85+U86+U87)</f>
        <v/>
      </c>
      <c r="W123" s="459">
        <f>+(W84+W85+W86+W87)-(V84+V85+V86+V87)</f>
        <v/>
      </c>
      <c r="X123" s="459">
        <f>+(X84+X85+X86+X87)-(W84+W85+W86+W87)</f>
        <v/>
      </c>
      <c r="Y123" s="459">
        <f>+(Y84+Y85+Y86+Y87)-(X84+X85+X86+X87)</f>
        <v/>
      </c>
      <c r="Z123" s="459">
        <f>+(Z84+Z85+Z86+Z87)-(Y84+Y85+Y86+Y87)</f>
        <v/>
      </c>
      <c r="AA123" s="452">
        <f>+U123-T123</f>
        <v/>
      </c>
      <c r="AB123" s="348">
        <f>+AA123/T123</f>
        <v/>
      </c>
      <c r="AC123" s="459" t="n">
        <v>5186.565363</v>
      </c>
      <c r="AD123" s="452">
        <f>+X123-W123</f>
        <v/>
      </c>
      <c r="AE123" s="348">
        <f>+AD123/W123</f>
        <v/>
      </c>
      <c r="AF123" s="459" t="n"/>
      <c r="AG123" s="451">
        <f>'Raw financials'!AA221</f>
        <v/>
      </c>
      <c r="AH123" s="451">
        <f>+B123-AG123</f>
        <v/>
      </c>
      <c r="AI123" s="451">
        <f>'Raw financials'!AB221</f>
        <v/>
      </c>
      <c r="AJ123" s="451">
        <f>+C123-AI123</f>
        <v/>
      </c>
      <c r="AK123" s="451">
        <f>'Raw financials'!AC221</f>
        <v/>
      </c>
      <c r="AL123" s="451">
        <f>+D123-AK123</f>
        <v/>
      </c>
      <c r="AM123" s="451">
        <f>'Raw financials'!AD221</f>
        <v/>
      </c>
      <c r="AN123" s="451">
        <f>+E123-AM123</f>
        <v/>
      </c>
      <c r="AO123" s="451">
        <f>'Raw financials'!AE221</f>
        <v/>
      </c>
      <c r="AP123" s="451">
        <f>+F123-AO123</f>
        <v/>
      </c>
      <c r="AQ123" s="451">
        <f>'Raw financials'!AF221</f>
        <v/>
      </c>
      <c r="AR123" s="451">
        <f>+G123-AQ123</f>
        <v/>
      </c>
      <c r="AS123" s="451">
        <f>'Raw financials'!AG221</f>
        <v/>
      </c>
      <c r="AT123" s="451">
        <f>+H123-AS123</f>
        <v/>
      </c>
      <c r="AU123" s="451">
        <f>'Raw financials'!AH221</f>
        <v/>
      </c>
      <c r="AV123" s="451">
        <f>+I123-AU123</f>
        <v/>
      </c>
      <c r="AW123" s="451">
        <f>'Raw financials'!AI221</f>
        <v/>
      </c>
      <c r="AX123" s="451">
        <f>+J123-AW123</f>
        <v/>
      </c>
      <c r="AY123" s="451">
        <f>'Raw financials'!AJ221</f>
        <v/>
      </c>
      <c r="AZ123" s="451">
        <f>+K123-AY123</f>
        <v/>
      </c>
      <c r="BA123" s="451">
        <f>'Raw financials'!AK221</f>
        <v/>
      </c>
      <c r="BB123" s="451">
        <f>+L123-BA123</f>
        <v/>
      </c>
      <c r="BC123" s="451">
        <f>'Raw financials'!AL221</f>
        <v/>
      </c>
      <c r="BD123" s="451">
        <f>+M123-BC123</f>
        <v/>
      </c>
      <c r="BE123" s="451">
        <f>'Raw financials'!AM221</f>
        <v/>
      </c>
      <c r="BF123" s="451">
        <f>+N123-BE123</f>
        <v/>
      </c>
      <c r="BG123" s="451">
        <f>'Raw financials'!AN221</f>
        <v/>
      </c>
      <c r="BH123" s="451">
        <f>+O123-BG123</f>
        <v/>
      </c>
      <c r="BI123" s="451">
        <f>'Raw financials'!AO221</f>
        <v/>
      </c>
      <c r="BJ123" s="451">
        <f>+P123-BI123</f>
        <v/>
      </c>
      <c r="BK123" s="451">
        <f>'Raw financials'!AP221</f>
        <v/>
      </c>
      <c r="BL123" s="451">
        <f>+Q123-BK123</f>
        <v/>
      </c>
      <c r="BM123" s="451">
        <f>'Raw financials'!AQ221</f>
        <v/>
      </c>
      <c r="BN123" s="451">
        <f>+R123-BM123</f>
        <v/>
      </c>
      <c r="BO123" s="451">
        <f>'Raw financials'!AR221</f>
        <v/>
      </c>
      <c r="BP123" s="451">
        <f>+S123-BO123</f>
        <v/>
      </c>
      <c r="BQ123" s="451">
        <f>'Raw financials'!AS221</f>
        <v/>
      </c>
      <c r="BR123" s="451">
        <f>+T123-BQ123</f>
        <v/>
      </c>
      <c r="BS123" s="451" t="n"/>
      <c r="BT123" s="451">
        <f>+U123-BS123</f>
        <v/>
      </c>
      <c r="BU123" s="489">
        <f>BT123-BR123</f>
        <v/>
      </c>
      <c r="BV123" s="384">
        <f>BU123/BR123</f>
        <v/>
      </c>
      <c r="BW123" s="384">
        <f>+BT123/T123</f>
        <v/>
      </c>
      <c r="BX123" s="384">
        <f>+BT123/U123</f>
        <v/>
      </c>
      <c r="BZ123" s="451">
        <f>'Raw financials'!BN221</f>
        <v/>
      </c>
      <c r="CA123" s="451">
        <f>'Raw financials'!BO221</f>
        <v/>
      </c>
      <c r="CB123" s="451">
        <f>'Raw financials'!BP221</f>
        <v/>
      </c>
      <c r="CC123" s="451" t="n"/>
      <c r="CD123" s="451">
        <f>'Raw financials'!BR221</f>
        <v/>
      </c>
      <c r="CE123" s="451" t="n"/>
      <c r="CF123" s="451">
        <f>'Raw financials'!BT221</f>
        <v/>
      </c>
      <c r="CG123" s="451" t="n"/>
      <c r="CH123" s="451">
        <f>'Raw financials'!BV221</f>
        <v/>
      </c>
      <c r="CI123" s="451" t="n"/>
      <c r="CJ123" s="451">
        <f>'Raw financials'!BX221</f>
        <v/>
      </c>
      <c r="CK123" s="451" t="n"/>
      <c r="CL123" s="451">
        <f>'Raw financials'!BZ221</f>
        <v/>
      </c>
      <c r="CM123" s="451" t="n"/>
      <c r="CN123" s="451">
        <f>'Raw financials'!CB221</f>
        <v/>
      </c>
      <c r="CO123" s="451" t="n"/>
      <c r="CP123" s="451">
        <f>'Raw financials'!CD221</f>
        <v/>
      </c>
      <c r="CQ123" s="451" t="n"/>
      <c r="CR123" s="451">
        <f>'Raw financials'!CF221</f>
        <v/>
      </c>
      <c r="CS123" s="451" t="n"/>
      <c r="CT123" s="451">
        <f>'Raw financials'!CH221</f>
        <v/>
      </c>
      <c r="CU123" s="451" t="n"/>
      <c r="CV123" s="451">
        <f>'Raw financials'!CJ221</f>
        <v/>
      </c>
      <c r="CW123" s="451" t="n"/>
      <c r="CX123" s="451">
        <f>'Raw financials'!CL221</f>
        <v/>
      </c>
      <c r="CY123" s="451" t="n"/>
      <c r="CZ123" s="451">
        <f>'Raw financials'!CN221</f>
        <v/>
      </c>
      <c r="DA123" s="451" t="n"/>
      <c r="DB123" s="451">
        <f>'Raw financials'!CP221</f>
        <v/>
      </c>
      <c r="DC123" s="451" t="n"/>
      <c r="DD123" s="451">
        <f>'Raw financials'!CR221</f>
        <v/>
      </c>
      <c r="DE123" s="451" t="n"/>
      <c r="DF123" s="451">
        <f>'Raw financials'!CT221</f>
        <v/>
      </c>
      <c r="DG123" s="451" t="n"/>
      <c r="DH123" s="451">
        <f>'Raw financials'!CV221</f>
        <v/>
      </c>
      <c r="DI123" s="451" t="n"/>
      <c r="DJ123" s="451">
        <f>'Raw financials'!CX221</f>
        <v/>
      </c>
      <c r="DK123" s="451" t="n"/>
      <c r="DL123" s="451">
        <f>'Raw financials'!CZ221</f>
        <v/>
      </c>
      <c r="DM123" s="451" t="n"/>
      <c r="DN123" s="451">
        <f>'Raw financials'!DB221</f>
        <v/>
      </c>
      <c r="DO123" s="451" t="n"/>
      <c r="DP123" s="451">
        <f>'Raw financials'!DD221</f>
        <v/>
      </c>
      <c r="DQ123" s="451" t="n"/>
      <c r="DR123" s="451">
        <f>'Raw financials'!DF221</f>
        <v/>
      </c>
      <c r="DS123" s="451" t="n"/>
      <c r="DT123" s="451">
        <f>'Raw financials'!DH221</f>
        <v/>
      </c>
      <c r="DU123" s="451" t="n"/>
      <c r="DV123" s="451">
        <f>'Raw financials'!DJ221</f>
        <v/>
      </c>
      <c r="DW123" s="451" t="n"/>
      <c r="DX123" s="451">
        <f>'Raw financials'!DL221</f>
        <v/>
      </c>
      <c r="DY123" s="451" t="n"/>
      <c r="DZ123" s="451">
        <f>'Raw financials'!DN221</f>
        <v/>
      </c>
      <c r="EA123" s="451" t="n"/>
      <c r="EB123" s="451">
        <f>'Raw financials'!DP221</f>
        <v/>
      </c>
      <c r="EC123" s="451" t="n"/>
      <c r="ED123" s="451">
        <f>'Raw financials'!DR221</f>
        <v/>
      </c>
      <c r="EE123" s="451" t="n"/>
      <c r="EF123" s="451">
        <f>'Raw financials'!DT221</f>
        <v/>
      </c>
      <c r="EG123" s="451" t="n"/>
      <c r="EH123" s="451">
        <f>'Raw financials'!DV221</f>
        <v/>
      </c>
      <c r="EI123" s="451" t="n"/>
      <c r="EJ123" s="451">
        <f>'Raw financials'!DX221</f>
        <v/>
      </c>
      <c r="EK123" s="451" t="n"/>
      <c r="EL123" s="451">
        <f>'Raw financials'!DZ221</f>
        <v/>
      </c>
      <c r="EM123" s="451" t="n"/>
      <c r="EN123" s="451">
        <f>'Raw financials'!EB221</f>
        <v/>
      </c>
      <c r="EO123" s="451" t="n"/>
      <c r="EP123" s="451">
        <f>'Raw financials'!ED221</f>
        <v/>
      </c>
      <c r="EQ123" s="451" t="n"/>
      <c r="ER123" s="451">
        <f>'Raw financials'!EF221</f>
        <v/>
      </c>
      <c r="ES123" s="451" t="n"/>
      <c r="ET123" s="451">
        <f>'Raw financials'!EH221</f>
        <v/>
      </c>
      <c r="EU123" s="451">
        <f>+BQ123-ET123</f>
        <v/>
      </c>
      <c r="EV123" s="451">
        <f>'Raw financials'!EJ221</f>
        <v/>
      </c>
      <c r="EW123" s="451">
        <f>'Raw financials'!EK221</f>
        <v/>
      </c>
      <c r="EX123" s="451">
        <f>'Raw financials'!EL221</f>
        <v/>
      </c>
      <c r="EY123" s="451">
        <f>'Raw financials'!EM221</f>
        <v/>
      </c>
      <c r="EZ123" s="521" t="n"/>
      <c r="FA123" s="521" t="n"/>
      <c r="FB123" s="452">
        <f>+FA123-EW123</f>
        <v/>
      </c>
      <c r="FC123" s="348">
        <f>+FB123/EW123</f>
        <v/>
      </c>
      <c r="FD123" s="348">
        <f>+FA123/T123</f>
        <v/>
      </c>
      <c r="FE123" s="348">
        <f>+FA123/U123</f>
        <v/>
      </c>
    </row>
    <row r="124">
      <c r="A124" s="6" t="inlineStr">
        <is>
          <t>Dividend payment</t>
        </is>
      </c>
      <c r="B124" s="451" t="n">
        <v>-225</v>
      </c>
      <c r="C124" s="451">
        <f>-B38</f>
        <v/>
      </c>
      <c r="D124" s="451">
        <f>-C38</f>
        <v/>
      </c>
      <c r="E124" s="451">
        <f>-D38</f>
        <v/>
      </c>
      <c r="F124" s="451">
        <f>-E38</f>
        <v/>
      </c>
      <c r="G124" s="451">
        <f>-F38</f>
        <v/>
      </c>
      <c r="H124" s="451">
        <f>-G38</f>
        <v/>
      </c>
      <c r="I124" s="451">
        <f>-H38</f>
        <v/>
      </c>
      <c r="J124" s="451">
        <f>-I38</f>
        <v/>
      </c>
      <c r="K124" s="451">
        <f>-J38</f>
        <v/>
      </c>
      <c r="L124" s="451">
        <f>-K38</f>
        <v/>
      </c>
      <c r="M124" s="451">
        <f>-L38</f>
        <v/>
      </c>
      <c r="N124" s="451">
        <f>-M38</f>
        <v/>
      </c>
      <c r="O124" s="451">
        <f>-N38</f>
        <v/>
      </c>
      <c r="P124" s="451">
        <f>-O38</f>
        <v/>
      </c>
      <c r="Q124" s="451">
        <f>-P38</f>
        <v/>
      </c>
      <c r="R124" s="451">
        <f>-Q38</f>
        <v/>
      </c>
      <c r="S124" s="451">
        <f>-R38</f>
        <v/>
      </c>
      <c r="T124" s="451">
        <f>-S38</f>
        <v/>
      </c>
      <c r="U124" s="451">
        <f>-T38</f>
        <v/>
      </c>
      <c r="V124" s="451">
        <f>-U38</f>
        <v/>
      </c>
      <c r="W124" s="451">
        <f>-V38</f>
        <v/>
      </c>
      <c r="X124" s="451">
        <f>-W38</f>
        <v/>
      </c>
      <c r="Y124" s="451">
        <f>-X38</f>
        <v/>
      </c>
      <c r="Z124" s="451">
        <f>-Y38</f>
        <v/>
      </c>
      <c r="AA124" s="452">
        <f>+U124-T124</f>
        <v/>
      </c>
      <c r="AB124" s="348">
        <f>+AA124/T124</f>
        <v/>
      </c>
      <c r="AC124" s="451" t="n">
        <v>-1366.32</v>
      </c>
      <c r="AD124" s="452">
        <f>+X124-W124</f>
        <v/>
      </c>
      <c r="AE124" s="348">
        <f>+AD124/W124</f>
        <v/>
      </c>
      <c r="AF124" s="451" t="n"/>
      <c r="AG124" s="451" t="n">
        <v>-15</v>
      </c>
      <c r="AH124" s="451">
        <f>+B124-AG124</f>
        <v/>
      </c>
      <c r="AI124" s="451" t="n">
        <v>-14</v>
      </c>
      <c r="AJ124" s="451">
        <f>+C124-AI124</f>
        <v/>
      </c>
      <c r="AK124" s="451" t="n">
        <v>-13</v>
      </c>
      <c r="AL124" s="451">
        <f>+D124-AK124</f>
        <v/>
      </c>
      <c r="AM124" s="451" t="n">
        <v>-12</v>
      </c>
      <c r="AN124" s="451">
        <f>+E124-AM124</f>
        <v/>
      </c>
      <c r="AO124" s="451" t="n">
        <v>-11</v>
      </c>
      <c r="AP124" s="451">
        <f>+F124-AO124</f>
        <v/>
      </c>
      <c r="AQ124" s="451" t="n">
        <v>-10</v>
      </c>
      <c r="AR124" s="451">
        <f>+G124-AQ124</f>
        <v/>
      </c>
      <c r="AS124" s="451" t="n">
        <v>-9</v>
      </c>
      <c r="AT124" s="451">
        <f>+H124-AS124</f>
        <v/>
      </c>
      <c r="AU124" s="451" t="n">
        <v>-8</v>
      </c>
      <c r="AV124" s="451">
        <f>+I124-AU124</f>
        <v/>
      </c>
      <c r="AW124" s="451" t="n">
        <v>-7</v>
      </c>
      <c r="AX124" s="451">
        <f>+J124-AW124</f>
        <v/>
      </c>
      <c r="AY124" s="451" t="n">
        <v>-6</v>
      </c>
      <c r="AZ124" s="451">
        <f>+K124-AY124</f>
        <v/>
      </c>
      <c r="BA124" s="451" t="n">
        <v>-5</v>
      </c>
      <c r="BB124" s="451">
        <f>+L124-BA124</f>
        <v/>
      </c>
      <c r="BC124" s="451" t="n">
        <v>-4</v>
      </c>
      <c r="BD124" s="451">
        <f>+M124-BC124</f>
        <v/>
      </c>
      <c r="BE124" s="451" t="n">
        <v>-3</v>
      </c>
      <c r="BF124" s="451">
        <f>+N124-BE124</f>
        <v/>
      </c>
      <c r="BG124" s="451" t="n">
        <v>-2</v>
      </c>
      <c r="BH124" s="451">
        <f>+O124-BG124</f>
        <v/>
      </c>
      <c r="BI124" s="451" t="n">
        <v>-1</v>
      </c>
      <c r="BJ124" s="451">
        <f>+P124-BI124</f>
        <v/>
      </c>
      <c r="BK124" s="451" t="n">
        <v>0</v>
      </c>
      <c r="BL124" s="451">
        <f>+Q124-BK124</f>
        <v/>
      </c>
      <c r="BM124" s="451" t="n">
        <v>0</v>
      </c>
      <c r="BN124" s="451">
        <f>+R124-BM124</f>
        <v/>
      </c>
      <c r="BO124" s="451" t="n">
        <v>0</v>
      </c>
      <c r="BP124" s="451">
        <f>+S124-BO124</f>
        <v/>
      </c>
      <c r="BQ124" s="451" t="n">
        <v>0</v>
      </c>
      <c r="BR124" s="451">
        <f>+T124-BQ124</f>
        <v/>
      </c>
      <c r="BS124" s="451" t="n"/>
      <c r="BT124" s="451">
        <f>+U124-BS124</f>
        <v/>
      </c>
      <c r="BU124" s="489">
        <f>BT124-BR124</f>
        <v/>
      </c>
      <c r="BV124" s="384">
        <f>BU124/BR124</f>
        <v/>
      </c>
      <c r="BW124" s="384">
        <f>+BT124/T124</f>
        <v/>
      </c>
      <c r="BX124" s="384">
        <f>+BT124/U124</f>
        <v/>
      </c>
      <c r="BZ124" s="451" t="n">
        <v>-36</v>
      </c>
      <c r="CA124" s="451" t="n">
        <v>-36</v>
      </c>
      <c r="CB124" s="451" t="n">
        <v>-36</v>
      </c>
      <c r="CC124" s="451" t="n"/>
      <c r="CD124" s="451" t="n">
        <v>-34</v>
      </c>
      <c r="CE124" s="451" t="n"/>
      <c r="CF124" s="451" t="n">
        <v>-33</v>
      </c>
      <c r="CG124" s="451" t="n"/>
      <c r="CH124" s="451" t="n">
        <v>-32</v>
      </c>
      <c r="CI124" s="451" t="n"/>
      <c r="CJ124" s="451" t="n">
        <v>-31</v>
      </c>
      <c r="CK124" s="451" t="n"/>
      <c r="CL124" s="451" t="n">
        <v>-30</v>
      </c>
      <c r="CM124" s="451" t="n"/>
      <c r="CN124" s="451" t="n">
        <v>-29</v>
      </c>
      <c r="CO124" s="451" t="n"/>
      <c r="CP124" s="451" t="n">
        <v>-28</v>
      </c>
      <c r="CQ124" s="451" t="n"/>
      <c r="CR124" s="451" t="n">
        <v>-27</v>
      </c>
      <c r="CS124" s="451" t="n"/>
      <c r="CT124" s="451" t="n">
        <v>-26</v>
      </c>
      <c r="CU124" s="451" t="n"/>
      <c r="CV124" s="451" t="n">
        <v>-25</v>
      </c>
      <c r="CW124" s="451" t="n"/>
      <c r="CX124" s="451" t="n">
        <v>-24</v>
      </c>
      <c r="CY124" s="451" t="n"/>
      <c r="CZ124" s="451" t="n">
        <v>-23</v>
      </c>
      <c r="DA124" s="451" t="n"/>
      <c r="DB124" s="451" t="n">
        <v>-22</v>
      </c>
      <c r="DC124" s="451" t="n"/>
      <c r="DD124" s="451" t="n">
        <v>-21</v>
      </c>
      <c r="DE124" s="451" t="n"/>
      <c r="DF124" s="451" t="n">
        <v>-20</v>
      </c>
      <c r="DG124" s="451" t="n"/>
      <c r="DH124" s="451" t="n">
        <v>-19</v>
      </c>
      <c r="DI124" s="451" t="n"/>
      <c r="DJ124" s="451" t="n">
        <v>-18</v>
      </c>
      <c r="DK124" s="451" t="n"/>
      <c r="DL124" s="451" t="n">
        <v>-17</v>
      </c>
      <c r="DM124" s="451" t="n"/>
      <c r="DN124" s="451" t="n">
        <v>-16</v>
      </c>
      <c r="DO124" s="451" t="n"/>
      <c r="DP124" s="451" t="n">
        <v>-15</v>
      </c>
      <c r="DQ124" s="451" t="n"/>
      <c r="DR124" s="451" t="n">
        <v>-14</v>
      </c>
      <c r="DS124" s="451" t="n"/>
      <c r="DT124" s="451" t="n">
        <v>-13</v>
      </c>
      <c r="DU124" s="451" t="n"/>
      <c r="DV124" s="451" t="n">
        <v>-12</v>
      </c>
      <c r="DW124" s="451" t="n"/>
      <c r="DX124" s="451" t="n">
        <v>-11</v>
      </c>
      <c r="DY124" s="451" t="n"/>
      <c r="DZ124" s="451" t="n">
        <v>-10</v>
      </c>
      <c r="EA124" s="451" t="n"/>
      <c r="EB124" s="451" t="n">
        <v>-9</v>
      </c>
      <c r="EC124" s="451" t="n"/>
      <c r="ED124" s="451" t="n">
        <v>-8</v>
      </c>
      <c r="EE124" s="451" t="n"/>
      <c r="EF124" s="451" t="n">
        <v>-7</v>
      </c>
      <c r="EG124" s="451" t="n"/>
      <c r="EH124" s="451" t="n">
        <v>-6</v>
      </c>
      <c r="EI124" s="451" t="n"/>
      <c r="EJ124" s="451" t="n">
        <v>-5</v>
      </c>
      <c r="EK124" s="451" t="n"/>
      <c r="EL124" s="451" t="n">
        <v>-4</v>
      </c>
      <c r="EM124" s="451" t="n"/>
      <c r="EN124" s="451" t="n">
        <v>-3</v>
      </c>
      <c r="EO124" s="451" t="n"/>
      <c r="EP124" s="451" t="n">
        <v>-2</v>
      </c>
      <c r="EQ124" s="451" t="n"/>
      <c r="ER124" s="451" t="n">
        <v>-1</v>
      </c>
      <c r="ES124" s="451" t="n"/>
      <c r="ET124" s="451" t="n">
        <v>0</v>
      </c>
      <c r="EU124" s="451">
        <f>+BQ124-ET124</f>
        <v/>
      </c>
      <c r="EV124" s="451">
        <f>+BR124</f>
        <v/>
      </c>
      <c r="EW124" s="451" t="n">
        <v>-1</v>
      </c>
      <c r="EX124" s="451" t="n">
        <v>0</v>
      </c>
      <c r="EY124" s="451" t="n">
        <v>0</v>
      </c>
      <c r="EZ124" s="521" t="n"/>
      <c r="FA124" s="521" t="n"/>
      <c r="FB124" s="452">
        <f>+FA124-EW124</f>
        <v/>
      </c>
      <c r="FC124" s="348">
        <f>+FB124/EW124</f>
        <v/>
      </c>
      <c r="FD124" s="348">
        <f>+FA124/T124</f>
        <v/>
      </c>
      <c r="FE124" s="348">
        <f>+FA124/U124</f>
        <v/>
      </c>
    </row>
    <row r="125">
      <c r="A125" s="6" t="inlineStr">
        <is>
          <t>Interest payment</t>
        </is>
      </c>
      <c r="B125" s="451">
        <f>-'Raw financials'!B230-B124</f>
        <v/>
      </c>
      <c r="C125" s="451">
        <f>-'Raw financials'!C230-C124</f>
        <v/>
      </c>
      <c r="D125" s="451">
        <f>-'Raw financials'!D230-D124</f>
        <v/>
      </c>
      <c r="E125" s="451">
        <f>-'Raw financials'!E230-E124</f>
        <v/>
      </c>
      <c r="F125" s="451">
        <f>-'Raw financials'!F230-F124</f>
        <v/>
      </c>
      <c r="G125" s="451">
        <f>-'Raw financials'!G230-G124</f>
        <v/>
      </c>
      <c r="H125" s="451">
        <f>-'Raw financials'!H230-H124</f>
        <v/>
      </c>
      <c r="I125" s="451">
        <f>-'Raw financials'!I230-I124</f>
        <v/>
      </c>
      <c r="J125" s="451">
        <f>-'Raw financials'!J230-J124</f>
        <v/>
      </c>
      <c r="K125" s="451">
        <f>-'Raw financials'!K230-K124</f>
        <v/>
      </c>
      <c r="L125" s="451">
        <f>-'Raw financials'!L230-L124</f>
        <v/>
      </c>
      <c r="M125" s="451">
        <f>-'Raw financials'!M230-M124</f>
        <v/>
      </c>
      <c r="N125" s="451">
        <f>-'Raw financials'!N230-N124</f>
        <v/>
      </c>
      <c r="O125" s="451">
        <f>-'Raw financials'!O230-O124</f>
        <v/>
      </c>
      <c r="P125" s="451">
        <f>-'Raw financials'!P230-P124</f>
        <v/>
      </c>
      <c r="Q125" s="451">
        <f>-'Raw financials'!Q230-Q124</f>
        <v/>
      </c>
      <c r="R125" s="451">
        <f>-'Raw financials'!R230-R124</f>
        <v/>
      </c>
      <c r="S125" s="451">
        <f>-'Raw financials'!S230-S124</f>
        <v/>
      </c>
      <c r="T125" s="451">
        <f>-'Raw financials'!T230-T124</f>
        <v/>
      </c>
      <c r="U125" s="451">
        <f>U17</f>
        <v/>
      </c>
      <c r="V125" s="451">
        <f>V17</f>
        <v/>
      </c>
      <c r="W125" s="451">
        <f>W17</f>
        <v/>
      </c>
      <c r="X125" s="451">
        <f>X17</f>
        <v/>
      </c>
      <c r="Y125" s="451">
        <f>Y17</f>
        <v/>
      </c>
      <c r="Z125" s="451">
        <f>Z17</f>
        <v/>
      </c>
      <c r="AA125" s="452">
        <f>+U125-T125</f>
        <v/>
      </c>
      <c r="AB125" s="348">
        <f>+AA125/T125</f>
        <v/>
      </c>
      <c r="AC125" s="451" t="n">
        <v>-28.84085587297665</v>
      </c>
      <c r="AD125" s="452">
        <f>+X125-W125</f>
        <v/>
      </c>
      <c r="AE125" s="348">
        <f>+AD125/W125</f>
        <v/>
      </c>
      <c r="AF125" s="451" t="n"/>
      <c r="AG125" s="451">
        <f>-'Raw financials'!AA230-AG124</f>
        <v/>
      </c>
      <c r="AH125" s="451">
        <f>+B125-AG125</f>
        <v/>
      </c>
      <c r="AI125" s="451">
        <f>-'Raw financials'!AB230-AI124</f>
        <v/>
      </c>
      <c r="AJ125" s="451">
        <f>+C125-AI125</f>
        <v/>
      </c>
      <c r="AK125" s="451">
        <f>-'Raw financials'!AC230-AK124</f>
        <v/>
      </c>
      <c r="AL125" s="451">
        <f>+D125-AK125</f>
        <v/>
      </c>
      <c r="AM125" s="451">
        <f>-'Raw financials'!AD230-AM124</f>
        <v/>
      </c>
      <c r="AN125" s="451">
        <f>+E125-AM125</f>
        <v/>
      </c>
      <c r="AO125" s="451">
        <f>-'Raw financials'!AE230-AO124</f>
        <v/>
      </c>
      <c r="AP125" s="451">
        <f>+F125-AO125</f>
        <v/>
      </c>
      <c r="AQ125" s="451">
        <f>-'Raw financials'!AF230-AQ124</f>
        <v/>
      </c>
      <c r="AR125" s="451">
        <f>+G125-AQ125</f>
        <v/>
      </c>
      <c r="AS125" s="451">
        <f>-'Raw financials'!AG230-AS124</f>
        <v/>
      </c>
      <c r="AT125" s="451">
        <f>+H125-AS125</f>
        <v/>
      </c>
      <c r="AU125" s="451">
        <f>-'Raw financials'!AH230-AU124</f>
        <v/>
      </c>
      <c r="AV125" s="451">
        <f>+I125-AU125</f>
        <v/>
      </c>
      <c r="AW125" s="451">
        <f>-'Raw financials'!AI230-AW124</f>
        <v/>
      </c>
      <c r="AX125" s="451">
        <f>+J125-AW125</f>
        <v/>
      </c>
      <c r="AY125" s="451">
        <f>-'Raw financials'!AJ230-AY124</f>
        <v/>
      </c>
      <c r="AZ125" s="451">
        <f>+K125-AY125</f>
        <v/>
      </c>
      <c r="BA125" s="451">
        <f>-'Raw financials'!AK230-BA124</f>
        <v/>
      </c>
      <c r="BB125" s="451">
        <f>+L125-BA125</f>
        <v/>
      </c>
      <c r="BC125" s="451">
        <f>-'Raw financials'!AL230-BC124</f>
        <v/>
      </c>
      <c r="BD125" s="451">
        <f>+M125-BC125</f>
        <v/>
      </c>
      <c r="BE125" s="451">
        <f>-'Raw financials'!AM230-BE124</f>
        <v/>
      </c>
      <c r="BF125" s="451">
        <f>+N125-BE125</f>
        <v/>
      </c>
      <c r="BG125" s="451">
        <f>-'Raw financials'!AN230-BG124</f>
        <v/>
      </c>
      <c r="BH125" s="451">
        <f>+O125-BG125</f>
        <v/>
      </c>
      <c r="BI125" s="451">
        <f>-'Raw financials'!AO230-BI124</f>
        <v/>
      </c>
      <c r="BJ125" s="451">
        <f>+P125-BI125</f>
        <v/>
      </c>
      <c r="BK125" s="451">
        <f>-'Raw financials'!AP230-BK124</f>
        <v/>
      </c>
      <c r="BL125" s="451">
        <f>+Q125-BK125</f>
        <v/>
      </c>
      <c r="BM125" s="451">
        <f>-'Raw financials'!AQ230-BM124</f>
        <v/>
      </c>
      <c r="BN125" s="451">
        <f>+R125-BM125</f>
        <v/>
      </c>
      <c r="BO125" s="451">
        <f>-'Raw financials'!AR230-BO124</f>
        <v/>
      </c>
      <c r="BP125" s="451">
        <f>+S125-BO125</f>
        <v/>
      </c>
      <c r="BQ125" s="451">
        <f>-'Raw financials'!AS230-BQ124</f>
        <v/>
      </c>
      <c r="BR125" s="451">
        <f>+T125-BQ125</f>
        <v/>
      </c>
      <c r="BS125" s="451" t="n"/>
      <c r="BT125" s="451">
        <f>+U125-BS125</f>
        <v/>
      </c>
      <c r="BU125" s="489">
        <f>BT125-BR125</f>
        <v/>
      </c>
      <c r="BV125" s="384">
        <f>BU125/BR125</f>
        <v/>
      </c>
      <c r="BW125" s="384">
        <f>+BT125/T125</f>
        <v/>
      </c>
      <c r="BX125" s="384">
        <f>+BT125/U125</f>
        <v/>
      </c>
      <c r="BZ125" s="451">
        <f>-'Raw financials'!BN230-BZ124</f>
        <v/>
      </c>
      <c r="CA125" s="451">
        <f>-'Raw financials'!BO230-CA124</f>
        <v/>
      </c>
      <c r="CB125" s="451">
        <f>-'Raw financials'!BP230-CB124</f>
        <v/>
      </c>
      <c r="CC125" s="451" t="n"/>
      <c r="CD125" s="451">
        <f>-'Raw financials'!BR230-CD124</f>
        <v/>
      </c>
      <c r="CE125" s="451" t="n"/>
      <c r="CF125" s="451">
        <f>-'Raw financials'!BT230-CF124</f>
        <v/>
      </c>
      <c r="CG125" s="451" t="n"/>
      <c r="CH125" s="451">
        <f>-'Raw financials'!BV230-CH124</f>
        <v/>
      </c>
      <c r="CI125" s="451" t="n"/>
      <c r="CJ125" s="451">
        <f>-'Raw financials'!BX230-CJ124</f>
        <v/>
      </c>
      <c r="CK125" s="451" t="n"/>
      <c r="CL125" s="451">
        <f>-'Raw financials'!BZ230-CL124</f>
        <v/>
      </c>
      <c r="CM125" s="451" t="n"/>
      <c r="CN125" s="451">
        <f>-'Raw financials'!CB230-CN124</f>
        <v/>
      </c>
      <c r="CO125" s="451" t="n"/>
      <c r="CP125" s="451">
        <f>-'Raw financials'!CD230-CP124</f>
        <v/>
      </c>
      <c r="CQ125" s="451" t="n"/>
      <c r="CR125" s="451">
        <f>-'Raw financials'!CF230-CR124</f>
        <v/>
      </c>
      <c r="CS125" s="451" t="n"/>
      <c r="CT125" s="451">
        <f>-'Raw financials'!CH230-CT124</f>
        <v/>
      </c>
      <c r="CU125" s="451" t="n"/>
      <c r="CV125" s="451">
        <f>-'Raw financials'!CJ230-CV124</f>
        <v/>
      </c>
      <c r="CW125" s="451" t="n"/>
      <c r="CX125" s="451">
        <f>-'Raw financials'!CL230-CX124</f>
        <v/>
      </c>
      <c r="CY125" s="451" t="n"/>
      <c r="CZ125" s="451">
        <f>-'Raw financials'!CN230-CZ124</f>
        <v/>
      </c>
      <c r="DA125" s="451" t="n"/>
      <c r="DB125" s="451">
        <f>-'Raw financials'!CP230-DB124</f>
        <v/>
      </c>
      <c r="DC125" s="451" t="n"/>
      <c r="DD125" s="451">
        <f>-'Raw financials'!CR230-DD124</f>
        <v/>
      </c>
      <c r="DE125" s="451" t="n"/>
      <c r="DF125" s="451">
        <f>-'Raw financials'!CT230-DF124</f>
        <v/>
      </c>
      <c r="DG125" s="451" t="n"/>
      <c r="DH125" s="451">
        <f>-'Raw financials'!CV230-DH124</f>
        <v/>
      </c>
      <c r="DI125" s="451" t="n"/>
      <c r="DJ125" s="451">
        <f>-'Raw financials'!CX230-DJ124</f>
        <v/>
      </c>
      <c r="DK125" s="451" t="n"/>
      <c r="DL125" s="451">
        <f>-'Raw financials'!CZ230-DL124</f>
        <v/>
      </c>
      <c r="DM125" s="451" t="n"/>
      <c r="DN125" s="451">
        <f>-'Raw financials'!DB230-DN124</f>
        <v/>
      </c>
      <c r="DO125" s="451" t="n"/>
      <c r="DP125" s="451">
        <f>-'Raw financials'!DD230-DP124</f>
        <v/>
      </c>
      <c r="DQ125" s="451" t="n"/>
      <c r="DR125" s="451">
        <f>-'Raw financials'!DF230-DR124</f>
        <v/>
      </c>
      <c r="DS125" s="451" t="n"/>
      <c r="DT125" s="451">
        <f>-'Raw financials'!DH230-DT124</f>
        <v/>
      </c>
      <c r="DU125" s="451" t="n"/>
      <c r="DV125" s="451">
        <f>-'Raw financials'!DJ230-DV124</f>
        <v/>
      </c>
      <c r="DW125" s="451" t="n"/>
      <c r="DX125" s="451">
        <f>-'Raw financials'!DL230-DX124</f>
        <v/>
      </c>
      <c r="DY125" s="451" t="n"/>
      <c r="DZ125" s="451">
        <f>-'Raw financials'!DN230-DZ124</f>
        <v/>
      </c>
      <c r="EA125" s="451" t="n"/>
      <c r="EB125" s="451">
        <f>-'Raw financials'!DP230-EB124</f>
        <v/>
      </c>
      <c r="EC125" s="451" t="n"/>
      <c r="ED125" s="451">
        <f>-'Raw financials'!DR230-ED124</f>
        <v/>
      </c>
      <c r="EE125" s="451" t="n"/>
      <c r="EF125" s="451">
        <f>-'Raw financials'!DT230-EF124</f>
        <v/>
      </c>
      <c r="EG125" s="451" t="n"/>
      <c r="EH125" s="451">
        <f>-'Raw financials'!DV230-EH124</f>
        <v/>
      </c>
      <c r="EI125" s="451" t="n"/>
      <c r="EJ125" s="451">
        <f>-'Raw financials'!DX230-EJ124</f>
        <v/>
      </c>
      <c r="EK125" s="451" t="n"/>
      <c r="EL125" s="451">
        <f>-'Raw financials'!DZ230-EL124</f>
        <v/>
      </c>
      <c r="EM125" s="451" t="n"/>
      <c r="EN125" s="451">
        <f>-'Raw financials'!EB230-EN124</f>
        <v/>
      </c>
      <c r="EO125" s="451" t="n"/>
      <c r="EP125" s="451">
        <f>-'Raw financials'!ED230-EP124</f>
        <v/>
      </c>
      <c r="EQ125" s="451" t="n"/>
      <c r="ER125" s="451">
        <f>-'Raw financials'!EF230-ER124</f>
        <v/>
      </c>
      <c r="ES125" s="451" t="n"/>
      <c r="ET125" s="451">
        <f>-'Raw financials'!EH230-ET124</f>
        <v/>
      </c>
      <c r="EU125" s="451">
        <f>+BQ125-ET125</f>
        <v/>
      </c>
      <c r="EV125" s="451">
        <f>-'Raw financials'!EJ230-EV124</f>
        <v/>
      </c>
      <c r="EW125" s="451">
        <f>-'Raw financials'!EK230-EW124</f>
        <v/>
      </c>
      <c r="EX125" s="451">
        <f>-'Raw financials'!EL230-EX124</f>
        <v/>
      </c>
      <c r="EY125" s="451">
        <f>-'Raw financials'!EM230-EY124</f>
        <v/>
      </c>
      <c r="EZ125" s="521" t="n"/>
      <c r="FA125" s="521" t="n"/>
      <c r="FB125" s="452">
        <f>+FA125-EW125</f>
        <v/>
      </c>
      <c r="FC125" s="348">
        <f>+FB125/EW125</f>
        <v/>
      </c>
      <c r="FD125" s="348">
        <f>+FA125/T125</f>
        <v/>
      </c>
      <c r="FE125" s="348">
        <f>+FA125/U125</f>
        <v/>
      </c>
    </row>
    <row r="126">
      <c r="A126" s="6" t="inlineStr">
        <is>
          <t>Others</t>
        </is>
      </c>
      <c r="B126" s="451">
        <f>SUM('Raw financials'!B224,-'Raw financials'!B232)</f>
        <v/>
      </c>
      <c r="C126" s="451">
        <f>SUM('Raw financials'!C224,-'Raw financials'!C232)</f>
        <v/>
      </c>
      <c r="D126" s="451">
        <f>SUM('Raw financials'!D224,-'Raw financials'!D232)</f>
        <v/>
      </c>
      <c r="E126" s="451">
        <f>SUM('Raw financials'!E224,-'Raw financials'!E232)</f>
        <v/>
      </c>
      <c r="F126" s="451">
        <f>SUM('Raw financials'!F224,-'Raw financials'!F232)</f>
        <v/>
      </c>
      <c r="G126" s="451">
        <f>SUM('Raw financials'!G224,-'Raw financials'!G232)</f>
        <v/>
      </c>
      <c r="H126" s="451">
        <f>SUM('Raw financials'!H224,-'Raw financials'!H232)</f>
        <v/>
      </c>
      <c r="I126" s="451">
        <f>SUM('Raw financials'!I224,-'Raw financials'!I232)</f>
        <v/>
      </c>
      <c r="J126" s="451">
        <f>SUM('Raw financials'!J224,-'Raw financials'!J232)</f>
        <v/>
      </c>
      <c r="K126" s="451">
        <f>SUM('Raw financials'!K224,-'Raw financials'!K232)</f>
        <v/>
      </c>
      <c r="L126" s="451">
        <f>SUM('Raw financials'!L224,-'Raw financials'!L232)</f>
        <v/>
      </c>
      <c r="M126" s="451">
        <f>SUM('Raw financials'!M224,-'Raw financials'!M232)</f>
        <v/>
      </c>
      <c r="N126" s="451">
        <f>SUM('Raw financials'!N224,-'Raw financials'!N232)</f>
        <v/>
      </c>
      <c r="O126" s="451">
        <f>SUM('Raw financials'!O224,-'Raw financials'!O232)</f>
        <v/>
      </c>
      <c r="P126" s="451">
        <f>SUM('Raw financials'!P224,-'Raw financials'!P232)</f>
        <v/>
      </c>
      <c r="Q126" s="451">
        <f>SUM('Raw financials'!Q224,-'Raw financials'!Q232)</f>
        <v/>
      </c>
      <c r="R126" s="451">
        <f>SUM('Raw financials'!R224,-'Raw financials'!R232)</f>
        <v/>
      </c>
      <c r="S126" s="451">
        <f>SUM('Raw financials'!S224,-'Raw financials'!S232)</f>
        <v/>
      </c>
      <c r="T126" s="451">
        <f>SUM('Raw financials'!T224,-'Raw financials'!T232)</f>
        <v/>
      </c>
      <c r="U126" s="459" t="n">
        <v>0</v>
      </c>
      <c r="V126" s="459" t="n">
        <v>0</v>
      </c>
      <c r="W126" s="459" t="n">
        <v>0</v>
      </c>
      <c r="X126" s="459" t="n">
        <v>0</v>
      </c>
      <c r="Y126" s="459" t="n">
        <v>0</v>
      </c>
      <c r="Z126" s="459" t="n">
        <v>0</v>
      </c>
      <c r="AA126" s="452">
        <f>+U126-T126</f>
        <v/>
      </c>
      <c r="AB126" s="348">
        <f>+AA126/T126</f>
        <v/>
      </c>
      <c r="AC126" s="459" t="n">
        <v>0</v>
      </c>
      <c r="AD126" s="452">
        <f>+X126-W126</f>
        <v/>
      </c>
      <c r="AE126" s="348">
        <f>+AD126/W126</f>
        <v/>
      </c>
      <c r="AF126" s="459" t="n"/>
      <c r="AG126" s="451">
        <f>SUM('Raw financials'!AA224,-'Raw financials'!AA232)</f>
        <v/>
      </c>
      <c r="AH126" s="451">
        <f>+B126-AG126</f>
        <v/>
      </c>
      <c r="AI126" s="451">
        <f>SUM('Raw financials'!AB224,-'Raw financials'!AB232)</f>
        <v/>
      </c>
      <c r="AJ126" s="451">
        <f>+C126-AI126</f>
        <v/>
      </c>
      <c r="AK126" s="451">
        <f>SUM('Raw financials'!AC224,-'Raw financials'!AC232)</f>
        <v/>
      </c>
      <c r="AL126" s="451">
        <f>+D126-AK126</f>
        <v/>
      </c>
      <c r="AM126" s="451">
        <f>SUM('Raw financials'!AD224,-'Raw financials'!AD232)</f>
        <v/>
      </c>
      <c r="AN126" s="451">
        <f>+E126-AM126</f>
        <v/>
      </c>
      <c r="AO126" s="451">
        <f>SUM('Raw financials'!AE224,-'Raw financials'!AE232)</f>
        <v/>
      </c>
      <c r="AP126" s="451">
        <f>+F126-AO126</f>
        <v/>
      </c>
      <c r="AQ126" s="451">
        <f>SUM('Raw financials'!AF224,-'Raw financials'!AF232)</f>
        <v/>
      </c>
      <c r="AR126" s="451">
        <f>+G126-AQ126</f>
        <v/>
      </c>
      <c r="AS126" s="451">
        <f>SUM('Raw financials'!AG224,-'Raw financials'!AG232)</f>
        <v/>
      </c>
      <c r="AT126" s="451">
        <f>+H126-AS126</f>
        <v/>
      </c>
      <c r="AU126" s="451">
        <f>SUM('Raw financials'!AH224,-'Raw financials'!AH232)</f>
        <v/>
      </c>
      <c r="AV126" s="451">
        <f>+I126-AU126</f>
        <v/>
      </c>
      <c r="AW126" s="451">
        <f>SUM('Raw financials'!AI224,-'Raw financials'!AI232)</f>
        <v/>
      </c>
      <c r="AX126" s="451">
        <f>+J126-AW126</f>
        <v/>
      </c>
      <c r="AY126" s="451">
        <f>SUM('Raw financials'!AJ224,-'Raw financials'!AJ232)</f>
        <v/>
      </c>
      <c r="AZ126" s="451">
        <f>+K126-AY126</f>
        <v/>
      </c>
      <c r="BA126" s="451">
        <f>SUM('Raw financials'!AK224,-'Raw financials'!AK232)</f>
        <v/>
      </c>
      <c r="BB126" s="451">
        <f>+L126-BA126</f>
        <v/>
      </c>
      <c r="BC126" s="451">
        <f>SUM('Raw financials'!AL224,-'Raw financials'!AL232)</f>
        <v/>
      </c>
      <c r="BD126" s="451">
        <f>+M126-BC126</f>
        <v/>
      </c>
      <c r="BE126" s="451">
        <f>SUM('Raw financials'!AM224,-'Raw financials'!AM232)</f>
        <v/>
      </c>
      <c r="BF126" s="451">
        <f>+N126-BE126</f>
        <v/>
      </c>
      <c r="BG126" s="451">
        <f>SUM('Raw financials'!AN224,-'Raw financials'!AN232)</f>
        <v/>
      </c>
      <c r="BH126" s="451">
        <f>+O126-BG126</f>
        <v/>
      </c>
      <c r="BI126" s="451">
        <f>SUM('Raw financials'!AO224,-'Raw financials'!AO232)</f>
        <v/>
      </c>
      <c r="BJ126" s="451">
        <f>+P126-BI126</f>
        <v/>
      </c>
      <c r="BK126" s="451">
        <f>SUM('Raw financials'!AP224,-'Raw financials'!AP232)</f>
        <v/>
      </c>
      <c r="BL126" s="451">
        <f>+Q126-BK126</f>
        <v/>
      </c>
      <c r="BM126" s="451">
        <f>SUM('Raw financials'!AQ224,-'Raw financials'!AQ232)</f>
        <v/>
      </c>
      <c r="BN126" s="451">
        <f>+R126-BM126</f>
        <v/>
      </c>
      <c r="BO126" s="451">
        <f>SUM('Raw financials'!AR224,-'Raw financials'!AR232)</f>
        <v/>
      </c>
      <c r="BP126" s="451">
        <f>+S126-BO126</f>
        <v/>
      </c>
      <c r="BQ126" s="451">
        <f>SUM('Raw financials'!AS224,-'Raw financials'!AS232)</f>
        <v/>
      </c>
      <c r="BR126" s="451">
        <f>+T126-BQ126</f>
        <v/>
      </c>
      <c r="BS126" s="451" t="n"/>
      <c r="BT126" s="451">
        <f>+U126-BS126</f>
        <v/>
      </c>
      <c r="BU126" s="489">
        <f>BT126-BR126</f>
        <v/>
      </c>
      <c r="BV126" s="384">
        <f>BU126/BR126</f>
        <v/>
      </c>
      <c r="BW126" s="384">
        <f>+BT126/T126</f>
        <v/>
      </c>
      <c r="BX126" s="384">
        <f>+BT126/U126</f>
        <v/>
      </c>
      <c r="BZ126" s="451">
        <f>SUM('Raw financials'!BN224,-'Raw financials'!BN232)</f>
        <v/>
      </c>
      <c r="CA126" s="451">
        <f>SUM('Raw financials'!BO224,-'Raw financials'!BO232)</f>
        <v/>
      </c>
      <c r="CB126" s="451">
        <f>SUM('Raw financials'!BP224,-'Raw financials'!BP232)</f>
        <v/>
      </c>
      <c r="CC126" s="451" t="n"/>
      <c r="CD126" s="451">
        <f>SUM('Raw financials'!BR224,-'Raw financials'!BR232)</f>
        <v/>
      </c>
      <c r="CE126" s="451" t="n"/>
      <c r="CF126" s="451">
        <f>SUM('Raw financials'!BT224,-'Raw financials'!BT232)</f>
        <v/>
      </c>
      <c r="CG126" s="451" t="n"/>
      <c r="CH126" s="451">
        <f>SUM('Raw financials'!BV224,-'Raw financials'!BV232)</f>
        <v/>
      </c>
      <c r="CI126" s="451" t="n"/>
      <c r="CJ126" s="451">
        <f>SUM('Raw financials'!BX224,-'Raw financials'!BX232)</f>
        <v/>
      </c>
      <c r="CK126" s="451" t="n"/>
      <c r="CL126" s="451">
        <f>SUM('Raw financials'!BZ224,-'Raw financials'!BZ232)</f>
        <v/>
      </c>
      <c r="CM126" s="451" t="n"/>
      <c r="CN126" s="451">
        <f>SUM('Raw financials'!CB224,-'Raw financials'!CB232)</f>
        <v/>
      </c>
      <c r="CO126" s="451" t="n"/>
      <c r="CP126" s="451">
        <f>SUM('Raw financials'!CD224,-'Raw financials'!CD232)</f>
        <v/>
      </c>
      <c r="CQ126" s="451" t="n"/>
      <c r="CR126" s="451">
        <f>SUM('Raw financials'!CF224,-'Raw financials'!CF232)</f>
        <v/>
      </c>
      <c r="CS126" s="451" t="n"/>
      <c r="CT126" s="451">
        <f>SUM('Raw financials'!CH224,-'Raw financials'!CH232)</f>
        <v/>
      </c>
      <c r="CU126" s="451" t="n"/>
      <c r="CV126" s="451">
        <f>SUM('Raw financials'!CJ224,-'Raw financials'!CJ232)</f>
        <v/>
      </c>
      <c r="CW126" s="451" t="n"/>
      <c r="CX126" s="451">
        <f>SUM('Raw financials'!CL224,-'Raw financials'!CL232)</f>
        <v/>
      </c>
      <c r="CY126" s="451" t="n"/>
      <c r="CZ126" s="451">
        <f>SUM('Raw financials'!CN224,-'Raw financials'!CN232)</f>
        <v/>
      </c>
      <c r="DA126" s="451" t="n"/>
      <c r="DB126" s="451">
        <f>SUM('Raw financials'!CP224,-'Raw financials'!CP232)</f>
        <v/>
      </c>
      <c r="DC126" s="451" t="n"/>
      <c r="DD126" s="451">
        <f>SUM('Raw financials'!CR224,-'Raw financials'!CR232)</f>
        <v/>
      </c>
      <c r="DE126" s="451" t="n"/>
      <c r="DF126" s="451">
        <f>SUM('Raw financials'!CT224,-'Raw financials'!CT232)</f>
        <v/>
      </c>
      <c r="DG126" s="451" t="n"/>
      <c r="DH126" s="451">
        <f>SUM('Raw financials'!CV224,-'Raw financials'!CV232)</f>
        <v/>
      </c>
      <c r="DI126" s="451" t="n"/>
      <c r="DJ126" s="451">
        <f>SUM('Raw financials'!CX224,-'Raw financials'!CX232)</f>
        <v/>
      </c>
      <c r="DK126" s="451" t="n"/>
      <c r="DL126" s="451">
        <f>SUM('Raw financials'!CZ224,-'Raw financials'!CZ232)</f>
        <v/>
      </c>
      <c r="DM126" s="451" t="n"/>
      <c r="DN126" s="451">
        <f>SUM('Raw financials'!DB224,-'Raw financials'!DB232)</f>
        <v/>
      </c>
      <c r="DO126" s="451" t="n"/>
      <c r="DP126" s="451">
        <f>SUM('Raw financials'!DD224,-'Raw financials'!DD232)</f>
        <v/>
      </c>
      <c r="DQ126" s="451" t="n"/>
      <c r="DR126" s="451">
        <f>SUM('Raw financials'!DF224,-'Raw financials'!DF232)</f>
        <v/>
      </c>
      <c r="DS126" s="451" t="n"/>
      <c r="DT126" s="451">
        <f>SUM('Raw financials'!DH224,-'Raw financials'!DH232)</f>
        <v/>
      </c>
      <c r="DU126" s="451" t="n"/>
      <c r="DV126" s="451">
        <f>SUM('Raw financials'!DJ224,-'Raw financials'!DJ232)</f>
        <v/>
      </c>
      <c r="DW126" s="451" t="n"/>
      <c r="DX126" s="451">
        <f>SUM('Raw financials'!DL224,-'Raw financials'!DL232)</f>
        <v/>
      </c>
      <c r="DY126" s="451" t="n"/>
      <c r="DZ126" s="451">
        <f>SUM('Raw financials'!DN224,-'Raw financials'!DN232)</f>
        <v/>
      </c>
      <c r="EA126" s="451" t="n"/>
      <c r="EB126" s="451">
        <f>SUM('Raw financials'!DP224,-'Raw financials'!DP232)</f>
        <v/>
      </c>
      <c r="EC126" s="451" t="n"/>
      <c r="ED126" s="451">
        <f>SUM('Raw financials'!DR224,-'Raw financials'!DR232)</f>
        <v/>
      </c>
      <c r="EE126" s="451" t="n"/>
      <c r="EF126" s="451">
        <f>SUM('Raw financials'!DT224,-'Raw financials'!DT232)</f>
        <v/>
      </c>
      <c r="EG126" s="451" t="n"/>
      <c r="EH126" s="451">
        <f>SUM('Raw financials'!DV224,-'Raw financials'!DV232)</f>
        <v/>
      </c>
      <c r="EI126" s="451" t="n"/>
      <c r="EJ126" s="451">
        <f>SUM('Raw financials'!DX224,-'Raw financials'!DX232)</f>
        <v/>
      </c>
      <c r="EK126" s="451" t="n"/>
      <c r="EL126" s="451">
        <f>SUM('Raw financials'!DZ224,-'Raw financials'!DZ232)</f>
        <v/>
      </c>
      <c r="EM126" s="451" t="n"/>
      <c r="EN126" s="451">
        <f>SUM('Raw financials'!EB224,-'Raw financials'!EB232)</f>
        <v/>
      </c>
      <c r="EO126" s="451" t="n"/>
      <c r="EP126" s="451">
        <f>SUM('Raw financials'!ED224,-'Raw financials'!ED232)</f>
        <v/>
      </c>
      <c r="EQ126" s="451" t="n"/>
      <c r="ER126" s="451">
        <f>SUM('Raw financials'!EF224,-'Raw financials'!EF232)</f>
        <v/>
      </c>
      <c r="ES126" s="451" t="n"/>
      <c r="ET126" s="451">
        <f>SUM('Raw financials'!EH224,-'Raw financials'!EH232)</f>
        <v/>
      </c>
      <c r="EU126" s="451">
        <f>+BQ126-ET126</f>
        <v/>
      </c>
      <c r="EV126" s="451">
        <f>SUM('Raw financials'!EJ224,-'Raw financials'!EJ232)</f>
        <v/>
      </c>
      <c r="EW126" s="451">
        <f>SUM('Raw financials'!EK224,-'Raw financials'!EK232)</f>
        <v/>
      </c>
      <c r="EX126" s="451">
        <f>SUM('Raw financials'!EL224,-'Raw financials'!EL232)</f>
        <v/>
      </c>
      <c r="EY126" s="451">
        <f>SUM('Raw financials'!EM224,-'Raw financials'!EM232)</f>
        <v/>
      </c>
      <c r="EZ126" s="521" t="n"/>
      <c r="FA126" s="521" t="n"/>
      <c r="FB126" s="452">
        <f>+FA126-EW126</f>
        <v/>
      </c>
      <c r="FC126" s="348">
        <f>+FB126/EW126</f>
        <v/>
      </c>
      <c r="FD126" s="348">
        <f>+FA126/T126</f>
        <v/>
      </c>
      <c r="FE126" s="348">
        <f>+FA126/U126</f>
        <v/>
      </c>
    </row>
    <row r="127">
      <c r="A127" s="21" t="inlineStr">
        <is>
          <t>Financing cash flow</t>
        </is>
      </c>
      <c r="B127" s="460">
        <f>SUM(B122:B126)</f>
        <v/>
      </c>
      <c r="C127" s="460">
        <f>SUM(C122:C126)</f>
        <v/>
      </c>
      <c r="D127" s="460">
        <f>SUM(D122:D126)</f>
        <v/>
      </c>
      <c r="E127" s="460">
        <f>SUM(E122:E126)</f>
        <v/>
      </c>
      <c r="F127" s="460">
        <f>SUM(F122:F126)</f>
        <v/>
      </c>
      <c r="G127" s="460">
        <f>SUM(G122:G126)</f>
        <v/>
      </c>
      <c r="H127" s="460">
        <f>SUM(H122:H126)</f>
        <v/>
      </c>
      <c r="I127" s="460">
        <f>SUM(I122:I126)</f>
        <v/>
      </c>
      <c r="J127" s="460">
        <f>SUM(J122:J126)</f>
        <v/>
      </c>
      <c r="K127" s="460">
        <f>SUM(K122:K126)</f>
        <v/>
      </c>
      <c r="L127" s="460">
        <f>SUM(L122:L126)</f>
        <v/>
      </c>
      <c r="M127" s="460">
        <f>SUM(M122:M126)</f>
        <v/>
      </c>
      <c r="N127" s="460">
        <f>SUM(N122:N126)</f>
        <v/>
      </c>
      <c r="O127" s="460">
        <f>SUM(O122:O126)</f>
        <v/>
      </c>
      <c r="P127" s="460">
        <f>SUM(P122:P126)</f>
        <v/>
      </c>
      <c r="Q127" s="460">
        <f>SUM(Q122:Q126)</f>
        <v/>
      </c>
      <c r="R127" s="460">
        <f>SUM(R122:R126)</f>
        <v/>
      </c>
      <c r="S127" s="460">
        <f>SUM(S122:S126)</f>
        <v/>
      </c>
      <c r="T127" s="460">
        <f>SUM(T122:T126)</f>
        <v/>
      </c>
      <c r="U127" s="460">
        <f>SUM(U122:U126)</f>
        <v/>
      </c>
      <c r="V127" s="460">
        <f>SUM(V122:V126)</f>
        <v/>
      </c>
      <c r="W127" s="460">
        <f>SUM(W122:W126)</f>
        <v/>
      </c>
      <c r="X127" s="460">
        <f>SUM(X122:X126)</f>
        <v/>
      </c>
      <c r="Y127" s="460">
        <f>SUM(Y122:Y126)</f>
        <v/>
      </c>
      <c r="Z127" s="460">
        <f>SUM(Z122:Z126)</f>
        <v/>
      </c>
      <c r="AA127" s="509">
        <f>+U127-T127</f>
        <v/>
      </c>
      <c r="AB127" s="371">
        <f>+AA127/T127</f>
        <v/>
      </c>
      <c r="AC127" s="462" t="n">
        <v>3791.404507127023</v>
      </c>
      <c r="AD127" s="509">
        <f>+X127-W127</f>
        <v/>
      </c>
      <c r="AE127" s="371">
        <f>+AD127/W127</f>
        <v/>
      </c>
      <c r="AF127" s="462" t="n"/>
      <c r="AG127" s="460">
        <f>SUM(AG122:AG126)</f>
        <v/>
      </c>
      <c r="AH127" s="460">
        <f>SUM(AH122:AH126)</f>
        <v/>
      </c>
      <c r="AI127" s="460">
        <f>SUM(AI122:AI126)</f>
        <v/>
      </c>
      <c r="AJ127" s="460">
        <f>SUM(AJ122:AJ126)</f>
        <v/>
      </c>
      <c r="AK127" s="460">
        <f>SUM(AK122:AK126)</f>
        <v/>
      </c>
      <c r="AL127" s="460">
        <f>SUM(AL122:AL126)</f>
        <v/>
      </c>
      <c r="AM127" s="460">
        <f>SUM(AM122:AM126)</f>
        <v/>
      </c>
      <c r="AN127" s="460">
        <f>SUM(AN122:AN126)</f>
        <v/>
      </c>
      <c r="AO127" s="460">
        <f>SUM(AO122:AO126)</f>
        <v/>
      </c>
      <c r="AP127" s="460">
        <f>SUM(AP122:AP126)</f>
        <v/>
      </c>
      <c r="AQ127" s="460">
        <f>SUM(AQ122:AQ126)</f>
        <v/>
      </c>
      <c r="AR127" s="460">
        <f>SUM(AR122:AR126)</f>
        <v/>
      </c>
      <c r="AS127" s="460">
        <f>SUM(AS122:AS126)</f>
        <v/>
      </c>
      <c r="AT127" s="460">
        <f>SUM(AT122:AT126)</f>
        <v/>
      </c>
      <c r="AU127" s="460">
        <f>SUM(AU122:AU126)</f>
        <v/>
      </c>
      <c r="AV127" s="460">
        <f>SUM(AV122:AV126)</f>
        <v/>
      </c>
      <c r="AW127" s="460">
        <f>SUM(AW122:AW126)</f>
        <v/>
      </c>
      <c r="AX127" s="460">
        <f>SUM(AX122:AX126)</f>
        <v/>
      </c>
      <c r="AY127" s="460">
        <f>SUM(AY122:AY126)</f>
        <v/>
      </c>
      <c r="AZ127" s="460">
        <f>SUM(AZ122:AZ126)</f>
        <v/>
      </c>
      <c r="BA127" s="460">
        <f>SUM(BA122:BA126)</f>
        <v/>
      </c>
      <c r="BB127" s="460">
        <f>SUM(BB122:BB126)</f>
        <v/>
      </c>
      <c r="BC127" s="460">
        <f>SUM(BC122:BC126)</f>
        <v/>
      </c>
      <c r="BD127" s="460">
        <f>SUM(BD122:BD126)</f>
        <v/>
      </c>
      <c r="BE127" s="460">
        <f>SUM(BE122:BE126)</f>
        <v/>
      </c>
      <c r="BF127" s="460">
        <f>SUM(BF122:BF126)</f>
        <v/>
      </c>
      <c r="BG127" s="460">
        <f>SUM(BG122:BG126)</f>
        <v/>
      </c>
      <c r="BH127" s="460">
        <f>SUM(BH122:BH126)</f>
        <v/>
      </c>
      <c r="BI127" s="460">
        <f>SUM(BI122:BI126)</f>
        <v/>
      </c>
      <c r="BJ127" s="460">
        <f>SUM(BJ122:BJ126)</f>
        <v/>
      </c>
      <c r="BK127" s="460">
        <f>SUM(BK122:BK126)</f>
        <v/>
      </c>
      <c r="BL127" s="460">
        <f>SUM(BL122:BL126)</f>
        <v/>
      </c>
      <c r="BM127" s="460">
        <f>SUM(BM122:BM126)</f>
        <v/>
      </c>
      <c r="BN127" s="460">
        <f>SUM(BN122:BN126)</f>
        <v/>
      </c>
      <c r="BO127" s="460">
        <f>SUM(BO122:BO126)</f>
        <v/>
      </c>
      <c r="BP127" s="460">
        <f>SUM(BP122:BP126)</f>
        <v/>
      </c>
      <c r="BQ127" s="460">
        <f>SUM(BQ122:BQ126)</f>
        <v/>
      </c>
      <c r="BR127" s="460">
        <f>SUM(BR122:BR126)</f>
        <v/>
      </c>
      <c r="BS127" s="460" t="n"/>
      <c r="BT127" s="460">
        <f>SUM(BT122:BT126)</f>
        <v/>
      </c>
      <c r="BU127" s="510">
        <f>BT127-BR127</f>
        <v/>
      </c>
      <c r="BV127" s="383">
        <f>BU127/BR127</f>
        <v/>
      </c>
      <c r="BW127" s="383">
        <f>+BT127/T127</f>
        <v/>
      </c>
      <c r="BX127" s="383">
        <f>+BT127/U127</f>
        <v/>
      </c>
      <c r="BZ127" s="460">
        <f>SUM(BZ122:BZ126)</f>
        <v/>
      </c>
      <c r="CA127" s="460">
        <f>SUM(CA122:CA126)</f>
        <v/>
      </c>
      <c r="CB127" s="460">
        <f>SUM(CB122:CB126)</f>
        <v/>
      </c>
      <c r="CC127" s="460" t="n"/>
      <c r="CD127" s="460">
        <f>SUM(CD122:CD126)</f>
        <v/>
      </c>
      <c r="CE127" s="460" t="n"/>
      <c r="CF127" s="460">
        <f>SUM(CF122:CF126)</f>
        <v/>
      </c>
      <c r="CG127" s="460" t="n"/>
      <c r="CH127" s="460">
        <f>SUM(CH122:CH126)</f>
        <v/>
      </c>
      <c r="CI127" s="460" t="n"/>
      <c r="CJ127" s="460">
        <f>SUM(CJ122:CJ126)</f>
        <v/>
      </c>
      <c r="CK127" s="460" t="n"/>
      <c r="CL127" s="460">
        <f>SUM(CL122:CL126)</f>
        <v/>
      </c>
      <c r="CM127" s="460" t="n"/>
      <c r="CN127" s="460">
        <f>SUM(CN122:CN126)</f>
        <v/>
      </c>
      <c r="CO127" s="460" t="n"/>
      <c r="CP127" s="460">
        <f>SUM(CP122:CP126)</f>
        <v/>
      </c>
      <c r="CQ127" s="460" t="n"/>
      <c r="CR127" s="460">
        <f>SUM(CR122:CR126)</f>
        <v/>
      </c>
      <c r="CS127" s="460" t="n"/>
      <c r="CT127" s="460">
        <f>SUM(CT122:CT126)</f>
        <v/>
      </c>
      <c r="CU127" s="460" t="n"/>
      <c r="CV127" s="460">
        <f>SUM(CV122:CV126)</f>
        <v/>
      </c>
      <c r="CW127" s="460" t="n"/>
      <c r="CX127" s="460">
        <f>SUM(CX122:CX126)</f>
        <v/>
      </c>
      <c r="CY127" s="460" t="n"/>
      <c r="CZ127" s="460">
        <f>SUM(CZ122:CZ126)</f>
        <v/>
      </c>
      <c r="DA127" s="460" t="n"/>
      <c r="DB127" s="460">
        <f>SUM(DB122:DB126)</f>
        <v/>
      </c>
      <c r="DC127" s="460" t="n"/>
      <c r="DD127" s="460">
        <f>SUM(DD122:DD126)</f>
        <v/>
      </c>
      <c r="DE127" s="460" t="n"/>
      <c r="DF127" s="460">
        <f>SUM(DF122:DF126)</f>
        <v/>
      </c>
      <c r="DG127" s="460" t="n"/>
      <c r="DH127" s="460">
        <f>SUM(DH122:DH126)</f>
        <v/>
      </c>
      <c r="DI127" s="460" t="n"/>
      <c r="DJ127" s="460">
        <f>SUM(DJ122:DJ126)</f>
        <v/>
      </c>
      <c r="DK127" s="460" t="n"/>
      <c r="DL127" s="460">
        <f>SUM(DL122:DL126)</f>
        <v/>
      </c>
      <c r="DM127" s="460" t="n"/>
      <c r="DN127" s="460">
        <f>SUM(DN122:DN126)</f>
        <v/>
      </c>
      <c r="DO127" s="460" t="n"/>
      <c r="DP127" s="460">
        <f>SUM(DP122:DP126)</f>
        <v/>
      </c>
      <c r="DQ127" s="460" t="n"/>
      <c r="DR127" s="460">
        <f>SUM(DR122:DR126)</f>
        <v/>
      </c>
      <c r="DS127" s="460" t="n"/>
      <c r="DT127" s="460">
        <f>SUM(DT122:DT126)</f>
        <v/>
      </c>
      <c r="DU127" s="460" t="n"/>
      <c r="DV127" s="460">
        <f>SUM(DV122:DV126)</f>
        <v/>
      </c>
      <c r="DW127" s="460" t="n"/>
      <c r="DX127" s="460">
        <f>SUM(DX122:DX126)</f>
        <v/>
      </c>
      <c r="DY127" s="460" t="n"/>
      <c r="DZ127" s="460">
        <f>SUM(DZ122:DZ126)</f>
        <v/>
      </c>
      <c r="EA127" s="460" t="n"/>
      <c r="EB127" s="460">
        <f>SUM(EB122:EB126)</f>
        <v/>
      </c>
      <c r="EC127" s="460" t="n"/>
      <c r="ED127" s="460">
        <f>SUM(ED122:ED126)</f>
        <v/>
      </c>
      <c r="EE127" s="460" t="n"/>
      <c r="EF127" s="460">
        <f>SUM(EF122:EF126)</f>
        <v/>
      </c>
      <c r="EG127" s="460" t="n"/>
      <c r="EH127" s="460">
        <f>SUM(EH122:EH126)</f>
        <v/>
      </c>
      <c r="EI127" s="460" t="n"/>
      <c r="EJ127" s="460">
        <f>SUM(EJ122:EJ126)</f>
        <v/>
      </c>
      <c r="EK127" s="460" t="n"/>
      <c r="EL127" s="460">
        <f>SUM(EL122:EL126)</f>
        <v/>
      </c>
      <c r="EM127" s="460" t="n"/>
      <c r="EN127" s="460">
        <f>SUM(EN122:EN126)</f>
        <v/>
      </c>
      <c r="EO127" s="460" t="n"/>
      <c r="EP127" s="460">
        <f>SUM(EP122:EP126)</f>
        <v/>
      </c>
      <c r="EQ127" s="460" t="n"/>
      <c r="ER127" s="460">
        <f>SUM(ER122:ER126)</f>
        <v/>
      </c>
      <c r="ES127" s="460" t="n"/>
      <c r="ET127" s="460">
        <f>SUM(ET122:ET126)</f>
        <v/>
      </c>
      <c r="EU127" s="460">
        <f>SUM(EU122:EU126)</f>
        <v/>
      </c>
      <c r="EV127" s="460">
        <f>SUM(EV122:EV126)</f>
        <v/>
      </c>
      <c r="EW127" s="460">
        <f>SUM(EW122:EW126)</f>
        <v/>
      </c>
      <c r="EX127" s="460">
        <f>SUM(EX122:EX126)</f>
        <v/>
      </c>
      <c r="EY127" s="460">
        <f>SUM(EY122:EY126)</f>
        <v/>
      </c>
      <c r="EZ127" s="524" t="n"/>
      <c r="FA127" s="524" t="n"/>
      <c r="FB127" s="452">
        <f>+FA127-EW127</f>
        <v/>
      </c>
      <c r="FC127" s="348">
        <f>+FB127/EW127</f>
        <v/>
      </c>
      <c r="FD127" s="348">
        <f>+FA127/T127</f>
        <v/>
      </c>
      <c r="FE127" s="348">
        <f>+FA127/U127</f>
        <v/>
      </c>
    </row>
    <row r="128">
      <c r="B128" s="451" t="n"/>
      <c r="C128" s="451" t="n"/>
      <c r="D128" s="451" t="n"/>
      <c r="E128" s="451" t="n"/>
      <c r="F128" s="451" t="n"/>
      <c r="G128" s="451" t="n"/>
      <c r="H128" s="451" t="n"/>
      <c r="I128" s="451" t="n"/>
      <c r="J128" s="451" t="n"/>
      <c r="K128" s="451" t="n"/>
      <c r="L128" s="451" t="n"/>
      <c r="M128" s="451" t="n"/>
      <c r="N128" s="451" t="n"/>
      <c r="O128" s="451" t="n"/>
      <c r="P128" s="451" t="n"/>
      <c r="Q128" s="451" t="n"/>
      <c r="R128" s="451" t="n"/>
      <c r="S128" s="451" t="n"/>
      <c r="T128" s="451" t="n"/>
      <c r="U128" s="451" t="n"/>
      <c r="V128" s="451" t="n"/>
      <c r="W128" s="451" t="n"/>
      <c r="X128" s="451" t="n"/>
      <c r="Y128" s="451" t="n"/>
      <c r="Z128" s="451" t="n"/>
      <c r="AA128" s="452" t="n"/>
      <c r="AB128" s="348" t="n"/>
      <c r="AC128" s="451" t="n"/>
      <c r="AD128" s="452" t="n"/>
      <c r="AE128" s="348" t="n"/>
      <c r="AF128" s="451" t="n"/>
      <c r="AG128" s="451" t="n"/>
      <c r="AH128" s="451" t="n"/>
      <c r="AI128" s="451" t="n"/>
      <c r="AJ128" s="451" t="n"/>
      <c r="AK128" s="451" t="n"/>
      <c r="AL128" s="451" t="n"/>
      <c r="AM128" s="451" t="n"/>
      <c r="AN128" s="451" t="n"/>
      <c r="AO128" s="451" t="n"/>
      <c r="AP128" s="451" t="n"/>
      <c r="AQ128" s="451" t="n"/>
      <c r="AR128" s="451" t="n"/>
      <c r="AS128" s="451" t="n"/>
      <c r="AT128" s="451" t="n"/>
      <c r="AU128" s="451" t="n"/>
      <c r="AV128" s="451" t="n"/>
      <c r="AW128" s="451" t="n"/>
      <c r="AX128" s="451" t="n"/>
      <c r="AY128" s="451" t="n"/>
      <c r="AZ128" s="451" t="n"/>
      <c r="BA128" s="451" t="n"/>
      <c r="BB128" s="451" t="n"/>
      <c r="BC128" s="451" t="n"/>
      <c r="BD128" s="451" t="n"/>
      <c r="BE128" s="451" t="n"/>
      <c r="BF128" s="451" t="n"/>
      <c r="BG128" s="451" t="n"/>
      <c r="BH128" s="451" t="n"/>
      <c r="BI128" s="451" t="n"/>
      <c r="BJ128" s="451" t="n"/>
      <c r="BK128" s="451" t="n"/>
      <c r="BL128" s="451" t="n"/>
      <c r="BM128" s="451" t="n"/>
      <c r="BN128" s="451" t="n"/>
      <c r="BO128" s="451" t="n"/>
      <c r="BP128" s="451" t="n"/>
      <c r="BQ128" s="451" t="n"/>
      <c r="BR128" s="451" t="n"/>
      <c r="BS128" s="451" t="n"/>
      <c r="BT128" s="451" t="n"/>
      <c r="BU128" s="489" t="n"/>
      <c r="BV128" s="384" t="n"/>
      <c r="BW128" s="384" t="n"/>
      <c r="BX128" s="384" t="n"/>
      <c r="EW128" s="451" t="n"/>
      <c r="EX128" s="451" t="n"/>
      <c r="EY128" s="451" t="n"/>
      <c r="EZ128" s="521" t="n"/>
      <c r="FA128" s="521" t="n"/>
      <c r="FB128" s="452" t="n"/>
      <c r="FC128" s="348" t="n"/>
      <c r="FD128" s="348" t="n"/>
      <c r="FE128" s="348" t="n"/>
    </row>
    <row r="129">
      <c r="A129" s="6" t="inlineStr">
        <is>
          <t>Forex impact</t>
        </is>
      </c>
      <c r="B129" s="451">
        <f>'Raw financials'!B238</f>
        <v/>
      </c>
      <c r="C129" s="451">
        <f>'Raw financials'!C238</f>
        <v/>
      </c>
      <c r="D129" s="451">
        <f>'Raw financials'!D238</f>
        <v/>
      </c>
      <c r="E129" s="451">
        <f>'Raw financials'!E238</f>
        <v/>
      </c>
      <c r="F129" s="451">
        <f>'Raw financials'!F238</f>
        <v/>
      </c>
      <c r="G129" s="451">
        <f>'Raw financials'!G238</f>
        <v/>
      </c>
      <c r="H129" s="451">
        <f>'Raw financials'!H238</f>
        <v/>
      </c>
      <c r="I129" s="451">
        <f>'Raw financials'!I238</f>
        <v/>
      </c>
      <c r="J129" s="451">
        <f>'Raw financials'!J238</f>
        <v/>
      </c>
      <c r="K129" s="451">
        <f>'Raw financials'!K238</f>
        <v/>
      </c>
      <c r="L129" s="451">
        <f>'Raw financials'!L238</f>
        <v/>
      </c>
      <c r="M129" s="451">
        <f>'Raw financials'!M238</f>
        <v/>
      </c>
      <c r="N129" s="451">
        <f>'Raw financials'!N238</f>
        <v/>
      </c>
      <c r="O129" s="451">
        <f>'Raw financials'!O238</f>
        <v/>
      </c>
      <c r="P129" s="451">
        <f>'Raw financials'!P238</f>
        <v/>
      </c>
      <c r="Q129" s="451">
        <f>'Raw financials'!Q238</f>
        <v/>
      </c>
      <c r="R129" s="451">
        <f>'Raw financials'!R238</f>
        <v/>
      </c>
      <c r="S129" s="451">
        <f>'Raw financials'!S238</f>
        <v/>
      </c>
      <c r="T129" s="451">
        <f>'Raw financials'!T238</f>
        <v/>
      </c>
      <c r="U129" s="490" t="n">
        <v>0</v>
      </c>
      <c r="V129" s="490" t="n">
        <v>0</v>
      </c>
      <c r="W129" s="490" t="n">
        <v>0</v>
      </c>
      <c r="X129" s="490" t="n">
        <v>0</v>
      </c>
      <c r="Y129" s="490" t="n">
        <v>0</v>
      </c>
      <c r="Z129" s="490" t="n">
        <v>0</v>
      </c>
      <c r="AA129" s="523">
        <f>+U129-T129</f>
        <v/>
      </c>
      <c r="AB129" s="368">
        <f>+AA129/T129</f>
        <v/>
      </c>
      <c r="AC129" s="490" t="n">
        <v>0</v>
      </c>
      <c r="AD129" s="523">
        <f>+X129-W129</f>
        <v/>
      </c>
      <c r="AE129" s="368">
        <f>+AD129/W129</f>
        <v/>
      </c>
      <c r="AF129" s="459" t="n"/>
      <c r="AG129" s="451">
        <f>'Raw financials'!AA238</f>
        <v/>
      </c>
      <c r="AH129" s="451">
        <f>+B129-AG129</f>
        <v/>
      </c>
      <c r="AI129" s="451">
        <f>'Raw financials'!AB238</f>
        <v/>
      </c>
      <c r="AJ129" s="451">
        <f>+C129-AI129</f>
        <v/>
      </c>
      <c r="AK129" s="451">
        <f>'Raw financials'!AC238</f>
        <v/>
      </c>
      <c r="AL129" s="451">
        <f>+D129-AK129</f>
        <v/>
      </c>
      <c r="AM129" s="451">
        <f>'Raw financials'!AD238</f>
        <v/>
      </c>
      <c r="AN129" s="451">
        <f>+E129-AM129</f>
        <v/>
      </c>
      <c r="AO129" s="451">
        <f>'Raw financials'!AE238</f>
        <v/>
      </c>
      <c r="AP129" s="451">
        <f>+F129-AO129</f>
        <v/>
      </c>
      <c r="AQ129" s="451">
        <f>'Raw financials'!AF238</f>
        <v/>
      </c>
      <c r="AR129" s="451">
        <f>+G129-AQ129</f>
        <v/>
      </c>
      <c r="AS129" s="451">
        <f>'Raw financials'!AG238</f>
        <v/>
      </c>
      <c r="AT129" s="451">
        <f>+H129-AS129</f>
        <v/>
      </c>
      <c r="AU129" s="451">
        <f>'Raw financials'!AH238</f>
        <v/>
      </c>
      <c r="AV129" s="451">
        <f>+I129-AU129</f>
        <v/>
      </c>
      <c r="AW129" s="451">
        <f>'Raw financials'!AI238</f>
        <v/>
      </c>
      <c r="AX129" s="451">
        <f>+J129-AW129</f>
        <v/>
      </c>
      <c r="AY129" s="451">
        <f>'Raw financials'!AJ238</f>
        <v/>
      </c>
      <c r="AZ129" s="451">
        <f>+K129-AY129</f>
        <v/>
      </c>
      <c r="BA129" s="451">
        <f>'Raw financials'!AK238</f>
        <v/>
      </c>
      <c r="BB129" s="451">
        <f>+L129-BA129</f>
        <v/>
      </c>
      <c r="BC129" s="451">
        <f>'Raw financials'!AL238</f>
        <v/>
      </c>
      <c r="BD129" s="451">
        <f>+M129-BC129</f>
        <v/>
      </c>
      <c r="BE129" s="451">
        <f>'Raw financials'!AM238</f>
        <v/>
      </c>
      <c r="BF129" s="451">
        <f>+N129-BE129</f>
        <v/>
      </c>
      <c r="BG129" s="451">
        <f>'Raw financials'!AN238</f>
        <v/>
      </c>
      <c r="BH129" s="451">
        <f>+O129-BG129</f>
        <v/>
      </c>
      <c r="BI129" s="451">
        <f>'Raw financials'!AO238</f>
        <v/>
      </c>
      <c r="BJ129" s="451">
        <f>+P129-BI129</f>
        <v/>
      </c>
      <c r="BK129" s="451">
        <f>'Raw financials'!AP238</f>
        <v/>
      </c>
      <c r="BL129" s="451">
        <f>+Q129-BK129</f>
        <v/>
      </c>
      <c r="BM129" s="451">
        <f>'Raw financials'!AQ238</f>
        <v/>
      </c>
      <c r="BN129" s="451">
        <f>+R129-BM129</f>
        <v/>
      </c>
      <c r="BO129" s="451">
        <f>'Raw financials'!AR238</f>
        <v/>
      </c>
      <c r="BP129" s="451">
        <f>+S129-BO129</f>
        <v/>
      </c>
      <c r="BQ129" s="451">
        <f>'Raw financials'!AS238</f>
        <v/>
      </c>
      <c r="BR129" s="451">
        <f>+T129-BQ129</f>
        <v/>
      </c>
      <c r="BS129" s="451" t="n"/>
      <c r="BT129" s="451">
        <f>+U129-BS129</f>
        <v/>
      </c>
      <c r="BU129" s="489">
        <f>BT129-BR129</f>
        <v/>
      </c>
      <c r="BV129" s="384">
        <f>BU129/BR129</f>
        <v/>
      </c>
      <c r="BW129" s="384">
        <f>+BT129/T129</f>
        <v/>
      </c>
      <c r="BX129" s="384">
        <f>+BT129/U129</f>
        <v/>
      </c>
      <c r="BZ129" s="451">
        <f>'Raw financials'!BN238</f>
        <v/>
      </c>
      <c r="CA129" s="451">
        <f>'Raw financials'!BO238</f>
        <v/>
      </c>
      <c r="CB129" s="451">
        <f>'Raw financials'!BP238</f>
        <v/>
      </c>
      <c r="CC129" s="451" t="n"/>
      <c r="CD129" s="451">
        <f>'Raw financials'!BR238</f>
        <v/>
      </c>
      <c r="CE129" s="451" t="n"/>
      <c r="CF129" s="451">
        <f>'Raw financials'!BT238</f>
        <v/>
      </c>
      <c r="CG129" s="451" t="n"/>
      <c r="CH129" s="451">
        <f>'Raw financials'!BV238</f>
        <v/>
      </c>
      <c r="CI129" s="451" t="n"/>
      <c r="CJ129" s="451">
        <f>'Raw financials'!BX238</f>
        <v/>
      </c>
      <c r="CK129" s="451" t="n"/>
      <c r="CL129" s="451">
        <f>'Raw financials'!BZ238</f>
        <v/>
      </c>
      <c r="CM129" s="451" t="n"/>
      <c r="CN129" s="451">
        <f>'Raw financials'!CB238</f>
        <v/>
      </c>
      <c r="CO129" s="451" t="n"/>
      <c r="CP129" s="451">
        <f>'Raw financials'!CD238</f>
        <v/>
      </c>
      <c r="CQ129" s="451" t="n"/>
      <c r="CR129" s="451">
        <f>'Raw financials'!CF238</f>
        <v/>
      </c>
      <c r="CS129" s="451" t="n"/>
      <c r="CT129" s="451">
        <f>'Raw financials'!CH238</f>
        <v/>
      </c>
      <c r="CU129" s="451" t="n"/>
      <c r="CV129" s="451">
        <f>'Raw financials'!CJ238</f>
        <v/>
      </c>
      <c r="CW129" s="451" t="n"/>
      <c r="CX129" s="451">
        <f>'Raw financials'!CL238</f>
        <v/>
      </c>
      <c r="CY129" s="451" t="n"/>
      <c r="CZ129" s="451">
        <f>'Raw financials'!CN238</f>
        <v/>
      </c>
      <c r="DA129" s="451" t="n"/>
      <c r="DB129" s="451">
        <f>'Raw financials'!CP238</f>
        <v/>
      </c>
      <c r="DC129" s="451" t="n"/>
      <c r="DD129" s="451">
        <f>'Raw financials'!CR238</f>
        <v/>
      </c>
      <c r="DE129" s="451" t="n"/>
      <c r="DF129" s="451">
        <f>'Raw financials'!CT238</f>
        <v/>
      </c>
      <c r="DG129" s="451" t="n"/>
      <c r="DH129" s="451">
        <f>'Raw financials'!CV238</f>
        <v/>
      </c>
      <c r="DI129" s="451" t="n"/>
      <c r="DJ129" s="451">
        <f>'Raw financials'!CX238</f>
        <v/>
      </c>
      <c r="DK129" s="451" t="n"/>
      <c r="DL129" s="451">
        <f>'Raw financials'!CZ238</f>
        <v/>
      </c>
      <c r="DM129" s="451" t="n"/>
      <c r="DN129" s="451">
        <f>'Raw financials'!DB238</f>
        <v/>
      </c>
      <c r="DO129" s="451" t="n"/>
      <c r="DP129" s="451">
        <f>'Raw financials'!DD238</f>
        <v/>
      </c>
      <c r="DQ129" s="451" t="n"/>
      <c r="DR129" s="451">
        <f>'Raw financials'!DF238</f>
        <v/>
      </c>
      <c r="DS129" s="451" t="n"/>
      <c r="DT129" s="451">
        <f>'Raw financials'!DH238</f>
        <v/>
      </c>
      <c r="DU129" s="451" t="n"/>
      <c r="DV129" s="451">
        <f>'Raw financials'!DJ238</f>
        <v/>
      </c>
      <c r="DW129" s="451" t="n"/>
      <c r="DX129" s="451">
        <f>'Raw financials'!DL238</f>
        <v/>
      </c>
      <c r="DY129" s="451" t="n"/>
      <c r="DZ129" s="451">
        <f>'Raw financials'!DN238</f>
        <v/>
      </c>
      <c r="EA129" s="451" t="n"/>
      <c r="EB129" s="451">
        <f>'Raw financials'!DP238</f>
        <v/>
      </c>
      <c r="EC129" s="451" t="n"/>
      <c r="ED129" s="451">
        <f>'Raw financials'!DR238</f>
        <v/>
      </c>
      <c r="EE129" s="451" t="n"/>
      <c r="EF129" s="451">
        <f>'Raw financials'!DT238</f>
        <v/>
      </c>
      <c r="EG129" s="451" t="n"/>
      <c r="EH129" s="451">
        <f>'Raw financials'!DV238</f>
        <v/>
      </c>
      <c r="EI129" s="451" t="n"/>
      <c r="EJ129" s="451">
        <f>'Raw financials'!DX238</f>
        <v/>
      </c>
      <c r="EK129" s="451" t="n"/>
      <c r="EL129" s="451">
        <f>'Raw financials'!DZ238</f>
        <v/>
      </c>
      <c r="EM129" s="451" t="n"/>
      <c r="EN129" s="451">
        <f>'Raw financials'!EB238</f>
        <v/>
      </c>
      <c r="EO129" s="451" t="n"/>
      <c r="EP129" s="451">
        <f>'Raw financials'!ED238</f>
        <v/>
      </c>
      <c r="EQ129" s="451" t="n"/>
      <c r="ER129" s="451">
        <f>'Raw financials'!EF238</f>
        <v/>
      </c>
      <c r="ES129" s="451" t="n"/>
      <c r="ET129" s="451">
        <f>'Raw financials'!EH238</f>
        <v/>
      </c>
      <c r="EU129" s="451">
        <f>+BQ129-ET129</f>
        <v/>
      </c>
      <c r="EV129" s="451">
        <f>'Raw financials'!EJ238</f>
        <v/>
      </c>
      <c r="EW129" s="451">
        <f>'Raw financials'!EK238</f>
        <v/>
      </c>
      <c r="EX129" s="451">
        <f>'Raw financials'!EL238</f>
        <v/>
      </c>
      <c r="EY129" s="451">
        <f>'Raw financials'!EM238</f>
        <v/>
      </c>
      <c r="EZ129" s="521" t="n"/>
      <c r="FA129" s="521" t="n"/>
      <c r="FB129" s="452">
        <f>+FA129-EW129</f>
        <v/>
      </c>
      <c r="FC129" s="348">
        <f>+FB129/EW129</f>
        <v/>
      </c>
      <c r="FD129" s="348">
        <f>+FA129/T129</f>
        <v/>
      </c>
      <c r="FE129" s="348">
        <f>+FA129/U129</f>
        <v/>
      </c>
    </row>
    <row r="130">
      <c r="A130" s="21" t="inlineStr">
        <is>
          <t>Net changes in cash</t>
        </is>
      </c>
      <c r="B130" s="460">
        <f>B114+B120+B127+B129</f>
        <v/>
      </c>
      <c r="C130" s="460">
        <f>C114+C120+C127+C129</f>
        <v/>
      </c>
      <c r="D130" s="460">
        <f>D114+D120+D127+D129</f>
        <v/>
      </c>
      <c r="E130" s="460">
        <f>E114+E120+E127+E129</f>
        <v/>
      </c>
      <c r="F130" s="460">
        <f>F114+F120+F127+F129</f>
        <v/>
      </c>
      <c r="G130" s="460">
        <f>G114+G120+G127+G129</f>
        <v/>
      </c>
      <c r="H130" s="460">
        <f>H114+H120+H127+H129</f>
        <v/>
      </c>
      <c r="I130" s="460">
        <f>I114+I120+I127+I129</f>
        <v/>
      </c>
      <c r="J130" s="460">
        <f>J114+J120+J127+J129</f>
        <v/>
      </c>
      <c r="K130" s="460">
        <f>K114+K120+K127+K129</f>
        <v/>
      </c>
      <c r="L130" s="460">
        <f>L114+L120+L127+L129</f>
        <v/>
      </c>
      <c r="M130" s="460">
        <f>M114+M120+M127+M129</f>
        <v/>
      </c>
      <c r="N130" s="460">
        <f>N114+N120+N127+N129</f>
        <v/>
      </c>
      <c r="O130" s="460">
        <f>O114+O120+O127+O129</f>
        <v/>
      </c>
      <c r="P130" s="460">
        <f>P114+P120+P127+P129</f>
        <v/>
      </c>
      <c r="Q130" s="460">
        <f>Q114+Q120+Q127+Q129</f>
        <v/>
      </c>
      <c r="R130" s="460">
        <f>R114+R120+R127+R129</f>
        <v/>
      </c>
      <c r="S130" s="460">
        <f>S114+S120+S127+S129</f>
        <v/>
      </c>
      <c r="T130" s="460">
        <f>T114+T120+T127+T129</f>
        <v/>
      </c>
      <c r="U130" s="460">
        <f>U114+U120+U127+U129</f>
        <v/>
      </c>
      <c r="V130" s="460">
        <f>V114+V120+V127+V129</f>
        <v/>
      </c>
      <c r="W130" s="460">
        <f>W114+W120+W127+W129</f>
        <v/>
      </c>
      <c r="X130" s="460">
        <f>X114+X120+X127+X129</f>
        <v/>
      </c>
      <c r="Y130" s="460">
        <f>Y114+Y120+Y127+Y129</f>
        <v/>
      </c>
      <c r="Z130" s="460">
        <f>Z114+Z120+Z127+Z129</f>
        <v/>
      </c>
      <c r="AA130" s="509">
        <f>+U130-T130</f>
        <v/>
      </c>
      <c r="AB130" s="371">
        <f>+AA130/T130</f>
        <v/>
      </c>
      <c r="AC130" s="462" t="n">
        <v>4478.52640135423</v>
      </c>
      <c r="AD130" s="509">
        <f>+X130-W130</f>
        <v/>
      </c>
      <c r="AE130" s="371">
        <f>+AD130/W130</f>
        <v/>
      </c>
      <c r="AF130" s="462" t="n"/>
      <c r="AG130" s="460">
        <f>AG114+AG120+AG127+AG129</f>
        <v/>
      </c>
      <c r="AH130" s="460">
        <f>AH114+AH120+AH127+AH129</f>
        <v/>
      </c>
      <c r="AI130" s="460">
        <f>AI114+AI120+AI127+AI129</f>
        <v/>
      </c>
      <c r="AJ130" s="460">
        <f>AJ114+AJ120+AJ127+AJ129</f>
        <v/>
      </c>
      <c r="AK130" s="460">
        <f>AK114+AK120+AK127+AK129</f>
        <v/>
      </c>
      <c r="AL130" s="460">
        <f>AL114+AL120+AL127+AL129</f>
        <v/>
      </c>
      <c r="AM130" s="460">
        <f>AM114+AM120+AM127+AM129</f>
        <v/>
      </c>
      <c r="AN130" s="460">
        <f>AN114+AN120+AN127+AN129</f>
        <v/>
      </c>
      <c r="AO130" s="460">
        <f>AO114+AO120+AO127+AO129</f>
        <v/>
      </c>
      <c r="AP130" s="460">
        <f>AP114+AP120+AP127+AP129</f>
        <v/>
      </c>
      <c r="AQ130" s="460">
        <f>AQ114+AQ120+AQ127+AQ129</f>
        <v/>
      </c>
      <c r="AR130" s="460">
        <f>AR114+AR120+AR127+AR129</f>
        <v/>
      </c>
      <c r="AS130" s="460">
        <f>AS114+AS120+AS127+AS129</f>
        <v/>
      </c>
      <c r="AT130" s="460">
        <f>AT114+AT120+AT127+AT129</f>
        <v/>
      </c>
      <c r="AU130" s="460">
        <f>AU114+AU120+AU127+AU129</f>
        <v/>
      </c>
      <c r="AV130" s="460">
        <f>AV114+AV120+AV127+AV129</f>
        <v/>
      </c>
      <c r="AW130" s="460">
        <f>AW114+AW120+AW127+AW129</f>
        <v/>
      </c>
      <c r="AX130" s="460">
        <f>AX114+AX120+AX127+AX129</f>
        <v/>
      </c>
      <c r="AY130" s="460">
        <f>AY114+AY120+AY127+AY129</f>
        <v/>
      </c>
      <c r="AZ130" s="460">
        <f>AZ114+AZ120+AZ127+AZ129</f>
        <v/>
      </c>
      <c r="BA130" s="460">
        <f>BA114+BA120+BA127+BA129</f>
        <v/>
      </c>
      <c r="BB130" s="460">
        <f>BB114+BB120+BB127+BB129</f>
        <v/>
      </c>
      <c r="BC130" s="460">
        <f>BC114+BC120+BC127+BC129</f>
        <v/>
      </c>
      <c r="BD130" s="460">
        <f>BD114+BD120+BD127+BD129</f>
        <v/>
      </c>
      <c r="BE130" s="460">
        <f>BE114+BE120+BE127+BE129</f>
        <v/>
      </c>
      <c r="BF130" s="460">
        <f>BF114+BF120+BF127+BF129</f>
        <v/>
      </c>
      <c r="BG130" s="460">
        <f>BG114+BG120+BG127+BG129</f>
        <v/>
      </c>
      <c r="BH130" s="460">
        <f>BH114+BH120+BH127+BH129</f>
        <v/>
      </c>
      <c r="BI130" s="460">
        <f>BI114+BI120+BI127+BI129</f>
        <v/>
      </c>
      <c r="BJ130" s="460">
        <f>BJ114+BJ120+BJ127+BJ129</f>
        <v/>
      </c>
      <c r="BK130" s="460">
        <f>BK114+BK120+BK127+BK129</f>
        <v/>
      </c>
      <c r="BL130" s="460">
        <f>BL114+BL120+BL127+BL129</f>
        <v/>
      </c>
      <c r="BM130" s="460">
        <f>BM114+BM120+BM127+BM129</f>
        <v/>
      </c>
      <c r="BN130" s="460">
        <f>BN114+BN120+BN127+BN129</f>
        <v/>
      </c>
      <c r="BO130" s="460">
        <f>BO114+BO120+BO127+BO129</f>
        <v/>
      </c>
      <c r="BP130" s="460">
        <f>BP114+BP120+BP127+BP129</f>
        <v/>
      </c>
      <c r="BQ130" s="460">
        <f>BQ114+BQ120+BQ127+BQ129</f>
        <v/>
      </c>
      <c r="BR130" s="460">
        <f>BR114+BR120+BR127+BR129</f>
        <v/>
      </c>
      <c r="BS130" s="460" t="n"/>
      <c r="BT130" s="460">
        <f>BT114+BT120+BT127+BT129</f>
        <v/>
      </c>
      <c r="BU130" s="510">
        <f>BT130-BR130</f>
        <v/>
      </c>
      <c r="BV130" s="383">
        <f>BU130/BR130</f>
        <v/>
      </c>
      <c r="BW130" s="383">
        <f>+BT130/T130</f>
        <v/>
      </c>
      <c r="BX130" s="383">
        <f>+BT130/U130</f>
        <v/>
      </c>
      <c r="BZ130" s="460">
        <f>BZ114+BZ120+BZ127+BZ129</f>
        <v/>
      </c>
      <c r="CA130" s="460">
        <f>CA114+CA120+CA127+CA129</f>
        <v/>
      </c>
      <c r="CB130" s="460">
        <f>CB114+CB120+CB127+CB129</f>
        <v/>
      </c>
      <c r="CC130" s="460" t="n"/>
      <c r="CD130" s="460">
        <f>CD114+CD120+CD127+CD129</f>
        <v/>
      </c>
      <c r="CE130" s="460" t="n"/>
      <c r="CF130" s="460">
        <f>CF114+CF120+CF127+CF129</f>
        <v/>
      </c>
      <c r="CG130" s="460" t="n"/>
      <c r="CH130" s="460">
        <f>CH114+CH120+CH127+CH129</f>
        <v/>
      </c>
      <c r="CI130" s="460" t="n"/>
      <c r="CJ130" s="460">
        <f>CJ114+CJ120+CJ127+CJ129</f>
        <v/>
      </c>
      <c r="CK130" s="460" t="n"/>
      <c r="CL130" s="460">
        <f>CL114+CL120+CL127+CL129</f>
        <v/>
      </c>
      <c r="CM130" s="460" t="n"/>
      <c r="CN130" s="460">
        <f>CN114+CN120+CN127+CN129</f>
        <v/>
      </c>
      <c r="CO130" s="460" t="n"/>
      <c r="CP130" s="460">
        <f>CP114+CP120+CP127+CP129</f>
        <v/>
      </c>
      <c r="CQ130" s="460" t="n"/>
      <c r="CR130" s="460">
        <f>CR114+CR120+CR127+CR129</f>
        <v/>
      </c>
      <c r="CS130" s="460" t="n"/>
      <c r="CT130" s="460">
        <f>CT114+CT120+CT127+CT129</f>
        <v/>
      </c>
      <c r="CU130" s="460" t="n"/>
      <c r="CV130" s="460">
        <f>CV114+CV120+CV127+CV129</f>
        <v/>
      </c>
      <c r="CW130" s="460" t="n"/>
      <c r="CX130" s="460">
        <f>CX114+CX120+CX127+CX129</f>
        <v/>
      </c>
      <c r="CY130" s="460" t="n"/>
      <c r="CZ130" s="460">
        <f>CZ114+CZ120+CZ127+CZ129</f>
        <v/>
      </c>
      <c r="DA130" s="460" t="n"/>
      <c r="DB130" s="460">
        <f>DB114+DB120+DB127+DB129</f>
        <v/>
      </c>
      <c r="DC130" s="460" t="n"/>
      <c r="DD130" s="460">
        <f>DD114+DD120+DD127+DD129</f>
        <v/>
      </c>
      <c r="DE130" s="460" t="n"/>
      <c r="DF130" s="460">
        <f>DF114+DF120+DF127+DF129</f>
        <v/>
      </c>
      <c r="DG130" s="460" t="n"/>
      <c r="DH130" s="460">
        <f>DH114+DH120+DH127+DH129</f>
        <v/>
      </c>
      <c r="DI130" s="460" t="n"/>
      <c r="DJ130" s="460">
        <f>DJ114+DJ120+DJ127+DJ129</f>
        <v/>
      </c>
      <c r="DK130" s="460" t="n"/>
      <c r="DL130" s="460">
        <f>DL114+DL120+DL127+DL129</f>
        <v/>
      </c>
      <c r="DM130" s="460" t="n"/>
      <c r="DN130" s="460">
        <f>DN114+DN120+DN127+DN129</f>
        <v/>
      </c>
      <c r="DO130" s="460" t="n"/>
      <c r="DP130" s="460">
        <f>DP114+DP120+DP127+DP129</f>
        <v/>
      </c>
      <c r="DQ130" s="460" t="n"/>
      <c r="DR130" s="460">
        <f>DR114+DR120+DR127+DR129</f>
        <v/>
      </c>
      <c r="DS130" s="460" t="n"/>
      <c r="DT130" s="460">
        <f>DT114+DT120+DT127+DT129</f>
        <v/>
      </c>
      <c r="DU130" s="460" t="n"/>
      <c r="DV130" s="460">
        <f>DV114+DV120+DV127+DV129</f>
        <v/>
      </c>
      <c r="DW130" s="460" t="n"/>
      <c r="DX130" s="460">
        <f>DX114+DX120+DX127+DX129</f>
        <v/>
      </c>
      <c r="DY130" s="460" t="n"/>
      <c r="DZ130" s="460">
        <f>DZ114+DZ120+DZ127+DZ129</f>
        <v/>
      </c>
      <c r="EA130" s="460" t="n"/>
      <c r="EB130" s="460">
        <f>EB114+EB120+EB127+EB129</f>
        <v/>
      </c>
      <c r="EC130" s="460" t="n"/>
      <c r="ED130" s="460">
        <f>ED114+ED120+ED127+ED129</f>
        <v/>
      </c>
      <c r="EE130" s="460" t="n"/>
      <c r="EF130" s="460">
        <f>EF114+EF120+EF127+EF129</f>
        <v/>
      </c>
      <c r="EG130" s="460" t="n"/>
      <c r="EH130" s="460">
        <f>EH114+EH120+EH127+EH129</f>
        <v/>
      </c>
      <c r="EI130" s="460" t="n"/>
      <c r="EJ130" s="460">
        <f>EJ114+EJ120+EJ127+EJ129</f>
        <v/>
      </c>
      <c r="EK130" s="460" t="n"/>
      <c r="EL130" s="460">
        <f>EL114+EL120+EL127+EL129</f>
        <v/>
      </c>
      <c r="EM130" s="460" t="n"/>
      <c r="EN130" s="460">
        <f>EN114+EN120+EN127+EN129</f>
        <v/>
      </c>
      <c r="EO130" s="460" t="n"/>
      <c r="EP130" s="460">
        <f>EP114+EP120+EP127+EP129</f>
        <v/>
      </c>
      <c r="EQ130" s="460" t="n"/>
      <c r="ER130" s="460">
        <f>ER114+ER120+ER127+ER129</f>
        <v/>
      </c>
      <c r="ES130" s="460" t="n"/>
      <c r="ET130" s="460">
        <f>ET114+ET120+ET127+ET129</f>
        <v/>
      </c>
      <c r="EU130" s="460">
        <f>EU114+EU120+EU127+EU129</f>
        <v/>
      </c>
      <c r="EV130" s="460">
        <f>EV114+EV120+EV127+EV129</f>
        <v/>
      </c>
      <c r="EW130" s="460">
        <f>EW114+EW120+EW127+EW129</f>
        <v/>
      </c>
      <c r="EX130" s="460">
        <f>EX114+EX120+EX127+EX129</f>
        <v/>
      </c>
      <c r="EY130" s="460">
        <f>EY114+EY120+EY127+EY129</f>
        <v/>
      </c>
      <c r="EZ130" s="524" t="n"/>
      <c r="FA130" s="524" t="n"/>
      <c r="FB130" s="452">
        <f>+FA130-EW130</f>
        <v/>
      </c>
      <c r="FC130" s="348">
        <f>+FB130/EW130</f>
        <v/>
      </c>
      <c r="FD130" s="348">
        <f>+FA130/T130</f>
        <v/>
      </c>
      <c r="FE130" s="348">
        <f>+FA130/U130</f>
        <v/>
      </c>
    </row>
    <row r="131">
      <c r="B131" s="451" t="n"/>
      <c r="C131" s="451" t="n"/>
      <c r="D131" s="451" t="n"/>
      <c r="E131" s="451" t="n"/>
      <c r="F131" s="451" t="n"/>
      <c r="G131" s="451" t="n"/>
      <c r="H131" s="451" t="n"/>
      <c r="I131" s="451" t="n"/>
      <c r="J131" s="451" t="n"/>
      <c r="K131" s="451" t="n"/>
      <c r="L131" s="451" t="n"/>
      <c r="M131" s="451" t="n"/>
      <c r="N131" s="451" t="n"/>
      <c r="O131" s="451" t="n"/>
      <c r="P131" s="451" t="n"/>
      <c r="Q131" s="451" t="n"/>
      <c r="R131" s="451" t="n"/>
      <c r="S131" s="451" t="n"/>
      <c r="T131" s="451" t="n"/>
      <c r="U131" s="451" t="n"/>
      <c r="V131" s="451" t="n"/>
      <c r="W131" s="451" t="n"/>
      <c r="X131" s="451" t="n"/>
      <c r="Y131" s="451" t="n"/>
      <c r="Z131" s="451" t="n"/>
      <c r="AA131" s="452" t="n"/>
      <c r="AB131" s="348" t="n"/>
      <c r="AC131" s="451" t="n"/>
      <c r="AD131" s="452" t="n"/>
      <c r="AE131" s="348" t="n"/>
      <c r="AF131" s="451" t="n"/>
      <c r="AG131" s="451" t="n"/>
      <c r="AH131" s="451" t="n"/>
      <c r="AI131" s="451" t="n"/>
      <c r="AJ131" s="451" t="n"/>
      <c r="AK131" s="451" t="n"/>
      <c r="AL131" s="451" t="n"/>
      <c r="AM131" s="451" t="n"/>
      <c r="AN131" s="451" t="n"/>
      <c r="AO131" s="451" t="n"/>
      <c r="AP131" s="451" t="n"/>
      <c r="AQ131" s="451" t="n"/>
      <c r="AR131" s="451" t="n"/>
      <c r="AS131" s="451" t="n"/>
      <c r="AT131" s="451" t="n"/>
      <c r="AU131" s="451" t="n"/>
      <c r="AV131" s="451" t="n"/>
      <c r="AW131" s="451" t="n"/>
      <c r="AX131" s="451" t="n"/>
      <c r="AY131" s="451" t="n"/>
      <c r="AZ131" s="451" t="n"/>
      <c r="BA131" s="451" t="n"/>
      <c r="BB131" s="451" t="n"/>
      <c r="BC131" s="451" t="n"/>
      <c r="BD131" s="451" t="n"/>
      <c r="BE131" s="451" t="n"/>
      <c r="BF131" s="451" t="n"/>
      <c r="BG131" s="451" t="n"/>
      <c r="BH131" s="451" t="n"/>
      <c r="BI131" s="451" t="n"/>
      <c r="BJ131" s="451" t="n"/>
      <c r="BK131" s="451" t="n"/>
      <c r="BL131" s="451" t="n"/>
      <c r="BM131" s="451" t="n"/>
      <c r="BN131" s="451" t="n"/>
      <c r="BO131" s="451" t="n"/>
      <c r="BP131" s="451" t="n"/>
      <c r="BQ131" s="451" t="n"/>
      <c r="BR131" s="451" t="n"/>
      <c r="BS131" s="451" t="n"/>
      <c r="BT131" s="451" t="n"/>
      <c r="BU131" s="489" t="n"/>
      <c r="BV131" s="384" t="n"/>
      <c r="BW131" s="384" t="n"/>
      <c r="BX131" s="384" t="n"/>
      <c r="EZ131" s="404" t="n"/>
      <c r="FA131" s="404" t="n"/>
      <c r="FB131" s="452" t="n"/>
      <c r="FC131" s="348" t="n"/>
      <c r="FD131" s="348" t="n"/>
      <c r="FE131" s="348" t="n"/>
    </row>
    <row r="132">
      <c r="A132" s="6" t="inlineStr">
        <is>
          <t>Cash - year beginning</t>
        </is>
      </c>
      <c r="B132" s="451">
        <f>'Raw financials'!B242</f>
        <v/>
      </c>
      <c r="C132" s="451">
        <f>'Raw financials'!C242</f>
        <v/>
      </c>
      <c r="D132" s="451">
        <f>'Raw financials'!D242</f>
        <v/>
      </c>
      <c r="E132" s="451">
        <f>'Raw financials'!E242</f>
        <v/>
      </c>
      <c r="F132" s="451">
        <f>'Raw financials'!F242</f>
        <v/>
      </c>
      <c r="G132" s="451">
        <f>'Raw financials'!G242</f>
        <v/>
      </c>
      <c r="H132" s="451">
        <f>'Raw financials'!H242</f>
        <v/>
      </c>
      <c r="I132" s="451">
        <f>'Raw financials'!I242</f>
        <v/>
      </c>
      <c r="J132" s="451">
        <f>'Raw financials'!J242</f>
        <v/>
      </c>
      <c r="K132" s="451">
        <f>'Raw financials'!K242</f>
        <v/>
      </c>
      <c r="L132" s="451">
        <f>'Raw financials'!L242</f>
        <v/>
      </c>
      <c r="M132" s="451">
        <f>'Raw financials'!M242</f>
        <v/>
      </c>
      <c r="N132" s="451">
        <f>'Raw financials'!N242</f>
        <v/>
      </c>
      <c r="O132" s="451">
        <f>'Raw financials'!O242</f>
        <v/>
      </c>
      <c r="P132" s="451">
        <f>'Raw financials'!P242</f>
        <v/>
      </c>
      <c r="Q132" s="451">
        <f>'Raw financials'!Q242</f>
        <v/>
      </c>
      <c r="R132" s="451">
        <f>'Raw financials'!R242</f>
        <v/>
      </c>
      <c r="S132" s="451">
        <f>'Raw financials'!S242</f>
        <v/>
      </c>
      <c r="T132" s="451">
        <f>'Raw financials'!T242</f>
        <v/>
      </c>
      <c r="U132" s="451">
        <f>T133</f>
        <v/>
      </c>
      <c r="V132" s="451">
        <f>U133</f>
        <v/>
      </c>
      <c r="W132" s="451">
        <f>V133</f>
        <v/>
      </c>
      <c r="X132" s="451">
        <f>W133</f>
        <v/>
      </c>
      <c r="Y132" s="451">
        <f>X133</f>
        <v/>
      </c>
      <c r="Z132" s="451">
        <f>Y133</f>
        <v/>
      </c>
      <c r="AA132" s="452">
        <f>+U132-T132</f>
        <v/>
      </c>
      <c r="AB132" s="348">
        <f>+AA132/T132</f>
        <v/>
      </c>
      <c r="AC132" s="451" t="n">
        <v>22502.86</v>
      </c>
      <c r="AD132" s="452">
        <f>+X132-W132</f>
        <v/>
      </c>
      <c r="AE132" s="348">
        <f>+AD132/W132</f>
        <v/>
      </c>
      <c r="AF132" s="451" t="n"/>
      <c r="AG132" s="451">
        <f>B132</f>
        <v/>
      </c>
      <c r="AH132" s="451">
        <f>+AG133</f>
        <v/>
      </c>
      <c r="AI132" s="451">
        <f>'Raw financials'!AB242</f>
        <v/>
      </c>
      <c r="AJ132" s="451">
        <f>+AI133</f>
        <v/>
      </c>
      <c r="AK132" s="451">
        <f>'Raw financials'!AC242</f>
        <v/>
      </c>
      <c r="AL132" s="451">
        <f>+AK133</f>
        <v/>
      </c>
      <c r="AM132" s="451">
        <f>'Raw financials'!AD242</f>
        <v/>
      </c>
      <c r="AN132" s="451">
        <f>+AM133</f>
        <v/>
      </c>
      <c r="AO132" s="451">
        <f>'Raw financials'!AE242</f>
        <v/>
      </c>
      <c r="AP132" s="451">
        <f>+AO133</f>
        <v/>
      </c>
      <c r="AQ132" s="451">
        <f>'Raw financials'!AF242</f>
        <v/>
      </c>
      <c r="AR132" s="451">
        <f>+AQ133</f>
        <v/>
      </c>
      <c r="AS132" s="451">
        <f>'Raw financials'!AG242</f>
        <v/>
      </c>
      <c r="AT132" s="451">
        <f>+AS133</f>
        <v/>
      </c>
      <c r="AU132" s="451">
        <f>'Raw financials'!AH242</f>
        <v/>
      </c>
      <c r="AV132" s="451">
        <f>+AU133</f>
        <v/>
      </c>
      <c r="AW132" s="451">
        <f>'Raw financials'!AI242</f>
        <v/>
      </c>
      <c r="AX132" s="451">
        <f>+AW133</f>
        <v/>
      </c>
      <c r="AY132" s="451">
        <f>'Raw financials'!AJ242</f>
        <v/>
      </c>
      <c r="AZ132" s="451">
        <f>+AY133</f>
        <v/>
      </c>
      <c r="BA132" s="451">
        <f>'Raw financials'!AK242</f>
        <v/>
      </c>
      <c r="BB132" s="451">
        <f>+BA133</f>
        <v/>
      </c>
      <c r="BC132" s="451">
        <f>'Raw financials'!AL242</f>
        <v/>
      </c>
      <c r="BD132" s="451">
        <f>+BC133</f>
        <v/>
      </c>
      <c r="BE132" s="451">
        <f>'Raw financials'!AM242</f>
        <v/>
      </c>
      <c r="BF132" s="451">
        <f>+BE133</f>
        <v/>
      </c>
      <c r="BG132" s="451">
        <f>'Raw financials'!AN242</f>
        <v/>
      </c>
      <c r="BH132" s="451">
        <f>+BG133</f>
        <v/>
      </c>
      <c r="BI132" s="451">
        <f>'Raw financials'!AO242</f>
        <v/>
      </c>
      <c r="BJ132" s="451">
        <f>+BI133</f>
        <v/>
      </c>
      <c r="BK132" s="451">
        <f>'Raw financials'!AP242</f>
        <v/>
      </c>
      <c r="BL132" s="451">
        <f>+BK133</f>
        <v/>
      </c>
      <c r="BM132" s="451">
        <f>'Raw financials'!AQ242</f>
        <v/>
      </c>
      <c r="BN132" s="451">
        <f>+BM133</f>
        <v/>
      </c>
      <c r="BO132" s="451">
        <f>'Raw financials'!AR242</f>
        <v/>
      </c>
      <c r="BP132" s="451">
        <f>+BO133</f>
        <v/>
      </c>
      <c r="BQ132" s="451">
        <f>'Raw financials'!AS242</f>
        <v/>
      </c>
      <c r="BR132" s="451">
        <f>+BQ133</f>
        <v/>
      </c>
      <c r="BS132" s="451" t="n"/>
      <c r="BT132" s="451">
        <f>+BS133</f>
        <v/>
      </c>
      <c r="BU132" s="489">
        <f>BT132-BR132</f>
        <v/>
      </c>
      <c r="BV132" s="384">
        <f>BU132/BR132</f>
        <v/>
      </c>
      <c r="BW132" s="384">
        <f>+BT132/T132</f>
        <v/>
      </c>
      <c r="BX132" s="384">
        <f>+BT132/U132</f>
        <v/>
      </c>
      <c r="BZ132" s="451">
        <f>'Raw financials'!BN242</f>
        <v/>
      </c>
      <c r="CA132" s="451">
        <f>'Raw financials'!BO242</f>
        <v/>
      </c>
      <c r="CB132" s="451">
        <f>'Raw financials'!BP242</f>
        <v/>
      </c>
      <c r="CC132" s="451" t="n"/>
      <c r="CD132" s="451">
        <f>'Raw financials'!BR242</f>
        <v/>
      </c>
      <c r="CE132" s="451" t="n"/>
      <c r="CF132" s="451">
        <f>'Raw financials'!BT242</f>
        <v/>
      </c>
      <c r="CG132" s="451" t="n"/>
      <c r="CH132" s="451">
        <f>'Raw financials'!BV242</f>
        <v/>
      </c>
      <c r="CI132" s="451" t="n"/>
      <c r="CJ132" s="451">
        <f>'Raw financials'!BX242</f>
        <v/>
      </c>
      <c r="CK132" s="451" t="n"/>
      <c r="CL132" s="451">
        <f>'Raw financials'!BZ242</f>
        <v/>
      </c>
      <c r="CM132" s="451" t="n"/>
      <c r="CN132" s="451">
        <f>'Raw financials'!CB242</f>
        <v/>
      </c>
      <c r="CO132" s="451" t="n"/>
      <c r="CP132" s="451">
        <f>'Raw financials'!CD242</f>
        <v/>
      </c>
      <c r="CQ132" s="451" t="n"/>
      <c r="CR132" s="451">
        <f>'Raw financials'!CF242</f>
        <v/>
      </c>
      <c r="CS132" s="451" t="n"/>
      <c r="CT132" s="451">
        <f>'Raw financials'!CH242</f>
        <v/>
      </c>
      <c r="CU132" s="451" t="n"/>
      <c r="CV132" s="451">
        <f>'Raw financials'!CJ242</f>
        <v/>
      </c>
      <c r="CW132" s="451" t="n"/>
      <c r="CX132" s="451">
        <f>'Raw financials'!CL242</f>
        <v/>
      </c>
      <c r="CY132" s="451" t="n"/>
      <c r="CZ132" s="451">
        <f>'Raw financials'!CN242</f>
        <v/>
      </c>
      <c r="DA132" s="451" t="n"/>
      <c r="DB132" s="451">
        <f>'Raw financials'!CP242</f>
        <v/>
      </c>
      <c r="DC132" s="451" t="n"/>
      <c r="DD132" s="451">
        <f>'Raw financials'!CR242</f>
        <v/>
      </c>
      <c r="DE132" s="451" t="n"/>
      <c r="DF132" s="451">
        <f>'Raw financials'!CT242</f>
        <v/>
      </c>
      <c r="DG132" s="451" t="n"/>
      <c r="DH132" s="451">
        <f>'Raw financials'!CV242</f>
        <v/>
      </c>
      <c r="DI132" s="451" t="n"/>
      <c r="DJ132" s="451">
        <f>'Raw financials'!CX242</f>
        <v/>
      </c>
      <c r="DK132" s="451" t="n"/>
      <c r="DL132" s="451">
        <f>'Raw financials'!CZ242</f>
        <v/>
      </c>
      <c r="DM132" s="451" t="n"/>
      <c r="DN132" s="451">
        <f>'Raw financials'!DB242</f>
        <v/>
      </c>
      <c r="DO132" s="451" t="n"/>
      <c r="DP132" s="451">
        <f>'Raw financials'!DD242</f>
        <v/>
      </c>
      <c r="DQ132" s="451" t="n"/>
      <c r="DR132" s="451">
        <f>'Raw financials'!DF242</f>
        <v/>
      </c>
      <c r="DS132" s="451" t="n"/>
      <c r="DT132" s="451">
        <f>'Raw financials'!DH242</f>
        <v/>
      </c>
      <c r="DU132" s="451" t="n"/>
      <c r="DV132" s="451">
        <f>'Raw financials'!DJ242</f>
        <v/>
      </c>
      <c r="DW132" s="451" t="n"/>
      <c r="DX132" s="451">
        <f>'Raw financials'!DL242</f>
        <v/>
      </c>
      <c r="DY132" s="451" t="n"/>
      <c r="DZ132" s="451">
        <f>'Raw financials'!DN242</f>
        <v/>
      </c>
      <c r="EA132" s="451" t="n"/>
      <c r="EB132" s="451">
        <f>'Raw financials'!DP242</f>
        <v/>
      </c>
      <c r="EC132" s="451" t="n"/>
      <c r="ED132" s="451">
        <f>'Raw financials'!DR242</f>
        <v/>
      </c>
      <c r="EE132" s="451" t="n"/>
      <c r="EF132" s="451">
        <f>'Raw financials'!DT242</f>
        <v/>
      </c>
      <c r="EG132" s="451" t="n"/>
      <c r="EH132" s="451">
        <f>'Raw financials'!DV242</f>
        <v/>
      </c>
      <c r="EI132" s="451" t="n"/>
      <c r="EJ132" s="451">
        <f>'Raw financials'!DX242</f>
        <v/>
      </c>
      <c r="EK132" s="451" t="n"/>
      <c r="EL132" s="451">
        <f>'Raw financials'!DZ242</f>
        <v/>
      </c>
      <c r="EM132" s="451" t="n"/>
      <c r="EN132" s="451">
        <f>'Raw financials'!EB242</f>
        <v/>
      </c>
      <c r="EO132" s="451" t="n"/>
      <c r="EP132" s="451">
        <f>'Raw financials'!ED242</f>
        <v/>
      </c>
      <c r="EQ132" s="451" t="n"/>
      <c r="ER132" s="451">
        <f>'Raw financials'!EF242</f>
        <v/>
      </c>
      <c r="ES132" s="451" t="n"/>
      <c r="ET132" s="451">
        <f>'Raw financials'!EH242</f>
        <v/>
      </c>
      <c r="EU132" s="451">
        <f>+ET133</f>
        <v/>
      </c>
      <c r="EV132" s="451">
        <f>'Raw financials'!EJ242</f>
        <v/>
      </c>
      <c r="EW132" s="451">
        <f>'Raw financials'!EK242</f>
        <v/>
      </c>
      <c r="EX132" s="451">
        <f>'Raw financials'!EL242</f>
        <v/>
      </c>
      <c r="EY132" s="451">
        <f>'Raw financials'!EM242</f>
        <v/>
      </c>
      <c r="EZ132" s="521" t="n"/>
      <c r="FA132" s="521" t="n"/>
      <c r="FB132" s="452">
        <f>+FA132-EW132</f>
        <v/>
      </c>
      <c r="FC132" s="348">
        <f>+FB132/EW132</f>
        <v/>
      </c>
      <c r="FD132" s="348">
        <f>+FA132/T132</f>
        <v/>
      </c>
      <c r="FE132" s="348">
        <f>+FA132/U132</f>
        <v/>
      </c>
    </row>
    <row r="133" ht="15" customHeight="1" thickBot="1">
      <c r="A133" s="17" t="inlineStr">
        <is>
          <t>Cash - year end</t>
        </is>
      </c>
      <c r="B133" s="507">
        <f>+B132+B130</f>
        <v/>
      </c>
      <c r="C133" s="507">
        <f>+C132+C130</f>
        <v/>
      </c>
      <c r="D133" s="507">
        <f>+D132+D130</f>
        <v/>
      </c>
      <c r="E133" s="507">
        <f>+E132+E130</f>
        <v/>
      </c>
      <c r="F133" s="507">
        <f>+F132+F130</f>
        <v/>
      </c>
      <c r="G133" s="507">
        <f>+G132+G130</f>
        <v/>
      </c>
      <c r="H133" s="507">
        <f>+H132+H130</f>
        <v/>
      </c>
      <c r="I133" s="507">
        <f>+I132+I130</f>
        <v/>
      </c>
      <c r="J133" s="507">
        <f>+J132+J130</f>
        <v/>
      </c>
      <c r="K133" s="507">
        <f>+K132+K130</f>
        <v/>
      </c>
      <c r="L133" s="507">
        <f>+L132+L130</f>
        <v/>
      </c>
      <c r="M133" s="507">
        <f>+M132+M130</f>
        <v/>
      </c>
      <c r="N133" s="507">
        <f>+N132+N130</f>
        <v/>
      </c>
      <c r="O133" s="507">
        <f>+O132+O130</f>
        <v/>
      </c>
      <c r="P133" s="507">
        <f>+P132+P130</f>
        <v/>
      </c>
      <c r="Q133" s="507">
        <f>+Q132+Q130</f>
        <v/>
      </c>
      <c r="R133" s="507">
        <f>+R132+R130</f>
        <v/>
      </c>
      <c r="S133" s="507">
        <f>+S132+S130</f>
        <v/>
      </c>
      <c r="T133" s="507">
        <f>+T132+T130</f>
        <v/>
      </c>
      <c r="U133" s="507">
        <f>+U132+U130</f>
        <v/>
      </c>
      <c r="V133" s="507">
        <f>+V132+V130</f>
        <v/>
      </c>
      <c r="W133" s="507">
        <f>+W132+W130</f>
        <v/>
      </c>
      <c r="X133" s="507">
        <f>+X132+X130</f>
        <v/>
      </c>
      <c r="Y133" s="507">
        <f>+Y132+Y130</f>
        <v/>
      </c>
      <c r="Z133" s="507">
        <f>+Z132+Z130</f>
        <v/>
      </c>
      <c r="AA133" s="509">
        <f>+U133-T133</f>
        <v/>
      </c>
      <c r="AB133" s="371">
        <f>+AA133/T133</f>
        <v/>
      </c>
      <c r="AC133" s="462" t="n">
        <v>26981.38640135423</v>
      </c>
      <c r="AD133" s="509">
        <f>+X133-W133</f>
        <v/>
      </c>
      <c r="AE133" s="371">
        <f>+AD133/W133</f>
        <v/>
      </c>
      <c r="AF133" s="462" t="n"/>
      <c r="AG133" s="507">
        <f>AG130+AG132</f>
        <v/>
      </c>
      <c r="AH133" s="507">
        <f>AH130+AH132</f>
        <v/>
      </c>
      <c r="AI133" s="507">
        <f>AI130+AI132</f>
        <v/>
      </c>
      <c r="AJ133" s="507">
        <f>AJ130+AJ132</f>
        <v/>
      </c>
      <c r="AK133" s="507">
        <f>AK130+AK132</f>
        <v/>
      </c>
      <c r="AL133" s="507">
        <f>AL130+AL132</f>
        <v/>
      </c>
      <c r="AM133" s="507">
        <f>AM130+AM132</f>
        <v/>
      </c>
      <c r="AN133" s="507">
        <f>AN130+AN132</f>
        <v/>
      </c>
      <c r="AO133" s="507">
        <f>AO130+AO132</f>
        <v/>
      </c>
      <c r="AP133" s="507">
        <f>AP130+AP132</f>
        <v/>
      </c>
      <c r="AQ133" s="507">
        <f>AQ130+AQ132</f>
        <v/>
      </c>
      <c r="AR133" s="507">
        <f>AR130+AR132</f>
        <v/>
      </c>
      <c r="AS133" s="507">
        <f>AS130+AS132</f>
        <v/>
      </c>
      <c r="AT133" s="507">
        <f>AT130+AT132</f>
        <v/>
      </c>
      <c r="AU133" s="507">
        <f>AU130+AU132</f>
        <v/>
      </c>
      <c r="AV133" s="507">
        <f>AV130+AV132</f>
        <v/>
      </c>
      <c r="AW133" s="507">
        <f>AW130+AW132</f>
        <v/>
      </c>
      <c r="AX133" s="507">
        <f>AX130+AX132</f>
        <v/>
      </c>
      <c r="AY133" s="507">
        <f>AY130+AY132</f>
        <v/>
      </c>
      <c r="AZ133" s="507">
        <f>AZ130+AZ132</f>
        <v/>
      </c>
      <c r="BA133" s="507">
        <f>BA130+BA132</f>
        <v/>
      </c>
      <c r="BB133" s="507">
        <f>BB130+BB132</f>
        <v/>
      </c>
      <c r="BC133" s="507">
        <f>BC130+BC132</f>
        <v/>
      </c>
      <c r="BD133" s="507">
        <f>BD130+BD132</f>
        <v/>
      </c>
      <c r="BE133" s="507">
        <f>BE130+BE132</f>
        <v/>
      </c>
      <c r="BF133" s="507">
        <f>BF130+BF132</f>
        <v/>
      </c>
      <c r="BG133" s="507">
        <f>BG130+BG132</f>
        <v/>
      </c>
      <c r="BH133" s="507">
        <f>BH130+BH132</f>
        <v/>
      </c>
      <c r="BI133" s="507">
        <f>BI130+BI132</f>
        <v/>
      </c>
      <c r="BJ133" s="507">
        <f>BJ130+BJ132</f>
        <v/>
      </c>
      <c r="BK133" s="507">
        <f>BK130+BK132</f>
        <v/>
      </c>
      <c r="BL133" s="507">
        <f>BL130+BL132</f>
        <v/>
      </c>
      <c r="BM133" s="507">
        <f>BM130+BM132</f>
        <v/>
      </c>
      <c r="BN133" s="507">
        <f>BN130+BN132</f>
        <v/>
      </c>
      <c r="BO133" s="507">
        <f>BO130+BO132</f>
        <v/>
      </c>
      <c r="BP133" s="507">
        <f>BP130+BP132</f>
        <v/>
      </c>
      <c r="BQ133" s="507">
        <f>BQ130+BQ132</f>
        <v/>
      </c>
      <c r="BR133" s="507">
        <f>BR130+BR132</f>
        <v/>
      </c>
      <c r="BS133" s="507" t="n"/>
      <c r="BT133" s="507">
        <f>BT130+BT132</f>
        <v/>
      </c>
      <c r="BU133" s="510">
        <f>BT133-BR133</f>
        <v/>
      </c>
      <c r="BV133" s="383">
        <f>BU133/BR133</f>
        <v/>
      </c>
      <c r="BW133" s="383">
        <f>+BT133/T133</f>
        <v/>
      </c>
      <c r="BX133" s="383">
        <f>+BT133/U133</f>
        <v/>
      </c>
      <c r="BZ133" s="507">
        <f>+BZ130+BZ132</f>
        <v/>
      </c>
      <c r="CA133" s="507">
        <f>+CA130+CA132</f>
        <v/>
      </c>
      <c r="CB133" s="507">
        <f>+CB130+CB132</f>
        <v/>
      </c>
      <c r="CC133" s="507" t="n"/>
      <c r="CD133" s="507">
        <f>+CD130+CD132</f>
        <v/>
      </c>
      <c r="CE133" s="507" t="n"/>
      <c r="CF133" s="507">
        <f>+CF130+CF132</f>
        <v/>
      </c>
      <c r="CG133" s="507" t="n"/>
      <c r="CH133" s="507">
        <f>+CH130+CH132</f>
        <v/>
      </c>
      <c r="CI133" s="507" t="n"/>
      <c r="CJ133" s="507">
        <f>+CJ130+CJ132</f>
        <v/>
      </c>
      <c r="CK133" s="507" t="n"/>
      <c r="CL133" s="507">
        <f>+CL130+CL132</f>
        <v/>
      </c>
      <c r="CM133" s="507" t="n"/>
      <c r="CN133" s="507">
        <f>+CN130+CN132</f>
        <v/>
      </c>
      <c r="CO133" s="507" t="n"/>
      <c r="CP133" s="507">
        <f>+CP130+CP132</f>
        <v/>
      </c>
      <c r="CQ133" s="507" t="n"/>
      <c r="CR133" s="507">
        <f>+CR130+CR132</f>
        <v/>
      </c>
      <c r="CS133" s="507" t="n"/>
      <c r="CT133" s="507">
        <f>+CT130+CT132</f>
        <v/>
      </c>
      <c r="CU133" s="507" t="n"/>
      <c r="CV133" s="507">
        <f>+CV130+CV132</f>
        <v/>
      </c>
      <c r="CW133" s="507" t="n"/>
      <c r="CX133" s="507">
        <f>+CX130+CX132</f>
        <v/>
      </c>
      <c r="CY133" s="507" t="n"/>
      <c r="CZ133" s="507">
        <f>+CZ130+CZ132</f>
        <v/>
      </c>
      <c r="DA133" s="507" t="n"/>
      <c r="DB133" s="507">
        <f>+DB130+DB132</f>
        <v/>
      </c>
      <c r="DC133" s="507" t="n"/>
      <c r="DD133" s="507">
        <f>+DD130+DD132</f>
        <v/>
      </c>
      <c r="DE133" s="507" t="n"/>
      <c r="DF133" s="507">
        <f>+DF130+DF132</f>
        <v/>
      </c>
      <c r="DG133" s="507" t="n"/>
      <c r="DH133" s="507">
        <f>+DH130+DH132</f>
        <v/>
      </c>
      <c r="DI133" s="507" t="n"/>
      <c r="DJ133" s="507">
        <f>+DJ130+DJ132</f>
        <v/>
      </c>
      <c r="DK133" s="507" t="n"/>
      <c r="DL133" s="507">
        <f>+DL130+DL132</f>
        <v/>
      </c>
      <c r="DM133" s="507" t="n"/>
      <c r="DN133" s="507">
        <f>+DN130+DN132</f>
        <v/>
      </c>
      <c r="DO133" s="507" t="n"/>
      <c r="DP133" s="507">
        <f>+DP130+DP132</f>
        <v/>
      </c>
      <c r="DQ133" s="507" t="n"/>
      <c r="DR133" s="507">
        <f>+DR130+DR132</f>
        <v/>
      </c>
      <c r="DS133" s="507" t="n"/>
      <c r="DT133" s="507">
        <f>+DT130+DT132</f>
        <v/>
      </c>
      <c r="DU133" s="507" t="n"/>
      <c r="DV133" s="507">
        <f>+DV130+DV132</f>
        <v/>
      </c>
      <c r="DW133" s="507" t="n"/>
      <c r="DX133" s="507">
        <f>+DX130+DX132</f>
        <v/>
      </c>
      <c r="DY133" s="507" t="n"/>
      <c r="DZ133" s="507">
        <f>+DZ130+DZ132</f>
        <v/>
      </c>
      <c r="EA133" s="507" t="n"/>
      <c r="EB133" s="507">
        <f>+EB130+EB132</f>
        <v/>
      </c>
      <c r="EC133" s="507" t="n"/>
      <c r="ED133" s="507">
        <f>+ED130+ED132</f>
        <v/>
      </c>
      <c r="EE133" s="507" t="n"/>
      <c r="EF133" s="507">
        <f>+EF130+EF132</f>
        <v/>
      </c>
      <c r="EG133" s="507" t="n"/>
      <c r="EH133" s="507">
        <f>+EH130+EH132</f>
        <v/>
      </c>
      <c r="EI133" s="507" t="n"/>
      <c r="EJ133" s="507">
        <f>+EJ130+EJ132</f>
        <v/>
      </c>
      <c r="EK133" s="507" t="n"/>
      <c r="EL133" s="507">
        <f>+EL130+EL132</f>
        <v/>
      </c>
      <c r="EM133" s="507" t="n"/>
      <c r="EN133" s="507">
        <f>+EN130+EN132</f>
        <v/>
      </c>
      <c r="EO133" s="507" t="n"/>
      <c r="EP133" s="507">
        <f>+EP130+EP132</f>
        <v/>
      </c>
      <c r="EQ133" s="507" t="n"/>
      <c r="ER133" s="507">
        <f>+ER130+ER132</f>
        <v/>
      </c>
      <c r="ES133" s="507" t="n"/>
      <c r="ET133" s="507">
        <f>+ET130+ET132</f>
        <v/>
      </c>
      <c r="EU133" s="507">
        <f>+EU132+EU130</f>
        <v/>
      </c>
      <c r="EV133" s="507">
        <f>+EV132+EV130</f>
        <v/>
      </c>
      <c r="EW133" s="507">
        <f>+EW130+EW132</f>
        <v/>
      </c>
      <c r="EX133" s="507">
        <f>+EX130+EX132</f>
        <v/>
      </c>
      <c r="EY133" s="507">
        <f>+EY130+EY132</f>
        <v/>
      </c>
      <c r="EZ133" s="524" t="n"/>
      <c r="FA133" s="524" t="n"/>
      <c r="FB133" s="452">
        <f>+FA133-EW133</f>
        <v/>
      </c>
      <c r="FC133" s="348">
        <f>+FB133/EW133</f>
        <v/>
      </c>
      <c r="FD133" s="348">
        <f>+FA133/T133</f>
        <v/>
      </c>
      <c r="FE133" s="348">
        <f>+FA133/U133</f>
        <v/>
      </c>
    </row>
    <row r="134" ht="15" customHeight="1" thickTop="1">
      <c r="B134" s="451" t="n"/>
      <c r="C134" s="451" t="n"/>
      <c r="D134" s="451" t="n"/>
      <c r="E134" s="451" t="n"/>
      <c r="F134" s="451" t="n"/>
      <c r="G134" s="451" t="n"/>
      <c r="H134" s="451" t="n"/>
      <c r="I134" s="451" t="n"/>
      <c r="J134" s="451" t="n"/>
      <c r="K134" s="451" t="n"/>
      <c r="L134" s="451" t="n"/>
      <c r="M134" s="451" t="n"/>
      <c r="N134" s="451" t="n"/>
      <c r="O134" s="451" t="n"/>
      <c r="P134" s="451" t="n"/>
      <c r="Q134" s="451" t="n"/>
      <c r="R134" s="451" t="n"/>
      <c r="S134" s="451" t="n"/>
      <c r="T134" s="451" t="n"/>
      <c r="U134" s="451" t="n"/>
      <c r="V134" s="451" t="n"/>
      <c r="W134" s="451" t="n"/>
      <c r="X134" s="451" t="n"/>
      <c r="Y134" s="451" t="n"/>
      <c r="Z134" s="451" t="n"/>
      <c r="AA134" s="452" t="n"/>
      <c r="AB134" s="452" t="n"/>
      <c r="AC134" s="451" t="n"/>
      <c r="AD134" s="452" t="n"/>
      <c r="AE134" s="348" t="n"/>
      <c r="AF134" s="451" t="n"/>
      <c r="AG134" s="525" t="n"/>
      <c r="AI134" s="525" t="n"/>
      <c r="AK134" s="525" t="n"/>
      <c r="AM134" s="525" t="n"/>
      <c r="AO134" s="525" t="n"/>
      <c r="AQ134" s="525" t="n"/>
      <c r="AS134" s="525" t="n"/>
      <c r="AU134" s="525" t="n"/>
      <c r="AW134" s="525" t="n"/>
      <c r="AY134" s="525" t="n"/>
      <c r="BA134" s="525" t="n"/>
      <c r="BC134" s="525" t="n"/>
      <c r="BE134" s="525" t="n"/>
      <c r="BG134" s="525" t="n"/>
      <c r="BI134" s="525" t="n"/>
      <c r="BK134" s="525" t="n"/>
      <c r="BM134" s="525" t="n"/>
      <c r="BO134" s="525" t="n"/>
      <c r="BQ134" s="525" t="n"/>
      <c r="BS134" s="525" t="n"/>
      <c r="BU134" s="520" t="n"/>
      <c r="BV134" s="520" t="n"/>
      <c r="BW134" s="520" t="n"/>
      <c r="BX134" s="520" t="n"/>
      <c r="EZ134" s="396" t="n"/>
      <c r="FA134" s="396" t="n"/>
      <c r="FB134" s="525" t="n"/>
      <c r="FC134" s="525" t="n"/>
      <c r="FD134" s="525" t="n"/>
      <c r="FE134" s="525" t="n"/>
    </row>
    <row r="135">
      <c r="A135" s="6" t="inlineStr">
        <is>
          <t>Diff vs. B/S</t>
        </is>
      </c>
      <c r="B135" s="506">
        <f>ROUND(B47-B133,0)</f>
        <v/>
      </c>
      <c r="C135" s="506">
        <f>ROUND(C47-C133,0)</f>
        <v/>
      </c>
      <c r="D135" s="506">
        <f>ROUND(D47-D133,0)</f>
        <v/>
      </c>
      <c r="E135" s="506">
        <f>ROUND(E47-E133,0)</f>
        <v/>
      </c>
      <c r="F135" s="506">
        <f>ROUND(F47-F133,0)</f>
        <v/>
      </c>
      <c r="G135" s="506">
        <f>ROUND(G47-G133,0)</f>
        <v/>
      </c>
      <c r="H135" s="506">
        <f>ROUND(H47-H133,0)</f>
        <v/>
      </c>
      <c r="I135" s="506">
        <f>ROUND(I47-I133,0)</f>
        <v/>
      </c>
      <c r="J135" s="506">
        <f>ROUND(J47-J133,0)</f>
        <v/>
      </c>
      <c r="K135" s="506">
        <f>ROUND(K47-K133,0)</f>
        <v/>
      </c>
      <c r="L135" s="506">
        <f>ROUND(L47-L133,0)</f>
        <v/>
      </c>
      <c r="M135" s="506">
        <f>ROUND(M47-M133,0)</f>
        <v/>
      </c>
      <c r="N135" s="506">
        <f>ROUND(N47-N133,0)</f>
        <v/>
      </c>
      <c r="O135" s="506">
        <f>ROUND(O47-O133,0)</f>
        <v/>
      </c>
      <c r="P135" s="506">
        <f>ROUND(P47-P133,0)</f>
        <v/>
      </c>
      <c r="Q135" s="506">
        <f>ROUND(Q47-Q133,0)</f>
        <v/>
      </c>
      <c r="R135" s="506">
        <f>ROUND(R47-R133,0)</f>
        <v/>
      </c>
      <c r="S135" s="506">
        <f>ROUND(S47-S133,0)</f>
        <v/>
      </c>
      <c r="T135" s="506">
        <f>ROUND(T47-T133,0)</f>
        <v/>
      </c>
      <c r="U135" s="506">
        <f>ROUND(U47-U133,0)</f>
        <v/>
      </c>
      <c r="V135" s="506">
        <f>ROUND(V47-V133,0)</f>
        <v/>
      </c>
      <c r="W135" s="506">
        <f>ROUND(W47-W133,0)</f>
        <v/>
      </c>
      <c r="X135" s="506">
        <f>ROUND(X47-X133,0)</f>
        <v/>
      </c>
      <c r="Y135" s="506">
        <f>ROUND(Y47-Y133,0)</f>
        <v/>
      </c>
      <c r="Z135" s="506">
        <f>ROUND(Z47-Z133,0)</f>
        <v/>
      </c>
      <c r="AA135" s="519" t="n"/>
      <c r="AB135" s="519" t="n"/>
      <c r="AC135" s="506" t="n">
        <v>0</v>
      </c>
      <c r="AD135" s="519" t="n"/>
      <c r="AE135" s="348" t="n"/>
      <c r="AF135" s="525" t="n"/>
      <c r="AG135" s="506">
        <f>ROUND(AG47-AG133,0)</f>
        <v/>
      </c>
      <c r="AH135" s="506">
        <f>AH47-AH133</f>
        <v/>
      </c>
      <c r="AI135" s="506">
        <f>ROUND(AI47-AI133,0)</f>
        <v/>
      </c>
      <c r="AJ135" s="506">
        <f>AJ47-AJ133</f>
        <v/>
      </c>
      <c r="AK135" s="506">
        <f>ROUND(AK47-AK133,0)</f>
        <v/>
      </c>
      <c r="AL135" s="506">
        <f>AL47-AL133</f>
        <v/>
      </c>
      <c r="AM135" s="506">
        <f>ROUND(AM47-AM133,0)</f>
        <v/>
      </c>
      <c r="AN135" s="506">
        <f>AN47-AN133</f>
        <v/>
      </c>
      <c r="AO135" s="506">
        <f>ROUND(AO47-AO133,0)</f>
        <v/>
      </c>
      <c r="AP135" s="506">
        <f>AP47-AP133</f>
        <v/>
      </c>
      <c r="AQ135" s="506">
        <f>ROUND(AQ47-AQ133,0)</f>
        <v/>
      </c>
      <c r="AR135" s="506">
        <f>AR47-AR133</f>
        <v/>
      </c>
      <c r="AS135" s="506">
        <f>ROUND(AS47-AS133,0)</f>
        <v/>
      </c>
      <c r="AT135" s="506">
        <f>AT47-AT133</f>
        <v/>
      </c>
      <c r="AU135" s="506">
        <f>ROUND(AU47-AU133,0)</f>
        <v/>
      </c>
      <c r="AV135" s="506">
        <f>AV47-AV133</f>
        <v/>
      </c>
      <c r="AW135" s="506">
        <f>ROUND(AW47-AW133,0)</f>
        <v/>
      </c>
      <c r="AX135" s="506">
        <f>AX47-AX133</f>
        <v/>
      </c>
      <c r="AY135" s="506">
        <f>ROUND(AY47-AY133,0)</f>
        <v/>
      </c>
      <c r="AZ135" s="506">
        <f>AZ47-AZ133</f>
        <v/>
      </c>
      <c r="BA135" s="506">
        <f>ROUND(BA47-BA133,0)</f>
        <v/>
      </c>
      <c r="BB135" s="506">
        <f>BB47-BB133</f>
        <v/>
      </c>
      <c r="BC135" s="506">
        <f>ROUND(BC47-BC133,0)</f>
        <v/>
      </c>
      <c r="BD135" s="506">
        <f>BD47-BD133</f>
        <v/>
      </c>
      <c r="BE135" s="506">
        <f>ROUND(BE47-BE133,0)</f>
        <v/>
      </c>
      <c r="BF135" s="506">
        <f>BF47-BF133</f>
        <v/>
      </c>
      <c r="BG135" s="506">
        <f>ROUND(BG47-BG133,0)</f>
        <v/>
      </c>
      <c r="BH135" s="506">
        <f>BH47-BH133</f>
        <v/>
      </c>
      <c r="BI135" s="506">
        <f>ROUND(BI47-BI133,0)</f>
        <v/>
      </c>
      <c r="BJ135" s="506">
        <f>BJ47-BJ133</f>
        <v/>
      </c>
      <c r="BK135" s="506">
        <f>ROUND(BK47-BK133,0)</f>
        <v/>
      </c>
      <c r="BL135" s="506">
        <f>BL47-BL133</f>
        <v/>
      </c>
      <c r="BM135" s="506">
        <f>ROUND(BM47-BM133,0)</f>
        <v/>
      </c>
      <c r="BN135" s="506">
        <f>BN47-BN133</f>
        <v/>
      </c>
      <c r="BO135" s="506">
        <f>ROUND(BO47-BO133,0)</f>
        <v/>
      </c>
      <c r="BP135" s="506">
        <f>BP47-BP133</f>
        <v/>
      </c>
      <c r="BQ135" s="506">
        <f>ROUND(BQ47-BQ133,0)</f>
        <v/>
      </c>
      <c r="BR135" s="506">
        <f>BR47-BR133</f>
        <v/>
      </c>
      <c r="BS135" s="506" t="n"/>
      <c r="BT135" s="506">
        <f>BT47-BT133</f>
        <v/>
      </c>
      <c r="BU135" s="520" t="n"/>
      <c r="BV135" s="520" t="n"/>
      <c r="BW135" s="520" t="n"/>
      <c r="BX135" s="520" t="n"/>
      <c r="BZ135" s="506">
        <f>BZ47-BZ133</f>
        <v/>
      </c>
      <c r="CA135" s="506">
        <f>CA47-CA133</f>
        <v/>
      </c>
      <c r="CB135" s="506">
        <f>CB47-CB133</f>
        <v/>
      </c>
      <c r="CC135" s="506" t="n"/>
      <c r="CD135" s="506">
        <f>CD47-CD133</f>
        <v/>
      </c>
      <c r="CE135" s="506" t="n"/>
      <c r="CF135" s="506">
        <f>CF47-CF133</f>
        <v/>
      </c>
      <c r="CG135" s="506" t="n"/>
      <c r="CH135" s="506">
        <f>CH47-CH133</f>
        <v/>
      </c>
      <c r="CI135" s="506" t="n"/>
      <c r="CJ135" s="506">
        <f>CJ47-CJ133</f>
        <v/>
      </c>
      <c r="CK135" s="506" t="n"/>
      <c r="CL135" s="506">
        <f>CL47-CL133</f>
        <v/>
      </c>
      <c r="CM135" s="506" t="n"/>
      <c r="CN135" s="506">
        <f>CN47-CN133</f>
        <v/>
      </c>
      <c r="CO135" s="506" t="n"/>
      <c r="CP135" s="506">
        <f>CP47-CP133</f>
        <v/>
      </c>
      <c r="CQ135" s="506" t="n"/>
      <c r="CR135" s="506">
        <f>CR47-CR133</f>
        <v/>
      </c>
      <c r="CS135" s="506" t="n"/>
      <c r="CT135" s="506">
        <f>CT47-CT133</f>
        <v/>
      </c>
      <c r="CU135" s="506" t="n"/>
      <c r="CV135" s="506">
        <f>CV47-CV133</f>
        <v/>
      </c>
      <c r="CW135" s="506" t="n"/>
      <c r="CX135" s="506">
        <f>CX47-CX133</f>
        <v/>
      </c>
      <c r="CY135" s="506" t="n"/>
      <c r="CZ135" s="506">
        <f>CZ47-CZ133</f>
        <v/>
      </c>
      <c r="DA135" s="506" t="n"/>
      <c r="DB135" s="506">
        <f>DB47-DB133</f>
        <v/>
      </c>
      <c r="DC135" s="506" t="n"/>
      <c r="DD135" s="506">
        <f>DD47-DD133</f>
        <v/>
      </c>
      <c r="DE135" s="506" t="n"/>
      <c r="DF135" s="506">
        <f>DF47-DF133</f>
        <v/>
      </c>
      <c r="DG135" s="506" t="n"/>
      <c r="DH135" s="506">
        <f>DH47-DH133</f>
        <v/>
      </c>
      <c r="DI135" s="506" t="n"/>
      <c r="DJ135" s="506">
        <f>DJ47-DJ133</f>
        <v/>
      </c>
      <c r="DK135" s="506" t="n"/>
      <c r="DL135" s="506">
        <f>DL47-DL133</f>
        <v/>
      </c>
      <c r="DM135" s="506" t="n"/>
      <c r="DN135" s="506">
        <f>DN47-DN133</f>
        <v/>
      </c>
      <c r="DO135" s="506" t="n"/>
      <c r="DP135" s="506">
        <f>DP47-DP133</f>
        <v/>
      </c>
      <c r="DQ135" s="506" t="n"/>
      <c r="DR135" s="506">
        <f>DR47-DR133</f>
        <v/>
      </c>
      <c r="DS135" s="506" t="n"/>
      <c r="DT135" s="506">
        <f>DT47-DT133</f>
        <v/>
      </c>
      <c r="DU135" s="506" t="n"/>
      <c r="DV135" s="506">
        <f>DV47-DV133</f>
        <v/>
      </c>
      <c r="DW135" s="506" t="n"/>
      <c r="DX135" s="506">
        <f>DX47-DX133</f>
        <v/>
      </c>
      <c r="DY135" s="506" t="n"/>
      <c r="DZ135" s="506">
        <f>DZ47-DZ133</f>
        <v/>
      </c>
      <c r="EA135" s="506" t="n"/>
      <c r="EB135" s="506">
        <f>EB47-EB133</f>
        <v/>
      </c>
      <c r="EC135" s="506" t="n"/>
      <c r="ED135" s="506">
        <f>ED47-ED133</f>
        <v/>
      </c>
      <c r="EE135" s="506" t="n"/>
      <c r="EF135" s="506">
        <f>EF47-EF133</f>
        <v/>
      </c>
      <c r="EG135" s="506" t="n"/>
      <c r="EH135" s="506">
        <f>EH47-EH133</f>
        <v/>
      </c>
      <c r="EI135" s="506" t="n"/>
      <c r="EJ135" s="506">
        <f>EJ47-EJ133</f>
        <v/>
      </c>
      <c r="EK135" s="506" t="n"/>
      <c r="EL135" s="506">
        <f>EL47-EL133</f>
        <v/>
      </c>
      <c r="EM135" s="506" t="n"/>
      <c r="EN135" s="506">
        <f>EN47-EN133</f>
        <v/>
      </c>
      <c r="EO135" s="506" t="n"/>
      <c r="EP135" s="506">
        <f>EP47-EP133</f>
        <v/>
      </c>
      <c r="EQ135" s="506" t="n"/>
      <c r="ER135" s="506">
        <f>ER47-ER133</f>
        <v/>
      </c>
      <c r="ES135" s="506" t="n"/>
      <c r="ET135" s="506">
        <f>ET47-ET133</f>
        <v/>
      </c>
      <c r="EU135" s="506">
        <f>EU47-EU133</f>
        <v/>
      </c>
      <c r="EV135" s="506">
        <f>EV47-EV133</f>
        <v/>
      </c>
      <c r="EW135" s="506">
        <f>EW47-EW133</f>
        <v/>
      </c>
      <c r="EX135" s="506">
        <f>EX47-EX133</f>
        <v/>
      </c>
      <c r="EY135" s="506">
        <f>EY47-EY133</f>
        <v/>
      </c>
      <c r="EZ135" s="526" t="n"/>
      <c r="FA135" s="526" t="n"/>
      <c r="FB135" s="506" t="n"/>
      <c r="FC135" s="506" t="n"/>
      <c r="FD135" s="506" t="n"/>
      <c r="FE135" s="506" t="n"/>
    </row>
    <row r="136">
      <c r="AE136" s="348" t="n"/>
      <c r="EZ136" s="396" t="n"/>
      <c r="FA136" s="396" t="n"/>
    </row>
    <row r="137">
      <c r="A137" s="6" t="inlineStr">
        <is>
          <t>Free cash flow to firm</t>
        </is>
      </c>
      <c r="B137" s="506">
        <f>B114+B117+B118</f>
        <v/>
      </c>
      <c r="C137" s="506">
        <f>C114+C117+C118</f>
        <v/>
      </c>
      <c r="D137" s="506">
        <f>D114+D117+D118</f>
        <v/>
      </c>
      <c r="E137" s="506">
        <f>E114+E117+E118</f>
        <v/>
      </c>
      <c r="F137" s="506">
        <f>F114+F117+F118</f>
        <v/>
      </c>
      <c r="G137" s="506">
        <f>G114+G117+G118</f>
        <v/>
      </c>
      <c r="H137" s="506">
        <f>H114+H117+H118</f>
        <v/>
      </c>
      <c r="I137" s="506">
        <f>I114+I117+I118</f>
        <v/>
      </c>
      <c r="J137" s="506">
        <f>J114+J117+J118</f>
        <v/>
      </c>
      <c r="K137" s="506">
        <f>K114+K117+K118</f>
        <v/>
      </c>
      <c r="L137" s="506">
        <f>L114+L117+L118</f>
        <v/>
      </c>
      <c r="M137" s="506">
        <f>M114+M117+M118</f>
        <v/>
      </c>
      <c r="N137" s="506">
        <f>N114+N117+N118</f>
        <v/>
      </c>
      <c r="O137" s="506">
        <f>O114+O117+O118</f>
        <v/>
      </c>
      <c r="P137" s="506">
        <f>P114+P117+P118</f>
        <v/>
      </c>
      <c r="Q137" s="506">
        <f>Q114+Q117+Q118</f>
        <v/>
      </c>
      <c r="R137" s="506">
        <f>R114+R117+R118</f>
        <v/>
      </c>
      <c r="S137" s="506">
        <f>S114+S117+S118</f>
        <v/>
      </c>
      <c r="T137" s="506">
        <f>T114+T117+T118</f>
        <v/>
      </c>
      <c r="U137" s="506">
        <f>U114+U117+U118</f>
        <v/>
      </c>
      <c r="V137" s="506">
        <f>V114+V117+V118</f>
        <v/>
      </c>
      <c r="W137" s="506">
        <f>W114+W117+W118</f>
        <v/>
      </c>
      <c r="X137" s="506">
        <f>X114+X117+X118</f>
        <v/>
      </c>
      <c r="Y137" s="506">
        <f>Y114+Y117+Y118</f>
        <v/>
      </c>
      <c r="Z137" s="506">
        <f>Z114+Z117+Z118</f>
        <v/>
      </c>
      <c r="AA137" s="519" t="n"/>
      <c r="AB137" s="519" t="n"/>
      <c r="AC137" s="506" t="n">
        <v>-889.9381057727933</v>
      </c>
      <c r="AD137" s="519" t="n"/>
      <c r="AE137" s="348" t="n"/>
      <c r="AF137" s="506" t="n"/>
      <c r="AG137" s="506">
        <f>AG114+AG117+AG118</f>
        <v/>
      </c>
      <c r="AH137" s="506">
        <f>AH114+AH117+AH118</f>
        <v/>
      </c>
      <c r="AI137" s="506">
        <f>AI114+AI117+AI118</f>
        <v/>
      </c>
      <c r="AJ137" s="506">
        <f>AJ114+AJ117+AJ118</f>
        <v/>
      </c>
      <c r="AK137" s="506">
        <f>AK114+AK117+AK118</f>
        <v/>
      </c>
      <c r="AL137" s="506">
        <f>AL114+AL117+AL118</f>
        <v/>
      </c>
      <c r="AM137" s="506">
        <f>AM114+AM117+AM118</f>
        <v/>
      </c>
      <c r="AN137" s="506">
        <f>AN114+AN117+AN118</f>
        <v/>
      </c>
      <c r="AO137" s="506">
        <f>AO114+AO117+AO118</f>
        <v/>
      </c>
      <c r="AP137" s="506">
        <f>AP114+AP117+AP118</f>
        <v/>
      </c>
      <c r="AQ137" s="506">
        <f>AQ114+AQ117+AQ118</f>
        <v/>
      </c>
      <c r="AR137" s="506">
        <f>AR114+AR117+AR118</f>
        <v/>
      </c>
      <c r="AS137" s="506">
        <f>AS114+AS117+AS118</f>
        <v/>
      </c>
      <c r="AT137" s="506">
        <f>AT114+AT117+AT118</f>
        <v/>
      </c>
      <c r="AU137" s="506">
        <f>AU114+AU117+AU118</f>
        <v/>
      </c>
      <c r="AV137" s="506">
        <f>AV114+AV117+AV118</f>
        <v/>
      </c>
      <c r="AW137" s="506">
        <f>AW114+AW117+AW118</f>
        <v/>
      </c>
      <c r="AX137" s="506">
        <f>AX114+AX117+AX118</f>
        <v/>
      </c>
      <c r="AY137" s="506">
        <f>AY114+AY117+AY118</f>
        <v/>
      </c>
      <c r="AZ137" s="506">
        <f>AZ114+AZ117+AZ118</f>
        <v/>
      </c>
      <c r="BA137" s="506">
        <f>BA114+BA117+BA118</f>
        <v/>
      </c>
      <c r="BB137" s="506">
        <f>BB114+BB117+BB118</f>
        <v/>
      </c>
      <c r="BC137" s="506">
        <f>BC114+BC117+BC118</f>
        <v/>
      </c>
      <c r="BD137" s="506">
        <f>BD114+BD117+BD118</f>
        <v/>
      </c>
      <c r="BE137" s="506">
        <f>BE114+BE117+BE118</f>
        <v/>
      </c>
      <c r="BF137" s="506">
        <f>BF114+BF117+BF118</f>
        <v/>
      </c>
      <c r="BG137" s="506">
        <f>BG114+BG117+BG118</f>
        <v/>
      </c>
      <c r="BH137" s="506">
        <f>BH114+BH117+BH118</f>
        <v/>
      </c>
      <c r="BI137" s="506">
        <f>BI114+BI117+BI118</f>
        <v/>
      </c>
      <c r="BJ137" s="506">
        <f>BJ114+BJ117+BJ118</f>
        <v/>
      </c>
      <c r="BK137" s="506">
        <f>BK114+BK117+BK118</f>
        <v/>
      </c>
      <c r="BL137" s="506">
        <f>BL114+BL117+BL118</f>
        <v/>
      </c>
      <c r="BM137" s="506">
        <f>BM114+BM117+BM118</f>
        <v/>
      </c>
      <c r="BN137" s="506">
        <f>BN114+BN117+BN118</f>
        <v/>
      </c>
      <c r="BO137" s="506">
        <f>BO114+BO117+BO118</f>
        <v/>
      </c>
      <c r="BP137" s="506">
        <f>BP114+BP117+BP118</f>
        <v/>
      </c>
      <c r="BQ137" s="506">
        <f>BQ114+BQ117+BQ118</f>
        <v/>
      </c>
      <c r="BR137" s="506">
        <f>BR114+BR117+BR118</f>
        <v/>
      </c>
      <c r="BS137" s="506" t="n"/>
      <c r="BT137" s="506">
        <f>BT114+BT117+BT118</f>
        <v/>
      </c>
      <c r="BU137" s="527" t="n"/>
      <c r="BV137" s="527" t="n"/>
      <c r="BW137" s="527" t="n"/>
      <c r="BX137" s="527" t="n"/>
      <c r="BZ137" s="506">
        <f>BZ114+BZ117+BZ118</f>
        <v/>
      </c>
      <c r="CA137" s="506">
        <f>CA114+CA117+CA118</f>
        <v/>
      </c>
      <c r="CB137" s="506">
        <f>CB114+CB117+CB118</f>
        <v/>
      </c>
      <c r="CC137" s="506" t="n"/>
      <c r="CD137" s="506">
        <f>CD114+CD117+CD118</f>
        <v/>
      </c>
      <c r="CE137" s="506" t="n"/>
      <c r="CF137" s="506">
        <f>CF114+CF117+CF118</f>
        <v/>
      </c>
      <c r="CG137" s="506" t="n"/>
      <c r="CH137" s="506">
        <f>CH114+CH117+CH118</f>
        <v/>
      </c>
      <c r="CI137" s="506" t="n"/>
      <c r="CJ137" s="506">
        <f>CJ114+CJ117+CJ118</f>
        <v/>
      </c>
      <c r="CK137" s="506" t="n"/>
      <c r="CL137" s="506">
        <f>CL114+CL117+CL118</f>
        <v/>
      </c>
      <c r="CM137" s="506" t="n"/>
      <c r="CN137" s="506">
        <f>CN114+CN117+CN118</f>
        <v/>
      </c>
      <c r="CO137" s="506" t="n"/>
      <c r="CP137" s="506">
        <f>CP114+CP117+CP118</f>
        <v/>
      </c>
      <c r="CQ137" s="506" t="n"/>
      <c r="CR137" s="506">
        <f>CR114+CR117+CR118</f>
        <v/>
      </c>
      <c r="CS137" s="506" t="n"/>
      <c r="CT137" s="506">
        <f>CT114+CT117+CT118</f>
        <v/>
      </c>
      <c r="CU137" s="506" t="n"/>
      <c r="CV137" s="506">
        <f>CV114+CV117+CV118</f>
        <v/>
      </c>
      <c r="CW137" s="506" t="n"/>
      <c r="CX137" s="506">
        <f>CX114+CX117+CX118</f>
        <v/>
      </c>
      <c r="CY137" s="506" t="n"/>
      <c r="CZ137" s="506">
        <f>CZ114+CZ117+CZ118</f>
        <v/>
      </c>
      <c r="DA137" s="506" t="n"/>
      <c r="DB137" s="506">
        <f>DB114+DB117+DB118</f>
        <v/>
      </c>
      <c r="DC137" s="506" t="n"/>
      <c r="DD137" s="506">
        <f>DD114+DD117+DD118</f>
        <v/>
      </c>
      <c r="DE137" s="506" t="n"/>
      <c r="DF137" s="506">
        <f>DF114+DF117+DF118</f>
        <v/>
      </c>
      <c r="DG137" s="506" t="n"/>
      <c r="DH137" s="506">
        <f>DH114+DH117+DH118</f>
        <v/>
      </c>
      <c r="DI137" s="506" t="n"/>
      <c r="DJ137" s="506">
        <f>DJ114+DJ117+DJ118</f>
        <v/>
      </c>
      <c r="DK137" s="506" t="n"/>
      <c r="DL137" s="506">
        <f>DL114+DL117+DL118</f>
        <v/>
      </c>
      <c r="DM137" s="506" t="n"/>
      <c r="DN137" s="506">
        <f>DN114+DN117+DN118</f>
        <v/>
      </c>
      <c r="DO137" s="506" t="n"/>
      <c r="DP137" s="506">
        <f>DP114+DP117+DP118</f>
        <v/>
      </c>
      <c r="DQ137" s="506" t="n"/>
      <c r="DR137" s="506">
        <f>DR114+DR117+DR118</f>
        <v/>
      </c>
      <c r="DS137" s="506" t="n"/>
      <c r="DT137" s="506">
        <f>DT114+DT117+DT118</f>
        <v/>
      </c>
      <c r="DU137" s="506" t="n"/>
      <c r="DV137" s="506">
        <f>DV114+DV117+DV118</f>
        <v/>
      </c>
      <c r="DW137" s="506" t="n"/>
      <c r="DX137" s="506">
        <f>DX114+DX117+DX118</f>
        <v/>
      </c>
      <c r="DY137" s="506" t="n"/>
      <c r="DZ137" s="506">
        <f>DZ114+DZ117+DZ118</f>
        <v/>
      </c>
      <c r="EA137" s="506" t="n"/>
      <c r="EB137" s="506">
        <f>EB114+EB117+EB118</f>
        <v/>
      </c>
      <c r="EC137" s="506" t="n"/>
      <c r="ED137" s="506">
        <f>ED114+ED117+ED118</f>
        <v/>
      </c>
      <c r="EE137" s="506" t="n"/>
      <c r="EF137" s="506">
        <f>EF114+EF117+EF118</f>
        <v/>
      </c>
      <c r="EG137" s="506" t="n"/>
      <c r="EH137" s="506">
        <f>EH114+EH117+EH118</f>
        <v/>
      </c>
      <c r="EI137" s="506" t="n"/>
      <c r="EJ137" s="506">
        <f>EJ114+EJ117+EJ118</f>
        <v/>
      </c>
      <c r="EK137" s="506" t="n"/>
      <c r="EL137" s="506">
        <f>EL114+EL117+EL118</f>
        <v/>
      </c>
      <c r="EM137" s="506" t="n"/>
      <c r="EN137" s="506">
        <f>EN114+EN117+EN118</f>
        <v/>
      </c>
      <c r="EO137" s="506" t="n"/>
      <c r="EP137" s="506">
        <f>EP114+EP117+EP118</f>
        <v/>
      </c>
      <c r="EQ137" s="506" t="n"/>
      <c r="ER137" s="506">
        <f>ER114+ER117+ER118</f>
        <v/>
      </c>
      <c r="ES137" s="506" t="n"/>
      <c r="ET137" s="506">
        <f>ET114+ET117+ET118</f>
        <v/>
      </c>
      <c r="EU137" s="506">
        <f>EU114+EU117+EU118</f>
        <v/>
      </c>
      <c r="EV137" s="506">
        <f>EV114+EV117+EV118</f>
        <v/>
      </c>
      <c r="EW137" s="506">
        <f>EW114+EW117+EW118</f>
        <v/>
      </c>
      <c r="EX137" s="506">
        <f>EX114+EX117+EX118</f>
        <v/>
      </c>
      <c r="EY137" s="506">
        <f>EY114+EY117+EY118</f>
        <v/>
      </c>
      <c r="EZ137" s="526" t="n"/>
      <c r="FA137" s="526" t="n"/>
      <c r="FB137" s="506" t="n"/>
      <c r="FC137" s="506" t="n"/>
      <c r="FD137" s="506" t="n"/>
      <c r="FE137" s="506" t="n"/>
    </row>
    <row r="138">
      <c r="A138" s="6" t="inlineStr">
        <is>
          <t>Free cash flow to equity holder</t>
        </is>
      </c>
      <c r="B138" s="506">
        <f>B137+B125+B122</f>
        <v/>
      </c>
      <c r="C138" s="506">
        <f>C137+C125+C122</f>
        <v/>
      </c>
      <c r="D138" s="506">
        <f>D137+D125+D122</f>
        <v/>
      </c>
      <c r="E138" s="506">
        <f>E137+E125+E122</f>
        <v/>
      </c>
      <c r="F138" s="506">
        <f>F137+F125+F122</f>
        <v/>
      </c>
      <c r="G138" s="506">
        <f>G137+G125+G122</f>
        <v/>
      </c>
      <c r="H138" s="506">
        <f>H137+H125+H122</f>
        <v/>
      </c>
      <c r="I138" s="506">
        <f>I137+I125+I122</f>
        <v/>
      </c>
      <c r="J138" s="506">
        <f>J137+J125+J122</f>
        <v/>
      </c>
      <c r="K138" s="506">
        <f>K137+K125+K122</f>
        <v/>
      </c>
      <c r="L138" s="506">
        <f>L137+L125+L122</f>
        <v/>
      </c>
      <c r="M138" s="506">
        <f>M137+M125+M122</f>
        <v/>
      </c>
      <c r="N138" s="506">
        <f>N137+N125+N122</f>
        <v/>
      </c>
      <c r="O138" s="506">
        <f>O137+O125+O122</f>
        <v/>
      </c>
      <c r="P138" s="506">
        <f>P137+P125+P122</f>
        <v/>
      </c>
      <c r="Q138" s="506">
        <f>Q137+Q125+Q122</f>
        <v/>
      </c>
      <c r="R138" s="506">
        <f>R137+R125+R122</f>
        <v/>
      </c>
      <c r="S138" s="506">
        <f>S137+S125+S122</f>
        <v/>
      </c>
      <c r="T138" s="506">
        <f>T137+T125+T122</f>
        <v/>
      </c>
      <c r="U138" s="506">
        <f>U137+U125+U122</f>
        <v/>
      </c>
      <c r="V138" s="506">
        <f>V137+V125+V122</f>
        <v/>
      </c>
      <c r="W138" s="506">
        <f>W137+W125+W122</f>
        <v/>
      </c>
      <c r="X138" s="506">
        <f>X137+X125+X122</f>
        <v/>
      </c>
      <c r="Y138" s="506">
        <f>Y137+Y125+Y122</f>
        <v/>
      </c>
      <c r="Z138" s="506">
        <f>Z137+Z125+Z122</f>
        <v/>
      </c>
      <c r="AA138" s="519" t="n"/>
      <c r="AB138" s="519" t="n"/>
      <c r="AC138" s="506" t="n">
        <v>-918.77896164577</v>
      </c>
      <c r="AD138" s="519" t="n"/>
      <c r="AE138" s="348" t="n"/>
      <c r="AF138" s="506" t="n"/>
      <c r="AG138" s="506">
        <f>AG137+AG125</f>
        <v/>
      </c>
      <c r="AH138" s="506">
        <f>AH137+AH125</f>
        <v/>
      </c>
      <c r="AI138" s="506">
        <f>AI137+AI125</f>
        <v/>
      </c>
      <c r="AJ138" s="506">
        <f>AJ137+AJ125</f>
        <v/>
      </c>
      <c r="AK138" s="506">
        <f>AK137+AK125</f>
        <v/>
      </c>
      <c r="AL138" s="506">
        <f>AL137+AL125</f>
        <v/>
      </c>
      <c r="AM138" s="506">
        <f>AM137+AM125</f>
        <v/>
      </c>
      <c r="AN138" s="506">
        <f>AN137+AN125</f>
        <v/>
      </c>
      <c r="AO138" s="506">
        <f>AO137+AO125</f>
        <v/>
      </c>
      <c r="AP138" s="506">
        <f>AP137+AP125</f>
        <v/>
      </c>
      <c r="AQ138" s="506">
        <f>AQ137+AQ125</f>
        <v/>
      </c>
      <c r="AR138" s="506">
        <f>AR137+AR125</f>
        <v/>
      </c>
      <c r="AS138" s="506">
        <f>AS137+AS125</f>
        <v/>
      </c>
      <c r="AT138" s="506">
        <f>AT137+AT125</f>
        <v/>
      </c>
      <c r="AU138" s="506">
        <f>AU137+AU125</f>
        <v/>
      </c>
      <c r="AV138" s="506">
        <f>AV137+AV125</f>
        <v/>
      </c>
      <c r="AW138" s="506">
        <f>AW137+AW125</f>
        <v/>
      </c>
      <c r="AX138" s="506">
        <f>AX137+AX125</f>
        <v/>
      </c>
      <c r="AY138" s="506">
        <f>AY137+AY125</f>
        <v/>
      </c>
      <c r="AZ138" s="506">
        <f>AZ137+AZ125</f>
        <v/>
      </c>
      <c r="BA138" s="506">
        <f>BA137+BA125</f>
        <v/>
      </c>
      <c r="BB138" s="506">
        <f>BB137+BB125</f>
        <v/>
      </c>
      <c r="BC138" s="506">
        <f>BC137+BC125</f>
        <v/>
      </c>
      <c r="BD138" s="506">
        <f>BD137+BD125</f>
        <v/>
      </c>
      <c r="BE138" s="506">
        <f>BE137+BE125</f>
        <v/>
      </c>
      <c r="BF138" s="506">
        <f>BF137+BF125</f>
        <v/>
      </c>
      <c r="BG138" s="506">
        <f>BG137+BG125</f>
        <v/>
      </c>
      <c r="BH138" s="506">
        <f>BH137+BH125</f>
        <v/>
      </c>
      <c r="BI138" s="506">
        <f>BI137+BI125</f>
        <v/>
      </c>
      <c r="BJ138" s="506">
        <f>BJ137+BJ125</f>
        <v/>
      </c>
      <c r="BK138" s="506">
        <f>BK137+BK125</f>
        <v/>
      </c>
      <c r="BL138" s="506">
        <f>BL137+BL125</f>
        <v/>
      </c>
      <c r="BM138" s="506">
        <f>BM137+BM125</f>
        <v/>
      </c>
      <c r="BN138" s="506">
        <f>BN137+BN125</f>
        <v/>
      </c>
      <c r="BO138" s="506">
        <f>BO137+BO125</f>
        <v/>
      </c>
      <c r="BP138" s="506">
        <f>BP137+BP125</f>
        <v/>
      </c>
      <c r="BQ138" s="506">
        <f>BQ137+BQ125</f>
        <v/>
      </c>
      <c r="BR138" s="506">
        <f>BR137+BR125</f>
        <v/>
      </c>
      <c r="BS138" s="506" t="n"/>
      <c r="BT138" s="506">
        <f>BT137+BT125</f>
        <v/>
      </c>
      <c r="BU138" s="527" t="n"/>
      <c r="BV138" s="527" t="n"/>
      <c r="BW138" s="527" t="n"/>
      <c r="BX138" s="527" t="n"/>
      <c r="BZ138" s="506">
        <f>BZ137+BZ125</f>
        <v/>
      </c>
      <c r="CA138" s="506">
        <f>CA137+CA125</f>
        <v/>
      </c>
      <c r="CB138" s="506">
        <f>CB137+CB125</f>
        <v/>
      </c>
      <c r="CC138" s="506" t="n"/>
      <c r="CD138" s="506">
        <f>CD137+CD125</f>
        <v/>
      </c>
      <c r="CE138" s="506" t="n"/>
      <c r="CF138" s="506">
        <f>CF137+CF125</f>
        <v/>
      </c>
      <c r="CG138" s="506" t="n"/>
      <c r="CH138" s="506">
        <f>CH137+CH125</f>
        <v/>
      </c>
      <c r="CI138" s="506" t="n"/>
      <c r="CJ138" s="506">
        <f>CJ137+CJ125</f>
        <v/>
      </c>
      <c r="CK138" s="506" t="n"/>
      <c r="CL138" s="506">
        <f>CL137+CL125</f>
        <v/>
      </c>
      <c r="CM138" s="506" t="n"/>
      <c r="CN138" s="506">
        <f>CN137+CN125</f>
        <v/>
      </c>
      <c r="CO138" s="506" t="n"/>
      <c r="CP138" s="506">
        <f>CP137+CP125</f>
        <v/>
      </c>
      <c r="CQ138" s="506" t="n"/>
      <c r="CR138" s="506">
        <f>CR137+CR125</f>
        <v/>
      </c>
      <c r="CS138" s="506" t="n"/>
      <c r="CT138" s="506">
        <f>CT137+CT125</f>
        <v/>
      </c>
      <c r="CU138" s="506" t="n"/>
      <c r="CV138" s="506">
        <f>CV137+CV125</f>
        <v/>
      </c>
      <c r="CW138" s="506" t="n"/>
      <c r="CX138" s="506">
        <f>CX137+CX125</f>
        <v/>
      </c>
      <c r="CY138" s="506" t="n"/>
      <c r="CZ138" s="506">
        <f>CZ137+CZ125</f>
        <v/>
      </c>
      <c r="DA138" s="506" t="n"/>
      <c r="DB138" s="506">
        <f>DB137+DB125</f>
        <v/>
      </c>
      <c r="DC138" s="506" t="n"/>
      <c r="DD138" s="506">
        <f>DD137+DD125</f>
        <v/>
      </c>
      <c r="DE138" s="506" t="n"/>
      <c r="DF138" s="506">
        <f>DF137+DF125</f>
        <v/>
      </c>
      <c r="DG138" s="506" t="n"/>
      <c r="DH138" s="506">
        <f>DH137+DH125</f>
        <v/>
      </c>
      <c r="DI138" s="506" t="n"/>
      <c r="DJ138" s="506">
        <f>DJ137+DJ125</f>
        <v/>
      </c>
      <c r="DK138" s="506" t="n"/>
      <c r="DL138" s="506">
        <f>DL137+DL125</f>
        <v/>
      </c>
      <c r="DM138" s="506" t="n"/>
      <c r="DN138" s="506">
        <f>DN137+DN125</f>
        <v/>
      </c>
      <c r="DO138" s="506" t="n"/>
      <c r="DP138" s="506">
        <f>DP137+DP125</f>
        <v/>
      </c>
      <c r="DQ138" s="506" t="n"/>
      <c r="DR138" s="506">
        <f>DR137+DR125</f>
        <v/>
      </c>
      <c r="DS138" s="506" t="n"/>
      <c r="DT138" s="506">
        <f>DT137+DT125</f>
        <v/>
      </c>
      <c r="DU138" s="506" t="n"/>
      <c r="DV138" s="506">
        <f>DV137+DV125</f>
        <v/>
      </c>
      <c r="DW138" s="506" t="n"/>
      <c r="DX138" s="506">
        <f>DX137+DX125</f>
        <v/>
      </c>
      <c r="DY138" s="506" t="n"/>
      <c r="DZ138" s="506">
        <f>DZ137+DZ125</f>
        <v/>
      </c>
      <c r="EA138" s="506" t="n"/>
      <c r="EB138" s="506">
        <f>EB137+EB125</f>
        <v/>
      </c>
      <c r="EC138" s="506" t="n"/>
      <c r="ED138" s="506">
        <f>ED137+ED125</f>
        <v/>
      </c>
      <c r="EE138" s="506" t="n"/>
      <c r="EF138" s="506">
        <f>EF137+EF125</f>
        <v/>
      </c>
      <c r="EG138" s="506" t="n"/>
      <c r="EH138" s="506">
        <f>EH137+EH125</f>
        <v/>
      </c>
      <c r="EI138" s="506" t="n"/>
      <c r="EJ138" s="506">
        <f>EJ137+EJ125</f>
        <v/>
      </c>
      <c r="EK138" s="506" t="n"/>
      <c r="EL138" s="506">
        <f>EL137+EL125</f>
        <v/>
      </c>
      <c r="EM138" s="506" t="n"/>
      <c r="EN138" s="506">
        <f>EN137+EN125</f>
        <v/>
      </c>
      <c r="EO138" s="506" t="n"/>
      <c r="EP138" s="506">
        <f>EP137+EP125</f>
        <v/>
      </c>
      <c r="EQ138" s="506" t="n"/>
      <c r="ER138" s="506">
        <f>ER137+ER125</f>
        <v/>
      </c>
      <c r="ES138" s="506" t="n"/>
      <c r="ET138" s="506">
        <f>ET137+ET125</f>
        <v/>
      </c>
      <c r="EU138" s="506">
        <f>EU137+EU125</f>
        <v/>
      </c>
      <c r="EV138" s="506">
        <f>EV137+EV125</f>
        <v/>
      </c>
      <c r="EW138" s="506">
        <f>EW137+EW125</f>
        <v/>
      </c>
      <c r="EX138" s="506">
        <f>EX137+EX125</f>
        <v/>
      </c>
      <c r="EY138" s="506">
        <f>EY137+EY125</f>
        <v/>
      </c>
      <c r="EZ138" s="526" t="n"/>
      <c r="FA138" s="526" t="n"/>
      <c r="FB138" s="506" t="n"/>
      <c r="FC138" s="506" t="n"/>
      <c r="FD138" s="506" t="n"/>
      <c r="FE138" s="506" t="n"/>
    </row>
    <row r="139">
      <c r="AE139" s="348" t="n"/>
      <c r="EZ139" s="396" t="n"/>
      <c r="FA139" s="396" t="n"/>
    </row>
    <row r="140">
      <c r="A140" s="203" t="inlineStr">
        <is>
          <t>EBITDA</t>
        </is>
      </c>
      <c r="B140" s="528">
        <f>B15+B107+B108</f>
        <v/>
      </c>
      <c r="C140" s="528">
        <f>C15+C107+C108</f>
        <v/>
      </c>
      <c r="D140" s="528">
        <f>D15+D107+D108</f>
        <v/>
      </c>
      <c r="E140" s="528">
        <f>E15+E107+E108</f>
        <v/>
      </c>
      <c r="F140" s="528">
        <f>F15+F107+F108</f>
        <v/>
      </c>
      <c r="G140" s="528">
        <f>G15+G107+G108</f>
        <v/>
      </c>
      <c r="H140" s="528">
        <f>H15+H107+H108</f>
        <v/>
      </c>
      <c r="I140" s="528">
        <f>I15+I107+I108</f>
        <v/>
      </c>
      <c r="J140" s="528">
        <f>J15+J107+J108</f>
        <v/>
      </c>
      <c r="K140" s="528">
        <f>K15+K107+K108</f>
        <v/>
      </c>
      <c r="L140" s="528">
        <f>L15+L107+L108</f>
        <v/>
      </c>
      <c r="M140" s="528">
        <f>M15+M107+M108</f>
        <v/>
      </c>
      <c r="N140" s="528">
        <f>N15+N107+N108</f>
        <v/>
      </c>
      <c r="O140" s="528">
        <f>O15+O107+O108</f>
        <v/>
      </c>
      <c r="P140" s="528">
        <f>P15+P107+P108</f>
        <v/>
      </c>
      <c r="Q140" s="528">
        <f>Q15+Q107+Q108</f>
        <v/>
      </c>
      <c r="R140" s="528">
        <f>R15+R107+R108</f>
        <v/>
      </c>
      <c r="S140" s="528">
        <f>S15+S107+S108</f>
        <v/>
      </c>
      <c r="T140" s="528">
        <f>T15+T107+T108</f>
        <v/>
      </c>
      <c r="U140" s="528">
        <f>U15+U107+U108</f>
        <v/>
      </c>
      <c r="V140" s="528">
        <f>V15+V107+V108</f>
        <v/>
      </c>
      <c r="W140" s="528">
        <f>W15+W107+W108</f>
        <v/>
      </c>
      <c r="X140" s="528">
        <f>X15+X107+X108</f>
        <v/>
      </c>
      <c r="Y140" s="528">
        <f>Y15+Y107+Y108</f>
        <v/>
      </c>
      <c r="Z140" s="528">
        <f>Z15+Z107+Z108</f>
        <v/>
      </c>
      <c r="AA140" s="529" t="n"/>
      <c r="AB140" s="529" t="n"/>
      <c r="AC140" s="528" t="n">
        <v>5296.757750766901</v>
      </c>
      <c r="AD140" s="529" t="n"/>
      <c r="AE140" s="371" t="n"/>
      <c r="EZ140" s="396" t="n"/>
      <c r="FA140" s="396" t="n"/>
    </row>
    <row r="141">
      <c r="A141" s="449" t="inlineStr">
        <is>
          <t>EBITDA margin</t>
        </is>
      </c>
      <c r="B141" s="67">
        <f>B140/B4</f>
        <v/>
      </c>
      <c r="C141" s="67">
        <f>C140/C4</f>
        <v/>
      </c>
      <c r="D141" s="67">
        <f>D140/D4</f>
        <v/>
      </c>
      <c r="E141" s="67">
        <f>E140/E4</f>
        <v/>
      </c>
      <c r="F141" s="67">
        <f>F140/F4</f>
        <v/>
      </c>
      <c r="G141" s="67">
        <f>G140/G4</f>
        <v/>
      </c>
      <c r="H141" s="67">
        <f>H140/H4</f>
        <v/>
      </c>
      <c r="I141" s="67">
        <f>I140/I4</f>
        <v/>
      </c>
      <c r="J141" s="67">
        <f>J140/J4</f>
        <v/>
      </c>
      <c r="K141" s="67">
        <f>K140/K4</f>
        <v/>
      </c>
      <c r="L141" s="67">
        <f>L140/L4</f>
        <v/>
      </c>
      <c r="M141" s="67">
        <f>M140/M4</f>
        <v/>
      </c>
      <c r="N141" s="67">
        <f>N140/N4</f>
        <v/>
      </c>
      <c r="O141" s="67">
        <f>O140/O4</f>
        <v/>
      </c>
      <c r="P141" s="67">
        <f>P140/P4</f>
        <v/>
      </c>
      <c r="Q141" s="67">
        <f>Q140/Q4</f>
        <v/>
      </c>
      <c r="R141" s="67">
        <f>R140/R4</f>
        <v/>
      </c>
      <c r="S141" s="67">
        <f>S140/S4</f>
        <v/>
      </c>
      <c r="T141" s="67">
        <f>T140/T4</f>
        <v/>
      </c>
      <c r="U141" s="67">
        <f>U140/U4</f>
        <v/>
      </c>
      <c r="V141" s="67">
        <f>V140/V4</f>
        <v/>
      </c>
      <c r="W141" s="67">
        <f>W140/W4</f>
        <v/>
      </c>
      <c r="X141" s="67">
        <f>X140/X4</f>
        <v/>
      </c>
      <c r="Y141" s="67">
        <f>Y140/Y4</f>
        <v/>
      </c>
      <c r="Z141" s="67">
        <f>Z140/Z4</f>
        <v/>
      </c>
      <c r="AA141" s="349" t="n"/>
      <c r="AB141" s="349" t="n"/>
      <c r="AC141" s="67" t="n">
        <v>0.06510640823885681</v>
      </c>
      <c r="AD141" s="349" t="n"/>
      <c r="AE141" s="348" t="n"/>
      <c r="AF141" s="458" t="n"/>
      <c r="AG141" s="67" t="n"/>
      <c r="AH141" s="67" t="n"/>
      <c r="AI141" s="67" t="n"/>
      <c r="AJ141" s="67" t="n"/>
      <c r="AK141" s="67" t="n"/>
      <c r="AL141" s="67" t="n"/>
      <c r="AM141" s="67" t="n"/>
      <c r="AN141" s="67" t="n"/>
      <c r="AO141" s="67" t="n"/>
      <c r="AP141" s="67" t="n"/>
      <c r="AQ141" s="67" t="n"/>
      <c r="AR141" s="67" t="n"/>
      <c r="AS141" s="67" t="n"/>
      <c r="AT141" s="67" t="n"/>
      <c r="AU141" s="67" t="n"/>
      <c r="AV141" s="67" t="n"/>
      <c r="AW141" s="67" t="n"/>
      <c r="AX141" s="67" t="n"/>
      <c r="AY141" s="67" t="n"/>
      <c r="AZ141" s="67" t="n"/>
      <c r="BA141" s="67" t="n"/>
      <c r="BB141" s="67" t="n"/>
      <c r="BC141" s="67" t="n"/>
      <c r="BD141" s="67" t="n"/>
      <c r="BE141" s="67" t="n"/>
      <c r="BF141" s="67" t="n"/>
      <c r="BG141" s="67" t="n"/>
      <c r="BH141" s="67" t="n"/>
      <c r="BI141" s="67" t="n"/>
      <c r="BJ141" s="67" t="n"/>
      <c r="BK141" s="67" t="n"/>
      <c r="BL141" s="67" t="n"/>
      <c r="BM141" s="67" t="n"/>
      <c r="BN141" s="67" t="n"/>
      <c r="BO141" s="67" t="n"/>
      <c r="BP141" s="67" t="n"/>
      <c r="BQ141" s="67" t="n"/>
      <c r="BR141" s="67" t="n"/>
      <c r="BS141" s="67" t="n"/>
      <c r="BT141" s="67" t="n"/>
      <c r="BU141" s="318" t="n"/>
      <c r="BV141" s="318" t="n"/>
      <c r="BW141" s="318" t="n"/>
      <c r="BX141" s="318" t="n"/>
      <c r="BZ141" s="67" t="n"/>
      <c r="CA141" s="67" t="n"/>
      <c r="CB141" s="67" t="n"/>
      <c r="CC141" s="67" t="n"/>
      <c r="CD141" s="67" t="n"/>
      <c r="CE141" s="67" t="n"/>
      <c r="CF141" s="67" t="n"/>
      <c r="CG141" s="67" t="n"/>
      <c r="CH141" s="67" t="n"/>
      <c r="CI141" s="67" t="n"/>
      <c r="CJ141" s="67" t="n"/>
      <c r="CK141" s="67" t="n"/>
      <c r="CL141" s="67" t="n"/>
      <c r="CM141" s="67" t="n"/>
      <c r="CN141" s="67" t="n"/>
      <c r="CO141" s="67" t="n"/>
      <c r="CP141" s="67" t="n"/>
      <c r="CQ141" s="67" t="n"/>
      <c r="CR141" s="67" t="n"/>
      <c r="CS141" s="67" t="n"/>
      <c r="CT141" s="67" t="n"/>
      <c r="CU141" s="67" t="n"/>
      <c r="CV141" s="67" t="n"/>
      <c r="CW141" s="67" t="n"/>
      <c r="CX141" s="67" t="n"/>
      <c r="CY141" s="67" t="n"/>
      <c r="CZ141" s="67" t="n"/>
      <c r="DA141" s="67" t="n"/>
      <c r="DB141" s="67" t="n"/>
      <c r="DC141" s="67" t="n"/>
      <c r="DD141" s="67" t="n"/>
      <c r="DE141" s="67" t="n"/>
      <c r="DF141" s="67" t="n"/>
      <c r="DG141" s="67" t="n"/>
      <c r="DH141" s="67" t="n"/>
      <c r="DI141" s="67" t="n"/>
      <c r="DJ141" s="67" t="n"/>
      <c r="DK141" s="67" t="n"/>
      <c r="DL141" s="67" t="n"/>
      <c r="DM141" s="67" t="n"/>
      <c r="DN141" s="67" t="n"/>
      <c r="DO141" s="67" t="n"/>
      <c r="DP141" s="67" t="n"/>
      <c r="DQ141" s="67" t="n"/>
      <c r="DR141" s="67" t="n"/>
      <c r="DS141" s="67" t="n"/>
      <c r="DT141" s="67" t="n"/>
      <c r="DU141" s="67" t="n"/>
      <c r="DV141" s="67" t="n"/>
      <c r="DW141" s="67" t="n"/>
      <c r="DX141" s="67" t="n"/>
      <c r="DY141" s="67" t="n"/>
      <c r="DZ141" s="67" t="n"/>
      <c r="EA141" s="67" t="n"/>
      <c r="EB141" s="67" t="n"/>
      <c r="EC141" s="67" t="n"/>
      <c r="ED141" s="67" t="n"/>
      <c r="EE141" s="67" t="n"/>
      <c r="EF141" s="67" t="n"/>
      <c r="EG141" s="67" t="n"/>
      <c r="EH141" s="67" t="n"/>
      <c r="EI141" s="67" t="n"/>
      <c r="EJ141" s="67" t="n"/>
      <c r="EK141" s="67" t="n"/>
      <c r="EL141" s="67" t="n"/>
      <c r="EM141" s="67" t="n"/>
      <c r="EN141" s="67" t="n"/>
      <c r="EO141" s="67" t="n"/>
      <c r="EP141" s="67" t="n"/>
      <c r="EQ141" s="67" t="n"/>
      <c r="ER141" s="67" t="n"/>
      <c r="ES141" s="67" t="n"/>
      <c r="ET141" s="67" t="n"/>
      <c r="EU141" s="67" t="n"/>
      <c r="EV141" s="67" t="n"/>
      <c r="EW141" s="67" t="n"/>
      <c r="EX141" s="67" t="n"/>
      <c r="EY141" s="67" t="n"/>
      <c r="EZ141" s="398" t="n"/>
      <c r="FA141" s="398" t="n"/>
      <c r="FB141" s="67" t="n"/>
      <c r="FC141" s="67" t="n"/>
      <c r="FD141" s="67" t="n"/>
      <c r="FE141" s="67" t="n"/>
    </row>
    <row r="142">
      <c r="A142" s="203" t="inlineStr">
        <is>
          <t xml:space="preserve">New orders </t>
        </is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AE142" s="348" t="n"/>
      <c r="EZ142" s="396" t="n"/>
      <c r="FA142" s="396" t="n"/>
    </row>
    <row r="143">
      <c r="A143" s="9">
        <f>Driver!A155</f>
        <v/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AE143" s="348" t="n"/>
      <c r="BQ143" s="506">
        <f>EU143+ET143</f>
        <v/>
      </c>
      <c r="BS143" s="506" t="n"/>
      <c r="EP143" s="506">
        <f>EP152*37.58%</f>
        <v/>
      </c>
      <c r="EQ143" s="506">
        <f>48857*42.96%-EP143</f>
        <v/>
      </c>
      <c r="ER143" s="506">
        <f>64224*40.72%-EQ143-EP143</f>
        <v/>
      </c>
      <c r="ES143" s="506">
        <f>Driver!H155-EP143-EQ143-ER143</f>
        <v/>
      </c>
      <c r="ET143" s="506">
        <f>ET152*42.25%</f>
        <v/>
      </c>
      <c r="EU143" s="506">
        <f>56073*45.19%-ET143</f>
        <v/>
      </c>
      <c r="EV143" s="506">
        <f>81251*40.33%-EU143-ET143</f>
        <v/>
      </c>
      <c r="EW143" s="506">
        <f>Driver!I155-EV143-EU143-ET143</f>
        <v/>
      </c>
      <c r="EX143" s="506">
        <f>EX152*44.56%</f>
        <v/>
      </c>
      <c r="EY143" s="506">
        <f>65485*37.59%-EX143</f>
        <v/>
      </c>
      <c r="EZ143" s="526" t="n"/>
      <c r="FA143" s="526" t="n"/>
    </row>
    <row r="144">
      <c r="A144" s="9" t="inlineStr">
        <is>
          <t>Gas Turbine</t>
        </is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BQ144" s="506" t="n"/>
      <c r="BS144" s="506" t="n"/>
      <c r="EP144" s="506" t="n"/>
      <c r="EQ144" s="506" t="n"/>
      <c r="ER144" s="506" t="n"/>
      <c r="ES144" s="506" t="n"/>
      <c r="ET144" s="506" t="n"/>
      <c r="EU144" s="506" t="n"/>
      <c r="EV144" s="506" t="n"/>
      <c r="EW144" s="506" t="n"/>
      <c r="EX144" s="506">
        <f>BS144-EY144</f>
        <v/>
      </c>
      <c r="EY144" s="506" t="n">
        <v>360</v>
      </c>
      <c r="EZ144" s="526" t="n"/>
      <c r="FA144" s="526" t="n"/>
    </row>
    <row r="145">
      <c r="A145" s="9" t="inlineStr">
        <is>
          <t>Nuclear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BQ145" s="506" t="n"/>
      <c r="BS145" s="506" t="n"/>
      <c r="EP145" s="506" t="n"/>
      <c r="EQ145" s="506" t="n"/>
      <c r="ER145" s="506" t="n"/>
      <c r="ES145" s="506" t="n"/>
      <c r="ET145" s="506" t="n"/>
      <c r="EU145" s="506" t="n"/>
      <c r="EV145" s="506" t="n"/>
      <c r="EW145" s="506" t="n"/>
      <c r="EX145" s="506">
        <f>BS145-EY145</f>
        <v/>
      </c>
      <c r="EY145" s="506">
        <f>EY143-EY144-EY146</f>
        <v/>
      </c>
      <c r="EZ145" s="526" t="n"/>
      <c r="FA145" s="526" t="n"/>
    </row>
    <row r="146">
      <c r="A146" s="9" t="inlineStr">
        <is>
          <t>Thermal</t>
        </is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BQ146" s="506" t="n"/>
      <c r="BS146" s="506" t="n"/>
      <c r="EP146" s="506" t="n"/>
      <c r="EQ146" s="506" t="n"/>
      <c r="ER146" s="506" t="n"/>
      <c r="ES146" s="506" t="n"/>
      <c r="ET146" s="506" t="n"/>
      <c r="EU146" s="506" t="n"/>
      <c r="EV146" s="506" t="n"/>
      <c r="EW146" s="506" t="n"/>
      <c r="EX146" s="506">
        <f>BS146-EY146</f>
        <v/>
      </c>
      <c r="EY146" s="506" t="n">
        <v>2290</v>
      </c>
      <c r="EZ146" s="526" t="n"/>
      <c r="FA146" s="526" t="n"/>
    </row>
    <row r="147">
      <c r="A147" s="9">
        <f>Driver!A159</f>
        <v/>
      </c>
      <c r="BQ147" s="506">
        <f>EU147+ET147</f>
        <v/>
      </c>
      <c r="BS147" s="506" t="n"/>
      <c r="EP147" s="506">
        <f>EP152*26.66%</f>
        <v/>
      </c>
      <c r="EQ147" s="506">
        <f>48857*23.65%-EP147</f>
        <v/>
      </c>
      <c r="ER147" s="506">
        <f>64224*22.88%-EQ147-EP147</f>
        <v/>
      </c>
      <c r="ES147" s="506">
        <f>Driver!H159-EP147-EQ147-ER147</f>
        <v/>
      </c>
      <c r="ET147" s="506">
        <f>ET152*25.85%</f>
        <v/>
      </c>
      <c r="EU147" s="506">
        <f>56073*25.07%-ET147</f>
        <v/>
      </c>
      <c r="EV147" s="506">
        <f>81251*27.05%-EU147-ET147</f>
        <v/>
      </c>
      <c r="EW147" s="506">
        <f>Driver!I159-EV147-EU147-ET147</f>
        <v/>
      </c>
      <c r="EX147" s="506">
        <f>EX152*26.84%</f>
        <v/>
      </c>
      <c r="EY147" s="506">
        <f>65485*30.82%-EX147</f>
        <v/>
      </c>
      <c r="EZ147" s="526" t="n"/>
      <c r="FA147" s="526" t="n"/>
    </row>
    <row r="148">
      <c r="A148" s="9" t="inlineStr">
        <is>
          <t>Wind</t>
        </is>
      </c>
      <c r="BQ148" s="506" t="n"/>
      <c r="BS148" s="506" t="n"/>
      <c r="EP148" s="506" t="n"/>
      <c r="EQ148" s="506" t="n"/>
      <c r="ER148" s="506" t="n"/>
      <c r="ES148" s="506" t="n"/>
      <c r="ET148" s="506" t="n"/>
      <c r="EU148" s="506" t="n"/>
      <c r="EV148" s="506" t="n"/>
      <c r="EW148" s="506" t="n"/>
      <c r="EX148" s="506">
        <f>BS148-EY148</f>
        <v/>
      </c>
      <c r="EY148" s="506" t="n">
        <v>7770</v>
      </c>
      <c r="EZ148" s="526" t="n"/>
      <c r="FA148" s="526" t="n"/>
    </row>
    <row r="149">
      <c r="A149" s="9" t="inlineStr">
        <is>
          <t>Hydro</t>
        </is>
      </c>
      <c r="BQ149" s="506" t="n"/>
      <c r="BS149" s="506" t="n"/>
      <c r="EP149" s="506" t="n"/>
      <c r="EQ149" s="506" t="n"/>
      <c r="ER149" s="506" t="n"/>
      <c r="ES149" s="506" t="n"/>
      <c r="ET149" s="506" t="n"/>
      <c r="EU149" s="506" t="n"/>
      <c r="EV149" s="506" t="n"/>
      <c r="EW149" s="506" t="n"/>
      <c r="EX149" s="506">
        <f>BS149-EY149</f>
        <v/>
      </c>
      <c r="EY149" s="506" t="n">
        <v>2550</v>
      </c>
      <c r="EZ149" s="526" t="n"/>
      <c r="FA149" s="526" t="n"/>
    </row>
    <row r="150">
      <c r="A150" s="9">
        <f>Driver!A160</f>
        <v/>
      </c>
      <c r="BQ150" s="506">
        <f>EU150+ET150</f>
        <v/>
      </c>
      <c r="BS150" s="506" t="n"/>
      <c r="EP150" s="506">
        <f>EP152*9.22%</f>
        <v/>
      </c>
      <c r="EQ150" s="506">
        <f>48857*9.25%-EP150</f>
        <v/>
      </c>
      <c r="ER150" s="506">
        <f>64224*12.96%-EQ150-EP150</f>
        <v/>
      </c>
      <c r="ES150" s="506">
        <f>Driver!H160-EP150-EQ150-ER150</f>
        <v/>
      </c>
      <c r="ET150" s="506">
        <f>ET152*9.52%</f>
        <v/>
      </c>
      <c r="EU150" s="506">
        <f>56073*8.7%-ET150</f>
        <v/>
      </c>
      <c r="EV150" s="506">
        <f>81251*8.54%-EU150-ET150</f>
        <v/>
      </c>
      <c r="EW150" s="506">
        <f>Driver!I160-EV150-EU150-ET150</f>
        <v/>
      </c>
      <c r="EX150" s="506">
        <f>EX152*8.44%</f>
        <v/>
      </c>
      <c r="EY150" s="506">
        <f>65485*8.8%-EX150</f>
        <v/>
      </c>
      <c r="EZ150" s="526" t="n"/>
      <c r="FA150" s="526" t="n"/>
    </row>
    <row r="151">
      <c r="A151" s="9">
        <f>Driver!A161</f>
        <v/>
      </c>
      <c r="BQ151" s="506">
        <f>EU151+ET151</f>
        <v/>
      </c>
      <c r="BS151" s="506" t="n"/>
      <c r="EP151" s="506">
        <f>EP152-EP147-EP143-EP150</f>
        <v/>
      </c>
      <c r="EQ151" s="506">
        <f>EQ152-EQ147-EQ143-EQ150</f>
        <v/>
      </c>
      <c r="ER151" s="506">
        <f>ER152-ER147-ER143-ER150</f>
        <v/>
      </c>
      <c r="ES151" s="506">
        <f>ES152-ES147-ES143-ES150</f>
        <v/>
      </c>
      <c r="ET151" s="506">
        <f>ET152-ET147-ET143-ET150</f>
        <v/>
      </c>
      <c r="EU151" s="506">
        <f>EU152-EU147-EU143-EU150</f>
        <v/>
      </c>
      <c r="EV151" s="506">
        <f>EV152-EV147-EV143-EV150</f>
        <v/>
      </c>
      <c r="EW151" s="506">
        <f>EW152-EW147-EW143-EW150</f>
        <v/>
      </c>
      <c r="EX151" s="506">
        <f>EX152-EX147-EX143-EX150</f>
        <v/>
      </c>
      <c r="EY151" s="506">
        <f>EY152-EY147-EY143-EY150</f>
        <v/>
      </c>
      <c r="EZ151" s="526" t="n"/>
      <c r="FA151" s="526" t="n"/>
    </row>
    <row r="152" customFormat="1" s="28">
      <c r="A152" s="203">
        <f>Driver!A162</f>
        <v/>
      </c>
      <c r="AA152" s="116" t="n"/>
      <c r="AB152" s="116" t="n"/>
      <c r="AD152" s="116" t="n"/>
      <c r="AE152" s="116" t="n"/>
      <c r="BQ152" s="506">
        <f>EU152+ET152</f>
        <v/>
      </c>
      <c r="BS152" s="506" t="n"/>
      <c r="BU152" s="208" t="n"/>
      <c r="BV152" s="208" t="n"/>
      <c r="BW152" s="208" t="n"/>
      <c r="BX152" s="208" t="n"/>
      <c r="EP152" s="28" t="n">
        <v>22615</v>
      </c>
      <c r="EQ152" s="528">
        <f>48857-EP152</f>
        <v/>
      </c>
      <c r="ER152" s="528">
        <f>64224-EP152-EQ152</f>
        <v/>
      </c>
      <c r="ES152" s="528">
        <f>Driver!H162-EP152-EQ152-ER152</f>
        <v/>
      </c>
      <c r="ET152" s="528" t="n">
        <v>26329</v>
      </c>
      <c r="EU152" s="528">
        <f>56073-ET152</f>
        <v/>
      </c>
      <c r="EV152" s="528">
        <f>81251-ET152-EU152</f>
        <v/>
      </c>
      <c r="EW152" s="528">
        <f>Driver!I162-EV152-EU152-ET152</f>
        <v/>
      </c>
      <c r="EX152" s="528" t="n">
        <v>35881</v>
      </c>
      <c r="EY152" s="528">
        <f>65485-EX152</f>
        <v/>
      </c>
      <c r="EZ152" s="530" t="n"/>
      <c r="FA152" s="530" t="n"/>
    </row>
    <row r="153">
      <c r="A153" s="9">
        <f>Driver!A165</f>
        <v/>
      </c>
      <c r="BS153" s="32" t="n"/>
      <c r="ET153" s="32">
        <f>ET143/EP143-1</f>
        <v/>
      </c>
      <c r="EU153" s="32">
        <f>EU143/EQ143-1</f>
        <v/>
      </c>
      <c r="EV153" s="32">
        <f>EV143/ER143-1</f>
        <v/>
      </c>
      <c r="EW153" s="32">
        <f>EW143/ES143-1</f>
        <v/>
      </c>
      <c r="EX153" s="32">
        <f>EX143/ET143-1</f>
        <v/>
      </c>
      <c r="EY153" s="32">
        <f>EY143/EU143-1</f>
        <v/>
      </c>
      <c r="EZ153" s="400" t="n"/>
      <c r="FA153" s="400" t="n"/>
    </row>
    <row r="154">
      <c r="A154" s="9">
        <f>Driver!A166</f>
        <v/>
      </c>
      <c r="BS154" s="32" t="n"/>
      <c r="ET154" s="32">
        <f>ET147/EP147-1</f>
        <v/>
      </c>
      <c r="EU154" s="32">
        <f>EU147/EQ147-1</f>
        <v/>
      </c>
      <c r="EV154" s="32">
        <f>EV147/ER147-1</f>
        <v/>
      </c>
      <c r="EW154" s="32">
        <f>EW147/ES147-1</f>
        <v/>
      </c>
      <c r="EX154" s="32">
        <f>EX147/ET147-1</f>
        <v/>
      </c>
      <c r="EY154" s="32">
        <f>EY147/EU147-1</f>
        <v/>
      </c>
      <c r="EZ154" s="400" t="n"/>
      <c r="FA154" s="400" t="n"/>
    </row>
    <row r="155">
      <c r="A155" s="9">
        <f>Driver!A167</f>
        <v/>
      </c>
      <c r="BS155" s="32" t="n"/>
      <c r="ET155" s="32">
        <f>ET150/EP150-1</f>
        <v/>
      </c>
      <c r="EU155" s="32">
        <f>EU150/EQ150-1</f>
        <v/>
      </c>
      <c r="EV155" s="32">
        <f>EV150/ER150-1</f>
        <v/>
      </c>
      <c r="EW155" s="32">
        <f>EW150/ES150-1</f>
        <v/>
      </c>
      <c r="EX155" s="32">
        <f>EX150/ET150-1</f>
        <v/>
      </c>
      <c r="EY155" s="32">
        <f>EY150/EU150-1</f>
        <v/>
      </c>
      <c r="EZ155" s="400" t="n"/>
      <c r="FA155" s="400" t="n"/>
    </row>
    <row r="156">
      <c r="A156" s="9">
        <f>Driver!A168</f>
        <v/>
      </c>
      <c r="BS156" s="32" t="n"/>
      <c r="ET156" s="32">
        <f>ET151/EP151-1</f>
        <v/>
      </c>
      <c r="EU156" s="32">
        <f>EU151/EQ151-1</f>
        <v/>
      </c>
      <c r="EV156" s="32">
        <f>EV151/ER151-1</f>
        <v/>
      </c>
      <c r="EW156" s="32">
        <f>EW151/ES151-1</f>
        <v/>
      </c>
      <c r="EX156" s="32">
        <f>EX151/ET151-1</f>
        <v/>
      </c>
      <c r="EY156" s="32">
        <f>EY151/EU151-1</f>
        <v/>
      </c>
      <c r="EZ156" s="400" t="n"/>
      <c r="FA156" s="400" t="n"/>
    </row>
    <row r="157" ht="12.75" customFormat="1" customHeight="1" s="28">
      <c r="A157" s="203">
        <f>Driver!A163</f>
        <v/>
      </c>
      <c r="AA157" s="116" t="n"/>
      <c r="AB157" s="116" t="n"/>
      <c r="AD157" s="116" t="n"/>
      <c r="AE157" s="116" t="n"/>
      <c r="BS157" s="290" t="n"/>
      <c r="BU157" s="208" t="n"/>
      <c r="BV157" s="208" t="n"/>
      <c r="BW157" s="208" t="n"/>
      <c r="BX157" s="208" t="n"/>
      <c r="ET157" s="290">
        <f>ET152/EP152-1</f>
        <v/>
      </c>
      <c r="EU157" s="290">
        <f>EU152/EQ152-1</f>
        <v/>
      </c>
      <c r="EV157" s="290">
        <f>EV152/ER152-1</f>
        <v/>
      </c>
      <c r="EW157" s="290">
        <f>EW152/ES152-1</f>
        <v/>
      </c>
      <c r="EX157" s="290">
        <f>EX152/ET152-1</f>
        <v/>
      </c>
      <c r="EY157" s="290">
        <f>EY152/EU152-1</f>
        <v/>
      </c>
      <c r="EZ157" s="401" t="n"/>
      <c r="FA157" s="401" t="n"/>
    </row>
    <row r="158">
      <c r="A158" s="9" t="n"/>
    </row>
    <row r="159">
      <c r="A159" s="9" t="n"/>
      <c r="EP159" s="32" t="n"/>
      <c r="EQ159" s="32" t="n"/>
      <c r="ER159" s="32" t="n"/>
      <c r="ES159" s="32" t="n"/>
      <c r="ET159" s="32" t="n"/>
      <c r="EU159" s="32" t="n"/>
      <c r="EV159" s="32" t="n"/>
      <c r="EW159" s="32" t="n"/>
      <c r="EX159" s="32" t="n"/>
      <c r="EY159" s="32" t="n"/>
      <c r="EZ159" s="32" t="n"/>
      <c r="FA159" s="32" t="n"/>
    </row>
    <row r="160">
      <c r="A160" s="9" t="n"/>
      <c r="EP160" s="32" t="n"/>
      <c r="EQ160" s="32" t="n"/>
      <c r="ER160" s="32" t="n"/>
      <c r="ES160" s="32" t="n"/>
      <c r="ET160" s="32" t="n"/>
      <c r="EU160" s="32" t="n"/>
      <c r="EV160" s="32" t="n"/>
      <c r="EW160" s="32" t="n"/>
      <c r="EX160" s="32" t="n"/>
      <c r="EY160" s="32" t="n"/>
      <c r="EZ160" s="32" t="n"/>
      <c r="FA160" s="32" t="n"/>
    </row>
    <row r="161">
      <c r="A161" s="9" t="n"/>
      <c r="EP161" s="32" t="n"/>
      <c r="EQ161" s="32" t="n"/>
      <c r="ER161" s="32" t="n"/>
      <c r="ES161" s="32" t="n"/>
      <c r="ET161" s="32" t="n"/>
      <c r="EU161" s="32" t="n"/>
      <c r="EV161" s="32" t="n"/>
      <c r="EW161" s="32" t="n"/>
      <c r="EX161" s="32" t="n"/>
      <c r="EY161" s="32" t="n"/>
      <c r="EZ161" s="32" t="n"/>
      <c r="FA161" s="32" t="n"/>
    </row>
    <row r="162">
      <c r="EP162" s="32" t="n"/>
      <c r="EQ162" s="32" t="n"/>
      <c r="ER162" s="32" t="n"/>
      <c r="ES162" s="32" t="n"/>
      <c r="ET162" s="32" t="n"/>
      <c r="EU162" s="32" t="n"/>
      <c r="EV162" s="32" t="n"/>
      <c r="EW162" s="32" t="n"/>
      <c r="EX162" s="32" t="n"/>
      <c r="EY162" s="32" t="n"/>
      <c r="EZ162" s="32" t="n"/>
      <c r="FA162" s="32" t="n"/>
    </row>
    <row r="163">
      <c r="EP163" s="32" t="n"/>
      <c r="EQ163" s="32" t="n"/>
      <c r="ER163" s="32" t="n"/>
      <c r="ES163" s="32" t="n"/>
      <c r="ET163" s="32" t="n"/>
      <c r="EU163" s="32" t="n"/>
      <c r="EV163" s="32" t="n"/>
      <c r="EW163" s="32" t="n"/>
      <c r="EX163" s="32" t="n"/>
      <c r="EY163" s="32" t="n"/>
      <c r="EZ163" s="32" t="n"/>
      <c r="FA163" s="32" t="n"/>
    </row>
    <row r="164">
      <c r="EP164" s="32" t="n"/>
      <c r="EQ164" s="32" t="n"/>
      <c r="ER164" s="32" t="n"/>
      <c r="ES164" s="32" t="n"/>
      <c r="ET164" s="32" t="n"/>
      <c r="EU164" s="32" t="n"/>
      <c r="EV164" s="32" t="n"/>
      <c r="EW164" s="32" t="n"/>
      <c r="EX164" s="32" t="n"/>
      <c r="EY164" s="32" t="n"/>
      <c r="EZ164" s="32" t="n"/>
      <c r="FA164" s="32" t="n"/>
    </row>
    <row r="165">
      <c r="EP165" s="32" t="n"/>
      <c r="EQ165" s="32" t="n"/>
      <c r="ER165" s="32" t="n"/>
      <c r="ES165" s="32" t="n"/>
      <c r="ET165" s="32" t="n"/>
      <c r="EU165" s="32" t="n"/>
      <c r="EV165" s="32" t="n"/>
      <c r="EW165" s="32" t="n"/>
      <c r="EX165" s="32" t="n"/>
      <c r="EY165" s="32" t="n"/>
      <c r="EZ165" s="32" t="n"/>
      <c r="FA165" s="32" t="n"/>
    </row>
  </sheetData>
  <mergeCells count="1">
    <mergeCell ref="BU1:BX1"/>
  </mergeCells>
  <pageMargins left="0.7" right="0.7" top="0.75" bottom="0.75" header="0.3" footer="0.3"/>
  <pageSetup orientation="landscape" paperSize="9" scale="64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M195"/>
  <sheetViews>
    <sheetView showGridLines="0" zoomScale="250" zoomScaleNormal="250" workbookViewId="0">
      <pane xSplit="4" ySplit="2" topLeftCell="E5" activePane="bottomRight" state="frozen"/>
      <selection pane="topRight" activeCell="E1" sqref="E1"/>
      <selection pane="bottomLeft" activeCell="A3" sqref="A3"/>
      <selection pane="bottomRight" activeCell="A22" sqref="A22"/>
    </sheetView>
  </sheetViews>
  <sheetFormatPr baseColWidth="8" defaultColWidth="10.28515625" defaultRowHeight="14.25"/>
  <cols>
    <col width="60.5703125" bestFit="1" customWidth="1" style="6" min="1" max="1"/>
    <col hidden="1" width="8.28515625" customWidth="1" style="6" min="2" max="4"/>
    <col width="8.28515625" customWidth="1" style="6" min="5" max="9"/>
    <col width="9.140625" bestFit="1" customWidth="1" style="6" min="10" max="10"/>
    <col width="9.28515625" customWidth="1" style="6" min="11" max="11"/>
    <col width="10.28515625" bestFit="1" customWidth="1" style="6" min="12" max="13"/>
    <col width="9.140625" bestFit="1" customWidth="1" style="6" min="14" max="14"/>
    <col width="9.140625" customWidth="1" style="6" min="15" max="15"/>
    <col width="15.5703125" customWidth="1" style="90" min="16" max="16"/>
    <col hidden="1" outlineLevel="1" width="10.28515625" customWidth="1" style="99" min="17" max="19"/>
    <col hidden="1" outlineLevel="1" width="10.42578125" customWidth="1" style="99" min="20" max="20"/>
    <col hidden="1" outlineLevel="1" width="10.28515625" customWidth="1" style="6" min="21" max="26"/>
    <col collapsed="1" width="10.28515625" customWidth="1" style="6" min="27" max="27"/>
    <col width="8.28515625" customWidth="1" style="6" min="28" max="29"/>
    <col width="8.85546875" customWidth="1" style="6" min="30" max="30"/>
    <col width="8.28515625" customWidth="1" style="6" min="31" max="31"/>
    <col width="10.28515625" customWidth="1" style="6" min="32" max="16384"/>
  </cols>
  <sheetData>
    <row r="1">
      <c r="A1" s="433" t="n"/>
      <c r="F1" s="506" t="n"/>
      <c r="G1" s="506" t="n"/>
      <c r="AF1" s="406" t="inlineStr">
        <is>
          <t>H125</t>
        </is>
      </c>
    </row>
    <row r="2">
      <c r="A2" s="96" t="inlineStr">
        <is>
          <t>Rmb m</t>
        </is>
      </c>
      <c r="B2" s="95" t="n">
        <v>2017</v>
      </c>
      <c r="C2" s="95" t="n">
        <v>2018</v>
      </c>
      <c r="D2" s="95" t="n">
        <v>2019</v>
      </c>
      <c r="E2" s="95" t="n">
        <v>2020</v>
      </c>
      <c r="F2" s="95">
        <f>E2+1</f>
        <v/>
      </c>
      <c r="G2" s="95">
        <f>F2+1</f>
        <v/>
      </c>
      <c r="H2" s="95">
        <f>G2+1</f>
        <v/>
      </c>
      <c r="I2" s="95">
        <f>H2+1</f>
        <v/>
      </c>
      <c r="J2" s="439">
        <f>I2+1</f>
        <v/>
      </c>
      <c r="K2" s="439">
        <f>J2+1</f>
        <v/>
      </c>
      <c r="L2" s="439">
        <f>K2+1</f>
        <v/>
      </c>
      <c r="M2" s="439">
        <f>L2+1</f>
        <v/>
      </c>
      <c r="N2" s="439">
        <f>M2+1</f>
        <v/>
      </c>
      <c r="O2" s="439">
        <f>N2+1</f>
        <v/>
      </c>
      <c r="P2" s="257" t="inlineStr">
        <is>
          <t>25-28</t>
        </is>
      </c>
      <c r="Q2" s="6" t="n"/>
      <c r="R2" s="6" t="n"/>
      <c r="S2" s="6" t="n"/>
      <c r="T2" s="6" t="n"/>
      <c r="AB2" s="95" t="inlineStr">
        <is>
          <t>H124</t>
        </is>
      </c>
      <c r="AC2" s="95" t="inlineStr">
        <is>
          <t>H224</t>
        </is>
      </c>
      <c r="AD2" s="95" t="inlineStr">
        <is>
          <t>H125</t>
        </is>
      </c>
      <c r="AE2" s="324" t="inlineStr">
        <is>
          <t>H225E</t>
        </is>
      </c>
      <c r="AF2" s="444" t="inlineStr">
        <is>
          <t>Change</t>
        </is>
      </c>
      <c r="AG2" s="444" t="inlineStr">
        <is>
          <t>Change %</t>
        </is>
      </c>
      <c r="AH2" s="444" t="inlineStr">
        <is>
          <t>% of last year</t>
        </is>
      </c>
      <c r="AI2" s="444" t="inlineStr">
        <is>
          <t>% of FY</t>
        </is>
      </c>
    </row>
    <row r="3" ht="14.25" customHeight="1">
      <c r="A3" s="31" t="inlineStr">
        <is>
          <t>P&amp;L drivers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AB3" s="29" t="n"/>
      <c r="AC3" s="29" t="n"/>
      <c r="AD3" s="29" t="n"/>
      <c r="AE3" s="29" t="n"/>
      <c r="AF3" s="298" t="n"/>
      <c r="AG3" s="298" t="n"/>
      <c r="AH3" s="298" t="n"/>
      <c r="AI3" s="298" t="n"/>
    </row>
    <row r="4">
      <c r="A4" s="433" t="inlineStr">
        <is>
          <t>Revenue</t>
        </is>
      </c>
      <c r="B4" s="435" t="n"/>
      <c r="C4" s="435" t="n"/>
      <c r="D4" s="435" t="n"/>
      <c r="E4" s="435" t="n"/>
      <c r="F4" s="435" t="n"/>
      <c r="G4" s="435" t="n"/>
      <c r="H4" s="481" t="n"/>
      <c r="I4" s="531" t="n"/>
      <c r="J4" s="155" t="n"/>
      <c r="K4" s="155" t="n"/>
      <c r="L4" s="155" t="n"/>
      <c r="M4" s="155" t="n"/>
      <c r="N4" s="155" t="n"/>
      <c r="O4" s="155" t="n"/>
      <c r="P4" s="532" t="n"/>
      <c r="Q4" s="28" t="n"/>
      <c r="R4" s="28" t="n"/>
      <c r="S4" s="28" t="n"/>
      <c r="T4" s="28" t="n"/>
      <c r="AA4" s="533" t="n"/>
      <c r="AB4" s="481" t="n"/>
      <c r="AC4" s="481" t="n"/>
      <c r="AD4" s="531" t="n"/>
      <c r="AE4" s="481" t="n"/>
      <c r="AF4" s="446" t="n"/>
      <c r="AG4" s="381" t="n"/>
      <c r="AH4" s="381" t="n"/>
      <c r="AI4" s="381" t="n"/>
      <c r="AJ4" s="533" t="n"/>
      <c r="AK4" s="533" t="n"/>
      <c r="AL4" s="533" t="n"/>
      <c r="AM4" s="533" t="n"/>
    </row>
    <row r="5">
      <c r="A5" s="28" t="inlineStr">
        <is>
          <t>By product</t>
        </is>
      </c>
      <c r="B5" s="534" t="n"/>
      <c r="C5" s="534" t="n"/>
      <c r="D5" s="534" t="n"/>
      <c r="E5" s="534" t="n"/>
      <c r="F5" s="534" t="n"/>
      <c r="G5" s="534" t="n"/>
      <c r="H5" s="481" t="n"/>
      <c r="I5" s="531" t="n"/>
      <c r="J5" s="481" t="n"/>
      <c r="K5" s="481" t="n"/>
      <c r="L5" s="481">
        <f>+L7+4000</f>
        <v/>
      </c>
      <c r="M5" s="481">
        <f>+M7+6000</f>
        <v/>
      </c>
      <c r="N5" s="481">
        <f>7500+N7</f>
        <v/>
      </c>
      <c r="O5" s="481" t="n"/>
      <c r="P5" s="535" t="n"/>
      <c r="Q5" s="6" t="n"/>
      <c r="R5" s="6" t="n"/>
      <c r="S5" s="6" t="n"/>
      <c r="T5" s="6" t="n"/>
      <c r="V5" s="89" t="n"/>
      <c r="W5" s="89" t="n"/>
      <c r="X5" s="89" t="n"/>
      <c r="Y5" s="89" t="n"/>
      <c r="Z5" s="89" t="n"/>
      <c r="AB5" s="481" t="n"/>
      <c r="AC5" s="481" t="n"/>
      <c r="AD5" s="531" t="n"/>
      <c r="AE5" s="481" t="n"/>
      <c r="AF5" s="379" t="n"/>
      <c r="AG5" s="379" t="n"/>
      <c r="AH5" s="379" t="n"/>
      <c r="AI5" s="379" t="n"/>
    </row>
    <row r="6">
      <c r="A6" s="6" t="inlineStr">
        <is>
          <t>High-efficient clean energy equipment</t>
        </is>
      </c>
      <c r="B6" s="481" t="n"/>
      <c r="C6" s="481" t="n"/>
      <c r="D6" s="481" t="n"/>
      <c r="E6" s="481" t="n">
        <v>11152.33</v>
      </c>
      <c r="F6" s="481" t="n">
        <v>12786.98</v>
      </c>
      <c r="G6" s="481" t="n">
        <v>14684.57</v>
      </c>
      <c r="H6" s="481" t="n">
        <v>20589.29</v>
      </c>
      <c r="I6" s="481" t="n">
        <v>28358.2</v>
      </c>
      <c r="J6" s="481">
        <f>+J7+J8+J9</f>
        <v/>
      </c>
      <c r="K6" s="481">
        <f>+K7+K8+K9</f>
        <v/>
      </c>
      <c r="L6" s="481">
        <f>+L7+L8+L9</f>
        <v/>
      </c>
      <c r="M6" s="481">
        <f>+M7+M8+M9</f>
        <v/>
      </c>
      <c r="N6" s="481">
        <f>+N7+N8+N9</f>
        <v/>
      </c>
      <c r="O6" s="481">
        <f>+O7+O8+O9</f>
        <v/>
      </c>
      <c r="P6" s="535">
        <f>(M6/J6)^(1/3)-1</f>
        <v/>
      </c>
      <c r="Q6" s="6" t="n"/>
      <c r="R6" s="6" t="n"/>
      <c r="S6" s="6" t="n"/>
      <c r="T6" s="6" t="n"/>
      <c r="U6" s="481" t="n"/>
      <c r="V6" s="481" t="n"/>
      <c r="W6" s="481" t="n"/>
      <c r="X6" s="481" t="n"/>
      <c r="Y6" s="481" t="n"/>
      <c r="Z6" s="481" t="n"/>
      <c r="AB6" s="536" t="n">
        <v>14065.19967885</v>
      </c>
      <c r="AC6" s="536">
        <f>I6-AB6</f>
        <v/>
      </c>
      <c r="AD6" s="536" t="n"/>
      <c r="AE6" s="536">
        <f>J6-AD6</f>
        <v/>
      </c>
      <c r="AF6" s="453">
        <f>AD6-AB6</f>
        <v/>
      </c>
      <c r="AG6" s="379">
        <f>AF6/AB6</f>
        <v/>
      </c>
      <c r="AH6" s="379">
        <f>AB6/I6</f>
        <v/>
      </c>
      <c r="AI6" s="379">
        <f>AD6/J6</f>
        <v/>
      </c>
    </row>
    <row r="7">
      <c r="A7" s="6" t="inlineStr">
        <is>
          <t xml:space="preserve">    Gas Turbine</t>
        </is>
      </c>
      <c r="B7" s="481" t="n"/>
      <c r="C7" s="481" t="n"/>
      <c r="D7" s="481" t="n"/>
      <c r="E7" s="481" t="n">
        <v>2019</v>
      </c>
      <c r="F7" s="481" t="n">
        <v>1734</v>
      </c>
      <c r="G7" s="481" t="n">
        <v>1831</v>
      </c>
      <c r="H7" s="481" t="n">
        <v>3789.43</v>
      </c>
      <c r="I7" s="481" t="n">
        <v>7258</v>
      </c>
      <c r="J7" s="481">
        <f>+I7*(1+U18)</f>
        <v/>
      </c>
      <c r="K7" s="481">
        <f>+J7*(1+V18)</f>
        <v/>
      </c>
      <c r="L7" s="481">
        <f>+K7*(1+W18)</f>
        <v/>
      </c>
      <c r="M7" s="481">
        <f>+L7*(1+X18)</f>
        <v/>
      </c>
      <c r="N7" s="481">
        <f>+M7*(1+Y18)</f>
        <v/>
      </c>
      <c r="O7" s="481">
        <f>+N7*(1+Z18)</f>
        <v/>
      </c>
      <c r="P7" s="535">
        <f>(M7/J7)^(1/3)-1</f>
        <v/>
      </c>
      <c r="Q7" s="6" t="n"/>
      <c r="R7" s="6" t="n"/>
      <c r="S7" s="6" t="n"/>
      <c r="T7" s="6" t="n"/>
      <c r="U7" s="506" t="n"/>
      <c r="V7" s="506" t="n"/>
      <c r="W7" s="506" t="n"/>
      <c r="AB7" s="536" t="n">
        <v>3607.43320104</v>
      </c>
      <c r="AC7" s="536">
        <f>I7-AB7</f>
        <v/>
      </c>
      <c r="AD7" s="536" t="n"/>
      <c r="AE7" s="536">
        <f>J7-AD7</f>
        <v/>
      </c>
      <c r="AF7" s="453">
        <f>AD7-AB7</f>
        <v/>
      </c>
      <c r="AG7" s="379">
        <f>AF7/AB7</f>
        <v/>
      </c>
      <c r="AH7" s="379">
        <f>AB7/I7</f>
        <v/>
      </c>
      <c r="AI7" s="379">
        <f>AD7/J7</f>
        <v/>
      </c>
    </row>
    <row r="8">
      <c r="A8" s="6" t="inlineStr">
        <is>
          <t xml:space="preserve">    Nuclear power equipment</t>
        </is>
      </c>
      <c r="B8" s="481" t="n">
        <v>2695.70114677</v>
      </c>
      <c r="C8" s="481" t="n">
        <v>2390.10251231</v>
      </c>
      <c r="D8" s="481" t="n">
        <v>2080.40737821</v>
      </c>
      <c r="E8" s="481" t="n">
        <v>1805</v>
      </c>
      <c r="F8" s="481" t="n">
        <v>2229</v>
      </c>
      <c r="G8" s="481" t="n">
        <v>2057</v>
      </c>
      <c r="H8" s="481" t="n">
        <v>2902.56</v>
      </c>
      <c r="I8" s="481" t="n">
        <v>4876.71</v>
      </c>
      <c r="J8" s="481">
        <f>+I8*(1+U19)</f>
        <v/>
      </c>
      <c r="K8" s="481">
        <f>+J8*(1+V19)</f>
        <v/>
      </c>
      <c r="L8" s="481">
        <f>+K8*(1+W19)</f>
        <v/>
      </c>
      <c r="M8" s="481">
        <f>+L8*(1+X19)</f>
        <v/>
      </c>
      <c r="N8" s="481">
        <f>+M8*(1+Y19)</f>
        <v/>
      </c>
      <c r="O8" s="481">
        <f>+N8*(1+Z19)</f>
        <v/>
      </c>
      <c r="P8" s="535">
        <f>(M8/J8)^(1/3)-1</f>
        <v/>
      </c>
      <c r="Q8" s="535" t="n"/>
      <c r="R8" s="6" t="n"/>
      <c r="S8" s="6" t="n"/>
      <c r="T8" s="6" t="n"/>
      <c r="U8" s="481" t="n"/>
      <c r="V8" s="481" t="n"/>
      <c r="W8" s="481" t="n"/>
      <c r="X8" s="481" t="n"/>
      <c r="Y8" s="481" t="n"/>
      <c r="Z8" s="481" t="n"/>
      <c r="AB8" s="536" t="n">
        <v>1935.53808991</v>
      </c>
      <c r="AC8" s="536">
        <f>I8-AB8</f>
        <v/>
      </c>
      <c r="AD8" s="536" t="n"/>
      <c r="AE8" s="536">
        <f>J8-AD8</f>
        <v/>
      </c>
      <c r="AF8" s="453">
        <f>AD8-AB8</f>
        <v/>
      </c>
      <c r="AG8" s="379">
        <f>AF8/AB8</f>
        <v/>
      </c>
      <c r="AH8" s="379">
        <f>AB8/I8</f>
        <v/>
      </c>
      <c r="AI8" s="379">
        <f>AD8/J8</f>
        <v/>
      </c>
    </row>
    <row r="9">
      <c r="A9" s="6" t="inlineStr">
        <is>
          <t xml:space="preserve">    Thermal power equipment</t>
        </is>
      </c>
      <c r="B9" s="481" t="n"/>
      <c r="C9" s="481" t="n"/>
      <c r="D9" s="481" t="n"/>
      <c r="E9" s="481" t="n">
        <v>7328</v>
      </c>
      <c r="F9" s="481" t="n">
        <v>8824</v>
      </c>
      <c r="G9" s="481">
        <f>G6-G7-G8</f>
        <v/>
      </c>
      <c r="H9" s="481">
        <f>H6-H7-H8</f>
        <v/>
      </c>
      <c r="I9" s="481">
        <f>I6-I7-I8</f>
        <v/>
      </c>
      <c r="J9" s="481">
        <f>+I9*(1+U20)</f>
        <v/>
      </c>
      <c r="K9" s="481">
        <f>+J9*(1+V20)</f>
        <v/>
      </c>
      <c r="L9" s="481">
        <f>+K9*(1+W20)</f>
        <v/>
      </c>
      <c r="M9" s="481">
        <f>+L9*(1+X20)</f>
        <v/>
      </c>
      <c r="N9" s="481">
        <f>+M9*(1+Y20)</f>
        <v/>
      </c>
      <c r="O9" s="481">
        <f>+N9*(1+Z20)</f>
        <v/>
      </c>
      <c r="P9" s="535">
        <f>(M9/J9)^(1/3)-1</f>
        <v/>
      </c>
      <c r="Q9" s="6" t="n"/>
      <c r="R9" s="6" t="n"/>
      <c r="S9" s="6" t="n"/>
      <c r="T9" s="6" t="n"/>
      <c r="U9" s="481" t="n"/>
      <c r="V9" s="481" t="n"/>
      <c r="W9" s="481" t="n"/>
      <c r="X9" s="481" t="n"/>
      <c r="Y9" s="481" t="n"/>
      <c r="Z9" s="481" t="n"/>
      <c r="AB9" s="481">
        <f>AB6-AB7-AB8</f>
        <v/>
      </c>
      <c r="AC9" s="481">
        <f>I9-AB9</f>
        <v/>
      </c>
      <c r="AD9" s="481" t="n"/>
      <c r="AE9" s="481">
        <f>J9-AD9</f>
        <v/>
      </c>
      <c r="AF9" s="453">
        <f>AD9-AB9</f>
        <v/>
      </c>
      <c r="AG9" s="379">
        <f>AF9/AB9</f>
        <v/>
      </c>
      <c r="AH9" s="379">
        <f>AB9/I9</f>
        <v/>
      </c>
      <c r="AI9" s="379">
        <f>AD9/J9</f>
        <v/>
      </c>
    </row>
    <row r="10">
      <c r="A10" s="6" t="inlineStr">
        <is>
          <t>Wind</t>
        </is>
      </c>
      <c r="B10" s="481" t="n"/>
      <c r="C10" s="481" t="n"/>
      <c r="D10" s="481" t="n"/>
      <c r="E10" s="481">
        <f>10085.17-E11</f>
        <v/>
      </c>
      <c r="F10" s="481">
        <f>15138.46-F11</f>
        <v/>
      </c>
      <c r="G10" s="481">
        <f>14913.93-G11</f>
        <v/>
      </c>
      <c r="H10" s="481">
        <f>13837.89-H11</f>
        <v/>
      </c>
      <c r="I10" s="481">
        <f>16602.97-I11</f>
        <v/>
      </c>
      <c r="J10" s="481">
        <f>+I10*(1+U21)</f>
        <v/>
      </c>
      <c r="K10" s="481">
        <f>+J10*(1+V21)</f>
        <v/>
      </c>
      <c r="L10" s="481">
        <f>+K10*(1+W21)</f>
        <v/>
      </c>
      <c r="M10" s="481">
        <f>+L10*(1+X21)</f>
        <v/>
      </c>
      <c r="N10" s="481">
        <f>+M10*(1+Y21)</f>
        <v/>
      </c>
      <c r="O10" s="481">
        <f>+N10*(1+Z21)</f>
        <v/>
      </c>
      <c r="P10" s="535">
        <f>(M10/J10)^(1/3)-1</f>
        <v/>
      </c>
      <c r="Q10" s="6" t="n"/>
      <c r="R10" s="6" t="n"/>
      <c r="S10" s="6" t="n"/>
      <c r="T10" s="6" t="n"/>
      <c r="V10" s="155" t="n"/>
      <c r="W10" s="155" t="n"/>
      <c r="X10" s="155" t="n"/>
      <c r="Y10" s="155" t="n"/>
      <c r="Z10" s="155" t="n"/>
      <c r="AB10" s="481">
        <f>8215.03185567-AB11</f>
        <v/>
      </c>
      <c r="AC10" s="481">
        <f>I10-AB10</f>
        <v/>
      </c>
      <c r="AD10" s="481" t="n"/>
      <c r="AE10" s="481">
        <f>J10-AD10</f>
        <v/>
      </c>
      <c r="AF10" s="453">
        <f>AD10-AB10</f>
        <v/>
      </c>
      <c r="AG10" s="379">
        <f>AF10/AB10</f>
        <v/>
      </c>
      <c r="AH10" s="379">
        <f>AB10/I10</f>
        <v/>
      </c>
      <c r="AI10" s="379">
        <f>AD10/J10</f>
        <v/>
      </c>
    </row>
    <row r="11">
      <c r="A11" s="6" t="inlineStr">
        <is>
          <t>Hydro</t>
        </is>
      </c>
      <c r="B11" s="481" t="n"/>
      <c r="C11" s="481" t="n"/>
      <c r="D11" s="481" t="n"/>
      <c r="E11" s="481" t="n">
        <v>2481.193</v>
      </c>
      <c r="F11" s="481" t="n">
        <v>2476.242339</v>
      </c>
      <c r="G11" s="481" t="n">
        <v>2488.977829</v>
      </c>
      <c r="H11" s="481" t="n">
        <v>2310.80875228</v>
      </c>
      <c r="I11" s="481" t="n">
        <v>2955.365721</v>
      </c>
      <c r="J11" s="481">
        <f>+I11*(1+U22)</f>
        <v/>
      </c>
      <c r="K11" s="481">
        <f>+J11*(1+V22)</f>
        <v/>
      </c>
      <c r="L11" s="481">
        <f>+K11*(1+W22)</f>
        <v/>
      </c>
      <c r="M11" s="481">
        <f>+L11*(1+X22)</f>
        <v/>
      </c>
      <c r="N11" s="481">
        <f>+M11*(1+Y22)</f>
        <v/>
      </c>
      <c r="O11" s="481">
        <f>+N11*(1+Z22)</f>
        <v/>
      </c>
      <c r="P11" s="535">
        <f>(M11/J11)^(1/3)-1</f>
        <v/>
      </c>
      <c r="Q11" s="6" t="n"/>
      <c r="R11" s="6" t="n"/>
      <c r="S11" s="6" t="n"/>
      <c r="T11" s="6" t="n"/>
      <c r="V11" s="155" t="n"/>
      <c r="W11" s="155" t="n"/>
      <c r="X11" s="155" t="n"/>
      <c r="Y11" s="155" t="n"/>
      <c r="Z11" s="155" t="n"/>
      <c r="AB11" s="481" t="n">
        <v>1295.8125764</v>
      </c>
      <c r="AC11" s="481">
        <f>I11-AB11</f>
        <v/>
      </c>
      <c r="AD11" s="481" t="n"/>
      <c r="AE11" s="481">
        <f>J11-AD11</f>
        <v/>
      </c>
      <c r="AF11" s="453">
        <f>AD11-AB11</f>
        <v/>
      </c>
      <c r="AG11" s="379">
        <f>AF11/AB11</f>
        <v/>
      </c>
      <c r="AH11" s="379">
        <f>AB11/I11</f>
        <v/>
      </c>
      <c r="AI11" s="379">
        <f>AD11/J11</f>
        <v/>
      </c>
    </row>
    <row r="12">
      <c r="A12" s="6" t="inlineStr">
        <is>
          <t>Modern manufacturing service industry (mostly O&amp;M maintenance services)</t>
        </is>
      </c>
      <c r="B12" s="481" t="n"/>
      <c r="C12" s="481" t="n"/>
      <c r="D12" s="481" t="n"/>
      <c r="E12" s="481" t="n">
        <v>4910.24677817</v>
      </c>
      <c r="F12" s="481" t="n">
        <v>3963.32864164</v>
      </c>
      <c r="G12" s="481" t="n">
        <v>4238.08453029</v>
      </c>
      <c r="H12" s="481" t="n">
        <v>5383.5413</v>
      </c>
      <c r="I12" s="481" t="n">
        <v>7564.4065</v>
      </c>
      <c r="J12" s="481">
        <f>+I12*(1+U23)</f>
        <v/>
      </c>
      <c r="K12" s="481">
        <f>+J12*(1+V23)</f>
        <v/>
      </c>
      <c r="L12" s="481">
        <f>+K12*(1+W23)</f>
        <v/>
      </c>
      <c r="M12" s="481">
        <f>+L12*(1+X23)</f>
        <v/>
      </c>
      <c r="N12" s="481">
        <f>+M12*(1+Y23)</f>
        <v/>
      </c>
      <c r="O12" s="481">
        <f>+N12*(1+Z23)</f>
        <v/>
      </c>
      <c r="P12" s="535">
        <f>(M12/J12)^(1/3)-1</f>
        <v/>
      </c>
      <c r="Q12" s="535" t="n"/>
      <c r="R12" s="6" t="n"/>
      <c r="S12" s="6" t="n"/>
      <c r="T12" s="6" t="n"/>
      <c r="V12" s="155" t="n"/>
      <c r="W12" s="155" t="n"/>
      <c r="X12" s="155" t="n"/>
      <c r="Y12" s="155" t="n"/>
      <c r="Z12" s="155" t="n"/>
      <c r="AB12" s="481" t="n">
        <v>3521.05249682</v>
      </c>
      <c r="AC12" s="481">
        <f>I12-AB12</f>
        <v/>
      </c>
      <c r="AD12" s="481" t="n"/>
      <c r="AE12" s="481">
        <f>J12-AD12</f>
        <v/>
      </c>
      <c r="AF12" s="453">
        <f>AD12-AB12</f>
        <v/>
      </c>
      <c r="AG12" s="379">
        <f>AF12/AB12</f>
        <v/>
      </c>
      <c r="AH12" s="379">
        <f>AB12/I12</f>
        <v/>
      </c>
      <c r="AI12" s="379">
        <f>AD12/J12</f>
        <v/>
      </c>
    </row>
    <row r="13">
      <c r="A13" s="6" t="inlineStr">
        <is>
          <t>Others (Engineering and others)</t>
        </is>
      </c>
      <c r="B13" s="481" t="n"/>
      <c r="C13" s="481" t="n"/>
      <c r="D13" s="481" t="n"/>
      <c r="E13" s="481">
        <f>+E14-SUM(E6,E10:E12)</f>
        <v/>
      </c>
      <c r="F13" s="481">
        <f>+F14-SUM(F6,F10:F12)</f>
        <v/>
      </c>
      <c r="G13" s="481">
        <f>+G14-SUM(G6,G10:G12)</f>
        <v/>
      </c>
      <c r="H13" s="481">
        <f>+H14-SUM(H6,H10:H12)</f>
        <v/>
      </c>
      <c r="I13" s="481">
        <f>+I14-SUM(I6,I10:I12)</f>
        <v/>
      </c>
      <c r="J13" s="481">
        <f>+I13*(1+U24)</f>
        <v/>
      </c>
      <c r="K13" s="481">
        <f>+J13*(1+V24)</f>
        <v/>
      </c>
      <c r="L13" s="481">
        <f>+K13*(1+W24)</f>
        <v/>
      </c>
      <c r="M13" s="481">
        <f>+L13*(1+X24)</f>
        <v/>
      </c>
      <c r="N13" s="481">
        <f>+M13*(1+Y24)</f>
        <v/>
      </c>
      <c r="O13" s="481">
        <f>+N13*(1+Z24)</f>
        <v/>
      </c>
      <c r="P13" s="535">
        <f>(M13/J13)^(1/3)-1</f>
        <v/>
      </c>
      <c r="Q13" s="6" t="n"/>
      <c r="R13" s="6" t="n"/>
      <c r="S13" s="6" t="n"/>
      <c r="T13" s="6" t="n"/>
      <c r="AB13" s="481">
        <f>+AB14-SUM(AB6,AB10:AB12)</f>
        <v/>
      </c>
      <c r="AC13" s="481">
        <f>I13-AB13</f>
        <v/>
      </c>
      <c r="AD13" s="481" t="n"/>
      <c r="AE13" s="481">
        <f>J13-AD13</f>
        <v/>
      </c>
      <c r="AF13" s="453">
        <f>AD13-AB13</f>
        <v/>
      </c>
      <c r="AG13" s="379">
        <f>AF13/AB13</f>
        <v/>
      </c>
      <c r="AH13" s="379">
        <f>AB13/I13</f>
        <v/>
      </c>
      <c r="AI13" s="379">
        <f>AD13/J13</f>
        <v/>
      </c>
    </row>
    <row r="14">
      <c r="A14" s="21" t="inlineStr">
        <is>
          <t>Total</t>
        </is>
      </c>
      <c r="B14" s="537" t="n"/>
      <c r="C14" s="537" t="n"/>
      <c r="D14" s="537" t="n"/>
      <c r="E14" s="537">
        <f>Model!P4</f>
        <v/>
      </c>
      <c r="F14" s="537">
        <f>Model!Q4</f>
        <v/>
      </c>
      <c r="G14" s="537">
        <f>Model!R4</f>
        <v/>
      </c>
      <c r="H14" s="537">
        <f>Model!S4</f>
        <v/>
      </c>
      <c r="I14" s="537">
        <f>Model!T4</f>
        <v/>
      </c>
      <c r="J14" s="537">
        <f>+SUM(J6,J10:J13)</f>
        <v/>
      </c>
      <c r="K14" s="537">
        <f>+SUM(K6,K10:K13)</f>
        <v/>
      </c>
      <c r="L14" s="537">
        <f>+SUM(L6,L10:L13)</f>
        <v/>
      </c>
      <c r="M14" s="537">
        <f>+SUM(M6,M10:M13)</f>
        <v/>
      </c>
      <c r="N14" s="537">
        <f>+SUM(N6,N10:N13)</f>
        <v/>
      </c>
      <c r="O14" s="537">
        <f>+SUM(O6,O10:O13)</f>
        <v/>
      </c>
      <c r="P14" s="535">
        <f>(M14/J14)^(1/3)-1</f>
        <v/>
      </c>
      <c r="Q14" s="535" t="n"/>
      <c r="R14" s="6" t="n"/>
      <c r="S14" s="6" t="n"/>
      <c r="T14" s="6" t="n"/>
      <c r="AB14" s="537">
        <f>Model!BQ4</f>
        <v/>
      </c>
      <c r="AC14" s="537">
        <f>I14-AB14</f>
        <v/>
      </c>
      <c r="AD14" s="537" t="n"/>
      <c r="AE14" s="537">
        <f>J14-AD14</f>
        <v/>
      </c>
      <c r="AF14" s="446">
        <f>AD14-AB14</f>
        <v/>
      </c>
      <c r="AG14" s="381">
        <f>AF14/AB14</f>
        <v/>
      </c>
      <c r="AH14" s="381">
        <f>AB14/I14</f>
        <v/>
      </c>
      <c r="AI14" s="381">
        <f>AD14/J14</f>
        <v/>
      </c>
    </row>
    <row r="15">
      <c r="A15" s="28" t="n"/>
      <c r="B15" s="538" t="n"/>
      <c r="C15" s="538" t="n"/>
      <c r="D15" s="538" t="n"/>
      <c r="E15" s="538" t="n"/>
      <c r="F15" s="234" t="n"/>
      <c r="G15" s="234" t="n"/>
      <c r="H15" s="234" t="n"/>
      <c r="I15" s="234" t="n"/>
      <c r="J15" s="234" t="n"/>
      <c r="K15" s="234" t="n"/>
      <c r="L15" s="234" t="n"/>
      <c r="M15" s="234" t="n"/>
      <c r="N15" s="234" t="n"/>
      <c r="O15" s="234" t="n"/>
      <c r="P15" s="535" t="n"/>
      <c r="Q15" s="6" t="n"/>
      <c r="R15" s="6" t="n"/>
      <c r="S15" s="6" t="n"/>
      <c r="T15" s="6" t="n"/>
      <c r="AB15" s="234" t="n"/>
      <c r="AC15" s="234" t="n"/>
      <c r="AD15" s="234" t="n"/>
      <c r="AE15" s="234" t="n"/>
      <c r="AF15" s="446" t="n"/>
      <c r="AG15" s="381" t="n"/>
      <c r="AH15" s="381" t="n"/>
      <c r="AI15" s="381" t="n"/>
    </row>
    <row r="16">
      <c r="A16" s="433" t="inlineStr">
        <is>
          <t>YoY growth</t>
        </is>
      </c>
      <c r="B16" s="481" t="n"/>
      <c r="C16" s="481" t="n"/>
      <c r="D16" s="481" t="n"/>
      <c r="E16" s="481" t="n"/>
      <c r="F16" s="481" t="n"/>
      <c r="G16" s="481" t="n"/>
      <c r="H16" s="481" t="n"/>
      <c r="I16" s="481" t="n"/>
      <c r="J16" s="73" t="n"/>
      <c r="K16" s="73" t="n"/>
      <c r="L16" s="73" t="n"/>
      <c r="M16" s="73" t="n"/>
      <c r="N16" s="73" t="n"/>
      <c r="O16" s="73" t="n"/>
      <c r="AB16" s="481" t="n"/>
      <c r="AC16" s="481" t="n"/>
      <c r="AD16" s="481" t="n"/>
      <c r="AE16" s="481" t="n"/>
    </row>
    <row r="17">
      <c r="A17" s="6">
        <f>+A6</f>
        <v/>
      </c>
      <c r="B17" s="136" t="n"/>
      <c r="C17" s="136" t="n"/>
      <c r="D17" s="136" t="n"/>
      <c r="E17" s="136" t="n"/>
      <c r="F17" s="136">
        <f>+F6/E6-1</f>
        <v/>
      </c>
      <c r="G17" s="136">
        <f>+G6/F6-1</f>
        <v/>
      </c>
      <c r="H17" s="136">
        <f>+H6/G6-1</f>
        <v/>
      </c>
      <c r="I17" s="136">
        <f>+I6/H6-1</f>
        <v/>
      </c>
      <c r="J17" s="136">
        <f>+J6/I6-1</f>
        <v/>
      </c>
      <c r="K17" s="136">
        <f>+K6/J6-1</f>
        <v/>
      </c>
      <c r="L17" s="136">
        <f>+L6/K6-1</f>
        <v/>
      </c>
      <c r="M17" s="136">
        <f>+M6/L6-1</f>
        <v/>
      </c>
      <c r="N17" s="136">
        <f>+N6/M6-1</f>
        <v/>
      </c>
      <c r="O17" s="136">
        <f>+O6/N6-1</f>
        <v/>
      </c>
      <c r="U17" s="37" t="inlineStr">
        <is>
          <t>do not delete</t>
        </is>
      </c>
      <c r="AB17" s="136" t="n"/>
      <c r="AC17" s="136" t="n"/>
      <c r="AD17" s="136" t="n"/>
      <c r="AE17" s="136">
        <f>+AE6/AC6-1</f>
        <v/>
      </c>
    </row>
    <row r="18">
      <c r="A18" s="6">
        <f>A7</f>
        <v/>
      </c>
      <c r="B18" s="481" t="n"/>
      <c r="C18" s="481" t="n"/>
      <c r="D18" s="481" t="n"/>
      <c r="E18" s="481" t="n"/>
      <c r="F18" s="155">
        <f>+F7/E7-1</f>
        <v/>
      </c>
      <c r="G18" s="155">
        <f>+G7/F7-1</f>
        <v/>
      </c>
      <c r="H18" s="155">
        <f>+H7/G7-1</f>
        <v/>
      </c>
      <c r="I18" s="155">
        <f>+I7/H7-1</f>
        <v/>
      </c>
      <c r="J18" s="139" t="n">
        <v>0.1</v>
      </c>
      <c r="K18" s="139" t="n">
        <v>0.1</v>
      </c>
      <c r="L18" s="139" t="n">
        <v>0.5554677767934613</v>
      </c>
      <c r="M18" s="139" t="n">
        <v>0.2171268948386422</v>
      </c>
      <c r="N18" s="139" t="n">
        <v>0.1541306568987375</v>
      </c>
      <c r="O18" s="139">
        <f>++N18</f>
        <v/>
      </c>
      <c r="P18" s="539" t="inlineStr">
        <is>
          <t>refer to our power equipment database</t>
        </is>
      </c>
      <c r="Q18" s="6" t="n"/>
      <c r="R18" s="139" t="n">
        <v>0.1</v>
      </c>
      <c r="S18" s="6" t="n"/>
      <c r="T18" s="6" t="n"/>
      <c r="U18" s="139">
        <f>J18+Sensitvity!J26</f>
        <v/>
      </c>
      <c r="V18" s="139">
        <f>K18+Sensitvity!A30</f>
        <v/>
      </c>
      <c r="W18" s="139">
        <f>L18+Sensitvity!A33</f>
        <v/>
      </c>
      <c r="X18" s="139">
        <f>M18+Sensitvity!A36</f>
        <v/>
      </c>
      <c r="Y18" s="139">
        <f>N18+Sensitvity!A39</f>
        <v/>
      </c>
      <c r="Z18" s="139">
        <f>O18+Sensitvity!A42</f>
        <v/>
      </c>
      <c r="AB18" s="155" t="n"/>
      <c r="AC18" s="155" t="n"/>
      <c r="AD18" s="155" t="n"/>
      <c r="AE18" s="155">
        <f>+AE7/AC7-1</f>
        <v/>
      </c>
    </row>
    <row r="19">
      <c r="A19" s="6">
        <f>A8</f>
        <v/>
      </c>
      <c r="B19" s="481" t="n"/>
      <c r="C19" s="481" t="n"/>
      <c r="D19" s="481" t="n"/>
      <c r="E19" s="481" t="n"/>
      <c r="F19" s="155">
        <f>+F8/E8-1</f>
        <v/>
      </c>
      <c r="G19" s="155">
        <f>+G8/F8-1</f>
        <v/>
      </c>
      <c r="H19" s="155">
        <f>+H8/G8-1</f>
        <v/>
      </c>
      <c r="I19" s="155">
        <f>+I8/H8-1</f>
        <v/>
      </c>
      <c r="J19" s="139" t="n">
        <v>0.3</v>
      </c>
      <c r="K19" s="139">
        <f>J19</f>
        <v/>
      </c>
      <c r="L19" s="139" t="n">
        <v>0.25</v>
      </c>
      <c r="M19" s="139">
        <f>L19</f>
        <v/>
      </c>
      <c r="N19" s="139">
        <f>M19</f>
        <v/>
      </c>
      <c r="O19" s="139">
        <f>+N19</f>
        <v/>
      </c>
      <c r="P19" s="535" t="n"/>
      <c r="Q19" s="157" t="n"/>
      <c r="R19" s="157" t="n"/>
      <c r="S19" s="157" t="n"/>
      <c r="T19" s="157" t="n"/>
      <c r="U19" s="139">
        <f>J19+Sensitvity!J27</f>
        <v/>
      </c>
      <c r="V19" s="139">
        <f>K19+Sensitvity!J30</f>
        <v/>
      </c>
      <c r="W19" s="139">
        <f>L19+Sensitvity!J33</f>
        <v/>
      </c>
      <c r="X19" s="139">
        <f>M19+Sensitvity!J36</f>
        <v/>
      </c>
      <c r="Y19" s="139">
        <f>N19+Sensitvity!J39</f>
        <v/>
      </c>
      <c r="Z19" s="139">
        <f>O19+Sensitvity!J42</f>
        <v/>
      </c>
      <c r="AB19" s="155" t="n"/>
      <c r="AC19" s="155" t="n"/>
      <c r="AD19" s="155" t="n"/>
      <c r="AE19" s="155">
        <f>+AE8/AC8-1</f>
        <v/>
      </c>
    </row>
    <row r="20">
      <c r="A20" s="6">
        <f>A9</f>
        <v/>
      </c>
      <c r="B20" s="481" t="n"/>
      <c r="C20" s="481" t="n"/>
      <c r="D20" s="481" t="n"/>
      <c r="E20" s="481" t="n"/>
      <c r="F20" s="155">
        <f>+F9/E9-1</f>
        <v/>
      </c>
      <c r="G20" s="155">
        <f>+G9/F9-1</f>
        <v/>
      </c>
      <c r="H20" s="155">
        <f>+H9/G9-1</f>
        <v/>
      </c>
      <c r="I20" s="155">
        <f>+I9/H9-1</f>
        <v/>
      </c>
      <c r="J20" s="139" t="n">
        <v>0.05</v>
      </c>
      <c r="K20" s="139" t="n">
        <v>0.05</v>
      </c>
      <c r="L20" s="139">
        <f>K20</f>
        <v/>
      </c>
      <c r="M20" s="139">
        <f>L20</f>
        <v/>
      </c>
      <c r="N20" s="139">
        <f>M20</f>
        <v/>
      </c>
      <c r="O20" s="139">
        <f>+N20</f>
        <v/>
      </c>
      <c r="P20" s="535" t="n"/>
      <c r="Q20" s="157" t="n"/>
      <c r="R20" s="157" t="n"/>
      <c r="S20" s="157" t="n"/>
      <c r="T20" s="157" t="n"/>
      <c r="U20" s="139">
        <f>J20+Sensitvity!S27</f>
        <v/>
      </c>
      <c r="V20" s="139">
        <f>K20+Sensitvity!S30</f>
        <v/>
      </c>
      <c r="W20" s="139">
        <f>L20+Sensitvity!S33</f>
        <v/>
      </c>
      <c r="X20" s="139">
        <f>M20+Sensitvity!S36</f>
        <v/>
      </c>
      <c r="Y20" s="139">
        <f>N20+Sensitvity!S39</f>
        <v/>
      </c>
      <c r="Z20" s="139">
        <f>O20+Sensitvity!S42</f>
        <v/>
      </c>
      <c r="AB20" s="155" t="n"/>
      <c r="AC20" s="155" t="n"/>
      <c r="AD20" s="155" t="n"/>
      <c r="AE20" s="155">
        <f>+AE9/AC9-1</f>
        <v/>
      </c>
    </row>
    <row r="21">
      <c r="A21" s="6">
        <f>+A10</f>
        <v/>
      </c>
      <c r="B21" s="136" t="n"/>
      <c r="C21" s="136" t="n"/>
      <c r="D21" s="136" t="n"/>
      <c r="E21" s="136" t="n"/>
      <c r="F21" s="136">
        <f>+F10/E10-1</f>
        <v/>
      </c>
      <c r="G21" s="136">
        <f>+G10/F10-1</f>
        <v/>
      </c>
      <c r="H21" s="136">
        <f>+H10/G10-1</f>
        <v/>
      </c>
      <c r="I21" s="136">
        <f>+I10/H10-1</f>
        <v/>
      </c>
      <c r="J21" s="139" t="n">
        <v>0.4</v>
      </c>
      <c r="K21" s="139" t="n">
        <v>0.1</v>
      </c>
      <c r="L21" s="139">
        <f>K21+5%</f>
        <v/>
      </c>
      <c r="M21" s="139">
        <f>L21</f>
        <v/>
      </c>
      <c r="N21" s="139">
        <f>M21</f>
        <v/>
      </c>
      <c r="O21" s="139">
        <f>+N21</f>
        <v/>
      </c>
      <c r="P21" s="539" t="n"/>
      <c r="Q21" s="158" t="n"/>
      <c r="R21" s="158" t="n"/>
      <c r="S21" s="158" t="n"/>
      <c r="T21" s="158" t="n"/>
      <c r="U21" s="139">
        <f>J21+Sensitvity!AB27</f>
        <v/>
      </c>
      <c r="V21" s="139">
        <f>K21+Sensitvity!AB30</f>
        <v/>
      </c>
      <c r="W21" s="139">
        <f>L21+Sensitvity!AB33</f>
        <v/>
      </c>
      <c r="X21" s="139">
        <f>M21+Sensitvity!AB36</f>
        <v/>
      </c>
      <c r="Y21" s="139">
        <f>N21+Sensitvity!AB39</f>
        <v/>
      </c>
      <c r="Z21" s="139">
        <f>O21+Sensitvity!AB42</f>
        <v/>
      </c>
      <c r="AB21" s="136" t="n"/>
      <c r="AC21" s="136" t="n"/>
      <c r="AD21" s="136" t="n"/>
      <c r="AE21" s="136">
        <f>+AE10/AC10-1</f>
        <v/>
      </c>
    </row>
    <row r="22">
      <c r="A22" s="6">
        <f>+A11</f>
        <v/>
      </c>
      <c r="B22" s="136" t="n"/>
      <c r="C22" s="136" t="n"/>
      <c r="D22" s="136" t="n"/>
      <c r="E22" s="136" t="n"/>
      <c r="F22" s="136">
        <f>+F11/E11-1</f>
        <v/>
      </c>
      <c r="G22" s="136">
        <f>+G11/F11-1</f>
        <v/>
      </c>
      <c r="H22" s="136">
        <f>+H11/G11-1</f>
        <v/>
      </c>
      <c r="I22" s="136">
        <f>+I11/H11-1</f>
        <v/>
      </c>
      <c r="J22" s="139" t="n">
        <v>0.1</v>
      </c>
      <c r="K22" s="139">
        <f>J22</f>
        <v/>
      </c>
      <c r="L22" s="139">
        <f>K22</f>
        <v/>
      </c>
      <c r="M22" s="139">
        <f>L22</f>
        <v/>
      </c>
      <c r="N22" s="139">
        <f>M22</f>
        <v/>
      </c>
      <c r="O22" s="139">
        <f>+N22</f>
        <v/>
      </c>
      <c r="P22" s="539" t="inlineStr">
        <is>
          <t>Yarlung Zangbo hydropower project start to contribute to revenue from 2030-35</t>
        </is>
      </c>
      <c r="Q22" s="158" t="n"/>
      <c r="R22" s="158" t="n"/>
      <c r="S22" s="158" t="n"/>
      <c r="T22" s="158" t="n"/>
      <c r="U22" s="139">
        <f>J22+Sensitvity!AK27</f>
        <v/>
      </c>
      <c r="V22" s="139">
        <f>K22+Sensitvity!AK30</f>
        <v/>
      </c>
      <c r="W22" s="139">
        <f>L22+Sensitvity!AK33</f>
        <v/>
      </c>
      <c r="X22" s="139">
        <f>M22+Sensitvity!AK36</f>
        <v/>
      </c>
      <c r="Y22" s="139">
        <f>N22+Sensitvity!AK39</f>
        <v/>
      </c>
      <c r="Z22" s="139">
        <f>O22+Sensitvity!AK42</f>
        <v/>
      </c>
      <c r="AB22" s="136" t="n"/>
      <c r="AC22" s="136" t="n"/>
      <c r="AD22" s="136" t="n"/>
      <c r="AE22" s="136">
        <f>+AE11/AC11-1</f>
        <v/>
      </c>
    </row>
    <row r="23">
      <c r="A23" s="6">
        <f>+A12</f>
        <v/>
      </c>
      <c r="B23" s="136" t="n"/>
      <c r="C23" s="136" t="n"/>
      <c r="D23" s="136" t="n"/>
      <c r="E23" s="136" t="n"/>
      <c r="F23" s="136">
        <f>+F12/E12-1</f>
        <v/>
      </c>
      <c r="G23" s="136">
        <f>+G12/F12-1</f>
        <v/>
      </c>
      <c r="H23" s="136">
        <f>+H12/G12-1</f>
        <v/>
      </c>
      <c r="I23" s="136">
        <f>+I12/H12-1</f>
        <v/>
      </c>
      <c r="J23" s="139" t="n">
        <v>0.3160334194199286</v>
      </c>
      <c r="K23" s="139" t="n">
        <v>0.2758336703048243</v>
      </c>
      <c r="L23" s="139" t="n">
        <v>0.2523696339731005</v>
      </c>
      <c r="M23" s="139" t="n">
        <v>0.2197460338334321</v>
      </c>
      <c r="N23" s="139" t="n">
        <v>0.1962577537252572</v>
      </c>
      <c r="O23" s="139">
        <f>+N23</f>
        <v/>
      </c>
      <c r="P23" s="539" t="inlineStr">
        <is>
          <t>refer to our power equipment database</t>
        </is>
      </c>
      <c r="Q23" s="158" t="n"/>
      <c r="R23" s="158" t="n"/>
      <c r="S23" s="158" t="n"/>
      <c r="T23" s="158" t="n"/>
      <c r="U23" s="139">
        <f>J23+Sensitvity!BC27</f>
        <v/>
      </c>
      <c r="V23" s="139">
        <f>K23+Sensitvity!BC30</f>
        <v/>
      </c>
      <c r="W23" s="139">
        <f>L23+Sensitvity!BC33</f>
        <v/>
      </c>
      <c r="X23" s="139">
        <f>M23+Sensitvity!BC36</f>
        <v/>
      </c>
      <c r="Y23" s="139">
        <f>N23+Sensitvity!BC39</f>
        <v/>
      </c>
      <c r="Z23" s="139">
        <f>O23+Sensitvity!BC42</f>
        <v/>
      </c>
      <c r="AB23" s="136" t="n"/>
      <c r="AC23" s="136" t="n"/>
      <c r="AD23" s="136" t="n"/>
      <c r="AE23" s="136">
        <f>+AE12/AC12-1</f>
        <v/>
      </c>
    </row>
    <row r="24">
      <c r="A24" s="6">
        <f>+A13</f>
        <v/>
      </c>
      <c r="B24" s="136" t="n"/>
      <c r="C24" s="136" t="n"/>
      <c r="D24" s="136" t="n"/>
      <c r="E24" s="136" t="n"/>
      <c r="F24" s="136">
        <f>+F13/E13-1</f>
        <v/>
      </c>
      <c r="G24" s="136">
        <f>+G13/F13-1</f>
        <v/>
      </c>
      <c r="H24" s="136">
        <f>+H13/G13-1</f>
        <v/>
      </c>
      <c r="I24" s="136">
        <f>+I13/H13-1</f>
        <v/>
      </c>
      <c r="J24" s="110" t="n">
        <v>0.03</v>
      </c>
      <c r="K24" s="110">
        <f>J24</f>
        <v/>
      </c>
      <c r="L24" s="110">
        <f>K24</f>
        <v/>
      </c>
      <c r="M24" s="110">
        <f>L24</f>
        <v/>
      </c>
      <c r="N24" s="110">
        <f>M24</f>
        <v/>
      </c>
      <c r="O24" s="139">
        <f>+N24</f>
        <v/>
      </c>
      <c r="P24" s="540" t="inlineStr">
        <is>
          <t>organic growth</t>
        </is>
      </c>
      <c r="U24" s="139">
        <f>J24+Sensitvity!AT27</f>
        <v/>
      </c>
      <c r="V24" s="139">
        <f>K24+Sensitvity!AT30</f>
        <v/>
      </c>
      <c r="W24" s="139">
        <f>L24+Sensitvity!AT33</f>
        <v/>
      </c>
      <c r="X24" s="139">
        <f>M24+Sensitvity!AT36</f>
        <v/>
      </c>
      <c r="Y24" s="139">
        <f>N24+Sensitvity!AT39</f>
        <v/>
      </c>
      <c r="Z24" s="139">
        <f>O24+Sensitvity!AT42</f>
        <v/>
      </c>
      <c r="AB24" s="136" t="n"/>
      <c r="AC24" s="136" t="n"/>
      <c r="AD24" s="136" t="n"/>
      <c r="AE24" s="136">
        <f>+AE13/AC13-1</f>
        <v/>
      </c>
    </row>
    <row r="25">
      <c r="A25" s="21" t="inlineStr">
        <is>
          <t>Total</t>
        </is>
      </c>
      <c r="B25" s="134" t="n"/>
      <c r="C25" s="134" t="n"/>
      <c r="D25" s="134" t="n"/>
      <c r="E25" s="134" t="n"/>
      <c r="F25" s="134">
        <f>F14/E14-1</f>
        <v/>
      </c>
      <c r="G25" s="134">
        <f>G14/F14-1</f>
        <v/>
      </c>
      <c r="H25" s="134">
        <f>H14/G14-1</f>
        <v/>
      </c>
      <c r="I25" s="134">
        <f>I14/H14-1</f>
        <v/>
      </c>
      <c r="J25" s="134">
        <f>J14/I14-1</f>
        <v/>
      </c>
      <c r="K25" s="134">
        <f>K14/J14-1</f>
        <v/>
      </c>
      <c r="L25" s="134">
        <f>L14/K14-1</f>
        <v/>
      </c>
      <c r="M25" s="134">
        <f>M14/L14-1</f>
        <v/>
      </c>
      <c r="N25" s="134">
        <f>N14/M14-1</f>
        <v/>
      </c>
      <c r="O25" s="134">
        <f>O14/N14-1</f>
        <v/>
      </c>
      <c r="P25" s="535" t="n"/>
      <c r="Q25" s="138" t="n"/>
      <c r="R25" s="138" t="n"/>
      <c r="S25" s="138" t="n"/>
      <c r="T25" s="138" t="n"/>
      <c r="U25" s="506" t="n"/>
      <c r="V25" s="506" t="n"/>
      <c r="AB25" s="134" t="n"/>
      <c r="AC25" s="134" t="n"/>
      <c r="AD25" s="134" t="n"/>
      <c r="AE25" s="134">
        <f>AE14/AC14-1</f>
        <v/>
      </c>
    </row>
    <row r="26">
      <c r="B26" s="481" t="n"/>
      <c r="C26" s="481" t="n"/>
      <c r="D26" s="481" t="n"/>
      <c r="E26" s="481" t="n"/>
      <c r="F26" s="481" t="n"/>
      <c r="G26" s="481" t="n"/>
      <c r="H26" s="481" t="n"/>
      <c r="I26" s="481" t="n"/>
      <c r="J26" s="481" t="n"/>
      <c r="K26" s="481" t="n"/>
      <c r="L26" s="481" t="n"/>
      <c r="M26" s="481" t="n"/>
      <c r="N26" s="481" t="n"/>
      <c r="O26" s="481" t="n"/>
      <c r="P26" s="263" t="n"/>
      <c r="AB26" s="481" t="n"/>
      <c r="AC26" s="481" t="n"/>
      <c r="AD26" s="481" t="n"/>
      <c r="AE26" s="481" t="n"/>
    </row>
    <row r="27">
      <c r="A27" s="433" t="inlineStr">
        <is>
          <t>Rev % of total</t>
        </is>
      </c>
      <c r="B27" s="481" t="n"/>
      <c r="C27" s="481" t="n"/>
      <c r="D27" s="481" t="n"/>
      <c r="E27" s="481" t="n"/>
      <c r="F27" s="481" t="n"/>
      <c r="G27" s="481" t="n"/>
      <c r="H27" s="136" t="n"/>
      <c r="I27" s="136" t="n"/>
      <c r="J27" s="136" t="n"/>
      <c r="K27" s="136" t="n"/>
      <c r="L27" s="136" t="n"/>
      <c r="M27" s="136" t="n"/>
      <c r="N27" s="136" t="n"/>
      <c r="O27" s="136" t="n"/>
      <c r="AB27" s="136" t="n"/>
      <c r="AC27" s="136" t="n"/>
      <c r="AD27" s="136" t="n"/>
      <c r="AE27" s="136" t="n"/>
    </row>
    <row r="28">
      <c r="A28" s="6">
        <f>A17</f>
        <v/>
      </c>
      <c r="B28" s="136" t="n"/>
      <c r="C28" s="136" t="n"/>
      <c r="D28" s="136" t="n"/>
      <c r="E28" s="136">
        <f>E6/E$14</f>
        <v/>
      </c>
      <c r="F28" s="136">
        <f>F6/F$14</f>
        <v/>
      </c>
      <c r="G28" s="136">
        <f>G6/G$14</f>
        <v/>
      </c>
      <c r="H28" s="136">
        <f>H6/H$14</f>
        <v/>
      </c>
      <c r="I28" s="136">
        <f>I6/I$14</f>
        <v/>
      </c>
      <c r="J28" s="136">
        <f>J6/J$14</f>
        <v/>
      </c>
      <c r="K28" s="136">
        <f>K6/K$14</f>
        <v/>
      </c>
      <c r="L28" s="136">
        <f>L6/L$14</f>
        <v/>
      </c>
      <c r="M28" s="136">
        <f>M6/M$14</f>
        <v/>
      </c>
      <c r="N28" s="136">
        <f>N6/N$14</f>
        <v/>
      </c>
      <c r="O28" s="136">
        <f>O6/O$14</f>
        <v/>
      </c>
      <c r="AB28" s="136">
        <f>AB6/AB$14</f>
        <v/>
      </c>
      <c r="AC28" s="136">
        <f>AC6/AC$14</f>
        <v/>
      </c>
      <c r="AD28" s="136" t="n"/>
      <c r="AE28" s="136">
        <f>AE6/AE$14</f>
        <v/>
      </c>
    </row>
    <row r="29">
      <c r="A29" s="6">
        <f>A7</f>
        <v/>
      </c>
      <c r="B29" s="136" t="n"/>
      <c r="C29" s="136" t="n"/>
      <c r="D29" s="136" t="n"/>
      <c r="E29" s="136">
        <f>E7/E$14</f>
        <v/>
      </c>
      <c r="F29" s="136">
        <f>F7/F$14</f>
        <v/>
      </c>
      <c r="G29" s="136">
        <f>G7/G$14</f>
        <v/>
      </c>
      <c r="H29" s="136">
        <f>H7/H$14</f>
        <v/>
      </c>
      <c r="I29" s="136">
        <f>I7/I$14</f>
        <v/>
      </c>
      <c r="J29" s="136">
        <f>J7/J$14</f>
        <v/>
      </c>
      <c r="K29" s="136">
        <f>K7/K$14</f>
        <v/>
      </c>
      <c r="L29" s="136">
        <f>L7/L$14</f>
        <v/>
      </c>
      <c r="M29" s="136">
        <f>M7/M$14</f>
        <v/>
      </c>
      <c r="N29" s="136">
        <f>N7/N$14</f>
        <v/>
      </c>
      <c r="O29" s="136">
        <f>O7/O$14</f>
        <v/>
      </c>
      <c r="P29" s="264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B29" s="136">
        <f>AB7/AB$14</f>
        <v/>
      </c>
      <c r="AC29" s="136">
        <f>AC7/AC$14</f>
        <v/>
      </c>
      <c r="AD29" s="136" t="n"/>
      <c r="AE29" s="136">
        <f>AE7/AE$14</f>
        <v/>
      </c>
    </row>
    <row r="30">
      <c r="A30" s="6">
        <f>A8</f>
        <v/>
      </c>
      <c r="B30" s="136" t="n"/>
      <c r="C30" s="136" t="n"/>
      <c r="D30" s="136" t="n"/>
      <c r="E30" s="136">
        <f>E8/E$14</f>
        <v/>
      </c>
      <c r="F30" s="136">
        <f>F8/F$14</f>
        <v/>
      </c>
      <c r="G30" s="136">
        <f>G8/G$14</f>
        <v/>
      </c>
      <c r="H30" s="136">
        <f>H8/H$14</f>
        <v/>
      </c>
      <c r="I30" s="136">
        <f>I8/I$14</f>
        <v/>
      </c>
      <c r="J30" s="136">
        <f>J8/J$14</f>
        <v/>
      </c>
      <c r="K30" s="136">
        <f>K8/K$14</f>
        <v/>
      </c>
      <c r="L30" s="136">
        <f>L8/L$14</f>
        <v/>
      </c>
      <c r="M30" s="136">
        <f>M8/M$14</f>
        <v/>
      </c>
      <c r="N30" s="136">
        <f>N8/N$14</f>
        <v/>
      </c>
      <c r="O30" s="136">
        <f>O8/O$14</f>
        <v/>
      </c>
      <c r="P30" s="264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B30" s="136">
        <f>AB8/AB$14</f>
        <v/>
      </c>
      <c r="AC30" s="136">
        <f>AC8/AC$14</f>
        <v/>
      </c>
      <c r="AD30" s="136" t="n"/>
      <c r="AE30" s="136">
        <f>AE8/AE$14</f>
        <v/>
      </c>
    </row>
    <row r="31">
      <c r="A31" s="6">
        <f>A9</f>
        <v/>
      </c>
      <c r="B31" s="136" t="n"/>
      <c r="C31" s="136" t="n"/>
      <c r="D31" s="136" t="n"/>
      <c r="E31" s="136">
        <f>E9/E$14</f>
        <v/>
      </c>
      <c r="F31" s="136">
        <f>F9/F$14</f>
        <v/>
      </c>
      <c r="G31" s="136">
        <f>G9/G$14</f>
        <v/>
      </c>
      <c r="H31" s="136">
        <f>H9/H$14</f>
        <v/>
      </c>
      <c r="I31" s="136">
        <f>I9/I$14</f>
        <v/>
      </c>
      <c r="J31" s="136">
        <f>J9/J$14</f>
        <v/>
      </c>
      <c r="K31" s="136">
        <f>K9/K$14</f>
        <v/>
      </c>
      <c r="L31" s="136">
        <f>L9/L$14</f>
        <v/>
      </c>
      <c r="M31" s="136">
        <f>M9/M$14</f>
        <v/>
      </c>
      <c r="N31" s="136">
        <f>N9/N$14</f>
        <v/>
      </c>
      <c r="O31" s="136">
        <f>O9/O$14</f>
        <v/>
      </c>
      <c r="P31" s="264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B31" s="136">
        <f>AB9/AB$14</f>
        <v/>
      </c>
      <c r="AC31" s="136">
        <f>AC9/AC$14</f>
        <v/>
      </c>
      <c r="AD31" s="136" t="n"/>
      <c r="AE31" s="136">
        <f>AE9/AE$14</f>
        <v/>
      </c>
    </row>
    <row r="32">
      <c r="A32" s="6">
        <f>A21</f>
        <v/>
      </c>
      <c r="B32" s="136" t="n"/>
      <c r="C32" s="136" t="n"/>
      <c r="D32" s="136" t="n"/>
      <c r="E32" s="136">
        <f>E10/E$14</f>
        <v/>
      </c>
      <c r="F32" s="136">
        <f>F10/F$14</f>
        <v/>
      </c>
      <c r="G32" s="136">
        <f>G10/G$14</f>
        <v/>
      </c>
      <c r="H32" s="136">
        <f>H10/H$14</f>
        <v/>
      </c>
      <c r="I32" s="136">
        <f>I10/I$14</f>
        <v/>
      </c>
      <c r="J32" s="136">
        <f>J10/J$14</f>
        <v/>
      </c>
      <c r="K32" s="136">
        <f>K10/K$14</f>
        <v/>
      </c>
      <c r="L32" s="136">
        <f>L10/L$14</f>
        <v/>
      </c>
      <c r="M32" s="136">
        <f>M10/M$14</f>
        <v/>
      </c>
      <c r="N32" s="136">
        <f>N10/N$14</f>
        <v/>
      </c>
      <c r="O32" s="136">
        <f>O10/O$14</f>
        <v/>
      </c>
      <c r="P32" s="264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B32" s="136">
        <f>AB10/AB$14</f>
        <v/>
      </c>
      <c r="AC32" s="136">
        <f>AC10/AC$14</f>
        <v/>
      </c>
      <c r="AD32" s="136" t="n"/>
      <c r="AE32" s="136">
        <f>AE10/AE$14</f>
        <v/>
      </c>
    </row>
    <row r="33">
      <c r="A33" s="6">
        <f>A22</f>
        <v/>
      </c>
      <c r="B33" s="136" t="n"/>
      <c r="C33" s="136" t="n"/>
      <c r="D33" s="136" t="n"/>
      <c r="E33" s="136">
        <f>E11/E$14</f>
        <v/>
      </c>
      <c r="F33" s="136">
        <f>F11/F$14</f>
        <v/>
      </c>
      <c r="G33" s="136">
        <f>G11/G$14</f>
        <v/>
      </c>
      <c r="H33" s="136">
        <f>H11/H$14</f>
        <v/>
      </c>
      <c r="I33" s="136">
        <f>I11/I$14</f>
        <v/>
      </c>
      <c r="J33" s="136">
        <f>J11/J$14</f>
        <v/>
      </c>
      <c r="K33" s="136">
        <f>K11/K$14</f>
        <v/>
      </c>
      <c r="L33" s="136">
        <f>L11/L$14</f>
        <v/>
      </c>
      <c r="M33" s="136">
        <f>M11/M$14</f>
        <v/>
      </c>
      <c r="N33" s="136">
        <f>N11/N$14</f>
        <v/>
      </c>
      <c r="O33" s="136">
        <f>O11/O$14</f>
        <v/>
      </c>
      <c r="P33" s="264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B33" s="136">
        <f>AB11/AB$14</f>
        <v/>
      </c>
      <c r="AC33" s="136">
        <f>AC11/AC$14</f>
        <v/>
      </c>
      <c r="AD33" s="136" t="n"/>
      <c r="AE33" s="136">
        <f>AE11/AE$14</f>
        <v/>
      </c>
    </row>
    <row r="34">
      <c r="A34" s="6">
        <f>A23</f>
        <v/>
      </c>
      <c r="B34" s="136" t="n"/>
      <c r="C34" s="136" t="n"/>
      <c r="D34" s="136" t="n"/>
      <c r="E34" s="136">
        <f>E12/E$14</f>
        <v/>
      </c>
      <c r="F34" s="136">
        <f>F12/F$14</f>
        <v/>
      </c>
      <c r="G34" s="136">
        <f>G12/G$14</f>
        <v/>
      </c>
      <c r="H34" s="136">
        <f>H12/H$14</f>
        <v/>
      </c>
      <c r="I34" s="136">
        <f>I12/I$14</f>
        <v/>
      </c>
      <c r="J34" s="136">
        <f>J12/J$14</f>
        <v/>
      </c>
      <c r="K34" s="136">
        <f>K12/K$14</f>
        <v/>
      </c>
      <c r="L34" s="136">
        <f>L12/L$14</f>
        <v/>
      </c>
      <c r="M34" s="136">
        <f>M12/M$14</f>
        <v/>
      </c>
      <c r="N34" s="136">
        <f>N12/N$14</f>
        <v/>
      </c>
      <c r="O34" s="136">
        <f>O12/O$14</f>
        <v/>
      </c>
      <c r="AB34" s="136">
        <f>AB12/AB$14</f>
        <v/>
      </c>
      <c r="AC34" s="136">
        <f>AC12/AC$14</f>
        <v/>
      </c>
      <c r="AD34" s="136" t="n"/>
      <c r="AE34" s="136">
        <f>AE12/AE$14</f>
        <v/>
      </c>
    </row>
    <row r="35">
      <c r="A35" s="6">
        <f>A24</f>
        <v/>
      </c>
      <c r="B35" s="136" t="n"/>
      <c r="C35" s="136" t="n"/>
      <c r="D35" s="136" t="n"/>
      <c r="E35" s="136">
        <f>E13/E$14</f>
        <v/>
      </c>
      <c r="F35" s="136">
        <f>F13/F$14</f>
        <v/>
      </c>
      <c r="G35" s="136">
        <f>G13/G$14</f>
        <v/>
      </c>
      <c r="H35" s="136">
        <f>H13/H$14</f>
        <v/>
      </c>
      <c r="I35" s="136">
        <f>I13/I$14</f>
        <v/>
      </c>
      <c r="J35" s="136">
        <f>J13/J$14</f>
        <v/>
      </c>
      <c r="K35" s="136">
        <f>K13/K$14</f>
        <v/>
      </c>
      <c r="L35" s="136">
        <f>L13/L$14</f>
        <v/>
      </c>
      <c r="M35" s="136">
        <f>M13/M$14</f>
        <v/>
      </c>
      <c r="N35" s="136">
        <f>N13/N$14</f>
        <v/>
      </c>
      <c r="O35" s="136">
        <f>O13/O$14</f>
        <v/>
      </c>
      <c r="Q35" s="104" t="n"/>
      <c r="R35" s="104" t="n"/>
      <c r="S35" s="104" t="n"/>
      <c r="T35" s="104" t="n"/>
      <c r="AB35" s="136">
        <f>AB13/AB$14</f>
        <v/>
      </c>
      <c r="AC35" s="136">
        <f>AC13/AC$14</f>
        <v/>
      </c>
      <c r="AD35" s="136" t="n"/>
      <c r="AE35" s="136">
        <f>AE13/AE$14</f>
        <v/>
      </c>
    </row>
    <row r="36">
      <c r="A36" s="21" t="inlineStr">
        <is>
          <t>Total</t>
        </is>
      </c>
      <c r="B36" s="134" t="n"/>
      <c r="C36" s="134" t="n"/>
      <c r="D36" s="134" t="n"/>
      <c r="E36" s="134">
        <f>SUM(E28,E32:E35)</f>
        <v/>
      </c>
      <c r="F36" s="134">
        <f>SUM(F28,F32:F35)</f>
        <v/>
      </c>
      <c r="G36" s="134">
        <f>SUM(G28,G32:G35)</f>
        <v/>
      </c>
      <c r="H36" s="134">
        <f>SUM(H28,H32:H35)</f>
        <v/>
      </c>
      <c r="I36" s="134">
        <f>SUM(I28,I32:I35)</f>
        <v/>
      </c>
      <c r="J36" s="134">
        <f>SUM(J28,J32:J35)</f>
        <v/>
      </c>
      <c r="K36" s="134">
        <f>SUM(K28,K32:K35)</f>
        <v/>
      </c>
      <c r="L36" s="134">
        <f>SUM(L28,L32:L35)</f>
        <v/>
      </c>
      <c r="M36" s="134">
        <f>SUM(M28,M32:M35)</f>
        <v/>
      </c>
      <c r="N36" s="134">
        <f>SUM(N28,N32:N35)</f>
        <v/>
      </c>
      <c r="O36" s="134">
        <f>SUM(O28,O32:O35)</f>
        <v/>
      </c>
      <c r="AB36" s="134">
        <f>SUM(AB28,AB32:AB35)</f>
        <v/>
      </c>
      <c r="AC36" s="134">
        <f>SUM(AC28,AC32:AC35)</f>
        <v/>
      </c>
      <c r="AD36" s="134" t="n"/>
      <c r="AE36" s="134">
        <f>SUM(AE28,AE32:AE35)</f>
        <v/>
      </c>
    </row>
    <row r="37">
      <c r="B37" s="481" t="n"/>
      <c r="C37" s="481" t="n"/>
      <c r="D37" s="481" t="n"/>
      <c r="E37" s="481" t="n"/>
      <c r="F37" s="481" t="n"/>
      <c r="G37" s="481" t="n"/>
      <c r="H37" s="481" t="n"/>
      <c r="I37" s="481" t="n"/>
      <c r="J37" s="481" t="n"/>
      <c r="K37" s="481" t="n"/>
      <c r="L37" s="481" t="n"/>
      <c r="M37" s="481" t="n"/>
      <c r="N37" s="481" t="n"/>
      <c r="O37" s="481" t="n"/>
      <c r="Q37" s="104" t="n"/>
      <c r="R37" s="104" t="n"/>
      <c r="S37" s="104" t="n"/>
      <c r="T37" s="104" t="n"/>
      <c r="AB37" s="481" t="n"/>
      <c r="AC37" s="481" t="n"/>
      <c r="AD37" s="481" t="n"/>
      <c r="AE37" s="481" t="n"/>
    </row>
    <row r="38">
      <c r="A38" s="433" t="inlineStr">
        <is>
          <t>COGS</t>
        </is>
      </c>
      <c r="B38" s="481" t="n"/>
      <c r="C38" s="481" t="n"/>
      <c r="D38" s="481" t="n"/>
      <c r="E38" s="481" t="n"/>
      <c r="F38" s="481" t="n"/>
      <c r="G38" s="481" t="n"/>
      <c r="H38" s="481" t="n"/>
      <c r="I38" s="481" t="n"/>
      <c r="J38" s="481" t="n"/>
      <c r="K38" s="481" t="n"/>
      <c r="L38" s="481" t="n"/>
      <c r="M38" s="481" t="n"/>
      <c r="N38" s="481" t="n"/>
      <c r="O38" s="481" t="n"/>
      <c r="AB38" s="481" t="n"/>
      <c r="AC38" s="481" t="n"/>
      <c r="AD38" s="481" t="n"/>
      <c r="AE38" s="481" t="n"/>
    </row>
    <row r="39">
      <c r="A39" s="6">
        <f>+A6</f>
        <v/>
      </c>
      <c r="B39" s="481" t="n"/>
      <c r="C39" s="481" t="n"/>
      <c r="D39" s="481" t="n"/>
      <c r="E39" s="481" t="n">
        <v>-8524.26</v>
      </c>
      <c r="F39" s="481" t="n">
        <v>-10008.95</v>
      </c>
      <c r="G39" s="481" t="n">
        <v>-11579.67</v>
      </c>
      <c r="H39" s="481" t="n">
        <v>-16198.62</v>
      </c>
      <c r="I39" s="481" t="n">
        <v>-23607.8</v>
      </c>
      <c r="J39" s="481">
        <f>J50-J6</f>
        <v/>
      </c>
      <c r="K39" s="481">
        <f>K50-K6</f>
        <v/>
      </c>
      <c r="L39" s="481">
        <f>L50-L6</f>
        <v/>
      </c>
      <c r="M39" s="481">
        <f>M50-M6</f>
        <v/>
      </c>
      <c r="N39" s="481">
        <f>N50-N6</f>
        <v/>
      </c>
      <c r="O39" s="481">
        <f>O50-O6</f>
        <v/>
      </c>
      <c r="AB39" s="536" t="n">
        <v>-11892.39627048</v>
      </c>
      <c r="AC39" s="536">
        <f>I39-AB39</f>
        <v/>
      </c>
      <c r="AD39" s="536" t="n"/>
      <c r="AE39" s="536">
        <f>J39-AD39</f>
        <v/>
      </c>
      <c r="AF39" s="453">
        <f>AD39-AB39</f>
        <v/>
      </c>
      <c r="AG39" s="379">
        <f>AF39/AB39</f>
        <v/>
      </c>
      <c r="AH39" s="379">
        <f>AB39/I39</f>
        <v/>
      </c>
      <c r="AI39" s="379">
        <f>AD39/J39</f>
        <v/>
      </c>
    </row>
    <row r="40">
      <c r="A40" s="6">
        <f>A7</f>
        <v/>
      </c>
      <c r="B40" s="481" t="n"/>
      <c r="C40" s="481" t="n"/>
      <c r="D40" s="481" t="n"/>
      <c r="E40" s="481">
        <f>E51-E7</f>
        <v/>
      </c>
      <c r="F40" s="481">
        <f>F51-F7</f>
        <v/>
      </c>
      <c r="G40" s="481">
        <f>G51-G7</f>
        <v/>
      </c>
      <c r="H40" s="481" t="n">
        <v>-3329.07</v>
      </c>
      <c r="I40" s="481" t="n">
        <v>-6592.66</v>
      </c>
      <c r="J40" s="481">
        <f>J51-J7</f>
        <v/>
      </c>
      <c r="K40" s="481">
        <f>K51-K7</f>
        <v/>
      </c>
      <c r="L40" s="481">
        <f>L51-L7</f>
        <v/>
      </c>
      <c r="M40" s="481">
        <f>M51-M7</f>
        <v/>
      </c>
      <c r="N40" s="481">
        <f>N51-N7</f>
        <v/>
      </c>
      <c r="O40" s="481">
        <f>O51-O7</f>
        <v/>
      </c>
      <c r="AB40" s="536" t="n">
        <v>-3201.95686632</v>
      </c>
      <c r="AC40" s="536">
        <f>I40-AB40</f>
        <v/>
      </c>
      <c r="AD40" s="536" t="n"/>
      <c r="AE40" s="536">
        <f>J40-AD40</f>
        <v/>
      </c>
      <c r="AF40" s="453">
        <f>AD40-AB40</f>
        <v/>
      </c>
      <c r="AG40" s="379">
        <f>AF40/AB40</f>
        <v/>
      </c>
      <c r="AH40" s="379">
        <f>AB40/I40</f>
        <v/>
      </c>
      <c r="AI40" s="379">
        <f>AD40/J40</f>
        <v/>
      </c>
    </row>
    <row r="41">
      <c r="A41" s="6">
        <f>A8</f>
        <v/>
      </c>
      <c r="B41" s="481" t="n"/>
      <c r="C41" s="481" t="n"/>
      <c r="D41" s="481" t="n"/>
      <c r="E41" s="481">
        <f>E52-E8</f>
        <v/>
      </c>
      <c r="F41" s="481">
        <f>F52-F8</f>
        <v/>
      </c>
      <c r="G41" s="481">
        <f>G52-G8</f>
        <v/>
      </c>
      <c r="H41" s="481" t="n">
        <v>-2228.61</v>
      </c>
      <c r="I41" s="481" t="n">
        <v>-3704.41</v>
      </c>
      <c r="J41" s="481">
        <f>J52-J8</f>
        <v/>
      </c>
      <c r="K41" s="481">
        <f>K52-K8</f>
        <v/>
      </c>
      <c r="L41" s="481">
        <f>L52-L8</f>
        <v/>
      </c>
      <c r="M41" s="481">
        <f>M52-M8</f>
        <v/>
      </c>
      <c r="N41" s="481">
        <f>N52-N8</f>
        <v/>
      </c>
      <c r="O41" s="481">
        <f>O52-O8</f>
        <v/>
      </c>
      <c r="AB41" s="536" t="n">
        <v>-1497.33746418</v>
      </c>
      <c r="AC41" s="536">
        <f>I41-AB41</f>
        <v/>
      </c>
      <c r="AD41" s="536" t="n"/>
      <c r="AE41" s="536">
        <f>J41-AD41</f>
        <v/>
      </c>
      <c r="AF41" s="453">
        <f>AD41-AB41</f>
        <v/>
      </c>
      <c r="AG41" s="379">
        <f>AF41/AB41</f>
        <v/>
      </c>
      <c r="AH41" s="379">
        <f>AB41/I41</f>
        <v/>
      </c>
      <c r="AI41" s="379">
        <f>AD41/J41</f>
        <v/>
      </c>
    </row>
    <row r="42">
      <c r="A42" s="6">
        <f>A9</f>
        <v/>
      </c>
      <c r="B42" s="481" t="n"/>
      <c r="C42" s="481" t="n"/>
      <c r="D42" s="481" t="n"/>
      <c r="E42" s="481">
        <f>E53-E9</f>
        <v/>
      </c>
      <c r="F42" s="481">
        <f>F53-F9</f>
        <v/>
      </c>
      <c r="G42" s="481">
        <f>G53-G9</f>
        <v/>
      </c>
      <c r="H42" s="481">
        <f>H39-H40-H41</f>
        <v/>
      </c>
      <c r="I42" s="481">
        <f>I39-I40-I41</f>
        <v/>
      </c>
      <c r="J42" s="481">
        <f>J53-J9</f>
        <v/>
      </c>
      <c r="K42" s="481">
        <f>K53-K9</f>
        <v/>
      </c>
      <c r="L42" s="481">
        <f>L53-L9</f>
        <v/>
      </c>
      <c r="M42" s="481">
        <f>M53-M9</f>
        <v/>
      </c>
      <c r="N42" s="481">
        <f>N53-N9</f>
        <v/>
      </c>
      <c r="O42" s="481">
        <f>O53-O9</f>
        <v/>
      </c>
      <c r="AB42" s="481">
        <f>AB39-AB40-AB41</f>
        <v/>
      </c>
      <c r="AC42" s="481">
        <f>I42-AB42</f>
        <v/>
      </c>
      <c r="AD42" s="481" t="n"/>
      <c r="AE42" s="481">
        <f>J42-AD42</f>
        <v/>
      </c>
      <c r="AF42" s="453">
        <f>AD42-AB42</f>
        <v/>
      </c>
      <c r="AG42" s="379">
        <f>AF42/AB42</f>
        <v/>
      </c>
      <c r="AH42" s="379">
        <f>AB42/I42</f>
        <v/>
      </c>
      <c r="AI42" s="379">
        <f>AD42/J42</f>
        <v/>
      </c>
    </row>
    <row r="43">
      <c r="A43" s="6">
        <f>+A10</f>
        <v/>
      </c>
      <c r="B43" s="481" t="n"/>
      <c r="C43" s="481" t="n"/>
      <c r="D43" s="481" t="n"/>
      <c r="E43" s="481">
        <f>-8646.79-E44</f>
        <v/>
      </c>
      <c r="F43" s="481">
        <f>-12970.46-F44</f>
        <v/>
      </c>
      <c r="G43" s="481">
        <f>-12965.12-G44</f>
        <v/>
      </c>
      <c r="H43" s="481">
        <f>-12198.91-H44</f>
        <v/>
      </c>
      <c r="I43" s="481">
        <f>-15977.7-I44</f>
        <v/>
      </c>
      <c r="J43" s="481">
        <f>J54-J10</f>
        <v/>
      </c>
      <c r="K43" s="481">
        <f>K54-K10</f>
        <v/>
      </c>
      <c r="L43" s="481">
        <f>L54-L10</f>
        <v/>
      </c>
      <c r="M43" s="481">
        <f>M54-M10</f>
        <v/>
      </c>
      <c r="N43" s="481">
        <f>N54-N10</f>
        <v/>
      </c>
      <c r="O43" s="481">
        <f>O54-O10</f>
        <v/>
      </c>
      <c r="AB43" s="481">
        <f>-7780.15489772-AB44</f>
        <v/>
      </c>
      <c r="AC43" s="481">
        <f>I43-AB43</f>
        <v/>
      </c>
      <c r="AD43" s="481" t="n"/>
      <c r="AE43" s="481">
        <f>J43-AD43</f>
        <v/>
      </c>
      <c r="AF43" s="453">
        <f>AD43-AB43</f>
        <v/>
      </c>
      <c r="AG43" s="379">
        <f>AF43/AB43</f>
        <v/>
      </c>
      <c r="AH43" s="379">
        <f>AB43/I43</f>
        <v/>
      </c>
      <c r="AI43" s="379">
        <f>AD43/J43</f>
        <v/>
      </c>
    </row>
    <row r="44">
      <c r="A44" s="6">
        <f>+A11</f>
        <v/>
      </c>
      <c r="B44" s="481" t="n"/>
      <c r="C44" s="481" t="n"/>
      <c r="D44" s="481" t="n"/>
      <c r="E44" s="481" t="n">
        <v>-2067.143</v>
      </c>
      <c r="F44" s="481" t="n">
        <v>-2017.069669</v>
      </c>
      <c r="G44" s="481" t="n">
        <v>-1955.065278</v>
      </c>
      <c r="H44" s="481" t="n">
        <v>-1896.644646</v>
      </c>
      <c r="I44" s="481" t="n">
        <v>-2399.213263</v>
      </c>
      <c r="J44" s="481">
        <f>J55-J11</f>
        <v/>
      </c>
      <c r="K44" s="481">
        <f>K55-K11</f>
        <v/>
      </c>
      <c r="L44" s="481">
        <f>L55-L11</f>
        <v/>
      </c>
      <c r="M44" s="481">
        <f>M55-M11</f>
        <v/>
      </c>
      <c r="N44" s="481">
        <f>N55-N11</f>
        <v/>
      </c>
      <c r="O44" s="481">
        <f>O55-O11</f>
        <v/>
      </c>
      <c r="AB44" s="536" t="n">
        <v>-1103.87836254</v>
      </c>
      <c r="AC44" s="536">
        <f>I44-AB44</f>
        <v/>
      </c>
      <c r="AD44" s="536" t="n"/>
      <c r="AE44" s="536">
        <f>J44-AD44</f>
        <v/>
      </c>
      <c r="AF44" s="453">
        <f>AD44-AB44</f>
        <v/>
      </c>
      <c r="AG44" s="379">
        <f>AF44/AB44</f>
        <v/>
      </c>
      <c r="AH44" s="379">
        <f>AB44/I44</f>
        <v/>
      </c>
      <c r="AI44" s="379">
        <f>AD44/J44</f>
        <v/>
      </c>
    </row>
    <row r="45">
      <c r="A45" s="6">
        <f>+A12</f>
        <v/>
      </c>
      <c r="B45" s="481" t="n"/>
      <c r="C45" s="481" t="n"/>
      <c r="D45" s="481" t="n"/>
      <c r="E45" s="481" t="n">
        <v>-2714.26751728</v>
      </c>
      <c r="F45" s="481" t="n">
        <v>-2120.8604898</v>
      </c>
      <c r="G45" s="481" t="n">
        <v>-1935.81846117</v>
      </c>
      <c r="H45" s="481" t="n">
        <v>-2696.1923</v>
      </c>
      <c r="I45" s="481" t="n">
        <v>-3902.3518</v>
      </c>
      <c r="J45" s="481">
        <f>J56-J12</f>
        <v/>
      </c>
      <c r="K45" s="481">
        <f>K56-K12</f>
        <v/>
      </c>
      <c r="L45" s="481">
        <f>L56-L12</f>
        <v/>
      </c>
      <c r="M45" s="481">
        <f>M56-M12</f>
        <v/>
      </c>
      <c r="N45" s="481">
        <f>N56-N12</f>
        <v/>
      </c>
      <c r="O45" s="481">
        <f>O56-O12</f>
        <v/>
      </c>
      <c r="AB45" s="536" t="n">
        <v>-1846.68527541</v>
      </c>
      <c r="AC45" s="536">
        <f>I45-AB45</f>
        <v/>
      </c>
      <c r="AD45" s="536" t="n"/>
      <c r="AE45" s="536">
        <f>J45-AD45</f>
        <v/>
      </c>
      <c r="AF45" s="453">
        <f>AD45-AB45</f>
        <v/>
      </c>
      <c r="AG45" s="379">
        <f>AF45/AB45</f>
        <v/>
      </c>
      <c r="AH45" s="379">
        <f>AB45/I45</f>
        <v/>
      </c>
      <c r="AI45" s="379">
        <f>AD45/J45</f>
        <v/>
      </c>
    </row>
    <row r="46">
      <c r="A46" s="6">
        <f>+A13</f>
        <v/>
      </c>
      <c r="B46" s="481" t="n"/>
      <c r="C46" s="481" t="n"/>
      <c r="D46" s="481" t="n"/>
      <c r="E46" s="481">
        <f>+E47-SUM(E39,E43:E45)</f>
        <v/>
      </c>
      <c r="F46" s="481">
        <f>+F47-SUM(F39,F43:F45)</f>
        <v/>
      </c>
      <c r="G46" s="481">
        <f>+G47-SUM(G39,G43:G45)</f>
        <v/>
      </c>
      <c r="H46" s="481">
        <f>+H47-SUM(H39,H43:H45)</f>
        <v/>
      </c>
      <c r="I46" s="481">
        <f>+I47-SUM(I39,I43:I45)</f>
        <v/>
      </c>
      <c r="J46" s="481">
        <f>J57-J13</f>
        <v/>
      </c>
      <c r="K46" s="481">
        <f>K57-K13</f>
        <v/>
      </c>
      <c r="L46" s="481">
        <f>L57-L13</f>
        <v/>
      </c>
      <c r="M46" s="481">
        <f>M57-M13</f>
        <v/>
      </c>
      <c r="N46" s="481">
        <f>N57-N13</f>
        <v/>
      </c>
      <c r="O46" s="481">
        <f>O57-O13</f>
        <v/>
      </c>
      <c r="AB46" s="481">
        <f>+AB47-SUM(AB39,AB43:AB45)</f>
        <v/>
      </c>
      <c r="AC46" s="481">
        <f>I46-AB46</f>
        <v/>
      </c>
      <c r="AD46" s="481" t="n"/>
      <c r="AE46" s="481">
        <f>J46-AD46</f>
        <v/>
      </c>
      <c r="AF46" s="453">
        <f>AD46-AB46</f>
        <v/>
      </c>
      <c r="AG46" s="379">
        <f>AF46/AB46</f>
        <v/>
      </c>
      <c r="AH46" s="379">
        <f>AB46/I46</f>
        <v/>
      </c>
      <c r="AI46" s="379">
        <f>AD46/J46</f>
        <v/>
      </c>
    </row>
    <row r="47">
      <c r="A47" s="21" t="inlineStr">
        <is>
          <t>Total</t>
        </is>
      </c>
      <c r="B47" s="537" t="n"/>
      <c r="C47" s="537" t="n"/>
      <c r="D47" s="537" t="n"/>
      <c r="E47" s="537">
        <f>Model!P6</f>
        <v/>
      </c>
      <c r="F47" s="537">
        <f>Model!Q6</f>
        <v/>
      </c>
      <c r="G47" s="537">
        <f>Model!R6</f>
        <v/>
      </c>
      <c r="H47" s="537">
        <f>Model!S6</f>
        <v/>
      </c>
      <c r="I47" s="537">
        <f>Model!T6</f>
        <v/>
      </c>
      <c r="J47" s="537">
        <f>SUM(J39,J43:J46)</f>
        <v/>
      </c>
      <c r="K47" s="537">
        <f>SUM(K39,K43:K46)</f>
        <v/>
      </c>
      <c r="L47" s="537">
        <f>SUM(L39,L43:L46)</f>
        <v/>
      </c>
      <c r="M47" s="537">
        <f>SUM(M39,M43:M46)</f>
        <v/>
      </c>
      <c r="N47" s="537">
        <f>SUM(N39,N43:N46)</f>
        <v/>
      </c>
      <c r="O47" s="537">
        <f>SUM(O39,O43:O46)</f>
        <v/>
      </c>
      <c r="AB47" s="537">
        <f>Model!BQ6</f>
        <v/>
      </c>
      <c r="AC47" s="537">
        <f>I47-AB47</f>
        <v/>
      </c>
      <c r="AD47" s="537" t="n"/>
      <c r="AE47" s="537">
        <f>J47-AD47</f>
        <v/>
      </c>
      <c r="AF47" s="446">
        <f>AD47-AB47</f>
        <v/>
      </c>
      <c r="AG47" s="381">
        <f>AF47/AB47</f>
        <v/>
      </c>
      <c r="AH47" s="381">
        <f>AB47/I47</f>
        <v/>
      </c>
      <c r="AI47" s="381">
        <f>AD47/J47</f>
        <v/>
      </c>
    </row>
    <row r="48">
      <c r="B48" s="481" t="n"/>
      <c r="C48" s="481" t="n"/>
      <c r="D48" s="481" t="n"/>
      <c r="E48" s="481" t="n"/>
      <c r="F48" s="481" t="n"/>
      <c r="G48" s="481" t="n"/>
      <c r="H48" s="481" t="n"/>
      <c r="I48" s="481" t="n"/>
      <c r="J48" s="481" t="n"/>
      <c r="K48" s="481" t="n"/>
      <c r="L48" s="481" t="n"/>
      <c r="M48" s="481" t="n"/>
      <c r="N48" s="481" t="n"/>
      <c r="O48" s="481" t="n"/>
      <c r="AB48" s="481" t="n"/>
      <c r="AC48" s="481" t="n"/>
      <c r="AD48" s="481" t="n"/>
      <c r="AE48" s="481" t="n"/>
    </row>
    <row r="49">
      <c r="A49" s="433" t="inlineStr">
        <is>
          <t>Gross profit</t>
        </is>
      </c>
      <c r="B49" s="481" t="n"/>
      <c r="C49" s="481" t="n"/>
      <c r="D49" s="481" t="n"/>
      <c r="E49" s="481" t="n"/>
      <c r="F49" s="481" t="n"/>
      <c r="G49" s="481" t="n"/>
      <c r="H49" s="481" t="n"/>
      <c r="I49" s="481" t="n"/>
      <c r="J49" s="481" t="n"/>
      <c r="K49" s="481" t="n"/>
      <c r="L49" s="481" t="n"/>
      <c r="M49" s="481" t="n"/>
      <c r="N49" s="481" t="n"/>
      <c r="O49" s="481" t="n"/>
      <c r="AB49" s="481" t="n"/>
      <c r="AC49" s="481" t="n"/>
      <c r="AD49" s="481" t="n"/>
      <c r="AE49" s="481" t="n"/>
    </row>
    <row r="50">
      <c r="A50" s="6">
        <f>+A6</f>
        <v/>
      </c>
      <c r="B50" s="481" t="n"/>
      <c r="C50" s="481" t="n"/>
      <c r="D50" s="481" t="n"/>
      <c r="E50" s="481">
        <f>E6+E39</f>
        <v/>
      </c>
      <c r="F50" s="481">
        <f>F6+F39</f>
        <v/>
      </c>
      <c r="G50" s="481">
        <f>G6+G39</f>
        <v/>
      </c>
      <c r="H50" s="481">
        <f>H6+H39</f>
        <v/>
      </c>
      <c r="I50" s="481">
        <f>I6+I39</f>
        <v/>
      </c>
      <c r="J50" s="481">
        <f>SUM(J51:J53)</f>
        <v/>
      </c>
      <c r="K50" s="481">
        <f>SUM(K51:K53)</f>
        <v/>
      </c>
      <c r="L50" s="481">
        <f>SUM(L51:L53)</f>
        <v/>
      </c>
      <c r="M50" s="481">
        <f>SUM(M51:M53)</f>
        <v/>
      </c>
      <c r="N50" s="481">
        <f>SUM(N51:N53)</f>
        <v/>
      </c>
      <c r="O50" s="481">
        <f>SUM(O51:O53)</f>
        <v/>
      </c>
      <c r="P50" s="289">
        <f>J50/I50-1</f>
        <v/>
      </c>
      <c r="AB50" s="481">
        <f>AB6+AB39</f>
        <v/>
      </c>
      <c r="AC50" s="481">
        <f>AC6+AC39</f>
        <v/>
      </c>
      <c r="AD50" s="481" t="n"/>
      <c r="AE50" s="481">
        <f>AE6+AE39</f>
        <v/>
      </c>
      <c r="AF50" s="453">
        <f>AD50-AB50</f>
        <v/>
      </c>
      <c r="AG50" s="379">
        <f>AF50/AB50</f>
        <v/>
      </c>
      <c r="AH50" s="379">
        <f>AB50/I50</f>
        <v/>
      </c>
      <c r="AI50" s="379">
        <f>AD50/J50</f>
        <v/>
      </c>
    </row>
    <row r="51">
      <c r="A51" s="6">
        <f>+A7</f>
        <v/>
      </c>
      <c r="B51" s="481" t="n"/>
      <c r="C51" s="481" t="n"/>
      <c r="D51" s="481" t="n"/>
      <c r="E51" s="481" t="n">
        <v>330</v>
      </c>
      <c r="F51" s="481" t="n">
        <v>333</v>
      </c>
      <c r="G51" s="481" t="n">
        <v>-9</v>
      </c>
      <c r="H51" s="481">
        <f>H7+H40</f>
        <v/>
      </c>
      <c r="I51" s="481">
        <f>I7+I40</f>
        <v/>
      </c>
      <c r="J51" s="481">
        <f>J7*U73</f>
        <v/>
      </c>
      <c r="K51" s="481">
        <f>K7*V73</f>
        <v/>
      </c>
      <c r="L51" s="481">
        <f>L7*W73</f>
        <v/>
      </c>
      <c r="M51" s="481">
        <f>M7*X73</f>
        <v/>
      </c>
      <c r="N51" s="481">
        <f>N7*Y73</f>
        <v/>
      </c>
      <c r="O51" s="481">
        <f>O7*Z73</f>
        <v/>
      </c>
      <c r="P51" s="289">
        <f>J51/I51-1</f>
        <v/>
      </c>
      <c r="AB51" s="481">
        <f>AB7+AB40</f>
        <v/>
      </c>
      <c r="AC51" s="481">
        <f>AC7+AC40</f>
        <v/>
      </c>
      <c r="AD51" s="481" t="n"/>
      <c r="AE51" s="481">
        <f>AE7+AE40</f>
        <v/>
      </c>
      <c r="AF51" s="453">
        <f>AD51-AB51</f>
        <v/>
      </c>
      <c r="AG51" s="379">
        <f>AF51/AB51</f>
        <v/>
      </c>
      <c r="AH51" s="379">
        <f>AB51/I51</f>
        <v/>
      </c>
      <c r="AI51" s="379">
        <f>AD51/J51</f>
        <v/>
      </c>
    </row>
    <row r="52">
      <c r="A52" s="6">
        <f>+A8</f>
        <v/>
      </c>
      <c r="B52" s="481" t="n"/>
      <c r="C52" s="481" t="n"/>
      <c r="D52" s="481" t="n"/>
      <c r="E52" s="481" t="n">
        <v>359</v>
      </c>
      <c r="F52" s="481" t="n">
        <v>578</v>
      </c>
      <c r="G52" s="481" t="n">
        <v>672</v>
      </c>
      <c r="H52" s="481">
        <f>H8+H41</f>
        <v/>
      </c>
      <c r="I52" s="481">
        <f>I8+I41</f>
        <v/>
      </c>
      <c r="J52" s="481">
        <f>J8*U74</f>
        <v/>
      </c>
      <c r="K52" s="481">
        <f>K8*V74</f>
        <v/>
      </c>
      <c r="L52" s="481">
        <f>L8*W74</f>
        <v/>
      </c>
      <c r="M52" s="481">
        <f>M8*X74</f>
        <v/>
      </c>
      <c r="N52" s="481">
        <f>N8*Y74</f>
        <v/>
      </c>
      <c r="O52" s="481">
        <f>O8*Z74</f>
        <v/>
      </c>
      <c r="P52" s="289">
        <f>J52/I52-1</f>
        <v/>
      </c>
      <c r="AB52" s="481">
        <f>AB8+AB41</f>
        <v/>
      </c>
      <c r="AC52" s="481">
        <f>AC8+AC41</f>
        <v/>
      </c>
      <c r="AD52" s="481" t="n"/>
      <c r="AE52" s="481">
        <f>AE8+AE41</f>
        <v/>
      </c>
      <c r="AF52" s="453">
        <f>AD52-AB52</f>
        <v/>
      </c>
      <c r="AG52" s="379">
        <f>AF52/AB52</f>
        <v/>
      </c>
      <c r="AH52" s="379">
        <f>AB52/I52</f>
        <v/>
      </c>
      <c r="AI52" s="379">
        <f>AD52/J52</f>
        <v/>
      </c>
    </row>
    <row r="53">
      <c r="A53" s="6">
        <f>+A9</f>
        <v/>
      </c>
      <c r="B53" s="481" t="n"/>
      <c r="C53" s="481" t="n"/>
      <c r="D53" s="481" t="n"/>
      <c r="E53" s="481" t="n">
        <v>1939</v>
      </c>
      <c r="F53" s="481" t="n">
        <v>1867</v>
      </c>
      <c r="G53" s="481" t="n">
        <v>2442</v>
      </c>
      <c r="H53" s="481">
        <f>H9+H42</f>
        <v/>
      </c>
      <c r="I53" s="481">
        <f>I9+I42</f>
        <v/>
      </c>
      <c r="J53" s="481">
        <f>J9*U75</f>
        <v/>
      </c>
      <c r="K53" s="481">
        <f>K9*V75</f>
        <v/>
      </c>
      <c r="L53" s="481">
        <f>L9*W75</f>
        <v/>
      </c>
      <c r="M53" s="481">
        <f>M9*X75</f>
        <v/>
      </c>
      <c r="N53" s="481">
        <f>N9*Y75</f>
        <v/>
      </c>
      <c r="O53" s="481">
        <f>O9*Z75</f>
        <v/>
      </c>
      <c r="P53" s="289">
        <f>J53/I53-1</f>
        <v/>
      </c>
      <c r="AB53" s="481">
        <f>AB9+AB42</f>
        <v/>
      </c>
      <c r="AC53" s="481">
        <f>AC9+AC42</f>
        <v/>
      </c>
      <c r="AD53" s="481" t="n"/>
      <c r="AE53" s="481">
        <f>AE9+AE42</f>
        <v/>
      </c>
      <c r="AF53" s="453">
        <f>AD53-AB53</f>
        <v/>
      </c>
      <c r="AG53" s="379">
        <f>AF53/AB53</f>
        <v/>
      </c>
      <c r="AH53" s="379">
        <f>AB53/I53</f>
        <v/>
      </c>
      <c r="AI53" s="379">
        <f>AD53/J53</f>
        <v/>
      </c>
    </row>
    <row r="54">
      <c r="A54" s="6">
        <f>+A10</f>
        <v/>
      </c>
      <c r="B54" s="481" t="n"/>
      <c r="C54" s="481" t="n"/>
      <c r="D54" s="481" t="n"/>
      <c r="E54" s="481">
        <f>E10+E43</f>
        <v/>
      </c>
      <c r="F54" s="481">
        <f>F10+F43</f>
        <v/>
      </c>
      <c r="G54" s="481">
        <f>G10+G43</f>
        <v/>
      </c>
      <c r="H54" s="481">
        <f>H10+H43</f>
        <v/>
      </c>
      <c r="I54" s="481">
        <f>I10+I43</f>
        <v/>
      </c>
      <c r="J54" s="481">
        <f>J10*U76</f>
        <v/>
      </c>
      <c r="K54" s="481">
        <f>K10*V76</f>
        <v/>
      </c>
      <c r="L54" s="481">
        <f>L10*W76</f>
        <v/>
      </c>
      <c r="M54" s="481">
        <f>M10*X76</f>
        <v/>
      </c>
      <c r="N54" s="481">
        <f>N10*Y76</f>
        <v/>
      </c>
      <c r="O54" s="481">
        <f>O10*Z76</f>
        <v/>
      </c>
      <c r="P54" s="289">
        <f>J54/I54-1</f>
        <v/>
      </c>
      <c r="AB54" s="481">
        <f>AB10+AB43</f>
        <v/>
      </c>
      <c r="AC54" s="481">
        <f>AC10+AC43</f>
        <v/>
      </c>
      <c r="AD54" s="481" t="n"/>
      <c r="AE54" s="481">
        <f>AE10+AE43</f>
        <v/>
      </c>
      <c r="AF54" s="453">
        <f>AD54-AB54</f>
        <v/>
      </c>
      <c r="AG54" s="379">
        <f>AF54/AB54</f>
        <v/>
      </c>
      <c r="AH54" s="379">
        <f>AB54/I54</f>
        <v/>
      </c>
      <c r="AI54" s="379">
        <f>AD54/J54</f>
        <v/>
      </c>
    </row>
    <row r="55">
      <c r="A55" s="6">
        <f>+A11</f>
        <v/>
      </c>
      <c r="B55" s="481" t="n"/>
      <c r="C55" s="481" t="n"/>
      <c r="D55" s="481" t="n"/>
      <c r="E55" s="481">
        <f>E11+E44</f>
        <v/>
      </c>
      <c r="F55" s="481">
        <f>F11+F44</f>
        <v/>
      </c>
      <c r="G55" s="481">
        <f>G11+G44</f>
        <v/>
      </c>
      <c r="H55" s="481">
        <f>H11+H44</f>
        <v/>
      </c>
      <c r="I55" s="481">
        <f>I11+I44</f>
        <v/>
      </c>
      <c r="J55" s="481">
        <f>J11*U77</f>
        <v/>
      </c>
      <c r="K55" s="481">
        <f>K11*V77</f>
        <v/>
      </c>
      <c r="L55" s="481">
        <f>L11*W77</f>
        <v/>
      </c>
      <c r="M55" s="481">
        <f>M11*X77</f>
        <v/>
      </c>
      <c r="N55" s="481">
        <f>N11*Y77</f>
        <v/>
      </c>
      <c r="O55" s="481">
        <f>O11*Z77</f>
        <v/>
      </c>
      <c r="P55" s="289">
        <f>J55/I55-1</f>
        <v/>
      </c>
      <c r="AB55" s="481">
        <f>AB11+AB44</f>
        <v/>
      </c>
      <c r="AC55" s="481">
        <f>AC11+AC44</f>
        <v/>
      </c>
      <c r="AD55" s="481" t="n"/>
      <c r="AE55" s="481">
        <f>AE11+AE44</f>
        <v/>
      </c>
      <c r="AF55" s="453">
        <f>AD55-AB55</f>
        <v/>
      </c>
      <c r="AG55" s="379">
        <f>AF55/AB55</f>
        <v/>
      </c>
      <c r="AH55" s="379">
        <f>AB55/I55</f>
        <v/>
      </c>
      <c r="AI55" s="379">
        <f>AD55/J55</f>
        <v/>
      </c>
    </row>
    <row r="56">
      <c r="A56" s="6">
        <f>+A12</f>
        <v/>
      </c>
      <c r="B56" s="481" t="n"/>
      <c r="C56" s="481" t="n"/>
      <c r="D56" s="481" t="n"/>
      <c r="E56" s="481">
        <f>E12+E45</f>
        <v/>
      </c>
      <c r="F56" s="481">
        <f>F12+F45</f>
        <v/>
      </c>
      <c r="G56" s="481">
        <f>G12+G45</f>
        <v/>
      </c>
      <c r="H56" s="481">
        <f>H12+H45</f>
        <v/>
      </c>
      <c r="I56" s="481">
        <f>I12+I45</f>
        <v/>
      </c>
      <c r="J56" s="481">
        <f>J12*U78</f>
        <v/>
      </c>
      <c r="K56" s="481">
        <f>K12*V78</f>
        <v/>
      </c>
      <c r="L56" s="481">
        <f>L12*W78</f>
        <v/>
      </c>
      <c r="M56" s="481">
        <f>M12*X78</f>
        <v/>
      </c>
      <c r="N56" s="481">
        <f>N12*Y78</f>
        <v/>
      </c>
      <c r="O56" s="481">
        <f>O12*Z78</f>
        <v/>
      </c>
      <c r="P56" s="289">
        <f>J56/I56-1</f>
        <v/>
      </c>
      <c r="AB56" s="481">
        <f>AB12+AB45</f>
        <v/>
      </c>
      <c r="AC56" s="481">
        <f>AC12+AC45</f>
        <v/>
      </c>
      <c r="AD56" s="481" t="n"/>
      <c r="AE56" s="481">
        <f>AE12+AE45</f>
        <v/>
      </c>
      <c r="AF56" s="453">
        <f>AD56-AB56</f>
        <v/>
      </c>
      <c r="AG56" s="379">
        <f>AF56/AB56</f>
        <v/>
      </c>
      <c r="AH56" s="379">
        <f>AB56/I56</f>
        <v/>
      </c>
      <c r="AI56" s="379">
        <f>AD56/J56</f>
        <v/>
      </c>
    </row>
    <row r="57">
      <c r="A57" s="6">
        <f>+A13</f>
        <v/>
      </c>
      <c r="B57" s="481" t="n"/>
      <c r="C57" s="481" t="n"/>
      <c r="D57" s="481" t="n"/>
      <c r="E57" s="481">
        <f>E13+E46</f>
        <v/>
      </c>
      <c r="F57" s="481">
        <f>F13+F46</f>
        <v/>
      </c>
      <c r="G57" s="481">
        <f>G13+G46</f>
        <v/>
      </c>
      <c r="H57" s="481">
        <f>H13+H46</f>
        <v/>
      </c>
      <c r="I57" s="481">
        <f>I13+I46</f>
        <v/>
      </c>
      <c r="J57" s="481">
        <f>J13*U79</f>
        <v/>
      </c>
      <c r="K57" s="481">
        <f>K13*V79</f>
        <v/>
      </c>
      <c r="L57" s="481">
        <f>L13*W79</f>
        <v/>
      </c>
      <c r="M57" s="481">
        <f>M13*X79</f>
        <v/>
      </c>
      <c r="N57" s="481">
        <f>N13*Y79</f>
        <v/>
      </c>
      <c r="O57" s="481">
        <f>O13*Z79</f>
        <v/>
      </c>
      <c r="P57" s="289">
        <f>J57/I57-1</f>
        <v/>
      </c>
      <c r="AB57" s="481">
        <f>AB13+AB46</f>
        <v/>
      </c>
      <c r="AC57" s="481">
        <f>AC13+AC46</f>
        <v/>
      </c>
      <c r="AD57" s="481" t="n"/>
      <c r="AE57" s="481">
        <f>AE13+AE46</f>
        <v/>
      </c>
      <c r="AF57" s="453">
        <f>AD57-AB57</f>
        <v/>
      </c>
      <c r="AG57" s="379">
        <f>AF57/AB57</f>
        <v/>
      </c>
      <c r="AH57" s="379">
        <f>AB57/I57</f>
        <v/>
      </c>
      <c r="AI57" s="379">
        <f>AD57/J57</f>
        <v/>
      </c>
    </row>
    <row r="58">
      <c r="A58" s="21" t="inlineStr">
        <is>
          <t>Total</t>
        </is>
      </c>
      <c r="B58" s="537" t="n"/>
      <c r="C58" s="537" t="n"/>
      <c r="D58" s="537" t="n"/>
      <c r="E58" s="537">
        <f>E14+E47</f>
        <v/>
      </c>
      <c r="F58" s="537">
        <f>F14+F47</f>
        <v/>
      </c>
      <c r="G58" s="537">
        <f>G14+G47</f>
        <v/>
      </c>
      <c r="H58" s="537">
        <f>H14+H47</f>
        <v/>
      </c>
      <c r="I58" s="537">
        <f>I14+I47</f>
        <v/>
      </c>
      <c r="J58" s="537">
        <f>SUM(J50,J54:J57)</f>
        <v/>
      </c>
      <c r="K58" s="537">
        <f>SUM(K50,K54:K57)</f>
        <v/>
      </c>
      <c r="L58" s="537">
        <f>SUM(L50,L54:L57)</f>
        <v/>
      </c>
      <c r="M58" s="537">
        <f>SUM(M50,M54:M57)</f>
        <v/>
      </c>
      <c r="N58" s="537">
        <f>SUM(N50,N54:N57)</f>
        <v/>
      </c>
      <c r="O58" s="537">
        <f>SUM(O50,O54:O57)</f>
        <v/>
      </c>
      <c r="P58" s="289">
        <f>J58/I58-1</f>
        <v/>
      </c>
      <c r="AB58" s="537">
        <f>AB14+AB47</f>
        <v/>
      </c>
      <c r="AC58" s="537">
        <f>AC14+AC47</f>
        <v/>
      </c>
      <c r="AD58" s="537" t="n"/>
      <c r="AE58" s="537">
        <f>AE14+AE47</f>
        <v/>
      </c>
      <c r="AF58" s="446">
        <f>AD58-AB58</f>
        <v/>
      </c>
      <c r="AG58" s="381">
        <f>AF58/AB58</f>
        <v/>
      </c>
      <c r="AH58" s="381">
        <f>AB58/I58</f>
        <v/>
      </c>
      <c r="AI58" s="381">
        <f>AD58/J58</f>
        <v/>
      </c>
    </row>
    <row r="59">
      <c r="B59" s="481" t="n"/>
      <c r="C59" s="481" t="n"/>
      <c r="D59" s="481" t="n"/>
      <c r="E59" s="481" t="n"/>
      <c r="F59" s="481" t="n"/>
      <c r="G59" s="481" t="n"/>
      <c r="H59" s="481" t="n"/>
      <c r="I59" s="481" t="n"/>
      <c r="J59" s="531" t="n"/>
      <c r="K59" s="531" t="n"/>
      <c r="L59" s="531" t="n"/>
      <c r="M59" s="531" t="n"/>
      <c r="N59" s="531" t="n"/>
      <c r="O59" s="531" t="n"/>
      <c r="AB59" s="481" t="n"/>
      <c r="AC59" s="481" t="n"/>
      <c r="AD59" s="481" t="n"/>
      <c r="AE59" s="481" t="n"/>
    </row>
    <row r="60">
      <c r="A60" s="433" t="inlineStr">
        <is>
          <t>GP % of total</t>
        </is>
      </c>
      <c r="B60" s="133" t="n"/>
      <c r="C60" s="133" t="n"/>
      <c r="D60" s="133" t="n"/>
      <c r="E60" s="133" t="n"/>
      <c r="F60" s="133" t="n"/>
      <c r="G60" s="133" t="n"/>
      <c r="H60" s="133" t="n"/>
      <c r="I60" s="133" t="n"/>
      <c r="J60" s="133" t="n"/>
      <c r="K60" s="133" t="n"/>
      <c r="L60" s="133" t="n"/>
      <c r="M60" s="133" t="n"/>
      <c r="N60" s="133" t="n"/>
      <c r="O60" s="133" t="n"/>
      <c r="AB60" s="133" t="n"/>
      <c r="AC60" s="133" t="n"/>
      <c r="AD60" s="133" t="n"/>
      <c r="AE60" s="133" t="n"/>
    </row>
    <row r="61">
      <c r="A61" s="6">
        <f>A17</f>
        <v/>
      </c>
      <c r="B61" s="136" t="n"/>
      <c r="C61" s="136" t="n"/>
      <c r="D61" s="136" t="n"/>
      <c r="E61" s="136">
        <f>E50/E$58</f>
        <v/>
      </c>
      <c r="F61" s="136">
        <f>F50/F$58</f>
        <v/>
      </c>
      <c r="G61" s="136">
        <f>G50/G$58</f>
        <v/>
      </c>
      <c r="H61" s="136">
        <f>H50/H$58</f>
        <v/>
      </c>
      <c r="I61" s="136">
        <f>I50/I$58</f>
        <v/>
      </c>
      <c r="J61" s="136">
        <f>J50/J$58</f>
        <v/>
      </c>
      <c r="K61" s="136">
        <f>K50/K$58</f>
        <v/>
      </c>
      <c r="L61" s="136">
        <f>L50/L$58</f>
        <v/>
      </c>
      <c r="M61" s="136">
        <f>M50/M$58</f>
        <v/>
      </c>
      <c r="N61" s="136">
        <f>N50/N$58</f>
        <v/>
      </c>
      <c r="O61" s="136">
        <f>O50/O$58</f>
        <v/>
      </c>
      <c r="AB61" s="136">
        <f>AB50/AB$58</f>
        <v/>
      </c>
      <c r="AC61" s="136">
        <f>AC50/AC$58</f>
        <v/>
      </c>
      <c r="AD61" s="136" t="n"/>
      <c r="AE61" s="136">
        <f>AE50/AE$58</f>
        <v/>
      </c>
    </row>
    <row r="62">
      <c r="A62" s="6">
        <f>A18</f>
        <v/>
      </c>
      <c r="B62" s="136" t="n"/>
      <c r="C62" s="136" t="n"/>
      <c r="D62" s="136" t="n"/>
      <c r="E62" s="136">
        <f>E51/E$58</f>
        <v/>
      </c>
      <c r="F62" s="136">
        <f>F51/F$58</f>
        <v/>
      </c>
      <c r="G62" s="136">
        <f>G51/G$58</f>
        <v/>
      </c>
      <c r="H62" s="136">
        <f>H51/H$58</f>
        <v/>
      </c>
      <c r="I62" s="136">
        <f>I51/I$58</f>
        <v/>
      </c>
      <c r="J62" s="136">
        <f>J51/J$58</f>
        <v/>
      </c>
      <c r="K62" s="136">
        <f>K51/K$58</f>
        <v/>
      </c>
      <c r="L62" s="136">
        <f>L51/L$58</f>
        <v/>
      </c>
      <c r="M62" s="136">
        <f>M51/M$58</f>
        <v/>
      </c>
      <c r="N62" s="136">
        <f>N51/N$58</f>
        <v/>
      </c>
      <c r="O62" s="136">
        <f>O51/O$58</f>
        <v/>
      </c>
      <c r="AB62" s="136">
        <f>AB51/AB$58</f>
        <v/>
      </c>
      <c r="AC62" s="136">
        <f>AC51/AC$58</f>
        <v/>
      </c>
      <c r="AD62" s="136" t="n"/>
      <c r="AE62" s="136">
        <f>AE51/AE$58</f>
        <v/>
      </c>
    </row>
    <row r="63">
      <c r="A63" s="6">
        <f>A19</f>
        <v/>
      </c>
      <c r="B63" s="136" t="n"/>
      <c r="C63" s="136" t="n"/>
      <c r="D63" s="136" t="n"/>
      <c r="E63" s="136">
        <f>E52/E$58</f>
        <v/>
      </c>
      <c r="F63" s="136">
        <f>F52/F$58</f>
        <v/>
      </c>
      <c r="G63" s="136">
        <f>G52/G$58</f>
        <v/>
      </c>
      <c r="H63" s="136">
        <f>H52/H$58</f>
        <v/>
      </c>
      <c r="I63" s="136">
        <f>I52/I$58</f>
        <v/>
      </c>
      <c r="J63" s="136">
        <f>J52/J$58</f>
        <v/>
      </c>
      <c r="K63" s="136">
        <f>K52/K$58</f>
        <v/>
      </c>
      <c r="L63" s="136">
        <f>L52/L$58</f>
        <v/>
      </c>
      <c r="M63" s="136">
        <f>M52/M$58</f>
        <v/>
      </c>
      <c r="N63" s="136">
        <f>N52/N$58</f>
        <v/>
      </c>
      <c r="O63" s="136">
        <f>O52/O$58</f>
        <v/>
      </c>
      <c r="AB63" s="136">
        <f>AB52/AB$58</f>
        <v/>
      </c>
      <c r="AC63" s="136">
        <f>AC52/AC$58</f>
        <v/>
      </c>
      <c r="AD63" s="136" t="n"/>
      <c r="AE63" s="136">
        <f>AE52/AE$58</f>
        <v/>
      </c>
    </row>
    <row r="64">
      <c r="A64" s="6">
        <f>A20</f>
        <v/>
      </c>
      <c r="B64" s="136" t="n"/>
      <c r="C64" s="136" t="n"/>
      <c r="D64" s="136" t="n"/>
      <c r="E64" s="136">
        <f>E53/E$58</f>
        <v/>
      </c>
      <c r="F64" s="136">
        <f>F53/F$58</f>
        <v/>
      </c>
      <c r="G64" s="136">
        <f>G53/G$58</f>
        <v/>
      </c>
      <c r="H64" s="136">
        <f>H53/H$58</f>
        <v/>
      </c>
      <c r="I64" s="136">
        <f>I53/I$58</f>
        <v/>
      </c>
      <c r="J64" s="136">
        <f>J53/J$58</f>
        <v/>
      </c>
      <c r="K64" s="136">
        <f>K53/K$58</f>
        <v/>
      </c>
      <c r="L64" s="136">
        <f>L53/L$58</f>
        <v/>
      </c>
      <c r="M64" s="136">
        <f>M53/M$58</f>
        <v/>
      </c>
      <c r="N64" s="136">
        <f>N53/N$58</f>
        <v/>
      </c>
      <c r="O64" s="136">
        <f>O53/O$58</f>
        <v/>
      </c>
      <c r="AB64" s="136">
        <f>AB53/AB$58</f>
        <v/>
      </c>
      <c r="AC64" s="136">
        <f>AC53/AC$58</f>
        <v/>
      </c>
      <c r="AD64" s="136" t="n"/>
      <c r="AE64" s="136">
        <f>AE53/AE$58</f>
        <v/>
      </c>
    </row>
    <row r="65">
      <c r="A65" s="6">
        <f>A21</f>
        <v/>
      </c>
      <c r="B65" s="136" t="n"/>
      <c r="C65" s="136" t="n"/>
      <c r="D65" s="136" t="n"/>
      <c r="E65" s="136">
        <f>E54/E$58</f>
        <v/>
      </c>
      <c r="F65" s="136">
        <f>F54/F$58</f>
        <v/>
      </c>
      <c r="G65" s="136">
        <f>G54/G$58</f>
        <v/>
      </c>
      <c r="H65" s="136">
        <f>H54/H$58</f>
        <v/>
      </c>
      <c r="I65" s="136">
        <f>I54/I$58</f>
        <v/>
      </c>
      <c r="J65" s="136">
        <f>J54/J$58</f>
        <v/>
      </c>
      <c r="K65" s="136">
        <f>K54/K$58</f>
        <v/>
      </c>
      <c r="L65" s="136">
        <f>L54/L$58</f>
        <v/>
      </c>
      <c r="M65" s="136">
        <f>M54/M$58</f>
        <v/>
      </c>
      <c r="N65" s="136">
        <f>N54/N$58</f>
        <v/>
      </c>
      <c r="O65" s="136">
        <f>O54/O$58</f>
        <v/>
      </c>
      <c r="AB65" s="136">
        <f>AB54/AB$58</f>
        <v/>
      </c>
      <c r="AC65" s="136">
        <f>AC54/AC$58</f>
        <v/>
      </c>
      <c r="AD65" s="136" t="n"/>
      <c r="AE65" s="136">
        <f>AE54/AE$58</f>
        <v/>
      </c>
    </row>
    <row r="66">
      <c r="A66" s="6">
        <f>A22</f>
        <v/>
      </c>
      <c r="B66" s="136" t="n"/>
      <c r="C66" s="136" t="n"/>
      <c r="D66" s="136" t="n"/>
      <c r="E66" s="136">
        <f>E55/E$58</f>
        <v/>
      </c>
      <c r="F66" s="136">
        <f>F55/F$58</f>
        <v/>
      </c>
      <c r="G66" s="136">
        <f>G55/G$58</f>
        <v/>
      </c>
      <c r="H66" s="136">
        <f>H55/H$58</f>
        <v/>
      </c>
      <c r="I66" s="136">
        <f>I55/I$58</f>
        <v/>
      </c>
      <c r="J66" s="136">
        <f>J55/J$58</f>
        <v/>
      </c>
      <c r="K66" s="136">
        <f>K55/K$58</f>
        <v/>
      </c>
      <c r="L66" s="136">
        <f>L55/L$58</f>
        <v/>
      </c>
      <c r="M66" s="136">
        <f>M55/M$58</f>
        <v/>
      </c>
      <c r="N66" s="136">
        <f>N55/N$58</f>
        <v/>
      </c>
      <c r="O66" s="136">
        <f>O55/O$58</f>
        <v/>
      </c>
      <c r="AB66" s="136">
        <f>AB55/AB$58</f>
        <v/>
      </c>
      <c r="AC66" s="136">
        <f>AC55/AC$58</f>
        <v/>
      </c>
      <c r="AD66" s="136" t="n"/>
      <c r="AE66" s="136">
        <f>AE55/AE$58</f>
        <v/>
      </c>
    </row>
    <row r="67">
      <c r="A67" s="6">
        <f>A23</f>
        <v/>
      </c>
      <c r="B67" s="136" t="n"/>
      <c r="C67" s="136" t="n"/>
      <c r="D67" s="136" t="n"/>
      <c r="E67" s="136">
        <f>E56/E$58</f>
        <v/>
      </c>
      <c r="F67" s="136">
        <f>F56/F$58</f>
        <v/>
      </c>
      <c r="G67" s="136">
        <f>G56/G$58</f>
        <v/>
      </c>
      <c r="H67" s="136">
        <f>H56/H$58</f>
        <v/>
      </c>
      <c r="I67" s="136">
        <f>I56/I$58</f>
        <v/>
      </c>
      <c r="J67" s="136">
        <f>J56/J$58</f>
        <v/>
      </c>
      <c r="K67" s="136">
        <f>K56/K$58</f>
        <v/>
      </c>
      <c r="L67" s="136">
        <f>L56/L$58</f>
        <v/>
      </c>
      <c r="M67" s="136">
        <f>M56/M$58</f>
        <v/>
      </c>
      <c r="N67" s="136">
        <f>N56/N$58</f>
        <v/>
      </c>
      <c r="O67" s="136">
        <f>O56/O$58</f>
        <v/>
      </c>
      <c r="AB67" s="136">
        <f>AB56/AB$58</f>
        <v/>
      </c>
      <c r="AC67" s="136">
        <f>AC56/AC$58</f>
        <v/>
      </c>
      <c r="AD67" s="136" t="n"/>
      <c r="AE67" s="136">
        <f>AE56/AE$58</f>
        <v/>
      </c>
    </row>
    <row r="68">
      <c r="A68" s="6">
        <f>A24</f>
        <v/>
      </c>
      <c r="B68" s="136" t="n"/>
      <c r="C68" s="136" t="n"/>
      <c r="D68" s="136" t="n"/>
      <c r="E68" s="136">
        <f>E57/E$58</f>
        <v/>
      </c>
      <c r="F68" s="136">
        <f>F57/F$58</f>
        <v/>
      </c>
      <c r="G68" s="136">
        <f>G57/G$58</f>
        <v/>
      </c>
      <c r="H68" s="136">
        <f>H57/H$58</f>
        <v/>
      </c>
      <c r="I68" s="136">
        <f>I57/I$58</f>
        <v/>
      </c>
      <c r="J68" s="136">
        <f>J57/J$58</f>
        <v/>
      </c>
      <c r="K68" s="136">
        <f>K57/K$58</f>
        <v/>
      </c>
      <c r="L68" s="136">
        <f>L57/L$58</f>
        <v/>
      </c>
      <c r="M68" s="136">
        <f>M57/M$58</f>
        <v/>
      </c>
      <c r="N68" s="136">
        <f>N57/N$58</f>
        <v/>
      </c>
      <c r="O68" s="136">
        <f>O57/O$58</f>
        <v/>
      </c>
      <c r="AB68" s="136">
        <f>AB57/AB$58</f>
        <v/>
      </c>
      <c r="AC68" s="136">
        <f>AC57/AC$58</f>
        <v/>
      </c>
      <c r="AD68" s="136" t="n"/>
      <c r="AE68" s="136">
        <f>AE57/AE$58</f>
        <v/>
      </c>
    </row>
    <row r="69">
      <c r="A69" s="21" t="inlineStr">
        <is>
          <t>Total</t>
        </is>
      </c>
      <c r="B69" s="134" t="n"/>
      <c r="C69" s="134" t="n"/>
      <c r="D69" s="134" t="n"/>
      <c r="E69" s="134">
        <f>SUM(E61,E65:E68)</f>
        <v/>
      </c>
      <c r="F69" s="134">
        <f>SUM(F61,F65:F68)</f>
        <v/>
      </c>
      <c r="G69" s="134">
        <f>SUM(G61,G65:G68)</f>
        <v/>
      </c>
      <c r="H69" s="134">
        <f>SUM(H61,H65:H68)</f>
        <v/>
      </c>
      <c r="I69" s="134">
        <f>SUM(I61,I65:I68)</f>
        <v/>
      </c>
      <c r="J69" s="134">
        <f>SUM(J61,J65:J68)</f>
        <v/>
      </c>
      <c r="K69" s="134">
        <f>SUM(K61,K65:K68)</f>
        <v/>
      </c>
      <c r="L69" s="134">
        <f>SUM(L61,L65:L68)</f>
        <v/>
      </c>
      <c r="M69" s="134">
        <f>SUM(M61,M65:M68)</f>
        <v/>
      </c>
      <c r="N69" s="134">
        <f>SUM(N61,N65:N68)</f>
        <v/>
      </c>
      <c r="O69" s="134">
        <f>SUM(O61,O65:O68)</f>
        <v/>
      </c>
      <c r="AB69" s="134">
        <f>SUM(AB61,AB65:AB68)</f>
        <v/>
      </c>
      <c r="AC69" s="134">
        <f>SUM(AC61,AC65:AC68)</f>
        <v/>
      </c>
      <c r="AD69" s="134" t="n"/>
      <c r="AE69" s="134">
        <f>SUM(AE61,AE65:AE68)</f>
        <v/>
      </c>
    </row>
    <row r="70">
      <c r="A70" s="28" t="n"/>
      <c r="B70" s="133" t="n"/>
      <c r="C70" s="133" t="n"/>
      <c r="D70" s="133" t="n"/>
      <c r="E70" s="133" t="n"/>
      <c r="F70" s="133" t="n"/>
      <c r="G70" s="133" t="n"/>
      <c r="H70" s="133" t="n"/>
      <c r="I70" s="133" t="n"/>
      <c r="J70" s="133" t="n"/>
      <c r="K70" s="133" t="n"/>
      <c r="L70" s="133" t="n"/>
      <c r="M70" s="133" t="n"/>
      <c r="N70" s="133" t="n"/>
      <c r="O70" s="133" t="n"/>
      <c r="AB70" s="133" t="n"/>
      <c r="AC70" s="133" t="n"/>
      <c r="AD70" s="133" t="n"/>
      <c r="AE70" s="133" t="n"/>
    </row>
    <row r="71">
      <c r="A71" s="433" t="inlineStr">
        <is>
          <t>Gross profit margin</t>
        </is>
      </c>
      <c r="B71" s="481" t="n"/>
      <c r="C71" s="481" t="n"/>
      <c r="D71" s="481" t="n"/>
      <c r="E71" s="481" t="n"/>
      <c r="F71" s="481" t="n"/>
      <c r="G71" s="481" t="n"/>
      <c r="H71" s="435" t="n"/>
      <c r="I71" s="435" t="n"/>
      <c r="J71" s="541" t="n"/>
      <c r="K71" s="542" t="n"/>
      <c r="L71" s="542" t="n"/>
      <c r="M71" s="542" t="n"/>
      <c r="N71" s="542" t="n"/>
      <c r="O71" s="542" t="n"/>
      <c r="P71" s="543" t="n"/>
      <c r="AB71" s="435" t="n"/>
      <c r="AC71" s="435" t="n"/>
      <c r="AD71" s="435" t="n"/>
      <c r="AE71" s="435" t="n"/>
    </row>
    <row r="72">
      <c r="A72" s="6">
        <f>+A6</f>
        <v/>
      </c>
      <c r="B72" s="136" t="n"/>
      <c r="C72" s="136" t="n"/>
      <c r="D72" s="136" t="n"/>
      <c r="E72" s="136">
        <f>E50/E6</f>
        <v/>
      </c>
      <c r="F72" s="136">
        <f>F50/F6</f>
        <v/>
      </c>
      <c r="G72" s="136">
        <f>G50/G6</f>
        <v/>
      </c>
      <c r="H72" s="136">
        <f>H50/H6</f>
        <v/>
      </c>
      <c r="I72" s="136">
        <f>I50/I6</f>
        <v/>
      </c>
      <c r="J72" s="136">
        <f>J50/J6</f>
        <v/>
      </c>
      <c r="K72" s="136">
        <f>K50/K6</f>
        <v/>
      </c>
      <c r="L72" s="136">
        <f>L50/L6</f>
        <v/>
      </c>
      <c r="M72" s="136">
        <f>M50/M6</f>
        <v/>
      </c>
      <c r="N72" s="136">
        <f>N50/N6</f>
        <v/>
      </c>
      <c r="O72" s="136">
        <f>O50/O6</f>
        <v/>
      </c>
      <c r="P72" s="257" t="n"/>
      <c r="U72" s="541" t="inlineStr">
        <is>
          <t xml:space="preserve">do not delete </t>
        </is>
      </c>
      <c r="AB72" s="136">
        <f>AB50/AB6</f>
        <v/>
      </c>
      <c r="AC72" s="136">
        <f>AC50/AC6</f>
        <v/>
      </c>
      <c r="AD72" s="136" t="n"/>
      <c r="AE72" s="136">
        <f>AE50/AE6</f>
        <v/>
      </c>
      <c r="AF72" s="544">
        <f>(AD72-AB72)*100</f>
        <v/>
      </c>
      <c r="AG72" s="379" t="n"/>
      <c r="AH72" s="379">
        <f>AB72/I72</f>
        <v/>
      </c>
      <c r="AI72" s="379">
        <f>AD72/J72</f>
        <v/>
      </c>
    </row>
    <row r="73">
      <c r="A73" s="6">
        <f>+A7</f>
        <v/>
      </c>
      <c r="B73" s="136" t="n"/>
      <c r="C73" s="136" t="n"/>
      <c r="D73" s="136" t="n"/>
      <c r="E73" s="136">
        <f>E51/E7</f>
        <v/>
      </c>
      <c r="F73" s="136">
        <f>F51/F7</f>
        <v/>
      </c>
      <c r="G73" s="136">
        <f>G51/G7</f>
        <v/>
      </c>
      <c r="H73" s="136">
        <f>H51/H7</f>
        <v/>
      </c>
      <c r="I73" s="136">
        <f>I51/I7</f>
        <v/>
      </c>
      <c r="J73" s="139">
        <f>I73+1.5%</f>
        <v/>
      </c>
      <c r="K73" s="139">
        <f>J73+1%</f>
        <v/>
      </c>
      <c r="L73" s="139" t="n">
        <v>0.2359873753312312</v>
      </c>
      <c r="M73" s="139" t="n">
        <v>0.2677852014097692</v>
      </c>
      <c r="N73" s="139" t="n">
        <v>0.2847679909806293</v>
      </c>
      <c r="O73" s="139">
        <f>+N73</f>
        <v/>
      </c>
      <c r="P73" s="257" t="inlineStr">
        <is>
          <t xml:space="preserve">Gross margin see strong expansion driven by export with high GPM </t>
        </is>
      </c>
      <c r="U73" s="110">
        <f>J73+Sensitvity!A6</f>
        <v/>
      </c>
      <c r="V73" s="110">
        <f>K73+Sensitvity!A9</f>
        <v/>
      </c>
      <c r="W73" s="110">
        <f>L73+Sensitvity!A12</f>
        <v/>
      </c>
      <c r="X73" s="110">
        <f>M73+Sensitvity!A15</f>
        <v/>
      </c>
      <c r="Y73" s="110">
        <f>N73+Sensitvity!A18</f>
        <v/>
      </c>
      <c r="Z73" s="110">
        <f>O73+Sensitvity!A21</f>
        <v/>
      </c>
      <c r="AB73" s="136">
        <f>AB51/AB7</f>
        <v/>
      </c>
      <c r="AC73" s="136">
        <f>AC51/AC7</f>
        <v/>
      </c>
      <c r="AD73" s="136" t="n"/>
      <c r="AE73" s="136">
        <f>AE51/AE7</f>
        <v/>
      </c>
      <c r="AF73" s="544">
        <f>(AD73-AB73)*100</f>
        <v/>
      </c>
      <c r="AG73" s="379" t="n"/>
      <c r="AH73" s="379">
        <f>AB73/I73</f>
        <v/>
      </c>
      <c r="AI73" s="379">
        <f>AD73/J73</f>
        <v/>
      </c>
    </row>
    <row r="74">
      <c r="A74" s="6">
        <f>+A8</f>
        <v/>
      </c>
      <c r="B74" s="136" t="n"/>
      <c r="C74" s="136" t="n"/>
      <c r="D74" s="136" t="n"/>
      <c r="E74" s="136">
        <f>E52/E8</f>
        <v/>
      </c>
      <c r="F74" s="136">
        <f>F52/F8</f>
        <v/>
      </c>
      <c r="G74" s="136">
        <f>G52/G8</f>
        <v/>
      </c>
      <c r="H74" s="136">
        <f>H52/H8</f>
        <v/>
      </c>
      <c r="I74" s="136">
        <f>I52/I8</f>
        <v/>
      </c>
      <c r="J74" s="139">
        <f>I74+0.5%</f>
        <v/>
      </c>
      <c r="K74" s="139">
        <f>J74+0.5%</f>
        <v/>
      </c>
      <c r="L74" s="139">
        <f>K74+0.5%</f>
        <v/>
      </c>
      <c r="M74" s="139">
        <f>L74+0.5%</f>
        <v/>
      </c>
      <c r="N74" s="139">
        <f>M74+0.5%</f>
        <v/>
      </c>
      <c r="O74" s="139">
        <f>N74+0.5%</f>
        <v/>
      </c>
      <c r="P74" s="257" t="inlineStr">
        <is>
          <t>Gross margin see some expansion in FY25 from FY24 per management</t>
        </is>
      </c>
      <c r="U74" s="110">
        <f>J74+Sensitvity!J6</f>
        <v/>
      </c>
      <c r="V74" s="110">
        <f>K74+Sensitvity!J9</f>
        <v/>
      </c>
      <c r="W74" s="110">
        <f>L74+Sensitvity!J12</f>
        <v/>
      </c>
      <c r="X74" s="110">
        <f>M74+Sensitvity!J15</f>
        <v/>
      </c>
      <c r="Y74" s="110">
        <f>N74+Sensitvity!J18</f>
        <v/>
      </c>
      <c r="Z74" s="110">
        <f>O74+Sensitvity!J21</f>
        <v/>
      </c>
      <c r="AB74" s="136">
        <f>AB52/AB8</f>
        <v/>
      </c>
      <c r="AC74" s="136">
        <f>AC52/AC8</f>
        <v/>
      </c>
      <c r="AD74" s="136" t="n"/>
      <c r="AE74" s="136">
        <f>AE52/AE8</f>
        <v/>
      </c>
      <c r="AF74" s="544">
        <f>(AD74-AB74)*100</f>
        <v/>
      </c>
      <c r="AG74" s="379" t="n"/>
      <c r="AH74" s="379">
        <f>AB74/I74</f>
        <v/>
      </c>
      <c r="AI74" s="379">
        <f>AD74/J74</f>
        <v/>
      </c>
    </row>
    <row r="75">
      <c r="A75" s="6">
        <f>+A9</f>
        <v/>
      </c>
      <c r="B75" s="136" t="n"/>
      <c r="C75" s="136" t="n"/>
      <c r="D75" s="136" t="n"/>
      <c r="E75" s="136">
        <f>E53/E9</f>
        <v/>
      </c>
      <c r="F75" s="136">
        <f>F53/F9</f>
        <v/>
      </c>
      <c r="G75" s="136">
        <f>G53/G9</f>
        <v/>
      </c>
      <c r="H75" s="136">
        <f>H53/H9</f>
        <v/>
      </c>
      <c r="I75" s="136">
        <f>I53/I9</f>
        <v/>
      </c>
      <c r="J75" s="139">
        <f>I75+1%</f>
        <v/>
      </c>
      <c r="K75" s="139">
        <f>J75</f>
        <v/>
      </c>
      <c r="L75" s="139">
        <f>K75</f>
        <v/>
      </c>
      <c r="M75" s="139">
        <f>L75</f>
        <v/>
      </c>
      <c r="N75" s="139">
        <f>M75</f>
        <v/>
      </c>
      <c r="O75" s="139">
        <f>N75</f>
        <v/>
      </c>
      <c r="P75" s="257" t="inlineStr">
        <is>
          <t xml:space="preserve">Gradually recover to 19-20% from FY25 in the coming years </t>
        </is>
      </c>
      <c r="U75" s="110">
        <f>J75+Sensitvity!S6</f>
        <v/>
      </c>
      <c r="V75" s="110">
        <f>K75+Sensitvity!S9</f>
        <v/>
      </c>
      <c r="W75" s="110">
        <f>L75+Sensitvity!S12</f>
        <v/>
      </c>
      <c r="X75" s="110">
        <f>M75+Sensitvity!S15</f>
        <v/>
      </c>
      <c r="Y75" s="110">
        <f>N75+Sensitvity!S18</f>
        <v/>
      </c>
      <c r="Z75" s="110">
        <f>O75+Sensitvity!S21</f>
        <v/>
      </c>
      <c r="AB75" s="136">
        <f>AB53/AB9</f>
        <v/>
      </c>
      <c r="AC75" s="136">
        <f>AC53/AC9</f>
        <v/>
      </c>
      <c r="AD75" s="136" t="n"/>
      <c r="AE75" s="136">
        <f>AE53/AE9</f>
        <v/>
      </c>
      <c r="AF75" s="544">
        <f>(AD75-AB75)*100</f>
        <v/>
      </c>
      <c r="AG75" s="379" t="n"/>
      <c r="AH75" s="379">
        <f>AB75/I75</f>
        <v/>
      </c>
      <c r="AI75" s="379">
        <f>AD75/J75</f>
        <v/>
      </c>
    </row>
    <row r="76">
      <c r="A76" s="6">
        <f>+A10</f>
        <v/>
      </c>
      <c r="B76" s="136" t="n"/>
      <c r="C76" s="136" t="n"/>
      <c r="D76" s="136" t="n"/>
      <c r="E76" s="136">
        <f>E54/E10</f>
        <v/>
      </c>
      <c r="F76" s="136">
        <f>F54/F10</f>
        <v/>
      </c>
      <c r="G76" s="136">
        <f>G54/G10</f>
        <v/>
      </c>
      <c r="H76" s="136">
        <f>H54/H10</f>
        <v/>
      </c>
      <c r="I76" s="136">
        <f>I54/I10</f>
        <v/>
      </c>
      <c r="J76" s="139">
        <f>I76+1%</f>
        <v/>
      </c>
      <c r="K76" s="139">
        <f>J76+2%</f>
        <v/>
      </c>
      <c r="L76" s="139">
        <f>K76+2%</f>
        <v/>
      </c>
      <c r="M76" s="139">
        <f>L76+2%</f>
        <v/>
      </c>
      <c r="N76" s="139">
        <f>M76+2%</f>
        <v/>
      </c>
      <c r="O76" s="139">
        <f>N76+2%</f>
        <v/>
      </c>
      <c r="P76" s="545" t="n"/>
      <c r="U76" s="110">
        <f>J76+Sensitvity!AB6</f>
        <v/>
      </c>
      <c r="V76" s="110">
        <f>K76+Sensitvity!AB9</f>
        <v/>
      </c>
      <c r="W76" s="110">
        <f>L76+Sensitvity!AB12</f>
        <v/>
      </c>
      <c r="X76" s="110">
        <f>M76+Sensitvity!AB15</f>
        <v/>
      </c>
      <c r="Y76" s="110">
        <f>N76+Sensitvity!AB18</f>
        <v/>
      </c>
      <c r="Z76" s="110">
        <f>O76+Sensitvity!AB21</f>
        <v/>
      </c>
      <c r="AB76" s="136">
        <f>AB54/AB10</f>
        <v/>
      </c>
      <c r="AC76" s="136">
        <f>AC54/AC10</f>
        <v/>
      </c>
      <c r="AD76" s="136" t="n"/>
      <c r="AE76" s="136">
        <f>AE54/AE10</f>
        <v/>
      </c>
      <c r="AF76" s="544">
        <f>(AD76-AB76)*100</f>
        <v/>
      </c>
      <c r="AG76" s="379" t="n"/>
      <c r="AH76" s="379">
        <f>AB76/I76</f>
        <v/>
      </c>
      <c r="AI76" s="379">
        <f>AD76/J76</f>
        <v/>
      </c>
    </row>
    <row r="77">
      <c r="A77" s="6" t="inlineStr">
        <is>
          <t xml:space="preserve">Hydro </t>
        </is>
      </c>
      <c r="B77" s="136" t="n"/>
      <c r="C77" s="136" t="n"/>
      <c r="D77" s="136" t="n"/>
      <c r="E77" s="136">
        <f>E55/E11</f>
        <v/>
      </c>
      <c r="F77" s="136">
        <f>F55/F11</f>
        <v/>
      </c>
      <c r="G77" s="136">
        <f>G55/G11</f>
        <v/>
      </c>
      <c r="H77" s="136">
        <f>H55/H11</f>
        <v/>
      </c>
      <c r="I77" s="136">
        <f>I55/I11</f>
        <v/>
      </c>
      <c r="J77" s="139">
        <f>I77</f>
        <v/>
      </c>
      <c r="K77" s="139">
        <f>J77</f>
        <v/>
      </c>
      <c r="L77" s="139">
        <f>K77</f>
        <v/>
      </c>
      <c r="M77" s="139">
        <f>L77</f>
        <v/>
      </c>
      <c r="N77" s="139">
        <f>M77</f>
        <v/>
      </c>
      <c r="O77" s="139">
        <f>N77</f>
        <v/>
      </c>
      <c r="P77" s="545" t="n"/>
      <c r="U77" s="110">
        <f>J77+Sensitvity!AK6</f>
        <v/>
      </c>
      <c r="V77" s="110">
        <f>K77+Sensitvity!AK9</f>
        <v/>
      </c>
      <c r="W77" s="110">
        <f>L77+Sensitvity!AK12</f>
        <v/>
      </c>
      <c r="X77" s="110">
        <f>M77+Sensitvity!AK15</f>
        <v/>
      </c>
      <c r="Y77" s="110">
        <f>N77+Sensitvity!AK18</f>
        <v/>
      </c>
      <c r="Z77" s="110">
        <f>O77+Sensitvity!AK21</f>
        <v/>
      </c>
      <c r="AB77" s="136">
        <f>AB55/AB11</f>
        <v/>
      </c>
      <c r="AC77" s="136">
        <f>AC55/AC11</f>
        <v/>
      </c>
      <c r="AD77" s="136" t="n"/>
      <c r="AE77" s="136">
        <f>AE55/AE11</f>
        <v/>
      </c>
      <c r="AF77" s="544">
        <f>(AD77-AB77)*100</f>
        <v/>
      </c>
      <c r="AG77" s="379" t="n"/>
      <c r="AH77" s="379">
        <f>AB77/I77</f>
        <v/>
      </c>
      <c r="AI77" s="379">
        <f>AD77/J77</f>
        <v/>
      </c>
    </row>
    <row r="78">
      <c r="A78" s="6">
        <f>+A12</f>
        <v/>
      </c>
      <c r="B78" s="136" t="n"/>
      <c r="C78" s="136" t="n"/>
      <c r="D78" s="136" t="n"/>
      <c r="E78" s="136">
        <f>E56/E12</f>
        <v/>
      </c>
      <c r="F78" s="136">
        <f>F56/F12</f>
        <v/>
      </c>
      <c r="G78" s="136">
        <f>G56/G12</f>
        <v/>
      </c>
      <c r="H78" s="136">
        <f>H56/H12</f>
        <v/>
      </c>
      <c r="I78" s="136">
        <f>I56/I12</f>
        <v/>
      </c>
      <c r="J78" s="139">
        <f>I78</f>
        <v/>
      </c>
      <c r="K78" s="139">
        <f>J78</f>
        <v/>
      </c>
      <c r="L78" s="139">
        <f>K78</f>
        <v/>
      </c>
      <c r="M78" s="139">
        <f>L78</f>
        <v/>
      </c>
      <c r="N78" s="139">
        <f>M78</f>
        <v/>
      </c>
      <c r="O78" s="139">
        <f>N78</f>
        <v/>
      </c>
      <c r="P78" s="545" t="n"/>
      <c r="U78" s="110">
        <f>J78+Sensitvity!BC6</f>
        <v/>
      </c>
      <c r="V78" s="110">
        <f>K78+Sensitvity!BC9</f>
        <v/>
      </c>
      <c r="W78" s="110">
        <f>L78+Sensitvity!BC12</f>
        <v/>
      </c>
      <c r="X78" s="110">
        <f>M78+Sensitvity!BC15</f>
        <v/>
      </c>
      <c r="Y78" s="110">
        <f>N78+Sensitvity!BC18</f>
        <v/>
      </c>
      <c r="Z78" s="110">
        <f>O78+Sensitvity!BC21</f>
        <v/>
      </c>
      <c r="AB78" s="136">
        <f>AB56/AB12</f>
        <v/>
      </c>
      <c r="AC78" s="136">
        <f>AC56/AC12</f>
        <v/>
      </c>
      <c r="AD78" s="136" t="n"/>
      <c r="AE78" s="136">
        <f>AE56/AE12</f>
        <v/>
      </c>
      <c r="AF78" s="544">
        <f>(AD78-AB78)*100</f>
        <v/>
      </c>
      <c r="AG78" s="379" t="n"/>
      <c r="AH78" s="379">
        <f>AB78/I78</f>
        <v/>
      </c>
      <c r="AI78" s="379">
        <f>AD78/J78</f>
        <v/>
      </c>
    </row>
    <row r="79">
      <c r="A79" s="6">
        <f>+A13</f>
        <v/>
      </c>
      <c r="B79" s="136" t="n"/>
      <c r="C79" s="136" t="n"/>
      <c r="D79" s="136" t="n"/>
      <c r="E79" s="136">
        <f>E57/E13</f>
        <v/>
      </c>
      <c r="F79" s="136">
        <f>F57/F13</f>
        <v/>
      </c>
      <c r="G79" s="136">
        <f>G57/G13</f>
        <v/>
      </c>
      <c r="H79" s="136">
        <f>H57/H13</f>
        <v/>
      </c>
      <c r="I79" s="136">
        <f>I57/I13</f>
        <v/>
      </c>
      <c r="J79" s="110">
        <f>I79</f>
        <v/>
      </c>
      <c r="K79" s="110">
        <f>J79</f>
        <v/>
      </c>
      <c r="L79" s="110">
        <f>K79</f>
        <v/>
      </c>
      <c r="M79" s="110">
        <f>L79</f>
        <v/>
      </c>
      <c r="N79" s="110">
        <f>M79</f>
        <v/>
      </c>
      <c r="O79" s="110">
        <f>N79</f>
        <v/>
      </c>
      <c r="P79" s="257" t="n"/>
      <c r="U79" s="110">
        <f>J79+Sensitvity!AT6</f>
        <v/>
      </c>
      <c r="V79" s="110">
        <f>K79+Sensitvity!AT9</f>
        <v/>
      </c>
      <c r="W79" s="110">
        <f>L79+Sensitvity!AT12</f>
        <v/>
      </c>
      <c r="X79" s="110">
        <f>M79+Sensitvity!AT15</f>
        <v/>
      </c>
      <c r="Y79" s="110">
        <f>N79+Sensitvity!AT18</f>
        <v/>
      </c>
      <c r="Z79" s="110">
        <f>O79+Sensitvity!AT21</f>
        <v/>
      </c>
      <c r="AB79" s="136">
        <f>AB57/AB13</f>
        <v/>
      </c>
      <c r="AC79" s="136">
        <f>AC57/AC13</f>
        <v/>
      </c>
      <c r="AD79" s="136" t="n"/>
      <c r="AE79" s="136">
        <f>AE57/AE13</f>
        <v/>
      </c>
      <c r="AF79" s="544">
        <f>(AD79-AB79)*100</f>
        <v/>
      </c>
      <c r="AG79" s="379" t="n"/>
      <c r="AH79" s="379">
        <f>AB79/I79</f>
        <v/>
      </c>
      <c r="AI79" s="379">
        <f>AD79/J79</f>
        <v/>
      </c>
    </row>
    <row r="80">
      <c r="A80" s="21" t="inlineStr">
        <is>
          <t>Total</t>
        </is>
      </c>
      <c r="B80" s="134" t="n"/>
      <c r="C80" s="134" t="n"/>
      <c r="D80" s="134" t="n"/>
      <c r="E80" s="134">
        <f>E58/E14</f>
        <v/>
      </c>
      <c r="F80" s="134">
        <f>F58/F14</f>
        <v/>
      </c>
      <c r="G80" s="134">
        <f>G58/G14</f>
        <v/>
      </c>
      <c r="H80" s="134">
        <f>H58/H14</f>
        <v/>
      </c>
      <c r="I80" s="134">
        <f>I58/I14</f>
        <v/>
      </c>
      <c r="J80" s="134">
        <f>J58/J14</f>
        <v/>
      </c>
      <c r="K80" s="134">
        <f>K58/K14</f>
        <v/>
      </c>
      <c r="L80" s="134">
        <f>L58/L14</f>
        <v/>
      </c>
      <c r="M80" s="134">
        <f>M58/M14</f>
        <v/>
      </c>
      <c r="N80" s="134">
        <f>N58/N14</f>
        <v/>
      </c>
      <c r="O80" s="134">
        <f>O58/O14</f>
        <v/>
      </c>
      <c r="P80" s="257" t="n"/>
      <c r="AB80" s="134">
        <f>AB58/AB14</f>
        <v/>
      </c>
      <c r="AC80" s="134">
        <f>AC58/AC14</f>
        <v/>
      </c>
      <c r="AD80" s="134" t="n"/>
      <c r="AE80" s="134">
        <f>AE58/AE14</f>
        <v/>
      </c>
      <c r="AF80" s="546">
        <f>(AD80-AB80)*100</f>
        <v/>
      </c>
      <c r="AG80" s="381" t="n"/>
      <c r="AH80" s="381">
        <f>AB80/I80</f>
        <v/>
      </c>
      <c r="AI80" s="381">
        <f>AD80/J80</f>
        <v/>
      </c>
    </row>
    <row r="81">
      <c r="A81" s="28" t="n"/>
      <c r="B81" s="547" t="n"/>
      <c r="C81" s="547" t="n"/>
      <c r="D81" s="547" t="n"/>
      <c r="E81" s="547" t="n"/>
      <c r="F81" s="547" t="n"/>
      <c r="G81" s="547" t="n"/>
      <c r="H81" s="547" t="n"/>
      <c r="I81" s="547" t="n"/>
      <c r="K81" s="547" t="n"/>
      <c r="L81" s="547" t="n"/>
      <c r="M81" s="547" t="n"/>
      <c r="N81" s="547" t="n"/>
      <c r="O81" s="547" t="n"/>
      <c r="AB81" s="547" t="n"/>
      <c r="AC81" s="547" t="n"/>
      <c r="AD81" s="547" t="n"/>
      <c r="AE81" s="547" t="n"/>
    </row>
    <row r="82">
      <c r="A82" s="28" t="inlineStr">
        <is>
          <t>By region</t>
        </is>
      </c>
      <c r="B82" s="547" t="n"/>
      <c r="C82" s="547" t="n"/>
      <c r="D82" s="547" t="n"/>
      <c r="E82" s="547" t="n"/>
      <c r="F82" s="547" t="n"/>
      <c r="G82" s="547" t="n"/>
      <c r="H82" s="547" t="n"/>
      <c r="I82" s="547" t="n"/>
      <c r="J82" s="547" t="n"/>
      <c r="L82" s="547" t="n"/>
      <c r="M82" s="547" t="n"/>
      <c r="N82" s="547" t="n"/>
      <c r="O82" s="547" t="n"/>
      <c r="AB82" s="547" t="n"/>
      <c r="AC82" s="547" t="n"/>
      <c r="AD82" s="547" t="n"/>
      <c r="AE82" s="547" t="n"/>
    </row>
    <row r="83">
      <c r="A83" s="6" t="inlineStr">
        <is>
          <t>Domestic</t>
        </is>
      </c>
      <c r="B83" s="481" t="n"/>
      <c r="C83" s="481" t="n"/>
      <c r="D83" s="481" t="n"/>
      <c r="E83" s="481" t="n">
        <v>5447.34381171</v>
      </c>
      <c r="F83" s="481" t="n">
        <v>5830.36987025</v>
      </c>
      <c r="G83" s="481" t="n">
        <v>7299.3239288</v>
      </c>
      <c r="H83" s="481" t="n">
        <v>9300.155806629999</v>
      </c>
      <c r="I83" s="481" t="n">
        <v>11670.71391828</v>
      </c>
      <c r="J83" s="481" t="n"/>
      <c r="K83" s="547" t="n"/>
      <c r="L83" s="481" t="n"/>
      <c r="M83" s="481" t="n"/>
      <c r="N83" s="481" t="n"/>
      <c r="O83" s="481" t="n"/>
      <c r="P83" s="289" t="n"/>
      <c r="AB83" s="481" t="inlineStr">
        <is>
          <t> </t>
        </is>
      </c>
      <c r="AC83" s="481" t="n"/>
      <c r="AD83" s="481" t="n"/>
      <c r="AE83" s="481" t="n"/>
    </row>
    <row r="84">
      <c r="A84" s="6" t="inlineStr">
        <is>
          <t>Overseas</t>
        </is>
      </c>
      <c r="B84" s="481" t="n"/>
      <c r="C84" s="481" t="n"/>
      <c r="D84" s="481" t="n"/>
      <c r="E84" s="481" t="n">
        <v>1547.41434409</v>
      </c>
      <c r="F84" s="481" t="n">
        <v>1080.22700606</v>
      </c>
      <c r="G84" s="481" t="n">
        <v>1640.06158564</v>
      </c>
      <c r="H84" s="481" t="n">
        <v>1960.64608549</v>
      </c>
      <c r="I84" s="481" t="n">
        <v>2713.50144247</v>
      </c>
      <c r="J84" s="481" t="n"/>
      <c r="K84" s="481" t="n"/>
      <c r="L84" s="481" t="n"/>
      <c r="M84" s="481" t="n"/>
      <c r="N84" s="481" t="n"/>
      <c r="O84" s="481" t="n"/>
      <c r="P84" s="289" t="n"/>
      <c r="AB84" s="481" t="n"/>
      <c r="AC84" s="481" t="n"/>
      <c r="AD84" s="481" t="n"/>
      <c r="AE84" s="481" t="n"/>
    </row>
    <row r="85" customFormat="1" s="126">
      <c r="A85" s="126" t="inlineStr">
        <is>
          <t>Overseas rev. contribution</t>
        </is>
      </c>
      <c r="B85" s="329" t="n"/>
      <c r="C85" s="329" t="n"/>
      <c r="D85" s="329" t="n"/>
      <c r="E85" s="329">
        <f>+E84/(E84+E83)</f>
        <v/>
      </c>
      <c r="F85" s="329">
        <f>+F84/(F84+F83)</f>
        <v/>
      </c>
      <c r="G85" s="329">
        <f>+G84/(G84+G83)</f>
        <v/>
      </c>
      <c r="H85" s="329">
        <f>+H84/(H84+H83)</f>
        <v/>
      </c>
      <c r="I85" s="329">
        <f>+I84/(I84+I83)</f>
        <v/>
      </c>
      <c r="J85" s="329" t="n"/>
      <c r="K85" s="329" t="n"/>
      <c r="L85" s="329" t="n"/>
      <c r="M85" s="329" t="n"/>
      <c r="N85" s="329" t="n"/>
      <c r="O85" s="329" t="n"/>
      <c r="P85" s="257" t="n"/>
      <c r="Q85" s="128" t="n"/>
      <c r="R85" s="128" t="n"/>
      <c r="S85" s="128" t="n"/>
      <c r="T85" s="128" t="n"/>
      <c r="AB85" s="329" t="n"/>
      <c r="AC85" s="329" t="n"/>
      <c r="AD85" s="329" t="n"/>
      <c r="AE85" s="329" t="n"/>
    </row>
    <row r="86" ht="12.75" customFormat="1" customHeight="1" s="126">
      <c r="B86" s="329" t="n"/>
      <c r="C86" s="329" t="n"/>
      <c r="D86" s="329" t="n"/>
      <c r="E86" s="329" t="n"/>
      <c r="F86" s="329" t="n"/>
      <c r="G86" s="329" t="n"/>
      <c r="H86" s="548" t="n"/>
      <c r="I86" s="548" t="n"/>
      <c r="J86" s="549" t="n"/>
      <c r="K86" s="549" t="n"/>
      <c r="L86" s="548" t="n"/>
      <c r="M86" s="548" t="n"/>
      <c r="N86" s="548" t="n"/>
      <c r="O86" s="548" t="n"/>
      <c r="P86" s="268" t="n"/>
      <c r="Q86" s="128" t="n"/>
      <c r="R86" s="128" t="n"/>
      <c r="S86" s="128" t="n"/>
      <c r="T86" s="128" t="n"/>
      <c r="AB86" s="548" t="n"/>
      <c r="AC86" s="548" t="n"/>
      <c r="AD86" s="548" t="n"/>
      <c r="AE86" s="548" t="n"/>
    </row>
    <row r="87">
      <c r="A87" s="28" t="inlineStr">
        <is>
          <t>Gross margin</t>
        </is>
      </c>
      <c r="B87" s="547" t="n"/>
      <c r="C87" s="547" t="n"/>
      <c r="D87" s="547" t="n"/>
      <c r="E87" s="547" t="n"/>
      <c r="F87" s="547" t="n"/>
      <c r="G87" s="547" t="n"/>
      <c r="H87" s="547" t="n"/>
      <c r="I87" s="547" t="n"/>
      <c r="J87" s="547" t="n"/>
      <c r="K87" s="547" t="n"/>
      <c r="L87" s="547" t="n"/>
      <c r="M87" s="547" t="n"/>
      <c r="N87" s="547" t="n"/>
      <c r="O87" s="547" t="n"/>
      <c r="AB87" s="547" t="n"/>
      <c r="AC87" s="547" t="n"/>
      <c r="AD87" s="547" t="n"/>
      <c r="AE87" s="547" t="n"/>
    </row>
    <row r="88">
      <c r="A88" s="6" t="inlineStr">
        <is>
          <t>Domestic</t>
        </is>
      </c>
      <c r="B88" s="136" t="n"/>
      <c r="C88" s="136" t="n"/>
      <c r="D88" s="136" t="n"/>
      <c r="E88" s="136" t="n">
        <v>0.2739</v>
      </c>
      <c r="F88" s="136" t="n">
        <v>0.2384</v>
      </c>
      <c r="G88" s="136" t="n">
        <v>0.2844</v>
      </c>
      <c r="H88" s="136" t="n">
        <v>0.3397</v>
      </c>
      <c r="I88" s="136" t="n">
        <v>0.3455</v>
      </c>
      <c r="J88" s="547" t="n"/>
      <c r="K88" s="547" t="n"/>
      <c r="L88" s="547" t="n"/>
      <c r="M88" s="547" t="n"/>
      <c r="N88" s="547" t="n"/>
      <c r="O88" s="547" t="n"/>
      <c r="P88" s="257" t="n"/>
      <c r="AB88" s="136" t="n"/>
      <c r="AC88" s="136" t="n"/>
      <c r="AD88" s="136" t="n"/>
      <c r="AE88" s="136" t="n"/>
    </row>
    <row r="89">
      <c r="A89" s="6" t="inlineStr">
        <is>
          <t>Overseas</t>
        </is>
      </c>
      <c r="B89" s="136" t="n"/>
      <c r="C89" s="136" t="n"/>
      <c r="D89" s="136" t="n"/>
      <c r="E89" s="136" t="n">
        <v>0.3246</v>
      </c>
      <c r="F89" s="136" t="n">
        <v>0.3127</v>
      </c>
      <c r="G89" s="136" t="n">
        <v>0.2988</v>
      </c>
      <c r="H89" s="136" t="n">
        <v>0.3285</v>
      </c>
      <c r="I89" s="136" t="n">
        <v>0.3545</v>
      </c>
      <c r="J89" s="547" t="n"/>
      <c r="K89" s="547" t="n"/>
      <c r="L89" s="547" t="n"/>
      <c r="M89" s="547" t="n"/>
      <c r="N89" s="547" t="n"/>
      <c r="O89" s="547" t="n"/>
      <c r="AB89" s="136" t="n"/>
      <c r="AC89" s="136" t="n"/>
      <c r="AD89" s="136" t="n"/>
      <c r="AE89" s="136" t="n"/>
    </row>
    <row r="90">
      <c r="A90" s="28" t="n"/>
      <c r="B90" s="547" t="n"/>
      <c r="C90" s="547" t="n"/>
      <c r="D90" s="547" t="n"/>
      <c r="E90" s="547" t="n"/>
      <c r="F90" s="136" t="n"/>
      <c r="G90" s="547" t="n"/>
      <c r="H90" s="547" t="n"/>
      <c r="I90" s="547" t="n"/>
      <c r="J90" s="547" t="n"/>
      <c r="K90" s="547" t="n"/>
      <c r="L90" s="547" t="n"/>
      <c r="M90" s="547" t="n"/>
      <c r="N90" s="547" t="n"/>
      <c r="O90" s="547" t="n"/>
      <c r="AB90" s="547" t="n"/>
      <c r="AC90" s="547" t="n"/>
      <c r="AD90" s="547" t="n"/>
      <c r="AE90" s="547" t="n"/>
    </row>
    <row r="91" ht="14.25" customHeight="1">
      <c r="A91" s="31" t="inlineStr">
        <is>
          <t>Balance Sheet driver</t>
        </is>
      </c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AB91" s="30" t="n"/>
      <c r="AC91" s="30" t="n"/>
      <c r="AD91" s="30" t="n"/>
      <c r="AE91" s="30" t="n"/>
    </row>
    <row r="92">
      <c r="A92" s="105" t="inlineStr">
        <is>
          <t>PPE and CAPEX</t>
        </is>
      </c>
      <c r="B92" s="481" t="n"/>
      <c r="C92" s="481" t="n"/>
      <c r="D92" s="481" t="n"/>
      <c r="E92" s="481" t="n"/>
      <c r="F92" s="481" t="n"/>
      <c r="G92" s="481" t="n"/>
      <c r="H92" s="481" t="n"/>
      <c r="I92" s="481" t="n"/>
      <c r="J92" s="481" t="n"/>
      <c r="K92" s="481" t="n"/>
      <c r="L92" s="481" t="n"/>
      <c r="M92" s="481" t="n"/>
      <c r="N92" s="481" t="n"/>
      <c r="O92" s="481" t="n"/>
      <c r="AB92" s="481" t="n"/>
      <c r="AC92" s="481" t="n"/>
      <c r="AD92" s="481" t="n"/>
      <c r="AE92" s="481" t="n"/>
    </row>
    <row r="93">
      <c r="A93" s="28" t="inlineStr">
        <is>
          <t>Gross PPE</t>
        </is>
      </c>
      <c r="B93" s="481" t="n"/>
      <c r="C93" s="481" t="n"/>
      <c r="D93" s="481" t="n"/>
      <c r="E93" s="481" t="n"/>
      <c r="F93" s="481" t="n"/>
      <c r="G93" s="481" t="n"/>
      <c r="H93" s="481" t="n"/>
      <c r="I93" s="481" t="n"/>
      <c r="J93" s="531" t="n"/>
      <c r="K93" s="531" t="n"/>
      <c r="L93" s="531" t="n"/>
      <c r="M93" s="531" t="n"/>
      <c r="N93" s="531" t="n"/>
      <c r="O93" s="531" t="n"/>
      <c r="AB93" s="481" t="n"/>
      <c r="AC93" s="481" t="n"/>
      <c r="AD93" s="481" t="n"/>
      <c r="AE93" s="481" t="n"/>
    </row>
    <row r="94">
      <c r="A94" s="6" t="inlineStr">
        <is>
          <t>Beginning value</t>
        </is>
      </c>
      <c r="B94" s="481" t="n"/>
      <c r="C94" s="481" t="n"/>
      <c r="D94" s="481" t="n"/>
      <c r="E94" s="481" t="n">
        <v>16855.16981396</v>
      </c>
      <c r="F94" s="481">
        <f>+E98</f>
        <v/>
      </c>
      <c r="G94" s="481">
        <f>+F98</f>
        <v/>
      </c>
      <c r="H94" s="481">
        <f>G98</f>
        <v/>
      </c>
      <c r="I94" s="481">
        <f>H98</f>
        <v/>
      </c>
      <c r="J94" s="481">
        <f>I98</f>
        <v/>
      </c>
      <c r="K94" s="481">
        <f>J98</f>
        <v/>
      </c>
      <c r="L94" s="481">
        <f>K98</f>
        <v/>
      </c>
      <c r="M94" s="481">
        <f>L98</f>
        <v/>
      </c>
      <c r="N94" s="481">
        <f>M98</f>
        <v/>
      </c>
      <c r="O94" s="481">
        <f>N98</f>
        <v/>
      </c>
      <c r="P94" s="269" t="n"/>
      <c r="AB94" s="481" t="n"/>
      <c r="AC94" s="481" t="n"/>
      <c r="AD94" s="481" t="n"/>
      <c r="AE94" s="481" t="n"/>
    </row>
    <row r="95">
      <c r="A95" s="6" t="inlineStr">
        <is>
          <t>Addition</t>
        </is>
      </c>
      <c r="B95" s="481" t="n"/>
      <c r="C95" s="481" t="n"/>
      <c r="D95" s="481" t="n"/>
      <c r="E95" s="481" t="n">
        <v>104.16273356</v>
      </c>
      <c r="F95" s="481" t="n">
        <v>199.00272172</v>
      </c>
      <c r="G95" s="481" t="n">
        <v>142.39217639</v>
      </c>
      <c r="H95" s="481" t="n">
        <v>389.86228799</v>
      </c>
      <c r="I95" s="481" t="n">
        <v>211.93472192</v>
      </c>
      <c r="J95" s="550">
        <f>+Model!U4/Model!T4*Driver!I95</f>
        <v/>
      </c>
      <c r="K95" s="550">
        <f>+Model!V4/Model!U4*Driver!J95</f>
        <v/>
      </c>
      <c r="L95" s="550">
        <f>+Model!W4/Model!V4*Driver!K95</f>
        <v/>
      </c>
      <c r="M95" s="550">
        <f>+Model!X4/Model!W4*Driver!L95</f>
        <v/>
      </c>
      <c r="N95" s="550">
        <f>+Model!Y4/Model!X4*Driver!M95</f>
        <v/>
      </c>
      <c r="O95" s="550">
        <f>+Model!Z4/Model!Y4*Driver!N95</f>
        <v/>
      </c>
      <c r="P95" s="269" t="n"/>
      <c r="AB95" s="481" t="n"/>
      <c r="AC95" s="481" t="n"/>
      <c r="AD95" s="481" t="n"/>
      <c r="AE95" s="481" t="n"/>
    </row>
    <row r="96">
      <c r="A96" s="6" t="inlineStr">
        <is>
          <t>Transfer from CIP/Invest property</t>
        </is>
      </c>
      <c r="B96" s="481" t="n"/>
      <c r="C96" s="481" t="n"/>
      <c r="D96" s="481" t="n"/>
      <c r="E96" s="481">
        <f>716.34099731-E95</f>
        <v/>
      </c>
      <c r="F96" s="481">
        <f>672.45088682-F95</f>
        <v/>
      </c>
      <c r="G96" s="481">
        <f>591.14159996-G95</f>
        <v/>
      </c>
      <c r="H96" s="481">
        <f>812.28913046-H95</f>
        <v/>
      </c>
      <c r="I96" s="481">
        <f>1265.02640492-I95</f>
        <v/>
      </c>
      <c r="J96" s="481">
        <f>-J114</f>
        <v/>
      </c>
      <c r="K96" s="481">
        <f>-K114</f>
        <v/>
      </c>
      <c r="L96" s="481">
        <f>-L114</f>
        <v/>
      </c>
      <c r="M96" s="481">
        <f>-M114</f>
        <v/>
      </c>
      <c r="N96" s="481">
        <f>-N114</f>
        <v/>
      </c>
      <c r="O96" s="481">
        <f>-O114</f>
        <v/>
      </c>
      <c r="P96" s="269" t="n"/>
      <c r="AB96" s="481" t="n"/>
      <c r="AC96" s="481" t="n"/>
      <c r="AD96" s="481" t="n"/>
      <c r="AE96" s="481" t="n"/>
    </row>
    <row r="97">
      <c r="A97" s="6" t="inlineStr">
        <is>
          <t>Disposal</t>
        </is>
      </c>
      <c r="B97" s="481" t="n"/>
      <c r="C97" s="481" t="n"/>
      <c r="D97" s="481" t="n"/>
      <c r="E97" s="481" t="n">
        <v>-153.6360597</v>
      </c>
      <c r="F97" s="481" t="n">
        <v>-949.59735039</v>
      </c>
      <c r="G97" s="481" t="n">
        <v>-312.90018561</v>
      </c>
      <c r="H97" s="481" t="n">
        <v>-244.00737218</v>
      </c>
      <c r="I97" s="481" t="n">
        <v>-388.94735586</v>
      </c>
      <c r="J97" s="550">
        <f>Model!U20</f>
        <v/>
      </c>
      <c r="K97" s="550">
        <f>Model!V20</f>
        <v/>
      </c>
      <c r="L97" s="550">
        <f>Model!W20</f>
        <v/>
      </c>
      <c r="M97" s="550">
        <f>Model!X20</f>
        <v/>
      </c>
      <c r="N97" s="550">
        <f>Model!Y20</f>
        <v/>
      </c>
      <c r="O97" s="550">
        <f>Model!Z20</f>
        <v/>
      </c>
      <c r="P97" s="269" t="n"/>
      <c r="AB97" s="481" t="n"/>
      <c r="AC97" s="481" t="n"/>
      <c r="AD97" s="481" t="n"/>
      <c r="AE97" s="481" t="n"/>
    </row>
    <row r="98">
      <c r="A98" s="21" t="inlineStr">
        <is>
          <t>Ending value</t>
        </is>
      </c>
      <c r="B98" s="537" t="n"/>
      <c r="C98" s="537" t="n"/>
      <c r="D98" s="537" t="n"/>
      <c r="E98" s="537">
        <f>SUM(E94:E97)</f>
        <v/>
      </c>
      <c r="F98" s="537">
        <f>SUM(F94:F97)</f>
        <v/>
      </c>
      <c r="G98" s="537">
        <f>SUM(G94:G97)</f>
        <v/>
      </c>
      <c r="H98" s="537">
        <f>SUM(H94:H97)</f>
        <v/>
      </c>
      <c r="I98" s="537">
        <f>SUM(I94:I97)</f>
        <v/>
      </c>
      <c r="J98" s="537">
        <f>SUM(J94:J97)</f>
        <v/>
      </c>
      <c r="K98" s="537">
        <f>SUM(K94:K97)</f>
        <v/>
      </c>
      <c r="L98" s="537">
        <f>SUM(L94:L97)</f>
        <v/>
      </c>
      <c r="M98" s="537">
        <f>SUM(M94:M97)</f>
        <v/>
      </c>
      <c r="N98" s="537">
        <f>SUM(N94:N97)</f>
        <v/>
      </c>
      <c r="O98" s="537">
        <f>SUM(O94:O97)</f>
        <v/>
      </c>
      <c r="AB98" s="538" t="n"/>
      <c r="AC98" s="538" t="n"/>
      <c r="AD98" s="538" t="n"/>
      <c r="AE98" s="538" t="n"/>
    </row>
    <row r="99">
      <c r="B99" s="481" t="n"/>
      <c r="C99" s="481" t="n"/>
      <c r="D99" s="481" t="n"/>
      <c r="E99" s="481" t="n"/>
      <c r="F99" s="481" t="n"/>
      <c r="G99" s="481" t="n"/>
      <c r="H99" s="481" t="n"/>
      <c r="I99" s="481" t="n"/>
      <c r="J99" s="481" t="n"/>
      <c r="K99" s="481" t="n"/>
      <c r="L99" s="481" t="n"/>
      <c r="M99" s="481" t="n"/>
      <c r="N99" s="481" t="n"/>
      <c r="O99" s="481" t="n"/>
      <c r="AB99" s="481" t="n"/>
      <c r="AC99" s="481" t="n"/>
      <c r="AD99" s="481" t="n"/>
      <c r="AE99" s="481" t="n"/>
    </row>
    <row r="100">
      <c r="A100" s="28" t="inlineStr">
        <is>
          <t>Accumulated Depreciation</t>
        </is>
      </c>
      <c r="B100" s="481" t="n"/>
      <c r="C100" s="481" t="n"/>
      <c r="D100" s="481" t="n"/>
      <c r="E100" s="481" t="n"/>
      <c r="F100" s="481" t="n"/>
      <c r="G100" s="481" t="n"/>
      <c r="H100" s="481" t="n"/>
      <c r="I100" s="481" t="n"/>
      <c r="J100" s="481" t="n"/>
      <c r="K100" s="481" t="n"/>
      <c r="L100" s="481" t="n"/>
      <c r="M100" s="481" t="n"/>
      <c r="N100" s="481" t="n"/>
      <c r="O100" s="481" t="n"/>
      <c r="AB100" s="481" t="n"/>
      <c r="AC100" s="481" t="n"/>
      <c r="AD100" s="481" t="n"/>
      <c r="AE100" s="481" t="n"/>
    </row>
    <row r="101">
      <c r="A101" s="6" t="inlineStr">
        <is>
          <t>Beginning value</t>
        </is>
      </c>
      <c r="B101" s="481" t="n"/>
      <c r="C101" s="481" t="n"/>
      <c r="D101" s="481" t="n"/>
      <c r="E101" s="481" t="n">
        <v>-11429.92236739</v>
      </c>
      <c r="F101" s="481">
        <f>+E105</f>
        <v/>
      </c>
      <c r="G101" s="481">
        <f>+F105</f>
        <v/>
      </c>
      <c r="H101" s="481">
        <f>G105</f>
        <v/>
      </c>
      <c r="I101" s="481">
        <f>H105</f>
        <v/>
      </c>
      <c r="J101" s="481">
        <f>I105</f>
        <v/>
      </c>
      <c r="K101" s="481">
        <f>J105</f>
        <v/>
      </c>
      <c r="L101" s="481">
        <f>K105</f>
        <v/>
      </c>
      <c r="M101" s="481">
        <f>L105</f>
        <v/>
      </c>
      <c r="N101" s="481">
        <f>M105</f>
        <v/>
      </c>
      <c r="O101" s="481">
        <f>N105</f>
        <v/>
      </c>
      <c r="P101" s="269" t="n"/>
      <c r="AB101" s="481" t="n"/>
      <c r="AC101" s="481" t="n"/>
      <c r="AD101" s="481" t="n"/>
      <c r="AE101" s="481" t="n"/>
    </row>
    <row r="102">
      <c r="A102" s="6" t="inlineStr">
        <is>
          <t>Depreciation</t>
        </is>
      </c>
      <c r="B102" s="481" t="n"/>
      <c r="C102" s="481" t="n"/>
      <c r="D102" s="481" t="n"/>
      <c r="E102" s="481" t="n">
        <v>-729.64196812</v>
      </c>
      <c r="F102" s="481" t="n">
        <v>-655.32541786</v>
      </c>
      <c r="G102" s="481" t="n">
        <v>-629.95073507</v>
      </c>
      <c r="H102" s="481" t="n">
        <v>-626.30973862</v>
      </c>
      <c r="I102" s="481" t="n">
        <v>-766.86435561</v>
      </c>
      <c r="J102" s="481">
        <f>I108*-J103</f>
        <v/>
      </c>
      <c r="K102" s="481">
        <f>J108*-K103</f>
        <v/>
      </c>
      <c r="L102" s="481">
        <f>K108*-L103</f>
        <v/>
      </c>
      <c r="M102" s="481">
        <f>L108*-M103</f>
        <v/>
      </c>
      <c r="N102" s="481">
        <f>M108*-N103</f>
        <v/>
      </c>
      <c r="O102" s="481">
        <f>N108*-O103</f>
        <v/>
      </c>
      <c r="P102" s="269" t="n"/>
      <c r="AB102" s="481" t="n"/>
      <c r="AC102" s="481" t="n"/>
      <c r="AD102" s="481" t="n"/>
      <c r="AE102" s="481" t="n"/>
    </row>
    <row r="103">
      <c r="A103" s="449" t="inlineStr">
        <is>
          <t>Depreciation rate</t>
        </is>
      </c>
      <c r="B103" s="551" t="n"/>
      <c r="C103" s="551" t="n"/>
      <c r="D103" s="551" t="n"/>
      <c r="E103" s="551" t="n"/>
      <c r="F103" s="551">
        <f>-F102/E108</f>
        <v/>
      </c>
      <c r="G103" s="551">
        <f>-G102/F108</f>
        <v/>
      </c>
      <c r="H103" s="551">
        <f>-H102/G108</f>
        <v/>
      </c>
      <c r="I103" s="551">
        <f>-I102/H108</f>
        <v/>
      </c>
      <c r="J103" s="552">
        <f>+I103</f>
        <v/>
      </c>
      <c r="K103" s="552">
        <f>+J103</f>
        <v/>
      </c>
      <c r="L103" s="552">
        <f>+K103</f>
        <v/>
      </c>
      <c r="M103" s="552">
        <f>+L103</f>
        <v/>
      </c>
      <c r="N103" s="552">
        <f>+M103</f>
        <v/>
      </c>
      <c r="O103" s="552">
        <f>+N103</f>
        <v/>
      </c>
      <c r="P103" s="269" t="n"/>
      <c r="Q103" s="553" t="n"/>
      <c r="R103" s="553" t="n"/>
      <c r="S103" s="553" t="n"/>
      <c r="T103" s="553" t="n"/>
      <c r="U103" s="554" t="n"/>
      <c r="V103" s="554" t="n"/>
      <c r="W103" s="554" t="n"/>
      <c r="X103" s="554" t="n"/>
      <c r="Y103" s="554" t="n"/>
      <c r="Z103" s="554" t="n"/>
      <c r="AA103" s="554" t="n"/>
      <c r="AB103" s="551" t="n"/>
      <c r="AC103" s="551" t="n"/>
      <c r="AD103" s="551" t="n"/>
      <c r="AE103" s="551" t="n"/>
      <c r="AF103" s="554" t="n"/>
      <c r="AG103" s="554" t="n"/>
      <c r="AH103" s="554" t="n"/>
      <c r="AI103" s="554" t="n"/>
      <c r="AJ103" s="554" t="n"/>
      <c r="AK103" s="554" t="n"/>
      <c r="AL103" s="554" t="n"/>
      <c r="AM103" s="554" t="n"/>
    </row>
    <row r="104">
      <c r="A104" s="6" t="inlineStr">
        <is>
          <t>Disposal</t>
        </is>
      </c>
      <c r="B104" s="481" t="n"/>
      <c r="C104" s="481" t="n"/>
      <c r="D104" s="481" t="n"/>
      <c r="E104" s="481" t="n">
        <v>131.882618</v>
      </c>
      <c r="F104" s="481" t="n">
        <v>660.7185233500001</v>
      </c>
      <c r="G104" s="481" t="n">
        <v>243.6150221</v>
      </c>
      <c r="H104" s="481" t="n">
        <v>212.5023726</v>
      </c>
      <c r="I104" s="481" t="n">
        <v>344.92004308</v>
      </c>
      <c r="J104" s="550" t="n">
        <v>0</v>
      </c>
      <c r="K104" s="550" t="n">
        <v>0</v>
      </c>
      <c r="L104" s="550" t="n">
        <v>0</v>
      </c>
      <c r="M104" s="550" t="n">
        <v>0</v>
      </c>
      <c r="N104" s="550" t="n">
        <v>0</v>
      </c>
      <c r="O104" s="550" t="n">
        <v>0</v>
      </c>
      <c r="P104" s="269" t="n"/>
      <c r="AB104" s="481" t="n"/>
      <c r="AC104" s="481" t="n"/>
      <c r="AD104" s="481" t="n"/>
      <c r="AE104" s="481" t="n"/>
    </row>
    <row r="105">
      <c r="A105" s="21" t="inlineStr">
        <is>
          <t>Ending value</t>
        </is>
      </c>
      <c r="B105" s="537" t="n"/>
      <c r="C105" s="537" t="n"/>
      <c r="D105" s="537" t="n"/>
      <c r="E105" s="537">
        <f>E101+E102+E104</f>
        <v/>
      </c>
      <c r="F105" s="537">
        <f>F101+F102+F104</f>
        <v/>
      </c>
      <c r="G105" s="537">
        <f>G101+G102+G104</f>
        <v/>
      </c>
      <c r="H105" s="537">
        <f>H101+H102+H104</f>
        <v/>
      </c>
      <c r="I105" s="537">
        <f>I101+I102+I104</f>
        <v/>
      </c>
      <c r="J105" s="537">
        <f>J101+J102+J104</f>
        <v/>
      </c>
      <c r="K105" s="537">
        <f>K101+K102+K104</f>
        <v/>
      </c>
      <c r="L105" s="537">
        <f>L101+L102+L104</f>
        <v/>
      </c>
      <c r="M105" s="537">
        <f>M101+M102+M104</f>
        <v/>
      </c>
      <c r="N105" s="537">
        <f>N101+N102+N104</f>
        <v/>
      </c>
      <c r="O105" s="537">
        <f>O101+O102+O104</f>
        <v/>
      </c>
      <c r="AB105" s="538" t="n"/>
      <c r="AC105" s="538" t="n"/>
      <c r="AD105" s="538" t="n"/>
      <c r="AE105" s="538" t="n"/>
    </row>
    <row r="106">
      <c r="B106" s="481" t="n"/>
      <c r="C106" s="481" t="n"/>
      <c r="D106" s="481" t="n"/>
      <c r="E106" s="481" t="n"/>
      <c r="F106" s="481" t="n"/>
      <c r="G106" s="481" t="n"/>
      <c r="H106" s="481" t="n"/>
      <c r="I106" s="481" t="n"/>
      <c r="J106" s="481" t="n"/>
      <c r="K106" s="481" t="n"/>
      <c r="L106" s="481" t="n"/>
      <c r="M106" s="481" t="n"/>
      <c r="N106" s="481" t="n"/>
      <c r="O106" s="481" t="n"/>
      <c r="AB106" s="481" t="n"/>
      <c r="AC106" s="481" t="n"/>
      <c r="AD106" s="481" t="n"/>
      <c r="AE106" s="481" t="n"/>
    </row>
    <row r="107">
      <c r="A107" s="6" t="inlineStr">
        <is>
          <t>Impairment</t>
        </is>
      </c>
      <c r="B107" s="481" t="n"/>
      <c r="C107" s="481" t="n"/>
      <c r="D107" s="481" t="n"/>
      <c r="E107" s="481">
        <f>-149.12754499+'Raw financials'!P95</f>
        <v/>
      </c>
      <c r="F107" s="481">
        <f>-152.79984197+'Raw financials'!Q95</f>
        <v/>
      </c>
      <c r="G107" s="481">
        <f>-134.5516272+'Raw financials'!R95</f>
        <v/>
      </c>
      <c r="H107" s="481">
        <f>-130.7266815+'Raw financials'!S95</f>
        <v/>
      </c>
      <c r="I107" s="481">
        <f>-128.28638909+'Raw financials'!T95</f>
        <v/>
      </c>
      <c r="J107" s="550">
        <f>+I107</f>
        <v/>
      </c>
      <c r="K107" s="550">
        <f>J107</f>
        <v/>
      </c>
      <c r="L107" s="550">
        <f>K107</f>
        <v/>
      </c>
      <c r="M107" s="550">
        <f>L107</f>
        <v/>
      </c>
      <c r="N107" s="550">
        <f>M107</f>
        <v/>
      </c>
      <c r="O107" s="550">
        <f>N107</f>
        <v/>
      </c>
      <c r="AB107" s="481" t="n"/>
      <c r="AC107" s="481" t="n"/>
      <c r="AD107" s="481" t="n"/>
      <c r="AE107" s="481" t="n"/>
    </row>
    <row r="108">
      <c r="A108" s="21" t="inlineStr">
        <is>
          <t>Net PPE</t>
        </is>
      </c>
      <c r="B108" s="537" t="n"/>
      <c r="C108" s="537" t="n"/>
      <c r="D108" s="537" t="n"/>
      <c r="E108" s="537">
        <f>E98+E105+E107</f>
        <v/>
      </c>
      <c r="F108" s="537">
        <f>F98+F105+F107</f>
        <v/>
      </c>
      <c r="G108" s="537">
        <f>G98+G105+G107</f>
        <v/>
      </c>
      <c r="H108" s="537">
        <f>H98+H105+H107</f>
        <v/>
      </c>
      <c r="I108" s="537">
        <f>I98+I105+I107</f>
        <v/>
      </c>
      <c r="J108" s="537">
        <f>J98+J105+J107</f>
        <v/>
      </c>
      <c r="K108" s="537">
        <f>K98+K105+K107</f>
        <v/>
      </c>
      <c r="L108" s="537">
        <f>L98+L105+L107</f>
        <v/>
      </c>
      <c r="M108" s="537">
        <f>M98+M105+M107</f>
        <v/>
      </c>
      <c r="N108" s="537">
        <f>N98+N105+N107</f>
        <v/>
      </c>
      <c r="O108" s="537">
        <f>O98+O105+O107</f>
        <v/>
      </c>
      <c r="AB108" s="538" t="n"/>
      <c r="AC108" s="538" t="n"/>
      <c r="AD108" s="538" t="n"/>
      <c r="AE108" s="538" t="n"/>
    </row>
    <row r="109">
      <c r="A109" s="37" t="inlineStr">
        <is>
          <t>Check</t>
        </is>
      </c>
      <c r="B109" s="555" t="n"/>
      <c r="C109" s="555" t="n"/>
      <c r="D109" s="555" t="n"/>
      <c r="E109" s="555">
        <f>ROUND(Model!P59-E108,0)</f>
        <v/>
      </c>
      <c r="F109" s="555">
        <f>ROUND(Model!Q59-F108,0)</f>
        <v/>
      </c>
      <c r="G109" s="555">
        <f>ROUND(Model!R59-G108,0)</f>
        <v/>
      </c>
      <c r="H109" s="555">
        <f>ROUND(Model!S59-H108,0)</f>
        <v/>
      </c>
      <c r="I109" s="555">
        <f>ROUND(Model!T59-I108,0)</f>
        <v/>
      </c>
      <c r="J109" s="555" t="n"/>
      <c r="K109" s="555" t="n"/>
      <c r="L109" s="555" t="n"/>
      <c r="M109" s="555" t="n"/>
      <c r="N109" s="555" t="n"/>
      <c r="O109" s="555" t="n"/>
      <c r="AB109" s="555" t="n"/>
      <c r="AC109" s="555" t="n"/>
      <c r="AD109" s="555" t="n"/>
      <c r="AE109" s="555" t="n"/>
    </row>
    <row r="110">
      <c r="B110" s="481" t="n"/>
      <c r="C110" s="481" t="n"/>
      <c r="D110" s="481" t="n"/>
      <c r="E110" s="481" t="n"/>
      <c r="F110" s="481" t="n"/>
      <c r="G110" s="481" t="n"/>
      <c r="H110" s="481" t="n"/>
      <c r="I110" s="481" t="n"/>
      <c r="J110" s="481" t="n"/>
      <c r="K110" s="481" t="n"/>
      <c r="L110" s="481" t="n"/>
      <c r="M110" s="481" t="n"/>
      <c r="N110" s="481" t="n"/>
      <c r="O110" s="481" t="n"/>
      <c r="AB110" s="481" t="n"/>
      <c r="AC110" s="481" t="n"/>
      <c r="AD110" s="481" t="n"/>
      <c r="AE110" s="481" t="n"/>
    </row>
    <row r="111">
      <c r="A111" s="28" t="inlineStr">
        <is>
          <t>Construction in progress</t>
        </is>
      </c>
      <c r="B111" s="481" t="n"/>
      <c r="C111" s="481" t="n"/>
      <c r="D111" s="481" t="n"/>
      <c r="E111" s="481" t="n"/>
      <c r="F111" s="481" t="n"/>
      <c r="G111" s="481" t="n"/>
      <c r="H111" s="481" t="n"/>
      <c r="I111" s="481" t="n"/>
      <c r="J111" s="481" t="n"/>
      <c r="K111" s="481" t="n"/>
      <c r="L111" s="481" t="n"/>
      <c r="M111" s="481" t="n"/>
      <c r="N111" s="481" t="n"/>
      <c r="O111" s="481" t="n"/>
      <c r="AB111" s="481" t="n"/>
      <c r="AC111" s="481" t="n"/>
      <c r="AD111" s="481" t="n"/>
      <c r="AE111" s="481" t="n"/>
    </row>
    <row r="112">
      <c r="A112" s="6" t="inlineStr">
        <is>
          <t>Beginning value</t>
        </is>
      </c>
      <c r="B112" s="481" t="n"/>
      <c r="C112" s="481" t="n"/>
      <c r="D112" s="481" t="n"/>
      <c r="E112" s="481" t="n">
        <v>382.7711</v>
      </c>
      <c r="F112" s="481">
        <f>+E115</f>
        <v/>
      </c>
      <c r="G112" s="481">
        <f>+F115</f>
        <v/>
      </c>
      <c r="H112" s="481">
        <f>+G115</f>
        <v/>
      </c>
      <c r="I112" s="481">
        <f>+H115</f>
        <v/>
      </c>
      <c r="J112" s="481">
        <f>I115</f>
        <v/>
      </c>
      <c r="K112" s="481">
        <f>J115</f>
        <v/>
      </c>
      <c r="L112" s="481">
        <f>K115</f>
        <v/>
      </c>
      <c r="M112" s="481">
        <f>L115</f>
        <v/>
      </c>
      <c r="N112" s="481">
        <f>M115</f>
        <v/>
      </c>
      <c r="O112" s="481">
        <f>N115</f>
        <v/>
      </c>
      <c r="AB112" s="481" t="n"/>
      <c r="AC112" s="481" t="n"/>
      <c r="AD112" s="481" t="n"/>
      <c r="AE112" s="481" t="n"/>
    </row>
    <row r="113">
      <c r="A113" s="6" t="inlineStr">
        <is>
          <t>Addition</t>
        </is>
      </c>
      <c r="B113" s="481" t="n"/>
      <c r="C113" s="481" t="n"/>
      <c r="D113" s="481" t="n"/>
      <c r="E113" s="481">
        <f>E115-E112-E114</f>
        <v/>
      </c>
      <c r="F113" s="481">
        <f>F115-F112-F114</f>
        <v/>
      </c>
      <c r="G113" s="481">
        <f>G115-G112-G114</f>
        <v/>
      </c>
      <c r="H113" s="481">
        <f>H115-H112-H114</f>
        <v/>
      </c>
      <c r="I113" s="481">
        <f>I115-I112-I114</f>
        <v/>
      </c>
      <c r="J113" s="550" t="n">
        <v>3000</v>
      </c>
      <c r="K113" s="550">
        <f>J113</f>
        <v/>
      </c>
      <c r="L113" s="550">
        <f>K113</f>
        <v/>
      </c>
      <c r="M113" s="550">
        <f>L113</f>
        <v/>
      </c>
      <c r="N113" s="550">
        <f>M113</f>
        <v/>
      </c>
      <c r="O113" s="550">
        <f>N113</f>
        <v/>
      </c>
      <c r="AB113" s="481" t="n"/>
      <c r="AC113" s="481" t="n"/>
      <c r="AD113" s="481" t="n"/>
      <c r="AE113" s="481" t="n"/>
    </row>
    <row r="114">
      <c r="A114" s="6" t="inlineStr">
        <is>
          <t>Transfer to PPE</t>
        </is>
      </c>
      <c r="B114" s="481" t="n"/>
      <c r="C114" s="481" t="n"/>
      <c r="D114" s="481" t="n"/>
      <c r="E114" s="481">
        <f>-E96</f>
        <v/>
      </c>
      <c r="F114" s="481">
        <f>-F96</f>
        <v/>
      </c>
      <c r="G114" s="481">
        <f>-G96</f>
        <v/>
      </c>
      <c r="H114" s="481">
        <f>-H96</f>
        <v/>
      </c>
      <c r="I114" s="481">
        <f>-I96</f>
        <v/>
      </c>
      <c r="J114" s="550">
        <f>I114/I113*J113</f>
        <v/>
      </c>
      <c r="K114" s="550">
        <f>J114/J113*K113</f>
        <v/>
      </c>
      <c r="L114" s="550">
        <f>K114/K113*L113</f>
        <v/>
      </c>
      <c r="M114" s="550">
        <f>L114/L113*M113</f>
        <v/>
      </c>
      <c r="N114" s="550">
        <f>M114/M113*N113</f>
        <v/>
      </c>
      <c r="O114" s="550">
        <f>N114/N113*O113</f>
        <v/>
      </c>
      <c r="AB114" s="481" t="n"/>
      <c r="AC114" s="481" t="n"/>
      <c r="AD114" s="481" t="n"/>
      <c r="AE114" s="481" t="n"/>
    </row>
    <row r="115">
      <c r="A115" s="21" t="inlineStr">
        <is>
          <t>Ending value</t>
        </is>
      </c>
      <c r="B115" s="537" t="n"/>
      <c r="C115" s="537" t="n"/>
      <c r="D115" s="537" t="n"/>
      <c r="E115" s="537">
        <f>'Raw financials'!P96</f>
        <v/>
      </c>
      <c r="F115" s="537">
        <f>'Raw financials'!Q96</f>
        <v/>
      </c>
      <c r="G115" s="537">
        <f>'Raw financials'!R96</f>
        <v/>
      </c>
      <c r="H115" s="537">
        <f>'Raw financials'!S96</f>
        <v/>
      </c>
      <c r="I115" s="537">
        <f>'Raw financials'!T96</f>
        <v/>
      </c>
      <c r="J115" s="537">
        <f>J112+J113+J114</f>
        <v/>
      </c>
      <c r="K115" s="537">
        <f>K112+K113+K114</f>
        <v/>
      </c>
      <c r="L115" s="537">
        <f>L112+L113+L114</f>
        <v/>
      </c>
      <c r="M115" s="537">
        <f>M112+M113+M114</f>
        <v/>
      </c>
      <c r="N115" s="537">
        <f>N112+N113+N114</f>
        <v/>
      </c>
      <c r="O115" s="537">
        <f>O112+O113+O114</f>
        <v/>
      </c>
      <c r="AB115" s="538" t="n"/>
      <c r="AC115" s="538" t="n"/>
      <c r="AD115" s="538" t="n"/>
      <c r="AE115" s="538" t="n"/>
    </row>
    <row r="116">
      <c r="B116" s="481" t="n"/>
      <c r="C116" s="481" t="n"/>
      <c r="D116" s="481" t="n"/>
      <c r="E116" s="481" t="n"/>
      <c r="F116" s="481" t="n"/>
      <c r="G116" s="481" t="n"/>
      <c r="H116" s="481" t="n"/>
      <c r="I116" s="481" t="n"/>
      <c r="J116" s="481" t="n"/>
      <c r="K116" s="481" t="n"/>
      <c r="L116" s="481" t="n"/>
      <c r="M116" s="481" t="n"/>
      <c r="N116" s="481" t="n"/>
      <c r="O116" s="481" t="n"/>
      <c r="AB116" s="481" t="n"/>
      <c r="AC116" s="481" t="n"/>
      <c r="AD116" s="481" t="n"/>
      <c r="AE116" s="481" t="n"/>
    </row>
    <row r="117">
      <c r="A117" s="28" t="inlineStr">
        <is>
          <t>Intangible assets</t>
        </is>
      </c>
      <c r="B117" s="481" t="n"/>
      <c r="C117" s="481" t="n"/>
      <c r="D117" s="481" t="n"/>
      <c r="E117" s="481" t="n"/>
      <c r="F117" s="481" t="n"/>
      <c r="G117" s="481" t="n"/>
      <c r="H117" s="481" t="n"/>
      <c r="I117" s="481" t="n"/>
      <c r="J117" s="481" t="n"/>
      <c r="K117" s="481" t="n"/>
      <c r="L117" s="481" t="n"/>
      <c r="M117" s="481" t="n"/>
      <c r="N117" s="481" t="n"/>
      <c r="O117" s="481" t="n"/>
      <c r="AB117" s="481" t="n"/>
      <c r="AC117" s="481" t="n"/>
      <c r="AD117" s="481" t="n"/>
      <c r="AE117" s="481" t="n"/>
    </row>
    <row r="118">
      <c r="A118" s="6" t="inlineStr">
        <is>
          <t>Beginning value</t>
        </is>
      </c>
      <c r="B118" s="481" t="n"/>
      <c r="C118" s="481" t="n"/>
      <c r="D118" s="481" t="n"/>
      <c r="E118" s="481" t="n">
        <v>1632.83301654</v>
      </c>
      <c r="F118" s="481">
        <f>+E122</f>
        <v/>
      </c>
      <c r="G118" s="481">
        <f>+F122</f>
        <v/>
      </c>
      <c r="H118" s="481">
        <f>+G122</f>
        <v/>
      </c>
      <c r="I118" s="481">
        <f>+H122</f>
        <v/>
      </c>
      <c r="J118" s="481">
        <f>+I122</f>
        <v/>
      </c>
      <c r="K118" s="481">
        <f>+J122</f>
        <v/>
      </c>
      <c r="L118" s="481">
        <f>+K122</f>
        <v/>
      </c>
      <c r="M118" s="481">
        <f>+L122</f>
        <v/>
      </c>
      <c r="N118" s="481">
        <f>+M122</f>
        <v/>
      </c>
      <c r="O118" s="481">
        <f>+N122</f>
        <v/>
      </c>
      <c r="P118" s="556" t="n"/>
      <c r="AB118" s="481" t="n"/>
      <c r="AC118" s="481" t="n"/>
      <c r="AD118" s="481" t="n"/>
      <c r="AE118" s="481" t="n"/>
    </row>
    <row r="119">
      <c r="A119" s="6" t="inlineStr">
        <is>
          <t>Amortization</t>
        </is>
      </c>
      <c r="B119" s="481" t="n"/>
      <c r="C119" s="481" t="n"/>
      <c r="D119" s="481" t="n"/>
      <c r="E119" s="481">
        <f>834.35722402-917.53187077</f>
        <v/>
      </c>
      <c r="F119" s="481">
        <f>917.53187077-987.87493007+267.65360667-125.8702093</f>
        <v/>
      </c>
      <c r="G119" s="481">
        <f>987.87493009-1101.3709644+125.8702093-242.85267698</f>
        <v/>
      </c>
      <c r="H119" s="481">
        <f>1101.3709644-1206.84105082+242.85267698-157.00234067</f>
        <v/>
      </c>
      <c r="I119" s="481">
        <f>1206.84105082-1332.46015123+157.00234067-293.57075243</f>
        <v/>
      </c>
      <c r="J119" s="481">
        <f>-J120*J118</f>
        <v/>
      </c>
      <c r="K119" s="481">
        <f>-K120*K118</f>
        <v/>
      </c>
      <c r="L119" s="481">
        <f>-L120*L118</f>
        <v/>
      </c>
      <c r="M119" s="481">
        <f>-M120*M118</f>
        <v/>
      </c>
      <c r="N119" s="481">
        <f>-N120*N118</f>
        <v/>
      </c>
      <c r="O119" s="481">
        <f>-O120*O118</f>
        <v/>
      </c>
      <c r="AB119" s="481" t="n"/>
      <c r="AC119" s="481" t="n"/>
      <c r="AD119" s="481" t="n"/>
      <c r="AE119" s="481" t="n"/>
    </row>
    <row r="120">
      <c r="A120" s="449" t="inlineStr">
        <is>
          <t>Amortization rate</t>
        </is>
      </c>
      <c r="B120" s="328" t="n"/>
      <c r="C120" s="328" t="n"/>
      <c r="D120" s="328" t="n"/>
      <c r="E120" s="328">
        <f>-E119/E118</f>
        <v/>
      </c>
      <c r="F120" s="328">
        <f>-F119/F118</f>
        <v/>
      </c>
      <c r="G120" s="328">
        <f>-G119/G118</f>
        <v/>
      </c>
      <c r="H120" s="328">
        <f>-H119/H118</f>
        <v/>
      </c>
      <c r="I120" s="328">
        <f>-I119/I118</f>
        <v/>
      </c>
      <c r="J120" s="110">
        <f>+I120</f>
        <v/>
      </c>
      <c r="K120" s="110">
        <f>+J120</f>
        <v/>
      </c>
      <c r="L120" s="110">
        <f>+K120</f>
        <v/>
      </c>
      <c r="M120" s="110">
        <f>+L120</f>
        <v/>
      </c>
      <c r="N120" s="110">
        <f>+M120</f>
        <v/>
      </c>
      <c r="O120" s="110">
        <f>+N120</f>
        <v/>
      </c>
      <c r="Q120" s="553" t="n"/>
      <c r="R120" s="553" t="n"/>
      <c r="S120" s="553" t="n"/>
      <c r="T120" s="553" t="n"/>
      <c r="U120" s="554" t="n"/>
      <c r="V120" s="554" t="n"/>
      <c r="W120" s="554" t="n"/>
      <c r="X120" s="554" t="n"/>
      <c r="Y120" s="554" t="n"/>
      <c r="Z120" s="554" t="n"/>
      <c r="AA120" s="554" t="n"/>
      <c r="AB120" s="328" t="n"/>
      <c r="AC120" s="328" t="n"/>
      <c r="AD120" s="328" t="n"/>
      <c r="AE120" s="328" t="n"/>
      <c r="AF120" s="554" t="n"/>
      <c r="AG120" s="554" t="n"/>
      <c r="AH120" s="554" t="n"/>
      <c r="AI120" s="554" t="n"/>
      <c r="AJ120" s="554" t="n"/>
      <c r="AK120" s="554" t="n"/>
      <c r="AL120" s="554" t="n"/>
      <c r="AM120" s="554" t="n"/>
    </row>
    <row r="121">
      <c r="A121" s="6" t="inlineStr">
        <is>
          <t>Increase in intangible asset</t>
        </is>
      </c>
      <c r="B121" s="481" t="n"/>
      <c r="C121" s="481" t="n"/>
      <c r="D121" s="481" t="n"/>
      <c r="E121" s="481">
        <f>+E122-E118-E119</f>
        <v/>
      </c>
      <c r="F121" s="481">
        <f>+F122-F118-F119</f>
        <v/>
      </c>
      <c r="G121" s="481">
        <f>+G122-G118-G119</f>
        <v/>
      </c>
      <c r="H121" s="481">
        <f>+H122-H118-H119</f>
        <v/>
      </c>
      <c r="I121" s="481">
        <f>+I122-I118-I119</f>
        <v/>
      </c>
      <c r="J121" s="550">
        <f>I121</f>
        <v/>
      </c>
      <c r="K121" s="550">
        <f>J121</f>
        <v/>
      </c>
      <c r="L121" s="550">
        <f>K121</f>
        <v/>
      </c>
      <c r="M121" s="550">
        <f>L121</f>
        <v/>
      </c>
      <c r="N121" s="550">
        <f>M121</f>
        <v/>
      </c>
      <c r="O121" s="550">
        <f>N121</f>
        <v/>
      </c>
      <c r="AB121" s="481" t="n"/>
      <c r="AC121" s="481" t="n"/>
      <c r="AD121" s="481" t="n"/>
      <c r="AE121" s="481" t="n"/>
    </row>
    <row r="122">
      <c r="A122" s="21" t="inlineStr">
        <is>
          <t>Ending value</t>
        </is>
      </c>
      <c r="B122" s="537" t="n"/>
      <c r="C122" s="537" t="n"/>
      <c r="D122" s="537" t="n"/>
      <c r="E122" s="537">
        <f>+Model!P61</f>
        <v/>
      </c>
      <c r="F122" s="537">
        <f>+Model!Q61</f>
        <v/>
      </c>
      <c r="G122" s="537">
        <f>+Model!R61</f>
        <v/>
      </c>
      <c r="H122" s="537">
        <f>+Model!S61</f>
        <v/>
      </c>
      <c r="I122" s="537">
        <f>+Model!T61</f>
        <v/>
      </c>
      <c r="J122" s="537">
        <f>+J118+J119+J121</f>
        <v/>
      </c>
      <c r="K122" s="537">
        <f>+K118+K119+K121</f>
        <v/>
      </c>
      <c r="L122" s="537">
        <f>+L118+L119+L121</f>
        <v/>
      </c>
      <c r="M122" s="537">
        <f>+M118+M119+M121</f>
        <v/>
      </c>
      <c r="N122" s="537">
        <f>+N118+N119+N121</f>
        <v/>
      </c>
      <c r="O122" s="537">
        <f>+O118+O119+O121</f>
        <v/>
      </c>
      <c r="AB122" s="538" t="n"/>
      <c r="AC122" s="538" t="n"/>
      <c r="AD122" s="538" t="n"/>
      <c r="AE122" s="538" t="n"/>
    </row>
    <row r="123">
      <c r="B123" s="481" t="n"/>
      <c r="C123" s="481" t="n"/>
      <c r="D123" s="481" t="n"/>
      <c r="E123" s="481" t="n"/>
      <c r="F123" s="481" t="n"/>
      <c r="G123" s="481" t="n"/>
      <c r="H123" s="481" t="n"/>
      <c r="I123" s="481" t="n"/>
      <c r="J123" s="557" t="n"/>
      <c r="K123" s="557" t="n"/>
      <c r="L123" s="557" t="n"/>
      <c r="M123" s="557" t="n"/>
      <c r="N123" s="557" t="n"/>
      <c r="O123" s="557" t="n"/>
      <c r="AB123" s="481" t="n"/>
      <c r="AC123" s="481" t="n"/>
      <c r="AD123" s="481" t="n"/>
      <c r="AE123" s="481" t="n"/>
    </row>
    <row r="124" customFormat="1" s="28">
      <c r="A124" s="28" t="inlineStr">
        <is>
          <t>Total CAPEX</t>
        </is>
      </c>
      <c r="B124" s="538" t="n"/>
      <c r="C124" s="538" t="n"/>
      <c r="D124" s="538" t="n"/>
      <c r="E124" s="538">
        <f>-Model!P117</f>
        <v/>
      </c>
      <c r="F124" s="538">
        <f>-Model!Q117</f>
        <v/>
      </c>
      <c r="G124" s="538">
        <f>-Model!R117</f>
        <v/>
      </c>
      <c r="H124" s="538">
        <f>-Model!S117</f>
        <v/>
      </c>
      <c r="I124" s="538">
        <f>-Model!T117</f>
        <v/>
      </c>
      <c r="J124" s="538">
        <f>J95+J113+J121</f>
        <v/>
      </c>
      <c r="K124" s="538">
        <f>K95+K113+K121</f>
        <v/>
      </c>
      <c r="L124" s="538">
        <f>L95+L113+L121</f>
        <v/>
      </c>
      <c r="M124" s="538">
        <f>M95+M113+M121</f>
        <v/>
      </c>
      <c r="N124" s="538">
        <f>N95+N113+N121</f>
        <v/>
      </c>
      <c r="O124" s="538">
        <f>O95+O113+O121</f>
        <v/>
      </c>
      <c r="P124" s="257" t="n"/>
      <c r="Q124" s="116" t="n"/>
      <c r="R124" s="116" t="n"/>
      <c r="S124" s="116" t="n"/>
      <c r="T124" s="116" t="n"/>
      <c r="AB124" s="538" t="n"/>
      <c r="AC124" s="538" t="n"/>
      <c r="AD124" s="538" t="n"/>
      <c r="AE124" s="538" t="n"/>
    </row>
    <row r="125">
      <c r="A125" s="449" t="inlineStr">
        <is>
          <t>% of revenue</t>
        </is>
      </c>
      <c r="B125" s="551" t="n"/>
      <c r="C125" s="551" t="n"/>
      <c r="D125" s="551" t="n"/>
      <c r="E125" s="551">
        <f>E124/Model!P4</f>
        <v/>
      </c>
      <c r="F125" s="551">
        <f>F124/Model!Q4</f>
        <v/>
      </c>
      <c r="G125" s="551">
        <f>G124/Model!R4</f>
        <v/>
      </c>
      <c r="H125" s="551">
        <f>H124/Model!S4</f>
        <v/>
      </c>
      <c r="I125" s="551">
        <f>I124/Model!T4</f>
        <v/>
      </c>
      <c r="J125" s="551">
        <f>J124/Model!U4</f>
        <v/>
      </c>
      <c r="K125" s="551">
        <f>K124/Model!V4</f>
        <v/>
      </c>
      <c r="L125" s="551">
        <f>L124/Model!W4</f>
        <v/>
      </c>
      <c r="M125" s="551">
        <f>M124/Model!X4</f>
        <v/>
      </c>
      <c r="N125" s="551">
        <f>N124/Model!Y4</f>
        <v/>
      </c>
      <c r="O125" s="551">
        <f>O124/Model!Z4</f>
        <v/>
      </c>
      <c r="P125" s="558" t="n"/>
      <c r="Q125" s="553" t="n"/>
      <c r="R125" s="553" t="n"/>
      <c r="S125" s="553" t="n"/>
      <c r="T125" s="553" t="n"/>
      <c r="U125" s="554" t="n"/>
      <c r="V125" s="554" t="n"/>
      <c r="W125" s="554" t="n"/>
      <c r="X125" s="554" t="n"/>
      <c r="Y125" s="554" t="n"/>
      <c r="Z125" s="554" t="n"/>
      <c r="AA125" s="554" t="n"/>
      <c r="AB125" s="551" t="n"/>
      <c r="AC125" s="551" t="n"/>
      <c r="AD125" s="551" t="n"/>
      <c r="AE125" s="551" t="n"/>
      <c r="AF125" s="554" t="n"/>
      <c r="AG125" s="554" t="n"/>
      <c r="AH125" s="554" t="n"/>
      <c r="AI125" s="554" t="n"/>
      <c r="AJ125" s="554" t="n"/>
      <c r="AK125" s="554" t="n"/>
      <c r="AL125" s="554" t="n"/>
      <c r="AM125" s="554" t="n"/>
    </row>
    <row r="126">
      <c r="B126" s="481" t="n"/>
      <c r="C126" s="481" t="n"/>
      <c r="D126" s="481" t="n"/>
      <c r="E126" s="481" t="n"/>
      <c r="F126" s="481" t="n"/>
      <c r="G126" s="481" t="n"/>
      <c r="H126" s="481" t="n"/>
      <c r="I126" s="481" t="n"/>
      <c r="J126" s="481" t="n"/>
      <c r="K126" s="481" t="n"/>
      <c r="L126" s="481" t="n"/>
      <c r="M126" s="481" t="n"/>
      <c r="N126" s="481" t="n"/>
      <c r="O126" s="481" t="n"/>
      <c r="AB126" s="481" t="n"/>
      <c r="AC126" s="481" t="n"/>
      <c r="AD126" s="481" t="n"/>
      <c r="AE126" s="481" t="n"/>
    </row>
    <row r="127">
      <c r="A127" s="105" t="inlineStr">
        <is>
          <t>Borrowing and interest expense</t>
        </is>
      </c>
      <c r="B127" s="481" t="n"/>
      <c r="C127" s="481" t="n"/>
      <c r="D127" s="481" t="n"/>
      <c r="E127" s="481" t="n"/>
      <c r="F127" s="481" t="n"/>
      <c r="G127" s="481" t="n"/>
      <c r="H127" s="481" t="n"/>
      <c r="I127" s="481" t="n"/>
      <c r="J127" s="481" t="n"/>
      <c r="K127" s="481" t="n"/>
      <c r="L127" s="481" t="n"/>
      <c r="M127" s="481" t="n"/>
      <c r="N127" s="481" t="n"/>
      <c r="O127" s="481" t="n"/>
      <c r="AB127" s="481" t="n"/>
      <c r="AC127" s="481" t="n"/>
      <c r="AD127" s="481" t="n"/>
      <c r="AE127" s="481" t="n"/>
    </row>
    <row r="128">
      <c r="A128" s="6" t="inlineStr">
        <is>
          <t>Borrowing</t>
        </is>
      </c>
      <c r="B128" s="481" t="n"/>
      <c r="C128" s="481" t="n"/>
      <c r="D128" s="481" t="n"/>
      <c r="E128" s="481">
        <f>Model!P98</f>
        <v/>
      </c>
      <c r="F128" s="481">
        <f>Model!Q98</f>
        <v/>
      </c>
      <c r="G128" s="481">
        <f>Model!R98</f>
        <v/>
      </c>
      <c r="H128" s="481">
        <f>Model!S98</f>
        <v/>
      </c>
      <c r="I128" s="481">
        <f>Model!T98</f>
        <v/>
      </c>
      <c r="J128" s="481">
        <f>Model!U98</f>
        <v/>
      </c>
      <c r="K128" s="481">
        <f>Model!V98</f>
        <v/>
      </c>
      <c r="L128" s="481">
        <f>Model!W98</f>
        <v/>
      </c>
      <c r="M128" s="481">
        <f>Model!X98</f>
        <v/>
      </c>
      <c r="N128" s="481">
        <f>Model!Y98</f>
        <v/>
      </c>
      <c r="O128" s="481">
        <f>Model!Z98</f>
        <v/>
      </c>
      <c r="AB128" s="481" t="n"/>
      <c r="AC128" s="481" t="n"/>
      <c r="AD128" s="481" t="n"/>
      <c r="AE128" s="481" t="n"/>
    </row>
    <row r="129">
      <c r="A129" s="6" t="inlineStr">
        <is>
          <t xml:space="preserve">Cash </t>
        </is>
      </c>
      <c r="B129" s="481" t="n"/>
      <c r="C129" s="481" t="n"/>
      <c r="D129" s="481" t="n"/>
      <c r="E129" s="481">
        <f>Model!P47</f>
        <v/>
      </c>
      <c r="F129" s="481">
        <f>Model!Q47</f>
        <v/>
      </c>
      <c r="G129" s="481">
        <f>Model!R47</f>
        <v/>
      </c>
      <c r="H129" s="481">
        <f>Model!S47</f>
        <v/>
      </c>
      <c r="I129" s="481">
        <f>Model!T47</f>
        <v/>
      </c>
      <c r="J129" s="481">
        <f>Model!U47</f>
        <v/>
      </c>
      <c r="K129" s="481">
        <f>Model!V47</f>
        <v/>
      </c>
      <c r="L129" s="481">
        <f>Model!W47</f>
        <v/>
      </c>
      <c r="M129" s="481">
        <f>Model!X47</f>
        <v/>
      </c>
      <c r="N129" s="481">
        <f>Model!Y47</f>
        <v/>
      </c>
      <c r="O129" s="481">
        <f>Model!Z47</f>
        <v/>
      </c>
      <c r="AB129" s="481" t="n"/>
      <c r="AC129" s="481" t="n"/>
      <c r="AD129" s="481" t="n"/>
      <c r="AE129" s="481" t="n"/>
    </row>
    <row r="130">
      <c r="A130" s="21" t="inlineStr">
        <is>
          <t>Net debt/(cash)</t>
        </is>
      </c>
      <c r="B130" s="559" t="n"/>
      <c r="C130" s="559" t="n"/>
      <c r="D130" s="559" t="n"/>
      <c r="E130" s="559">
        <f>E128-E129</f>
        <v/>
      </c>
      <c r="F130" s="559">
        <f>F128-F129</f>
        <v/>
      </c>
      <c r="G130" s="559">
        <f>G128-G129</f>
        <v/>
      </c>
      <c r="H130" s="559">
        <f>H128-H129</f>
        <v/>
      </c>
      <c r="I130" s="559">
        <f>I128-I129</f>
        <v/>
      </c>
      <c r="J130" s="559">
        <f>J128-J129</f>
        <v/>
      </c>
      <c r="K130" s="559">
        <f>K128-K129</f>
        <v/>
      </c>
      <c r="L130" s="559">
        <f>L128-L129</f>
        <v/>
      </c>
      <c r="M130" s="559">
        <f>M128-M129</f>
        <v/>
      </c>
      <c r="N130" s="559">
        <f>N128-N129</f>
        <v/>
      </c>
      <c r="O130" s="559">
        <f>O128-O129</f>
        <v/>
      </c>
      <c r="AB130" s="481" t="n"/>
      <c r="AC130" s="481" t="n"/>
      <c r="AD130" s="481" t="n"/>
      <c r="AE130" s="481" t="n"/>
    </row>
    <row r="131">
      <c r="B131" s="481" t="n"/>
      <c r="C131" s="481" t="n"/>
      <c r="D131" s="481" t="n"/>
      <c r="E131" s="481" t="n"/>
      <c r="F131" s="481" t="n"/>
      <c r="G131" s="481" t="n"/>
      <c r="H131" s="481" t="n"/>
      <c r="I131" s="481" t="n"/>
      <c r="J131" s="481" t="n"/>
      <c r="K131" s="481" t="n"/>
      <c r="L131" s="481" t="n"/>
      <c r="M131" s="481" t="n"/>
      <c r="N131" s="481" t="n"/>
      <c r="O131" s="481" t="n"/>
      <c r="AB131" s="481" t="n"/>
      <c r="AC131" s="481" t="n"/>
      <c r="AD131" s="481" t="n"/>
      <c r="AE131" s="481" t="n"/>
    </row>
    <row r="132">
      <c r="A132" s="6" t="inlineStr">
        <is>
          <t>Interest expense</t>
        </is>
      </c>
      <c r="B132" s="481" t="n"/>
      <c r="C132" s="481" t="n"/>
      <c r="D132" s="481" t="n"/>
      <c r="E132" s="481" t="n">
        <v>-35.8916</v>
      </c>
      <c r="F132" s="481" t="n">
        <v>41.9605</v>
      </c>
      <c r="G132" s="481" t="n">
        <v>-79.42001560999999</v>
      </c>
      <c r="H132" s="481" t="n">
        <v>-64.4391</v>
      </c>
      <c r="I132" s="481" t="n">
        <v>-82.97110000000001</v>
      </c>
      <c r="J132" s="481">
        <f>-I128*J133</f>
        <v/>
      </c>
      <c r="K132" s="481">
        <f>-J128*K133</f>
        <v/>
      </c>
      <c r="L132" s="481">
        <f>-K128*L133</f>
        <v/>
      </c>
      <c r="M132" s="481">
        <f>-L128*M133</f>
        <v/>
      </c>
      <c r="N132" s="481">
        <f>-M128*N133</f>
        <v/>
      </c>
      <c r="O132" s="481">
        <f>-N128*O133</f>
        <v/>
      </c>
      <c r="P132" s="272" t="n"/>
      <c r="AB132" s="481" t="n"/>
      <c r="AC132" s="481" t="n"/>
      <c r="AD132" s="481" t="n"/>
      <c r="AE132" s="481" t="n"/>
    </row>
    <row r="133">
      <c r="A133" s="449" t="inlineStr">
        <is>
          <t>Interest expense rate</t>
        </is>
      </c>
      <c r="B133" s="328" t="n"/>
      <c r="C133" s="328" t="n"/>
      <c r="D133" s="328" t="n"/>
      <c r="E133" s="328">
        <f>-E132/AVERAGE(E128:E128)</f>
        <v/>
      </c>
      <c r="F133" s="328">
        <f>-F132/AVERAGE(E128:F128)</f>
        <v/>
      </c>
      <c r="G133" s="328">
        <f>-G132/AVERAGE(F128:G128)</f>
        <v/>
      </c>
      <c r="H133" s="328">
        <f>-H132/AVERAGE(G128:H128)</f>
        <v/>
      </c>
      <c r="I133" s="328">
        <f>-I132/AVERAGE(H128:I128)</f>
        <v/>
      </c>
      <c r="J133" s="110">
        <f>I133</f>
        <v/>
      </c>
      <c r="K133" s="110">
        <f>J133</f>
        <v/>
      </c>
      <c r="L133" s="110">
        <f>K133</f>
        <v/>
      </c>
      <c r="M133" s="110">
        <f>L133</f>
        <v/>
      </c>
      <c r="N133" s="110">
        <f>M133</f>
        <v/>
      </c>
      <c r="O133" s="110">
        <f>N133</f>
        <v/>
      </c>
      <c r="P133" s="273" t="n"/>
      <c r="U133" s="554" t="n"/>
      <c r="V133" s="554" t="n"/>
      <c r="W133" s="554" t="n"/>
      <c r="X133" s="554" t="n"/>
      <c r="Y133" s="554" t="n"/>
      <c r="Z133" s="554" t="n"/>
      <c r="AA133" s="554" t="n"/>
      <c r="AB133" s="328" t="n"/>
      <c r="AC133" s="328" t="n"/>
      <c r="AD133" s="328" t="n"/>
      <c r="AE133" s="328" t="n"/>
      <c r="AF133" s="554" t="n"/>
      <c r="AG133" s="554" t="n"/>
      <c r="AH133" s="554" t="n"/>
      <c r="AI133" s="554" t="n"/>
      <c r="AJ133" s="554" t="n"/>
      <c r="AK133" s="554" t="n"/>
      <c r="AL133" s="554" t="n"/>
      <c r="AM133" s="554" t="n"/>
    </row>
    <row r="134">
      <c r="A134" s="6" t="inlineStr">
        <is>
          <t>Interest income</t>
        </is>
      </c>
      <c r="B134" s="481" t="n"/>
      <c r="C134" s="481" t="n"/>
      <c r="D134" s="481" t="n"/>
      <c r="E134" s="481">
        <f>'Raw financials'!P15</f>
        <v/>
      </c>
      <c r="F134" s="481">
        <f>'Raw financials'!Q15</f>
        <v/>
      </c>
      <c r="G134" s="481">
        <f>'Raw financials'!R15</f>
        <v/>
      </c>
      <c r="H134" s="481">
        <f>'Raw financials'!S15</f>
        <v/>
      </c>
      <c r="I134" s="481">
        <f>'Raw financials'!T15</f>
        <v/>
      </c>
      <c r="J134" s="481">
        <f>J135*I129</f>
        <v/>
      </c>
      <c r="K134" s="481">
        <f>K135*J129</f>
        <v/>
      </c>
      <c r="L134" s="481">
        <f>L135*K129</f>
        <v/>
      </c>
      <c r="M134" s="481">
        <f>M135*L129</f>
        <v/>
      </c>
      <c r="N134" s="481">
        <f>N135*M129</f>
        <v/>
      </c>
      <c r="O134" s="481">
        <f>O135*N129</f>
        <v/>
      </c>
      <c r="AB134" s="481" t="n"/>
      <c r="AC134" s="481" t="n"/>
      <c r="AD134" s="481" t="n"/>
      <c r="AE134" s="481" t="n"/>
    </row>
    <row r="135">
      <c r="A135" s="449" t="inlineStr">
        <is>
          <t>Interest rate</t>
        </is>
      </c>
      <c r="B135" s="328" t="n"/>
      <c r="C135" s="328" t="n"/>
      <c r="D135" s="328" t="n"/>
      <c r="E135" s="328">
        <f>E134/AVERAGE(E129:E129)</f>
        <v/>
      </c>
      <c r="F135" s="328">
        <f>F134/AVERAGE(E129:F129)</f>
        <v/>
      </c>
      <c r="G135" s="328">
        <f>G134/AVERAGE(F129:G129)</f>
        <v/>
      </c>
      <c r="H135" s="328">
        <f>H134/AVERAGE(G129:H129)</f>
        <v/>
      </c>
      <c r="I135" s="328">
        <f>I134/AVERAGE(H129:I129)</f>
        <v/>
      </c>
      <c r="J135" s="110">
        <f>I135</f>
        <v/>
      </c>
      <c r="K135" s="110">
        <f>J135</f>
        <v/>
      </c>
      <c r="L135" s="110">
        <f>K135</f>
        <v/>
      </c>
      <c r="M135" s="110">
        <f>L135</f>
        <v/>
      </c>
      <c r="N135" s="110">
        <f>M135</f>
        <v/>
      </c>
      <c r="O135" s="110">
        <f>N135</f>
        <v/>
      </c>
      <c r="P135" s="560" t="n"/>
      <c r="Q135" s="553" t="n"/>
      <c r="R135" s="553" t="n"/>
      <c r="S135" s="553" t="n"/>
      <c r="T135" s="553" t="n"/>
      <c r="U135" s="554" t="n"/>
      <c r="V135" s="554" t="n"/>
      <c r="W135" s="554" t="n"/>
      <c r="X135" s="554" t="n"/>
      <c r="Y135" s="554" t="n"/>
      <c r="Z135" s="554" t="n"/>
      <c r="AA135" s="554" t="n"/>
      <c r="AB135" s="328" t="n"/>
      <c r="AC135" s="328" t="n"/>
      <c r="AD135" s="328" t="n"/>
      <c r="AE135" s="328" t="n"/>
      <c r="AF135" s="554" t="n"/>
      <c r="AG135" s="554" t="n"/>
      <c r="AH135" s="554" t="n"/>
      <c r="AI135" s="554" t="n"/>
      <c r="AJ135" s="554" t="n"/>
      <c r="AK135" s="554" t="n"/>
      <c r="AL135" s="554" t="n"/>
      <c r="AM135" s="554" t="n"/>
    </row>
    <row r="136">
      <c r="A136" s="6" t="inlineStr">
        <is>
          <t>Exchange gain/(losses)</t>
        </is>
      </c>
      <c r="B136" s="481" t="n"/>
      <c r="C136" s="481" t="n"/>
      <c r="D136" s="481" t="n"/>
      <c r="E136" s="481" t="n">
        <v>-204.4019</v>
      </c>
      <c r="F136" s="481" t="n">
        <v>-58.7575</v>
      </c>
      <c r="G136" s="481" t="n">
        <v>112.62739517</v>
      </c>
      <c r="H136" s="481" t="n">
        <v>32.5113</v>
      </c>
      <c r="I136" s="481" t="n">
        <v>-5.9253</v>
      </c>
      <c r="J136" s="550">
        <f>I136</f>
        <v/>
      </c>
      <c r="K136" s="550">
        <f>J136</f>
        <v/>
      </c>
      <c r="L136" s="550">
        <f>K136</f>
        <v/>
      </c>
      <c r="M136" s="550">
        <f>L136</f>
        <v/>
      </c>
      <c r="N136" s="550">
        <f>M136</f>
        <v/>
      </c>
      <c r="O136" s="550">
        <f>N136</f>
        <v/>
      </c>
      <c r="AB136" s="481" t="n"/>
      <c r="AC136" s="481" t="n"/>
      <c r="AD136" s="481" t="n"/>
      <c r="AE136" s="481" t="n"/>
    </row>
    <row r="137">
      <c r="A137" s="6" t="inlineStr">
        <is>
          <t>Service charge and others</t>
        </is>
      </c>
      <c r="B137" s="481" t="n"/>
      <c r="C137" s="481" t="n"/>
      <c r="D137" s="481" t="n"/>
      <c r="E137" s="481">
        <f>-35.1272+68.0385</f>
        <v/>
      </c>
      <c r="F137" s="481">
        <f>-40.9333-18.8862</f>
        <v/>
      </c>
      <c r="G137" s="481" t="n">
        <v>22.16739119</v>
      </c>
      <c r="H137" s="481">
        <f>-96.275</f>
        <v/>
      </c>
      <c r="I137" s="481" t="n">
        <v>-88.35720000000001</v>
      </c>
      <c r="J137" s="550">
        <f>I137</f>
        <v/>
      </c>
      <c r="K137" s="550">
        <f>J137</f>
        <v/>
      </c>
      <c r="L137" s="550">
        <f>K137</f>
        <v/>
      </c>
      <c r="M137" s="550">
        <f>L137</f>
        <v/>
      </c>
      <c r="N137" s="550">
        <f>M137</f>
        <v/>
      </c>
      <c r="O137" s="550">
        <f>N137</f>
        <v/>
      </c>
      <c r="AB137" s="481" t="n"/>
      <c r="AC137" s="481" t="n"/>
      <c r="AD137" s="481" t="n"/>
      <c r="AE137" s="481" t="n"/>
    </row>
    <row r="138">
      <c r="A138" s="21" t="inlineStr">
        <is>
          <t>Net finance costs</t>
        </is>
      </c>
      <c r="B138" s="537" t="n"/>
      <c r="C138" s="537" t="n"/>
      <c r="D138" s="537" t="n"/>
      <c r="E138" s="537">
        <f>E132+E134+E136+E137</f>
        <v/>
      </c>
      <c r="F138" s="537">
        <f>F132+F134+F136+F137</f>
        <v/>
      </c>
      <c r="G138" s="537">
        <f>G132+G134+G136+G137</f>
        <v/>
      </c>
      <c r="H138" s="537">
        <f>H132+H134+H136+H137</f>
        <v/>
      </c>
      <c r="I138" s="537">
        <f>I132+I134+I136+I137</f>
        <v/>
      </c>
      <c r="J138" s="537">
        <f>J132+J134+J136+J137</f>
        <v/>
      </c>
      <c r="K138" s="537">
        <f>K132+K134+K136+K137</f>
        <v/>
      </c>
      <c r="L138" s="537">
        <f>L132+L134+L136+L137</f>
        <v/>
      </c>
      <c r="M138" s="537">
        <f>M132+M134+M136+M137</f>
        <v/>
      </c>
      <c r="N138" s="537">
        <f>N132+N134+N136+N137</f>
        <v/>
      </c>
      <c r="O138" s="537">
        <f>O132+O134+O136+O137</f>
        <v/>
      </c>
      <c r="AB138" s="538" t="n"/>
      <c r="AC138" s="538" t="n"/>
      <c r="AD138" s="538" t="n"/>
      <c r="AE138" s="538" t="n"/>
    </row>
    <row r="139">
      <c r="A139" s="37" t="inlineStr">
        <is>
          <t>Check</t>
        </is>
      </c>
      <c r="B139" s="561" t="n"/>
      <c r="C139" s="561" t="n"/>
      <c r="D139" s="561" t="n"/>
      <c r="E139" s="561">
        <f>ROUND(Model!P17-E138,0)</f>
        <v/>
      </c>
      <c r="F139" s="561">
        <f>ROUND(Model!Q17-F138,0)</f>
        <v/>
      </c>
      <c r="G139" s="561">
        <f>ROUND(Model!R17-G138,0)</f>
        <v/>
      </c>
      <c r="H139" s="561">
        <f>ROUND(Model!S17-H138,0)</f>
        <v/>
      </c>
      <c r="I139" s="561">
        <f>ROUND(Model!T17-I138,0)</f>
        <v/>
      </c>
      <c r="J139" s="561">
        <f>Model!U17-J138</f>
        <v/>
      </c>
      <c r="K139" s="561">
        <f>Model!V17-K138</f>
        <v/>
      </c>
      <c r="L139" s="561">
        <f>Model!W17-L138</f>
        <v/>
      </c>
      <c r="M139" s="561">
        <f>Model!X17-M138</f>
        <v/>
      </c>
      <c r="N139" s="561">
        <f>Model!Y17-N138</f>
        <v/>
      </c>
      <c r="O139" s="561">
        <f>Model!Z17-O138</f>
        <v/>
      </c>
      <c r="AB139" s="561" t="n"/>
      <c r="AC139" s="561" t="n"/>
      <c r="AD139" s="561" t="n"/>
      <c r="AE139" s="561" t="n"/>
    </row>
    <row r="140">
      <c r="B140" s="481" t="n"/>
      <c r="C140" s="481" t="n"/>
      <c r="D140" s="481" t="n"/>
      <c r="E140" s="481" t="n"/>
      <c r="F140" s="481" t="n"/>
      <c r="G140" s="481" t="n"/>
      <c r="H140" s="481" t="n"/>
      <c r="I140" s="481" t="n"/>
      <c r="J140" s="481" t="n"/>
      <c r="K140" s="481" t="n"/>
      <c r="L140" s="481" t="n"/>
      <c r="M140" s="481" t="n"/>
      <c r="N140" s="481" t="n"/>
      <c r="O140" s="481" t="n"/>
      <c r="AB140" s="481" t="n"/>
      <c r="AC140" s="481" t="n"/>
      <c r="AD140" s="481" t="n"/>
      <c r="AE140" s="481" t="n"/>
    </row>
    <row r="141">
      <c r="A141" s="105" t="inlineStr">
        <is>
          <t>Net working capital</t>
        </is>
      </c>
      <c r="B141" s="481" t="n"/>
      <c r="C141" s="481" t="n"/>
      <c r="D141" s="481" t="n"/>
      <c r="E141" s="481" t="n"/>
      <c r="F141" s="481" t="n"/>
      <c r="G141" s="481" t="n"/>
      <c r="H141" s="481" t="n"/>
      <c r="I141" s="481" t="n"/>
      <c r="J141" s="481" t="n"/>
      <c r="K141" s="481" t="n"/>
      <c r="L141" s="481" t="n"/>
      <c r="M141" s="481" t="n"/>
      <c r="N141" s="481" t="n"/>
      <c r="O141" s="481" t="n"/>
      <c r="AB141" s="481" t="n"/>
      <c r="AC141" s="481" t="n"/>
      <c r="AD141" s="481" t="n"/>
      <c r="AE141" s="481" t="n"/>
    </row>
    <row r="142">
      <c r="A142" s="6" t="inlineStr">
        <is>
          <t>Accounts receivable</t>
        </is>
      </c>
      <c r="B142" s="481" t="n"/>
      <c r="C142" s="481" t="n"/>
      <c r="D142" s="481" t="n"/>
      <c r="E142" s="481">
        <f>Model!P49</f>
        <v/>
      </c>
      <c r="F142" s="481">
        <f>Model!Q49</f>
        <v/>
      </c>
      <c r="G142" s="481">
        <f>Model!R49</f>
        <v/>
      </c>
      <c r="H142" s="481">
        <f>Model!S49</f>
        <v/>
      </c>
      <c r="I142" s="481">
        <f>Model!T49</f>
        <v/>
      </c>
      <c r="J142" s="481">
        <f>Model!U4/(365/J143)</f>
        <v/>
      </c>
      <c r="K142" s="481">
        <f>Model!V4/(365/K143)</f>
        <v/>
      </c>
      <c r="L142" s="481">
        <f>Model!W4/(365/L143)</f>
        <v/>
      </c>
      <c r="M142" s="481">
        <f>Model!X4/(365/M143)</f>
        <v/>
      </c>
      <c r="N142" s="481">
        <f>Model!Y4/(365/N143)</f>
        <v/>
      </c>
      <c r="O142" s="481">
        <f>Model!Z4/(365/O143)</f>
        <v/>
      </c>
      <c r="AB142" s="481" t="n"/>
      <c r="AC142" s="481" t="n"/>
      <c r="AD142" s="481" t="n"/>
      <c r="AE142" s="481" t="n"/>
    </row>
    <row r="143">
      <c r="A143" s="449" t="inlineStr">
        <is>
          <t>AR turnover days</t>
        </is>
      </c>
      <c r="B143" s="562" t="n"/>
      <c r="C143" s="562" t="n"/>
      <c r="D143" s="562" t="n"/>
      <c r="E143" s="562">
        <f>365/(Model!P4/E142)</f>
        <v/>
      </c>
      <c r="F143" s="562">
        <f>365/(Model!Q4/F142)</f>
        <v/>
      </c>
      <c r="G143" s="562">
        <f>365/(Model!R4/G142)</f>
        <v/>
      </c>
      <c r="H143" s="562">
        <f>365/(Model!S4/H142)</f>
        <v/>
      </c>
      <c r="I143" s="562">
        <f>365/(Model!T4/I142)</f>
        <v/>
      </c>
      <c r="J143" s="563">
        <f>I143</f>
        <v/>
      </c>
      <c r="K143" s="563">
        <f>J143</f>
        <v/>
      </c>
      <c r="L143" s="563">
        <f>K143</f>
        <v/>
      </c>
      <c r="M143" s="563">
        <f>L143</f>
        <v/>
      </c>
      <c r="N143" s="563">
        <f>M143</f>
        <v/>
      </c>
      <c r="O143" s="563">
        <f>N143</f>
        <v/>
      </c>
      <c r="P143" s="558" t="n"/>
      <c r="Q143" s="553" t="n"/>
      <c r="R143" s="553" t="n"/>
      <c r="S143" s="553" t="n"/>
      <c r="T143" s="553" t="n"/>
      <c r="U143" s="554" t="n"/>
      <c r="V143" s="554" t="n"/>
      <c r="W143" s="554" t="n"/>
      <c r="X143" s="554" t="n"/>
      <c r="Y143" s="554" t="n"/>
      <c r="Z143" s="554" t="n"/>
      <c r="AA143" s="554" t="n"/>
      <c r="AB143" s="562" t="n"/>
      <c r="AC143" s="562" t="n"/>
      <c r="AD143" s="562" t="n"/>
      <c r="AE143" s="562" t="n"/>
      <c r="AF143" s="554" t="n"/>
      <c r="AG143" s="554" t="n"/>
      <c r="AH143" s="554" t="n"/>
      <c r="AI143" s="554" t="n"/>
      <c r="AJ143" s="554" t="n"/>
      <c r="AK143" s="554" t="n"/>
      <c r="AL143" s="554" t="n"/>
      <c r="AM143" s="554" t="n"/>
    </row>
    <row r="144">
      <c r="A144" s="6" t="inlineStr">
        <is>
          <t>Other receivable</t>
        </is>
      </c>
      <c r="B144" s="481" t="n"/>
      <c r="C144" s="481" t="n"/>
      <c r="D144" s="481" t="n"/>
      <c r="E144" s="481">
        <f>Model!P50</f>
        <v/>
      </c>
      <c r="F144" s="481">
        <f>Model!Q50</f>
        <v/>
      </c>
      <c r="G144" s="481">
        <f>Model!R50</f>
        <v/>
      </c>
      <c r="H144" s="481">
        <f>Model!S50</f>
        <v/>
      </c>
      <c r="I144" s="481">
        <f>Model!T50</f>
        <v/>
      </c>
      <c r="J144" s="481">
        <f>Model!U4/(365/J145)</f>
        <v/>
      </c>
      <c r="K144" s="481">
        <f>Model!V4/(365/K145)</f>
        <v/>
      </c>
      <c r="L144" s="481">
        <f>Model!W4/(365/L145)</f>
        <v/>
      </c>
      <c r="M144" s="481">
        <f>Model!X4/(365/M145)</f>
        <v/>
      </c>
      <c r="N144" s="481">
        <f>Model!Y4/(365/N145)</f>
        <v/>
      </c>
      <c r="O144" s="481">
        <f>Model!Z4/(365/O145)</f>
        <v/>
      </c>
      <c r="P144" s="275" t="n"/>
      <c r="AB144" s="481" t="n"/>
      <c r="AC144" s="481" t="n"/>
      <c r="AD144" s="481" t="n"/>
      <c r="AE144" s="481" t="n"/>
    </row>
    <row r="145">
      <c r="A145" s="449" t="inlineStr">
        <is>
          <t>Other receivable turnover days</t>
        </is>
      </c>
      <c r="B145" s="562" t="n"/>
      <c r="C145" s="562" t="n"/>
      <c r="D145" s="562" t="n"/>
      <c r="E145" s="562">
        <f>365/(Model!P4/E144)</f>
        <v/>
      </c>
      <c r="F145" s="562">
        <f>365/(Model!Q4/F144)</f>
        <v/>
      </c>
      <c r="G145" s="562">
        <f>365/(Model!R4/G144)</f>
        <v/>
      </c>
      <c r="H145" s="562">
        <f>365/(Model!S4/H144)</f>
        <v/>
      </c>
      <c r="I145" s="562">
        <f>365/(Model!T4/I144)</f>
        <v/>
      </c>
      <c r="J145" s="563">
        <f>+I145</f>
        <v/>
      </c>
      <c r="K145" s="563">
        <f>J145</f>
        <v/>
      </c>
      <c r="L145" s="563">
        <f>K145</f>
        <v/>
      </c>
      <c r="M145" s="563">
        <f>L145</f>
        <v/>
      </c>
      <c r="N145" s="563">
        <f>M145</f>
        <v/>
      </c>
      <c r="O145" s="563">
        <f>N145</f>
        <v/>
      </c>
      <c r="P145" s="564" t="n"/>
      <c r="Q145" s="553" t="n"/>
      <c r="R145" s="553" t="n"/>
      <c r="S145" s="553" t="n"/>
      <c r="T145" s="553" t="n"/>
      <c r="U145" s="554" t="n"/>
      <c r="V145" s="554" t="n"/>
      <c r="W145" s="554" t="n"/>
      <c r="X145" s="554" t="n"/>
      <c r="Y145" s="554" t="n"/>
      <c r="Z145" s="554" t="n"/>
      <c r="AA145" s="554" t="n"/>
      <c r="AB145" s="562" t="n"/>
      <c r="AC145" s="562" t="n"/>
      <c r="AD145" s="562" t="n"/>
      <c r="AE145" s="562" t="n"/>
      <c r="AF145" s="554" t="n"/>
      <c r="AG145" s="554" t="n"/>
      <c r="AH145" s="554" t="n"/>
      <c r="AI145" s="554" t="n"/>
      <c r="AJ145" s="554" t="n"/>
      <c r="AK145" s="554" t="n"/>
      <c r="AL145" s="554" t="n"/>
      <c r="AM145" s="554" t="n"/>
    </row>
    <row r="146">
      <c r="A146" s="6" t="inlineStr">
        <is>
          <t>Inventory</t>
        </is>
      </c>
      <c r="B146" s="481" t="n"/>
      <c r="C146" s="481" t="n"/>
      <c r="D146" s="481" t="n"/>
      <c r="E146" s="481">
        <f>Model!P51</f>
        <v/>
      </c>
      <c r="F146" s="481">
        <f>Model!Q51</f>
        <v/>
      </c>
      <c r="G146" s="481">
        <f>Model!R51</f>
        <v/>
      </c>
      <c r="H146" s="481">
        <f>Model!S51</f>
        <v/>
      </c>
      <c r="I146" s="481">
        <f>Model!T51</f>
        <v/>
      </c>
      <c r="J146" s="481">
        <f>-Model!U6/(365/J147)</f>
        <v/>
      </c>
      <c r="K146" s="481">
        <f>-Model!V6/(365/K147)</f>
        <v/>
      </c>
      <c r="L146" s="481">
        <f>-Model!W6/(365/L147)</f>
        <v/>
      </c>
      <c r="M146" s="481">
        <f>-Model!X6/(365/M147)</f>
        <v/>
      </c>
      <c r="N146" s="481">
        <f>-Model!Y6/(365/N147)</f>
        <v/>
      </c>
      <c r="O146" s="481">
        <f>-Model!Z6/(365/O147)</f>
        <v/>
      </c>
      <c r="P146" s="277" t="n"/>
      <c r="AB146" s="481" t="n"/>
      <c r="AC146" s="481" t="n"/>
      <c r="AD146" s="481" t="n"/>
      <c r="AE146" s="481" t="n"/>
    </row>
    <row r="147">
      <c r="A147" s="449" t="inlineStr">
        <is>
          <t>Inventory turnover days</t>
        </is>
      </c>
      <c r="B147" s="562" t="n"/>
      <c r="C147" s="562" t="n"/>
      <c r="D147" s="562" t="n"/>
      <c r="E147" s="562">
        <f>-365/(Model!P6/E146)</f>
        <v/>
      </c>
      <c r="F147" s="562">
        <f>-365/(Model!Q6/F146)</f>
        <v/>
      </c>
      <c r="G147" s="562">
        <f>-365/(Model!R6/G146)</f>
        <v/>
      </c>
      <c r="H147" s="562">
        <f>-365/(Model!S6/H146)</f>
        <v/>
      </c>
      <c r="I147" s="562">
        <f>-365/(Model!T6/I146)</f>
        <v/>
      </c>
      <c r="J147" s="563">
        <f>+I147</f>
        <v/>
      </c>
      <c r="K147" s="563">
        <f>+J147</f>
        <v/>
      </c>
      <c r="L147" s="563">
        <f>+K147</f>
        <v/>
      </c>
      <c r="M147" s="563">
        <f>+L147</f>
        <v/>
      </c>
      <c r="N147" s="563">
        <f>+M147</f>
        <v/>
      </c>
      <c r="O147" s="563">
        <f>+N147</f>
        <v/>
      </c>
      <c r="P147" s="275" t="n"/>
      <c r="Q147" s="553" t="n"/>
      <c r="R147" s="553" t="n"/>
      <c r="S147" s="553" t="n"/>
      <c r="T147" s="553" t="n"/>
      <c r="U147" s="554" t="n"/>
      <c r="V147" s="554" t="n"/>
      <c r="W147" s="554" t="n"/>
      <c r="X147" s="554" t="n"/>
      <c r="Y147" s="554" t="n"/>
      <c r="Z147" s="554" t="n"/>
      <c r="AA147" s="554" t="n"/>
      <c r="AB147" s="562" t="n"/>
      <c r="AC147" s="562" t="n"/>
      <c r="AD147" s="562" t="n"/>
      <c r="AE147" s="562" t="n"/>
      <c r="AF147" s="554" t="n"/>
      <c r="AG147" s="554" t="n"/>
      <c r="AH147" s="554" t="n"/>
      <c r="AI147" s="554" t="n"/>
      <c r="AJ147" s="554" t="n"/>
      <c r="AK147" s="554" t="n"/>
      <c r="AL147" s="554" t="n"/>
      <c r="AM147" s="554" t="n"/>
    </row>
    <row r="148">
      <c r="A148" s="6" t="inlineStr">
        <is>
          <t>Accounts payables</t>
        </is>
      </c>
      <c r="B148" s="481" t="n"/>
      <c r="C148" s="481" t="n"/>
      <c r="D148" s="481" t="n"/>
      <c r="E148" s="481">
        <f>Model!P70</f>
        <v/>
      </c>
      <c r="F148" s="481">
        <f>Model!Q70</f>
        <v/>
      </c>
      <c r="G148" s="481">
        <f>Model!R70</f>
        <v/>
      </c>
      <c r="H148" s="481">
        <f>Model!S70</f>
        <v/>
      </c>
      <c r="I148" s="481">
        <f>Model!T70</f>
        <v/>
      </c>
      <c r="J148" s="481">
        <f>-Model!U6/(365/J149)</f>
        <v/>
      </c>
      <c r="K148" s="481">
        <f>-Model!V6/(365/K149)</f>
        <v/>
      </c>
      <c r="L148" s="481">
        <f>-Model!W6/(365/L149)</f>
        <v/>
      </c>
      <c r="M148" s="481">
        <f>-Model!X6/(365/M149)</f>
        <v/>
      </c>
      <c r="N148" s="481">
        <f>-Model!Y6/(365/N149)</f>
        <v/>
      </c>
      <c r="O148" s="481">
        <f>-Model!Z6/(365/O149)</f>
        <v/>
      </c>
      <c r="AB148" s="481" t="n"/>
      <c r="AC148" s="481" t="n"/>
      <c r="AD148" s="481" t="n"/>
      <c r="AE148" s="481" t="n"/>
    </row>
    <row r="149">
      <c r="A149" s="449" t="inlineStr">
        <is>
          <t>AP turnover days</t>
        </is>
      </c>
      <c r="B149" s="562" t="n"/>
      <c r="C149" s="562" t="n"/>
      <c r="D149" s="562" t="n"/>
      <c r="E149" s="562">
        <f>-365/(Model!P6/E148)</f>
        <v/>
      </c>
      <c r="F149" s="562">
        <f>-365/(Model!Q6/F148)</f>
        <v/>
      </c>
      <c r="G149" s="562">
        <f>-365/(Model!R6/G148)</f>
        <v/>
      </c>
      <c r="H149" s="562">
        <f>-365/(Model!S6/H148)</f>
        <v/>
      </c>
      <c r="I149" s="562">
        <f>-365/(Model!T6/I148)</f>
        <v/>
      </c>
      <c r="J149" s="563">
        <f>+I149</f>
        <v/>
      </c>
      <c r="K149" s="563">
        <f>+J149</f>
        <v/>
      </c>
      <c r="L149" s="563">
        <f>+K149</f>
        <v/>
      </c>
      <c r="M149" s="563">
        <f>+L149</f>
        <v/>
      </c>
      <c r="N149" s="563">
        <f>+M149</f>
        <v/>
      </c>
      <c r="O149" s="563">
        <f>+N149</f>
        <v/>
      </c>
      <c r="P149" s="558" t="n"/>
      <c r="AB149" s="562" t="n"/>
      <c r="AC149" s="562" t="n"/>
      <c r="AD149" s="562" t="n"/>
      <c r="AE149" s="562" t="n"/>
    </row>
    <row r="150">
      <c r="A150" s="6" t="inlineStr">
        <is>
          <t>Other payables</t>
        </is>
      </c>
      <c r="B150" s="481" t="n"/>
      <c r="C150" s="481" t="n"/>
      <c r="D150" s="481" t="n"/>
      <c r="E150" s="481">
        <f>Model!P72</f>
        <v/>
      </c>
      <c r="F150" s="481">
        <f>Model!Q72</f>
        <v/>
      </c>
      <c r="G150" s="481">
        <f>Model!R72</f>
        <v/>
      </c>
      <c r="H150" s="481">
        <f>Model!S72</f>
        <v/>
      </c>
      <c r="I150" s="481">
        <f>Model!T72</f>
        <v/>
      </c>
      <c r="J150" s="481">
        <f>-Model!U6/(365/J151)</f>
        <v/>
      </c>
      <c r="K150" s="481">
        <f>-Model!V6/(365/K151)</f>
        <v/>
      </c>
      <c r="L150" s="481">
        <f>-Model!W6/(365/L151)</f>
        <v/>
      </c>
      <c r="M150" s="481">
        <f>-Model!X6/(365/M151)</f>
        <v/>
      </c>
      <c r="N150" s="481">
        <f>-Model!Y6/(365/N151)</f>
        <v/>
      </c>
      <c r="O150" s="481">
        <f>-Model!Z6/(365/O151)</f>
        <v/>
      </c>
      <c r="AB150" s="481" t="n"/>
      <c r="AC150" s="481" t="n"/>
      <c r="AD150" s="481" t="n"/>
      <c r="AE150" s="481" t="n"/>
    </row>
    <row r="151">
      <c r="A151" s="449" t="inlineStr">
        <is>
          <t>AP turnover days</t>
        </is>
      </c>
      <c r="B151" s="562" t="n"/>
      <c r="C151" s="562" t="n"/>
      <c r="D151" s="562" t="n"/>
      <c r="E151" s="562">
        <f>-365/(Model!P6/E150)</f>
        <v/>
      </c>
      <c r="F151" s="562">
        <f>-365/(Model!Q6/F150)</f>
        <v/>
      </c>
      <c r="G151" s="562">
        <f>-365/(Model!R6/G150)</f>
        <v/>
      </c>
      <c r="H151" s="562">
        <f>-365/(Model!S6/H150)</f>
        <v/>
      </c>
      <c r="I151" s="562">
        <f>-365/(Model!T6/I150)</f>
        <v/>
      </c>
      <c r="J151" s="563">
        <f>+I151</f>
        <v/>
      </c>
      <c r="K151" s="563">
        <f>+J151</f>
        <v/>
      </c>
      <c r="L151" s="563">
        <f>+K151</f>
        <v/>
      </c>
      <c r="M151" s="563">
        <f>+L151</f>
        <v/>
      </c>
      <c r="N151" s="563">
        <f>+M151</f>
        <v/>
      </c>
      <c r="O151" s="563">
        <f>+N151</f>
        <v/>
      </c>
      <c r="AB151" s="562" t="n"/>
      <c r="AC151" s="562" t="n"/>
      <c r="AD151" s="562" t="n"/>
      <c r="AE151" s="562" t="n"/>
    </row>
    <row r="152">
      <c r="B152" s="481" t="n"/>
      <c r="C152" s="481" t="n"/>
      <c r="D152" s="481" t="n"/>
      <c r="E152" s="481" t="n"/>
      <c r="F152" s="481" t="n"/>
      <c r="G152" s="481" t="n"/>
      <c r="H152" s="481" t="n"/>
      <c r="I152" s="481" t="n"/>
      <c r="J152" s="481" t="n"/>
      <c r="K152" s="481" t="n"/>
      <c r="L152" s="481" t="n"/>
      <c r="M152" s="481" t="n"/>
      <c r="N152" s="481" t="n"/>
      <c r="O152" s="481" t="n"/>
      <c r="AB152" s="481" t="n"/>
      <c r="AC152" s="481" t="n"/>
      <c r="AD152" s="481" t="n"/>
      <c r="AE152" s="481" t="n"/>
    </row>
    <row r="153">
      <c r="B153" s="481" t="n"/>
      <c r="C153" s="481" t="n"/>
      <c r="D153" s="481" t="n"/>
      <c r="E153" s="481" t="n"/>
      <c r="F153" s="481" t="n"/>
      <c r="G153" s="481" t="n"/>
      <c r="H153" s="481" t="n"/>
      <c r="I153" s="481" t="n"/>
      <c r="J153" s="481" t="n"/>
      <c r="K153" s="481" t="n"/>
      <c r="L153" s="481" t="n"/>
      <c r="M153" s="481" t="n"/>
      <c r="N153" s="481" t="n"/>
      <c r="O153" s="481" t="n"/>
      <c r="AB153" s="481" t="n"/>
      <c r="AC153" s="481" t="n"/>
      <c r="AD153" s="481" t="n"/>
      <c r="AE153" s="481" t="n"/>
    </row>
    <row r="154">
      <c r="A154" s="28" t="inlineStr">
        <is>
          <t xml:space="preserve">New orders - high-efficient clean energy equipment &amp; New energy </t>
        </is>
      </c>
      <c r="B154" s="538" t="n"/>
      <c r="C154" s="538" t="n"/>
      <c r="D154" s="538" t="n"/>
      <c r="E154" s="538" t="n"/>
      <c r="F154" s="153" t="n"/>
      <c r="G154" s="153" t="n"/>
      <c r="H154" s="153" t="n"/>
      <c r="I154" s="153" t="n"/>
      <c r="J154" s="153" t="n"/>
      <c r="K154" s="153" t="n"/>
      <c r="L154" s="153" t="n"/>
      <c r="M154" s="153" t="n"/>
      <c r="N154" s="153" t="n"/>
      <c r="O154" s="153" t="n"/>
      <c r="P154" s="535" t="n"/>
      <c r="Q154" s="6" t="n"/>
      <c r="R154" s="6" t="n"/>
      <c r="S154" s="6" t="n"/>
      <c r="T154" s="6" t="n"/>
      <c r="AB154" s="153" t="n"/>
      <c r="AC154" s="153" t="n"/>
      <c r="AD154" s="153" t="n"/>
      <c r="AE154" s="153" t="n"/>
      <c r="AF154" s="379" t="n"/>
      <c r="AG154" s="379" t="n"/>
      <c r="AH154" s="379" t="n"/>
      <c r="AI154" s="379" t="n"/>
    </row>
    <row r="155">
      <c r="A155" s="6">
        <f>A6</f>
        <v/>
      </c>
      <c r="B155" s="481" t="n"/>
      <c r="C155" s="481" t="n"/>
      <c r="D155" s="481" t="n"/>
      <c r="E155" s="481">
        <f>E162*32.4%</f>
        <v/>
      </c>
      <c r="F155" s="481">
        <f>F162*25.81%</f>
        <v/>
      </c>
      <c r="G155" s="481">
        <f>G162*33.07%</f>
        <v/>
      </c>
      <c r="H155" s="481">
        <f>H162*39.44%</f>
        <v/>
      </c>
      <c r="I155" s="481">
        <f>I162*38.71%</f>
        <v/>
      </c>
      <c r="J155" s="136" t="n"/>
      <c r="K155" s="481" t="n"/>
      <c r="L155" s="481" t="n"/>
      <c r="M155" s="481" t="n"/>
      <c r="N155" s="481" t="n"/>
      <c r="O155" s="481" t="n"/>
      <c r="P155" s="535" t="n"/>
      <c r="Q155" s="481" t="n"/>
      <c r="R155" s="481" t="n"/>
      <c r="S155" s="481" t="n"/>
      <c r="T155" s="481" t="n"/>
      <c r="U155" s="481" t="n"/>
      <c r="AB155" s="481">
        <f>Model!BQ143</f>
        <v/>
      </c>
      <c r="AC155" s="481">
        <f>Model!BR143</f>
        <v/>
      </c>
      <c r="AD155" s="481" t="n"/>
      <c r="AE155" s="481" t="n"/>
      <c r="AF155" s="453" t="n"/>
      <c r="AG155" s="379" t="n"/>
      <c r="AH155" s="379" t="n"/>
      <c r="AI155" s="379" t="n"/>
    </row>
    <row r="156">
      <c r="A156" s="6">
        <f>A7</f>
        <v/>
      </c>
      <c r="B156" s="481" t="n"/>
      <c r="C156" s="481" t="n"/>
      <c r="D156" s="481" t="n"/>
      <c r="E156" s="481" t="n"/>
      <c r="F156" s="481" t="n"/>
      <c r="G156" s="481" t="n"/>
      <c r="H156" s="481" t="n"/>
      <c r="I156" s="481" t="n"/>
      <c r="J156" s="481" t="n"/>
      <c r="K156" s="481" t="n"/>
      <c r="L156" s="481" t="n"/>
      <c r="M156" s="481" t="n"/>
      <c r="N156" s="481" t="n"/>
      <c r="O156" s="481" t="n"/>
      <c r="P156" s="535" t="n"/>
      <c r="Q156" s="481" t="n"/>
      <c r="R156" s="481" t="n"/>
      <c r="S156" s="481" t="n"/>
      <c r="T156" s="481" t="n"/>
      <c r="U156" s="481" t="n"/>
      <c r="AB156" s="481" t="n"/>
      <c r="AC156" s="481" t="n"/>
      <c r="AD156" s="481" t="n"/>
      <c r="AE156" s="481" t="n"/>
      <c r="AF156" s="453" t="n"/>
      <c r="AG156" s="379" t="n"/>
      <c r="AH156" s="379" t="n"/>
      <c r="AI156" s="379" t="n"/>
    </row>
    <row r="157">
      <c r="A157" s="6">
        <f>A8</f>
        <v/>
      </c>
      <c r="B157" s="481" t="n"/>
      <c r="C157" s="481" t="n"/>
      <c r="D157" s="481" t="n"/>
      <c r="E157" s="481" t="n"/>
      <c r="F157" s="481" t="n"/>
      <c r="G157" s="481" t="n"/>
      <c r="H157" s="481" t="n"/>
      <c r="I157" s="481" t="n"/>
      <c r="J157" s="481" t="n"/>
      <c r="K157" s="481" t="n"/>
      <c r="L157" s="481" t="n"/>
      <c r="M157" s="481" t="n"/>
      <c r="N157" s="481" t="n"/>
      <c r="O157" s="481" t="n"/>
      <c r="P157" s="535" t="n"/>
      <c r="Q157" s="481" t="n"/>
      <c r="R157" s="481" t="n"/>
      <c r="S157" s="481" t="n"/>
      <c r="T157" s="481" t="n"/>
      <c r="U157" s="152" t="n"/>
      <c r="AB157" s="481" t="n"/>
      <c r="AC157" s="481" t="n"/>
      <c r="AD157" s="481" t="n"/>
      <c r="AE157" s="481" t="n"/>
      <c r="AF157" s="453" t="n"/>
      <c r="AG157" s="379" t="n"/>
      <c r="AH157" s="379" t="n"/>
      <c r="AI157" s="379" t="n"/>
    </row>
    <row r="158">
      <c r="A158" s="6">
        <f>A9</f>
        <v/>
      </c>
      <c r="B158" s="481" t="n"/>
      <c r="C158" s="481" t="n"/>
      <c r="D158" s="481" t="n"/>
      <c r="E158" s="481" t="n"/>
      <c r="F158" s="481" t="n"/>
      <c r="G158" s="481" t="n"/>
      <c r="H158" s="481" t="n"/>
      <c r="I158" s="481" t="n"/>
      <c r="J158" s="481" t="n"/>
      <c r="K158" s="481" t="n"/>
      <c r="L158" s="481" t="n"/>
      <c r="M158" s="481" t="n"/>
      <c r="N158" s="481" t="n"/>
      <c r="O158" s="481" t="n"/>
      <c r="P158" s="535" t="n"/>
      <c r="Q158" s="481" t="n"/>
      <c r="R158" s="481" t="n"/>
      <c r="S158" s="481" t="n"/>
      <c r="T158" s="481" t="n"/>
      <c r="U158" s="152" t="n"/>
      <c r="AB158" s="481" t="n"/>
      <c r="AC158" s="481" t="n"/>
      <c r="AD158" s="481" t="n"/>
      <c r="AE158" s="481" t="n"/>
      <c r="AF158" s="453" t="n"/>
      <c r="AG158" s="379" t="n"/>
      <c r="AH158" s="379" t="n"/>
      <c r="AI158" s="379" t="n"/>
    </row>
    <row r="159">
      <c r="A159" s="6" t="inlineStr">
        <is>
          <t>New Energy (Mostly Wind &amp; Hydro)</t>
        </is>
      </c>
      <c r="B159" s="481" t="n"/>
      <c r="C159" s="481" t="n"/>
      <c r="D159" s="481" t="n"/>
      <c r="E159" s="481">
        <f>E162*23.9%</f>
        <v/>
      </c>
      <c r="F159" s="481">
        <f>F162*29.4%</f>
        <v/>
      </c>
      <c r="G159" s="481">
        <f>G162*27.17%</f>
        <v/>
      </c>
      <c r="H159" s="481">
        <f>H162*23.25%</f>
        <v/>
      </c>
      <c r="I159" s="481">
        <f>I162*26.19%</f>
        <v/>
      </c>
      <c r="J159" s="481" t="n"/>
      <c r="K159" s="481" t="n"/>
      <c r="L159" s="481" t="n"/>
      <c r="M159" s="481" t="n"/>
      <c r="N159" s="481" t="n"/>
      <c r="O159" s="481" t="n"/>
      <c r="P159" s="535" t="n"/>
      <c r="Q159" s="481" t="n"/>
      <c r="R159" s="481" t="n"/>
      <c r="S159" s="481" t="n"/>
      <c r="T159" s="481" t="n"/>
      <c r="U159" s="481" t="n"/>
      <c r="AB159" s="481">
        <f>Model!BQ147</f>
        <v/>
      </c>
      <c r="AC159" s="481">
        <f>Model!BR147</f>
        <v/>
      </c>
      <c r="AD159" s="481" t="n"/>
      <c r="AE159" s="481" t="n"/>
      <c r="AF159" s="453" t="n"/>
      <c r="AG159" s="379" t="n"/>
      <c r="AH159" s="379" t="n"/>
      <c r="AI159" s="379" t="n"/>
    </row>
    <row r="160">
      <c r="A160" s="6">
        <f>A12</f>
        <v/>
      </c>
      <c r="B160" s="481" t="n"/>
      <c r="C160" s="481" t="n"/>
      <c r="D160" s="481" t="n"/>
      <c r="E160" s="481">
        <f>E162*16.1%</f>
        <v/>
      </c>
      <c r="F160" s="481">
        <f>F162*12.78%</f>
        <v/>
      </c>
      <c r="G160" s="481">
        <f>G162*12.23%</f>
        <v/>
      </c>
      <c r="H160" s="481">
        <f>H162*10.64%</f>
        <v/>
      </c>
      <c r="I160" s="481">
        <f>I162*8.67%</f>
        <v/>
      </c>
      <c r="J160" s="481" t="n"/>
      <c r="K160" s="481" t="n"/>
      <c r="L160" s="481" t="n"/>
      <c r="M160" s="481" t="n"/>
      <c r="N160" s="481" t="n"/>
      <c r="O160" s="481" t="n"/>
      <c r="P160" s="535" t="n"/>
      <c r="Q160" s="481" t="n"/>
      <c r="R160" s="481" t="n"/>
      <c r="S160" s="481" t="n"/>
      <c r="T160" s="481" t="n"/>
      <c r="U160" s="481" t="n"/>
      <c r="AB160" s="481">
        <f>Model!BQ150</f>
        <v/>
      </c>
      <c r="AC160" s="481">
        <f>Model!BR150</f>
        <v/>
      </c>
      <c r="AD160" s="481" t="n"/>
      <c r="AE160" s="481" t="n"/>
      <c r="AF160" s="446" t="n"/>
      <c r="AG160" s="381" t="n"/>
      <c r="AH160" s="381" t="n"/>
      <c r="AI160" s="381" t="n"/>
    </row>
    <row r="161">
      <c r="A161" s="6">
        <f>A13</f>
        <v/>
      </c>
      <c r="B161" s="481" t="n"/>
      <c r="C161" s="481" t="n"/>
      <c r="D161" s="481" t="n"/>
      <c r="E161" s="481">
        <f>E162-E155-E159-E160</f>
        <v/>
      </c>
      <c r="F161" s="481">
        <f>F162-F155-F159-F160</f>
        <v/>
      </c>
      <c r="G161" s="481">
        <f>G162-G155-G159-G160</f>
        <v/>
      </c>
      <c r="H161" s="481">
        <f>H162-H155-H159-H160</f>
        <v/>
      </c>
      <c r="I161" s="481">
        <f>I162-I155-I159-I160</f>
        <v/>
      </c>
      <c r="J161" s="481" t="n"/>
      <c r="K161" s="481" t="n"/>
      <c r="L161" s="481" t="n"/>
      <c r="M161" s="481" t="n"/>
      <c r="N161" s="481" t="n"/>
      <c r="O161" s="481" t="n"/>
      <c r="P161" s="535" t="n"/>
      <c r="Q161" s="481" t="n"/>
      <c r="R161" s="481" t="n"/>
      <c r="S161" s="481" t="n"/>
      <c r="T161" s="481" t="n"/>
      <c r="U161" s="481" t="n"/>
      <c r="AB161" s="481">
        <f>Model!BQ151</f>
        <v/>
      </c>
      <c r="AC161" s="481">
        <f>Model!BR151</f>
        <v/>
      </c>
      <c r="AD161" s="481" t="n"/>
      <c r="AE161" s="481" t="n"/>
      <c r="AF161" s="453" t="n"/>
      <c r="AG161" s="379" t="n"/>
      <c r="AH161" s="379" t="n"/>
      <c r="AI161" s="379" t="n"/>
    </row>
    <row r="162">
      <c r="A162" s="21" t="inlineStr">
        <is>
          <t>   </t>
        </is>
      </c>
      <c r="B162" s="537" t="n"/>
      <c r="C162" s="537" t="n"/>
      <c r="D162" s="537" t="n"/>
      <c r="E162" s="537" t="n">
        <v>49400</v>
      </c>
      <c r="F162" s="537" t="n">
        <v>56392</v>
      </c>
      <c r="G162" s="537" t="n">
        <v>65579</v>
      </c>
      <c r="H162" s="537" t="n">
        <v>86532</v>
      </c>
      <c r="I162" s="537" t="n">
        <v>101142</v>
      </c>
      <c r="J162" s="537" t="n"/>
      <c r="K162" s="537" t="n"/>
      <c r="L162" s="537" t="n"/>
      <c r="M162" s="537" t="n"/>
      <c r="N162" s="537" t="n"/>
      <c r="O162" s="537" t="n"/>
      <c r="P162" s="535" t="n"/>
      <c r="Q162" s="481" t="n"/>
      <c r="R162" s="481" t="n"/>
      <c r="S162" s="481" t="n"/>
      <c r="T162" s="481" t="n"/>
      <c r="U162" s="481" t="n"/>
      <c r="AB162" s="537">
        <f>Model!BQ152</f>
        <v/>
      </c>
      <c r="AC162" s="537">
        <f>Model!BR152</f>
        <v/>
      </c>
      <c r="AD162" s="537" t="n"/>
      <c r="AE162" s="537" t="n"/>
      <c r="AF162" s="379" t="n"/>
      <c r="AG162" s="379" t="n"/>
      <c r="AH162" s="379" t="n"/>
      <c r="AI162" s="379" t="n"/>
    </row>
    <row r="163" customFormat="1" s="126">
      <c r="A163" s="126" t="inlineStr">
        <is>
          <t>YoY chg</t>
        </is>
      </c>
      <c r="B163" s="549" t="n"/>
      <c r="C163" s="549" t="n"/>
      <c r="D163" s="549" t="n"/>
      <c r="E163" s="549" t="n"/>
      <c r="F163" s="152">
        <f>+F162/E162-1</f>
        <v/>
      </c>
      <c r="G163" s="152">
        <f>+G162/F162-1</f>
        <v/>
      </c>
      <c r="H163" s="152">
        <f>+H162/G162-1</f>
        <v/>
      </c>
      <c r="I163" s="152">
        <f>+I162/H162-1</f>
        <v/>
      </c>
      <c r="J163" s="152" t="n"/>
      <c r="K163" s="549" t="n"/>
      <c r="L163" s="549" t="n"/>
      <c r="M163" s="549" t="n"/>
      <c r="N163" s="549" t="n"/>
      <c r="O163" s="549" t="n"/>
      <c r="P163" s="565" t="n"/>
      <c r="Q163" s="481" t="n"/>
      <c r="R163" s="481" t="n"/>
      <c r="S163" s="481" t="n"/>
      <c r="T163" s="481" t="n"/>
      <c r="U163" s="152" t="n"/>
      <c r="AB163" s="152">
        <f>+AB162/AA162-1</f>
        <v/>
      </c>
      <c r="AC163" s="152" t="n"/>
      <c r="AD163" s="152" t="n"/>
      <c r="AE163" s="152" t="n"/>
      <c r="AF163" s="446" t="n"/>
      <c r="AG163" s="381" t="n"/>
      <c r="AH163" s="381" t="n"/>
      <c r="AI163" s="381" t="n"/>
    </row>
    <row r="164" customFormat="1" s="126">
      <c r="A164" s="208" t="inlineStr">
        <is>
          <t>Revenue recognition %</t>
        </is>
      </c>
      <c r="B164" s="549" t="n"/>
      <c r="C164" s="549" t="n"/>
      <c r="D164" s="549" t="n"/>
      <c r="E164" s="549" t="n"/>
      <c r="F164" s="152" t="n"/>
      <c r="G164" s="152" t="n"/>
      <c r="H164" s="152" t="n"/>
      <c r="I164" s="152" t="n"/>
      <c r="J164" s="152" t="n"/>
      <c r="K164" s="549" t="n"/>
      <c r="L164" s="549" t="n"/>
      <c r="M164" s="549" t="n"/>
      <c r="N164" s="549" t="n"/>
      <c r="O164" s="549" t="n"/>
      <c r="P164" s="565" t="n"/>
      <c r="Q164" s="481" t="n"/>
      <c r="R164" s="481" t="n"/>
      <c r="S164" s="481" t="n"/>
      <c r="T164" s="481" t="n"/>
      <c r="U164" s="152" t="n"/>
      <c r="AB164" s="152" t="n"/>
      <c r="AC164" s="152" t="n"/>
      <c r="AD164" s="152" t="n"/>
      <c r="AE164" s="152" t="n"/>
      <c r="AF164" s="453" t="n"/>
      <c r="AG164" s="379" t="n"/>
      <c r="AH164" s="379" t="n"/>
      <c r="AI164" s="379" t="n"/>
    </row>
    <row r="165" ht="12.75" customFormat="1" customHeight="1" s="126">
      <c r="A165" s="205">
        <f>A6</f>
        <v/>
      </c>
      <c r="B165" s="566" t="n"/>
      <c r="C165" s="566" t="n"/>
      <c r="D165" s="566" t="n"/>
      <c r="E165" s="566" t="n"/>
      <c r="F165" s="168">
        <f>+F6/(E155/1.13)</f>
        <v/>
      </c>
      <c r="G165" s="168">
        <f>+G6/(F155/1.13)</f>
        <v/>
      </c>
      <c r="H165" s="168">
        <f>+H6/(G155/1.13)</f>
        <v/>
      </c>
      <c r="I165" s="168">
        <f>+I6/(H155/1.13)</f>
        <v/>
      </c>
      <c r="J165" s="168">
        <f>+J6/(I155/1.13)</f>
        <v/>
      </c>
      <c r="K165" s="549" t="n"/>
      <c r="L165" s="549" t="n"/>
      <c r="M165" s="549" t="n"/>
      <c r="N165" s="549" t="n"/>
      <c r="O165" s="549" t="n"/>
      <c r="P165" s="540" t="inlineStr">
        <is>
          <t>cross check</t>
        </is>
      </c>
      <c r="AB165" s="168">
        <f>+AB6/(AA155/1.13)</f>
        <v/>
      </c>
      <c r="AC165" s="168" t="n"/>
      <c r="AD165" s="168" t="n"/>
      <c r="AE165" s="168" t="n"/>
      <c r="AF165" s="453" t="n"/>
      <c r="AG165" s="379" t="n"/>
      <c r="AH165" s="379" t="n"/>
      <c r="AI165" s="379" t="n"/>
    </row>
    <row r="166" ht="12.75" customFormat="1" customHeight="1" s="126">
      <c r="A166" s="205">
        <f>A159</f>
        <v/>
      </c>
      <c r="B166" s="566" t="n"/>
      <c r="C166" s="566" t="n"/>
      <c r="D166" s="566" t="n"/>
      <c r="E166" s="566" t="n"/>
      <c r="F166" s="168">
        <f>+(F10+F11)/(E159/1.13)</f>
        <v/>
      </c>
      <c r="G166" s="168">
        <f>+(G10+G11)/(F159/1.13)</f>
        <v/>
      </c>
      <c r="H166" s="168">
        <f>+(H10+H11)/(G159/1.13)</f>
        <v/>
      </c>
      <c r="I166" s="168">
        <f>+(I10+I11)/(H159/1.13)</f>
        <v/>
      </c>
      <c r="J166" s="168">
        <f>+(J10+J11)/(I159/1.13)</f>
        <v/>
      </c>
      <c r="K166" s="549" t="n"/>
      <c r="L166" s="549" t="n"/>
      <c r="M166" s="549" t="n"/>
      <c r="N166" s="549" t="n"/>
      <c r="O166" s="549" t="n"/>
      <c r="P166" s="540" t="inlineStr">
        <is>
          <t>cross check</t>
        </is>
      </c>
      <c r="AB166" s="168">
        <f>+(AB10+AB11)/(AA159/1.13)</f>
        <v/>
      </c>
      <c r="AC166" s="168" t="n"/>
      <c r="AD166" s="168" t="n"/>
      <c r="AE166" s="168" t="n"/>
      <c r="AF166" s="446" t="n"/>
      <c r="AG166" s="381" t="n"/>
      <c r="AH166" s="381" t="n"/>
      <c r="AI166" s="381" t="n"/>
    </row>
    <row r="167" ht="12.75" customFormat="1" customHeight="1" s="126">
      <c r="A167" s="205">
        <f>A12</f>
        <v/>
      </c>
      <c r="B167" s="566" t="n"/>
      <c r="C167" s="566" t="n"/>
      <c r="D167" s="566" t="n"/>
      <c r="E167" s="566" t="n"/>
      <c r="F167" s="168">
        <f>+F12/(E160/1.13)</f>
        <v/>
      </c>
      <c r="G167" s="168">
        <f>+G12/(F160/1.13)</f>
        <v/>
      </c>
      <c r="H167" s="168">
        <f>+H12/(G160/1.13)</f>
        <v/>
      </c>
      <c r="I167" s="168">
        <f>+I12/(H160/1.13)</f>
        <v/>
      </c>
      <c r="J167" s="168">
        <f>+J12/(I160/1.13)</f>
        <v/>
      </c>
      <c r="K167" s="549" t="n"/>
      <c r="L167" s="549" t="n"/>
      <c r="M167" s="549" t="n"/>
      <c r="N167" s="549" t="n"/>
      <c r="O167" s="549" t="n"/>
      <c r="P167" s="540" t="inlineStr">
        <is>
          <t>cross check</t>
        </is>
      </c>
      <c r="AB167" s="168">
        <f>+AB12/(AA160/1.13)</f>
        <v/>
      </c>
      <c r="AC167" s="168" t="n"/>
      <c r="AD167" s="168" t="n"/>
      <c r="AE167" s="168" t="n"/>
    </row>
    <row r="168" ht="12.75" customFormat="1" customHeight="1" s="126">
      <c r="A168" s="205">
        <f>A13</f>
        <v/>
      </c>
      <c r="B168" s="566" t="n"/>
      <c r="C168" s="566" t="n"/>
      <c r="D168" s="566" t="n"/>
      <c r="E168" s="566" t="n"/>
      <c r="F168" s="168">
        <f>+F13/(E161/1.13)</f>
        <v/>
      </c>
      <c r="G168" s="168">
        <f>+G13/(F161/1.13)</f>
        <v/>
      </c>
      <c r="H168" s="168">
        <f>+H13/(G161/1.13)</f>
        <v/>
      </c>
      <c r="I168" s="168">
        <f>+I13/(H161/1.13)</f>
        <v/>
      </c>
      <c r="J168" s="168">
        <f>+J13/(I161/1.13)</f>
        <v/>
      </c>
      <c r="K168" s="549" t="n"/>
      <c r="L168" s="549" t="n"/>
      <c r="M168" s="549" t="n"/>
      <c r="N168" s="549" t="n"/>
      <c r="O168" s="549" t="n"/>
      <c r="P168" s="540" t="inlineStr">
        <is>
          <t>cross check</t>
        </is>
      </c>
      <c r="AB168" s="168">
        <f>+AB13/(AA161/1.13)</f>
        <v/>
      </c>
      <c r="AC168" s="168" t="n"/>
      <c r="AD168" s="168" t="n"/>
      <c r="AE168" s="168" t="n"/>
    </row>
    <row r="169" ht="12.75" customFormat="1" customHeight="1" s="126">
      <c r="A169" s="205">
        <f>A14</f>
        <v/>
      </c>
      <c r="B169" s="566" t="n"/>
      <c r="C169" s="566" t="n"/>
      <c r="D169" s="566" t="n"/>
      <c r="E169" s="566" t="n"/>
      <c r="F169" s="168">
        <f>+F14/(E162/1.13)</f>
        <v/>
      </c>
      <c r="G169" s="168">
        <f>+G14/(F162/1.13)</f>
        <v/>
      </c>
      <c r="H169" s="168">
        <f>+H14/(G162/1.13)</f>
        <v/>
      </c>
      <c r="I169" s="168">
        <f>+I14/(H162/1.13)</f>
        <v/>
      </c>
      <c r="J169" s="168">
        <f>+J14/(I162/1.13)</f>
        <v/>
      </c>
      <c r="K169" s="152" t="n"/>
      <c r="L169" s="549" t="n"/>
      <c r="M169" s="549" t="n"/>
      <c r="N169" s="549" t="n"/>
      <c r="O169" s="549" t="n"/>
      <c r="P169" s="540" t="inlineStr">
        <is>
          <t>cross check</t>
        </is>
      </c>
      <c r="AB169" s="168">
        <f>+AB14/(AA162/1.13)</f>
        <v/>
      </c>
      <c r="AC169" s="168" t="n"/>
      <c r="AD169" s="168" t="n"/>
      <c r="AE169" s="168" t="n"/>
    </row>
    <row r="170">
      <c r="B170" s="481" t="n"/>
      <c r="C170" s="481" t="n"/>
      <c r="D170" s="481" t="n"/>
      <c r="E170" s="481" t="n"/>
      <c r="F170" s="481" t="n"/>
      <c r="G170" s="481" t="n"/>
      <c r="H170" s="481" t="n"/>
      <c r="I170" s="481" t="n"/>
      <c r="J170" s="481" t="n"/>
      <c r="K170" s="481" t="n"/>
      <c r="L170" s="481" t="n"/>
      <c r="M170" s="481" t="n"/>
      <c r="N170" s="481" t="n"/>
      <c r="O170" s="481" t="n"/>
      <c r="AB170" s="481" t="n"/>
      <c r="AC170" s="481" t="n"/>
      <c r="AD170" s="481" t="n"/>
      <c r="AE170" s="481" t="n"/>
    </row>
    <row r="171">
      <c r="A171" s="6" t="inlineStr">
        <is>
          <t>Hydro-generating unit 水轮发电机组 兆瓦</t>
        </is>
      </c>
      <c r="B171" s="481" t="n"/>
      <c r="C171" s="481" t="n"/>
      <c r="D171" s="481" t="n"/>
      <c r="E171" s="481" t="n"/>
      <c r="F171" s="481" t="n"/>
      <c r="G171" s="481" t="n"/>
      <c r="H171" s="481" t="n"/>
      <c r="I171" s="481" t="n"/>
      <c r="J171" s="481" t="n"/>
      <c r="K171" s="481" t="n"/>
      <c r="L171" s="481" t="n"/>
      <c r="M171" s="481" t="n"/>
      <c r="N171" s="481" t="n"/>
      <c r="O171" s="481" t="n"/>
      <c r="AB171" s="481" t="n"/>
      <c r="AC171" s="481" t="n"/>
      <c r="AD171" s="481" t="n"/>
      <c r="AE171" s="481" t="n"/>
    </row>
    <row r="172">
      <c r="A172" s="6" t="inlineStr">
        <is>
          <t>Production</t>
        </is>
      </c>
      <c r="B172" s="481" t="n"/>
      <c r="C172" s="481" t="n"/>
      <c r="D172" s="481" t="n"/>
      <c r="E172" s="481" t="n"/>
      <c r="F172" s="481" t="n"/>
      <c r="G172" s="481" t="n">
        <v>4290</v>
      </c>
      <c r="H172" s="481" t="n">
        <v>5600.2</v>
      </c>
      <c r="I172" s="481" t="n">
        <v>3801</v>
      </c>
      <c r="J172" s="481" t="n"/>
      <c r="K172" s="481" t="n"/>
      <c r="L172" s="481" t="n"/>
      <c r="M172" s="481" t="n"/>
      <c r="N172" s="481" t="n"/>
      <c r="O172" s="481" t="n"/>
      <c r="AB172" s="536" t="n"/>
      <c r="AC172" s="536" t="n"/>
      <c r="AD172" s="536" t="n"/>
      <c r="AE172" s="536" t="n"/>
    </row>
    <row r="173">
      <c r="A173" s="6" t="inlineStr">
        <is>
          <t>Sales</t>
        </is>
      </c>
      <c r="B173" s="481" t="n"/>
      <c r="C173" s="481" t="n"/>
      <c r="D173" s="481" t="n"/>
      <c r="E173" s="481" t="n"/>
      <c r="F173" s="481" t="n"/>
      <c r="G173" s="481" t="n">
        <v>2730</v>
      </c>
      <c r="H173" s="481" t="n">
        <v>5135</v>
      </c>
      <c r="I173" s="481" t="n">
        <v>5766.2</v>
      </c>
      <c r="J173" s="481" t="n"/>
      <c r="K173" s="481" t="n"/>
      <c r="L173" s="481" t="n"/>
      <c r="M173" s="481" t="n"/>
      <c r="N173" s="481" t="n"/>
      <c r="O173" s="481" t="n"/>
      <c r="AB173" s="536" t="n"/>
      <c r="AC173" s="536" t="n"/>
      <c r="AD173" s="536" t="n"/>
      <c r="AE173" s="536" t="n"/>
    </row>
    <row r="174">
      <c r="A174" s="6" t="inlineStr">
        <is>
          <t>Inventory</t>
        </is>
      </c>
      <c r="B174" s="481" t="n"/>
      <c r="C174" s="481" t="n"/>
      <c r="D174" s="481" t="n"/>
      <c r="E174" s="481" t="n"/>
      <c r="F174" s="481" t="n"/>
      <c r="G174" s="481" t="n">
        <v>2855</v>
      </c>
      <c r="H174" s="481" t="n">
        <v>3320.2</v>
      </c>
      <c r="I174" s="481" t="n">
        <v>1355</v>
      </c>
      <c r="J174" s="481" t="n"/>
      <c r="K174" s="481" t="n"/>
      <c r="L174" s="481" t="n"/>
      <c r="M174" s="481" t="n"/>
      <c r="N174" s="481" t="n"/>
      <c r="O174" s="481" t="n"/>
      <c r="AB174" s="536" t="n"/>
      <c r="AC174" s="536" t="n"/>
      <c r="AD174" s="536" t="n"/>
      <c r="AE174" s="536" t="n"/>
    </row>
    <row r="175">
      <c r="A175" s="6" t="inlineStr">
        <is>
          <t>Steam turbine generator 汽轮发电机 兆瓦</t>
        </is>
      </c>
      <c r="B175" s="481" t="n"/>
      <c r="C175" s="481" t="n"/>
      <c r="D175" s="481" t="n"/>
      <c r="E175" s="481" t="n"/>
      <c r="F175" s="481" t="n"/>
      <c r="G175" s="481" t="n"/>
      <c r="H175" s="481" t="n"/>
      <c r="I175" s="481" t="n"/>
      <c r="J175" s="481" t="n"/>
      <c r="K175" s="481" t="n"/>
      <c r="L175" s="481" t="n"/>
      <c r="M175" s="481" t="n"/>
      <c r="N175" s="481" t="n"/>
      <c r="O175" s="481" t="n"/>
      <c r="AB175" s="481" t="n"/>
      <c r="AC175" s="481" t="n"/>
      <c r="AD175" s="481" t="n"/>
      <c r="AE175" s="481" t="n"/>
    </row>
    <row r="176">
      <c r="A176" s="6" t="inlineStr">
        <is>
          <t>Production</t>
        </is>
      </c>
      <c r="B176" s="481" t="n"/>
      <c r="C176" s="481" t="n"/>
      <c r="D176" s="481" t="n"/>
      <c r="E176" s="481" t="n"/>
      <c r="F176" s="481" t="n"/>
      <c r="G176" s="481" t="n">
        <v>27416</v>
      </c>
      <c r="H176" s="481" t="n">
        <v>33511.5</v>
      </c>
      <c r="I176" s="481" t="n">
        <v>44258</v>
      </c>
      <c r="J176" s="481" t="n"/>
      <c r="K176" s="481" t="n"/>
      <c r="L176" s="481" t="n"/>
      <c r="M176" s="481" t="n"/>
      <c r="N176" s="481" t="n"/>
      <c r="O176" s="481" t="n"/>
      <c r="AB176" s="536" t="n"/>
      <c r="AC176" s="536" t="n"/>
      <c r="AD176" s="536" t="n"/>
      <c r="AE176" s="536" t="n"/>
    </row>
    <row r="177">
      <c r="A177" s="6" t="inlineStr">
        <is>
          <t>Sales</t>
        </is>
      </c>
      <c r="B177" s="481" t="n"/>
      <c r="C177" s="481" t="n"/>
      <c r="D177" s="481" t="n"/>
      <c r="E177" s="481" t="n"/>
      <c r="F177" s="481" t="n"/>
      <c r="G177" s="481" t="n">
        <v>27298</v>
      </c>
      <c r="H177" s="481" t="n">
        <v>30657.5</v>
      </c>
      <c r="I177" s="481" t="n">
        <v>40053</v>
      </c>
      <c r="J177" s="481" t="n"/>
      <c r="K177" s="481" t="n"/>
      <c r="L177" s="481" t="n"/>
      <c r="M177" s="481" t="n"/>
      <c r="N177" s="481" t="n"/>
      <c r="O177" s="481" t="n"/>
      <c r="AB177" s="536" t="n"/>
      <c r="AC177" s="536" t="n"/>
      <c r="AD177" s="536" t="n"/>
      <c r="AE177" s="536" t="n"/>
    </row>
    <row r="178">
      <c r="A178" s="6" t="inlineStr">
        <is>
          <t>Inventory</t>
        </is>
      </c>
      <c r="B178" s="481" t="n"/>
      <c r="C178" s="481" t="n"/>
      <c r="D178" s="481" t="n"/>
      <c r="E178" s="481" t="n"/>
      <c r="F178" s="481" t="n"/>
      <c r="G178" s="481" t="n">
        <v>15598</v>
      </c>
      <c r="H178" s="481" t="n">
        <v>18452</v>
      </c>
      <c r="I178" s="481" t="n">
        <v>22657</v>
      </c>
      <c r="J178" s="481" t="n"/>
      <c r="K178" s="481" t="n"/>
      <c r="L178" s="481" t="n"/>
      <c r="M178" s="481" t="n"/>
      <c r="N178" s="481" t="n"/>
      <c r="O178" s="481" t="n"/>
      <c r="AB178" s="536" t="n"/>
      <c r="AC178" s="536" t="n"/>
      <c r="AD178" s="536" t="n"/>
      <c r="AE178" s="536" t="n"/>
    </row>
    <row r="179">
      <c r="A179" s="6" t="inlineStr">
        <is>
          <t>Wind power units 风力发电机组 兆瓦</t>
        </is>
      </c>
      <c r="B179" s="481" t="n"/>
      <c r="C179" s="481" t="n"/>
      <c r="D179" s="481" t="n"/>
      <c r="E179" s="481" t="n"/>
      <c r="F179" s="481" t="n"/>
      <c r="G179" s="481" t="n"/>
      <c r="H179" s="481" t="n"/>
      <c r="I179" s="481" t="n"/>
      <c r="J179" s="481" t="n"/>
      <c r="K179" s="481" t="n"/>
      <c r="L179" s="481" t="n"/>
      <c r="M179" s="481" t="n"/>
      <c r="N179" s="481" t="n"/>
      <c r="O179" s="481" t="n"/>
      <c r="AB179" s="481" t="n"/>
      <c r="AC179" s="481" t="n"/>
      <c r="AD179" s="481" t="n"/>
      <c r="AE179" s="481" t="n"/>
    </row>
    <row r="180">
      <c r="A180" s="6" t="inlineStr">
        <is>
          <t>Production</t>
        </is>
      </c>
      <c r="B180" s="481" t="n"/>
      <c r="C180" s="481" t="n"/>
      <c r="D180" s="481" t="n"/>
      <c r="E180" s="481" t="n"/>
      <c r="F180" s="481" t="n"/>
      <c r="G180" s="481" t="n">
        <v>4339.3</v>
      </c>
      <c r="H180" s="481" t="n">
        <v>5000</v>
      </c>
      <c r="I180" s="481" t="n">
        <v>10032.6</v>
      </c>
      <c r="J180" s="481" t="n"/>
      <c r="K180" s="481" t="n"/>
      <c r="L180" s="481" t="n"/>
      <c r="M180" s="481" t="n"/>
      <c r="N180" s="481" t="n"/>
      <c r="O180" s="481" t="n"/>
      <c r="AB180" s="536" t="n"/>
      <c r="AC180" s="536" t="n"/>
      <c r="AD180" s="536" t="n"/>
      <c r="AE180" s="536" t="n"/>
    </row>
    <row r="181">
      <c r="A181" s="6" t="inlineStr">
        <is>
          <t>Sales</t>
        </is>
      </c>
      <c r="B181" s="481" t="n"/>
      <c r="C181" s="481" t="n"/>
      <c r="D181" s="481" t="n"/>
      <c r="E181" s="481" t="n"/>
      <c r="F181" s="481" t="n"/>
      <c r="G181" s="481" t="n">
        <v>3687.5</v>
      </c>
      <c r="H181" s="481" t="n">
        <v>4888.5</v>
      </c>
      <c r="I181" s="481" t="n">
        <v>8976.700000000001</v>
      </c>
      <c r="J181" s="481" t="n"/>
      <c r="K181" s="481" t="n"/>
      <c r="L181" s="481" t="n"/>
      <c r="M181" s="481" t="n"/>
      <c r="N181" s="481" t="n"/>
      <c r="O181" s="481" t="n"/>
      <c r="AB181" s="536" t="n"/>
      <c r="AC181" s="536" t="n"/>
      <c r="AD181" s="536" t="n"/>
      <c r="AE181" s="536" t="n"/>
    </row>
    <row r="182">
      <c r="A182" s="6" t="inlineStr">
        <is>
          <t>Inventory</t>
        </is>
      </c>
      <c r="B182" s="481" t="n"/>
      <c r="C182" s="481" t="n"/>
      <c r="D182" s="481" t="n"/>
      <c r="E182" s="481" t="n"/>
      <c r="F182" s="481" t="n"/>
      <c r="G182" s="481" t="n">
        <v>850.8</v>
      </c>
      <c r="H182" s="481" t="n">
        <v>907.3</v>
      </c>
      <c r="I182" s="481" t="n">
        <v>1963.2</v>
      </c>
      <c r="J182" s="481" t="n"/>
      <c r="K182" s="481" t="n"/>
      <c r="L182" s="481" t="n"/>
      <c r="M182" s="481" t="n"/>
      <c r="N182" s="481" t="n"/>
      <c r="O182" s="481" t="n"/>
      <c r="AB182" s="536" t="n"/>
      <c r="AC182" s="536" t="n"/>
      <c r="AD182" s="536" t="n"/>
      <c r="AE182" s="536" t="n"/>
    </row>
    <row r="183">
      <c r="A183" s="6" t="inlineStr">
        <is>
          <t>Power station steam turbines 电站汽轮机 兆瓦</t>
        </is>
      </c>
      <c r="B183" s="481" t="n"/>
      <c r="C183" s="481" t="n"/>
      <c r="D183" s="481" t="n"/>
      <c r="E183" s="481" t="n"/>
      <c r="F183" s="481" t="n"/>
      <c r="G183" s="481" t="n"/>
      <c r="H183" s="481" t="n"/>
      <c r="I183" s="481" t="n"/>
      <c r="J183" s="481" t="n"/>
      <c r="K183" s="481" t="n"/>
      <c r="L183" s="481" t="n"/>
      <c r="M183" s="481" t="n"/>
      <c r="N183" s="481" t="n"/>
      <c r="O183" s="481" t="n"/>
      <c r="AB183" s="481" t="n"/>
      <c r="AC183" s="481" t="n"/>
      <c r="AD183" s="481" t="n"/>
      <c r="AE183" s="481" t="n"/>
    </row>
    <row r="184">
      <c r="A184" s="6" t="inlineStr">
        <is>
          <t>Production</t>
        </is>
      </c>
      <c r="B184" s="481" t="n"/>
      <c r="C184" s="481" t="n"/>
      <c r="D184" s="481" t="n"/>
      <c r="E184" s="481" t="n"/>
      <c r="F184" s="481" t="n"/>
      <c r="G184" s="481" t="n">
        <v>29897.8</v>
      </c>
      <c r="H184" s="481" t="n">
        <v>34994.2</v>
      </c>
      <c r="I184" s="481" t="n">
        <v>38578</v>
      </c>
      <c r="J184" s="481" t="n"/>
      <c r="K184" s="481" t="n"/>
      <c r="L184" s="481" t="n"/>
      <c r="M184" s="481" t="n"/>
      <c r="N184" s="481" t="n"/>
      <c r="O184" s="481" t="n"/>
      <c r="AB184" s="536" t="n"/>
      <c r="AC184" s="536" t="n"/>
      <c r="AD184" s="536" t="n"/>
      <c r="AE184" s="536" t="n"/>
    </row>
    <row r="185">
      <c r="A185" s="6" t="inlineStr">
        <is>
          <t>Sales</t>
        </is>
      </c>
      <c r="B185" s="481" t="n"/>
      <c r="C185" s="481" t="n"/>
      <c r="D185" s="481" t="n"/>
      <c r="E185" s="481" t="n"/>
      <c r="F185" s="481" t="n"/>
      <c r="G185" s="481" t="n">
        <v>32895</v>
      </c>
      <c r="H185" s="481" t="n">
        <v>42832.2</v>
      </c>
      <c r="I185" s="481" t="n">
        <v>24246</v>
      </c>
      <c r="J185" s="481" t="n"/>
      <c r="K185" s="481" t="n"/>
      <c r="L185" s="481" t="n"/>
      <c r="M185" s="481" t="n"/>
      <c r="N185" s="481" t="n"/>
      <c r="O185" s="481" t="n"/>
      <c r="AB185" s="536" t="n"/>
      <c r="AC185" s="536" t="n"/>
      <c r="AD185" s="536" t="n"/>
      <c r="AE185" s="536" t="n"/>
    </row>
    <row r="186">
      <c r="A186" s="6" t="inlineStr">
        <is>
          <t>Inventory</t>
        </is>
      </c>
      <c r="B186" s="481" t="n"/>
      <c r="C186" s="481" t="n"/>
      <c r="D186" s="481" t="n"/>
      <c r="E186" s="481" t="n"/>
      <c r="F186" s="481" t="n"/>
      <c r="G186" s="481" t="n">
        <v>18060.3</v>
      </c>
      <c r="H186" s="481" t="n">
        <v>10222.3</v>
      </c>
      <c r="I186" s="481" t="n">
        <v>12861</v>
      </c>
      <c r="J186" s="481" t="n"/>
      <c r="K186" s="481" t="n"/>
      <c r="L186" s="481" t="n"/>
      <c r="M186" s="481" t="n"/>
      <c r="N186" s="481" t="n"/>
      <c r="O186" s="481" t="n"/>
      <c r="AB186" s="536" t="n"/>
      <c r="AC186" s="536" t="n"/>
      <c r="AD186" s="536" t="n"/>
      <c r="AE186" s="536" t="n"/>
    </row>
    <row r="187">
      <c r="A187" s="6" t="inlineStr">
        <is>
          <t>Power station boilers 电站锅炉 兆瓦</t>
        </is>
      </c>
      <c r="B187" s="481" t="n"/>
      <c r="C187" s="481" t="n"/>
      <c r="D187" s="481" t="n"/>
      <c r="E187" s="481" t="n"/>
      <c r="F187" s="481" t="n"/>
      <c r="G187" s="481" t="n"/>
      <c r="H187" s="481" t="n"/>
      <c r="I187" s="481" t="n"/>
      <c r="J187" s="481" t="n"/>
      <c r="K187" s="481" t="n"/>
      <c r="L187" s="481" t="n"/>
      <c r="M187" s="481" t="n"/>
      <c r="N187" s="481" t="n"/>
      <c r="O187" s="481" t="n"/>
      <c r="AB187" s="481" t="n"/>
      <c r="AC187" s="481" t="n"/>
      <c r="AD187" s="481" t="n"/>
      <c r="AE187" s="481" t="n"/>
    </row>
    <row r="188">
      <c r="A188" s="6" t="inlineStr">
        <is>
          <t>Production</t>
        </is>
      </c>
      <c r="B188" s="481" t="n"/>
      <c r="C188" s="481" t="n"/>
      <c r="D188" s="481" t="n"/>
      <c r="E188" s="481" t="n"/>
      <c r="F188" s="481" t="n"/>
      <c r="G188" s="481" t="n">
        <v>22514</v>
      </c>
      <c r="H188" s="481" t="n">
        <v>23168</v>
      </c>
      <c r="I188" s="481" t="n">
        <v>25066</v>
      </c>
      <c r="J188" s="481" t="n"/>
      <c r="K188" s="481" t="n"/>
      <c r="L188" s="481" t="n"/>
      <c r="M188" s="481" t="n"/>
      <c r="N188" s="481" t="n"/>
      <c r="O188" s="481" t="n"/>
      <c r="AB188" s="536" t="n"/>
      <c r="AC188" s="536" t="n"/>
      <c r="AD188" s="536" t="n"/>
      <c r="AE188" s="536" t="n"/>
    </row>
    <row r="189">
      <c r="A189" s="6" t="inlineStr">
        <is>
          <t>Sales</t>
        </is>
      </c>
      <c r="B189" s="481" t="n"/>
      <c r="C189" s="481" t="n"/>
      <c r="D189" s="481" t="n"/>
      <c r="E189" s="481" t="n"/>
      <c r="F189" s="481" t="n"/>
      <c r="G189" s="481" t="n">
        <v>22514</v>
      </c>
      <c r="H189" s="481" t="n">
        <v>23168</v>
      </c>
      <c r="I189" s="481" t="n">
        <v>25066</v>
      </c>
      <c r="J189" s="481" t="n"/>
      <c r="K189" s="481" t="n"/>
      <c r="L189" s="481" t="n"/>
      <c r="M189" s="481" t="n"/>
      <c r="N189" s="481" t="n"/>
      <c r="O189" s="481" t="n"/>
      <c r="AB189" s="536" t="n"/>
      <c r="AC189" s="536" t="n"/>
      <c r="AD189" s="536" t="n"/>
      <c r="AE189" s="536" t="n"/>
    </row>
    <row r="190">
      <c r="A190" s="6" t="inlineStr">
        <is>
          <t>Inventory</t>
        </is>
      </c>
      <c r="B190" s="481" t="n"/>
      <c r="C190" s="481" t="n"/>
      <c r="D190" s="481" t="n"/>
      <c r="E190" s="481" t="n"/>
      <c r="F190" s="481" t="n"/>
      <c r="G190" s="481" t="n">
        <v>0</v>
      </c>
      <c r="H190" s="481" t="n">
        <v>0</v>
      </c>
      <c r="I190" s="481" t="n">
        <v>0</v>
      </c>
      <c r="J190" s="481" t="n"/>
      <c r="K190" s="481" t="n"/>
      <c r="L190" s="481" t="n"/>
      <c r="M190" s="481" t="n"/>
      <c r="N190" s="481" t="n"/>
      <c r="O190" s="481" t="n"/>
      <c r="AB190" s="536" t="n"/>
      <c r="AC190" s="536" t="n"/>
      <c r="AD190" s="536" t="n"/>
      <c r="AE190" s="536" t="n"/>
    </row>
    <row r="191">
      <c r="B191" s="481" t="n"/>
      <c r="C191" s="481" t="n"/>
      <c r="D191" s="481" t="n"/>
      <c r="E191" s="481" t="n"/>
      <c r="F191" s="481" t="n"/>
      <c r="G191" s="481" t="n"/>
      <c r="H191" s="481" t="n"/>
      <c r="I191" s="481" t="n"/>
      <c r="J191" s="481" t="n"/>
      <c r="K191" s="481" t="n"/>
      <c r="L191" s="481" t="n"/>
      <c r="M191" s="481" t="n"/>
      <c r="N191" s="481" t="n"/>
      <c r="O191" s="481" t="n"/>
      <c r="AB191" s="481" t="n"/>
      <c r="AC191" s="481" t="n"/>
      <c r="AD191" s="481" t="n"/>
      <c r="AE191" s="481" t="n"/>
    </row>
    <row r="192">
      <c r="B192" s="481" t="n"/>
      <c r="C192" s="481" t="n"/>
      <c r="D192" s="481" t="n"/>
      <c r="E192" s="481" t="n"/>
      <c r="F192" s="481" t="n"/>
      <c r="G192" s="481" t="n"/>
      <c r="H192" s="481" t="n"/>
      <c r="I192" s="481" t="n"/>
      <c r="J192" s="481" t="n"/>
      <c r="K192" s="481" t="n"/>
      <c r="L192" s="481" t="n"/>
      <c r="M192" s="481" t="n"/>
      <c r="N192" s="481" t="n"/>
      <c r="O192" s="481" t="n"/>
      <c r="AB192" s="481" t="n"/>
      <c r="AC192" s="481" t="n"/>
      <c r="AD192" s="481" t="n"/>
      <c r="AE192" s="481" t="n"/>
    </row>
    <row r="193">
      <c r="B193" s="481" t="n"/>
      <c r="C193" s="481" t="n"/>
      <c r="D193" s="481" t="n"/>
      <c r="E193" s="481" t="n"/>
      <c r="F193" s="481" t="n"/>
      <c r="G193" s="481" t="n"/>
      <c r="H193" s="481" t="n"/>
      <c r="I193" s="481" t="n"/>
      <c r="J193" s="481" t="n"/>
      <c r="K193" s="481" t="n"/>
      <c r="L193" s="481" t="n"/>
      <c r="M193" s="481" t="n"/>
      <c r="N193" s="481" t="n"/>
      <c r="O193" s="481" t="n"/>
      <c r="AB193" s="481" t="n"/>
      <c r="AC193" s="481" t="n"/>
      <c r="AD193" s="481" t="n"/>
      <c r="AE193" s="481" t="n"/>
    </row>
    <row r="194">
      <c r="B194" s="481" t="n"/>
      <c r="C194" s="481" t="n"/>
      <c r="D194" s="481" t="n"/>
      <c r="E194" s="481" t="n"/>
      <c r="F194" s="481" t="n"/>
      <c r="G194" s="481" t="n"/>
      <c r="H194" s="481" t="n"/>
      <c r="I194" s="481" t="n"/>
      <c r="J194" s="481" t="n"/>
      <c r="K194" s="481" t="n"/>
      <c r="L194" s="481" t="n"/>
      <c r="M194" s="481" t="n"/>
      <c r="N194" s="481" t="n"/>
      <c r="O194" s="481" t="n"/>
      <c r="AB194" s="481" t="n"/>
      <c r="AC194" s="481" t="n"/>
      <c r="AD194" s="481" t="n"/>
      <c r="AE194" s="481" t="n"/>
    </row>
    <row r="195">
      <c r="B195" s="481" t="n"/>
      <c r="C195" s="481" t="n"/>
      <c r="D195" s="481" t="n"/>
      <c r="E195" s="481" t="n"/>
      <c r="F195" s="481" t="n"/>
      <c r="G195" s="481" t="n"/>
      <c r="H195" s="481" t="n"/>
      <c r="I195" s="481" t="n"/>
      <c r="J195" s="481" t="n"/>
      <c r="K195" s="481" t="n"/>
      <c r="L195" s="481" t="n"/>
      <c r="M195" s="481" t="n"/>
      <c r="N195" s="481" t="n"/>
      <c r="O195" s="481" t="n"/>
      <c r="AB195" s="481" t="n"/>
      <c r="AC195" s="481" t="n"/>
      <c r="AD195" s="481" t="n"/>
      <c r="AE195" s="481" t="n"/>
    </row>
  </sheetData>
  <mergeCells count="1">
    <mergeCell ref="AF1:AI1"/>
  </mergeCells>
  <pageMargins left="0.7" right="0.7" top="0.75" bottom="0.75" header="0.3" footer="0.3"/>
  <pageSetup orientation="landscape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K43"/>
  <sheetViews>
    <sheetView workbookViewId="0">
      <selection activeCell="A39" sqref="A39"/>
    </sheetView>
  </sheetViews>
  <sheetFormatPr baseColWidth="8" defaultRowHeight="15"/>
  <cols>
    <col width="11.7109375" customWidth="1" min="2" max="2"/>
    <col width="11.5703125" customWidth="1" min="5" max="5"/>
    <col width="11.7109375" customWidth="1" min="11" max="11"/>
    <col width="13.42578125" customWidth="1" min="14" max="14"/>
    <col width="11.7109375" customWidth="1" min="20" max="20"/>
    <col width="11.7109375" customWidth="1" min="29" max="29"/>
    <col width="11.7109375" customWidth="1" min="38" max="38"/>
    <col width="11.7109375" customWidth="1" min="47" max="47"/>
  </cols>
  <sheetData>
    <row r="2">
      <c r="E2" s="233">
        <f>E22+E43</f>
        <v/>
      </c>
      <c r="F2" s="233">
        <f>F22+F43</f>
        <v/>
      </c>
      <c r="G2" s="233">
        <f>G22+G43</f>
        <v/>
      </c>
      <c r="H2" s="233">
        <f>H22+H43</f>
        <v/>
      </c>
      <c r="I2" s="233">
        <f>I22+I43</f>
        <v/>
      </c>
      <c r="N2" s="233">
        <f>N22+N43</f>
        <v/>
      </c>
      <c r="O2" s="233">
        <f>O22+O43</f>
        <v/>
      </c>
      <c r="P2" s="233">
        <f>P22+P43</f>
        <v/>
      </c>
      <c r="Q2" s="233">
        <f>Q22+Q43</f>
        <v/>
      </c>
      <c r="R2" s="233">
        <f>R22+R43</f>
        <v/>
      </c>
      <c r="W2" s="233">
        <f>W22+W43</f>
        <v/>
      </c>
      <c r="X2" s="233">
        <f>X22+X43</f>
        <v/>
      </c>
      <c r="Y2" s="233">
        <f>Y22+Y43</f>
        <v/>
      </c>
      <c r="Z2" s="233">
        <f>Z22+Z43</f>
        <v/>
      </c>
      <c r="AA2" s="233">
        <f>AA22+AA43</f>
        <v/>
      </c>
      <c r="AF2" s="233">
        <f>AF22+AF43</f>
        <v/>
      </c>
      <c r="AG2" s="233">
        <f>AG22+AG43</f>
        <v/>
      </c>
      <c r="AH2" s="233">
        <f>AH22+AH43</f>
        <v/>
      </c>
      <c r="AI2" s="233">
        <f>AI22+AI43</f>
        <v/>
      </c>
      <c r="AJ2" s="233">
        <f>AJ22+AJ43</f>
        <v/>
      </c>
      <c r="AO2" s="567">
        <f>AO22+AO43</f>
        <v/>
      </c>
      <c r="AP2" s="567">
        <f>AP22+AP43</f>
        <v/>
      </c>
      <c r="AQ2" s="567">
        <f>AQ22+AQ43</f>
        <v/>
      </c>
      <c r="AR2" s="567">
        <f>AR22+AR43</f>
        <v/>
      </c>
      <c r="AS2" s="567">
        <f>AS22+AS43</f>
        <v/>
      </c>
      <c r="AX2" s="233">
        <f>AX22+AX43</f>
        <v/>
      </c>
      <c r="AY2" s="233">
        <f>AY22+AY43</f>
        <v/>
      </c>
      <c r="AZ2" s="233">
        <f>AZ22+AZ43</f>
        <v/>
      </c>
      <c r="BA2" s="233">
        <f>BA22+BA43</f>
        <v/>
      </c>
      <c r="BB2" s="233">
        <f>BB22+BB43</f>
        <v/>
      </c>
      <c r="BC2" s="233" t="n"/>
      <c r="BD2" s="233" t="n"/>
      <c r="BE2" s="233" t="n"/>
      <c r="BF2" s="233" t="n"/>
      <c r="BG2" s="233">
        <f>BG22+BG43</f>
        <v/>
      </c>
      <c r="BH2" s="233">
        <f>BH22+BH43</f>
        <v/>
      </c>
      <c r="BI2" s="233">
        <f>BI22+BI43</f>
        <v/>
      </c>
      <c r="BJ2" s="233">
        <f>BJ22+BJ43</f>
        <v/>
      </c>
      <c r="BK2" s="233">
        <f>BK22+BK43</f>
        <v/>
      </c>
    </row>
    <row r="3">
      <c r="B3" s="209" t="n"/>
      <c r="C3" s="209" t="n"/>
      <c r="D3" s="209" t="n"/>
      <c r="E3" s="568" t="n">
        <v>2025</v>
      </c>
      <c r="F3" s="568" t="n">
        <v>2026</v>
      </c>
      <c r="G3" s="568" t="n">
        <v>2027</v>
      </c>
      <c r="H3" s="568" t="n">
        <v>2028</v>
      </c>
      <c r="I3" s="568" t="n">
        <v>2029</v>
      </c>
      <c r="K3" s="209" t="n"/>
      <c r="L3" s="209" t="n"/>
      <c r="M3" s="209" t="n"/>
      <c r="N3" s="568" t="n">
        <v>2025</v>
      </c>
      <c r="O3" s="568" t="n">
        <v>2026</v>
      </c>
      <c r="P3" s="568" t="n">
        <v>2027</v>
      </c>
      <c r="Q3" s="568" t="n">
        <v>2028</v>
      </c>
      <c r="R3" s="568" t="n">
        <v>2029</v>
      </c>
      <c r="T3" s="209" t="n"/>
      <c r="U3" s="209" t="n"/>
      <c r="V3" s="209" t="n"/>
      <c r="W3" s="568" t="n">
        <v>2025</v>
      </c>
      <c r="X3" s="568" t="n">
        <v>2026</v>
      </c>
      <c r="Y3" s="568" t="n">
        <v>2027</v>
      </c>
      <c r="Z3" s="568" t="n">
        <v>2028</v>
      </c>
      <c r="AA3" s="568" t="n">
        <v>2029</v>
      </c>
      <c r="AC3" s="209" t="n"/>
      <c r="AD3" s="209" t="n"/>
      <c r="AE3" s="209" t="n"/>
      <c r="AF3" s="568" t="n">
        <v>2025</v>
      </c>
      <c r="AG3" s="568" t="n">
        <v>2026</v>
      </c>
      <c r="AH3" s="568" t="n">
        <v>2027</v>
      </c>
      <c r="AI3" s="568" t="n">
        <v>2028</v>
      </c>
      <c r="AJ3" s="568" t="n">
        <v>2029</v>
      </c>
      <c r="AL3" s="209" t="n"/>
      <c r="AM3" s="209" t="n"/>
      <c r="AN3" s="209" t="n"/>
      <c r="AO3" s="568" t="n">
        <v>2025</v>
      </c>
      <c r="AP3" s="568" t="n">
        <v>2026</v>
      </c>
      <c r="AQ3" s="568" t="n">
        <v>2027</v>
      </c>
      <c r="AR3" s="568" t="n">
        <v>2028</v>
      </c>
      <c r="AS3" s="568" t="n">
        <v>2029</v>
      </c>
      <c r="AU3" s="209" t="n"/>
      <c r="AV3" s="209" t="n"/>
      <c r="AW3" s="209" t="n"/>
      <c r="AX3" s="568" t="n">
        <v>2025</v>
      </c>
      <c r="AY3" s="568" t="n">
        <v>2026</v>
      </c>
      <c r="AZ3" s="568" t="n">
        <v>2027</v>
      </c>
      <c r="BA3" s="568" t="n">
        <v>2028</v>
      </c>
      <c r="BB3" s="568" t="n">
        <v>2029</v>
      </c>
      <c r="BD3" s="209" t="n"/>
      <c r="BE3" s="209" t="n"/>
      <c r="BF3" s="209" t="n"/>
      <c r="BG3" s="568" t="n">
        <v>2025</v>
      </c>
      <c r="BH3" s="568" t="n">
        <v>2026</v>
      </c>
      <c r="BI3" s="568" t="n">
        <v>2027</v>
      </c>
      <c r="BJ3" s="568" t="n">
        <v>2028</v>
      </c>
      <c r="BK3" s="568" t="n">
        <v>2029</v>
      </c>
    </row>
    <row r="4">
      <c r="B4" s="227" t="inlineStr">
        <is>
          <t>Gas Turbine</t>
        </is>
      </c>
      <c r="C4" s="228" t="inlineStr">
        <is>
          <t>Gross Margin</t>
        </is>
      </c>
      <c r="D4" s="211" t="n"/>
      <c r="E4" s="229">
        <f>Driver!U73</f>
        <v/>
      </c>
      <c r="F4" s="229">
        <f>Driver!V73</f>
        <v/>
      </c>
      <c r="G4" s="229">
        <f>Driver!W73</f>
        <v/>
      </c>
      <c r="H4" s="229">
        <f>Driver!X73</f>
        <v/>
      </c>
      <c r="I4" s="229">
        <f>Driver!Y73</f>
        <v/>
      </c>
      <c r="K4" s="227" t="inlineStr">
        <is>
          <t>Nuclear</t>
        </is>
      </c>
      <c r="L4" s="228" t="inlineStr">
        <is>
          <t>Gross Margin</t>
        </is>
      </c>
      <c r="M4" s="211" t="n"/>
      <c r="N4" s="229">
        <f>Driver!U74</f>
        <v/>
      </c>
      <c r="O4" s="229">
        <f>Driver!V74</f>
        <v/>
      </c>
      <c r="P4" s="229">
        <f>Driver!W74</f>
        <v/>
      </c>
      <c r="Q4" s="229">
        <f>Driver!X74</f>
        <v/>
      </c>
      <c r="R4" s="229">
        <f>Driver!Y74</f>
        <v/>
      </c>
      <c r="T4" s="227" t="inlineStr">
        <is>
          <t>Thermal</t>
        </is>
      </c>
      <c r="U4" s="228" t="inlineStr">
        <is>
          <t>Gross Margin</t>
        </is>
      </c>
      <c r="V4" s="211" t="n"/>
      <c r="W4" s="229">
        <f>Driver!U75</f>
        <v/>
      </c>
      <c r="X4" s="229">
        <f>Driver!V75</f>
        <v/>
      </c>
      <c r="Y4" s="229">
        <f>Driver!W75</f>
        <v/>
      </c>
      <c r="Z4" s="229">
        <f>Driver!X75</f>
        <v/>
      </c>
      <c r="AA4" s="229">
        <f>Driver!Y75</f>
        <v/>
      </c>
      <c r="AC4" s="227" t="inlineStr">
        <is>
          <t>Wind</t>
        </is>
      </c>
      <c r="AD4" s="228" t="inlineStr">
        <is>
          <t>Gross Margin</t>
        </is>
      </c>
      <c r="AE4" s="211" t="n"/>
      <c r="AF4" s="229">
        <f>Driver!U76</f>
        <v/>
      </c>
      <c r="AG4" s="229">
        <f>Driver!V76</f>
        <v/>
      </c>
      <c r="AH4" s="229">
        <f>Driver!W76</f>
        <v/>
      </c>
      <c r="AI4" s="229">
        <f>Driver!X76</f>
        <v/>
      </c>
      <c r="AJ4" s="229">
        <f>Driver!Y76</f>
        <v/>
      </c>
      <c r="AL4" s="227" t="inlineStr">
        <is>
          <t>Hydro</t>
        </is>
      </c>
      <c r="AM4" s="228" t="inlineStr">
        <is>
          <t>Gross Margin</t>
        </is>
      </c>
      <c r="AN4" s="211" t="n"/>
      <c r="AO4" s="229">
        <f>Driver!U77</f>
        <v/>
      </c>
      <c r="AP4" s="229">
        <f>Driver!V77</f>
        <v/>
      </c>
      <c r="AQ4" s="229">
        <f>Driver!W77</f>
        <v/>
      </c>
      <c r="AR4" s="229">
        <f>Driver!X77</f>
        <v/>
      </c>
      <c r="AS4" s="229">
        <f>Driver!Y77</f>
        <v/>
      </c>
      <c r="AU4" s="227" t="inlineStr">
        <is>
          <t>Others</t>
        </is>
      </c>
      <c r="AV4" s="228" t="inlineStr">
        <is>
          <t>Gross Margin</t>
        </is>
      </c>
      <c r="AW4" s="211" t="n"/>
      <c r="AX4" s="229">
        <f>Driver!U79</f>
        <v/>
      </c>
      <c r="AY4" s="229">
        <f>Driver!V79</f>
        <v/>
      </c>
      <c r="AZ4" s="229">
        <f>Driver!W79</f>
        <v/>
      </c>
      <c r="BA4" s="229">
        <f>Driver!X79</f>
        <v/>
      </c>
      <c r="BB4" s="229">
        <f>Driver!Y79</f>
        <v/>
      </c>
      <c r="BD4" s="227" t="inlineStr">
        <is>
          <t>O&amp;M (Modern manufacturing service industry)</t>
        </is>
      </c>
      <c r="BE4" s="228" t="inlineStr">
        <is>
          <t>Gross Margin</t>
        </is>
      </c>
      <c r="BF4" s="211" t="n"/>
      <c r="BG4" s="229">
        <f>Driver!J78</f>
        <v/>
      </c>
      <c r="BH4" s="229">
        <f>Driver!K78</f>
        <v/>
      </c>
      <c r="BI4" s="229">
        <f>Driver!L78</f>
        <v/>
      </c>
      <c r="BJ4" s="229">
        <f>Driver!M78</f>
        <v/>
      </c>
      <c r="BK4" s="229">
        <f>Driver!N78</f>
        <v/>
      </c>
    </row>
    <row r="5">
      <c r="B5" s="212" t="inlineStr">
        <is>
          <t>Base case net income</t>
        </is>
      </c>
      <c r="C5" s="213" t="n"/>
      <c r="D5" s="213" t="n"/>
      <c r="E5" s="214">
        <f>Model!U28</f>
        <v/>
      </c>
      <c r="F5" s="214">
        <f>Model!V28</f>
        <v/>
      </c>
      <c r="G5" s="214">
        <f>Model!W28</f>
        <v/>
      </c>
      <c r="H5" s="214">
        <f>Model!X28</f>
        <v/>
      </c>
      <c r="I5" s="214">
        <f>Model!Y28</f>
        <v/>
      </c>
      <c r="K5" s="212" t="inlineStr">
        <is>
          <t>Base case net income</t>
        </is>
      </c>
      <c r="L5" s="213" t="n"/>
      <c r="M5" s="213" t="n"/>
      <c r="N5" s="214">
        <f>E5</f>
        <v/>
      </c>
      <c r="O5" s="214">
        <f>F5</f>
        <v/>
      </c>
      <c r="P5" s="214">
        <f>G5</f>
        <v/>
      </c>
      <c r="Q5" s="214">
        <f>H5</f>
        <v/>
      </c>
      <c r="R5" s="214">
        <f>I5</f>
        <v/>
      </c>
      <c r="T5" s="212" t="inlineStr">
        <is>
          <t>Base case net income</t>
        </is>
      </c>
      <c r="U5" s="213" t="n"/>
      <c r="V5" s="213" t="n"/>
      <c r="W5" s="214">
        <f>Model!U28</f>
        <v/>
      </c>
      <c r="X5" s="214">
        <f>Model!V28</f>
        <v/>
      </c>
      <c r="Y5" s="214">
        <f>Model!W28</f>
        <v/>
      </c>
      <c r="Z5" s="214">
        <f>Model!X28</f>
        <v/>
      </c>
      <c r="AA5" s="214">
        <f>Model!Y28</f>
        <v/>
      </c>
      <c r="AC5" s="212" t="inlineStr">
        <is>
          <t>Base case net income</t>
        </is>
      </c>
      <c r="AD5" s="213" t="n"/>
      <c r="AE5" s="213" t="n"/>
      <c r="AF5" s="214">
        <f>W5</f>
        <v/>
      </c>
      <c r="AG5" s="214">
        <f>X5</f>
        <v/>
      </c>
      <c r="AH5" s="214">
        <f>Y5</f>
        <v/>
      </c>
      <c r="AI5" s="214">
        <f>Z5</f>
        <v/>
      </c>
      <c r="AJ5" s="214">
        <f>AA5</f>
        <v/>
      </c>
      <c r="AL5" s="212" t="inlineStr">
        <is>
          <t>Base case net income</t>
        </is>
      </c>
      <c r="AM5" s="213" t="n"/>
      <c r="AN5" s="213" t="n"/>
      <c r="AO5" s="214">
        <f>AF5</f>
        <v/>
      </c>
      <c r="AP5" s="214">
        <f>AG5</f>
        <v/>
      </c>
      <c r="AQ5" s="214">
        <f>AH5</f>
        <v/>
      </c>
      <c r="AR5" s="214">
        <f>AI5</f>
        <v/>
      </c>
      <c r="AS5" s="214">
        <f>AJ5</f>
        <v/>
      </c>
      <c r="AU5" s="212" t="inlineStr">
        <is>
          <t>Base case net income</t>
        </is>
      </c>
      <c r="AV5" s="213" t="n"/>
      <c r="AW5" s="213" t="n"/>
      <c r="AX5" s="214">
        <f>AO5</f>
        <v/>
      </c>
      <c r="AY5" s="214">
        <f>AP5</f>
        <v/>
      </c>
      <c r="AZ5" s="214">
        <f>AQ5</f>
        <v/>
      </c>
      <c r="BA5" s="214">
        <f>AR5</f>
        <v/>
      </c>
      <c r="BB5" s="214">
        <f>AS5</f>
        <v/>
      </c>
      <c r="BD5" s="212" t="inlineStr">
        <is>
          <t>Base case net income</t>
        </is>
      </c>
      <c r="BE5" s="213" t="n"/>
      <c r="BF5" s="213" t="n"/>
      <c r="BG5" s="214">
        <f>AX5</f>
        <v/>
      </c>
      <c r="BH5" s="214">
        <f>AY5</f>
        <v/>
      </c>
      <c r="BI5" s="214">
        <f>AZ5</f>
        <v/>
      </c>
      <c r="BJ5" s="214">
        <f>BA5</f>
        <v/>
      </c>
      <c r="BK5" s="214">
        <f>BB5</f>
        <v/>
      </c>
    </row>
    <row r="6">
      <c r="A6" s="139" t="n"/>
      <c r="B6" s="215" t="inlineStr">
        <is>
          <t>2025 bump</t>
        </is>
      </c>
      <c r="C6" s="209" t="n"/>
      <c r="D6" s="230" t="n">
        <v>0.01</v>
      </c>
      <c r="E6" s="214">
        <f t="dataTable" ref="E6:I6" dt2D="0" dtr="0" r1="A6"/>
        <v/>
      </c>
      <c r="F6" s="220" t="n">
        <v>5737.837633408655</v>
      </c>
      <c r="G6" s="220" t="n">
        <v>8485.768881846414</v>
      </c>
      <c r="H6" s="220" t="n">
        <v>10905.94802511422</v>
      </c>
      <c r="I6" s="220" t="n">
        <v>13500.58956044615</v>
      </c>
      <c r="J6" s="139" t="n"/>
      <c r="K6" s="215" t="inlineStr">
        <is>
          <t>2025 bump</t>
        </is>
      </c>
      <c r="L6" s="209" t="n"/>
      <c r="M6" s="230" t="n">
        <v>0.01</v>
      </c>
      <c r="N6" s="214">
        <f t="dataTable" ref="N6:R6" dt2D="0" dtr="0" r1="J6" ca="1"/>
        <v/>
      </c>
      <c r="O6" s="220" t="n">
        <v>5737.803950144974</v>
      </c>
      <c r="P6" s="220" t="n">
        <v>8485.73351517443</v>
      </c>
      <c r="Q6" s="220" t="n">
        <v>10905.91255529375</v>
      </c>
      <c r="R6" s="220" t="n">
        <v>13500.55399331063</v>
      </c>
      <c r="S6" s="139" t="n"/>
      <c r="T6" s="215" t="inlineStr">
        <is>
          <t>2025 bump</t>
        </is>
      </c>
      <c r="U6" s="209" t="n"/>
      <c r="V6" s="230" t="n">
        <v>0.01</v>
      </c>
      <c r="W6" s="214">
        <f t="dataTable" ref="W6:AA6" dt2D="0" dtr="0" r1="S6" ca="1"/>
        <v/>
      </c>
      <c r="X6" s="220" t="n">
        <v>5738.023064295108</v>
      </c>
      <c r="Y6" s="220" t="n">
        <v>8485.963580121461</v>
      </c>
      <c r="Z6" s="220" t="n">
        <v>10906.14329123551</v>
      </c>
      <c r="AA6" s="220" t="n">
        <v>13500.78536229984</v>
      </c>
      <c r="AB6" s="139" t="n"/>
      <c r="AC6" s="215" t="inlineStr">
        <is>
          <t>2025 bump</t>
        </is>
      </c>
      <c r="AD6" s="209" t="n"/>
      <c r="AE6" s="230" t="n">
        <v>0.01</v>
      </c>
      <c r="AF6" s="214">
        <f t="dataTable" ref="AF6:AJ6" dt2D="0" dtr="0" r1="AB6" ca="1"/>
        <v/>
      </c>
      <c r="AG6" s="220" t="n">
        <v>5738.065514313503</v>
      </c>
      <c r="AH6" s="220" t="n">
        <v>8486.008151689419</v>
      </c>
      <c r="AI6" s="220" t="n">
        <v>10906.18799279845</v>
      </c>
      <c r="AJ6" s="220" t="n">
        <v>13500.83018650605</v>
      </c>
      <c r="AK6" s="139" t="n"/>
      <c r="AL6" s="215" t="inlineStr">
        <is>
          <t>2025 bump</t>
        </is>
      </c>
      <c r="AM6" s="209" t="n"/>
      <c r="AN6" s="230" t="n">
        <v>0.01</v>
      </c>
      <c r="AO6" s="214">
        <f t="dataTable" ref="AO6:AS6" dt2D="0" dtr="0" r1="AK6" ca="1"/>
        <v/>
      </c>
      <c r="AP6" s="220" t="n">
        <v>5737.740667487084</v>
      </c>
      <c r="AQ6" s="220" t="n">
        <v>8485.667069801886</v>
      </c>
      <c r="AR6" s="220" t="n">
        <v>10905.84591613029</v>
      </c>
      <c r="AS6" s="220" t="n">
        <v>13500.48717131587</v>
      </c>
      <c r="AT6" s="139" t="n"/>
      <c r="AU6" s="215" t="inlineStr">
        <is>
          <t>2025 bump</t>
        </is>
      </c>
      <c r="AV6" s="209" t="n"/>
      <c r="AW6" s="230" t="n">
        <v>0.01</v>
      </c>
      <c r="AX6" s="214">
        <f t="dataTable" ref="AX6:BB6" dt2D="0" dtr="0" r1="AT6" ca="1"/>
        <v/>
      </c>
      <c r="AY6" s="220" t="n">
        <v>5738.036380974696</v>
      </c>
      <c r="AZ6" s="220" t="n">
        <v>8485.977562336584</v>
      </c>
      <c r="BA6" s="220" t="n">
        <v>10906.1573142304</v>
      </c>
      <c r="BB6" s="220" t="n">
        <v>13500.79942376824</v>
      </c>
      <c r="BC6" s="110" t="n"/>
      <c r="BD6" s="215" t="inlineStr">
        <is>
          <t>2025 bump</t>
        </is>
      </c>
      <c r="BE6" s="209" t="n"/>
      <c r="BF6" s="230" t="n">
        <v>0.01</v>
      </c>
      <c r="BG6" s="214">
        <f t="dataTable" ref="BG6:BK6" dt2D="0" dtr="0" r1="BC6" ca="1"/>
        <v/>
      </c>
      <c r="BH6" s="220" t="n">
        <v>5737.878018892559</v>
      </c>
      <c r="BI6" s="220" t="n">
        <v>8485.811285699425</v>
      </c>
      <c r="BJ6" s="220" t="n">
        <v>10905.99055263997</v>
      </c>
      <c r="BK6" s="220" t="n">
        <v>13500.63220465047</v>
      </c>
    </row>
    <row r="7">
      <c r="B7" s="216" t="inlineStr">
        <is>
          <t>Delta vs base case</t>
        </is>
      </c>
      <c r="C7" s="209" t="n"/>
      <c r="D7" s="209" t="n"/>
      <c r="E7" s="569">
        <f>E6/E5-1</f>
        <v/>
      </c>
      <c r="F7" s="570">
        <f>F6/F5-1</f>
        <v/>
      </c>
      <c r="G7" s="570">
        <f>G6/G5-1</f>
        <v/>
      </c>
      <c r="H7" s="570">
        <f>H6/H5-1</f>
        <v/>
      </c>
      <c r="I7" s="570">
        <f>I6/I5-1</f>
        <v/>
      </c>
      <c r="K7" s="216" t="inlineStr">
        <is>
          <t>Delta vs base case</t>
        </is>
      </c>
      <c r="L7" s="209" t="n"/>
      <c r="M7" s="209" t="n"/>
      <c r="N7" s="569">
        <f>N6/N5-1</f>
        <v/>
      </c>
      <c r="O7" s="570">
        <f>O6/O5-1</f>
        <v/>
      </c>
      <c r="P7" s="570">
        <f>P6/P5-1</f>
        <v/>
      </c>
      <c r="Q7" s="570">
        <f>Q6/Q5-1</f>
        <v/>
      </c>
      <c r="R7" s="570">
        <f>R6/R5-1</f>
        <v/>
      </c>
      <c r="T7" s="216" t="inlineStr">
        <is>
          <t>Delta vs base case</t>
        </is>
      </c>
      <c r="U7" s="209" t="n"/>
      <c r="V7" s="209" t="n"/>
      <c r="W7" s="569">
        <f>W6/W5-1</f>
        <v/>
      </c>
      <c r="X7" s="570">
        <f>X6/X5-1</f>
        <v/>
      </c>
      <c r="Y7" s="570">
        <f>Y6/Y5-1</f>
        <v/>
      </c>
      <c r="Z7" s="570">
        <f>Z6/Z5-1</f>
        <v/>
      </c>
      <c r="AA7" s="570">
        <f>AA6/AA5-1</f>
        <v/>
      </c>
      <c r="AC7" s="216" t="inlineStr">
        <is>
          <t>Delta vs base case</t>
        </is>
      </c>
      <c r="AD7" s="209" t="n"/>
      <c r="AE7" s="209" t="n"/>
      <c r="AF7" s="569">
        <f>AF6/AF5-1</f>
        <v/>
      </c>
      <c r="AG7" s="570">
        <f>AG6/AG5-1</f>
        <v/>
      </c>
      <c r="AH7" s="570">
        <f>AH6/AH5-1</f>
        <v/>
      </c>
      <c r="AI7" s="570">
        <f>AI6/AI5-1</f>
        <v/>
      </c>
      <c r="AJ7" s="570">
        <f>AJ6/AJ5-1</f>
        <v/>
      </c>
      <c r="AL7" s="216" t="inlineStr">
        <is>
          <t>Delta vs base case</t>
        </is>
      </c>
      <c r="AM7" s="209" t="n"/>
      <c r="AN7" s="209" t="n"/>
      <c r="AO7" s="569">
        <f>AO6/AO5-1</f>
        <v/>
      </c>
      <c r="AP7" s="570">
        <f>AP6/AP5-1</f>
        <v/>
      </c>
      <c r="AQ7" s="570">
        <f>AQ6/AQ5-1</f>
        <v/>
      </c>
      <c r="AR7" s="570">
        <f>AR6/AR5-1</f>
        <v/>
      </c>
      <c r="AS7" s="570">
        <f>AS6/AS5-1</f>
        <v/>
      </c>
      <c r="AU7" s="216" t="inlineStr">
        <is>
          <t>Delta vs base case</t>
        </is>
      </c>
      <c r="AV7" s="209" t="n"/>
      <c r="AW7" s="209" t="n"/>
      <c r="AX7" s="569">
        <f>AX6/AX5-1</f>
        <v/>
      </c>
      <c r="AY7" s="570">
        <f>AY6/AY5-1</f>
        <v/>
      </c>
      <c r="AZ7" s="570">
        <f>AZ6/AZ5-1</f>
        <v/>
      </c>
      <c r="BA7" s="570">
        <f>BA6/BA5-1</f>
        <v/>
      </c>
      <c r="BB7" s="570">
        <f>BB6/BB5-1</f>
        <v/>
      </c>
      <c r="BD7" s="216" t="inlineStr">
        <is>
          <t>Delta vs base case</t>
        </is>
      </c>
      <c r="BE7" s="209" t="n"/>
      <c r="BF7" s="209" t="n"/>
      <c r="BG7" s="569">
        <f>BG6/BG5-1</f>
        <v/>
      </c>
      <c r="BH7" s="570">
        <f>BH6/BH5-1</f>
        <v/>
      </c>
      <c r="BI7" s="570">
        <f>BI6/BI5-1</f>
        <v/>
      </c>
      <c r="BJ7" s="570">
        <f>BJ6/BJ5-1</f>
        <v/>
      </c>
      <c r="BK7" s="570">
        <f>BK6/BK5-1</f>
        <v/>
      </c>
    </row>
    <row r="8">
      <c r="B8" s="216" t="n"/>
      <c r="C8" s="209" t="n"/>
      <c r="D8" s="209" t="n"/>
      <c r="E8" s="571">
        <f>E$5</f>
        <v/>
      </c>
      <c r="F8" s="571">
        <f>F$5</f>
        <v/>
      </c>
      <c r="G8" s="571">
        <f>G$5</f>
        <v/>
      </c>
      <c r="H8" s="571">
        <f>H$5</f>
        <v/>
      </c>
      <c r="I8" s="571">
        <f>I$5</f>
        <v/>
      </c>
      <c r="K8" s="216" t="n"/>
      <c r="L8" s="209" t="n"/>
      <c r="M8" s="209" t="n"/>
      <c r="N8" s="571">
        <f>N$5</f>
        <v/>
      </c>
      <c r="O8" s="571">
        <f>O$5</f>
        <v/>
      </c>
      <c r="P8" s="571">
        <f>P$5</f>
        <v/>
      </c>
      <c r="Q8" s="571">
        <f>Q$5</f>
        <v/>
      </c>
      <c r="R8" s="571">
        <f>R$5</f>
        <v/>
      </c>
      <c r="T8" s="216" t="n"/>
      <c r="U8" s="209" t="n"/>
      <c r="V8" s="209" t="n"/>
      <c r="W8" s="571">
        <f>W$5</f>
        <v/>
      </c>
      <c r="X8" s="571">
        <f>X$5</f>
        <v/>
      </c>
      <c r="Y8" s="571">
        <f>Y$5</f>
        <v/>
      </c>
      <c r="Z8" s="571">
        <f>Z$5</f>
        <v/>
      </c>
      <c r="AA8" s="571">
        <f>AA$5</f>
        <v/>
      </c>
      <c r="AC8" s="216" t="n"/>
      <c r="AD8" s="209" t="n"/>
      <c r="AE8" s="209" t="n"/>
      <c r="AF8" s="571">
        <f>AF$5</f>
        <v/>
      </c>
      <c r="AG8" s="571">
        <f>AG$5</f>
        <v/>
      </c>
      <c r="AH8" s="571">
        <f>AH$5</f>
        <v/>
      </c>
      <c r="AI8" s="571">
        <f>AI$5</f>
        <v/>
      </c>
      <c r="AJ8" s="571">
        <f>AJ$5</f>
        <v/>
      </c>
      <c r="AL8" s="216" t="n"/>
      <c r="AM8" s="209" t="n"/>
      <c r="AN8" s="209" t="n"/>
      <c r="AO8" s="571">
        <f>AO$5</f>
        <v/>
      </c>
      <c r="AP8" s="571">
        <f>AP$5</f>
        <v/>
      </c>
      <c r="AQ8" s="571">
        <f>AQ$5</f>
        <v/>
      </c>
      <c r="AR8" s="571">
        <f>AR$5</f>
        <v/>
      </c>
      <c r="AS8" s="571">
        <f>AS$5</f>
        <v/>
      </c>
      <c r="AU8" s="216" t="n"/>
      <c r="AV8" s="209" t="n"/>
      <c r="AW8" s="209" t="n"/>
      <c r="AX8" s="571">
        <f>AX$5</f>
        <v/>
      </c>
      <c r="AY8" s="571">
        <f>AY$5</f>
        <v/>
      </c>
      <c r="AZ8" s="571">
        <f>AZ$5</f>
        <v/>
      </c>
      <c r="BA8" s="571">
        <f>BA$5</f>
        <v/>
      </c>
      <c r="BB8" s="571">
        <f>BB$5</f>
        <v/>
      </c>
      <c r="BD8" s="216" t="n"/>
      <c r="BE8" s="209" t="n"/>
      <c r="BF8" s="209" t="n"/>
      <c r="BG8" s="571">
        <f>BG$5</f>
        <v/>
      </c>
      <c r="BH8" s="571">
        <f>BH$5</f>
        <v/>
      </c>
      <c r="BI8" s="571">
        <f>BI$5</f>
        <v/>
      </c>
      <c r="BJ8" s="571">
        <f>BJ$5</f>
        <v/>
      </c>
      <c r="BK8" s="571">
        <f>BK$5</f>
        <v/>
      </c>
    </row>
    <row r="9">
      <c r="A9" s="139" t="n"/>
      <c r="B9" s="215" t="inlineStr">
        <is>
          <t>2026 bump</t>
        </is>
      </c>
      <c r="C9" s="209" t="n"/>
      <c r="D9" s="230" t="n">
        <v>0.01</v>
      </c>
      <c r="E9" s="572">
        <f t="dataTable" ref="E9:I9" dt2D="0" dtr="0" r1="A9" ca="1"/>
        <v/>
      </c>
      <c r="F9" s="573" t="n">
        <v>5803.742093369766</v>
      </c>
      <c r="G9" s="573" t="n">
        <v>8485.777063974661</v>
      </c>
      <c r="H9" s="573" t="n">
        <v>10905.96110114467</v>
      </c>
      <c r="I9" s="573" t="n">
        <v>13500.60268550845</v>
      </c>
      <c r="J9" s="139" t="n"/>
      <c r="K9" s="215" t="inlineStr">
        <is>
          <t>2026 bump</t>
        </is>
      </c>
      <c r="L9" s="209" t="n"/>
      <c r="M9" s="230" t="n">
        <v>0.01</v>
      </c>
      <c r="N9" s="572">
        <f t="dataTable" ref="N9:R9" dt2D="0" dtr="0" r1="J9" ca="1"/>
        <v/>
      </c>
      <c r="O9" s="573" t="n">
        <v>5799.67562933508</v>
      </c>
      <c r="P9" s="573" t="n">
        <v>8485.765989581721</v>
      </c>
      <c r="Q9" s="573" t="n">
        <v>10905.9496947036</v>
      </c>
      <c r="R9" s="573" t="n">
        <v>13500.59124696287</v>
      </c>
      <c r="S9" s="139" t="n"/>
      <c r="T9" s="215" t="inlineStr">
        <is>
          <t>2026 bump</t>
        </is>
      </c>
      <c r="U9" s="209" t="n"/>
      <c r="V9" s="230" t="n">
        <v>0.01</v>
      </c>
      <c r="W9" s="572">
        <f t="dataTable" ref="W9:AA9" dt2D="0" dtr="0" r1="S9" ca="1"/>
        <v/>
      </c>
      <c r="X9" s="573" t="n">
        <v>5872.232800983667</v>
      </c>
      <c r="Y9" s="573" t="n">
        <v>8485.963587942973</v>
      </c>
      <c r="Z9" s="573" t="n">
        <v>10906.15321773881</v>
      </c>
      <c r="AA9" s="573" t="n">
        <v>13500.79534283283</v>
      </c>
      <c r="AB9" s="139" t="n"/>
      <c r="AC9" s="215" t="inlineStr">
        <is>
          <t>2026 bump</t>
        </is>
      </c>
      <c r="AD9" s="209" t="n"/>
      <c r="AE9" s="230" t="n">
        <v>0.01</v>
      </c>
      <c r="AF9" s="572">
        <f t="dataTable" ref="AF9:AJ9" dt2D="0" dtr="0" r1="AB9" ca="1"/>
        <v/>
      </c>
      <c r="AG9" s="573" t="n">
        <v>5895.786547615752</v>
      </c>
      <c r="AH9" s="573" t="n">
        <v>8486.027732969993</v>
      </c>
      <c r="AI9" s="573" t="n">
        <v>10906.21928605289</v>
      </c>
      <c r="AJ9" s="573" t="n">
        <v>13500.8615971024</v>
      </c>
      <c r="AK9" s="139" t="n"/>
      <c r="AL9" s="215" t="inlineStr">
        <is>
          <t>2026 bump</t>
        </is>
      </c>
      <c r="AM9" s="209" t="n"/>
      <c r="AN9" s="230" t="n">
        <v>0.01</v>
      </c>
      <c r="AO9" s="572">
        <f t="dataTable" ref="AO9:AS9" dt2D="0" dtr="0" r1="AK9" ca="1"/>
        <v/>
      </c>
      <c r="AP9" s="573" t="n">
        <v>5764.57612929888</v>
      </c>
      <c r="AQ9" s="573" t="n">
        <v>8485.670401460929</v>
      </c>
      <c r="AR9" s="573" t="n">
        <v>10905.85124052436</v>
      </c>
      <c r="AS9" s="573" t="n">
        <v>13500.49251567509</v>
      </c>
      <c r="AT9" s="139" t="n"/>
      <c r="AU9" s="215" t="inlineStr">
        <is>
          <t>2026 bump</t>
        </is>
      </c>
      <c r="AV9" s="209" t="n"/>
      <c r="AW9" s="230" t="n">
        <v>0.01</v>
      </c>
      <c r="AX9" s="572">
        <f t="dataTable" ref="AX9:BB9" dt2D="0" dtr="0" r1="AT9" ca="1"/>
        <v/>
      </c>
      <c r="AY9" s="573" t="n">
        <v>5874.706293004449</v>
      </c>
      <c r="AZ9" s="573" t="n">
        <v>8485.970324120235</v>
      </c>
      <c r="BA9" s="573" t="n">
        <v>10906.16015588968</v>
      </c>
      <c r="BB9" s="573" t="n">
        <v>13500.80230051178</v>
      </c>
      <c r="BC9" s="110" t="n"/>
      <c r="BD9" s="215" t="inlineStr">
        <is>
          <t>2026 bump</t>
        </is>
      </c>
      <c r="BE9" s="209" t="n"/>
      <c r="BF9" s="230" t="n">
        <v>0.01</v>
      </c>
      <c r="BG9" s="572">
        <f t="dataTable" ref="BG9:BK9" dt2D="0" dtr="0" r1="BC9" ca="1"/>
        <v/>
      </c>
      <c r="BH9" s="573" t="n">
        <v>5833.222779950657</v>
      </c>
      <c r="BI9" s="573" t="n">
        <v>8485.857350116257</v>
      </c>
      <c r="BJ9" s="573" t="n">
        <v>10906.04379453909</v>
      </c>
      <c r="BK9" s="573" t="n">
        <v>13500.68561165121</v>
      </c>
    </row>
    <row r="10">
      <c r="B10" s="216" t="inlineStr">
        <is>
          <t>Delta vs base case</t>
        </is>
      </c>
      <c r="C10" s="209" t="n"/>
      <c r="D10" s="209" t="n"/>
      <c r="E10" s="570">
        <f>E9/E8-1</f>
        <v/>
      </c>
      <c r="F10" s="569">
        <f>F9/F8-1</f>
        <v/>
      </c>
      <c r="G10" s="570">
        <f>G9/G8-1</f>
        <v/>
      </c>
      <c r="H10" s="570">
        <f>H9/H8-1</f>
        <v/>
      </c>
      <c r="I10" s="570">
        <f>I9/I8-1</f>
        <v/>
      </c>
      <c r="K10" s="216" t="inlineStr">
        <is>
          <t>Delta vs base case</t>
        </is>
      </c>
      <c r="L10" s="209" t="n"/>
      <c r="M10" s="209" t="n"/>
      <c r="N10" s="570">
        <f>N9/N8-1</f>
        <v/>
      </c>
      <c r="O10" s="569">
        <f>O9/O8-1</f>
        <v/>
      </c>
      <c r="P10" s="570">
        <f>P9/P8-1</f>
        <v/>
      </c>
      <c r="Q10" s="570">
        <f>Q9/Q8-1</f>
        <v/>
      </c>
      <c r="R10" s="570">
        <f>R9/R8-1</f>
        <v/>
      </c>
      <c r="T10" s="216" t="inlineStr">
        <is>
          <t>Delta vs base case</t>
        </is>
      </c>
      <c r="U10" s="209" t="n"/>
      <c r="V10" s="209" t="n"/>
      <c r="W10" s="570">
        <f>W9/W8-1</f>
        <v/>
      </c>
      <c r="X10" s="569">
        <f>X9/X8-1</f>
        <v/>
      </c>
      <c r="Y10" s="570">
        <f>Y9/Y8-1</f>
        <v/>
      </c>
      <c r="Z10" s="570">
        <f>Z9/Z8-1</f>
        <v/>
      </c>
      <c r="AA10" s="570">
        <f>AA9/AA8-1</f>
        <v/>
      </c>
      <c r="AC10" s="216" t="inlineStr">
        <is>
          <t>Delta vs base case</t>
        </is>
      </c>
      <c r="AD10" s="209" t="n"/>
      <c r="AE10" s="209" t="n"/>
      <c r="AF10" s="570">
        <f>AF9/AF8-1</f>
        <v/>
      </c>
      <c r="AG10" s="569">
        <f>AG9/AG8-1</f>
        <v/>
      </c>
      <c r="AH10" s="570">
        <f>AH9/AH8-1</f>
        <v/>
      </c>
      <c r="AI10" s="570">
        <f>AI9/AI8-1</f>
        <v/>
      </c>
      <c r="AJ10" s="570">
        <f>AJ9/AJ8-1</f>
        <v/>
      </c>
      <c r="AL10" s="216" t="inlineStr">
        <is>
          <t>Delta vs base case</t>
        </is>
      </c>
      <c r="AM10" s="209" t="n"/>
      <c r="AN10" s="209" t="n"/>
      <c r="AO10" s="570">
        <f>AO9/AO8-1</f>
        <v/>
      </c>
      <c r="AP10" s="569">
        <f>AP9/AP8-1</f>
        <v/>
      </c>
      <c r="AQ10" s="570">
        <f>AQ9/AQ8-1</f>
        <v/>
      </c>
      <c r="AR10" s="570">
        <f>AR9/AR8-1</f>
        <v/>
      </c>
      <c r="AS10" s="570">
        <f>AS9/AS8-1</f>
        <v/>
      </c>
      <c r="AU10" s="216" t="inlineStr">
        <is>
          <t>Delta vs base case</t>
        </is>
      </c>
      <c r="AV10" s="209" t="n"/>
      <c r="AW10" s="209" t="n"/>
      <c r="AX10" s="570">
        <f>AX9/AX8-1</f>
        <v/>
      </c>
      <c r="AY10" s="569">
        <f>AY9/AY8-1</f>
        <v/>
      </c>
      <c r="AZ10" s="570">
        <f>AZ9/AZ8-1</f>
        <v/>
      </c>
      <c r="BA10" s="570">
        <f>BA9/BA8-1</f>
        <v/>
      </c>
      <c r="BB10" s="570">
        <f>BB9/BB8-1</f>
        <v/>
      </c>
      <c r="BD10" s="216" t="inlineStr">
        <is>
          <t>Delta vs base case</t>
        </is>
      </c>
      <c r="BE10" s="209" t="n"/>
      <c r="BF10" s="209" t="n"/>
      <c r="BG10" s="570">
        <f>BG9/BG8-1</f>
        <v/>
      </c>
      <c r="BH10" s="569">
        <f>BH9/BH8-1</f>
        <v/>
      </c>
      <c r="BI10" s="570">
        <f>BI9/BI8-1</f>
        <v/>
      </c>
      <c r="BJ10" s="570">
        <f>BJ9/BJ8-1</f>
        <v/>
      </c>
      <c r="BK10" s="570">
        <f>BK9/BK8-1</f>
        <v/>
      </c>
    </row>
    <row r="11">
      <c r="B11" s="216" t="n"/>
      <c r="C11" s="209" t="n"/>
      <c r="D11" s="209" t="n"/>
      <c r="E11" s="571">
        <f>E$5</f>
        <v/>
      </c>
      <c r="F11" s="571">
        <f>F$5</f>
        <v/>
      </c>
      <c r="G11" s="571">
        <f>G$5</f>
        <v/>
      </c>
      <c r="H11" s="571">
        <f>H$5</f>
        <v/>
      </c>
      <c r="I11" s="571">
        <f>I$5</f>
        <v/>
      </c>
      <c r="K11" s="216" t="n"/>
      <c r="L11" s="209" t="n"/>
      <c r="M11" s="209" t="n"/>
      <c r="N11" s="571">
        <f>N$5</f>
        <v/>
      </c>
      <c r="O11" s="571">
        <f>O$5</f>
        <v/>
      </c>
      <c r="P11" s="571">
        <f>P$5</f>
        <v/>
      </c>
      <c r="Q11" s="571">
        <f>Q$5</f>
        <v/>
      </c>
      <c r="R11" s="571">
        <f>R$5</f>
        <v/>
      </c>
      <c r="T11" s="216" t="n"/>
      <c r="U11" s="209" t="n"/>
      <c r="V11" s="209" t="n"/>
      <c r="W11" s="571">
        <f>W$5</f>
        <v/>
      </c>
      <c r="X11" s="571">
        <f>X$5</f>
        <v/>
      </c>
      <c r="Y11" s="571">
        <f>Y$5</f>
        <v/>
      </c>
      <c r="Z11" s="571">
        <f>Z$5</f>
        <v/>
      </c>
      <c r="AA11" s="571">
        <f>AA$5</f>
        <v/>
      </c>
      <c r="AC11" s="216" t="n"/>
      <c r="AD11" s="209" t="n"/>
      <c r="AE11" s="209" t="n"/>
      <c r="AF11" s="571">
        <f>AF$5</f>
        <v/>
      </c>
      <c r="AG11" s="571">
        <f>AG$5</f>
        <v/>
      </c>
      <c r="AH11" s="571">
        <f>AH$5</f>
        <v/>
      </c>
      <c r="AI11" s="571">
        <f>AI$5</f>
        <v/>
      </c>
      <c r="AJ11" s="571">
        <f>AJ$5</f>
        <v/>
      </c>
      <c r="AL11" s="216" t="n"/>
      <c r="AM11" s="209" t="n"/>
      <c r="AN11" s="209" t="n"/>
      <c r="AO11" s="571">
        <f>AO$5</f>
        <v/>
      </c>
      <c r="AP11" s="571">
        <f>AP$5</f>
        <v/>
      </c>
      <c r="AQ11" s="571">
        <f>AQ$5</f>
        <v/>
      </c>
      <c r="AR11" s="571">
        <f>AR$5</f>
        <v/>
      </c>
      <c r="AS11" s="571">
        <f>AS$5</f>
        <v/>
      </c>
      <c r="AU11" s="216" t="n"/>
      <c r="AV11" s="209" t="n"/>
      <c r="AW11" s="209" t="n"/>
      <c r="AX11" s="571">
        <f>AX$5</f>
        <v/>
      </c>
      <c r="AY11" s="571">
        <f>AY$5</f>
        <v/>
      </c>
      <c r="AZ11" s="571">
        <f>AZ$5</f>
        <v/>
      </c>
      <c r="BA11" s="571">
        <f>BA$5</f>
        <v/>
      </c>
      <c r="BB11" s="571">
        <f>BB$5</f>
        <v/>
      </c>
      <c r="BD11" s="216" t="n"/>
      <c r="BE11" s="209" t="n"/>
      <c r="BF11" s="209" t="n"/>
      <c r="BG11" s="571">
        <f>BG$5</f>
        <v/>
      </c>
      <c r="BH11" s="571">
        <f>BH$5</f>
        <v/>
      </c>
      <c r="BI11" s="571">
        <f>BI$5</f>
        <v/>
      </c>
      <c r="BJ11" s="571">
        <f>BJ$5</f>
        <v/>
      </c>
      <c r="BK11" s="571">
        <f>BK$5</f>
        <v/>
      </c>
    </row>
    <row r="12">
      <c r="A12" s="139" t="n"/>
      <c r="B12" s="215" t="inlineStr">
        <is>
          <t>2027 bump</t>
        </is>
      </c>
      <c r="C12" s="209" t="n"/>
      <c r="D12" s="230" t="n">
        <v>0.01</v>
      </c>
      <c r="E12" s="572">
        <f t="dataTable" ref="E12:I12" dt2D="0" dtr="0" r1="A12" ca="1"/>
        <v/>
      </c>
      <c r="F12" s="573" t="n">
        <v>5737.674064159415</v>
      </c>
      <c r="G12" s="573" t="n">
        <v>8588.363828313439</v>
      </c>
      <c r="H12" s="573" t="n">
        <v>10906.0556495352</v>
      </c>
      <c r="I12" s="573" t="n">
        <v>13500.6995079791</v>
      </c>
      <c r="J12" s="139" t="n"/>
      <c r="K12" s="215" t="inlineStr">
        <is>
          <t>2027 bump</t>
        </is>
      </c>
      <c r="L12" s="209" t="n"/>
      <c r="M12" s="230" t="n">
        <v>0.01</v>
      </c>
      <c r="N12" s="572">
        <f t="dataTable" ref="N12:R12" dt2D="0" dtr="0" r1="J12" ca="1"/>
        <v/>
      </c>
      <c r="O12" s="573" t="n">
        <v>5737.674064159415</v>
      </c>
      <c r="P12" s="573" t="n">
        <v>8563.099094270061</v>
      </c>
      <c r="Q12" s="573" t="n">
        <v>10905.98684489562</v>
      </c>
      <c r="R12" s="573" t="n">
        <v>13500.63001603317</v>
      </c>
      <c r="S12" s="139" t="n"/>
      <c r="T12" s="215" t="inlineStr">
        <is>
          <t>2027 bump</t>
        </is>
      </c>
      <c r="U12" s="209" t="n"/>
      <c r="V12" s="230" t="n">
        <v>0.01</v>
      </c>
      <c r="W12" s="572">
        <f t="dataTable" ref="W12:AA12" dt2D="0" dtr="0" r1="S12" ca="1"/>
        <v/>
      </c>
      <c r="X12" s="573" t="n">
        <v>5737.674064159415</v>
      </c>
      <c r="Y12" s="573" t="n">
        <v>8626.883811465948</v>
      </c>
      <c r="Z12" s="573" t="n">
        <v>10906.16055281868</v>
      </c>
      <c r="AA12" s="573" t="n">
        <v>13500.80545916711</v>
      </c>
      <c r="AB12" s="139" t="n"/>
      <c r="AC12" s="215" t="inlineStr">
        <is>
          <t>2027 bump</t>
        </is>
      </c>
      <c r="AD12" s="209" t="n"/>
      <c r="AE12" s="230" t="n">
        <v>0.01</v>
      </c>
      <c r="AF12" s="572">
        <f t="dataTable" ref="AF12:AJ12" dt2D="0" dtr="0" r1="AB12" ca="1"/>
        <v/>
      </c>
      <c r="AG12" s="573" t="n">
        <v>5737.674064159415</v>
      </c>
      <c r="AH12" s="573" t="n">
        <v>8667.426493775281</v>
      </c>
      <c r="AI12" s="573" t="n">
        <v>10906.270964614</v>
      </c>
      <c r="AJ12" s="573" t="n">
        <v>13500.91697389282</v>
      </c>
      <c r="AK12" s="139" t="n"/>
      <c r="AL12" s="215" t="inlineStr">
        <is>
          <t>2027 bump</t>
        </is>
      </c>
      <c r="AM12" s="209" t="n"/>
      <c r="AN12" s="230" t="n">
        <v>0.01</v>
      </c>
      <c r="AO12" s="572">
        <f t="dataTable" ref="AO12:AS12" dt2D="0" dtr="0" r1="AK12" ca="1"/>
        <v/>
      </c>
      <c r="AP12" s="573" t="n">
        <v>5737.674064159415</v>
      </c>
      <c r="AQ12" s="573" t="n">
        <v>8515.189409453909</v>
      </c>
      <c r="AR12" s="573" t="n">
        <v>10905.85637019556</v>
      </c>
      <c r="AS12" s="573" t="n">
        <v>13500.49823798948</v>
      </c>
      <c r="AT12" s="139" t="n"/>
      <c r="AU12" s="215" t="inlineStr">
        <is>
          <t>2027 bump</t>
        </is>
      </c>
      <c r="AV12" s="209" t="n"/>
      <c r="AW12" s="230" t="n">
        <v>0.01</v>
      </c>
      <c r="AX12" s="572">
        <f t="dataTable" ref="AX12:BB12" dt2D="0" dtr="0" r1="AT12" ca="1"/>
        <v/>
      </c>
      <c r="AY12" s="573" t="n">
        <v>5737.674064159415</v>
      </c>
      <c r="AZ12" s="573" t="n">
        <v>8626.740333510881</v>
      </c>
      <c r="BA12" s="573" t="n">
        <v>10906.16016207842</v>
      </c>
      <c r="BB12" s="573" t="n">
        <v>13500.80506452364</v>
      </c>
      <c r="BC12" s="110" t="n"/>
      <c r="BD12" s="215" t="inlineStr">
        <is>
          <t>2027 bump</t>
        </is>
      </c>
      <c r="BE12" s="209" t="n"/>
      <c r="BF12" s="230" t="n">
        <v>0.01</v>
      </c>
      <c r="BG12" s="572">
        <f t="dataTable" ref="BG12:BK12" dt2D="0" dtr="0" r1="BC12" ca="1"/>
        <v/>
      </c>
      <c r="BH12" s="573" t="n">
        <v>5737.674064159415</v>
      </c>
      <c r="BI12" s="573" t="n">
        <v>8605.259448022565</v>
      </c>
      <c r="BJ12" s="573" t="n">
        <v>10906.10166217173</v>
      </c>
      <c r="BK12" s="573" t="n">
        <v>13500.7459802471</v>
      </c>
    </row>
    <row r="13">
      <c r="B13" s="216" t="inlineStr">
        <is>
          <t>Delta vs base case</t>
        </is>
      </c>
      <c r="C13" s="209" t="n"/>
      <c r="D13" s="209" t="n"/>
      <c r="E13" s="570">
        <f>E12/E11-1</f>
        <v/>
      </c>
      <c r="F13" s="570">
        <f>F12/F11-1</f>
        <v/>
      </c>
      <c r="G13" s="569">
        <f>G12/G11-1</f>
        <v/>
      </c>
      <c r="H13" s="570">
        <f>H12/H11-1</f>
        <v/>
      </c>
      <c r="I13" s="570">
        <f>I12/I11-1</f>
        <v/>
      </c>
      <c r="K13" s="216" t="inlineStr">
        <is>
          <t>Delta vs base case</t>
        </is>
      </c>
      <c r="L13" s="209" t="n"/>
      <c r="M13" s="209" t="n"/>
      <c r="N13" s="570">
        <f>N12/N11-1</f>
        <v/>
      </c>
      <c r="O13" s="570">
        <f>O12/O11-1</f>
        <v/>
      </c>
      <c r="P13" s="569">
        <f>P12/P11-1</f>
        <v/>
      </c>
      <c r="Q13" s="570">
        <f>Q12/Q11-1</f>
        <v/>
      </c>
      <c r="R13" s="570">
        <f>R12/R11-1</f>
        <v/>
      </c>
      <c r="T13" s="216" t="inlineStr">
        <is>
          <t>Delta vs base case</t>
        </is>
      </c>
      <c r="U13" s="209" t="n"/>
      <c r="V13" s="209" t="n"/>
      <c r="W13" s="570">
        <f>W12/W11-1</f>
        <v/>
      </c>
      <c r="X13" s="570">
        <f>X12/X11-1</f>
        <v/>
      </c>
      <c r="Y13" s="569">
        <f>Y12/Y11-1</f>
        <v/>
      </c>
      <c r="Z13" s="570">
        <f>Z12/Z11-1</f>
        <v/>
      </c>
      <c r="AA13" s="570">
        <f>AA12/AA11-1</f>
        <v/>
      </c>
      <c r="AC13" s="216" t="inlineStr">
        <is>
          <t>Delta vs base case</t>
        </is>
      </c>
      <c r="AD13" s="209" t="n"/>
      <c r="AE13" s="209" t="n"/>
      <c r="AF13" s="570">
        <f>AF12/AF11-1</f>
        <v/>
      </c>
      <c r="AG13" s="570">
        <f>AG12/AG11-1</f>
        <v/>
      </c>
      <c r="AH13" s="569">
        <f>AH12/AH11-1</f>
        <v/>
      </c>
      <c r="AI13" s="570">
        <f>AI12/AI11-1</f>
        <v/>
      </c>
      <c r="AJ13" s="570">
        <f>AJ12/AJ11-1</f>
        <v/>
      </c>
      <c r="AL13" s="216" t="inlineStr">
        <is>
          <t>Delta vs base case</t>
        </is>
      </c>
      <c r="AM13" s="209" t="n"/>
      <c r="AN13" s="209" t="n"/>
      <c r="AO13" s="570">
        <f>AO12/AO11-1</f>
        <v/>
      </c>
      <c r="AP13" s="570">
        <f>AP12/AP11-1</f>
        <v/>
      </c>
      <c r="AQ13" s="569">
        <f>AQ12/AQ11-1</f>
        <v/>
      </c>
      <c r="AR13" s="570">
        <f>AR12/AR11-1</f>
        <v/>
      </c>
      <c r="AS13" s="570">
        <f>AS12/AS11-1</f>
        <v/>
      </c>
      <c r="AU13" s="216" t="inlineStr">
        <is>
          <t>Delta vs base case</t>
        </is>
      </c>
      <c r="AV13" s="209" t="n"/>
      <c r="AW13" s="209" t="n"/>
      <c r="AX13" s="570">
        <f>AX12/AX11-1</f>
        <v/>
      </c>
      <c r="AY13" s="570">
        <f>AY12/AY11-1</f>
        <v/>
      </c>
      <c r="AZ13" s="569">
        <f>AZ12/AZ11-1</f>
        <v/>
      </c>
      <c r="BA13" s="570">
        <f>BA12/BA11-1</f>
        <v/>
      </c>
      <c r="BB13" s="570">
        <f>BB12/BB11-1</f>
        <v/>
      </c>
      <c r="BD13" s="216" t="inlineStr">
        <is>
          <t>Delta vs base case</t>
        </is>
      </c>
      <c r="BE13" s="209" t="n"/>
      <c r="BF13" s="209" t="n"/>
      <c r="BG13" s="570">
        <f>BG12/BG11-1</f>
        <v/>
      </c>
      <c r="BH13" s="570">
        <f>BH12/BH11-1</f>
        <v/>
      </c>
      <c r="BI13" s="569">
        <f>BI12/BI11-1</f>
        <v/>
      </c>
      <c r="BJ13" s="570">
        <f>BJ12/BJ11-1</f>
        <v/>
      </c>
      <c r="BK13" s="570">
        <f>BK12/BK11-1</f>
        <v/>
      </c>
    </row>
    <row r="14">
      <c r="B14" s="216" t="n"/>
      <c r="C14" s="209" t="n"/>
      <c r="D14" s="209" t="n"/>
      <c r="E14" s="571">
        <f>E$5</f>
        <v/>
      </c>
      <c r="F14" s="571">
        <f>F$5</f>
        <v/>
      </c>
      <c r="G14" s="571">
        <f>G$5</f>
        <v/>
      </c>
      <c r="H14" s="571">
        <f>H$5</f>
        <v/>
      </c>
      <c r="I14" s="571">
        <f>I$5</f>
        <v/>
      </c>
      <c r="K14" s="216" t="n"/>
      <c r="L14" s="209" t="n"/>
      <c r="M14" s="209" t="n"/>
      <c r="N14" s="571">
        <f>N$5</f>
        <v/>
      </c>
      <c r="O14" s="571">
        <f>O$5</f>
        <v/>
      </c>
      <c r="P14" s="571">
        <f>P$5</f>
        <v/>
      </c>
      <c r="Q14" s="571">
        <f>Q$5</f>
        <v/>
      </c>
      <c r="R14" s="571">
        <f>R$5</f>
        <v/>
      </c>
      <c r="T14" s="216" t="n"/>
      <c r="U14" s="209" t="n"/>
      <c r="V14" s="209" t="n"/>
      <c r="W14" s="571">
        <f>W$5</f>
        <v/>
      </c>
      <c r="X14" s="571">
        <f>X$5</f>
        <v/>
      </c>
      <c r="Y14" s="571">
        <f>Y$5</f>
        <v/>
      </c>
      <c r="Z14" s="571">
        <f>Z$5</f>
        <v/>
      </c>
      <c r="AA14" s="571">
        <f>AA$5</f>
        <v/>
      </c>
      <c r="AC14" s="216" t="n"/>
      <c r="AD14" s="209" t="n"/>
      <c r="AE14" s="209" t="n"/>
      <c r="AF14" s="571">
        <f>AF$5</f>
        <v/>
      </c>
      <c r="AG14" s="571">
        <f>AG$5</f>
        <v/>
      </c>
      <c r="AH14" s="571">
        <f>AH$5</f>
        <v/>
      </c>
      <c r="AI14" s="571">
        <f>AI$5</f>
        <v/>
      </c>
      <c r="AJ14" s="571">
        <f>AJ$5</f>
        <v/>
      </c>
      <c r="AL14" s="216" t="n"/>
      <c r="AM14" s="209" t="n"/>
      <c r="AN14" s="209" t="n"/>
      <c r="AO14" s="571">
        <f>AO$5</f>
        <v/>
      </c>
      <c r="AP14" s="571">
        <f>AP$5</f>
        <v/>
      </c>
      <c r="AQ14" s="571">
        <f>AQ$5</f>
        <v/>
      </c>
      <c r="AR14" s="571">
        <f>AR$5</f>
        <v/>
      </c>
      <c r="AS14" s="571">
        <f>AS$5</f>
        <v/>
      </c>
      <c r="AU14" s="216" t="n"/>
      <c r="AV14" s="209" t="n"/>
      <c r="AW14" s="209" t="n"/>
      <c r="AX14" s="571">
        <f>AX$5</f>
        <v/>
      </c>
      <c r="AY14" s="571">
        <f>AY$5</f>
        <v/>
      </c>
      <c r="AZ14" s="571">
        <f>AZ$5</f>
        <v/>
      </c>
      <c r="BA14" s="571">
        <f>BA$5</f>
        <v/>
      </c>
      <c r="BB14" s="571">
        <f>BB$5</f>
        <v/>
      </c>
      <c r="BD14" s="216" t="n"/>
      <c r="BE14" s="209" t="n"/>
      <c r="BF14" s="209" t="n"/>
      <c r="BG14" s="571">
        <f>BG$5</f>
        <v/>
      </c>
      <c r="BH14" s="571">
        <f>BH$5</f>
        <v/>
      </c>
      <c r="BI14" s="571">
        <f>BI$5</f>
        <v/>
      </c>
      <c r="BJ14" s="571">
        <f>BJ$5</f>
        <v/>
      </c>
      <c r="BK14" s="571">
        <f>BK$5</f>
        <v/>
      </c>
    </row>
    <row r="15">
      <c r="A15" s="139" t="n"/>
      <c r="B15" s="215" t="inlineStr">
        <is>
          <t>2028 bump</t>
        </is>
      </c>
      <c r="C15" s="209" t="n"/>
      <c r="D15" s="230" t="n">
        <v>0.01</v>
      </c>
      <c r="E15" s="572">
        <f t="dataTable" ref="E15:I15" dt2D="0" dtr="0" r1="A15" ca="1"/>
        <v/>
      </c>
      <c r="F15" s="573" t="n">
        <v>5737.674064159415</v>
      </c>
      <c r="G15" s="573" t="n">
        <v>8485.597137800496</v>
      </c>
      <c r="H15" s="573" t="n">
        <v>11030.85588308594</v>
      </c>
      <c r="I15" s="573" t="n">
        <v>13500.75747946208</v>
      </c>
      <c r="J15" s="139" t="n"/>
      <c r="K15" s="215" t="inlineStr">
        <is>
          <t>2028 bump</t>
        </is>
      </c>
      <c r="L15" s="209" t="n"/>
      <c r="M15" s="230" t="n">
        <v>0.01</v>
      </c>
      <c r="N15" s="572">
        <f t="dataTable" ref="N15:R15" dt2D="0" dtr="0" r1="J15" ca="1"/>
        <v/>
      </c>
      <c r="O15" s="573" t="n">
        <v>5737.674064159415</v>
      </c>
      <c r="P15" s="573" t="n">
        <v>8485.597137800496</v>
      </c>
      <c r="Q15" s="573" t="n">
        <v>11002.65322575605</v>
      </c>
      <c r="R15" s="573" t="n">
        <v>13500.68067383771</v>
      </c>
      <c r="S15" s="139" t="n"/>
      <c r="T15" s="215" t="inlineStr">
        <is>
          <t>2028 bump</t>
        </is>
      </c>
      <c r="U15" s="209" t="n"/>
      <c r="V15" s="230" t="n">
        <v>0.01</v>
      </c>
      <c r="W15" s="572">
        <f t="dataTable" ref="W15:AA15" dt2D="0" dtr="0" r1="S15" ca="1"/>
        <v/>
      </c>
      <c r="X15" s="573" t="n">
        <v>5737.674064159415</v>
      </c>
      <c r="Y15" s="573" t="n">
        <v>8485.597137800496</v>
      </c>
      <c r="Z15" s="573" t="n">
        <v>11054.12678751781</v>
      </c>
      <c r="AA15" s="573" t="n">
        <v>13500.82085421162</v>
      </c>
      <c r="AB15" s="139" t="n"/>
      <c r="AC15" s="215" t="inlineStr">
        <is>
          <t>2028 bump</t>
        </is>
      </c>
      <c r="AD15" s="209" t="n"/>
      <c r="AE15" s="230" t="n">
        <v>0.01</v>
      </c>
      <c r="AF15" s="572">
        <f t="dataTable" ref="AF15:AJ15" dt2D="0" dtr="0" r1="AB15" ca="1"/>
        <v/>
      </c>
      <c r="AG15" s="573" t="n">
        <v>5737.674064159415</v>
      </c>
      <c r="AH15" s="573" t="n">
        <v>8485.597137800496</v>
      </c>
      <c r="AI15" s="573" t="n">
        <v>11114.87953954009</v>
      </c>
      <c r="AJ15" s="573" t="n">
        <v>13500.9863050412</v>
      </c>
      <c r="AK15" s="139" t="n"/>
      <c r="AL15" s="215" t="inlineStr">
        <is>
          <t>2028 bump</t>
        </is>
      </c>
      <c r="AM15" s="209" t="n"/>
      <c r="AN15" s="230" t="n">
        <v>0.01</v>
      </c>
      <c r="AO15" s="572">
        <f t="dataTable" ref="AO15:AS15" dt2D="0" dtr="0" r1="AK15" ca="1"/>
        <v/>
      </c>
      <c r="AP15" s="573" t="n">
        <v>5737.674064159415</v>
      </c>
      <c r="AQ15" s="573" t="n">
        <v>8485.597137800496</v>
      </c>
      <c r="AR15" s="573" t="n">
        <v>10938.32727898784</v>
      </c>
      <c r="AS15" s="573" t="n">
        <v>13500.50549195867</v>
      </c>
      <c r="AT15" s="139" t="n"/>
      <c r="AU15" s="215" t="inlineStr">
        <is>
          <t>2028 bump</t>
        </is>
      </c>
      <c r="AV15" s="209" t="n"/>
      <c r="AW15" s="230" t="n">
        <v>0.01</v>
      </c>
      <c r="AX15" s="572">
        <f t="dataTable" ref="AX15:BB15" dt2D="0" dtr="0" r1="AT15" ca="1"/>
        <v/>
      </c>
      <c r="AY15" s="573" t="n">
        <v>5737.674064159415</v>
      </c>
      <c r="AZ15" s="573" t="n">
        <v>8485.597137800496</v>
      </c>
      <c r="BA15" s="573" t="n">
        <v>11051.15327175078</v>
      </c>
      <c r="BB15" s="573" t="n">
        <v>13500.81275629615</v>
      </c>
      <c r="BC15" s="110" t="n"/>
      <c r="BD15" s="215" t="inlineStr">
        <is>
          <t>2028 bump</t>
        </is>
      </c>
      <c r="BE15" s="209" t="n"/>
      <c r="BF15" s="230" t="n">
        <v>0.01</v>
      </c>
      <c r="BG15" s="572">
        <f t="dataTable" ref="BG15:BK15" dt2D="0" dtr="0" r1="BC15" ca="1"/>
        <v/>
      </c>
      <c r="BH15" s="573" t="n">
        <v>5737.674064159415</v>
      </c>
      <c r="BI15" s="573" t="n">
        <v>8485.597137800496</v>
      </c>
      <c r="BJ15" s="573" t="n">
        <v>11051.73340846181</v>
      </c>
      <c r="BK15" s="573" t="n">
        <v>13500.81433620977</v>
      </c>
    </row>
    <row r="16">
      <c r="B16" s="216" t="inlineStr">
        <is>
          <t>Delta vs base case</t>
        </is>
      </c>
      <c r="C16" s="209" t="n"/>
      <c r="D16" s="209" t="n"/>
      <c r="E16" s="570">
        <f>E15/E14-1</f>
        <v/>
      </c>
      <c r="F16" s="570">
        <f>F15/F14-1</f>
        <v/>
      </c>
      <c r="G16" s="570">
        <f>G15/G14-1</f>
        <v/>
      </c>
      <c r="H16" s="569">
        <f>H15/H14-1</f>
        <v/>
      </c>
      <c r="I16" s="570">
        <f>I15/I14-1</f>
        <v/>
      </c>
      <c r="K16" s="216" t="inlineStr">
        <is>
          <t>Delta vs base case</t>
        </is>
      </c>
      <c r="L16" s="209" t="n"/>
      <c r="M16" s="209" t="n"/>
      <c r="N16" s="570">
        <f>N15/N14-1</f>
        <v/>
      </c>
      <c r="O16" s="570">
        <f>O15/O14-1</f>
        <v/>
      </c>
      <c r="P16" s="570">
        <f>P15/P14-1</f>
        <v/>
      </c>
      <c r="Q16" s="569">
        <f>Q15/Q14-1</f>
        <v/>
      </c>
      <c r="R16" s="570">
        <f>R15/R14-1</f>
        <v/>
      </c>
      <c r="T16" s="216" t="inlineStr">
        <is>
          <t>Delta vs base case</t>
        </is>
      </c>
      <c r="U16" s="209" t="n"/>
      <c r="V16" s="209" t="n"/>
      <c r="W16" s="570">
        <f>W15/W14-1</f>
        <v/>
      </c>
      <c r="X16" s="570">
        <f>X15/X14-1</f>
        <v/>
      </c>
      <c r="Y16" s="570">
        <f>Y15/Y14-1</f>
        <v/>
      </c>
      <c r="Z16" s="569">
        <f>Z15/Z14-1</f>
        <v/>
      </c>
      <c r="AA16" s="570">
        <f>AA15/AA14-1</f>
        <v/>
      </c>
      <c r="AC16" s="216" t="inlineStr">
        <is>
          <t>Delta vs base case</t>
        </is>
      </c>
      <c r="AD16" s="209" t="n"/>
      <c r="AE16" s="209" t="n"/>
      <c r="AF16" s="570">
        <f>AF15/AF14-1</f>
        <v/>
      </c>
      <c r="AG16" s="570">
        <f>AG15/AG14-1</f>
        <v/>
      </c>
      <c r="AH16" s="570">
        <f>AH15/AH14-1</f>
        <v/>
      </c>
      <c r="AI16" s="569">
        <f>AI15/AI14-1</f>
        <v/>
      </c>
      <c r="AJ16" s="570">
        <f>AJ15/AJ14-1</f>
        <v/>
      </c>
      <c r="AL16" s="216" t="inlineStr">
        <is>
          <t>Delta vs base case</t>
        </is>
      </c>
      <c r="AM16" s="209" t="n"/>
      <c r="AN16" s="209" t="n"/>
      <c r="AO16" s="570">
        <f>AO15/AO14-1</f>
        <v/>
      </c>
      <c r="AP16" s="570">
        <f>AP15/AP14-1</f>
        <v/>
      </c>
      <c r="AQ16" s="570">
        <f>AQ15/AQ14-1</f>
        <v/>
      </c>
      <c r="AR16" s="569">
        <f>AR15/AR14-1</f>
        <v/>
      </c>
      <c r="AS16" s="570">
        <f>AS15/AS14-1</f>
        <v/>
      </c>
      <c r="AU16" s="216" t="inlineStr">
        <is>
          <t>Delta vs base case</t>
        </is>
      </c>
      <c r="AV16" s="209" t="n"/>
      <c r="AW16" s="209" t="n"/>
      <c r="AX16" s="570">
        <f>AX15/AX14-1</f>
        <v/>
      </c>
      <c r="AY16" s="570">
        <f>AY15/AY14-1</f>
        <v/>
      </c>
      <c r="AZ16" s="570">
        <f>AZ15/AZ14-1</f>
        <v/>
      </c>
      <c r="BA16" s="569">
        <f>BA15/BA14-1</f>
        <v/>
      </c>
      <c r="BB16" s="570">
        <f>BB15/BB14-1</f>
        <v/>
      </c>
      <c r="BD16" s="216" t="inlineStr">
        <is>
          <t>Delta vs base case</t>
        </is>
      </c>
      <c r="BE16" s="209" t="n"/>
      <c r="BF16" s="209" t="n"/>
      <c r="BG16" s="570">
        <f>BG15/BG14-1</f>
        <v/>
      </c>
      <c r="BH16" s="570">
        <f>BH15/BH14-1</f>
        <v/>
      </c>
      <c r="BI16" s="570">
        <f>BI15/BI14-1</f>
        <v/>
      </c>
      <c r="BJ16" s="569">
        <f>BJ15/BJ14-1</f>
        <v/>
      </c>
      <c r="BK16" s="570">
        <f>BK15/BK14-1</f>
        <v/>
      </c>
    </row>
    <row r="17">
      <c r="B17" s="216" t="n"/>
      <c r="C17" s="209" t="n"/>
      <c r="D17" s="209" t="n"/>
      <c r="E17" s="571">
        <f>E$5</f>
        <v/>
      </c>
      <c r="F17" s="571">
        <f>F$5</f>
        <v/>
      </c>
      <c r="G17" s="571">
        <f>G$5</f>
        <v/>
      </c>
      <c r="H17" s="571">
        <f>H$5</f>
        <v/>
      </c>
      <c r="I17" s="571">
        <f>I$5</f>
        <v/>
      </c>
      <c r="K17" s="216" t="n"/>
      <c r="L17" s="209" t="n"/>
      <c r="M17" s="209" t="n"/>
      <c r="N17" s="571">
        <f>N$5</f>
        <v/>
      </c>
      <c r="O17" s="571">
        <f>O$5</f>
        <v/>
      </c>
      <c r="P17" s="571">
        <f>P$5</f>
        <v/>
      </c>
      <c r="Q17" s="571">
        <f>Q$5</f>
        <v/>
      </c>
      <c r="R17" s="571">
        <f>R$5</f>
        <v/>
      </c>
      <c r="T17" s="216" t="n"/>
      <c r="U17" s="209" t="n"/>
      <c r="V17" s="209" t="n"/>
      <c r="W17" s="571">
        <f>W$5</f>
        <v/>
      </c>
      <c r="X17" s="571">
        <f>X$5</f>
        <v/>
      </c>
      <c r="Y17" s="571">
        <f>Y$5</f>
        <v/>
      </c>
      <c r="Z17" s="571">
        <f>Z$5</f>
        <v/>
      </c>
      <c r="AA17" s="571">
        <f>AA$5</f>
        <v/>
      </c>
      <c r="AC17" s="216" t="n"/>
      <c r="AD17" s="209" t="n"/>
      <c r="AE17" s="209" t="n"/>
      <c r="AF17" s="571">
        <f>AF$5</f>
        <v/>
      </c>
      <c r="AG17" s="571">
        <f>AG$5</f>
        <v/>
      </c>
      <c r="AH17" s="571">
        <f>AH$5</f>
        <v/>
      </c>
      <c r="AI17" s="571">
        <f>AI$5</f>
        <v/>
      </c>
      <c r="AJ17" s="571">
        <f>AJ$5</f>
        <v/>
      </c>
      <c r="AL17" s="216" t="n"/>
      <c r="AM17" s="209" t="n"/>
      <c r="AN17" s="209" t="n"/>
      <c r="AO17" s="571">
        <f>AO$5</f>
        <v/>
      </c>
      <c r="AP17" s="571">
        <f>AP$5</f>
        <v/>
      </c>
      <c r="AQ17" s="571">
        <f>AQ$5</f>
        <v/>
      </c>
      <c r="AR17" s="571">
        <f>AR$5</f>
        <v/>
      </c>
      <c r="AS17" s="571">
        <f>AS$5</f>
        <v/>
      </c>
      <c r="AU17" s="216" t="n"/>
      <c r="AV17" s="209" t="n"/>
      <c r="AW17" s="209" t="n"/>
      <c r="AX17" s="571">
        <f>AX$5</f>
        <v/>
      </c>
      <c r="AY17" s="571">
        <f>AY$5</f>
        <v/>
      </c>
      <c r="AZ17" s="571">
        <f>AZ$5</f>
        <v/>
      </c>
      <c r="BA17" s="571">
        <f>BA$5</f>
        <v/>
      </c>
      <c r="BB17" s="571">
        <f>BB$5</f>
        <v/>
      </c>
      <c r="BD17" s="216" t="n"/>
      <c r="BE17" s="209" t="n"/>
      <c r="BF17" s="209" t="n"/>
      <c r="BG17" s="571">
        <f>BG$5</f>
        <v/>
      </c>
      <c r="BH17" s="571">
        <f>BH$5</f>
        <v/>
      </c>
      <c r="BI17" s="571">
        <f>BI$5</f>
        <v/>
      </c>
      <c r="BJ17" s="571">
        <f>BJ$5</f>
        <v/>
      </c>
      <c r="BK17" s="571">
        <f>BK$5</f>
        <v/>
      </c>
    </row>
    <row r="18">
      <c r="A18" s="139" t="n"/>
      <c r="B18" s="215" t="inlineStr">
        <is>
          <t>2029 bump</t>
        </is>
      </c>
      <c r="C18" s="209" t="n"/>
      <c r="D18" s="230" t="n">
        <v>0.01</v>
      </c>
      <c r="E18" s="572">
        <f t="dataTable" ref="E18:I18" dt2D="0" dtr="0" r1="A18" ca="1"/>
        <v/>
      </c>
      <c r="F18" s="573" t="n">
        <v>5737.674064159415</v>
      </c>
      <c r="G18" s="573" t="n">
        <v>8485.597137800496</v>
      </c>
      <c r="H18" s="573" t="n">
        <v>10905.77578016908</v>
      </c>
      <c r="I18" s="573" t="n">
        <v>13644.77562427394</v>
      </c>
      <c r="J18" s="139" t="n"/>
      <c r="K18" s="215" t="inlineStr">
        <is>
          <t>2029 bump</t>
        </is>
      </c>
      <c r="L18" s="209" t="n"/>
      <c r="M18" s="230" t="n">
        <v>0.01</v>
      </c>
      <c r="N18" s="572">
        <f t="dataTable" ref="N18:R18" dt2D="0" dtr="0" r1="J18" ca="1"/>
        <v/>
      </c>
      <c r="O18" s="573" t="n">
        <v>5737.674064159415</v>
      </c>
      <c r="P18" s="573" t="n">
        <v>8485.597137800496</v>
      </c>
      <c r="Q18" s="573" t="n">
        <v>10905.77578016908</v>
      </c>
      <c r="R18" s="573" t="n">
        <v>13621.51364991323</v>
      </c>
      <c r="S18" s="139" t="n"/>
      <c r="T18" s="215" t="inlineStr">
        <is>
          <t>2029 bump</t>
        </is>
      </c>
      <c r="U18" s="209" t="n"/>
      <c r="V18" s="230" t="n">
        <v>0.01</v>
      </c>
      <c r="W18" s="572">
        <f t="dataTable" ref="W18:AA18" dt2D="0" dtr="0" r1="S18" ca="1"/>
        <v/>
      </c>
      <c r="X18" s="573" t="n">
        <v>5737.674064159415</v>
      </c>
      <c r="Y18" s="573" t="n">
        <v>8485.597137800496</v>
      </c>
      <c r="Z18" s="573" t="n">
        <v>10905.77578016908</v>
      </c>
      <c r="AA18" s="573" t="n">
        <v>13656.18540064571</v>
      </c>
      <c r="AB18" s="139" t="n"/>
      <c r="AC18" s="215" t="inlineStr">
        <is>
          <t>2029 bump</t>
        </is>
      </c>
      <c r="AD18" s="209" t="n"/>
      <c r="AE18" s="230" t="n">
        <v>0.01</v>
      </c>
      <c r="AF18" s="572">
        <f t="dataTable" ref="AF18:AJ18" dt2D="0" dtr="0" r1="AB18" ca="1"/>
        <v/>
      </c>
      <c r="AG18" s="573" t="n">
        <v>5737.674064159415</v>
      </c>
      <c r="AH18" s="573" t="n">
        <v>8485.597137800496</v>
      </c>
      <c r="AI18" s="573" t="n">
        <v>10905.77578016908</v>
      </c>
      <c r="AJ18" s="573" t="n">
        <v>13740.8861662062</v>
      </c>
      <c r="AK18" s="139" t="n"/>
      <c r="AL18" s="215" t="inlineStr">
        <is>
          <t>2029 bump</t>
        </is>
      </c>
      <c r="AM18" s="209" t="n"/>
      <c r="AN18" s="230" t="n">
        <v>0.01</v>
      </c>
      <c r="AO18" s="572">
        <f t="dataTable" ref="AO18:AS18" dt2D="0" dtr="0" r1="AK18" ca="1"/>
        <v/>
      </c>
      <c r="AP18" s="573" t="n">
        <v>5737.674064159415</v>
      </c>
      <c r="AQ18" s="573" t="n">
        <v>8485.597137800496</v>
      </c>
      <c r="AR18" s="573" t="n">
        <v>10905.77578016908</v>
      </c>
      <c r="AS18" s="573" t="n">
        <v>13536.22349163016</v>
      </c>
      <c r="AT18" s="139" t="n"/>
      <c r="AU18" s="215" t="inlineStr">
        <is>
          <t>2029 bump</t>
        </is>
      </c>
      <c r="AV18" s="209" t="n"/>
      <c r="AW18" s="230" t="n">
        <v>0.01</v>
      </c>
      <c r="AX18" s="572">
        <f t="dataTable" ref="AX18:BB18" dt2D="0" dtr="0" r1="AT18" ca="1"/>
        <v/>
      </c>
      <c r="AY18" s="573" t="n">
        <v>5737.674064159415</v>
      </c>
      <c r="AZ18" s="573" t="n">
        <v>8485.597137800496</v>
      </c>
      <c r="BA18" s="573" t="n">
        <v>10905.77578016908</v>
      </c>
      <c r="BB18" s="573" t="n">
        <v>13650.15565925869</v>
      </c>
      <c r="BC18" s="110" t="n"/>
      <c r="BD18" s="215" t="inlineStr">
        <is>
          <t>2029 bump</t>
        </is>
      </c>
      <c r="BE18" s="209" t="n"/>
      <c r="BF18" s="230" t="n">
        <v>0.01</v>
      </c>
      <c r="BG18" s="572">
        <f t="dataTable" ref="BG18:BK18" dt2D="0" dtr="0" r1="BC18" ca="1"/>
        <v/>
      </c>
      <c r="BH18" s="573" t="n">
        <v>5737.674064159415</v>
      </c>
      <c r="BI18" s="573" t="n">
        <v>8485.597137800496</v>
      </c>
      <c r="BJ18" s="573" t="n">
        <v>10905.77578016908</v>
      </c>
      <c r="BK18" s="573" t="n">
        <v>13675.01978749005</v>
      </c>
    </row>
    <row r="19">
      <c r="B19" s="216" t="inlineStr">
        <is>
          <t>Delta vs base case</t>
        </is>
      </c>
      <c r="C19" s="209" t="n"/>
      <c r="D19" s="209" t="n"/>
      <c r="E19" s="570">
        <f>E18/E17-1</f>
        <v/>
      </c>
      <c r="F19" s="570">
        <f>F18/F17-1</f>
        <v/>
      </c>
      <c r="G19" s="570">
        <f>G18/G17-1</f>
        <v/>
      </c>
      <c r="H19" s="570">
        <f>H18/H17-1</f>
        <v/>
      </c>
      <c r="I19" s="569">
        <f>I18/I17-1</f>
        <v/>
      </c>
      <c r="K19" s="216" t="inlineStr">
        <is>
          <t>Delta vs base case</t>
        </is>
      </c>
      <c r="L19" s="209" t="n"/>
      <c r="M19" s="209" t="n"/>
      <c r="N19" s="570">
        <f>N18/N17-1</f>
        <v/>
      </c>
      <c r="O19" s="570">
        <f>O18/O17-1</f>
        <v/>
      </c>
      <c r="P19" s="570">
        <f>P18/P17-1</f>
        <v/>
      </c>
      <c r="Q19" s="570">
        <f>Q18/Q17-1</f>
        <v/>
      </c>
      <c r="R19" s="569">
        <f>R18/R17-1</f>
        <v/>
      </c>
      <c r="T19" s="216" t="inlineStr">
        <is>
          <t>Delta vs base case</t>
        </is>
      </c>
      <c r="U19" s="209" t="n"/>
      <c r="V19" s="209" t="n"/>
      <c r="W19" s="570">
        <f>W18/W17-1</f>
        <v/>
      </c>
      <c r="X19" s="570">
        <f>X18/X17-1</f>
        <v/>
      </c>
      <c r="Y19" s="570">
        <f>Y18/Y17-1</f>
        <v/>
      </c>
      <c r="Z19" s="570">
        <f>Z18/Z17-1</f>
        <v/>
      </c>
      <c r="AA19" s="569">
        <f>AA18/AA17-1</f>
        <v/>
      </c>
      <c r="AC19" s="216" t="inlineStr">
        <is>
          <t>Delta vs base case</t>
        </is>
      </c>
      <c r="AD19" s="209" t="n"/>
      <c r="AE19" s="209" t="n"/>
      <c r="AF19" s="570">
        <f>AF18/AF17-1</f>
        <v/>
      </c>
      <c r="AG19" s="570">
        <f>AG18/AG17-1</f>
        <v/>
      </c>
      <c r="AH19" s="570">
        <f>AH18/AH17-1</f>
        <v/>
      </c>
      <c r="AI19" s="570">
        <f>AI18/AI17-1</f>
        <v/>
      </c>
      <c r="AJ19" s="569">
        <f>AJ18/AJ17-1</f>
        <v/>
      </c>
      <c r="AL19" s="216" t="inlineStr">
        <is>
          <t>Delta vs base case</t>
        </is>
      </c>
      <c r="AM19" s="209" t="n"/>
      <c r="AN19" s="209" t="n"/>
      <c r="AO19" s="570">
        <f>AO18/AO17-1</f>
        <v/>
      </c>
      <c r="AP19" s="570">
        <f>AP18/AP17-1</f>
        <v/>
      </c>
      <c r="AQ19" s="570">
        <f>AQ18/AQ17-1</f>
        <v/>
      </c>
      <c r="AR19" s="570">
        <f>AR18/AR17-1</f>
        <v/>
      </c>
      <c r="AS19" s="569">
        <f>AS18/AS17-1</f>
        <v/>
      </c>
      <c r="AU19" s="216" t="inlineStr">
        <is>
          <t>Delta vs base case</t>
        </is>
      </c>
      <c r="AV19" s="209" t="n"/>
      <c r="AW19" s="209" t="n"/>
      <c r="AX19" s="570">
        <f>AX18/AX17-1</f>
        <v/>
      </c>
      <c r="AY19" s="570">
        <f>AY18/AY17-1</f>
        <v/>
      </c>
      <c r="AZ19" s="570">
        <f>AZ18/AZ17-1</f>
        <v/>
      </c>
      <c r="BA19" s="570">
        <f>BA18/BA17-1</f>
        <v/>
      </c>
      <c r="BB19" s="569">
        <f>BB18/BB17-1</f>
        <v/>
      </c>
      <c r="BD19" s="216" t="inlineStr">
        <is>
          <t>Delta vs base case</t>
        </is>
      </c>
      <c r="BE19" s="209" t="n"/>
      <c r="BF19" s="209" t="n"/>
      <c r="BG19" s="570">
        <f>BG18/BG17-1</f>
        <v/>
      </c>
      <c r="BH19" s="570">
        <f>BH18/BH17-1</f>
        <v/>
      </c>
      <c r="BI19" s="570">
        <f>BI18/BI17-1</f>
        <v/>
      </c>
      <c r="BJ19" s="570">
        <f>BJ18/BJ17-1</f>
        <v/>
      </c>
      <c r="BK19" s="569">
        <f>BK18/BK17-1</f>
        <v/>
      </c>
    </row>
    <row r="20">
      <c r="B20" s="216" t="n"/>
      <c r="C20" s="209" t="n"/>
      <c r="D20" s="209" t="n"/>
      <c r="E20" s="570" t="n"/>
      <c r="F20" s="570" t="n"/>
      <c r="K20" s="216" t="n"/>
      <c r="L20" s="209" t="n"/>
      <c r="M20" s="209" t="n"/>
      <c r="N20" s="570" t="n"/>
      <c r="O20" s="570" t="n"/>
      <c r="T20" s="216" t="n"/>
      <c r="U20" s="209" t="n"/>
      <c r="V20" s="209" t="n"/>
      <c r="W20" s="570" t="n"/>
      <c r="X20" s="570" t="n"/>
      <c r="AC20" s="216" t="n"/>
      <c r="AD20" s="209" t="n"/>
      <c r="AE20" s="209" t="n"/>
      <c r="AF20" s="570" t="n"/>
      <c r="AG20" s="570" t="n"/>
      <c r="AL20" s="216" t="n"/>
      <c r="AM20" s="209" t="n"/>
      <c r="AN20" s="209" t="n"/>
      <c r="AO20" s="570" t="n"/>
      <c r="AP20" s="570" t="n"/>
      <c r="AU20" s="216" t="n"/>
      <c r="AV20" s="209" t="n"/>
      <c r="AW20" s="209" t="n"/>
      <c r="AX20" s="570" t="n"/>
      <c r="AY20" s="570" t="n"/>
      <c r="BD20" s="216" t="n"/>
      <c r="BE20" s="209" t="n"/>
      <c r="BF20" s="209" t="n"/>
      <c r="BG20" s="570" t="n"/>
      <c r="BH20" s="570" t="n"/>
    </row>
    <row r="21">
      <c r="B21" s="224" t="inlineStr">
        <is>
          <t>For output</t>
        </is>
      </c>
      <c r="C21" s="225" t="n"/>
      <c r="D21" s="225" t="n"/>
      <c r="E21" s="574">
        <f>E7</f>
        <v/>
      </c>
      <c r="F21" s="574">
        <f>F10</f>
        <v/>
      </c>
      <c r="G21" s="574">
        <f>G13</f>
        <v/>
      </c>
      <c r="H21" s="574">
        <f>H16</f>
        <v/>
      </c>
      <c r="I21" s="574">
        <f>I19</f>
        <v/>
      </c>
      <c r="K21" s="224" t="inlineStr">
        <is>
          <t>For output</t>
        </is>
      </c>
      <c r="L21" s="225" t="n"/>
      <c r="M21" s="225" t="n"/>
      <c r="N21" s="574">
        <f>N7</f>
        <v/>
      </c>
      <c r="O21" s="574">
        <f>O10</f>
        <v/>
      </c>
      <c r="P21" s="574">
        <f>P13</f>
        <v/>
      </c>
      <c r="Q21" s="574">
        <f>Q16</f>
        <v/>
      </c>
      <c r="R21" s="574">
        <f>R19</f>
        <v/>
      </c>
      <c r="T21" s="224" t="inlineStr">
        <is>
          <t>For output</t>
        </is>
      </c>
      <c r="U21" s="225" t="n"/>
      <c r="V21" s="225" t="n"/>
      <c r="W21" s="574">
        <f>W7</f>
        <v/>
      </c>
      <c r="X21" s="574">
        <f>X10</f>
        <v/>
      </c>
      <c r="Y21" s="574">
        <f>Y13</f>
        <v/>
      </c>
      <c r="Z21" s="574">
        <f>Z16</f>
        <v/>
      </c>
      <c r="AA21" s="574">
        <f>AA19</f>
        <v/>
      </c>
      <c r="AC21" s="224" t="inlineStr">
        <is>
          <t>For output</t>
        </is>
      </c>
      <c r="AD21" s="225" t="n"/>
      <c r="AE21" s="225" t="n"/>
      <c r="AF21" s="574">
        <f>AF7</f>
        <v/>
      </c>
      <c r="AG21" s="574">
        <f>AG10</f>
        <v/>
      </c>
      <c r="AH21" s="574">
        <f>AH13</f>
        <v/>
      </c>
      <c r="AI21" s="574">
        <f>AI16</f>
        <v/>
      </c>
      <c r="AJ21" s="574">
        <f>AJ19</f>
        <v/>
      </c>
      <c r="AL21" s="224" t="inlineStr">
        <is>
          <t>For output</t>
        </is>
      </c>
      <c r="AM21" s="225" t="n"/>
      <c r="AN21" s="225" t="n"/>
      <c r="AO21" s="574">
        <f>AO7</f>
        <v/>
      </c>
      <c r="AP21" s="574">
        <f>AP10</f>
        <v/>
      </c>
      <c r="AQ21" s="574">
        <f>AQ13</f>
        <v/>
      </c>
      <c r="AR21" s="574">
        <f>AR16</f>
        <v/>
      </c>
      <c r="AS21" s="574">
        <f>AS19</f>
        <v/>
      </c>
      <c r="AU21" s="224" t="inlineStr">
        <is>
          <t>For output</t>
        </is>
      </c>
      <c r="AV21" s="225" t="n"/>
      <c r="AW21" s="225" t="n"/>
      <c r="AX21" s="574">
        <f>AX7</f>
        <v/>
      </c>
      <c r="AY21" s="574">
        <f>AY10</f>
        <v/>
      </c>
      <c r="AZ21" s="574">
        <f>AZ13</f>
        <v/>
      </c>
      <c r="BA21" s="574">
        <f>BA16</f>
        <v/>
      </c>
      <c r="BB21" s="574">
        <f>BB19</f>
        <v/>
      </c>
      <c r="BD21" s="224" t="inlineStr">
        <is>
          <t>For output</t>
        </is>
      </c>
      <c r="BE21" s="225" t="n"/>
      <c r="BF21" s="225" t="n"/>
      <c r="BG21" s="574">
        <f>BG7</f>
        <v/>
      </c>
      <c r="BH21" s="574">
        <f>BH10</f>
        <v/>
      </c>
      <c r="BI21" s="574">
        <f>BI13</f>
        <v/>
      </c>
      <c r="BJ21" s="574">
        <f>BJ16</f>
        <v/>
      </c>
      <c r="BK21" s="574">
        <f>BK19</f>
        <v/>
      </c>
    </row>
    <row r="22">
      <c r="B22" s="231" t="inlineStr">
        <is>
          <t>Bottomline growth contribution</t>
        </is>
      </c>
      <c r="E22" s="567">
        <f>E21*(Driver!J73-Driver!I73)*100</f>
        <v/>
      </c>
      <c r="F22" s="567">
        <f>F21*(Driver!K73-Driver!J73)*100</f>
        <v/>
      </c>
      <c r="G22" s="567">
        <f>G21*(Driver!L73-Driver!K73)*100</f>
        <v/>
      </c>
      <c r="H22" s="567">
        <f>H21*(Driver!M73-Driver!L73)*100</f>
        <v/>
      </c>
      <c r="I22" s="567">
        <f>I21*(Driver!N73-Driver!M73)*100</f>
        <v/>
      </c>
      <c r="K22" s="231" t="inlineStr">
        <is>
          <t>Bottomline growth contribution</t>
        </is>
      </c>
      <c r="N22" s="233">
        <f>N21*(Driver!J74-Driver!I74)*100</f>
        <v/>
      </c>
      <c r="O22" s="233">
        <f>O21*(Driver!K74-Driver!J74)*100</f>
        <v/>
      </c>
      <c r="P22" s="233">
        <f>P21*(Driver!L74-Driver!K74)*100</f>
        <v/>
      </c>
      <c r="Q22" s="233">
        <f>Q21*(Driver!M74-Driver!L74)*100</f>
        <v/>
      </c>
      <c r="R22" s="233">
        <f>R21*(Driver!N74-Driver!M74)*100</f>
        <v/>
      </c>
      <c r="T22" s="231" t="inlineStr">
        <is>
          <t>Bottomline growth contribution</t>
        </is>
      </c>
      <c r="W22" s="233">
        <f>W21*(Driver!J75-Driver!I75)*100</f>
        <v/>
      </c>
      <c r="X22" s="233">
        <f>X21*(Driver!K75-Driver!J75)*100</f>
        <v/>
      </c>
      <c r="Y22" s="233">
        <f>Y21*(Driver!L75-Driver!K75)*100</f>
        <v/>
      </c>
      <c r="Z22" s="233">
        <f>Z21*(Driver!M75-Driver!L75)*100</f>
        <v/>
      </c>
      <c r="AA22" s="233">
        <f>AA21*(Driver!N75-Driver!M75)*100</f>
        <v/>
      </c>
      <c r="AC22" s="231" t="inlineStr">
        <is>
          <t>Bottomline growth contribution</t>
        </is>
      </c>
      <c r="AF22" s="233">
        <f>AF21*(Driver!J76-Driver!I76)*100</f>
        <v/>
      </c>
      <c r="AG22" s="233">
        <f>AG21*(Driver!K76-Driver!J76)*100</f>
        <v/>
      </c>
      <c r="AH22" s="233">
        <f>AH21*(Driver!L76-Driver!K76)*100</f>
        <v/>
      </c>
      <c r="AI22" s="233">
        <f>AI21*(Driver!M76-Driver!L76)*100</f>
        <v/>
      </c>
      <c r="AJ22" s="233">
        <f>AJ21*(Driver!N76-Driver!M76)*100</f>
        <v/>
      </c>
      <c r="AL22" s="231" t="inlineStr">
        <is>
          <t>Bottomline growth contribution</t>
        </is>
      </c>
      <c r="AO22" s="233">
        <f>AO21*(Driver!J77-Driver!I77)*100</f>
        <v/>
      </c>
      <c r="AP22" s="233">
        <f>AP21*(Driver!K77-Driver!J77)*100</f>
        <v/>
      </c>
      <c r="AQ22" s="233">
        <f>AQ21*(Driver!L77-Driver!K77)*100</f>
        <v/>
      </c>
      <c r="AR22" s="233">
        <f>AR21*(Driver!M77-Driver!L77)*100</f>
        <v/>
      </c>
      <c r="AS22" s="233">
        <f>AS21*(Driver!N77-Driver!M77)*100</f>
        <v/>
      </c>
      <c r="AU22" s="231" t="inlineStr">
        <is>
          <t>Bottomline growth contribution</t>
        </is>
      </c>
      <c r="AX22" s="233">
        <f>AX21*(Driver!J79-Driver!I79)*100</f>
        <v/>
      </c>
      <c r="AY22" s="233">
        <f>AY21*(Driver!K79-Driver!J79)*100</f>
        <v/>
      </c>
      <c r="AZ22" s="233">
        <f>AZ21*(Driver!L79-Driver!K79)*100</f>
        <v/>
      </c>
      <c r="BA22" s="233">
        <f>BA21*(Driver!M79-Driver!L79)*100</f>
        <v/>
      </c>
      <c r="BB22" s="233">
        <f>BB21*(Driver!N79-Driver!M79)*100</f>
        <v/>
      </c>
      <c r="BD22" s="231" t="inlineStr">
        <is>
          <t>Bottomline growth contribution</t>
        </is>
      </c>
      <c r="BG22" s="233">
        <f>BG21*(Driver!J78-Driver!I78)*100</f>
        <v/>
      </c>
      <c r="BH22" s="233">
        <f>BH21*(Driver!K78-Driver!J78)*100</f>
        <v/>
      </c>
      <c r="BI22" s="233">
        <f>BI21*(Driver!L78-Driver!K78)*100</f>
        <v/>
      </c>
      <c r="BJ22" s="233">
        <f>BJ21*(Driver!M78-Driver!L78)*100</f>
        <v/>
      </c>
      <c r="BK22" s="233">
        <f>BK21*(Driver!N78-Driver!M78)*100</f>
        <v/>
      </c>
    </row>
    <row r="24">
      <c r="B24" s="209" t="n"/>
      <c r="C24" s="209" t="n"/>
      <c r="D24" s="209" t="n"/>
      <c r="E24" s="568" t="n">
        <v>2025</v>
      </c>
      <c r="F24" s="568" t="n">
        <v>2026</v>
      </c>
      <c r="G24" s="568" t="n">
        <v>2027</v>
      </c>
      <c r="H24" s="568" t="n">
        <v>2028</v>
      </c>
      <c r="I24" s="568" t="n">
        <v>2029</v>
      </c>
      <c r="K24" s="209" t="n"/>
      <c r="L24" s="209" t="n"/>
      <c r="M24" s="209" t="n"/>
      <c r="N24" s="568" t="n">
        <v>2025</v>
      </c>
      <c r="O24" s="568" t="n">
        <v>2026</v>
      </c>
      <c r="P24" s="568" t="n">
        <v>2027</v>
      </c>
      <c r="Q24" s="568" t="n">
        <v>2028</v>
      </c>
      <c r="R24" s="568" t="n">
        <v>2029</v>
      </c>
      <c r="T24" s="209" t="n"/>
      <c r="U24" s="209" t="n"/>
      <c r="V24" s="209" t="n"/>
      <c r="W24" s="568" t="n">
        <v>2025</v>
      </c>
      <c r="X24" s="568" t="n">
        <v>2026</v>
      </c>
      <c r="Y24" s="568" t="n">
        <v>2027</v>
      </c>
      <c r="Z24" s="568" t="n">
        <v>2028</v>
      </c>
      <c r="AA24" s="568" t="n">
        <v>2029</v>
      </c>
      <c r="AC24" s="209" t="n"/>
      <c r="AD24" s="209" t="n"/>
      <c r="AE24" s="209" t="n"/>
      <c r="AF24" s="568" t="n">
        <v>2025</v>
      </c>
      <c r="AG24" s="568" t="n">
        <v>2026</v>
      </c>
      <c r="AH24" s="568" t="n">
        <v>2027</v>
      </c>
      <c r="AI24" s="568" t="n">
        <v>2028</v>
      </c>
      <c r="AJ24" s="568" t="n">
        <v>2029</v>
      </c>
      <c r="AL24" s="209" t="n"/>
      <c r="AM24" s="209" t="n"/>
      <c r="AN24" s="209" t="n"/>
      <c r="AO24" s="568" t="n">
        <v>2025</v>
      </c>
      <c r="AP24" s="568" t="n">
        <v>2026</v>
      </c>
      <c r="AQ24" s="568" t="n">
        <v>2027</v>
      </c>
      <c r="AR24" s="568" t="n">
        <v>2028</v>
      </c>
      <c r="AS24" s="568" t="n">
        <v>2029</v>
      </c>
      <c r="AU24" s="209" t="n"/>
      <c r="AV24" s="209" t="n"/>
      <c r="AW24" s="209" t="n"/>
      <c r="AX24" s="568" t="n">
        <v>2025</v>
      </c>
      <c r="AY24" s="568" t="n">
        <v>2026</v>
      </c>
      <c r="AZ24" s="568" t="n">
        <v>2027</v>
      </c>
      <c r="BA24" s="568" t="n">
        <v>2028</v>
      </c>
      <c r="BB24" s="568" t="n">
        <v>2029</v>
      </c>
      <c r="BD24" s="209" t="n"/>
      <c r="BE24" s="209" t="n"/>
      <c r="BF24" s="209" t="n"/>
      <c r="BG24" s="568" t="n">
        <v>2025</v>
      </c>
      <c r="BH24" s="568" t="n">
        <v>2026</v>
      </c>
      <c r="BI24" s="568" t="n">
        <v>2027</v>
      </c>
      <c r="BJ24" s="568" t="n">
        <v>2028</v>
      </c>
      <c r="BK24" s="568" t="n">
        <v>2029</v>
      </c>
    </row>
    <row r="25">
      <c r="B25" s="227" t="inlineStr">
        <is>
          <t>Gas Turbine</t>
        </is>
      </c>
      <c r="C25" s="228" t="inlineStr">
        <is>
          <t>Revenue YoY</t>
        </is>
      </c>
      <c r="D25" s="211" t="n"/>
      <c r="E25" s="229">
        <f>Driver!J18</f>
        <v/>
      </c>
      <c r="F25" s="229">
        <f>Driver!K18</f>
        <v/>
      </c>
      <c r="G25" s="229">
        <f>Driver!L18</f>
        <v/>
      </c>
      <c r="H25" s="229">
        <f>Driver!M18</f>
        <v/>
      </c>
      <c r="I25" s="229">
        <f>Driver!N18</f>
        <v/>
      </c>
      <c r="K25" s="227" t="inlineStr">
        <is>
          <t>Nuclear</t>
        </is>
      </c>
      <c r="L25" s="228" t="inlineStr">
        <is>
          <t>Revenue YoY</t>
        </is>
      </c>
      <c r="M25" s="211" t="n"/>
      <c r="N25" s="229">
        <f>Driver!J19</f>
        <v/>
      </c>
      <c r="O25" s="229">
        <f>Driver!K19</f>
        <v/>
      </c>
      <c r="P25" s="229">
        <f>Driver!L19</f>
        <v/>
      </c>
      <c r="Q25" s="229">
        <f>Driver!M19</f>
        <v/>
      </c>
      <c r="R25" s="229">
        <f>Driver!N19</f>
        <v/>
      </c>
      <c r="T25" s="227" t="inlineStr">
        <is>
          <t>Thermal</t>
        </is>
      </c>
      <c r="U25" s="228" t="inlineStr">
        <is>
          <t>Revenue YoY</t>
        </is>
      </c>
      <c r="V25" s="211" t="n"/>
      <c r="W25" s="229">
        <f>Driver!J20</f>
        <v/>
      </c>
      <c r="X25" s="229">
        <f>Driver!K20</f>
        <v/>
      </c>
      <c r="Y25" s="229">
        <f>Driver!L20</f>
        <v/>
      </c>
      <c r="Z25" s="229">
        <f>Driver!M20</f>
        <v/>
      </c>
      <c r="AA25" s="229">
        <f>Driver!N20</f>
        <v/>
      </c>
      <c r="AC25" s="227" t="inlineStr">
        <is>
          <t>Wind</t>
        </is>
      </c>
      <c r="AD25" s="228" t="inlineStr">
        <is>
          <t>Revenue YoY</t>
        </is>
      </c>
      <c r="AE25" s="211" t="n"/>
      <c r="AF25" s="229">
        <f>Driver!J21</f>
        <v/>
      </c>
      <c r="AG25" s="229">
        <f>Driver!K21</f>
        <v/>
      </c>
      <c r="AH25" s="229">
        <f>Driver!L21</f>
        <v/>
      </c>
      <c r="AI25" s="229">
        <f>Driver!M21</f>
        <v/>
      </c>
      <c r="AJ25" s="229">
        <f>Driver!N21</f>
        <v/>
      </c>
      <c r="AL25" s="227" t="inlineStr">
        <is>
          <t>Hydro</t>
        </is>
      </c>
      <c r="AM25" s="228" t="inlineStr">
        <is>
          <t>Revenue YoY</t>
        </is>
      </c>
      <c r="AN25" s="211" t="n"/>
      <c r="AO25" s="229">
        <f>Driver!J22</f>
        <v/>
      </c>
      <c r="AP25" s="229">
        <f>Driver!K22</f>
        <v/>
      </c>
      <c r="AQ25" s="229">
        <f>Driver!L22</f>
        <v/>
      </c>
      <c r="AR25" s="229">
        <f>Driver!M22</f>
        <v/>
      </c>
      <c r="AS25" s="229">
        <f>Driver!N22</f>
        <v/>
      </c>
      <c r="AU25" s="227" t="inlineStr">
        <is>
          <t>Others</t>
        </is>
      </c>
      <c r="AV25" s="228" t="inlineStr">
        <is>
          <t>Revenue YoY</t>
        </is>
      </c>
      <c r="AW25" s="211" t="n"/>
      <c r="AX25" s="229">
        <f>Driver!J24</f>
        <v/>
      </c>
      <c r="AY25" s="229">
        <f>Driver!K24</f>
        <v/>
      </c>
      <c r="AZ25" s="229">
        <f>Driver!L24</f>
        <v/>
      </c>
      <c r="BA25" s="229">
        <f>Driver!M24</f>
        <v/>
      </c>
      <c r="BB25" s="229">
        <f>Driver!N24</f>
        <v/>
      </c>
      <c r="BD25" s="227" t="inlineStr">
        <is>
          <t>O&amp;M (Modern manufacturing service industry)</t>
        </is>
      </c>
      <c r="BE25" s="228" t="inlineStr">
        <is>
          <t>Revenue YoY</t>
        </is>
      </c>
      <c r="BF25" s="211" t="n"/>
      <c r="BG25" s="229">
        <f>Driver!J23</f>
        <v/>
      </c>
      <c r="BH25" s="229">
        <f>Driver!K23</f>
        <v/>
      </c>
      <c r="BI25" s="229">
        <f>Driver!L23</f>
        <v/>
      </c>
      <c r="BJ25" s="229">
        <f>Driver!M23</f>
        <v/>
      </c>
      <c r="BK25" s="229">
        <f>Driver!N23</f>
        <v/>
      </c>
    </row>
    <row r="26">
      <c r="B26" s="212" t="inlineStr">
        <is>
          <t>Base case net income</t>
        </is>
      </c>
      <c r="C26" s="213" t="n"/>
      <c r="D26" s="213" t="n"/>
      <c r="E26" s="214">
        <f>E5</f>
        <v/>
      </c>
      <c r="F26" s="214">
        <f>F5</f>
        <v/>
      </c>
      <c r="G26" s="214">
        <f>G5</f>
        <v/>
      </c>
      <c r="H26" s="214">
        <f>H5</f>
        <v/>
      </c>
      <c r="I26" s="214">
        <f>I5</f>
        <v/>
      </c>
      <c r="K26" s="212" t="inlineStr">
        <is>
          <t>Base case net income</t>
        </is>
      </c>
      <c r="L26" s="213" t="n"/>
      <c r="M26" s="213" t="n"/>
      <c r="N26" s="214">
        <f>N5</f>
        <v/>
      </c>
      <c r="O26" s="214">
        <f>O5</f>
        <v/>
      </c>
      <c r="P26" s="214">
        <f>P5</f>
        <v/>
      </c>
      <c r="Q26" s="214">
        <f>Q5</f>
        <v/>
      </c>
      <c r="R26" s="214">
        <f>R5</f>
        <v/>
      </c>
      <c r="T26" s="212" t="inlineStr">
        <is>
          <t>Base case net income</t>
        </is>
      </c>
      <c r="U26" s="213" t="n"/>
      <c r="V26" s="213" t="n"/>
      <c r="W26" s="214">
        <f>W5</f>
        <v/>
      </c>
      <c r="X26" s="214">
        <f>X5</f>
        <v/>
      </c>
      <c r="Y26" s="214">
        <f>Y5</f>
        <v/>
      </c>
      <c r="Z26" s="214">
        <f>Z5</f>
        <v/>
      </c>
      <c r="AA26" s="214">
        <f>AA5</f>
        <v/>
      </c>
      <c r="AC26" s="212" t="inlineStr">
        <is>
          <t>Base case net income</t>
        </is>
      </c>
      <c r="AD26" s="213" t="n"/>
      <c r="AE26" s="213" t="n"/>
      <c r="AF26" s="214">
        <f>AF5</f>
        <v/>
      </c>
      <c r="AG26" s="214">
        <f>AG5</f>
        <v/>
      </c>
      <c r="AH26" s="214">
        <f>AH5</f>
        <v/>
      </c>
      <c r="AI26" s="214">
        <f>AI5</f>
        <v/>
      </c>
      <c r="AJ26" s="214">
        <f>AJ5</f>
        <v/>
      </c>
      <c r="AL26" s="212" t="inlineStr">
        <is>
          <t>Base case net income</t>
        </is>
      </c>
      <c r="AM26" s="213" t="n"/>
      <c r="AN26" s="213" t="n"/>
      <c r="AO26" s="214">
        <f>AO5</f>
        <v/>
      </c>
      <c r="AP26" s="214">
        <f>AP5</f>
        <v/>
      </c>
      <c r="AQ26" s="214">
        <f>AQ5</f>
        <v/>
      </c>
      <c r="AR26" s="214">
        <f>AR5</f>
        <v/>
      </c>
      <c r="AS26" s="214">
        <f>AS5</f>
        <v/>
      </c>
      <c r="AU26" s="212" t="inlineStr">
        <is>
          <t>Base case net income</t>
        </is>
      </c>
      <c r="AV26" s="213" t="n"/>
      <c r="AW26" s="213" t="n"/>
      <c r="AX26" s="214">
        <f>AX5</f>
        <v/>
      </c>
      <c r="AY26" s="214">
        <f>AY5</f>
        <v/>
      </c>
      <c r="AZ26" s="214">
        <f>AZ5</f>
        <v/>
      </c>
      <c r="BA26" s="214">
        <f>BA5</f>
        <v/>
      </c>
      <c r="BB26" s="214">
        <f>BB5</f>
        <v/>
      </c>
      <c r="BD26" s="212" t="inlineStr">
        <is>
          <t>Base case net income</t>
        </is>
      </c>
      <c r="BE26" s="213" t="n"/>
      <c r="BF26" s="213" t="n"/>
      <c r="BG26" s="214">
        <f>BG5</f>
        <v/>
      </c>
      <c r="BH26" s="214">
        <f>BH5</f>
        <v/>
      </c>
      <c r="BI26" s="214">
        <f>BI5</f>
        <v/>
      </c>
      <c r="BJ26" s="214">
        <f>BJ5</f>
        <v/>
      </c>
      <c r="BK26" s="214">
        <f>BK5</f>
        <v/>
      </c>
    </row>
    <row r="27">
      <c r="A27" s="139" t="n"/>
      <c r="B27" s="215" t="inlineStr">
        <is>
          <t>2025 bump</t>
        </is>
      </c>
      <c r="C27" s="209" t="n"/>
      <c r="D27" s="230" t="n">
        <v>0.1</v>
      </c>
      <c r="E27" s="214">
        <f t="dataTable" ref="E27:I27" dt2D="0" dtr="0" r1="A27" ca="1"/>
        <v/>
      </c>
      <c r="F27" s="220" t="n">
        <v>5737.674064159415</v>
      </c>
      <c r="G27" s="220" t="n">
        <v>8485.597137800496</v>
      </c>
      <c r="H27" s="220" t="n">
        <v>10905.77578016908</v>
      </c>
      <c r="I27" s="220" t="n">
        <v>13500.41684292954</v>
      </c>
      <c r="J27" s="139" t="n"/>
      <c r="K27" s="215" t="inlineStr">
        <is>
          <t>2025 bump</t>
        </is>
      </c>
      <c r="L27" s="209" t="n"/>
      <c r="M27" s="230" t="n">
        <v>0.1</v>
      </c>
      <c r="N27" s="214">
        <f t="dataTable" ref="N27:R27" dt2D="0" dtr="0" r1="J27" ca="1"/>
        <v/>
      </c>
      <c r="O27" s="220" t="n">
        <v>5807.872829800148</v>
      </c>
      <c r="P27" s="220" t="n">
        <v>8576.467442227633</v>
      </c>
      <c r="Q27" s="220" t="n">
        <v>11023.2511546047</v>
      </c>
      <c r="R27" s="220" t="n">
        <v>13652.08690793542</v>
      </c>
      <c r="S27" s="139" t="n"/>
      <c r="T27" s="215" t="inlineStr">
        <is>
          <t>2025 bump</t>
        </is>
      </c>
      <c r="U27" s="209" t="n"/>
      <c r="V27" s="230" t="n">
        <v>0.1</v>
      </c>
      <c r="W27" s="214">
        <f t="dataTable" ref="W27:AA27" dt2D="0" dtr="0" r1="S27" ca="1"/>
        <v/>
      </c>
      <c r="X27" s="220" t="n">
        <v>5848.048928982206</v>
      </c>
      <c r="Y27" s="220" t="n">
        <v>8601.765288321283</v>
      </c>
      <c r="Z27" s="220" t="n">
        <v>11028.02745949645</v>
      </c>
      <c r="AA27" s="220" t="n">
        <v>13629.05361128986</v>
      </c>
      <c r="AB27" s="139" t="n"/>
      <c r="AC27" s="215" t="inlineStr">
        <is>
          <t>2025 bump</t>
        </is>
      </c>
      <c r="AD27" s="209" t="n"/>
      <c r="AE27" s="230" t="n">
        <v>0.1</v>
      </c>
      <c r="AF27" s="214">
        <f t="dataTable" ref="AF27:AJ27" dt2D="0" dtr="0" r1="AB27" ca="1"/>
        <v/>
      </c>
      <c r="AG27" s="220" t="n">
        <v>5660.022344156526</v>
      </c>
      <c r="AH27" s="220" t="n">
        <v>8422.104205689542</v>
      </c>
      <c r="AI27" s="220" t="n">
        <v>10862.50724181403</v>
      </c>
      <c r="AJ27" s="220" t="n">
        <v>13484.97580017382</v>
      </c>
      <c r="AK27" s="139" t="n"/>
      <c r="AL27" s="215" t="inlineStr">
        <is>
          <t>2025 bump</t>
        </is>
      </c>
      <c r="AM27" s="209" t="n"/>
      <c r="AN27" s="230" t="n">
        <v>0.1</v>
      </c>
      <c r="AO27" s="214">
        <f t="dataTable" ref="AO27:AS27" dt2D="0" dtr="0" r1="AK27" ca="1"/>
        <v/>
      </c>
      <c r="AP27" s="220" t="n">
        <v>5758.411095025722</v>
      </c>
      <c r="AQ27" s="220" t="n">
        <v>8508.457022133638</v>
      </c>
      <c r="AR27" s="220" t="n">
        <v>10930.9708718678</v>
      </c>
      <c r="AS27" s="220" t="n">
        <v>13528.18009108117</v>
      </c>
      <c r="AT27" s="139" t="n"/>
      <c r="AU27" s="215" t="inlineStr">
        <is>
          <t>2025 bump</t>
        </is>
      </c>
      <c r="AV27" s="209" t="n"/>
      <c r="AW27" s="230" t="n">
        <v>0.1</v>
      </c>
      <c r="AX27" s="214">
        <f t="dataTable" ref="AX27:BB27" dt2D="0" dtr="0" r1="AT27" ca="1"/>
        <v/>
      </c>
      <c r="AY27" s="220" t="n">
        <v>5737.80778871916</v>
      </c>
      <c r="AZ27" s="220" t="n">
        <v>8485.708559398741</v>
      </c>
      <c r="BA27" s="220" t="n">
        <v>10905.87025492838</v>
      </c>
      <c r="BB27" s="220" t="n">
        <v>13500.49692730813</v>
      </c>
      <c r="BC27" s="139" t="n"/>
      <c r="BD27" s="215" t="inlineStr">
        <is>
          <t>2025 bump</t>
        </is>
      </c>
      <c r="BE27" s="209" t="n"/>
      <c r="BF27" s="230" t="n">
        <v>0.1</v>
      </c>
      <c r="BG27" s="214">
        <f t="dataTable" ref="BG27:BK27" dt2D="0" dtr="0" r1="BC27" ca="1"/>
        <v/>
      </c>
      <c r="BH27" s="220" t="n">
        <v>6014.599082818619</v>
      </c>
      <c r="BI27" s="220" t="n">
        <v>8833.020846185451</v>
      </c>
      <c r="BJ27" s="220" t="n">
        <v>11330.18217299252</v>
      </c>
      <c r="BK27" s="220" t="n">
        <v>14008.79465520239</v>
      </c>
    </row>
    <row r="28">
      <c r="B28" s="216" t="inlineStr">
        <is>
          <t>Delta vs base case</t>
        </is>
      </c>
      <c r="C28" s="209" t="n"/>
      <c r="D28" s="209" t="n"/>
      <c r="E28" s="569">
        <f>E27/E26-1</f>
        <v/>
      </c>
      <c r="F28" s="570">
        <f>F27/F26-1</f>
        <v/>
      </c>
      <c r="G28" s="570">
        <f>G27/G26-1</f>
        <v/>
      </c>
      <c r="H28" s="570">
        <f>H27/H26-1</f>
        <v/>
      </c>
      <c r="I28" s="570">
        <f>I27/I26-1</f>
        <v/>
      </c>
      <c r="K28" s="216" t="inlineStr">
        <is>
          <t>Delta vs base case</t>
        </is>
      </c>
      <c r="L28" s="209" t="n"/>
      <c r="M28" s="209" t="n"/>
      <c r="N28" s="569">
        <f>N27/N26-1</f>
        <v/>
      </c>
      <c r="O28" s="570">
        <f>O27/O26-1</f>
        <v/>
      </c>
      <c r="P28" s="570">
        <f>P27/P26-1</f>
        <v/>
      </c>
      <c r="Q28" s="570">
        <f>Q27/Q26-1</f>
        <v/>
      </c>
      <c r="R28" s="570">
        <f>R27/R26-1</f>
        <v/>
      </c>
      <c r="T28" s="216" t="inlineStr">
        <is>
          <t>Delta vs base case</t>
        </is>
      </c>
      <c r="U28" s="209" t="n"/>
      <c r="V28" s="209" t="n"/>
      <c r="W28" s="569">
        <f>W27/W26-1</f>
        <v/>
      </c>
      <c r="X28" s="570">
        <f>X27/X26-1</f>
        <v/>
      </c>
      <c r="Y28" s="570">
        <f>Y27/Y26-1</f>
        <v/>
      </c>
      <c r="Z28" s="570">
        <f>Z27/Z26-1</f>
        <v/>
      </c>
      <c r="AA28" s="570">
        <f>AA27/AA26-1</f>
        <v/>
      </c>
      <c r="AC28" s="216" t="inlineStr">
        <is>
          <t>Delta vs base case</t>
        </is>
      </c>
      <c r="AD28" s="209" t="n"/>
      <c r="AE28" s="209" t="n"/>
      <c r="AF28" s="569">
        <f>AF27/AF26-1</f>
        <v/>
      </c>
      <c r="AG28" s="570">
        <f>AG27/AG26-1</f>
        <v/>
      </c>
      <c r="AH28" s="570">
        <f>AH27/AH26-1</f>
        <v/>
      </c>
      <c r="AI28" s="570">
        <f>AI27/AI26-1</f>
        <v/>
      </c>
      <c r="AJ28" s="570">
        <f>AJ27/AJ26-1</f>
        <v/>
      </c>
      <c r="AL28" s="216" t="inlineStr">
        <is>
          <t>Delta vs base case</t>
        </is>
      </c>
      <c r="AM28" s="209" t="n"/>
      <c r="AN28" s="209" t="n"/>
      <c r="AO28" s="569">
        <f>AO27/AO26-1</f>
        <v/>
      </c>
      <c r="AP28" s="570">
        <f>AP27/AP26-1</f>
        <v/>
      </c>
      <c r="AQ28" s="570">
        <f>AQ27/AQ26-1</f>
        <v/>
      </c>
      <c r="AR28" s="570">
        <f>AR27/AR26-1</f>
        <v/>
      </c>
      <c r="AS28" s="570">
        <f>AS27/AS26-1</f>
        <v/>
      </c>
      <c r="AU28" s="216" t="inlineStr">
        <is>
          <t>Delta vs base case</t>
        </is>
      </c>
      <c r="AV28" s="209" t="n"/>
      <c r="AW28" s="209" t="n"/>
      <c r="AX28" s="569">
        <f>AX27/AX26-1</f>
        <v/>
      </c>
      <c r="AY28" s="570">
        <f>AY27/AY26-1</f>
        <v/>
      </c>
      <c r="AZ28" s="570">
        <f>AZ27/AZ26-1</f>
        <v/>
      </c>
      <c r="BA28" s="570">
        <f>BA27/BA26-1</f>
        <v/>
      </c>
      <c r="BB28" s="570">
        <f>BB27/BB26-1</f>
        <v/>
      </c>
      <c r="BD28" s="216" t="inlineStr">
        <is>
          <t>Delta vs base case</t>
        </is>
      </c>
      <c r="BE28" s="209" t="n"/>
      <c r="BF28" s="209" t="n"/>
      <c r="BG28" s="569">
        <f>BG27/BG26-1</f>
        <v/>
      </c>
      <c r="BH28" s="570">
        <f>BH27/BH26-1</f>
        <v/>
      </c>
      <c r="BI28" s="570">
        <f>BI27/BI26-1</f>
        <v/>
      </c>
      <c r="BJ28" s="570">
        <f>BJ27/BJ26-1</f>
        <v/>
      </c>
      <c r="BK28" s="570">
        <f>BK27/BK26-1</f>
        <v/>
      </c>
    </row>
    <row r="29">
      <c r="B29" s="216" t="n"/>
      <c r="C29" s="209" t="n"/>
      <c r="D29" s="209" t="n"/>
      <c r="E29" s="571">
        <f>E$5</f>
        <v/>
      </c>
      <c r="F29" s="571">
        <f>F$5</f>
        <v/>
      </c>
      <c r="G29" s="571">
        <f>G$5</f>
        <v/>
      </c>
      <c r="H29" s="571">
        <f>H$5</f>
        <v/>
      </c>
      <c r="I29" s="571">
        <f>I$5</f>
        <v/>
      </c>
      <c r="K29" s="216" t="n"/>
      <c r="L29" s="209" t="n"/>
      <c r="M29" s="209" t="n"/>
      <c r="N29" s="571">
        <f>N$5</f>
        <v/>
      </c>
      <c r="O29" s="571">
        <f>O$5</f>
        <v/>
      </c>
      <c r="P29" s="571">
        <f>P$5</f>
        <v/>
      </c>
      <c r="Q29" s="571">
        <f>Q$5</f>
        <v/>
      </c>
      <c r="R29" s="571">
        <f>R$5</f>
        <v/>
      </c>
      <c r="T29" s="216" t="n"/>
      <c r="U29" s="209" t="n"/>
      <c r="V29" s="209" t="n"/>
      <c r="W29" s="571">
        <f>W$5</f>
        <v/>
      </c>
      <c r="X29" s="571">
        <f>X$5</f>
        <v/>
      </c>
      <c r="Y29" s="571">
        <f>Y$5</f>
        <v/>
      </c>
      <c r="Z29" s="571">
        <f>Z$5</f>
        <v/>
      </c>
      <c r="AA29" s="571">
        <f>AA$5</f>
        <v/>
      </c>
      <c r="AC29" s="216" t="n"/>
      <c r="AD29" s="209" t="n"/>
      <c r="AE29" s="209" t="n"/>
      <c r="AF29" s="571">
        <f>AF$5</f>
        <v/>
      </c>
      <c r="AG29" s="571">
        <f>AG$5</f>
        <v/>
      </c>
      <c r="AH29" s="571">
        <f>AH$5</f>
        <v/>
      </c>
      <c r="AI29" s="571">
        <f>AI$5</f>
        <v/>
      </c>
      <c r="AJ29" s="571">
        <f>AJ$5</f>
        <v/>
      </c>
      <c r="AL29" s="216" t="n"/>
      <c r="AM29" s="209" t="n"/>
      <c r="AN29" s="209" t="n"/>
      <c r="AO29" s="571">
        <f>AO$5</f>
        <v/>
      </c>
      <c r="AP29" s="571">
        <f>AP$5</f>
        <v/>
      </c>
      <c r="AQ29" s="571">
        <f>AQ$5</f>
        <v/>
      </c>
      <c r="AR29" s="571">
        <f>AR$5</f>
        <v/>
      </c>
      <c r="AS29" s="571">
        <f>AS$5</f>
        <v/>
      </c>
      <c r="AU29" s="216" t="n"/>
      <c r="AV29" s="209" t="n"/>
      <c r="AW29" s="209" t="n"/>
      <c r="AX29" s="571">
        <f>AX$5</f>
        <v/>
      </c>
      <c r="AY29" s="571">
        <f>AY$5</f>
        <v/>
      </c>
      <c r="AZ29" s="571">
        <f>AZ$5</f>
        <v/>
      </c>
      <c r="BA29" s="571">
        <f>BA$5</f>
        <v/>
      </c>
      <c r="BB29" s="571">
        <f>BB$5</f>
        <v/>
      </c>
      <c r="BD29" s="216" t="n"/>
      <c r="BE29" s="209" t="n"/>
      <c r="BF29" s="209" t="n"/>
      <c r="BG29" s="571">
        <f>BG$5</f>
        <v/>
      </c>
      <c r="BH29" s="571">
        <f>BH$5</f>
        <v/>
      </c>
      <c r="BI29" s="571">
        <f>BI$5</f>
        <v/>
      </c>
      <c r="BJ29" s="571">
        <f>BJ$5</f>
        <v/>
      </c>
      <c r="BK29" s="571">
        <f>BK$5</f>
        <v/>
      </c>
    </row>
    <row r="30">
      <c r="A30" s="139" t="n"/>
      <c r="B30" s="215" t="inlineStr">
        <is>
          <t>2026 bump</t>
        </is>
      </c>
      <c r="C30" s="209" t="n"/>
      <c r="D30" s="230" t="n">
        <v>0.1</v>
      </c>
      <c r="E30" s="572">
        <f t="dataTable" ref="E30:I30" dt2D="0" dtr="0" r1="A30" ca="1"/>
        <v/>
      </c>
      <c r="F30" s="573" t="n">
        <v>5745.930547373993</v>
      </c>
      <c r="G30" s="573" t="n">
        <v>8609.484509017107</v>
      </c>
      <c r="H30" s="573" t="n">
        <v>11092.88815460088</v>
      </c>
      <c r="I30" s="573" t="n">
        <v>13739.05429361894</v>
      </c>
      <c r="J30" s="139" t="n"/>
      <c r="K30" s="215" t="inlineStr">
        <is>
          <t>2026 bump</t>
        </is>
      </c>
      <c r="L30" s="209" t="n"/>
      <c r="M30" s="230" t="n">
        <v>0.1</v>
      </c>
      <c r="N30" s="572">
        <f t="dataTable" ref="N30:R30" dt2D="0" dtr="0" r1="J30" ca="1"/>
        <v/>
      </c>
      <c r="O30" s="573" t="n">
        <v>5808.004933386643</v>
      </c>
      <c r="P30" s="573" t="n">
        <v>8576.326328450965</v>
      </c>
      <c r="Q30" s="573" t="n">
        <v>11023.10787914301</v>
      </c>
      <c r="R30" s="573" t="n">
        <v>13651.94235087582</v>
      </c>
      <c r="S30" s="139" t="n"/>
      <c r="T30" s="215" t="inlineStr">
        <is>
          <t>2026 bump</t>
        </is>
      </c>
      <c r="U30" s="209" t="n"/>
      <c r="V30" s="230" t="n">
        <v>0.1</v>
      </c>
      <c r="W30" s="572">
        <f t="dataTable" ref="W30:AA30" dt2D="0" dtr="0" r1="S30" ca="1"/>
        <v/>
      </c>
      <c r="X30" s="573" t="n">
        <v>5848.67402928897</v>
      </c>
      <c r="Y30" s="573" t="n">
        <v>8601.49074586443</v>
      </c>
      <c r="Z30" s="573" t="n">
        <v>11027.74629414897</v>
      </c>
      <c r="AA30" s="573" t="n">
        <v>13628.76871871469</v>
      </c>
      <c r="AB30" s="139" t="n"/>
      <c r="AC30" s="215" t="inlineStr">
        <is>
          <t>2026 bump</t>
        </is>
      </c>
      <c r="AD30" s="209" t="n"/>
      <c r="AE30" s="230" t="n">
        <v>0.1</v>
      </c>
      <c r="AF30" s="572">
        <f t="dataTable" ref="AF30:AJ30" dt2D="0" dtr="0" r1="AB30" ca="1"/>
        <v/>
      </c>
      <c r="AG30" s="573" t="n">
        <v>5640.134760042707</v>
      </c>
      <c r="AH30" s="573" t="n">
        <v>8405.145937525924</v>
      </c>
      <c r="AI30" s="573" t="n">
        <v>10851.05952797298</v>
      </c>
      <c r="AJ30" s="573" t="n">
        <v>13481.11520659708</v>
      </c>
      <c r="AK30" s="139" t="n"/>
      <c r="AL30" s="215" t="inlineStr">
        <is>
          <t>2026 bump</t>
        </is>
      </c>
      <c r="AM30" s="209" t="n"/>
      <c r="AN30" s="230" t="n">
        <v>0.1</v>
      </c>
      <c r="AO30" s="572">
        <f t="dataTable" ref="AO30:AS30" dt2D="0" dtr="0" r1="AK30" ca="1"/>
        <v/>
      </c>
      <c r="AP30" s="573" t="n">
        <v>5758.525787803062</v>
      </c>
      <c r="AQ30" s="573" t="n">
        <v>8508.407871753443</v>
      </c>
      <c r="AR30" s="573" t="n">
        <v>10930.92051753687</v>
      </c>
      <c r="AS30" s="573" t="n">
        <v>13528.1290601482</v>
      </c>
      <c r="AT30" s="139" t="n"/>
      <c r="AU30" s="215" t="inlineStr">
        <is>
          <t>2026 bump</t>
        </is>
      </c>
      <c r="AV30" s="209" t="n"/>
      <c r="AW30" s="230" t="n">
        <v>0.1</v>
      </c>
      <c r="AX30" s="572">
        <f t="dataTable" ref="AX30:BB30" dt2D="0" dtr="0" r1="AT30" ca="1"/>
        <v/>
      </c>
      <c r="AY30" s="573" t="n">
        <v>5738.771126417869</v>
      </c>
      <c r="AZ30" s="573" t="n">
        <v>8485.734874097039</v>
      </c>
      <c r="BA30" s="573" t="n">
        <v>10905.89048467905</v>
      </c>
      <c r="BB30" s="573" t="n">
        <v>13500.51408437023</v>
      </c>
      <c r="BC30" s="139" t="n"/>
      <c r="BD30" s="215" t="inlineStr">
        <is>
          <t>2026 bump</t>
        </is>
      </c>
      <c r="BE30" s="209" t="n"/>
      <c r="BF30" s="230" t="n">
        <v>0.1</v>
      </c>
      <c r="BG30" s="572">
        <f t="dataTable" ref="BG30:BK30" dt2D="0" dtr="0" r1="BC30" ca="1"/>
        <v/>
      </c>
      <c r="BH30" s="573" t="n">
        <v>6023.154339837705</v>
      </c>
      <c r="BI30" s="573" t="n">
        <v>8843.341197469003</v>
      </c>
      <c r="BJ30" s="573" t="n">
        <v>11342.92351449477</v>
      </c>
      <c r="BK30" s="573" t="n">
        <v>14024.17866650371</v>
      </c>
    </row>
    <row r="31">
      <c r="B31" s="216" t="inlineStr">
        <is>
          <t>Delta vs base case</t>
        </is>
      </c>
      <c r="C31" s="209" t="n"/>
      <c r="D31" s="209" t="n"/>
      <c r="E31" s="570">
        <f>E30/E29-1</f>
        <v/>
      </c>
      <c r="F31" s="569">
        <f>F30/F29-1</f>
        <v/>
      </c>
      <c r="G31" s="570">
        <f>G30/G29-1</f>
        <v/>
      </c>
      <c r="H31" s="570">
        <f>H30/H29-1</f>
        <v/>
      </c>
      <c r="I31" s="570">
        <f>I30/I29-1</f>
        <v/>
      </c>
      <c r="K31" s="216" t="inlineStr">
        <is>
          <t>Delta vs base case</t>
        </is>
      </c>
      <c r="L31" s="209" t="n"/>
      <c r="M31" s="209" t="n"/>
      <c r="N31" s="570">
        <f>N30/N29-1</f>
        <v/>
      </c>
      <c r="O31" s="569">
        <f>O30/O29-1</f>
        <v/>
      </c>
      <c r="P31" s="570">
        <f>P30/P29-1</f>
        <v/>
      </c>
      <c r="Q31" s="570">
        <f>Q30/Q29-1</f>
        <v/>
      </c>
      <c r="R31" s="570">
        <f>R30/R29-1</f>
        <v/>
      </c>
      <c r="T31" s="216" t="inlineStr">
        <is>
          <t>Delta vs base case</t>
        </is>
      </c>
      <c r="U31" s="209" t="n"/>
      <c r="V31" s="209" t="n"/>
      <c r="W31" s="570">
        <f>W30/W29-1</f>
        <v/>
      </c>
      <c r="X31" s="569">
        <f>X30/X29-1</f>
        <v/>
      </c>
      <c r="Y31" s="570">
        <f>Y30/Y29-1</f>
        <v/>
      </c>
      <c r="Z31" s="570">
        <f>Z30/Z29-1</f>
        <v/>
      </c>
      <c r="AA31" s="570">
        <f>AA30/AA29-1</f>
        <v/>
      </c>
      <c r="AC31" s="216" t="inlineStr">
        <is>
          <t>Delta vs base case</t>
        </is>
      </c>
      <c r="AD31" s="209" t="n"/>
      <c r="AE31" s="209" t="n"/>
      <c r="AF31" s="570">
        <f>AF30/AF29-1</f>
        <v/>
      </c>
      <c r="AG31" s="569">
        <f>AG30/AG29-1</f>
        <v/>
      </c>
      <c r="AH31" s="570">
        <f>AH30/AH29-1</f>
        <v/>
      </c>
      <c r="AI31" s="570">
        <f>AI30/AI29-1</f>
        <v/>
      </c>
      <c r="AJ31" s="570">
        <f>AJ30/AJ29-1</f>
        <v/>
      </c>
      <c r="AL31" s="216" t="inlineStr">
        <is>
          <t>Delta vs base case</t>
        </is>
      </c>
      <c r="AM31" s="209" t="n"/>
      <c r="AN31" s="209" t="n"/>
      <c r="AO31" s="570">
        <f>AO30/AO29-1</f>
        <v/>
      </c>
      <c r="AP31" s="569">
        <f>AP30/AP29-1</f>
        <v/>
      </c>
      <c r="AQ31" s="570">
        <f>AQ30/AQ29-1</f>
        <v/>
      </c>
      <c r="AR31" s="570">
        <f>AR30/AR29-1</f>
        <v/>
      </c>
      <c r="AS31" s="570">
        <f>AS30/AS29-1</f>
        <v/>
      </c>
      <c r="AU31" s="216" t="inlineStr">
        <is>
          <t>Delta vs base case</t>
        </is>
      </c>
      <c r="AV31" s="209" t="n"/>
      <c r="AW31" s="209" t="n"/>
      <c r="AX31" s="570">
        <f>AX30/AX29-1</f>
        <v/>
      </c>
      <c r="AY31" s="569">
        <f>AY30/AY29-1</f>
        <v/>
      </c>
      <c r="AZ31" s="570">
        <f>AZ30/AZ29-1</f>
        <v/>
      </c>
      <c r="BA31" s="570">
        <f>BA30/BA29-1</f>
        <v/>
      </c>
      <c r="BB31" s="570">
        <f>BB30/BB29-1</f>
        <v/>
      </c>
      <c r="BD31" s="216" t="inlineStr">
        <is>
          <t>Delta vs base case</t>
        </is>
      </c>
      <c r="BE31" s="209" t="n"/>
      <c r="BF31" s="209" t="n"/>
      <c r="BG31" s="570">
        <f>BG30/BG29-1</f>
        <v/>
      </c>
      <c r="BH31" s="569">
        <f>BH30/BH29-1</f>
        <v/>
      </c>
      <c r="BI31" s="570">
        <f>BI30/BI29-1</f>
        <v/>
      </c>
      <c r="BJ31" s="570">
        <f>BJ30/BJ29-1</f>
        <v/>
      </c>
      <c r="BK31" s="570">
        <f>BK30/BK29-1</f>
        <v/>
      </c>
    </row>
    <row r="32">
      <c r="B32" s="216" t="n"/>
      <c r="C32" s="209" t="n"/>
      <c r="D32" s="209" t="n"/>
      <c r="E32" s="571">
        <f>E$5</f>
        <v/>
      </c>
      <c r="F32" s="571">
        <f>F$5</f>
        <v/>
      </c>
      <c r="G32" s="571">
        <f>G$5</f>
        <v/>
      </c>
      <c r="H32" s="571">
        <f>H$5</f>
        <v/>
      </c>
      <c r="I32" s="571">
        <f>I$5</f>
        <v/>
      </c>
      <c r="K32" s="216" t="n"/>
      <c r="L32" s="209" t="n"/>
      <c r="M32" s="209" t="n"/>
      <c r="N32" s="571">
        <f>N$5</f>
        <v/>
      </c>
      <c r="O32" s="571">
        <f>O$5</f>
        <v/>
      </c>
      <c r="P32" s="571">
        <f>P$5</f>
        <v/>
      </c>
      <c r="Q32" s="571">
        <f>Q$5</f>
        <v/>
      </c>
      <c r="R32" s="571">
        <f>R$5</f>
        <v/>
      </c>
      <c r="T32" s="216" t="n"/>
      <c r="U32" s="209" t="n"/>
      <c r="V32" s="209" t="n"/>
      <c r="W32" s="571">
        <f>W$5</f>
        <v/>
      </c>
      <c r="X32" s="571">
        <f>X$5</f>
        <v/>
      </c>
      <c r="Y32" s="571">
        <f>Y$5</f>
        <v/>
      </c>
      <c r="Z32" s="571">
        <f>Z$5</f>
        <v/>
      </c>
      <c r="AA32" s="571">
        <f>AA$5</f>
        <v/>
      </c>
      <c r="AC32" s="216" t="n"/>
      <c r="AD32" s="209" t="n"/>
      <c r="AE32" s="209" t="n"/>
      <c r="AF32" s="571">
        <f>AF$5</f>
        <v/>
      </c>
      <c r="AG32" s="571">
        <f>AG$5</f>
        <v/>
      </c>
      <c r="AH32" s="571">
        <f>AH$5</f>
        <v/>
      </c>
      <c r="AI32" s="571">
        <f>AI$5</f>
        <v/>
      </c>
      <c r="AJ32" s="571">
        <f>AJ$5</f>
        <v/>
      </c>
      <c r="AL32" s="216" t="n"/>
      <c r="AM32" s="209" t="n"/>
      <c r="AN32" s="209" t="n"/>
      <c r="AO32" s="571">
        <f>AO$5</f>
        <v/>
      </c>
      <c r="AP32" s="571">
        <f>AP$5</f>
        <v/>
      </c>
      <c r="AQ32" s="571">
        <f>AQ$5</f>
        <v/>
      </c>
      <c r="AR32" s="571">
        <f>AR$5</f>
        <v/>
      </c>
      <c r="AS32" s="571">
        <f>AS$5</f>
        <v/>
      </c>
      <c r="AU32" s="216" t="n"/>
      <c r="AV32" s="209" t="n"/>
      <c r="AW32" s="209" t="n"/>
      <c r="AX32" s="571">
        <f>AX$5</f>
        <v/>
      </c>
      <c r="AY32" s="571">
        <f>AY$5</f>
        <v/>
      </c>
      <c r="AZ32" s="571">
        <f>AZ$5</f>
        <v/>
      </c>
      <c r="BA32" s="571">
        <f>BA$5</f>
        <v/>
      </c>
      <c r="BB32" s="571">
        <f>BB$5</f>
        <v/>
      </c>
      <c r="BD32" s="216" t="n"/>
      <c r="BE32" s="209" t="n"/>
      <c r="BF32" s="209" t="n"/>
      <c r="BG32" s="571">
        <f>BG$5</f>
        <v/>
      </c>
      <c r="BH32" s="571">
        <f>BH$5</f>
        <v/>
      </c>
      <c r="BI32" s="571">
        <f>BI$5</f>
        <v/>
      </c>
      <c r="BJ32" s="571">
        <f>BJ$5</f>
        <v/>
      </c>
      <c r="BK32" s="571">
        <f>BK$5</f>
        <v/>
      </c>
    </row>
    <row r="33">
      <c r="A33" s="139" t="n"/>
      <c r="B33" s="215" t="inlineStr">
        <is>
          <t>2027 bump</t>
        </is>
      </c>
      <c r="C33" s="209" t="n"/>
      <c r="D33" s="230" t="n">
        <v>0.1</v>
      </c>
      <c r="E33" s="572">
        <f t="dataTable" ref="E33:I33" dt2D="0" dtr="0" r1="A33" ca="1"/>
        <v/>
      </c>
      <c r="F33" s="573" t="n">
        <v>5737.674064159415</v>
      </c>
      <c r="G33" s="573" t="n">
        <v>8573.509986007366</v>
      </c>
      <c r="H33" s="573" t="n">
        <v>11038.09170291895</v>
      </c>
      <c r="I33" s="573" t="n">
        <v>13669.16835002636</v>
      </c>
      <c r="J33" s="139" t="n"/>
      <c r="K33" s="215" t="inlineStr">
        <is>
          <t>2027 bump</t>
        </is>
      </c>
      <c r="L33" s="209" t="n"/>
      <c r="M33" s="230" t="n">
        <v>0.1</v>
      </c>
      <c r="N33" s="572">
        <f t="dataTable" ref="N33:R33" dt2D="0" dtr="0" r1="J33" ca="1"/>
        <v/>
      </c>
      <c r="O33" s="573" t="n">
        <v>5737.674064159415</v>
      </c>
      <c r="P33" s="573" t="n">
        <v>8580.127346054669</v>
      </c>
      <c r="Q33" s="573" t="n">
        <v>11027.60726842723</v>
      </c>
      <c r="R33" s="573" t="n">
        <v>13657.80654556698</v>
      </c>
      <c r="S33" s="139" t="n"/>
      <c r="T33" s="215" t="inlineStr">
        <is>
          <t>2027 bump</t>
        </is>
      </c>
      <c r="U33" s="209" t="n"/>
      <c r="V33" s="230" t="n">
        <v>0.1</v>
      </c>
      <c r="W33" s="572">
        <f t="dataTable" ref="W33:AA33" dt2D="0" dtr="0" r1="S33" ca="1"/>
        <v/>
      </c>
      <c r="X33" s="573" t="n">
        <v>5737.674064159415</v>
      </c>
      <c r="Y33" s="573" t="n">
        <v>8602.147101186541</v>
      </c>
      <c r="Z33" s="573" t="n">
        <v>11027.46406863622</v>
      </c>
      <c r="AA33" s="573" t="n">
        <v>13628.47953633813</v>
      </c>
      <c r="AB33" s="139" t="n"/>
      <c r="AC33" s="215" t="inlineStr">
        <is>
          <t>2027 bump</t>
        </is>
      </c>
      <c r="AD33" s="209" t="n"/>
      <c r="AE33" s="230" t="n">
        <v>0.1</v>
      </c>
      <c r="AF33" s="572">
        <f t="dataTable" ref="AF33:AJ33" dt2D="0" dtr="0" r1="AB33" ca="1"/>
        <v/>
      </c>
      <c r="AG33" s="573" t="n">
        <v>5737.674064159415</v>
      </c>
      <c r="AH33" s="573" t="n">
        <v>8409.926399963384</v>
      </c>
      <c r="AI33" s="573" t="n">
        <v>10853.73145009592</v>
      </c>
      <c r="AJ33" s="573" t="n">
        <v>13482.24157580647</v>
      </c>
      <c r="AK33" s="139" t="n"/>
      <c r="AL33" s="215" t="inlineStr">
        <is>
          <t>2027 bump</t>
        </is>
      </c>
      <c r="AM33" s="209" t="n"/>
      <c r="AN33" s="230" t="n">
        <v>0.1</v>
      </c>
      <c r="AO33" s="572">
        <f t="dataTable" ref="AO33:AS33" dt2D="0" dtr="0" r1="AK33" ca="1"/>
        <v/>
      </c>
      <c r="AP33" s="573" t="n">
        <v>5737.674064159415</v>
      </c>
      <c r="AQ33" s="573" t="n">
        <v>8508.534033808517</v>
      </c>
      <c r="AR33" s="573" t="n">
        <v>10930.86758751733</v>
      </c>
      <c r="AS33" s="573" t="n">
        <v>13528.07480509556</v>
      </c>
      <c r="AT33" s="139" t="n"/>
      <c r="AU33" s="215" t="inlineStr">
        <is>
          <t>2027 bump</t>
        </is>
      </c>
      <c r="AV33" s="209" t="n"/>
      <c r="AW33" s="230" t="n">
        <v>0.1</v>
      </c>
      <c r="AX33" s="572">
        <f t="dataTable" ref="AX33:BB33" dt2D="0" dtr="0" r1="AT33" ca="1"/>
        <v/>
      </c>
      <c r="AY33" s="573" t="n">
        <v>5737.674064159415</v>
      </c>
      <c r="AZ33" s="573" t="n">
        <v>8486.727111926706</v>
      </c>
      <c r="BA33" s="573" t="n">
        <v>10905.91764855451</v>
      </c>
      <c r="BB33" s="573" t="n">
        <v>13500.5349270465</v>
      </c>
      <c r="BC33" s="139" t="n"/>
      <c r="BD33" s="215" t="inlineStr">
        <is>
          <t>2027 bump</t>
        </is>
      </c>
      <c r="BE33" s="209" t="n"/>
      <c r="BF33" s="230" t="n">
        <v>0.1</v>
      </c>
      <c r="BG33" s="572">
        <f t="dataTable" ref="BG33:BK33" dt2D="0" dtr="0" r1="BC33" ca="1"/>
        <v/>
      </c>
      <c r="BH33" s="573" t="n">
        <v>5737.674064159415</v>
      </c>
      <c r="BI33" s="573" t="n">
        <v>8849.822485718763</v>
      </c>
      <c r="BJ33" s="573" t="n">
        <v>11350.3153547345</v>
      </c>
      <c r="BK33" s="573" t="n">
        <v>14033.18736724693</v>
      </c>
    </row>
    <row r="34">
      <c r="B34" s="216" t="inlineStr">
        <is>
          <t>Delta vs base case</t>
        </is>
      </c>
      <c r="C34" s="209" t="n"/>
      <c r="D34" s="209" t="n"/>
      <c r="E34" s="570">
        <f>E33/E32-1</f>
        <v/>
      </c>
      <c r="F34" s="570">
        <f>F33/F32-1</f>
        <v/>
      </c>
      <c r="G34" s="569">
        <f>G33/G32-1</f>
        <v/>
      </c>
      <c r="H34" s="570">
        <f>H33/H32-1</f>
        <v/>
      </c>
      <c r="I34" s="570">
        <f>I33/I32-1</f>
        <v/>
      </c>
      <c r="K34" s="216" t="inlineStr">
        <is>
          <t>Delta vs base case</t>
        </is>
      </c>
      <c r="L34" s="209" t="n"/>
      <c r="M34" s="209" t="n"/>
      <c r="N34" s="570">
        <f>N33/N32-1</f>
        <v/>
      </c>
      <c r="O34" s="570">
        <f>O33/O32-1</f>
        <v/>
      </c>
      <c r="P34" s="569">
        <f>P33/P32-1</f>
        <v/>
      </c>
      <c r="Q34" s="570">
        <f>Q33/Q32-1</f>
        <v/>
      </c>
      <c r="R34" s="570">
        <f>R33/R32-1</f>
        <v/>
      </c>
      <c r="T34" s="216" t="inlineStr">
        <is>
          <t>Delta vs base case</t>
        </is>
      </c>
      <c r="U34" s="209" t="n"/>
      <c r="V34" s="209" t="n"/>
      <c r="W34" s="570">
        <f>W33/W32-1</f>
        <v/>
      </c>
      <c r="X34" s="570">
        <f>X33/X32-1</f>
        <v/>
      </c>
      <c r="Y34" s="569">
        <f>Y33/Y32-1</f>
        <v/>
      </c>
      <c r="Z34" s="570">
        <f>Z33/Z32-1</f>
        <v/>
      </c>
      <c r="AA34" s="570">
        <f>AA33/AA32-1</f>
        <v/>
      </c>
      <c r="AC34" s="216" t="inlineStr">
        <is>
          <t>Delta vs base case</t>
        </is>
      </c>
      <c r="AD34" s="209" t="n"/>
      <c r="AE34" s="209" t="n"/>
      <c r="AF34" s="570">
        <f>AF33/AF32-1</f>
        <v/>
      </c>
      <c r="AG34" s="570">
        <f>AG33/AG32-1</f>
        <v/>
      </c>
      <c r="AH34" s="569">
        <f>AH33/AH32-1</f>
        <v/>
      </c>
      <c r="AI34" s="570">
        <f>AI33/AI32-1</f>
        <v/>
      </c>
      <c r="AJ34" s="570">
        <f>AJ33/AJ32-1</f>
        <v/>
      </c>
      <c r="AL34" s="216" t="inlineStr">
        <is>
          <t>Delta vs base case</t>
        </is>
      </c>
      <c r="AM34" s="209" t="n"/>
      <c r="AN34" s="209" t="n"/>
      <c r="AO34" s="570">
        <f>AO33/AO32-1</f>
        <v/>
      </c>
      <c r="AP34" s="570">
        <f>AP33/AP32-1</f>
        <v/>
      </c>
      <c r="AQ34" s="569">
        <f>AQ33/AQ32-1</f>
        <v/>
      </c>
      <c r="AR34" s="570">
        <f>AR33/AR32-1</f>
        <v/>
      </c>
      <c r="AS34" s="570">
        <f>AS33/AS32-1</f>
        <v/>
      </c>
      <c r="AU34" s="216" t="inlineStr">
        <is>
          <t>Delta vs base case</t>
        </is>
      </c>
      <c r="AV34" s="209" t="n"/>
      <c r="AW34" s="209" t="n"/>
      <c r="AX34" s="570">
        <f>AX33/AX32-1</f>
        <v/>
      </c>
      <c r="AY34" s="570">
        <f>AY33/AY32-1</f>
        <v/>
      </c>
      <c r="AZ34" s="569">
        <f>AZ33/AZ32-1</f>
        <v/>
      </c>
      <c r="BA34" s="570">
        <f>BA33/BA32-1</f>
        <v/>
      </c>
      <c r="BB34" s="570">
        <f>BB33/BB32-1</f>
        <v/>
      </c>
      <c r="BD34" s="216" t="inlineStr">
        <is>
          <t>Delta vs base case</t>
        </is>
      </c>
      <c r="BE34" s="209" t="n"/>
      <c r="BF34" s="209" t="n"/>
      <c r="BG34" s="570">
        <f>BG33/BG32-1</f>
        <v/>
      </c>
      <c r="BH34" s="570">
        <f>BH33/BH32-1</f>
        <v/>
      </c>
      <c r="BI34" s="569">
        <f>BI33/BI32-1</f>
        <v/>
      </c>
      <c r="BJ34" s="570">
        <f>BJ33/BJ32-1</f>
        <v/>
      </c>
      <c r="BK34" s="570">
        <f>BK33/BK32-1</f>
        <v/>
      </c>
    </row>
    <row r="35">
      <c r="B35" s="216" t="n"/>
      <c r="C35" s="209" t="n"/>
      <c r="D35" s="209" t="n"/>
      <c r="E35" s="571">
        <f>E$5</f>
        <v/>
      </c>
      <c r="F35" s="571">
        <f>F$5</f>
        <v/>
      </c>
      <c r="G35" s="571">
        <f>G$5</f>
        <v/>
      </c>
      <c r="H35" s="571">
        <f>H$5</f>
        <v/>
      </c>
      <c r="I35" s="571">
        <f>I$5</f>
        <v/>
      </c>
      <c r="K35" s="216" t="n"/>
      <c r="L35" s="209" t="n"/>
      <c r="M35" s="209" t="n"/>
      <c r="N35" s="571">
        <f>N$5</f>
        <v/>
      </c>
      <c r="O35" s="571">
        <f>O$5</f>
        <v/>
      </c>
      <c r="P35" s="571">
        <f>P$5</f>
        <v/>
      </c>
      <c r="Q35" s="571">
        <f>Q$5</f>
        <v/>
      </c>
      <c r="R35" s="571">
        <f>R$5</f>
        <v/>
      </c>
      <c r="T35" s="216" t="n"/>
      <c r="U35" s="209" t="n"/>
      <c r="V35" s="209" t="n"/>
      <c r="W35" s="571">
        <f>W$5</f>
        <v/>
      </c>
      <c r="X35" s="571">
        <f>X$5</f>
        <v/>
      </c>
      <c r="Y35" s="571">
        <f>Y$5</f>
        <v/>
      </c>
      <c r="Z35" s="571">
        <f>Z$5</f>
        <v/>
      </c>
      <c r="AA35" s="571">
        <f>AA$5</f>
        <v/>
      </c>
      <c r="AC35" s="216" t="n"/>
      <c r="AD35" s="209" t="n"/>
      <c r="AE35" s="209" t="n"/>
      <c r="AF35" s="571">
        <f>AF$5</f>
        <v/>
      </c>
      <c r="AG35" s="571">
        <f>AG$5</f>
        <v/>
      </c>
      <c r="AH35" s="571">
        <f>AH$5</f>
        <v/>
      </c>
      <c r="AI35" s="571">
        <f>AI$5</f>
        <v/>
      </c>
      <c r="AJ35" s="571">
        <f>AJ$5</f>
        <v/>
      </c>
      <c r="AL35" s="216" t="n"/>
      <c r="AM35" s="209" t="n"/>
      <c r="AN35" s="209" t="n"/>
      <c r="AO35" s="571">
        <f>AO$5</f>
        <v/>
      </c>
      <c r="AP35" s="571">
        <f>AP$5</f>
        <v/>
      </c>
      <c r="AQ35" s="571">
        <f>AQ$5</f>
        <v/>
      </c>
      <c r="AR35" s="571">
        <f>AR$5</f>
        <v/>
      </c>
      <c r="AS35" s="571">
        <f>AS$5</f>
        <v/>
      </c>
      <c r="AU35" s="216" t="n"/>
      <c r="AV35" s="209" t="n"/>
      <c r="AW35" s="209" t="n"/>
      <c r="AX35" s="571">
        <f>AX$5</f>
        <v/>
      </c>
      <c r="AY35" s="571">
        <f>AY$5</f>
        <v/>
      </c>
      <c r="AZ35" s="571">
        <f>AZ$5</f>
        <v/>
      </c>
      <c r="BA35" s="571">
        <f>BA$5</f>
        <v/>
      </c>
      <c r="BB35" s="571">
        <f>BB$5</f>
        <v/>
      </c>
      <c r="BD35" s="216" t="n"/>
      <c r="BE35" s="209" t="n"/>
      <c r="BF35" s="209" t="n"/>
      <c r="BG35" s="571">
        <f>BG$5</f>
        <v/>
      </c>
      <c r="BH35" s="571">
        <f>BH$5</f>
        <v/>
      </c>
      <c r="BI35" s="571">
        <f>BI$5</f>
        <v/>
      </c>
      <c r="BJ35" s="571">
        <f>BJ$5</f>
        <v/>
      </c>
      <c r="BK35" s="571">
        <f>BK$5</f>
        <v/>
      </c>
    </row>
    <row r="36">
      <c r="A36" s="139" t="n"/>
      <c r="B36" s="215" t="inlineStr">
        <is>
          <t>2028 bump</t>
        </is>
      </c>
      <c r="C36" s="209" t="n"/>
      <c r="D36" s="230" t="n">
        <v>0.1</v>
      </c>
      <c r="E36" s="572">
        <f t="dataTable" ref="E36:I36" dt2D="0" dtr="0" r1="A36" ca="1"/>
        <v/>
      </c>
      <c r="F36" s="573" t="n">
        <v>5737.674064159415</v>
      </c>
      <c r="G36" s="573" t="n">
        <v>8485.597137800496</v>
      </c>
      <c r="H36" s="573" t="n">
        <v>11075.198956237</v>
      </c>
      <c r="I36" s="573" t="n">
        <v>13715.7886061168</v>
      </c>
      <c r="J36" s="139" t="n"/>
      <c r="K36" s="215" t="inlineStr">
        <is>
          <t>2028 bump</t>
        </is>
      </c>
      <c r="L36" s="209" t="n"/>
      <c r="M36" s="230" t="n">
        <v>0.1</v>
      </c>
      <c r="N36" s="572">
        <f t="dataTable" ref="N36:R36" dt2D="0" dtr="0" r1="J36" ca="1"/>
        <v/>
      </c>
      <c r="O36" s="573" t="n">
        <v>5737.674064159415</v>
      </c>
      <c r="P36" s="573" t="n">
        <v>8485.597137800496</v>
      </c>
      <c r="Q36" s="573" t="n">
        <v>11027.81363831029</v>
      </c>
      <c r="R36" s="573" t="n">
        <v>13657.56062876789</v>
      </c>
      <c r="S36" s="139" t="n"/>
      <c r="T36" s="215" t="inlineStr">
        <is>
          <t>2028 bump</t>
        </is>
      </c>
      <c r="U36" s="209" t="n"/>
      <c r="V36" s="230" t="n">
        <v>0.1</v>
      </c>
      <c r="W36" s="572">
        <f t="dataTable" ref="W36:AA36" dt2D="0" dtr="0" r1="S36" ca="1"/>
        <v/>
      </c>
      <c r="X36" s="573" t="n">
        <v>5737.674064159415</v>
      </c>
      <c r="Y36" s="573" t="n">
        <v>8485.597137800496</v>
      </c>
      <c r="Z36" s="573" t="n">
        <v>11028.15324172443</v>
      </c>
      <c r="AA36" s="573" t="n">
        <v>13628.18954582003</v>
      </c>
      <c r="AB36" s="139" t="n"/>
      <c r="AC36" s="215" t="inlineStr">
        <is>
          <t>2028 bump</t>
        </is>
      </c>
      <c r="AD36" s="209" t="n"/>
      <c r="AE36" s="230" t="n">
        <v>0.1</v>
      </c>
      <c r="AF36" s="572">
        <f t="dataTable" ref="AF36:AJ36" dt2D="0" dtr="0" r1="AB36" ca="1"/>
        <v/>
      </c>
      <c r="AG36" s="573" t="n">
        <v>5737.674064159415</v>
      </c>
      <c r="AH36" s="573" t="n">
        <v>8485.597137800496</v>
      </c>
      <c r="AI36" s="573" t="n">
        <v>10855.12030285138</v>
      </c>
      <c r="AJ36" s="573" t="n">
        <v>13482.48565210859</v>
      </c>
      <c r="AK36" s="139" t="n"/>
      <c r="AL36" s="215" t="inlineStr">
        <is>
          <t>2028 bump</t>
        </is>
      </c>
      <c r="AM36" s="209" t="n"/>
      <c r="AN36" s="230" t="n">
        <v>0.1</v>
      </c>
      <c r="AO36" s="572">
        <f t="dataTable" ref="AO36:AS36" dt2D="0" dtr="0" r1="AK36" ca="1"/>
        <v/>
      </c>
      <c r="AP36" s="573" t="n">
        <v>5737.674064159415</v>
      </c>
      <c r="AQ36" s="573" t="n">
        <v>8485.597137800496</v>
      </c>
      <c r="AR36" s="573" t="n">
        <v>10931.00636577791</v>
      </c>
      <c r="AS36" s="573" t="n">
        <v>13528.01783101261</v>
      </c>
      <c r="AT36" s="139" t="n"/>
      <c r="AU36" s="215" t="inlineStr">
        <is>
          <t>2028 bump</t>
        </is>
      </c>
      <c r="AV36" s="209" t="n"/>
      <c r="AW36" s="230" t="n">
        <v>0.1</v>
      </c>
      <c r="AX36" s="572">
        <f t="dataTable" ref="AX36:BB36" dt2D="0" dtr="0" r1="AT36" ca="1"/>
        <v/>
      </c>
      <c r="AY36" s="573" t="n">
        <v>5737.674064159415</v>
      </c>
      <c r="AZ36" s="573" t="n">
        <v>8485.597137800496</v>
      </c>
      <c r="BA36" s="573" t="n">
        <v>10906.93965351908</v>
      </c>
      <c r="BB36" s="573" t="n">
        <v>13500.56296736653</v>
      </c>
      <c r="BC36" s="139" t="n"/>
      <c r="BD36" s="215" t="inlineStr">
        <is>
          <t>2028 bump</t>
        </is>
      </c>
      <c r="BE36" s="209" t="n"/>
      <c r="BF36" s="230" t="n">
        <v>0.1</v>
      </c>
      <c r="BG36" s="572">
        <f t="dataTable" ref="BG36:BK36" dt2D="0" dtr="0" r1="BC36" ca="1"/>
        <v/>
      </c>
      <c r="BH36" s="573" t="n">
        <v>5737.674064159415</v>
      </c>
      <c r="BI36" s="573" t="n">
        <v>8485.597137800496</v>
      </c>
      <c r="BJ36" s="573" t="n">
        <v>11361.92054582521</v>
      </c>
      <c r="BK36" s="573" t="n">
        <v>14046.43065118894</v>
      </c>
    </row>
    <row r="37">
      <c r="B37" s="216" t="inlineStr">
        <is>
          <t>Delta vs base case</t>
        </is>
      </c>
      <c r="C37" s="209" t="n"/>
      <c r="D37" s="209" t="n"/>
      <c r="E37" s="570">
        <f>E36/E35-1</f>
        <v/>
      </c>
      <c r="F37" s="570">
        <f>F36/F35-1</f>
        <v/>
      </c>
      <c r="G37" s="570">
        <f>G36/G35-1</f>
        <v/>
      </c>
      <c r="H37" s="569">
        <f>H36/H35-1</f>
        <v/>
      </c>
      <c r="I37" s="570">
        <f>I36/I35-1</f>
        <v/>
      </c>
      <c r="K37" s="216" t="inlineStr">
        <is>
          <t>Delta vs base case</t>
        </is>
      </c>
      <c r="L37" s="209" t="n"/>
      <c r="M37" s="209" t="n"/>
      <c r="N37" s="570">
        <f>N36/N35-1</f>
        <v/>
      </c>
      <c r="O37" s="570">
        <f>O36/O35-1</f>
        <v/>
      </c>
      <c r="P37" s="570">
        <f>P36/P35-1</f>
        <v/>
      </c>
      <c r="Q37" s="569">
        <f>Q36/Q35-1</f>
        <v/>
      </c>
      <c r="R37" s="570">
        <f>R36/R35-1</f>
        <v/>
      </c>
      <c r="T37" s="216" t="inlineStr">
        <is>
          <t>Delta vs base case</t>
        </is>
      </c>
      <c r="U37" s="209" t="n"/>
      <c r="V37" s="209" t="n"/>
      <c r="W37" s="570">
        <f>W36/W35-1</f>
        <v/>
      </c>
      <c r="X37" s="570">
        <f>X36/X35-1</f>
        <v/>
      </c>
      <c r="Y37" s="570">
        <f>Y36/Y35-1</f>
        <v/>
      </c>
      <c r="Z37" s="569">
        <f>Z36/Z35-1</f>
        <v/>
      </c>
      <c r="AA37" s="570">
        <f>AA36/AA35-1</f>
        <v/>
      </c>
      <c r="AC37" s="216" t="inlineStr">
        <is>
          <t>Delta vs base case</t>
        </is>
      </c>
      <c r="AD37" s="209" t="n"/>
      <c r="AE37" s="209" t="n"/>
      <c r="AF37" s="570">
        <f>AF36/AF35-1</f>
        <v/>
      </c>
      <c r="AG37" s="570">
        <f>AG36/AG35-1</f>
        <v/>
      </c>
      <c r="AH37" s="570">
        <f>AH36/AH35-1</f>
        <v/>
      </c>
      <c r="AI37" s="569">
        <f>AI36/AI35-1</f>
        <v/>
      </c>
      <c r="AJ37" s="570">
        <f>AJ36/AJ35-1</f>
        <v/>
      </c>
      <c r="AL37" s="216" t="inlineStr">
        <is>
          <t>Delta vs base case</t>
        </is>
      </c>
      <c r="AM37" s="209" t="n"/>
      <c r="AN37" s="209" t="n"/>
      <c r="AO37" s="570">
        <f>AO36/AO35-1</f>
        <v/>
      </c>
      <c r="AP37" s="570">
        <f>AP36/AP35-1</f>
        <v/>
      </c>
      <c r="AQ37" s="570">
        <f>AQ36/AQ35-1</f>
        <v/>
      </c>
      <c r="AR37" s="569">
        <f>AR36/AR35-1</f>
        <v/>
      </c>
      <c r="AS37" s="570">
        <f>AS36/AS35-1</f>
        <v/>
      </c>
      <c r="AU37" s="216" t="inlineStr">
        <is>
          <t>Delta vs base case</t>
        </is>
      </c>
      <c r="AV37" s="209" t="n"/>
      <c r="AW37" s="209" t="n"/>
      <c r="AX37" s="570">
        <f>AX36/AX35-1</f>
        <v/>
      </c>
      <c r="AY37" s="570">
        <f>AY36/AY35-1</f>
        <v/>
      </c>
      <c r="AZ37" s="570">
        <f>AZ36/AZ35-1</f>
        <v/>
      </c>
      <c r="BA37" s="569">
        <f>BA36/BA35-1</f>
        <v/>
      </c>
      <c r="BB37" s="570">
        <f>BB36/BB35-1</f>
        <v/>
      </c>
      <c r="BD37" s="216" t="inlineStr">
        <is>
          <t>Delta vs base case</t>
        </is>
      </c>
      <c r="BE37" s="209" t="n"/>
      <c r="BF37" s="209" t="n"/>
      <c r="BG37" s="570">
        <f>BG36/BG35-1</f>
        <v/>
      </c>
      <c r="BH37" s="570">
        <f>BH36/BH35-1</f>
        <v/>
      </c>
      <c r="BI37" s="570">
        <f>BI36/BI35-1</f>
        <v/>
      </c>
      <c r="BJ37" s="569">
        <f>BJ36/BJ35-1</f>
        <v/>
      </c>
      <c r="BK37" s="570">
        <f>BK36/BK35-1</f>
        <v/>
      </c>
    </row>
    <row r="38">
      <c r="B38" s="216" t="n"/>
      <c r="C38" s="209" t="n"/>
      <c r="D38" s="209" t="n"/>
      <c r="E38" s="571">
        <f>E$5</f>
        <v/>
      </c>
      <c r="F38" s="571">
        <f>F$5</f>
        <v/>
      </c>
      <c r="G38" s="571">
        <f>G$5</f>
        <v/>
      </c>
      <c r="H38" s="571">
        <f>H$5</f>
        <v/>
      </c>
      <c r="I38" s="571">
        <f>I$5</f>
        <v/>
      </c>
      <c r="K38" s="216" t="n"/>
      <c r="L38" s="209" t="n"/>
      <c r="M38" s="209" t="n"/>
      <c r="N38" s="571">
        <f>N$5</f>
        <v/>
      </c>
      <c r="O38" s="571">
        <f>O$5</f>
        <v/>
      </c>
      <c r="P38" s="571">
        <f>P$5</f>
        <v/>
      </c>
      <c r="Q38" s="571">
        <f>Q$5</f>
        <v/>
      </c>
      <c r="R38" s="571">
        <f>R$5</f>
        <v/>
      </c>
      <c r="T38" s="216" t="n"/>
      <c r="U38" s="209" t="n"/>
      <c r="V38" s="209" t="n"/>
      <c r="W38" s="571">
        <f>W$5</f>
        <v/>
      </c>
      <c r="X38" s="571">
        <f>X$5</f>
        <v/>
      </c>
      <c r="Y38" s="571">
        <f>Y$5</f>
        <v/>
      </c>
      <c r="Z38" s="571">
        <f>Z$5</f>
        <v/>
      </c>
      <c r="AA38" s="571">
        <f>AA$5</f>
        <v/>
      </c>
      <c r="AC38" s="216" t="n"/>
      <c r="AD38" s="209" t="n"/>
      <c r="AE38" s="209" t="n"/>
      <c r="AF38" s="571">
        <f>AF$5</f>
        <v/>
      </c>
      <c r="AG38" s="571">
        <f>AG$5</f>
        <v/>
      </c>
      <c r="AH38" s="571">
        <f>AH$5</f>
        <v/>
      </c>
      <c r="AI38" s="571">
        <f>AI$5</f>
        <v/>
      </c>
      <c r="AJ38" s="571">
        <f>AJ$5</f>
        <v/>
      </c>
      <c r="AL38" s="216" t="n"/>
      <c r="AM38" s="209" t="n"/>
      <c r="AN38" s="209" t="n"/>
      <c r="AO38" s="571">
        <f>AO$5</f>
        <v/>
      </c>
      <c r="AP38" s="571">
        <f>AP$5</f>
        <v/>
      </c>
      <c r="AQ38" s="571">
        <f>AQ$5</f>
        <v/>
      </c>
      <c r="AR38" s="571">
        <f>AR$5</f>
        <v/>
      </c>
      <c r="AS38" s="571">
        <f>AS$5</f>
        <v/>
      </c>
      <c r="AU38" s="216" t="n"/>
      <c r="AV38" s="209" t="n"/>
      <c r="AW38" s="209" t="n"/>
      <c r="AX38" s="571">
        <f>AX$5</f>
        <v/>
      </c>
      <c r="AY38" s="571">
        <f>AY$5</f>
        <v/>
      </c>
      <c r="AZ38" s="571">
        <f>AZ$5</f>
        <v/>
      </c>
      <c r="BA38" s="571">
        <f>BA$5</f>
        <v/>
      </c>
      <c r="BB38" s="571">
        <f>BB$5</f>
        <v/>
      </c>
      <c r="BD38" s="216" t="n"/>
      <c r="BE38" s="209" t="n"/>
      <c r="BF38" s="209" t="n"/>
      <c r="BG38" s="571">
        <f>BG$5</f>
        <v/>
      </c>
      <c r="BH38" s="571">
        <f>BH$5</f>
        <v/>
      </c>
      <c r="BI38" s="571">
        <f>BI$5</f>
        <v/>
      </c>
      <c r="BJ38" s="571">
        <f>BJ$5</f>
        <v/>
      </c>
      <c r="BK38" s="571">
        <f>BK$5</f>
        <v/>
      </c>
    </row>
    <row r="39">
      <c r="A39" s="139" t="n"/>
      <c r="B39" s="215" t="inlineStr">
        <is>
          <t>2029 bump</t>
        </is>
      </c>
      <c r="C39" s="209" t="n"/>
      <c r="D39" s="230" t="n">
        <v>0.1</v>
      </c>
      <c r="E39" s="572">
        <f t="dataTable" ref="E39:I39" dt2D="0" dtr="0" r1="A39" ca="1"/>
        <v/>
      </c>
      <c r="F39" s="573" t="n">
        <v>5737.674064159415</v>
      </c>
      <c r="G39" s="573" t="n">
        <v>8485.597137800496</v>
      </c>
      <c r="H39" s="573" t="n">
        <v>10905.77578016908</v>
      </c>
      <c r="I39" s="573" t="n">
        <v>13727.86843780416</v>
      </c>
      <c r="J39" s="139" t="n"/>
      <c r="K39" s="215" t="inlineStr">
        <is>
          <t>2029 bump</t>
        </is>
      </c>
      <c r="L39" s="209" t="n"/>
      <c r="M39" s="230" t="n">
        <v>0.1</v>
      </c>
      <c r="N39" s="572">
        <f t="dataTable" ref="N39:R39" dt2D="0" dtr="0" r1="J39" ca="1"/>
        <v/>
      </c>
      <c r="O39" s="573" t="n">
        <v>5737.674064159415</v>
      </c>
      <c r="P39" s="573" t="n">
        <v>8485.597137800496</v>
      </c>
      <c r="Q39" s="573" t="n">
        <v>10905.77578016908</v>
      </c>
      <c r="R39" s="573" t="n">
        <v>13657.80803788538</v>
      </c>
      <c r="S39" s="139" t="n"/>
      <c r="T39" s="215" t="inlineStr">
        <is>
          <t>2029 bump</t>
        </is>
      </c>
      <c r="U39" s="209" t="n"/>
      <c r="V39" s="230" t="n">
        <v>0.1</v>
      </c>
      <c r="W39" s="572">
        <f t="dataTable" ref="W39:AA39" dt2D="0" dtr="0" r1="S39" ca="1"/>
        <v/>
      </c>
      <c r="X39" s="573" t="n">
        <v>5737.674064159415</v>
      </c>
      <c r="Y39" s="573" t="n">
        <v>8485.597137800496</v>
      </c>
      <c r="Z39" s="573" t="n">
        <v>10905.77578016908</v>
      </c>
      <c r="AA39" s="573" t="n">
        <v>13628.91317756265</v>
      </c>
      <c r="AB39" s="139" t="n"/>
      <c r="AC39" s="215" t="inlineStr">
        <is>
          <t>2029 bump</t>
        </is>
      </c>
      <c r="AD39" s="209" t="n"/>
      <c r="AE39" s="230" t="n">
        <v>0.1</v>
      </c>
      <c r="AF39" s="572">
        <f t="dataTable" ref="AF39:AJ39" dt2D="0" dtr="0" r1="AB39" ca="1"/>
        <v/>
      </c>
      <c r="AG39" s="573" t="n">
        <v>5737.674064159415</v>
      </c>
      <c r="AH39" s="573" t="n">
        <v>8485.597137800496</v>
      </c>
      <c r="AI39" s="573" t="n">
        <v>10905.77578016908</v>
      </c>
      <c r="AJ39" s="573" t="n">
        <v>13483.98379588838</v>
      </c>
      <c r="AK39" s="139" t="n"/>
      <c r="AL39" s="215" t="inlineStr">
        <is>
          <t>2029 bump</t>
        </is>
      </c>
      <c r="AM39" s="209" t="n"/>
      <c r="AN39" s="230" t="n">
        <v>0.1</v>
      </c>
      <c r="AO39" s="572">
        <f t="dataTable" ref="AO39:AS39" dt2D="0" dtr="0" r1="AK39" ca="1"/>
        <v/>
      </c>
      <c r="AP39" s="573" t="n">
        <v>5737.674064159415</v>
      </c>
      <c r="AQ39" s="573" t="n">
        <v>8485.597137800496</v>
      </c>
      <c r="AR39" s="573" t="n">
        <v>10905.77578016908</v>
      </c>
      <c r="AS39" s="573" t="n">
        <v>13528.17048709925</v>
      </c>
      <c r="AT39" s="139" t="n"/>
      <c r="AU39" s="215" t="inlineStr">
        <is>
          <t>2029 bump</t>
        </is>
      </c>
      <c r="AV39" s="209" t="n"/>
      <c r="AW39" s="230" t="n">
        <v>0.1</v>
      </c>
      <c r="AX39" s="572">
        <f t="dataTable" ref="AX39:BB39" dt2D="0" dtr="0" r1="AT39" ca="1"/>
        <v/>
      </c>
      <c r="AY39" s="573" t="n">
        <v>5737.674064159415</v>
      </c>
      <c r="AZ39" s="573" t="n">
        <v>8485.597137800496</v>
      </c>
      <c r="BA39" s="573" t="n">
        <v>10905.77578016908</v>
      </c>
      <c r="BB39" s="573" t="n">
        <v>13501.61563248003</v>
      </c>
      <c r="BC39" s="139" t="n"/>
      <c r="BD39" s="215" t="inlineStr">
        <is>
          <t>2029 bump</t>
        </is>
      </c>
      <c r="BE39" s="209" t="n"/>
      <c r="BF39" s="230" t="n">
        <v>0.1</v>
      </c>
      <c r="BG39" s="572">
        <f t="dataTable" ref="BG39:BK39" dt2D="0" dtr="0" r1="BC39" ca="1"/>
        <v/>
      </c>
      <c r="BH39" s="573" t="n">
        <v>5737.674064159415</v>
      </c>
      <c r="BI39" s="573" t="n">
        <v>8485.597137800496</v>
      </c>
      <c r="BJ39" s="573" t="n">
        <v>10905.77578016908</v>
      </c>
      <c r="BK39" s="573" t="n">
        <v>14056.79761169248</v>
      </c>
    </row>
    <row r="40">
      <c r="B40" s="216" t="inlineStr">
        <is>
          <t>Delta vs base case</t>
        </is>
      </c>
      <c r="C40" s="209" t="n"/>
      <c r="D40" s="209" t="n"/>
      <c r="E40" s="570">
        <f>E39/E38-1</f>
        <v/>
      </c>
      <c r="F40" s="570">
        <f>F39/F38-1</f>
        <v/>
      </c>
      <c r="G40" s="570">
        <f>G39/G38-1</f>
        <v/>
      </c>
      <c r="H40" s="570">
        <f>H39/H38-1</f>
        <v/>
      </c>
      <c r="I40" s="569">
        <f>I39/I38-1</f>
        <v/>
      </c>
      <c r="K40" s="216" t="inlineStr">
        <is>
          <t>Delta vs base case</t>
        </is>
      </c>
      <c r="L40" s="209" t="n"/>
      <c r="M40" s="209" t="n"/>
      <c r="N40" s="570">
        <f>N39/N38-1</f>
        <v/>
      </c>
      <c r="O40" s="570">
        <f>O39/O38-1</f>
        <v/>
      </c>
      <c r="P40" s="570">
        <f>P39/P38-1</f>
        <v/>
      </c>
      <c r="Q40" s="570">
        <f>Q39/Q38-1</f>
        <v/>
      </c>
      <c r="R40" s="569">
        <f>R39/R38-1</f>
        <v/>
      </c>
      <c r="T40" s="216" t="inlineStr">
        <is>
          <t>Delta vs base case</t>
        </is>
      </c>
      <c r="U40" s="209" t="n"/>
      <c r="V40" s="209" t="n"/>
      <c r="W40" s="570">
        <f>W39/W38-1</f>
        <v/>
      </c>
      <c r="X40" s="570">
        <f>X39/X38-1</f>
        <v/>
      </c>
      <c r="Y40" s="570">
        <f>Y39/Y38-1</f>
        <v/>
      </c>
      <c r="Z40" s="570">
        <f>Z39/Z38-1</f>
        <v/>
      </c>
      <c r="AA40" s="569">
        <f>AA39/AA38-1</f>
        <v/>
      </c>
      <c r="AC40" s="216" t="inlineStr">
        <is>
          <t>Delta vs base case</t>
        </is>
      </c>
      <c r="AD40" s="209" t="n"/>
      <c r="AE40" s="209" t="n"/>
      <c r="AF40" s="570">
        <f>AF39/AF38-1</f>
        <v/>
      </c>
      <c r="AG40" s="570">
        <f>AG39/AG38-1</f>
        <v/>
      </c>
      <c r="AH40" s="570">
        <f>AH39/AH38-1</f>
        <v/>
      </c>
      <c r="AI40" s="570">
        <f>AI39/AI38-1</f>
        <v/>
      </c>
      <c r="AJ40" s="569">
        <f>AJ39/AJ38-1</f>
        <v/>
      </c>
      <c r="AL40" s="216" t="inlineStr">
        <is>
          <t>Delta vs base case</t>
        </is>
      </c>
      <c r="AM40" s="209" t="n"/>
      <c r="AN40" s="209" t="n"/>
      <c r="AO40" s="570">
        <f>AO39/AO38-1</f>
        <v/>
      </c>
      <c r="AP40" s="570">
        <f>AP39/AP38-1</f>
        <v/>
      </c>
      <c r="AQ40" s="570">
        <f>AQ39/AQ38-1</f>
        <v/>
      </c>
      <c r="AR40" s="570">
        <f>AR39/AR38-1</f>
        <v/>
      </c>
      <c r="AS40" s="569">
        <f>AS39/AS38-1</f>
        <v/>
      </c>
      <c r="AU40" s="216" t="inlineStr">
        <is>
          <t>Delta vs base case</t>
        </is>
      </c>
      <c r="AV40" s="209" t="n"/>
      <c r="AW40" s="209" t="n"/>
      <c r="AX40" s="570">
        <f>AX39/AX38-1</f>
        <v/>
      </c>
      <c r="AY40" s="570">
        <f>AY39/AY38-1</f>
        <v/>
      </c>
      <c r="AZ40" s="570">
        <f>AZ39/AZ38-1</f>
        <v/>
      </c>
      <c r="BA40" s="570">
        <f>BA39/BA38-1</f>
        <v/>
      </c>
      <c r="BB40" s="569">
        <f>BB39/BB38-1</f>
        <v/>
      </c>
      <c r="BD40" s="216" t="inlineStr">
        <is>
          <t>Delta vs base case</t>
        </is>
      </c>
      <c r="BE40" s="209" t="n"/>
      <c r="BF40" s="209" t="n"/>
      <c r="BG40" s="570">
        <f>BG39/BG38-1</f>
        <v/>
      </c>
      <c r="BH40" s="570">
        <f>BH39/BH38-1</f>
        <v/>
      </c>
      <c r="BI40" s="570">
        <f>BI39/BI38-1</f>
        <v/>
      </c>
      <c r="BJ40" s="570">
        <f>BJ39/BJ38-1</f>
        <v/>
      </c>
      <c r="BK40" s="569">
        <f>BK39/BK38-1</f>
        <v/>
      </c>
    </row>
    <row r="41">
      <c r="B41" s="216" t="n"/>
      <c r="C41" s="209" t="n"/>
      <c r="D41" s="209" t="n"/>
      <c r="E41" s="570" t="n"/>
      <c r="F41" s="570" t="n"/>
      <c r="K41" s="216" t="n"/>
      <c r="L41" s="209" t="n"/>
      <c r="M41" s="209" t="n"/>
      <c r="N41" s="570" t="n"/>
      <c r="O41" s="570" t="n"/>
      <c r="T41" s="216" t="n"/>
      <c r="U41" s="209" t="n"/>
      <c r="V41" s="209" t="n"/>
      <c r="W41" s="570" t="n"/>
      <c r="X41" s="570" t="n"/>
      <c r="AC41" s="216" t="n"/>
      <c r="AD41" s="209" t="n"/>
      <c r="AE41" s="209" t="n"/>
      <c r="AF41" s="570" t="n"/>
      <c r="AG41" s="570" t="n"/>
      <c r="AL41" s="216" t="n"/>
      <c r="AM41" s="209" t="n"/>
      <c r="AN41" s="209" t="n"/>
      <c r="AO41" s="570" t="n"/>
      <c r="AP41" s="570" t="n"/>
      <c r="AU41" s="216" t="n"/>
      <c r="AV41" s="209" t="n"/>
      <c r="AW41" s="209" t="n"/>
      <c r="AX41" s="570" t="n"/>
      <c r="AY41" s="570" t="n"/>
      <c r="BD41" s="216" t="n"/>
      <c r="BE41" s="209" t="n"/>
      <c r="BF41" s="209" t="n"/>
      <c r="BG41" s="570" t="n"/>
      <c r="BH41" s="570" t="n"/>
    </row>
    <row r="42">
      <c r="B42" s="224" t="inlineStr">
        <is>
          <t>For output</t>
        </is>
      </c>
      <c r="C42" s="225" t="n"/>
      <c r="D42" s="225" t="n"/>
      <c r="E42" s="574">
        <f>E28</f>
        <v/>
      </c>
      <c r="F42" s="574">
        <f>F31</f>
        <v/>
      </c>
      <c r="G42" s="574">
        <f>G34</f>
        <v/>
      </c>
      <c r="H42" s="574">
        <f>H37</f>
        <v/>
      </c>
      <c r="I42" s="574">
        <f>I40</f>
        <v/>
      </c>
      <c r="K42" s="224" t="inlineStr">
        <is>
          <t>For output</t>
        </is>
      </c>
      <c r="L42" s="225" t="n"/>
      <c r="M42" s="225" t="n"/>
      <c r="N42" s="574">
        <f>N28</f>
        <v/>
      </c>
      <c r="O42" s="574">
        <f>O31</f>
        <v/>
      </c>
      <c r="P42" s="574">
        <f>P34</f>
        <v/>
      </c>
      <c r="Q42" s="574">
        <f>Q37</f>
        <v/>
      </c>
      <c r="R42" s="574">
        <f>R40</f>
        <v/>
      </c>
      <c r="T42" s="224" t="inlineStr">
        <is>
          <t>For output</t>
        </is>
      </c>
      <c r="U42" s="225" t="n"/>
      <c r="V42" s="225" t="n"/>
      <c r="W42" s="574">
        <f>W28</f>
        <v/>
      </c>
      <c r="X42" s="574">
        <f>X31</f>
        <v/>
      </c>
      <c r="Y42" s="574">
        <f>Y34</f>
        <v/>
      </c>
      <c r="Z42" s="574">
        <f>Z37</f>
        <v/>
      </c>
      <c r="AA42" s="574">
        <f>AA40</f>
        <v/>
      </c>
      <c r="AC42" s="224" t="inlineStr">
        <is>
          <t>For output</t>
        </is>
      </c>
      <c r="AD42" s="225" t="n"/>
      <c r="AE42" s="225" t="n"/>
      <c r="AF42" s="574">
        <f>AF28</f>
        <v/>
      </c>
      <c r="AG42" s="574">
        <f>AG31</f>
        <v/>
      </c>
      <c r="AH42" s="574">
        <f>AH34</f>
        <v/>
      </c>
      <c r="AI42" s="574">
        <f>AI37</f>
        <v/>
      </c>
      <c r="AJ42" s="574">
        <f>AJ40</f>
        <v/>
      </c>
      <c r="AL42" s="224" t="inlineStr">
        <is>
          <t>For output</t>
        </is>
      </c>
      <c r="AM42" s="225" t="n"/>
      <c r="AN42" s="225" t="n"/>
      <c r="AO42" s="574">
        <f>AO28</f>
        <v/>
      </c>
      <c r="AP42" s="574">
        <f>AP31</f>
        <v/>
      </c>
      <c r="AQ42" s="574">
        <f>AQ34</f>
        <v/>
      </c>
      <c r="AR42" s="574">
        <f>AR37</f>
        <v/>
      </c>
      <c r="AS42" s="574">
        <f>AS40</f>
        <v/>
      </c>
      <c r="AU42" s="224" t="inlineStr">
        <is>
          <t>For output</t>
        </is>
      </c>
      <c r="AV42" s="225" t="n"/>
      <c r="AW42" s="225" t="n"/>
      <c r="AX42" s="574">
        <f>AX28</f>
        <v/>
      </c>
      <c r="AY42" s="574">
        <f>AY31</f>
        <v/>
      </c>
      <c r="AZ42" s="574">
        <f>AZ34</f>
        <v/>
      </c>
      <c r="BA42" s="574">
        <f>BA37</f>
        <v/>
      </c>
      <c r="BB42" s="574">
        <f>BB40</f>
        <v/>
      </c>
      <c r="BD42" s="224" t="inlineStr">
        <is>
          <t>For output</t>
        </is>
      </c>
      <c r="BE42" s="225" t="n"/>
      <c r="BF42" s="225" t="n"/>
      <c r="BG42" s="574">
        <f>BG28</f>
        <v/>
      </c>
      <c r="BH42" s="574">
        <f>BH31</f>
        <v/>
      </c>
      <c r="BI42" s="574">
        <f>BI34</f>
        <v/>
      </c>
      <c r="BJ42" s="574">
        <f>BJ37</f>
        <v/>
      </c>
      <c r="BK42" s="574">
        <f>BK40</f>
        <v/>
      </c>
    </row>
    <row r="43">
      <c r="B43" s="231" t="inlineStr">
        <is>
          <t>Bottomline growth contribution</t>
        </is>
      </c>
      <c r="E43" s="233">
        <f>E42*Driver!J18*10</f>
        <v/>
      </c>
      <c r="F43" s="233">
        <f>F42*Driver!K18*10</f>
        <v/>
      </c>
      <c r="G43" s="233">
        <f>G42*Driver!L18*10</f>
        <v/>
      </c>
      <c r="H43" s="233">
        <f>H42*Driver!M18*10</f>
        <v/>
      </c>
      <c r="I43" s="233">
        <f>I42*Driver!N18*10</f>
        <v/>
      </c>
      <c r="K43" s="231" t="inlineStr">
        <is>
          <t>Bottomline growth contribution</t>
        </is>
      </c>
      <c r="N43" s="233">
        <f>N42*Driver!J19*10</f>
        <v/>
      </c>
      <c r="O43" s="233">
        <f>O42*Driver!K19*10</f>
        <v/>
      </c>
      <c r="P43" s="233">
        <f>P42*Driver!L19*10</f>
        <v/>
      </c>
      <c r="Q43" s="233">
        <f>Q42*Driver!M19*10</f>
        <v/>
      </c>
      <c r="R43" s="233">
        <f>R42*Driver!N19*10</f>
        <v/>
      </c>
      <c r="T43" s="231" t="inlineStr">
        <is>
          <t>Bottomline growth contribution</t>
        </is>
      </c>
      <c r="W43" s="233">
        <f>W42*Driver!J20*10</f>
        <v/>
      </c>
      <c r="X43" s="233">
        <f>X42*Driver!K20*10</f>
        <v/>
      </c>
      <c r="Y43" s="233">
        <f>Y42*Driver!L20*10</f>
        <v/>
      </c>
      <c r="Z43" s="233">
        <f>Z42*Driver!M20*10</f>
        <v/>
      </c>
      <c r="AA43" s="233">
        <f>AA42*Driver!N20*10</f>
        <v/>
      </c>
      <c r="AC43" s="231" t="inlineStr">
        <is>
          <t>Bottomline growth contribution</t>
        </is>
      </c>
      <c r="AF43" s="233">
        <f>AF42*Driver!J21*10</f>
        <v/>
      </c>
      <c r="AG43" s="233">
        <f>AG42*Driver!K21*10</f>
        <v/>
      </c>
      <c r="AH43" s="233">
        <f>AH42*Driver!L21*10</f>
        <v/>
      </c>
      <c r="AI43" s="233">
        <f>AI42*Driver!M21*10</f>
        <v/>
      </c>
      <c r="AJ43" s="233">
        <f>AJ42*Driver!N21*10</f>
        <v/>
      </c>
      <c r="AL43" s="231" t="inlineStr">
        <is>
          <t>Bottomline growth contribution</t>
        </is>
      </c>
      <c r="AO43" s="233">
        <f>AO42*Driver!J22*10</f>
        <v/>
      </c>
      <c r="AP43" s="233">
        <f>AP42*Driver!K22*10</f>
        <v/>
      </c>
      <c r="AQ43" s="233">
        <f>AQ42*Driver!L22*10</f>
        <v/>
      </c>
      <c r="AR43" s="233">
        <f>AR42*Driver!M22*10</f>
        <v/>
      </c>
      <c r="AS43" s="233">
        <f>AS42*Driver!N22*10</f>
        <v/>
      </c>
      <c r="AU43" s="231" t="inlineStr">
        <is>
          <t>Bottomline growth contribution</t>
        </is>
      </c>
      <c r="BD43" s="231" t="inlineStr">
        <is>
          <t>Bottomline growth contribution</t>
        </is>
      </c>
      <c r="BG43" s="233">
        <f>BG42*Driver!J23*10</f>
        <v/>
      </c>
      <c r="BH43" s="233">
        <f>BH42*Driver!K23*10</f>
        <v/>
      </c>
      <c r="BI43" s="233">
        <f>BI42*Driver!L23*10</f>
        <v/>
      </c>
      <c r="BJ43" s="233">
        <f>BJ42*Driver!M23*10</f>
        <v/>
      </c>
      <c r="BK43" s="233">
        <f>BK42*Driver!N23*10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32"/>
  <sheetViews>
    <sheetView zoomScale="205" zoomScaleNormal="205" workbookViewId="0">
      <selection activeCell="A1" sqref="A1"/>
    </sheetView>
  </sheetViews>
  <sheetFormatPr baseColWidth="8" defaultColWidth="10.28515625" defaultRowHeight="14.25"/>
  <cols>
    <col width="13.42578125" customWidth="1" style="6" min="1" max="1"/>
    <col width="10.28515625" customWidth="1" style="6" min="2" max="16384"/>
  </cols>
  <sheetData>
    <row r="2">
      <c r="B2" s="89" t="inlineStr">
        <is>
          <t>2025E</t>
        </is>
      </c>
      <c r="C2" s="89" t="inlineStr">
        <is>
          <t>2026E</t>
        </is>
      </c>
      <c r="D2" s="89" t="inlineStr">
        <is>
          <t>2027E</t>
        </is>
      </c>
    </row>
    <row r="4">
      <c r="A4" s="6" t="inlineStr">
        <is>
          <t>Revenue</t>
        </is>
      </c>
    </row>
    <row r="5">
      <c r="A5" s="6" t="inlineStr">
        <is>
          <t>UBS</t>
        </is>
      </c>
      <c r="B5" s="120">
        <f>Model!U4</f>
        <v/>
      </c>
      <c r="C5" s="120">
        <f>Model!V4</f>
        <v/>
      </c>
      <c r="D5" s="120">
        <f>Model!W4</f>
        <v/>
      </c>
    </row>
    <row r="6">
      <c r="A6" s="6" t="inlineStr">
        <is>
          <t>Cons</t>
        </is>
      </c>
      <c r="B6" s="120">
        <f>B16</f>
        <v/>
      </c>
      <c r="C6" s="120">
        <f>C16</f>
        <v/>
      </c>
      <c r="D6" s="120">
        <f>D16</f>
        <v/>
      </c>
    </row>
    <row r="7">
      <c r="A7" s="6" t="inlineStr">
        <is>
          <t>Diff</t>
        </is>
      </c>
      <c r="B7" s="73">
        <f>B5/B6-1</f>
        <v/>
      </c>
      <c r="C7" s="73">
        <f>C5/C6-1</f>
        <v/>
      </c>
      <c r="D7" s="73">
        <f>D5/D6-1</f>
        <v/>
      </c>
    </row>
    <row r="9">
      <c r="A9" s="6" t="inlineStr">
        <is>
          <t>NP</t>
        </is>
      </c>
    </row>
    <row r="10">
      <c r="A10" s="6" t="inlineStr">
        <is>
          <t>UBS</t>
        </is>
      </c>
      <c r="B10" s="120">
        <f>Model!U28</f>
        <v/>
      </c>
      <c r="C10" s="120">
        <f>Model!V28</f>
        <v/>
      </c>
      <c r="D10" s="120">
        <f>Model!W28</f>
        <v/>
      </c>
    </row>
    <row r="11">
      <c r="A11" s="6" t="inlineStr">
        <is>
          <t>Cons</t>
        </is>
      </c>
      <c r="B11" s="120">
        <f>B17</f>
        <v/>
      </c>
      <c r="C11" s="120">
        <f>C17</f>
        <v/>
      </c>
      <c r="D11" s="120">
        <f>D17</f>
        <v/>
      </c>
    </row>
    <row r="12">
      <c r="A12" s="6" t="inlineStr">
        <is>
          <t>Diff</t>
        </is>
      </c>
      <c r="B12" s="73">
        <f>B10/B11-1</f>
        <v/>
      </c>
      <c r="C12" s="73">
        <f>C10/C11-1</f>
        <v/>
      </c>
      <c r="D12" s="73">
        <f>D10/D11-1</f>
        <v/>
      </c>
    </row>
    <row r="14">
      <c r="A14" s="6" t="inlineStr">
        <is>
          <t>Consensus from Reuters</t>
        </is>
      </c>
    </row>
    <row r="15">
      <c r="A15" s="145" t="n"/>
      <c r="B15" s="156" t="inlineStr">
        <is>
          <t>2025E</t>
        </is>
      </c>
      <c r="C15" s="156" t="inlineStr">
        <is>
          <t>2026E</t>
        </is>
      </c>
      <c r="D15" s="156" t="inlineStr">
        <is>
          <t>2027E</t>
        </is>
      </c>
    </row>
    <row r="16">
      <c r="A16" s="145" t="inlineStr">
        <is>
          <t>Revenue</t>
        </is>
      </c>
      <c r="B16" s="144" t="n">
        <v>80671</v>
      </c>
      <c r="C16" s="144" t="n">
        <v>88102</v>
      </c>
      <c r="D16" s="144" t="n">
        <v>89573</v>
      </c>
    </row>
    <row r="17">
      <c r="A17" s="145" t="inlineStr">
        <is>
          <t>Net profit</t>
        </is>
      </c>
      <c r="B17" s="144" t="n">
        <v>4065</v>
      </c>
      <c r="C17" s="144" t="n">
        <v>4787</v>
      </c>
      <c r="D17" s="144" t="n">
        <v>5223</v>
      </c>
    </row>
    <row r="18">
      <c r="A18" s="6" t="inlineStr">
        <is>
          <t>NPM</t>
        </is>
      </c>
      <c r="B18" s="32">
        <f>B17/B16</f>
        <v/>
      </c>
      <c r="C18" s="32">
        <f>C17/C16</f>
        <v/>
      </c>
      <c r="D18" s="32">
        <f>D17/D16</f>
        <v/>
      </c>
    </row>
    <row r="20">
      <c r="A20" s="6" t="inlineStr">
        <is>
          <t>Unit: Rmb mn</t>
        </is>
      </c>
      <c r="B20" s="435" t="n"/>
      <c r="C20" s="435" t="n"/>
      <c r="D20" s="435" t="n"/>
    </row>
    <row r="21">
      <c r="A21" s="6" t="inlineStr">
        <is>
          <t>Updated on 27 Feb 2026</t>
        </is>
      </c>
      <c r="B21" s="120" t="n"/>
      <c r="C21" s="120" t="n"/>
      <c r="D21" s="120" t="n"/>
    </row>
    <row r="22">
      <c r="B22" s="435" t="n"/>
      <c r="C22" s="435" t="n"/>
      <c r="D22" s="435" t="n"/>
    </row>
    <row r="23">
      <c r="B23" s="120" t="n"/>
      <c r="C23" s="120" t="n"/>
    </row>
    <row r="28">
      <c r="B28" s="120" t="n"/>
      <c r="C28" s="120" t="n"/>
    </row>
    <row r="29">
      <c r="B29" s="120" t="n"/>
      <c r="C29" s="120" t="n"/>
    </row>
    <row r="30">
      <c r="B30" s="112" t="n"/>
      <c r="C30" s="112" t="n"/>
      <c r="D30" s="112" t="n"/>
    </row>
    <row r="31">
      <c r="B31" s="143" t="n"/>
      <c r="C31" s="143" t="n"/>
      <c r="D31" s="143" t="n"/>
    </row>
    <row r="32">
      <c r="B32" s="435" t="n"/>
      <c r="C32" s="435" t="n"/>
      <c r="D32" s="435" t="n"/>
    </row>
  </sheetData>
  <pageMargins left="0.7" right="0.7" top="0.75" bottom="0.75" header="0.3" footer="0.3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M293"/>
  <sheetViews>
    <sheetView zoomScale="85" zoomScaleNormal="85" workbookViewId="0">
      <pane xSplit="1" ySplit="2" topLeftCell="DZ3" activePane="bottomRight" state="frozen"/>
      <selection pane="topRight" activeCell="B1" sqref="B1"/>
      <selection pane="bottomLeft" activeCell="A3" sqref="A3"/>
      <selection pane="bottomRight" activeCell="EE22" sqref="EE22"/>
    </sheetView>
  </sheetViews>
  <sheetFormatPr baseColWidth="8" defaultColWidth="9.140625" defaultRowHeight="15"/>
  <cols>
    <col width="62.85546875" bestFit="1" customWidth="1" style="2" min="1" max="1"/>
    <col width="17.28515625" bestFit="1" customWidth="1" style="1" min="2" max="2"/>
    <col width="17.28515625" customWidth="1" style="1" min="3" max="14"/>
    <col width="17.28515625" bestFit="1" customWidth="1" style="1" min="15" max="20"/>
    <col hidden="1" outlineLevel="1" width="10" customWidth="1" style="1" min="21" max="25"/>
    <col collapsed="1" width="10" bestFit="1" customWidth="1" style="1" min="26" max="26"/>
    <col width="11.5703125" bestFit="1" customWidth="1" style="1" min="27" max="43"/>
    <col width="11.85546875" customWidth="1" style="1" min="44" max="44"/>
    <col width="14.42578125" customWidth="1" style="1" min="45" max="46"/>
    <col outlineLevel="1" width="14.42578125" customWidth="1" style="1" min="47" max="64"/>
    <col width="9.140625" customWidth="1" style="1" min="65" max="65"/>
    <col width="12.28515625" customWidth="1" style="1" min="66" max="137"/>
    <col width="12.7109375" customWidth="1" style="1" min="138" max="139"/>
    <col width="12.5703125" customWidth="1" style="1" min="140" max="141"/>
    <col width="13.28515625" customWidth="1" style="1" min="142" max="143"/>
    <col width="9.140625" customWidth="1" style="1" min="144" max="16384"/>
  </cols>
  <sheetData>
    <row r="1" customFormat="1" s="2">
      <c r="A1" s="5" t="inlineStr">
        <is>
          <t>东方电气[600875.SH]  - Rmb m</t>
        </is>
      </c>
      <c r="B1" s="575" t="n">
        <v>39082</v>
      </c>
      <c r="C1" s="575" t="n">
        <v>39447</v>
      </c>
      <c r="D1" s="575" t="n">
        <v>39813</v>
      </c>
      <c r="E1" s="575" t="n">
        <v>40178</v>
      </c>
      <c r="F1" s="575" t="n">
        <v>40543</v>
      </c>
      <c r="G1" s="575" t="n">
        <v>40908</v>
      </c>
      <c r="H1" s="575" t="n">
        <v>41274</v>
      </c>
      <c r="I1" s="575" t="n">
        <v>41639</v>
      </c>
      <c r="J1" s="575" t="n">
        <v>42004</v>
      </c>
      <c r="K1" s="575" t="n">
        <v>42369</v>
      </c>
      <c r="L1" s="575" t="n">
        <v>42735</v>
      </c>
      <c r="M1" s="575" t="n">
        <v>43100</v>
      </c>
      <c r="N1" s="3" t="inlineStr">
        <is>
          <t>2018-12-31</t>
        </is>
      </c>
      <c r="O1" s="3" t="inlineStr">
        <is>
          <t>2019-12-31</t>
        </is>
      </c>
      <c r="P1" s="3" t="inlineStr">
        <is>
          <t>2020-12-31</t>
        </is>
      </c>
      <c r="Q1" s="3" t="inlineStr">
        <is>
          <t>2021-12-31</t>
        </is>
      </c>
      <c r="R1" s="3" t="inlineStr">
        <is>
          <t>2022-12-31</t>
        </is>
      </c>
      <c r="S1" s="3" t="inlineStr">
        <is>
          <t>2023-12-31</t>
        </is>
      </c>
      <c r="T1" s="3" t="inlineStr">
        <is>
          <t>2024-12-31</t>
        </is>
      </c>
      <c r="U1" s="3" t="n"/>
      <c r="V1" s="3" t="n"/>
      <c r="W1" s="3" t="n"/>
      <c r="X1" s="3" t="n"/>
      <c r="Y1" s="3" t="n"/>
      <c r="Z1" s="3" t="n"/>
      <c r="AA1" s="575" t="n">
        <v>38898</v>
      </c>
      <c r="AB1" s="575" t="n">
        <v>39263</v>
      </c>
      <c r="AC1" s="575" t="n">
        <v>39629</v>
      </c>
      <c r="AD1" s="575" t="n">
        <v>39994</v>
      </c>
      <c r="AE1" s="575" t="n">
        <v>40359</v>
      </c>
      <c r="AF1" s="575" t="n">
        <v>40724</v>
      </c>
      <c r="AG1" s="575" t="n">
        <v>41090</v>
      </c>
      <c r="AH1" s="575" t="n">
        <v>41455</v>
      </c>
      <c r="AI1" s="575" t="n">
        <v>41820</v>
      </c>
      <c r="AJ1" s="575" t="n">
        <v>42185</v>
      </c>
      <c r="AK1" s="575" t="n">
        <v>42551</v>
      </c>
      <c r="AL1" s="575" t="n">
        <v>42916</v>
      </c>
      <c r="AM1" s="575" t="n">
        <v>43281</v>
      </c>
      <c r="AN1" s="575" t="n">
        <v>43646</v>
      </c>
      <c r="AO1" s="575" t="n">
        <v>44012</v>
      </c>
      <c r="AP1" s="575" t="n">
        <v>44377</v>
      </c>
      <c r="AQ1" s="575" t="n">
        <v>44742</v>
      </c>
      <c r="AR1" s="575" t="n">
        <v>45107</v>
      </c>
      <c r="AS1" s="575" t="n">
        <v>45473</v>
      </c>
      <c r="AT1" s="575" t="n">
        <v>45838</v>
      </c>
      <c r="AU1" s="575" t="n"/>
      <c r="AV1" s="575" t="n"/>
      <c r="AW1" s="575" t="n"/>
      <c r="AX1" s="575" t="n"/>
      <c r="AY1" s="575" t="n"/>
      <c r="AZ1" s="575" t="n"/>
      <c r="BA1" s="575" t="n"/>
      <c r="BB1" s="575" t="n"/>
      <c r="BC1" s="575" t="n"/>
      <c r="BD1" s="575" t="n"/>
      <c r="BE1" s="575" t="n"/>
      <c r="BF1" s="575" t="n"/>
      <c r="BG1" s="575" t="n"/>
      <c r="BH1" s="575" t="n"/>
      <c r="BI1" s="575" t="n"/>
      <c r="BJ1" s="575" t="n"/>
      <c r="BK1" s="575" t="n"/>
      <c r="BL1" s="575" t="n"/>
      <c r="BM1" s="3" t="n"/>
      <c r="BN1" s="575" t="n">
        <v>38807</v>
      </c>
      <c r="BO1" s="575" t="n">
        <v>38898</v>
      </c>
      <c r="BP1" s="575" t="n">
        <v>38990</v>
      </c>
      <c r="BQ1" s="575" t="n">
        <v>39082</v>
      </c>
      <c r="BR1" s="575" t="n">
        <v>39172</v>
      </c>
      <c r="BS1" s="575" t="n">
        <v>39263</v>
      </c>
      <c r="BT1" s="575" t="n">
        <v>39355</v>
      </c>
      <c r="BU1" s="575" t="n">
        <v>39447</v>
      </c>
      <c r="BV1" s="575" t="n">
        <v>39538</v>
      </c>
      <c r="BW1" s="575" t="n">
        <v>39629</v>
      </c>
      <c r="BX1" s="575" t="n">
        <v>39721</v>
      </c>
      <c r="BY1" s="575" t="n">
        <v>39813</v>
      </c>
      <c r="BZ1" s="575" t="n">
        <v>39903</v>
      </c>
      <c r="CA1" s="575" t="n">
        <v>39994</v>
      </c>
      <c r="CB1" s="575" t="n">
        <v>40086</v>
      </c>
      <c r="CC1" s="575" t="n">
        <v>40178</v>
      </c>
      <c r="CD1" s="575" t="n">
        <v>40268</v>
      </c>
      <c r="CE1" s="575" t="n">
        <v>40359</v>
      </c>
      <c r="CF1" s="575" t="n">
        <v>40451</v>
      </c>
      <c r="CG1" s="575" t="n">
        <v>40543</v>
      </c>
      <c r="CH1" s="575" t="n">
        <v>40633</v>
      </c>
      <c r="CI1" s="575" t="n">
        <v>40724</v>
      </c>
      <c r="CJ1" s="575" t="n">
        <v>40816</v>
      </c>
      <c r="CK1" s="575" t="n">
        <v>40908</v>
      </c>
      <c r="CL1" s="575" t="n">
        <v>40999</v>
      </c>
      <c r="CM1" s="575" t="n">
        <v>41090</v>
      </c>
      <c r="CN1" s="575" t="n">
        <v>41182</v>
      </c>
      <c r="CO1" s="575" t="n">
        <v>41274</v>
      </c>
      <c r="CP1" s="575" t="n">
        <v>41364</v>
      </c>
      <c r="CQ1" s="575" t="n">
        <v>41455</v>
      </c>
      <c r="CR1" s="575" t="n">
        <v>41547</v>
      </c>
      <c r="CS1" s="575" t="n">
        <v>41639</v>
      </c>
      <c r="CT1" s="575" t="n">
        <v>41729</v>
      </c>
      <c r="CU1" s="575" t="n">
        <v>41820</v>
      </c>
      <c r="CV1" s="575" t="n">
        <v>41912</v>
      </c>
      <c r="CW1" s="575" t="n">
        <v>42004</v>
      </c>
      <c r="CX1" s="575" t="n">
        <v>42094</v>
      </c>
      <c r="CY1" s="575" t="n">
        <v>42185</v>
      </c>
      <c r="CZ1" s="575" t="n">
        <v>42277</v>
      </c>
      <c r="DA1" s="575" t="n">
        <v>42369</v>
      </c>
      <c r="DB1" s="575" t="n">
        <v>42460</v>
      </c>
      <c r="DC1" s="575" t="n">
        <v>42551</v>
      </c>
      <c r="DD1" s="575" t="n">
        <v>42643</v>
      </c>
      <c r="DE1" s="575" t="n">
        <v>42735</v>
      </c>
      <c r="DF1" s="575" t="n">
        <v>42825</v>
      </c>
      <c r="DG1" s="575" t="n">
        <v>42916</v>
      </c>
      <c r="DH1" s="575" t="n">
        <v>43008</v>
      </c>
      <c r="DI1" s="575" t="n">
        <v>43100</v>
      </c>
      <c r="DJ1" s="575" t="n">
        <v>43190</v>
      </c>
      <c r="DK1" s="575" t="n">
        <v>43281</v>
      </c>
      <c r="DL1" s="575" t="n">
        <v>43373</v>
      </c>
      <c r="DM1" s="575" t="n">
        <v>43465</v>
      </c>
      <c r="DN1" s="575" t="n">
        <v>43555</v>
      </c>
      <c r="DO1" s="575" t="n">
        <v>43646</v>
      </c>
      <c r="DP1" s="575" t="n">
        <v>43738</v>
      </c>
      <c r="DQ1" s="575" t="n">
        <v>43830</v>
      </c>
      <c r="DR1" s="575" t="n">
        <v>43921</v>
      </c>
      <c r="DS1" s="575" t="n">
        <v>44012</v>
      </c>
      <c r="DT1" s="575" t="n">
        <v>44104</v>
      </c>
      <c r="DU1" s="575" t="n">
        <v>44196</v>
      </c>
      <c r="DV1" s="575" t="n">
        <v>44286</v>
      </c>
      <c r="DW1" s="575" t="n">
        <v>44377</v>
      </c>
      <c r="DX1" s="575" t="n">
        <v>44469</v>
      </c>
      <c r="DY1" s="575" t="n">
        <v>44561</v>
      </c>
      <c r="DZ1" s="575" t="n">
        <v>44651</v>
      </c>
      <c r="EA1" s="575" t="n">
        <v>44742</v>
      </c>
      <c r="EB1" s="575" t="n">
        <v>44834</v>
      </c>
      <c r="EC1" s="575" t="n">
        <v>44926</v>
      </c>
      <c r="ED1" s="575" t="n">
        <v>45016</v>
      </c>
      <c r="EE1" s="575" t="n">
        <v>45107</v>
      </c>
      <c r="EF1" s="575" t="n">
        <v>45199</v>
      </c>
      <c r="EG1" s="575" t="n">
        <v>45291</v>
      </c>
      <c r="EH1" s="575" t="n">
        <v>45382</v>
      </c>
      <c r="EI1" s="575" t="n">
        <v>45473</v>
      </c>
      <c r="EJ1" s="575" t="n">
        <v>45565</v>
      </c>
      <c r="EK1" s="575" t="n">
        <v>45657</v>
      </c>
      <c r="EL1" s="575" t="n">
        <v>45747</v>
      </c>
      <c r="EM1" s="575" t="n">
        <v>45838</v>
      </c>
    </row>
    <row r="2" customFormat="1" s="2">
      <c r="A2" s="2" t="inlineStr">
        <is>
          <t>报告期</t>
        </is>
      </c>
      <c r="B2" s="3" t="inlineStr">
        <is>
          <t>FY2006</t>
        </is>
      </c>
      <c r="C2" s="3" t="inlineStr">
        <is>
          <t>FY2007</t>
        </is>
      </c>
      <c r="D2" s="3" t="inlineStr">
        <is>
          <t>FY2008</t>
        </is>
      </c>
      <c r="E2" s="3" t="inlineStr">
        <is>
          <t>FY2009</t>
        </is>
      </c>
      <c r="F2" s="3" t="inlineStr">
        <is>
          <t>FY2010</t>
        </is>
      </c>
      <c r="G2" s="3" t="inlineStr">
        <is>
          <t>FY2011</t>
        </is>
      </c>
      <c r="H2" s="3" t="inlineStr">
        <is>
          <t>FY2012</t>
        </is>
      </c>
      <c r="I2" s="3" t="inlineStr">
        <is>
          <t>FY2013</t>
        </is>
      </c>
      <c r="J2" s="3" t="inlineStr">
        <is>
          <t>FY2014</t>
        </is>
      </c>
      <c r="K2" s="3" t="inlineStr">
        <is>
          <t>FY2015</t>
        </is>
      </c>
      <c r="L2" s="3" t="inlineStr">
        <is>
          <t>FY2016</t>
        </is>
      </c>
      <c r="M2" s="3" t="inlineStr">
        <is>
          <t>FY2017</t>
        </is>
      </c>
      <c r="N2" s="3" t="inlineStr">
        <is>
          <t>FY2018</t>
        </is>
      </c>
      <c r="O2" s="3" t="inlineStr">
        <is>
          <t>FY2019</t>
        </is>
      </c>
      <c r="P2" s="3" t="inlineStr">
        <is>
          <t>FY2020</t>
        </is>
      </c>
      <c r="Q2" s="3" t="inlineStr">
        <is>
          <t>FY2021</t>
        </is>
      </c>
      <c r="R2" s="3" t="inlineStr">
        <is>
          <t>FY2022</t>
        </is>
      </c>
      <c r="S2" s="3" t="inlineStr">
        <is>
          <t>FY2023</t>
        </is>
      </c>
      <c r="T2" s="3" t="inlineStr">
        <is>
          <t>FY2024</t>
        </is>
      </c>
      <c r="U2" s="3" t="n"/>
      <c r="V2" s="3" t="n"/>
      <c r="W2" s="3" t="n"/>
      <c r="X2" s="3" t="n"/>
      <c r="Y2" s="3" t="n"/>
      <c r="Z2" s="3" t="n"/>
      <c r="AA2" s="3" t="inlineStr">
        <is>
          <t>1H2006</t>
        </is>
      </c>
      <c r="AB2" s="3" t="inlineStr">
        <is>
          <t>1H2007</t>
        </is>
      </c>
      <c r="AC2" s="3" t="inlineStr">
        <is>
          <t>1H2008</t>
        </is>
      </c>
      <c r="AD2" s="3" t="inlineStr">
        <is>
          <t>1H2009</t>
        </is>
      </c>
      <c r="AE2" s="3" t="inlineStr">
        <is>
          <t>1H2010</t>
        </is>
      </c>
      <c r="AF2" s="3" t="inlineStr">
        <is>
          <t>1H2011</t>
        </is>
      </c>
      <c r="AG2" s="3" t="inlineStr">
        <is>
          <t>1H2012</t>
        </is>
      </c>
      <c r="AH2" s="3" t="inlineStr">
        <is>
          <t>1H2013</t>
        </is>
      </c>
      <c r="AI2" s="3" t="inlineStr">
        <is>
          <t>1H2014</t>
        </is>
      </c>
      <c r="AJ2" s="3" t="inlineStr">
        <is>
          <t>1H2015</t>
        </is>
      </c>
      <c r="AK2" s="3" t="inlineStr">
        <is>
          <t>1H2016</t>
        </is>
      </c>
      <c r="AL2" s="3" t="inlineStr">
        <is>
          <t>1H2017</t>
        </is>
      </c>
      <c r="AM2" s="3" t="inlineStr">
        <is>
          <t>1H2018</t>
        </is>
      </c>
      <c r="AN2" s="3" t="inlineStr">
        <is>
          <t>1H2019</t>
        </is>
      </c>
      <c r="AO2" s="3" t="inlineStr">
        <is>
          <t>1H2020</t>
        </is>
      </c>
      <c r="AP2" s="3" t="inlineStr">
        <is>
          <t>1H2021</t>
        </is>
      </c>
      <c r="AQ2" s="3" t="inlineStr">
        <is>
          <t>1H2022</t>
        </is>
      </c>
      <c r="AR2" s="3" t="inlineStr">
        <is>
          <t>1H2023</t>
        </is>
      </c>
      <c r="AS2" s="3" t="inlineStr">
        <is>
          <t>1H2024</t>
        </is>
      </c>
      <c r="AT2" s="3" t="inlineStr">
        <is>
          <t>1H2025</t>
        </is>
      </c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inlineStr">
        <is>
          <t>1Q2006</t>
        </is>
      </c>
      <c r="BO2" s="3" t="inlineStr">
        <is>
          <t>2Q2006</t>
        </is>
      </c>
      <c r="BP2" s="3" t="inlineStr">
        <is>
          <t>3Q2006</t>
        </is>
      </c>
      <c r="BQ2" s="3" t="inlineStr">
        <is>
          <t>4Q2006</t>
        </is>
      </c>
      <c r="BR2" s="3" t="inlineStr">
        <is>
          <t>1Q2007</t>
        </is>
      </c>
      <c r="BS2" s="3" t="inlineStr">
        <is>
          <t>2Q2007</t>
        </is>
      </c>
      <c r="BT2" s="3" t="inlineStr">
        <is>
          <t>3Q2007</t>
        </is>
      </c>
      <c r="BU2" s="3" t="inlineStr">
        <is>
          <t>4Q2007</t>
        </is>
      </c>
      <c r="BV2" s="3" t="inlineStr">
        <is>
          <t>1Q2008</t>
        </is>
      </c>
      <c r="BW2" s="3" t="inlineStr">
        <is>
          <t>2Q2008</t>
        </is>
      </c>
      <c r="BX2" s="3" t="inlineStr">
        <is>
          <t>3Q2008</t>
        </is>
      </c>
      <c r="BY2" s="3" t="inlineStr">
        <is>
          <t>4Q2008</t>
        </is>
      </c>
      <c r="BZ2" s="3" t="inlineStr">
        <is>
          <t>1Q2009</t>
        </is>
      </c>
      <c r="CA2" s="3" t="inlineStr">
        <is>
          <t>2Q2009</t>
        </is>
      </c>
      <c r="CB2" s="3" t="inlineStr">
        <is>
          <t>3Q2009</t>
        </is>
      </c>
      <c r="CC2" s="3" t="inlineStr">
        <is>
          <t>4Q2009</t>
        </is>
      </c>
      <c r="CD2" s="3" t="inlineStr">
        <is>
          <t>1Q2010</t>
        </is>
      </c>
      <c r="CE2" s="3" t="inlineStr">
        <is>
          <t>2Q2010</t>
        </is>
      </c>
      <c r="CF2" s="3" t="inlineStr">
        <is>
          <t>3Q2010</t>
        </is>
      </c>
      <c r="CG2" s="3" t="inlineStr">
        <is>
          <t>4Q2010</t>
        </is>
      </c>
      <c r="CH2" s="3" t="inlineStr">
        <is>
          <t>1Q2011</t>
        </is>
      </c>
      <c r="CI2" s="3" t="inlineStr">
        <is>
          <t>2Q2011</t>
        </is>
      </c>
      <c r="CJ2" s="3" t="inlineStr">
        <is>
          <t>3Q2011</t>
        </is>
      </c>
      <c r="CK2" s="3" t="inlineStr">
        <is>
          <t>4Q2011</t>
        </is>
      </c>
      <c r="CL2" s="3" t="inlineStr">
        <is>
          <t>1Q2012</t>
        </is>
      </c>
      <c r="CM2" s="3" t="inlineStr">
        <is>
          <t>2Q2012</t>
        </is>
      </c>
      <c r="CN2" s="3" t="inlineStr">
        <is>
          <t>3Q2012</t>
        </is>
      </c>
      <c r="CO2" s="3" t="inlineStr">
        <is>
          <t>4Q2012</t>
        </is>
      </c>
      <c r="CP2" s="3" t="inlineStr">
        <is>
          <t>1Q2013</t>
        </is>
      </c>
      <c r="CQ2" s="3" t="inlineStr">
        <is>
          <t>2Q2013</t>
        </is>
      </c>
      <c r="CR2" s="3" t="inlineStr">
        <is>
          <t>3Q2013</t>
        </is>
      </c>
      <c r="CS2" s="3" t="inlineStr">
        <is>
          <t>4Q2013</t>
        </is>
      </c>
      <c r="CT2" s="3" t="inlineStr">
        <is>
          <t>1Q2014</t>
        </is>
      </c>
      <c r="CU2" s="3" t="inlineStr">
        <is>
          <t>2Q2014</t>
        </is>
      </c>
      <c r="CV2" s="3" t="inlineStr">
        <is>
          <t>3Q2014</t>
        </is>
      </c>
      <c r="CW2" s="3" t="inlineStr">
        <is>
          <t>4Q2014</t>
        </is>
      </c>
      <c r="CX2" s="3" t="inlineStr">
        <is>
          <t>1Q2015</t>
        </is>
      </c>
      <c r="CY2" s="3" t="inlineStr">
        <is>
          <t>2Q2015</t>
        </is>
      </c>
      <c r="CZ2" s="3" t="inlineStr">
        <is>
          <t>3Q2015</t>
        </is>
      </c>
      <c r="DA2" s="3" t="inlineStr">
        <is>
          <t>4Q2015</t>
        </is>
      </c>
      <c r="DB2" s="3" t="inlineStr">
        <is>
          <t>1Q2016</t>
        </is>
      </c>
      <c r="DC2" s="3" t="inlineStr">
        <is>
          <t>2Q2016</t>
        </is>
      </c>
      <c r="DD2" s="3" t="inlineStr">
        <is>
          <t>3Q2016</t>
        </is>
      </c>
      <c r="DE2" s="3" t="inlineStr">
        <is>
          <t>4Q2016</t>
        </is>
      </c>
      <c r="DF2" s="3" t="inlineStr">
        <is>
          <t>1Q2017</t>
        </is>
      </c>
      <c r="DG2" s="3" t="inlineStr">
        <is>
          <t>2Q2017</t>
        </is>
      </c>
      <c r="DH2" s="3" t="inlineStr">
        <is>
          <t>3Q2017</t>
        </is>
      </c>
      <c r="DI2" s="3" t="inlineStr">
        <is>
          <t>4Q2017</t>
        </is>
      </c>
      <c r="DJ2" s="3" t="inlineStr">
        <is>
          <t>1Q2018</t>
        </is>
      </c>
      <c r="DK2" s="3" t="inlineStr">
        <is>
          <t>2Q2018</t>
        </is>
      </c>
      <c r="DL2" s="3" t="inlineStr">
        <is>
          <t>3Q2018</t>
        </is>
      </c>
      <c r="DM2" s="3" t="inlineStr">
        <is>
          <t>4Q2018</t>
        </is>
      </c>
      <c r="DN2" s="3" t="inlineStr">
        <is>
          <t>1Q2019</t>
        </is>
      </c>
      <c r="DO2" s="3" t="inlineStr">
        <is>
          <t>2Q2019</t>
        </is>
      </c>
      <c r="DP2" s="3" t="inlineStr">
        <is>
          <t>3Q2019</t>
        </is>
      </c>
      <c r="DQ2" s="3" t="inlineStr">
        <is>
          <t>4Q2019</t>
        </is>
      </c>
      <c r="DR2" s="3" t="inlineStr">
        <is>
          <t>1Q2020</t>
        </is>
      </c>
      <c r="DS2" s="3" t="inlineStr">
        <is>
          <t>2Q2020</t>
        </is>
      </c>
      <c r="DT2" s="3" t="inlineStr">
        <is>
          <t>3Q2020</t>
        </is>
      </c>
      <c r="DU2" s="3" t="inlineStr">
        <is>
          <t>4Q2020</t>
        </is>
      </c>
      <c r="DV2" s="3" t="inlineStr">
        <is>
          <t>1Q2021</t>
        </is>
      </c>
      <c r="DW2" s="3" t="inlineStr">
        <is>
          <t>2Q2021</t>
        </is>
      </c>
      <c r="DX2" s="3" t="inlineStr">
        <is>
          <t>3Q2021</t>
        </is>
      </c>
      <c r="DY2" s="3" t="inlineStr">
        <is>
          <t>4Q2021</t>
        </is>
      </c>
      <c r="DZ2" s="3" t="inlineStr">
        <is>
          <t>1Q2022</t>
        </is>
      </c>
      <c r="EA2" s="3" t="inlineStr">
        <is>
          <t>2Q2022</t>
        </is>
      </c>
      <c r="EB2" s="3" t="inlineStr">
        <is>
          <t>3Q2022</t>
        </is>
      </c>
      <c r="EC2" s="3" t="inlineStr">
        <is>
          <t>4Q2022</t>
        </is>
      </c>
      <c r="ED2" s="3" t="inlineStr">
        <is>
          <t>1Q2023</t>
        </is>
      </c>
      <c r="EE2" s="3" t="inlineStr">
        <is>
          <t>2Q2023</t>
        </is>
      </c>
      <c r="EF2" s="3" t="inlineStr">
        <is>
          <t>3Q2023</t>
        </is>
      </c>
      <c r="EG2" s="3" t="inlineStr">
        <is>
          <t>4Q2023</t>
        </is>
      </c>
      <c r="EH2" s="3" t="inlineStr">
        <is>
          <t>1Q2024</t>
        </is>
      </c>
      <c r="EI2" s="3" t="inlineStr">
        <is>
          <t>2Q2024</t>
        </is>
      </c>
      <c r="EJ2" s="3" t="inlineStr">
        <is>
          <t>3Q2024</t>
        </is>
      </c>
      <c r="EK2" s="3" t="inlineStr">
        <is>
          <t>4Q2024</t>
        </is>
      </c>
      <c r="EL2" s="3" t="inlineStr">
        <is>
          <t>1Q2025</t>
        </is>
      </c>
      <c r="EM2" s="3" t="inlineStr">
        <is>
          <t>2Q2025</t>
        </is>
      </c>
    </row>
    <row r="3" ht="20.25" customFormat="1" customHeight="1" s="2">
      <c r="A3" s="4" t="inlineStr">
        <is>
          <t>P&amp;L</t>
        </is>
      </c>
    </row>
    <row r="4">
      <c r="A4" s="3" t="inlineStr">
        <is>
          <t xml:space="preserve">    营业总收入</t>
        </is>
      </c>
      <c r="B4" s="1" t="n">
        <v>23077.26</v>
      </c>
      <c r="C4" s="1" t="n">
        <v>24886.78</v>
      </c>
      <c r="D4" s="1" t="n">
        <v>27948.05</v>
      </c>
      <c r="E4" s="1" t="n">
        <v>33223.25</v>
      </c>
      <c r="F4" s="1" t="n">
        <v>38080.11</v>
      </c>
      <c r="G4" s="1" t="n">
        <v>42916.62</v>
      </c>
      <c r="H4" s="1" t="n">
        <v>38079.2</v>
      </c>
      <c r="I4" s="1" t="n">
        <v>42390.8</v>
      </c>
      <c r="J4" s="1" t="n">
        <v>39036.16</v>
      </c>
      <c r="K4" s="1" t="n">
        <v>36017.94</v>
      </c>
      <c r="L4" s="1" t="n">
        <v>33285.72</v>
      </c>
      <c r="M4" s="1" t="n">
        <v>30830.23</v>
      </c>
      <c r="N4" s="1" t="n">
        <v>30706.15</v>
      </c>
      <c r="O4" s="1" t="n">
        <v>32840.32</v>
      </c>
      <c r="P4" s="1" t="n">
        <v>37282.87</v>
      </c>
      <c r="Q4" s="1" t="n">
        <v>47819.17</v>
      </c>
      <c r="R4" s="1" t="n">
        <v>55353.14</v>
      </c>
      <c r="S4" s="1" t="n">
        <v>60676.61</v>
      </c>
      <c r="T4" s="1" t="n">
        <v>69695.14</v>
      </c>
      <c r="AA4" s="1" t="n">
        <v>2065.22</v>
      </c>
      <c r="AB4" s="1" t="n">
        <v>2723.05</v>
      </c>
      <c r="AC4" s="1" t="n">
        <v>12069.76</v>
      </c>
      <c r="AD4" s="1" t="n">
        <v>15174.21</v>
      </c>
      <c r="AE4" s="1" t="n">
        <v>16911.37</v>
      </c>
      <c r="AF4" s="1" t="n">
        <v>19759.21</v>
      </c>
      <c r="AG4" s="1" t="n">
        <v>20011.49</v>
      </c>
      <c r="AH4" s="1" t="n">
        <v>20467.11</v>
      </c>
      <c r="AI4" s="1" t="n">
        <v>18984.17</v>
      </c>
      <c r="AJ4" s="1" t="n">
        <v>18204.94</v>
      </c>
      <c r="AK4" s="1" t="n">
        <v>18219.61</v>
      </c>
      <c r="AL4" s="1" t="n">
        <v>14577.7</v>
      </c>
      <c r="AM4" s="1" t="n">
        <v>16541.97</v>
      </c>
      <c r="AN4" s="1" t="n">
        <v>15841.17</v>
      </c>
      <c r="AO4" s="1" t="n">
        <v>17752.97</v>
      </c>
      <c r="AP4" s="1" t="n">
        <v>22737.09</v>
      </c>
      <c r="AQ4" s="1" t="n">
        <v>27909.01</v>
      </c>
      <c r="AR4" s="1" t="n">
        <v>29915.3</v>
      </c>
      <c r="AS4" s="1" t="n">
        <v>33457.01</v>
      </c>
      <c r="AT4" s="1" t="n"/>
      <c r="BN4" s="1" t="n">
        <v>853.8082000000001</v>
      </c>
      <c r="BO4" s="1" t="n">
        <v>1211.416</v>
      </c>
      <c r="BP4" s="1" t="n">
        <v>1338.4736</v>
      </c>
      <c r="BQ4" s="1" t="n">
        <v>19673.5629</v>
      </c>
      <c r="BR4" s="1" t="n">
        <v>1299.5085</v>
      </c>
      <c r="BS4" s="1" t="n">
        <v>1423.5415</v>
      </c>
      <c r="BT4" s="1" t="n">
        <v>1757.24</v>
      </c>
      <c r="BU4" s="1" t="n">
        <v>20406.4866</v>
      </c>
      <c r="BV4" s="1" t="n">
        <v>5957.7045</v>
      </c>
      <c r="BW4" s="1" t="n">
        <v>6112.0583</v>
      </c>
      <c r="BX4" s="1" t="n">
        <v>7053.2416</v>
      </c>
      <c r="BY4" s="1" t="n">
        <v>8825.0499</v>
      </c>
      <c r="BZ4" s="1" t="n">
        <v>7218.838</v>
      </c>
      <c r="CA4" s="1" t="n">
        <v>7955.3687</v>
      </c>
      <c r="CB4" s="1" t="n">
        <v>7616.0286</v>
      </c>
      <c r="CC4" s="1" t="n">
        <v>10433.0118</v>
      </c>
      <c r="CD4" s="1" t="n">
        <v>6918.5314</v>
      </c>
      <c r="CE4" s="1" t="n">
        <v>9992.8364</v>
      </c>
      <c r="CF4" s="1" t="n">
        <v>9056.137199999999</v>
      </c>
      <c r="CG4" s="1" t="n">
        <v>12112.6071</v>
      </c>
      <c r="CH4" s="1" t="n">
        <v>8577.464400000001</v>
      </c>
      <c r="CI4" s="1" t="n">
        <v>11181.7501</v>
      </c>
      <c r="CJ4" s="1" t="n">
        <v>10331.6486</v>
      </c>
      <c r="CK4" s="1" t="n">
        <v>12825.7552</v>
      </c>
      <c r="CL4" s="1" t="n">
        <v>9630.7567</v>
      </c>
      <c r="CM4" s="1" t="n">
        <v>10380.7316</v>
      </c>
      <c r="CN4" s="1" t="n">
        <v>9687.477000000001</v>
      </c>
      <c r="CO4" s="1" t="n">
        <v>8380.2372</v>
      </c>
      <c r="CP4" s="1" t="n">
        <v>8346.3361</v>
      </c>
      <c r="CQ4" s="1" t="n">
        <v>12120.7707</v>
      </c>
      <c r="CR4" s="1" t="n">
        <v>9921.1762</v>
      </c>
      <c r="CS4" s="1" t="n">
        <v>12002.5137</v>
      </c>
      <c r="CT4" s="1" t="n">
        <v>8259.606400000001</v>
      </c>
      <c r="CU4" s="1" t="n">
        <v>10724.5619</v>
      </c>
      <c r="CV4" s="1" t="n">
        <v>9489.374400000001</v>
      </c>
      <c r="CW4" s="1" t="n">
        <v>10562.6221</v>
      </c>
      <c r="CX4" s="1" t="n">
        <v>7685.5591</v>
      </c>
      <c r="CY4" s="1" t="n">
        <v>10519.3833</v>
      </c>
      <c r="CZ4" s="1" t="n">
        <v>7795.8576</v>
      </c>
      <c r="DA4" s="1" t="n">
        <v>10017.1438</v>
      </c>
      <c r="DB4" s="1" t="n">
        <v>9287.203</v>
      </c>
      <c r="DC4" s="1" t="n">
        <v>8932.4113</v>
      </c>
      <c r="DD4" s="1" t="n">
        <v>5420.0985</v>
      </c>
      <c r="DE4" s="1" t="n">
        <v>9646.011</v>
      </c>
      <c r="DF4" s="1" t="n">
        <v>5585.9783</v>
      </c>
      <c r="DG4" s="1" t="n">
        <v>8991.724099999999</v>
      </c>
      <c r="DH4" s="1" t="n">
        <v>6335.6325</v>
      </c>
      <c r="DI4" s="1" t="n">
        <v>9916.895500000001</v>
      </c>
      <c r="DJ4" s="1" t="n">
        <v>6594.1445</v>
      </c>
      <c r="DK4" s="1" t="n">
        <v>9947.830099999999</v>
      </c>
      <c r="DL4" s="1" t="n">
        <v>5518.1922</v>
      </c>
      <c r="DM4" s="1" t="n">
        <v>8645.978499999999</v>
      </c>
      <c r="DN4" s="1" t="n">
        <v>7850.5222</v>
      </c>
      <c r="DO4" s="1" t="n">
        <v>7990.6434</v>
      </c>
      <c r="DP4" s="1" t="n">
        <v>7148.1053</v>
      </c>
      <c r="DQ4" s="1" t="n">
        <v>9851.0502</v>
      </c>
      <c r="DR4" s="1" t="n">
        <v>8190.0978</v>
      </c>
      <c r="DS4" s="1" t="n">
        <v>9562.8727</v>
      </c>
      <c r="DT4" s="1" t="n">
        <v>9319.6922</v>
      </c>
      <c r="DU4" s="1" t="n">
        <v>10210.2086</v>
      </c>
      <c r="DV4" s="1" t="n">
        <v>10871.2344</v>
      </c>
      <c r="DW4" s="1" t="n">
        <v>11865.8512</v>
      </c>
      <c r="DX4" s="1" t="n">
        <v>10682.1758</v>
      </c>
      <c r="DY4" s="1" t="n">
        <v>14399.9055</v>
      </c>
      <c r="DZ4" s="1" t="n">
        <v>14107.1485</v>
      </c>
      <c r="EA4" s="1" t="n">
        <v>13801.8618</v>
      </c>
      <c r="EB4" s="1" t="n">
        <v>12637.8706</v>
      </c>
      <c r="EC4" s="1" t="n">
        <v>14806.2591</v>
      </c>
      <c r="ED4" s="1" t="n">
        <v>14717.0578</v>
      </c>
      <c r="EE4" s="1" t="n">
        <v>15198.2387</v>
      </c>
      <c r="EF4" s="1" t="n">
        <v>14850.834</v>
      </c>
      <c r="EG4" s="1" t="n">
        <v>15910.4829</v>
      </c>
      <c r="EH4" s="1" t="n">
        <v>15052.8683</v>
      </c>
      <c r="EI4" s="1" t="n">
        <v>18404.1429</v>
      </c>
      <c r="EJ4" s="1" t="n">
        <v>14392.1622</v>
      </c>
      <c r="EK4" s="1" t="n">
        <v>21845.9623</v>
      </c>
      <c r="EL4" s="1" t="n">
        <v>16548.0811</v>
      </c>
      <c r="EM4" s="1" t="n">
        <v>21602.87</v>
      </c>
    </row>
    <row r="5">
      <c r="A5" s="2" t="inlineStr">
        <is>
          <t xml:space="preserve">    营业收入</t>
        </is>
      </c>
      <c r="B5" s="1" t="n">
        <v>23077.26</v>
      </c>
      <c r="C5" s="1" t="n">
        <v>24886.78</v>
      </c>
      <c r="D5" s="1" t="n">
        <v>27948.05</v>
      </c>
      <c r="E5" s="1" t="n">
        <v>33223.25</v>
      </c>
      <c r="F5" s="1" t="n">
        <v>38080.11</v>
      </c>
      <c r="G5" s="1" t="n">
        <v>42916.62</v>
      </c>
      <c r="H5" s="1" t="n">
        <v>38079.2</v>
      </c>
      <c r="I5" s="1" t="n">
        <v>42390.8</v>
      </c>
      <c r="J5" s="1" t="n">
        <v>39036.16</v>
      </c>
      <c r="K5" s="1" t="n">
        <v>36017.94</v>
      </c>
      <c r="L5" s="1" t="n">
        <v>33285.72</v>
      </c>
      <c r="M5" s="1" t="n">
        <v>30830.23</v>
      </c>
      <c r="N5" s="1" t="n">
        <v>29729.66</v>
      </c>
      <c r="O5" s="1" t="n">
        <v>31777.59</v>
      </c>
      <c r="P5" s="1" t="n">
        <v>36238.93</v>
      </c>
      <c r="Q5" s="1" t="n">
        <v>46755.98</v>
      </c>
      <c r="R5" s="1" t="n">
        <v>54179.06</v>
      </c>
      <c r="S5" s="1" t="n">
        <v>59566.53</v>
      </c>
      <c r="T5" s="1" t="n">
        <v>68592.74000000001</v>
      </c>
      <c r="AA5" s="1" t="n">
        <v>2065.22</v>
      </c>
      <c r="AB5" s="1" t="n">
        <v>2723.05</v>
      </c>
      <c r="AC5" s="1" t="n">
        <v>12069.76</v>
      </c>
      <c r="AD5" s="1" t="n">
        <v>15174.21</v>
      </c>
      <c r="AE5" s="1" t="n">
        <v>16911.37</v>
      </c>
      <c r="AF5" s="1" t="n">
        <v>19759.21</v>
      </c>
      <c r="AG5" s="1" t="n">
        <v>20011.49</v>
      </c>
      <c r="AH5" s="1" t="n">
        <v>20467.11</v>
      </c>
      <c r="AI5" s="1" t="n">
        <v>18984.17</v>
      </c>
      <c r="AJ5" s="1" t="n">
        <v>18204.94</v>
      </c>
      <c r="AK5" s="1" t="n">
        <v>18219.61</v>
      </c>
      <c r="AL5" s="1" t="n">
        <v>14577.7</v>
      </c>
      <c r="AM5" s="1" t="n">
        <v>16098.92</v>
      </c>
      <c r="AN5" s="1" t="n">
        <v>15309.89</v>
      </c>
      <c r="AO5" s="1" t="n">
        <v>17220.49</v>
      </c>
      <c r="AP5" s="1" t="n">
        <v>22213.28</v>
      </c>
      <c r="AQ5" s="1" t="n">
        <v>27323.41</v>
      </c>
      <c r="AR5" s="1" t="n">
        <v>29345.97</v>
      </c>
      <c r="AS5" s="1" t="n">
        <v>32928.48</v>
      </c>
      <c r="AT5" s="1" t="n"/>
      <c r="BN5" s="1" t="n">
        <v>853.8082000000001</v>
      </c>
      <c r="BO5" s="1" t="n">
        <v>1211.416</v>
      </c>
      <c r="BP5" s="1" t="n">
        <v>1338.4736</v>
      </c>
      <c r="BQ5" s="1" t="n">
        <v>19673.5629</v>
      </c>
      <c r="BR5" s="1" t="n">
        <v>1299.5085</v>
      </c>
      <c r="BS5" s="1" t="n">
        <v>1423.5415</v>
      </c>
      <c r="BT5" s="1" t="n">
        <v>1757.24</v>
      </c>
      <c r="BU5" s="1" t="n">
        <v>20406.4866</v>
      </c>
      <c r="BV5" s="1" t="n">
        <v>5957.7045</v>
      </c>
      <c r="BW5" s="1" t="n">
        <v>6112.0583</v>
      </c>
      <c r="BX5" s="1" t="n">
        <v>7053.2416</v>
      </c>
      <c r="BY5" s="1" t="n">
        <v>8825.0499</v>
      </c>
      <c r="BZ5" s="1" t="n">
        <v>7218.838</v>
      </c>
      <c r="CA5" s="1" t="n">
        <v>7955.3687</v>
      </c>
      <c r="CB5" s="1" t="n">
        <v>7616.0286</v>
      </c>
      <c r="CC5" s="1" t="n">
        <v>10433.0118</v>
      </c>
      <c r="CD5" s="1" t="n">
        <v>6918.5314</v>
      </c>
      <c r="CE5" s="1" t="n">
        <v>9992.8364</v>
      </c>
      <c r="CF5" s="1" t="n">
        <v>9056.137199999999</v>
      </c>
      <c r="CG5" s="1" t="n">
        <v>12112.6071</v>
      </c>
      <c r="CH5" s="1" t="n">
        <v>8577.464400000001</v>
      </c>
      <c r="CI5" s="1" t="n">
        <v>11181.7501</v>
      </c>
      <c r="CJ5" s="1" t="n">
        <v>10331.6486</v>
      </c>
      <c r="CK5" s="1" t="n">
        <v>12825.7552</v>
      </c>
      <c r="CL5" s="1" t="n">
        <v>9630.7567</v>
      </c>
      <c r="CM5" s="1" t="n">
        <v>10380.7316</v>
      </c>
      <c r="CN5" s="1" t="n">
        <v>9687.477000000001</v>
      </c>
      <c r="CO5" s="1" t="n">
        <v>8380.2372</v>
      </c>
      <c r="CP5" s="1" t="n">
        <v>8346.3361</v>
      </c>
      <c r="CQ5" s="1" t="n">
        <v>12120.7707</v>
      </c>
      <c r="CR5" s="1" t="n">
        <v>9921.1762</v>
      </c>
      <c r="CS5" s="1" t="n">
        <v>12002.5137</v>
      </c>
      <c r="CT5" s="1" t="n">
        <v>8259.606400000001</v>
      </c>
      <c r="CU5" s="1" t="n">
        <v>10724.5619</v>
      </c>
      <c r="CV5" s="1" t="n">
        <v>9489.374400000001</v>
      </c>
      <c r="CW5" s="1" t="n">
        <v>10562.6221</v>
      </c>
      <c r="CX5" s="1" t="n">
        <v>7685.5591</v>
      </c>
      <c r="CY5" s="1" t="n">
        <v>10519.3833</v>
      </c>
      <c r="CZ5" s="1" t="n">
        <v>7795.8576</v>
      </c>
      <c r="DA5" s="1" t="n">
        <v>10017.1438</v>
      </c>
      <c r="DB5" s="1" t="n">
        <v>9287.203</v>
      </c>
      <c r="DC5" s="1" t="n">
        <v>8932.4113</v>
      </c>
      <c r="DD5" s="1" t="n">
        <v>5420.0985</v>
      </c>
      <c r="DE5" s="1" t="n">
        <v>9646.011</v>
      </c>
      <c r="DF5" s="1" t="n">
        <v>5585.9783</v>
      </c>
      <c r="DG5" s="1" t="n">
        <v>8991.724099999999</v>
      </c>
      <c r="DH5" s="1" t="n">
        <v>6335.6325</v>
      </c>
      <c r="DI5" s="1" t="n">
        <v>9916.895500000001</v>
      </c>
      <c r="DJ5" s="1" t="n">
        <v>6594.1445</v>
      </c>
      <c r="DK5" s="1" t="n">
        <v>9504.7734</v>
      </c>
      <c r="DL5" s="1" t="n">
        <v>5234.8644</v>
      </c>
      <c r="DM5" s="1" t="n">
        <v>8395.8732</v>
      </c>
      <c r="DN5" s="1" t="n">
        <v>7585.1695</v>
      </c>
      <c r="DO5" s="1" t="n">
        <v>7724.7219</v>
      </c>
      <c r="DP5" s="1" t="n">
        <v>6874.1312</v>
      </c>
      <c r="DQ5" s="1" t="n">
        <v>9593.563099999999</v>
      </c>
      <c r="DR5" s="1" t="n">
        <v>7916.4288</v>
      </c>
      <c r="DS5" s="1" t="n">
        <v>9304.0646</v>
      </c>
      <c r="DT5" s="1" t="n">
        <v>9075.4257</v>
      </c>
      <c r="DU5" s="1" t="n">
        <v>9943.0065</v>
      </c>
      <c r="DV5" s="1" t="n">
        <v>10621.8772</v>
      </c>
      <c r="DW5" s="1" t="n">
        <v>11591.4067</v>
      </c>
      <c r="DX5" s="1" t="n">
        <v>10421.851</v>
      </c>
      <c r="DY5" s="1" t="n">
        <v>14120.8405</v>
      </c>
      <c r="DZ5" s="1" t="n">
        <v>13818.6519</v>
      </c>
      <c r="EA5" s="1" t="n">
        <v>13504.7596</v>
      </c>
      <c r="EB5" s="1" t="n">
        <v>12337.1054</v>
      </c>
      <c r="EC5" s="1" t="n">
        <v>14518.5435</v>
      </c>
      <c r="ED5" s="1" t="n">
        <v>14432.7507</v>
      </c>
      <c r="EE5" s="1" t="n">
        <v>14913.2221</v>
      </c>
      <c r="EF5" s="1" t="n">
        <v>14574.5352</v>
      </c>
      <c r="EG5" s="1" t="n">
        <v>15646.0186</v>
      </c>
      <c r="EH5" s="1" t="n">
        <v>14801.3515</v>
      </c>
      <c r="EI5" s="1" t="n">
        <v>18127.1245</v>
      </c>
      <c r="EJ5" s="1" t="n">
        <v>14096.9357</v>
      </c>
      <c r="EK5" s="1" t="n">
        <v>21567.324</v>
      </c>
      <c r="EL5" s="1" t="n">
        <v>16290.9548</v>
      </c>
      <c r="EM5" s="1" t="n">
        <v>21332.672</v>
      </c>
    </row>
    <row r="6">
      <c r="A6" s="2" t="inlineStr">
        <is>
          <t xml:space="preserve">        其他类金融业务收入</t>
        </is>
      </c>
      <c r="N6" s="1" t="n">
        <v>976.49</v>
      </c>
      <c r="O6" s="1" t="n">
        <v>1062.74</v>
      </c>
      <c r="P6" s="1" t="n">
        <v>1043.95</v>
      </c>
      <c r="Q6" s="1" t="n">
        <v>1063.19</v>
      </c>
      <c r="R6" s="1" t="n">
        <v>1174.08</v>
      </c>
      <c r="S6" s="1" t="n">
        <v>1110.09</v>
      </c>
      <c r="T6" s="1" t="n">
        <v>1102.4</v>
      </c>
      <c r="AM6" s="1" t="n">
        <v>443.06</v>
      </c>
      <c r="AN6" s="1" t="n">
        <v>531.27</v>
      </c>
      <c r="AO6" s="1" t="n">
        <v>532.48</v>
      </c>
      <c r="AP6" s="1" t="n">
        <v>523.8</v>
      </c>
      <c r="AQ6" s="1" t="n">
        <v>585.6</v>
      </c>
      <c r="AR6" s="1" t="n">
        <v>569.3200000000001</v>
      </c>
      <c r="AS6" s="1" t="n">
        <v>528.54</v>
      </c>
      <c r="AT6" s="1" t="n"/>
      <c r="DK6" s="1" t="n">
        <v>443.0567</v>
      </c>
      <c r="DL6" s="1" t="n">
        <v>283.3278</v>
      </c>
      <c r="DM6" s="1" t="n">
        <v>250.1053</v>
      </c>
      <c r="DN6" s="1" t="n">
        <v>265.3527</v>
      </c>
      <c r="DO6" s="1" t="n">
        <v>265.9215</v>
      </c>
      <c r="DP6" s="1" t="n">
        <v>273.9741</v>
      </c>
      <c r="DQ6" s="1" t="n">
        <v>257.487</v>
      </c>
      <c r="DR6" s="1" t="n">
        <v>273.669</v>
      </c>
      <c r="DS6" s="1" t="n">
        <v>258.8081</v>
      </c>
      <c r="DT6" s="1" t="n">
        <v>244.2664</v>
      </c>
      <c r="DU6" s="1" t="n">
        <v>267.2022</v>
      </c>
      <c r="DV6" s="1" t="n">
        <v>249.3572</v>
      </c>
      <c r="DW6" s="1" t="n">
        <v>274.4445</v>
      </c>
      <c r="DX6" s="1" t="n">
        <v>260.3248</v>
      </c>
      <c r="DY6" s="1" t="n">
        <v>279.0651</v>
      </c>
      <c r="DZ6" s="1" t="n">
        <v>288.4966</v>
      </c>
      <c r="EA6" s="1" t="n">
        <v>297.1022</v>
      </c>
      <c r="EB6" s="1" t="n">
        <v>300.7652</v>
      </c>
      <c r="EC6" s="1" t="n">
        <v>287.7157</v>
      </c>
      <c r="ED6" s="1" t="n">
        <v>284.3071</v>
      </c>
      <c r="EE6" s="1" t="n">
        <v>285.0167</v>
      </c>
      <c r="EF6" s="1" t="n">
        <v>276.2987</v>
      </c>
      <c r="EG6" s="1" t="n">
        <v>264.4643</v>
      </c>
      <c r="EH6" s="1" t="n">
        <v>251.5167</v>
      </c>
      <c r="EI6" s="1" t="n">
        <v>277.0184</v>
      </c>
      <c r="EJ6" s="1" t="n">
        <v>295.2265</v>
      </c>
      <c r="EK6" s="1" t="n">
        <v>278.6383</v>
      </c>
      <c r="EL6" s="1" t="n">
        <v>257.1263</v>
      </c>
      <c r="EM6" s="1" t="n">
        <v>270.198</v>
      </c>
    </row>
    <row r="7">
      <c r="A7" s="3" t="inlineStr">
        <is>
          <t>营业总成本</t>
        </is>
      </c>
      <c r="B7" s="1" t="n">
        <v>20599.74</v>
      </c>
      <c r="C7" s="1" t="n">
        <v>22439.06</v>
      </c>
      <c r="D7" s="1" t="n">
        <v>26396.98</v>
      </c>
      <c r="E7" s="1" t="n">
        <v>31596.34</v>
      </c>
      <c r="F7" s="1" t="n">
        <v>35442.5</v>
      </c>
      <c r="G7" s="1" t="n">
        <v>39660.8</v>
      </c>
      <c r="H7" s="1" t="n">
        <v>35746.81</v>
      </c>
      <c r="I7" s="1" t="n">
        <v>39862.6</v>
      </c>
      <c r="J7" s="1" t="n">
        <v>37955.2</v>
      </c>
      <c r="K7" s="1" t="n">
        <v>35804.86</v>
      </c>
      <c r="L7" s="1" t="n">
        <v>35521.3</v>
      </c>
      <c r="M7" s="1" t="n">
        <v>30508.3</v>
      </c>
      <c r="N7" s="1" t="n">
        <v>29926.69</v>
      </c>
      <c r="O7" s="1" t="n">
        <v>30697.95</v>
      </c>
      <c r="P7" s="1" t="n">
        <v>35166.8</v>
      </c>
      <c r="Q7" s="1" t="n">
        <v>45419.18</v>
      </c>
      <c r="R7" s="1" t="n">
        <v>52452.27</v>
      </c>
      <c r="S7" s="1" t="n">
        <v>57338.36</v>
      </c>
      <c r="T7" s="1" t="n">
        <v>66679.75999999999</v>
      </c>
      <c r="AA7" s="1" t="n">
        <v>1644.16</v>
      </c>
      <c r="AB7" s="1" t="n">
        <v>2238.8</v>
      </c>
      <c r="AC7" s="1" t="n">
        <v>11236.95</v>
      </c>
      <c r="AD7" s="1" t="n">
        <v>14329.14</v>
      </c>
      <c r="AE7" s="1" t="n">
        <v>15807.3</v>
      </c>
      <c r="AF7" s="1" t="n">
        <v>18124.18</v>
      </c>
      <c r="AG7" s="1" t="n">
        <v>18602.94</v>
      </c>
      <c r="AH7" s="1" t="n">
        <v>19168.8</v>
      </c>
      <c r="AI7" s="1" t="n">
        <v>18069.98</v>
      </c>
      <c r="AJ7" s="1" t="n">
        <v>17996.77</v>
      </c>
      <c r="AK7" s="1" t="n">
        <v>18696.87</v>
      </c>
      <c r="AL7" s="1" t="n">
        <v>14230.53</v>
      </c>
      <c r="AM7" s="1" t="n">
        <v>16044.75</v>
      </c>
      <c r="AN7" s="1" t="n">
        <v>14529.86</v>
      </c>
      <c r="AO7" s="1" t="n">
        <v>16342.7</v>
      </c>
      <c r="AP7" s="1" t="n">
        <v>21285.17</v>
      </c>
      <c r="AQ7" s="1" t="n">
        <v>25997.35</v>
      </c>
      <c r="AR7" s="1" t="n">
        <v>27438.02</v>
      </c>
      <c r="AS7" s="1" t="n">
        <v>31496.57</v>
      </c>
      <c r="AT7" s="1" t="n"/>
      <c r="BN7" s="1" t="n">
        <v>696.5497</v>
      </c>
      <c r="BO7" s="1" t="n">
        <v>947.6152</v>
      </c>
      <c r="BP7" s="1" t="n">
        <v>1043.1661</v>
      </c>
      <c r="BQ7" s="1" t="n">
        <v>17912.4126</v>
      </c>
      <c r="BR7" s="1" t="n">
        <v>1060.8813</v>
      </c>
      <c r="BS7" s="1" t="n">
        <v>1177.9198</v>
      </c>
      <c r="BT7" s="1" t="n">
        <v>1376.107</v>
      </c>
      <c r="BU7" s="1" t="n">
        <v>18824.1499</v>
      </c>
      <c r="BV7" s="1" t="n">
        <v>5464.092</v>
      </c>
      <c r="BW7" s="1" t="n">
        <v>5772.8593</v>
      </c>
      <c r="BX7" s="1" t="n">
        <v>6729.7698</v>
      </c>
      <c r="BY7" s="1" t="n">
        <v>8430.262000000001</v>
      </c>
      <c r="BZ7" s="1" t="n">
        <v>6814.4534</v>
      </c>
      <c r="CA7" s="1" t="n">
        <v>7514.6867</v>
      </c>
      <c r="CB7" s="1" t="n">
        <v>7094.0775</v>
      </c>
      <c r="CC7" s="1" t="n">
        <v>10173.1273</v>
      </c>
      <c r="CD7" s="1" t="n">
        <v>6407.5535</v>
      </c>
      <c r="CE7" s="1" t="n">
        <v>9399.748600000001</v>
      </c>
      <c r="CF7" s="1" t="n">
        <v>8305.5818</v>
      </c>
      <c r="CG7" s="1" t="n">
        <v>11329.6166</v>
      </c>
      <c r="CH7" s="1" t="n">
        <v>7885.7527</v>
      </c>
      <c r="CI7" s="1" t="n">
        <v>10238.4253</v>
      </c>
      <c r="CJ7" s="1" t="n">
        <v>9432.0033</v>
      </c>
      <c r="CK7" s="1" t="n">
        <v>12104.6156</v>
      </c>
      <c r="CL7" s="1" t="n">
        <v>8814.256100000001</v>
      </c>
      <c r="CM7" s="1" t="n">
        <v>9788.6828</v>
      </c>
      <c r="CN7" s="1" t="n">
        <v>9062.8794</v>
      </c>
      <c r="CO7" s="1" t="n">
        <v>8080.9882</v>
      </c>
      <c r="CP7" s="1" t="n">
        <v>7839.0216</v>
      </c>
      <c r="CQ7" s="1" t="n">
        <v>11329.7772</v>
      </c>
      <c r="CR7" s="1" t="n">
        <v>9162.462100000001</v>
      </c>
      <c r="CS7" s="1" t="n">
        <v>11531.3344</v>
      </c>
      <c r="CT7" s="1" t="n">
        <v>7786.904</v>
      </c>
      <c r="CU7" s="1" t="n">
        <v>10283.0722</v>
      </c>
      <c r="CV7" s="1" t="n">
        <v>9322.075999999999</v>
      </c>
      <c r="CW7" s="1" t="n">
        <v>10563.1523</v>
      </c>
      <c r="CX7" s="1" t="n">
        <v>7605.9273</v>
      </c>
      <c r="CY7" s="1" t="n">
        <v>10390.8429</v>
      </c>
      <c r="CZ7" s="1" t="n">
        <v>7775.7997</v>
      </c>
      <c r="DA7" s="1" t="n">
        <v>10032.288</v>
      </c>
      <c r="DB7" s="1" t="n">
        <v>9260.8977</v>
      </c>
      <c r="DC7" s="1" t="n">
        <v>9435.9691</v>
      </c>
      <c r="DD7" s="1" t="n">
        <v>6203.8891</v>
      </c>
      <c r="DE7" s="1" t="n">
        <v>10620.5405</v>
      </c>
      <c r="DF7" s="1" t="n">
        <v>5538.6246</v>
      </c>
      <c r="DG7" s="1" t="n">
        <v>8691.9103</v>
      </c>
      <c r="DH7" s="1" t="n">
        <v>6344.0756</v>
      </c>
      <c r="DI7" s="1" t="n">
        <v>9933.6929</v>
      </c>
      <c r="DJ7" s="1" t="n">
        <v>6431.3487</v>
      </c>
      <c r="DK7" s="1" t="n">
        <v>9613.3964</v>
      </c>
      <c r="DL7" s="1" t="n">
        <v>5143.5941</v>
      </c>
      <c r="DM7" s="1" t="n">
        <v>8738.352500000001</v>
      </c>
      <c r="DN7" s="1" t="n">
        <v>7466.6114</v>
      </c>
      <c r="DO7" s="1" t="n">
        <v>7164.5104</v>
      </c>
      <c r="DP7" s="1" t="n">
        <v>6697.7337</v>
      </c>
      <c r="DQ7" s="1" t="n">
        <v>9470.359200000001</v>
      </c>
      <c r="DR7" s="1" t="n">
        <v>7509.7736</v>
      </c>
      <c r="DS7" s="1" t="n">
        <v>8832.927900000001</v>
      </c>
      <c r="DT7" s="1" t="n">
        <v>9287.5455</v>
      </c>
      <c r="DU7" s="1" t="n">
        <v>9536.554700000001</v>
      </c>
      <c r="DV7" s="1" t="n">
        <v>10219.9633</v>
      </c>
      <c r="DW7" s="1" t="n">
        <v>11065.2108</v>
      </c>
      <c r="DX7" s="1" t="n">
        <v>10336.3849</v>
      </c>
      <c r="DY7" s="1" t="n">
        <v>13797.624</v>
      </c>
      <c r="DZ7" s="1" t="n">
        <v>13180.4777</v>
      </c>
      <c r="EA7" s="1" t="n">
        <v>12816.8686</v>
      </c>
      <c r="EB7" s="1" t="n">
        <v>11812.6517</v>
      </c>
      <c r="EC7" s="1" t="n">
        <v>14642.2716</v>
      </c>
      <c r="ED7" s="1" t="n">
        <v>13446.0507</v>
      </c>
      <c r="EE7" s="1" t="n">
        <v>13991.97</v>
      </c>
      <c r="EF7" s="1" t="n">
        <v>13949.6405</v>
      </c>
      <c r="EG7" s="1" t="n">
        <v>15950.6961</v>
      </c>
      <c r="EH7" s="1" t="n">
        <v>13786.2799</v>
      </c>
      <c r="EI7" s="1" t="n">
        <v>17710.292</v>
      </c>
      <c r="EJ7" s="1" t="n">
        <v>13504.7024</v>
      </c>
      <c r="EK7" s="1" t="n">
        <v>21678.4834</v>
      </c>
      <c r="EL7" s="1" t="n">
        <v>15237.2369</v>
      </c>
      <c r="EM7" s="1" t="n">
        <v>20060.728</v>
      </c>
    </row>
    <row r="8">
      <c r="A8" s="2" t="inlineStr">
        <is>
          <t xml:space="preserve">        营业成本</t>
        </is>
      </c>
      <c r="B8" s="1" t="n">
        <v>18615.42</v>
      </c>
      <c r="C8" s="1" t="n">
        <v>20088.67</v>
      </c>
      <c r="D8" s="1" t="n">
        <v>23389.92</v>
      </c>
      <c r="E8" s="1" t="n">
        <v>27510.83</v>
      </c>
      <c r="F8" s="1" t="n">
        <v>30379.88</v>
      </c>
      <c r="G8" s="1" t="n">
        <v>33954.4</v>
      </c>
      <c r="H8" s="1" t="n">
        <v>30001.92</v>
      </c>
      <c r="I8" s="1" t="n">
        <v>33742.87</v>
      </c>
      <c r="J8" s="1" t="n">
        <v>32495.81</v>
      </c>
      <c r="K8" s="1" t="n">
        <v>29959.76</v>
      </c>
      <c r="L8" s="1" t="n">
        <v>29277.77</v>
      </c>
      <c r="M8" s="1" t="n">
        <v>25303.29</v>
      </c>
      <c r="N8" s="1" t="n">
        <v>23568.29</v>
      </c>
      <c r="O8" s="1" t="n">
        <v>24938.44</v>
      </c>
      <c r="P8" s="1" t="n">
        <v>28863.68</v>
      </c>
      <c r="Q8" s="1" t="n">
        <v>38669.91</v>
      </c>
      <c r="R8" s="1" t="n">
        <v>45244.94</v>
      </c>
      <c r="S8" s="1" t="n">
        <v>49253.17</v>
      </c>
      <c r="T8" s="1" t="n">
        <v>58876.11</v>
      </c>
      <c r="AA8" s="1" t="n">
        <v>1465.62</v>
      </c>
      <c r="AB8" s="1" t="n">
        <v>2033.2</v>
      </c>
      <c r="AC8" s="1" t="n">
        <v>10185.36</v>
      </c>
      <c r="AD8" s="1" t="n">
        <v>12845.07</v>
      </c>
      <c r="AE8" s="1" t="n">
        <v>13888.57</v>
      </c>
      <c r="AF8" s="1" t="n">
        <v>15632.77</v>
      </c>
      <c r="AG8" s="1" t="n">
        <v>16095.89</v>
      </c>
      <c r="AH8" s="1" t="n">
        <v>16713.12</v>
      </c>
      <c r="AI8" s="1" t="n">
        <v>15959.66</v>
      </c>
      <c r="AJ8" s="1" t="n">
        <v>16035.35</v>
      </c>
      <c r="AK8" s="1" t="n">
        <v>16209.03</v>
      </c>
      <c r="AL8" s="1" t="n">
        <v>12077.13</v>
      </c>
      <c r="AM8" s="1" t="n">
        <v>13505.5</v>
      </c>
      <c r="AN8" s="1" t="n">
        <v>11993.91</v>
      </c>
      <c r="AO8" s="1" t="n">
        <v>13952.75</v>
      </c>
      <c r="AP8" s="1" t="n">
        <v>18209.82</v>
      </c>
      <c r="AQ8" s="1" t="n">
        <v>22835.6</v>
      </c>
      <c r="AR8" s="1" t="n">
        <v>24230.76</v>
      </c>
      <c r="AS8" s="1" t="n">
        <v>27869.9</v>
      </c>
      <c r="AT8" s="1" t="n"/>
      <c r="BN8" s="1" t="n">
        <v>614.3056</v>
      </c>
      <c r="BO8" s="1" t="n">
        <v>851.3117999999999</v>
      </c>
      <c r="BP8" s="1" t="n">
        <v>956.328</v>
      </c>
      <c r="BQ8" s="1" t="n">
        <v>16193.4699</v>
      </c>
      <c r="BR8" s="1" t="n">
        <v>967.5291</v>
      </c>
      <c r="BS8" s="1" t="n">
        <v>1065.6678</v>
      </c>
      <c r="BT8" s="1" t="n">
        <v>1236.2977</v>
      </c>
      <c r="BU8" s="1" t="n">
        <v>16819.1751</v>
      </c>
      <c r="BV8" s="1" t="n">
        <v>4946.505</v>
      </c>
      <c r="BW8" s="1" t="n">
        <v>5238.8553</v>
      </c>
      <c r="BX8" s="1" t="n">
        <v>5861.2948</v>
      </c>
      <c r="BY8" s="1" t="n">
        <v>7343.2669</v>
      </c>
      <c r="BZ8" s="1" t="n">
        <v>6141.874</v>
      </c>
      <c r="CA8" s="1" t="n">
        <v>6703.1928</v>
      </c>
      <c r="CB8" s="1" t="n">
        <v>6369.5815</v>
      </c>
      <c r="CC8" s="1" t="n">
        <v>8296.180399999999</v>
      </c>
      <c r="CD8" s="1" t="n">
        <v>5558.8886</v>
      </c>
      <c r="CE8" s="1" t="n">
        <v>8329.6793</v>
      </c>
      <c r="CF8" s="1" t="n">
        <v>7153.2704</v>
      </c>
      <c r="CG8" s="1" t="n">
        <v>9338.039699999999</v>
      </c>
      <c r="CH8" s="1" t="n">
        <v>6838.6783</v>
      </c>
      <c r="CI8" s="1" t="n">
        <v>8794.092000000001</v>
      </c>
      <c r="CJ8" s="1" t="n">
        <v>8234.6229</v>
      </c>
      <c r="CK8" s="1" t="n">
        <v>10087.0044</v>
      </c>
      <c r="CL8" s="1" t="n">
        <v>7705.6502</v>
      </c>
      <c r="CM8" s="1" t="n">
        <v>8390.241900000001</v>
      </c>
      <c r="CN8" s="1" t="n">
        <v>7768.6466</v>
      </c>
      <c r="CO8" s="1" t="n">
        <v>6137.384</v>
      </c>
      <c r="CP8" s="1" t="n">
        <v>6798.7314</v>
      </c>
      <c r="CQ8" s="1" t="n">
        <v>9914.3879</v>
      </c>
      <c r="CR8" s="1" t="n">
        <v>7783.9989</v>
      </c>
      <c r="CS8" s="1" t="n">
        <v>9245.748600000001</v>
      </c>
      <c r="CT8" s="1" t="n">
        <v>6946.168</v>
      </c>
      <c r="CU8" s="1" t="n">
        <v>9013.4892</v>
      </c>
      <c r="CV8" s="1" t="n">
        <v>8073.9912</v>
      </c>
      <c r="CW8" s="1" t="n">
        <v>8462.157300000001</v>
      </c>
      <c r="CX8" s="1" t="n">
        <v>6785.9126</v>
      </c>
      <c r="CY8" s="1" t="n">
        <v>9249.4395</v>
      </c>
      <c r="CZ8" s="1" t="n">
        <v>6611.783</v>
      </c>
      <c r="DA8" s="1" t="n">
        <v>7312.6262</v>
      </c>
      <c r="DB8" s="1" t="n">
        <v>8386.8182</v>
      </c>
      <c r="DC8" s="1" t="n">
        <v>7822.2167</v>
      </c>
      <c r="DD8" s="1" t="n">
        <v>4798.4007</v>
      </c>
      <c r="DE8" s="1" t="n">
        <v>8270.330400000001</v>
      </c>
      <c r="DF8" s="1" t="n">
        <v>4745.2037</v>
      </c>
      <c r="DG8" s="1" t="n">
        <v>7331.9271</v>
      </c>
      <c r="DH8" s="1" t="n">
        <v>5302.645</v>
      </c>
      <c r="DI8" s="1" t="n">
        <v>7923.516</v>
      </c>
      <c r="DJ8" s="1" t="n">
        <v>5493.6836</v>
      </c>
      <c r="DK8" s="1" t="n">
        <v>8011.8177</v>
      </c>
      <c r="DL8" s="1" t="n">
        <v>4021.478</v>
      </c>
      <c r="DM8" s="1" t="n">
        <v>6041.3073</v>
      </c>
      <c r="DN8" s="1" t="n">
        <v>5904.0927</v>
      </c>
      <c r="DO8" s="1" t="n">
        <v>6089.8164</v>
      </c>
      <c r="DP8" s="1" t="n">
        <v>5325.2424</v>
      </c>
      <c r="DQ8" s="1" t="n">
        <v>7619.2864</v>
      </c>
      <c r="DR8" s="1" t="n">
        <v>6541.9535</v>
      </c>
      <c r="DS8" s="1" t="n">
        <v>7410.7951</v>
      </c>
      <c r="DT8" s="1" t="n">
        <v>7867.7375</v>
      </c>
      <c r="DU8" s="1" t="n">
        <v>7043.1988</v>
      </c>
      <c r="DV8" s="1" t="n">
        <v>8665.270500000001</v>
      </c>
      <c r="DW8" s="1" t="n">
        <v>9544.5479</v>
      </c>
      <c r="DX8" s="1" t="n">
        <v>8848.569100000001</v>
      </c>
      <c r="DY8" s="1" t="n">
        <v>11611.5176</v>
      </c>
      <c r="DZ8" s="1" t="n">
        <v>11516.5633</v>
      </c>
      <c r="EA8" s="1" t="n">
        <v>11319.0345</v>
      </c>
      <c r="EB8" s="1" t="n">
        <v>10385.8947</v>
      </c>
      <c r="EC8" s="1" t="n">
        <v>12023.4466</v>
      </c>
      <c r="ED8" s="1" t="n">
        <v>11860.0842</v>
      </c>
      <c r="EE8" s="1" t="n">
        <v>12370.6767</v>
      </c>
      <c r="EF8" s="1" t="n">
        <v>12046.0314</v>
      </c>
      <c r="EG8" s="1" t="n">
        <v>12976.3759</v>
      </c>
      <c r="EH8" s="1" t="n">
        <v>12035.2061</v>
      </c>
      <c r="EI8" s="1" t="n">
        <v>15834.692</v>
      </c>
      <c r="EJ8" s="1" t="n">
        <v>11752.2489</v>
      </c>
      <c r="EK8" s="1" t="n">
        <v>19253.962</v>
      </c>
      <c r="EL8" s="1" t="n">
        <v>13582.7218</v>
      </c>
      <c r="EM8" s="1" t="n">
        <v>18223.159</v>
      </c>
    </row>
    <row r="9">
      <c r="A9" s="2" t="inlineStr">
        <is>
          <t xml:space="preserve">    税金及附加</t>
        </is>
      </c>
      <c r="B9" s="1" t="n">
        <v>39.48</v>
      </c>
      <c r="C9" s="1" t="n">
        <v>58.25</v>
      </c>
      <c r="D9" s="1" t="n">
        <v>58.64</v>
      </c>
      <c r="E9" s="1" t="n">
        <v>74.65000000000001</v>
      </c>
      <c r="F9" s="1" t="n">
        <v>227.48</v>
      </c>
      <c r="G9" s="1" t="n">
        <v>237.83</v>
      </c>
      <c r="H9" s="1" t="n">
        <v>284.81</v>
      </c>
      <c r="I9" s="1" t="n">
        <v>302.47</v>
      </c>
      <c r="J9" s="1" t="n">
        <v>237.86</v>
      </c>
      <c r="K9" s="1" t="n">
        <v>330.08</v>
      </c>
      <c r="L9" s="1" t="n">
        <v>377.71</v>
      </c>
      <c r="M9" s="1" t="n">
        <v>308.68</v>
      </c>
      <c r="N9" s="1" t="n">
        <v>334.52</v>
      </c>
      <c r="O9" s="1" t="n">
        <v>240.1</v>
      </c>
      <c r="P9" s="1" t="n">
        <v>236.1</v>
      </c>
      <c r="Q9" s="1" t="n">
        <v>240.04</v>
      </c>
      <c r="R9" s="1" t="n">
        <v>325.82</v>
      </c>
      <c r="S9" s="1" t="n">
        <v>303.47</v>
      </c>
      <c r="T9" s="1" t="n">
        <v>378.53</v>
      </c>
      <c r="AA9" s="1" t="n">
        <v>1.82</v>
      </c>
      <c r="AB9" s="1" t="n">
        <v>8.970000000000001</v>
      </c>
      <c r="AC9" s="1" t="n">
        <v>22.88</v>
      </c>
      <c r="AD9" s="1" t="n">
        <v>14.82</v>
      </c>
      <c r="AE9" s="1" t="n">
        <v>108.76</v>
      </c>
      <c r="AF9" s="1" t="n">
        <v>94.78</v>
      </c>
      <c r="AG9" s="1" t="n">
        <v>159.27</v>
      </c>
      <c r="AH9" s="1" t="n">
        <v>154.59</v>
      </c>
      <c r="AI9" s="1" t="n">
        <v>114.24</v>
      </c>
      <c r="AJ9" s="1" t="n">
        <v>146.13</v>
      </c>
      <c r="AK9" s="1" t="n">
        <v>109.65</v>
      </c>
      <c r="AL9" s="1" t="n">
        <v>169.27</v>
      </c>
      <c r="AM9" s="1" t="n">
        <v>174.5</v>
      </c>
      <c r="AN9" s="1" t="n">
        <v>133.24</v>
      </c>
      <c r="AO9" s="1" t="n">
        <v>98.76000000000001</v>
      </c>
      <c r="AP9" s="1" t="n">
        <v>111.66</v>
      </c>
      <c r="AQ9" s="1" t="n">
        <v>170.61</v>
      </c>
      <c r="AR9" s="1" t="n">
        <v>164.02</v>
      </c>
      <c r="AS9" s="1" t="n">
        <v>176.55</v>
      </c>
      <c r="AT9" s="1" t="n"/>
      <c r="BN9" s="1" t="n">
        <v>0.3957</v>
      </c>
      <c r="BO9" s="1" t="n">
        <v>1.4265</v>
      </c>
      <c r="BP9" s="1" t="n">
        <v>0.1833</v>
      </c>
      <c r="BQ9" s="1" t="n">
        <v>37.4784</v>
      </c>
      <c r="BR9" s="1" t="n">
        <v>0.1372</v>
      </c>
      <c r="BS9" s="1" t="n">
        <v>8.8325</v>
      </c>
      <c r="BT9" s="1" t="n">
        <v>9.934699999999999</v>
      </c>
      <c r="BU9" s="1" t="n">
        <v>39.3423</v>
      </c>
      <c r="BV9" s="1" t="n">
        <v>9.6469</v>
      </c>
      <c r="BW9" s="1" t="n">
        <v>13.2326</v>
      </c>
      <c r="BX9" s="1" t="n">
        <v>2.0804</v>
      </c>
      <c r="BY9" s="1" t="n">
        <v>33.6763</v>
      </c>
      <c r="BZ9" s="1" t="n">
        <v>5.3248</v>
      </c>
      <c r="CA9" s="1" t="n">
        <v>9.5</v>
      </c>
      <c r="CB9" s="1" t="n">
        <v>19.2304</v>
      </c>
      <c r="CC9" s="1" t="n">
        <v>40.5941</v>
      </c>
      <c r="CD9" s="1" t="n">
        <v>35.8739</v>
      </c>
      <c r="CE9" s="1" t="n">
        <v>72.8849</v>
      </c>
      <c r="CF9" s="1" t="n">
        <v>54.458</v>
      </c>
      <c r="CG9" s="1" t="n">
        <v>64.2616</v>
      </c>
      <c r="CH9" s="1" t="n">
        <v>28.5884</v>
      </c>
      <c r="CI9" s="1" t="n">
        <v>66.1897</v>
      </c>
      <c r="CJ9" s="1" t="n">
        <v>79.3459</v>
      </c>
      <c r="CK9" s="1" t="n">
        <v>63.7068</v>
      </c>
      <c r="CL9" s="1" t="n">
        <v>59.2875</v>
      </c>
      <c r="CM9" s="1" t="n">
        <v>99.9791</v>
      </c>
      <c r="CN9" s="1" t="n">
        <v>74.628</v>
      </c>
      <c r="CO9" s="1" t="n">
        <v>50.911</v>
      </c>
      <c r="CP9" s="1" t="n">
        <v>76.0878</v>
      </c>
      <c r="CQ9" s="1" t="n">
        <v>78.5043</v>
      </c>
      <c r="CR9" s="1" t="n">
        <v>60.5176</v>
      </c>
      <c r="CS9" s="1" t="n">
        <v>87.35809999999999</v>
      </c>
      <c r="CT9" s="1" t="n">
        <v>60.4982</v>
      </c>
      <c r="CU9" s="1" t="n">
        <v>53.7398</v>
      </c>
      <c r="CV9" s="1" t="n">
        <v>42.3964</v>
      </c>
      <c r="CW9" s="1" t="n">
        <v>81.2282</v>
      </c>
      <c r="CX9" s="1" t="n">
        <v>57.3563</v>
      </c>
      <c r="CY9" s="1" t="n">
        <v>88.7713</v>
      </c>
      <c r="CZ9" s="1" t="n">
        <v>115.1262</v>
      </c>
      <c r="DA9" s="1" t="n">
        <v>68.82299999999999</v>
      </c>
      <c r="DB9" s="1" t="n">
        <v>51.9725</v>
      </c>
      <c r="DC9" s="1" t="n">
        <v>57.6736</v>
      </c>
      <c r="DD9" s="1" t="n">
        <v>52.2851</v>
      </c>
      <c r="DE9" s="1" t="n">
        <v>215.7806</v>
      </c>
      <c r="DF9" s="1" t="n">
        <v>46.6682</v>
      </c>
      <c r="DG9" s="1" t="n">
        <v>122.6026</v>
      </c>
      <c r="DH9" s="1" t="n">
        <v>38.2265</v>
      </c>
      <c r="DI9" s="1" t="n">
        <v>101.1862</v>
      </c>
      <c r="DJ9" s="1" t="n">
        <v>75.2783</v>
      </c>
      <c r="DK9" s="1" t="n">
        <v>99.2183</v>
      </c>
      <c r="DL9" s="1" t="n">
        <v>32.5232</v>
      </c>
      <c r="DM9" s="1" t="n">
        <v>127.4976</v>
      </c>
      <c r="DN9" s="1" t="n">
        <v>80.836</v>
      </c>
      <c r="DO9" s="1" t="n">
        <v>52.4017</v>
      </c>
      <c r="DP9" s="1" t="n">
        <v>18.1546</v>
      </c>
      <c r="DQ9" s="1" t="n">
        <v>88.70699999999999</v>
      </c>
      <c r="DR9" s="1" t="n">
        <v>40.3774</v>
      </c>
      <c r="DS9" s="1" t="n">
        <v>58.3842</v>
      </c>
      <c r="DT9" s="1" t="n">
        <v>28.8311</v>
      </c>
      <c r="DU9" s="1" t="n">
        <v>108.5072</v>
      </c>
      <c r="DV9" s="1" t="n">
        <v>52.5801</v>
      </c>
      <c r="DW9" s="1" t="n">
        <v>59.0786</v>
      </c>
      <c r="DX9" s="1" t="n">
        <v>33.0452</v>
      </c>
      <c r="DY9" s="1" t="n">
        <v>95.33459999999999</v>
      </c>
      <c r="DZ9" s="1" t="n">
        <v>84.2255</v>
      </c>
      <c r="EA9" s="1" t="n">
        <v>86.38849999999999</v>
      </c>
      <c r="EB9" s="1" t="n">
        <v>65.7363</v>
      </c>
      <c r="EC9" s="1" t="n">
        <v>89.46980000000001</v>
      </c>
      <c r="ED9" s="1" t="n">
        <v>84.7595</v>
      </c>
      <c r="EE9" s="1" t="n">
        <v>79.2585</v>
      </c>
      <c r="EF9" s="1" t="n">
        <v>55.7788</v>
      </c>
      <c r="EG9" s="1" t="n">
        <v>83.6728</v>
      </c>
      <c r="EH9" s="1" t="n">
        <v>58.5944</v>
      </c>
      <c r="EI9" s="1" t="n">
        <v>117.9519</v>
      </c>
      <c r="EJ9" s="1" t="n">
        <v>65.996</v>
      </c>
      <c r="EK9" s="1" t="n">
        <v>135.9838</v>
      </c>
      <c r="EL9" s="1" t="n">
        <v>80.88849999999999</v>
      </c>
      <c r="EM9" s="1" t="n">
        <v>136.622</v>
      </c>
    </row>
    <row r="10">
      <c r="A10" s="2" t="inlineStr">
        <is>
          <t xml:space="preserve">    销售费用</t>
        </is>
      </c>
      <c r="B10" s="1" t="n">
        <v>284.07</v>
      </c>
      <c r="C10" s="1" t="n">
        <v>385.25</v>
      </c>
      <c r="D10" s="1" t="n">
        <v>464.4</v>
      </c>
      <c r="E10" s="1" t="n">
        <v>788.13</v>
      </c>
      <c r="F10" s="1" t="n">
        <v>806.97</v>
      </c>
      <c r="G10" s="1" t="n">
        <v>888.7</v>
      </c>
      <c r="H10" s="1" t="n">
        <v>850.52</v>
      </c>
      <c r="I10" s="1" t="n">
        <v>960.63</v>
      </c>
      <c r="J10" s="1" t="n">
        <v>891.9299999999999</v>
      </c>
      <c r="K10" s="1" t="n">
        <v>964.88</v>
      </c>
      <c r="L10" s="1" t="n">
        <v>1446.96</v>
      </c>
      <c r="M10" s="1" t="n">
        <v>853.9400000000001</v>
      </c>
      <c r="N10" s="1" t="n">
        <v>1357.97</v>
      </c>
      <c r="O10" s="1" t="n">
        <v>1308.5</v>
      </c>
      <c r="P10" s="1" t="n">
        <v>1176.57</v>
      </c>
      <c r="Q10" s="1" t="n">
        <v>1457.51</v>
      </c>
      <c r="R10" s="1" t="n">
        <v>1483.43</v>
      </c>
      <c r="S10" s="1" t="n">
        <v>1587.51</v>
      </c>
      <c r="T10" s="1" t="n">
        <v>822.36</v>
      </c>
      <c r="AA10" s="1" t="n">
        <v>35.04</v>
      </c>
      <c r="AB10" s="1" t="n">
        <v>32.92</v>
      </c>
      <c r="AC10" s="1" t="n">
        <v>200.05</v>
      </c>
      <c r="AD10" s="1" t="n">
        <v>348.43</v>
      </c>
      <c r="AE10" s="1" t="n">
        <v>337.32</v>
      </c>
      <c r="AF10" s="1" t="n">
        <v>353</v>
      </c>
      <c r="AG10" s="1" t="n">
        <v>374.79</v>
      </c>
      <c r="AH10" s="1" t="n">
        <v>431.69</v>
      </c>
      <c r="AI10" s="1" t="n">
        <v>312.61</v>
      </c>
      <c r="AJ10" s="1" t="n">
        <v>344.05</v>
      </c>
      <c r="AK10" s="1" t="n">
        <v>510.65</v>
      </c>
      <c r="AL10" s="1" t="n">
        <v>538.17</v>
      </c>
      <c r="AM10" s="1" t="n">
        <v>451.73</v>
      </c>
      <c r="AN10" s="1" t="n">
        <v>461.06</v>
      </c>
      <c r="AO10" s="1" t="n">
        <v>365.25</v>
      </c>
      <c r="AP10" s="1" t="n">
        <v>649.5</v>
      </c>
      <c r="AQ10" s="1" t="n">
        <v>707.51</v>
      </c>
      <c r="AR10" s="1" t="n">
        <v>688.1900000000001</v>
      </c>
      <c r="AS10" s="1" t="n">
        <v>289.34423726</v>
      </c>
      <c r="AT10" s="1" t="n"/>
      <c r="BN10" s="1" t="n">
        <v>7.0211</v>
      </c>
      <c r="BO10" s="1" t="n">
        <v>28.0149</v>
      </c>
      <c r="BP10" s="1" t="n">
        <v>8.5151</v>
      </c>
      <c r="BQ10" s="1" t="n">
        <v>240.5224</v>
      </c>
      <c r="BR10" s="1" t="n">
        <v>6.9752</v>
      </c>
      <c r="BS10" s="1" t="n">
        <v>25.9429</v>
      </c>
      <c r="BT10" s="1" t="n">
        <v>9.7934</v>
      </c>
      <c r="BU10" s="1" t="n">
        <v>342.5352</v>
      </c>
      <c r="BV10" s="1" t="n">
        <v>73.3781</v>
      </c>
      <c r="BW10" s="1" t="n">
        <v>126.6736</v>
      </c>
      <c r="BX10" s="1" t="n">
        <v>140.5564</v>
      </c>
      <c r="BY10" s="1" t="n">
        <v>123.7919</v>
      </c>
      <c r="BZ10" s="1" t="n">
        <v>153.854</v>
      </c>
      <c r="CA10" s="1" t="n">
        <v>194.5754</v>
      </c>
      <c r="CB10" s="1" t="n">
        <v>191.9904</v>
      </c>
      <c r="CC10" s="1" t="n">
        <v>247.7081</v>
      </c>
      <c r="CD10" s="1" t="n">
        <v>148.46</v>
      </c>
      <c r="CE10" s="1" t="n">
        <v>188.8609</v>
      </c>
      <c r="CF10" s="1" t="n">
        <v>290.1248</v>
      </c>
      <c r="CG10" s="1" t="n">
        <v>179.5271</v>
      </c>
      <c r="CH10" s="1" t="n">
        <v>153.1179</v>
      </c>
      <c r="CI10" s="1" t="n">
        <v>199.8869</v>
      </c>
      <c r="CJ10" s="1" t="n">
        <v>202.4334</v>
      </c>
      <c r="CK10" s="1" t="n">
        <v>333.259</v>
      </c>
      <c r="CL10" s="1" t="n">
        <v>166.5211</v>
      </c>
      <c r="CM10" s="1" t="n">
        <v>208.2655</v>
      </c>
      <c r="CN10" s="1" t="n">
        <v>190.6915</v>
      </c>
      <c r="CO10" s="1" t="n">
        <v>285.0435</v>
      </c>
      <c r="CP10" s="1" t="n">
        <v>155.8821</v>
      </c>
      <c r="CQ10" s="1" t="n">
        <v>275.8063</v>
      </c>
      <c r="CR10" s="1" t="n">
        <v>159.9658</v>
      </c>
      <c r="CS10" s="1" t="n">
        <v>368.9741</v>
      </c>
      <c r="CT10" s="1" t="n">
        <v>134.4137</v>
      </c>
      <c r="CU10" s="1" t="n">
        <v>178.1949</v>
      </c>
      <c r="CV10" s="1" t="n">
        <v>184.5405</v>
      </c>
      <c r="CW10" s="1" t="n">
        <v>394.7802</v>
      </c>
      <c r="CX10" s="1" t="n">
        <v>125.8499</v>
      </c>
      <c r="CY10" s="1" t="n">
        <v>218.2034</v>
      </c>
      <c r="CZ10" s="1" t="n">
        <v>168.1191</v>
      </c>
      <c r="DA10" s="1" t="n">
        <v>452.7112</v>
      </c>
      <c r="DB10" s="1" t="n">
        <v>240.399</v>
      </c>
      <c r="DC10" s="1" t="n">
        <v>270.2549</v>
      </c>
      <c r="DD10" s="1" t="n">
        <v>181.3678</v>
      </c>
      <c r="DE10" s="1" t="n">
        <v>754.9363</v>
      </c>
      <c r="DF10" s="1" t="n">
        <v>197.8921</v>
      </c>
      <c r="DG10" s="1" t="n">
        <v>340.2776</v>
      </c>
      <c r="DH10" s="1" t="n">
        <v>132.0567</v>
      </c>
      <c r="DI10" s="1" t="n">
        <v>183.7089</v>
      </c>
      <c r="DJ10" s="1" t="n">
        <v>166.5615</v>
      </c>
      <c r="DK10" s="1" t="n">
        <v>285.1678</v>
      </c>
      <c r="DL10" s="1" t="n">
        <v>246.57</v>
      </c>
      <c r="DM10" s="1" t="n">
        <v>659.6728000000001</v>
      </c>
      <c r="DN10" s="1" t="n">
        <v>196.1719</v>
      </c>
      <c r="DO10" s="1" t="n">
        <v>264.8892</v>
      </c>
      <c r="DP10" s="1" t="n">
        <v>505.1452</v>
      </c>
      <c r="DQ10" s="1" t="n">
        <v>342.2934</v>
      </c>
      <c r="DR10" s="1" t="n">
        <v>138.6129</v>
      </c>
      <c r="DS10" s="1" t="n">
        <v>226.6328</v>
      </c>
      <c r="DT10" s="1" t="n">
        <v>365.5444</v>
      </c>
      <c r="DU10" s="1" t="n">
        <v>445.7818</v>
      </c>
      <c r="DV10" s="1" t="n">
        <v>306.4302</v>
      </c>
      <c r="DW10" s="1" t="n">
        <v>343.0686</v>
      </c>
      <c r="DX10" s="1" t="n">
        <v>300.1942</v>
      </c>
      <c r="DY10" s="1" t="n">
        <v>507.8206</v>
      </c>
      <c r="DZ10" s="1" t="n">
        <v>363.1051</v>
      </c>
      <c r="EA10" s="1" t="n">
        <v>344.4008</v>
      </c>
      <c r="EB10" s="1" t="n">
        <v>261.0522</v>
      </c>
      <c r="EC10" s="1" t="n">
        <v>514.873</v>
      </c>
      <c r="ED10" s="1" t="n">
        <v>290.1186</v>
      </c>
      <c r="EE10" s="1" t="n">
        <v>398.0759</v>
      </c>
      <c r="EF10" s="1" t="n">
        <v>372.5345</v>
      </c>
      <c r="EG10" s="1" t="n">
        <v>526.7778</v>
      </c>
      <c r="EH10" s="1" t="n">
        <v>338.9824</v>
      </c>
      <c r="EI10" s="1" t="n">
        <v>366.095</v>
      </c>
      <c r="EJ10" s="1" t="n">
        <v>340.3139</v>
      </c>
      <c r="EK10" s="1" t="n">
        <v>-223.0307</v>
      </c>
      <c r="EL10" s="1" t="n">
        <v>154.7546</v>
      </c>
      <c r="EM10" s="1" t="n">
        <v>163.137</v>
      </c>
    </row>
    <row r="11">
      <c r="A11" s="2" t="inlineStr">
        <is>
          <t xml:space="preserve">    管理费用</t>
        </is>
      </c>
      <c r="B11" s="1" t="n">
        <v>1243.59</v>
      </c>
      <c r="C11" s="1" t="n">
        <v>1659.13</v>
      </c>
      <c r="D11" s="1" t="n">
        <v>1683.63</v>
      </c>
      <c r="E11" s="1" t="n">
        <v>2260.88</v>
      </c>
      <c r="F11" s="1" t="n">
        <v>3081.52</v>
      </c>
      <c r="G11" s="1" t="n">
        <v>3397.72</v>
      </c>
      <c r="H11" s="1" t="n">
        <v>3578.33</v>
      </c>
      <c r="I11" s="1" t="n">
        <v>3728.79</v>
      </c>
      <c r="J11" s="1" t="n">
        <v>3609.66</v>
      </c>
      <c r="K11" s="1" t="n">
        <v>3361.76</v>
      </c>
      <c r="L11" s="1" t="n">
        <v>3562.68</v>
      </c>
      <c r="M11" s="1" t="n">
        <v>3609.86</v>
      </c>
      <c r="N11" s="1" t="n">
        <v>2501.4</v>
      </c>
      <c r="O11" s="1" t="n">
        <v>2380.52</v>
      </c>
      <c r="P11" s="1" t="n">
        <v>2619.88</v>
      </c>
      <c r="Q11" s="1" t="n">
        <v>2789.58</v>
      </c>
      <c r="R11" s="1" t="n">
        <v>3116.97</v>
      </c>
      <c r="S11" s="1" t="n">
        <v>3403.9</v>
      </c>
      <c r="T11" s="162" t="n">
        <v>3523.05</v>
      </c>
      <c r="AA11" s="1" t="n">
        <v>154.85</v>
      </c>
      <c r="AB11" s="1" t="n">
        <v>164.27</v>
      </c>
      <c r="AC11" s="1" t="n">
        <v>615.62</v>
      </c>
      <c r="AD11" s="1" t="n">
        <v>802.24</v>
      </c>
      <c r="AE11" s="1" t="n">
        <v>1125.08</v>
      </c>
      <c r="AF11" s="1" t="n">
        <v>1511.72</v>
      </c>
      <c r="AG11" s="1" t="n">
        <v>1572.26</v>
      </c>
      <c r="AH11" s="1" t="n">
        <v>1558.12</v>
      </c>
      <c r="AI11" s="1" t="n">
        <v>1450.26</v>
      </c>
      <c r="AJ11" s="1" t="n">
        <v>1445.57</v>
      </c>
      <c r="AK11" s="1" t="n">
        <v>1467.13</v>
      </c>
      <c r="AL11" s="1" t="n">
        <v>1463.42</v>
      </c>
      <c r="AM11" s="1" t="n">
        <v>1148.59</v>
      </c>
      <c r="AN11" s="1" t="n">
        <v>1144.7</v>
      </c>
      <c r="AO11" s="1" t="n">
        <v>1032.31</v>
      </c>
      <c r="AP11" s="1" t="n">
        <v>1221.24</v>
      </c>
      <c r="AQ11" s="1" t="n">
        <v>1341.88</v>
      </c>
      <c r="AR11" s="1" t="n">
        <v>1341.88</v>
      </c>
      <c r="AS11" s="1" t="n">
        <v>1339.62</v>
      </c>
      <c r="AT11" s="1" t="n"/>
      <c r="BN11" s="1" t="n">
        <v>89.0121</v>
      </c>
      <c r="BO11" s="1" t="n">
        <v>65.8424</v>
      </c>
      <c r="BP11" s="1" t="n">
        <v>87.1271</v>
      </c>
      <c r="BQ11" s="1" t="n">
        <v>1001.6082</v>
      </c>
      <c r="BR11" s="1" t="n">
        <v>78.99460000000001</v>
      </c>
      <c r="BS11" s="1" t="n">
        <v>85.274</v>
      </c>
      <c r="BT11" s="1" t="n">
        <v>110.1213</v>
      </c>
      <c r="BU11" s="1" t="n">
        <v>1384.7395</v>
      </c>
      <c r="BV11" s="1" t="n">
        <v>303.3739</v>
      </c>
      <c r="BW11" s="1" t="n">
        <v>312.2491</v>
      </c>
      <c r="BX11" s="1" t="n">
        <v>463.6005</v>
      </c>
      <c r="BY11" s="1" t="n">
        <v>604.4076</v>
      </c>
      <c r="BZ11" s="1" t="n">
        <v>354.3649</v>
      </c>
      <c r="CA11" s="1" t="n">
        <v>447.8769</v>
      </c>
      <c r="CB11" s="1" t="n">
        <v>438.6917</v>
      </c>
      <c r="CC11" s="1" t="n">
        <v>1019.9512</v>
      </c>
      <c r="CD11" s="1" t="n">
        <v>516.2153</v>
      </c>
      <c r="CE11" s="1" t="n">
        <v>608.8691</v>
      </c>
      <c r="CF11" s="1" t="n">
        <v>609.5255</v>
      </c>
      <c r="CG11" s="1" t="n">
        <v>1346.9143</v>
      </c>
      <c r="CH11" s="1" t="n">
        <v>731.5433</v>
      </c>
      <c r="CI11" s="1" t="n">
        <v>780.1781999999999</v>
      </c>
      <c r="CJ11" s="1" t="n">
        <v>779.1001</v>
      </c>
      <c r="CK11" s="1" t="n">
        <v>1106.9034</v>
      </c>
      <c r="CL11" s="1" t="n">
        <v>733.6248000000001</v>
      </c>
      <c r="CM11" s="1" t="n">
        <v>838.638</v>
      </c>
      <c r="CN11" s="1" t="n">
        <v>795.6737000000001</v>
      </c>
      <c r="CO11" s="1" t="n">
        <v>1210.3971</v>
      </c>
      <c r="CP11" s="1" t="n">
        <v>729.7859</v>
      </c>
      <c r="CQ11" s="1" t="n">
        <v>828.3385</v>
      </c>
      <c r="CR11" s="1" t="n">
        <v>807.9951</v>
      </c>
      <c r="CS11" s="1" t="n">
        <v>1362.6742</v>
      </c>
      <c r="CT11" s="1" t="n">
        <v>652.5133</v>
      </c>
      <c r="CU11" s="1" t="n">
        <v>797.7426</v>
      </c>
      <c r="CV11" s="1" t="n">
        <v>800.8623</v>
      </c>
      <c r="CW11" s="1" t="n">
        <v>1358.5421</v>
      </c>
      <c r="CX11" s="1" t="n">
        <v>697.998</v>
      </c>
      <c r="CY11" s="1" t="n">
        <v>747.5741</v>
      </c>
      <c r="CZ11" s="1" t="n">
        <v>722.8218000000001</v>
      </c>
      <c r="DA11" s="1" t="n">
        <v>1193.3689</v>
      </c>
      <c r="DB11" s="1" t="n">
        <v>625.7756000000001</v>
      </c>
      <c r="DC11" s="1" t="n">
        <v>841.3543</v>
      </c>
      <c r="DD11" s="1" t="n">
        <v>822.5239</v>
      </c>
      <c r="DE11" s="1" t="n">
        <v>1273.0264</v>
      </c>
      <c r="DF11" s="1" t="n">
        <v>612.6112000000001</v>
      </c>
      <c r="DG11" s="1" t="n">
        <v>850.8043</v>
      </c>
      <c r="DH11" s="1" t="n">
        <v>726.1129</v>
      </c>
      <c r="DI11" s="1" t="n">
        <v>1420.3357</v>
      </c>
      <c r="DJ11" s="1" t="n">
        <v>629.4886</v>
      </c>
      <c r="DK11" s="1" t="n">
        <v>519.1044000000001</v>
      </c>
      <c r="DL11" s="1" t="n">
        <v>739.6593</v>
      </c>
      <c r="DM11" s="1" t="n">
        <v>613.1497000000001</v>
      </c>
      <c r="DN11" s="1" t="n">
        <v>635.8517000000001</v>
      </c>
      <c r="DO11" s="1" t="n">
        <v>508.8514</v>
      </c>
      <c r="DP11" s="1" t="n">
        <v>545.3024</v>
      </c>
      <c r="DQ11" s="1" t="n">
        <v>690.5182</v>
      </c>
      <c r="DR11" s="1" t="n">
        <v>532.8672</v>
      </c>
      <c r="DS11" s="1" t="n">
        <v>499.4379</v>
      </c>
      <c r="DT11" s="1" t="n">
        <v>486.8238</v>
      </c>
      <c r="DU11" s="1" t="n">
        <v>1100.7495</v>
      </c>
      <c r="DV11" s="1" t="n">
        <v>663.7655999999999</v>
      </c>
      <c r="DW11" s="1" t="n">
        <v>557.4758</v>
      </c>
      <c r="DX11" s="1" t="n">
        <v>635.8608</v>
      </c>
      <c r="DY11" s="1" t="n">
        <v>932.4755</v>
      </c>
      <c r="DZ11" s="1" t="n">
        <v>744.8935</v>
      </c>
      <c r="EA11" s="1" t="n">
        <v>596.9871000000001</v>
      </c>
      <c r="EB11" s="1" t="n">
        <v>585.9387</v>
      </c>
      <c r="EC11" s="1" t="n">
        <v>1189.152</v>
      </c>
      <c r="ED11" s="1" t="n">
        <v>662.5563</v>
      </c>
      <c r="EE11" s="1" t="n">
        <v>679.3280999999999</v>
      </c>
      <c r="EF11" s="1" t="n">
        <v>799.9068</v>
      </c>
      <c r="EG11" s="1" t="n">
        <v>1262.1122</v>
      </c>
      <c r="EH11" s="1" t="n">
        <v>707.3618</v>
      </c>
      <c r="EI11" s="1" t="n">
        <v>632.2624</v>
      </c>
      <c r="EJ11" s="1" t="n">
        <v>678.7791999999999</v>
      </c>
      <c r="EK11" s="1" t="n">
        <v>1504.6507</v>
      </c>
      <c r="EL11" s="1" t="n">
        <v>669.8719</v>
      </c>
      <c r="EM11" s="1" t="n">
        <v>703.006</v>
      </c>
    </row>
    <row r="12">
      <c r="A12" s="2" t="inlineStr">
        <is>
          <t xml:space="preserve">    研发费用</t>
        </is>
      </c>
      <c r="N12" s="1" t="n">
        <v>1689.01</v>
      </c>
      <c r="O12" s="1" t="n">
        <v>1888.39</v>
      </c>
      <c r="P12" s="1" t="n">
        <v>2002.74</v>
      </c>
      <c r="Q12" s="1" t="n">
        <v>2109.69</v>
      </c>
      <c r="R12" s="1" t="n">
        <v>2274.63</v>
      </c>
      <c r="S12" s="1" t="n">
        <v>2749.53</v>
      </c>
      <c r="T12" s="162" t="n">
        <v>3009.01</v>
      </c>
      <c r="AM12" s="1" t="n">
        <v>431.54</v>
      </c>
      <c r="AN12" s="1" t="n">
        <v>785.9299999999999</v>
      </c>
      <c r="AO12" s="1" t="n">
        <v>882.4400000000001</v>
      </c>
      <c r="AP12" s="1" t="n">
        <v>1034.08</v>
      </c>
      <c r="AQ12" s="1" t="n">
        <v>945.28</v>
      </c>
      <c r="AR12" s="1" t="n">
        <v>1070.7</v>
      </c>
      <c r="AS12" s="1" t="n">
        <v>1347.83</v>
      </c>
      <c r="AT12" s="1" t="n"/>
      <c r="DK12" s="1" t="n">
        <v>431.5443</v>
      </c>
      <c r="DL12" s="1" t="n">
        <v>218.8832</v>
      </c>
      <c r="DM12" s="1" t="n">
        <v>1038.5873</v>
      </c>
      <c r="DN12" s="1" t="n">
        <v>446.8809</v>
      </c>
      <c r="DO12" s="1" t="n">
        <v>339.0519</v>
      </c>
      <c r="DP12" s="1" t="n">
        <v>421.6997</v>
      </c>
      <c r="DQ12" s="1" t="n">
        <v>680.7563</v>
      </c>
      <c r="DR12" s="1" t="n">
        <v>293.5114</v>
      </c>
      <c r="DS12" s="1" t="n">
        <v>588.927</v>
      </c>
      <c r="DT12" s="1" t="n">
        <v>442.4543</v>
      </c>
      <c r="DU12" s="1" t="n">
        <v>677.8459</v>
      </c>
      <c r="DV12" s="1" t="n">
        <v>550.9482</v>
      </c>
      <c r="DW12" s="1" t="n">
        <v>483.128</v>
      </c>
      <c r="DX12" s="1" t="n">
        <v>492.1553</v>
      </c>
      <c r="DY12" s="1" t="n">
        <v>583.456</v>
      </c>
      <c r="DZ12" s="1" t="n">
        <v>454.6945</v>
      </c>
      <c r="EA12" s="1" t="n">
        <v>490.5892</v>
      </c>
      <c r="EB12" s="1" t="n">
        <v>517.6805000000001</v>
      </c>
      <c r="EC12" s="1" t="n">
        <v>811.6672</v>
      </c>
      <c r="ED12" s="1" t="n">
        <v>518.9694</v>
      </c>
      <c r="EE12" s="1" t="n">
        <v>551.7309</v>
      </c>
      <c r="EF12" s="1" t="n">
        <v>634.7047</v>
      </c>
      <c r="EG12" s="1" t="n">
        <v>1044.1223</v>
      </c>
      <c r="EH12" s="1" t="n">
        <v>612.6184</v>
      </c>
      <c r="EI12" s="1" t="n">
        <v>735.21</v>
      </c>
      <c r="EJ12" s="1" t="n">
        <v>648.2046</v>
      </c>
      <c r="EK12" s="1" t="n">
        <v>1012.9799</v>
      </c>
      <c r="EL12" s="1" t="n">
        <v>705.9875</v>
      </c>
      <c r="EM12" s="1" t="n">
        <v>863.578</v>
      </c>
    </row>
    <row r="13">
      <c r="A13" s="2" t="inlineStr">
        <is>
          <t xml:space="preserve">    财务费用</t>
        </is>
      </c>
      <c r="B13" s="1" t="n">
        <v>-135.57</v>
      </c>
      <c r="C13" s="1" t="n">
        <v>-45.34</v>
      </c>
      <c r="D13" s="1" t="n">
        <v>182.5</v>
      </c>
      <c r="E13" s="1" t="n">
        <v>135.21</v>
      </c>
      <c r="F13" s="1" t="n">
        <v>-40.2</v>
      </c>
      <c r="G13" s="1" t="n">
        <v>-87.91</v>
      </c>
      <c r="H13" s="1" t="n">
        <v>-84.63</v>
      </c>
      <c r="I13" s="1" t="n">
        <v>-133.57</v>
      </c>
      <c r="J13" s="1" t="n">
        <v>-181.28</v>
      </c>
      <c r="K13" s="1" t="n">
        <v>-477</v>
      </c>
      <c r="L13" s="1" t="n">
        <v>-641.46</v>
      </c>
      <c r="M13" s="1" t="n">
        <v>-309.69</v>
      </c>
      <c r="N13" s="1" t="n">
        <v>-380.54</v>
      </c>
      <c r="O13" s="1" t="n">
        <v>-139.66</v>
      </c>
      <c r="P13" s="1" t="n">
        <v>168.47</v>
      </c>
      <c r="Q13" s="1" t="n">
        <v>40.18</v>
      </c>
      <c r="R13" s="1" t="n">
        <v>-97.81</v>
      </c>
      <c r="S13" s="1" t="n">
        <v>7.45</v>
      </c>
      <c r="T13" s="162" t="n">
        <v>44.55</v>
      </c>
      <c r="AA13" s="1" t="n">
        <v>-29.1</v>
      </c>
      <c r="AB13" s="1" t="n">
        <v>-13.67</v>
      </c>
      <c r="AC13" s="1" t="n">
        <v>95.06999999999999</v>
      </c>
      <c r="AD13" s="1" t="n">
        <v>84.22</v>
      </c>
      <c r="AE13" s="1" t="n">
        <v>-8.98</v>
      </c>
      <c r="AF13" s="1" t="n">
        <v>-27.55</v>
      </c>
      <c r="AG13" s="1" t="n">
        <v>-11.27</v>
      </c>
      <c r="AH13" s="1" t="n">
        <v>-45.06</v>
      </c>
      <c r="AI13" s="1" t="n">
        <v>-105.79</v>
      </c>
      <c r="AJ13" s="1" t="n">
        <v>-92.12</v>
      </c>
      <c r="AK13" s="1" t="n">
        <v>-253.59</v>
      </c>
      <c r="AL13" s="1" t="n">
        <v>-218.88</v>
      </c>
      <c r="AM13" s="1" t="n">
        <v>-155.03</v>
      </c>
      <c r="AN13" s="1" t="n">
        <v>-30.3</v>
      </c>
      <c r="AO13" s="1" t="n">
        <v>-36.45</v>
      </c>
      <c r="AP13" s="1" t="n">
        <v>1.51</v>
      </c>
      <c r="AQ13" s="1" t="n">
        <v>-55.23</v>
      </c>
      <c r="AR13" s="1" t="n">
        <v>-78.14</v>
      </c>
      <c r="AS13" s="1" t="n">
        <v>45.14</v>
      </c>
      <c r="AT13" s="1" t="n"/>
      <c r="BN13" s="1" t="n">
        <v>-13.3074</v>
      </c>
      <c r="BO13" s="1" t="n">
        <v>-15.794</v>
      </c>
      <c r="BP13" s="1" t="n">
        <v>-9.668100000000001</v>
      </c>
      <c r="BQ13" s="1" t="n">
        <v>-96.7958</v>
      </c>
      <c r="BR13" s="1" t="n">
        <v>-11.1504</v>
      </c>
      <c r="BS13" s="1" t="n">
        <v>-2.517</v>
      </c>
      <c r="BT13" s="1" t="n">
        <v>-14.5779</v>
      </c>
      <c r="BU13" s="1" t="n">
        <v>-17.096</v>
      </c>
      <c r="BV13" s="1" t="n">
        <v>28.6689</v>
      </c>
      <c r="BW13" s="1" t="n">
        <v>66.3974</v>
      </c>
      <c r="BX13" s="1" t="n">
        <v>61.2573</v>
      </c>
      <c r="BY13" s="1" t="n">
        <v>26.1756</v>
      </c>
      <c r="BZ13" s="1" t="n">
        <v>62.2309</v>
      </c>
      <c r="CA13" s="1" t="n">
        <v>21.9849</v>
      </c>
      <c r="CB13" s="1" t="n">
        <v>2.7397</v>
      </c>
      <c r="CC13" s="1" t="n">
        <v>48.2591</v>
      </c>
      <c r="CD13" s="1" t="n">
        <v>14.416</v>
      </c>
      <c r="CE13" s="1" t="n">
        <v>-23.3971</v>
      </c>
      <c r="CF13" s="1" t="n">
        <v>37.5352</v>
      </c>
      <c r="CG13" s="1" t="n">
        <v>-68.7522</v>
      </c>
      <c r="CH13" s="1" t="n">
        <v>-11.9861</v>
      </c>
      <c r="CI13" s="1" t="n">
        <v>-15.5657</v>
      </c>
      <c r="CJ13" s="1" t="n">
        <v>-8.2745</v>
      </c>
      <c r="CK13" s="1" t="n">
        <v>-52.0812</v>
      </c>
      <c r="CL13" s="1" t="n">
        <v>-17.5478</v>
      </c>
      <c r="CM13" s="1" t="n">
        <v>6.2736</v>
      </c>
      <c r="CN13" s="1" t="n">
        <v>0.452</v>
      </c>
      <c r="CO13" s="1" t="n">
        <v>-73.807</v>
      </c>
      <c r="CP13" s="1" t="n">
        <v>10.515</v>
      </c>
      <c r="CQ13" s="1" t="n">
        <v>-55.5757</v>
      </c>
      <c r="CR13" s="1" t="n">
        <v>15.2802</v>
      </c>
      <c r="CS13" s="1" t="n">
        <v>-103.7918</v>
      </c>
      <c r="CT13" s="1" t="n">
        <v>-29.9941</v>
      </c>
      <c r="CU13" s="1" t="n">
        <v>-75.7915</v>
      </c>
      <c r="CV13" s="1" t="n">
        <v>13.9759</v>
      </c>
      <c r="CW13" s="1" t="n">
        <v>-89.46729999999999</v>
      </c>
      <c r="CX13" s="1" t="n">
        <v>-20.085</v>
      </c>
      <c r="CY13" s="1" t="n">
        <v>-72.03579999999999</v>
      </c>
      <c r="CZ13" s="1" t="n">
        <v>-166.5773</v>
      </c>
      <c r="DA13" s="1" t="n">
        <v>-218.3034</v>
      </c>
      <c r="DB13" s="1" t="n">
        <v>-69.9967</v>
      </c>
      <c r="DC13" s="1" t="n">
        <v>-183.5948</v>
      </c>
      <c r="DD13" s="1" t="n">
        <v>-102.4596</v>
      </c>
      <c r="DE13" s="1" t="n">
        <v>-285.4062</v>
      </c>
      <c r="DF13" s="1" t="n">
        <v>-49.5967</v>
      </c>
      <c r="DG13" s="1" t="n">
        <v>-169.2795</v>
      </c>
      <c r="DH13" s="1" t="n">
        <v>-92.0385</v>
      </c>
      <c r="DI13" s="1" t="n">
        <v>1.2201</v>
      </c>
      <c r="DJ13" s="1" t="n">
        <v>-43.4013</v>
      </c>
      <c r="DK13" s="1" t="n">
        <v>-111.6285</v>
      </c>
      <c r="DL13" s="1" t="n">
        <v>-190.5602</v>
      </c>
      <c r="DM13" s="1" t="n">
        <v>-34.9529</v>
      </c>
      <c r="DN13" s="1" t="n">
        <v>81.5325</v>
      </c>
      <c r="DO13" s="1" t="n">
        <v>-111.83</v>
      </c>
      <c r="DP13" s="1" t="n">
        <v>-137.2359</v>
      </c>
      <c r="DQ13" s="1" t="n">
        <v>27.8737</v>
      </c>
      <c r="DR13" s="1" t="n">
        <v>-57.6025</v>
      </c>
      <c r="DS13" s="1" t="n">
        <v>21.1562</v>
      </c>
      <c r="DT13" s="1" t="n">
        <v>72.0765</v>
      </c>
      <c r="DU13" s="1" t="n">
        <v>132.8434</v>
      </c>
      <c r="DV13" s="1" t="n">
        <v>-42.6086</v>
      </c>
      <c r="DW13" s="1" t="n">
        <v>44.1226</v>
      </c>
      <c r="DX13" s="1" t="n">
        <v>-1.8124</v>
      </c>
      <c r="DY13" s="1" t="n">
        <v>40.4768</v>
      </c>
      <c r="DZ13" s="1" t="n">
        <v>-7.6236</v>
      </c>
      <c r="EA13" s="1" t="n">
        <v>-47.6098</v>
      </c>
      <c r="EB13" s="1" t="n">
        <v>-35.5462</v>
      </c>
      <c r="EC13" s="1" t="n">
        <v>-7.0279</v>
      </c>
      <c r="ED13" s="1" t="n">
        <v>16.4736</v>
      </c>
      <c r="EE13" s="1" t="n">
        <v>-94.61320000000001</v>
      </c>
      <c r="EF13" s="1" t="n">
        <v>35.7352</v>
      </c>
      <c r="EG13" s="1" t="n">
        <v>49.8564</v>
      </c>
      <c r="EH13" s="1" t="n">
        <v>29.6266</v>
      </c>
      <c r="EI13" s="1" t="n">
        <v>15.5183</v>
      </c>
      <c r="EJ13" s="1" t="n">
        <v>11.7166</v>
      </c>
      <c r="EK13" s="1" t="n">
        <v>-12.3136</v>
      </c>
      <c r="EL13" s="1" t="n">
        <v>37.0889</v>
      </c>
      <c r="EM13" s="1" t="n">
        <v>-37.467</v>
      </c>
    </row>
    <row r="14">
      <c r="A14" s="2" t="inlineStr">
        <is>
          <t xml:space="preserve">        其中：利息费用</t>
        </is>
      </c>
      <c r="N14" s="1" t="n">
        <v>37.44</v>
      </c>
      <c r="O14" s="1" t="n">
        <v>49.43</v>
      </c>
      <c r="P14" s="1" t="n">
        <v>35.89</v>
      </c>
      <c r="Q14" s="1" t="n">
        <v>33.52</v>
      </c>
      <c r="R14" s="1" t="n">
        <v>79.42</v>
      </c>
      <c r="S14" s="1" t="n">
        <v>64.44</v>
      </c>
      <c r="T14" s="1" t="n">
        <v>82.97</v>
      </c>
      <c r="AM14" s="1" t="n">
        <v>18.11</v>
      </c>
      <c r="AN14" s="1" t="n">
        <v>16.97</v>
      </c>
      <c r="AO14" s="1" t="n">
        <v>14.33</v>
      </c>
      <c r="AP14" s="1" t="n">
        <v>13.82</v>
      </c>
      <c r="AQ14" s="1" t="n">
        <v>25.28</v>
      </c>
      <c r="AR14" s="1" t="n">
        <v>26.71</v>
      </c>
      <c r="AS14" s="1" t="n">
        <v>28.94</v>
      </c>
      <c r="AT14" s="1" t="n"/>
      <c r="DK14" s="1" t="n">
        <v>18.108</v>
      </c>
      <c r="DL14" s="1" t="n">
        <v>11.6887</v>
      </c>
      <c r="DM14" s="1" t="n">
        <v>7.6428</v>
      </c>
      <c r="DN14" s="1" t="n">
        <v>8.647399999999999</v>
      </c>
      <c r="DO14" s="1" t="n">
        <v>8.318</v>
      </c>
      <c r="DP14" s="1" t="n">
        <v>7.2069</v>
      </c>
      <c r="DQ14" s="1" t="n">
        <v>25.2594</v>
      </c>
      <c r="DR14" s="1" t="n">
        <v>8.3001</v>
      </c>
      <c r="DS14" s="1" t="n">
        <v>6.0279</v>
      </c>
      <c r="DT14" s="1" t="n">
        <v>6.5109</v>
      </c>
      <c r="DU14" s="1" t="n">
        <v>15.0527</v>
      </c>
      <c r="DV14" s="1" t="n">
        <v>5.4648</v>
      </c>
      <c r="DW14" s="1" t="n">
        <v>8.355</v>
      </c>
      <c r="DX14" s="1" t="n">
        <v>7.69</v>
      </c>
      <c r="DY14" s="1" t="n">
        <v>12.0089</v>
      </c>
      <c r="DZ14" s="1" t="n">
        <v>6.2827</v>
      </c>
      <c r="EA14" s="1" t="n">
        <v>18.999</v>
      </c>
      <c r="EB14" s="1" t="n">
        <v>18.6757</v>
      </c>
      <c r="EC14" s="1" t="n">
        <v>35.4626</v>
      </c>
      <c r="ED14" s="1" t="n">
        <v>14.5625</v>
      </c>
      <c r="EE14" s="1" t="n">
        <v>12.148</v>
      </c>
      <c r="EF14" s="1" t="n">
        <v>20.6931</v>
      </c>
      <c r="EG14" s="1" t="n">
        <v>17.0355</v>
      </c>
      <c r="EH14" s="1" t="n">
        <v>14.7864</v>
      </c>
      <c r="EI14" s="1" t="n">
        <v>14.1549</v>
      </c>
      <c r="EJ14" s="1" t="n">
        <v>14.4577</v>
      </c>
      <c r="EK14" s="1" t="n">
        <v>39.572</v>
      </c>
      <c r="EL14" s="1" t="n">
        <v>16.8531</v>
      </c>
      <c r="EM14" s="1" t="n">
        <v>18.468</v>
      </c>
    </row>
    <row r="15">
      <c r="A15" s="2" t="inlineStr">
        <is>
          <t xml:space="preserve">                    减：利息收入</t>
        </is>
      </c>
      <c r="N15" s="1" t="n">
        <v>149.4</v>
      </c>
      <c r="O15" s="1" t="n">
        <v>83.05</v>
      </c>
      <c r="P15" s="1" t="n">
        <v>38.91</v>
      </c>
      <c r="Q15" s="1" t="n">
        <v>36.44</v>
      </c>
      <c r="R15" s="1" t="n">
        <v>42.43</v>
      </c>
      <c r="S15" s="1" t="n">
        <v>120.75</v>
      </c>
      <c r="T15" s="1" t="n">
        <v>132.71</v>
      </c>
      <c r="AM15" s="1" t="n">
        <v>80.34</v>
      </c>
      <c r="AN15" s="1" t="n">
        <v>41.53</v>
      </c>
      <c r="AO15" s="1" t="n">
        <v>18.78</v>
      </c>
      <c r="AP15" s="1" t="n">
        <v>24.42</v>
      </c>
      <c r="AQ15" s="1" t="n">
        <v>17.61</v>
      </c>
      <c r="AR15" s="1" t="n">
        <v>24.02</v>
      </c>
      <c r="AS15" s="1" t="n">
        <v>42.75</v>
      </c>
      <c r="AT15" s="1" t="n"/>
      <c r="DK15" s="1" t="n">
        <v>80.33799999999999</v>
      </c>
      <c r="DL15" s="1" t="n">
        <v>16.8665</v>
      </c>
      <c r="DM15" s="1" t="n">
        <v>52.1911</v>
      </c>
      <c r="DN15" s="1" t="n">
        <v>28.0986</v>
      </c>
      <c r="DO15" s="1" t="n">
        <v>13.4282</v>
      </c>
      <c r="DP15" s="1" t="n">
        <v>26.4215</v>
      </c>
      <c r="DQ15" s="1" t="n">
        <v>15.102</v>
      </c>
      <c r="DR15" s="1" t="n">
        <v>14.3651</v>
      </c>
      <c r="DS15" s="1" t="n">
        <v>4.4155</v>
      </c>
      <c r="DU15" s="1" t="n">
        <v>38.9087</v>
      </c>
      <c r="DV15" s="1" t="n">
        <v>4.9564</v>
      </c>
      <c r="DW15" s="1" t="n">
        <v>19.4664</v>
      </c>
      <c r="DX15" s="1" t="n">
        <v>5.8093</v>
      </c>
      <c r="DY15" s="1" t="n">
        <v>6.2061</v>
      </c>
      <c r="DZ15" s="1" t="n">
        <v>3.4946</v>
      </c>
      <c r="EA15" s="1" t="n">
        <v>14.1159</v>
      </c>
      <c r="EB15" s="1" t="n">
        <v>8.749599999999999</v>
      </c>
      <c r="EC15" s="1" t="n">
        <v>16.0725</v>
      </c>
      <c r="ED15" s="1" t="n">
        <v>10.7241</v>
      </c>
      <c r="EE15" s="1" t="n">
        <v>13.2912</v>
      </c>
      <c r="EF15" s="1" t="n">
        <v>32.197</v>
      </c>
      <c r="EG15" s="1" t="n">
        <v>64.5385</v>
      </c>
      <c r="EH15" s="1" t="n">
        <v>23.6754</v>
      </c>
      <c r="EI15" s="1" t="n">
        <v>19.0722</v>
      </c>
      <c r="EJ15" s="1" t="n">
        <v>53.3404</v>
      </c>
      <c r="EK15" s="1" t="n">
        <v>36.6177</v>
      </c>
      <c r="EL15" s="1" t="n">
        <v>13.8915</v>
      </c>
      <c r="EM15" s="1" t="n">
        <v>36.065</v>
      </c>
    </row>
    <row r="16">
      <c r="A16" s="2" t="inlineStr">
        <is>
          <t xml:space="preserve">        其他业务成本(金融类)</t>
        </is>
      </c>
      <c r="N16" s="1" t="n">
        <v>76.09999999999999</v>
      </c>
      <c r="O16" s="1" t="n">
        <v>81.66</v>
      </c>
      <c r="P16" s="1" t="n">
        <v>99.34999999999999</v>
      </c>
      <c r="Q16" s="1" t="n">
        <v>112.28</v>
      </c>
      <c r="R16" s="1" t="n">
        <v>104.28</v>
      </c>
      <c r="S16" s="1" t="n">
        <v>33.33</v>
      </c>
      <c r="T16" s="1" t="n">
        <v>26.15</v>
      </c>
      <c r="AM16" s="1" t="n">
        <v>39.84</v>
      </c>
      <c r="AN16" s="1" t="n">
        <v>41.31</v>
      </c>
      <c r="AO16" s="1" t="n">
        <v>47.65</v>
      </c>
      <c r="AP16" s="1" t="n">
        <v>57.37</v>
      </c>
      <c r="AQ16" s="1" t="n">
        <v>51.7</v>
      </c>
      <c r="AR16" s="1" t="n">
        <v>20.6</v>
      </c>
      <c r="AS16" s="1" t="n">
        <v>12.45</v>
      </c>
      <c r="AT16" s="1" t="n"/>
      <c r="DK16" s="1" t="n">
        <v>39.842</v>
      </c>
      <c r="DL16" s="1" t="n">
        <v>20.9943</v>
      </c>
      <c r="DM16" s="1" t="n">
        <v>15.2644</v>
      </c>
      <c r="DN16" s="1" t="n">
        <v>19.9841</v>
      </c>
      <c r="DO16" s="1" t="n">
        <v>21.3298</v>
      </c>
      <c r="DP16" s="1" t="n">
        <v>19.4254</v>
      </c>
      <c r="DQ16" s="1" t="n">
        <v>20.9241</v>
      </c>
      <c r="DR16" s="1" t="n">
        <v>20.0538</v>
      </c>
      <c r="DS16" s="1" t="n">
        <v>27.5947</v>
      </c>
      <c r="DT16" s="1" t="n">
        <v>24.0779</v>
      </c>
      <c r="DU16" s="1" t="n">
        <v>27.628</v>
      </c>
      <c r="DV16" s="1" t="n">
        <v>23.5773</v>
      </c>
      <c r="DW16" s="1" t="n">
        <v>33.7893</v>
      </c>
      <c r="DX16" s="1" t="n">
        <v>28.3727</v>
      </c>
      <c r="DY16" s="1" t="n">
        <v>26.5429</v>
      </c>
      <c r="DZ16" s="1" t="n">
        <v>24.6194</v>
      </c>
      <c r="EA16" s="1" t="n">
        <v>27.0782</v>
      </c>
      <c r="EB16" s="1" t="n">
        <v>31.8954</v>
      </c>
      <c r="EC16" s="1" t="n">
        <v>20.6909</v>
      </c>
      <c r="ED16" s="1" t="n">
        <v>13.0893</v>
      </c>
      <c r="EE16" s="1" t="n">
        <v>7.513</v>
      </c>
      <c r="EF16" s="1" t="n">
        <v>4.9493</v>
      </c>
      <c r="EG16" s="1" t="n">
        <v>7.7787</v>
      </c>
      <c r="EH16" s="1" t="n">
        <v>3.8903</v>
      </c>
      <c r="EI16" s="1" t="n">
        <v>8.562200000000001</v>
      </c>
      <c r="EJ16" s="1" t="n">
        <v>7.4432</v>
      </c>
      <c r="EK16" s="1" t="n">
        <v>6.2513</v>
      </c>
      <c r="EL16" s="1" t="n">
        <v>5.9237</v>
      </c>
      <c r="EM16" s="1" t="n">
        <v>8.693</v>
      </c>
    </row>
    <row r="17">
      <c r="A17" s="2" t="inlineStr">
        <is>
          <t xml:space="preserve">    加：其他收益</t>
        </is>
      </c>
      <c r="M17" s="1" t="n">
        <v>101.3</v>
      </c>
      <c r="N17" s="1" t="n">
        <v>111.13</v>
      </c>
      <c r="O17" s="1" t="n">
        <v>139.84</v>
      </c>
      <c r="P17" s="1" t="n">
        <v>199.61</v>
      </c>
      <c r="Q17" s="1" t="n">
        <v>133.94</v>
      </c>
      <c r="R17" s="1" t="n">
        <v>150.75</v>
      </c>
      <c r="S17" s="1" t="n">
        <v>438.8</v>
      </c>
      <c r="T17" s="1" t="n">
        <v>769.92</v>
      </c>
      <c r="AM17" s="1" t="n">
        <v>25.49</v>
      </c>
      <c r="AN17" s="1" t="n">
        <v>35.19</v>
      </c>
      <c r="AO17" s="1" t="n">
        <v>52.27</v>
      </c>
      <c r="AP17" s="1" t="n">
        <v>55.97</v>
      </c>
      <c r="AQ17" s="1" t="n">
        <v>188.1</v>
      </c>
      <c r="AR17" s="1" t="n">
        <v>88.02</v>
      </c>
      <c r="AS17" s="1" t="n">
        <v>403.02</v>
      </c>
      <c r="AT17" s="1" t="n"/>
      <c r="DI17" s="1" t="n">
        <v>101.3032</v>
      </c>
      <c r="DJ17" s="1" t="n">
        <v>9.963200000000001</v>
      </c>
      <c r="DK17" s="1" t="n">
        <v>15.5262</v>
      </c>
      <c r="DL17" s="1" t="n">
        <v>40.5822</v>
      </c>
      <c r="DM17" s="1" t="n">
        <v>45.0554</v>
      </c>
      <c r="DN17" s="1" t="n">
        <v>14.6745</v>
      </c>
      <c r="DO17" s="1" t="n">
        <v>20.5185</v>
      </c>
      <c r="DP17" s="1" t="n">
        <v>28.146</v>
      </c>
      <c r="DQ17" s="1" t="n">
        <v>76.50539999999999</v>
      </c>
      <c r="DR17" s="1" t="n">
        <v>18.2957</v>
      </c>
      <c r="DS17" s="1" t="n">
        <v>33.9751</v>
      </c>
      <c r="DT17" s="1" t="n">
        <v>37.617</v>
      </c>
      <c r="DU17" s="1" t="n">
        <v>109.7211</v>
      </c>
      <c r="DV17" s="1" t="n">
        <v>32.8632</v>
      </c>
      <c r="DW17" s="1" t="n">
        <v>23.1106</v>
      </c>
      <c r="DX17" s="1" t="n">
        <v>20.4163</v>
      </c>
      <c r="DY17" s="1" t="n">
        <v>57.5512</v>
      </c>
      <c r="DZ17" s="1" t="n">
        <v>150.2637</v>
      </c>
      <c r="EA17" s="1" t="n">
        <v>37.8406</v>
      </c>
      <c r="EB17" s="1" t="n">
        <v>23.1885</v>
      </c>
      <c r="EC17" s="1" t="n">
        <v>-60.5425</v>
      </c>
      <c r="ED17" s="1" t="n">
        <v>24.3203</v>
      </c>
      <c r="EE17" s="1" t="n">
        <v>63.7041</v>
      </c>
      <c r="EF17" s="1" t="n">
        <v>41.4117</v>
      </c>
      <c r="EG17" s="1" t="n">
        <v>309.3595</v>
      </c>
      <c r="EH17" s="1" t="n">
        <v>129.8115</v>
      </c>
      <c r="EI17" s="1" t="n">
        <v>273.2047</v>
      </c>
      <c r="EJ17" s="1" t="n">
        <v>97.7946</v>
      </c>
      <c r="EK17" s="1" t="n">
        <v>269.1109</v>
      </c>
      <c r="EL17" s="1" t="n">
        <v>121.3355</v>
      </c>
      <c r="EM17" s="1" t="n">
        <v>128.268</v>
      </c>
    </row>
    <row r="18">
      <c r="A18" s="2" t="inlineStr">
        <is>
          <t xml:space="preserve">    投资净收益</t>
        </is>
      </c>
      <c r="B18" s="1" t="n">
        <v>5.64</v>
      </c>
      <c r="C18" s="1" t="n">
        <v>-24.01</v>
      </c>
      <c r="D18" s="1" t="n">
        <v>-8.630000000000001</v>
      </c>
      <c r="E18" s="1" t="n">
        <v>24.12</v>
      </c>
      <c r="F18" s="1" t="n">
        <v>91.62</v>
      </c>
      <c r="G18" s="1" t="n">
        <v>141.6</v>
      </c>
      <c r="H18" s="1" t="n">
        <v>179.67</v>
      </c>
      <c r="I18" s="1" t="n">
        <v>226.56</v>
      </c>
      <c r="J18" s="1" t="n">
        <v>212.03</v>
      </c>
      <c r="K18" s="1" t="n">
        <v>191.84</v>
      </c>
      <c r="L18" s="1" t="n">
        <v>244.53</v>
      </c>
      <c r="M18" s="1" t="n">
        <v>185.71</v>
      </c>
      <c r="N18" s="1" t="n">
        <v>245.95</v>
      </c>
      <c r="O18" s="1" t="n">
        <v>377.94</v>
      </c>
      <c r="P18" s="1" t="n">
        <v>336.7</v>
      </c>
      <c r="Q18" s="1" t="n">
        <v>425.57</v>
      </c>
      <c r="R18" s="1" t="n">
        <v>480.56</v>
      </c>
      <c r="S18" s="1" t="n">
        <v>748.15</v>
      </c>
      <c r="T18" s="162" t="n">
        <v>1577.06</v>
      </c>
      <c r="AB18" s="1" t="n">
        <v>1.54</v>
      </c>
      <c r="AC18" s="1" t="n">
        <v>-7.73</v>
      </c>
      <c r="AD18" s="1" t="n">
        <v>8.369999999999999</v>
      </c>
      <c r="AE18" s="1" t="n">
        <v>11.77</v>
      </c>
      <c r="AF18" s="1" t="n">
        <v>55.36</v>
      </c>
      <c r="AG18" s="1" t="n">
        <v>76.18000000000001</v>
      </c>
      <c r="AH18" s="1" t="n">
        <v>67.33</v>
      </c>
      <c r="AI18" s="1" t="n">
        <v>46.47</v>
      </c>
      <c r="AJ18" s="1" t="n">
        <v>53.75</v>
      </c>
      <c r="AK18" s="1" t="n">
        <v>138.65</v>
      </c>
      <c r="AL18" s="1" t="n">
        <v>35.82</v>
      </c>
      <c r="AM18" s="1" t="n">
        <v>143.26</v>
      </c>
      <c r="AN18" s="1" t="n">
        <v>150.62</v>
      </c>
      <c r="AO18" s="1" t="n">
        <v>113.44</v>
      </c>
      <c r="AP18" s="1" t="n">
        <v>184.37</v>
      </c>
      <c r="AQ18" s="1" t="n">
        <v>134.85</v>
      </c>
      <c r="AR18" s="1" t="n">
        <v>177.6</v>
      </c>
      <c r="AS18" s="1" t="n">
        <v>-39.63</v>
      </c>
      <c r="AT18" s="1" t="n"/>
      <c r="BQ18" s="1" t="n">
        <v>5.6428</v>
      </c>
      <c r="BS18" s="1" t="n">
        <v>1.5356</v>
      </c>
      <c r="BT18" s="1" t="n">
        <v>-5.9029</v>
      </c>
      <c r="BU18" s="1" t="n">
        <v>-19.6421</v>
      </c>
      <c r="BV18" s="1" t="n">
        <v>-3.0953</v>
      </c>
      <c r="BW18" s="1" t="n">
        <v>-4.6388</v>
      </c>
      <c r="BX18" s="1" t="n">
        <v>-7.3864</v>
      </c>
      <c r="BY18" s="1" t="n">
        <v>6.4872</v>
      </c>
      <c r="BZ18" s="1" t="n">
        <v>-10.5849</v>
      </c>
      <c r="CA18" s="1" t="n">
        <v>18.9513</v>
      </c>
      <c r="CB18" s="1" t="n">
        <v>20.7596</v>
      </c>
      <c r="CC18" s="1" t="n">
        <v>-5.0019</v>
      </c>
      <c r="CD18" s="1" t="n">
        <v>6.3281</v>
      </c>
      <c r="CE18" s="1" t="n">
        <v>5.4411</v>
      </c>
      <c r="CF18" s="1" t="n">
        <v>25.9306</v>
      </c>
      <c r="CG18" s="1" t="n">
        <v>53.9215</v>
      </c>
      <c r="CH18" s="1" t="n">
        <v>9.602600000000001</v>
      </c>
      <c r="CI18" s="1" t="n">
        <v>45.7582</v>
      </c>
      <c r="CJ18" s="1" t="n">
        <v>36.2682</v>
      </c>
      <c r="CK18" s="1" t="n">
        <v>49.9721</v>
      </c>
      <c r="CL18" s="1" t="n">
        <v>20.4259</v>
      </c>
      <c r="CM18" s="1" t="n">
        <v>55.7578</v>
      </c>
      <c r="CN18" s="1" t="n">
        <v>36.9423</v>
      </c>
      <c r="CO18" s="1" t="n">
        <v>66.53919999999999</v>
      </c>
      <c r="CP18" s="1" t="n">
        <v>8.842599999999999</v>
      </c>
      <c r="CQ18" s="1" t="n">
        <v>58.4826</v>
      </c>
      <c r="CR18" s="1" t="n">
        <v>53.532</v>
      </c>
      <c r="CS18" s="1" t="n">
        <v>105.7012</v>
      </c>
      <c r="CT18" s="1" t="n">
        <v>18.1316</v>
      </c>
      <c r="CU18" s="1" t="n">
        <v>28.3367</v>
      </c>
      <c r="CV18" s="1" t="n">
        <v>82.9795</v>
      </c>
      <c r="CW18" s="1" t="n">
        <v>82.5782</v>
      </c>
      <c r="CX18" s="1" t="n">
        <v>41.2891</v>
      </c>
      <c r="CY18" s="1" t="n">
        <v>12.4638</v>
      </c>
      <c r="CZ18" s="1" t="n">
        <v>59.031</v>
      </c>
      <c r="DA18" s="1" t="n">
        <v>79.0526</v>
      </c>
      <c r="DB18" s="1" t="n">
        <v>14.9659</v>
      </c>
      <c r="DC18" s="1" t="n">
        <v>123.6869</v>
      </c>
      <c r="DD18" s="1" t="n">
        <v>10.4534</v>
      </c>
      <c r="DE18" s="1" t="n">
        <v>95.4285</v>
      </c>
      <c r="DF18" s="1" t="n">
        <v>11.4371</v>
      </c>
      <c r="DG18" s="1" t="n">
        <v>24.3834</v>
      </c>
      <c r="DH18" s="1" t="n">
        <v>-0.8761</v>
      </c>
      <c r="DI18" s="1" t="n">
        <v>150.7692</v>
      </c>
      <c r="DJ18" s="1" t="n">
        <v>53.9741</v>
      </c>
      <c r="DK18" s="1" t="n">
        <v>89.28919999999999</v>
      </c>
      <c r="DL18" s="1" t="n">
        <v>-12.4163</v>
      </c>
      <c r="DM18" s="1" t="n">
        <v>115.1</v>
      </c>
      <c r="DN18" s="1" t="n">
        <v>71.56910000000001</v>
      </c>
      <c r="DO18" s="1" t="n">
        <v>79.0543</v>
      </c>
      <c r="DP18" s="1" t="n">
        <v>42.2347</v>
      </c>
      <c r="DQ18" s="1" t="n">
        <v>185.0779</v>
      </c>
      <c r="DR18" s="1" t="n">
        <v>54.2663</v>
      </c>
      <c r="DS18" s="1" t="n">
        <v>59.1768</v>
      </c>
      <c r="DT18" s="1" t="n">
        <v>122.8697</v>
      </c>
      <c r="DU18" s="1" t="n">
        <v>100.3855</v>
      </c>
      <c r="DV18" s="1" t="n">
        <v>100.7816</v>
      </c>
      <c r="DW18" s="1" t="n">
        <v>83.584</v>
      </c>
      <c r="DX18" s="1" t="n">
        <v>116.1406</v>
      </c>
      <c r="DY18" s="1" t="n">
        <v>125.0678</v>
      </c>
      <c r="DZ18" s="1" t="n">
        <v>93.676</v>
      </c>
      <c r="EA18" s="1" t="n">
        <v>41.1703</v>
      </c>
      <c r="EB18" s="1" t="n">
        <v>40.8161</v>
      </c>
      <c r="EC18" s="1" t="n">
        <v>304.8977</v>
      </c>
      <c r="ED18" s="1" t="n">
        <v>135.2227</v>
      </c>
      <c r="EE18" s="1" t="n">
        <v>42.3792</v>
      </c>
      <c r="EF18" s="1" t="n">
        <v>51.8487</v>
      </c>
      <c r="EG18" s="1" t="n">
        <v>518.6993</v>
      </c>
      <c r="EH18" s="1" t="n">
        <v>81.7574</v>
      </c>
      <c r="EI18" s="1" t="n">
        <v>-121.3838</v>
      </c>
      <c r="EJ18" s="1" t="n">
        <v>55.4674</v>
      </c>
      <c r="EK18" s="1" t="n">
        <v>1561.2229</v>
      </c>
      <c r="EL18" s="1" t="n">
        <v>80.03579999999999</v>
      </c>
      <c r="EM18" s="1" t="n">
        <v>61.039</v>
      </c>
    </row>
    <row r="19">
      <c r="A19" s="2" t="inlineStr">
        <is>
          <t xml:space="preserve">        其中：对联营企业和合营企业的投资收益</t>
        </is>
      </c>
      <c r="B19" s="1" t="n">
        <v>1.84</v>
      </c>
      <c r="C19" s="1" t="n">
        <v>-24.01</v>
      </c>
      <c r="D19" s="1" t="n">
        <v>-8.460000000000001</v>
      </c>
      <c r="E19" s="1" t="n">
        <v>23.5</v>
      </c>
      <c r="F19" s="1" t="n">
        <v>91.62</v>
      </c>
      <c r="G19" s="1" t="n">
        <v>122.08</v>
      </c>
      <c r="H19" s="1" t="n">
        <v>170.9</v>
      </c>
      <c r="I19" s="1" t="n">
        <v>213.17</v>
      </c>
      <c r="J19" s="1" t="n">
        <v>224.9</v>
      </c>
      <c r="K19" s="1" t="n">
        <v>165.61</v>
      </c>
      <c r="L19" s="1" t="n">
        <v>246.35</v>
      </c>
      <c r="M19" s="1" t="n">
        <v>177.43</v>
      </c>
      <c r="N19" s="1" t="n">
        <v>132.56</v>
      </c>
      <c r="O19" s="1" t="n">
        <v>203.8</v>
      </c>
      <c r="P19" s="1" t="n">
        <v>185.3</v>
      </c>
      <c r="Q19" s="1" t="n">
        <v>279.63</v>
      </c>
      <c r="R19" s="1" t="n">
        <v>301.77</v>
      </c>
      <c r="S19" s="1" t="n">
        <v>320.69</v>
      </c>
      <c r="T19" s="1" t="n">
        <v>186.94</v>
      </c>
      <c r="AB19" s="1" t="n">
        <v>1.54</v>
      </c>
      <c r="AC19" s="1" t="n">
        <v>-7.73</v>
      </c>
      <c r="AD19" s="1" t="n">
        <v>8.369999999999999</v>
      </c>
      <c r="AE19" s="1" t="n">
        <v>11.77</v>
      </c>
      <c r="AF19" s="1" t="n">
        <v>37.1</v>
      </c>
      <c r="AG19" s="1" t="n">
        <v>73.42</v>
      </c>
      <c r="AH19" s="1" t="n">
        <v>65.45</v>
      </c>
      <c r="AI19" s="1" t="n">
        <v>44.01</v>
      </c>
      <c r="AJ19" s="1" t="n">
        <v>30.46</v>
      </c>
      <c r="AK19" s="1" t="n">
        <v>142.82</v>
      </c>
      <c r="AL19" s="1" t="n">
        <v>28.12</v>
      </c>
      <c r="AM19" s="1" t="n">
        <v>76.23999999999999</v>
      </c>
      <c r="AN19" s="1" t="n">
        <v>101.34</v>
      </c>
      <c r="AO19" s="1" t="n">
        <v>72.33</v>
      </c>
      <c r="AP19" s="1" t="n">
        <v>140.12</v>
      </c>
      <c r="AQ19" s="1" t="n">
        <v>116.78</v>
      </c>
      <c r="AR19" s="1" t="n">
        <v>189.02</v>
      </c>
      <c r="AS19" s="1" t="n">
        <v>-110.91</v>
      </c>
      <c r="AT19" s="1" t="n"/>
      <c r="BQ19" s="1" t="n">
        <v>1.8409</v>
      </c>
      <c r="BS19" s="1" t="n">
        <v>1.5356</v>
      </c>
      <c r="BT19" s="1" t="n">
        <v>-5.9029</v>
      </c>
      <c r="BU19" s="1" t="n">
        <v>-19.6421</v>
      </c>
      <c r="BV19" s="1" t="n">
        <v>-3.0953</v>
      </c>
      <c r="BW19" s="1" t="n">
        <v>-4.6388</v>
      </c>
      <c r="BX19" s="1" t="n">
        <v>-7.247</v>
      </c>
      <c r="BY19" s="1" t="n">
        <v>6.5209</v>
      </c>
      <c r="BZ19" s="1" t="n">
        <v>-10.5849</v>
      </c>
      <c r="CA19" s="1" t="n">
        <v>18.9513</v>
      </c>
      <c r="CB19" s="1" t="n">
        <v>18.7632</v>
      </c>
      <c r="CC19" s="1" t="n">
        <v>-3.6335</v>
      </c>
      <c r="CD19" s="1" t="n">
        <v>6.3281</v>
      </c>
      <c r="CE19" s="1" t="n">
        <v>5.4411</v>
      </c>
      <c r="CF19" s="1" t="n">
        <v>25.9306</v>
      </c>
      <c r="CG19" s="1" t="n">
        <v>53.9172</v>
      </c>
      <c r="CH19" s="1" t="n">
        <v>4.7303</v>
      </c>
      <c r="CI19" s="1" t="n">
        <v>32.3659</v>
      </c>
      <c r="CJ19" s="1" t="n">
        <v>36.2682</v>
      </c>
      <c r="CK19" s="1" t="n">
        <v>48.7149</v>
      </c>
      <c r="CL19" s="1" t="n">
        <v>20.5199</v>
      </c>
      <c r="CM19" s="1" t="n">
        <v>52.9019</v>
      </c>
      <c r="CN19" s="1" t="n">
        <v>30.9423</v>
      </c>
      <c r="CO19" s="1" t="n">
        <v>66.53919999999999</v>
      </c>
      <c r="CP19" s="1" t="n">
        <v>8.842599999999999</v>
      </c>
      <c r="CQ19" s="1" t="n">
        <v>56.6035</v>
      </c>
      <c r="CR19" s="1" t="n">
        <v>42.532</v>
      </c>
      <c r="CS19" s="1" t="n">
        <v>105.1963</v>
      </c>
      <c r="CT19" s="1" t="n">
        <v>18.1316</v>
      </c>
      <c r="CU19" s="1" t="n">
        <v>25.8759</v>
      </c>
      <c r="CV19" s="1" t="n">
        <v>75.684</v>
      </c>
      <c r="CW19" s="1" t="n">
        <v>105.2082</v>
      </c>
      <c r="CX19" s="1" t="n">
        <v>17.993</v>
      </c>
      <c r="CY19" s="1" t="n">
        <v>12.4638</v>
      </c>
      <c r="CZ19" s="1" t="n">
        <v>57.2401</v>
      </c>
      <c r="DA19" s="1" t="n">
        <v>77.91459999999999</v>
      </c>
      <c r="DB19" s="1" t="n">
        <v>8.4193</v>
      </c>
      <c r="DC19" s="1" t="n">
        <v>134.3979</v>
      </c>
      <c r="DD19" s="1" t="n">
        <v>8.6404</v>
      </c>
      <c r="DE19" s="1" t="n">
        <v>94.8942</v>
      </c>
      <c r="DF19" s="1" t="n">
        <v>13.8881</v>
      </c>
      <c r="DG19" s="1" t="n">
        <v>14.2363</v>
      </c>
      <c r="DH19" s="1" t="n">
        <v>-1.8054</v>
      </c>
      <c r="DI19" s="1" t="n">
        <v>151.1114</v>
      </c>
      <c r="DJ19" s="1" t="n">
        <v>49.8131</v>
      </c>
      <c r="DK19" s="1" t="n">
        <v>26.4241</v>
      </c>
      <c r="DL19" s="1" t="n">
        <v>-34.7232</v>
      </c>
      <c r="DM19" s="1" t="n">
        <v>91.04340000000001</v>
      </c>
      <c r="DN19" s="1" t="n">
        <v>45.5355</v>
      </c>
      <c r="DO19" s="1" t="n">
        <v>55.8012</v>
      </c>
      <c r="DP19" s="1" t="n">
        <v>11.5215</v>
      </c>
      <c r="DQ19" s="1" t="n">
        <v>90.9442</v>
      </c>
      <c r="DR19" s="1" t="n">
        <v>39.0272</v>
      </c>
      <c r="DS19" s="1" t="n">
        <v>33.3074</v>
      </c>
      <c r="DT19" s="1" t="n">
        <v>55.7919</v>
      </c>
      <c r="DU19" s="1" t="n">
        <v>57.1694</v>
      </c>
      <c r="DV19" s="1" t="n">
        <v>69.4473</v>
      </c>
      <c r="DW19" s="1" t="n">
        <v>70.676</v>
      </c>
      <c r="DX19" s="1" t="n">
        <v>55.1387</v>
      </c>
      <c r="DY19" s="1" t="n">
        <v>84.3639</v>
      </c>
      <c r="DZ19" s="1" t="n">
        <v>76.95229999999999</v>
      </c>
      <c r="EA19" s="1" t="n">
        <v>39.825</v>
      </c>
      <c r="EB19" s="1" t="n">
        <v>29.1879</v>
      </c>
      <c r="EC19" s="1" t="n">
        <v>155.8</v>
      </c>
      <c r="ED19" s="1" t="n">
        <v>128.3986</v>
      </c>
      <c r="EE19" s="1" t="n">
        <v>60.6254</v>
      </c>
      <c r="EF19" s="1" t="n">
        <v>54.7195</v>
      </c>
      <c r="EG19" s="1" t="n">
        <v>76.94759999999999</v>
      </c>
      <c r="EH19" s="1" t="n">
        <v>50.2528</v>
      </c>
      <c r="EI19" s="1" t="n">
        <v>-161.159</v>
      </c>
      <c r="EJ19" s="1" t="n">
        <v>17.3909</v>
      </c>
      <c r="EK19" s="1" t="n">
        <v>280.4505</v>
      </c>
      <c r="EL19" s="1" t="n">
        <v>36.3401</v>
      </c>
      <c r="EM19" s="1" t="n">
        <v>29.96</v>
      </c>
    </row>
    <row r="20">
      <c r="A20" s="2" t="inlineStr">
        <is>
          <t xml:space="preserve">                    以摊余成本计量的金融资产终止确认收益</t>
        </is>
      </c>
      <c r="ED20" s="1" t="n">
        <v>0</v>
      </c>
      <c r="EH20" s="1" t="n">
        <v>0</v>
      </c>
    </row>
    <row r="21">
      <c r="A21" s="2" t="inlineStr">
        <is>
          <t xml:space="preserve">    净敞口套期收益</t>
        </is>
      </c>
      <c r="ED21" s="1" t="n">
        <v>0</v>
      </c>
      <c r="EH21" s="1" t="n">
        <v>0</v>
      </c>
    </row>
    <row r="22">
      <c r="A22" s="2" t="inlineStr">
        <is>
          <t xml:space="preserve">    公允价值变动净收益</t>
        </is>
      </c>
      <c r="C22" s="1" t="n">
        <v>0.84</v>
      </c>
      <c r="D22" s="1" t="n">
        <v>-0.71</v>
      </c>
      <c r="E22" s="1" t="n">
        <v>1.62</v>
      </c>
      <c r="F22" s="1" t="n">
        <v>26.66</v>
      </c>
      <c r="G22" s="1" t="n">
        <v>-41.09</v>
      </c>
      <c r="H22" s="1" t="n">
        <v>-29.85</v>
      </c>
      <c r="I22" s="1" t="n">
        <v>22.17</v>
      </c>
      <c r="J22" s="1" t="n">
        <v>32.61</v>
      </c>
      <c r="K22" s="1" t="n">
        <v>-20.94</v>
      </c>
      <c r="L22" s="1" t="n">
        <v>-4.9</v>
      </c>
      <c r="M22" s="1" t="n">
        <v>-5.63</v>
      </c>
      <c r="N22" s="1" t="n">
        <v>83.65000000000001</v>
      </c>
      <c r="O22" s="1" t="n">
        <v>-126.07</v>
      </c>
      <c r="P22" s="1" t="n">
        <v>-138.21</v>
      </c>
      <c r="Q22" s="1" t="n">
        <v>173.61</v>
      </c>
      <c r="R22" s="1" t="n">
        <v>-61.54</v>
      </c>
      <c r="S22" s="1" t="n">
        <v>85.06</v>
      </c>
      <c r="T22" s="1" t="n">
        <v>-204.16</v>
      </c>
      <c r="AC22" s="1" t="n">
        <v>-0.57</v>
      </c>
      <c r="AD22" s="1" t="n">
        <v>0.15</v>
      </c>
      <c r="AE22" s="1" t="n">
        <v>11.59</v>
      </c>
      <c r="AF22" s="1" t="n">
        <v>32.14</v>
      </c>
      <c r="AG22" s="1" t="n">
        <v>-56.65</v>
      </c>
      <c r="AH22" s="1" t="n">
        <v>21.78</v>
      </c>
      <c r="AI22" s="1" t="n">
        <v>-0.58</v>
      </c>
      <c r="AJ22" s="1" t="n">
        <v>-0.11</v>
      </c>
      <c r="AK22" s="1" t="n">
        <v>-4.54</v>
      </c>
      <c r="AL22" s="1" t="n">
        <v>-3.87</v>
      </c>
      <c r="AM22" s="1" t="n">
        <v>-8.279999999999999</v>
      </c>
      <c r="AN22" s="1" t="n">
        <v>-78.88</v>
      </c>
      <c r="AO22" s="1" t="n">
        <v>-110.15</v>
      </c>
      <c r="AP22" s="1" t="n">
        <v>-11.52</v>
      </c>
      <c r="AQ22" s="1" t="n">
        <v>-9.9</v>
      </c>
      <c r="AR22" s="1" t="n">
        <v>48.64</v>
      </c>
      <c r="AS22" s="1" t="n">
        <v>28.34</v>
      </c>
      <c r="AT22" s="1" t="n"/>
      <c r="BU22" s="1" t="n">
        <v>0.8416</v>
      </c>
      <c r="BW22" s="1" t="n">
        <v>-0.569</v>
      </c>
      <c r="BX22" s="1" t="n">
        <v>-0.1002</v>
      </c>
      <c r="BY22" s="1" t="n">
        <v>-0.0429</v>
      </c>
      <c r="BZ22" s="1" t="n">
        <v>0.0997</v>
      </c>
      <c r="CA22" s="1" t="n">
        <v>0.0489</v>
      </c>
      <c r="CB22" s="1" t="n">
        <v>0.0205</v>
      </c>
      <c r="CC22" s="1" t="n">
        <v>1.4504</v>
      </c>
      <c r="CD22" s="1" t="n">
        <v>-0.09569999999999999</v>
      </c>
      <c r="CE22" s="1" t="n">
        <v>11.682</v>
      </c>
      <c r="CF22" s="1" t="n">
        <v>1.7768</v>
      </c>
      <c r="CG22" s="1" t="n">
        <v>13.2998</v>
      </c>
      <c r="CH22" s="1" t="n">
        <v>0.1031</v>
      </c>
      <c r="CI22" s="1" t="n">
        <v>32.032</v>
      </c>
      <c r="CJ22" s="1" t="n">
        <v>-9.121700000000001</v>
      </c>
      <c r="CK22" s="1" t="n">
        <v>-64.1005</v>
      </c>
      <c r="CL22" s="1" t="n">
        <v>-8.1219</v>
      </c>
      <c r="CM22" s="1" t="n">
        <v>-48.5327</v>
      </c>
      <c r="CN22" s="1" t="n">
        <v>-10.5298</v>
      </c>
      <c r="CO22" s="1" t="n">
        <v>37.3384</v>
      </c>
      <c r="CP22" s="1" t="n">
        <v>11.9265</v>
      </c>
      <c r="CQ22" s="1" t="n">
        <v>9.857900000000001</v>
      </c>
      <c r="CR22" s="1" t="n">
        <v>4.3141</v>
      </c>
      <c r="CS22" s="1" t="n">
        <v>-3.9263</v>
      </c>
      <c r="CT22" s="1" t="n">
        <v>3.4182</v>
      </c>
      <c r="CU22" s="1" t="n">
        <v>-3.9999</v>
      </c>
      <c r="CV22" s="1" t="n">
        <v>8.509</v>
      </c>
      <c r="CW22" s="1" t="n">
        <v>24.6859</v>
      </c>
      <c r="CX22" s="1" t="n">
        <v>-8.3886</v>
      </c>
      <c r="CY22" s="1" t="n">
        <v>8.2812</v>
      </c>
      <c r="CZ22" s="1" t="n">
        <v>-6.5577</v>
      </c>
      <c r="DA22" s="1" t="n">
        <v>-14.2748</v>
      </c>
      <c r="DB22" s="1" t="n">
        <v>-2.939</v>
      </c>
      <c r="DC22" s="1" t="n">
        <v>-1.5973</v>
      </c>
      <c r="DD22" s="1" t="n">
        <v>1.6786</v>
      </c>
      <c r="DE22" s="1" t="n">
        <v>-2.0377</v>
      </c>
      <c r="DF22" s="1" t="n">
        <v>2.3547</v>
      </c>
      <c r="DG22" s="1" t="n">
        <v>-6.2262</v>
      </c>
      <c r="DH22" s="1" t="n">
        <v>-1.482</v>
      </c>
      <c r="DI22" s="1" t="n">
        <v>-0.279</v>
      </c>
      <c r="DJ22" s="1" t="n">
        <v>-0.3148</v>
      </c>
      <c r="DK22" s="1" t="n">
        <v>-7.9613</v>
      </c>
      <c r="DL22" s="1" t="n">
        <v>5.4645</v>
      </c>
      <c r="DM22" s="1" t="n">
        <v>86.45699999999999</v>
      </c>
      <c r="DN22" s="1" t="n">
        <v>-45.9288</v>
      </c>
      <c r="DO22" s="1" t="n">
        <v>-32.9554</v>
      </c>
      <c r="DP22" s="1" t="n">
        <v>-43.5487</v>
      </c>
      <c r="DQ22" s="1" t="n">
        <v>-3.6402</v>
      </c>
      <c r="DR22" s="1" t="n">
        <v>-72.0722</v>
      </c>
      <c r="DS22" s="1" t="n">
        <v>-38.0746</v>
      </c>
      <c r="DT22" s="1" t="n">
        <v>47.8488</v>
      </c>
      <c r="DU22" s="1" t="n">
        <v>-75.9076</v>
      </c>
      <c r="DV22" s="1" t="n">
        <v>-11.864</v>
      </c>
      <c r="DW22" s="1" t="n">
        <v>0.3431</v>
      </c>
      <c r="DX22" s="1" t="n">
        <v>189.3058</v>
      </c>
      <c r="DY22" s="1" t="n">
        <v>-4.1715</v>
      </c>
      <c r="DZ22" s="1" t="n">
        <v>-40.2407</v>
      </c>
      <c r="EA22" s="1" t="n">
        <v>30.3435</v>
      </c>
      <c r="EB22" s="1" t="n">
        <v>-57.4036</v>
      </c>
      <c r="EC22" s="1" t="n">
        <v>5.7583</v>
      </c>
      <c r="ED22" s="1" t="n">
        <v>33.1526</v>
      </c>
      <c r="EE22" s="1" t="n">
        <v>15.487</v>
      </c>
      <c r="EF22" s="1" t="n">
        <v>10.8372</v>
      </c>
      <c r="EG22" s="1" t="n">
        <v>25.5879</v>
      </c>
      <c r="EH22" s="1" t="n">
        <v>-223.6355</v>
      </c>
      <c r="EI22" s="1" t="n">
        <v>251.9796</v>
      </c>
      <c r="EJ22" s="1" t="n">
        <v>-3.2061</v>
      </c>
      <c r="EK22" s="1" t="n">
        <v>-229.2983</v>
      </c>
      <c r="EL22" s="1" t="n">
        <v>44.6935</v>
      </c>
      <c r="EM22" s="1" t="n">
        <v>-119.958</v>
      </c>
    </row>
    <row r="23">
      <c r="A23" s="2" t="inlineStr">
        <is>
          <t xml:space="preserve">    资产减值损失</t>
        </is>
      </c>
      <c r="B23" s="1" t="n">
        <v>-552.75</v>
      </c>
      <c r="C23" s="1" t="n">
        <v>-293.11</v>
      </c>
      <c r="D23" s="1" t="n">
        <v>-617.89</v>
      </c>
      <c r="E23" s="1" t="n">
        <v>-826.64</v>
      </c>
      <c r="F23" s="1" t="n">
        <v>-986.85</v>
      </c>
      <c r="G23" s="1" t="n">
        <v>-1270.05</v>
      </c>
      <c r="H23" s="1" t="n">
        <v>-1115.85</v>
      </c>
      <c r="I23" s="1" t="n">
        <v>-1261.41</v>
      </c>
      <c r="J23" s="1" t="n">
        <v>-901.22</v>
      </c>
      <c r="K23" s="1" t="n">
        <v>-1665.37</v>
      </c>
      <c r="L23" s="1" t="n">
        <v>-1497.64</v>
      </c>
      <c r="M23" s="1" t="n">
        <v>-742.22</v>
      </c>
      <c r="N23" s="1" t="n">
        <v>-524</v>
      </c>
      <c r="O23" s="1" t="n">
        <v>-896.33</v>
      </c>
      <c r="P23" s="1" t="n">
        <v>-567.09</v>
      </c>
      <c r="Q23" s="1" t="n">
        <v>-549.02</v>
      </c>
      <c r="R23" s="1" t="n">
        <v>-480.48</v>
      </c>
      <c r="S23" s="1" t="n">
        <v>-495.92</v>
      </c>
      <c r="T23" s="1" t="n">
        <v>-1148.01</v>
      </c>
      <c r="AA23" s="1" t="n">
        <v>-15.94</v>
      </c>
      <c r="AB23" s="1" t="n">
        <v>-13.12</v>
      </c>
      <c r="AC23" s="1" t="n">
        <v>-117.97</v>
      </c>
      <c r="AD23" s="1" t="n">
        <v>-234.36</v>
      </c>
      <c r="AE23" s="1" t="n">
        <v>-356.55</v>
      </c>
      <c r="AF23" s="1" t="n">
        <v>-559.46</v>
      </c>
      <c r="AG23" s="1" t="n">
        <v>-412.01</v>
      </c>
      <c r="AH23" s="1" t="n">
        <v>-356.34</v>
      </c>
      <c r="AI23" s="1" t="n">
        <v>-339</v>
      </c>
      <c r="AJ23" s="1" t="n">
        <v>-117.79</v>
      </c>
      <c r="AK23" s="1" t="n">
        <v>-653.99</v>
      </c>
      <c r="AL23" s="1" t="n">
        <v>-201.42</v>
      </c>
      <c r="AM23" s="1" t="n">
        <v>-448.07</v>
      </c>
      <c r="AN23" s="1" t="n">
        <v>-347.8</v>
      </c>
      <c r="AO23" s="1" t="n">
        <v>-214.25</v>
      </c>
      <c r="AP23" s="1" t="n">
        <v>-213.04</v>
      </c>
      <c r="AQ23" s="1" t="n">
        <v>-272.37</v>
      </c>
      <c r="AR23" s="1" t="n">
        <v>-143.52</v>
      </c>
      <c r="AS23" s="1" t="n">
        <v>-259.12</v>
      </c>
      <c r="AT23" s="1" t="n"/>
      <c r="BN23" s="163" t="n">
        <v>-0.8773</v>
      </c>
      <c r="BO23" s="163" t="n">
        <v>16.8135</v>
      </c>
      <c r="BP23" s="163" t="n">
        <v>0.6806</v>
      </c>
      <c r="BQ23" s="163" t="n">
        <v>536.1296</v>
      </c>
      <c r="BR23" s="163" t="n">
        <v>18.3955</v>
      </c>
      <c r="BS23" s="163" t="n">
        <v>-5.2802</v>
      </c>
      <c r="BT23" s="163" t="n">
        <v>24.5378</v>
      </c>
      <c r="BU23" s="163" t="n">
        <v>255.454</v>
      </c>
      <c r="BV23" s="163" t="n">
        <v>102.5192</v>
      </c>
      <c r="BW23" s="163" t="n">
        <v>15.4512</v>
      </c>
      <c r="BX23" s="163" t="n">
        <v>200.9804</v>
      </c>
      <c r="BY23" s="163" t="n">
        <v>298.9437</v>
      </c>
      <c r="BZ23" s="163" t="n">
        <v>96.8048</v>
      </c>
      <c r="CA23" s="163" t="n">
        <v>137.5567</v>
      </c>
      <c r="CB23" s="163" t="n">
        <v>71.8437</v>
      </c>
      <c r="CC23" s="163" t="n">
        <v>520.4344</v>
      </c>
      <c r="CD23" s="163" t="n">
        <v>133.6998</v>
      </c>
      <c r="CE23" s="163" t="n">
        <v>222.8516</v>
      </c>
      <c r="CF23" s="163" t="n">
        <v>160.6681</v>
      </c>
      <c r="CG23" s="163" t="n">
        <v>469.6261</v>
      </c>
      <c r="CH23" s="163" t="n">
        <v>145.811</v>
      </c>
      <c r="CI23" s="163" t="n">
        <v>413.6442</v>
      </c>
      <c r="CJ23" s="163" t="n">
        <v>144.7755</v>
      </c>
      <c r="CK23" s="163" t="n">
        <v>565.8232</v>
      </c>
      <c r="CL23" s="163" t="n">
        <v>166.7203</v>
      </c>
      <c r="CM23" s="163" t="n">
        <v>245.2848</v>
      </c>
      <c r="CN23" s="163" t="n">
        <v>232.7874</v>
      </c>
      <c r="CO23" s="163" t="n">
        <v>471.0596</v>
      </c>
      <c r="CP23" s="163" t="n">
        <v>68.0194</v>
      </c>
      <c r="CQ23" s="163" t="n">
        <v>288.3159</v>
      </c>
      <c r="CR23" s="163" t="n">
        <v>334.7045</v>
      </c>
      <c r="CS23" s="163" t="n">
        <v>570.3713</v>
      </c>
      <c r="CT23" s="163" t="n">
        <v>23.3048</v>
      </c>
      <c r="CU23" s="163" t="n">
        <v>315.6972</v>
      </c>
      <c r="CV23" s="163" t="n">
        <v>206.3098</v>
      </c>
      <c r="CW23" s="163" t="n">
        <v>355.9118</v>
      </c>
      <c r="CX23" s="163" t="n">
        <v>-41.1046</v>
      </c>
      <c r="CY23" s="163" t="n">
        <v>158.8904</v>
      </c>
      <c r="CZ23" s="163" t="n">
        <v>324.5269</v>
      </c>
      <c r="DA23" s="163" t="n">
        <v>1223.0621</v>
      </c>
      <c r="DB23" s="163" t="n">
        <v>25.9291</v>
      </c>
      <c r="DC23" s="163" t="n">
        <v>628.0643</v>
      </c>
      <c r="DD23" s="163" t="n">
        <v>451.7711</v>
      </c>
      <c r="DE23" s="163" t="n">
        <v>391.8731</v>
      </c>
      <c r="DF23" s="1" t="n">
        <v>-14.154</v>
      </c>
      <c r="DG23" s="1" t="n">
        <v>215.5782</v>
      </c>
      <c r="DH23" s="1" t="n">
        <v>237.073</v>
      </c>
      <c r="DI23" s="1" t="n">
        <v>303.726</v>
      </c>
      <c r="DJ23" s="1" t="n">
        <v>109.738</v>
      </c>
      <c r="DK23" s="1" t="n">
        <v>338.3303</v>
      </c>
      <c r="DL23" s="1" t="n">
        <v>54.0462</v>
      </c>
      <c r="DM23" s="1" t="n">
        <v>21.8884</v>
      </c>
      <c r="DN23" s="1" t="n">
        <v>-6.6827</v>
      </c>
      <c r="DO23" s="1" t="n">
        <v>-354.4841</v>
      </c>
      <c r="DP23" s="1" t="n">
        <v>-0.4599</v>
      </c>
      <c r="DQ23" s="1" t="n">
        <v>-548.0650000000001</v>
      </c>
      <c r="DR23" s="1" t="n">
        <v>0.2901</v>
      </c>
      <c r="DS23" s="1" t="n">
        <v>-214.5448</v>
      </c>
      <c r="DT23" s="1" t="n">
        <v>3.6724</v>
      </c>
      <c r="DU23" s="1" t="n">
        <v>-356.5083</v>
      </c>
      <c r="DV23" s="1" t="n">
        <v>-33.46</v>
      </c>
      <c r="DW23" s="1" t="n">
        <v>-179.583</v>
      </c>
      <c r="DX23" s="1" t="n">
        <v>26.5194</v>
      </c>
      <c r="DY23" s="1" t="n">
        <v>-362.5008</v>
      </c>
      <c r="DZ23" s="1" t="n">
        <v>-111.065</v>
      </c>
      <c r="EA23" s="1" t="n">
        <v>-161.3034</v>
      </c>
      <c r="EB23" s="1" t="n">
        <v>-151.1604</v>
      </c>
      <c r="EC23" s="1" t="n">
        <v>-56.9482</v>
      </c>
      <c r="ED23" s="1" t="n">
        <v>-85.2812</v>
      </c>
      <c r="EE23" s="1" t="n">
        <v>-58.2437</v>
      </c>
      <c r="EF23" s="1" t="n">
        <v>-131.2662</v>
      </c>
      <c r="EG23" s="1" t="n">
        <v>-221.1247</v>
      </c>
      <c r="EH23" s="1" t="n">
        <v>-91.37309999999999</v>
      </c>
      <c r="EI23" s="1" t="n">
        <v>-167.7455</v>
      </c>
      <c r="EJ23" s="1" t="n">
        <v>-52.7216</v>
      </c>
      <c r="EK23" s="1" t="n">
        <v>-836.172</v>
      </c>
      <c r="EL23" s="1" t="n">
        <v>4.0615</v>
      </c>
      <c r="EM23" s="1" t="n">
        <v>-460.858</v>
      </c>
    </row>
    <row r="24">
      <c r="A24" s="2" t="inlineStr">
        <is>
          <t xml:space="preserve">    信用减值损失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-255.94</v>
      </c>
      <c r="O24" s="1" t="n">
        <v>-25.78</v>
      </c>
      <c r="P24" s="1" t="n">
        <v>205.36</v>
      </c>
      <c r="Q24" s="1" t="n">
        <v>-198.98</v>
      </c>
      <c r="R24" s="1" t="n">
        <v>277.44</v>
      </c>
      <c r="S24" s="1" t="n">
        <v>-175.68</v>
      </c>
      <c r="T24" s="1" t="n">
        <v>-146.04</v>
      </c>
      <c r="AN24" s="1" t="n">
        <v>-176.13</v>
      </c>
      <c r="AO24" s="1" t="n">
        <v>-74.06999999999999</v>
      </c>
      <c r="AP24" s="1" t="n">
        <v>-60.72</v>
      </c>
      <c r="AQ24" s="1" t="n">
        <v>91.44</v>
      </c>
      <c r="AR24" s="1" t="n">
        <v>-324.27</v>
      </c>
      <c r="AS24" s="1" t="n">
        <v>14.43</v>
      </c>
      <c r="AT24" s="1" t="n"/>
      <c r="DM24" s="1" t="n">
        <v>255.9379</v>
      </c>
      <c r="DN24" s="1" t="n">
        <v>107.9443</v>
      </c>
      <c r="DO24" s="1" t="n">
        <v>-68.18729999999999</v>
      </c>
      <c r="DP24" s="1" t="n">
        <v>-73.10599999999999</v>
      </c>
      <c r="DQ24" s="1" t="n">
        <v>223.4556</v>
      </c>
      <c r="DR24" s="1" t="n">
        <v>-213.6118</v>
      </c>
      <c r="DS24" s="1" t="n">
        <v>139.5443</v>
      </c>
      <c r="DT24" s="1" t="n">
        <v>163.5239</v>
      </c>
      <c r="DU24" s="1" t="n">
        <v>115.9037</v>
      </c>
      <c r="DV24" s="1" t="n">
        <v>-169.6795</v>
      </c>
      <c r="DW24" s="1" t="n">
        <v>108.9613</v>
      </c>
      <c r="DX24" s="1" t="n">
        <v>-87.3817</v>
      </c>
      <c r="DY24" s="1" t="n">
        <v>-50.8771</v>
      </c>
      <c r="DZ24" s="1" t="n">
        <v>47.2067</v>
      </c>
      <c r="EA24" s="1" t="n">
        <v>44.237</v>
      </c>
      <c r="EB24" s="1" t="n">
        <v>155.5169</v>
      </c>
      <c r="EC24" s="1" t="n">
        <v>30.484</v>
      </c>
      <c r="ED24" s="1" t="n">
        <v>-172.3846</v>
      </c>
      <c r="EE24" s="1" t="n">
        <v>-151.8868</v>
      </c>
      <c r="EF24" s="1" t="n">
        <v>49.5076</v>
      </c>
      <c r="EG24" s="1" t="n">
        <v>99.08880000000001</v>
      </c>
      <c r="EH24" s="1" t="n">
        <v>-31.5346</v>
      </c>
      <c r="EI24" s="1" t="n">
        <v>45.9641</v>
      </c>
      <c r="EJ24" s="1" t="n">
        <v>27.8264</v>
      </c>
      <c r="EK24" s="1" t="n">
        <v>-188.2911</v>
      </c>
      <c r="EL24" s="1" t="n">
        <v>-147.6365</v>
      </c>
      <c r="EM24" s="1" t="n">
        <v>-62.071</v>
      </c>
    </row>
    <row r="25">
      <c r="A25" s="2" t="inlineStr">
        <is>
          <t xml:space="preserve">    资产处置收益</t>
        </is>
      </c>
      <c r="M25" s="1" t="n">
        <v>16.95</v>
      </c>
      <c r="N25" s="1" t="n">
        <v>17.42</v>
      </c>
      <c r="O25" s="1" t="n">
        <v>9.42</v>
      </c>
      <c r="P25" s="1" t="n">
        <v>7.08</v>
      </c>
      <c r="Q25" s="1" t="n">
        <v>271.94</v>
      </c>
      <c r="R25" s="1" t="n">
        <v>50.19</v>
      </c>
      <c r="S25" s="1" t="n">
        <v>9.77</v>
      </c>
      <c r="T25" s="1" t="n">
        <v>16.45</v>
      </c>
      <c r="AM25" s="1" t="n">
        <v>0.78</v>
      </c>
      <c r="AN25" s="1" t="n">
        <v>1.2</v>
      </c>
      <c r="AO25" s="1" t="n">
        <v>4.91</v>
      </c>
      <c r="AP25" s="1" t="n">
        <v>227.47</v>
      </c>
      <c r="AQ25" s="1" t="n">
        <v>43.04</v>
      </c>
      <c r="AR25" s="1" t="n">
        <v>4.86</v>
      </c>
      <c r="AS25" s="1" t="n">
        <v>0.12</v>
      </c>
      <c r="AT25" s="1" t="n"/>
      <c r="DI25" s="1" t="n">
        <v>16.9507</v>
      </c>
      <c r="DJ25" s="1" t="n">
        <v>1.2278</v>
      </c>
      <c r="DK25" s="1" t="n">
        <v>-0.4483</v>
      </c>
      <c r="DL25" s="1" t="n">
        <v>-0.7564</v>
      </c>
      <c r="DM25" s="1" t="n">
        <v>17.3986</v>
      </c>
      <c r="DN25" s="1" t="n">
        <v>1.0629</v>
      </c>
      <c r="DO25" s="1" t="n">
        <v>0.1377</v>
      </c>
      <c r="DP25" s="1" t="n">
        <v>2.526</v>
      </c>
      <c r="DQ25" s="1" t="n">
        <v>5.6981</v>
      </c>
      <c r="DR25" s="1" t="n">
        <v>1.5142</v>
      </c>
      <c r="DS25" s="1" t="n">
        <v>3.4004</v>
      </c>
      <c r="DT25" s="1" t="n">
        <v>2.3778</v>
      </c>
      <c r="DU25" s="1" t="n">
        <v>-0.2124</v>
      </c>
      <c r="DV25" s="1" t="n">
        <v>151.69</v>
      </c>
      <c r="DW25" s="1" t="n">
        <v>75.7796</v>
      </c>
      <c r="DX25" s="1" t="n">
        <v>1.1071</v>
      </c>
      <c r="DY25" s="1" t="n">
        <v>43.3666</v>
      </c>
      <c r="DZ25" s="1" t="n">
        <v>37.2113</v>
      </c>
      <c r="EA25" s="1" t="n">
        <v>5.8304</v>
      </c>
      <c r="EB25" s="1" t="n">
        <v>-0.5629</v>
      </c>
      <c r="EC25" s="1" t="n">
        <v>7.7138</v>
      </c>
      <c r="ED25" s="1" t="n">
        <v>0.0292</v>
      </c>
      <c r="EE25" s="1" t="n">
        <v>4.83</v>
      </c>
      <c r="EF25" s="1" t="n">
        <v>1.275</v>
      </c>
      <c r="EG25" s="1" t="n">
        <v>3.6335</v>
      </c>
      <c r="EH25" s="1" t="n">
        <v>0.3263</v>
      </c>
      <c r="EI25" s="1" t="n">
        <v>-0.21</v>
      </c>
      <c r="EJ25" s="1" t="n">
        <v>14.1006</v>
      </c>
      <c r="EK25" s="1" t="n">
        <v>2.2358</v>
      </c>
      <c r="EL25" s="1" t="n">
        <v>1.2772</v>
      </c>
      <c r="EM25" s="1" t="n">
        <v>2.22</v>
      </c>
    </row>
    <row r="26">
      <c r="A26" s="2" t="inlineStr">
        <is>
          <t xml:space="preserve">    汇兑净收益</t>
        </is>
      </c>
      <c r="N26" s="1" t="n">
        <v>1.11</v>
      </c>
      <c r="O26" s="1" t="n">
        <v>0.87</v>
      </c>
      <c r="P26" s="1" t="n">
        <v>0.77</v>
      </c>
      <c r="Q26" s="1" t="n">
        <v>1.19</v>
      </c>
      <c r="R26" s="1" t="n">
        <v>3.07</v>
      </c>
      <c r="S26" s="1" t="n">
        <v>28.24</v>
      </c>
      <c r="T26" s="1" t="n">
        <v>6.84</v>
      </c>
      <c r="AM26" s="1" t="n">
        <v>0.47</v>
      </c>
      <c r="AN26" s="1" t="n">
        <v>0.41</v>
      </c>
      <c r="AO26" s="1" t="n">
        <v>0.41</v>
      </c>
      <c r="AP26" s="1" t="n">
        <v>0.23</v>
      </c>
      <c r="AQ26" s="1" t="n">
        <v>1.72</v>
      </c>
      <c r="AR26" s="1" t="n">
        <v>0.9399999999999999</v>
      </c>
      <c r="AS26" s="1" t="n">
        <v>2.73</v>
      </c>
      <c r="AT26" s="1" t="n"/>
      <c r="DK26" s="1" t="n">
        <v>0.4689</v>
      </c>
      <c r="DL26" s="1" t="n">
        <v>0.3929</v>
      </c>
      <c r="DM26" s="1" t="n">
        <v>0.2503</v>
      </c>
      <c r="DN26" s="1" t="n">
        <v>0.1647</v>
      </c>
      <c r="DO26" s="1" t="n">
        <v>0.2433</v>
      </c>
      <c r="DP26" s="1" t="n">
        <v>0.2841</v>
      </c>
      <c r="DQ26" s="1" t="n">
        <v>0.1803</v>
      </c>
      <c r="DR26" s="1" t="n">
        <v>0.079</v>
      </c>
      <c r="DS26" s="1" t="n">
        <v>0.3346</v>
      </c>
      <c r="DT26" s="1" t="n">
        <v>0.299</v>
      </c>
      <c r="DU26" s="1" t="n">
        <v>0.0572</v>
      </c>
      <c r="DV26" s="1" t="n">
        <v>0.08160000000000001</v>
      </c>
      <c r="DW26" s="1" t="n">
        <v>0.1504</v>
      </c>
      <c r="DX26" s="1" t="n">
        <v>0.4014</v>
      </c>
      <c r="DY26" s="1" t="n">
        <v>0.5548999999999999</v>
      </c>
      <c r="DZ26" s="1" t="n">
        <v>0.8536</v>
      </c>
      <c r="EA26" s="1" t="n">
        <v>0.8672</v>
      </c>
      <c r="EB26" s="1" t="n">
        <v>0.8252</v>
      </c>
      <c r="EC26" s="1" t="n">
        <v>0.5265</v>
      </c>
      <c r="ED26" s="1" t="n">
        <v>0.2166</v>
      </c>
      <c r="EE26" s="1" t="n">
        <v>0.727</v>
      </c>
      <c r="EF26" s="1" t="n">
        <v>1.437</v>
      </c>
      <c r="EG26" s="1" t="n">
        <v>25.8601</v>
      </c>
      <c r="EH26" s="1" t="n">
        <v>0.931</v>
      </c>
      <c r="EI26" s="1" t="n">
        <v>1.7959</v>
      </c>
      <c r="EJ26" s="1" t="n">
        <v>-5.2121</v>
      </c>
      <c r="EK26" s="1" t="n">
        <v>9.33</v>
      </c>
      <c r="EL26" s="1" t="n">
        <v>0.1715</v>
      </c>
      <c r="EM26" s="1" t="n">
        <v>0.822</v>
      </c>
    </row>
    <row r="27">
      <c r="A27" s="2" t="inlineStr">
        <is>
          <t xml:space="preserve">    加：营业利润差额(特殊报表科目)</t>
        </is>
      </c>
    </row>
    <row r="28">
      <c r="A28" s="2" t="inlineStr">
        <is>
          <t xml:space="preserve">            营业利润差额(合计平衡项目)</t>
        </is>
      </c>
    </row>
    <row r="29">
      <c r="A29" s="3" t="inlineStr">
        <is>
          <t>营业利润</t>
        </is>
      </c>
      <c r="B29" s="1" t="n">
        <v>2483.16</v>
      </c>
      <c r="C29" s="1" t="n">
        <v>2424.55</v>
      </c>
      <c r="D29" s="1" t="n">
        <v>1541.73</v>
      </c>
      <c r="E29" s="1" t="n">
        <v>1652.65</v>
      </c>
      <c r="F29" s="1" t="n">
        <v>2755.9</v>
      </c>
      <c r="G29" s="1" t="n">
        <v>3356.34</v>
      </c>
      <c r="H29" s="1" t="n">
        <v>2482.22</v>
      </c>
      <c r="I29" s="1" t="n">
        <v>2776.93</v>
      </c>
      <c r="J29" s="1" t="n">
        <v>1325.6</v>
      </c>
      <c r="K29" s="1" t="n">
        <v>383.98</v>
      </c>
      <c r="L29" s="1" t="n">
        <v>-1995.93</v>
      </c>
      <c r="M29" s="1" t="n">
        <v>620.26</v>
      </c>
      <c r="N29" s="1" t="n">
        <v>1238.71</v>
      </c>
      <c r="O29" s="1" t="n">
        <v>1622.26</v>
      </c>
      <c r="P29" s="1" t="n">
        <v>2160.29</v>
      </c>
      <c r="Q29" s="1" t="n">
        <v>2658.24</v>
      </c>
      <c r="R29" s="1" t="n">
        <v>3320.87</v>
      </c>
      <c r="S29" s="1" t="n">
        <v>3976.68</v>
      </c>
      <c r="T29" s="1" t="n">
        <v>3887.45</v>
      </c>
      <c r="AA29" s="1" t="n">
        <v>421.06</v>
      </c>
      <c r="AB29" s="1" t="n">
        <v>485.78</v>
      </c>
      <c r="AC29" s="1" t="n">
        <v>824.51</v>
      </c>
      <c r="AD29" s="1" t="n">
        <v>853.58</v>
      </c>
      <c r="AE29" s="1" t="n">
        <v>1127.42</v>
      </c>
      <c r="AF29" s="1" t="n">
        <v>1722.53</v>
      </c>
      <c r="AG29" s="1" t="n">
        <v>1428.08</v>
      </c>
      <c r="AH29" s="1" t="n">
        <v>1387.42</v>
      </c>
      <c r="AI29" s="1" t="n">
        <v>960.08</v>
      </c>
      <c r="AJ29" s="1" t="n">
        <v>261.82</v>
      </c>
      <c r="AK29" s="1" t="n">
        <v>-343.14</v>
      </c>
      <c r="AL29" s="1" t="n">
        <v>379.12</v>
      </c>
      <c r="AM29" s="1" t="n">
        <v>658.95</v>
      </c>
      <c r="AN29" s="1" t="n">
        <v>895.91</v>
      </c>
      <c r="AO29" s="1" t="n">
        <v>1182.84</v>
      </c>
      <c r="AP29" s="1" t="n">
        <v>1634.67</v>
      </c>
      <c r="AQ29" s="1" t="n">
        <v>2088.56</v>
      </c>
      <c r="AR29" s="1" t="n">
        <v>2329.55</v>
      </c>
      <c r="AS29" s="1" t="n">
        <v>2110.33</v>
      </c>
      <c r="AT29" s="1" t="n"/>
      <c r="BN29" s="1" t="n">
        <v>157.2585</v>
      </c>
      <c r="BO29" s="1" t="n">
        <v>263.8008</v>
      </c>
      <c r="BP29" s="1" t="n">
        <v>295.3075</v>
      </c>
      <c r="BQ29" s="1" t="n">
        <v>1766.7931</v>
      </c>
      <c r="BR29" s="1" t="n">
        <v>238.6272</v>
      </c>
      <c r="BS29" s="1" t="n">
        <v>247.1572</v>
      </c>
      <c r="BT29" s="1" t="n">
        <v>375.2301</v>
      </c>
      <c r="BU29" s="1" t="n">
        <v>1563.5362</v>
      </c>
      <c r="BV29" s="1" t="n">
        <v>490.5172</v>
      </c>
      <c r="BW29" s="1" t="n">
        <v>333.9913</v>
      </c>
      <c r="BX29" s="1" t="n">
        <v>315.9853</v>
      </c>
      <c r="BY29" s="1" t="n">
        <v>401.2323</v>
      </c>
      <c r="BZ29" s="1" t="n">
        <v>393.8995</v>
      </c>
      <c r="CA29" s="1" t="n">
        <v>459.6822</v>
      </c>
      <c r="CB29" s="1" t="n">
        <v>542.7311999999999</v>
      </c>
      <c r="CC29" s="1" t="n">
        <v>256.3329</v>
      </c>
      <c r="CD29" s="1" t="n">
        <v>517.2102</v>
      </c>
      <c r="CE29" s="1" t="n">
        <v>610.211</v>
      </c>
      <c r="CF29" s="1" t="n">
        <v>778.2628999999999</v>
      </c>
      <c r="CG29" s="1" t="n">
        <v>850.2118</v>
      </c>
      <c r="CH29" s="1" t="n">
        <v>701.4173</v>
      </c>
      <c r="CI29" s="1" t="n">
        <v>1021.1151</v>
      </c>
      <c r="CJ29" s="1" t="n">
        <v>926.7917</v>
      </c>
      <c r="CK29" s="1" t="n">
        <v>707.0111000000001</v>
      </c>
      <c r="CL29" s="1" t="n">
        <v>828.8046000000001</v>
      </c>
      <c r="CM29" s="1" t="n">
        <v>599.274</v>
      </c>
      <c r="CN29" s="1" t="n">
        <v>651.0101</v>
      </c>
      <c r="CO29" s="1" t="n">
        <v>403.1266</v>
      </c>
      <c r="CP29" s="1" t="n">
        <v>528.0836</v>
      </c>
      <c r="CQ29" s="1" t="n">
        <v>859.3339</v>
      </c>
      <c r="CR29" s="1" t="n">
        <v>816.5602</v>
      </c>
      <c r="CS29" s="1" t="n">
        <v>572.9543</v>
      </c>
      <c r="CT29" s="1" t="n">
        <v>494.2521</v>
      </c>
      <c r="CU29" s="1" t="n">
        <v>465.8265</v>
      </c>
      <c r="CV29" s="1" t="n">
        <v>258.7868</v>
      </c>
      <c r="CW29" s="1" t="n">
        <v>106.7339</v>
      </c>
      <c r="CX29" s="1" t="n">
        <v>112.5323</v>
      </c>
      <c r="CY29" s="1" t="n">
        <v>149.2853</v>
      </c>
      <c r="CZ29" s="1" t="n">
        <v>72.5312</v>
      </c>
      <c r="DA29" s="1" t="n">
        <v>49.6336</v>
      </c>
      <c r="DB29" s="1" t="n">
        <v>38.3322</v>
      </c>
      <c r="DC29" s="1" t="n">
        <v>-381.4681</v>
      </c>
      <c r="DD29" s="1" t="n">
        <v>-771.6585</v>
      </c>
      <c r="DE29" s="1" t="n">
        <v>-881.1387</v>
      </c>
      <c r="DF29" s="1" t="n">
        <v>61.1455</v>
      </c>
      <c r="DG29" s="1" t="n">
        <v>317.971</v>
      </c>
      <c r="DH29" s="1" t="n">
        <v>-10.8012</v>
      </c>
      <c r="DI29" s="1" t="n">
        <v>251.9467</v>
      </c>
      <c r="DJ29" s="1" t="n">
        <v>227.6462</v>
      </c>
      <c r="DK29" s="1" t="n">
        <v>431.3085</v>
      </c>
      <c r="DL29" s="1" t="n">
        <v>407.8649</v>
      </c>
      <c r="DM29" s="1" t="n">
        <v>171.8873</v>
      </c>
      <c r="DN29" s="1" t="n">
        <v>425.4532</v>
      </c>
      <c r="DO29" s="1" t="n">
        <v>470.4599</v>
      </c>
      <c r="DP29" s="1" t="n">
        <v>406.4478</v>
      </c>
      <c r="DQ29" s="1" t="n">
        <v>319.903</v>
      </c>
      <c r="DR29" s="1" t="n">
        <v>469.0855</v>
      </c>
      <c r="DS29" s="1" t="n">
        <v>713.7565</v>
      </c>
      <c r="DT29" s="1" t="n">
        <v>410.3553</v>
      </c>
      <c r="DU29" s="1" t="n">
        <v>567.0933</v>
      </c>
      <c r="DV29" s="1" t="n">
        <v>721.6839</v>
      </c>
      <c r="DW29" s="1" t="n">
        <v>912.9865</v>
      </c>
      <c r="DX29" s="1" t="n">
        <v>612.2999</v>
      </c>
      <c r="DY29" s="1" t="n">
        <v>411.2726</v>
      </c>
      <c r="DZ29" s="1" t="n">
        <v>1104.5763</v>
      </c>
      <c r="EA29" s="1" t="n">
        <v>983.9789</v>
      </c>
      <c r="EB29" s="1" t="n">
        <v>836.4389</v>
      </c>
      <c r="EC29" s="1" t="n">
        <v>395.8772</v>
      </c>
      <c r="ED29" s="1" t="n">
        <v>1206.2827</v>
      </c>
      <c r="EE29" s="1" t="n">
        <v>1123.2656</v>
      </c>
      <c r="EF29" s="1" t="n">
        <v>926.2444</v>
      </c>
      <c r="EG29" s="1" t="n">
        <v>720.8912</v>
      </c>
      <c r="EH29" s="1" t="n">
        <v>1132.8713</v>
      </c>
      <c r="EI29" s="1" t="n">
        <v>977.4558</v>
      </c>
      <c r="EJ29" s="1" t="n">
        <v>1021.509</v>
      </c>
      <c r="EK29" s="1" t="n">
        <v>755.6171000000001</v>
      </c>
      <c r="EL29" s="1" t="n">
        <v>1414.7828</v>
      </c>
      <c r="EM29" s="1" t="n">
        <v>1091.603</v>
      </c>
    </row>
    <row r="30">
      <c r="A30" s="2" t="inlineStr">
        <is>
          <t xml:space="preserve">    加：营业外收入</t>
        </is>
      </c>
      <c r="B30" s="1" t="n">
        <v>87.79000000000001</v>
      </c>
      <c r="C30" s="1" t="n">
        <v>88.73999999999999</v>
      </c>
      <c r="D30" s="1" t="n">
        <v>517.76</v>
      </c>
      <c r="E30" s="1" t="n">
        <v>222.19</v>
      </c>
      <c r="F30" s="1" t="n">
        <v>204</v>
      </c>
      <c r="G30" s="1" t="n">
        <v>255.41</v>
      </c>
      <c r="H30" s="1" t="n">
        <v>233.89</v>
      </c>
      <c r="I30" s="1" t="n">
        <v>206.48</v>
      </c>
      <c r="J30" s="1" t="n">
        <v>204.92</v>
      </c>
      <c r="K30" s="1" t="n">
        <v>227.91</v>
      </c>
      <c r="L30" s="1" t="n">
        <v>219.42</v>
      </c>
      <c r="M30" s="1" t="n">
        <v>216.44</v>
      </c>
      <c r="N30" s="1" t="n">
        <v>163.29</v>
      </c>
      <c r="O30" s="1" t="n">
        <v>104.19</v>
      </c>
      <c r="P30" s="1" t="n">
        <v>40.63</v>
      </c>
      <c r="Q30" s="1" t="n">
        <v>51.42</v>
      </c>
      <c r="R30" s="1" t="n">
        <v>56.54</v>
      </c>
      <c r="S30" s="1" t="n">
        <v>71.41</v>
      </c>
      <c r="T30" s="1" t="n">
        <v>49.51</v>
      </c>
      <c r="AA30" s="1" t="n">
        <v>25.56</v>
      </c>
      <c r="AB30" s="1" t="n">
        <v>18.56</v>
      </c>
      <c r="AC30" s="1" t="n">
        <v>45.13</v>
      </c>
      <c r="AD30" s="1" t="n">
        <v>26.97</v>
      </c>
      <c r="AE30" s="1" t="n">
        <v>57.69</v>
      </c>
      <c r="AF30" s="1" t="n">
        <v>55.67</v>
      </c>
      <c r="AG30" s="1" t="n">
        <v>60.36</v>
      </c>
      <c r="AH30" s="1" t="n">
        <v>72.34999999999999</v>
      </c>
      <c r="AI30" s="1" t="n">
        <v>46.05</v>
      </c>
      <c r="AJ30" s="1" t="n">
        <v>47.5</v>
      </c>
      <c r="AK30" s="1" t="n">
        <v>52.5</v>
      </c>
      <c r="AL30" s="1" t="n">
        <v>202.72</v>
      </c>
      <c r="AM30" s="1" t="n">
        <v>29.62</v>
      </c>
      <c r="AN30" s="1" t="n">
        <v>36.12</v>
      </c>
      <c r="AO30" s="1" t="n">
        <v>23.3</v>
      </c>
      <c r="AP30" s="1" t="n">
        <v>12.31</v>
      </c>
      <c r="AQ30" s="1" t="n">
        <v>17.32</v>
      </c>
      <c r="AR30" s="1" t="n">
        <v>14.89</v>
      </c>
      <c r="AS30" s="1" t="n">
        <v>21.74</v>
      </c>
      <c r="AT30" s="1" t="n"/>
      <c r="BN30" s="1" t="n">
        <v>7.7145</v>
      </c>
      <c r="BO30" s="1" t="n">
        <v>17.8477</v>
      </c>
      <c r="BP30" s="1" t="n">
        <v>7.8215</v>
      </c>
      <c r="BQ30" s="1" t="n">
        <v>54.4022</v>
      </c>
      <c r="BR30" s="1" t="n">
        <v>10.0576</v>
      </c>
      <c r="BS30" s="1" t="n">
        <v>8.501799999999999</v>
      </c>
      <c r="BT30" s="1" t="n">
        <v>10.7268</v>
      </c>
      <c r="BU30" s="1" t="n">
        <v>59.458</v>
      </c>
      <c r="BV30" s="1" t="n">
        <v>15.164</v>
      </c>
      <c r="BW30" s="1" t="n">
        <v>29.9645</v>
      </c>
      <c r="BX30" s="1" t="n">
        <v>85.08929999999999</v>
      </c>
      <c r="BY30" s="1" t="n">
        <v>387.5397</v>
      </c>
      <c r="BZ30" s="1" t="n">
        <v>12.4903</v>
      </c>
      <c r="CA30" s="1" t="n">
        <v>14.4828</v>
      </c>
      <c r="CB30" s="1" t="n">
        <v>14.8122</v>
      </c>
      <c r="CC30" s="1" t="n">
        <v>180.4063</v>
      </c>
      <c r="CD30" s="1" t="n">
        <v>25.0318</v>
      </c>
      <c r="CE30" s="1" t="n">
        <v>32.6547</v>
      </c>
      <c r="CF30" s="1" t="n">
        <v>26.6659</v>
      </c>
      <c r="CG30" s="1" t="n">
        <v>119.6527</v>
      </c>
      <c r="CH30" s="1" t="n">
        <v>25.7259</v>
      </c>
      <c r="CI30" s="1" t="n">
        <v>29.9415</v>
      </c>
      <c r="CJ30" s="1" t="n">
        <v>27.3604</v>
      </c>
      <c r="CK30" s="1" t="n">
        <v>172.3841</v>
      </c>
      <c r="CL30" s="1" t="n">
        <v>37.7744</v>
      </c>
      <c r="CM30" s="1" t="n">
        <v>22.5877</v>
      </c>
      <c r="CN30" s="1" t="n">
        <v>36.8269</v>
      </c>
      <c r="CO30" s="1" t="n">
        <v>136.6992</v>
      </c>
      <c r="CP30" s="1" t="n">
        <v>42.967</v>
      </c>
      <c r="CQ30" s="1" t="n">
        <v>29.38</v>
      </c>
      <c r="CR30" s="1" t="n">
        <v>22.2521</v>
      </c>
      <c r="CS30" s="1" t="n">
        <v>111.8846</v>
      </c>
      <c r="CT30" s="1" t="n">
        <v>20.5039</v>
      </c>
      <c r="CU30" s="1" t="n">
        <v>25.5448</v>
      </c>
      <c r="CV30" s="1" t="n">
        <v>29.3936</v>
      </c>
      <c r="CW30" s="1" t="n">
        <v>129.4741</v>
      </c>
      <c r="CX30" s="1" t="n">
        <v>22.4752</v>
      </c>
      <c r="CY30" s="1" t="n">
        <v>25.0283</v>
      </c>
      <c r="CZ30" s="1" t="n">
        <v>18.7063</v>
      </c>
      <c r="DA30" s="1" t="n">
        <v>161.7028</v>
      </c>
      <c r="DB30" s="1" t="n">
        <v>17.9926</v>
      </c>
      <c r="DC30" s="1" t="n">
        <v>34.5095</v>
      </c>
      <c r="DD30" s="1" t="n">
        <v>34.7862</v>
      </c>
      <c r="DE30" s="1" t="n">
        <v>132.1342</v>
      </c>
      <c r="DF30" s="1" t="n">
        <v>170.9178</v>
      </c>
      <c r="DG30" s="1" t="n">
        <v>31.8057</v>
      </c>
      <c r="DH30" s="1" t="n">
        <v>32.6598</v>
      </c>
      <c r="DI30" s="1" t="n">
        <v>-18.9448</v>
      </c>
      <c r="DJ30" s="1" t="n">
        <v>3.8693</v>
      </c>
      <c r="DK30" s="1" t="n">
        <v>25.7512</v>
      </c>
      <c r="DL30" s="1" t="n">
        <v>5.7089</v>
      </c>
      <c r="DM30" s="1" t="n">
        <v>127.9569</v>
      </c>
      <c r="DN30" s="1" t="n">
        <v>13.2141</v>
      </c>
      <c r="DO30" s="1" t="n">
        <v>22.9075</v>
      </c>
      <c r="DP30" s="1" t="n">
        <v>20.4014</v>
      </c>
      <c r="DQ30" s="1" t="n">
        <v>47.669</v>
      </c>
      <c r="DR30" s="1" t="n">
        <v>19.4938</v>
      </c>
      <c r="DS30" s="1" t="n">
        <v>3.8097</v>
      </c>
      <c r="DT30" s="1" t="n">
        <v>1.193</v>
      </c>
      <c r="DU30" s="1" t="n">
        <v>16.1323</v>
      </c>
      <c r="DV30" s="1" t="n">
        <v>7.1184</v>
      </c>
      <c r="DW30" s="1" t="n">
        <v>5.1901</v>
      </c>
      <c r="DX30" s="1" t="n">
        <v>10.5952</v>
      </c>
      <c r="DY30" s="1" t="n">
        <v>28.5142</v>
      </c>
      <c r="DZ30" s="1" t="n">
        <v>5.0072</v>
      </c>
      <c r="EA30" s="1" t="n">
        <v>12.3148</v>
      </c>
      <c r="EB30" s="1" t="n">
        <v>10.1175</v>
      </c>
      <c r="EC30" s="1" t="n">
        <v>29.0962</v>
      </c>
      <c r="ED30" s="1" t="n">
        <v>5.4562</v>
      </c>
      <c r="EE30" s="1" t="n">
        <v>9.4329</v>
      </c>
      <c r="EF30" s="1" t="n">
        <v>13.7268</v>
      </c>
      <c r="EG30" s="1" t="n">
        <v>42.7897</v>
      </c>
      <c r="EH30" s="1" t="n">
        <v>13.7541</v>
      </c>
      <c r="EI30" s="1" t="n">
        <v>7.9838</v>
      </c>
      <c r="EJ30" s="1" t="n">
        <v>17.3399</v>
      </c>
      <c r="EK30" s="1" t="n">
        <v>10.4274</v>
      </c>
      <c r="EL30" s="1" t="n">
        <v>6.8996</v>
      </c>
      <c r="EM30" s="1" t="n">
        <v>29.777</v>
      </c>
    </row>
    <row r="31">
      <c r="A31" s="2" t="inlineStr">
        <is>
          <t xml:space="preserve">    减：营业外支出</t>
        </is>
      </c>
      <c r="B31" s="1" t="n">
        <v>25.99</v>
      </c>
      <c r="C31" s="1" t="n">
        <v>23.38</v>
      </c>
      <c r="D31" s="1" t="n">
        <v>1986.21</v>
      </c>
      <c r="E31" s="1" t="n">
        <v>297.47</v>
      </c>
      <c r="F31" s="1" t="n">
        <v>114.72</v>
      </c>
      <c r="G31" s="1" t="n">
        <v>67.69</v>
      </c>
      <c r="H31" s="1" t="n">
        <v>97.44</v>
      </c>
      <c r="I31" s="1" t="n">
        <v>195.92</v>
      </c>
      <c r="J31" s="1" t="n">
        <v>28.17</v>
      </c>
      <c r="K31" s="1" t="n">
        <v>79</v>
      </c>
      <c r="L31" s="1" t="n">
        <v>167.55</v>
      </c>
      <c r="M31" s="1" t="n">
        <v>303.28</v>
      </c>
      <c r="N31" s="1" t="n">
        <v>126.52</v>
      </c>
      <c r="O31" s="1" t="n">
        <v>147.87</v>
      </c>
      <c r="P31" s="1" t="n">
        <v>133.7</v>
      </c>
      <c r="Q31" s="1" t="n">
        <v>42.61</v>
      </c>
      <c r="R31" s="1" t="n">
        <v>52.43</v>
      </c>
      <c r="S31" s="1" t="n">
        <v>41.93</v>
      </c>
      <c r="T31" s="1" t="n">
        <v>52.71</v>
      </c>
      <c r="AA31" s="1" t="n">
        <v>1.3</v>
      </c>
      <c r="AB31" s="1" t="n">
        <v>0.78</v>
      </c>
      <c r="AC31" s="1" t="n">
        <v>320.21</v>
      </c>
      <c r="AD31" s="1" t="n">
        <v>65.31</v>
      </c>
      <c r="AE31" s="1" t="n">
        <v>32.49</v>
      </c>
      <c r="AF31" s="1" t="n">
        <v>3.56</v>
      </c>
      <c r="AG31" s="1" t="n">
        <v>13.25</v>
      </c>
      <c r="AH31" s="1" t="n">
        <v>23.98</v>
      </c>
      <c r="AI31" s="1" t="n">
        <v>2.9</v>
      </c>
      <c r="AJ31" s="1" t="n">
        <v>47.94</v>
      </c>
      <c r="AK31" s="1" t="n">
        <v>53.03</v>
      </c>
      <c r="AL31" s="1" t="n">
        <v>148.12</v>
      </c>
      <c r="AM31" s="1" t="n">
        <v>76.42</v>
      </c>
      <c r="AN31" s="1" t="n">
        <v>14.06</v>
      </c>
      <c r="AO31" s="1" t="n">
        <v>56.52</v>
      </c>
      <c r="AP31" s="1" t="n">
        <v>17.51</v>
      </c>
      <c r="AQ31" s="1" t="n">
        <v>36.43</v>
      </c>
      <c r="AR31" s="1" t="n">
        <v>17.89</v>
      </c>
      <c r="AS31" s="1" t="n">
        <v>25.38</v>
      </c>
      <c r="AT31" s="1" t="n"/>
      <c r="BN31" s="1" t="n">
        <v>0.7674</v>
      </c>
      <c r="BO31" s="1" t="n">
        <v>0.5322</v>
      </c>
      <c r="BP31" s="1" t="n">
        <v>0.5503</v>
      </c>
      <c r="BQ31" s="1" t="n">
        <v>24.1436</v>
      </c>
      <c r="BR31" s="1" t="n">
        <v>0.2815</v>
      </c>
      <c r="BS31" s="1" t="n">
        <v>0.4935</v>
      </c>
      <c r="BT31" s="1" t="n">
        <v>1.1142</v>
      </c>
      <c r="BU31" s="1" t="n">
        <v>21.4921</v>
      </c>
      <c r="BV31" s="1" t="n">
        <v>0.8546</v>
      </c>
      <c r="BW31" s="1" t="n">
        <v>319.3569</v>
      </c>
      <c r="BX31" s="1" t="n">
        <v>69.4228</v>
      </c>
      <c r="BY31" s="1" t="n">
        <v>1596.5752</v>
      </c>
      <c r="BZ31" s="1" t="n">
        <v>30.5223</v>
      </c>
      <c r="CA31" s="1" t="n">
        <v>34.787</v>
      </c>
      <c r="CB31" s="1" t="n">
        <v>98.78019999999999</v>
      </c>
      <c r="CC31" s="1" t="n">
        <v>133.3766</v>
      </c>
      <c r="CD31" s="1" t="n">
        <v>15.2747</v>
      </c>
      <c r="CE31" s="1" t="n">
        <v>17.2172</v>
      </c>
      <c r="CF31" s="1" t="n">
        <v>11.4074</v>
      </c>
      <c r="CG31" s="1" t="n">
        <v>70.8228</v>
      </c>
      <c r="CH31" s="1" t="n">
        <v>1.7661</v>
      </c>
      <c r="CI31" s="1" t="n">
        <v>1.7961</v>
      </c>
      <c r="CJ31" s="1" t="n">
        <v>2.1339</v>
      </c>
      <c r="CK31" s="1" t="n">
        <v>61.9941</v>
      </c>
      <c r="CL31" s="1" t="n">
        <v>1.5502</v>
      </c>
      <c r="CM31" s="1" t="n">
        <v>11.7</v>
      </c>
      <c r="CN31" s="1" t="n">
        <v>5.9556</v>
      </c>
      <c r="CO31" s="1" t="n">
        <v>78.23909999999999</v>
      </c>
      <c r="CP31" s="1" t="n">
        <v>5.3632</v>
      </c>
      <c r="CQ31" s="1" t="n">
        <v>18.6217</v>
      </c>
      <c r="CR31" s="1" t="n">
        <v>14.9466</v>
      </c>
      <c r="CS31" s="1" t="n">
        <v>156.9922</v>
      </c>
      <c r="CT31" s="1" t="n">
        <v>0.8774</v>
      </c>
      <c r="CU31" s="1" t="n">
        <v>2.0256</v>
      </c>
      <c r="CV31" s="1" t="n">
        <v>1.4973</v>
      </c>
      <c r="CW31" s="1" t="n">
        <v>23.7731</v>
      </c>
      <c r="CX31" s="1" t="n">
        <v>22.4693</v>
      </c>
      <c r="CY31" s="1" t="n">
        <v>25.4732</v>
      </c>
      <c r="CZ31" s="1" t="n">
        <v>-1.665</v>
      </c>
      <c r="DA31" s="1" t="n">
        <v>32.718</v>
      </c>
      <c r="DB31" s="1" t="n">
        <v>1.8756</v>
      </c>
      <c r="DC31" s="1" t="n">
        <v>51.1592</v>
      </c>
      <c r="DD31" s="1" t="n">
        <v>5.1428</v>
      </c>
      <c r="DE31" s="1" t="n">
        <v>109.3759</v>
      </c>
      <c r="DF31" s="1" t="n">
        <v>9.519</v>
      </c>
      <c r="DG31" s="1" t="n">
        <v>138.5973</v>
      </c>
      <c r="DH31" s="1" t="n">
        <v>-6.8058</v>
      </c>
      <c r="DI31" s="1" t="n">
        <v>161.9667</v>
      </c>
      <c r="DJ31" s="1" t="n">
        <v>0.2212</v>
      </c>
      <c r="DK31" s="1" t="n">
        <v>76.1968</v>
      </c>
      <c r="DL31" s="1" t="n">
        <v>3.9914</v>
      </c>
      <c r="DM31" s="1" t="n">
        <v>46.114</v>
      </c>
      <c r="DN31" s="1" t="n">
        <v>10.0367</v>
      </c>
      <c r="DO31" s="1" t="n">
        <v>4.0198</v>
      </c>
      <c r="DP31" s="1" t="n">
        <v>47.9591</v>
      </c>
      <c r="DQ31" s="1" t="n">
        <v>85.8563</v>
      </c>
      <c r="DR31" s="1" t="n">
        <v>29.1199</v>
      </c>
      <c r="DS31" s="1" t="n">
        <v>27.3995</v>
      </c>
      <c r="DT31" s="1" t="n">
        <v>4.8269</v>
      </c>
      <c r="DU31" s="1" t="n">
        <v>72.3493</v>
      </c>
      <c r="DV31" s="1" t="n">
        <v>1.3819</v>
      </c>
      <c r="DW31" s="1" t="n">
        <v>16.1239</v>
      </c>
      <c r="DX31" s="1" t="n">
        <v>0.7758</v>
      </c>
      <c r="DY31" s="1" t="n">
        <v>24.3316</v>
      </c>
      <c r="DZ31" s="1" t="n">
        <v>18.5594</v>
      </c>
      <c r="EA31" s="1" t="n">
        <v>17.8722</v>
      </c>
      <c r="EB31" s="1" t="n">
        <v>-6.9088</v>
      </c>
      <c r="EC31" s="1" t="n">
        <v>22.911</v>
      </c>
      <c r="ED31" s="1" t="n">
        <v>5.3151</v>
      </c>
      <c r="EE31" s="1" t="n">
        <v>12.5753</v>
      </c>
      <c r="EF31" s="1" t="n">
        <v>0.2338</v>
      </c>
      <c r="EG31" s="1" t="n">
        <v>23.801</v>
      </c>
      <c r="EH31" s="1" t="n">
        <v>6.3493</v>
      </c>
      <c r="EI31" s="1" t="n">
        <v>19.0351</v>
      </c>
      <c r="EJ31" s="1" t="n">
        <v>5.3179</v>
      </c>
      <c r="EK31" s="1" t="n">
        <v>22.0123</v>
      </c>
      <c r="EL31" s="1" t="n">
        <v>11.7939</v>
      </c>
      <c r="EM31" s="1" t="n">
        <v>37.298</v>
      </c>
    </row>
    <row r="32">
      <c r="A32" s="2" t="inlineStr">
        <is>
          <t xml:space="preserve">            其中：非流动资产处置净损失</t>
        </is>
      </c>
      <c r="E32" s="1" t="n">
        <v>6.99</v>
      </c>
      <c r="F32" s="1" t="n">
        <v>7.72</v>
      </c>
      <c r="G32" s="1" t="n">
        <v>13.6</v>
      </c>
      <c r="H32" s="1" t="n">
        <v>2.93</v>
      </c>
      <c r="I32" s="1" t="n">
        <v>2.48</v>
      </c>
      <c r="J32" s="1" t="n">
        <v>3.71</v>
      </c>
      <c r="K32" s="1" t="n">
        <v>4.04</v>
      </c>
      <c r="L32" s="1" t="n">
        <v>8.84</v>
      </c>
      <c r="AC32" s="1" t="n">
        <v>309.65</v>
      </c>
      <c r="AD32" s="1" t="n">
        <v>0.72</v>
      </c>
      <c r="AE32" s="1" t="n">
        <v>0.83</v>
      </c>
      <c r="AF32" s="1" t="n">
        <v>1.95</v>
      </c>
      <c r="AG32" s="1" t="n">
        <v>0.58</v>
      </c>
      <c r="AH32" s="1" t="n">
        <v>1.33</v>
      </c>
      <c r="AI32" s="1" t="n">
        <v>1.49</v>
      </c>
      <c r="AJ32" s="1" t="n">
        <v>3.51</v>
      </c>
      <c r="AK32" s="1" t="n">
        <v>0.62</v>
      </c>
      <c r="AL32" s="1" t="n">
        <v>1.88</v>
      </c>
      <c r="BV32" s="1" t="n">
        <v>0.4274</v>
      </c>
      <c r="BW32" s="1" t="n">
        <v>309.2242</v>
      </c>
      <c r="BX32" s="1" t="n">
        <v>1.517</v>
      </c>
      <c r="BZ32" s="1" t="n">
        <v>0.0469</v>
      </c>
      <c r="CA32" s="1" t="n">
        <v>0.6773</v>
      </c>
      <c r="CB32" s="1" t="n">
        <v>1.217</v>
      </c>
      <c r="CC32" s="1" t="n">
        <v>5.0445</v>
      </c>
      <c r="CD32" s="1" t="n">
        <v>0.8342000000000001</v>
      </c>
      <c r="CE32" s="1" t="n">
        <v>0</v>
      </c>
      <c r="CF32" s="1" t="n">
        <v>2.8297</v>
      </c>
      <c r="CG32" s="1" t="n">
        <v>4.0589</v>
      </c>
      <c r="CH32" s="1" t="n">
        <v>1.4193</v>
      </c>
      <c r="CI32" s="1" t="n">
        <v>0.5301</v>
      </c>
      <c r="CJ32" s="1" t="n">
        <v>0.1847</v>
      </c>
      <c r="CK32" s="1" t="n">
        <v>11.4622</v>
      </c>
      <c r="CL32" s="1" t="n">
        <v>1.2907</v>
      </c>
      <c r="CM32" s="1" t="n">
        <v>-0.7104</v>
      </c>
      <c r="CN32" s="1" t="n">
        <v>0.5182</v>
      </c>
      <c r="CO32" s="1" t="n">
        <v>1.8269</v>
      </c>
      <c r="CP32" s="1" t="n">
        <v>0.3941</v>
      </c>
      <c r="CQ32" s="1" t="n">
        <v>0.9326</v>
      </c>
      <c r="CR32" s="1" t="n">
        <v>0.0916</v>
      </c>
      <c r="CS32" s="1" t="n">
        <v>1.066</v>
      </c>
      <c r="CT32" s="1" t="n">
        <v>0.8003</v>
      </c>
      <c r="CU32" s="1" t="n">
        <v>0.6883</v>
      </c>
      <c r="CV32" s="1" t="n">
        <v>-0.1631</v>
      </c>
      <c r="CW32" s="1" t="n">
        <v>2.3801</v>
      </c>
      <c r="CX32" s="1" t="n">
        <v>0.3918</v>
      </c>
      <c r="CY32" s="1" t="n">
        <v>3.1209</v>
      </c>
      <c r="CZ32" s="1" t="n">
        <v>-0.6404</v>
      </c>
      <c r="DA32" s="1" t="n">
        <v>1.1725</v>
      </c>
      <c r="DB32" s="1" t="n">
        <v>0.2406</v>
      </c>
      <c r="DC32" s="1" t="n">
        <v>0.3805</v>
      </c>
      <c r="DD32" s="1" t="n">
        <v>0.2638</v>
      </c>
      <c r="DE32" s="1" t="n">
        <v>7.958</v>
      </c>
      <c r="DF32" s="1" t="n">
        <v>0.2193</v>
      </c>
      <c r="DG32" s="1" t="n">
        <v>1.6576</v>
      </c>
      <c r="DH32" s="1" t="n">
        <v>2.4411</v>
      </c>
    </row>
    <row r="33">
      <c r="A33" s="2" t="inlineStr">
        <is>
          <t xml:space="preserve">    加：利润总额差额(特殊报表科目)</t>
        </is>
      </c>
    </row>
    <row r="34">
      <c r="A34" s="2" t="inlineStr">
        <is>
          <t xml:space="preserve">            利润总额差额(合计平衡项目)</t>
        </is>
      </c>
    </row>
    <row r="35">
      <c r="A35" s="3" t="inlineStr">
        <is>
          <t>利润总额</t>
        </is>
      </c>
      <c r="B35" s="1" t="n">
        <v>2544.95</v>
      </c>
      <c r="C35" s="1" t="n">
        <v>2489.91</v>
      </c>
      <c r="D35" s="1" t="n">
        <v>73.27</v>
      </c>
      <c r="E35" s="1" t="n">
        <v>1577.37</v>
      </c>
      <c r="F35" s="1" t="n">
        <v>2845.18</v>
      </c>
      <c r="G35" s="1" t="n">
        <v>3544.06</v>
      </c>
      <c r="H35" s="1" t="n">
        <v>2618.66</v>
      </c>
      <c r="I35" s="1" t="n">
        <v>2787.49</v>
      </c>
      <c r="J35" s="1" t="n">
        <v>1502.34</v>
      </c>
      <c r="K35" s="1" t="n">
        <v>532.9</v>
      </c>
      <c r="L35" s="1" t="n">
        <v>-1944.06</v>
      </c>
      <c r="M35" s="1" t="n">
        <v>533.42</v>
      </c>
      <c r="N35" s="1" t="n">
        <v>1275.47</v>
      </c>
      <c r="O35" s="1" t="n">
        <v>1578.58</v>
      </c>
      <c r="P35" s="1" t="n">
        <v>2067.22</v>
      </c>
      <c r="Q35" s="1" t="n">
        <v>2667.05</v>
      </c>
      <c r="R35" s="1" t="n">
        <v>3324.97</v>
      </c>
      <c r="S35" s="1" t="n">
        <v>4006.16</v>
      </c>
      <c r="T35" s="1" t="n">
        <v>3884.24</v>
      </c>
      <c r="AA35" s="1" t="n">
        <v>445.32</v>
      </c>
      <c r="AB35" s="1" t="n">
        <v>503.57</v>
      </c>
      <c r="AC35" s="1" t="n">
        <v>549.4299999999999</v>
      </c>
      <c r="AD35" s="1" t="n">
        <v>815.25</v>
      </c>
      <c r="AE35" s="1" t="n">
        <v>1152.62</v>
      </c>
      <c r="AF35" s="1" t="n">
        <v>1774.64</v>
      </c>
      <c r="AG35" s="1" t="n">
        <v>1475.19</v>
      </c>
      <c r="AH35" s="1" t="n">
        <v>1435.78</v>
      </c>
      <c r="AI35" s="1" t="n">
        <v>1003.22</v>
      </c>
      <c r="AJ35" s="1" t="n">
        <v>261.38</v>
      </c>
      <c r="AK35" s="1" t="n">
        <v>-343.67</v>
      </c>
      <c r="AL35" s="1" t="n">
        <v>433.72</v>
      </c>
      <c r="AM35" s="1" t="n">
        <v>612.16</v>
      </c>
      <c r="AN35" s="1" t="n">
        <v>917.98</v>
      </c>
      <c r="AO35" s="1" t="n">
        <v>1149.63</v>
      </c>
      <c r="AP35" s="1" t="n">
        <v>1629.47</v>
      </c>
      <c r="AQ35" s="1" t="n">
        <v>2069.45</v>
      </c>
      <c r="AR35" s="1" t="n">
        <v>2326.55</v>
      </c>
      <c r="AS35" s="1" t="n">
        <v>2106.68</v>
      </c>
      <c r="AT35" s="1" t="n"/>
      <c r="BN35" s="1" t="n">
        <v>164.2056</v>
      </c>
      <c r="BO35" s="1" t="n">
        <v>281.1163</v>
      </c>
      <c r="BP35" s="1" t="n">
        <v>302.5786</v>
      </c>
      <c r="BQ35" s="1" t="n">
        <v>1797.0517</v>
      </c>
      <c r="BR35" s="1" t="n">
        <v>248.4034</v>
      </c>
      <c r="BS35" s="1" t="n">
        <v>255.1655</v>
      </c>
      <c r="BT35" s="1" t="n">
        <v>384.8427</v>
      </c>
      <c r="BU35" s="1" t="n">
        <v>1601.5021</v>
      </c>
      <c r="BV35" s="1" t="n">
        <v>504.8266</v>
      </c>
      <c r="BW35" s="1" t="n">
        <v>44.5988</v>
      </c>
      <c r="BX35" s="1" t="n">
        <v>331.6517</v>
      </c>
      <c r="BY35" s="1" t="n">
        <v>-807.8031</v>
      </c>
      <c r="BZ35" s="1" t="n">
        <v>375.8675</v>
      </c>
      <c r="CA35" s="1" t="n">
        <v>439.378</v>
      </c>
      <c r="CB35" s="1" t="n">
        <v>458.7633</v>
      </c>
      <c r="CC35" s="1" t="n">
        <v>303.3626</v>
      </c>
      <c r="CD35" s="1" t="n">
        <v>526.9673</v>
      </c>
      <c r="CE35" s="1" t="n">
        <v>625.6485</v>
      </c>
      <c r="CF35" s="1" t="n">
        <v>793.5213</v>
      </c>
      <c r="CG35" s="1" t="n">
        <v>899.0416</v>
      </c>
      <c r="CH35" s="1" t="n">
        <v>725.3771</v>
      </c>
      <c r="CI35" s="1" t="n">
        <v>1049.2604</v>
      </c>
      <c r="CJ35" s="1" t="n">
        <v>952.0181</v>
      </c>
      <c r="CK35" s="1" t="n">
        <v>817.4011</v>
      </c>
      <c r="CL35" s="1" t="n">
        <v>865.0289</v>
      </c>
      <c r="CM35" s="1" t="n">
        <v>610.1617</v>
      </c>
      <c r="CN35" s="1" t="n">
        <v>681.8813</v>
      </c>
      <c r="CO35" s="1" t="n">
        <v>461.5867</v>
      </c>
      <c r="CP35" s="1" t="n">
        <v>565.6874</v>
      </c>
      <c r="CQ35" s="1" t="n">
        <v>870.0923</v>
      </c>
      <c r="CR35" s="1" t="n">
        <v>823.8656999999999</v>
      </c>
      <c r="CS35" s="1" t="n">
        <v>527.8467000000001</v>
      </c>
      <c r="CT35" s="1" t="n">
        <v>513.8785</v>
      </c>
      <c r="CU35" s="1" t="n">
        <v>489.3457</v>
      </c>
      <c r="CV35" s="1" t="n">
        <v>286.6832</v>
      </c>
      <c r="CW35" s="1" t="n">
        <v>212.4349</v>
      </c>
      <c r="CX35" s="1" t="n">
        <v>112.5382</v>
      </c>
      <c r="CY35" s="1" t="n">
        <v>148.8405</v>
      </c>
      <c r="CZ35" s="1" t="n">
        <v>92.9025</v>
      </c>
      <c r="DA35" s="1" t="n">
        <v>178.6183</v>
      </c>
      <c r="DB35" s="1" t="n">
        <v>54.4492</v>
      </c>
      <c r="DC35" s="1" t="n">
        <v>-398.1178</v>
      </c>
      <c r="DD35" s="1" t="n">
        <v>-742.0151</v>
      </c>
      <c r="DE35" s="1" t="n">
        <v>-858.3803</v>
      </c>
      <c r="DF35" s="1" t="n">
        <v>222.5443</v>
      </c>
      <c r="DG35" s="1" t="n">
        <v>211.1794</v>
      </c>
      <c r="DH35" s="1" t="n">
        <v>28.6644</v>
      </c>
      <c r="DI35" s="1" t="n">
        <v>71.03530000000001</v>
      </c>
      <c r="DJ35" s="1" t="n">
        <v>231.2943</v>
      </c>
      <c r="DK35" s="1" t="n">
        <v>380.8629</v>
      </c>
      <c r="DL35" s="1" t="n">
        <v>409.5824</v>
      </c>
      <c r="DM35" s="1" t="n">
        <v>253.7301</v>
      </c>
      <c r="DN35" s="1" t="n">
        <v>428.6306</v>
      </c>
      <c r="DO35" s="1" t="n">
        <v>489.3476</v>
      </c>
      <c r="DP35" s="1" t="n">
        <v>378.89</v>
      </c>
      <c r="DQ35" s="1" t="n">
        <v>281.7156</v>
      </c>
      <c r="DR35" s="1" t="n">
        <v>459.4593</v>
      </c>
      <c r="DS35" s="1" t="n">
        <v>690.1668</v>
      </c>
      <c r="DT35" s="1" t="n">
        <v>406.7214</v>
      </c>
      <c r="DU35" s="1" t="n">
        <v>510.8764</v>
      </c>
      <c r="DV35" s="1" t="n">
        <v>727.4203</v>
      </c>
      <c r="DW35" s="1" t="n">
        <v>902.0528</v>
      </c>
      <c r="DX35" s="1" t="n">
        <v>622.1192</v>
      </c>
      <c r="DY35" s="1" t="n">
        <v>415.4553</v>
      </c>
      <c r="DZ35" s="1" t="n">
        <v>1091.0241</v>
      </c>
      <c r="EA35" s="1" t="n">
        <v>978.4215</v>
      </c>
      <c r="EB35" s="1" t="n">
        <v>853.4651</v>
      </c>
      <c r="EC35" s="1" t="n">
        <v>402.0624</v>
      </c>
      <c r="ED35" s="1" t="n">
        <v>1206.4238</v>
      </c>
      <c r="EE35" s="1" t="n">
        <v>1120.1231</v>
      </c>
      <c r="EF35" s="1" t="n">
        <v>939.7374</v>
      </c>
      <c r="EG35" s="1" t="n">
        <v>739.8799</v>
      </c>
      <c r="EH35" s="1" t="n">
        <v>1140.2761</v>
      </c>
      <c r="EI35" s="1" t="n">
        <v>966.4044</v>
      </c>
      <c r="EJ35" s="1" t="n">
        <v>1033.531</v>
      </c>
      <c r="EK35" s="1" t="n">
        <v>744.0322</v>
      </c>
      <c r="EL35" s="1" t="n">
        <v>1409.8885</v>
      </c>
      <c r="EM35" s="1" t="n">
        <v>1084.082</v>
      </c>
    </row>
    <row r="36">
      <c r="A36" s="2" t="inlineStr">
        <is>
          <t xml:space="preserve">    减：所得税</t>
        </is>
      </c>
      <c r="B36" s="1" t="n">
        <v>286.45</v>
      </c>
      <c r="C36" s="1" t="n">
        <v>313.54</v>
      </c>
      <c r="D36" s="1" t="n">
        <v>-137.35</v>
      </c>
      <c r="E36" s="1" t="n">
        <v>-18.53</v>
      </c>
      <c r="F36" s="1" t="n">
        <v>169.16</v>
      </c>
      <c r="G36" s="1" t="n">
        <v>425.84</v>
      </c>
      <c r="H36" s="1" t="n">
        <v>364.94</v>
      </c>
      <c r="I36" s="1" t="n">
        <v>388.09</v>
      </c>
      <c r="J36" s="1" t="n">
        <v>181.73</v>
      </c>
      <c r="K36" s="1" t="n">
        <v>73.40000000000001</v>
      </c>
      <c r="L36" s="1" t="n">
        <v>-184.63</v>
      </c>
      <c r="M36" s="1" t="n">
        <v>-149.65</v>
      </c>
      <c r="N36" s="1" t="n">
        <v>117.2</v>
      </c>
      <c r="O36" s="1" t="n">
        <v>197.71</v>
      </c>
      <c r="P36" s="1" t="n">
        <v>150.96</v>
      </c>
      <c r="Q36" s="1" t="n">
        <v>237.82</v>
      </c>
      <c r="R36" s="1" t="n">
        <v>314.62</v>
      </c>
      <c r="S36" s="1" t="n">
        <v>362.45</v>
      </c>
      <c r="T36" s="1" t="n">
        <v>596.72</v>
      </c>
      <c r="AA36" s="1" t="n">
        <v>49.08</v>
      </c>
      <c r="AB36" s="1" t="n">
        <v>66.73</v>
      </c>
      <c r="AC36" s="1" t="n">
        <v>101.63</v>
      </c>
      <c r="AD36" s="1" t="n">
        <v>122.61</v>
      </c>
      <c r="AE36" s="1" t="n">
        <v>113.54</v>
      </c>
      <c r="AF36" s="1" t="n">
        <v>206.34</v>
      </c>
      <c r="AG36" s="1" t="n">
        <v>212.34</v>
      </c>
      <c r="AH36" s="1" t="n">
        <v>223.71</v>
      </c>
      <c r="AI36" s="1" t="n">
        <v>134.46</v>
      </c>
      <c r="AJ36" s="1" t="n">
        <v>73.84</v>
      </c>
      <c r="AK36" s="1" t="n">
        <v>-6.46</v>
      </c>
      <c r="AL36" s="1" t="n">
        <v>10.18</v>
      </c>
      <c r="AM36" s="1" t="n">
        <v>78.25</v>
      </c>
      <c r="AN36" s="1" t="n">
        <v>131.86</v>
      </c>
      <c r="AO36" s="1" t="n">
        <v>130.09</v>
      </c>
      <c r="AP36" s="1" t="n">
        <v>189.73</v>
      </c>
      <c r="AQ36" s="1" t="n">
        <v>204.19</v>
      </c>
      <c r="AR36" s="1" t="n">
        <v>230.33</v>
      </c>
      <c r="AS36" s="1" t="n">
        <v>298.14</v>
      </c>
      <c r="AT36" s="1" t="n"/>
      <c r="BN36" s="1" t="n">
        <v>21.3497</v>
      </c>
      <c r="BO36" s="1" t="n">
        <v>27.7296</v>
      </c>
      <c r="BP36" s="1" t="n">
        <v>45.3896</v>
      </c>
      <c r="BQ36" s="1" t="n">
        <v>191.9813</v>
      </c>
      <c r="BR36" s="1" t="n">
        <v>35.2523</v>
      </c>
      <c r="BS36" s="1" t="n">
        <v>31.478</v>
      </c>
      <c r="BT36" s="1" t="n">
        <v>56.4179</v>
      </c>
      <c r="BU36" s="1" t="n">
        <v>190.3925</v>
      </c>
      <c r="BV36" s="1" t="n">
        <v>77.57380000000001</v>
      </c>
      <c r="BW36" s="1" t="n">
        <v>24.0527</v>
      </c>
      <c r="BX36" s="1" t="n">
        <v>10.699</v>
      </c>
      <c r="BY36" s="1" t="n">
        <v>-249.675</v>
      </c>
      <c r="BZ36" s="1" t="n">
        <v>53.6038</v>
      </c>
      <c r="CA36" s="1" t="n">
        <v>69.0022</v>
      </c>
      <c r="CB36" s="1" t="n">
        <v>78.8749</v>
      </c>
      <c r="CC36" s="1" t="n">
        <v>-220.0067</v>
      </c>
      <c r="CD36" s="1" t="n">
        <v>21.6126</v>
      </c>
      <c r="CE36" s="1" t="n">
        <v>91.9276</v>
      </c>
      <c r="CF36" s="1" t="n">
        <v>50.0145</v>
      </c>
      <c r="CG36" s="1" t="n">
        <v>5.6096</v>
      </c>
      <c r="CH36" s="1" t="n">
        <v>99.23009999999999</v>
      </c>
      <c r="CI36" s="1" t="n">
        <v>107.1066</v>
      </c>
      <c r="CJ36" s="1" t="n">
        <v>204.7674</v>
      </c>
      <c r="CK36" s="1" t="n">
        <v>14.7349</v>
      </c>
      <c r="CL36" s="1" t="n">
        <v>121.4673</v>
      </c>
      <c r="CM36" s="1" t="n">
        <v>90.87309999999999</v>
      </c>
      <c r="CN36" s="1" t="n">
        <v>84.9019</v>
      </c>
      <c r="CO36" s="1" t="n">
        <v>67.6951</v>
      </c>
      <c r="CP36" s="1" t="n">
        <v>99.9551</v>
      </c>
      <c r="CQ36" s="1" t="n">
        <v>123.7507</v>
      </c>
      <c r="CR36" s="1" t="n">
        <v>106.0692</v>
      </c>
      <c r="CS36" s="1" t="n">
        <v>58.3144</v>
      </c>
      <c r="CT36" s="1" t="n">
        <v>74.0506</v>
      </c>
      <c r="CU36" s="1" t="n">
        <v>60.4068</v>
      </c>
      <c r="CV36" s="1" t="n">
        <v>26.8916</v>
      </c>
      <c r="CW36" s="1" t="n">
        <v>20.3767</v>
      </c>
      <c r="CX36" s="1" t="n">
        <v>-2.6852</v>
      </c>
      <c r="CY36" s="1" t="n">
        <v>76.52679999999999</v>
      </c>
      <c r="CZ36" s="1" t="n">
        <v>16.0072</v>
      </c>
      <c r="DA36" s="1" t="n">
        <v>-16.447</v>
      </c>
      <c r="DB36" s="1" t="n">
        <v>38.0908</v>
      </c>
      <c r="DC36" s="1" t="n">
        <v>-44.5497</v>
      </c>
      <c r="DD36" s="1" t="n">
        <v>-29.8755</v>
      </c>
      <c r="DE36" s="1" t="n">
        <v>-148.2912</v>
      </c>
      <c r="DF36" s="1" t="n">
        <v>46.3604</v>
      </c>
      <c r="DG36" s="1" t="n">
        <v>-36.1782</v>
      </c>
      <c r="DH36" s="1" t="n">
        <v>-24.0317</v>
      </c>
      <c r="DI36" s="1" t="n">
        <v>-135.7969</v>
      </c>
      <c r="DJ36" s="1" t="n">
        <v>11.475</v>
      </c>
      <c r="DK36" s="1" t="n">
        <v>66.7774</v>
      </c>
      <c r="DL36" s="1" t="n">
        <v>17.7464</v>
      </c>
      <c r="DM36" s="1" t="n">
        <v>21.2052</v>
      </c>
      <c r="DN36" s="1" t="n">
        <v>60.4358</v>
      </c>
      <c r="DO36" s="1" t="n">
        <v>71.4225</v>
      </c>
      <c r="DP36" s="1" t="n">
        <v>54.6468</v>
      </c>
      <c r="DQ36" s="1" t="n">
        <v>11.2071</v>
      </c>
      <c r="DR36" s="1" t="n">
        <v>36.4587</v>
      </c>
      <c r="DS36" s="1" t="n">
        <v>93.63290000000001</v>
      </c>
      <c r="DT36" s="1" t="n">
        <v>-1.2123</v>
      </c>
      <c r="DU36" s="1" t="n">
        <v>22.0805</v>
      </c>
      <c r="DV36" s="1" t="n">
        <v>42.7531</v>
      </c>
      <c r="DW36" s="1" t="n">
        <v>146.9768</v>
      </c>
      <c r="DX36" s="1" t="n">
        <v>79.0264</v>
      </c>
      <c r="DY36" s="1" t="n">
        <v>-30.9322</v>
      </c>
      <c r="DZ36" s="1" t="n">
        <v>115.6774</v>
      </c>
      <c r="EA36" s="1" t="n">
        <v>88.512</v>
      </c>
      <c r="EB36" s="1" t="n">
        <v>109.7067</v>
      </c>
      <c r="EC36" s="1" t="n">
        <v>0.7206</v>
      </c>
      <c r="ED36" s="1" t="n">
        <v>124.9474</v>
      </c>
      <c r="EE36" s="1" t="n">
        <v>105.3861</v>
      </c>
      <c r="EF36" s="1" t="n">
        <v>-5.5148</v>
      </c>
      <c r="EG36" s="1" t="n">
        <v>137.6362</v>
      </c>
      <c r="EH36" s="1" t="n">
        <v>154.8835</v>
      </c>
      <c r="EI36" s="1" t="n">
        <v>143.2532</v>
      </c>
      <c r="EJ36" s="1" t="n">
        <v>75.6264</v>
      </c>
      <c r="EK36" s="1" t="n">
        <v>222.9549</v>
      </c>
      <c r="EL36" s="1" t="n">
        <v>181.8585</v>
      </c>
      <c r="EM36" s="1" t="n">
        <v>251.269</v>
      </c>
    </row>
    <row r="37">
      <c r="A37" s="2" t="inlineStr">
        <is>
          <t xml:space="preserve">    加：未确认的投资损失</t>
        </is>
      </c>
    </row>
    <row r="38">
      <c r="A38" s="2" t="inlineStr">
        <is>
          <t xml:space="preserve">    加：净利润差额(特殊报表科目)</t>
        </is>
      </c>
    </row>
    <row r="39">
      <c r="A39" s="2" t="inlineStr">
        <is>
          <t xml:space="preserve">            净利润差额(合计平衡项目)</t>
        </is>
      </c>
    </row>
    <row r="40">
      <c r="A40" s="3" t="inlineStr">
        <is>
          <t>净利润</t>
        </is>
      </c>
      <c r="B40" s="1" t="n">
        <v>2258.5</v>
      </c>
      <c r="C40" s="1" t="n">
        <v>2176.37</v>
      </c>
      <c r="D40" s="1" t="n">
        <v>210.62</v>
      </c>
      <c r="E40" s="1" t="n">
        <v>1595.9</v>
      </c>
      <c r="F40" s="1" t="n">
        <v>2676.01</v>
      </c>
      <c r="G40" s="1" t="n">
        <v>3118.22</v>
      </c>
      <c r="H40" s="1" t="n">
        <v>2253.72</v>
      </c>
      <c r="I40" s="1" t="n">
        <v>2399.4</v>
      </c>
      <c r="J40" s="1" t="n">
        <v>1320.62</v>
      </c>
      <c r="K40" s="1" t="n">
        <v>459.5</v>
      </c>
      <c r="L40" s="1" t="n">
        <v>-1759.44</v>
      </c>
      <c r="M40" s="1" t="n">
        <v>683.0700000000001</v>
      </c>
      <c r="N40" s="1" t="n">
        <v>1158.27</v>
      </c>
      <c r="O40" s="1" t="n">
        <v>1380.87</v>
      </c>
      <c r="P40" s="1" t="n">
        <v>1916.26</v>
      </c>
      <c r="Q40" s="1" t="n">
        <v>2429.22</v>
      </c>
      <c r="R40" s="1" t="n">
        <v>3010.36</v>
      </c>
      <c r="S40" s="1" t="n">
        <v>3643.71</v>
      </c>
      <c r="T40" s="1" t="n">
        <v>3287.53</v>
      </c>
      <c r="AA40" s="1" t="n">
        <v>396.24</v>
      </c>
      <c r="AB40" s="1" t="n">
        <v>436.84</v>
      </c>
      <c r="AC40" s="1" t="n">
        <v>447.8</v>
      </c>
      <c r="AD40" s="1" t="n">
        <v>692.64</v>
      </c>
      <c r="AE40" s="1" t="n">
        <v>1039.08</v>
      </c>
      <c r="AF40" s="1" t="n">
        <v>1568.3</v>
      </c>
      <c r="AG40" s="1" t="n">
        <v>1262.85</v>
      </c>
      <c r="AH40" s="1" t="n">
        <v>1212.07</v>
      </c>
      <c r="AI40" s="1" t="n">
        <v>868.77</v>
      </c>
      <c r="AJ40" s="1" t="n">
        <v>187.54</v>
      </c>
      <c r="AK40" s="1" t="n">
        <v>-337.21</v>
      </c>
      <c r="AL40" s="1" t="n">
        <v>423.54</v>
      </c>
      <c r="AM40" s="1" t="n">
        <v>533.9</v>
      </c>
      <c r="AN40" s="1" t="n">
        <v>786.12</v>
      </c>
      <c r="AO40" s="1" t="n">
        <v>1019.53</v>
      </c>
      <c r="AP40" s="1" t="n">
        <v>1439.74</v>
      </c>
      <c r="AQ40" s="1" t="n">
        <v>1865.26</v>
      </c>
      <c r="AR40" s="1" t="n">
        <v>2096.21</v>
      </c>
      <c r="AS40" s="1" t="n">
        <v>1808.54</v>
      </c>
      <c r="AT40" s="1" t="n"/>
      <c r="BN40" s="1" t="n">
        <v>142.8559</v>
      </c>
      <c r="BO40" s="1" t="n">
        <v>253.3867</v>
      </c>
      <c r="BP40" s="1" t="n">
        <v>257.189</v>
      </c>
      <c r="BQ40" s="1" t="n">
        <v>1605.0704</v>
      </c>
      <c r="BR40" s="1" t="n">
        <v>213.1511</v>
      </c>
      <c r="BS40" s="1" t="n">
        <v>223.6876</v>
      </c>
      <c r="BT40" s="1" t="n">
        <v>328.4247</v>
      </c>
      <c r="BU40" s="1" t="n">
        <v>1411.1096</v>
      </c>
      <c r="BV40" s="1" t="n">
        <v>427.2527</v>
      </c>
      <c r="BW40" s="1" t="n">
        <v>20.5462</v>
      </c>
      <c r="BX40" s="1" t="n">
        <v>320.9528</v>
      </c>
      <c r="BY40" s="1" t="n">
        <v>-558.1281</v>
      </c>
      <c r="BZ40" s="1" t="n">
        <v>322.2637</v>
      </c>
      <c r="CA40" s="1" t="n">
        <v>370.3758</v>
      </c>
      <c r="CB40" s="1" t="n">
        <v>379.8884</v>
      </c>
      <c r="CC40" s="1" t="n">
        <v>523.3693</v>
      </c>
      <c r="CD40" s="1" t="n">
        <v>505.3546</v>
      </c>
      <c r="CE40" s="1" t="n">
        <v>533.7209</v>
      </c>
      <c r="CF40" s="1" t="n">
        <v>743.5068</v>
      </c>
      <c r="CG40" s="1" t="n">
        <v>893.432</v>
      </c>
      <c r="CH40" s="1" t="n">
        <v>626.1471</v>
      </c>
      <c r="CI40" s="1" t="n">
        <v>942.1538</v>
      </c>
      <c r="CJ40" s="1" t="n">
        <v>747.2507000000001</v>
      </c>
      <c r="CK40" s="1" t="n">
        <v>802.6662</v>
      </c>
      <c r="CL40" s="1" t="n">
        <v>743.5616</v>
      </c>
      <c r="CM40" s="1" t="n">
        <v>519.2886</v>
      </c>
      <c r="CN40" s="1" t="n">
        <v>596.9794000000001</v>
      </c>
      <c r="CO40" s="1" t="n">
        <v>393.8916</v>
      </c>
      <c r="CP40" s="1" t="n">
        <v>465.7324</v>
      </c>
      <c r="CQ40" s="1" t="n">
        <v>746.3416</v>
      </c>
      <c r="CR40" s="1" t="n">
        <v>717.7965</v>
      </c>
      <c r="CS40" s="1" t="n">
        <v>469.5323</v>
      </c>
      <c r="CT40" s="1" t="n">
        <v>439.828</v>
      </c>
      <c r="CU40" s="1" t="n">
        <v>428.9389</v>
      </c>
      <c r="CV40" s="1" t="n">
        <v>259.7916</v>
      </c>
      <c r="CW40" s="1" t="n">
        <v>192.0583</v>
      </c>
      <c r="CX40" s="1" t="n">
        <v>115.2234</v>
      </c>
      <c r="CY40" s="1" t="n">
        <v>72.3137</v>
      </c>
      <c r="CZ40" s="1" t="n">
        <v>76.8952</v>
      </c>
      <c r="DA40" s="1" t="n">
        <v>195.0653</v>
      </c>
      <c r="DB40" s="1" t="n">
        <v>16.3584</v>
      </c>
      <c r="DC40" s="1" t="n">
        <v>-353.5681</v>
      </c>
      <c r="DD40" s="1" t="n">
        <v>-712.1396</v>
      </c>
      <c r="DE40" s="1" t="n">
        <v>-710.0891</v>
      </c>
      <c r="DF40" s="1" t="n">
        <v>176.1839</v>
      </c>
      <c r="DG40" s="1" t="n">
        <v>247.3576</v>
      </c>
      <c r="DH40" s="1" t="n">
        <v>52.696</v>
      </c>
      <c r="DI40" s="1" t="n">
        <v>206.8321</v>
      </c>
      <c r="DJ40" s="1" t="n">
        <v>219.8193</v>
      </c>
      <c r="DK40" s="1" t="n">
        <v>314.0855</v>
      </c>
      <c r="DL40" s="1" t="n">
        <v>391.836</v>
      </c>
      <c r="DM40" s="1" t="n">
        <v>232.5249</v>
      </c>
      <c r="DN40" s="1" t="n">
        <v>368.1948</v>
      </c>
      <c r="DO40" s="1" t="n">
        <v>417.9252</v>
      </c>
      <c r="DP40" s="1" t="n">
        <v>324.2432</v>
      </c>
      <c r="DQ40" s="1" t="n">
        <v>270.5086</v>
      </c>
      <c r="DR40" s="1" t="n">
        <v>423.0006</v>
      </c>
      <c r="DS40" s="1" t="n">
        <v>596.5339</v>
      </c>
      <c r="DT40" s="1" t="n">
        <v>407.9337</v>
      </c>
      <c r="DU40" s="1" t="n">
        <v>488.7959</v>
      </c>
      <c r="DV40" s="1" t="n">
        <v>684.6673</v>
      </c>
      <c r="DW40" s="1" t="n">
        <v>755.076</v>
      </c>
      <c r="DX40" s="1" t="n">
        <v>543.0928</v>
      </c>
      <c r="DY40" s="1" t="n">
        <v>446.3874</v>
      </c>
      <c r="DZ40" s="1" t="n">
        <v>975.3468</v>
      </c>
      <c r="EA40" s="1" t="n">
        <v>889.9095</v>
      </c>
      <c r="EB40" s="1" t="n">
        <v>743.7584000000001</v>
      </c>
      <c r="EC40" s="1" t="n">
        <v>401.3418</v>
      </c>
      <c r="ED40" s="1" t="n">
        <v>1081.4763</v>
      </c>
      <c r="EE40" s="1" t="n">
        <v>1014.7371</v>
      </c>
      <c r="EF40" s="1" t="n">
        <v>945.2522</v>
      </c>
      <c r="EG40" s="1" t="n">
        <v>602.2437</v>
      </c>
      <c r="EH40" s="1" t="n">
        <v>985.3926</v>
      </c>
      <c r="EI40" s="1" t="n">
        <v>823.1513</v>
      </c>
      <c r="EJ40" s="1" t="n">
        <v>957.9047</v>
      </c>
      <c r="EK40" s="1" t="n">
        <v>521.0774</v>
      </c>
      <c r="EL40" s="1" t="n">
        <v>1228.03</v>
      </c>
      <c r="EM40" s="1" t="n">
        <v>832.814</v>
      </c>
    </row>
    <row r="41">
      <c r="A41" s="2" t="inlineStr">
        <is>
          <t xml:space="preserve">    持续经营净利润</t>
        </is>
      </c>
      <c r="M41" s="1" t="n">
        <v>683.0700000000001</v>
      </c>
      <c r="N41" s="1" t="n">
        <v>1158.27</v>
      </c>
      <c r="O41" s="1" t="n">
        <v>1380.87</v>
      </c>
      <c r="P41" s="1" t="n">
        <v>1916.26</v>
      </c>
      <c r="Q41" s="1" t="n">
        <v>2429.22</v>
      </c>
      <c r="R41" s="1" t="n">
        <v>3010.36</v>
      </c>
      <c r="S41" s="1" t="n">
        <v>3643.71</v>
      </c>
      <c r="T41" s="1" t="n">
        <v>3287.53</v>
      </c>
      <c r="AM41" s="1" t="n">
        <v>533.9</v>
      </c>
      <c r="AN41" s="1" t="n">
        <v>786.12</v>
      </c>
      <c r="AO41" s="1" t="n">
        <v>1019.53</v>
      </c>
      <c r="AP41" s="1" t="n">
        <v>1439.74</v>
      </c>
      <c r="AQ41" s="1" t="n">
        <v>1865.26</v>
      </c>
      <c r="AR41" s="1" t="n">
        <v>2096.21</v>
      </c>
      <c r="AS41" s="1" t="n">
        <v>1808.54</v>
      </c>
      <c r="AT41" s="1" t="n"/>
      <c r="DI41" s="1" t="n">
        <v>206.8321</v>
      </c>
      <c r="DJ41" s="1" t="n">
        <v>219.8193</v>
      </c>
      <c r="DK41" s="1" t="n">
        <v>314.0855</v>
      </c>
      <c r="DL41" s="1" t="n">
        <v>391.836</v>
      </c>
      <c r="DM41" s="1" t="n">
        <v>232.5249</v>
      </c>
      <c r="DN41" s="1" t="n">
        <v>368.1948</v>
      </c>
      <c r="DO41" s="1" t="n">
        <v>417.9252</v>
      </c>
      <c r="DP41" s="1" t="n">
        <v>324.2432</v>
      </c>
      <c r="DQ41" s="1" t="n">
        <v>270.5086</v>
      </c>
      <c r="DR41" s="1" t="n">
        <v>423.0006</v>
      </c>
      <c r="DS41" s="1" t="n">
        <v>596.5339</v>
      </c>
      <c r="DT41" s="1" t="n">
        <v>407.9337</v>
      </c>
      <c r="DU41" s="1" t="n">
        <v>488.7959</v>
      </c>
      <c r="DV41" s="1" t="n">
        <v>684.6673</v>
      </c>
      <c r="DW41" s="1" t="n">
        <v>755.076</v>
      </c>
      <c r="DX41" s="1" t="n">
        <v>543.0928</v>
      </c>
      <c r="DY41" s="1" t="n">
        <v>446.3874</v>
      </c>
      <c r="DZ41" s="1" t="n">
        <v>975.3468</v>
      </c>
      <c r="EA41" s="1" t="n">
        <v>889.9095</v>
      </c>
      <c r="EB41" s="1" t="n">
        <v>743.7584000000001</v>
      </c>
      <c r="EC41" s="1" t="n">
        <v>401.3418</v>
      </c>
      <c r="ED41" s="1" t="n">
        <v>1081.4763</v>
      </c>
      <c r="EE41" s="1" t="n">
        <v>1014.7371</v>
      </c>
      <c r="EF41" s="1" t="n">
        <v>945.2522</v>
      </c>
      <c r="EG41" s="1" t="n">
        <v>602.2437</v>
      </c>
      <c r="EH41" s="1" t="n">
        <v>985.3926</v>
      </c>
      <c r="EI41" s="1" t="n">
        <v>823.1513</v>
      </c>
      <c r="EJ41" s="1" t="n">
        <v>957.9047</v>
      </c>
      <c r="EK41" s="1" t="n">
        <v>521.0774</v>
      </c>
      <c r="EL41" s="1" t="n">
        <v>1228.03</v>
      </c>
      <c r="EM41" s="1" t="n">
        <v>832.814</v>
      </c>
    </row>
    <row r="42">
      <c r="A42" s="2" t="inlineStr">
        <is>
          <t xml:space="preserve">    终止经营净利润</t>
        </is>
      </c>
      <c r="EH42" s="1" t="n">
        <v>0</v>
      </c>
    </row>
    <row r="43">
      <c r="A43" s="2" t="inlineStr">
        <is>
          <t xml:space="preserve">    减：少数股东损益</t>
        </is>
      </c>
      <c r="B43" s="1" t="n">
        <v>187.99</v>
      </c>
      <c r="C43" s="1" t="n">
        <v>186.52</v>
      </c>
      <c r="D43" s="1" t="n">
        <v>34.62</v>
      </c>
      <c r="E43" s="1" t="n">
        <v>24.23</v>
      </c>
      <c r="F43" s="1" t="n">
        <v>99.04000000000001</v>
      </c>
      <c r="G43" s="1" t="n">
        <v>61.99</v>
      </c>
      <c r="H43" s="1" t="n">
        <v>62.59</v>
      </c>
      <c r="I43" s="1" t="n">
        <v>49.97</v>
      </c>
      <c r="J43" s="1" t="n">
        <v>42.36</v>
      </c>
      <c r="K43" s="1" t="n">
        <v>20.42</v>
      </c>
      <c r="L43" s="1" t="n">
        <v>24.87</v>
      </c>
      <c r="M43" s="1" t="n">
        <v>9.99</v>
      </c>
      <c r="N43" s="1" t="n">
        <v>29.43</v>
      </c>
      <c r="O43" s="1" t="n">
        <v>103.2</v>
      </c>
      <c r="P43" s="1" t="n">
        <v>54.27</v>
      </c>
      <c r="Q43" s="1" t="n">
        <v>140.19</v>
      </c>
      <c r="R43" s="1" t="n">
        <v>155.71</v>
      </c>
      <c r="S43" s="1" t="n">
        <v>93.31999999999999</v>
      </c>
      <c r="T43" s="1" t="n">
        <v>365.42</v>
      </c>
      <c r="AA43" s="1" t="n">
        <v>0.04</v>
      </c>
      <c r="AB43" s="1" t="n">
        <v>0.17</v>
      </c>
      <c r="AC43" s="1" t="n">
        <v>4.84</v>
      </c>
      <c r="AD43" s="1" t="n">
        <v>5.64</v>
      </c>
      <c r="AE43" s="1" t="n">
        <v>36.64</v>
      </c>
      <c r="AF43" s="1" t="n">
        <v>30.39</v>
      </c>
      <c r="AG43" s="1" t="n">
        <v>18.89</v>
      </c>
      <c r="AH43" s="1" t="n">
        <v>25.92</v>
      </c>
      <c r="AI43" s="1" t="n">
        <v>29.47</v>
      </c>
      <c r="AJ43" s="1" t="n">
        <v>19.17</v>
      </c>
      <c r="AK43" s="1" t="n">
        <v>4.44</v>
      </c>
      <c r="AL43" s="1" t="n">
        <v>46.45</v>
      </c>
      <c r="AM43" s="1" t="n">
        <v>19.61</v>
      </c>
      <c r="AN43" s="1" t="n">
        <v>56.43</v>
      </c>
      <c r="AO43" s="1" t="n">
        <v>65.16</v>
      </c>
      <c r="AP43" s="1" t="n">
        <v>91.48999999999999</v>
      </c>
      <c r="AQ43" s="1" t="n">
        <v>91.12</v>
      </c>
      <c r="AR43" s="1" t="n">
        <v>94.06</v>
      </c>
      <c r="AS43" s="1" t="n">
        <v>117.08</v>
      </c>
      <c r="AT43" s="1" t="n"/>
      <c r="BN43" s="1" t="n">
        <v>0.0257</v>
      </c>
      <c r="BO43" s="1" t="n">
        <v>0.0124</v>
      </c>
      <c r="BP43" s="1" t="n">
        <v>0.06909999999999999</v>
      </c>
      <c r="BQ43" s="1" t="n">
        <v>187.8843</v>
      </c>
      <c r="BR43" s="1" t="n">
        <v>-0.0073</v>
      </c>
      <c r="BS43" s="1" t="n">
        <v>0.1812</v>
      </c>
      <c r="BT43" s="1" t="n">
        <v>-0.0505</v>
      </c>
      <c r="BU43" s="1" t="n">
        <v>186.3937</v>
      </c>
      <c r="BV43" s="1" t="n">
        <v>2.3138</v>
      </c>
      <c r="BW43" s="1" t="n">
        <v>2.5298</v>
      </c>
      <c r="BX43" s="1" t="n">
        <v>4.3802</v>
      </c>
      <c r="BY43" s="1" t="n">
        <v>25.4008</v>
      </c>
      <c r="BZ43" s="1" t="n">
        <v>3.6718</v>
      </c>
      <c r="CA43" s="1" t="n">
        <v>1.9644</v>
      </c>
      <c r="CB43" s="1" t="n">
        <v>8.749599999999999</v>
      </c>
      <c r="CC43" s="1" t="n">
        <v>9.848000000000001</v>
      </c>
      <c r="CD43" s="1" t="n">
        <v>34.6132</v>
      </c>
      <c r="CE43" s="1" t="n">
        <v>2.0303</v>
      </c>
      <c r="CF43" s="1" t="n">
        <v>39.1707</v>
      </c>
      <c r="CG43" s="1" t="n">
        <v>23.2253</v>
      </c>
      <c r="CH43" s="1" t="n">
        <v>6.8625</v>
      </c>
      <c r="CI43" s="1" t="n">
        <v>23.5255</v>
      </c>
      <c r="CJ43" s="1" t="n">
        <v>6.91</v>
      </c>
      <c r="CK43" s="1" t="n">
        <v>24.6921</v>
      </c>
      <c r="CL43" s="1" t="n">
        <v>-3.2198</v>
      </c>
      <c r="CM43" s="1" t="n">
        <v>22.1105</v>
      </c>
      <c r="CN43" s="1" t="n">
        <v>15.898</v>
      </c>
      <c r="CO43" s="1" t="n">
        <v>27.8032</v>
      </c>
      <c r="CP43" s="1" t="n">
        <v>-8.664199999999999</v>
      </c>
      <c r="CQ43" s="1" t="n">
        <v>34.5832</v>
      </c>
      <c r="CR43" s="1" t="n">
        <v>15.4593</v>
      </c>
      <c r="CS43" s="1" t="n">
        <v>8.5928</v>
      </c>
      <c r="CT43" s="1" t="n">
        <v>21.9675</v>
      </c>
      <c r="CU43" s="1" t="n">
        <v>7.505</v>
      </c>
      <c r="CV43" s="1" t="n">
        <v>9.732200000000001</v>
      </c>
      <c r="CW43" s="1" t="n">
        <v>3.1536</v>
      </c>
      <c r="CX43" s="1" t="n">
        <v>7.509</v>
      </c>
      <c r="CY43" s="1" t="n">
        <v>11.6602</v>
      </c>
      <c r="CZ43" s="1" t="n">
        <v>-0.7824</v>
      </c>
      <c r="DA43" s="1" t="n">
        <v>2.0382</v>
      </c>
      <c r="DB43" s="1" t="n">
        <v>11.9636</v>
      </c>
      <c r="DC43" s="1" t="n">
        <v>-7.5208</v>
      </c>
      <c r="DD43" s="1" t="n">
        <v>11.1474</v>
      </c>
      <c r="DE43" s="1" t="n">
        <v>9.2782</v>
      </c>
      <c r="DF43" s="1" t="n">
        <v>23.2114</v>
      </c>
      <c r="DG43" s="1" t="n">
        <v>23.2422</v>
      </c>
      <c r="DH43" s="1" t="n">
        <v>-1.282</v>
      </c>
      <c r="DI43" s="1" t="n">
        <v>-35.181</v>
      </c>
      <c r="DJ43" s="1" t="n">
        <v>6.2008</v>
      </c>
      <c r="DK43" s="1" t="n">
        <v>13.4051</v>
      </c>
      <c r="DL43" s="1" t="n">
        <v>5.6877</v>
      </c>
      <c r="DM43" s="1" t="n">
        <v>4.1378</v>
      </c>
      <c r="DN43" s="1" t="n">
        <v>14.4209</v>
      </c>
      <c r="DO43" s="1" t="n">
        <v>42.0064</v>
      </c>
      <c r="DP43" s="1" t="n">
        <v>18.5058</v>
      </c>
      <c r="DQ43" s="1" t="n">
        <v>28.2668</v>
      </c>
      <c r="DR43" s="1" t="n">
        <v>27.1421</v>
      </c>
      <c r="DS43" s="1" t="n">
        <v>38.0205</v>
      </c>
      <c r="DT43" s="1" t="n">
        <v>19.9028</v>
      </c>
      <c r="DU43" s="1" t="n">
        <v>-30.7995</v>
      </c>
      <c r="DV43" s="1" t="n">
        <v>51.7143</v>
      </c>
      <c r="DW43" s="1" t="n">
        <v>39.7765</v>
      </c>
      <c r="DX43" s="1" t="n">
        <v>25.1626</v>
      </c>
      <c r="DY43" s="1" t="n">
        <v>23.5334</v>
      </c>
      <c r="DZ43" s="1" t="n">
        <v>49.2665</v>
      </c>
      <c r="EA43" s="1" t="n">
        <v>41.8536</v>
      </c>
      <c r="EB43" s="1" t="n">
        <v>17.8638</v>
      </c>
      <c r="EC43" s="1" t="n">
        <v>46.722</v>
      </c>
      <c r="ED43" s="1" t="n">
        <v>62.4283</v>
      </c>
      <c r="EE43" s="1" t="n">
        <v>31.6274</v>
      </c>
      <c r="EF43" s="1" t="n">
        <v>35.5856</v>
      </c>
      <c r="EG43" s="1" t="n">
        <v>-36.3255</v>
      </c>
      <c r="EH43" s="1" t="n">
        <v>79.6413</v>
      </c>
      <c r="EI43" s="1" t="n">
        <v>37.4394</v>
      </c>
      <c r="EJ43" s="1" t="n">
        <v>24.6262</v>
      </c>
      <c r="EK43" s="1" t="n">
        <v>223.718</v>
      </c>
      <c r="EL43" s="1" t="n">
        <v>74.2064</v>
      </c>
      <c r="EM43" s="1" t="n">
        <v>76.842</v>
      </c>
    </row>
    <row r="44" customFormat="1" s="162">
      <c r="A44" s="3" t="inlineStr">
        <is>
          <t xml:space="preserve">    归属于母公司所有者的净利润</t>
        </is>
      </c>
      <c r="B44" s="162" t="n">
        <v>2070.51</v>
      </c>
      <c r="C44" s="162" t="n">
        <v>1989.86</v>
      </c>
      <c r="D44" s="162" t="n">
        <v>176</v>
      </c>
      <c r="E44" s="162" t="n">
        <v>1571.66</v>
      </c>
      <c r="F44" s="162" t="n">
        <v>2576.97</v>
      </c>
      <c r="G44" s="162" t="n">
        <v>3056.23</v>
      </c>
      <c r="H44" s="162" t="n">
        <v>2191.13</v>
      </c>
      <c r="I44" s="162" t="n">
        <v>2349.43</v>
      </c>
      <c r="J44" s="162" t="n">
        <v>1278.26</v>
      </c>
      <c r="K44" s="162" t="n">
        <v>439.07</v>
      </c>
      <c r="L44" s="162" t="n">
        <v>-1784.31</v>
      </c>
      <c r="M44" s="162" t="n">
        <v>673.08</v>
      </c>
      <c r="N44" s="162" t="n">
        <v>1128.83</v>
      </c>
      <c r="O44" s="162" t="n">
        <v>1277.67</v>
      </c>
      <c r="P44" s="162" t="n">
        <v>1862</v>
      </c>
      <c r="Q44" s="162" t="n">
        <v>2289.04</v>
      </c>
      <c r="R44" s="162" t="n">
        <v>2854.65</v>
      </c>
      <c r="S44" s="162" t="n">
        <v>3550.39</v>
      </c>
      <c r="T44" s="162" t="n">
        <v>2922.1</v>
      </c>
      <c r="AA44" s="162" t="n">
        <v>396.2</v>
      </c>
      <c r="AB44" s="162" t="n">
        <v>436.66</v>
      </c>
      <c r="AC44" s="162" t="n">
        <v>442.96</v>
      </c>
      <c r="AD44" s="162" t="n">
        <v>687</v>
      </c>
      <c r="AE44" s="162" t="n">
        <v>1002.43</v>
      </c>
      <c r="AF44" s="162" t="n">
        <v>1537.91</v>
      </c>
      <c r="AG44" s="162" t="n">
        <v>1243.96</v>
      </c>
      <c r="AH44" s="162" t="n">
        <v>1186.15</v>
      </c>
      <c r="AI44" s="162" t="n">
        <v>839.29</v>
      </c>
      <c r="AJ44" s="162" t="n">
        <v>168.37</v>
      </c>
      <c r="AK44" s="162" t="n">
        <v>-341.65</v>
      </c>
      <c r="AL44" s="162" t="n">
        <v>377.09</v>
      </c>
      <c r="AM44" s="162" t="n">
        <v>514.3</v>
      </c>
      <c r="AN44" s="162" t="n">
        <v>729.6900000000001</v>
      </c>
      <c r="AO44" s="162" t="n">
        <v>954.37</v>
      </c>
      <c r="AP44" s="162" t="n">
        <v>1348.25</v>
      </c>
      <c r="AQ44" s="162" t="n">
        <v>1774.14</v>
      </c>
      <c r="AR44" s="162" t="n">
        <v>2002.16</v>
      </c>
      <c r="AS44" s="162" t="n">
        <v>1691.46</v>
      </c>
      <c r="AT44" s="162" t="n"/>
      <c r="BN44" s="162" t="n">
        <v>142.8302</v>
      </c>
      <c r="BO44" s="162" t="n">
        <v>253.3743</v>
      </c>
      <c r="BP44" s="162" t="n">
        <v>257.12</v>
      </c>
      <c r="BQ44" s="162" t="n">
        <v>1417.1861</v>
      </c>
      <c r="BR44" s="162" t="n">
        <v>213.1585</v>
      </c>
      <c r="BS44" s="162" t="n">
        <v>223.5063</v>
      </c>
      <c r="BT44" s="162" t="n">
        <v>328.4752</v>
      </c>
      <c r="BU44" s="162" t="n">
        <v>1224.716</v>
      </c>
      <c r="BV44" s="162" t="n">
        <v>424.939</v>
      </c>
      <c r="BW44" s="162" t="n">
        <v>18.0164</v>
      </c>
      <c r="BX44" s="162" t="n">
        <v>316.5726</v>
      </c>
      <c r="BY44" s="162" t="n">
        <v>-583.5289</v>
      </c>
      <c r="BZ44" s="162" t="n">
        <v>318.5919</v>
      </c>
      <c r="CA44" s="162" t="n">
        <v>368.4113</v>
      </c>
      <c r="CB44" s="162" t="n">
        <v>371.1388</v>
      </c>
      <c r="CC44" s="162" t="n">
        <v>513.5213</v>
      </c>
      <c r="CD44" s="162" t="n">
        <v>470.7414</v>
      </c>
      <c r="CE44" s="162" t="n">
        <v>531.6906</v>
      </c>
      <c r="CF44" s="162" t="n">
        <v>704.3361</v>
      </c>
      <c r="CG44" s="162" t="n">
        <v>870.2067</v>
      </c>
      <c r="CH44" s="162" t="n">
        <v>619.2846</v>
      </c>
      <c r="CI44" s="162" t="n">
        <v>918.6283</v>
      </c>
      <c r="CJ44" s="162" t="n">
        <v>740.3407999999999</v>
      </c>
      <c r="CK44" s="162" t="n">
        <v>777.9741</v>
      </c>
      <c r="CL44" s="162" t="n">
        <v>746.7814</v>
      </c>
      <c r="CM44" s="162" t="n">
        <v>497.1781</v>
      </c>
      <c r="CN44" s="162" t="n">
        <v>581.0814</v>
      </c>
      <c r="CO44" s="162" t="n">
        <v>366.0884</v>
      </c>
      <c r="CP44" s="162" t="n">
        <v>474.3965</v>
      </c>
      <c r="CQ44" s="162" t="n">
        <v>711.7584000000001</v>
      </c>
      <c r="CR44" s="162" t="n">
        <v>702.3372000000001</v>
      </c>
      <c r="CS44" s="162" t="n">
        <v>460.9395</v>
      </c>
      <c r="CT44" s="162" t="n">
        <v>417.8605</v>
      </c>
      <c r="CU44" s="162" t="n">
        <v>421.4339</v>
      </c>
      <c r="CV44" s="162" t="n">
        <v>250.0593</v>
      </c>
      <c r="CW44" s="162" t="n">
        <v>188.9047</v>
      </c>
      <c r="CX44" s="162" t="n">
        <v>107.7144</v>
      </c>
      <c r="CY44" s="162" t="n">
        <v>60.6535</v>
      </c>
      <c r="CZ44" s="162" t="n">
        <v>77.6776</v>
      </c>
      <c r="DA44" s="162" t="n">
        <v>193.0271</v>
      </c>
      <c r="DB44" s="162" t="n">
        <v>4.3948</v>
      </c>
      <c r="DC44" s="162" t="n">
        <v>-346.0473</v>
      </c>
      <c r="DD44" s="162" t="n">
        <v>-723.287</v>
      </c>
      <c r="DE44" s="162" t="n">
        <v>-719.3673</v>
      </c>
      <c r="DF44" s="162" t="n">
        <v>152.9725</v>
      </c>
      <c r="DG44" s="162" t="n">
        <v>224.1154</v>
      </c>
      <c r="DH44" s="162" t="n">
        <v>53.978</v>
      </c>
      <c r="DI44" s="162" t="n">
        <v>242.0132</v>
      </c>
      <c r="DJ44" s="162" t="n">
        <v>213.6184</v>
      </c>
      <c r="DK44" s="162" t="n">
        <v>300.6804</v>
      </c>
      <c r="DL44" s="162" t="n">
        <v>386.1483</v>
      </c>
      <c r="DM44" s="162" t="n">
        <v>228.3871</v>
      </c>
      <c r="DN44" s="162" t="n">
        <v>353.7739</v>
      </c>
      <c r="DO44" s="162" t="n">
        <v>375.9188</v>
      </c>
      <c r="DP44" s="162" t="n">
        <v>305.7374</v>
      </c>
      <c r="DQ44" s="162" t="n">
        <v>242.2417</v>
      </c>
      <c r="DR44" s="162" t="n">
        <v>395.8585</v>
      </c>
      <c r="DS44" s="162" t="n">
        <v>558.5134</v>
      </c>
      <c r="DT44" s="162" t="n">
        <v>388.0309</v>
      </c>
      <c r="DU44" s="162" t="n">
        <v>519.5954</v>
      </c>
      <c r="DV44" s="162" t="n">
        <v>632.953</v>
      </c>
      <c r="DW44" s="162" t="n">
        <v>715.2996000000001</v>
      </c>
      <c r="DX44" s="162" t="n">
        <v>517.9303</v>
      </c>
      <c r="DY44" s="162" t="n">
        <v>422.854</v>
      </c>
      <c r="DZ44" s="162" t="n">
        <v>926.0802</v>
      </c>
      <c r="EA44" s="162" t="n">
        <v>848.0559</v>
      </c>
      <c r="EB44" s="162" t="n">
        <v>725.8946</v>
      </c>
      <c r="EC44" s="162" t="n">
        <v>354.6198</v>
      </c>
      <c r="ED44" s="162" t="n">
        <v>1019.048</v>
      </c>
      <c r="EE44" s="162" t="n">
        <v>983.1097</v>
      </c>
      <c r="EF44" s="162" t="n">
        <v>909.6666</v>
      </c>
      <c r="EG44" s="162" t="n">
        <v>638.5692</v>
      </c>
      <c r="EH44" s="162" t="n">
        <v>905.7513</v>
      </c>
      <c r="EI44" s="162" t="n">
        <v>785.7118</v>
      </c>
      <c r="EJ44" s="162" t="n">
        <v>933.2784</v>
      </c>
      <c r="EK44" s="162" t="n">
        <v>297.3594</v>
      </c>
      <c r="EL44" s="162" t="n">
        <v>1153.8237</v>
      </c>
      <c r="EM44" s="162" t="n">
        <v>755.972</v>
      </c>
    </row>
    <row r="45">
      <c r="A45" s="2" t="inlineStr">
        <is>
          <t xml:space="preserve">    加：其他综合收益</t>
        </is>
      </c>
      <c r="E45" s="1" t="n">
        <v>2.27</v>
      </c>
      <c r="F45" s="1" t="n">
        <v>5.22</v>
      </c>
      <c r="G45" s="1" t="n">
        <v>-31.92</v>
      </c>
      <c r="H45" s="1" t="n">
        <v>-5.7</v>
      </c>
      <c r="I45" s="1" t="n">
        <v>-120.83</v>
      </c>
      <c r="J45" s="1" t="n">
        <v>122.7</v>
      </c>
      <c r="K45" s="1" t="n">
        <v>1.79</v>
      </c>
      <c r="L45" s="1" t="n">
        <v>5.33</v>
      </c>
      <c r="M45" s="1" t="n">
        <v>-0.82</v>
      </c>
      <c r="N45" s="1" t="n">
        <v>15.82</v>
      </c>
      <c r="O45" s="1" t="n">
        <v>10.54</v>
      </c>
      <c r="P45" s="1" t="n">
        <v>-50</v>
      </c>
      <c r="Q45" s="1" t="n">
        <v>-23.31</v>
      </c>
      <c r="R45" s="1" t="n">
        <v>79.23</v>
      </c>
      <c r="S45" s="1" t="n">
        <v>-139.21</v>
      </c>
      <c r="T45" s="1" t="n">
        <v>11.6</v>
      </c>
      <c r="AE45" s="1" t="n">
        <v>-0.35</v>
      </c>
      <c r="AF45" s="1" t="n">
        <v>-21.19</v>
      </c>
      <c r="AG45" s="1" t="n">
        <v>11.27</v>
      </c>
      <c r="AH45" s="1" t="n">
        <v>-93.97</v>
      </c>
      <c r="AI45" s="1" t="n">
        <v>24.91</v>
      </c>
      <c r="AJ45" s="1" t="n">
        <v>-1.82</v>
      </c>
      <c r="AK45" s="1" t="n">
        <v>0.24</v>
      </c>
      <c r="AL45" s="1" t="n">
        <v>3.04</v>
      </c>
      <c r="AM45" s="1" t="n">
        <v>-7.64</v>
      </c>
      <c r="AN45" s="1" t="n">
        <v>2.63</v>
      </c>
      <c r="AO45" s="1" t="n">
        <v>3.86</v>
      </c>
      <c r="AP45" s="1" t="n">
        <v>-8.550000000000001</v>
      </c>
      <c r="AQ45" s="1" t="n">
        <v>35.46</v>
      </c>
      <c r="AR45" s="1" t="n">
        <v>-55.29</v>
      </c>
      <c r="AS45" s="1" t="n">
        <v>-44.76</v>
      </c>
      <c r="AT45" s="1" t="n"/>
      <c r="CC45" s="1" t="n">
        <v>2.2731</v>
      </c>
      <c r="CE45" s="1" t="n">
        <v>-0.3535</v>
      </c>
      <c r="CF45" s="1" t="n">
        <v>1.1544</v>
      </c>
      <c r="CG45" s="1" t="n">
        <v>4.4174</v>
      </c>
      <c r="CH45" s="1" t="n">
        <v>-11.8736</v>
      </c>
      <c r="CI45" s="1" t="n">
        <v>-9.3207</v>
      </c>
      <c r="CJ45" s="1" t="n">
        <v>-60.375</v>
      </c>
      <c r="CK45" s="1" t="n">
        <v>49.6475</v>
      </c>
      <c r="CL45" s="1" t="n">
        <v>-7.7313</v>
      </c>
      <c r="CM45" s="1" t="n">
        <v>19.0001</v>
      </c>
      <c r="CN45" s="1" t="n">
        <v>-46.4133</v>
      </c>
      <c r="CO45" s="1" t="n">
        <v>29.442</v>
      </c>
      <c r="CP45" s="1" t="n">
        <v>-4.7667</v>
      </c>
      <c r="CQ45" s="1" t="n">
        <v>-89.2009</v>
      </c>
      <c r="CR45" s="1" t="n">
        <v>-29.9981</v>
      </c>
      <c r="CS45" s="1" t="n">
        <v>3.1341</v>
      </c>
      <c r="CT45" s="1" t="n">
        <v>13.2204</v>
      </c>
      <c r="CU45" s="1" t="n">
        <v>11.6916</v>
      </c>
      <c r="CV45" s="1" t="n">
        <v>73.4478</v>
      </c>
      <c r="CW45" s="1" t="n">
        <v>24.3452</v>
      </c>
      <c r="CX45" s="1" t="n">
        <v>3.3543</v>
      </c>
      <c r="CY45" s="1" t="n">
        <v>-5.1711</v>
      </c>
      <c r="CZ45" s="1" t="n">
        <v>0.6848</v>
      </c>
      <c r="DA45" s="1" t="n">
        <v>2.9183</v>
      </c>
      <c r="DB45" s="1" t="n">
        <v>-0.9392</v>
      </c>
      <c r="DC45" s="1" t="n">
        <v>1.1763</v>
      </c>
      <c r="DD45" s="1" t="n">
        <v>3.0463</v>
      </c>
      <c r="DE45" s="1" t="n">
        <v>2.0473</v>
      </c>
      <c r="DF45" s="1" t="n">
        <v>5.2728</v>
      </c>
      <c r="DG45" s="1" t="n">
        <v>-2.2366</v>
      </c>
      <c r="DH45" s="1" t="n">
        <v>-5.0775</v>
      </c>
      <c r="DI45" s="1" t="n">
        <v>1.2196</v>
      </c>
      <c r="DJ45" s="1" t="n">
        <v>-6.7973</v>
      </c>
      <c r="DK45" s="1" t="n">
        <v>-0.8398</v>
      </c>
      <c r="DL45" s="1" t="n">
        <v>15.8364</v>
      </c>
      <c r="DM45" s="1" t="n">
        <v>7.617</v>
      </c>
      <c r="DN45" s="1" t="n">
        <v>-9.3102</v>
      </c>
      <c r="DO45" s="1" t="n">
        <v>11.9405</v>
      </c>
      <c r="DP45" s="1" t="n">
        <v>16.2278</v>
      </c>
      <c r="DQ45" s="1" t="n">
        <v>-8.3207</v>
      </c>
      <c r="DR45" s="1" t="n">
        <v>0.4277</v>
      </c>
      <c r="DS45" s="1" t="n">
        <v>3.433</v>
      </c>
      <c r="DT45" s="1" t="n">
        <v>-25.6265</v>
      </c>
      <c r="DU45" s="1" t="n">
        <v>-28.236</v>
      </c>
      <c r="DV45" s="1" t="n">
        <v>4.4337</v>
      </c>
      <c r="DW45" s="1" t="n">
        <v>-12.9861</v>
      </c>
      <c r="DX45" s="1" t="n">
        <v>2.642</v>
      </c>
      <c r="DY45" s="1" t="n">
        <v>-17.4015</v>
      </c>
      <c r="DZ45" s="1" t="n">
        <v>-0.0514</v>
      </c>
      <c r="EA45" s="1" t="n">
        <v>35.5116</v>
      </c>
      <c r="EB45" s="1" t="n">
        <v>36.1997</v>
      </c>
      <c r="EC45" s="1" t="n">
        <v>7.5732</v>
      </c>
      <c r="ED45" s="1" t="n">
        <v>-0.4949</v>
      </c>
      <c r="EE45" s="1" t="n">
        <v>-54.7904</v>
      </c>
      <c r="EF45" s="1" t="n">
        <v>-60.0778</v>
      </c>
      <c r="EG45" s="1" t="n">
        <v>-23.8514</v>
      </c>
      <c r="EH45" s="1" t="n">
        <v>-15.398</v>
      </c>
      <c r="EI45" s="1" t="n">
        <v>-29.363</v>
      </c>
      <c r="EJ45" s="1" t="n">
        <v>117.4499</v>
      </c>
      <c r="EK45" s="1" t="n">
        <v>-61.0852</v>
      </c>
      <c r="EL45" s="1" t="n">
        <v>4.5706</v>
      </c>
      <c r="EM45" s="1" t="n">
        <v>-35.194</v>
      </c>
    </row>
    <row r="46">
      <c r="A46" s="3" t="inlineStr">
        <is>
          <t>综合收益总额</t>
        </is>
      </c>
      <c r="E46" s="1" t="n">
        <v>1598.17</v>
      </c>
      <c r="F46" s="1" t="n">
        <v>2681.23</v>
      </c>
      <c r="G46" s="1" t="n">
        <v>3086.3</v>
      </c>
      <c r="H46" s="1" t="n">
        <v>2248.02</v>
      </c>
      <c r="I46" s="1" t="n">
        <v>2278.57</v>
      </c>
      <c r="J46" s="1" t="n">
        <v>1443.32</v>
      </c>
      <c r="K46" s="1" t="n">
        <v>461.28</v>
      </c>
      <c r="L46" s="1" t="n">
        <v>-1754.11</v>
      </c>
      <c r="M46" s="1" t="n">
        <v>682.25</v>
      </c>
      <c r="N46" s="1" t="n">
        <v>1174.08</v>
      </c>
      <c r="O46" s="1" t="n">
        <v>1391.41</v>
      </c>
      <c r="P46" s="1" t="n">
        <v>1866.26</v>
      </c>
      <c r="Q46" s="1" t="n">
        <v>2405.91</v>
      </c>
      <c r="R46" s="1" t="n">
        <v>3089.59</v>
      </c>
      <c r="S46" s="1" t="n">
        <v>3504.49</v>
      </c>
      <c r="T46" s="1" t="n">
        <v>3299.13</v>
      </c>
      <c r="AE46" s="1" t="n">
        <v>1038.72</v>
      </c>
      <c r="AF46" s="1" t="n">
        <v>1547.11</v>
      </c>
      <c r="AG46" s="1" t="n">
        <v>1274.12</v>
      </c>
      <c r="AH46" s="1" t="n">
        <v>1118.11</v>
      </c>
      <c r="AI46" s="1" t="n">
        <v>893.6799999999999</v>
      </c>
      <c r="AJ46" s="1" t="n">
        <v>185.72</v>
      </c>
      <c r="AK46" s="1" t="n">
        <v>-336.97</v>
      </c>
      <c r="AL46" s="1" t="n">
        <v>426.58</v>
      </c>
      <c r="AM46" s="1" t="n">
        <v>526.27</v>
      </c>
      <c r="AN46" s="1" t="n">
        <v>788.75</v>
      </c>
      <c r="AO46" s="1" t="n">
        <v>1023.4</v>
      </c>
      <c r="AP46" s="1" t="n">
        <v>1431.19</v>
      </c>
      <c r="AQ46" s="1" t="n">
        <v>1900.72</v>
      </c>
      <c r="AR46" s="1" t="n">
        <v>2040.93</v>
      </c>
      <c r="AS46" s="1" t="n">
        <v>1763.78</v>
      </c>
      <c r="AT46" s="1" t="n"/>
      <c r="CC46" s="1" t="n">
        <v>1598.1702</v>
      </c>
      <c r="CD46" s="1" t="n">
        <v>505.3546</v>
      </c>
      <c r="CE46" s="1" t="n">
        <v>533.3674</v>
      </c>
      <c r="CF46" s="1" t="n">
        <v>744.6613</v>
      </c>
      <c r="CG46" s="1" t="n">
        <v>897.8495</v>
      </c>
      <c r="CH46" s="1" t="n">
        <v>614.2735</v>
      </c>
      <c r="CI46" s="1" t="n">
        <v>932.8330999999999</v>
      </c>
      <c r="CJ46" s="1" t="n">
        <v>686.8757000000001</v>
      </c>
      <c r="CK46" s="1" t="n">
        <v>852.3137</v>
      </c>
      <c r="CL46" s="1" t="n">
        <v>735.8303</v>
      </c>
      <c r="CM46" s="1" t="n">
        <v>538.2888</v>
      </c>
      <c r="CN46" s="1" t="n">
        <v>550.5661</v>
      </c>
      <c r="CO46" s="1" t="n">
        <v>423.3336</v>
      </c>
      <c r="CP46" s="1" t="n">
        <v>460.9657</v>
      </c>
      <c r="CQ46" s="1" t="n">
        <v>657.1407</v>
      </c>
      <c r="CR46" s="1" t="n">
        <v>687.7984</v>
      </c>
      <c r="CS46" s="1" t="n">
        <v>472.6664</v>
      </c>
      <c r="CT46" s="1" t="n">
        <v>453.0483</v>
      </c>
      <c r="CU46" s="1" t="n">
        <v>440.6305</v>
      </c>
      <c r="CV46" s="1" t="n">
        <v>333.2394</v>
      </c>
      <c r="CW46" s="1" t="n">
        <v>216.4035</v>
      </c>
      <c r="CX46" s="1" t="n">
        <v>118.5777</v>
      </c>
      <c r="CY46" s="1" t="n">
        <v>67.1426</v>
      </c>
      <c r="CZ46" s="1" t="n">
        <v>77.58</v>
      </c>
      <c r="DA46" s="1" t="n">
        <v>197.9836</v>
      </c>
      <c r="DB46" s="1" t="n">
        <v>15.4192</v>
      </c>
      <c r="DC46" s="1" t="n">
        <v>-352.3918</v>
      </c>
      <c r="DD46" s="1" t="n">
        <v>-709.0933</v>
      </c>
      <c r="DE46" s="1" t="n">
        <v>-708.0418</v>
      </c>
      <c r="DF46" s="1" t="n">
        <v>181.4566</v>
      </c>
      <c r="DG46" s="1" t="n">
        <v>245.1211</v>
      </c>
      <c r="DH46" s="1" t="n">
        <v>47.6185</v>
      </c>
      <c r="DI46" s="1" t="n">
        <v>208.0517</v>
      </c>
      <c r="DJ46" s="1" t="n">
        <v>213.0219</v>
      </c>
      <c r="DK46" s="1" t="n">
        <v>313.2457</v>
      </c>
      <c r="DL46" s="1" t="n">
        <v>407.6724</v>
      </c>
      <c r="DM46" s="1" t="n">
        <v>240.1419</v>
      </c>
      <c r="DN46" s="1" t="n">
        <v>358.8846</v>
      </c>
      <c r="DO46" s="1" t="n">
        <v>429.8656</v>
      </c>
      <c r="DP46" s="1" t="n">
        <v>340.4709</v>
      </c>
      <c r="DQ46" s="1" t="n">
        <v>262.1878</v>
      </c>
      <c r="DR46" s="1" t="n">
        <v>423.4283</v>
      </c>
      <c r="DS46" s="1" t="n">
        <v>599.9669</v>
      </c>
      <c r="DT46" s="1" t="n">
        <v>382.3073</v>
      </c>
      <c r="DU46" s="1" t="n">
        <v>460.5599</v>
      </c>
      <c r="DV46" s="1" t="n">
        <v>689.101</v>
      </c>
      <c r="DW46" s="1" t="n">
        <v>742.0898999999999</v>
      </c>
      <c r="DX46" s="1" t="n">
        <v>545.7348</v>
      </c>
      <c r="DY46" s="1" t="n">
        <v>428.9859</v>
      </c>
      <c r="DZ46" s="1" t="n">
        <v>975.2953</v>
      </c>
      <c r="EA46" s="1" t="n">
        <v>925.4211</v>
      </c>
      <c r="EB46" s="1" t="n">
        <v>779.9580999999999</v>
      </c>
      <c r="EC46" s="1" t="n">
        <v>408.915</v>
      </c>
      <c r="ED46" s="1" t="n">
        <v>1080.9815</v>
      </c>
      <c r="EE46" s="1" t="n">
        <v>959.9467</v>
      </c>
      <c r="EF46" s="1" t="n">
        <v>885.1744</v>
      </c>
      <c r="EG46" s="1" t="n">
        <v>578.3924</v>
      </c>
      <c r="EH46" s="1" t="n">
        <v>969.9946</v>
      </c>
      <c r="EI46" s="1" t="n">
        <v>793.7883</v>
      </c>
      <c r="EJ46" s="1" t="n">
        <v>1075.3545</v>
      </c>
      <c r="EK46" s="1" t="n">
        <v>459.9921</v>
      </c>
      <c r="EL46" s="1" t="n">
        <v>1232.6006</v>
      </c>
      <c r="EM46" s="1" t="n">
        <v>797.62</v>
      </c>
    </row>
    <row r="47">
      <c r="A47" s="2" t="inlineStr">
        <is>
          <t xml:space="preserve">    减：归属于少数股东的综合收益总额</t>
        </is>
      </c>
      <c r="E47" s="1" t="n">
        <v>24.23</v>
      </c>
      <c r="F47" s="1" t="n">
        <v>99.04000000000001</v>
      </c>
      <c r="G47" s="1" t="n">
        <v>61.99</v>
      </c>
      <c r="H47" s="1" t="n">
        <v>62.59</v>
      </c>
      <c r="I47" s="1" t="n">
        <v>49.97</v>
      </c>
      <c r="J47" s="1" t="n">
        <v>42.36</v>
      </c>
      <c r="K47" s="1" t="n">
        <v>20.42</v>
      </c>
      <c r="L47" s="1" t="n">
        <v>24.87</v>
      </c>
      <c r="M47" s="1" t="n">
        <v>9.99</v>
      </c>
      <c r="N47" s="1" t="n">
        <v>32.93</v>
      </c>
      <c r="O47" s="1" t="n">
        <v>104.8</v>
      </c>
      <c r="P47" s="1" t="n">
        <v>47.94</v>
      </c>
      <c r="Q47" s="1" t="n">
        <v>137.49</v>
      </c>
      <c r="R47" s="1" t="n">
        <v>165.72</v>
      </c>
      <c r="S47" s="1" t="n">
        <v>84.31999999999999</v>
      </c>
      <c r="T47" s="1" t="n">
        <v>367.16</v>
      </c>
      <c r="AE47" s="1" t="n">
        <v>36.64</v>
      </c>
      <c r="AF47" s="1" t="n">
        <v>30.39</v>
      </c>
      <c r="AG47" s="1" t="n">
        <v>18.89</v>
      </c>
      <c r="AH47" s="1" t="n">
        <v>25.92</v>
      </c>
      <c r="AI47" s="1" t="n">
        <v>29.47</v>
      </c>
      <c r="AJ47" s="1" t="n">
        <v>19.17</v>
      </c>
      <c r="AK47" s="1" t="n">
        <v>4.44</v>
      </c>
      <c r="AL47" s="1" t="n">
        <v>46.45</v>
      </c>
      <c r="AM47" s="1" t="n">
        <v>19.43</v>
      </c>
      <c r="AN47" s="1" t="n">
        <v>56.45</v>
      </c>
      <c r="AO47" s="1" t="n">
        <v>65.39</v>
      </c>
      <c r="AP47" s="1" t="n">
        <v>91.34</v>
      </c>
      <c r="AQ47" s="1" t="n">
        <v>91.88</v>
      </c>
      <c r="AR47" s="1" t="n">
        <v>93.02</v>
      </c>
      <c r="AS47" s="1" t="n">
        <v>115.8</v>
      </c>
      <c r="AT47" s="1" t="n"/>
      <c r="CC47" s="1" t="n">
        <v>24.2338</v>
      </c>
      <c r="CD47" s="1" t="n">
        <v>34.6132</v>
      </c>
      <c r="CE47" s="1" t="n">
        <v>2.0303</v>
      </c>
      <c r="CF47" s="1" t="n">
        <v>39.1707</v>
      </c>
      <c r="CG47" s="1" t="n">
        <v>23.2253</v>
      </c>
      <c r="CH47" s="1" t="n">
        <v>6.8625</v>
      </c>
      <c r="CI47" s="1" t="n">
        <v>23.5255</v>
      </c>
      <c r="CJ47" s="1" t="n">
        <v>6.91</v>
      </c>
      <c r="CK47" s="1" t="n">
        <v>24.6921</v>
      </c>
      <c r="CL47" s="1" t="n">
        <v>-3.2198</v>
      </c>
      <c r="CM47" s="1" t="n">
        <v>22.1105</v>
      </c>
      <c r="CN47" s="1" t="n">
        <v>15.898</v>
      </c>
      <c r="CO47" s="1" t="n">
        <v>27.8032</v>
      </c>
      <c r="CP47" s="1" t="n">
        <v>-8.664199999999999</v>
      </c>
      <c r="CQ47" s="1" t="n">
        <v>34.5832</v>
      </c>
      <c r="CR47" s="1" t="n">
        <v>15.4593</v>
      </c>
      <c r="CS47" s="1" t="n">
        <v>8.5928</v>
      </c>
      <c r="CT47" s="1" t="n">
        <v>21.9675</v>
      </c>
      <c r="CU47" s="1" t="n">
        <v>7.505</v>
      </c>
      <c r="CV47" s="1" t="n">
        <v>9.732200000000001</v>
      </c>
      <c r="CW47" s="1" t="n">
        <v>3.1536</v>
      </c>
      <c r="CX47" s="1" t="n">
        <v>7.509</v>
      </c>
      <c r="CY47" s="1" t="n">
        <v>11.6602</v>
      </c>
      <c r="CZ47" s="1" t="n">
        <v>-0.7824</v>
      </c>
      <c r="DA47" s="1" t="n">
        <v>2.0382</v>
      </c>
      <c r="DB47" s="1" t="n">
        <v>11.9635</v>
      </c>
      <c r="DC47" s="1" t="n">
        <v>-7.5209</v>
      </c>
      <c r="DD47" s="1" t="n">
        <v>11.1474</v>
      </c>
      <c r="DE47" s="1" t="n">
        <v>9.2781</v>
      </c>
      <c r="DF47" s="1" t="n">
        <v>23.2114</v>
      </c>
      <c r="DG47" s="1" t="n">
        <v>23.2421</v>
      </c>
      <c r="DH47" s="1" t="n">
        <v>-1.282</v>
      </c>
      <c r="DI47" s="1" t="n">
        <v>-35.181</v>
      </c>
      <c r="DJ47" s="1" t="n">
        <v>6.2008</v>
      </c>
      <c r="DK47" s="1" t="n">
        <v>13.2276</v>
      </c>
      <c r="DL47" s="1" t="n">
        <v>6.1519</v>
      </c>
      <c r="DM47" s="1" t="n">
        <v>7.3472</v>
      </c>
      <c r="DN47" s="1" t="n">
        <v>14.1896</v>
      </c>
      <c r="DO47" s="1" t="n">
        <v>42.2581</v>
      </c>
      <c r="DP47" s="1" t="n">
        <v>18.8579</v>
      </c>
      <c r="DQ47" s="1" t="n">
        <v>29.4917</v>
      </c>
      <c r="DR47" s="1" t="n">
        <v>27.3624</v>
      </c>
      <c r="DS47" s="1" t="n">
        <v>38.0242</v>
      </c>
      <c r="DT47" s="1" t="n">
        <v>19.3561</v>
      </c>
      <c r="DU47" s="1" t="n">
        <v>-36.8056</v>
      </c>
      <c r="DV47" s="1" t="n">
        <v>51.808</v>
      </c>
      <c r="DW47" s="1" t="n">
        <v>39.5332</v>
      </c>
      <c r="DX47" s="1" t="n">
        <v>25.2186</v>
      </c>
      <c r="DY47" s="1" t="n">
        <v>20.9331</v>
      </c>
      <c r="DZ47" s="1" t="n">
        <v>49.1969</v>
      </c>
      <c r="EA47" s="1" t="n">
        <v>42.6878</v>
      </c>
      <c r="EB47" s="1" t="n">
        <v>18.6963</v>
      </c>
      <c r="EC47" s="1" t="n">
        <v>55.1394</v>
      </c>
      <c r="ED47" s="1" t="n">
        <v>62.5314</v>
      </c>
      <c r="EE47" s="1" t="n">
        <v>30.4862</v>
      </c>
      <c r="EF47" s="1" t="n">
        <v>30.2574</v>
      </c>
      <c r="EG47" s="1" t="n">
        <v>-38.9565</v>
      </c>
      <c r="EH47" s="1" t="n">
        <v>78.4277</v>
      </c>
      <c r="EI47" s="1" t="n">
        <v>37.3705</v>
      </c>
      <c r="EJ47" s="1" t="n">
        <v>27.4025</v>
      </c>
      <c r="EK47" s="1" t="n">
        <v>223.9559</v>
      </c>
      <c r="EL47" s="1" t="n">
        <v>70.68049999999999</v>
      </c>
      <c r="EM47" s="1" t="n">
        <v>76.90900000000001</v>
      </c>
    </row>
    <row r="48">
      <c r="A48" s="2" t="inlineStr">
        <is>
          <t xml:space="preserve">    归属于母公司普通股东综合收益总额</t>
        </is>
      </c>
      <c r="E48" s="1" t="n">
        <v>1573.94</v>
      </c>
      <c r="F48" s="1" t="n">
        <v>2582.19</v>
      </c>
      <c r="G48" s="1" t="n">
        <v>3024.31</v>
      </c>
      <c r="H48" s="1" t="n">
        <v>2185.43</v>
      </c>
      <c r="I48" s="1" t="n">
        <v>2228.6</v>
      </c>
      <c r="J48" s="1" t="n">
        <v>1400.96</v>
      </c>
      <c r="K48" s="1" t="n">
        <v>440.86</v>
      </c>
      <c r="L48" s="1" t="n">
        <v>-1778.98</v>
      </c>
      <c r="M48" s="1" t="n">
        <v>672.26</v>
      </c>
      <c r="N48" s="1" t="n">
        <v>1141.15</v>
      </c>
      <c r="O48" s="1" t="n">
        <v>1286.61</v>
      </c>
      <c r="P48" s="1" t="n">
        <v>1818.33</v>
      </c>
      <c r="Q48" s="1" t="n">
        <v>2268.42</v>
      </c>
      <c r="R48" s="1" t="n">
        <v>2923.87</v>
      </c>
      <c r="S48" s="1" t="n">
        <v>3420.18</v>
      </c>
      <c r="T48" s="1" t="n">
        <v>2931.97</v>
      </c>
      <c r="AE48" s="1" t="n">
        <v>1002.08</v>
      </c>
      <c r="AF48" s="1" t="n">
        <v>1516.72</v>
      </c>
      <c r="AG48" s="1" t="n">
        <v>1255.23</v>
      </c>
      <c r="AH48" s="1" t="n">
        <v>1092.19</v>
      </c>
      <c r="AI48" s="1" t="n">
        <v>864.21</v>
      </c>
      <c r="AJ48" s="1" t="n">
        <v>166.55</v>
      </c>
      <c r="AK48" s="1" t="n">
        <v>-341.42</v>
      </c>
      <c r="AL48" s="1" t="n">
        <v>380.12</v>
      </c>
      <c r="AM48" s="1" t="n">
        <v>506.84</v>
      </c>
      <c r="AN48" s="1" t="n">
        <v>732.3</v>
      </c>
      <c r="AO48" s="1" t="n">
        <v>958.01</v>
      </c>
      <c r="AP48" s="1" t="n">
        <v>1339.85</v>
      </c>
      <c r="AQ48" s="1" t="n">
        <v>1808.83</v>
      </c>
      <c r="AR48" s="1" t="n">
        <v>1947.91</v>
      </c>
      <c r="AS48" s="1" t="n">
        <v>1647.98</v>
      </c>
      <c r="AT48" s="1" t="n"/>
      <c r="CC48" s="1" t="n">
        <v>1573.9365</v>
      </c>
      <c r="CD48" s="1" t="n">
        <v>470.7414</v>
      </c>
      <c r="CE48" s="1" t="n">
        <v>531.3371</v>
      </c>
      <c r="CF48" s="1" t="n">
        <v>705.4906</v>
      </c>
      <c r="CG48" s="1" t="n">
        <v>874.6241</v>
      </c>
      <c r="CH48" s="1" t="n">
        <v>607.4109999999999</v>
      </c>
      <c r="CI48" s="1" t="n">
        <v>909.3076</v>
      </c>
      <c r="CJ48" s="1" t="n">
        <v>679.9657999999999</v>
      </c>
      <c r="CK48" s="1" t="n">
        <v>827.6215999999999</v>
      </c>
      <c r="CL48" s="1" t="n">
        <v>739.0501</v>
      </c>
      <c r="CM48" s="1" t="n">
        <v>516.1781999999999</v>
      </c>
      <c r="CN48" s="1" t="n">
        <v>534.6681</v>
      </c>
      <c r="CO48" s="1" t="n">
        <v>395.5304</v>
      </c>
      <c r="CP48" s="1" t="n">
        <v>469.6299</v>
      </c>
      <c r="CQ48" s="1" t="n">
        <v>622.5575</v>
      </c>
      <c r="CR48" s="1" t="n">
        <v>672.3391</v>
      </c>
      <c r="CS48" s="1" t="n">
        <v>464.0736</v>
      </c>
      <c r="CT48" s="1" t="n">
        <v>431.0808</v>
      </c>
      <c r="CU48" s="1" t="n">
        <v>433.1255</v>
      </c>
      <c r="CV48" s="1" t="n">
        <v>323.5071</v>
      </c>
      <c r="CW48" s="1" t="n">
        <v>213.2499</v>
      </c>
      <c r="CX48" s="1" t="n">
        <v>111.0687</v>
      </c>
      <c r="CY48" s="1" t="n">
        <v>55.4824</v>
      </c>
      <c r="CZ48" s="1" t="n">
        <v>78.36239999999999</v>
      </c>
      <c r="DA48" s="1" t="n">
        <v>195.9454</v>
      </c>
      <c r="DB48" s="1" t="n">
        <v>3.4557</v>
      </c>
      <c r="DC48" s="1" t="n">
        <v>-344.8709</v>
      </c>
      <c r="DD48" s="1" t="n">
        <v>-720.2408</v>
      </c>
      <c r="DE48" s="1" t="n">
        <v>-717.3200000000001</v>
      </c>
      <c r="DF48" s="1" t="n">
        <v>158.2452</v>
      </c>
      <c r="DG48" s="1" t="n">
        <v>221.8789</v>
      </c>
      <c r="DH48" s="1" t="n">
        <v>48.9005</v>
      </c>
      <c r="DI48" s="1" t="n">
        <v>243.2328</v>
      </c>
      <c r="DJ48" s="1" t="n">
        <v>206.8211</v>
      </c>
      <c r="DK48" s="1" t="n">
        <v>300.0181</v>
      </c>
      <c r="DL48" s="1" t="n">
        <v>401.5205</v>
      </c>
      <c r="DM48" s="1" t="n">
        <v>232.7947</v>
      </c>
      <c r="DN48" s="1" t="n">
        <v>344.695</v>
      </c>
      <c r="DO48" s="1" t="n">
        <v>387.6076</v>
      </c>
      <c r="DP48" s="1" t="n">
        <v>321.613</v>
      </c>
      <c r="DQ48" s="1" t="n">
        <v>232.6961</v>
      </c>
      <c r="DR48" s="1" t="n">
        <v>396.0659</v>
      </c>
      <c r="DS48" s="1" t="n">
        <v>561.9426999999999</v>
      </c>
      <c r="DT48" s="1" t="n">
        <v>362.9512</v>
      </c>
      <c r="DU48" s="1" t="n">
        <v>497.3655</v>
      </c>
      <c r="DV48" s="1" t="n">
        <v>637.293</v>
      </c>
      <c r="DW48" s="1" t="n">
        <v>702.5567</v>
      </c>
      <c r="DX48" s="1" t="n">
        <v>520.5162</v>
      </c>
      <c r="DY48" s="1" t="n">
        <v>408.0528</v>
      </c>
      <c r="DZ48" s="1" t="n">
        <v>926.0984</v>
      </c>
      <c r="EA48" s="1" t="n">
        <v>882.7332</v>
      </c>
      <c r="EB48" s="1" t="n">
        <v>761.2618</v>
      </c>
      <c r="EC48" s="1" t="n">
        <v>353.7756</v>
      </c>
      <c r="ED48" s="1" t="n">
        <v>1018.4501</v>
      </c>
      <c r="EE48" s="1" t="n">
        <v>929.4605</v>
      </c>
      <c r="EF48" s="1" t="n">
        <v>854.917</v>
      </c>
      <c r="EG48" s="1" t="n">
        <v>617.3489</v>
      </c>
      <c r="EH48" s="1" t="n">
        <v>891.5669</v>
      </c>
      <c r="EI48" s="1" t="n">
        <v>756.4177</v>
      </c>
      <c r="EJ48" s="1" t="n">
        <v>1047.9521</v>
      </c>
      <c r="EK48" s="1" t="n">
        <v>236.0362</v>
      </c>
      <c r="EL48" s="1" t="n">
        <v>1161.9201</v>
      </c>
      <c r="EM48" s="1" t="n">
        <v>720.711</v>
      </c>
    </row>
    <row r="49">
      <c r="A49" s="3" t="inlineStr">
        <is>
          <t>每股收益：</t>
        </is>
      </c>
    </row>
    <row r="50">
      <c r="A50" s="2" t="inlineStr">
        <is>
          <t xml:space="preserve">    基本每股收益</t>
        </is>
      </c>
      <c r="B50" s="1" t="n">
        <v>2.53</v>
      </c>
      <c r="C50" s="1" t="n">
        <v>2.44</v>
      </c>
      <c r="D50" s="1" t="n">
        <v>0.21</v>
      </c>
      <c r="E50" s="1" t="n">
        <v>1.76</v>
      </c>
      <c r="F50" s="1" t="n">
        <v>1.29</v>
      </c>
      <c r="G50" s="1" t="n">
        <v>1.53</v>
      </c>
      <c r="H50" s="1" t="n">
        <v>1.09</v>
      </c>
      <c r="I50" s="1" t="n">
        <v>1.17</v>
      </c>
      <c r="J50" s="1" t="n">
        <v>0.64</v>
      </c>
      <c r="K50" s="1" t="n">
        <v>0.19</v>
      </c>
      <c r="L50" s="1" t="n">
        <v>-0.76</v>
      </c>
      <c r="M50" s="1" t="n">
        <v>0.29</v>
      </c>
      <c r="N50" s="1" t="n">
        <v>0.37</v>
      </c>
      <c r="O50" s="1" t="n">
        <v>0.41</v>
      </c>
      <c r="P50" s="1" t="n">
        <v>0.6</v>
      </c>
      <c r="Q50" s="1" t="n">
        <v>0.73</v>
      </c>
      <c r="R50" s="1" t="n">
        <v>0.92</v>
      </c>
      <c r="S50" s="1" t="n">
        <v>1.14</v>
      </c>
      <c r="T50" s="1" t="n">
        <v>0.9399999999999999</v>
      </c>
      <c r="AA50" s="1" t="n">
        <v>0.88</v>
      </c>
      <c r="AB50" s="1" t="n">
        <v>0.97</v>
      </c>
      <c r="AC50" s="1" t="n">
        <v>0.54</v>
      </c>
      <c r="AD50" s="1" t="n">
        <v>0.78</v>
      </c>
      <c r="AE50" s="1" t="n">
        <v>0.5</v>
      </c>
      <c r="AF50" s="1" t="n">
        <v>0.77</v>
      </c>
      <c r="AG50" s="1" t="n">
        <v>0.62</v>
      </c>
      <c r="AH50" s="1" t="n">
        <v>0.59</v>
      </c>
      <c r="AI50" s="1" t="n">
        <v>0.42</v>
      </c>
      <c r="AJ50" s="1" t="n">
        <v>0.08</v>
      </c>
      <c r="AK50" s="1" t="n">
        <v>-0.15</v>
      </c>
      <c r="AL50" s="1" t="n">
        <v>0.16</v>
      </c>
      <c r="AM50" s="1" t="n">
        <v>0.17</v>
      </c>
      <c r="AN50" s="1" t="n">
        <v>0.24</v>
      </c>
      <c r="AO50" s="1" t="n">
        <v>0.31</v>
      </c>
      <c r="AP50" s="1" t="n">
        <v>0.43</v>
      </c>
      <c r="AQ50" s="1" t="n">
        <v>0.57</v>
      </c>
      <c r="AR50" s="1" t="n">
        <v>0.64</v>
      </c>
      <c r="AS50" s="1" t="n">
        <v>0.54</v>
      </c>
      <c r="AT50" s="1" t="n"/>
      <c r="BN50" s="1" t="n">
        <v>0.32</v>
      </c>
      <c r="BP50" s="1" t="n">
        <v>0.571</v>
      </c>
      <c r="BR50" s="1" t="n">
        <v>0.47</v>
      </c>
      <c r="BT50" s="1" t="n">
        <v>0.73</v>
      </c>
      <c r="BV50" s="1" t="n">
        <v>0.52</v>
      </c>
      <c r="BX50" s="1" t="n">
        <v>0.39</v>
      </c>
      <c r="BZ50" s="1" t="n">
        <v>0.36</v>
      </c>
      <c r="CB50" s="1" t="n">
        <v>0.42</v>
      </c>
      <c r="CD50" s="1" t="n">
        <v>0.47</v>
      </c>
      <c r="CF50" s="1" t="n">
        <v>0.35</v>
      </c>
      <c r="CH50" s="1" t="n">
        <v>0.31</v>
      </c>
      <c r="CJ50" s="1" t="n">
        <v>0.37</v>
      </c>
      <c r="CL50" s="1" t="n">
        <v>0.37</v>
      </c>
      <c r="CN50" s="1" t="n">
        <v>0.29</v>
      </c>
      <c r="CP50" s="1" t="n">
        <v>0.24</v>
      </c>
      <c r="CT50" s="1" t="n">
        <v>0.21</v>
      </c>
      <c r="CV50" s="1" t="n">
        <v>0.12</v>
      </c>
      <c r="CX50" s="1" t="n">
        <v>0.05</v>
      </c>
      <c r="DB50" s="1" t="n">
        <v>0.002</v>
      </c>
      <c r="DF50" s="1" t="n">
        <v>0.07000000000000001</v>
      </c>
      <c r="DH50" s="1" t="n">
        <v>0.02</v>
      </c>
      <c r="DJ50" s="1" t="n">
        <v>0.09</v>
      </c>
      <c r="DL50" s="1" t="n">
        <v>0.13</v>
      </c>
      <c r="DN50" s="1" t="n">
        <v>0.11</v>
      </c>
      <c r="DP50" s="1" t="n">
        <v>0.1</v>
      </c>
      <c r="DR50" s="1" t="n">
        <v>0.127</v>
      </c>
      <c r="DT50" s="1" t="n">
        <v>0.12</v>
      </c>
      <c r="DV50" s="1" t="n">
        <v>0.203</v>
      </c>
      <c r="DZ50" s="1" t="n">
        <v>0.297</v>
      </c>
      <c r="ED50" s="1" t="n">
        <v>0.327</v>
      </c>
      <c r="EH50" s="1" t="n">
        <v>0.29</v>
      </c>
      <c r="EL50" s="1" t="n">
        <v>0.37</v>
      </c>
    </row>
    <row r="51">
      <c r="A51" s="2" t="inlineStr">
        <is>
          <t xml:space="preserve">    稀释每股收益</t>
        </is>
      </c>
      <c r="B51" s="1" t="n">
        <v>2.53</v>
      </c>
      <c r="C51" s="1" t="n">
        <v>2.44</v>
      </c>
      <c r="D51" s="1" t="n">
        <v>0.21</v>
      </c>
      <c r="E51" s="1" t="n">
        <v>1.76</v>
      </c>
      <c r="F51" s="1" t="n">
        <v>1.29</v>
      </c>
      <c r="G51" s="1" t="n">
        <v>1.53</v>
      </c>
      <c r="H51" s="1" t="n">
        <v>1.09</v>
      </c>
      <c r="I51" s="1" t="n">
        <v>1.17</v>
      </c>
      <c r="J51" s="1" t="n">
        <v>0.59</v>
      </c>
      <c r="K51" s="1" t="n">
        <v>0.19</v>
      </c>
      <c r="L51" s="1" t="n">
        <v>-0.76</v>
      </c>
      <c r="M51" s="1" t="n">
        <v>0.29</v>
      </c>
      <c r="N51" s="1" t="n">
        <v>0.37</v>
      </c>
      <c r="O51" s="1" t="n">
        <v>0.41</v>
      </c>
      <c r="P51" s="1" t="n">
        <v>0.6</v>
      </c>
      <c r="Q51" s="1" t="n">
        <v>0.73</v>
      </c>
      <c r="R51" s="1" t="n">
        <v>0.92</v>
      </c>
      <c r="S51" s="1" t="n">
        <v>1.14</v>
      </c>
      <c r="T51" s="1" t="n">
        <v>0.9399999999999999</v>
      </c>
      <c r="AA51" s="1" t="n">
        <v>0.88</v>
      </c>
      <c r="AB51" s="1" t="n">
        <v>0.97</v>
      </c>
      <c r="AC51" s="1" t="n">
        <v>0.54</v>
      </c>
      <c r="AD51" s="1" t="n">
        <v>0.78</v>
      </c>
      <c r="AE51" s="1" t="n">
        <v>0.5</v>
      </c>
      <c r="AF51" s="1" t="n">
        <v>0.77</v>
      </c>
      <c r="AG51" s="1" t="n">
        <v>0.62</v>
      </c>
      <c r="AH51" s="1" t="n">
        <v>0.59</v>
      </c>
      <c r="AI51" s="1" t="n">
        <v>0.42</v>
      </c>
      <c r="AJ51" s="1" t="n">
        <v>0.08</v>
      </c>
      <c r="AK51" s="1" t="n">
        <v>-0.15</v>
      </c>
      <c r="AL51" s="1" t="n">
        <v>0.16</v>
      </c>
      <c r="AM51" s="1" t="n">
        <v>0.17</v>
      </c>
      <c r="AN51" s="1" t="n">
        <v>0.24</v>
      </c>
      <c r="AO51" s="1" t="n">
        <v>0.31</v>
      </c>
      <c r="AP51" s="1" t="n">
        <v>0.43</v>
      </c>
      <c r="AQ51" s="1" t="n">
        <v>0.57</v>
      </c>
      <c r="AR51" s="1" t="n">
        <v>0.64</v>
      </c>
      <c r="AS51" s="1" t="n">
        <v>0.54</v>
      </c>
      <c r="AT51" s="1" t="n"/>
      <c r="BN51" s="1" t="n">
        <v>0.32</v>
      </c>
      <c r="BR51" s="1" t="n">
        <v>0.47</v>
      </c>
      <c r="BV51" s="1" t="n">
        <v>0.52</v>
      </c>
      <c r="BX51" s="1" t="n">
        <v>0.39</v>
      </c>
      <c r="BZ51" s="1" t="n">
        <v>0.36</v>
      </c>
      <c r="CB51" s="1" t="n">
        <v>0.42</v>
      </c>
      <c r="CD51" s="1" t="n">
        <v>0.47</v>
      </c>
      <c r="CF51" s="1" t="n">
        <v>0.35</v>
      </c>
      <c r="CH51" s="1" t="n">
        <v>0.31</v>
      </c>
      <c r="CJ51" s="1" t="n">
        <v>0.37</v>
      </c>
      <c r="CL51" s="1" t="n">
        <v>0.37</v>
      </c>
      <c r="CN51" s="1" t="n">
        <v>0.29</v>
      </c>
      <c r="CP51" s="1" t="n">
        <v>0.24</v>
      </c>
      <c r="CT51" s="1" t="n">
        <v>0.21</v>
      </c>
      <c r="CV51" s="1" t="n">
        <v>0.12</v>
      </c>
      <c r="CX51" s="1" t="n">
        <v>0.05</v>
      </c>
      <c r="DB51" s="1" t="n">
        <v>0.002</v>
      </c>
      <c r="DF51" s="1" t="n">
        <v>0.07000000000000001</v>
      </c>
      <c r="DH51" s="1" t="n">
        <v>0.02</v>
      </c>
      <c r="DJ51" s="1" t="n">
        <v>0.09</v>
      </c>
      <c r="DL51" s="1" t="n">
        <v>0.13</v>
      </c>
      <c r="DN51" s="1" t="n">
        <v>0.11</v>
      </c>
      <c r="DP51" s="1" t="n">
        <v>0.1</v>
      </c>
      <c r="DR51" s="1" t="n">
        <v>0.127</v>
      </c>
      <c r="DT51" s="1" t="n">
        <v>0.12</v>
      </c>
      <c r="DV51" s="1" t="n">
        <v>0.203</v>
      </c>
      <c r="DZ51" s="1" t="n">
        <v>0.297</v>
      </c>
      <c r="ED51" s="1" t="n">
        <v>0.327</v>
      </c>
      <c r="EH51" s="1" t="n">
        <v>0.29</v>
      </c>
      <c r="EL51" s="1" t="n">
        <v>0.37</v>
      </c>
    </row>
    <row r="53" ht="20.25" customHeight="1">
      <c r="A53" s="4" t="inlineStr">
        <is>
          <t>Balance sheet</t>
        </is>
      </c>
    </row>
    <row r="54">
      <c r="A54" s="3" t="inlineStr">
        <is>
          <t>流动资产：</t>
        </is>
      </c>
    </row>
    <row r="55">
      <c r="A55" s="2" t="inlineStr">
        <is>
          <t xml:space="preserve">    货币资金</t>
        </is>
      </c>
      <c r="B55" s="1" t="n">
        <v>7097.8576</v>
      </c>
      <c r="C55" s="1" t="n">
        <v>5020.2701</v>
      </c>
      <c r="D55" s="1" t="n">
        <v>11449.416</v>
      </c>
      <c r="E55" s="1" t="n">
        <v>14925.1278</v>
      </c>
      <c r="F55" s="1" t="n">
        <v>13754.2953</v>
      </c>
      <c r="G55" s="1" t="n">
        <v>10345.0278</v>
      </c>
      <c r="H55" s="1" t="n">
        <v>8960.708500000001</v>
      </c>
      <c r="I55" s="1" t="n">
        <v>12131.6481</v>
      </c>
      <c r="J55" s="1" t="n">
        <v>17822.8181</v>
      </c>
      <c r="K55" s="1" t="n">
        <v>21087.5391</v>
      </c>
      <c r="L55" s="1" t="n">
        <v>28408.7783</v>
      </c>
      <c r="M55" s="1" t="n">
        <v>27884.0466</v>
      </c>
      <c r="N55" s="1" t="n">
        <v>29346.4484</v>
      </c>
      <c r="O55" s="1" t="n">
        <v>30479.7287</v>
      </c>
      <c r="P55" s="1" t="n">
        <v>26686.2322</v>
      </c>
      <c r="Q55" s="1" t="n">
        <v>18721.8744</v>
      </c>
      <c r="R55" s="1" t="n">
        <v>15038.9544</v>
      </c>
      <c r="S55" s="1" t="n">
        <v>17129.2509</v>
      </c>
      <c r="T55" s="1" t="n">
        <v>26855.9491</v>
      </c>
      <c r="AA55" s="1" t="n">
        <v>3296.97</v>
      </c>
      <c r="AB55" s="1" t="n">
        <v>2493.83</v>
      </c>
      <c r="AC55" s="1" t="n">
        <v>9376.610000000001</v>
      </c>
      <c r="AD55" s="1" t="n">
        <v>12539.26</v>
      </c>
      <c r="AE55" s="1" t="n">
        <v>12876.47</v>
      </c>
      <c r="AF55" s="1" t="n">
        <v>10781.95</v>
      </c>
      <c r="AG55" s="1" t="n">
        <v>8122.67</v>
      </c>
      <c r="AH55" s="1" t="n">
        <v>9958.639999999999</v>
      </c>
      <c r="AI55" s="1" t="n">
        <v>10917.6</v>
      </c>
      <c r="AJ55" s="1" t="n">
        <v>16307.39</v>
      </c>
      <c r="AK55" s="1" t="n">
        <v>23112.81</v>
      </c>
      <c r="AL55" s="1" t="n">
        <v>26749.62</v>
      </c>
      <c r="AM55" s="1" t="n">
        <v>32163.99</v>
      </c>
      <c r="AN55" s="1" t="n">
        <v>24372.32</v>
      </c>
      <c r="AO55" s="1" t="n">
        <v>29572.5</v>
      </c>
      <c r="AP55" s="1" t="n">
        <v>25798.89</v>
      </c>
      <c r="AQ55" s="1" t="n">
        <v>13235.46</v>
      </c>
      <c r="AR55" s="1" t="n">
        <v>18419.34</v>
      </c>
      <c r="AS55" s="1" t="n">
        <v>21704.36</v>
      </c>
      <c r="AT55" s="1" t="n"/>
      <c r="BN55" s="1" t="n">
        <v>3525.4802</v>
      </c>
      <c r="BO55" s="1" t="n">
        <v>3296.9724</v>
      </c>
      <c r="BP55" s="1" t="n">
        <v>2863.601</v>
      </c>
      <c r="BQ55" s="1" t="n">
        <v>7097.8576</v>
      </c>
      <c r="BR55" s="1" t="n">
        <v>2817.4875</v>
      </c>
      <c r="BS55" s="1" t="n">
        <v>2493.8303</v>
      </c>
      <c r="BT55" s="1" t="n">
        <v>2367.3985</v>
      </c>
      <c r="BU55" s="1" t="n">
        <v>5020.2701</v>
      </c>
      <c r="BV55" s="1" t="n">
        <v>5105.2408</v>
      </c>
      <c r="BW55" s="1" t="n">
        <v>9376.609200000001</v>
      </c>
      <c r="BX55" s="1" t="n">
        <v>8415.4967</v>
      </c>
      <c r="BY55" s="1" t="n">
        <v>11449.416</v>
      </c>
      <c r="BZ55" s="1" t="n">
        <v>10268.7934</v>
      </c>
      <c r="CA55" s="1" t="n">
        <v>12539.2599</v>
      </c>
      <c r="CB55" s="1" t="n">
        <v>11065.4855</v>
      </c>
      <c r="CC55" s="1" t="n">
        <v>14925.1278</v>
      </c>
      <c r="CD55" s="1" t="n">
        <v>12273.0209</v>
      </c>
      <c r="CE55" s="1" t="n">
        <v>12876.471</v>
      </c>
      <c r="CF55" s="1" t="n">
        <v>14788.8071</v>
      </c>
      <c r="CG55" s="1" t="n">
        <v>13754.2953</v>
      </c>
      <c r="CH55" s="1" t="n">
        <v>10750.1959</v>
      </c>
      <c r="CI55" s="1" t="n">
        <v>10781.9476</v>
      </c>
      <c r="CJ55" s="1" t="n">
        <v>9506.3393</v>
      </c>
      <c r="CK55" s="1" t="n">
        <v>10345.0278</v>
      </c>
      <c r="CL55" s="1" t="n">
        <v>7721.6373</v>
      </c>
      <c r="CM55" s="1" t="n">
        <v>8122.6693</v>
      </c>
      <c r="CN55" s="1" t="n">
        <v>7534.0741</v>
      </c>
      <c r="CO55" s="1" t="n">
        <v>8960.708500000001</v>
      </c>
      <c r="CP55" s="1" t="n">
        <v>9163.983700000001</v>
      </c>
      <c r="CQ55" s="1" t="n">
        <v>9958.637500000001</v>
      </c>
      <c r="CR55" s="1" t="n">
        <v>9929.6273</v>
      </c>
      <c r="CS55" s="1" t="n">
        <v>12131.6481</v>
      </c>
      <c r="CT55" s="1" t="n">
        <v>10896.5992</v>
      </c>
      <c r="CU55" s="1" t="n">
        <v>10917.6038</v>
      </c>
      <c r="CV55" s="1" t="n">
        <v>15777.8082</v>
      </c>
      <c r="CW55" s="1" t="n">
        <v>17822.8181</v>
      </c>
      <c r="CX55" s="1" t="n">
        <v>15359.7399</v>
      </c>
      <c r="CY55" s="1" t="n">
        <v>16307.3949</v>
      </c>
      <c r="CZ55" s="1" t="n">
        <v>16427.0186</v>
      </c>
      <c r="DA55" s="1" t="n">
        <v>21087.5391</v>
      </c>
      <c r="DB55" s="1" t="n">
        <v>20266.4699</v>
      </c>
      <c r="DC55" s="1" t="n">
        <v>23112.8095</v>
      </c>
      <c r="DD55" s="1" t="n">
        <v>25023.581</v>
      </c>
      <c r="DE55" s="1" t="n">
        <v>28408.7783</v>
      </c>
      <c r="DF55" s="1" t="n">
        <v>27156.9106</v>
      </c>
      <c r="DG55" s="1" t="n">
        <v>26749.6167</v>
      </c>
      <c r="DH55" s="1" t="n">
        <v>25793.0612</v>
      </c>
      <c r="DI55" s="1" t="n">
        <v>27884.0466</v>
      </c>
      <c r="DJ55" s="1" t="n">
        <v>26563.7631</v>
      </c>
      <c r="DK55" s="1" t="n">
        <v>32163.9886</v>
      </c>
      <c r="DL55" s="1" t="n">
        <v>33586.0619</v>
      </c>
      <c r="DM55" s="1" t="n">
        <v>29346.4484</v>
      </c>
      <c r="DN55" s="1" t="n">
        <v>24943.4157</v>
      </c>
      <c r="DO55" s="1" t="n">
        <v>24372.3172</v>
      </c>
      <c r="DP55" s="1" t="n">
        <v>25927.209</v>
      </c>
      <c r="DQ55" s="1" t="n">
        <v>30479.7287</v>
      </c>
      <c r="DR55" s="1" t="n">
        <v>29701.2743</v>
      </c>
      <c r="DS55" s="1" t="n">
        <v>29572.4966</v>
      </c>
      <c r="DT55" s="1" t="n">
        <v>27078.5083</v>
      </c>
      <c r="DU55" s="1" t="n">
        <v>26686.2322</v>
      </c>
      <c r="DV55" s="1" t="n">
        <v>24483.5381</v>
      </c>
      <c r="DW55" s="1" t="n">
        <v>25798.893</v>
      </c>
      <c r="DX55" s="1" t="n">
        <v>18158.6768</v>
      </c>
      <c r="DY55" s="1" t="n">
        <v>18721.8744</v>
      </c>
      <c r="DZ55" s="1" t="n">
        <v>15229.5787</v>
      </c>
      <c r="EA55" s="1" t="n">
        <v>13235.4576</v>
      </c>
      <c r="EB55" s="1" t="n">
        <v>14057.3567</v>
      </c>
      <c r="EC55" s="1" t="n">
        <v>15038.9544</v>
      </c>
      <c r="ED55" s="1" t="n">
        <v>15331.3843</v>
      </c>
      <c r="EE55" s="1" t="n">
        <v>18419.3388</v>
      </c>
      <c r="EF55" s="1" t="n">
        <v>17552.0544</v>
      </c>
      <c r="EG55" s="1" t="n">
        <v>17129.2509</v>
      </c>
      <c r="EH55" s="1" t="n">
        <v>17317.4082</v>
      </c>
      <c r="EI55" s="1" t="n">
        <v>21704.3595</v>
      </c>
      <c r="EJ55" s="1" t="n">
        <v>14997.7236</v>
      </c>
      <c r="EK55" s="1" t="n">
        <v>26855.9491</v>
      </c>
      <c r="EL55" s="1" t="n">
        <v>28508.2044</v>
      </c>
      <c r="EM55" s="1" t="n">
        <v>31258.747</v>
      </c>
    </row>
    <row r="56">
      <c r="A56" s="2" t="inlineStr">
        <is>
          <t xml:space="preserve">    交易性金融资产</t>
        </is>
      </c>
      <c r="B56" s="1" t="n">
        <v>0.0443</v>
      </c>
      <c r="C56" s="1" t="n">
        <v>0.8859</v>
      </c>
      <c r="D56" s="1" t="n">
        <v>0.1738</v>
      </c>
      <c r="E56" s="1" t="n">
        <v>4.7028</v>
      </c>
      <c r="F56" s="1" t="n">
        <v>56.591</v>
      </c>
      <c r="G56" s="1" t="n">
        <v>64.9695</v>
      </c>
      <c r="H56" s="1" t="n">
        <v>30.3113</v>
      </c>
      <c r="I56" s="1" t="n">
        <v>26.6084</v>
      </c>
      <c r="J56" s="1" t="n">
        <v>56.5477</v>
      </c>
      <c r="K56" s="1" t="n">
        <v>36.0791</v>
      </c>
      <c r="L56" s="1" t="n">
        <v>59.6619</v>
      </c>
      <c r="M56" s="1" t="n">
        <v>33.8035</v>
      </c>
      <c r="N56" s="1" t="n">
        <v>3122.8398</v>
      </c>
      <c r="O56" s="1" t="n">
        <v>1606.6642</v>
      </c>
      <c r="P56" s="1" t="n">
        <v>1292.8605</v>
      </c>
      <c r="Q56" s="1" t="n">
        <v>1466.444</v>
      </c>
      <c r="R56" s="1" t="n">
        <v>1031.8159</v>
      </c>
      <c r="S56" s="1" t="n">
        <v>867.1769</v>
      </c>
      <c r="T56" s="1" t="n">
        <v>1697.9712</v>
      </c>
      <c r="AB56" s="1" t="n">
        <v>0.04</v>
      </c>
      <c r="AC56" s="1" t="n">
        <v>0.32</v>
      </c>
      <c r="AD56" s="1" t="n">
        <v>0.32</v>
      </c>
      <c r="AE56" s="1" t="n">
        <v>19.35</v>
      </c>
      <c r="AF56" s="1" t="n">
        <v>88.86</v>
      </c>
      <c r="AG56" s="1" t="n">
        <v>36.19</v>
      </c>
      <c r="AH56" s="1" t="n">
        <v>26.89</v>
      </c>
      <c r="AI56" s="1" t="n">
        <v>26.03</v>
      </c>
      <c r="AJ56" s="1" t="n">
        <v>8.32</v>
      </c>
      <c r="AK56" s="1" t="n">
        <v>53.44</v>
      </c>
      <c r="AL56" s="1" t="n">
        <v>39.5</v>
      </c>
      <c r="AM56" s="1" t="n">
        <v>219.83</v>
      </c>
      <c r="AN56" s="1" t="n">
        <v>2397.73</v>
      </c>
      <c r="AO56" s="1" t="n">
        <v>2379.04</v>
      </c>
      <c r="AP56" s="1" t="n">
        <v>1347.26</v>
      </c>
      <c r="AQ56" s="1" t="n">
        <v>1186.44</v>
      </c>
      <c r="AR56" s="1" t="n">
        <v>694.25</v>
      </c>
      <c r="AS56" s="1" t="n">
        <v>793.52</v>
      </c>
      <c r="AT56" s="1" t="n"/>
      <c r="BQ56" s="1" t="n">
        <v>0.0443</v>
      </c>
      <c r="BR56" s="1" t="n">
        <v>0.0443</v>
      </c>
      <c r="BS56" s="1" t="n">
        <v>0.0443</v>
      </c>
      <c r="BT56" s="1" t="n">
        <v>0.0443</v>
      </c>
      <c r="BU56" s="1" t="n">
        <v>0.8859</v>
      </c>
      <c r="BV56" s="1" t="n">
        <v>0.8859</v>
      </c>
      <c r="BW56" s="1" t="n">
        <v>0.3169</v>
      </c>
      <c r="BX56" s="1" t="n">
        <v>0.2167</v>
      </c>
      <c r="BY56" s="1" t="n">
        <v>0.1738</v>
      </c>
      <c r="BZ56" s="1" t="n">
        <v>0.2736</v>
      </c>
      <c r="CA56" s="1" t="n">
        <v>0.3225</v>
      </c>
      <c r="CB56" s="1" t="n">
        <v>0.343</v>
      </c>
      <c r="CC56" s="1" t="n">
        <v>4.7028</v>
      </c>
      <c r="CD56" s="1" t="n">
        <v>4.6071</v>
      </c>
      <c r="CE56" s="1" t="n">
        <v>19.3456</v>
      </c>
      <c r="CF56" s="1" t="n">
        <v>19.7049</v>
      </c>
      <c r="CG56" s="1" t="n">
        <v>56.591</v>
      </c>
      <c r="CH56" s="1" t="n">
        <v>30.1047</v>
      </c>
      <c r="CI56" s="1" t="n">
        <v>88.86490000000001</v>
      </c>
      <c r="CJ56" s="1" t="n">
        <v>90.8382</v>
      </c>
      <c r="CK56" s="1" t="n">
        <v>64.9695</v>
      </c>
      <c r="CL56" s="1" t="n">
        <v>55.1758</v>
      </c>
      <c r="CM56" s="1" t="n">
        <v>36.1912</v>
      </c>
      <c r="CN56" s="1" t="n">
        <v>26.8956</v>
      </c>
      <c r="CO56" s="1" t="n">
        <v>30.3113</v>
      </c>
      <c r="CP56" s="1" t="n">
        <v>27.1358</v>
      </c>
      <c r="CQ56" s="1" t="n">
        <v>26.8912</v>
      </c>
      <c r="CR56" s="1" t="n">
        <v>30.0591</v>
      </c>
      <c r="CS56" s="1" t="n">
        <v>26.6084</v>
      </c>
      <c r="CT56" s="1" t="n">
        <v>30.0265</v>
      </c>
      <c r="CU56" s="1" t="n">
        <v>26.0267</v>
      </c>
      <c r="CV56" s="1" t="n">
        <v>34.5357</v>
      </c>
      <c r="CW56" s="1" t="n">
        <v>56.5477</v>
      </c>
      <c r="CX56" s="1" t="n">
        <v>0.0391</v>
      </c>
      <c r="CY56" s="1" t="n">
        <v>8.3202</v>
      </c>
      <c r="CZ56" s="1" t="n">
        <v>41.6873</v>
      </c>
      <c r="DA56" s="1" t="n">
        <v>36.0791</v>
      </c>
      <c r="DB56" s="1" t="n">
        <v>57.362</v>
      </c>
      <c r="DC56" s="1" t="n">
        <v>53.4389</v>
      </c>
      <c r="DD56" s="1" t="n">
        <v>55.6942</v>
      </c>
      <c r="DE56" s="1" t="n">
        <v>59.6619</v>
      </c>
      <c r="DF56" s="1" t="n">
        <v>61.9936</v>
      </c>
      <c r="DG56" s="1" t="n">
        <v>39.5022</v>
      </c>
      <c r="DH56" s="1" t="n">
        <v>35.5879</v>
      </c>
      <c r="DI56" s="1" t="n">
        <v>33.8035</v>
      </c>
      <c r="DJ56" s="1" t="n">
        <v>33.4887</v>
      </c>
      <c r="DK56" s="1" t="n">
        <v>219.8284</v>
      </c>
      <c r="DL56" s="1" t="n">
        <v>124.277</v>
      </c>
      <c r="DM56" s="1" t="n">
        <v>3122.8398</v>
      </c>
      <c r="DN56" s="1" t="n">
        <v>2455.1555</v>
      </c>
      <c r="DO56" s="1" t="n">
        <v>2397.7324</v>
      </c>
      <c r="DP56" s="1" t="n">
        <v>1838.4997</v>
      </c>
      <c r="DQ56" s="1" t="n">
        <v>1606.6642</v>
      </c>
      <c r="DR56" s="1" t="n">
        <v>2206.0436</v>
      </c>
      <c r="DS56" s="1" t="n">
        <v>2379.0429</v>
      </c>
      <c r="DT56" s="1" t="n">
        <v>1375.9358</v>
      </c>
      <c r="DU56" s="1" t="n">
        <v>1292.8605</v>
      </c>
      <c r="DV56" s="1" t="n">
        <v>1233.9164</v>
      </c>
      <c r="DW56" s="1" t="n">
        <v>1347.2574</v>
      </c>
      <c r="DX56" s="1" t="n">
        <v>1235.8127</v>
      </c>
      <c r="DY56" s="1" t="n">
        <v>1466.444</v>
      </c>
      <c r="DZ56" s="1" t="n">
        <v>1419.1913</v>
      </c>
      <c r="EA56" s="1" t="n">
        <v>1186.4364</v>
      </c>
      <c r="EB56" s="1" t="n">
        <v>1158.8181</v>
      </c>
      <c r="EC56" s="1" t="n">
        <v>1031.8159</v>
      </c>
      <c r="ED56" s="1" t="n">
        <v>1046.9506</v>
      </c>
      <c r="EE56" s="1" t="n">
        <v>694.2456</v>
      </c>
      <c r="EF56" s="1" t="n">
        <v>827.0403</v>
      </c>
      <c r="EG56" s="1" t="n">
        <v>867.1769</v>
      </c>
      <c r="EH56" s="1" t="n">
        <v>890.3548</v>
      </c>
      <c r="EI56" s="1" t="n">
        <v>793.5223</v>
      </c>
      <c r="EJ56" s="1" t="n">
        <v>790.2448000000001</v>
      </c>
      <c r="EK56" s="1" t="n">
        <v>1697.9712</v>
      </c>
      <c r="EL56" s="1" t="n">
        <v>1692.6647</v>
      </c>
      <c r="EM56" s="1" t="n">
        <v>1572.706</v>
      </c>
    </row>
    <row r="57">
      <c r="A57" s="2" t="inlineStr">
        <is>
          <t xml:space="preserve">    衍生金融资产</t>
        </is>
      </c>
      <c r="AQ57" s="1" t="n">
        <v>0.11</v>
      </c>
      <c r="EA57" s="1" t="n">
        <v>0.1062</v>
      </c>
      <c r="ED57" s="1" t="n">
        <v>0</v>
      </c>
      <c r="EH57" s="1" t="n">
        <v>0</v>
      </c>
      <c r="EM57" s="1" t="inlineStr"/>
    </row>
    <row r="58">
      <c r="A58" s="2" t="inlineStr">
        <is>
          <t xml:space="preserve">        应收票据及应收账款</t>
        </is>
      </c>
      <c r="B58" s="1" t="n">
        <v>5766.4882</v>
      </c>
      <c r="C58" s="1" t="n">
        <v>8531.345499999999</v>
      </c>
      <c r="D58" s="1" t="n">
        <v>9440.615</v>
      </c>
      <c r="E58" s="1" t="n">
        <v>10883.6772</v>
      </c>
      <c r="F58" s="1" t="n">
        <v>13090.8284</v>
      </c>
      <c r="G58" s="1" t="n">
        <v>16480.4315</v>
      </c>
      <c r="H58" s="1" t="n">
        <v>17559.9905</v>
      </c>
      <c r="I58" s="1" t="n">
        <v>19817.3459</v>
      </c>
      <c r="J58" s="1" t="n">
        <v>20325.4601</v>
      </c>
      <c r="K58" s="1" t="n">
        <v>21631.1481</v>
      </c>
      <c r="L58" s="1" t="n">
        <v>20872.2734</v>
      </c>
      <c r="M58" s="1" t="n">
        <v>17930.9674</v>
      </c>
      <c r="N58" s="1" t="n">
        <v>11664.5747</v>
      </c>
      <c r="O58" s="1" t="n">
        <v>7734.0027</v>
      </c>
      <c r="P58" s="1" t="n">
        <v>11307.4753</v>
      </c>
      <c r="Q58" s="1" t="n">
        <v>10981.4149</v>
      </c>
      <c r="R58" s="1" t="n">
        <v>11352.0663</v>
      </c>
      <c r="S58" s="1" t="n">
        <v>11866.7299</v>
      </c>
      <c r="T58" s="1" t="n">
        <v>13769.6674</v>
      </c>
      <c r="AB58" s="1" t="n">
        <v>1418.99</v>
      </c>
      <c r="AC58" s="1" t="n">
        <v>8936.629999999999</v>
      </c>
      <c r="AD58" s="1" t="n">
        <v>10223.1</v>
      </c>
      <c r="AE58" s="1" t="n">
        <v>12797.34</v>
      </c>
      <c r="AF58" s="1" t="n">
        <v>15852.76</v>
      </c>
      <c r="AG58" s="1" t="n">
        <v>17587.06</v>
      </c>
      <c r="AH58" s="1" t="n">
        <v>17743.54</v>
      </c>
      <c r="AI58" s="1" t="n">
        <v>20909.61</v>
      </c>
      <c r="AJ58" s="1" t="n">
        <v>19682.82</v>
      </c>
      <c r="AK58" s="1" t="n">
        <v>21189.41</v>
      </c>
      <c r="AL58" s="1" t="n">
        <v>19162.43</v>
      </c>
      <c r="AM58" s="1" t="n">
        <v>17092.09</v>
      </c>
      <c r="AN58" s="1" t="n">
        <v>9794.48</v>
      </c>
      <c r="AO58" s="1" t="n">
        <v>9721.68</v>
      </c>
      <c r="AP58" s="1" t="n">
        <v>11629.29</v>
      </c>
      <c r="AQ58" s="1" t="n">
        <v>13825.36</v>
      </c>
      <c r="AR58" s="1" t="n">
        <v>14794</v>
      </c>
      <c r="AS58" s="1" t="n">
        <v>13718.28</v>
      </c>
      <c r="AT58" s="1" t="n"/>
      <c r="BQ58" s="1" t="n">
        <v>5766.4882</v>
      </c>
      <c r="BR58" s="1" t="n">
        <v>1271.2064</v>
      </c>
      <c r="BS58" s="1" t="n">
        <v>1418.9926</v>
      </c>
      <c r="BT58" s="1" t="n">
        <v>1783.6732</v>
      </c>
      <c r="BU58" s="1" t="n">
        <v>8531.345499999999</v>
      </c>
      <c r="BV58" s="1" t="n">
        <v>9255.574000000001</v>
      </c>
      <c r="BW58" s="1" t="n">
        <v>8936.6343</v>
      </c>
      <c r="BX58" s="1" t="n">
        <v>9828.5723</v>
      </c>
      <c r="BY58" s="1" t="n">
        <v>9440.615</v>
      </c>
      <c r="BZ58" s="1" t="n">
        <v>9940.190399999999</v>
      </c>
      <c r="CA58" s="1" t="n">
        <v>10223.0966</v>
      </c>
      <c r="CB58" s="1" t="n">
        <v>12142.3943</v>
      </c>
      <c r="CC58" s="1" t="n">
        <v>10883.6772</v>
      </c>
      <c r="CD58" s="1" t="n">
        <v>11125.9625</v>
      </c>
      <c r="CE58" s="1" t="n">
        <v>12797.3379</v>
      </c>
      <c r="CF58" s="1" t="n">
        <v>12255.8161</v>
      </c>
      <c r="CG58" s="1" t="n">
        <v>13090.8284</v>
      </c>
      <c r="CH58" s="1" t="n">
        <v>13996.59</v>
      </c>
      <c r="CI58" s="1" t="n">
        <v>15852.7638</v>
      </c>
      <c r="CJ58" s="1" t="n">
        <v>16440.3309</v>
      </c>
      <c r="CK58" s="1" t="n">
        <v>16480.4315</v>
      </c>
      <c r="CL58" s="1" t="n">
        <v>15646.8512</v>
      </c>
      <c r="CM58" s="1" t="n">
        <v>17587.0598</v>
      </c>
      <c r="CN58" s="1" t="n">
        <v>18081.2563</v>
      </c>
      <c r="CO58" s="1" t="n">
        <v>17559.9905</v>
      </c>
      <c r="CP58" s="1" t="n">
        <v>17483.3621</v>
      </c>
      <c r="CQ58" s="1" t="n">
        <v>17743.5355</v>
      </c>
      <c r="CR58" s="1" t="n">
        <v>18737.7763</v>
      </c>
      <c r="CS58" s="1" t="n">
        <v>19817.3459</v>
      </c>
      <c r="CT58" s="1" t="n">
        <v>20860.5719</v>
      </c>
      <c r="CU58" s="1" t="n">
        <v>20909.6141</v>
      </c>
      <c r="CV58" s="1" t="n">
        <v>20044.9913</v>
      </c>
      <c r="CW58" s="1" t="n">
        <v>20325.4601</v>
      </c>
      <c r="CX58" s="1" t="n">
        <v>19589.5718</v>
      </c>
      <c r="CY58" s="1" t="n">
        <v>19682.817</v>
      </c>
      <c r="CZ58" s="1" t="n">
        <v>19562.9843</v>
      </c>
      <c r="DA58" s="1" t="n">
        <v>21631.1481</v>
      </c>
      <c r="DB58" s="1" t="n">
        <v>22194.8538</v>
      </c>
      <c r="DC58" s="1" t="n">
        <v>21189.4089</v>
      </c>
      <c r="DD58" s="1" t="n">
        <v>20937.2422</v>
      </c>
      <c r="DE58" s="1" t="n">
        <v>20872.2734</v>
      </c>
      <c r="DF58" s="1" t="n">
        <v>19532.9615</v>
      </c>
      <c r="DG58" s="1" t="n">
        <v>19162.4276</v>
      </c>
      <c r="DH58" s="1" t="n">
        <v>18775.086</v>
      </c>
      <c r="DI58" s="1" t="n">
        <v>17930.9674</v>
      </c>
      <c r="DJ58" s="1" t="n">
        <v>18134.0227</v>
      </c>
      <c r="DK58" s="1" t="n">
        <v>17092.0921</v>
      </c>
      <c r="DL58" s="1" t="n">
        <v>16048.7692</v>
      </c>
      <c r="DM58" s="1" t="n">
        <v>11664.5747</v>
      </c>
      <c r="DN58" s="1" t="n">
        <v>11135.8262</v>
      </c>
      <c r="DO58" s="1" t="n">
        <v>9794.4804</v>
      </c>
      <c r="DP58" s="1" t="n">
        <v>10037.8083</v>
      </c>
      <c r="DQ58" s="1" t="n">
        <v>7734.0027</v>
      </c>
      <c r="DR58" s="1" t="n">
        <v>8164.824</v>
      </c>
      <c r="DS58" s="1" t="n">
        <v>9721.6756</v>
      </c>
      <c r="DT58" s="1" t="n">
        <v>9390.750099999999</v>
      </c>
      <c r="DU58" s="1" t="n">
        <v>11307.4753</v>
      </c>
      <c r="DV58" s="1" t="n">
        <v>11756.8823</v>
      </c>
      <c r="DW58" s="1" t="n">
        <v>11629.2867</v>
      </c>
      <c r="DX58" s="1" t="n">
        <v>12272.2343</v>
      </c>
      <c r="DY58" s="1" t="n">
        <v>10981.4149</v>
      </c>
      <c r="DZ58" s="1" t="n">
        <v>13271.5974</v>
      </c>
      <c r="EA58" s="1" t="n">
        <v>13825.3596</v>
      </c>
      <c r="EB58" s="1" t="n">
        <v>13559.3446</v>
      </c>
      <c r="EC58" s="1" t="n">
        <v>11352.0663</v>
      </c>
      <c r="ED58" s="1" t="n">
        <v>13267.6921</v>
      </c>
      <c r="EE58" s="1" t="n">
        <v>14793.9989</v>
      </c>
      <c r="EF58" s="1" t="n">
        <v>14040.7433</v>
      </c>
      <c r="EG58" s="1" t="n">
        <v>11866.7299</v>
      </c>
      <c r="EH58" s="1" t="n">
        <v>14058.1959</v>
      </c>
      <c r="EI58" s="1" t="n">
        <v>13718.2785</v>
      </c>
      <c r="EJ58" s="1" t="n">
        <v>12772.4254</v>
      </c>
      <c r="EK58" s="1" t="n">
        <v>13769.6674</v>
      </c>
      <c r="EL58" s="1" t="n">
        <v>14835.1628</v>
      </c>
      <c r="EM58" s="1" t="n">
        <v>15031.261</v>
      </c>
    </row>
    <row r="59">
      <c r="A59" s="2" t="inlineStr">
        <is>
          <t xml:space="preserve">                    应收票据</t>
        </is>
      </c>
      <c r="B59" s="1" t="n">
        <v>454.7687</v>
      </c>
      <c r="C59" s="1" t="n">
        <v>755.2644</v>
      </c>
      <c r="D59" s="1" t="n">
        <v>143.3503</v>
      </c>
      <c r="E59" s="1" t="n">
        <v>986.9833</v>
      </c>
      <c r="F59" s="1" t="n">
        <v>1381.9398</v>
      </c>
      <c r="G59" s="1" t="n">
        <v>2240.3454</v>
      </c>
      <c r="H59" s="1" t="n">
        <v>2568.7569</v>
      </c>
      <c r="I59" s="1" t="n">
        <v>2784.8616</v>
      </c>
      <c r="J59" s="1" t="n">
        <v>2626.9928</v>
      </c>
      <c r="K59" s="1" t="n">
        <v>4340.9554</v>
      </c>
      <c r="L59" s="1" t="n">
        <v>4917.792</v>
      </c>
      <c r="M59" s="1" t="n">
        <v>4752.1777</v>
      </c>
      <c r="N59" s="1" t="n">
        <v>5109.3577</v>
      </c>
      <c r="O59" s="1" t="n">
        <v>1518.7158</v>
      </c>
      <c r="P59" s="1" t="n">
        <v>3781.2371</v>
      </c>
      <c r="Q59" s="1" t="n">
        <v>2994.6275</v>
      </c>
      <c r="R59" s="1" t="n">
        <v>1259.8291</v>
      </c>
      <c r="S59" s="1" t="n">
        <v>1152.624</v>
      </c>
      <c r="T59" s="1" t="n">
        <v>1224.3531</v>
      </c>
      <c r="AA59" s="1" t="n">
        <v>10.57</v>
      </c>
      <c r="AB59" s="1" t="n">
        <v>28.18</v>
      </c>
      <c r="AC59" s="1" t="n">
        <v>604.74</v>
      </c>
      <c r="AD59" s="1" t="n">
        <v>500.84</v>
      </c>
      <c r="AE59" s="1" t="n">
        <v>1414.66</v>
      </c>
      <c r="AF59" s="1" t="n">
        <v>1784.14</v>
      </c>
      <c r="AG59" s="1" t="n">
        <v>2544.75</v>
      </c>
      <c r="AH59" s="1" t="n">
        <v>2607.16</v>
      </c>
      <c r="AI59" s="1" t="n">
        <v>3141.63</v>
      </c>
      <c r="AJ59" s="1" t="n">
        <v>3414.74</v>
      </c>
      <c r="AK59" s="1" t="n">
        <v>3700.68</v>
      </c>
      <c r="AL59" s="1" t="n">
        <v>4234.11</v>
      </c>
      <c r="AM59" s="1" t="n">
        <v>3820.53</v>
      </c>
      <c r="AN59" s="1" t="n">
        <v>3523.21</v>
      </c>
      <c r="AO59" s="1" t="n">
        <v>2020.52</v>
      </c>
      <c r="AP59" s="1" t="n">
        <v>3532.68</v>
      </c>
      <c r="AQ59" s="1" t="n">
        <v>2424.53</v>
      </c>
      <c r="AR59" s="1" t="n">
        <v>1353.64</v>
      </c>
      <c r="AS59" s="1" t="n">
        <v>939.7</v>
      </c>
      <c r="AT59" s="1" t="n"/>
      <c r="BN59" s="1" t="n">
        <v>14.6808</v>
      </c>
      <c r="BO59" s="1" t="n">
        <v>10.5723</v>
      </c>
      <c r="BP59" s="1" t="n">
        <v>6.3748</v>
      </c>
      <c r="BQ59" s="1" t="n">
        <v>454.7687</v>
      </c>
      <c r="BR59" s="1" t="n">
        <v>15.815</v>
      </c>
      <c r="BS59" s="1" t="n">
        <v>28.1791</v>
      </c>
      <c r="BT59" s="1" t="n">
        <v>29.172</v>
      </c>
      <c r="BU59" s="1" t="n">
        <v>755.2644</v>
      </c>
      <c r="BV59" s="1" t="n">
        <v>595.4851</v>
      </c>
      <c r="BW59" s="1" t="n">
        <v>604.7363</v>
      </c>
      <c r="BX59" s="1" t="n">
        <v>654.5625</v>
      </c>
      <c r="BY59" s="1" t="n">
        <v>143.3503</v>
      </c>
      <c r="BZ59" s="1" t="n">
        <v>502.1848</v>
      </c>
      <c r="CA59" s="1" t="n">
        <v>500.8407</v>
      </c>
      <c r="CB59" s="1" t="n">
        <v>1079.4241</v>
      </c>
      <c r="CC59" s="1" t="n">
        <v>986.9833</v>
      </c>
      <c r="CD59" s="1" t="n">
        <v>1011.0068</v>
      </c>
      <c r="CE59" s="1" t="n">
        <v>1414.661</v>
      </c>
      <c r="CF59" s="1" t="n">
        <v>1103.7421</v>
      </c>
      <c r="CG59" s="1" t="n">
        <v>1381.9398</v>
      </c>
      <c r="CH59" s="1" t="n">
        <v>1299.3305</v>
      </c>
      <c r="CI59" s="1" t="n">
        <v>1784.135</v>
      </c>
      <c r="CJ59" s="1" t="n">
        <v>1629.2146</v>
      </c>
      <c r="CK59" s="1" t="n">
        <v>2240.3454</v>
      </c>
      <c r="CL59" s="1" t="n">
        <v>1914.9938</v>
      </c>
      <c r="CM59" s="1" t="n">
        <v>2544.7538</v>
      </c>
      <c r="CN59" s="1" t="n">
        <v>3076.2692</v>
      </c>
      <c r="CO59" s="1" t="n">
        <v>2568.7569</v>
      </c>
      <c r="CP59" s="1" t="n">
        <v>2567.5797</v>
      </c>
      <c r="CQ59" s="1" t="n">
        <v>2607.1643</v>
      </c>
      <c r="CR59" s="1" t="n">
        <v>2650.0235</v>
      </c>
      <c r="CS59" s="1" t="n">
        <v>2784.8616</v>
      </c>
      <c r="CT59" s="1" t="n">
        <v>3530.1709</v>
      </c>
      <c r="CU59" s="1" t="n">
        <v>3141.6294</v>
      </c>
      <c r="CV59" s="1" t="n">
        <v>2526.2868</v>
      </c>
      <c r="CW59" s="1" t="n">
        <v>2626.9928</v>
      </c>
      <c r="CX59" s="1" t="n">
        <v>3355.4384</v>
      </c>
      <c r="CY59" s="1" t="n">
        <v>3414.7382</v>
      </c>
      <c r="CZ59" s="1" t="n">
        <v>4107.6294</v>
      </c>
      <c r="DA59" s="1" t="n">
        <v>4340.9554</v>
      </c>
      <c r="DB59" s="1" t="n">
        <v>4181.6006</v>
      </c>
      <c r="DC59" s="1" t="n">
        <v>3700.679</v>
      </c>
      <c r="DD59" s="1" t="n">
        <v>4235.9419</v>
      </c>
      <c r="DE59" s="1" t="n">
        <v>4917.792</v>
      </c>
      <c r="DF59" s="1" t="n">
        <v>4359.7618</v>
      </c>
      <c r="DG59" s="1" t="n">
        <v>4234.1106</v>
      </c>
      <c r="DH59" s="1" t="n">
        <v>4346.3226</v>
      </c>
      <c r="DI59" s="1" t="n">
        <v>4752.1777</v>
      </c>
      <c r="DJ59" s="1" t="n">
        <v>4773.0301</v>
      </c>
      <c r="DK59" s="1" t="n">
        <v>3820.5282</v>
      </c>
      <c r="DL59" s="1" t="n">
        <v>3254.676</v>
      </c>
      <c r="DM59" s="1" t="n">
        <v>5109.3577</v>
      </c>
      <c r="DN59" s="1" t="n">
        <v>4694.5241</v>
      </c>
      <c r="DO59" s="1" t="n">
        <v>3523.2098</v>
      </c>
      <c r="DP59" s="1" t="n">
        <v>3414.6012</v>
      </c>
      <c r="DQ59" s="1" t="n">
        <v>1518.7158</v>
      </c>
      <c r="DR59" s="1" t="n">
        <v>1627.7512</v>
      </c>
      <c r="DS59" s="1" t="n">
        <v>2020.5161</v>
      </c>
      <c r="DT59" s="1" t="n">
        <v>2063.0417</v>
      </c>
      <c r="DU59" s="1" t="n">
        <v>3781.2371</v>
      </c>
      <c r="DV59" s="1" t="n">
        <v>3598.5407</v>
      </c>
      <c r="DW59" s="1" t="n">
        <v>3532.6767</v>
      </c>
      <c r="DX59" s="1" t="n">
        <v>3498.572</v>
      </c>
      <c r="DY59" s="1" t="n">
        <v>2994.6275</v>
      </c>
      <c r="DZ59" s="1" t="n">
        <v>2753.1797</v>
      </c>
      <c r="EA59" s="1" t="n">
        <v>2424.5307</v>
      </c>
      <c r="EB59" s="1" t="n">
        <v>2658.9082</v>
      </c>
      <c r="EC59" s="1" t="n">
        <v>1259.8291</v>
      </c>
      <c r="ED59" s="1" t="n">
        <v>1534.17</v>
      </c>
      <c r="EE59" s="1" t="n">
        <v>1353.6371</v>
      </c>
      <c r="EF59" s="1" t="n">
        <v>1185.9051</v>
      </c>
      <c r="EG59" s="1" t="n">
        <v>1152.624</v>
      </c>
      <c r="EH59" s="1" t="n">
        <v>1065.5696</v>
      </c>
      <c r="EI59" s="1" t="n">
        <v>939.7047</v>
      </c>
      <c r="EJ59" s="1" t="n">
        <v>808.545</v>
      </c>
      <c r="EK59" s="1" t="n">
        <v>1224.3531</v>
      </c>
      <c r="EL59" s="1" t="n">
        <v>1218.5662</v>
      </c>
      <c r="EM59" s="1" t="n">
        <v>998.158</v>
      </c>
    </row>
    <row r="60">
      <c r="A60" s="2" t="inlineStr">
        <is>
          <t xml:space="preserve">                    应收账款</t>
        </is>
      </c>
      <c r="B60" s="1" t="n">
        <v>5311.7195</v>
      </c>
      <c r="C60" s="1" t="n">
        <v>7776.0811</v>
      </c>
      <c r="D60" s="1" t="n">
        <v>9297.264800000001</v>
      </c>
      <c r="E60" s="1" t="n">
        <v>9896.6939</v>
      </c>
      <c r="F60" s="1" t="n">
        <v>11708.8886</v>
      </c>
      <c r="G60" s="1" t="n">
        <v>14240.0861</v>
      </c>
      <c r="H60" s="1" t="n">
        <v>14991.2336</v>
      </c>
      <c r="I60" s="1" t="n">
        <v>17032.4843</v>
      </c>
      <c r="J60" s="1" t="n">
        <v>17698.4673</v>
      </c>
      <c r="K60" s="1" t="n">
        <v>17290.1927</v>
      </c>
      <c r="L60" s="1" t="n">
        <v>15954.4814</v>
      </c>
      <c r="M60" s="1" t="n">
        <v>13178.7897</v>
      </c>
      <c r="N60" s="1" t="n">
        <v>6555.217</v>
      </c>
      <c r="O60" s="1" t="n">
        <v>6215.2869</v>
      </c>
      <c r="P60" s="1" t="n">
        <v>7526.2382</v>
      </c>
      <c r="Q60" s="1" t="n">
        <v>7986.7873</v>
      </c>
      <c r="R60" s="1" t="n">
        <v>10092.2372</v>
      </c>
      <c r="S60" s="1" t="n">
        <v>10714.1059</v>
      </c>
      <c r="T60" s="1" t="n">
        <v>12545.3143</v>
      </c>
      <c r="AA60" s="1" t="n">
        <v>1015.13</v>
      </c>
      <c r="AB60" s="1" t="n">
        <v>1390.81</v>
      </c>
      <c r="AC60" s="1" t="n">
        <v>8331.9</v>
      </c>
      <c r="AD60" s="1" t="n">
        <v>9722.26</v>
      </c>
      <c r="AE60" s="1" t="n">
        <v>11382.68</v>
      </c>
      <c r="AF60" s="1" t="n">
        <v>14068.63</v>
      </c>
      <c r="AG60" s="1" t="n">
        <v>15042.31</v>
      </c>
      <c r="AH60" s="1" t="n">
        <v>15136.37</v>
      </c>
      <c r="AI60" s="1" t="n">
        <v>17767.98</v>
      </c>
      <c r="AJ60" s="1" t="n">
        <v>16268.08</v>
      </c>
      <c r="AK60" s="1" t="n">
        <v>17488.73</v>
      </c>
      <c r="AL60" s="1" t="n">
        <v>14928.32</v>
      </c>
      <c r="AM60" s="1" t="n">
        <v>13271.56</v>
      </c>
      <c r="AN60" s="1" t="n">
        <v>6271.27</v>
      </c>
      <c r="AO60" s="1" t="n">
        <v>7701.16</v>
      </c>
      <c r="AP60" s="1" t="n">
        <v>8096.61</v>
      </c>
      <c r="AQ60" s="1" t="n">
        <v>11400.83</v>
      </c>
      <c r="AR60" s="1" t="n">
        <v>13440.36</v>
      </c>
      <c r="AS60" s="1" t="n">
        <v>12778.57</v>
      </c>
      <c r="AT60" s="1" t="n"/>
      <c r="AU60" s="291" t="n"/>
      <c r="AV60" s="291" t="n"/>
      <c r="AW60" s="291" t="n"/>
      <c r="AX60" s="291" t="n"/>
      <c r="AY60" s="291" t="n"/>
      <c r="BN60" s="1" t="n">
        <v>1056.9791</v>
      </c>
      <c r="BO60" s="1" t="n">
        <v>1015.1288</v>
      </c>
      <c r="BP60" s="1" t="n">
        <v>1183.6822</v>
      </c>
      <c r="BQ60" s="1" t="n">
        <v>5311.7195</v>
      </c>
      <c r="BR60" s="1" t="n">
        <v>1255.3914</v>
      </c>
      <c r="BS60" s="1" t="n">
        <v>1390.8135</v>
      </c>
      <c r="BT60" s="1" t="n">
        <v>1754.5012</v>
      </c>
      <c r="BU60" s="1" t="n">
        <v>7776.0811</v>
      </c>
      <c r="BV60" s="1" t="n">
        <v>8660.088900000001</v>
      </c>
      <c r="BW60" s="1" t="n">
        <v>8331.8979</v>
      </c>
      <c r="BX60" s="1" t="n">
        <v>9174.009899999999</v>
      </c>
      <c r="BY60" s="1" t="n">
        <v>9297.264800000001</v>
      </c>
      <c r="BZ60" s="1" t="n">
        <v>9438.0056</v>
      </c>
      <c r="CA60" s="1" t="n">
        <v>9722.2559</v>
      </c>
      <c r="CB60" s="1" t="n">
        <v>11062.9702</v>
      </c>
      <c r="CC60" s="1" t="n">
        <v>9896.6939</v>
      </c>
      <c r="CD60" s="1" t="n">
        <v>10114.9557</v>
      </c>
      <c r="CE60" s="1" t="n">
        <v>11382.6769</v>
      </c>
      <c r="CF60" s="1" t="n">
        <v>11152.074</v>
      </c>
      <c r="CG60" s="1" t="n">
        <v>11708.8886</v>
      </c>
      <c r="CH60" s="1" t="n">
        <v>12697.2595</v>
      </c>
      <c r="CI60" s="1" t="n">
        <v>14068.6288</v>
      </c>
      <c r="CJ60" s="1" t="n">
        <v>14811.1163</v>
      </c>
      <c r="CK60" s="1" t="n">
        <v>14240.0861</v>
      </c>
      <c r="CL60" s="1" t="n">
        <v>13731.8574</v>
      </c>
      <c r="CM60" s="1" t="n">
        <v>15042.3061</v>
      </c>
      <c r="CN60" s="1" t="n">
        <v>15004.9872</v>
      </c>
      <c r="CO60" s="1" t="n">
        <v>14991.2336</v>
      </c>
      <c r="CP60" s="1" t="n">
        <v>14915.7824</v>
      </c>
      <c r="CQ60" s="1" t="n">
        <v>15136.3712</v>
      </c>
      <c r="CR60" s="1" t="n">
        <v>16087.7528</v>
      </c>
      <c r="CS60" s="1" t="n">
        <v>17032.4843</v>
      </c>
      <c r="CT60" s="1" t="n">
        <v>17330.401</v>
      </c>
      <c r="CU60" s="1" t="n">
        <v>17767.9848</v>
      </c>
      <c r="CV60" s="1" t="n">
        <v>17518.7045</v>
      </c>
      <c r="CW60" s="1" t="n">
        <v>17698.4673</v>
      </c>
      <c r="CX60" s="1" t="n">
        <v>16234.1334</v>
      </c>
      <c r="CY60" s="1" t="n">
        <v>16268.0787</v>
      </c>
      <c r="CZ60" s="1" t="n">
        <v>15455.3549</v>
      </c>
      <c r="DA60" s="1" t="n">
        <v>17290.1927</v>
      </c>
      <c r="DB60" s="1" t="n">
        <v>18013.2532</v>
      </c>
      <c r="DC60" s="1" t="n">
        <v>17488.7299</v>
      </c>
      <c r="DD60" s="1" t="n">
        <v>16701.3004</v>
      </c>
      <c r="DE60" s="1" t="n">
        <v>15954.4814</v>
      </c>
      <c r="DF60" s="1" t="n">
        <v>15173.1997</v>
      </c>
      <c r="DG60" s="1" t="n">
        <v>14928.317</v>
      </c>
      <c r="DH60" s="1" t="n">
        <v>14428.7633</v>
      </c>
      <c r="DI60" s="1" t="n">
        <v>13178.7897</v>
      </c>
      <c r="DJ60" s="1" t="n">
        <v>13360.9926</v>
      </c>
      <c r="DK60" s="1" t="n">
        <v>13271.5639</v>
      </c>
      <c r="DL60" s="1" t="n">
        <v>12794.0932</v>
      </c>
      <c r="DM60" s="1" t="n">
        <v>6555.217</v>
      </c>
      <c r="DN60" s="1" t="n">
        <v>6441.3021</v>
      </c>
      <c r="DO60" s="1" t="n">
        <v>6271.2706</v>
      </c>
      <c r="DP60" s="1" t="n">
        <v>6623.2071</v>
      </c>
      <c r="DQ60" s="1" t="n">
        <v>6215.2869</v>
      </c>
      <c r="DR60" s="1" t="n">
        <v>6537.0728</v>
      </c>
      <c r="DS60" s="1" t="n">
        <v>7701.1595</v>
      </c>
      <c r="DT60" s="1" t="n">
        <v>7327.7084</v>
      </c>
      <c r="DU60" s="1" t="n">
        <v>7526.2382</v>
      </c>
      <c r="DV60" s="1" t="n">
        <v>8158.3416</v>
      </c>
      <c r="DW60" s="1" t="n">
        <v>8096.61</v>
      </c>
      <c r="DX60" s="1" t="n">
        <v>8773.662399999999</v>
      </c>
      <c r="DY60" s="1" t="n">
        <v>7986.7873</v>
      </c>
      <c r="DZ60" s="1" t="n">
        <v>10518.4177</v>
      </c>
      <c r="EA60" s="1" t="n">
        <v>11400.8289</v>
      </c>
      <c r="EB60" s="1" t="n">
        <v>10900.4365</v>
      </c>
      <c r="EC60" s="1" t="n">
        <v>10092.2372</v>
      </c>
      <c r="ED60" s="1" t="n">
        <v>11733.5221</v>
      </c>
      <c r="EE60" s="1" t="n">
        <v>13440.3618</v>
      </c>
      <c r="EF60" s="1" t="n">
        <v>12854.8382</v>
      </c>
      <c r="EG60" s="1" t="n">
        <v>10714.1059</v>
      </c>
      <c r="EH60" s="1" t="n">
        <v>12992.6263</v>
      </c>
      <c r="EI60" s="1" t="n">
        <v>12778.5738</v>
      </c>
      <c r="EJ60" s="1" t="n">
        <v>11963.8804</v>
      </c>
      <c r="EK60" s="1" t="n">
        <v>12545.3143</v>
      </c>
      <c r="EL60" s="1" t="n">
        <v>13616.5966</v>
      </c>
      <c r="EM60" s="1" t="n">
        <v>14033.103</v>
      </c>
    </row>
    <row r="61">
      <c r="A61" s="2" t="inlineStr">
        <is>
          <t xml:space="preserve">    应收款项融资</t>
        </is>
      </c>
      <c r="O61" s="1" t="n">
        <v>1816.4088</v>
      </c>
      <c r="P61" s="1" t="n">
        <v>1946.0348</v>
      </c>
      <c r="Q61" s="1" t="n">
        <v>1342.379</v>
      </c>
      <c r="R61" s="1" t="n">
        <v>1553.5573</v>
      </c>
      <c r="S61" s="1" t="n">
        <v>1997.6295</v>
      </c>
      <c r="T61" s="1" t="n">
        <v>1927.5671</v>
      </c>
      <c r="AO61" s="1" t="n">
        <v>1005.2</v>
      </c>
      <c r="AP61" s="1" t="n">
        <v>1712.63</v>
      </c>
      <c r="AQ61" s="1" t="n">
        <v>881.51</v>
      </c>
      <c r="AR61" s="1" t="n">
        <v>1795.89</v>
      </c>
      <c r="AS61" s="1" t="n">
        <v>1758.35</v>
      </c>
      <c r="AT61" s="1" t="n"/>
      <c r="DQ61" s="1" t="n">
        <v>1816.4088</v>
      </c>
      <c r="DR61" s="1" t="n">
        <v>1341.4987</v>
      </c>
      <c r="DS61" s="1" t="n">
        <v>1005.2023</v>
      </c>
      <c r="DT61" s="1" t="n">
        <v>1218.2601</v>
      </c>
      <c r="DU61" s="1" t="n">
        <v>1946.0348</v>
      </c>
      <c r="DV61" s="1" t="n">
        <v>1798.5499</v>
      </c>
      <c r="DW61" s="1" t="n">
        <v>1712.6254</v>
      </c>
      <c r="DX61" s="1" t="n">
        <v>1579.9951</v>
      </c>
      <c r="DY61" s="1" t="n">
        <v>1342.379</v>
      </c>
      <c r="DZ61" s="1" t="n">
        <v>870.7318</v>
      </c>
      <c r="EA61" s="1" t="n">
        <v>881.5081</v>
      </c>
      <c r="EB61" s="1" t="n">
        <v>1134.7208</v>
      </c>
      <c r="EC61" s="1" t="n">
        <v>1553.5573</v>
      </c>
      <c r="ED61" s="1" t="n">
        <v>1317.8998</v>
      </c>
      <c r="EE61" s="1" t="n">
        <v>1795.8942</v>
      </c>
      <c r="EF61" s="1" t="n">
        <v>1608.5675</v>
      </c>
      <c r="EG61" s="1" t="n">
        <v>1997.6295</v>
      </c>
      <c r="EH61" s="1" t="n">
        <v>1721.3278</v>
      </c>
      <c r="EI61" s="1" t="n">
        <v>1758.3526</v>
      </c>
      <c r="EJ61" s="1" t="n">
        <v>1764.8804</v>
      </c>
      <c r="EK61" s="1" t="n">
        <v>1927.5671</v>
      </c>
      <c r="EL61" s="1" t="n">
        <v>3053.9361</v>
      </c>
      <c r="EM61" s="1" t="n">
        <v>2426.759</v>
      </c>
    </row>
    <row r="62">
      <c r="A62" s="2" t="inlineStr">
        <is>
          <t xml:space="preserve">    预付款项</t>
        </is>
      </c>
      <c r="B62" s="1" t="n">
        <v>4969.3638</v>
      </c>
      <c r="C62" s="1" t="n">
        <v>5285.588</v>
      </c>
      <c r="D62" s="1" t="n">
        <v>8615.693799999999</v>
      </c>
      <c r="E62" s="1" t="n">
        <v>7900.6324</v>
      </c>
      <c r="F62" s="1" t="n">
        <v>7515.8778</v>
      </c>
      <c r="G62" s="1" t="n">
        <v>5728.3122</v>
      </c>
      <c r="H62" s="1" t="n">
        <v>5784.631</v>
      </c>
      <c r="I62" s="1" t="n">
        <v>4716.5188</v>
      </c>
      <c r="J62" s="1" t="n">
        <v>4210.5294</v>
      </c>
      <c r="K62" s="1" t="n">
        <v>3299.9615</v>
      </c>
      <c r="L62" s="1" t="n">
        <v>2513.9376</v>
      </c>
      <c r="M62" s="1" t="n">
        <v>2299.9938</v>
      </c>
      <c r="N62" s="1" t="n">
        <v>1913.3427</v>
      </c>
      <c r="O62" s="1" t="n">
        <v>2467.3337</v>
      </c>
      <c r="P62" s="1" t="n">
        <v>2973.1226</v>
      </c>
      <c r="Q62" s="1" t="n">
        <v>3636.0052</v>
      </c>
      <c r="R62" s="1" t="n">
        <v>5485.3121</v>
      </c>
      <c r="S62" s="1" t="n">
        <v>7919.0375</v>
      </c>
      <c r="T62" s="1" t="n">
        <v>5876.898</v>
      </c>
      <c r="AA62" s="1" t="n">
        <v>817.1900000000001</v>
      </c>
      <c r="AB62" s="1" t="n">
        <v>1415.66</v>
      </c>
      <c r="AC62" s="1" t="n">
        <v>8323.35</v>
      </c>
      <c r="AD62" s="1" t="n">
        <v>10110.29</v>
      </c>
      <c r="AE62" s="1" t="n">
        <v>8797.879999999999</v>
      </c>
      <c r="AF62" s="1" t="n">
        <v>7658.57</v>
      </c>
      <c r="AG62" s="1" t="n">
        <v>5941.63</v>
      </c>
      <c r="AH62" s="1" t="n">
        <v>5372.62</v>
      </c>
      <c r="AI62" s="1" t="n">
        <v>4318.21</v>
      </c>
      <c r="AJ62" s="1" t="n">
        <v>4009.45</v>
      </c>
      <c r="AK62" s="1" t="n">
        <v>2666.33</v>
      </c>
      <c r="AL62" s="1" t="n">
        <v>1882.45</v>
      </c>
      <c r="AM62" s="1" t="n">
        <v>1466.51</v>
      </c>
      <c r="AN62" s="1" t="n">
        <v>2140.08</v>
      </c>
      <c r="AO62" s="1" t="n">
        <v>2725.96</v>
      </c>
      <c r="AP62" s="1" t="n">
        <v>3443.58</v>
      </c>
      <c r="AQ62" s="1" t="n">
        <v>3642.09</v>
      </c>
      <c r="AR62" s="1" t="n">
        <v>6931.43</v>
      </c>
      <c r="AS62" s="1" t="n">
        <v>7656.99</v>
      </c>
      <c r="AT62" s="1" t="n"/>
      <c r="BN62" s="1" t="n">
        <v>953.7597</v>
      </c>
      <c r="BO62" s="1" t="n">
        <v>817.192</v>
      </c>
      <c r="BP62" s="1" t="n">
        <v>1014.5545</v>
      </c>
      <c r="BQ62" s="1" t="n">
        <v>4969.3638</v>
      </c>
      <c r="BR62" s="1" t="n">
        <v>1272.9056</v>
      </c>
      <c r="BS62" s="1" t="n">
        <v>1415.6632</v>
      </c>
      <c r="BT62" s="1" t="n">
        <v>1349.2744</v>
      </c>
      <c r="BU62" s="1" t="n">
        <v>5285.588</v>
      </c>
      <c r="BV62" s="1" t="n">
        <v>7534.8703</v>
      </c>
      <c r="BW62" s="1" t="n">
        <v>8323.3485</v>
      </c>
      <c r="BX62" s="1" t="n">
        <v>9640.730299999999</v>
      </c>
      <c r="BY62" s="1" t="n">
        <v>8615.693799999999</v>
      </c>
      <c r="BZ62" s="1" t="n">
        <v>9711.3246</v>
      </c>
      <c r="CA62" s="1" t="n">
        <v>10110.294</v>
      </c>
      <c r="CB62" s="1" t="n">
        <v>10884.0732</v>
      </c>
      <c r="CC62" s="1" t="n">
        <v>7900.6324</v>
      </c>
      <c r="CD62" s="1" t="n">
        <v>8795.491599999999</v>
      </c>
      <c r="CE62" s="1" t="n">
        <v>8797.8801</v>
      </c>
      <c r="CF62" s="1" t="n">
        <v>8544.7461</v>
      </c>
      <c r="CG62" s="1" t="n">
        <v>7515.8778</v>
      </c>
      <c r="CH62" s="1" t="n">
        <v>7740.3868</v>
      </c>
      <c r="CI62" s="1" t="n">
        <v>7658.5691</v>
      </c>
      <c r="CJ62" s="1" t="n">
        <v>8255.2016</v>
      </c>
      <c r="CK62" s="1" t="n">
        <v>5728.3122</v>
      </c>
      <c r="CL62" s="1" t="n">
        <v>6157.5252</v>
      </c>
      <c r="CM62" s="1" t="n">
        <v>5941.6313</v>
      </c>
      <c r="CN62" s="1" t="n">
        <v>6298.2382</v>
      </c>
      <c r="CO62" s="1" t="n">
        <v>5784.631</v>
      </c>
      <c r="CP62" s="1" t="n">
        <v>5623.1112</v>
      </c>
      <c r="CQ62" s="1" t="n">
        <v>5372.6176</v>
      </c>
      <c r="CR62" s="1" t="n">
        <v>5548.3758</v>
      </c>
      <c r="CS62" s="1" t="n">
        <v>4716.5188</v>
      </c>
      <c r="CT62" s="1" t="n">
        <v>4731.3271</v>
      </c>
      <c r="CU62" s="1" t="n">
        <v>4318.2146</v>
      </c>
      <c r="CV62" s="1" t="n">
        <v>4816.9157</v>
      </c>
      <c r="CW62" s="1" t="n">
        <v>4210.5294</v>
      </c>
      <c r="CX62" s="1" t="n">
        <v>3889.8217</v>
      </c>
      <c r="CY62" s="1" t="n">
        <v>4009.4464</v>
      </c>
      <c r="CZ62" s="1" t="n">
        <v>3363.7645</v>
      </c>
      <c r="DA62" s="1" t="n">
        <v>3299.9615</v>
      </c>
      <c r="DB62" s="1" t="n">
        <v>3034.6714</v>
      </c>
      <c r="DC62" s="1" t="n">
        <v>2666.3333</v>
      </c>
      <c r="DD62" s="1" t="n">
        <v>2517.5822</v>
      </c>
      <c r="DE62" s="1" t="n">
        <v>2513.9376</v>
      </c>
      <c r="DF62" s="1" t="n">
        <v>2073.1497</v>
      </c>
      <c r="DG62" s="1" t="n">
        <v>1882.4479</v>
      </c>
      <c r="DH62" s="1" t="n">
        <v>1995.2758</v>
      </c>
      <c r="DI62" s="1" t="n">
        <v>2299.9938</v>
      </c>
      <c r="DJ62" s="1" t="n">
        <v>1968.3142</v>
      </c>
      <c r="DK62" s="1" t="n">
        <v>1466.5057</v>
      </c>
      <c r="DL62" s="1" t="n">
        <v>2334.2682</v>
      </c>
      <c r="DM62" s="1" t="n">
        <v>1913.3427</v>
      </c>
      <c r="DN62" s="1" t="n">
        <v>1707.7179</v>
      </c>
      <c r="DO62" s="1" t="n">
        <v>2140.0793</v>
      </c>
      <c r="DP62" s="1" t="n">
        <v>2629.1634</v>
      </c>
      <c r="DQ62" s="1" t="n">
        <v>2467.3337</v>
      </c>
      <c r="DR62" s="1" t="n">
        <v>2515.3376</v>
      </c>
      <c r="DS62" s="1" t="n">
        <v>2725.9624</v>
      </c>
      <c r="DT62" s="1" t="n">
        <v>3227.5536</v>
      </c>
      <c r="DU62" s="1" t="n">
        <v>2973.1226</v>
      </c>
      <c r="DV62" s="1" t="n">
        <v>2711.1319</v>
      </c>
      <c r="DW62" s="1" t="n">
        <v>3443.5803</v>
      </c>
      <c r="DX62" s="1" t="n">
        <v>3554.0576</v>
      </c>
      <c r="DY62" s="1" t="n">
        <v>3636.0052</v>
      </c>
      <c r="DZ62" s="1" t="n">
        <v>3584.4012</v>
      </c>
      <c r="EA62" s="1" t="n">
        <v>3642.0878</v>
      </c>
      <c r="EB62" s="1" t="n">
        <v>4474.7272</v>
      </c>
      <c r="EC62" s="1" t="n">
        <v>5485.3121</v>
      </c>
      <c r="ED62" s="1" t="n">
        <v>5813.6255</v>
      </c>
      <c r="EE62" s="1" t="n">
        <v>6931.4266</v>
      </c>
      <c r="EF62" s="1" t="n">
        <v>7373.6199</v>
      </c>
      <c r="EG62" s="1" t="n">
        <v>7919.0375</v>
      </c>
      <c r="EH62" s="1" t="n">
        <v>8477.2716</v>
      </c>
      <c r="EI62" s="1" t="n">
        <v>7656.9884</v>
      </c>
      <c r="EJ62" s="1" t="n">
        <v>7223.8696</v>
      </c>
      <c r="EK62" s="1" t="n">
        <v>5876.898</v>
      </c>
      <c r="EL62" s="1" t="n">
        <v>7962.8348</v>
      </c>
      <c r="EM62" s="1" t="n">
        <v>6664.491</v>
      </c>
    </row>
    <row r="63">
      <c r="A63" s="2" t="inlineStr">
        <is>
          <t xml:space="preserve">        其他应收款(合计)</t>
        </is>
      </c>
      <c r="B63" s="1" t="n">
        <v>211.0569</v>
      </c>
      <c r="C63" s="1" t="n">
        <v>175.8381</v>
      </c>
      <c r="D63" s="1" t="n">
        <v>160.52</v>
      </c>
      <c r="E63" s="1" t="n">
        <v>451.1141</v>
      </c>
      <c r="F63" s="1" t="n">
        <v>461.0587</v>
      </c>
      <c r="G63" s="1" t="n">
        <v>385.6426</v>
      </c>
      <c r="H63" s="1" t="n">
        <v>387.571</v>
      </c>
      <c r="I63" s="1" t="n">
        <v>454.6193</v>
      </c>
      <c r="J63" s="1" t="n">
        <v>436.3789</v>
      </c>
      <c r="K63" s="1" t="n">
        <v>663.5032</v>
      </c>
      <c r="L63" s="1" t="n">
        <v>618.2999</v>
      </c>
      <c r="M63" s="1" t="n">
        <v>664.6292999999999</v>
      </c>
      <c r="N63" s="1" t="n">
        <v>535.4652</v>
      </c>
      <c r="O63" s="1" t="n">
        <v>989.0339</v>
      </c>
      <c r="P63" s="1" t="n">
        <v>633.4161</v>
      </c>
      <c r="Q63" s="1" t="n">
        <v>607.4405</v>
      </c>
      <c r="R63" s="1" t="n">
        <v>508.3677</v>
      </c>
      <c r="S63" s="1" t="n">
        <v>412.067</v>
      </c>
      <c r="T63" s="1" t="n">
        <v>546.2798</v>
      </c>
      <c r="AB63" s="1" t="n">
        <v>85.23999999999999</v>
      </c>
      <c r="AC63" s="1" t="n">
        <v>186.53</v>
      </c>
      <c r="AD63" s="1" t="n">
        <v>364.14</v>
      </c>
      <c r="AE63" s="1" t="n">
        <v>545.3099999999999</v>
      </c>
      <c r="AF63" s="1" t="n">
        <v>444.84</v>
      </c>
      <c r="AG63" s="1" t="n">
        <v>339.5</v>
      </c>
      <c r="AH63" s="1" t="n">
        <v>515.54</v>
      </c>
      <c r="AI63" s="1" t="n">
        <v>506.01</v>
      </c>
      <c r="AJ63" s="1" t="n">
        <v>584.92</v>
      </c>
      <c r="AK63" s="1" t="n">
        <v>644.6</v>
      </c>
      <c r="AL63" s="1" t="n">
        <v>757.16</v>
      </c>
      <c r="AM63" s="1" t="n">
        <v>547.95</v>
      </c>
      <c r="AN63" s="1" t="n">
        <v>765.03</v>
      </c>
      <c r="AO63" s="1" t="n">
        <v>752.75</v>
      </c>
      <c r="AP63" s="1" t="n">
        <v>904.03</v>
      </c>
      <c r="AQ63" s="1" t="n">
        <v>596.45</v>
      </c>
      <c r="AR63" s="1" t="n">
        <v>607.01</v>
      </c>
      <c r="AS63" s="1" t="n">
        <v>487.84</v>
      </c>
      <c r="AT63" s="1" t="n"/>
      <c r="BQ63" s="1" t="n">
        <v>211.0569</v>
      </c>
      <c r="BR63" s="1" t="n">
        <v>91.0132</v>
      </c>
      <c r="BS63" s="1" t="n">
        <v>85.241</v>
      </c>
      <c r="BT63" s="1" t="n">
        <v>75.00790000000001</v>
      </c>
      <c r="BU63" s="1" t="n">
        <v>175.8381</v>
      </c>
      <c r="BV63" s="1" t="n">
        <v>247.6258</v>
      </c>
      <c r="BW63" s="1" t="n">
        <v>186.5263</v>
      </c>
      <c r="BX63" s="1" t="n">
        <v>294.797</v>
      </c>
      <c r="BY63" s="1" t="n">
        <v>160.52</v>
      </c>
      <c r="BZ63" s="1" t="n">
        <v>242.5562</v>
      </c>
      <c r="CA63" s="1" t="n">
        <v>364.1419</v>
      </c>
      <c r="CB63" s="1" t="n">
        <v>581.9606</v>
      </c>
      <c r="CC63" s="1" t="n">
        <v>451.1141</v>
      </c>
      <c r="CD63" s="1" t="n">
        <v>488.1193</v>
      </c>
      <c r="CE63" s="1" t="n">
        <v>545.3139</v>
      </c>
      <c r="CF63" s="1" t="n">
        <v>458.2904</v>
      </c>
      <c r="CG63" s="1" t="n">
        <v>461.0587</v>
      </c>
      <c r="CH63" s="1" t="n">
        <v>520.7442</v>
      </c>
      <c r="CI63" s="1" t="n">
        <v>444.845</v>
      </c>
      <c r="CJ63" s="1" t="n">
        <v>530.8855</v>
      </c>
      <c r="CK63" s="1" t="n">
        <v>385.6426</v>
      </c>
      <c r="CL63" s="1" t="n">
        <v>400.0225</v>
      </c>
      <c r="CM63" s="1" t="n">
        <v>339.4979</v>
      </c>
      <c r="CN63" s="1" t="n">
        <v>410.4246</v>
      </c>
      <c r="CO63" s="1" t="n">
        <v>387.571</v>
      </c>
      <c r="CP63" s="1" t="n">
        <v>437.5688</v>
      </c>
      <c r="CQ63" s="1" t="n">
        <v>515.5415</v>
      </c>
      <c r="CR63" s="1" t="n">
        <v>479.1302</v>
      </c>
      <c r="CS63" s="1" t="n">
        <v>454.6193</v>
      </c>
      <c r="CT63" s="1" t="n">
        <v>406.6769</v>
      </c>
      <c r="CU63" s="1" t="n">
        <v>506.0149</v>
      </c>
      <c r="CV63" s="1" t="n">
        <v>483.9301</v>
      </c>
      <c r="CW63" s="1" t="n">
        <v>436.3789</v>
      </c>
      <c r="CX63" s="1" t="n">
        <v>449.1072</v>
      </c>
      <c r="CY63" s="1" t="n">
        <v>584.9164</v>
      </c>
      <c r="CZ63" s="1" t="n">
        <v>627.5382</v>
      </c>
      <c r="DA63" s="1" t="n">
        <v>663.5032</v>
      </c>
      <c r="DB63" s="1" t="n">
        <v>441.9719</v>
      </c>
      <c r="DC63" s="1" t="n">
        <v>644.596</v>
      </c>
      <c r="DD63" s="1" t="n">
        <v>605.0703999999999</v>
      </c>
      <c r="DE63" s="1" t="n">
        <v>618.2999</v>
      </c>
      <c r="DF63" s="1" t="n">
        <v>613.3866</v>
      </c>
      <c r="DG63" s="1" t="n">
        <v>757.1587</v>
      </c>
      <c r="DH63" s="1" t="n">
        <v>688.4269</v>
      </c>
      <c r="DI63" s="1" t="n">
        <v>664.6292999999999</v>
      </c>
      <c r="DJ63" s="1" t="n">
        <v>641.3211</v>
      </c>
      <c r="DK63" s="1" t="n">
        <v>547.9492</v>
      </c>
      <c r="DL63" s="1" t="n">
        <v>485.0373</v>
      </c>
      <c r="DM63" s="1" t="n">
        <v>535.4652</v>
      </c>
      <c r="DN63" s="1" t="n">
        <v>659.3603000000001</v>
      </c>
      <c r="DO63" s="1" t="n">
        <v>765.0314</v>
      </c>
      <c r="DP63" s="1" t="n">
        <v>823.1984</v>
      </c>
      <c r="DQ63" s="1" t="n">
        <v>989.0339</v>
      </c>
      <c r="DR63" s="1" t="n">
        <v>987.1867</v>
      </c>
      <c r="DS63" s="1" t="n">
        <v>752.7506</v>
      </c>
      <c r="DT63" s="1" t="n">
        <v>734.9549</v>
      </c>
      <c r="DU63" s="1" t="n">
        <v>633.4161</v>
      </c>
      <c r="DV63" s="1" t="n">
        <v>613.2714999999999</v>
      </c>
      <c r="DW63" s="1" t="n">
        <v>904.0335</v>
      </c>
      <c r="DX63" s="1" t="n">
        <v>756.6703</v>
      </c>
      <c r="DY63" s="1" t="n">
        <v>607.4405</v>
      </c>
      <c r="DZ63" s="1" t="n">
        <v>608.6505</v>
      </c>
      <c r="EA63" s="1" t="n">
        <v>596.4486000000001</v>
      </c>
      <c r="EB63" s="1" t="n">
        <v>611.5706</v>
      </c>
      <c r="EC63" s="1" t="n">
        <v>508.3677</v>
      </c>
      <c r="ED63" s="1" t="n">
        <v>660.3276</v>
      </c>
      <c r="EE63" s="1" t="n">
        <v>607.009</v>
      </c>
      <c r="EF63" s="1" t="n">
        <v>706.9605</v>
      </c>
      <c r="EG63" s="1" t="n">
        <v>412.067</v>
      </c>
      <c r="EH63" s="1" t="n">
        <v>482.4341</v>
      </c>
      <c r="EI63" s="1" t="n">
        <v>487.8388</v>
      </c>
      <c r="EJ63" s="1" t="n">
        <v>552.0973</v>
      </c>
      <c r="EK63" s="1" t="n">
        <v>546.2798</v>
      </c>
      <c r="EL63" s="1" t="n">
        <v>527.7291</v>
      </c>
      <c r="EM63" s="1" t="n">
        <v>544.958</v>
      </c>
    </row>
    <row r="64">
      <c r="A64" s="2" t="inlineStr">
        <is>
          <t xml:space="preserve">                    应收股利</t>
        </is>
      </c>
      <c r="H64" s="1" t="n">
        <v>0.1366</v>
      </c>
      <c r="I64" s="1" t="n">
        <v>0.0391</v>
      </c>
      <c r="M64" s="1" t="n">
        <v>37.3266</v>
      </c>
      <c r="N64" s="1" t="n">
        <v>6.597</v>
      </c>
      <c r="O64" s="1" t="n">
        <v>37.0028</v>
      </c>
      <c r="P64" s="1" t="n">
        <v>54.4871</v>
      </c>
      <c r="Q64" s="1" t="n">
        <v>29.5224</v>
      </c>
      <c r="R64" s="1" t="n">
        <v>24.4826</v>
      </c>
      <c r="S64" s="1" t="n">
        <v>19.354</v>
      </c>
      <c r="T64" s="1" t="n">
        <v>23.2971</v>
      </c>
      <c r="AE64" s="1" t="n">
        <v>7.25</v>
      </c>
      <c r="AG64" s="1" t="n">
        <v>6.47</v>
      </c>
      <c r="AH64" s="1" t="n">
        <v>0.14</v>
      </c>
      <c r="AI64" s="1" t="n">
        <v>0.04</v>
      </c>
      <c r="AJ64" s="1" t="n">
        <v>5.23</v>
      </c>
      <c r="AN64" s="1" t="n">
        <v>6.6</v>
      </c>
      <c r="AO64" s="1" t="n">
        <v>32.78</v>
      </c>
      <c r="AP64" s="1" t="n">
        <v>30.86</v>
      </c>
      <c r="AQ64" s="1" t="n">
        <v>22.59</v>
      </c>
      <c r="AR64" s="1" t="n">
        <v>24.48</v>
      </c>
      <c r="AS64" s="1" t="n">
        <v>39.09</v>
      </c>
      <c r="AT64" s="1" t="n"/>
      <c r="CE64" s="1" t="n">
        <v>7.2522</v>
      </c>
      <c r="CM64" s="1" t="n">
        <v>6.4667</v>
      </c>
      <c r="CN64" s="1" t="n">
        <v>3.7558</v>
      </c>
      <c r="CO64" s="1" t="n">
        <v>0.1366</v>
      </c>
      <c r="CP64" s="1" t="n">
        <v>0.1366</v>
      </c>
      <c r="CQ64" s="1" t="n">
        <v>0.1366</v>
      </c>
      <c r="CR64" s="1" t="n">
        <v>2.405</v>
      </c>
      <c r="CS64" s="1" t="n">
        <v>0.0391</v>
      </c>
      <c r="CT64" s="1" t="n">
        <v>0.0391</v>
      </c>
      <c r="CU64" s="1" t="n">
        <v>0.0391</v>
      </c>
      <c r="CV64" s="1" t="n">
        <v>13.7274</v>
      </c>
      <c r="CY64" s="1" t="n">
        <v>5.2269</v>
      </c>
      <c r="DI64" s="1" t="n">
        <v>37.3266</v>
      </c>
      <c r="DM64" s="1" t="n">
        <v>6.597</v>
      </c>
      <c r="DN64" s="1" t="n">
        <v>6.597</v>
      </c>
      <c r="DO64" s="1" t="n">
        <v>6.597</v>
      </c>
      <c r="DP64" s="1" t="n">
        <v>3.297</v>
      </c>
      <c r="DQ64" s="1" t="n">
        <v>37.0028</v>
      </c>
      <c r="DR64" s="1" t="n">
        <v>56.2384</v>
      </c>
      <c r="DS64" s="1" t="n">
        <v>32.7756</v>
      </c>
      <c r="DT64" s="1" t="n">
        <v>32.7756</v>
      </c>
      <c r="DU64" s="1" t="n">
        <v>54.4871</v>
      </c>
      <c r="DV64" s="1" t="n">
        <v>53.2371</v>
      </c>
      <c r="DW64" s="1" t="n">
        <v>30.8618</v>
      </c>
      <c r="DX64" s="1" t="n">
        <v>29.5224</v>
      </c>
      <c r="DY64" s="1" t="n">
        <v>29.5224</v>
      </c>
      <c r="DZ64" s="1" t="n">
        <v>23.8878</v>
      </c>
      <c r="EA64" s="1" t="n">
        <v>22.594</v>
      </c>
      <c r="EB64" s="1" t="n">
        <v>30.0958</v>
      </c>
      <c r="EC64" s="1" t="n">
        <v>24.4826</v>
      </c>
      <c r="ED64" s="1" t="n">
        <v>32.6715</v>
      </c>
      <c r="EE64" s="1" t="n">
        <v>24.4826</v>
      </c>
      <c r="EF64" s="1" t="n">
        <v>24.4826</v>
      </c>
      <c r="EG64" s="1" t="n">
        <v>19.354</v>
      </c>
      <c r="EH64" s="1" t="n">
        <v>18.374</v>
      </c>
      <c r="EI64" s="1" t="n">
        <v>39.088</v>
      </c>
      <c r="EJ64" s="1" t="n">
        <v>28.2639</v>
      </c>
      <c r="EK64" s="1" t="n">
        <v>23.2971</v>
      </c>
      <c r="EL64" s="1" t="n">
        <v>23.2971</v>
      </c>
      <c r="EM64" s="1" t="n">
        <v>34.019</v>
      </c>
    </row>
    <row r="65">
      <c r="A65" s="2" t="inlineStr">
        <is>
          <t xml:space="preserve">                    应收利息</t>
        </is>
      </c>
      <c r="D65" s="1" t="n">
        <v>13.6815</v>
      </c>
      <c r="E65" s="1" t="n">
        <v>46.6893</v>
      </c>
      <c r="F65" s="1" t="n">
        <v>41.3294</v>
      </c>
      <c r="G65" s="1" t="n">
        <v>76.3785</v>
      </c>
      <c r="H65" s="1" t="n">
        <v>61.7409</v>
      </c>
      <c r="I65" s="1" t="n">
        <v>101.62</v>
      </c>
      <c r="J65" s="1" t="n">
        <v>153.9643</v>
      </c>
      <c r="K65" s="1" t="n">
        <v>297.2069</v>
      </c>
      <c r="L65" s="1" t="n">
        <v>373.1595</v>
      </c>
      <c r="M65" s="1" t="n">
        <v>433.926</v>
      </c>
      <c r="N65" s="1" t="n">
        <v>297.6492</v>
      </c>
      <c r="O65" s="1" t="n">
        <v>416.4164</v>
      </c>
      <c r="P65" s="1" t="n">
        <v>236.2571</v>
      </c>
      <c r="Q65" s="1" t="n">
        <v>215.624</v>
      </c>
      <c r="R65" s="1" t="n">
        <v>44.1232</v>
      </c>
      <c r="T65" s="1" t="n">
        <v>0</v>
      </c>
      <c r="AE65" s="1" t="n">
        <v>40.11</v>
      </c>
      <c r="AF65" s="1" t="n">
        <v>16.2</v>
      </c>
      <c r="AG65" s="1" t="n">
        <v>26.28</v>
      </c>
      <c r="AH65" s="1" t="n">
        <v>71.86</v>
      </c>
      <c r="AI65" s="1" t="n">
        <v>119.63</v>
      </c>
      <c r="AJ65" s="1" t="n">
        <v>242.23</v>
      </c>
      <c r="AK65" s="1" t="n">
        <v>295.48</v>
      </c>
      <c r="AL65" s="1" t="n">
        <v>441.34</v>
      </c>
      <c r="AM65" s="1" t="n">
        <v>251.23</v>
      </c>
      <c r="AN65" s="1" t="n">
        <v>378.37</v>
      </c>
      <c r="AO65" s="1" t="n">
        <v>286.62</v>
      </c>
      <c r="AP65" s="1" t="n">
        <v>344.52</v>
      </c>
      <c r="AQ65" s="1" t="n">
        <v>123.36</v>
      </c>
      <c r="AR65" s="1" t="n">
        <v>95.98999999999999</v>
      </c>
      <c r="AS65" s="1" t="n">
        <v>0</v>
      </c>
      <c r="AT65" s="1" t="n"/>
      <c r="BY65" s="1" t="n">
        <v>13.6815</v>
      </c>
      <c r="BZ65" s="1" t="n">
        <v>13.6815</v>
      </c>
      <c r="CC65" s="1" t="n">
        <v>46.6893</v>
      </c>
      <c r="CD65" s="1" t="n">
        <v>38.8618</v>
      </c>
      <c r="CE65" s="1" t="n">
        <v>40.1137</v>
      </c>
      <c r="CF65" s="1" t="n">
        <v>19.9515</v>
      </c>
      <c r="CG65" s="1" t="n">
        <v>41.3294</v>
      </c>
      <c r="CH65" s="1" t="n">
        <v>19.9405</v>
      </c>
      <c r="CI65" s="1" t="n">
        <v>16.2006</v>
      </c>
      <c r="CJ65" s="1" t="n">
        <v>10.9692</v>
      </c>
      <c r="CK65" s="1" t="n">
        <v>76.3785</v>
      </c>
      <c r="CL65" s="1" t="n">
        <v>35.6888</v>
      </c>
      <c r="CM65" s="1" t="n">
        <v>26.2753</v>
      </c>
      <c r="CN65" s="1" t="n">
        <v>11.6247</v>
      </c>
      <c r="CO65" s="1" t="n">
        <v>61.7409</v>
      </c>
      <c r="CP65" s="1" t="n">
        <v>39.7542</v>
      </c>
      <c r="CQ65" s="1" t="n">
        <v>71.864</v>
      </c>
      <c r="CR65" s="1" t="n">
        <v>50.8182</v>
      </c>
      <c r="CS65" s="1" t="n">
        <v>101.62</v>
      </c>
      <c r="CT65" s="1" t="n">
        <v>73.6228</v>
      </c>
      <c r="CU65" s="1" t="n">
        <v>119.6299</v>
      </c>
      <c r="CV65" s="1" t="n">
        <v>69.0111</v>
      </c>
      <c r="CW65" s="1" t="n">
        <v>153.9643</v>
      </c>
      <c r="CX65" s="1" t="n">
        <v>157.2122</v>
      </c>
      <c r="CY65" s="1" t="n">
        <v>242.2289</v>
      </c>
      <c r="CZ65" s="1" t="n">
        <v>220.7732</v>
      </c>
      <c r="DA65" s="1" t="n">
        <v>297.2069</v>
      </c>
      <c r="DB65" s="1" t="n">
        <v>221.6512</v>
      </c>
      <c r="DC65" s="1" t="n">
        <v>295.4761</v>
      </c>
      <c r="DD65" s="1" t="n">
        <v>265.2085</v>
      </c>
      <c r="DE65" s="1" t="n">
        <v>373.1595</v>
      </c>
      <c r="DF65" s="1" t="n">
        <v>319.8818</v>
      </c>
      <c r="DG65" s="1" t="n">
        <v>441.341</v>
      </c>
      <c r="DH65" s="1" t="n">
        <v>387.3806</v>
      </c>
      <c r="DI65" s="1" t="n">
        <v>433.926</v>
      </c>
      <c r="DJ65" s="1" t="n">
        <v>390.8705</v>
      </c>
      <c r="DK65" s="1" t="n">
        <v>251.2336</v>
      </c>
      <c r="DL65" s="1" t="n">
        <v>216.2792</v>
      </c>
      <c r="DM65" s="1" t="n">
        <v>297.6492</v>
      </c>
      <c r="DN65" s="1" t="n">
        <v>389.6857</v>
      </c>
      <c r="DO65" s="1" t="n">
        <v>378.37</v>
      </c>
      <c r="DP65" s="1" t="n">
        <v>439.8309</v>
      </c>
      <c r="DQ65" s="1" t="n">
        <v>416.4164</v>
      </c>
      <c r="DR65" s="1" t="n">
        <v>443.0342</v>
      </c>
      <c r="DS65" s="1" t="n">
        <v>286.6245</v>
      </c>
      <c r="DT65" s="1" t="n">
        <v>286.3404</v>
      </c>
      <c r="DU65" s="1" t="n">
        <v>236.2571</v>
      </c>
      <c r="DV65" s="1" t="n">
        <v>277.8999</v>
      </c>
      <c r="DW65" s="1" t="n">
        <v>344.5157</v>
      </c>
      <c r="DX65" s="1" t="n">
        <v>219.8747</v>
      </c>
      <c r="DY65" s="1" t="n">
        <v>215.624</v>
      </c>
      <c r="DZ65" s="1" t="n">
        <v>213.4889</v>
      </c>
      <c r="EA65" s="1" t="n">
        <v>123.3565</v>
      </c>
      <c r="EB65" s="1" t="n">
        <v>103.4196</v>
      </c>
      <c r="EC65" s="1" t="n">
        <v>44.1232</v>
      </c>
      <c r="ED65" s="1" t="n">
        <v>74.2222</v>
      </c>
      <c r="EE65" s="1" t="n">
        <v>95.9945</v>
      </c>
      <c r="EF65" s="1" t="n">
        <v>152.7573</v>
      </c>
      <c r="EH65" s="1" t="n">
        <v>1.3449</v>
      </c>
      <c r="EI65" s="1" t="n">
        <v>0</v>
      </c>
      <c r="EK65" s="1" t="n">
        <v>0</v>
      </c>
      <c r="EM65" s="1" t="n">
        <v>0</v>
      </c>
    </row>
    <row r="66">
      <c r="A66" s="2" t="inlineStr">
        <is>
          <t xml:space="preserve">                    其他应收款</t>
        </is>
      </c>
      <c r="B66" s="1" t="n">
        <v>211.0569</v>
      </c>
      <c r="C66" s="1" t="n">
        <v>175.8381</v>
      </c>
      <c r="D66" s="1" t="n">
        <v>146.8385</v>
      </c>
      <c r="E66" s="1" t="n">
        <v>404.4248</v>
      </c>
      <c r="F66" s="1" t="n">
        <v>419.7293</v>
      </c>
      <c r="G66" s="1" t="n">
        <v>309.2641</v>
      </c>
      <c r="H66" s="1" t="n">
        <v>325.6934</v>
      </c>
      <c r="I66" s="1" t="n">
        <v>352.9602</v>
      </c>
      <c r="J66" s="1" t="n">
        <v>282.4146</v>
      </c>
      <c r="K66" s="1" t="n">
        <v>366.2963</v>
      </c>
      <c r="L66" s="1" t="n">
        <v>245.1404</v>
      </c>
      <c r="M66" s="1" t="n">
        <v>193.3768</v>
      </c>
      <c r="N66" s="1" t="n">
        <v>231.219</v>
      </c>
      <c r="O66" s="1" t="n">
        <v>535.6147</v>
      </c>
      <c r="P66" s="1" t="n">
        <v>342.6719</v>
      </c>
      <c r="Q66" s="1" t="n">
        <v>362.2941</v>
      </c>
      <c r="R66" s="1" t="n">
        <v>439.7618</v>
      </c>
      <c r="S66" s="1" t="n">
        <v>392.713</v>
      </c>
      <c r="T66" s="1" t="n">
        <v>522.9827</v>
      </c>
      <c r="AA66" s="1" t="n">
        <v>59.14</v>
      </c>
      <c r="AB66" s="1" t="n">
        <v>85.23999999999999</v>
      </c>
      <c r="AC66" s="1" t="n">
        <v>186.53</v>
      </c>
      <c r="AD66" s="1" t="n">
        <v>364.14</v>
      </c>
      <c r="AE66" s="1" t="n">
        <v>497.95</v>
      </c>
      <c r="AF66" s="1" t="n">
        <v>428.64</v>
      </c>
      <c r="AG66" s="1" t="n">
        <v>306.76</v>
      </c>
      <c r="AH66" s="1" t="n">
        <v>443.54</v>
      </c>
      <c r="AI66" s="1" t="n">
        <v>386.35</v>
      </c>
      <c r="AJ66" s="1" t="n">
        <v>337.46</v>
      </c>
      <c r="AK66" s="1" t="n">
        <v>349.12</v>
      </c>
      <c r="AL66" s="1" t="n">
        <v>315.82</v>
      </c>
      <c r="AM66" s="1" t="n">
        <v>296.72</v>
      </c>
      <c r="AN66" s="1" t="n">
        <v>380.06</v>
      </c>
      <c r="AO66" s="1" t="n">
        <v>433.35</v>
      </c>
      <c r="AP66" s="1" t="n">
        <v>528.66</v>
      </c>
      <c r="AQ66" s="1" t="n">
        <v>450.5</v>
      </c>
      <c r="AR66" s="1" t="n">
        <v>486.53</v>
      </c>
      <c r="AS66" s="1" t="n">
        <v>448.75</v>
      </c>
      <c r="AT66" s="1" t="n"/>
      <c r="BN66" s="1" t="n">
        <v>52.7312</v>
      </c>
      <c r="BO66" s="1" t="n">
        <v>59.1387</v>
      </c>
      <c r="BP66" s="1" t="n">
        <v>70.3698</v>
      </c>
      <c r="BQ66" s="1" t="n">
        <v>211.0569</v>
      </c>
      <c r="BR66" s="1" t="n">
        <v>91.0132</v>
      </c>
      <c r="BS66" s="1" t="n">
        <v>85.241</v>
      </c>
      <c r="BT66" s="1" t="n">
        <v>75.00790000000001</v>
      </c>
      <c r="BU66" s="1" t="n">
        <v>175.8381</v>
      </c>
      <c r="BV66" s="1" t="n">
        <v>247.6258</v>
      </c>
      <c r="BW66" s="1" t="n">
        <v>186.5263</v>
      </c>
      <c r="BX66" s="1" t="n">
        <v>294.797</v>
      </c>
      <c r="BY66" s="1" t="n">
        <v>146.8385</v>
      </c>
      <c r="BZ66" s="1" t="n">
        <v>228.8747</v>
      </c>
      <c r="CA66" s="1" t="n">
        <v>364.1419</v>
      </c>
      <c r="CB66" s="1" t="n">
        <v>581.9606</v>
      </c>
      <c r="CC66" s="1" t="n">
        <v>404.4248</v>
      </c>
      <c r="CD66" s="1" t="n">
        <v>449.2576</v>
      </c>
      <c r="CE66" s="1" t="n">
        <v>497.948</v>
      </c>
      <c r="CF66" s="1" t="n">
        <v>438.3389</v>
      </c>
      <c r="CG66" s="1" t="n">
        <v>419.7293</v>
      </c>
      <c r="CH66" s="1" t="n">
        <v>500.8037</v>
      </c>
      <c r="CI66" s="1" t="n">
        <v>428.6444</v>
      </c>
      <c r="CJ66" s="1" t="n">
        <v>519.9163</v>
      </c>
      <c r="CK66" s="1" t="n">
        <v>309.2641</v>
      </c>
      <c r="CL66" s="1" t="n">
        <v>364.3337</v>
      </c>
      <c r="CM66" s="1" t="n">
        <v>306.7558</v>
      </c>
      <c r="CN66" s="1" t="n">
        <v>395.0441</v>
      </c>
      <c r="CO66" s="1" t="n">
        <v>325.6934</v>
      </c>
      <c r="CP66" s="1" t="n">
        <v>397.678</v>
      </c>
      <c r="CQ66" s="1" t="n">
        <v>443.5409</v>
      </c>
      <c r="CR66" s="1" t="n">
        <v>425.9071</v>
      </c>
      <c r="CS66" s="1" t="n">
        <v>352.9602</v>
      </c>
      <c r="CT66" s="1" t="n">
        <v>333.015</v>
      </c>
      <c r="CU66" s="1" t="n">
        <v>386.3459</v>
      </c>
      <c r="CV66" s="1" t="n">
        <v>401.1915</v>
      </c>
      <c r="CW66" s="1" t="n">
        <v>282.4146</v>
      </c>
      <c r="CX66" s="1" t="n">
        <v>291.8949</v>
      </c>
      <c r="CY66" s="1" t="n">
        <v>337.4607</v>
      </c>
      <c r="CZ66" s="1" t="n">
        <v>406.765</v>
      </c>
      <c r="DA66" s="1" t="n">
        <v>366.2963</v>
      </c>
      <c r="DB66" s="1" t="n">
        <v>220.3207</v>
      </c>
      <c r="DC66" s="1" t="n">
        <v>349.1199</v>
      </c>
      <c r="DD66" s="1" t="n">
        <v>339.8619</v>
      </c>
      <c r="DE66" s="1" t="n">
        <v>245.1404</v>
      </c>
      <c r="DF66" s="1" t="n">
        <v>293.5048</v>
      </c>
      <c r="DG66" s="1" t="n">
        <v>315.8177</v>
      </c>
      <c r="DH66" s="1" t="n">
        <v>301.0463</v>
      </c>
      <c r="DI66" s="1" t="n">
        <v>193.3768</v>
      </c>
      <c r="DJ66" s="1" t="n">
        <v>250.4506</v>
      </c>
      <c r="DK66" s="1" t="n">
        <v>296.7156</v>
      </c>
      <c r="DM66" s="1" t="n">
        <v>231.219</v>
      </c>
      <c r="DN66" s="1" t="n">
        <v>263.0776</v>
      </c>
      <c r="DO66" s="1" t="n">
        <v>380.0643</v>
      </c>
      <c r="DP66" s="1" t="n">
        <v>380.0705</v>
      </c>
      <c r="DQ66" s="1" t="n">
        <v>535.6147</v>
      </c>
      <c r="DR66" s="1" t="n">
        <v>487.9141</v>
      </c>
      <c r="DS66" s="1" t="n">
        <v>433.3505</v>
      </c>
      <c r="DT66" s="1" t="n">
        <v>415.8389</v>
      </c>
      <c r="DU66" s="1" t="n">
        <v>342.6719</v>
      </c>
      <c r="DV66" s="1" t="n">
        <v>282.1345</v>
      </c>
      <c r="DW66" s="1" t="n">
        <v>528.6561</v>
      </c>
      <c r="DX66" s="1" t="n">
        <v>507.2732</v>
      </c>
      <c r="DY66" s="1" t="n">
        <v>362.2941</v>
      </c>
      <c r="DZ66" s="1" t="n">
        <v>371.2738</v>
      </c>
      <c r="EA66" s="1" t="n">
        <v>450.4981</v>
      </c>
      <c r="EB66" s="1" t="n">
        <v>478.0553</v>
      </c>
      <c r="EC66" s="1" t="n">
        <v>439.7618</v>
      </c>
      <c r="ED66" s="1" t="n">
        <v>553.4339</v>
      </c>
      <c r="EE66" s="1" t="n">
        <v>486.5319</v>
      </c>
      <c r="EF66" s="1" t="n">
        <v>529.7206</v>
      </c>
      <c r="EG66" s="1" t="n">
        <v>392.713</v>
      </c>
      <c r="EH66" s="1" t="n">
        <v>462.7151</v>
      </c>
      <c r="EI66" s="1" t="n">
        <v>448.7508</v>
      </c>
      <c r="EK66" s="1" t="n">
        <v>522.9827</v>
      </c>
      <c r="EM66" s="1" t="n">
        <v>510.939</v>
      </c>
    </row>
    <row r="67">
      <c r="A67" s="2" t="inlineStr">
        <is>
          <t xml:space="preserve">    买入返售金融资产</t>
        </is>
      </c>
      <c r="N67" s="1" t="n">
        <v>1744.127</v>
      </c>
      <c r="O67" s="1" t="n">
        <v>2490</v>
      </c>
      <c r="P67" s="1" t="n">
        <v>2730.498</v>
      </c>
      <c r="Q67" s="1" t="n">
        <v>2827.514</v>
      </c>
      <c r="R67" s="1" t="n">
        <v>1390</v>
      </c>
      <c r="S67" s="1" t="n">
        <v>2959.8611</v>
      </c>
      <c r="T67" s="1" t="n">
        <v>2666.8201</v>
      </c>
      <c r="AM67" s="1" t="n">
        <v>2371.77</v>
      </c>
      <c r="AN67" s="1" t="n">
        <v>3175.12</v>
      </c>
      <c r="AO67" s="1" t="n">
        <v>2540</v>
      </c>
      <c r="AP67" s="1" t="n">
        <v>2851.32</v>
      </c>
      <c r="AQ67" s="1" t="n">
        <v>2720</v>
      </c>
      <c r="AR67" s="1" t="n">
        <v>2870</v>
      </c>
      <c r="AS67" s="1" t="n">
        <v>2896.16</v>
      </c>
      <c r="AT67" s="1" t="n"/>
      <c r="DK67" s="1" t="n">
        <v>2371.7671</v>
      </c>
      <c r="DL67" s="1" t="n">
        <v>695.7271</v>
      </c>
      <c r="DM67" s="1" t="n">
        <v>1744.127</v>
      </c>
      <c r="DN67" s="1" t="n">
        <v>3533.66</v>
      </c>
      <c r="DO67" s="1" t="n">
        <v>3175.118</v>
      </c>
      <c r="DP67" s="1" t="n">
        <v>2500</v>
      </c>
      <c r="DQ67" s="1" t="n">
        <v>2490</v>
      </c>
      <c r="DR67" s="1" t="n">
        <v>2540</v>
      </c>
      <c r="DS67" s="1" t="n">
        <v>2540</v>
      </c>
      <c r="DT67" s="1" t="n">
        <v>2540</v>
      </c>
      <c r="DU67" s="1" t="n">
        <v>2730.498</v>
      </c>
      <c r="DV67" s="1" t="n">
        <v>2890.2816</v>
      </c>
      <c r="DW67" s="1" t="n">
        <v>2851.3242</v>
      </c>
      <c r="DX67" s="1" t="n">
        <v>2922.3868</v>
      </c>
      <c r="DY67" s="1" t="n">
        <v>2827.514</v>
      </c>
      <c r="DZ67" s="1" t="n">
        <v>2762.6964</v>
      </c>
      <c r="EA67" s="1" t="n">
        <v>2720</v>
      </c>
      <c r="EB67" s="1" t="n">
        <v>2820</v>
      </c>
      <c r="EC67" s="1" t="n">
        <v>1390</v>
      </c>
      <c r="ED67" s="1" t="n">
        <v>2240</v>
      </c>
      <c r="EE67" s="1" t="n">
        <v>2870</v>
      </c>
      <c r="EF67" s="1" t="n">
        <v>2720</v>
      </c>
      <c r="EG67" s="1" t="n">
        <v>2959.8611</v>
      </c>
      <c r="EH67" s="1" t="n">
        <v>2596.9984</v>
      </c>
      <c r="EI67" s="1" t="n">
        <v>2896.1577</v>
      </c>
      <c r="EJ67" s="1" t="n">
        <v>2936.9624</v>
      </c>
      <c r="EK67" s="1" t="n">
        <v>2666.8201</v>
      </c>
      <c r="EL67" s="1" t="n">
        <v>2423.2765</v>
      </c>
      <c r="EM67" s="1" t="n">
        <v>2731.06</v>
      </c>
    </row>
    <row r="68">
      <c r="A68" s="2" t="inlineStr">
        <is>
          <t xml:space="preserve">    存货</t>
        </is>
      </c>
      <c r="B68" s="1" t="n">
        <v>10077.5491</v>
      </c>
      <c r="C68" s="1" t="n">
        <v>13525.8747</v>
      </c>
      <c r="D68" s="1" t="n">
        <v>21498.3203</v>
      </c>
      <c r="E68" s="1" t="n">
        <v>28579.4246</v>
      </c>
      <c r="F68" s="1" t="n">
        <v>34580.4111</v>
      </c>
      <c r="G68" s="1" t="n">
        <v>35859.9187</v>
      </c>
      <c r="H68" s="1" t="n">
        <v>31901.0919</v>
      </c>
      <c r="I68" s="1" t="n">
        <v>27301.843</v>
      </c>
      <c r="J68" s="1" t="n">
        <v>29640.9906</v>
      </c>
      <c r="K68" s="1" t="n">
        <v>26899.5904</v>
      </c>
      <c r="L68" s="1" t="n">
        <v>19871.0465</v>
      </c>
      <c r="M68" s="1" t="n">
        <v>18580.9026</v>
      </c>
      <c r="N68" s="1" t="n">
        <v>13873.9865</v>
      </c>
      <c r="O68" s="1" t="n">
        <v>13142.0227</v>
      </c>
      <c r="P68" s="1" t="n">
        <v>15609.8541</v>
      </c>
      <c r="Q68" s="1" t="n">
        <v>19062.4328</v>
      </c>
      <c r="R68" s="1" t="n">
        <v>18455.2599</v>
      </c>
      <c r="S68" s="1" t="n">
        <v>18136.5829</v>
      </c>
      <c r="T68" s="1" t="n">
        <v>21685.2961</v>
      </c>
      <c r="AA68" s="1" t="n">
        <v>2702.16</v>
      </c>
      <c r="AB68" s="1" t="n">
        <v>3229.14</v>
      </c>
      <c r="AC68" s="1" t="n">
        <v>16050.37</v>
      </c>
      <c r="AD68" s="1" t="n">
        <v>24172.37</v>
      </c>
      <c r="AE68" s="1" t="n">
        <v>31120.13</v>
      </c>
      <c r="AF68" s="1" t="n">
        <v>38443.67</v>
      </c>
      <c r="AG68" s="1" t="n">
        <v>33866.33</v>
      </c>
      <c r="AH68" s="1" t="n">
        <v>29826.86</v>
      </c>
      <c r="AI68" s="1" t="n">
        <v>28939.27</v>
      </c>
      <c r="AJ68" s="1" t="n">
        <v>29900.15</v>
      </c>
      <c r="AK68" s="1" t="n">
        <v>25790.26</v>
      </c>
      <c r="AL68" s="1" t="n">
        <v>21100.53</v>
      </c>
      <c r="AM68" s="1" t="n">
        <v>13115.95</v>
      </c>
      <c r="AN68" s="1" t="n">
        <v>12545.64</v>
      </c>
      <c r="AO68" s="1" t="n">
        <v>13758.24</v>
      </c>
      <c r="AP68" s="1" t="n">
        <v>17394.65</v>
      </c>
      <c r="AQ68" s="1" t="n">
        <v>17424.49</v>
      </c>
      <c r="AR68" s="1" t="n">
        <v>19009.34</v>
      </c>
      <c r="AS68" s="1" t="n">
        <v>16720.65</v>
      </c>
      <c r="AT68" s="1" t="n"/>
      <c r="BN68" s="1" t="n">
        <v>2338.3914</v>
      </c>
      <c r="BO68" s="1" t="n">
        <v>2702.1649</v>
      </c>
      <c r="BP68" s="1" t="n">
        <v>2842.4652</v>
      </c>
      <c r="BQ68" s="1" t="n">
        <v>10077.5491</v>
      </c>
      <c r="BR68" s="1" t="n">
        <v>3158.9994</v>
      </c>
      <c r="BS68" s="1" t="n">
        <v>3229.1352</v>
      </c>
      <c r="BT68" s="1" t="n">
        <v>3248.2762</v>
      </c>
      <c r="BU68" s="1" t="n">
        <v>13525.8747</v>
      </c>
      <c r="BV68" s="1" t="n">
        <v>14237.6038</v>
      </c>
      <c r="BW68" s="1" t="n">
        <v>16050.3718</v>
      </c>
      <c r="BX68" s="1" t="n">
        <v>20139.3036</v>
      </c>
      <c r="BY68" s="1" t="n">
        <v>21498.3203</v>
      </c>
      <c r="BZ68" s="1" t="n">
        <v>23486.6739</v>
      </c>
      <c r="CA68" s="1" t="n">
        <v>24172.3692</v>
      </c>
      <c r="CB68" s="1" t="n">
        <v>26878.4699</v>
      </c>
      <c r="CC68" s="1" t="n">
        <v>28579.4246</v>
      </c>
      <c r="CD68" s="1" t="n">
        <v>30744.6343</v>
      </c>
      <c r="CE68" s="1" t="n">
        <v>31120.1327</v>
      </c>
      <c r="CF68" s="1" t="n">
        <v>34086.7457</v>
      </c>
      <c r="CG68" s="1" t="n">
        <v>34580.4111</v>
      </c>
      <c r="CH68" s="1" t="n">
        <v>38078.9552</v>
      </c>
      <c r="CI68" s="1" t="n">
        <v>38443.6702</v>
      </c>
      <c r="CJ68" s="1" t="n">
        <v>39803.4023</v>
      </c>
      <c r="CK68" s="1" t="n">
        <v>35859.9187</v>
      </c>
      <c r="CL68" s="1" t="n">
        <v>36409.1297</v>
      </c>
      <c r="CM68" s="1" t="n">
        <v>33866.3264</v>
      </c>
      <c r="CN68" s="1" t="n">
        <v>32567.2757</v>
      </c>
      <c r="CO68" s="1" t="n">
        <v>31901.0919</v>
      </c>
      <c r="CP68" s="1" t="n">
        <v>31635.0845</v>
      </c>
      <c r="CQ68" s="1" t="n">
        <v>29826.8626</v>
      </c>
      <c r="CR68" s="1" t="n">
        <v>29848.4565</v>
      </c>
      <c r="CS68" s="1" t="n">
        <v>27301.843</v>
      </c>
      <c r="CT68" s="1" t="n">
        <v>28356.5712</v>
      </c>
      <c r="CU68" s="1" t="n">
        <v>28939.2704</v>
      </c>
      <c r="CV68" s="1" t="n">
        <v>30928.6008</v>
      </c>
      <c r="CW68" s="1" t="n">
        <v>29640.9906</v>
      </c>
      <c r="CX68" s="1" t="n">
        <v>32421.4723</v>
      </c>
      <c r="CY68" s="1" t="n">
        <v>29900.1493</v>
      </c>
      <c r="CZ68" s="1" t="n">
        <v>31674.0742</v>
      </c>
      <c r="DA68" s="1" t="n">
        <v>26899.5904</v>
      </c>
      <c r="DB68" s="1" t="n">
        <v>27874.6819</v>
      </c>
      <c r="DC68" s="1" t="n">
        <v>25790.2626</v>
      </c>
      <c r="DD68" s="1" t="n">
        <v>26041.9013</v>
      </c>
      <c r="DE68" s="1" t="n">
        <v>19871.0465</v>
      </c>
      <c r="DF68" s="1" t="n">
        <v>22165.9499</v>
      </c>
      <c r="DG68" s="1" t="n">
        <v>21100.5278</v>
      </c>
      <c r="DH68" s="1" t="n">
        <v>20591.1374</v>
      </c>
      <c r="DI68" s="1" t="n">
        <v>18580.9026</v>
      </c>
      <c r="DJ68" s="1" t="n">
        <v>18568.7844</v>
      </c>
      <c r="DK68" s="1" t="n">
        <v>13115.9531</v>
      </c>
      <c r="DL68" s="1" t="n">
        <v>13386.4716</v>
      </c>
      <c r="DM68" s="1" t="n">
        <v>13873.9865</v>
      </c>
      <c r="DN68" s="1" t="n">
        <v>13521.4022</v>
      </c>
      <c r="DO68" s="1" t="n">
        <v>12545.6445</v>
      </c>
      <c r="DP68" s="1" t="n">
        <v>13310.8983</v>
      </c>
      <c r="DQ68" s="1" t="n">
        <v>13142.0227</v>
      </c>
      <c r="DR68" s="1" t="n">
        <v>12406.6294</v>
      </c>
      <c r="DS68" s="1" t="n">
        <v>13758.2393</v>
      </c>
      <c r="DT68" s="1" t="n">
        <v>14795.4964</v>
      </c>
      <c r="DU68" s="1" t="n">
        <v>15609.8541</v>
      </c>
      <c r="DV68" s="1" t="n">
        <v>15721.1358</v>
      </c>
      <c r="DW68" s="1" t="n">
        <v>17394.6489</v>
      </c>
      <c r="DX68" s="1" t="n">
        <v>20525.91</v>
      </c>
      <c r="DY68" s="1" t="n">
        <v>19062.4328</v>
      </c>
      <c r="DZ68" s="1" t="n">
        <v>19418.9384</v>
      </c>
      <c r="EA68" s="1" t="n">
        <v>17424.4908</v>
      </c>
      <c r="EB68" s="1" t="n">
        <v>18311.7653</v>
      </c>
      <c r="EC68" s="1" t="n">
        <v>18455.2599</v>
      </c>
      <c r="ED68" s="1" t="n">
        <v>18965.4503</v>
      </c>
      <c r="EE68" s="1" t="n">
        <v>19009.3398</v>
      </c>
      <c r="EF68" s="1" t="n">
        <v>20310.4012</v>
      </c>
      <c r="EG68" s="1" t="n">
        <v>18136.5829</v>
      </c>
      <c r="EH68" s="1" t="n">
        <v>18297.7251</v>
      </c>
      <c r="EI68" s="1" t="n">
        <v>16720.6508</v>
      </c>
      <c r="EJ68" s="1" t="n">
        <v>22254.9965</v>
      </c>
      <c r="EK68" s="1" t="n">
        <v>21685.2961</v>
      </c>
      <c r="EL68" s="1" t="n">
        <v>24561.6535</v>
      </c>
      <c r="EM68" s="1" t="n">
        <v>27286.778</v>
      </c>
    </row>
    <row r="69">
      <c r="A69" s="2" t="inlineStr">
        <is>
          <t xml:space="preserve">    其中：消耗性生物资产</t>
        </is>
      </c>
      <c r="EM69" s="1" t="inlineStr"/>
    </row>
    <row r="70">
      <c r="A70" s="2" t="inlineStr">
        <is>
          <t xml:space="preserve">    其中：数据资源</t>
        </is>
      </c>
      <c r="EM70" s="1" t="inlineStr"/>
    </row>
    <row r="71">
      <c r="A71" s="2" t="inlineStr">
        <is>
          <t xml:space="preserve">    合同资产</t>
        </is>
      </c>
      <c r="N71" s="1" t="n">
        <v>10187.9717</v>
      </c>
      <c r="O71" s="1" t="n">
        <v>7290.368</v>
      </c>
      <c r="P71" s="1" t="n">
        <v>6527.9304</v>
      </c>
      <c r="Q71" s="1" t="n">
        <v>7979.8989</v>
      </c>
      <c r="R71" s="1" t="n">
        <v>10685.4043</v>
      </c>
      <c r="S71" s="1" t="n">
        <v>12419.9689</v>
      </c>
      <c r="T71" s="1" t="n">
        <v>14258.3219</v>
      </c>
      <c r="AM71" s="1" t="n">
        <v>4435.92</v>
      </c>
      <c r="AN71" s="1" t="n">
        <v>10728.81</v>
      </c>
      <c r="AO71" s="1" t="n">
        <v>7733.55</v>
      </c>
      <c r="AP71" s="1" t="n">
        <v>9482.08</v>
      </c>
      <c r="AQ71" s="1" t="n">
        <v>10889.47</v>
      </c>
      <c r="AR71" s="1" t="n">
        <v>12404.98</v>
      </c>
      <c r="AS71" s="1" t="n">
        <v>15311.29</v>
      </c>
      <c r="AT71" s="1" t="n"/>
      <c r="DK71" s="1" t="n">
        <v>4435.9222</v>
      </c>
      <c r="DL71" s="1" t="n">
        <v>4303.1501</v>
      </c>
      <c r="DM71" s="1" t="n">
        <v>10187.9717</v>
      </c>
      <c r="DN71" s="1" t="n">
        <v>9908.5386</v>
      </c>
      <c r="DO71" s="1" t="n">
        <v>10728.812</v>
      </c>
      <c r="DP71" s="1" t="n">
        <v>12051.7253</v>
      </c>
      <c r="DQ71" s="1" t="n">
        <v>7290.368</v>
      </c>
      <c r="DR71" s="1" t="n">
        <v>7806.7893</v>
      </c>
      <c r="DS71" s="1" t="n">
        <v>7733.5522</v>
      </c>
      <c r="DT71" s="1" t="n">
        <v>8691.284100000001</v>
      </c>
      <c r="DU71" s="1" t="n">
        <v>6527.9304</v>
      </c>
      <c r="DV71" s="1" t="n">
        <v>8339.160400000001</v>
      </c>
      <c r="DW71" s="1" t="n">
        <v>9482.0846</v>
      </c>
      <c r="DX71" s="1" t="n">
        <v>8903.0506</v>
      </c>
      <c r="DY71" s="1" t="n">
        <v>7979.8989</v>
      </c>
      <c r="DZ71" s="1" t="n">
        <v>9395.683999999999</v>
      </c>
      <c r="EA71" s="1" t="n">
        <v>10889.4747</v>
      </c>
      <c r="EB71" s="1" t="n">
        <v>12223.7106</v>
      </c>
      <c r="EC71" s="1" t="n">
        <v>10685.4043</v>
      </c>
      <c r="ED71" s="1" t="n">
        <v>11463.3837</v>
      </c>
      <c r="EE71" s="1" t="n">
        <v>12404.9801</v>
      </c>
      <c r="EF71" s="1" t="n">
        <v>14323.5483</v>
      </c>
      <c r="EG71" s="1" t="n">
        <v>12419.9689</v>
      </c>
      <c r="EH71" s="1" t="n">
        <v>14192.9904</v>
      </c>
      <c r="EI71" s="1" t="n">
        <v>15311.2916</v>
      </c>
      <c r="EJ71" s="1" t="n">
        <v>15309.3634</v>
      </c>
      <c r="EK71" s="1" t="n">
        <v>14258.3219</v>
      </c>
      <c r="EL71" s="1" t="n">
        <v>14525.6014</v>
      </c>
      <c r="EM71" s="1" t="n">
        <v>17287.433</v>
      </c>
    </row>
    <row r="72">
      <c r="A72" s="2" t="inlineStr">
        <is>
          <t xml:space="preserve">    划分为持有待售的资产</t>
        </is>
      </c>
      <c r="ED72" s="1" t="n">
        <v>0</v>
      </c>
      <c r="EH72" s="1" t="n">
        <v>0</v>
      </c>
      <c r="EM72" s="1" t="inlineStr"/>
    </row>
    <row r="73">
      <c r="A73" s="2" t="inlineStr">
        <is>
          <t xml:space="preserve">    一年内到期的非流动资产</t>
        </is>
      </c>
      <c r="N73" s="1" t="n">
        <v>396.5</v>
      </c>
      <c r="Q73" s="1" t="n">
        <v>57.4049</v>
      </c>
      <c r="R73" s="1" t="n">
        <v>931.7064</v>
      </c>
      <c r="S73" s="1" t="n">
        <v>530.9023999999999</v>
      </c>
      <c r="T73" s="1" t="n">
        <v>2341.3795</v>
      </c>
      <c r="AN73" s="1" t="n">
        <v>8.5</v>
      </c>
      <c r="AQ73" s="1" t="n">
        <v>28.7</v>
      </c>
      <c r="AR73" s="1" t="n">
        <v>784.75</v>
      </c>
      <c r="AS73" s="1" t="n">
        <v>452.25</v>
      </c>
      <c r="AT73" s="1" t="n"/>
      <c r="DL73" s="1" t="n">
        <v>425</v>
      </c>
      <c r="DM73" s="1" t="n">
        <v>396.5</v>
      </c>
      <c r="DN73" s="1" t="n">
        <v>8.5</v>
      </c>
      <c r="DO73" s="1" t="n">
        <v>8.5</v>
      </c>
      <c r="DY73" s="1" t="n">
        <v>57.4049</v>
      </c>
      <c r="DZ73" s="1" t="n">
        <v>43.0537</v>
      </c>
      <c r="EA73" s="1" t="n">
        <v>28.7024</v>
      </c>
      <c r="EB73" s="1" t="n">
        <v>14.3512</v>
      </c>
      <c r="EC73" s="1" t="n">
        <v>931.7064</v>
      </c>
      <c r="ED73" s="1" t="n">
        <v>759.4724</v>
      </c>
      <c r="EE73" s="1" t="n">
        <v>784.7539</v>
      </c>
      <c r="EF73" s="1" t="n">
        <v>666.2065</v>
      </c>
      <c r="EG73" s="1" t="n">
        <v>530.9023999999999</v>
      </c>
      <c r="EH73" s="1" t="n">
        <v>454.4226</v>
      </c>
      <c r="EI73" s="1" t="n">
        <v>452.2535</v>
      </c>
      <c r="EJ73" s="1" t="n">
        <v>2217.5139</v>
      </c>
      <c r="EK73" s="1" t="n">
        <v>2341.3795</v>
      </c>
      <c r="EL73" s="1" t="n">
        <v>3028.1692</v>
      </c>
      <c r="EM73" s="1" t="n">
        <v>719.625</v>
      </c>
    </row>
    <row r="74">
      <c r="A74" s="2" t="inlineStr">
        <is>
          <t xml:space="preserve">    待摊费用</t>
        </is>
      </c>
      <c r="AA74" s="1" t="n">
        <v>2.29</v>
      </c>
      <c r="BN74" s="1" t="n">
        <v>0.191</v>
      </c>
      <c r="BO74" s="1" t="n">
        <v>2.2904</v>
      </c>
      <c r="EM74" s="1" t="inlineStr"/>
    </row>
    <row r="75">
      <c r="A75" s="2" t="inlineStr">
        <is>
          <t xml:space="preserve">    其他流动资产</t>
        </is>
      </c>
      <c r="K75" s="1" t="n">
        <v>335.3737</v>
      </c>
      <c r="L75" s="1" t="n">
        <v>293.0778</v>
      </c>
      <c r="M75" s="1" t="n">
        <v>308.1837</v>
      </c>
      <c r="N75" s="1" t="n">
        <v>470.4397</v>
      </c>
      <c r="O75" s="1" t="n">
        <v>913.5676999999999</v>
      </c>
      <c r="P75" s="1" t="n">
        <v>965.8337</v>
      </c>
      <c r="Q75" s="1" t="n">
        <v>840.2644</v>
      </c>
      <c r="R75" s="1" t="n">
        <v>947.4263</v>
      </c>
      <c r="S75" s="1" t="n">
        <v>1450.1206</v>
      </c>
      <c r="T75" s="1" t="n">
        <v>1317.1024</v>
      </c>
      <c r="AI75" s="1" t="n">
        <v>1.25</v>
      </c>
      <c r="AJ75" s="1" t="n">
        <v>1.06</v>
      </c>
      <c r="AK75" s="1" t="n">
        <v>230.94</v>
      </c>
      <c r="AL75" s="1" t="n">
        <v>406.01</v>
      </c>
      <c r="AM75" s="1" t="n">
        <v>1939.01</v>
      </c>
      <c r="AN75" s="1" t="n">
        <v>441.75</v>
      </c>
      <c r="AO75" s="1" t="n">
        <v>982.42</v>
      </c>
      <c r="AP75" s="1" t="n">
        <v>1075.68</v>
      </c>
      <c r="AQ75" s="1" t="n">
        <v>686.15</v>
      </c>
      <c r="AR75" s="1" t="n">
        <v>889.54</v>
      </c>
      <c r="AS75" s="1" t="n">
        <v>1377.69</v>
      </c>
      <c r="AT75" s="1" t="n"/>
      <c r="CJ75" s="1" t="n">
        <v>0.2179</v>
      </c>
      <c r="CN75" s="1" t="n">
        <v>0.1484</v>
      </c>
      <c r="CT75" s="1" t="n">
        <v>0.6021</v>
      </c>
      <c r="CU75" s="1" t="n">
        <v>1.2536</v>
      </c>
      <c r="CV75" s="1" t="n">
        <v>1.6157</v>
      </c>
      <c r="CX75" s="1" t="n">
        <v>8.3688</v>
      </c>
      <c r="CY75" s="1" t="n">
        <v>1.0637</v>
      </c>
      <c r="CZ75" s="1" t="n">
        <v>1.3288</v>
      </c>
      <c r="DA75" s="1" t="n">
        <v>335.3737</v>
      </c>
      <c r="DB75" s="1" t="n">
        <v>175.0673</v>
      </c>
      <c r="DC75" s="1" t="n">
        <v>230.9423</v>
      </c>
      <c r="DD75" s="1" t="n">
        <v>221.9719</v>
      </c>
      <c r="DE75" s="1" t="n">
        <v>293.0778</v>
      </c>
      <c r="DF75" s="1" t="n">
        <v>303.9269</v>
      </c>
      <c r="DG75" s="1" t="n">
        <v>406.0108</v>
      </c>
      <c r="DH75" s="1" t="n">
        <v>363.4671</v>
      </c>
      <c r="DI75" s="1" t="n">
        <v>308.1837</v>
      </c>
      <c r="DJ75" s="1" t="n">
        <v>304.1826</v>
      </c>
      <c r="DK75" s="1" t="n">
        <v>1939.0076</v>
      </c>
      <c r="DL75" s="1" t="n">
        <v>2604.6787</v>
      </c>
      <c r="DM75" s="1" t="n">
        <v>470.4397</v>
      </c>
      <c r="DN75" s="1" t="n">
        <v>463.6816</v>
      </c>
      <c r="DO75" s="1" t="n">
        <v>441.7515</v>
      </c>
      <c r="DP75" s="1" t="n">
        <v>440.1555</v>
      </c>
      <c r="DQ75" s="1" t="n">
        <v>913.5676999999999</v>
      </c>
      <c r="DR75" s="1" t="n">
        <v>1137.743</v>
      </c>
      <c r="DS75" s="1" t="n">
        <v>982.4153</v>
      </c>
      <c r="DT75" s="1" t="n">
        <v>856.4884</v>
      </c>
      <c r="DU75" s="1" t="n">
        <v>965.8337</v>
      </c>
      <c r="DV75" s="1" t="n">
        <v>1136.3983</v>
      </c>
      <c r="DW75" s="1" t="n">
        <v>1075.6777</v>
      </c>
      <c r="DX75" s="1" t="n">
        <v>911.0832</v>
      </c>
      <c r="DY75" s="1" t="n">
        <v>840.2644</v>
      </c>
      <c r="DZ75" s="1" t="n">
        <v>826.5682</v>
      </c>
      <c r="EA75" s="1" t="n">
        <v>686.1489</v>
      </c>
      <c r="EB75" s="1" t="n">
        <v>1130.9073</v>
      </c>
      <c r="EC75" s="1" t="n">
        <v>947.4263</v>
      </c>
      <c r="ED75" s="1" t="n">
        <v>859.6251</v>
      </c>
      <c r="EE75" s="1" t="n">
        <v>889.5357</v>
      </c>
      <c r="EF75" s="1" t="n">
        <v>1063.7214</v>
      </c>
      <c r="EG75" s="1" t="n">
        <v>1450.1206</v>
      </c>
      <c r="EH75" s="1" t="n">
        <v>1696.4252</v>
      </c>
      <c r="EI75" s="1" t="n">
        <v>1377.6864</v>
      </c>
      <c r="EJ75" s="1" t="n">
        <v>1262.3883</v>
      </c>
      <c r="EK75" s="1" t="n">
        <v>1317.1024</v>
      </c>
      <c r="EL75" s="1" t="n">
        <v>1532.1985</v>
      </c>
      <c r="EM75" s="1" t="n">
        <v>2248.59</v>
      </c>
    </row>
    <row r="76">
      <c r="A76" s="2" t="inlineStr">
        <is>
          <t xml:space="preserve">        其他金融类流动资产</t>
        </is>
      </c>
      <c r="N76" s="1" t="n">
        <v>300</v>
      </c>
      <c r="O76" s="1" t="n">
        <v>469.762</v>
      </c>
      <c r="Q76" s="1" t="n">
        <v>2331.5364</v>
      </c>
      <c r="R76" s="1" t="n">
        <v>30</v>
      </c>
      <c r="T76" s="1" t="n">
        <v>836.5297</v>
      </c>
      <c r="AR76" s="1" t="n">
        <v>2072.26</v>
      </c>
      <c r="AS76" s="1" t="n">
        <v>788.4400000000001</v>
      </c>
      <c r="AT76" s="1" t="n"/>
      <c r="DM76" s="1" t="n">
        <v>300</v>
      </c>
      <c r="DN76" s="1" t="n">
        <v>1433.6675</v>
      </c>
      <c r="DP76" s="1" t="n">
        <v>400</v>
      </c>
      <c r="DQ76" s="1" t="n">
        <v>469.762</v>
      </c>
      <c r="DR76" s="1" t="n">
        <v>300</v>
      </c>
      <c r="DX76" s="1" t="n">
        <v>1879.708</v>
      </c>
      <c r="DY76" s="1" t="n">
        <v>2331.5364</v>
      </c>
      <c r="DZ76" s="1" t="n">
        <v>2488.8114</v>
      </c>
      <c r="EB76" s="1" t="n">
        <v>400</v>
      </c>
      <c r="EC76" s="1" t="n">
        <v>30</v>
      </c>
      <c r="ED76" s="1" t="n">
        <v>300</v>
      </c>
      <c r="EE76" s="1" t="n">
        <v>2072.258</v>
      </c>
      <c r="EF76" s="1" t="n">
        <v>2015.394</v>
      </c>
      <c r="EH76" s="1" t="n">
        <v>285.8292</v>
      </c>
      <c r="EI76" s="1" t="n">
        <v>788.4428</v>
      </c>
      <c r="EJ76" s="1" t="n">
        <v>1106.2178</v>
      </c>
      <c r="EK76" s="1" t="n">
        <v>836.5297</v>
      </c>
      <c r="EL76" s="1" t="n">
        <v>1123.7554</v>
      </c>
      <c r="EM76" s="1" t="n">
        <v>1460.598</v>
      </c>
    </row>
    <row r="77">
      <c r="A77" s="2" t="inlineStr">
        <is>
          <t xml:space="preserve">    流动资产差额(特殊报表科目)</t>
        </is>
      </c>
      <c r="AQ77" s="1" t="n">
        <v>1017.11</v>
      </c>
      <c r="EA77" s="1" t="n">
        <v>1017.114</v>
      </c>
      <c r="EM77" s="1" t="inlineStr"/>
    </row>
    <row r="78">
      <c r="A78" s="2" t="inlineStr">
        <is>
          <t xml:space="preserve">    流动资产差额(合计平衡项目)</t>
        </is>
      </c>
      <c r="AA78" s="1" t="n">
        <v>0</v>
      </c>
      <c r="BN78" s="1" t="n">
        <v>0</v>
      </c>
      <c r="BO78" s="1" t="n">
        <v>0</v>
      </c>
      <c r="BP78" s="1" t="n">
        <v>0</v>
      </c>
      <c r="EM78" s="1" t="inlineStr"/>
    </row>
    <row r="79">
      <c r="A79" s="3" t="inlineStr">
        <is>
          <t xml:space="preserve">    流动资产合计</t>
        </is>
      </c>
      <c r="B79" s="1" t="n">
        <v>28122.3599</v>
      </c>
      <c r="C79" s="1" t="n">
        <v>32539.8022</v>
      </c>
      <c r="D79" s="1" t="n">
        <v>51164.7389</v>
      </c>
      <c r="E79" s="1" t="n">
        <v>62744.6789</v>
      </c>
      <c r="F79" s="1" t="n">
        <v>69459.0622</v>
      </c>
      <c r="G79" s="1" t="n">
        <v>68864.3024</v>
      </c>
      <c r="H79" s="1" t="n">
        <v>64624.3042</v>
      </c>
      <c r="I79" s="1" t="n">
        <v>64448.5835</v>
      </c>
      <c r="J79" s="1" t="n">
        <v>72492.72470000001</v>
      </c>
      <c r="K79" s="1" t="n">
        <v>73953.1952</v>
      </c>
      <c r="L79" s="1" t="n">
        <v>72637.0754</v>
      </c>
      <c r="M79" s="1" t="n">
        <v>67702.5269</v>
      </c>
      <c r="N79" s="1" t="n">
        <v>73555.6957</v>
      </c>
      <c r="O79" s="1" t="n">
        <v>69398.89230000001</v>
      </c>
      <c r="P79" s="1" t="n">
        <v>70673.25780000001</v>
      </c>
      <c r="Q79" s="1" t="n">
        <v>69854.60950000001</v>
      </c>
      <c r="R79" s="1" t="n">
        <v>67409.87059999999</v>
      </c>
      <c r="S79" s="1" t="n">
        <v>75689.3275</v>
      </c>
      <c r="T79" s="1" t="n">
        <v>93779.78230000001</v>
      </c>
      <c r="Z79" s="1">
        <f>Model!AI54-AB79</f>
        <v/>
      </c>
      <c r="AA79" s="1" t="n">
        <v>7903.46</v>
      </c>
      <c r="AB79" s="1" t="n">
        <v>8642.91</v>
      </c>
      <c r="AC79" s="1" t="n">
        <v>42873.81</v>
      </c>
      <c r="AD79" s="1" t="n">
        <v>57409.48</v>
      </c>
      <c r="AE79" s="1" t="n">
        <v>66156.48</v>
      </c>
      <c r="AF79" s="1" t="n">
        <v>73270.66</v>
      </c>
      <c r="AG79" s="1" t="n">
        <v>65893.38</v>
      </c>
      <c r="AH79" s="1" t="n">
        <v>63444.09</v>
      </c>
      <c r="AI79" s="1" t="n">
        <v>65618</v>
      </c>
      <c r="AJ79" s="1" t="n">
        <v>70494.11</v>
      </c>
      <c r="AK79" s="1" t="n">
        <v>73687.78999999999</v>
      </c>
      <c r="AL79" s="1" t="n">
        <v>70097.69</v>
      </c>
      <c r="AM79" s="1" t="n">
        <v>73353.00999999999</v>
      </c>
      <c r="AN79" s="1" t="n">
        <v>66369.47</v>
      </c>
      <c r="AO79" s="1" t="n">
        <v>71171.34</v>
      </c>
      <c r="AP79" s="1" t="n">
        <v>75639.41</v>
      </c>
      <c r="AQ79" s="1" t="n">
        <v>66133.34</v>
      </c>
      <c r="AR79" s="1" t="n">
        <v>81272.78</v>
      </c>
      <c r="AS79" s="1" t="n">
        <v>83665.82000000001</v>
      </c>
      <c r="AT79" s="1" t="n"/>
      <c r="BN79" s="1" t="n">
        <v>7942.2133</v>
      </c>
      <c r="BO79" s="1" t="n">
        <v>7903.4595</v>
      </c>
      <c r="BP79" s="1" t="n">
        <v>7981.0475</v>
      </c>
      <c r="BQ79" s="1" t="n">
        <v>28122.3599</v>
      </c>
      <c r="BR79" s="1" t="n">
        <v>8611.6564</v>
      </c>
      <c r="BS79" s="1" t="n">
        <v>8642.9067</v>
      </c>
      <c r="BT79" s="1" t="n">
        <v>8823.674499999999</v>
      </c>
      <c r="BU79" s="1" t="n">
        <v>32539.8022</v>
      </c>
      <c r="BV79" s="1" t="n">
        <v>36381.8006</v>
      </c>
      <c r="BW79" s="1" t="n">
        <v>42873.8069</v>
      </c>
      <c r="BX79" s="1" t="n">
        <v>48319.1167</v>
      </c>
      <c r="BY79" s="1" t="n">
        <v>51164.7389</v>
      </c>
      <c r="BZ79" s="1" t="n">
        <v>53649.812</v>
      </c>
      <c r="CA79" s="1" t="n">
        <v>57409.484</v>
      </c>
      <c r="CB79" s="1" t="n">
        <v>61552.7265</v>
      </c>
      <c r="CC79" s="1" t="n">
        <v>62744.6789</v>
      </c>
      <c r="CD79" s="1" t="n">
        <v>63431.8358</v>
      </c>
      <c r="CE79" s="1" t="n">
        <v>66156.4813</v>
      </c>
      <c r="CF79" s="1" t="n">
        <v>70154.1102</v>
      </c>
      <c r="CG79" s="1" t="n">
        <v>69459.0622</v>
      </c>
      <c r="CH79" s="1" t="n">
        <v>71116.9767</v>
      </c>
      <c r="CI79" s="1" t="n">
        <v>73270.6605</v>
      </c>
      <c r="CJ79" s="1" t="n">
        <v>74627.2156</v>
      </c>
      <c r="CK79" s="1" t="n">
        <v>68864.3024</v>
      </c>
      <c r="CL79" s="1" t="n">
        <v>66390.34179999999</v>
      </c>
      <c r="CM79" s="1" t="n">
        <v>65893.3759</v>
      </c>
      <c r="CN79" s="1" t="n">
        <v>64918.313</v>
      </c>
      <c r="CO79" s="1" t="n">
        <v>64624.3042</v>
      </c>
      <c r="CP79" s="1" t="n">
        <v>64370.246</v>
      </c>
      <c r="CQ79" s="1" t="n">
        <v>63444.0858</v>
      </c>
      <c r="CR79" s="1" t="n">
        <v>64573.4252</v>
      </c>
      <c r="CS79" s="1" t="n">
        <v>64448.5835</v>
      </c>
      <c r="CT79" s="1" t="n">
        <v>65282.3749</v>
      </c>
      <c r="CU79" s="1" t="n">
        <v>65617.9982</v>
      </c>
      <c r="CV79" s="1" t="n">
        <v>72088.39750000001</v>
      </c>
      <c r="CW79" s="1" t="n">
        <v>72492.72470000001</v>
      </c>
      <c r="CX79" s="1" t="n">
        <v>71718.12059999999</v>
      </c>
      <c r="CY79" s="1" t="n">
        <v>70494.10799999999</v>
      </c>
      <c r="CZ79" s="1" t="n">
        <v>71698.3959</v>
      </c>
      <c r="DA79" s="1" t="n">
        <v>73953.1952</v>
      </c>
      <c r="DB79" s="1" t="n">
        <v>74045.0782</v>
      </c>
      <c r="DC79" s="1" t="n">
        <v>73687.7916</v>
      </c>
      <c r="DD79" s="1" t="n">
        <v>75403.0432</v>
      </c>
      <c r="DE79" s="1" t="n">
        <v>72637.0754</v>
      </c>
      <c r="DF79" s="1" t="n">
        <v>71908.2787</v>
      </c>
      <c r="DG79" s="1" t="n">
        <v>70097.6917</v>
      </c>
      <c r="DH79" s="1" t="n">
        <v>68242.0423</v>
      </c>
      <c r="DI79" s="1" t="n">
        <v>67702.5269</v>
      </c>
      <c r="DJ79" s="1" t="n">
        <v>66213.87669999999</v>
      </c>
      <c r="DK79" s="1" t="n">
        <v>73353.0141</v>
      </c>
      <c r="DL79" s="1" t="n">
        <v>73993.4411</v>
      </c>
      <c r="DM79" s="1" t="n">
        <v>73555.6957</v>
      </c>
      <c r="DN79" s="1" t="n">
        <v>69770.92539999999</v>
      </c>
      <c r="DO79" s="1" t="n">
        <v>66369.4666</v>
      </c>
      <c r="DP79" s="1" t="n">
        <v>69958.6578</v>
      </c>
      <c r="DQ79" s="1" t="n">
        <v>69398.89230000001</v>
      </c>
      <c r="DR79" s="1" t="n">
        <v>69107.3266</v>
      </c>
      <c r="DS79" s="1" t="n">
        <v>71171.33719999999</v>
      </c>
      <c r="DT79" s="1" t="n">
        <v>69909.2317</v>
      </c>
      <c r="DU79" s="1" t="n">
        <v>70673.25780000001</v>
      </c>
      <c r="DV79" s="1" t="n">
        <v>70684.2662</v>
      </c>
      <c r="DW79" s="1" t="n">
        <v>75639.4118</v>
      </c>
      <c r="DX79" s="1" t="n">
        <v>72699.58560000001</v>
      </c>
      <c r="DY79" s="1" t="n">
        <v>69854.60950000001</v>
      </c>
      <c r="DZ79" s="1" t="n">
        <v>69919.90300000001</v>
      </c>
      <c r="EA79" s="1" t="n">
        <v>66133.3351</v>
      </c>
      <c r="EB79" s="1" t="n">
        <v>69897.2726</v>
      </c>
      <c r="EC79" s="1" t="n">
        <v>67409.87059999999</v>
      </c>
      <c r="ED79" s="1" t="n">
        <v>72025.81140000001</v>
      </c>
      <c r="EE79" s="1" t="n">
        <v>81272.7807</v>
      </c>
      <c r="EF79" s="1" t="n">
        <v>83208.25719999999</v>
      </c>
      <c r="EG79" s="1" t="n">
        <v>75689.3275</v>
      </c>
      <c r="EH79" s="1" t="n">
        <v>80471.3833</v>
      </c>
      <c r="EI79" s="1" t="n">
        <v>83665.8229</v>
      </c>
      <c r="EJ79" s="1" t="n">
        <v>83188.6835</v>
      </c>
      <c r="EK79" s="1" t="n">
        <v>93779.78230000001</v>
      </c>
      <c r="EL79" s="1" t="n">
        <v>103775.1864</v>
      </c>
      <c r="EM79" s="1" t="n">
        <v>109233.007</v>
      </c>
    </row>
    <row r="80">
      <c r="A80" s="3" t="inlineStr">
        <is>
          <t>非流动资产：</t>
        </is>
      </c>
      <c r="EM80" s="1" t="inlineStr"/>
    </row>
    <row r="81">
      <c r="A81" s="2" t="inlineStr">
        <is>
          <t xml:space="preserve">    发放贷款及垫款</t>
        </is>
      </c>
      <c r="N81" s="1" t="n">
        <v>430.6639</v>
      </c>
      <c r="O81" s="1" t="n">
        <v>1025.1528</v>
      </c>
      <c r="P81" s="1" t="n">
        <v>1927.9193</v>
      </c>
      <c r="Q81" s="1" t="n">
        <v>3240.9985</v>
      </c>
      <c r="R81" s="1" t="n">
        <v>4548.7839</v>
      </c>
      <c r="S81" s="1" t="n">
        <v>5618.0118</v>
      </c>
      <c r="T81" s="162" t="n">
        <v>4483.9111</v>
      </c>
      <c r="AM81" s="1" t="n">
        <v>175.68</v>
      </c>
      <c r="AN81" s="1" t="n">
        <v>944.6900000000001</v>
      </c>
      <c r="AO81" s="1" t="n">
        <v>1227.51</v>
      </c>
      <c r="AP81" s="1" t="n">
        <v>2128.58</v>
      </c>
      <c r="AQ81" s="1" t="n">
        <v>4425.33</v>
      </c>
      <c r="AR81" s="1" t="n">
        <v>5380.9</v>
      </c>
      <c r="AS81" s="1" t="n">
        <v>6252.17</v>
      </c>
      <c r="AT81" s="1" t="n"/>
      <c r="DK81" s="1" t="n">
        <v>175.675</v>
      </c>
      <c r="DL81" s="1" t="n">
        <v>296.6795</v>
      </c>
      <c r="DM81" s="1" t="n">
        <v>430.6639</v>
      </c>
      <c r="DN81" s="1" t="n">
        <v>767.8252</v>
      </c>
      <c r="DO81" s="1" t="n">
        <v>944.6872</v>
      </c>
      <c r="DP81" s="1" t="n">
        <v>976.2858</v>
      </c>
      <c r="DQ81" s="1" t="n">
        <v>1025.1528</v>
      </c>
      <c r="DR81" s="1" t="n">
        <v>1025.1528</v>
      </c>
      <c r="DS81" s="1" t="n">
        <v>1227.5119</v>
      </c>
      <c r="DT81" s="1" t="n">
        <v>1431.6807</v>
      </c>
      <c r="DU81" s="1" t="n">
        <v>1927.9193</v>
      </c>
      <c r="DV81" s="1" t="n">
        <v>1925.8763</v>
      </c>
      <c r="DW81" s="1" t="n">
        <v>2128.5831</v>
      </c>
      <c r="DX81" s="1" t="n">
        <v>2651.8788</v>
      </c>
      <c r="DY81" s="1" t="n">
        <v>3240.9985</v>
      </c>
      <c r="DZ81" s="1" t="n">
        <v>3473.1267</v>
      </c>
      <c r="EA81" s="1" t="n">
        <v>4425.3298</v>
      </c>
      <c r="EB81" s="1" t="n">
        <v>4020.1751</v>
      </c>
      <c r="EC81" s="1" t="n">
        <v>4548.7839</v>
      </c>
      <c r="ED81" s="1" t="n">
        <v>5067.7712</v>
      </c>
      <c r="EE81" s="1" t="n">
        <v>5380.8959</v>
      </c>
      <c r="EF81" s="1" t="n">
        <v>5360.2441</v>
      </c>
      <c r="EG81" s="1" t="n">
        <v>5618.0118</v>
      </c>
      <c r="EH81" s="1" t="n">
        <v>5682.128</v>
      </c>
      <c r="EI81" s="1" t="n">
        <v>6252.1655</v>
      </c>
      <c r="EJ81" s="1" t="n">
        <v>4024.7707</v>
      </c>
      <c r="EK81" s="1" t="n">
        <v>4483.9111</v>
      </c>
      <c r="EL81" s="1" t="n">
        <v>4237.8976</v>
      </c>
      <c r="EM81" s="1" t="n">
        <v>4463.09</v>
      </c>
    </row>
    <row r="82">
      <c r="A82" s="2" t="inlineStr">
        <is>
          <t xml:space="preserve">    以公允价值且其变动计入其他综合收益的金融资产</t>
        </is>
      </c>
      <c r="EM82" s="1" t="inlineStr"/>
    </row>
    <row r="83">
      <c r="A83" s="2" t="inlineStr">
        <is>
          <t xml:space="preserve">    以摊余成本计量的金融资产</t>
        </is>
      </c>
      <c r="EM83" s="1" t="inlineStr"/>
    </row>
    <row r="84">
      <c r="A84" s="2" t="inlineStr">
        <is>
          <t xml:space="preserve">    债权投资</t>
        </is>
      </c>
      <c r="N84" s="1" t="n">
        <v>4922.5298</v>
      </c>
      <c r="O84" s="1" t="n">
        <v>3756.1524</v>
      </c>
      <c r="P84" s="1" t="n">
        <v>9946.621300000001</v>
      </c>
      <c r="Q84" s="1" t="n">
        <v>12660.1835</v>
      </c>
      <c r="R84" s="1" t="n">
        <v>25380.1294</v>
      </c>
      <c r="S84" s="1" t="n">
        <v>19072.837</v>
      </c>
      <c r="T84" s="1" t="n">
        <v>19785.2852</v>
      </c>
      <c r="AM84" s="1" t="n">
        <v>426.46</v>
      </c>
      <c r="AN84" s="1" t="n">
        <v>6845.9</v>
      </c>
      <c r="AO84" s="1" t="n">
        <v>4923.1</v>
      </c>
      <c r="AP84" s="1" t="n">
        <v>5925.47</v>
      </c>
      <c r="AQ84" s="1" t="n">
        <v>21262.29</v>
      </c>
      <c r="AR84" s="1" t="n">
        <v>21101.36</v>
      </c>
      <c r="AS84" s="1" t="n">
        <v>19728.47</v>
      </c>
      <c r="AT84" s="1" t="n"/>
      <c r="DK84" s="1" t="n">
        <v>426.4577</v>
      </c>
      <c r="DL84" s="1" t="n">
        <v>495.2027</v>
      </c>
      <c r="DM84" s="1" t="n">
        <v>4922.5298</v>
      </c>
      <c r="DN84" s="1" t="n">
        <v>5348.8508</v>
      </c>
      <c r="DO84" s="1" t="n">
        <v>6845.9027</v>
      </c>
      <c r="DP84" s="1" t="n">
        <v>6070.726</v>
      </c>
      <c r="DQ84" s="1" t="n">
        <v>3756.1524</v>
      </c>
      <c r="DR84" s="1" t="n">
        <v>3224.2601</v>
      </c>
      <c r="DS84" s="1" t="n">
        <v>4923.1025</v>
      </c>
      <c r="DT84" s="1" t="n">
        <v>9843.409600000001</v>
      </c>
      <c r="DU84" s="1" t="n">
        <v>9946.621300000001</v>
      </c>
      <c r="DV84" s="1" t="n">
        <v>8398.3712</v>
      </c>
      <c r="DW84" s="1" t="n">
        <v>5925.4665</v>
      </c>
      <c r="DX84" s="1" t="n">
        <v>11602.3317</v>
      </c>
      <c r="DY84" s="1" t="n">
        <v>12660.1835</v>
      </c>
      <c r="DZ84" s="1" t="n">
        <v>12917.4604</v>
      </c>
      <c r="EA84" s="1" t="n">
        <v>21262.2909</v>
      </c>
      <c r="EB84" s="1" t="n">
        <v>21154.6382</v>
      </c>
      <c r="EC84" s="1" t="n">
        <v>25380.1294</v>
      </c>
      <c r="ED84" s="1" t="n">
        <v>22907.0035</v>
      </c>
      <c r="EE84" s="1" t="n">
        <v>21101.3606</v>
      </c>
      <c r="EF84" s="1" t="n">
        <v>19387.0777</v>
      </c>
      <c r="EG84" s="1" t="n">
        <v>19072.837</v>
      </c>
      <c r="EH84" s="1" t="n">
        <v>20605.1357</v>
      </c>
      <c r="EI84" s="1" t="n">
        <v>19728.4683</v>
      </c>
      <c r="EJ84" s="1" t="n">
        <v>28009.7458</v>
      </c>
      <c r="EK84" s="1" t="n">
        <v>19785.2852</v>
      </c>
      <c r="EL84" s="1" t="n">
        <v>16909.3661</v>
      </c>
      <c r="EM84" s="1" t="n">
        <v>17564.833</v>
      </c>
    </row>
    <row r="85">
      <c r="A85" s="2" t="inlineStr">
        <is>
          <t xml:space="preserve">    其他债权投资</t>
        </is>
      </c>
      <c r="AM85" s="1" t="n">
        <v>584.8</v>
      </c>
      <c r="DK85" s="1" t="n">
        <v>584.7989</v>
      </c>
      <c r="DL85" s="1" t="n">
        <v>536.0394</v>
      </c>
      <c r="ED85" s="1" t="n">
        <v>0</v>
      </c>
      <c r="EH85" s="1" t="n">
        <v>0</v>
      </c>
      <c r="EM85" s="1" t="inlineStr"/>
    </row>
    <row r="86">
      <c r="A86" s="2" t="inlineStr">
        <is>
          <t xml:space="preserve">    可供出售金融资产</t>
        </is>
      </c>
      <c r="F86" s="1" t="n">
        <v>381.0499</v>
      </c>
      <c r="G86" s="1" t="n">
        <v>308.9873</v>
      </c>
      <c r="H86" s="1" t="n">
        <v>413.0138</v>
      </c>
      <c r="I86" s="1" t="n">
        <v>289.7167</v>
      </c>
      <c r="J86" s="1" t="n">
        <v>11.8352</v>
      </c>
      <c r="K86" s="1" t="n">
        <v>3.1</v>
      </c>
      <c r="L86" s="1" t="n">
        <v>3.1</v>
      </c>
      <c r="M86" s="1" t="n">
        <v>3.7493</v>
      </c>
      <c r="T86" s="163" t="n"/>
      <c r="AF86" s="1" t="n">
        <v>307.93</v>
      </c>
      <c r="AG86" s="1" t="n">
        <v>434.03</v>
      </c>
      <c r="AH86" s="1" t="n">
        <v>315.45</v>
      </c>
      <c r="AI86" s="1" t="n">
        <v>331.21</v>
      </c>
      <c r="AJ86" s="1" t="n">
        <v>15.34</v>
      </c>
      <c r="AK86" s="1" t="n">
        <v>3.1</v>
      </c>
      <c r="AL86" s="1" t="n">
        <v>3.1</v>
      </c>
      <c r="CG86" s="1" t="n">
        <v>381.0499</v>
      </c>
      <c r="CH86" s="1" t="n">
        <v>369.5</v>
      </c>
      <c r="CI86" s="1" t="n">
        <v>307.9293</v>
      </c>
      <c r="CJ86" s="1" t="n">
        <v>244.2239</v>
      </c>
      <c r="CK86" s="1" t="n">
        <v>308.9873</v>
      </c>
      <c r="CL86" s="1" t="n">
        <v>680.3509</v>
      </c>
      <c r="CM86" s="1" t="n">
        <v>434.0255</v>
      </c>
      <c r="CN86" s="1" t="n">
        <v>375.1894</v>
      </c>
      <c r="CO86" s="1" t="n">
        <v>413.0138</v>
      </c>
      <c r="CP86" s="1" t="n">
        <v>407.9281</v>
      </c>
      <c r="CQ86" s="1" t="n">
        <v>315.4549</v>
      </c>
      <c r="CR86" s="1" t="n">
        <v>284.783</v>
      </c>
      <c r="CS86" s="1" t="n">
        <v>289.7167</v>
      </c>
      <c r="CT86" s="1" t="n">
        <v>300.3612</v>
      </c>
      <c r="CU86" s="1" t="n">
        <v>331.215</v>
      </c>
      <c r="CV86" s="1" t="n">
        <v>245.9981</v>
      </c>
      <c r="CW86" s="1" t="n">
        <v>11.8352</v>
      </c>
      <c r="CX86" s="1" t="n">
        <v>15.3352</v>
      </c>
      <c r="CY86" s="1" t="n">
        <v>15.3352</v>
      </c>
      <c r="CZ86" s="1" t="n">
        <v>15.3352</v>
      </c>
      <c r="DA86" s="1" t="n">
        <v>3.1</v>
      </c>
      <c r="DB86" s="1" t="n">
        <v>3.1</v>
      </c>
      <c r="DC86" s="1" t="n">
        <v>3.1</v>
      </c>
      <c r="DD86" s="1" t="n">
        <v>3.1</v>
      </c>
      <c r="DE86" s="1" t="n">
        <v>3.1</v>
      </c>
      <c r="DF86" s="1" t="n">
        <v>3.1</v>
      </c>
      <c r="DG86" s="1" t="n">
        <v>3.1</v>
      </c>
      <c r="DH86" s="1" t="n">
        <v>3.1</v>
      </c>
      <c r="DI86" s="1" t="n">
        <v>3.7493</v>
      </c>
      <c r="DJ86" s="1" t="n">
        <v>3.7493</v>
      </c>
      <c r="EM86" s="1" t="inlineStr"/>
    </row>
    <row r="87">
      <c r="A87" s="2" t="inlineStr">
        <is>
          <t xml:space="preserve">    其他权益工具投资</t>
        </is>
      </c>
      <c r="N87" s="1" t="n">
        <v>4.9899</v>
      </c>
      <c r="O87" s="1" t="n">
        <v>4.8899</v>
      </c>
      <c r="P87" s="1" t="n">
        <v>27.5446</v>
      </c>
      <c r="Q87" s="1" t="n">
        <v>52.3</v>
      </c>
      <c r="R87" s="1" t="n">
        <v>643.319</v>
      </c>
      <c r="S87" s="1" t="n">
        <v>495.8745</v>
      </c>
      <c r="T87" s="163" t="n">
        <v>544.5944</v>
      </c>
      <c r="AM87" s="1" t="n">
        <v>104.89</v>
      </c>
      <c r="AN87" s="1" t="n">
        <v>5.99</v>
      </c>
      <c r="AO87" s="1" t="n">
        <v>2.74</v>
      </c>
      <c r="AP87" s="1" t="n">
        <v>52.3</v>
      </c>
      <c r="AQ87" s="1" t="n">
        <v>72.3</v>
      </c>
      <c r="AR87" s="1" t="n">
        <v>540.8099999999999</v>
      </c>
      <c r="AS87" s="1" t="n">
        <v>1453.65</v>
      </c>
      <c r="AT87" s="1" t="n"/>
      <c r="DK87" s="1" t="n">
        <v>104.8932</v>
      </c>
      <c r="DL87" s="1" t="n">
        <v>106.6035</v>
      </c>
      <c r="DM87" s="1" t="n">
        <v>4.9899</v>
      </c>
      <c r="DN87" s="1" t="n">
        <v>4.9899</v>
      </c>
      <c r="DO87" s="1" t="n">
        <v>5.9899</v>
      </c>
      <c r="DP87" s="1" t="n">
        <v>5.9899</v>
      </c>
      <c r="DQ87" s="1" t="n">
        <v>4.8899</v>
      </c>
      <c r="DR87" s="1" t="n">
        <v>2.7446</v>
      </c>
      <c r="DS87" s="1" t="n">
        <v>2.7446</v>
      </c>
      <c r="DT87" s="1" t="n">
        <v>20.7446</v>
      </c>
      <c r="DU87" s="1" t="n">
        <v>27.5446</v>
      </c>
      <c r="DV87" s="1" t="n">
        <v>27.5446</v>
      </c>
      <c r="DW87" s="1" t="n">
        <v>52.3</v>
      </c>
      <c r="DX87" s="1" t="n">
        <v>52.3</v>
      </c>
      <c r="DY87" s="1" t="n">
        <v>52.3</v>
      </c>
      <c r="DZ87" s="1" t="n">
        <v>57.3</v>
      </c>
      <c r="EA87" s="1" t="n">
        <v>72.3</v>
      </c>
      <c r="EB87" s="1" t="n">
        <v>72.3</v>
      </c>
      <c r="EC87" s="1" t="n">
        <v>643.319</v>
      </c>
      <c r="ED87" s="1" t="n">
        <v>654.5207</v>
      </c>
      <c r="EE87" s="1" t="n">
        <v>540.8106</v>
      </c>
      <c r="EF87" s="1" t="n">
        <v>475.4489</v>
      </c>
      <c r="EG87" s="1" t="n">
        <v>495.8745</v>
      </c>
      <c r="EH87" s="1" t="n">
        <v>497.6298</v>
      </c>
      <c r="EI87" s="1" t="n">
        <v>1453.6544</v>
      </c>
      <c r="EJ87" s="1" t="n">
        <v>1503.0868</v>
      </c>
      <c r="EK87" s="1" t="n">
        <v>544.5944</v>
      </c>
      <c r="EL87" s="1" t="n">
        <v>520.3390000000001</v>
      </c>
      <c r="EM87" s="1" t="n">
        <v>540.126</v>
      </c>
    </row>
    <row r="88">
      <c r="A88" s="2" t="inlineStr">
        <is>
          <t xml:space="preserve">    持有至到期投资</t>
        </is>
      </c>
      <c r="EM88" s="1" t="inlineStr"/>
    </row>
    <row r="89">
      <c r="A89" s="2" t="inlineStr">
        <is>
          <t xml:space="preserve">    其他非流动金融资产</t>
        </is>
      </c>
      <c r="T89" s="163" t="n"/>
      <c r="ED89" s="1" t="n">
        <v>0</v>
      </c>
      <c r="EH89" s="1" t="n">
        <v>0</v>
      </c>
      <c r="EM89" s="1" t="inlineStr"/>
    </row>
    <row r="90">
      <c r="A90" s="2" t="inlineStr">
        <is>
          <t xml:space="preserve">    长期应收款</t>
        </is>
      </c>
      <c r="N90" s="1" t="n">
        <v>13.7755</v>
      </c>
      <c r="O90" s="1" t="n">
        <v>390.7383</v>
      </c>
      <c r="P90" s="1" t="n">
        <v>273.9647</v>
      </c>
      <c r="Q90" s="1" t="n">
        <v>552.2767</v>
      </c>
      <c r="R90" s="1" t="n">
        <v>175.0904</v>
      </c>
      <c r="S90" s="1" t="n">
        <v>201.4869</v>
      </c>
      <c r="T90" s="1" t="n">
        <v>21.8791</v>
      </c>
      <c r="AM90" s="1" t="n">
        <v>25.14</v>
      </c>
      <c r="AO90" s="1" t="n">
        <v>301.75</v>
      </c>
      <c r="AP90" s="1" t="n">
        <v>211.35</v>
      </c>
      <c r="AQ90" s="1" t="n">
        <v>1052.53</v>
      </c>
      <c r="AR90" s="1" t="n">
        <v>167.41</v>
      </c>
      <c r="AS90" s="1" t="n">
        <v>181.25</v>
      </c>
      <c r="AT90" s="1" t="n"/>
      <c r="DK90" s="1" t="n">
        <v>25.1444</v>
      </c>
      <c r="DL90" s="1" t="n">
        <v>3.9644</v>
      </c>
      <c r="DM90" s="1" t="n">
        <v>13.7755</v>
      </c>
      <c r="DN90" s="1" t="n">
        <v>13.4862</v>
      </c>
      <c r="DQ90" s="1" t="n">
        <v>390.7383</v>
      </c>
      <c r="DR90" s="1" t="n">
        <v>336.3638</v>
      </c>
      <c r="DS90" s="1" t="n">
        <v>301.7537</v>
      </c>
      <c r="DT90" s="1" t="n">
        <v>266.5732</v>
      </c>
      <c r="DU90" s="1" t="n">
        <v>273.9647</v>
      </c>
      <c r="DV90" s="1" t="n">
        <v>242.4354</v>
      </c>
      <c r="DW90" s="1" t="n">
        <v>211.3522</v>
      </c>
      <c r="DX90" s="1" t="n">
        <v>333.1837</v>
      </c>
      <c r="DY90" s="1" t="n">
        <v>552.2767</v>
      </c>
      <c r="DZ90" s="1" t="n">
        <v>752.8424</v>
      </c>
      <c r="EA90" s="1" t="n">
        <v>1052.5315</v>
      </c>
      <c r="EB90" s="1" t="n">
        <v>1126.4646</v>
      </c>
      <c r="EC90" s="1" t="n">
        <v>175.0904</v>
      </c>
      <c r="ED90" s="1" t="n">
        <v>164.993</v>
      </c>
      <c r="EE90" s="1" t="n">
        <v>167.4123</v>
      </c>
      <c r="EF90" s="1" t="n">
        <v>263.4381</v>
      </c>
      <c r="EG90" s="1" t="n">
        <v>201.4869</v>
      </c>
      <c r="EH90" s="1" t="n">
        <v>207.52</v>
      </c>
      <c r="EI90" s="1" t="n">
        <v>181.2537</v>
      </c>
      <c r="EJ90" s="1" t="n">
        <v>177.549</v>
      </c>
      <c r="EK90" s="1" t="n">
        <v>21.8791</v>
      </c>
      <c r="EL90" s="1" t="n">
        <v>9.7334</v>
      </c>
      <c r="EM90" s="1" t="n">
        <v>115.853</v>
      </c>
    </row>
    <row r="91">
      <c r="A91" s="2" t="inlineStr">
        <is>
          <t xml:space="preserve">    长期股权投资</t>
        </is>
      </c>
      <c r="B91" s="1" t="n">
        <v>209.3031</v>
      </c>
      <c r="C91" s="1" t="n">
        <v>351.4997</v>
      </c>
      <c r="D91" s="1" t="n">
        <v>319.9115</v>
      </c>
      <c r="E91" s="1" t="n">
        <v>237.6924</v>
      </c>
      <c r="F91" s="1" t="n">
        <v>325.4616</v>
      </c>
      <c r="G91" s="1" t="n">
        <v>456.0445</v>
      </c>
      <c r="H91" s="1" t="n">
        <v>590.4194</v>
      </c>
      <c r="I91" s="1" t="n">
        <v>801.2299</v>
      </c>
      <c r="J91" s="1" t="n">
        <v>974.9109999999999</v>
      </c>
      <c r="K91" s="1" t="n">
        <v>1066.0137</v>
      </c>
      <c r="L91" s="1" t="n">
        <v>1447.2457</v>
      </c>
      <c r="M91" s="1" t="n">
        <v>1405.3323</v>
      </c>
      <c r="N91" s="1" t="n">
        <v>1516.6343</v>
      </c>
      <c r="O91" s="1" t="n">
        <v>1717.6501</v>
      </c>
      <c r="P91" s="1" t="n">
        <v>1775.7701</v>
      </c>
      <c r="Q91" s="1" t="n">
        <v>2289.5937</v>
      </c>
      <c r="R91" s="1" t="n">
        <v>2398.3214</v>
      </c>
      <c r="S91" s="1" t="n">
        <v>1783.0807</v>
      </c>
      <c r="T91" s="1" t="n">
        <v>2924.0138</v>
      </c>
      <c r="AA91" s="1" t="n">
        <v>15.65</v>
      </c>
      <c r="AB91" s="1" t="n">
        <v>45.49</v>
      </c>
      <c r="AC91" s="1" t="n">
        <v>343.91</v>
      </c>
      <c r="AD91" s="1" t="n">
        <v>377.57</v>
      </c>
      <c r="AE91" s="1" t="n">
        <v>242.21</v>
      </c>
      <c r="AF91" s="1" t="n">
        <v>377.56</v>
      </c>
      <c r="AG91" s="1" t="n">
        <v>529</v>
      </c>
      <c r="AH91" s="1" t="n">
        <v>656.08</v>
      </c>
      <c r="AI91" s="1" t="n">
        <v>828.04</v>
      </c>
      <c r="AJ91" s="1" t="n">
        <v>1000.14</v>
      </c>
      <c r="AK91" s="1" t="n">
        <v>1224.83</v>
      </c>
      <c r="AL91" s="1" t="n">
        <v>1409.7</v>
      </c>
      <c r="AM91" s="1" t="n">
        <v>1580.99</v>
      </c>
      <c r="AN91" s="1" t="n">
        <v>1567.55</v>
      </c>
      <c r="AO91" s="1" t="n">
        <v>1775.2</v>
      </c>
      <c r="AP91" s="1" t="n">
        <v>2143.15</v>
      </c>
      <c r="AQ91" s="1" t="n">
        <v>2281.89</v>
      </c>
      <c r="AR91" s="1" t="n">
        <v>2602.42</v>
      </c>
      <c r="AS91" s="1" t="n">
        <v>1892.82</v>
      </c>
      <c r="AT91" s="1" t="n"/>
      <c r="BN91" s="1" t="n">
        <v>7.1083</v>
      </c>
      <c r="BO91" s="1" t="n">
        <v>15.6467</v>
      </c>
      <c r="BP91" s="1" t="n">
        <v>24.1852</v>
      </c>
      <c r="BQ91" s="1" t="n">
        <v>209.3031</v>
      </c>
      <c r="BR91" s="1" t="n">
        <v>43.8104</v>
      </c>
      <c r="BS91" s="1" t="n">
        <v>45.4909</v>
      </c>
      <c r="BT91" s="1" t="n">
        <v>39.5881</v>
      </c>
      <c r="BU91" s="1" t="n">
        <v>351.4997</v>
      </c>
      <c r="BV91" s="1" t="n">
        <v>348.4043</v>
      </c>
      <c r="BW91" s="1" t="n">
        <v>343.905</v>
      </c>
      <c r="BX91" s="1" t="n">
        <v>328.8461</v>
      </c>
      <c r="BY91" s="1" t="n">
        <v>319.9115</v>
      </c>
      <c r="BZ91" s="1" t="n">
        <v>309.3266</v>
      </c>
      <c r="CA91" s="1" t="n">
        <v>377.5695</v>
      </c>
      <c r="CB91" s="1" t="n">
        <v>339.6986</v>
      </c>
      <c r="CC91" s="1" t="n">
        <v>237.6924</v>
      </c>
      <c r="CD91" s="1" t="n">
        <v>244.0205</v>
      </c>
      <c r="CE91" s="1" t="n">
        <v>242.2095</v>
      </c>
      <c r="CF91" s="1" t="n">
        <v>267.2966</v>
      </c>
      <c r="CG91" s="1" t="n">
        <v>325.4616</v>
      </c>
      <c r="CH91" s="1" t="n">
        <v>345.192</v>
      </c>
      <c r="CI91" s="1" t="n">
        <v>377.5578</v>
      </c>
      <c r="CJ91" s="1" t="n">
        <v>408.1294</v>
      </c>
      <c r="CK91" s="1" t="n">
        <v>456.0445</v>
      </c>
      <c r="CL91" s="1" t="n">
        <v>476.5644</v>
      </c>
      <c r="CM91" s="1" t="n">
        <v>528.9996</v>
      </c>
      <c r="CN91" s="1" t="n">
        <v>530.3449000000001</v>
      </c>
      <c r="CO91" s="1" t="n">
        <v>590.4194</v>
      </c>
      <c r="CP91" s="1" t="n">
        <v>599.2619999999999</v>
      </c>
      <c r="CQ91" s="1" t="n">
        <v>656.0837</v>
      </c>
      <c r="CR91" s="1" t="n">
        <v>729.3473</v>
      </c>
      <c r="CS91" s="1" t="n">
        <v>801.2299</v>
      </c>
      <c r="CT91" s="1" t="n">
        <v>819.2639</v>
      </c>
      <c r="CU91" s="1" t="n">
        <v>828.0398</v>
      </c>
      <c r="CV91" s="1" t="n">
        <v>938.1662</v>
      </c>
      <c r="CW91" s="1" t="n">
        <v>974.9109999999999</v>
      </c>
      <c r="CX91" s="1" t="n">
        <v>992.9041</v>
      </c>
      <c r="CY91" s="1" t="n">
        <v>1000.141</v>
      </c>
      <c r="CZ91" s="1" t="n">
        <v>1057.3811</v>
      </c>
      <c r="DA91" s="1" t="n">
        <v>1066.0137</v>
      </c>
      <c r="DB91" s="1" t="n">
        <v>1083.8333</v>
      </c>
      <c r="DC91" s="1" t="n">
        <v>1224.8309</v>
      </c>
      <c r="DD91" s="1" t="n">
        <v>1403.811</v>
      </c>
      <c r="DE91" s="1" t="n">
        <v>1447.2457</v>
      </c>
      <c r="DF91" s="1" t="n">
        <v>1463.1337</v>
      </c>
      <c r="DG91" s="1" t="n">
        <v>1409.6996</v>
      </c>
      <c r="DH91" s="1" t="n">
        <v>1414.8902</v>
      </c>
      <c r="DI91" s="1" t="n">
        <v>1405.3323</v>
      </c>
      <c r="DJ91" s="1" t="n">
        <v>1455.393</v>
      </c>
      <c r="DK91" s="1" t="n">
        <v>1580.9859</v>
      </c>
      <c r="DL91" s="1" t="n">
        <v>1520.0934</v>
      </c>
      <c r="DM91" s="1" t="n">
        <v>1516.6343</v>
      </c>
      <c r="DN91" s="1" t="n">
        <v>1545.7571</v>
      </c>
      <c r="DO91" s="1" t="n">
        <v>1567.549</v>
      </c>
      <c r="DP91" s="1" t="n">
        <v>1504.6458</v>
      </c>
      <c r="DQ91" s="1" t="n">
        <v>1717.6501</v>
      </c>
      <c r="DR91" s="1" t="n">
        <v>1749.4257</v>
      </c>
      <c r="DS91" s="1" t="n">
        <v>1775.2025</v>
      </c>
      <c r="DT91" s="1" t="n">
        <v>1690.7416</v>
      </c>
      <c r="DU91" s="1" t="n">
        <v>1775.7701</v>
      </c>
      <c r="DV91" s="1" t="n">
        <v>2331.3924</v>
      </c>
      <c r="DW91" s="1" t="n">
        <v>2143.1494</v>
      </c>
      <c r="DX91" s="1" t="n">
        <v>2191.4485</v>
      </c>
      <c r="DY91" s="1" t="n">
        <v>2289.5937</v>
      </c>
      <c r="DZ91" s="1" t="n">
        <v>2363.4586</v>
      </c>
      <c r="EA91" s="1" t="n">
        <v>2281.8865</v>
      </c>
      <c r="EB91" s="1" t="n">
        <v>2286.6843</v>
      </c>
      <c r="EC91" s="1" t="n">
        <v>2398.3214</v>
      </c>
      <c r="ED91" s="1" t="n">
        <v>2526.72</v>
      </c>
      <c r="EE91" s="1" t="n">
        <v>2602.4188</v>
      </c>
      <c r="EF91" s="1" t="n">
        <v>2610.5324</v>
      </c>
      <c r="EG91" s="1" t="n">
        <v>1783.0807</v>
      </c>
      <c r="EH91" s="1" t="n">
        <v>1859.3335</v>
      </c>
      <c r="EI91" s="1" t="n">
        <v>1892.8248</v>
      </c>
      <c r="EJ91" s="1" t="n">
        <v>2015.1565</v>
      </c>
      <c r="EK91" s="1" t="n">
        <v>2924.0138</v>
      </c>
      <c r="EL91" s="1" t="n">
        <v>2928.0482</v>
      </c>
      <c r="EM91" s="1" t="n">
        <v>2695.098</v>
      </c>
    </row>
    <row r="92">
      <c r="A92" s="2" t="inlineStr">
        <is>
          <t xml:space="preserve">    投资性房地产</t>
        </is>
      </c>
      <c r="B92" s="1" t="n">
        <v>37.308</v>
      </c>
      <c r="C92" s="1" t="n">
        <v>35.6816</v>
      </c>
      <c r="D92" s="1" t="n">
        <v>34.0419</v>
      </c>
      <c r="E92" s="1" t="n">
        <v>32.4022</v>
      </c>
      <c r="F92" s="1" t="n">
        <v>30.7614</v>
      </c>
      <c r="G92" s="1" t="n">
        <v>29.1204</v>
      </c>
      <c r="H92" s="1" t="n">
        <v>27.4795</v>
      </c>
      <c r="I92" s="1" t="n">
        <v>72.79859999999999</v>
      </c>
      <c r="J92" s="1" t="n">
        <v>74.0617</v>
      </c>
      <c r="K92" s="1" t="n">
        <v>70.5609</v>
      </c>
      <c r="L92" s="1" t="n">
        <v>111.9429</v>
      </c>
      <c r="M92" s="1" t="n">
        <v>133.3064</v>
      </c>
      <c r="N92" s="1" t="n">
        <v>153.8167</v>
      </c>
      <c r="O92" s="1" t="n">
        <v>175.4958</v>
      </c>
      <c r="P92" s="1" t="n">
        <v>162.9665</v>
      </c>
      <c r="Q92" s="1" t="n">
        <v>157.6601</v>
      </c>
      <c r="R92" s="1" t="n">
        <v>148.6218</v>
      </c>
      <c r="S92" s="1" t="n">
        <v>146.0499</v>
      </c>
      <c r="T92" s="1" t="n">
        <v>144.1957</v>
      </c>
      <c r="AB92" s="1" t="n">
        <v>25.47</v>
      </c>
      <c r="AC92" s="1" t="n">
        <v>34.86</v>
      </c>
      <c r="AD92" s="1" t="n">
        <v>33.23</v>
      </c>
      <c r="AE92" s="1" t="n">
        <v>31.58</v>
      </c>
      <c r="AF92" s="1" t="n">
        <v>29.94</v>
      </c>
      <c r="AG92" s="1" t="n">
        <v>28.3</v>
      </c>
      <c r="AH92" s="1" t="n">
        <v>26.66</v>
      </c>
      <c r="AI92" s="1" t="n">
        <v>71.04000000000001</v>
      </c>
      <c r="AJ92" s="1" t="n">
        <v>72.22</v>
      </c>
      <c r="AK92" s="1" t="n">
        <v>68.76000000000001</v>
      </c>
      <c r="AL92" s="1" t="n">
        <v>110.43</v>
      </c>
      <c r="AM92" s="1" t="n">
        <v>156.65</v>
      </c>
      <c r="AN92" s="1" t="n">
        <v>150.3</v>
      </c>
      <c r="AO92" s="1" t="n">
        <v>169.35</v>
      </c>
      <c r="AP92" s="1" t="n">
        <v>148.83</v>
      </c>
      <c r="AQ92" s="1" t="n">
        <v>154.02</v>
      </c>
      <c r="AR92" s="1" t="n">
        <v>149.66</v>
      </c>
      <c r="AS92" s="1" t="n">
        <v>264.62</v>
      </c>
      <c r="AT92" s="1" t="n"/>
      <c r="BQ92" s="1" t="n">
        <v>37.308</v>
      </c>
      <c r="BR92" s="1" t="n">
        <v>25.7501</v>
      </c>
      <c r="BS92" s="1" t="n">
        <v>25.471</v>
      </c>
      <c r="BT92" s="1" t="n">
        <v>25.1919</v>
      </c>
      <c r="BU92" s="1" t="n">
        <v>35.6816</v>
      </c>
      <c r="BV92" s="1" t="n">
        <v>35.2726</v>
      </c>
      <c r="BW92" s="1" t="n">
        <v>34.8636</v>
      </c>
      <c r="BX92" s="1" t="n">
        <v>34.4531</v>
      </c>
      <c r="BY92" s="1" t="n">
        <v>34.0419</v>
      </c>
      <c r="BZ92" s="1" t="n">
        <v>33.632</v>
      </c>
      <c r="CA92" s="1" t="n">
        <v>33.2335</v>
      </c>
      <c r="CB92" s="1" t="n">
        <v>32.8121</v>
      </c>
      <c r="CC92" s="1" t="n">
        <v>32.4022</v>
      </c>
      <c r="CD92" s="1" t="n">
        <v>31.9921</v>
      </c>
      <c r="CE92" s="1" t="n">
        <v>31.5818</v>
      </c>
      <c r="CF92" s="1" t="n">
        <v>31.1716</v>
      </c>
      <c r="CG92" s="1" t="n">
        <v>30.7614</v>
      </c>
      <c r="CH92" s="1" t="n">
        <v>30.3511</v>
      </c>
      <c r="CI92" s="1" t="n">
        <v>29.9409</v>
      </c>
      <c r="CJ92" s="1" t="n">
        <v>29.5307</v>
      </c>
      <c r="CK92" s="1" t="n">
        <v>29.1204</v>
      </c>
      <c r="CL92" s="1" t="n">
        <v>28.7102</v>
      </c>
      <c r="CM92" s="1" t="n">
        <v>28.3</v>
      </c>
      <c r="CN92" s="1" t="n">
        <v>27.8897</v>
      </c>
      <c r="CO92" s="1" t="n">
        <v>27.4795</v>
      </c>
      <c r="CP92" s="1" t="n">
        <v>27.0693</v>
      </c>
      <c r="CQ92" s="1" t="n">
        <v>26.659</v>
      </c>
      <c r="CR92" s="1" t="n">
        <v>26.2488</v>
      </c>
      <c r="CS92" s="1" t="n">
        <v>72.79859999999999</v>
      </c>
      <c r="CT92" s="1" t="n">
        <v>71.9187</v>
      </c>
      <c r="CU92" s="1" t="n">
        <v>71.0389</v>
      </c>
      <c r="CV92" s="1" t="n">
        <v>71.0993</v>
      </c>
      <c r="CW92" s="1" t="n">
        <v>74.0617</v>
      </c>
      <c r="CX92" s="1" t="n">
        <v>73.1429</v>
      </c>
      <c r="CY92" s="1" t="n">
        <v>72.2204</v>
      </c>
      <c r="CZ92" s="1" t="n">
        <v>71.4635</v>
      </c>
      <c r="DA92" s="1" t="n">
        <v>70.5609</v>
      </c>
      <c r="DB92" s="1" t="n">
        <v>69.6614</v>
      </c>
      <c r="DC92" s="1" t="n">
        <v>68.76179999999999</v>
      </c>
      <c r="DD92" s="1" t="n">
        <v>67.85769999999999</v>
      </c>
      <c r="DE92" s="1" t="n">
        <v>111.9429</v>
      </c>
      <c r="DF92" s="1" t="n">
        <v>112.9839</v>
      </c>
      <c r="DG92" s="1" t="n">
        <v>110.4274</v>
      </c>
      <c r="DH92" s="1" t="n">
        <v>107.4276</v>
      </c>
      <c r="DI92" s="1" t="n">
        <v>133.3064</v>
      </c>
      <c r="DJ92" s="1" t="n">
        <v>129.71</v>
      </c>
      <c r="DK92" s="1" t="n">
        <v>156.6524</v>
      </c>
      <c r="DL92" s="1" t="n">
        <v>153.6911</v>
      </c>
      <c r="DM92" s="1" t="n">
        <v>153.8167</v>
      </c>
      <c r="DN92" s="1" t="n">
        <v>151.3436</v>
      </c>
      <c r="DO92" s="1" t="n">
        <v>150.2993</v>
      </c>
      <c r="DP92" s="1" t="n">
        <v>174.8497</v>
      </c>
      <c r="DQ92" s="1" t="n">
        <v>175.4958</v>
      </c>
      <c r="DR92" s="1" t="n">
        <v>170.1954</v>
      </c>
      <c r="DS92" s="1" t="n">
        <v>169.3498</v>
      </c>
      <c r="DT92" s="1" t="n">
        <v>169.3672</v>
      </c>
      <c r="DU92" s="1" t="n">
        <v>162.9665</v>
      </c>
      <c r="DV92" s="1" t="n">
        <v>160.7818</v>
      </c>
      <c r="DW92" s="1" t="n">
        <v>148.8321</v>
      </c>
      <c r="DX92" s="1" t="n">
        <v>146.5771</v>
      </c>
      <c r="DY92" s="1" t="n">
        <v>157.6601</v>
      </c>
      <c r="DZ92" s="1" t="n">
        <v>156.4696</v>
      </c>
      <c r="EA92" s="1" t="n">
        <v>154.0154</v>
      </c>
      <c r="EB92" s="1" t="n">
        <v>152.7363</v>
      </c>
      <c r="EC92" s="1" t="n">
        <v>148.6218</v>
      </c>
      <c r="ED92" s="1" t="n">
        <v>149.5008</v>
      </c>
      <c r="EE92" s="1" t="n">
        <v>149.6622</v>
      </c>
      <c r="EF92" s="1" t="n">
        <v>146.1203</v>
      </c>
      <c r="EG92" s="1" t="n">
        <v>146.0499</v>
      </c>
      <c r="EH92" s="1" t="n">
        <v>144.9716</v>
      </c>
      <c r="EI92" s="1" t="n">
        <v>264.6183</v>
      </c>
      <c r="EJ92" s="1" t="n">
        <v>259.9131</v>
      </c>
      <c r="EK92" s="1" t="n">
        <v>144.1957</v>
      </c>
      <c r="EL92" s="1" t="n">
        <v>141.1609</v>
      </c>
      <c r="EM92" s="1" t="n">
        <v>138.961</v>
      </c>
    </row>
    <row r="93">
      <c r="A93" s="2" t="inlineStr">
        <is>
          <t xml:space="preserve">        固定资产(合计)</t>
        </is>
      </c>
      <c r="B93" s="1" t="n">
        <v>2257.6673</v>
      </c>
      <c r="C93" s="1" t="n">
        <v>2506.619</v>
      </c>
      <c r="D93" s="1" t="n">
        <v>2484.1164</v>
      </c>
      <c r="E93" s="1" t="n">
        <v>5951.7535</v>
      </c>
      <c r="F93" s="1" t="n">
        <v>8878.7768</v>
      </c>
      <c r="G93" s="1" t="n">
        <v>10004.1756</v>
      </c>
      <c r="H93" s="1" t="n">
        <v>9873.0362</v>
      </c>
      <c r="I93" s="1" t="n">
        <v>9243.6229</v>
      </c>
      <c r="J93" s="1" t="n">
        <v>8537.923199999999</v>
      </c>
      <c r="K93" s="1" t="n">
        <v>8099.2712</v>
      </c>
      <c r="L93" s="1" t="n">
        <v>7617.3274</v>
      </c>
      <c r="M93" s="1" t="n">
        <v>6505.727</v>
      </c>
      <c r="N93" s="1" t="n">
        <v>5902.4386</v>
      </c>
      <c r="O93" s="1" t="n">
        <v>5279.931</v>
      </c>
      <c r="P93" s="1" t="n">
        <v>5242.5629</v>
      </c>
      <c r="Q93" s="1" t="n">
        <v>4965.8667</v>
      </c>
      <c r="R93" s="1" t="n">
        <v>4876.1579</v>
      </c>
      <c r="S93" s="1" t="n">
        <v>5034.9006</v>
      </c>
      <c r="T93" s="1" t="n">
        <v>5497.0067</v>
      </c>
      <c r="AB93" s="1" t="n">
        <v>640.66</v>
      </c>
      <c r="AC93" s="1" t="n">
        <v>2100.19</v>
      </c>
      <c r="AD93" s="1" t="n">
        <v>2368.77</v>
      </c>
      <c r="AE93" s="1" t="n">
        <v>6789.94</v>
      </c>
      <c r="AF93" s="1" t="n">
        <v>9162.620000000001</v>
      </c>
      <c r="AG93" s="1" t="n">
        <v>9794.559999999999</v>
      </c>
      <c r="AH93" s="1" t="n">
        <v>9552.27</v>
      </c>
      <c r="AI93" s="1" t="n">
        <v>8844.629999999999</v>
      </c>
      <c r="AJ93" s="1" t="n">
        <v>8121.16</v>
      </c>
      <c r="AK93" s="1" t="n">
        <v>7740.73</v>
      </c>
      <c r="AL93" s="1" t="n">
        <v>6890.34</v>
      </c>
      <c r="AM93" s="1" t="n">
        <v>6286.89</v>
      </c>
      <c r="AN93" s="1" t="n">
        <v>5544.64</v>
      </c>
      <c r="AO93" s="1" t="n">
        <v>5007.04</v>
      </c>
      <c r="AP93" s="1" t="n">
        <v>4861.87</v>
      </c>
      <c r="AQ93" s="1" t="n">
        <v>4796.67</v>
      </c>
      <c r="AR93" s="1" t="n">
        <v>4880.99</v>
      </c>
      <c r="AS93" s="1" t="n">
        <v>5053.11</v>
      </c>
      <c r="AT93" s="1" t="n"/>
      <c r="BQ93" s="1" t="n">
        <v>2257.6673</v>
      </c>
      <c r="BR93" s="1" t="n">
        <v>647.2344000000001</v>
      </c>
      <c r="BS93" s="1" t="n">
        <v>640.6608</v>
      </c>
      <c r="BT93" s="1" t="n">
        <v>605.1718</v>
      </c>
      <c r="BU93" s="1" t="n">
        <v>2506.619</v>
      </c>
      <c r="BV93" s="1" t="n">
        <v>2462.4967</v>
      </c>
      <c r="BW93" s="1" t="n">
        <v>2100.1926</v>
      </c>
      <c r="BX93" s="1" t="n">
        <v>2086.8967</v>
      </c>
      <c r="BY93" s="1" t="n">
        <v>2484.1164</v>
      </c>
      <c r="BZ93" s="1" t="n">
        <v>2404.299</v>
      </c>
      <c r="CA93" s="1" t="n">
        <v>2368.7701</v>
      </c>
      <c r="CB93" s="1" t="n">
        <v>3048.5276</v>
      </c>
      <c r="CC93" s="1" t="n">
        <v>5951.7535</v>
      </c>
      <c r="CD93" s="1" t="n">
        <v>6119.1359</v>
      </c>
      <c r="CE93" s="1" t="n">
        <v>6789.9429</v>
      </c>
      <c r="CF93" s="1" t="n">
        <v>7269.0386</v>
      </c>
      <c r="CG93" s="1" t="n">
        <v>8878.7768</v>
      </c>
      <c r="CH93" s="1" t="n">
        <v>9103.902599999999</v>
      </c>
      <c r="CI93" s="1" t="n">
        <v>9162.615900000001</v>
      </c>
      <c r="CJ93" s="1" t="n">
        <v>9397.898499999999</v>
      </c>
      <c r="CK93" s="1" t="n">
        <v>10004.1756</v>
      </c>
      <c r="CL93" s="1" t="n">
        <v>9794.310100000001</v>
      </c>
      <c r="CM93" s="1" t="n">
        <v>9794.5594</v>
      </c>
      <c r="CN93" s="1" t="n">
        <v>9669.7084</v>
      </c>
      <c r="CO93" s="1" t="n">
        <v>9873.0362</v>
      </c>
      <c r="CP93" s="1" t="n">
        <v>9778.453299999999</v>
      </c>
      <c r="CQ93" s="1" t="n">
        <v>9552.270699999999</v>
      </c>
      <c r="CR93" s="1" t="n">
        <v>9304.9863</v>
      </c>
      <c r="CS93" s="1" t="n">
        <v>9243.6229</v>
      </c>
      <c r="CT93" s="1" t="n">
        <v>8959.860500000001</v>
      </c>
      <c r="CU93" s="1" t="n">
        <v>8844.6314</v>
      </c>
      <c r="CV93" s="1" t="n">
        <v>8623.4655</v>
      </c>
      <c r="CW93" s="1" t="n">
        <v>8537.923199999999</v>
      </c>
      <c r="CX93" s="1" t="n">
        <v>8339.4593</v>
      </c>
      <c r="CY93" s="1" t="n">
        <v>8121.1563</v>
      </c>
      <c r="CZ93" s="1" t="n">
        <v>8146.8831</v>
      </c>
      <c r="DA93" s="1" t="n">
        <v>8099.2712</v>
      </c>
      <c r="DB93" s="1" t="n">
        <v>7974.2531</v>
      </c>
      <c r="DC93" s="1" t="n">
        <v>7740.7318</v>
      </c>
      <c r="DD93" s="1" t="n">
        <v>7532.4174</v>
      </c>
      <c r="DE93" s="1" t="n">
        <v>7617.3274</v>
      </c>
      <c r="DF93" s="1" t="n">
        <v>7333.5564</v>
      </c>
      <c r="DG93" s="1" t="n">
        <v>6890.3413</v>
      </c>
      <c r="DH93" s="1" t="n">
        <v>6688.2139</v>
      </c>
      <c r="DI93" s="1" t="n">
        <v>6505.727</v>
      </c>
      <c r="DJ93" s="1" t="n">
        <v>6343.3112</v>
      </c>
      <c r="DK93" s="1" t="n">
        <v>6286.8938</v>
      </c>
      <c r="DL93" s="1" t="n">
        <v>6095.0358</v>
      </c>
      <c r="DM93" s="1" t="n">
        <v>5902.4386</v>
      </c>
      <c r="DN93" s="1" t="n">
        <v>5707.3764</v>
      </c>
      <c r="DO93" s="1" t="n">
        <v>5544.6372</v>
      </c>
      <c r="DP93" s="1" t="n">
        <v>5356.3226</v>
      </c>
      <c r="DQ93" s="1" t="n">
        <v>5279.931</v>
      </c>
      <c r="DR93" s="1" t="n">
        <v>5118.8935</v>
      </c>
      <c r="DS93" s="1" t="n">
        <v>5007.0421</v>
      </c>
      <c r="DT93" s="1" t="n">
        <v>5196.0011</v>
      </c>
      <c r="DU93" s="1" t="n">
        <v>5242.5629</v>
      </c>
      <c r="DV93" s="1" t="n">
        <v>5004.3228</v>
      </c>
      <c r="DW93" s="1" t="n">
        <v>4861.8652</v>
      </c>
      <c r="DX93" s="1" t="n">
        <v>4912.0062</v>
      </c>
      <c r="DY93" s="1" t="n">
        <v>4965.8667</v>
      </c>
      <c r="DZ93" s="1" t="n">
        <v>4861.4317</v>
      </c>
      <c r="EA93" s="1" t="n">
        <v>4796.6703</v>
      </c>
      <c r="EB93" s="1" t="n">
        <v>4738.06</v>
      </c>
      <c r="EC93" s="1" t="n">
        <v>4876.1579</v>
      </c>
      <c r="ED93" s="1" t="n">
        <v>4861.7209</v>
      </c>
      <c r="EE93" s="1" t="n">
        <v>4880.99</v>
      </c>
      <c r="EF93" s="1" t="n">
        <v>4837.5534</v>
      </c>
      <c r="EG93" s="1" t="n">
        <v>5034.9006</v>
      </c>
      <c r="EH93" s="1" t="n">
        <v>4987.2069</v>
      </c>
      <c r="EI93" s="1" t="n">
        <v>5053.1084</v>
      </c>
      <c r="EJ93" s="1" t="n">
        <v>5094.5575</v>
      </c>
      <c r="EK93" s="1" t="n">
        <v>5497.0067</v>
      </c>
      <c r="EL93" s="1" t="n">
        <v>5476.66</v>
      </c>
      <c r="EM93" s="1" t="n">
        <v>5482.293</v>
      </c>
    </row>
    <row r="94">
      <c r="A94" s="2" t="inlineStr">
        <is>
          <t xml:space="preserve">                    固定资产</t>
        </is>
      </c>
      <c r="B94" s="1" t="n">
        <v>2257.6673</v>
      </c>
      <c r="C94" s="1" t="n">
        <v>2506.619</v>
      </c>
      <c r="D94" s="1" t="n">
        <v>2484.1164</v>
      </c>
      <c r="E94" s="1" t="n">
        <v>5951.7535</v>
      </c>
      <c r="F94" s="1" t="n">
        <v>8877.686299999999</v>
      </c>
      <c r="G94" s="1" t="n">
        <v>10004.1756</v>
      </c>
      <c r="H94" s="1" t="n">
        <v>9873.0362</v>
      </c>
      <c r="I94" s="1" t="n">
        <v>9243.611000000001</v>
      </c>
      <c r="J94" s="1" t="n">
        <v>8537.913699999999</v>
      </c>
      <c r="K94" s="1" t="n">
        <v>8099.2462</v>
      </c>
      <c r="L94" s="1" t="n">
        <v>7617.2792</v>
      </c>
      <c r="M94" s="1" t="n">
        <v>6505.6955</v>
      </c>
      <c r="N94" s="1" t="n">
        <v>5902.4102</v>
      </c>
      <c r="O94" s="1" t="n">
        <v>5279.7662</v>
      </c>
      <c r="P94" s="1" t="n">
        <v>5241.0655</v>
      </c>
      <c r="Q94" s="1" t="n">
        <v>4965.6398</v>
      </c>
      <c r="R94" s="1" t="n">
        <v>4875.7938</v>
      </c>
      <c r="S94" s="1" t="n">
        <v>5034.2515</v>
      </c>
      <c r="T94" s="1" t="n">
        <v>5490.8266</v>
      </c>
      <c r="AA94" s="1" t="n">
        <v>556.8099999999999</v>
      </c>
      <c r="AB94" s="1" t="n">
        <v>640.66</v>
      </c>
      <c r="AC94" s="1" t="n">
        <v>2100.02</v>
      </c>
      <c r="AD94" s="1" t="n">
        <v>2368.43</v>
      </c>
      <c r="AE94" s="1" t="n">
        <v>6787.46</v>
      </c>
      <c r="AF94" s="1" t="n">
        <v>9161.25</v>
      </c>
      <c r="AG94" s="1" t="n">
        <v>9789.17</v>
      </c>
      <c r="AH94" s="1" t="n">
        <v>9552.1</v>
      </c>
      <c r="AI94" s="1" t="n">
        <v>8844.629999999999</v>
      </c>
      <c r="AJ94" s="1" t="n">
        <v>8121.15</v>
      </c>
      <c r="AK94" s="1" t="n">
        <v>7740.72</v>
      </c>
      <c r="AL94" s="1" t="n">
        <v>6888.98</v>
      </c>
      <c r="AM94" s="1" t="n">
        <v>6286.74</v>
      </c>
      <c r="AN94" s="1" t="n">
        <v>5544.64</v>
      </c>
      <c r="AO94" s="1" t="n">
        <v>5006.7</v>
      </c>
      <c r="AP94" s="1" t="n">
        <v>4861.4</v>
      </c>
      <c r="AQ94" s="1" t="n">
        <v>4796.48</v>
      </c>
      <c r="AR94" s="1" t="n">
        <v>4880.41</v>
      </c>
      <c r="AS94" s="1" t="n">
        <v>5047.33</v>
      </c>
      <c r="AT94" s="1" t="n"/>
      <c r="BN94" s="1" t="n">
        <v>552.3976</v>
      </c>
      <c r="BO94" s="1" t="n">
        <v>556.8096</v>
      </c>
      <c r="BP94" s="1" t="n">
        <v>545.0009</v>
      </c>
      <c r="BQ94" s="1" t="n">
        <v>2257.6673</v>
      </c>
      <c r="BR94" s="1" t="n">
        <v>647.2344000000001</v>
      </c>
      <c r="BS94" s="1" t="n">
        <v>640.6608</v>
      </c>
      <c r="BT94" s="1" t="n">
        <v>605.1718</v>
      </c>
      <c r="BU94" s="1" t="n">
        <v>2506.619</v>
      </c>
      <c r="BV94" s="1" t="n">
        <v>2462.4085</v>
      </c>
      <c r="BW94" s="1" t="n">
        <v>2100.0152</v>
      </c>
      <c r="BX94" s="1" t="n">
        <v>2086.889</v>
      </c>
      <c r="BY94" s="1" t="n">
        <v>2484.1164</v>
      </c>
      <c r="BZ94" s="1" t="n">
        <v>2403.9627</v>
      </c>
      <c r="CA94" s="1" t="n">
        <v>2368.4324</v>
      </c>
      <c r="CB94" s="1" t="n">
        <v>3047.8572</v>
      </c>
      <c r="CC94" s="1" t="n">
        <v>5951.7535</v>
      </c>
      <c r="CD94" s="1" t="n">
        <v>6119.0395</v>
      </c>
      <c r="CE94" s="1" t="n">
        <v>6787.4647</v>
      </c>
      <c r="CF94" s="1" t="n">
        <v>7266.7325</v>
      </c>
      <c r="CG94" s="1" t="n">
        <v>8877.686299999999</v>
      </c>
      <c r="CH94" s="1" t="n">
        <v>9102.6531</v>
      </c>
      <c r="CI94" s="1" t="n">
        <v>9161.2451</v>
      </c>
      <c r="CJ94" s="1" t="n">
        <v>9395.957700000001</v>
      </c>
      <c r="CK94" s="1" t="n">
        <v>10004.1756</v>
      </c>
      <c r="CL94" s="1" t="n">
        <v>9782.8963</v>
      </c>
      <c r="CM94" s="1" t="n">
        <v>9789.165199999999</v>
      </c>
      <c r="CN94" s="1" t="n">
        <v>9663.743</v>
      </c>
      <c r="CO94" s="1" t="n">
        <v>9873.0362</v>
      </c>
      <c r="CP94" s="1" t="n">
        <v>9777.9984</v>
      </c>
      <c r="CQ94" s="1" t="n">
        <v>9552.0985</v>
      </c>
      <c r="CR94" s="1" t="n">
        <v>9304.6772</v>
      </c>
      <c r="CS94" s="1" t="n">
        <v>9243.611000000001</v>
      </c>
      <c r="CT94" s="1" t="n">
        <v>8959.7572</v>
      </c>
      <c r="CU94" s="1" t="n">
        <v>8844.6314</v>
      </c>
      <c r="CV94" s="1" t="n">
        <v>8622.2143</v>
      </c>
      <c r="CW94" s="1" t="n">
        <v>8537.913699999999</v>
      </c>
      <c r="CX94" s="1" t="n">
        <v>8338.6908</v>
      </c>
      <c r="CY94" s="1" t="n">
        <v>8121.1456</v>
      </c>
      <c r="CZ94" s="1" t="n">
        <v>8146.1541</v>
      </c>
      <c r="DA94" s="1" t="n">
        <v>8099.2462</v>
      </c>
      <c r="DB94" s="1" t="n">
        <v>7974.0235</v>
      </c>
      <c r="DC94" s="1" t="n">
        <v>7740.7179</v>
      </c>
      <c r="DD94" s="1" t="n">
        <v>7532.3702</v>
      </c>
      <c r="DE94" s="1" t="n">
        <v>7617.2792</v>
      </c>
      <c r="DF94" s="1" t="n">
        <v>7333.1829</v>
      </c>
      <c r="DG94" s="1" t="n">
        <v>6888.977</v>
      </c>
      <c r="DH94" s="1" t="n">
        <v>6688.0377</v>
      </c>
      <c r="DI94" s="1" t="n">
        <v>6505.6955</v>
      </c>
      <c r="DJ94" s="1" t="n">
        <v>6343.092</v>
      </c>
      <c r="DK94" s="1" t="n">
        <v>6286.7425</v>
      </c>
      <c r="DM94" s="1" t="n">
        <v>5902.4102</v>
      </c>
      <c r="DO94" s="1" t="n">
        <v>5544.6372</v>
      </c>
      <c r="DQ94" s="1" t="n">
        <v>5279.7662</v>
      </c>
      <c r="DS94" s="1" t="n">
        <v>5006.6974</v>
      </c>
      <c r="DU94" s="1" t="n">
        <v>5241.0655</v>
      </c>
      <c r="DW94" s="1" t="n">
        <v>4861.3962</v>
      </c>
      <c r="DY94" s="1" t="n">
        <v>4965.6398</v>
      </c>
      <c r="EA94" s="1" t="n">
        <v>4796.4843</v>
      </c>
      <c r="EC94" s="1" t="n">
        <v>4875.7938</v>
      </c>
      <c r="EE94" s="1" t="n">
        <v>4880.4132</v>
      </c>
      <c r="EG94" s="1" t="n">
        <v>5034.2515</v>
      </c>
      <c r="EI94" s="1" t="n">
        <v>5047.3289</v>
      </c>
      <c r="EK94" s="1" t="n">
        <v>5490.8266</v>
      </c>
      <c r="EM94" s="1" t="n">
        <v>5472.686</v>
      </c>
    </row>
    <row r="95">
      <c r="A95" s="2" t="inlineStr">
        <is>
          <t xml:space="preserve">                    固定资产清理</t>
        </is>
      </c>
      <c r="F95" s="1" t="n">
        <v>1.0905</v>
      </c>
      <c r="I95" s="1" t="n">
        <v>0.012</v>
      </c>
      <c r="J95" s="1" t="n">
        <v>0.0095</v>
      </c>
      <c r="K95" s="1" t="n">
        <v>0.025</v>
      </c>
      <c r="L95" s="1" t="n">
        <v>0.0483</v>
      </c>
      <c r="M95" s="1" t="n">
        <v>0.0315</v>
      </c>
      <c r="N95" s="1" t="n">
        <v>0.0284</v>
      </c>
      <c r="O95" s="1" t="n">
        <v>0.1648</v>
      </c>
      <c r="P95" s="1" t="n">
        <v>1.4974</v>
      </c>
      <c r="Q95" s="1" t="n">
        <v>0.2269</v>
      </c>
      <c r="R95" s="1" t="n">
        <v>0.3642</v>
      </c>
      <c r="S95" s="1" t="n">
        <v>0.6491</v>
      </c>
      <c r="T95" s="1" t="n">
        <v>6.1802</v>
      </c>
      <c r="AC95" s="1" t="n">
        <v>0.18</v>
      </c>
      <c r="AD95" s="1" t="n">
        <v>0.34</v>
      </c>
      <c r="AE95" s="1" t="n">
        <v>2.48</v>
      </c>
      <c r="AF95" s="1" t="n">
        <v>1.37</v>
      </c>
      <c r="AG95" s="1" t="n">
        <v>5.39</v>
      </c>
      <c r="AH95" s="1" t="n">
        <v>0.17</v>
      </c>
      <c r="AJ95" s="1" t="n">
        <v>0.01</v>
      </c>
      <c r="AK95" s="1" t="n">
        <v>0.01</v>
      </c>
      <c r="AL95" s="1" t="n">
        <v>1.36</v>
      </c>
      <c r="AM95" s="1" t="n">
        <v>0.15</v>
      </c>
      <c r="AO95" s="1" t="n">
        <v>0.34</v>
      </c>
      <c r="AP95" s="1" t="n">
        <v>0.47</v>
      </c>
      <c r="AQ95" s="1" t="n">
        <v>0.19</v>
      </c>
      <c r="AR95" s="1" t="n">
        <v>0.58</v>
      </c>
      <c r="AS95" s="1" t="n">
        <v>5.78</v>
      </c>
      <c r="AT95" s="1" t="n"/>
      <c r="BV95" s="1" t="n">
        <v>0.0882</v>
      </c>
      <c r="BW95" s="1" t="n">
        <v>0.1775</v>
      </c>
      <c r="BX95" s="1" t="n">
        <v>0.0077</v>
      </c>
      <c r="BZ95" s="1" t="n">
        <v>0.3363</v>
      </c>
      <c r="CA95" s="1" t="n">
        <v>0.3377</v>
      </c>
      <c r="CB95" s="1" t="n">
        <v>0.6704</v>
      </c>
      <c r="CD95" s="1" t="n">
        <v>0.0964</v>
      </c>
      <c r="CE95" s="1" t="n">
        <v>2.4782</v>
      </c>
      <c r="CF95" s="1" t="n">
        <v>2.3061</v>
      </c>
      <c r="CG95" s="1" t="n">
        <v>1.0905</v>
      </c>
      <c r="CH95" s="1" t="n">
        <v>1.2495</v>
      </c>
      <c r="CI95" s="1" t="n">
        <v>1.3709</v>
      </c>
      <c r="CJ95" s="1" t="n">
        <v>1.9408</v>
      </c>
      <c r="CL95" s="1" t="n">
        <v>11.4139</v>
      </c>
      <c r="CM95" s="1" t="n">
        <v>5.3942</v>
      </c>
      <c r="CN95" s="1" t="n">
        <v>5.9654</v>
      </c>
      <c r="CP95" s="1" t="n">
        <v>0.4549</v>
      </c>
      <c r="CQ95" s="1" t="n">
        <v>0.1723</v>
      </c>
      <c r="CR95" s="1" t="n">
        <v>0.3091</v>
      </c>
      <c r="CS95" s="1" t="n">
        <v>0.012</v>
      </c>
      <c r="CT95" s="1" t="n">
        <v>0.1033</v>
      </c>
      <c r="CV95" s="1" t="n">
        <v>1.2512</v>
      </c>
      <c r="CW95" s="1" t="n">
        <v>0.0095</v>
      </c>
      <c r="CX95" s="1" t="n">
        <v>0.7685</v>
      </c>
      <c r="CY95" s="1" t="n">
        <v>0.0107</v>
      </c>
      <c r="CZ95" s="1" t="n">
        <v>0.7291</v>
      </c>
      <c r="DA95" s="1" t="n">
        <v>0.025</v>
      </c>
      <c r="DB95" s="1" t="n">
        <v>0.2297</v>
      </c>
      <c r="DC95" s="1" t="n">
        <v>0.0139</v>
      </c>
      <c r="DD95" s="1" t="n">
        <v>0.0472</v>
      </c>
      <c r="DE95" s="1" t="n">
        <v>0.0483</v>
      </c>
      <c r="DF95" s="1" t="n">
        <v>0.3736</v>
      </c>
      <c r="DG95" s="1" t="n">
        <v>1.3643</v>
      </c>
      <c r="DH95" s="1" t="n">
        <v>0.1762</v>
      </c>
      <c r="DI95" s="1" t="n">
        <v>0.0315</v>
      </c>
      <c r="DJ95" s="1" t="n">
        <v>0.2192</v>
      </c>
      <c r="DK95" s="1" t="n">
        <v>0.1513</v>
      </c>
      <c r="DM95" s="1" t="n">
        <v>0.0284</v>
      </c>
      <c r="DQ95" s="1" t="n">
        <v>0.1648</v>
      </c>
      <c r="DS95" s="1" t="n">
        <v>0.3447</v>
      </c>
      <c r="DU95" s="1" t="n">
        <v>1.4974</v>
      </c>
      <c r="DW95" s="1" t="n">
        <v>0.469</v>
      </c>
      <c r="DY95" s="1" t="n">
        <v>0.2269</v>
      </c>
      <c r="EA95" s="1" t="n">
        <v>0.186</v>
      </c>
      <c r="EC95" s="1" t="n">
        <v>0.3642</v>
      </c>
      <c r="EE95" s="1" t="n">
        <v>0.5768</v>
      </c>
      <c r="EG95" s="1" t="n">
        <v>0.6491</v>
      </c>
      <c r="EI95" s="1" t="n">
        <v>5.7795</v>
      </c>
      <c r="EK95" s="1" t="n">
        <v>6.1802</v>
      </c>
      <c r="EM95" s="1" t="n">
        <v>9.606999999999999</v>
      </c>
    </row>
    <row r="96">
      <c r="A96" s="2" t="inlineStr">
        <is>
          <t xml:space="preserve">        在建工程(合计)</t>
        </is>
      </c>
      <c r="B96" s="1" t="n">
        <v>252.4193</v>
      </c>
      <c r="C96" s="1" t="n">
        <v>311.9733</v>
      </c>
      <c r="D96" s="1" t="n">
        <v>1216.6982</v>
      </c>
      <c r="E96" s="1" t="n">
        <v>2526.8143</v>
      </c>
      <c r="F96" s="1" t="n">
        <v>1492.828</v>
      </c>
      <c r="G96" s="1" t="n">
        <v>836.2314</v>
      </c>
      <c r="H96" s="1" t="n">
        <v>724.038</v>
      </c>
      <c r="I96" s="1" t="n">
        <v>685.9039</v>
      </c>
      <c r="J96" s="1" t="n">
        <v>818.4421</v>
      </c>
      <c r="K96" s="1" t="n">
        <v>447.9152</v>
      </c>
      <c r="L96" s="1" t="n">
        <v>107.7119</v>
      </c>
      <c r="M96" s="1" t="n">
        <v>206.4211</v>
      </c>
      <c r="N96" s="1" t="n">
        <v>188.7922</v>
      </c>
      <c r="O96" s="1" t="n">
        <v>382.7711</v>
      </c>
      <c r="P96" s="1" t="n">
        <v>204.4746</v>
      </c>
      <c r="Q96" s="1" t="n">
        <v>286.4788</v>
      </c>
      <c r="R96" s="1" t="n">
        <v>375.8836</v>
      </c>
      <c r="S96" s="1" t="n">
        <v>789.0771999999999</v>
      </c>
      <c r="T96" s="1" t="n">
        <v>1427.333</v>
      </c>
      <c r="AB96" s="1" t="n">
        <v>163.74</v>
      </c>
      <c r="AC96" s="1" t="n">
        <v>557.49</v>
      </c>
      <c r="AD96" s="1" t="n">
        <v>2412.22</v>
      </c>
      <c r="AE96" s="1" t="n">
        <v>2788.56</v>
      </c>
      <c r="AF96" s="1" t="n">
        <v>1399.05</v>
      </c>
      <c r="AG96" s="1" t="n">
        <v>1060.37</v>
      </c>
      <c r="AH96" s="1" t="n">
        <v>760.1900000000001</v>
      </c>
      <c r="AI96" s="1" t="n">
        <v>863.5</v>
      </c>
      <c r="AJ96" s="1" t="n">
        <v>866.62</v>
      </c>
      <c r="AK96" s="1" t="n">
        <v>418.51</v>
      </c>
      <c r="AL96" s="1" t="n">
        <v>136.13</v>
      </c>
      <c r="AM96" s="1" t="n">
        <v>215.84</v>
      </c>
      <c r="AN96" s="1" t="n">
        <v>287.1</v>
      </c>
      <c r="AO96" s="1" t="n">
        <v>446.9</v>
      </c>
      <c r="AP96" s="1" t="n">
        <v>237.34</v>
      </c>
      <c r="AQ96" s="1" t="n">
        <v>361.48</v>
      </c>
      <c r="AR96" s="1" t="n">
        <v>454.86</v>
      </c>
      <c r="AS96" s="1" t="n">
        <v>820.9299999999999</v>
      </c>
      <c r="AT96" s="1" t="n"/>
      <c r="BQ96" s="1" t="n">
        <v>252.4193</v>
      </c>
      <c r="BR96" s="1" t="n">
        <v>87.6585</v>
      </c>
      <c r="BS96" s="1" t="n">
        <v>163.7449</v>
      </c>
      <c r="BT96" s="1" t="n">
        <v>184.4257</v>
      </c>
      <c r="BU96" s="1" t="n">
        <v>311.9733</v>
      </c>
      <c r="BV96" s="1" t="n">
        <v>412.2635</v>
      </c>
      <c r="BW96" s="1" t="n">
        <v>557.4853000000001</v>
      </c>
      <c r="BX96" s="1" t="n">
        <v>774.1708</v>
      </c>
      <c r="BY96" s="1" t="n">
        <v>1216.6982</v>
      </c>
      <c r="BZ96" s="1" t="n">
        <v>1736.752</v>
      </c>
      <c r="CA96" s="1" t="n">
        <v>2412.2178</v>
      </c>
      <c r="CB96" s="1" t="n">
        <v>2486.8016</v>
      </c>
      <c r="CC96" s="1" t="n">
        <v>2526.8143</v>
      </c>
      <c r="CD96" s="1" t="n">
        <v>2993.5612</v>
      </c>
      <c r="CE96" s="1" t="n">
        <v>2788.5604</v>
      </c>
      <c r="CF96" s="1" t="n">
        <v>2732.8709</v>
      </c>
      <c r="CG96" s="1" t="n">
        <v>1492.828</v>
      </c>
      <c r="CH96" s="1" t="n">
        <v>1495.1263</v>
      </c>
      <c r="CI96" s="1" t="n">
        <v>1399.0453</v>
      </c>
      <c r="CJ96" s="1" t="n">
        <v>1279.8372</v>
      </c>
      <c r="CK96" s="1" t="n">
        <v>836.2314</v>
      </c>
      <c r="CL96" s="1" t="n">
        <v>1208.3077</v>
      </c>
      <c r="CM96" s="1" t="n">
        <v>1060.3736</v>
      </c>
      <c r="CN96" s="1" t="n">
        <v>1031.3117</v>
      </c>
      <c r="CO96" s="1" t="n">
        <v>724.038</v>
      </c>
      <c r="CP96" s="1" t="n">
        <v>762.0289</v>
      </c>
      <c r="CQ96" s="1" t="n">
        <v>760.1928</v>
      </c>
      <c r="CR96" s="1" t="n">
        <v>873.7833000000001</v>
      </c>
      <c r="CS96" s="1" t="n">
        <v>685.9039</v>
      </c>
      <c r="CT96" s="1" t="n">
        <v>871.0359</v>
      </c>
      <c r="CU96" s="1" t="n">
        <v>863.4972</v>
      </c>
      <c r="CV96" s="1" t="n">
        <v>906.7702</v>
      </c>
      <c r="CW96" s="1" t="n">
        <v>818.4421</v>
      </c>
      <c r="CX96" s="1" t="n">
        <v>858.2692</v>
      </c>
      <c r="CY96" s="1" t="n">
        <v>866.625</v>
      </c>
      <c r="CZ96" s="1" t="n">
        <v>647.3978</v>
      </c>
      <c r="DA96" s="1" t="n">
        <v>447.9152</v>
      </c>
      <c r="DB96" s="1" t="n">
        <v>411.7713</v>
      </c>
      <c r="DC96" s="1" t="n">
        <v>418.5138</v>
      </c>
      <c r="DD96" s="1" t="n">
        <v>412.2499</v>
      </c>
      <c r="DE96" s="1" t="n">
        <v>107.7119</v>
      </c>
      <c r="DF96" s="1" t="n">
        <v>191.1037</v>
      </c>
      <c r="DG96" s="1" t="n">
        <v>136.127</v>
      </c>
      <c r="DH96" s="1" t="n">
        <v>178.0179</v>
      </c>
      <c r="DI96" s="1" t="n">
        <v>206.4211</v>
      </c>
      <c r="DJ96" s="1" t="n">
        <v>210.5141</v>
      </c>
      <c r="DK96" s="1" t="n">
        <v>215.8386</v>
      </c>
      <c r="DL96" s="1" t="n">
        <v>242.201</v>
      </c>
      <c r="DM96" s="1" t="n">
        <v>188.7922</v>
      </c>
      <c r="DN96" s="1" t="n">
        <v>271.4108</v>
      </c>
      <c r="DO96" s="1" t="n">
        <v>287.0957</v>
      </c>
      <c r="DP96" s="1" t="n">
        <v>338.3932</v>
      </c>
      <c r="DQ96" s="1" t="n">
        <v>382.7711</v>
      </c>
      <c r="DR96" s="1" t="n">
        <v>389.0652</v>
      </c>
      <c r="DS96" s="1" t="n">
        <v>446.8952</v>
      </c>
      <c r="DT96" s="1" t="n">
        <v>264.8099</v>
      </c>
      <c r="DU96" s="1" t="n">
        <v>204.4746</v>
      </c>
      <c r="DV96" s="1" t="n">
        <v>225.565</v>
      </c>
      <c r="DW96" s="1" t="n">
        <v>237.3403</v>
      </c>
      <c r="DX96" s="1" t="n">
        <v>168.8966</v>
      </c>
      <c r="DY96" s="1" t="n">
        <v>286.4788</v>
      </c>
      <c r="DZ96" s="1" t="n">
        <v>313.7509</v>
      </c>
      <c r="EA96" s="1" t="n">
        <v>361.476</v>
      </c>
      <c r="EB96" s="1" t="n">
        <v>422.8972</v>
      </c>
      <c r="EC96" s="1" t="n">
        <v>375.8836</v>
      </c>
      <c r="ED96" s="1" t="n">
        <v>402.3543</v>
      </c>
      <c r="EE96" s="1" t="n">
        <v>454.861</v>
      </c>
      <c r="EF96" s="1" t="n">
        <v>664.0699</v>
      </c>
      <c r="EG96" s="1" t="n">
        <v>789.0771999999999</v>
      </c>
      <c r="EH96" s="1" t="n">
        <v>885.6292</v>
      </c>
      <c r="EI96" s="1" t="n">
        <v>820.9311</v>
      </c>
      <c r="EJ96" s="1" t="n">
        <v>1063.639</v>
      </c>
      <c r="EK96" s="1" t="n">
        <v>1427.333</v>
      </c>
      <c r="EL96" s="1" t="n">
        <v>1549.8107</v>
      </c>
      <c r="EM96" s="1" t="n">
        <v>1700.377</v>
      </c>
    </row>
    <row r="97">
      <c r="A97" s="2" t="inlineStr">
        <is>
          <t xml:space="preserve">                    在建工程</t>
        </is>
      </c>
      <c r="B97" s="1" t="n">
        <v>251.9154</v>
      </c>
      <c r="C97" s="1" t="n">
        <v>311.8516</v>
      </c>
      <c r="D97" s="1" t="n">
        <v>1216.5765</v>
      </c>
      <c r="E97" s="1" t="n">
        <v>2526.5611</v>
      </c>
      <c r="F97" s="1" t="n">
        <v>1492.7145</v>
      </c>
      <c r="G97" s="1" t="n">
        <v>836.0615</v>
      </c>
      <c r="H97" s="1" t="n">
        <v>723.9245</v>
      </c>
      <c r="I97" s="1" t="n">
        <v>685.7904</v>
      </c>
      <c r="J97" s="1" t="n">
        <v>818.3287</v>
      </c>
      <c r="K97" s="1" t="n">
        <v>447.8017</v>
      </c>
      <c r="L97" s="1" t="n">
        <v>107.5984</v>
      </c>
      <c r="M97" s="1" t="n">
        <v>206.3077</v>
      </c>
      <c r="N97" s="1" t="n">
        <v>187.3305</v>
      </c>
      <c r="O97" s="1" t="n">
        <v>381.8998</v>
      </c>
      <c r="P97" s="1" t="n">
        <v>204.444</v>
      </c>
      <c r="Q97" s="1" t="n">
        <v>286.4481</v>
      </c>
      <c r="R97" s="1" t="n">
        <v>375.853</v>
      </c>
      <c r="S97" s="1" t="n">
        <v>789.0466</v>
      </c>
      <c r="T97" s="1" t="n">
        <v>1427.3024</v>
      </c>
      <c r="AA97" s="1" t="n">
        <v>181.21</v>
      </c>
      <c r="AB97" s="1" t="n">
        <v>163.74</v>
      </c>
      <c r="AC97" s="1" t="n">
        <v>557.36</v>
      </c>
      <c r="AD97" s="1" t="n">
        <v>2411.83</v>
      </c>
      <c r="AE97" s="1" t="n">
        <v>2788.26</v>
      </c>
      <c r="AF97" s="1" t="n">
        <v>1398.88</v>
      </c>
      <c r="AG97" s="1" t="n">
        <v>1060.26</v>
      </c>
      <c r="AH97" s="1" t="n">
        <v>760.08</v>
      </c>
      <c r="AI97" s="1" t="n">
        <v>863.38</v>
      </c>
      <c r="AJ97" s="1" t="n">
        <v>866.51</v>
      </c>
      <c r="AK97" s="1" t="n">
        <v>418.4</v>
      </c>
      <c r="AL97" s="1" t="n">
        <v>135.98</v>
      </c>
      <c r="AM97" s="1" t="n">
        <v>215.68</v>
      </c>
      <c r="AN97" s="1" t="n">
        <v>287.1</v>
      </c>
      <c r="AO97" s="1" t="n">
        <v>446.86</v>
      </c>
      <c r="AP97" s="1" t="n">
        <v>237.31</v>
      </c>
      <c r="AQ97" s="1" t="n">
        <v>361.45</v>
      </c>
      <c r="AR97" s="1" t="n">
        <v>454.83</v>
      </c>
      <c r="AS97" s="1" t="n">
        <v>820.9</v>
      </c>
      <c r="AT97" s="1" t="n"/>
      <c r="BN97" s="1" t="n">
        <v>178.6454</v>
      </c>
      <c r="BO97" s="1" t="n">
        <v>181.2054</v>
      </c>
      <c r="BP97" s="1" t="n">
        <v>211.2503</v>
      </c>
      <c r="BQ97" s="1" t="n">
        <v>251.9154</v>
      </c>
      <c r="BR97" s="1" t="n">
        <v>87.6585</v>
      </c>
      <c r="BS97" s="1" t="n">
        <v>163.7449</v>
      </c>
      <c r="BT97" s="1" t="n">
        <v>184.4257</v>
      </c>
      <c r="BU97" s="1" t="n">
        <v>311.8516</v>
      </c>
      <c r="BV97" s="1" t="n">
        <v>412.1418</v>
      </c>
      <c r="BW97" s="1" t="n">
        <v>557.3637</v>
      </c>
      <c r="BX97" s="1" t="n">
        <v>774.0492</v>
      </c>
      <c r="BY97" s="1" t="n">
        <v>1216.5765</v>
      </c>
      <c r="BZ97" s="1" t="n">
        <v>1736.6304</v>
      </c>
      <c r="CA97" s="1" t="n">
        <v>2411.8326</v>
      </c>
      <c r="CB97" s="1" t="n">
        <v>2485.1165</v>
      </c>
      <c r="CC97" s="1" t="n">
        <v>2526.5611</v>
      </c>
      <c r="CD97" s="1" t="n">
        <v>2993.2697</v>
      </c>
      <c r="CE97" s="1" t="n">
        <v>2788.2568</v>
      </c>
      <c r="CF97" s="1" t="n">
        <v>2732.5672</v>
      </c>
      <c r="CG97" s="1" t="n">
        <v>1492.7145</v>
      </c>
      <c r="CH97" s="1" t="n">
        <v>1494.9564</v>
      </c>
      <c r="CI97" s="1" t="n">
        <v>1398.8755</v>
      </c>
      <c r="CJ97" s="1" t="n">
        <v>1279.6673</v>
      </c>
      <c r="CK97" s="1" t="n">
        <v>836.0615</v>
      </c>
      <c r="CL97" s="1" t="n">
        <v>1208.0468</v>
      </c>
      <c r="CM97" s="1" t="n">
        <v>1060.2601</v>
      </c>
      <c r="CN97" s="1" t="n">
        <v>1031.1982</v>
      </c>
      <c r="CO97" s="1" t="n">
        <v>723.9245</v>
      </c>
      <c r="CP97" s="1" t="n">
        <v>761.9155</v>
      </c>
      <c r="CQ97" s="1" t="n">
        <v>760.0794</v>
      </c>
      <c r="CR97" s="1" t="n">
        <v>873.6698</v>
      </c>
      <c r="CS97" s="1" t="n">
        <v>685.7904</v>
      </c>
      <c r="CT97" s="1" t="n">
        <v>870.9224</v>
      </c>
      <c r="CU97" s="1" t="n">
        <v>863.3838</v>
      </c>
      <c r="CV97" s="1" t="n">
        <v>906.6567</v>
      </c>
      <c r="CW97" s="1" t="n">
        <v>818.3287</v>
      </c>
      <c r="CX97" s="1" t="n">
        <v>858.1557</v>
      </c>
      <c r="CY97" s="1" t="n">
        <v>866.5115</v>
      </c>
      <c r="CZ97" s="1" t="n">
        <v>647.2843</v>
      </c>
      <c r="DA97" s="1" t="n">
        <v>447.8017</v>
      </c>
      <c r="DB97" s="1" t="n">
        <v>411.6578</v>
      </c>
      <c r="DC97" s="1" t="n">
        <v>418.4003</v>
      </c>
      <c r="DD97" s="1" t="n">
        <v>412.1364</v>
      </c>
      <c r="DE97" s="1" t="n">
        <v>107.5984</v>
      </c>
      <c r="DF97" s="1" t="n">
        <v>190.6697</v>
      </c>
      <c r="DG97" s="1" t="n">
        <v>135.9813</v>
      </c>
      <c r="DH97" s="1" t="n">
        <v>177.706</v>
      </c>
      <c r="DI97" s="1" t="n">
        <v>206.3077</v>
      </c>
      <c r="DJ97" s="1" t="n">
        <v>209.8126</v>
      </c>
      <c r="DK97" s="1" t="n">
        <v>215.6773</v>
      </c>
      <c r="DM97" s="1" t="n">
        <v>187.3305</v>
      </c>
      <c r="DO97" s="1" t="n">
        <v>287.0957</v>
      </c>
      <c r="DQ97" s="1" t="n">
        <v>381.8998</v>
      </c>
      <c r="DS97" s="1" t="n">
        <v>446.8645</v>
      </c>
      <c r="DU97" s="1" t="n">
        <v>204.444</v>
      </c>
      <c r="DW97" s="1" t="n">
        <v>237.3096</v>
      </c>
      <c r="DY97" s="1" t="n">
        <v>286.4481</v>
      </c>
      <c r="EA97" s="1" t="n">
        <v>361.4453</v>
      </c>
      <c r="EC97" s="1" t="n">
        <v>375.853</v>
      </c>
      <c r="EE97" s="1" t="n">
        <v>454.8304</v>
      </c>
      <c r="EG97" s="1" t="n">
        <v>789.0466</v>
      </c>
      <c r="EI97" s="1" t="n">
        <v>820.9005</v>
      </c>
      <c r="EK97" s="1" t="n">
        <v>1427.3024</v>
      </c>
      <c r="EM97" s="1" t="n">
        <v>1700.377</v>
      </c>
    </row>
    <row r="98">
      <c r="A98" s="2" t="inlineStr">
        <is>
          <t xml:space="preserve">                    工程物资</t>
        </is>
      </c>
      <c r="B98" s="1" t="n">
        <v>0.5039</v>
      </c>
      <c r="C98" s="1" t="n">
        <v>0.1217</v>
      </c>
      <c r="D98" s="1" t="n">
        <v>0.1217</v>
      </c>
      <c r="E98" s="1" t="n">
        <v>0.2532</v>
      </c>
      <c r="F98" s="1" t="n">
        <v>0.1135</v>
      </c>
      <c r="G98" s="1" t="n">
        <v>0.1699</v>
      </c>
      <c r="H98" s="1" t="n">
        <v>0.1135</v>
      </c>
      <c r="I98" s="1" t="n">
        <v>0.1135</v>
      </c>
      <c r="J98" s="1" t="n">
        <v>0.1135</v>
      </c>
      <c r="K98" s="1" t="n">
        <v>0.1135</v>
      </c>
      <c r="L98" s="1" t="n">
        <v>0.1135</v>
      </c>
      <c r="M98" s="1" t="n">
        <v>0.1135</v>
      </c>
      <c r="N98" s="1" t="n">
        <v>1.4617</v>
      </c>
      <c r="O98" s="1" t="n">
        <v>0.8714</v>
      </c>
      <c r="P98" s="1" t="n">
        <v>0.0306</v>
      </c>
      <c r="Q98" s="1" t="n">
        <v>0.0306</v>
      </c>
      <c r="R98" s="1" t="n">
        <v>0.0306</v>
      </c>
      <c r="S98" s="1" t="n">
        <v>0.0306</v>
      </c>
      <c r="T98" s="1" t="n">
        <v>0.0306</v>
      </c>
      <c r="AA98" s="1" t="n">
        <v>47.05</v>
      </c>
      <c r="AC98" s="1" t="n">
        <v>0.12</v>
      </c>
      <c r="AD98" s="1" t="n">
        <v>0.39</v>
      </c>
      <c r="AE98" s="1" t="n">
        <v>0.3</v>
      </c>
      <c r="AF98" s="1" t="n">
        <v>0.17</v>
      </c>
      <c r="AG98" s="1" t="n">
        <v>0.11</v>
      </c>
      <c r="AH98" s="1" t="n">
        <v>0.11</v>
      </c>
      <c r="AI98" s="1" t="n">
        <v>0.11</v>
      </c>
      <c r="AJ98" s="1" t="n">
        <v>0.11</v>
      </c>
      <c r="AK98" s="1" t="n">
        <v>0.11</v>
      </c>
      <c r="AL98" s="1" t="n">
        <v>0.15</v>
      </c>
      <c r="AM98" s="1" t="n">
        <v>0.16</v>
      </c>
      <c r="AO98" s="1" t="n">
        <v>0.03</v>
      </c>
      <c r="AP98" s="1" t="n">
        <v>0.03</v>
      </c>
      <c r="AQ98" s="1" t="n">
        <v>0.03</v>
      </c>
      <c r="AR98" s="1" t="n">
        <v>0.03</v>
      </c>
      <c r="AS98" s="1" t="n">
        <v>0.03</v>
      </c>
      <c r="BN98" s="1" t="n">
        <v>18.3056</v>
      </c>
      <c r="BO98" s="1" t="n">
        <v>47.0457</v>
      </c>
      <c r="BP98" s="1" t="n">
        <v>74.3531</v>
      </c>
      <c r="BQ98" s="1" t="n">
        <v>0.5039</v>
      </c>
      <c r="BU98" s="1" t="n">
        <v>0.1217</v>
      </c>
      <c r="BV98" s="1" t="n">
        <v>0.1217</v>
      </c>
      <c r="BW98" s="1" t="n">
        <v>0.1217</v>
      </c>
      <c r="BX98" s="1" t="n">
        <v>0.1217</v>
      </c>
      <c r="BY98" s="1" t="n">
        <v>0.1217</v>
      </c>
      <c r="BZ98" s="1" t="n">
        <v>0.1217</v>
      </c>
      <c r="CA98" s="1" t="n">
        <v>0.3852</v>
      </c>
      <c r="CB98" s="1" t="n">
        <v>1.6851</v>
      </c>
      <c r="CC98" s="1" t="n">
        <v>0.2532</v>
      </c>
      <c r="CD98" s="1" t="n">
        <v>0.2916</v>
      </c>
      <c r="CE98" s="1" t="n">
        <v>0.3036</v>
      </c>
      <c r="CF98" s="1" t="n">
        <v>0.3036</v>
      </c>
      <c r="CG98" s="1" t="n">
        <v>0.1135</v>
      </c>
      <c r="CH98" s="1" t="n">
        <v>0.1699</v>
      </c>
      <c r="CI98" s="1" t="n">
        <v>0.1699</v>
      </c>
      <c r="CJ98" s="1" t="n">
        <v>0.1699</v>
      </c>
      <c r="CK98" s="1" t="n">
        <v>0.1699</v>
      </c>
      <c r="CL98" s="1" t="n">
        <v>0.2608</v>
      </c>
      <c r="CM98" s="1" t="n">
        <v>0.1135</v>
      </c>
      <c r="CN98" s="1" t="n">
        <v>0.1135</v>
      </c>
      <c r="CO98" s="1" t="n">
        <v>0.1135</v>
      </c>
      <c r="CP98" s="1" t="n">
        <v>0.1135</v>
      </c>
      <c r="CQ98" s="1" t="n">
        <v>0.1135</v>
      </c>
      <c r="CR98" s="1" t="n">
        <v>0.1135</v>
      </c>
      <c r="CS98" s="1" t="n">
        <v>0.1135</v>
      </c>
      <c r="CT98" s="1" t="n">
        <v>0.1135</v>
      </c>
      <c r="CU98" s="1" t="n">
        <v>0.1135</v>
      </c>
      <c r="CV98" s="1" t="n">
        <v>0.1135</v>
      </c>
      <c r="CW98" s="1" t="n">
        <v>0.1135</v>
      </c>
      <c r="CX98" s="1" t="n">
        <v>0.1135</v>
      </c>
      <c r="CY98" s="1" t="n">
        <v>0.1135</v>
      </c>
      <c r="CZ98" s="1" t="n">
        <v>0.1135</v>
      </c>
      <c r="DA98" s="1" t="n">
        <v>0.1135</v>
      </c>
      <c r="DB98" s="1" t="n">
        <v>0.1135</v>
      </c>
      <c r="DC98" s="1" t="n">
        <v>0.1135</v>
      </c>
      <c r="DD98" s="1" t="n">
        <v>0.1135</v>
      </c>
      <c r="DE98" s="1" t="n">
        <v>0.1135</v>
      </c>
      <c r="DF98" s="1" t="n">
        <v>0.434</v>
      </c>
      <c r="DG98" s="1" t="n">
        <v>0.1457</v>
      </c>
      <c r="DH98" s="1" t="n">
        <v>0.3119</v>
      </c>
      <c r="DI98" s="1" t="n">
        <v>0.1135</v>
      </c>
      <c r="DJ98" s="1" t="n">
        <v>0.7015</v>
      </c>
      <c r="DK98" s="1" t="n">
        <v>0.1613</v>
      </c>
      <c r="DM98" s="1" t="n">
        <v>1.4617</v>
      </c>
      <c r="DQ98" s="1" t="n">
        <v>0.8714</v>
      </c>
      <c r="DS98" s="1" t="n">
        <v>0.0306</v>
      </c>
      <c r="DU98" s="1" t="n">
        <v>0.0306</v>
      </c>
      <c r="DW98" s="1" t="n">
        <v>0.0306</v>
      </c>
      <c r="DY98" s="1" t="n">
        <v>0.0306</v>
      </c>
      <c r="EA98" s="1" t="n">
        <v>0.0306</v>
      </c>
      <c r="EC98" s="1" t="n">
        <v>0.0306</v>
      </c>
      <c r="EE98" s="1" t="n">
        <v>0.0306</v>
      </c>
      <c r="EG98" s="1" t="n">
        <v>0.0306</v>
      </c>
      <c r="EI98" s="1" t="n">
        <v>0.0306</v>
      </c>
      <c r="EK98" s="1" t="n">
        <v>0.0306</v>
      </c>
      <c r="EM98" s="1" t="inlineStr"/>
    </row>
    <row r="99">
      <c r="A99" s="2" t="inlineStr">
        <is>
          <t xml:space="preserve">    生产性生物资产</t>
        </is>
      </c>
      <c r="ED99" s="1" t="n">
        <v>0</v>
      </c>
      <c r="EH99" s="1" t="n">
        <v>0</v>
      </c>
      <c r="EM99" s="1" t="inlineStr"/>
    </row>
    <row r="100">
      <c r="A100" s="2" t="inlineStr">
        <is>
          <t xml:space="preserve">    油气资产</t>
        </is>
      </c>
      <c r="ED100" s="1" t="n">
        <v>0</v>
      </c>
      <c r="EH100" s="1" t="n">
        <v>0</v>
      </c>
      <c r="EM100" s="1" t="inlineStr"/>
    </row>
    <row r="101">
      <c r="A101" s="2" t="inlineStr">
        <is>
          <t xml:space="preserve">    使用权资产</t>
        </is>
      </c>
      <c r="O101" s="1" t="n">
        <v>291.3884</v>
      </c>
      <c r="P101" s="1" t="n">
        <v>164.9938</v>
      </c>
      <c r="Q101" s="1" t="n">
        <v>231.3261</v>
      </c>
      <c r="R101" s="1" t="n">
        <v>297.1897</v>
      </c>
      <c r="S101" s="1" t="n">
        <v>345.2684</v>
      </c>
      <c r="T101" s="1" t="n">
        <v>554.6929</v>
      </c>
      <c r="AN101" s="1" t="n">
        <v>36.19</v>
      </c>
      <c r="AO101" s="1" t="n">
        <v>226.63</v>
      </c>
      <c r="AP101" s="1" t="n">
        <v>99.17</v>
      </c>
      <c r="AQ101" s="1" t="n">
        <v>326.65</v>
      </c>
      <c r="AR101" s="1" t="n">
        <v>246.99</v>
      </c>
      <c r="AS101" s="1" t="n">
        <v>479.15</v>
      </c>
      <c r="AT101" s="1" t="n"/>
      <c r="DN101" s="1" t="n">
        <v>47.0095</v>
      </c>
      <c r="DO101" s="1" t="n">
        <v>36.1926</v>
      </c>
      <c r="DP101" s="1" t="n">
        <v>58.4072</v>
      </c>
      <c r="DQ101" s="1" t="n">
        <v>291.3884</v>
      </c>
      <c r="DR101" s="1" t="n">
        <v>257.3117</v>
      </c>
      <c r="DS101" s="1" t="n">
        <v>226.6274</v>
      </c>
      <c r="DT101" s="1" t="n">
        <v>199.1138</v>
      </c>
      <c r="DU101" s="1" t="n">
        <v>164.9938</v>
      </c>
      <c r="DV101" s="1" t="n">
        <v>118.9099</v>
      </c>
      <c r="DW101" s="1" t="n">
        <v>99.1683</v>
      </c>
      <c r="DX101" s="1" t="n">
        <v>68.93300000000001</v>
      </c>
      <c r="DY101" s="1" t="n">
        <v>231.3261</v>
      </c>
      <c r="DZ101" s="1" t="n">
        <v>201.0713</v>
      </c>
      <c r="EA101" s="1" t="n">
        <v>326.6544</v>
      </c>
      <c r="EB101" s="1" t="n">
        <v>297.0507</v>
      </c>
      <c r="EC101" s="1" t="n">
        <v>297.1897</v>
      </c>
      <c r="ED101" s="1" t="n">
        <v>270.4656</v>
      </c>
      <c r="EE101" s="1" t="n">
        <v>246.9931</v>
      </c>
      <c r="EF101" s="1" t="n">
        <v>219.3612</v>
      </c>
      <c r="EG101" s="1" t="n">
        <v>345.2684</v>
      </c>
      <c r="EH101" s="1" t="n">
        <v>315.9527</v>
      </c>
      <c r="EI101" s="1" t="n">
        <v>479.1525</v>
      </c>
      <c r="EJ101" s="1" t="n">
        <v>480.7045</v>
      </c>
      <c r="EK101" s="1" t="n">
        <v>554.6929</v>
      </c>
      <c r="EL101" s="1" t="n">
        <v>516.6396</v>
      </c>
      <c r="EM101" s="1" t="n">
        <v>492.984</v>
      </c>
    </row>
    <row r="102">
      <c r="A102" s="2" t="inlineStr">
        <is>
          <t xml:space="preserve">    无形资产</t>
        </is>
      </c>
      <c r="B102" s="1" t="n">
        <v>302.7135</v>
      </c>
      <c r="C102" s="1" t="n">
        <v>348.4722</v>
      </c>
      <c r="D102" s="1" t="n">
        <v>518.8425999999999</v>
      </c>
      <c r="E102" s="1" t="n">
        <v>901.1</v>
      </c>
      <c r="F102" s="1" t="n">
        <v>975.6031</v>
      </c>
      <c r="G102" s="1" t="n">
        <v>991.1534</v>
      </c>
      <c r="H102" s="1" t="n">
        <v>997.1858</v>
      </c>
      <c r="I102" s="1" t="n">
        <v>1013.3399</v>
      </c>
      <c r="J102" s="1" t="n">
        <v>988.7528</v>
      </c>
      <c r="K102" s="1" t="n">
        <v>946.2293</v>
      </c>
      <c r="L102" s="1" t="n">
        <v>911.7011</v>
      </c>
      <c r="M102" s="1" t="n">
        <v>838.5918</v>
      </c>
      <c r="N102" s="1" t="n">
        <v>1681.0443</v>
      </c>
      <c r="O102" s="1" t="n">
        <v>1632.833</v>
      </c>
      <c r="P102" s="1" t="n">
        <v>1599.9055</v>
      </c>
      <c r="Q102" s="1" t="n">
        <v>1648.1338</v>
      </c>
      <c r="R102" s="1" t="n">
        <v>1761.8263</v>
      </c>
      <c r="S102" s="1" t="n">
        <v>1847.8106</v>
      </c>
      <c r="T102" s="1" t="n">
        <v>1924.6885</v>
      </c>
      <c r="AA102" s="1" t="n">
        <v>28.16</v>
      </c>
      <c r="AB102" s="1" t="n">
        <v>30.24</v>
      </c>
      <c r="AC102" s="1" t="n">
        <v>345.56</v>
      </c>
      <c r="AD102" s="1" t="n">
        <v>729.08</v>
      </c>
      <c r="AE102" s="1" t="n">
        <v>944.65</v>
      </c>
      <c r="AF102" s="1" t="n">
        <v>963.51</v>
      </c>
      <c r="AG102" s="1" t="n">
        <v>996.58</v>
      </c>
      <c r="AH102" s="1" t="n">
        <v>1019.89</v>
      </c>
      <c r="AI102" s="1" t="n">
        <v>988.91</v>
      </c>
      <c r="AJ102" s="1" t="n">
        <v>959.48</v>
      </c>
      <c r="AK102" s="1" t="n">
        <v>923.63</v>
      </c>
      <c r="AL102" s="1" t="n">
        <v>847.97</v>
      </c>
      <c r="AM102" s="1" t="n">
        <v>1654.2</v>
      </c>
      <c r="AN102" s="1" t="n">
        <v>1642.03</v>
      </c>
      <c r="AO102" s="1" t="n">
        <v>1600.22</v>
      </c>
      <c r="AP102" s="1" t="n">
        <v>1514.99</v>
      </c>
      <c r="AQ102" s="1" t="n">
        <v>1645.42</v>
      </c>
      <c r="AR102" s="1" t="n">
        <v>1763.85</v>
      </c>
      <c r="AS102" s="1" t="n">
        <v>1837.3</v>
      </c>
      <c r="AT102" s="1" t="n"/>
      <c r="BN102" s="1" t="n">
        <v>28.0873</v>
      </c>
      <c r="BO102" s="1" t="n">
        <v>28.1557</v>
      </c>
      <c r="BP102" s="1" t="n">
        <v>27.8359</v>
      </c>
      <c r="BQ102" s="1" t="n">
        <v>302.7135</v>
      </c>
      <c r="BR102" s="1" t="n">
        <v>30.5909</v>
      </c>
      <c r="BS102" s="1" t="n">
        <v>30.2386</v>
      </c>
      <c r="BT102" s="1" t="n">
        <v>29.8909</v>
      </c>
      <c r="BU102" s="1" t="n">
        <v>348.4722</v>
      </c>
      <c r="BV102" s="1" t="n">
        <v>351.3784</v>
      </c>
      <c r="BW102" s="1" t="n">
        <v>345.565</v>
      </c>
      <c r="BX102" s="1" t="n">
        <v>381.5006</v>
      </c>
      <c r="BY102" s="1" t="n">
        <v>518.8425999999999</v>
      </c>
      <c r="BZ102" s="1" t="n">
        <v>513.8971</v>
      </c>
      <c r="CA102" s="1" t="n">
        <v>729.0835</v>
      </c>
      <c r="CB102" s="1" t="n">
        <v>738.1433</v>
      </c>
      <c r="CC102" s="1" t="n">
        <v>901.1</v>
      </c>
      <c r="CD102" s="1" t="n">
        <v>918.9594</v>
      </c>
      <c r="CE102" s="1" t="n">
        <v>944.648</v>
      </c>
      <c r="CF102" s="1" t="n">
        <v>939.5673</v>
      </c>
      <c r="CG102" s="1" t="n">
        <v>975.6031</v>
      </c>
      <c r="CH102" s="1" t="n">
        <v>965.6754</v>
      </c>
      <c r="CI102" s="1" t="n">
        <v>963.5121</v>
      </c>
      <c r="CJ102" s="1" t="n">
        <v>972.9578</v>
      </c>
      <c r="CK102" s="1" t="n">
        <v>991.1534</v>
      </c>
      <c r="CL102" s="1" t="n">
        <v>981.7834</v>
      </c>
      <c r="CM102" s="1" t="n">
        <v>996.5838</v>
      </c>
      <c r="CN102" s="1" t="n">
        <v>992.9798</v>
      </c>
      <c r="CO102" s="1" t="n">
        <v>997.1858</v>
      </c>
      <c r="CP102" s="1" t="n">
        <v>990.966</v>
      </c>
      <c r="CQ102" s="1" t="n">
        <v>1019.8928</v>
      </c>
      <c r="CR102" s="1" t="n">
        <v>1015.2703</v>
      </c>
      <c r="CS102" s="1" t="n">
        <v>1013.3399</v>
      </c>
      <c r="CT102" s="1" t="n">
        <v>1003.9401</v>
      </c>
      <c r="CU102" s="1" t="n">
        <v>988.9135</v>
      </c>
      <c r="CV102" s="1" t="n">
        <v>976.4538</v>
      </c>
      <c r="CW102" s="1" t="n">
        <v>988.7528</v>
      </c>
      <c r="CX102" s="1" t="n">
        <v>973.099</v>
      </c>
      <c r="CY102" s="1" t="n">
        <v>959.4772</v>
      </c>
      <c r="CZ102" s="1" t="n">
        <v>947.3776</v>
      </c>
      <c r="DA102" s="1" t="n">
        <v>946.2293</v>
      </c>
      <c r="DB102" s="1" t="n">
        <v>935.3398999999999</v>
      </c>
      <c r="DC102" s="1" t="n">
        <v>923.6324</v>
      </c>
      <c r="DD102" s="1" t="n">
        <v>912.5623000000001</v>
      </c>
      <c r="DE102" s="1" t="n">
        <v>911.7011</v>
      </c>
      <c r="DF102" s="1" t="n">
        <v>901.2951</v>
      </c>
      <c r="DG102" s="1" t="n">
        <v>847.9681</v>
      </c>
      <c r="DH102" s="1" t="n">
        <v>842.5265000000001</v>
      </c>
      <c r="DI102" s="1" t="n">
        <v>838.5918</v>
      </c>
      <c r="DJ102" s="1" t="n">
        <v>831.8164</v>
      </c>
      <c r="DK102" s="1" t="n">
        <v>1654.2</v>
      </c>
      <c r="DL102" s="1" t="n">
        <v>1661.7629</v>
      </c>
      <c r="DM102" s="1" t="n">
        <v>1681.0443</v>
      </c>
      <c r="DN102" s="1" t="n">
        <v>1647.5932</v>
      </c>
      <c r="DO102" s="1" t="n">
        <v>1642.0281</v>
      </c>
      <c r="DP102" s="1" t="n">
        <v>1673.1799</v>
      </c>
      <c r="DQ102" s="1" t="n">
        <v>1632.833</v>
      </c>
      <c r="DR102" s="1" t="n">
        <v>1620.0315</v>
      </c>
      <c r="DS102" s="1" t="n">
        <v>1600.2163</v>
      </c>
      <c r="DT102" s="1" t="n">
        <v>1567.0619</v>
      </c>
      <c r="DU102" s="1" t="n">
        <v>1599.9055</v>
      </c>
      <c r="DV102" s="1" t="n">
        <v>1542.0258</v>
      </c>
      <c r="DW102" s="1" t="n">
        <v>1514.9902</v>
      </c>
      <c r="DX102" s="1" t="n">
        <v>1511.5473</v>
      </c>
      <c r="DY102" s="1" t="n">
        <v>1648.1338</v>
      </c>
      <c r="DZ102" s="1" t="n">
        <v>1625.3405</v>
      </c>
      <c r="EA102" s="1" t="n">
        <v>1645.4191</v>
      </c>
      <c r="EB102" s="1" t="n">
        <v>1659.2515</v>
      </c>
      <c r="EC102" s="1" t="n">
        <v>1761.8263</v>
      </c>
      <c r="ED102" s="1" t="n">
        <v>1748.4919</v>
      </c>
      <c r="EE102" s="1" t="n">
        <v>1763.8481</v>
      </c>
      <c r="EF102" s="1" t="n">
        <v>1753.5262</v>
      </c>
      <c r="EG102" s="1" t="n">
        <v>1847.8106</v>
      </c>
      <c r="EH102" s="1" t="n">
        <v>1851.9337</v>
      </c>
      <c r="EI102" s="1" t="n">
        <v>1837.2986</v>
      </c>
      <c r="EJ102" s="1" t="n">
        <v>1829.5721</v>
      </c>
      <c r="EK102" s="1" t="n">
        <v>1924.6885</v>
      </c>
      <c r="EL102" s="1" t="n">
        <v>1916.6218</v>
      </c>
      <c r="EM102" s="1" t="n">
        <v>1916.436</v>
      </c>
    </row>
    <row r="103">
      <c r="A103" s="2" t="inlineStr">
        <is>
          <t xml:space="preserve">    其中：数据资源</t>
        </is>
      </c>
      <c r="EM103" s="1" t="inlineStr"/>
    </row>
    <row r="104">
      <c r="A104" s="2" t="inlineStr">
        <is>
          <t xml:space="preserve">    开发支出</t>
        </is>
      </c>
      <c r="P104" s="1" t="n">
        <v>2.0519</v>
      </c>
      <c r="Q104" s="1" t="n">
        <v>4.2702</v>
      </c>
      <c r="R104" s="1" t="n">
        <v>5.251</v>
      </c>
      <c r="S104" s="1" t="n">
        <v>4.6826</v>
      </c>
      <c r="T104" s="1" t="n">
        <v>5.0272</v>
      </c>
      <c r="AM104" s="1" t="n">
        <v>1.88</v>
      </c>
      <c r="AP104" s="1" t="n">
        <v>2.05</v>
      </c>
      <c r="AQ104" s="1" t="n">
        <v>5.61</v>
      </c>
      <c r="AR104" s="1" t="n">
        <v>24.91</v>
      </c>
      <c r="AS104" s="1" t="n">
        <v>4.85</v>
      </c>
      <c r="AT104" s="1" t="n"/>
      <c r="DJ104" s="1" t="n">
        <v>1.2685</v>
      </c>
      <c r="DK104" s="1" t="n">
        <v>1.8846</v>
      </c>
      <c r="DL104" s="1" t="n">
        <v>2.0263</v>
      </c>
      <c r="DU104" s="1" t="n">
        <v>2.0519</v>
      </c>
      <c r="DV104" s="1" t="n">
        <v>2.0519</v>
      </c>
      <c r="DW104" s="1" t="n">
        <v>2.0519</v>
      </c>
      <c r="DX104" s="1" t="n">
        <v>2.7874</v>
      </c>
      <c r="DY104" s="1" t="n">
        <v>4.2702</v>
      </c>
      <c r="DZ104" s="1" t="n">
        <v>5.2525</v>
      </c>
      <c r="EA104" s="1" t="n">
        <v>5.6121</v>
      </c>
      <c r="EB104" s="1" t="n">
        <v>5.7053</v>
      </c>
      <c r="EC104" s="1" t="n">
        <v>5.251</v>
      </c>
      <c r="ED104" s="1" t="n">
        <v>21.4681</v>
      </c>
      <c r="EE104" s="1" t="n">
        <v>24.911</v>
      </c>
      <c r="EF104" s="1" t="n">
        <v>29.4573</v>
      </c>
      <c r="EG104" s="1" t="n">
        <v>4.6826</v>
      </c>
      <c r="EH104" s="1" t="n">
        <v>4.6561</v>
      </c>
      <c r="EI104" s="1" t="n">
        <v>4.8522</v>
      </c>
      <c r="EJ104" s="1" t="n">
        <v>4.7289</v>
      </c>
      <c r="EK104" s="1" t="n">
        <v>5.0272</v>
      </c>
      <c r="EL104" s="1" t="n">
        <v>5.0608</v>
      </c>
      <c r="EM104" s="1" t="n">
        <v>5.197</v>
      </c>
    </row>
    <row r="105">
      <c r="A105" s="2" t="inlineStr">
        <is>
          <t xml:space="preserve">    其中：数据资源</t>
        </is>
      </c>
      <c r="EM105" s="1" t="inlineStr"/>
    </row>
    <row r="106">
      <c r="A106" s="2" t="inlineStr">
        <is>
          <t xml:space="preserve">    商誉</t>
        </is>
      </c>
      <c r="ED106" s="1" t="n">
        <v>0</v>
      </c>
      <c r="EH106" s="1" t="n">
        <v>0</v>
      </c>
      <c r="EM106" s="1" t="inlineStr"/>
    </row>
    <row r="107">
      <c r="A107" s="2" t="inlineStr">
        <is>
          <t xml:space="preserve">    长期待摊费用</t>
        </is>
      </c>
      <c r="B107" s="1" t="n">
        <v>5.5456</v>
      </c>
      <c r="D107" s="1" t="n">
        <v>0.353</v>
      </c>
      <c r="E107" s="1" t="n">
        <v>0.2715</v>
      </c>
      <c r="F107" s="1" t="n">
        <v>1.6866</v>
      </c>
      <c r="G107" s="1" t="n">
        <v>0.7699</v>
      </c>
      <c r="H107" s="1" t="n">
        <v>0.615</v>
      </c>
      <c r="I107" s="1" t="n">
        <v>0.509</v>
      </c>
      <c r="J107" s="1" t="n">
        <v>0.4755</v>
      </c>
      <c r="K107" s="1" t="n">
        <v>0.344</v>
      </c>
      <c r="L107" s="1" t="n">
        <v>1.0756</v>
      </c>
      <c r="M107" s="1" t="n">
        <v>0.5903</v>
      </c>
      <c r="N107" s="1" t="n">
        <v>51.7785</v>
      </c>
      <c r="O107" s="1" t="n">
        <v>50.793</v>
      </c>
      <c r="P107" s="1" t="n">
        <v>2.1095</v>
      </c>
      <c r="Q107" s="1" t="n">
        <v>2.267</v>
      </c>
      <c r="R107" s="1" t="n">
        <v>2.1847</v>
      </c>
      <c r="S107" s="1" t="n">
        <v>2.1166</v>
      </c>
      <c r="T107" s="1" t="n">
        <v>15.2139</v>
      </c>
      <c r="AD107" s="1" t="n">
        <v>0.31</v>
      </c>
      <c r="AE107" s="1" t="n">
        <v>6.19</v>
      </c>
      <c r="AF107" s="1" t="n">
        <v>1.53</v>
      </c>
      <c r="AG107" s="1" t="n">
        <v>0.67</v>
      </c>
      <c r="AH107" s="1" t="n">
        <v>0.5600000000000001</v>
      </c>
      <c r="AI107" s="1" t="n">
        <v>0.63</v>
      </c>
      <c r="AJ107" s="1" t="n">
        <v>0.4</v>
      </c>
      <c r="AK107" s="1" t="n">
        <v>0.27</v>
      </c>
      <c r="AL107" s="1" t="n">
        <v>1.04</v>
      </c>
      <c r="AM107" s="1" t="n">
        <v>0.5600000000000001</v>
      </c>
      <c r="AN107" s="1" t="n">
        <v>38.4</v>
      </c>
      <c r="AO107" s="1" t="n">
        <v>40.33</v>
      </c>
      <c r="AP107" s="1" t="n">
        <v>2.27</v>
      </c>
      <c r="AQ107" s="1" t="n">
        <v>2.1</v>
      </c>
      <c r="AR107" s="1" t="n">
        <v>2.81</v>
      </c>
      <c r="AS107" s="1" t="n">
        <v>4.17</v>
      </c>
      <c r="AT107" s="1" t="n"/>
      <c r="BQ107" s="1" t="n">
        <v>5.5456</v>
      </c>
      <c r="BY107" s="1" t="n">
        <v>0.353</v>
      </c>
      <c r="BZ107" s="1" t="n">
        <v>0.3326</v>
      </c>
      <c r="CA107" s="1" t="n">
        <v>0.3122</v>
      </c>
      <c r="CB107" s="1" t="n">
        <v>0.2919</v>
      </c>
      <c r="CC107" s="1" t="n">
        <v>0.2715</v>
      </c>
      <c r="CD107" s="1" t="n">
        <v>0.2512</v>
      </c>
      <c r="CE107" s="1" t="n">
        <v>6.1925</v>
      </c>
      <c r="CF107" s="1" t="n">
        <v>12.8333</v>
      </c>
      <c r="CG107" s="1" t="n">
        <v>1.6866</v>
      </c>
      <c r="CH107" s="1" t="n">
        <v>1.5884</v>
      </c>
      <c r="CI107" s="1" t="n">
        <v>1.5286</v>
      </c>
      <c r="CJ107" s="1" t="n">
        <v>0.8297</v>
      </c>
      <c r="CK107" s="1" t="n">
        <v>0.7699</v>
      </c>
      <c r="CL107" s="1" t="n">
        <v>0.7101</v>
      </c>
      <c r="CM107" s="1" t="n">
        <v>0.668</v>
      </c>
      <c r="CN107" s="1" t="n">
        <v>0.6415</v>
      </c>
      <c r="CO107" s="1" t="n">
        <v>0.615</v>
      </c>
      <c r="CP107" s="1" t="n">
        <v>0.5885</v>
      </c>
      <c r="CQ107" s="1" t="n">
        <v>0.5620000000000001</v>
      </c>
      <c r="CR107" s="1" t="n">
        <v>0.5355</v>
      </c>
      <c r="CS107" s="1" t="n">
        <v>0.509</v>
      </c>
      <c r="CT107" s="1" t="n">
        <v>0.5913</v>
      </c>
      <c r="CU107" s="1" t="n">
        <v>0.6328</v>
      </c>
      <c r="CV107" s="1" t="n">
        <v>0.5955</v>
      </c>
      <c r="CW107" s="1" t="n">
        <v>0.4755</v>
      </c>
      <c r="CX107" s="1" t="n">
        <v>0.4381</v>
      </c>
      <c r="CY107" s="1" t="n">
        <v>0.4008</v>
      </c>
      <c r="CZ107" s="1" t="n">
        <v>0.3724</v>
      </c>
      <c r="DA107" s="1" t="n">
        <v>0.344</v>
      </c>
      <c r="DB107" s="1" t="n">
        <v>0.3066</v>
      </c>
      <c r="DC107" s="1" t="n">
        <v>0.2693</v>
      </c>
      <c r="DD107" s="1" t="n">
        <v>0.2625</v>
      </c>
      <c r="DE107" s="1" t="n">
        <v>1.0756</v>
      </c>
      <c r="DF107" s="1" t="n">
        <v>1.0581</v>
      </c>
      <c r="DG107" s="1" t="n">
        <v>1.0406</v>
      </c>
      <c r="DH107" s="1" t="n">
        <v>1.0231</v>
      </c>
      <c r="DI107" s="1" t="n">
        <v>0.5903</v>
      </c>
      <c r="DJ107" s="1" t="n">
        <v>0.5728</v>
      </c>
      <c r="DK107" s="1" t="n">
        <v>0.5553</v>
      </c>
      <c r="DL107" s="1" t="n">
        <v>0.5377999999999999</v>
      </c>
      <c r="DM107" s="1" t="n">
        <v>51.7785</v>
      </c>
      <c r="DN107" s="1" t="n">
        <v>51.927</v>
      </c>
      <c r="DO107" s="1" t="n">
        <v>38.4019</v>
      </c>
      <c r="DP107" s="1" t="n">
        <v>38.3844</v>
      </c>
      <c r="DQ107" s="1" t="n">
        <v>50.793</v>
      </c>
      <c r="DR107" s="1" t="n">
        <v>50.7783</v>
      </c>
      <c r="DS107" s="1" t="n">
        <v>40.3289</v>
      </c>
      <c r="DT107" s="1" t="n">
        <v>40.2781</v>
      </c>
      <c r="DU107" s="1" t="n">
        <v>2.1095</v>
      </c>
      <c r="DV107" s="1" t="n">
        <v>2.1927</v>
      </c>
      <c r="DW107" s="1" t="n">
        <v>2.2675</v>
      </c>
      <c r="DX107" s="1" t="n">
        <v>2.3162</v>
      </c>
      <c r="DY107" s="1" t="n">
        <v>2.267</v>
      </c>
      <c r="DZ107" s="1" t="n">
        <v>2.2018</v>
      </c>
      <c r="EA107" s="1" t="n">
        <v>2.0953</v>
      </c>
      <c r="EB107" s="1" t="n">
        <v>2.3029</v>
      </c>
      <c r="EC107" s="1" t="n">
        <v>2.1847</v>
      </c>
      <c r="ED107" s="1" t="n">
        <v>1.9782</v>
      </c>
      <c r="EE107" s="1" t="n">
        <v>2.8052</v>
      </c>
      <c r="EF107" s="1" t="n">
        <v>2.8106</v>
      </c>
      <c r="EG107" s="1" t="n">
        <v>2.1166</v>
      </c>
      <c r="EH107" s="1" t="n">
        <v>4.0947</v>
      </c>
      <c r="EI107" s="1" t="n">
        <v>4.1667</v>
      </c>
      <c r="EJ107" s="1" t="n">
        <v>8.9115</v>
      </c>
      <c r="EK107" s="1" t="n">
        <v>15.2139</v>
      </c>
      <c r="EL107" s="1" t="n">
        <v>15.9572</v>
      </c>
      <c r="EM107" s="1" t="n">
        <v>14.574</v>
      </c>
    </row>
    <row r="108">
      <c r="A108" s="2" t="inlineStr">
        <is>
          <t xml:space="preserve">    递延所得税资产</t>
        </is>
      </c>
      <c r="B108" s="1" t="n">
        <v>242.457</v>
      </c>
      <c r="C108" s="1" t="n">
        <v>284.3491</v>
      </c>
      <c r="D108" s="1" t="n">
        <v>481.388</v>
      </c>
      <c r="E108" s="1" t="n">
        <v>636.1219</v>
      </c>
      <c r="F108" s="1" t="n">
        <v>707.659</v>
      </c>
      <c r="G108" s="1" t="n">
        <v>951.9411</v>
      </c>
      <c r="H108" s="1" t="n">
        <v>1076.9648</v>
      </c>
      <c r="I108" s="1" t="n">
        <v>1280.9987</v>
      </c>
      <c r="J108" s="1" t="n">
        <v>1331.0432</v>
      </c>
      <c r="K108" s="1" t="n">
        <v>1547.2691</v>
      </c>
      <c r="L108" s="1" t="n">
        <v>1864.9941</v>
      </c>
      <c r="M108" s="1" t="n">
        <v>2124.5207</v>
      </c>
      <c r="N108" s="1" t="n">
        <v>2897.1882</v>
      </c>
      <c r="O108" s="1" t="n">
        <v>2892.9611</v>
      </c>
      <c r="P108" s="1" t="n">
        <v>2975.5427</v>
      </c>
      <c r="Q108" s="1" t="n">
        <v>3140.0033</v>
      </c>
      <c r="R108" s="1" t="n">
        <v>3143.2552</v>
      </c>
      <c r="S108" s="1" t="n">
        <v>3227.9098</v>
      </c>
      <c r="T108" s="1" t="n">
        <v>3320.5671</v>
      </c>
      <c r="AB108" s="1" t="n">
        <v>59.03</v>
      </c>
      <c r="AC108" s="1" t="n">
        <v>254.54</v>
      </c>
      <c r="AD108" s="1" t="n">
        <v>455.99</v>
      </c>
      <c r="AE108" s="1" t="n">
        <v>678.85</v>
      </c>
      <c r="AF108" s="1" t="n">
        <v>795.53</v>
      </c>
      <c r="AG108" s="1" t="n">
        <v>1022.03</v>
      </c>
      <c r="AH108" s="1" t="n">
        <v>1095.93</v>
      </c>
      <c r="AI108" s="1" t="n">
        <v>1286.33</v>
      </c>
      <c r="AJ108" s="1" t="n">
        <v>1344.36</v>
      </c>
      <c r="AK108" s="1" t="n">
        <v>1594.61</v>
      </c>
      <c r="AL108" s="1" t="n">
        <v>1923</v>
      </c>
      <c r="AM108" s="1" t="n">
        <v>2628.43</v>
      </c>
      <c r="AN108" s="1" t="n">
        <v>2931.08</v>
      </c>
      <c r="AO108" s="1" t="n">
        <v>2925.53</v>
      </c>
      <c r="AP108" s="1" t="n">
        <v>3039.33</v>
      </c>
      <c r="AQ108" s="1" t="n">
        <v>3269.93</v>
      </c>
      <c r="AR108" s="1" t="n">
        <v>3185.22</v>
      </c>
      <c r="AS108" s="1" t="n">
        <v>3409.29</v>
      </c>
      <c r="AT108" s="1" t="n"/>
      <c r="BQ108" s="1" t="n">
        <v>242.457</v>
      </c>
      <c r="BR108" s="1" t="n">
        <v>49.9324</v>
      </c>
      <c r="BS108" s="1" t="n">
        <v>59.0328</v>
      </c>
      <c r="BT108" s="1" t="n">
        <v>61.3194</v>
      </c>
      <c r="BU108" s="1" t="n">
        <v>284.3491</v>
      </c>
      <c r="BV108" s="1" t="n">
        <v>294.1834</v>
      </c>
      <c r="BW108" s="1" t="n">
        <v>254.5385</v>
      </c>
      <c r="BX108" s="1" t="n">
        <v>269.8082</v>
      </c>
      <c r="BY108" s="1" t="n">
        <v>481.388</v>
      </c>
      <c r="BZ108" s="1" t="n">
        <v>461.5795</v>
      </c>
      <c r="CA108" s="1" t="n">
        <v>455.9868</v>
      </c>
      <c r="CB108" s="1" t="n">
        <v>451.0513</v>
      </c>
      <c r="CC108" s="1" t="n">
        <v>636.1219</v>
      </c>
      <c r="CD108" s="1" t="n">
        <v>666.8576</v>
      </c>
      <c r="CE108" s="1" t="n">
        <v>678.8546</v>
      </c>
      <c r="CF108" s="1" t="n">
        <v>734.4992999999999</v>
      </c>
      <c r="CG108" s="1" t="n">
        <v>707.659</v>
      </c>
      <c r="CH108" s="1" t="n">
        <v>744.4343</v>
      </c>
      <c r="CI108" s="1" t="n">
        <v>795.5297</v>
      </c>
      <c r="CJ108" s="1" t="n">
        <v>787.3202</v>
      </c>
      <c r="CK108" s="1" t="n">
        <v>951.9411</v>
      </c>
      <c r="CL108" s="1" t="n">
        <v>977.1511</v>
      </c>
      <c r="CM108" s="1" t="n">
        <v>1022.0285</v>
      </c>
      <c r="CN108" s="1" t="n">
        <v>1072.5603</v>
      </c>
      <c r="CO108" s="1" t="n">
        <v>1076.9648</v>
      </c>
      <c r="CP108" s="1" t="n">
        <v>1065.4595</v>
      </c>
      <c r="CQ108" s="1" t="n">
        <v>1095.9278</v>
      </c>
      <c r="CR108" s="1" t="n">
        <v>1144.8151</v>
      </c>
      <c r="CS108" s="1" t="n">
        <v>1280.9987</v>
      </c>
      <c r="CT108" s="1" t="n">
        <v>1263.9487</v>
      </c>
      <c r="CU108" s="1" t="n">
        <v>1286.3345</v>
      </c>
      <c r="CV108" s="1" t="n">
        <v>1295.1484</v>
      </c>
      <c r="CW108" s="1" t="n">
        <v>1331.0432</v>
      </c>
      <c r="CX108" s="1" t="n">
        <v>1343.4206</v>
      </c>
      <c r="CY108" s="1" t="n">
        <v>1344.3608</v>
      </c>
      <c r="CZ108" s="1" t="n">
        <v>1354.423</v>
      </c>
      <c r="DA108" s="1" t="n">
        <v>1547.2691</v>
      </c>
      <c r="DB108" s="1" t="n">
        <v>1518.5211</v>
      </c>
      <c r="DC108" s="1" t="n">
        <v>1594.611</v>
      </c>
      <c r="DD108" s="1" t="n">
        <v>1652.5235</v>
      </c>
      <c r="DE108" s="1" t="n">
        <v>1864.9941</v>
      </c>
      <c r="DF108" s="1" t="n">
        <v>1841.2827</v>
      </c>
      <c r="DG108" s="1" t="n">
        <v>1923.0024</v>
      </c>
      <c r="DH108" s="1" t="n">
        <v>1966.6693</v>
      </c>
      <c r="DI108" s="1" t="n">
        <v>2124.5207</v>
      </c>
      <c r="DJ108" s="1" t="n">
        <v>2143.3589</v>
      </c>
      <c r="DK108" s="1" t="n">
        <v>2628.4272</v>
      </c>
      <c r="DL108" s="1" t="n">
        <v>2673.943</v>
      </c>
      <c r="DM108" s="1" t="n">
        <v>2897.1882</v>
      </c>
      <c r="DN108" s="1" t="n">
        <v>2899.0094</v>
      </c>
      <c r="DO108" s="1" t="n">
        <v>2931.0849</v>
      </c>
      <c r="DP108" s="1" t="n">
        <v>2962.8044</v>
      </c>
      <c r="DQ108" s="1" t="n">
        <v>2892.9611</v>
      </c>
      <c r="DR108" s="1" t="n">
        <v>2910.9028</v>
      </c>
      <c r="DS108" s="1" t="n">
        <v>2925.5309</v>
      </c>
      <c r="DT108" s="1" t="n">
        <v>2971.0578</v>
      </c>
      <c r="DU108" s="1" t="n">
        <v>2975.5427</v>
      </c>
      <c r="DV108" s="1" t="n">
        <v>3000.9721</v>
      </c>
      <c r="DW108" s="1" t="n">
        <v>3039.3272</v>
      </c>
      <c r="DX108" s="1" t="n">
        <v>3068.5561</v>
      </c>
      <c r="DY108" s="1" t="n">
        <v>3140.0033</v>
      </c>
      <c r="DZ108" s="1" t="n">
        <v>3140.6429</v>
      </c>
      <c r="EA108" s="1" t="n">
        <v>3269.9309</v>
      </c>
      <c r="EB108" s="1" t="n">
        <v>3241.5869</v>
      </c>
      <c r="EC108" s="1" t="n">
        <v>3143.2552</v>
      </c>
      <c r="ED108" s="1" t="n">
        <v>3148.5429</v>
      </c>
      <c r="EE108" s="1" t="n">
        <v>3185.2239</v>
      </c>
      <c r="EF108" s="1" t="n">
        <v>3268.0605</v>
      </c>
      <c r="EG108" s="1" t="n">
        <v>3227.9098</v>
      </c>
      <c r="EH108" s="1" t="n">
        <v>3287.2284</v>
      </c>
      <c r="EI108" s="1" t="n">
        <v>3409.2911</v>
      </c>
      <c r="EJ108" s="1" t="n">
        <v>3446.2789</v>
      </c>
      <c r="EK108" s="1" t="n">
        <v>3320.5671</v>
      </c>
      <c r="EL108" s="1" t="n">
        <v>3355.2317</v>
      </c>
      <c r="EM108" s="1" t="n">
        <v>3440.068</v>
      </c>
    </row>
    <row r="109">
      <c r="A109" s="2" t="inlineStr">
        <is>
          <t xml:space="preserve">    其他非流动资产</t>
        </is>
      </c>
      <c r="D109" s="1" t="n">
        <v>239.0762</v>
      </c>
      <c r="K109" s="1" t="n">
        <v>0.5246</v>
      </c>
      <c r="L109" s="1" t="n">
        <v>0.4262</v>
      </c>
      <c r="N109" s="1" t="n">
        <v>3.9818</v>
      </c>
      <c r="O109" s="1" t="n">
        <v>2619.3163</v>
      </c>
      <c r="P109" s="1" t="n">
        <v>2815.4524</v>
      </c>
      <c r="Q109" s="1" t="n">
        <v>4018.6054</v>
      </c>
      <c r="R109" s="1" t="n">
        <v>4099.1754</v>
      </c>
      <c r="S109" s="1" t="n">
        <v>6849.9394</v>
      </c>
      <c r="T109" s="1" t="n">
        <v>7581.0938</v>
      </c>
      <c r="AD109" s="1" t="n">
        <v>18.08</v>
      </c>
      <c r="AK109" s="1" t="n">
        <v>0.49</v>
      </c>
      <c r="AM109" s="1" t="n">
        <v>2.3</v>
      </c>
      <c r="AO109" s="1" t="n">
        <v>2918.72</v>
      </c>
      <c r="AP109" s="1" t="n">
        <v>3501.94</v>
      </c>
      <c r="AQ109" s="1" t="n">
        <v>4105.82</v>
      </c>
      <c r="AR109" s="1" t="n">
        <v>4698.08</v>
      </c>
      <c r="AS109" s="1" t="n">
        <v>6522.8</v>
      </c>
      <c r="AT109" s="1" t="n"/>
      <c r="BY109" s="1" t="n">
        <v>239.0762</v>
      </c>
      <c r="BZ109" s="1" t="n">
        <v>239.0762</v>
      </c>
      <c r="CA109" s="1" t="n">
        <v>18.0762</v>
      </c>
      <c r="DA109" s="1" t="n">
        <v>0.5246</v>
      </c>
      <c r="DB109" s="1" t="n">
        <v>4.0819</v>
      </c>
      <c r="DC109" s="1" t="n">
        <v>0.4918</v>
      </c>
      <c r="DD109" s="1" t="n">
        <v>0.459</v>
      </c>
      <c r="DE109" s="1" t="n">
        <v>0.4262</v>
      </c>
      <c r="DF109" s="1" t="n">
        <v>0.3934</v>
      </c>
      <c r="DK109" s="1" t="n">
        <v>2.2997</v>
      </c>
      <c r="DL109" s="1" t="n">
        <v>2.2997</v>
      </c>
      <c r="DM109" s="1" t="n">
        <v>3.9818</v>
      </c>
      <c r="DN109" s="1" t="n">
        <v>3.9818</v>
      </c>
      <c r="DQ109" s="1" t="n">
        <v>2619.3163</v>
      </c>
      <c r="DR109" s="1" t="n">
        <v>2307.4368</v>
      </c>
      <c r="DS109" s="1" t="n">
        <v>2918.7237</v>
      </c>
      <c r="DT109" s="1" t="n">
        <v>2477.3371</v>
      </c>
      <c r="DU109" s="1" t="n">
        <v>2815.4524</v>
      </c>
      <c r="DV109" s="1" t="n">
        <v>2878.4171</v>
      </c>
      <c r="DW109" s="1" t="n">
        <v>3501.9436</v>
      </c>
      <c r="DX109" s="1" t="n">
        <v>3358.2718</v>
      </c>
      <c r="DY109" s="1" t="n">
        <v>4018.6054</v>
      </c>
      <c r="DZ109" s="1" t="n">
        <v>3865.6164</v>
      </c>
      <c r="EA109" s="1" t="n">
        <v>4105.8172</v>
      </c>
      <c r="EB109" s="1" t="n">
        <v>4691.22</v>
      </c>
      <c r="EC109" s="1" t="n">
        <v>4099.1754</v>
      </c>
      <c r="ED109" s="1" t="n">
        <v>4546.4283</v>
      </c>
      <c r="EE109" s="1" t="n">
        <v>4698.085</v>
      </c>
      <c r="EF109" s="1" t="n">
        <v>5180.2578</v>
      </c>
      <c r="EG109" s="1" t="n">
        <v>6849.9394</v>
      </c>
      <c r="EH109" s="1" t="n">
        <v>7573.5691</v>
      </c>
      <c r="EI109" s="1" t="n">
        <v>6522.7991</v>
      </c>
      <c r="EJ109" s="1" t="n">
        <v>7616.439</v>
      </c>
      <c r="EK109" s="1" t="n">
        <v>7581.0938</v>
      </c>
      <c r="EL109" s="1" t="n">
        <v>7471.1294</v>
      </c>
      <c r="EM109" s="1" t="n">
        <v>8562.620000000001</v>
      </c>
    </row>
    <row r="110">
      <c r="A110" s="2" t="inlineStr">
        <is>
          <t xml:space="preserve">    非流动资产差额(特殊报表科目)</t>
        </is>
      </c>
      <c r="EM110" s="1" t="inlineStr"/>
    </row>
    <row r="111">
      <c r="A111" s="2" t="inlineStr">
        <is>
          <t xml:space="preserve">    非流动资产差额(合计平衡项目)</t>
        </is>
      </c>
      <c r="AA111" s="1" t="n">
        <v>0</v>
      </c>
      <c r="BN111" s="1" t="n">
        <v>0</v>
      </c>
      <c r="BO111" s="1" t="n">
        <v>0</v>
      </c>
      <c r="BP111" s="1" t="n">
        <v>0</v>
      </c>
      <c r="EM111" s="1" t="inlineStr"/>
    </row>
    <row r="112">
      <c r="A112" s="3" t="inlineStr">
        <is>
          <t xml:space="preserve">    非流动资产合计</t>
        </is>
      </c>
      <c r="B112" s="1" t="n">
        <v>3307.4137</v>
      </c>
      <c r="C112" s="1" t="n">
        <v>3838.5949</v>
      </c>
      <c r="D112" s="1" t="n">
        <v>5294.4277</v>
      </c>
      <c r="E112" s="1" t="n">
        <v>10286.1558</v>
      </c>
      <c r="F112" s="1" t="n">
        <v>12793.8263</v>
      </c>
      <c r="G112" s="1" t="n">
        <v>13578.4235</v>
      </c>
      <c r="H112" s="1" t="n">
        <v>13702.7524</v>
      </c>
      <c r="I112" s="1" t="n">
        <v>13388.1195</v>
      </c>
      <c r="J112" s="1" t="n">
        <v>12737.4448</v>
      </c>
      <c r="K112" s="1" t="n">
        <v>12181.2281</v>
      </c>
      <c r="L112" s="1" t="n">
        <v>12065.5249</v>
      </c>
      <c r="M112" s="1" t="n">
        <v>11218.2388</v>
      </c>
      <c r="N112" s="1" t="n">
        <v>17767.6337</v>
      </c>
      <c r="O112" s="1" t="n">
        <v>20220.0732</v>
      </c>
      <c r="P112" s="1" t="n">
        <v>27121.8799</v>
      </c>
      <c r="Q112" s="1" t="n">
        <v>33249.9638</v>
      </c>
      <c r="R112" s="1" t="n">
        <v>47855.1898</v>
      </c>
      <c r="S112" s="1" t="n">
        <v>45419.0458</v>
      </c>
      <c r="T112" s="1" t="n">
        <v>48229.5026</v>
      </c>
      <c r="AA112" s="1" t="n">
        <v>828.86</v>
      </c>
      <c r="AB112" s="1" t="n">
        <v>964.64</v>
      </c>
      <c r="AC112" s="1" t="n">
        <v>3636.55</v>
      </c>
      <c r="AD112" s="1" t="n">
        <v>6395.25</v>
      </c>
      <c r="AE112" s="1" t="n">
        <v>11481.99</v>
      </c>
      <c r="AF112" s="1" t="n">
        <v>13037.66</v>
      </c>
      <c r="AG112" s="1" t="n">
        <v>13865.54</v>
      </c>
      <c r="AH112" s="1" t="n">
        <v>13427.04</v>
      </c>
      <c r="AI112" s="1" t="n">
        <v>13214.3</v>
      </c>
      <c r="AJ112" s="1" t="n">
        <v>12379.72</v>
      </c>
      <c r="AK112" s="1" t="n">
        <v>11974.94</v>
      </c>
      <c r="AL112" s="1" t="n">
        <v>11321.71</v>
      </c>
      <c r="AM112" s="1" t="n">
        <v>13844.71</v>
      </c>
      <c r="AN112" s="1" t="n">
        <v>19993.87</v>
      </c>
      <c r="AO112" s="1" t="n">
        <v>21565.03</v>
      </c>
      <c r="AP112" s="1" t="n">
        <v>23868.64</v>
      </c>
      <c r="AQ112" s="1" t="n">
        <v>43762.03</v>
      </c>
      <c r="AR112" s="1" t="n">
        <v>45200.28</v>
      </c>
      <c r="AS112" s="1" t="n">
        <v>47904.58</v>
      </c>
      <c r="AT112" s="1" t="n"/>
      <c r="BN112" s="1" t="n">
        <v>784.5442</v>
      </c>
      <c r="BO112" s="1" t="n">
        <v>828.8631</v>
      </c>
      <c r="BP112" s="1" t="n">
        <v>882.6254</v>
      </c>
      <c r="BQ112" s="1" t="n">
        <v>3307.4137</v>
      </c>
      <c r="BR112" s="1" t="n">
        <v>884.9768</v>
      </c>
      <c r="BS112" s="1" t="n">
        <v>964.6392</v>
      </c>
      <c r="BT112" s="1" t="n">
        <v>945.5878</v>
      </c>
      <c r="BU112" s="1" t="n">
        <v>3838.5949</v>
      </c>
      <c r="BV112" s="1" t="n">
        <v>3903.9989</v>
      </c>
      <c r="BW112" s="1" t="n">
        <v>3636.5501</v>
      </c>
      <c r="BX112" s="1" t="n">
        <v>3875.6755</v>
      </c>
      <c r="BY112" s="1" t="n">
        <v>5294.4277</v>
      </c>
      <c r="BZ112" s="1" t="n">
        <v>5698.8949</v>
      </c>
      <c r="CA112" s="1" t="n">
        <v>6395.2497</v>
      </c>
      <c r="CB112" s="1" t="n">
        <v>7097.3264</v>
      </c>
      <c r="CC112" s="1" t="n">
        <v>10286.1558</v>
      </c>
      <c r="CD112" s="1" t="n">
        <v>10974.7778</v>
      </c>
      <c r="CE112" s="1" t="n">
        <v>11481.9896</v>
      </c>
      <c r="CF112" s="1" t="n">
        <v>11987.2776</v>
      </c>
      <c r="CG112" s="1" t="n">
        <v>12793.8263</v>
      </c>
      <c r="CH112" s="1" t="n">
        <v>13055.77</v>
      </c>
      <c r="CI112" s="1" t="n">
        <v>13037.6598</v>
      </c>
      <c r="CJ112" s="1" t="n">
        <v>13120.7273</v>
      </c>
      <c r="CK112" s="1" t="n">
        <v>13578.4235</v>
      </c>
      <c r="CL112" s="1" t="n">
        <v>14147.8879</v>
      </c>
      <c r="CM112" s="1" t="n">
        <v>13865.5384</v>
      </c>
      <c r="CN112" s="1" t="n">
        <v>13700.6257</v>
      </c>
      <c r="CO112" s="1" t="n">
        <v>13702.7524</v>
      </c>
      <c r="CP112" s="1" t="n">
        <v>13631.7555</v>
      </c>
      <c r="CQ112" s="1" t="n">
        <v>13427.0437</v>
      </c>
      <c r="CR112" s="1" t="n">
        <v>13379.7697</v>
      </c>
      <c r="CS112" s="1" t="n">
        <v>13388.1195</v>
      </c>
      <c r="CT112" s="1" t="n">
        <v>13290.9204</v>
      </c>
      <c r="CU112" s="1" t="n">
        <v>13214.3031</v>
      </c>
      <c r="CV112" s="1" t="n">
        <v>13057.697</v>
      </c>
      <c r="CW112" s="1" t="n">
        <v>12737.4448</v>
      </c>
      <c r="CX112" s="1" t="n">
        <v>12596.0684</v>
      </c>
      <c r="CY112" s="1" t="n">
        <v>12379.7167</v>
      </c>
      <c r="CZ112" s="1" t="n">
        <v>12240.6338</v>
      </c>
      <c r="DA112" s="1" t="n">
        <v>12181.2281</v>
      </c>
      <c r="DB112" s="1" t="n">
        <v>12000.8686</v>
      </c>
      <c r="DC112" s="1" t="n">
        <v>11974.9426</v>
      </c>
      <c r="DD112" s="1" t="n">
        <v>11985.2432</v>
      </c>
      <c r="DE112" s="1" t="n">
        <v>12065.5249</v>
      </c>
      <c r="DF112" s="1" t="n">
        <v>11847.9072</v>
      </c>
      <c r="DG112" s="1" t="n">
        <v>11321.7064</v>
      </c>
      <c r="DH112" s="1" t="n">
        <v>11201.8684</v>
      </c>
      <c r="DI112" s="1" t="n">
        <v>11218.2388</v>
      </c>
      <c r="DJ112" s="1" t="n">
        <v>11119.6942</v>
      </c>
      <c r="DK112" s="1" t="n">
        <v>13844.7067</v>
      </c>
      <c r="DL112" s="1" t="n">
        <v>13790.0805</v>
      </c>
      <c r="DM112" s="1" t="n">
        <v>17767.6337</v>
      </c>
      <c r="DN112" s="1" t="n">
        <v>18460.5608</v>
      </c>
      <c r="DO112" s="1" t="n">
        <v>19993.8687</v>
      </c>
      <c r="DP112" s="1" t="n">
        <v>19159.989</v>
      </c>
      <c r="DQ112" s="1" t="n">
        <v>20220.0732</v>
      </c>
      <c r="DR112" s="1" t="n">
        <v>19162.5624</v>
      </c>
      <c r="DS112" s="1" t="n">
        <v>21565.0295</v>
      </c>
      <c r="DT112" s="1" t="n">
        <v>26138.1767</v>
      </c>
      <c r="DU112" s="1" t="n">
        <v>27121.8799</v>
      </c>
      <c r="DV112" s="1" t="n">
        <v>25860.859</v>
      </c>
      <c r="DW112" s="1" t="n">
        <v>23868.6373</v>
      </c>
      <c r="DX112" s="1" t="n">
        <v>30071.0346</v>
      </c>
      <c r="DY112" s="1" t="n">
        <v>33249.9638</v>
      </c>
      <c r="DZ112" s="1" t="n">
        <v>33735.9659</v>
      </c>
      <c r="EA112" s="1" t="n">
        <v>43762.0293</v>
      </c>
      <c r="EB112" s="1" t="n">
        <v>43871.0732</v>
      </c>
      <c r="EC112" s="1" t="n">
        <v>47855.1898</v>
      </c>
      <c r="ED112" s="1" t="n">
        <v>46471.9591</v>
      </c>
      <c r="EE112" s="1" t="n">
        <v>45200.2776</v>
      </c>
      <c r="EF112" s="1" t="n">
        <v>44197.9582</v>
      </c>
      <c r="EG112" s="1" t="n">
        <v>45419.0458</v>
      </c>
      <c r="EH112" s="1" t="n">
        <v>47906.9894</v>
      </c>
      <c r="EI112" s="1" t="n">
        <v>47904.5848</v>
      </c>
      <c r="EJ112" s="1" t="n">
        <v>55535.0534</v>
      </c>
      <c r="EK112" s="1" t="n">
        <v>48229.5026</v>
      </c>
      <c r="EL112" s="1" t="n">
        <v>45053.6566</v>
      </c>
      <c r="EM112" s="1" t="n">
        <v>47132.51</v>
      </c>
    </row>
    <row r="113">
      <c r="A113" s="2" t="inlineStr">
        <is>
          <t>资产差额(特殊报表科目)</t>
        </is>
      </c>
      <c r="EM113" s="1" t="inlineStr"/>
    </row>
    <row r="114">
      <c r="A114" s="2" t="inlineStr">
        <is>
          <t>资产差额(合计平衡项目)</t>
        </is>
      </c>
      <c r="AA114" s="1" t="n">
        <v>0</v>
      </c>
      <c r="BN114" s="1" t="n">
        <v>0</v>
      </c>
      <c r="BO114" s="1" t="n">
        <v>0</v>
      </c>
      <c r="BP114" s="1" t="n">
        <v>0</v>
      </c>
      <c r="EM114" s="1" t="inlineStr"/>
    </row>
    <row r="115">
      <c r="A115" s="3" t="inlineStr">
        <is>
          <t>资产总计</t>
        </is>
      </c>
      <c r="B115" s="1" t="n">
        <v>31429.7736</v>
      </c>
      <c r="C115" s="1" t="n">
        <v>36378.3971</v>
      </c>
      <c r="D115" s="1" t="n">
        <v>56459.1666</v>
      </c>
      <c r="E115" s="1" t="n">
        <v>73030.83470000001</v>
      </c>
      <c r="F115" s="1" t="n">
        <v>82252.8885</v>
      </c>
      <c r="G115" s="1" t="n">
        <v>82442.7259</v>
      </c>
      <c r="H115" s="1" t="n">
        <v>78327.0566</v>
      </c>
      <c r="I115" s="1" t="n">
        <v>77836.7031</v>
      </c>
      <c r="J115" s="1" t="n">
        <v>85230.1695</v>
      </c>
      <c r="K115" s="1" t="n">
        <v>86134.42329999999</v>
      </c>
      <c r="L115" s="1" t="n">
        <v>84702.60030000001</v>
      </c>
      <c r="M115" s="1" t="n">
        <v>78920.7657</v>
      </c>
      <c r="N115" s="1" t="n">
        <v>91323.3294</v>
      </c>
      <c r="O115" s="1" t="n">
        <v>89618.9656</v>
      </c>
      <c r="P115" s="1" t="n">
        <v>97795.1378</v>
      </c>
      <c r="Q115" s="1" t="n">
        <v>103104.5733</v>
      </c>
      <c r="R115" s="1" t="n">
        <v>115265.0605</v>
      </c>
      <c r="S115" s="1" t="n">
        <v>121108.3733</v>
      </c>
      <c r="T115" s="1" t="n">
        <v>142009.2849</v>
      </c>
      <c r="AA115" s="1" t="n">
        <v>8732.32</v>
      </c>
      <c r="AB115" s="1" t="n">
        <v>9607.549999999999</v>
      </c>
      <c r="AC115" s="1" t="n">
        <v>46510.36</v>
      </c>
      <c r="AD115" s="1" t="n">
        <v>63804.73</v>
      </c>
      <c r="AE115" s="1" t="n">
        <v>77638.47</v>
      </c>
      <c r="AF115" s="1" t="n">
        <v>86308.32000000001</v>
      </c>
      <c r="AG115" s="1" t="n">
        <v>79758.91</v>
      </c>
      <c r="AH115" s="1" t="n">
        <v>76871.13</v>
      </c>
      <c r="AI115" s="1" t="n">
        <v>78832.3</v>
      </c>
      <c r="AJ115" s="1" t="n">
        <v>82873.82000000001</v>
      </c>
      <c r="AK115" s="1" t="n">
        <v>85662.73</v>
      </c>
      <c r="AL115" s="1" t="n">
        <v>81419.39999999999</v>
      </c>
      <c r="AM115" s="1" t="n">
        <v>87197.72</v>
      </c>
      <c r="AN115" s="1" t="n">
        <v>86363.34</v>
      </c>
      <c r="AO115" s="1" t="n">
        <v>92736.37</v>
      </c>
      <c r="AP115" s="1" t="n">
        <v>99508.05</v>
      </c>
      <c r="AQ115" s="1" t="n">
        <v>109895.36</v>
      </c>
      <c r="AR115" s="1" t="n">
        <v>126473.06</v>
      </c>
      <c r="AS115" s="1" t="n">
        <v>131570.41</v>
      </c>
      <c r="AT115" s="1" t="n"/>
      <c r="BN115" s="1" t="n">
        <v>8726.7575</v>
      </c>
      <c r="BO115" s="1" t="n">
        <v>8732.3226</v>
      </c>
      <c r="BP115" s="1" t="n">
        <v>8863.6729</v>
      </c>
      <c r="BQ115" s="1" t="n">
        <v>31429.7736</v>
      </c>
      <c r="BR115" s="1" t="n">
        <v>9496.633099999999</v>
      </c>
      <c r="BS115" s="1" t="n">
        <v>9607.5458</v>
      </c>
      <c r="BT115" s="1" t="n">
        <v>9769.2623</v>
      </c>
      <c r="BU115" s="1" t="n">
        <v>36378.3971</v>
      </c>
      <c r="BV115" s="1" t="n">
        <v>40285.7994</v>
      </c>
      <c r="BW115" s="1" t="n">
        <v>46510.357</v>
      </c>
      <c r="BX115" s="1" t="n">
        <v>52194.7922</v>
      </c>
      <c r="BY115" s="1" t="n">
        <v>56459.1666</v>
      </c>
      <c r="BZ115" s="1" t="n">
        <v>59348.7069</v>
      </c>
      <c r="CA115" s="1" t="n">
        <v>63804.7337</v>
      </c>
      <c r="CB115" s="1" t="n">
        <v>68650.0528</v>
      </c>
      <c r="CC115" s="1" t="n">
        <v>73030.83470000001</v>
      </c>
      <c r="CD115" s="1" t="n">
        <v>74406.6136</v>
      </c>
      <c r="CE115" s="1" t="n">
        <v>77638.4709</v>
      </c>
      <c r="CF115" s="1" t="n">
        <v>82141.3879</v>
      </c>
      <c r="CG115" s="1" t="n">
        <v>82252.8885</v>
      </c>
      <c r="CH115" s="1" t="n">
        <v>84172.74679999999</v>
      </c>
      <c r="CI115" s="1" t="n">
        <v>86308.32030000001</v>
      </c>
      <c r="CJ115" s="1" t="n">
        <v>87747.94289999999</v>
      </c>
      <c r="CK115" s="1" t="n">
        <v>82442.7259</v>
      </c>
      <c r="CL115" s="1" t="n">
        <v>80538.2297</v>
      </c>
      <c r="CM115" s="1" t="n">
        <v>79758.9143</v>
      </c>
      <c r="CN115" s="1" t="n">
        <v>78618.93859999999</v>
      </c>
      <c r="CO115" s="1" t="n">
        <v>78327.0566</v>
      </c>
      <c r="CP115" s="1" t="n">
        <v>78002.0016</v>
      </c>
      <c r="CQ115" s="1" t="n">
        <v>76871.1296</v>
      </c>
      <c r="CR115" s="1" t="n">
        <v>77953.1949</v>
      </c>
      <c r="CS115" s="1" t="n">
        <v>77836.7031</v>
      </c>
      <c r="CT115" s="1" t="n">
        <v>78573.2954</v>
      </c>
      <c r="CU115" s="1" t="n">
        <v>78832.30130000001</v>
      </c>
      <c r="CV115" s="1" t="n">
        <v>85146.0944</v>
      </c>
      <c r="CW115" s="1" t="n">
        <v>85230.1695</v>
      </c>
      <c r="CX115" s="1" t="n">
        <v>84314.189</v>
      </c>
      <c r="CY115" s="1" t="n">
        <v>82873.8247</v>
      </c>
      <c r="CZ115" s="1" t="n">
        <v>83939.0297</v>
      </c>
      <c r="DA115" s="1" t="n">
        <v>86134.42329999999</v>
      </c>
      <c r="DB115" s="1" t="n">
        <v>86045.94680000001</v>
      </c>
      <c r="DC115" s="1" t="n">
        <v>85662.73420000001</v>
      </c>
      <c r="DD115" s="1" t="n">
        <v>87388.2864</v>
      </c>
      <c r="DE115" s="1" t="n">
        <v>84702.60030000001</v>
      </c>
      <c r="DF115" s="1" t="n">
        <v>83756.18580000001</v>
      </c>
      <c r="DG115" s="1" t="n">
        <v>81419.39810000001</v>
      </c>
      <c r="DH115" s="1" t="n">
        <v>79443.9108</v>
      </c>
      <c r="DI115" s="1" t="n">
        <v>78920.7657</v>
      </c>
      <c r="DJ115" s="1" t="n">
        <v>77333.57090000001</v>
      </c>
      <c r="DK115" s="1" t="n">
        <v>87197.7208</v>
      </c>
      <c r="DL115" s="1" t="n">
        <v>87783.52159999999</v>
      </c>
      <c r="DM115" s="1" t="n">
        <v>91323.3294</v>
      </c>
      <c r="DN115" s="1" t="n">
        <v>88231.48609999999</v>
      </c>
      <c r="DO115" s="1" t="n">
        <v>86363.33530000001</v>
      </c>
      <c r="DP115" s="1" t="n">
        <v>89118.64690000001</v>
      </c>
      <c r="DQ115" s="1" t="n">
        <v>89618.9656</v>
      </c>
      <c r="DR115" s="1" t="n">
        <v>88269.889</v>
      </c>
      <c r="DS115" s="1" t="n">
        <v>92736.3667</v>
      </c>
      <c r="DT115" s="1" t="n">
        <v>96047.4084</v>
      </c>
      <c r="DU115" s="1" t="n">
        <v>97795.1378</v>
      </c>
      <c r="DV115" s="1" t="n">
        <v>96545.12519999999</v>
      </c>
      <c r="DW115" s="1" t="n">
        <v>99508.0491</v>
      </c>
      <c r="DX115" s="1" t="n">
        <v>102770.6201</v>
      </c>
      <c r="DY115" s="1" t="n">
        <v>103104.5733</v>
      </c>
      <c r="DZ115" s="1" t="n">
        <v>103655.8689</v>
      </c>
      <c r="EA115" s="1" t="n">
        <v>109895.3644</v>
      </c>
      <c r="EB115" s="1" t="n">
        <v>113768.3457</v>
      </c>
      <c r="EC115" s="1" t="n">
        <v>115265.0605</v>
      </c>
      <c r="ED115" s="1" t="n">
        <v>118497.7705</v>
      </c>
      <c r="EE115" s="1" t="n">
        <v>126473.0583</v>
      </c>
      <c r="EF115" s="1" t="n">
        <v>127406.2154</v>
      </c>
      <c r="EG115" s="1" t="n">
        <v>121108.3733</v>
      </c>
      <c r="EH115" s="1" t="n">
        <v>128378.3726</v>
      </c>
      <c r="EI115" s="1" t="n">
        <v>131570.4077</v>
      </c>
      <c r="EJ115" s="1" t="n">
        <v>138723.7369</v>
      </c>
      <c r="EK115" s="1" t="n">
        <v>142009.2849</v>
      </c>
      <c r="EL115" s="1" t="n">
        <v>148828.8429</v>
      </c>
      <c r="EM115" s="1" t="n">
        <v>156365.517</v>
      </c>
    </row>
    <row r="116">
      <c r="A116" s="3" t="inlineStr">
        <is>
          <t>流动负债：</t>
        </is>
      </c>
      <c r="EM116" s="1" t="inlineStr"/>
    </row>
    <row r="117">
      <c r="A117" s="2" t="inlineStr">
        <is>
          <t xml:space="preserve">    短期借款</t>
        </is>
      </c>
      <c r="B117" s="1" t="n">
        <v>211.68</v>
      </c>
      <c r="C117" s="1" t="n">
        <v>392.528</v>
      </c>
      <c r="D117" s="1" t="n">
        <v>204.2149</v>
      </c>
      <c r="E117" s="1" t="n">
        <v>450.9859</v>
      </c>
      <c r="F117" s="1" t="n">
        <v>2335</v>
      </c>
      <c r="G117" s="1" t="n">
        <v>2272.2987</v>
      </c>
      <c r="H117" s="1" t="n">
        <v>2118.52</v>
      </c>
      <c r="I117" s="1" t="n">
        <v>3453.0721</v>
      </c>
      <c r="J117" s="1" t="n">
        <v>2534</v>
      </c>
      <c r="K117" s="1" t="n">
        <v>1642</v>
      </c>
      <c r="L117" s="1" t="n">
        <v>284.5</v>
      </c>
      <c r="M117" s="1" t="n">
        <v>201.6286</v>
      </c>
      <c r="N117" s="1" t="n">
        <v>245.566</v>
      </c>
      <c r="O117" s="1" t="n">
        <v>13.85</v>
      </c>
      <c r="P117" s="1" t="n">
        <v>297.98</v>
      </c>
      <c r="Q117" s="1" t="n">
        <v>41.83</v>
      </c>
      <c r="R117" s="1" t="n">
        <v>103.235</v>
      </c>
      <c r="S117" s="1" t="n">
        <v>110.1655</v>
      </c>
      <c r="T117" s="1" t="n">
        <v>75.08</v>
      </c>
      <c r="AA117" s="1" t="n">
        <v>10</v>
      </c>
      <c r="AC117" s="1" t="n">
        <v>247.06</v>
      </c>
      <c r="AD117" s="1" t="n">
        <v>111.7</v>
      </c>
      <c r="AE117" s="1" t="n">
        <v>1882.23</v>
      </c>
      <c r="AF117" s="1" t="n">
        <v>2330</v>
      </c>
      <c r="AG117" s="1" t="n">
        <v>2955.77</v>
      </c>
      <c r="AH117" s="1" t="n">
        <v>2578.31</v>
      </c>
      <c r="AI117" s="1" t="n">
        <v>2912.74</v>
      </c>
      <c r="AJ117" s="1" t="n">
        <v>2542</v>
      </c>
      <c r="AK117" s="1" t="n">
        <v>378.5</v>
      </c>
      <c r="AL117" s="1" t="n">
        <v>333.65</v>
      </c>
      <c r="AM117" s="1" t="n">
        <v>28</v>
      </c>
      <c r="AN117" s="1" t="n">
        <v>232.42</v>
      </c>
      <c r="AO117" s="1" t="n">
        <v>36.38</v>
      </c>
      <c r="AP117" s="1" t="n">
        <v>317.65</v>
      </c>
      <c r="AQ117" s="1" t="n">
        <v>50</v>
      </c>
      <c r="AR117" s="1" t="n">
        <v>127</v>
      </c>
      <c r="AS117" s="1" t="n">
        <v>33.32</v>
      </c>
      <c r="AT117" s="1" t="n"/>
      <c r="BN117" s="1" t="n">
        <v>10</v>
      </c>
      <c r="BO117" s="1" t="n">
        <v>10</v>
      </c>
      <c r="BQ117" s="1" t="n">
        <v>211.68</v>
      </c>
      <c r="BU117" s="1" t="n">
        <v>392.528</v>
      </c>
      <c r="BV117" s="1" t="n">
        <v>197.78</v>
      </c>
      <c r="BW117" s="1" t="n">
        <v>247.06</v>
      </c>
      <c r="BX117" s="1" t="n">
        <v>272.69</v>
      </c>
      <c r="BY117" s="1" t="n">
        <v>204.2149</v>
      </c>
      <c r="BZ117" s="1" t="n">
        <v>97</v>
      </c>
      <c r="CA117" s="1" t="n">
        <v>111.7034</v>
      </c>
      <c r="CB117" s="1" t="n">
        <v>50</v>
      </c>
      <c r="CC117" s="1" t="n">
        <v>450.9859</v>
      </c>
      <c r="CD117" s="1" t="n">
        <v>537.2327</v>
      </c>
      <c r="CE117" s="1" t="n">
        <v>1882.2327</v>
      </c>
      <c r="CF117" s="1" t="n">
        <v>2582.2327</v>
      </c>
      <c r="CG117" s="1" t="n">
        <v>2335</v>
      </c>
      <c r="CH117" s="1" t="n">
        <v>2305</v>
      </c>
      <c r="CI117" s="1" t="n">
        <v>2330</v>
      </c>
      <c r="CJ117" s="1" t="n">
        <v>2119.6</v>
      </c>
      <c r="CK117" s="1" t="n">
        <v>2272.2987</v>
      </c>
      <c r="CL117" s="1" t="n">
        <v>2290</v>
      </c>
      <c r="CM117" s="1" t="n">
        <v>2955.7688</v>
      </c>
      <c r="CN117" s="1" t="n">
        <v>2814.8989</v>
      </c>
      <c r="CO117" s="1" t="n">
        <v>2118.52</v>
      </c>
      <c r="CP117" s="1" t="n">
        <v>2402.5419</v>
      </c>
      <c r="CQ117" s="1" t="n">
        <v>2578.3113</v>
      </c>
      <c r="CR117" s="1" t="n">
        <v>3292.185</v>
      </c>
      <c r="CS117" s="1" t="n">
        <v>3453.0721</v>
      </c>
      <c r="CT117" s="1" t="n">
        <v>3165.9549</v>
      </c>
      <c r="CU117" s="1" t="n">
        <v>2912.7441</v>
      </c>
      <c r="CV117" s="1" t="n">
        <v>2864.4617</v>
      </c>
      <c r="CW117" s="1" t="n">
        <v>2534</v>
      </c>
      <c r="CX117" s="1" t="n">
        <v>2844</v>
      </c>
      <c r="CY117" s="1" t="n">
        <v>2542</v>
      </c>
      <c r="CZ117" s="1" t="n">
        <v>2155</v>
      </c>
      <c r="DA117" s="1" t="n">
        <v>1642</v>
      </c>
      <c r="DB117" s="1" t="n">
        <v>827</v>
      </c>
      <c r="DC117" s="1" t="n">
        <v>378.5</v>
      </c>
      <c r="DD117" s="1" t="n">
        <v>284.5</v>
      </c>
      <c r="DE117" s="1" t="n">
        <v>284.5</v>
      </c>
      <c r="DF117" s="1" t="n">
        <v>377</v>
      </c>
      <c r="DG117" s="1" t="n">
        <v>333.65</v>
      </c>
      <c r="DH117" s="1" t="n">
        <v>318.65</v>
      </c>
      <c r="DI117" s="1" t="n">
        <v>201.6286</v>
      </c>
      <c r="DJ117" s="1" t="n">
        <v>386.6286</v>
      </c>
      <c r="DK117" s="1" t="n">
        <v>27.999</v>
      </c>
      <c r="DL117" s="1" t="n">
        <v>227.999</v>
      </c>
      <c r="DM117" s="1" t="n">
        <v>245.566</v>
      </c>
      <c r="DN117" s="1" t="n">
        <v>233.217</v>
      </c>
      <c r="DO117" s="1" t="n">
        <v>232.417</v>
      </c>
      <c r="DP117" s="1" t="n">
        <v>9.85</v>
      </c>
      <c r="DQ117" s="1" t="n">
        <v>13.85</v>
      </c>
      <c r="DR117" s="1" t="n">
        <v>13.58</v>
      </c>
      <c r="DS117" s="1" t="n">
        <v>36.38</v>
      </c>
      <c r="DT117" s="1" t="n">
        <v>36.38</v>
      </c>
      <c r="DU117" s="1" t="n">
        <v>297.98</v>
      </c>
      <c r="DV117" s="1" t="n">
        <v>301.82</v>
      </c>
      <c r="DW117" s="1" t="n">
        <v>317.65</v>
      </c>
      <c r="DX117" s="1" t="n">
        <v>335.25</v>
      </c>
      <c r="DY117" s="1" t="n">
        <v>41.83</v>
      </c>
      <c r="DZ117" s="1" t="n">
        <v>61.83</v>
      </c>
      <c r="EA117" s="1" t="n">
        <v>50</v>
      </c>
      <c r="EB117" s="1" t="n">
        <v>111.528</v>
      </c>
      <c r="EC117" s="1" t="n">
        <v>103.235</v>
      </c>
      <c r="ED117" s="1" t="n">
        <v>124.6712</v>
      </c>
      <c r="EE117" s="1" t="n">
        <v>127</v>
      </c>
      <c r="EF117" s="1" t="n">
        <v>120</v>
      </c>
      <c r="EG117" s="1" t="n">
        <v>110.1655</v>
      </c>
      <c r="EH117" s="1" t="n">
        <v>90.16549999999999</v>
      </c>
      <c r="EI117" s="1" t="n">
        <v>33.3233</v>
      </c>
      <c r="EJ117" s="1" t="n">
        <v>82.2423</v>
      </c>
      <c r="EK117" s="1" t="n">
        <v>75.08</v>
      </c>
      <c r="EL117" s="1" t="n">
        <v>94.0008</v>
      </c>
      <c r="EM117" s="1" t="n">
        <v>75.10899999999999</v>
      </c>
    </row>
    <row r="118">
      <c r="A118" s="2" t="inlineStr">
        <is>
          <t xml:space="preserve">    交易性金融负债</t>
        </is>
      </c>
      <c r="E118" s="1" t="n">
        <v>2.9095</v>
      </c>
      <c r="F118" s="1" t="n">
        <v>5.3058</v>
      </c>
      <c r="G118" s="1" t="n">
        <v>30.6431</v>
      </c>
      <c r="H118" s="1" t="n">
        <v>25.831</v>
      </c>
      <c r="K118" s="1" t="n">
        <v>5.8531</v>
      </c>
      <c r="L118" s="1" t="n">
        <v>10.3722</v>
      </c>
      <c r="AE118" s="1" t="n">
        <v>2.17</v>
      </c>
      <c r="AG118" s="1" t="n">
        <v>58.52</v>
      </c>
      <c r="AH118" s="1" t="n">
        <v>0.63</v>
      </c>
      <c r="AK118" s="1" t="n">
        <v>3.79</v>
      </c>
      <c r="AL118" s="1" t="n">
        <v>1.52</v>
      </c>
      <c r="CC118" s="1" t="n">
        <v>2.9095</v>
      </c>
      <c r="CD118" s="1" t="n">
        <v>2.9095</v>
      </c>
      <c r="CE118" s="1" t="n">
        <v>2.1651</v>
      </c>
      <c r="CF118" s="1" t="n">
        <v>1.3815</v>
      </c>
      <c r="CG118" s="1" t="n">
        <v>5.3058</v>
      </c>
      <c r="CH118" s="1" t="n">
        <v>5.3058</v>
      </c>
      <c r="CJ118" s="1" t="n">
        <v>10.7436</v>
      </c>
      <c r="CK118" s="1" t="n">
        <v>30.6431</v>
      </c>
      <c r="CL118" s="1" t="n">
        <v>28.9713</v>
      </c>
      <c r="CM118" s="1" t="n">
        <v>58.5194</v>
      </c>
      <c r="CN118" s="1" t="n">
        <v>59.7536</v>
      </c>
      <c r="CO118" s="1" t="n">
        <v>25.831</v>
      </c>
      <c r="CP118" s="1" t="n">
        <v>10.7289</v>
      </c>
      <c r="CQ118" s="1" t="n">
        <v>0.6264</v>
      </c>
      <c r="CR118" s="1" t="n">
        <v>0.0294</v>
      </c>
      <c r="DA118" s="1" t="n">
        <v>5.8531</v>
      </c>
      <c r="DB118" s="1" t="n">
        <v>6.1159</v>
      </c>
      <c r="DC118" s="1" t="n">
        <v>3.7901</v>
      </c>
      <c r="DD118" s="1" t="n">
        <v>4.3667</v>
      </c>
      <c r="DE118" s="1" t="n">
        <v>10.3722</v>
      </c>
      <c r="DF118" s="1" t="n">
        <v>10.3492</v>
      </c>
      <c r="DG118" s="1" t="n">
        <v>1.5184</v>
      </c>
      <c r="DH118" s="1" t="n">
        <v>1.5054</v>
      </c>
      <c r="ED118" s="1" t="n">
        <v>0</v>
      </c>
      <c r="EH118" s="1" t="n">
        <v>0</v>
      </c>
      <c r="EM118" s="1" t="inlineStr"/>
    </row>
    <row r="119">
      <c r="A119" s="2" t="inlineStr">
        <is>
          <t xml:space="preserve">    衍生金融负债</t>
        </is>
      </c>
      <c r="R119" s="1" t="n">
        <v>2.7257</v>
      </c>
      <c r="AR119" s="1" t="n">
        <v>20.06</v>
      </c>
      <c r="EB119" s="1" t="n">
        <v>17.6835</v>
      </c>
      <c r="EC119" s="1" t="n">
        <v>2.7257</v>
      </c>
      <c r="ED119" s="1" t="n">
        <v>0.9679</v>
      </c>
      <c r="EE119" s="1" t="n">
        <v>20.0604</v>
      </c>
      <c r="EF119" s="1" t="n">
        <v>7.8928</v>
      </c>
      <c r="EH119" s="1" t="n">
        <v>0</v>
      </c>
      <c r="EM119" s="1" t="inlineStr"/>
    </row>
    <row r="120">
      <c r="A120" s="2" t="inlineStr">
        <is>
          <t xml:space="preserve">        应付票据及应付账款</t>
        </is>
      </c>
      <c r="B120" s="1" t="n">
        <v>4012.4603</v>
      </c>
      <c r="C120" s="1" t="n">
        <v>5017.5276</v>
      </c>
      <c r="D120" s="1" t="n">
        <v>9708.3987</v>
      </c>
      <c r="E120" s="1" t="n">
        <v>13925.6949</v>
      </c>
      <c r="F120" s="1" t="n">
        <v>14679.1683</v>
      </c>
      <c r="G120" s="1" t="n">
        <v>18307.7407</v>
      </c>
      <c r="H120" s="1" t="n">
        <v>17492.2449</v>
      </c>
      <c r="I120" s="1" t="n">
        <v>19089.7933</v>
      </c>
      <c r="J120" s="1" t="n">
        <v>21169.1366</v>
      </c>
      <c r="K120" s="1" t="n">
        <v>19837.3057</v>
      </c>
      <c r="L120" s="1" t="n">
        <v>19656.6445</v>
      </c>
      <c r="M120" s="1" t="n">
        <v>17817.4552</v>
      </c>
      <c r="N120" s="1" t="n">
        <v>15092.951</v>
      </c>
      <c r="O120" s="1" t="n">
        <v>15484.7601</v>
      </c>
      <c r="P120" s="1" t="n">
        <v>18503.0616</v>
      </c>
      <c r="Q120" s="1" t="n">
        <v>20214.1652</v>
      </c>
      <c r="R120" s="1" t="n">
        <v>27376.5984</v>
      </c>
      <c r="S120" s="1" t="n">
        <v>33198.3514</v>
      </c>
      <c r="T120" s="1" t="n">
        <v>40468.3236</v>
      </c>
      <c r="AB120" s="1" t="n">
        <v>1130.56</v>
      </c>
      <c r="AC120" s="1" t="n">
        <v>7515.05</v>
      </c>
      <c r="AD120" s="1" t="n">
        <v>11935.36</v>
      </c>
      <c r="AE120" s="1" t="n">
        <v>14871.99</v>
      </c>
      <c r="AF120" s="1" t="n">
        <v>16647.83</v>
      </c>
      <c r="AG120" s="1" t="n">
        <v>18247.4</v>
      </c>
      <c r="AH120" s="1" t="n">
        <v>17892.09</v>
      </c>
      <c r="AI120" s="1" t="n">
        <v>19963.74</v>
      </c>
      <c r="AJ120" s="1" t="n">
        <v>22900.43</v>
      </c>
      <c r="AK120" s="1" t="n">
        <v>21692.4</v>
      </c>
      <c r="AL120" s="1" t="n">
        <v>19006.53</v>
      </c>
      <c r="AM120" s="1" t="n">
        <v>16436.7</v>
      </c>
      <c r="AN120" s="1" t="n">
        <v>14422.89</v>
      </c>
      <c r="AO120" s="1" t="n">
        <v>17191.88</v>
      </c>
      <c r="AP120" s="1" t="n">
        <v>19404.55</v>
      </c>
      <c r="AQ120" s="1" t="n">
        <v>24390.36</v>
      </c>
      <c r="AR120" s="1" t="n">
        <v>33632.07</v>
      </c>
      <c r="AS120" s="1" t="n">
        <v>35372.75</v>
      </c>
      <c r="AT120" s="1" t="n"/>
      <c r="BQ120" s="1" t="n">
        <v>4012.4603</v>
      </c>
      <c r="BR120" s="1" t="n">
        <v>899.905</v>
      </c>
      <c r="BS120" s="1" t="n">
        <v>1130.5552</v>
      </c>
      <c r="BT120" s="1" t="n">
        <v>1156.4507</v>
      </c>
      <c r="BU120" s="1" t="n">
        <v>5017.5276</v>
      </c>
      <c r="BV120" s="1" t="n">
        <v>5721.5939</v>
      </c>
      <c r="BW120" s="1" t="n">
        <v>7515.0472</v>
      </c>
      <c r="BX120" s="1" t="n">
        <v>9004.415199999999</v>
      </c>
      <c r="BY120" s="1" t="n">
        <v>9708.3987</v>
      </c>
      <c r="BZ120" s="1" t="n">
        <v>11088.936</v>
      </c>
      <c r="CA120" s="1" t="n">
        <v>11935.3558</v>
      </c>
      <c r="CB120" s="1" t="n">
        <v>13062.2127</v>
      </c>
      <c r="CC120" s="1" t="n">
        <v>13925.6949</v>
      </c>
      <c r="CD120" s="1" t="n">
        <v>14076.6617</v>
      </c>
      <c r="CE120" s="1" t="n">
        <v>14871.9921</v>
      </c>
      <c r="CF120" s="1" t="n">
        <v>16291.9642</v>
      </c>
      <c r="CG120" s="1" t="n">
        <v>14679.1683</v>
      </c>
      <c r="CH120" s="1" t="n">
        <v>15385.9211</v>
      </c>
      <c r="CI120" s="1" t="n">
        <v>16647.8262</v>
      </c>
      <c r="CJ120" s="1" t="n">
        <v>19459.3076</v>
      </c>
      <c r="CK120" s="1" t="n">
        <v>18307.7407</v>
      </c>
      <c r="CL120" s="1" t="n">
        <v>19000.8556</v>
      </c>
      <c r="CM120" s="1" t="n">
        <v>18247.4003</v>
      </c>
      <c r="CN120" s="1" t="n">
        <v>17721.1699</v>
      </c>
      <c r="CO120" s="1" t="n">
        <v>17492.2449</v>
      </c>
      <c r="CP120" s="1" t="n">
        <v>17102.1103</v>
      </c>
      <c r="CQ120" s="1" t="n">
        <v>17892.0934</v>
      </c>
      <c r="CR120" s="1" t="n">
        <v>18964.2085</v>
      </c>
      <c r="CS120" s="1" t="n">
        <v>19089.7933</v>
      </c>
      <c r="CT120" s="1" t="n">
        <v>19248.4735</v>
      </c>
      <c r="CU120" s="1" t="n">
        <v>19963.7381</v>
      </c>
      <c r="CV120" s="1" t="n">
        <v>22309.1273</v>
      </c>
      <c r="CW120" s="1" t="n">
        <v>21169.1366</v>
      </c>
      <c r="CX120" s="1" t="n">
        <v>21425.0994</v>
      </c>
      <c r="CY120" s="1" t="n">
        <v>22900.4344</v>
      </c>
      <c r="CZ120" s="1" t="n">
        <v>21782.3252</v>
      </c>
      <c r="DA120" s="1" t="n">
        <v>19837.3057</v>
      </c>
      <c r="DB120" s="1" t="n">
        <v>21436.1679</v>
      </c>
      <c r="DC120" s="1" t="n">
        <v>21692.3951</v>
      </c>
      <c r="DD120" s="1" t="n">
        <v>21609.9941</v>
      </c>
      <c r="DE120" s="1" t="n">
        <v>19656.6445</v>
      </c>
      <c r="DF120" s="1" t="n">
        <v>20148.6965</v>
      </c>
      <c r="DG120" s="1" t="n">
        <v>19006.5292</v>
      </c>
      <c r="DH120" s="1" t="n">
        <v>19086.3348</v>
      </c>
      <c r="DI120" s="1" t="n">
        <v>17817.4552</v>
      </c>
      <c r="DJ120" s="1" t="n">
        <v>17040.407</v>
      </c>
      <c r="DK120" s="1" t="n">
        <v>16436.7036</v>
      </c>
      <c r="DL120" s="1" t="n">
        <v>15358.43</v>
      </c>
      <c r="DM120" s="1" t="n">
        <v>15092.951</v>
      </c>
      <c r="DN120" s="1" t="n">
        <v>13628.6707</v>
      </c>
      <c r="DO120" s="1" t="n">
        <v>14422.8948</v>
      </c>
      <c r="DP120" s="1" t="n">
        <v>15261.996</v>
      </c>
      <c r="DQ120" s="1" t="n">
        <v>15484.7601</v>
      </c>
      <c r="DR120" s="1" t="n">
        <v>15078.2816</v>
      </c>
      <c r="DS120" s="1" t="n">
        <v>17191.8843</v>
      </c>
      <c r="DT120" s="1" t="n">
        <v>18913.4549</v>
      </c>
      <c r="DU120" s="1" t="n">
        <v>18503.0616</v>
      </c>
      <c r="DV120" s="1" t="n">
        <v>16691.3991</v>
      </c>
      <c r="DW120" s="1" t="n">
        <v>19404.5467</v>
      </c>
      <c r="DX120" s="1" t="n">
        <v>21205.2211</v>
      </c>
      <c r="DY120" s="1" t="n">
        <v>20214.1652</v>
      </c>
      <c r="DZ120" s="1" t="n">
        <v>22280.123</v>
      </c>
      <c r="EA120" s="1" t="n">
        <v>24390.3561</v>
      </c>
      <c r="EB120" s="1" t="n">
        <v>27173.3095</v>
      </c>
      <c r="EC120" s="1" t="n">
        <v>27376.5984</v>
      </c>
      <c r="ED120" s="1" t="n">
        <v>32439.1461</v>
      </c>
      <c r="EE120" s="1" t="n">
        <v>33632.0696</v>
      </c>
      <c r="EF120" s="1" t="n">
        <v>36641.8328</v>
      </c>
      <c r="EG120" s="1" t="n">
        <v>33198.3514</v>
      </c>
      <c r="EH120" s="1" t="n">
        <v>34640.0461</v>
      </c>
      <c r="EI120" s="1" t="n">
        <v>35372.7497</v>
      </c>
      <c r="EJ120" s="1" t="n">
        <v>40366.6493</v>
      </c>
      <c r="EK120" s="1" t="n">
        <v>40468.3236</v>
      </c>
      <c r="EL120" s="1" t="n">
        <v>44793.3557</v>
      </c>
      <c r="EM120" s="1" t="n">
        <v>46830.585</v>
      </c>
    </row>
    <row r="121">
      <c r="A121" s="2" t="inlineStr">
        <is>
          <t xml:space="preserve">                    应付票据</t>
        </is>
      </c>
      <c r="B121" s="1" t="n">
        <v>1205.8414</v>
      </c>
      <c r="C121" s="1" t="n">
        <v>1591.4869</v>
      </c>
      <c r="D121" s="1" t="n">
        <v>2227.2371</v>
      </c>
      <c r="E121" s="1" t="n">
        <v>3074.7106</v>
      </c>
      <c r="F121" s="1" t="n">
        <v>3570.9174</v>
      </c>
      <c r="G121" s="1" t="n">
        <v>3847.5246</v>
      </c>
      <c r="H121" s="1" t="n">
        <v>4107.0948</v>
      </c>
      <c r="I121" s="1" t="n">
        <v>4865.0944</v>
      </c>
      <c r="J121" s="1" t="n">
        <v>5275.8954</v>
      </c>
      <c r="K121" s="1" t="n">
        <v>4657.7723</v>
      </c>
      <c r="L121" s="1" t="n">
        <v>5276.3319</v>
      </c>
      <c r="M121" s="1" t="n">
        <v>3581.9623</v>
      </c>
      <c r="N121" s="1" t="n">
        <v>3552.7628</v>
      </c>
      <c r="O121" s="1" t="n">
        <v>3650.9479</v>
      </c>
      <c r="P121" s="1" t="n">
        <v>4861.6798</v>
      </c>
      <c r="Q121" s="1" t="n">
        <v>6254.7981</v>
      </c>
      <c r="R121" s="1" t="n">
        <v>10026.7042</v>
      </c>
      <c r="S121" s="1" t="n">
        <v>13892.2477</v>
      </c>
      <c r="T121" s="1" t="n">
        <v>15635.2786</v>
      </c>
      <c r="AA121" s="1" t="n">
        <v>244.57</v>
      </c>
      <c r="AB121" s="1" t="n">
        <v>408.56</v>
      </c>
      <c r="AC121" s="1" t="n">
        <v>1776.31</v>
      </c>
      <c r="AD121" s="1" t="n">
        <v>2469.09</v>
      </c>
      <c r="AE121" s="1" t="n">
        <v>2414.84</v>
      </c>
      <c r="AF121" s="1" t="n">
        <v>3358.08</v>
      </c>
      <c r="AG121" s="1" t="n">
        <v>3807.53</v>
      </c>
      <c r="AH121" s="1" t="n">
        <v>3975.78</v>
      </c>
      <c r="AI121" s="1" t="n">
        <v>4958.09</v>
      </c>
      <c r="AJ121" s="1" t="n">
        <v>4663.09</v>
      </c>
      <c r="AK121" s="1" t="n">
        <v>4403.94</v>
      </c>
      <c r="AL121" s="1" t="n">
        <v>4191.15</v>
      </c>
      <c r="AM121" s="1" t="n">
        <v>1767.39</v>
      </c>
      <c r="AN121" s="1" t="n">
        <v>2046.29</v>
      </c>
      <c r="AO121" s="1" t="n">
        <v>3192.45</v>
      </c>
      <c r="AP121" s="1" t="n">
        <v>4366.46</v>
      </c>
      <c r="AQ121" s="1" t="n">
        <v>7697.17</v>
      </c>
      <c r="AR121" s="1" t="n">
        <v>12939.17</v>
      </c>
      <c r="AS121" s="1" t="n">
        <v>13782.14</v>
      </c>
      <c r="AT121" s="1" t="n"/>
      <c r="BN121" s="1" t="n">
        <v>256.1773</v>
      </c>
      <c r="BO121" s="1" t="n">
        <v>244.5657</v>
      </c>
      <c r="BP121" s="1" t="n">
        <v>236.7462</v>
      </c>
      <c r="BQ121" s="1" t="n">
        <v>1205.8414</v>
      </c>
      <c r="BR121" s="1" t="n">
        <v>332.7939</v>
      </c>
      <c r="BS121" s="1" t="n">
        <v>408.5643</v>
      </c>
      <c r="BT121" s="1" t="n">
        <v>401.0407</v>
      </c>
      <c r="BU121" s="1" t="n">
        <v>1591.4869</v>
      </c>
      <c r="BV121" s="1" t="n">
        <v>1629.9438</v>
      </c>
      <c r="BW121" s="1" t="n">
        <v>1776.3122</v>
      </c>
      <c r="BX121" s="1" t="n">
        <v>2069.6284</v>
      </c>
      <c r="BY121" s="1" t="n">
        <v>2227.2371</v>
      </c>
      <c r="BZ121" s="1" t="n">
        <v>1863.3205</v>
      </c>
      <c r="CA121" s="1" t="n">
        <v>2469.0938</v>
      </c>
      <c r="CB121" s="1" t="n">
        <v>2385.5674</v>
      </c>
      <c r="CC121" s="1" t="n">
        <v>3074.7106</v>
      </c>
      <c r="CD121" s="1" t="n">
        <v>2550.7649</v>
      </c>
      <c r="CE121" s="1" t="n">
        <v>2414.8432</v>
      </c>
      <c r="CF121" s="1" t="n">
        <v>3102.8439</v>
      </c>
      <c r="CG121" s="1" t="n">
        <v>3570.9174</v>
      </c>
      <c r="CH121" s="1" t="n">
        <v>3119.6008</v>
      </c>
      <c r="CI121" s="1" t="n">
        <v>3358.0842</v>
      </c>
      <c r="CJ121" s="1" t="n">
        <v>3614.2122</v>
      </c>
      <c r="CK121" s="1" t="n">
        <v>3847.5246</v>
      </c>
      <c r="CL121" s="1" t="n">
        <v>3810.9237</v>
      </c>
      <c r="CM121" s="1" t="n">
        <v>3807.5311</v>
      </c>
      <c r="CN121" s="1" t="n">
        <v>3961.9986</v>
      </c>
      <c r="CO121" s="1" t="n">
        <v>4107.0948</v>
      </c>
      <c r="CP121" s="1" t="n">
        <v>4179.0034</v>
      </c>
      <c r="CQ121" s="1" t="n">
        <v>3975.779</v>
      </c>
      <c r="CR121" s="1" t="n">
        <v>4235.7731</v>
      </c>
      <c r="CS121" s="1" t="n">
        <v>4865.0944</v>
      </c>
      <c r="CT121" s="1" t="n">
        <v>4731.2341</v>
      </c>
      <c r="CU121" s="1" t="n">
        <v>4958.0894</v>
      </c>
      <c r="CV121" s="1" t="n">
        <v>5543.5187</v>
      </c>
      <c r="CW121" s="1" t="n">
        <v>5275.8954</v>
      </c>
      <c r="CX121" s="1" t="n">
        <v>4934.7235</v>
      </c>
      <c r="CY121" s="1" t="n">
        <v>4663.0917</v>
      </c>
      <c r="CZ121" s="1" t="n">
        <v>4437.5366</v>
      </c>
      <c r="DA121" s="1" t="n">
        <v>4657.7723</v>
      </c>
      <c r="DB121" s="1" t="n">
        <v>4555.1911</v>
      </c>
      <c r="DC121" s="1" t="n">
        <v>4403.9404</v>
      </c>
      <c r="DD121" s="1" t="n">
        <v>4699.3016</v>
      </c>
      <c r="DE121" s="1" t="n">
        <v>5276.3319</v>
      </c>
      <c r="DF121" s="1" t="n">
        <v>5036.4878</v>
      </c>
      <c r="DG121" s="1" t="n">
        <v>4191.147</v>
      </c>
      <c r="DH121" s="1" t="n">
        <v>3835.9612</v>
      </c>
      <c r="DI121" s="1" t="n">
        <v>3581.9623</v>
      </c>
      <c r="DJ121" s="1" t="n">
        <v>3402.8077</v>
      </c>
      <c r="DK121" s="1" t="n">
        <v>1767.3939</v>
      </c>
      <c r="DM121" s="1" t="n">
        <v>3552.7628</v>
      </c>
      <c r="DO121" s="1" t="n">
        <v>2046.2946</v>
      </c>
      <c r="DP121" s="1" t="n">
        <v>2983.1397</v>
      </c>
      <c r="DQ121" s="1" t="n">
        <v>3650.9479</v>
      </c>
      <c r="DR121" s="1" t="n">
        <v>3598.1209</v>
      </c>
      <c r="DS121" s="1" t="n">
        <v>3192.4498</v>
      </c>
      <c r="DT121" s="1" t="n">
        <v>4060.145</v>
      </c>
      <c r="DU121" s="1" t="n">
        <v>4861.6798</v>
      </c>
      <c r="DV121" s="1" t="n">
        <v>4485.2409</v>
      </c>
      <c r="DW121" s="1" t="n">
        <v>4366.4628</v>
      </c>
      <c r="DX121" s="1" t="n">
        <v>5006.823</v>
      </c>
      <c r="DY121" s="1" t="n">
        <v>6254.7981</v>
      </c>
      <c r="DZ121" s="1" t="n">
        <v>6323.1382</v>
      </c>
      <c r="EA121" s="1" t="n">
        <v>7697.1728</v>
      </c>
      <c r="EB121" s="1" t="n">
        <v>8783.104600000001</v>
      </c>
      <c r="EC121" s="1" t="n">
        <v>10026.7042</v>
      </c>
      <c r="ED121" s="1" t="n">
        <v>12059.8704</v>
      </c>
      <c r="EE121" s="1" t="n">
        <v>12939.1748</v>
      </c>
      <c r="EF121" s="1" t="n">
        <v>14247.804</v>
      </c>
      <c r="EG121" s="1" t="n">
        <v>13892.2477</v>
      </c>
      <c r="EH121" s="1" t="n">
        <v>12988.2215</v>
      </c>
      <c r="EI121" s="1" t="n">
        <v>13782.145</v>
      </c>
      <c r="EJ121" s="1" t="n">
        <v>15506.6698</v>
      </c>
      <c r="EK121" s="1" t="n">
        <v>15635.2786</v>
      </c>
      <c r="EL121" s="1" t="n">
        <v>15513.3589</v>
      </c>
      <c r="EM121" s="1" t="n">
        <v>16341.656</v>
      </c>
    </row>
    <row r="122">
      <c r="A122" s="2" t="inlineStr">
        <is>
          <t xml:space="preserve">                    应付账款</t>
        </is>
      </c>
      <c r="B122" s="1" t="n">
        <v>2806.6189</v>
      </c>
      <c r="C122" s="1" t="n">
        <v>3426.0407</v>
      </c>
      <c r="D122" s="1" t="n">
        <v>7481.1617</v>
      </c>
      <c r="E122" s="1" t="n">
        <v>10850.9843</v>
      </c>
      <c r="F122" s="1" t="n">
        <v>11108.2509</v>
      </c>
      <c r="G122" s="1" t="n">
        <v>14460.2162</v>
      </c>
      <c r="H122" s="1" t="n">
        <v>13385.1501</v>
      </c>
      <c r="I122" s="1" t="n">
        <v>14224.6989</v>
      </c>
      <c r="J122" s="1" t="n">
        <v>15893.2412</v>
      </c>
      <c r="K122" s="1" t="n">
        <v>15179.5334</v>
      </c>
      <c r="L122" s="1" t="n">
        <v>14380.3126</v>
      </c>
      <c r="M122" s="1" t="n">
        <v>14235.4929</v>
      </c>
      <c r="N122" s="1" t="n">
        <v>11540.1882</v>
      </c>
      <c r="O122" s="1" t="n">
        <v>11833.8122</v>
      </c>
      <c r="P122" s="1" t="n">
        <v>13641.3818</v>
      </c>
      <c r="Q122" s="1" t="n">
        <v>13959.3671</v>
      </c>
      <c r="R122" s="1" t="n">
        <v>17349.8942</v>
      </c>
      <c r="S122" s="1" t="n">
        <v>19306.1037</v>
      </c>
      <c r="T122" s="1" t="n">
        <v>24833.045</v>
      </c>
      <c r="AA122" s="1" t="n">
        <v>435.56</v>
      </c>
      <c r="AB122" s="1" t="n">
        <v>721.99</v>
      </c>
      <c r="AC122" s="1" t="n">
        <v>5738.73</v>
      </c>
      <c r="AD122" s="1" t="n">
        <v>9466.26</v>
      </c>
      <c r="AE122" s="1" t="n">
        <v>12457.15</v>
      </c>
      <c r="AF122" s="1" t="n">
        <v>13289.74</v>
      </c>
      <c r="AG122" s="1" t="n">
        <v>14439.87</v>
      </c>
      <c r="AH122" s="1" t="n">
        <v>13916.31</v>
      </c>
      <c r="AI122" s="1" t="n">
        <v>15005.65</v>
      </c>
      <c r="AJ122" s="1" t="n">
        <v>18237.34</v>
      </c>
      <c r="AK122" s="1" t="n">
        <v>17288.45</v>
      </c>
      <c r="AL122" s="1" t="n">
        <v>14815.38</v>
      </c>
      <c r="AM122" s="1" t="n">
        <v>14669.31</v>
      </c>
      <c r="AN122" s="1" t="n">
        <v>12376.6</v>
      </c>
      <c r="AO122" s="1" t="n">
        <v>13999.43</v>
      </c>
      <c r="AP122" s="1" t="n">
        <v>15038.08</v>
      </c>
      <c r="AQ122" s="1" t="n">
        <v>16693.18</v>
      </c>
      <c r="AR122" s="1" t="n">
        <v>20692.89</v>
      </c>
      <c r="AS122" s="1" t="n">
        <v>21590.6</v>
      </c>
      <c r="AT122" s="1" t="n"/>
      <c r="BN122" s="1" t="n">
        <v>484.6243</v>
      </c>
      <c r="BO122" s="1" t="n">
        <v>435.5605</v>
      </c>
      <c r="BP122" s="1" t="n">
        <v>553.3651</v>
      </c>
      <c r="BQ122" s="1" t="n">
        <v>2806.6189</v>
      </c>
      <c r="BR122" s="1" t="n">
        <v>567.1112000000001</v>
      </c>
      <c r="BS122" s="1" t="n">
        <v>721.9909</v>
      </c>
      <c r="BT122" s="1" t="n">
        <v>755.41</v>
      </c>
      <c r="BU122" s="1" t="n">
        <v>3426.0407</v>
      </c>
      <c r="BV122" s="1" t="n">
        <v>4091.65</v>
      </c>
      <c r="BW122" s="1" t="n">
        <v>5738.7349</v>
      </c>
      <c r="BX122" s="1" t="n">
        <v>6934.7868</v>
      </c>
      <c r="BY122" s="1" t="n">
        <v>7481.1617</v>
      </c>
      <c r="BZ122" s="1" t="n">
        <v>9225.6155</v>
      </c>
      <c r="CA122" s="1" t="n">
        <v>9466.2621</v>
      </c>
      <c r="CB122" s="1" t="n">
        <v>10676.6453</v>
      </c>
      <c r="CC122" s="1" t="n">
        <v>10850.9843</v>
      </c>
      <c r="CD122" s="1" t="n">
        <v>11525.8968</v>
      </c>
      <c r="CE122" s="1" t="n">
        <v>12457.1489</v>
      </c>
      <c r="CF122" s="1" t="n">
        <v>13189.1203</v>
      </c>
      <c r="CG122" s="1" t="n">
        <v>11108.2509</v>
      </c>
      <c r="CH122" s="1" t="n">
        <v>12266.3203</v>
      </c>
      <c r="CI122" s="1" t="n">
        <v>13289.742</v>
      </c>
      <c r="CJ122" s="1" t="n">
        <v>15845.0953</v>
      </c>
      <c r="CK122" s="1" t="n">
        <v>14460.2162</v>
      </c>
      <c r="CL122" s="1" t="n">
        <v>15189.932</v>
      </c>
      <c r="CM122" s="1" t="n">
        <v>14439.8692</v>
      </c>
      <c r="CN122" s="1" t="n">
        <v>13759.1713</v>
      </c>
      <c r="CO122" s="1" t="n">
        <v>13385.1501</v>
      </c>
      <c r="CP122" s="1" t="n">
        <v>12923.107</v>
      </c>
      <c r="CQ122" s="1" t="n">
        <v>13916.3143</v>
      </c>
      <c r="CR122" s="1" t="n">
        <v>14728.4354</v>
      </c>
      <c r="CS122" s="1" t="n">
        <v>14224.6989</v>
      </c>
      <c r="CT122" s="1" t="n">
        <v>14517.2394</v>
      </c>
      <c r="CU122" s="1" t="n">
        <v>15005.6487</v>
      </c>
      <c r="CV122" s="1" t="n">
        <v>16765.6086</v>
      </c>
      <c r="CW122" s="1" t="n">
        <v>15893.2412</v>
      </c>
      <c r="CX122" s="1" t="n">
        <v>16490.3759</v>
      </c>
      <c r="CY122" s="1" t="n">
        <v>18237.3427</v>
      </c>
      <c r="CZ122" s="1" t="n">
        <v>17344.7886</v>
      </c>
      <c r="DA122" s="1" t="n">
        <v>15179.5334</v>
      </c>
      <c r="DB122" s="1" t="n">
        <v>16880.9768</v>
      </c>
      <c r="DC122" s="1" t="n">
        <v>17288.4547</v>
      </c>
      <c r="DD122" s="1" t="n">
        <v>16910.6926</v>
      </c>
      <c r="DE122" s="1" t="n">
        <v>14380.3126</v>
      </c>
      <c r="DF122" s="1" t="n">
        <v>15112.2086</v>
      </c>
      <c r="DG122" s="1" t="n">
        <v>14815.3821</v>
      </c>
      <c r="DH122" s="1" t="n">
        <v>15250.3737</v>
      </c>
      <c r="DI122" s="1" t="n">
        <v>14235.4929</v>
      </c>
      <c r="DJ122" s="1" t="n">
        <v>13637.5992</v>
      </c>
      <c r="DK122" s="1" t="n">
        <v>14669.3098</v>
      </c>
      <c r="DM122" s="1" t="n">
        <v>11540.1882</v>
      </c>
      <c r="DO122" s="1" t="n">
        <v>12376.6002</v>
      </c>
      <c r="DP122" s="1" t="n">
        <v>12278.8563</v>
      </c>
      <c r="DQ122" s="1" t="n">
        <v>11833.8122</v>
      </c>
      <c r="DR122" s="1" t="n">
        <v>11480.1607</v>
      </c>
      <c r="DS122" s="1" t="n">
        <v>13999.4345</v>
      </c>
      <c r="DT122" s="1" t="n">
        <v>14853.3099</v>
      </c>
      <c r="DU122" s="1" t="n">
        <v>13641.3818</v>
      </c>
      <c r="DV122" s="1" t="n">
        <v>12206.1582</v>
      </c>
      <c r="DW122" s="1" t="n">
        <v>15038.0839</v>
      </c>
      <c r="DX122" s="1" t="n">
        <v>16198.3981</v>
      </c>
      <c r="DY122" s="1" t="n">
        <v>13959.3671</v>
      </c>
      <c r="DZ122" s="1" t="n">
        <v>15956.9848</v>
      </c>
      <c r="EA122" s="1" t="n">
        <v>16693.1833</v>
      </c>
      <c r="EB122" s="1" t="n">
        <v>18390.2049</v>
      </c>
      <c r="EC122" s="1" t="n">
        <v>17349.8942</v>
      </c>
      <c r="ED122" s="1" t="n">
        <v>20379.2756</v>
      </c>
      <c r="EE122" s="1" t="n">
        <v>20692.8948</v>
      </c>
      <c r="EF122" s="1" t="n">
        <v>22394.0287</v>
      </c>
      <c r="EG122" s="1" t="n">
        <v>19306.1037</v>
      </c>
      <c r="EH122" s="1" t="n">
        <v>21651.8246</v>
      </c>
      <c r="EI122" s="1" t="n">
        <v>21590.6047</v>
      </c>
      <c r="EJ122" s="1" t="n">
        <v>24859.9796</v>
      </c>
      <c r="EK122" s="1" t="n">
        <v>24833.045</v>
      </c>
      <c r="EL122" s="1" t="n">
        <v>29279.9968</v>
      </c>
      <c r="EM122" s="1" t="n">
        <v>30488.929</v>
      </c>
    </row>
    <row r="123">
      <c r="A123" s="2" t="inlineStr">
        <is>
          <t xml:space="preserve">    预收款项</t>
        </is>
      </c>
      <c r="B123" s="1" t="n">
        <v>18385.415</v>
      </c>
      <c r="C123" s="1" t="n">
        <v>21699.5708</v>
      </c>
      <c r="D123" s="1" t="n">
        <v>34828.5595</v>
      </c>
      <c r="E123" s="1" t="n">
        <v>43991.8003</v>
      </c>
      <c r="F123" s="1" t="n">
        <v>47689.0859</v>
      </c>
      <c r="G123" s="1" t="n">
        <v>42510.6989</v>
      </c>
      <c r="H123" s="1" t="n">
        <v>37594.1485</v>
      </c>
      <c r="I123" s="1" t="n">
        <v>32284.2121</v>
      </c>
      <c r="J123" s="1" t="n">
        <v>33384.9282</v>
      </c>
      <c r="K123" s="1" t="n">
        <v>34846.4677</v>
      </c>
      <c r="L123" s="1" t="n">
        <v>35566.4397</v>
      </c>
      <c r="M123" s="1" t="n">
        <v>31462.6265</v>
      </c>
      <c r="O123" s="1" t="n">
        <v>28</v>
      </c>
      <c r="AA123" s="1" t="n">
        <v>5386.08</v>
      </c>
      <c r="AB123" s="1" t="n">
        <v>5030.19</v>
      </c>
      <c r="AC123" s="1" t="n">
        <v>28501</v>
      </c>
      <c r="AD123" s="1" t="n">
        <v>39557.63</v>
      </c>
      <c r="AE123" s="1" t="n">
        <v>46830.84</v>
      </c>
      <c r="AF123" s="1" t="n">
        <v>49587.42</v>
      </c>
      <c r="AG123" s="1" t="n">
        <v>38656.01</v>
      </c>
      <c r="AH123" s="1" t="n">
        <v>34398.58</v>
      </c>
      <c r="AI123" s="1" t="n">
        <v>32910.95</v>
      </c>
      <c r="AJ123" s="1" t="n">
        <v>29083.23</v>
      </c>
      <c r="AK123" s="1" t="n">
        <v>33960.64</v>
      </c>
      <c r="AL123" s="1" t="n">
        <v>32566.79</v>
      </c>
      <c r="BN123" s="1" t="n">
        <v>5526.8681</v>
      </c>
      <c r="BO123" s="1" t="n">
        <v>5386.0845</v>
      </c>
      <c r="BP123" s="1" t="n">
        <v>5229.3291</v>
      </c>
      <c r="BQ123" s="1" t="n">
        <v>18385.415</v>
      </c>
      <c r="BR123" s="1" t="n">
        <v>5405.7235</v>
      </c>
      <c r="BS123" s="1" t="n">
        <v>5030.1901</v>
      </c>
      <c r="BT123" s="1" t="n">
        <v>4905.539</v>
      </c>
      <c r="BU123" s="1" t="n">
        <v>21699.5708</v>
      </c>
      <c r="BV123" s="1" t="n">
        <v>24482.7522</v>
      </c>
      <c r="BW123" s="1" t="n">
        <v>28500.9977</v>
      </c>
      <c r="BX123" s="1" t="n">
        <v>32920.3434</v>
      </c>
      <c r="BY123" s="1" t="n">
        <v>34828.5595</v>
      </c>
      <c r="BZ123" s="1" t="n">
        <v>36097.5549</v>
      </c>
      <c r="CA123" s="1" t="n">
        <v>39557.6277</v>
      </c>
      <c r="CB123" s="1" t="n">
        <v>44926.192</v>
      </c>
      <c r="CC123" s="1" t="n">
        <v>43991.8003</v>
      </c>
      <c r="CD123" s="1" t="n">
        <v>45579.8538</v>
      </c>
      <c r="CE123" s="1" t="n">
        <v>46830.8371</v>
      </c>
      <c r="CF123" s="1" t="n">
        <v>49020.1132</v>
      </c>
      <c r="CG123" s="1" t="n">
        <v>47689.0859</v>
      </c>
      <c r="CH123" s="1" t="n">
        <v>49292.0887</v>
      </c>
      <c r="CI123" s="1" t="n">
        <v>49587.4205</v>
      </c>
      <c r="CJ123" s="1" t="n">
        <v>48026.9366</v>
      </c>
      <c r="CK123" s="1" t="n">
        <v>42510.6989</v>
      </c>
      <c r="CL123" s="1" t="n">
        <v>39746.9589</v>
      </c>
      <c r="CM123" s="1" t="n">
        <v>38656.0054</v>
      </c>
      <c r="CN123" s="1" t="n">
        <v>37701.2883</v>
      </c>
      <c r="CO123" s="1" t="n">
        <v>37594.1485</v>
      </c>
      <c r="CP123" s="1" t="n">
        <v>37057.2704</v>
      </c>
      <c r="CQ123" s="1" t="n">
        <v>34398.5755</v>
      </c>
      <c r="CR123" s="1" t="n">
        <v>33289.3497</v>
      </c>
      <c r="CS123" s="1" t="n">
        <v>32284.2121</v>
      </c>
      <c r="CT123" s="1" t="n">
        <v>32457.348</v>
      </c>
      <c r="CU123" s="1" t="n">
        <v>32910.9499</v>
      </c>
      <c r="CV123" s="1" t="n">
        <v>32352.8967</v>
      </c>
      <c r="CW123" s="1" t="n">
        <v>33384.9282</v>
      </c>
      <c r="CX123" s="1" t="n">
        <v>32309.1949</v>
      </c>
      <c r="CY123" s="1" t="n">
        <v>29083.2281</v>
      </c>
      <c r="CZ123" s="1" t="n">
        <v>31318.7031</v>
      </c>
      <c r="DA123" s="1" t="n">
        <v>34846.4677</v>
      </c>
      <c r="DB123" s="1" t="n">
        <v>34237.8846</v>
      </c>
      <c r="DC123" s="1" t="n">
        <v>33960.6424</v>
      </c>
      <c r="DD123" s="1" t="n">
        <v>36421.3157</v>
      </c>
      <c r="DE123" s="1" t="n">
        <v>35566.4397</v>
      </c>
      <c r="DF123" s="1" t="n">
        <v>34644.8886</v>
      </c>
      <c r="DG123" s="1" t="n">
        <v>32566.7905</v>
      </c>
      <c r="DH123" s="1" t="n">
        <v>31118.0438</v>
      </c>
      <c r="DI123" s="1" t="n">
        <v>31462.6265</v>
      </c>
      <c r="DJ123" s="1" t="n">
        <v>29946.8831</v>
      </c>
      <c r="DQ123" s="1" t="n">
        <v>28</v>
      </c>
      <c r="ED123" s="1" t="n">
        <v>0</v>
      </c>
      <c r="EH123" s="1" t="n">
        <v>0</v>
      </c>
      <c r="EM123" s="1" t="inlineStr"/>
    </row>
    <row r="124">
      <c r="A124" s="2" t="inlineStr">
        <is>
          <t xml:space="preserve">    合同负债</t>
        </is>
      </c>
      <c r="N124" s="1" t="n">
        <v>29460.9441</v>
      </c>
      <c r="O124" s="1" t="n">
        <v>25873.464</v>
      </c>
      <c r="P124" s="1" t="n">
        <v>28922.3538</v>
      </c>
      <c r="Q124" s="1" t="n">
        <v>30404.987</v>
      </c>
      <c r="R124" s="1" t="n">
        <v>32191.7958</v>
      </c>
      <c r="S124" s="1" t="n">
        <v>32171.926</v>
      </c>
      <c r="T124" s="1" t="n">
        <v>40665.9968</v>
      </c>
      <c r="AM124" s="1" t="n">
        <v>29259.07</v>
      </c>
      <c r="AN124" s="1" t="n">
        <v>24996.62</v>
      </c>
      <c r="AO124" s="1" t="n">
        <v>26427.36</v>
      </c>
      <c r="AP124" s="1" t="n">
        <v>27520.55</v>
      </c>
      <c r="AQ124" s="1" t="n">
        <v>28009.45</v>
      </c>
      <c r="AR124" s="1" t="n">
        <v>33499</v>
      </c>
      <c r="AS124" s="1" t="n">
        <v>35497.55</v>
      </c>
      <c r="AT124" s="1" t="n"/>
      <c r="DK124" s="1" t="n">
        <v>29259.069</v>
      </c>
      <c r="DL124" s="1" t="n">
        <v>29920.5956</v>
      </c>
      <c r="DM124" s="1" t="n">
        <v>29460.9441</v>
      </c>
      <c r="DN124" s="1" t="n">
        <v>27221.5016</v>
      </c>
      <c r="DO124" s="1" t="n">
        <v>24996.6151</v>
      </c>
      <c r="DP124" s="1" t="n">
        <v>26139.5197</v>
      </c>
      <c r="DQ124" s="1" t="n">
        <v>25873.464</v>
      </c>
      <c r="DR124" s="1" t="n">
        <v>24505.4046</v>
      </c>
      <c r="DS124" s="1" t="n">
        <v>26427.3594</v>
      </c>
      <c r="DT124" s="1" t="n">
        <v>26043.9069</v>
      </c>
      <c r="DU124" s="1" t="n">
        <v>28922.3538</v>
      </c>
      <c r="DV124" s="1" t="n">
        <v>28560.6439</v>
      </c>
      <c r="DW124" s="1" t="n">
        <v>27520.5459</v>
      </c>
      <c r="DX124" s="1" t="n">
        <v>28095.4052</v>
      </c>
      <c r="DY124" s="1" t="n">
        <v>30404.987</v>
      </c>
      <c r="DZ124" s="1" t="n">
        <v>27687.9628</v>
      </c>
      <c r="EA124" s="1" t="n">
        <v>28009.448</v>
      </c>
      <c r="EB124" s="1" t="n">
        <v>29431.138</v>
      </c>
      <c r="EC124" s="1" t="n">
        <v>32191.7958</v>
      </c>
      <c r="ED124" s="1" t="n">
        <v>29714.0514</v>
      </c>
      <c r="EE124" s="1" t="n">
        <v>33499.0031</v>
      </c>
      <c r="EF124" s="1" t="n">
        <v>34064.5981</v>
      </c>
      <c r="EG124" s="1" t="n">
        <v>32171.926</v>
      </c>
      <c r="EH124" s="1" t="n">
        <v>34010.4844</v>
      </c>
      <c r="EI124" s="1" t="n">
        <v>35497.5518</v>
      </c>
      <c r="EJ124" s="1" t="n">
        <v>38939.2636</v>
      </c>
      <c r="EK124" s="1" t="n">
        <v>40665.9968</v>
      </c>
      <c r="EL124" s="1" t="n">
        <v>40816.6089</v>
      </c>
      <c r="EM124" s="1" t="n">
        <v>42078.274</v>
      </c>
    </row>
    <row r="125">
      <c r="A125" s="2" t="inlineStr">
        <is>
          <t xml:space="preserve">    应付手续费及佣金</t>
        </is>
      </c>
      <c r="EH125" s="1" t="n">
        <v>0</v>
      </c>
      <c r="EM125" s="1" t="inlineStr"/>
    </row>
    <row r="126">
      <c r="A126" s="2" t="inlineStr">
        <is>
          <t xml:space="preserve">    应付职工薪酬</t>
        </is>
      </c>
      <c r="B126" s="1" t="n">
        <v>518.0797</v>
      </c>
      <c r="C126" s="1" t="n">
        <v>377.2874</v>
      </c>
      <c r="D126" s="1" t="n">
        <v>357.2</v>
      </c>
      <c r="E126" s="1" t="n">
        <v>399.9404</v>
      </c>
      <c r="F126" s="1" t="n">
        <v>467.5832</v>
      </c>
      <c r="G126" s="1" t="n">
        <v>407.9179</v>
      </c>
      <c r="H126" s="1" t="n">
        <v>398.6942</v>
      </c>
      <c r="I126" s="1" t="n">
        <v>394.6117</v>
      </c>
      <c r="J126" s="1" t="n">
        <v>339.8851</v>
      </c>
      <c r="K126" s="1" t="n">
        <v>396.0742</v>
      </c>
      <c r="L126" s="1" t="n">
        <v>427.8695</v>
      </c>
      <c r="M126" s="1" t="n">
        <v>570.7529</v>
      </c>
      <c r="N126" s="1" t="n">
        <v>772.5848</v>
      </c>
      <c r="O126" s="1" t="n">
        <v>780.9002</v>
      </c>
      <c r="P126" s="1" t="n">
        <v>677.3374</v>
      </c>
      <c r="Q126" s="1" t="n">
        <v>785.7472</v>
      </c>
      <c r="R126" s="1" t="n">
        <v>842.346</v>
      </c>
      <c r="S126" s="1" t="n">
        <v>864.0601</v>
      </c>
      <c r="T126" s="1" t="n">
        <v>959.634</v>
      </c>
      <c r="AA126" s="1" t="n">
        <v>166.62</v>
      </c>
      <c r="AB126" s="1" t="n">
        <v>206.23</v>
      </c>
      <c r="AC126" s="1" t="n">
        <v>347.62</v>
      </c>
      <c r="AD126" s="1" t="n">
        <v>362.07</v>
      </c>
      <c r="AE126" s="1" t="n">
        <v>396.61</v>
      </c>
      <c r="AF126" s="1" t="n">
        <v>390.38</v>
      </c>
      <c r="AG126" s="1" t="n">
        <v>412.07</v>
      </c>
      <c r="AH126" s="1" t="n">
        <v>418.54</v>
      </c>
      <c r="AI126" s="1" t="n">
        <v>386.33</v>
      </c>
      <c r="AJ126" s="1" t="n">
        <v>359.93</v>
      </c>
      <c r="AK126" s="1" t="n">
        <v>438.14</v>
      </c>
      <c r="AL126" s="1" t="n">
        <v>425.89</v>
      </c>
      <c r="AM126" s="1" t="n">
        <v>610.71</v>
      </c>
      <c r="AN126" s="1" t="n">
        <v>643.55</v>
      </c>
      <c r="AO126" s="1" t="n">
        <v>668.75</v>
      </c>
      <c r="AP126" s="1" t="n">
        <v>623.9</v>
      </c>
      <c r="AQ126" s="1" t="n">
        <v>737.04</v>
      </c>
      <c r="AR126" s="1" t="n">
        <v>652.33</v>
      </c>
      <c r="AS126" s="1" t="n">
        <v>715.7</v>
      </c>
      <c r="AT126" s="1" t="n"/>
      <c r="BN126" s="1" t="n">
        <v>168.0606</v>
      </c>
      <c r="BO126" s="1" t="n">
        <v>166.6154</v>
      </c>
      <c r="BP126" s="1" t="n">
        <v>187.1857</v>
      </c>
      <c r="BQ126" s="1" t="n">
        <v>518.0797</v>
      </c>
      <c r="BR126" s="1" t="n">
        <v>162.275</v>
      </c>
      <c r="BS126" s="1" t="n">
        <v>206.2338</v>
      </c>
      <c r="BT126" s="1" t="n">
        <v>195.7822</v>
      </c>
      <c r="BU126" s="1" t="n">
        <v>377.2874</v>
      </c>
      <c r="BV126" s="1" t="n">
        <v>350.9903</v>
      </c>
      <c r="BW126" s="1" t="n">
        <v>347.6242</v>
      </c>
      <c r="BX126" s="1" t="n">
        <v>366.4062</v>
      </c>
      <c r="BY126" s="1" t="n">
        <v>357.2</v>
      </c>
      <c r="BZ126" s="1" t="n">
        <v>338.1775</v>
      </c>
      <c r="CA126" s="1" t="n">
        <v>362.0735</v>
      </c>
      <c r="CB126" s="1" t="n">
        <v>356.803</v>
      </c>
      <c r="CC126" s="1" t="n">
        <v>399.9404</v>
      </c>
      <c r="CD126" s="1" t="n">
        <v>399.6263</v>
      </c>
      <c r="CE126" s="1" t="n">
        <v>396.606</v>
      </c>
      <c r="CF126" s="1" t="n">
        <v>315.5135</v>
      </c>
      <c r="CG126" s="1" t="n">
        <v>467.5832</v>
      </c>
      <c r="CH126" s="1" t="n">
        <v>370.9784</v>
      </c>
      <c r="CI126" s="1" t="n">
        <v>390.3793</v>
      </c>
      <c r="CJ126" s="1" t="n">
        <v>403.0388</v>
      </c>
      <c r="CK126" s="1" t="n">
        <v>407.9179</v>
      </c>
      <c r="CL126" s="1" t="n">
        <v>392.0621</v>
      </c>
      <c r="CM126" s="1" t="n">
        <v>412.066</v>
      </c>
      <c r="CN126" s="1" t="n">
        <v>410.6145</v>
      </c>
      <c r="CO126" s="1" t="n">
        <v>398.6942</v>
      </c>
      <c r="CP126" s="1" t="n">
        <v>418.5983</v>
      </c>
      <c r="CQ126" s="1" t="n">
        <v>418.5418</v>
      </c>
      <c r="CR126" s="1" t="n">
        <v>411.6301</v>
      </c>
      <c r="CS126" s="1" t="n">
        <v>394.6117</v>
      </c>
      <c r="CT126" s="1" t="n">
        <v>406.1596</v>
      </c>
      <c r="CU126" s="1" t="n">
        <v>386.3261</v>
      </c>
      <c r="CV126" s="1" t="n">
        <v>353.604</v>
      </c>
      <c r="CW126" s="1" t="n">
        <v>339.8851</v>
      </c>
      <c r="CX126" s="1" t="n">
        <v>343.5178</v>
      </c>
      <c r="CY126" s="1" t="n">
        <v>359.9263</v>
      </c>
      <c r="CZ126" s="1" t="n">
        <v>341.3264</v>
      </c>
      <c r="DA126" s="1" t="n">
        <v>396.0742</v>
      </c>
      <c r="DB126" s="1" t="n">
        <v>407.9643</v>
      </c>
      <c r="DC126" s="1" t="n">
        <v>438.1377</v>
      </c>
      <c r="DD126" s="1" t="n">
        <v>453.2828</v>
      </c>
      <c r="DE126" s="1" t="n">
        <v>427.8695</v>
      </c>
      <c r="DF126" s="1" t="n">
        <v>427.4172</v>
      </c>
      <c r="DG126" s="1" t="n">
        <v>425.8871</v>
      </c>
      <c r="DH126" s="1" t="n">
        <v>450.9808</v>
      </c>
      <c r="DI126" s="1" t="n">
        <v>570.7529</v>
      </c>
      <c r="DJ126" s="1" t="n">
        <v>601.5191</v>
      </c>
      <c r="DK126" s="1" t="n">
        <v>610.7084</v>
      </c>
      <c r="DL126" s="1" t="n">
        <v>594.0006</v>
      </c>
      <c r="DM126" s="1" t="n">
        <v>772.5848</v>
      </c>
      <c r="DN126" s="1" t="n">
        <v>782.047</v>
      </c>
      <c r="DO126" s="1" t="n">
        <v>643.5529</v>
      </c>
      <c r="DP126" s="1" t="n">
        <v>621.3454</v>
      </c>
      <c r="DQ126" s="1" t="n">
        <v>780.9002</v>
      </c>
      <c r="DR126" s="1" t="n">
        <v>749.6786</v>
      </c>
      <c r="DS126" s="1" t="n">
        <v>668.7511</v>
      </c>
      <c r="DT126" s="1" t="n">
        <v>601.4105</v>
      </c>
      <c r="DU126" s="1" t="n">
        <v>677.3374</v>
      </c>
      <c r="DV126" s="1" t="n">
        <v>645.9082</v>
      </c>
      <c r="DW126" s="1" t="n">
        <v>623.896</v>
      </c>
      <c r="DX126" s="1" t="n">
        <v>448.3873</v>
      </c>
      <c r="DY126" s="1" t="n">
        <v>785.7472</v>
      </c>
      <c r="DZ126" s="1" t="n">
        <v>787.0519</v>
      </c>
      <c r="EA126" s="1" t="n">
        <v>737.0395</v>
      </c>
      <c r="EB126" s="1" t="n">
        <v>498.3886</v>
      </c>
      <c r="EC126" s="1" t="n">
        <v>842.346</v>
      </c>
      <c r="ED126" s="1" t="n">
        <v>741.6692</v>
      </c>
      <c r="EE126" s="1" t="n">
        <v>652.3348</v>
      </c>
      <c r="EF126" s="1" t="n">
        <v>501.7994</v>
      </c>
      <c r="EG126" s="1" t="n">
        <v>864.0601</v>
      </c>
      <c r="EH126" s="1" t="n">
        <v>764.3664</v>
      </c>
      <c r="EI126" s="1" t="n">
        <v>715.7012</v>
      </c>
      <c r="EJ126" s="1" t="n">
        <v>428.5066</v>
      </c>
      <c r="EK126" s="1" t="n">
        <v>959.634</v>
      </c>
      <c r="EL126" s="1" t="n">
        <v>821.8775000000001</v>
      </c>
      <c r="EM126" s="1" t="n">
        <v>776.1319999999999</v>
      </c>
    </row>
    <row r="127">
      <c r="A127" s="2" t="inlineStr">
        <is>
          <t xml:space="preserve">    应交税费</t>
        </is>
      </c>
      <c r="B127" s="1" t="n">
        <v>423.1124</v>
      </c>
      <c r="C127" s="1" t="n">
        <v>344.0869</v>
      </c>
      <c r="D127" s="1" t="n">
        <v>-80.22929999999999</v>
      </c>
      <c r="E127" s="1" t="n">
        <v>-720.4121</v>
      </c>
      <c r="F127" s="1" t="n">
        <v>1350.3377</v>
      </c>
      <c r="G127" s="1" t="n">
        <v>448.4584</v>
      </c>
      <c r="H127" s="1" t="n">
        <v>251.2021</v>
      </c>
      <c r="I127" s="1" t="n">
        <v>53.9071</v>
      </c>
      <c r="J127" s="1" t="n">
        <v>-172.8969</v>
      </c>
      <c r="K127" s="1" t="n">
        <v>518.2229</v>
      </c>
      <c r="L127" s="1" t="n">
        <v>566.2079</v>
      </c>
      <c r="M127" s="1" t="n">
        <v>251.4594</v>
      </c>
      <c r="N127" s="1" t="n">
        <v>461.098</v>
      </c>
      <c r="O127" s="1" t="n">
        <v>261.0452</v>
      </c>
      <c r="P127" s="1" t="n">
        <v>288.4497</v>
      </c>
      <c r="Q127" s="1" t="n">
        <v>440.9159</v>
      </c>
      <c r="R127" s="1" t="n">
        <v>330.96</v>
      </c>
      <c r="S127" s="1" t="n">
        <v>439.7887</v>
      </c>
      <c r="T127" s="1" t="n">
        <v>782.6492</v>
      </c>
      <c r="AA127" s="1" t="n">
        <v>16.35</v>
      </c>
      <c r="AB127" s="1" t="n">
        <v>132.29</v>
      </c>
      <c r="AC127" s="1" t="n">
        <v>87.51000000000001</v>
      </c>
      <c r="AD127" s="1" t="n">
        <v>-568.79</v>
      </c>
      <c r="AE127" s="1" t="n">
        <v>-667.55</v>
      </c>
      <c r="AF127" s="1" t="n">
        <v>346.22</v>
      </c>
      <c r="AG127" s="1" t="n">
        <v>-567.58</v>
      </c>
      <c r="AH127" s="1" t="n">
        <v>-87.89</v>
      </c>
      <c r="AI127" s="1" t="n">
        <v>-448.6</v>
      </c>
      <c r="AJ127" s="1" t="n">
        <v>-128.21</v>
      </c>
      <c r="AK127" s="1" t="n">
        <v>157.67</v>
      </c>
      <c r="AL127" s="1" t="n">
        <v>180.35</v>
      </c>
      <c r="AM127" s="1" t="n">
        <v>226.53</v>
      </c>
      <c r="AN127" s="1" t="n">
        <v>155.24</v>
      </c>
      <c r="AO127" s="1" t="n">
        <v>122.87</v>
      </c>
      <c r="AP127" s="1" t="n">
        <v>322.72</v>
      </c>
      <c r="AQ127" s="1" t="n">
        <v>603.45</v>
      </c>
      <c r="AR127" s="1" t="n">
        <v>400.16</v>
      </c>
      <c r="AS127" s="1" t="n">
        <v>543.41</v>
      </c>
      <c r="AT127" s="1" t="n"/>
      <c r="BN127" s="1" t="n">
        <v>11.3422</v>
      </c>
      <c r="BO127" s="1" t="n">
        <v>16.3483</v>
      </c>
      <c r="BP127" s="1" t="n">
        <v>115.0767</v>
      </c>
      <c r="BQ127" s="1" t="n">
        <v>423.1124</v>
      </c>
      <c r="BR127" s="1" t="n">
        <v>48.5856</v>
      </c>
      <c r="BS127" s="1" t="n">
        <v>132.2947</v>
      </c>
      <c r="BT127" s="1" t="n">
        <v>192.7697</v>
      </c>
      <c r="BU127" s="1" t="n">
        <v>344.0869</v>
      </c>
      <c r="BV127" s="1" t="n">
        <v>199.3401</v>
      </c>
      <c r="BW127" s="1" t="n">
        <v>87.51439999999999</v>
      </c>
      <c r="BX127" s="1" t="n">
        <v>-142.7643</v>
      </c>
      <c r="BY127" s="1" t="n">
        <v>-80.22929999999999</v>
      </c>
      <c r="BZ127" s="1" t="n">
        <v>-599.7079</v>
      </c>
      <c r="CA127" s="1" t="n">
        <v>-568.7859999999999</v>
      </c>
      <c r="CB127" s="1" t="n">
        <v>-766.6313</v>
      </c>
      <c r="CC127" s="1" t="n">
        <v>-720.4121</v>
      </c>
      <c r="CD127" s="1" t="n">
        <v>-996.1834</v>
      </c>
      <c r="CE127" s="1" t="n">
        <v>-667.5502</v>
      </c>
      <c r="CF127" s="1" t="n">
        <v>-788.8664</v>
      </c>
      <c r="CG127" s="1" t="n">
        <v>1350.3377</v>
      </c>
      <c r="CH127" s="1" t="n">
        <v>425.7053</v>
      </c>
      <c r="CI127" s="1" t="n">
        <v>346.2239</v>
      </c>
      <c r="CJ127" s="1" t="n">
        <v>76.5031</v>
      </c>
      <c r="CK127" s="1" t="n">
        <v>448.4584</v>
      </c>
      <c r="CL127" s="1" t="n">
        <v>-284.3562</v>
      </c>
      <c r="CM127" s="1" t="n">
        <v>-567.5828</v>
      </c>
      <c r="CN127" s="1" t="n">
        <v>-406.684</v>
      </c>
      <c r="CO127" s="1" t="n">
        <v>251.2021</v>
      </c>
      <c r="CP127" s="1" t="n">
        <v>39.2896</v>
      </c>
      <c r="CQ127" s="1" t="n">
        <v>-87.892</v>
      </c>
      <c r="CR127" s="1" t="n">
        <v>-161.8285</v>
      </c>
      <c r="CS127" s="1" t="n">
        <v>53.9071</v>
      </c>
      <c r="CT127" s="1" t="n">
        <v>52.231</v>
      </c>
      <c r="CU127" s="1" t="n">
        <v>-448.5968</v>
      </c>
      <c r="CV127" s="1" t="n">
        <v>-472.2717</v>
      </c>
      <c r="CW127" s="1" t="n">
        <v>-172.8969</v>
      </c>
      <c r="CX127" s="1" t="n">
        <v>-400.8953</v>
      </c>
      <c r="CY127" s="1" t="n">
        <v>-128.2141</v>
      </c>
      <c r="CZ127" s="1" t="n">
        <v>136.5014</v>
      </c>
      <c r="DA127" s="1" t="n">
        <v>518.2229</v>
      </c>
      <c r="DB127" s="1" t="n">
        <v>186.3279</v>
      </c>
      <c r="DC127" s="1" t="n">
        <v>157.6711</v>
      </c>
      <c r="DD127" s="1" t="n">
        <v>264.1325</v>
      </c>
      <c r="DE127" s="1" t="n">
        <v>566.2079</v>
      </c>
      <c r="DF127" s="1" t="n">
        <v>215.9057</v>
      </c>
      <c r="DG127" s="1" t="n">
        <v>180.3466</v>
      </c>
      <c r="DH127" s="1" t="n">
        <v>160.1142</v>
      </c>
      <c r="DI127" s="1" t="n">
        <v>251.4594</v>
      </c>
      <c r="DJ127" s="1" t="n">
        <v>232.2947</v>
      </c>
      <c r="DK127" s="1" t="n">
        <v>226.5294</v>
      </c>
      <c r="DL127" s="1" t="n">
        <v>92.0339</v>
      </c>
      <c r="DM127" s="1" t="n">
        <v>461.098</v>
      </c>
      <c r="DN127" s="1" t="n">
        <v>371.9967</v>
      </c>
      <c r="DO127" s="1" t="n">
        <v>155.2447</v>
      </c>
      <c r="DP127" s="1" t="n">
        <v>152.8384</v>
      </c>
      <c r="DQ127" s="1" t="n">
        <v>261.0452</v>
      </c>
      <c r="DR127" s="1" t="n">
        <v>156.1403</v>
      </c>
      <c r="DS127" s="1" t="n">
        <v>122.8666</v>
      </c>
      <c r="DT127" s="1" t="n">
        <v>96.1236</v>
      </c>
      <c r="DU127" s="1" t="n">
        <v>288.4497</v>
      </c>
      <c r="DV127" s="1" t="n">
        <v>142.2766</v>
      </c>
      <c r="DW127" s="1" t="n">
        <v>322.7173</v>
      </c>
      <c r="DX127" s="1" t="n">
        <v>276.4691</v>
      </c>
      <c r="DY127" s="1" t="n">
        <v>440.9159</v>
      </c>
      <c r="DZ127" s="1" t="n">
        <v>496.3971</v>
      </c>
      <c r="EA127" s="1" t="n">
        <v>603.451</v>
      </c>
      <c r="EB127" s="1" t="n">
        <v>659.7971</v>
      </c>
      <c r="EC127" s="1" t="n">
        <v>330.96</v>
      </c>
      <c r="ED127" s="1" t="n">
        <v>344.0595</v>
      </c>
      <c r="EE127" s="1" t="n">
        <v>400.1567</v>
      </c>
      <c r="EF127" s="1" t="n">
        <v>477.9233</v>
      </c>
      <c r="EG127" s="1" t="n">
        <v>439.7887</v>
      </c>
      <c r="EH127" s="1" t="n">
        <v>609.3722</v>
      </c>
      <c r="EI127" s="1" t="n">
        <v>543.405</v>
      </c>
      <c r="EJ127" s="1" t="n">
        <v>488.7016</v>
      </c>
      <c r="EK127" s="1" t="n">
        <v>782.6492</v>
      </c>
      <c r="EL127" s="1" t="n">
        <v>692.7536</v>
      </c>
      <c r="EM127" s="1" t="n">
        <v>542.8200000000001</v>
      </c>
    </row>
    <row r="128">
      <c r="A128" s="2" t="inlineStr">
        <is>
          <t xml:space="preserve">        其他应付款(合计)</t>
        </is>
      </c>
      <c r="B128" s="1" t="n">
        <v>794.0534</v>
      </c>
      <c r="C128" s="1" t="n">
        <v>1368.9978</v>
      </c>
      <c r="D128" s="1" t="n">
        <v>3074.6525</v>
      </c>
      <c r="E128" s="1" t="n">
        <v>1990.6693</v>
      </c>
      <c r="F128" s="1" t="n">
        <v>1939.6315</v>
      </c>
      <c r="G128" s="1" t="n">
        <v>1872.5863</v>
      </c>
      <c r="H128" s="1" t="n">
        <v>2029.3499</v>
      </c>
      <c r="I128" s="1" t="n">
        <v>1808.5827</v>
      </c>
      <c r="J128" s="1" t="n">
        <v>1754.7755</v>
      </c>
      <c r="K128" s="1" t="n">
        <v>1779.686</v>
      </c>
      <c r="L128" s="1" t="n">
        <v>1969.4334</v>
      </c>
      <c r="M128" s="1" t="n">
        <v>2083.3467</v>
      </c>
      <c r="N128" s="1" t="n">
        <v>1749.8696</v>
      </c>
      <c r="O128" s="1" t="n">
        <v>1770.7764</v>
      </c>
      <c r="P128" s="1" t="n">
        <v>1411.6573</v>
      </c>
      <c r="Q128" s="1" t="n">
        <v>1406.0884</v>
      </c>
      <c r="R128" s="1" t="n">
        <v>1267.0045</v>
      </c>
      <c r="S128" s="1" t="n">
        <v>1488.3202</v>
      </c>
      <c r="T128" s="1" t="n">
        <v>1614.3789</v>
      </c>
      <c r="AB128" s="1" t="n">
        <v>68.05</v>
      </c>
      <c r="AC128" s="1" t="n">
        <v>2021.13</v>
      </c>
      <c r="AD128" s="1" t="n">
        <v>3559.31</v>
      </c>
      <c r="AE128" s="1" t="n">
        <v>2072.9</v>
      </c>
      <c r="AF128" s="1" t="n">
        <v>1901.88</v>
      </c>
      <c r="AG128" s="1" t="n">
        <v>2390.52</v>
      </c>
      <c r="AH128" s="1" t="n">
        <v>2445.82</v>
      </c>
      <c r="AI128" s="1" t="n">
        <v>1960.63</v>
      </c>
      <c r="AJ128" s="1" t="n">
        <v>1969.83</v>
      </c>
      <c r="AK128" s="1" t="n">
        <v>1906.31</v>
      </c>
      <c r="AL128" s="1" t="n">
        <v>2390.92</v>
      </c>
      <c r="AM128" s="1" t="n">
        <v>2745.82</v>
      </c>
      <c r="AN128" s="1" t="n">
        <v>2165.74</v>
      </c>
      <c r="AO128" s="1" t="n">
        <v>2336.78</v>
      </c>
      <c r="AP128" s="1" t="n">
        <v>2421.88</v>
      </c>
      <c r="AQ128" s="1" t="n">
        <v>2053.05</v>
      </c>
      <c r="AR128" s="1" t="n">
        <v>2279.4</v>
      </c>
      <c r="AS128" s="1" t="n">
        <v>3096.3</v>
      </c>
      <c r="AT128" s="1" t="n"/>
      <c r="BQ128" s="1" t="n">
        <v>794.0534</v>
      </c>
      <c r="BR128" s="1" t="n">
        <v>47.8078</v>
      </c>
      <c r="BS128" s="1" t="n">
        <v>68.04819999999999</v>
      </c>
      <c r="BT128" s="1" t="n">
        <v>45.3046</v>
      </c>
      <c r="BU128" s="1" t="n">
        <v>1368.9978</v>
      </c>
      <c r="BV128" s="1" t="n">
        <v>1722.7435</v>
      </c>
      <c r="BW128" s="1" t="n">
        <v>2021.1274</v>
      </c>
      <c r="BX128" s="1" t="n">
        <v>1708.6429</v>
      </c>
      <c r="BY128" s="1" t="n">
        <v>3074.6525</v>
      </c>
      <c r="BZ128" s="1" t="n">
        <v>3738.5896</v>
      </c>
      <c r="CA128" s="1" t="n">
        <v>3559.312</v>
      </c>
      <c r="CB128" s="1" t="n">
        <v>3275.3067</v>
      </c>
      <c r="CC128" s="1" t="n">
        <v>1990.6693</v>
      </c>
      <c r="CD128" s="1" t="n">
        <v>1705.6572</v>
      </c>
      <c r="CE128" s="1" t="n">
        <v>2072.9048</v>
      </c>
      <c r="CF128" s="1" t="n">
        <v>1805.0516</v>
      </c>
      <c r="CG128" s="1" t="n">
        <v>1939.6315</v>
      </c>
      <c r="CH128" s="1" t="n">
        <v>1995.8816</v>
      </c>
      <c r="CI128" s="1" t="n">
        <v>1901.884</v>
      </c>
      <c r="CJ128" s="1" t="n">
        <v>1956.3104</v>
      </c>
      <c r="CK128" s="1" t="n">
        <v>1872.5863</v>
      </c>
      <c r="CL128" s="1" t="n">
        <v>2037.3368</v>
      </c>
      <c r="CM128" s="1" t="n">
        <v>2390.5221</v>
      </c>
      <c r="CN128" s="1" t="n">
        <v>2106.4252</v>
      </c>
      <c r="CO128" s="1" t="n">
        <v>2029.3499</v>
      </c>
      <c r="CP128" s="1" t="n">
        <v>2117.3361</v>
      </c>
      <c r="CQ128" s="1" t="n">
        <v>2445.8175</v>
      </c>
      <c r="CR128" s="1" t="n">
        <v>2234.9862</v>
      </c>
      <c r="CS128" s="1" t="n">
        <v>1808.5827</v>
      </c>
      <c r="CT128" s="1" t="n">
        <v>1943.2856</v>
      </c>
      <c r="CU128" s="1" t="n">
        <v>1960.626</v>
      </c>
      <c r="CV128" s="1" t="n">
        <v>1992.2971</v>
      </c>
      <c r="CW128" s="1" t="n">
        <v>1754.7755</v>
      </c>
      <c r="CX128" s="1" t="n">
        <v>1652.945</v>
      </c>
      <c r="CY128" s="1" t="n">
        <v>1969.828</v>
      </c>
      <c r="CZ128" s="1" t="n">
        <v>1948.16</v>
      </c>
      <c r="DA128" s="1" t="n">
        <v>1779.686</v>
      </c>
      <c r="DB128" s="1" t="n">
        <v>1727.6961</v>
      </c>
      <c r="DC128" s="1" t="n">
        <v>1906.3077</v>
      </c>
      <c r="DD128" s="1" t="n">
        <v>1739.6941</v>
      </c>
      <c r="DE128" s="1" t="n">
        <v>1969.4334</v>
      </c>
      <c r="DF128" s="1" t="n">
        <v>1899.0694</v>
      </c>
      <c r="DG128" s="1" t="n">
        <v>2390.9218</v>
      </c>
      <c r="DH128" s="1" t="n">
        <v>2103.9966</v>
      </c>
      <c r="DI128" s="1" t="n">
        <v>2083.3467</v>
      </c>
      <c r="DJ128" s="1" t="n">
        <v>2057.1924</v>
      </c>
      <c r="DK128" s="1" t="n">
        <v>2745.8171</v>
      </c>
      <c r="DL128" s="1" t="n">
        <v>2092.684</v>
      </c>
      <c r="DM128" s="1" t="n">
        <v>1749.8696</v>
      </c>
      <c r="DN128" s="1" t="n">
        <v>1698.8029</v>
      </c>
      <c r="DO128" s="1" t="n">
        <v>2165.736</v>
      </c>
      <c r="DP128" s="1" t="n">
        <v>1998.985</v>
      </c>
      <c r="DQ128" s="1" t="n">
        <v>1770.7764</v>
      </c>
      <c r="DR128" s="1" t="n">
        <v>1859.2104</v>
      </c>
      <c r="DS128" s="1" t="n">
        <v>2336.7836</v>
      </c>
      <c r="DT128" s="1" t="n">
        <v>2127.7527</v>
      </c>
      <c r="DU128" s="1" t="n">
        <v>1411.6573</v>
      </c>
      <c r="DV128" s="1" t="n">
        <v>1505.8785</v>
      </c>
      <c r="DW128" s="1" t="n">
        <v>2421.8779</v>
      </c>
      <c r="DX128" s="1" t="n">
        <v>2127.1327</v>
      </c>
      <c r="DY128" s="1" t="n">
        <v>1406.0884</v>
      </c>
      <c r="DZ128" s="1" t="n">
        <v>1478.8562</v>
      </c>
      <c r="EA128" s="1" t="n">
        <v>2053.0451</v>
      </c>
      <c r="EB128" s="1" t="n">
        <v>1448.0847</v>
      </c>
      <c r="EC128" s="1" t="n">
        <v>1267.0045</v>
      </c>
      <c r="ED128" s="1" t="n">
        <v>1329.8171</v>
      </c>
      <c r="EE128" s="1" t="n">
        <v>2279.4005</v>
      </c>
      <c r="EF128" s="1" t="n">
        <v>1280.3239</v>
      </c>
      <c r="EG128" s="1" t="n">
        <v>1488.3202</v>
      </c>
      <c r="EH128" s="1" t="n">
        <v>1564.1417</v>
      </c>
      <c r="EI128" s="1" t="n">
        <v>3096.3041</v>
      </c>
      <c r="EJ128" s="1" t="n">
        <v>1665.8682</v>
      </c>
      <c r="EK128" s="1" t="n">
        <v>1614.3789</v>
      </c>
      <c r="EL128" s="1" t="n">
        <v>1947.2629</v>
      </c>
      <c r="EM128" s="1" t="n">
        <v>2969.389</v>
      </c>
    </row>
    <row r="129">
      <c r="A129" s="2" t="inlineStr">
        <is>
          <t xml:space="preserve">                    应付利息</t>
        </is>
      </c>
      <c r="C129" s="1" t="n">
        <v>21.4573</v>
      </c>
      <c r="D129" s="1" t="n">
        <v>158.7925</v>
      </c>
      <c r="E129" s="1" t="n">
        <v>0.0431</v>
      </c>
      <c r="F129" s="1" t="n">
        <v>0.8007</v>
      </c>
      <c r="J129" s="1" t="n">
        <v>13.3176</v>
      </c>
      <c r="K129" s="1" t="n">
        <v>1.7761</v>
      </c>
      <c r="L129" s="1" t="n">
        <v>0.7361</v>
      </c>
      <c r="N129" s="1" t="n">
        <v>69.676</v>
      </c>
      <c r="O129" s="1" t="n">
        <v>60.7083</v>
      </c>
      <c r="P129" s="1" t="n">
        <v>28.1641</v>
      </c>
      <c r="Q129" s="1" t="n">
        <v>6.9509</v>
      </c>
      <c r="R129" s="1" t="n">
        <v>7.5262</v>
      </c>
      <c r="T129" s="1" t="n">
        <v>0</v>
      </c>
      <c r="AC129" s="1" t="n">
        <v>139.75</v>
      </c>
      <c r="AD129" s="1" t="n">
        <v>217.83</v>
      </c>
      <c r="AM129" s="1" t="n">
        <v>42.33</v>
      </c>
      <c r="AN129" s="1" t="n">
        <v>22.24</v>
      </c>
      <c r="AO129" s="1" t="n">
        <v>23.45</v>
      </c>
      <c r="AP129" s="1" t="n">
        <v>6.7</v>
      </c>
      <c r="AQ129" s="1" t="n">
        <v>6.81</v>
      </c>
      <c r="AR129" s="1" t="n">
        <v>7.18</v>
      </c>
      <c r="AS129" s="1" t="n">
        <v>0</v>
      </c>
      <c r="AT129" s="1" t="n"/>
      <c r="BU129" s="1" t="n">
        <v>21.4573</v>
      </c>
      <c r="BV129" s="1" t="n">
        <v>21.4573</v>
      </c>
      <c r="BW129" s="1" t="n">
        <v>139.7485</v>
      </c>
      <c r="BX129" s="1" t="n">
        <v>79.39619999999999</v>
      </c>
      <c r="BY129" s="1" t="n">
        <v>158.7925</v>
      </c>
      <c r="BZ129" s="1" t="n">
        <v>229.8592</v>
      </c>
      <c r="CA129" s="1" t="n">
        <v>217.8319</v>
      </c>
      <c r="CB129" s="1" t="n">
        <v>56.2548</v>
      </c>
      <c r="CC129" s="1" t="n">
        <v>0.0431</v>
      </c>
      <c r="CD129" s="1" t="n">
        <v>16.8485</v>
      </c>
      <c r="CG129" s="1" t="n">
        <v>0.8007</v>
      </c>
      <c r="CW129" s="1" t="n">
        <v>13.3176</v>
      </c>
      <c r="DA129" s="1" t="n">
        <v>1.7761</v>
      </c>
      <c r="DE129" s="1" t="n">
        <v>0.7361</v>
      </c>
      <c r="DK129" s="1" t="n">
        <v>42.3266</v>
      </c>
      <c r="DL129" s="1" t="n">
        <v>49.5489</v>
      </c>
      <c r="DM129" s="1" t="n">
        <v>69.676</v>
      </c>
      <c r="DN129" s="1" t="n">
        <v>20.9361</v>
      </c>
      <c r="DO129" s="1" t="n">
        <v>22.2405</v>
      </c>
      <c r="DP129" s="1" t="n">
        <v>40.9221</v>
      </c>
      <c r="DQ129" s="1" t="n">
        <v>60.7083</v>
      </c>
      <c r="DR129" s="1" t="n">
        <v>20.5588</v>
      </c>
      <c r="DS129" s="1" t="n">
        <v>23.4496</v>
      </c>
      <c r="DT129" s="1" t="n">
        <v>5.5999</v>
      </c>
      <c r="DU129" s="1" t="n">
        <v>28.1641</v>
      </c>
      <c r="DV129" s="1" t="n">
        <v>6.5843</v>
      </c>
      <c r="DW129" s="1" t="n">
        <v>6.7018</v>
      </c>
      <c r="DX129" s="1" t="n">
        <v>6.8624</v>
      </c>
      <c r="DY129" s="1" t="n">
        <v>6.9509</v>
      </c>
      <c r="DZ129" s="1" t="n">
        <v>6.934</v>
      </c>
      <c r="EA129" s="1" t="n">
        <v>6.8062</v>
      </c>
      <c r="EB129" s="1" t="n">
        <v>7.2284</v>
      </c>
      <c r="EC129" s="1" t="n">
        <v>7.5262</v>
      </c>
      <c r="ED129" s="1" t="n">
        <v>7.8726</v>
      </c>
      <c r="EE129" s="1" t="n">
        <v>7.1777</v>
      </c>
      <c r="EF129" s="1" t="n">
        <v>7.6766</v>
      </c>
      <c r="EH129" s="1" t="n">
        <v>0.1693</v>
      </c>
      <c r="EI129" s="1" t="n">
        <v>0</v>
      </c>
      <c r="EK129" s="1" t="n">
        <v>0</v>
      </c>
      <c r="EM129" s="1" t="n">
        <v>0</v>
      </c>
    </row>
    <row r="130">
      <c r="A130" s="2" t="inlineStr">
        <is>
          <t xml:space="preserve">                    应付股利</t>
        </is>
      </c>
      <c r="C130" s="1" t="n">
        <v>0.0043</v>
      </c>
      <c r="D130" s="1" t="n">
        <v>0.4065</v>
      </c>
      <c r="E130" s="1" t="n">
        <v>2.658</v>
      </c>
      <c r="F130" s="1" t="n">
        <v>2.538</v>
      </c>
      <c r="G130" s="1" t="n">
        <v>1.5602</v>
      </c>
      <c r="H130" s="1" t="n">
        <v>2.0087</v>
      </c>
      <c r="I130" s="1" t="n">
        <v>3.3897</v>
      </c>
      <c r="J130" s="1" t="n">
        <v>3.1433</v>
      </c>
      <c r="K130" s="1" t="n">
        <v>3.1441</v>
      </c>
      <c r="L130" s="1" t="n">
        <v>2.7879</v>
      </c>
      <c r="M130" s="1" t="n">
        <v>2.8231</v>
      </c>
      <c r="N130" s="1" t="n">
        <v>34.4655</v>
      </c>
      <c r="O130" s="1" t="n">
        <v>23.5541</v>
      </c>
      <c r="P130" s="1" t="n">
        <v>13.2243</v>
      </c>
      <c r="Q130" s="1" t="n">
        <v>3.7407</v>
      </c>
      <c r="R130" s="1" t="n">
        <v>4.0239</v>
      </c>
      <c r="S130" s="1" t="n">
        <v>4.0561</v>
      </c>
      <c r="T130" s="1" t="n">
        <v>4.5689</v>
      </c>
      <c r="AA130" s="1" t="n">
        <v>225</v>
      </c>
      <c r="AC130" s="1" t="n">
        <v>196.08</v>
      </c>
      <c r="AD130" s="1" t="n">
        <v>20.72</v>
      </c>
      <c r="AE130" s="1" t="n">
        <v>163.76</v>
      </c>
      <c r="AF130" s="1" t="n">
        <v>1.56</v>
      </c>
      <c r="AG130" s="1" t="n">
        <v>322.63</v>
      </c>
      <c r="AH130" s="1" t="n">
        <v>225.74</v>
      </c>
      <c r="AI130" s="1" t="n">
        <v>3.35</v>
      </c>
      <c r="AJ130" s="1" t="n">
        <v>212.99</v>
      </c>
      <c r="AK130" s="1" t="n">
        <v>144.66</v>
      </c>
      <c r="AL130" s="1" t="n">
        <v>2.82</v>
      </c>
      <c r="AM130" s="1" t="n">
        <v>31.6</v>
      </c>
      <c r="AN130" s="1" t="n">
        <v>369.64</v>
      </c>
      <c r="AO130" s="1" t="n">
        <v>658.04</v>
      </c>
      <c r="AP130" s="1" t="n">
        <v>571.76</v>
      </c>
      <c r="AQ130" s="1" t="n">
        <v>721.4299999999999</v>
      </c>
      <c r="AR130" s="1" t="n">
        <v>1050.2</v>
      </c>
      <c r="AS130" s="1" t="n">
        <v>1485.17</v>
      </c>
      <c r="AT130" s="1" t="n"/>
      <c r="BO130" s="1" t="n">
        <v>225</v>
      </c>
      <c r="BU130" s="1" t="n">
        <v>0.0043</v>
      </c>
      <c r="BV130" s="1" t="n">
        <v>0.0043</v>
      </c>
      <c r="BW130" s="1" t="n">
        <v>196.0843</v>
      </c>
      <c r="BX130" s="1" t="n">
        <v>0.4065</v>
      </c>
      <c r="BY130" s="1" t="n">
        <v>0.4065</v>
      </c>
      <c r="BZ130" s="1" t="n">
        <v>0.4065</v>
      </c>
      <c r="CA130" s="1" t="n">
        <v>20.7186</v>
      </c>
      <c r="CB130" s="1" t="n">
        <v>2.658</v>
      </c>
      <c r="CC130" s="1" t="n">
        <v>2.658</v>
      </c>
      <c r="CD130" s="1" t="n">
        <v>2.658</v>
      </c>
      <c r="CE130" s="1" t="n">
        <v>163.7599</v>
      </c>
      <c r="CF130" s="1" t="n">
        <v>4.538</v>
      </c>
      <c r="CG130" s="1" t="n">
        <v>2.538</v>
      </c>
      <c r="CH130" s="1" t="n">
        <v>2.538</v>
      </c>
      <c r="CI130" s="1" t="n">
        <v>1.5602</v>
      </c>
      <c r="CJ130" s="1" t="n">
        <v>1.5602</v>
      </c>
      <c r="CK130" s="1" t="n">
        <v>1.5602</v>
      </c>
      <c r="CL130" s="1" t="n">
        <v>1.5602</v>
      </c>
      <c r="CM130" s="1" t="n">
        <v>322.6263</v>
      </c>
      <c r="CN130" s="1" t="n">
        <v>2.0087</v>
      </c>
      <c r="CO130" s="1" t="n">
        <v>2.0087</v>
      </c>
      <c r="CP130" s="1" t="n">
        <v>2.0087</v>
      </c>
      <c r="CQ130" s="1" t="n">
        <v>225.7433</v>
      </c>
      <c r="CR130" s="1" t="n">
        <v>4.1747</v>
      </c>
      <c r="CS130" s="1" t="n">
        <v>3.3897</v>
      </c>
      <c r="CT130" s="1" t="n">
        <v>2.6477</v>
      </c>
      <c r="CU130" s="1" t="n">
        <v>3.3463</v>
      </c>
      <c r="CV130" s="1" t="n">
        <v>11.8215</v>
      </c>
      <c r="CW130" s="1" t="n">
        <v>3.1433</v>
      </c>
      <c r="CX130" s="1" t="n">
        <v>2.3797</v>
      </c>
      <c r="CY130" s="1" t="n">
        <v>212.9852</v>
      </c>
      <c r="CZ130" s="1" t="n">
        <v>7.5401</v>
      </c>
      <c r="DA130" s="1" t="n">
        <v>3.1441</v>
      </c>
      <c r="DB130" s="1" t="n">
        <v>3.1441</v>
      </c>
      <c r="DC130" s="1" t="n">
        <v>144.6579</v>
      </c>
      <c r="DD130" s="1" t="n">
        <v>3.7479</v>
      </c>
      <c r="DE130" s="1" t="n">
        <v>2.7879</v>
      </c>
      <c r="DF130" s="1" t="n">
        <v>2.7879</v>
      </c>
      <c r="DG130" s="1" t="n">
        <v>2.8231</v>
      </c>
      <c r="DH130" s="1" t="n">
        <v>2.8231</v>
      </c>
      <c r="DI130" s="1" t="n">
        <v>2.8231</v>
      </c>
      <c r="DJ130" s="1" t="n">
        <v>2.8231</v>
      </c>
      <c r="DK130" s="1" t="n">
        <v>31.6019</v>
      </c>
      <c r="DL130" s="1" t="n">
        <v>36.0655</v>
      </c>
      <c r="DM130" s="1" t="n">
        <v>34.4655</v>
      </c>
      <c r="DN130" s="1" t="n">
        <v>34.4655</v>
      </c>
      <c r="DO130" s="1" t="n">
        <v>369.6382</v>
      </c>
      <c r="DP130" s="1" t="n">
        <v>32.2658</v>
      </c>
      <c r="DQ130" s="1" t="n">
        <v>23.5541</v>
      </c>
      <c r="DR130" s="1" t="n">
        <v>20.962</v>
      </c>
      <c r="DS130" s="1" t="n">
        <v>658.0449</v>
      </c>
      <c r="DT130" s="1" t="n">
        <v>371.5211</v>
      </c>
      <c r="DU130" s="1" t="n">
        <v>13.2243</v>
      </c>
      <c r="DV130" s="1" t="n">
        <v>7.6432</v>
      </c>
      <c r="DW130" s="1" t="n">
        <v>571.7618</v>
      </c>
      <c r="DX130" s="1" t="n">
        <v>9.6553</v>
      </c>
      <c r="DY130" s="1" t="n">
        <v>3.7407</v>
      </c>
      <c r="DZ130" s="1" t="n">
        <v>3.7063</v>
      </c>
      <c r="EA130" s="1" t="n">
        <v>721.4253</v>
      </c>
      <c r="EB130" s="1" t="n">
        <v>8.7622</v>
      </c>
      <c r="EC130" s="1" t="n">
        <v>4.0239</v>
      </c>
      <c r="ED130" s="1" t="n">
        <v>12.2128</v>
      </c>
      <c r="EE130" s="1" t="n">
        <v>1050.1987</v>
      </c>
      <c r="EF130" s="1" t="n">
        <v>7.8847</v>
      </c>
      <c r="EG130" s="1" t="n">
        <v>4.0561</v>
      </c>
      <c r="EH130" s="1" t="n">
        <v>4.0561</v>
      </c>
      <c r="EI130" s="1" t="n">
        <v>1485.1681</v>
      </c>
      <c r="EJ130" s="1" t="n">
        <v>4.3558</v>
      </c>
      <c r="EK130" s="1" t="n">
        <v>4.5689</v>
      </c>
      <c r="EL130" s="1" t="n">
        <v>4.3558</v>
      </c>
      <c r="EM130" s="1" t="n">
        <v>1371.192</v>
      </c>
    </row>
    <row r="131">
      <c r="A131" s="2" t="inlineStr">
        <is>
          <t xml:space="preserve">                    其他应付款</t>
        </is>
      </c>
      <c r="B131" s="1" t="n">
        <v>794.0534</v>
      </c>
      <c r="C131" s="1" t="n">
        <v>1347.5362</v>
      </c>
      <c r="D131" s="1" t="n">
        <v>2915.4535</v>
      </c>
      <c r="E131" s="1" t="n">
        <v>1987.9682</v>
      </c>
      <c r="F131" s="1" t="n">
        <v>1936.2928</v>
      </c>
      <c r="G131" s="1" t="n">
        <v>1871.026</v>
      </c>
      <c r="H131" s="1" t="n">
        <v>2027.3412</v>
      </c>
      <c r="I131" s="1" t="n">
        <v>1805.193</v>
      </c>
      <c r="J131" s="1" t="n">
        <v>1738.3146</v>
      </c>
      <c r="K131" s="1" t="n">
        <v>1774.7657</v>
      </c>
      <c r="L131" s="1" t="n">
        <v>1965.9094</v>
      </c>
      <c r="M131" s="1" t="n">
        <v>2080.5236</v>
      </c>
      <c r="N131" s="1" t="n">
        <v>1645.7281</v>
      </c>
      <c r="O131" s="1" t="n">
        <v>1686.514</v>
      </c>
      <c r="P131" s="1" t="n">
        <v>1370.2689</v>
      </c>
      <c r="Q131" s="1" t="n">
        <v>1395.3968</v>
      </c>
      <c r="R131" s="1" t="n">
        <v>1255.4544</v>
      </c>
      <c r="S131" s="1" t="n">
        <v>1484.2642</v>
      </c>
      <c r="T131" s="1" t="n">
        <v>1609.8099</v>
      </c>
      <c r="AA131" s="1" t="n">
        <v>72.42</v>
      </c>
      <c r="AB131" s="1" t="n">
        <v>68.05</v>
      </c>
      <c r="AC131" s="1" t="n">
        <v>1685.29</v>
      </c>
      <c r="AD131" s="1" t="n">
        <v>3320.76</v>
      </c>
      <c r="AE131" s="1" t="n">
        <v>1909.14</v>
      </c>
      <c r="AF131" s="1" t="n">
        <v>1900.32</v>
      </c>
      <c r="AG131" s="1" t="n">
        <v>2067.9</v>
      </c>
      <c r="AH131" s="1" t="n">
        <v>2220.07</v>
      </c>
      <c r="AI131" s="1" t="n">
        <v>1957.28</v>
      </c>
      <c r="AJ131" s="1" t="n">
        <v>1756.84</v>
      </c>
      <c r="AK131" s="1" t="n">
        <v>1761.65</v>
      </c>
      <c r="AL131" s="1" t="n">
        <v>2388.1</v>
      </c>
      <c r="AM131" s="1" t="n">
        <v>2671.89</v>
      </c>
      <c r="AN131" s="1" t="n">
        <v>1773.86</v>
      </c>
      <c r="AO131" s="1" t="n">
        <v>1655.29</v>
      </c>
      <c r="AP131" s="1" t="n">
        <v>1843.41</v>
      </c>
      <c r="AQ131" s="1" t="n">
        <v>1324.81</v>
      </c>
      <c r="AR131" s="1" t="n">
        <v>1222.02</v>
      </c>
      <c r="AS131" s="1" t="n">
        <v>1611.14</v>
      </c>
      <c r="AT131" s="1" t="n"/>
      <c r="BN131" s="1" t="n">
        <v>81.872</v>
      </c>
      <c r="BO131" s="1" t="n">
        <v>72.4235</v>
      </c>
      <c r="BP131" s="1" t="n">
        <v>74.4872</v>
      </c>
      <c r="BQ131" s="1" t="n">
        <v>794.0534</v>
      </c>
      <c r="BR131" s="1" t="n">
        <v>47.8078</v>
      </c>
      <c r="BS131" s="1" t="n">
        <v>68.04819999999999</v>
      </c>
      <c r="BT131" s="1" t="n">
        <v>45.3046</v>
      </c>
      <c r="BU131" s="1" t="n">
        <v>1347.5362</v>
      </c>
      <c r="BV131" s="1" t="n">
        <v>1701.2819</v>
      </c>
      <c r="BW131" s="1" t="n">
        <v>1685.2945</v>
      </c>
      <c r="BX131" s="1" t="n">
        <v>1628.8402</v>
      </c>
      <c r="BY131" s="1" t="n">
        <v>2915.4535</v>
      </c>
      <c r="BZ131" s="1" t="n">
        <v>3508.324</v>
      </c>
      <c r="CA131" s="1" t="n">
        <v>3320.7615</v>
      </c>
      <c r="CB131" s="1" t="n">
        <v>3216.3939</v>
      </c>
      <c r="CC131" s="1" t="n">
        <v>1987.9682</v>
      </c>
      <c r="CD131" s="1" t="n">
        <v>1686.1508</v>
      </c>
      <c r="CE131" s="1" t="n">
        <v>1909.1449</v>
      </c>
      <c r="CF131" s="1" t="n">
        <v>1800.5136</v>
      </c>
      <c r="CG131" s="1" t="n">
        <v>1936.2928</v>
      </c>
      <c r="CH131" s="1" t="n">
        <v>1993.3436</v>
      </c>
      <c r="CI131" s="1" t="n">
        <v>1900.3238</v>
      </c>
      <c r="CJ131" s="1" t="n">
        <v>1954.7501</v>
      </c>
      <c r="CK131" s="1" t="n">
        <v>1871.026</v>
      </c>
      <c r="CL131" s="1" t="n">
        <v>2035.7766</v>
      </c>
      <c r="CM131" s="1" t="n">
        <v>2067.8957</v>
      </c>
      <c r="CN131" s="1" t="n">
        <v>2104.4165</v>
      </c>
      <c r="CO131" s="1" t="n">
        <v>2027.3412</v>
      </c>
      <c r="CP131" s="1" t="n">
        <v>2115.3274</v>
      </c>
      <c r="CQ131" s="1" t="n">
        <v>2220.0741</v>
      </c>
      <c r="CR131" s="1" t="n">
        <v>2230.8114</v>
      </c>
      <c r="CS131" s="1" t="n">
        <v>1805.193</v>
      </c>
      <c r="CT131" s="1" t="n">
        <v>1940.6379</v>
      </c>
      <c r="CU131" s="1" t="n">
        <v>1957.2796</v>
      </c>
      <c r="CV131" s="1" t="n">
        <v>1980.4756</v>
      </c>
      <c r="CW131" s="1" t="n">
        <v>1738.3146</v>
      </c>
      <c r="CX131" s="1" t="n">
        <v>1650.5653</v>
      </c>
      <c r="CY131" s="1" t="n">
        <v>1756.8429</v>
      </c>
      <c r="CZ131" s="1" t="n">
        <v>1940.6199</v>
      </c>
      <c r="DA131" s="1" t="n">
        <v>1774.7657</v>
      </c>
      <c r="DB131" s="1" t="n">
        <v>1724.552</v>
      </c>
      <c r="DC131" s="1" t="n">
        <v>1761.6497</v>
      </c>
      <c r="DD131" s="1" t="n">
        <v>1735.9462</v>
      </c>
      <c r="DE131" s="1" t="n">
        <v>1965.9094</v>
      </c>
      <c r="DF131" s="1" t="n">
        <v>1896.2815</v>
      </c>
      <c r="DG131" s="1" t="n">
        <v>2388.0987</v>
      </c>
      <c r="DH131" s="1" t="n">
        <v>2101.1735</v>
      </c>
      <c r="DI131" s="1" t="n">
        <v>2080.5236</v>
      </c>
      <c r="DJ131" s="1" t="n">
        <v>2054.3693</v>
      </c>
      <c r="DK131" s="1" t="n">
        <v>2671.8886</v>
      </c>
      <c r="DL131" s="1" t="n">
        <v>2007.0696</v>
      </c>
      <c r="DM131" s="1" t="n">
        <v>1645.7281</v>
      </c>
      <c r="DN131" s="1" t="n">
        <v>1643.4013</v>
      </c>
      <c r="DO131" s="1" t="n">
        <v>1773.8574</v>
      </c>
      <c r="DP131" s="1" t="n">
        <v>1925.797</v>
      </c>
      <c r="DQ131" s="1" t="n">
        <v>1686.514</v>
      </c>
      <c r="DR131" s="1" t="n">
        <v>1817.6895</v>
      </c>
      <c r="DS131" s="1" t="n">
        <v>1655.2891</v>
      </c>
      <c r="DT131" s="1" t="n">
        <v>1750.6317</v>
      </c>
      <c r="DU131" s="1" t="n">
        <v>1370.2689</v>
      </c>
      <c r="DV131" s="1" t="n">
        <v>1491.651</v>
      </c>
      <c r="DW131" s="1" t="n">
        <v>1843.4144</v>
      </c>
      <c r="DX131" s="1" t="n">
        <v>2110.615</v>
      </c>
      <c r="DY131" s="1" t="n">
        <v>1395.3968</v>
      </c>
      <c r="DZ131" s="1" t="n">
        <v>1468.216</v>
      </c>
      <c r="EA131" s="1" t="n">
        <v>1324.8136</v>
      </c>
      <c r="EB131" s="1" t="n">
        <v>1432.0941</v>
      </c>
      <c r="EC131" s="1" t="n">
        <v>1255.4544</v>
      </c>
      <c r="ED131" s="1" t="n">
        <v>1309.7316</v>
      </c>
      <c r="EE131" s="1" t="n">
        <v>1222.0241</v>
      </c>
      <c r="EF131" s="1" t="n">
        <v>1264.7626</v>
      </c>
      <c r="EG131" s="1" t="n">
        <v>1484.2642</v>
      </c>
      <c r="EH131" s="1" t="n">
        <v>1559.9164</v>
      </c>
      <c r="EI131" s="1" t="n">
        <v>1611.136</v>
      </c>
      <c r="EK131" s="1" t="n">
        <v>1609.8099</v>
      </c>
      <c r="EM131" s="1" t="n">
        <v>1598.197</v>
      </c>
    </row>
    <row r="132">
      <c r="A132" s="2" t="inlineStr">
        <is>
          <t xml:space="preserve">    划分为持有待售的负债</t>
        </is>
      </c>
      <c r="ED132" s="1" t="n">
        <v>0</v>
      </c>
      <c r="EH132" s="1" t="n">
        <v>0</v>
      </c>
      <c r="EM132" s="1" t="inlineStr"/>
    </row>
    <row r="133">
      <c r="A133" s="2" t="inlineStr">
        <is>
          <t xml:space="preserve">    一年内到期的非流动负债</t>
        </is>
      </c>
      <c r="B133" s="1" t="n">
        <v>7</v>
      </c>
      <c r="C133" s="1" t="n">
        <v>482.5</v>
      </c>
      <c r="D133" s="1" t="n">
        <v>1035.9768</v>
      </c>
      <c r="E133" s="1" t="n">
        <v>16.32</v>
      </c>
      <c r="F133" s="1" t="n">
        <v>31.32</v>
      </c>
      <c r="G133" s="1" t="n">
        <v>116.32</v>
      </c>
      <c r="H133" s="1" t="n">
        <v>54.32</v>
      </c>
      <c r="I133" s="1" t="n">
        <v>86.31999999999999</v>
      </c>
      <c r="J133" s="1" t="n">
        <v>3256.8603</v>
      </c>
      <c r="K133" s="1" t="n">
        <v>354.32</v>
      </c>
      <c r="L133" s="1" t="n">
        <v>731.3792999999999</v>
      </c>
      <c r="M133" s="1" t="n">
        <v>528.3200000000001</v>
      </c>
      <c r="N133" s="1" t="n">
        <v>16.32</v>
      </c>
      <c r="O133" s="1" t="n">
        <v>154.232</v>
      </c>
      <c r="P133" s="1" t="n">
        <v>139.9549</v>
      </c>
      <c r="Q133" s="1" t="n">
        <v>102.1529</v>
      </c>
      <c r="R133" s="1" t="n">
        <v>625.8564</v>
      </c>
      <c r="S133" s="1" t="n">
        <v>316.0293</v>
      </c>
      <c r="T133" s="1" t="n">
        <v>331.4051</v>
      </c>
      <c r="AC133" s="1" t="n">
        <v>1042.48</v>
      </c>
      <c r="AD133" s="1" t="n">
        <v>1035.98</v>
      </c>
      <c r="AE133" s="1" t="n">
        <v>16.32</v>
      </c>
      <c r="AF133" s="1" t="n">
        <v>31.32</v>
      </c>
      <c r="AG133" s="1" t="n">
        <v>126.32</v>
      </c>
      <c r="AH133" s="1" t="n">
        <v>74.31999999999999</v>
      </c>
      <c r="AI133" s="1" t="n">
        <v>36.32</v>
      </c>
      <c r="AJ133" s="1" t="n">
        <v>16.32</v>
      </c>
      <c r="AK133" s="1" t="n">
        <v>533.42</v>
      </c>
      <c r="AL133" s="1" t="n">
        <v>706.04</v>
      </c>
      <c r="AM133" s="1" t="n">
        <v>53.26</v>
      </c>
      <c r="AN133" s="1" t="n">
        <v>16.32</v>
      </c>
      <c r="AO133" s="1" t="n">
        <v>123.97</v>
      </c>
      <c r="AP133" s="1" t="n">
        <v>121.26</v>
      </c>
      <c r="AQ133" s="1" t="n">
        <v>50.77</v>
      </c>
      <c r="AR133" s="1" t="n">
        <v>584.38</v>
      </c>
      <c r="AS133" s="1" t="n">
        <v>264.89</v>
      </c>
      <c r="AT133" s="1" t="n"/>
      <c r="BQ133" s="1" t="n">
        <v>7</v>
      </c>
      <c r="BU133" s="1" t="n">
        <v>482.5</v>
      </c>
      <c r="BV133" s="1" t="n">
        <v>1042.4768</v>
      </c>
      <c r="BW133" s="1" t="n">
        <v>1042.4768</v>
      </c>
      <c r="BX133" s="1" t="n">
        <v>1032.4768</v>
      </c>
      <c r="BY133" s="1" t="n">
        <v>1035.9768</v>
      </c>
      <c r="BZ133" s="1" t="n">
        <v>476</v>
      </c>
      <c r="CA133" s="1" t="n">
        <v>1035.9768</v>
      </c>
      <c r="CB133" s="1" t="n">
        <v>14</v>
      </c>
      <c r="CC133" s="1" t="n">
        <v>16.32</v>
      </c>
      <c r="CD133" s="1" t="n">
        <v>16.32</v>
      </c>
      <c r="CE133" s="1" t="n">
        <v>16.32</v>
      </c>
      <c r="CF133" s="1" t="n">
        <v>16.32</v>
      </c>
      <c r="CG133" s="1" t="n">
        <v>31.32</v>
      </c>
      <c r="CH133" s="1" t="n">
        <v>31.32</v>
      </c>
      <c r="CI133" s="1" t="n">
        <v>31.32</v>
      </c>
      <c r="CJ133" s="1" t="n">
        <v>35</v>
      </c>
      <c r="CK133" s="1" t="n">
        <v>116.32</v>
      </c>
      <c r="CL133" s="1" t="n">
        <v>126.32</v>
      </c>
      <c r="CM133" s="1" t="n">
        <v>126.32</v>
      </c>
      <c r="CN133" s="1" t="n">
        <v>130.32</v>
      </c>
      <c r="CO133" s="1" t="n">
        <v>54.32</v>
      </c>
      <c r="CP133" s="1" t="n">
        <v>24.32</v>
      </c>
      <c r="CQ133" s="1" t="n">
        <v>74.31999999999999</v>
      </c>
      <c r="CR133" s="1" t="n">
        <v>86.31999999999999</v>
      </c>
      <c r="CS133" s="1" t="n">
        <v>86.31999999999999</v>
      </c>
      <c r="CT133" s="1" t="n">
        <v>86.31999999999999</v>
      </c>
      <c r="CU133" s="1" t="n">
        <v>36.32</v>
      </c>
      <c r="CV133" s="1" t="n">
        <v>16.32</v>
      </c>
      <c r="CW133" s="1" t="n">
        <v>3256.8603</v>
      </c>
      <c r="CX133" s="1" t="n">
        <v>16.32</v>
      </c>
      <c r="CY133" s="1" t="n">
        <v>16.32</v>
      </c>
      <c r="CZ133" s="1" t="n">
        <v>16.32</v>
      </c>
      <c r="DA133" s="1" t="n">
        <v>354.32</v>
      </c>
      <c r="DB133" s="1" t="n">
        <v>354.32</v>
      </c>
      <c r="DC133" s="1" t="n">
        <v>533.42</v>
      </c>
      <c r="DD133" s="1" t="n">
        <v>683.54</v>
      </c>
      <c r="DE133" s="1" t="n">
        <v>731.3792999999999</v>
      </c>
      <c r="DF133" s="1" t="n">
        <v>314.4293</v>
      </c>
      <c r="DG133" s="1" t="n">
        <v>706.04</v>
      </c>
      <c r="DH133" s="1" t="n">
        <v>547.23</v>
      </c>
      <c r="DI133" s="1" t="n">
        <v>528.3200000000001</v>
      </c>
      <c r="DJ133" s="1" t="n">
        <v>553.26</v>
      </c>
      <c r="DK133" s="1" t="n">
        <v>53.26</v>
      </c>
      <c r="DL133" s="1" t="n">
        <v>53.26</v>
      </c>
      <c r="DM133" s="1" t="n">
        <v>16.32</v>
      </c>
      <c r="DN133" s="1" t="n">
        <v>16.32</v>
      </c>
      <c r="DO133" s="1" t="n">
        <v>16.32</v>
      </c>
      <c r="DP133" s="1" t="n">
        <v>16.32</v>
      </c>
      <c r="DQ133" s="1" t="n">
        <v>154.232</v>
      </c>
      <c r="DR133" s="1" t="n">
        <v>151.931</v>
      </c>
      <c r="DS133" s="1" t="n">
        <v>123.9675</v>
      </c>
      <c r="DT133" s="1" t="n">
        <v>116.0951</v>
      </c>
      <c r="DU133" s="1" t="n">
        <v>139.9549</v>
      </c>
      <c r="DV133" s="1" t="n">
        <v>130.7323</v>
      </c>
      <c r="DW133" s="1" t="n">
        <v>121.2607</v>
      </c>
      <c r="DX133" s="1" t="n">
        <v>115.8521</v>
      </c>
      <c r="DY133" s="1" t="n">
        <v>102.1529</v>
      </c>
      <c r="DZ133" s="1" t="n">
        <v>93.9572</v>
      </c>
      <c r="EA133" s="1" t="n">
        <v>50.7746</v>
      </c>
      <c r="EB133" s="1" t="n">
        <v>27.4038</v>
      </c>
      <c r="EC133" s="1" t="n">
        <v>625.8564</v>
      </c>
      <c r="ED133" s="1" t="n">
        <v>626.1396</v>
      </c>
      <c r="EE133" s="1" t="n">
        <v>584.3805</v>
      </c>
      <c r="EF133" s="1" t="n">
        <v>228.3651</v>
      </c>
      <c r="EG133" s="1" t="n">
        <v>316.0293</v>
      </c>
      <c r="EH133" s="1" t="n">
        <v>310.0352</v>
      </c>
      <c r="EI133" s="1" t="n">
        <v>264.8911</v>
      </c>
      <c r="EJ133" s="1" t="n">
        <v>99.8036</v>
      </c>
      <c r="EK133" s="1" t="n">
        <v>331.4051</v>
      </c>
      <c r="EL133" s="1" t="n">
        <v>314.2271</v>
      </c>
      <c r="EM133" s="1" t="n">
        <v>257.382</v>
      </c>
    </row>
    <row r="134">
      <c r="A134" s="2" t="inlineStr">
        <is>
          <t xml:space="preserve">    预提费用</t>
        </is>
      </c>
      <c r="AA134" s="1" t="n">
        <v>56.99</v>
      </c>
      <c r="BN134" s="1" t="n">
        <v>90.73820000000001</v>
      </c>
      <c r="BO134" s="1" t="n">
        <v>56.9942</v>
      </c>
      <c r="BP134" s="1" t="n">
        <v>98.1623</v>
      </c>
      <c r="EM134" s="1" t="inlineStr"/>
    </row>
    <row r="135">
      <c r="A135" s="2" t="inlineStr">
        <is>
          <t xml:space="preserve">    递延收益-流动负债</t>
        </is>
      </c>
      <c r="EM135" s="1" t="inlineStr"/>
    </row>
    <row r="136">
      <c r="A136" s="2" t="inlineStr">
        <is>
          <t xml:space="preserve">    应付短期债券</t>
        </is>
      </c>
      <c r="EM136" s="1" t="inlineStr"/>
    </row>
    <row r="137">
      <c r="A137" s="2" t="inlineStr">
        <is>
          <t xml:space="preserve">    其他流动负债</t>
        </is>
      </c>
      <c r="D137" s="1" t="n">
        <v>0.7412</v>
      </c>
      <c r="F137" s="1" t="n">
        <v>121.9734</v>
      </c>
      <c r="G137" s="1" t="n">
        <v>85.9452</v>
      </c>
      <c r="H137" s="1" t="n">
        <v>80.8443</v>
      </c>
      <c r="I137" s="1" t="n">
        <v>79.9431</v>
      </c>
      <c r="J137" s="1" t="n">
        <v>128.5434</v>
      </c>
      <c r="K137" s="1" t="n">
        <v>103.512</v>
      </c>
      <c r="L137" s="1" t="n">
        <v>77.11369999999999</v>
      </c>
      <c r="M137" s="1" t="n">
        <v>58.4968</v>
      </c>
      <c r="N137" s="1" t="n">
        <v>103.5889</v>
      </c>
      <c r="O137" s="1" t="n">
        <v>87.37560000000001</v>
      </c>
      <c r="P137" s="1" t="n">
        <v>121.2868</v>
      </c>
      <c r="Q137" s="1" t="n">
        <v>840.4441</v>
      </c>
      <c r="R137" s="1" t="n">
        <v>294.4319</v>
      </c>
      <c r="S137" s="1" t="n">
        <v>2068.3838</v>
      </c>
      <c r="T137" s="1" t="n">
        <v>1754.9064</v>
      </c>
      <c r="AD137" s="1" t="n">
        <v>0.02</v>
      </c>
      <c r="AF137" s="1" t="n">
        <v>100.64</v>
      </c>
      <c r="AG137" s="1" t="n">
        <v>63.5</v>
      </c>
      <c r="AH137" s="1" t="n">
        <v>54.51</v>
      </c>
      <c r="AI137" s="1" t="n">
        <v>61.04</v>
      </c>
      <c r="AJ137" s="1" t="n">
        <v>109.81</v>
      </c>
      <c r="AK137" s="1" t="n">
        <v>90.27</v>
      </c>
      <c r="AL137" s="1" t="n">
        <v>65.70999999999999</v>
      </c>
      <c r="AM137" s="1" t="n">
        <v>55.36</v>
      </c>
      <c r="AN137" s="1" t="n">
        <v>78.11</v>
      </c>
      <c r="AO137" s="1" t="n">
        <v>73.98999999999999</v>
      </c>
      <c r="AP137" s="1" t="n">
        <v>149.3</v>
      </c>
      <c r="AQ137" s="1" t="n">
        <v>347.56</v>
      </c>
      <c r="AR137" s="1" t="n">
        <v>257.93</v>
      </c>
      <c r="AS137" s="1" t="n">
        <v>1756.71</v>
      </c>
      <c r="AT137" s="1" t="n"/>
      <c r="BR137" s="1" t="n">
        <v>88.5984</v>
      </c>
      <c r="BX137" s="1" t="n">
        <v>0.0155</v>
      </c>
      <c r="BY137" s="1" t="n">
        <v>0.7412</v>
      </c>
      <c r="BZ137" s="1" t="n">
        <v>0.7324000000000001</v>
      </c>
      <c r="CA137" s="1" t="n">
        <v>0.024</v>
      </c>
      <c r="CB137" s="1" t="n">
        <v>0.0481</v>
      </c>
      <c r="CG137" s="1" t="n">
        <v>121.9734</v>
      </c>
      <c r="CH137" s="1" t="n">
        <v>112.1093</v>
      </c>
      <c r="CI137" s="1" t="n">
        <v>100.6364</v>
      </c>
      <c r="CJ137" s="1" t="n">
        <v>90.04730000000001</v>
      </c>
      <c r="CK137" s="1" t="n">
        <v>85.9452</v>
      </c>
      <c r="CL137" s="1" t="n">
        <v>75.88639999999999</v>
      </c>
      <c r="CM137" s="1" t="n">
        <v>63.496</v>
      </c>
      <c r="CN137" s="1" t="n">
        <v>54.4258</v>
      </c>
      <c r="CO137" s="1" t="n">
        <v>80.8443</v>
      </c>
      <c r="CP137" s="1" t="n">
        <v>66.05159999999999</v>
      </c>
      <c r="CQ137" s="1" t="n">
        <v>54.5113</v>
      </c>
      <c r="CR137" s="1" t="n">
        <v>43.3675</v>
      </c>
      <c r="CS137" s="1" t="n">
        <v>79.9431</v>
      </c>
      <c r="CT137" s="1" t="n">
        <v>69.8733</v>
      </c>
      <c r="CU137" s="1" t="n">
        <v>61.036</v>
      </c>
      <c r="CV137" s="1" t="n">
        <v>52.8869</v>
      </c>
      <c r="CW137" s="1" t="n">
        <v>128.5434</v>
      </c>
      <c r="CX137" s="1" t="n">
        <v>119.3395</v>
      </c>
      <c r="CY137" s="1" t="n">
        <v>109.8143</v>
      </c>
      <c r="CZ137" s="1" t="n">
        <v>95.2287</v>
      </c>
      <c r="DA137" s="1" t="n">
        <v>103.512</v>
      </c>
      <c r="DB137" s="1" t="n">
        <v>98.6885</v>
      </c>
      <c r="DC137" s="1" t="n">
        <v>90.2666</v>
      </c>
      <c r="DD137" s="1" t="n">
        <v>83.5685</v>
      </c>
      <c r="DE137" s="1" t="n">
        <v>77.11369999999999</v>
      </c>
      <c r="DF137" s="1" t="n">
        <v>70.5654</v>
      </c>
      <c r="DG137" s="1" t="n">
        <v>65.7145</v>
      </c>
      <c r="DH137" s="1" t="n">
        <v>57.5789</v>
      </c>
      <c r="DI137" s="1" t="n">
        <v>58.4968</v>
      </c>
      <c r="DJ137" s="1" t="n">
        <v>52.692</v>
      </c>
      <c r="DK137" s="1" t="n">
        <v>55.3609</v>
      </c>
      <c r="DL137" s="1" t="n">
        <v>50.2012</v>
      </c>
      <c r="DM137" s="1" t="n">
        <v>103.5889</v>
      </c>
      <c r="DN137" s="1" t="n">
        <v>85.4517</v>
      </c>
      <c r="DO137" s="1" t="n">
        <v>78.1112</v>
      </c>
      <c r="DP137" s="1" t="n">
        <v>84.4088</v>
      </c>
      <c r="DQ137" s="1" t="n">
        <v>87.37560000000001</v>
      </c>
      <c r="DR137" s="1" t="n">
        <v>82.1806</v>
      </c>
      <c r="DS137" s="1" t="n">
        <v>73.9883</v>
      </c>
      <c r="DT137" s="1" t="n">
        <v>77.1568</v>
      </c>
      <c r="DU137" s="1" t="n">
        <v>121.2868</v>
      </c>
      <c r="DV137" s="1" t="n">
        <v>140.5754</v>
      </c>
      <c r="DW137" s="1" t="n">
        <v>149.2972</v>
      </c>
      <c r="DX137" s="1" t="n">
        <v>158.6283</v>
      </c>
      <c r="DY137" s="1" t="n">
        <v>840.4441</v>
      </c>
      <c r="DZ137" s="1" t="n">
        <v>554.5025000000001</v>
      </c>
      <c r="EA137" s="1" t="n">
        <v>347.561</v>
      </c>
      <c r="EB137" s="1" t="n">
        <v>471.225</v>
      </c>
      <c r="EC137" s="1" t="n">
        <v>294.4319</v>
      </c>
      <c r="ED137" s="1" t="n">
        <v>266.8698</v>
      </c>
      <c r="EE137" s="1" t="n">
        <v>257.9255</v>
      </c>
      <c r="EF137" s="1" t="n">
        <v>357.2399</v>
      </c>
      <c r="EG137" s="1" t="n">
        <v>2068.3838</v>
      </c>
      <c r="EH137" s="1" t="n">
        <v>1692.4235</v>
      </c>
      <c r="EI137" s="1" t="n">
        <v>1756.711</v>
      </c>
      <c r="EJ137" s="1" t="n">
        <v>894.1147999999999</v>
      </c>
      <c r="EK137" s="1" t="n">
        <v>1754.9064</v>
      </c>
      <c r="EL137" s="1" t="n">
        <v>1351.22</v>
      </c>
      <c r="EM137" s="1" t="n">
        <v>1248.522</v>
      </c>
    </row>
    <row r="138">
      <c r="A138" s="2" t="inlineStr">
        <is>
          <t xml:space="preserve">        其他金融类流动负债</t>
        </is>
      </c>
      <c r="N138" s="1" t="n">
        <v>4793.6259</v>
      </c>
      <c r="O138" s="1" t="n">
        <v>4999.412</v>
      </c>
      <c r="P138" s="1" t="n">
        <v>5742.8844</v>
      </c>
      <c r="Q138" s="1" t="n">
        <v>3739.7542</v>
      </c>
      <c r="R138" s="1" t="n">
        <v>4389.3055</v>
      </c>
      <c r="S138" s="1" t="n">
        <v>592.069</v>
      </c>
      <c r="T138" s="1" t="n">
        <v>2260.5952</v>
      </c>
      <c r="AM138" s="1" t="n">
        <v>4354.51</v>
      </c>
      <c r="AN138" s="1" t="n">
        <v>4654.85</v>
      </c>
      <c r="AO138" s="1" t="n">
        <v>5291.19</v>
      </c>
      <c r="AP138" s="1" t="n">
        <v>5850.1</v>
      </c>
      <c r="AQ138" s="1" t="n">
        <v>6902.38</v>
      </c>
      <c r="AR138" s="1" t="n">
        <v>6145.48</v>
      </c>
      <c r="AS138" s="1" t="n">
        <v>3518.37</v>
      </c>
      <c r="AT138" s="1" t="n"/>
      <c r="DK138" s="1" t="n">
        <v>4354.5121</v>
      </c>
      <c r="DL138" s="1" t="n">
        <v>5255.5595</v>
      </c>
      <c r="DM138" s="1" t="n">
        <v>4793.6259</v>
      </c>
      <c r="DN138" s="1" t="n">
        <v>5103.7449</v>
      </c>
      <c r="DO138" s="1" t="n">
        <v>4654.8533</v>
      </c>
      <c r="DP138" s="1" t="n">
        <v>5187.6629</v>
      </c>
      <c r="DQ138" s="1" t="n">
        <v>4999.412</v>
      </c>
      <c r="DR138" s="1" t="n">
        <v>5021.3952</v>
      </c>
      <c r="DS138" s="1" t="n">
        <v>5291.1898</v>
      </c>
      <c r="DT138" s="1" t="n">
        <v>6988.5225</v>
      </c>
      <c r="DU138" s="1" t="n">
        <v>5742.8844</v>
      </c>
      <c r="DV138" s="1" t="n">
        <v>5827.2771</v>
      </c>
      <c r="DW138" s="1" t="n">
        <v>5850.0993</v>
      </c>
      <c r="DX138" s="1" t="n">
        <v>5962.4451</v>
      </c>
      <c r="DY138" s="1" t="n">
        <v>3739.7542</v>
      </c>
      <c r="DZ138" s="1" t="n">
        <v>3609.8534</v>
      </c>
      <c r="EA138" s="1" t="n">
        <v>6902.3785</v>
      </c>
      <c r="EB138" s="1" t="n">
        <v>6504.0778</v>
      </c>
      <c r="EC138" s="1" t="n">
        <v>4389.3055</v>
      </c>
      <c r="ED138" s="1" t="n">
        <v>4027.7261</v>
      </c>
      <c r="EE138" s="1" t="n">
        <v>6145.4836</v>
      </c>
      <c r="EF138" s="1" t="n">
        <v>3707.9289</v>
      </c>
      <c r="EG138" s="1" t="n">
        <v>592.069</v>
      </c>
      <c r="EH138" s="1" t="n">
        <v>3660.1509</v>
      </c>
      <c r="EI138" s="1" t="n">
        <v>3518.374</v>
      </c>
      <c r="EJ138" s="1" t="n">
        <v>3219.3684</v>
      </c>
      <c r="EK138" s="1" t="n">
        <v>2260.5952</v>
      </c>
      <c r="EL138" s="1" t="n">
        <v>2195.1254</v>
      </c>
      <c r="EM138" s="1" t="n">
        <v>4767.479</v>
      </c>
    </row>
    <row r="139">
      <c r="A139" s="2" t="inlineStr">
        <is>
          <t xml:space="preserve">    流动负债差额(特殊报表科目)</t>
        </is>
      </c>
      <c r="EM139" s="1" t="inlineStr"/>
    </row>
    <row r="140">
      <c r="A140" s="2" t="inlineStr">
        <is>
          <t xml:space="preserve">    流动负债差额(合计平衡项目)</t>
        </is>
      </c>
      <c r="AA140" s="1" t="n">
        <v>0</v>
      </c>
      <c r="BN140" s="1" t="n">
        <v>0</v>
      </c>
      <c r="BO140" s="1" t="n">
        <v>0</v>
      </c>
      <c r="BP140" s="1" t="n">
        <v>0</v>
      </c>
      <c r="EM140" s="1" t="inlineStr"/>
    </row>
    <row r="141">
      <c r="A141" s="3" t="inlineStr">
        <is>
          <t xml:space="preserve">    流动负债合计</t>
        </is>
      </c>
      <c r="B141" s="1" t="n">
        <v>24351.8009</v>
      </c>
      <c r="C141" s="1" t="n">
        <v>29682.4985</v>
      </c>
      <c r="D141" s="1" t="n">
        <v>49129.5144</v>
      </c>
      <c r="E141" s="1" t="n">
        <v>60057.9082</v>
      </c>
      <c r="F141" s="1" t="n">
        <v>68619.406</v>
      </c>
      <c r="G141" s="1" t="n">
        <v>66052.60920000001</v>
      </c>
      <c r="H141" s="1" t="n">
        <v>60045.1549</v>
      </c>
      <c r="I141" s="1" t="n">
        <v>57250.4421</v>
      </c>
      <c r="J141" s="1" t="n">
        <v>62395.2322</v>
      </c>
      <c r="K141" s="1" t="n">
        <v>59483.4416</v>
      </c>
      <c r="L141" s="1" t="n">
        <v>59289.9603</v>
      </c>
      <c r="M141" s="1" t="n">
        <v>52974.0861</v>
      </c>
      <c r="N141" s="1" t="n">
        <v>52696.5483</v>
      </c>
      <c r="O141" s="1" t="n">
        <v>49453.8156</v>
      </c>
      <c r="P141" s="1" t="n">
        <v>56104.9659</v>
      </c>
      <c r="Q141" s="1" t="n">
        <v>57976.0849</v>
      </c>
      <c r="R141" s="1" t="n">
        <v>67424.25930000001</v>
      </c>
      <c r="S141" s="1" t="n">
        <v>71249.09420000001</v>
      </c>
      <c r="T141" s="1" t="n">
        <v>88912.9691</v>
      </c>
      <c r="Z141" s="1">
        <f>Model!AG75-AA141</f>
        <v/>
      </c>
      <c r="AA141" s="1" t="n">
        <v>6613.59</v>
      </c>
      <c r="AB141" s="1" t="n">
        <v>6567.32</v>
      </c>
      <c r="AC141" s="1" t="n">
        <v>39761.85</v>
      </c>
      <c r="AD141" s="1" t="n">
        <v>55993.29</v>
      </c>
      <c r="AE141" s="1" t="n">
        <v>65405.51</v>
      </c>
      <c r="AF141" s="1" t="n">
        <v>71335.69</v>
      </c>
      <c r="AG141" s="1" t="n">
        <v>62342.52</v>
      </c>
      <c r="AH141" s="1" t="n">
        <v>57774.91</v>
      </c>
      <c r="AI141" s="1" t="n">
        <v>57783.14</v>
      </c>
      <c r="AJ141" s="1" t="n">
        <v>56853.34</v>
      </c>
      <c r="AK141" s="1" t="n">
        <v>59161.13</v>
      </c>
      <c r="AL141" s="1" t="n">
        <v>55677.4</v>
      </c>
      <c r="AM141" s="1" t="n">
        <v>53769.96</v>
      </c>
      <c r="AN141" s="1" t="n">
        <v>47365.75</v>
      </c>
      <c r="AO141" s="1" t="n">
        <v>52273.17</v>
      </c>
      <c r="AP141" s="1" t="n">
        <v>56731.89</v>
      </c>
      <c r="AQ141" s="1" t="n">
        <v>63144.05</v>
      </c>
      <c r="AR141" s="1" t="n">
        <v>77597.81</v>
      </c>
      <c r="AS141" s="1" t="n">
        <v>80799.00999999999</v>
      </c>
      <c r="AT141" s="1" t="n"/>
      <c r="BN141" s="1" t="n">
        <v>6629.6827</v>
      </c>
      <c r="BO141" s="1" t="n">
        <v>6613.592</v>
      </c>
      <c r="BP141" s="1" t="n">
        <v>6494.3524</v>
      </c>
      <c r="BQ141" s="1" t="n">
        <v>24351.8009</v>
      </c>
      <c r="BR141" s="1" t="n">
        <v>6652.8953</v>
      </c>
      <c r="BS141" s="1" t="n">
        <v>6567.3221</v>
      </c>
      <c r="BT141" s="1" t="n">
        <v>6495.8462</v>
      </c>
      <c r="BU141" s="1" t="n">
        <v>29682.4985</v>
      </c>
      <c r="BV141" s="1" t="n">
        <v>33717.6768</v>
      </c>
      <c r="BW141" s="1" t="n">
        <v>39761.8476</v>
      </c>
      <c r="BX141" s="1" t="n">
        <v>45162.2257</v>
      </c>
      <c r="BY141" s="1" t="n">
        <v>49129.5144</v>
      </c>
      <c r="BZ141" s="1" t="n">
        <v>51237.2825</v>
      </c>
      <c r="CA141" s="1" t="n">
        <v>55993.2873</v>
      </c>
      <c r="CB141" s="1" t="n">
        <v>60917.9312</v>
      </c>
      <c r="CC141" s="1" t="n">
        <v>60057.9082</v>
      </c>
      <c r="CD141" s="1" t="n">
        <v>61322.0779</v>
      </c>
      <c r="CE141" s="1" t="n">
        <v>65405.5076</v>
      </c>
      <c r="CF141" s="1" t="n">
        <v>69243.7104</v>
      </c>
      <c r="CG141" s="1" t="n">
        <v>68619.406</v>
      </c>
      <c r="CH141" s="1" t="n">
        <v>69924.3103</v>
      </c>
      <c r="CI141" s="1" t="n">
        <v>71335.6903</v>
      </c>
      <c r="CJ141" s="1" t="n">
        <v>72177.4874</v>
      </c>
      <c r="CK141" s="1" t="n">
        <v>66052.60920000001</v>
      </c>
      <c r="CL141" s="1" t="n">
        <v>63414.035</v>
      </c>
      <c r="CM141" s="1" t="n">
        <v>62342.515</v>
      </c>
      <c r="CN141" s="1" t="n">
        <v>60592.2123</v>
      </c>
      <c r="CO141" s="1" t="n">
        <v>60045.1549</v>
      </c>
      <c r="CP141" s="1" t="n">
        <v>59238.2472</v>
      </c>
      <c r="CQ141" s="1" t="n">
        <v>57774.905</v>
      </c>
      <c r="CR141" s="1" t="n">
        <v>58160.2479</v>
      </c>
      <c r="CS141" s="1" t="n">
        <v>57250.4421</v>
      </c>
      <c r="CT141" s="1" t="n">
        <v>57429.6459</v>
      </c>
      <c r="CU141" s="1" t="n">
        <v>57783.1433</v>
      </c>
      <c r="CV141" s="1" t="n">
        <v>59469.3221</v>
      </c>
      <c r="CW141" s="1" t="n">
        <v>62395.2322</v>
      </c>
      <c r="CX141" s="1" t="n">
        <v>58309.5213</v>
      </c>
      <c r="CY141" s="1" t="n">
        <v>56853.3371</v>
      </c>
      <c r="CZ141" s="1" t="n">
        <v>57793.5649</v>
      </c>
      <c r="DA141" s="1" t="n">
        <v>59483.4416</v>
      </c>
      <c r="DB141" s="1" t="n">
        <v>59282.1651</v>
      </c>
      <c r="DC141" s="1" t="n">
        <v>59161.1307</v>
      </c>
      <c r="DD141" s="1" t="n">
        <v>61544.3945</v>
      </c>
      <c r="DE141" s="1" t="n">
        <v>59289.9603</v>
      </c>
      <c r="DF141" s="1" t="n">
        <v>58108.3212</v>
      </c>
      <c r="DG141" s="1" t="n">
        <v>55677.3982</v>
      </c>
      <c r="DH141" s="1" t="n">
        <v>53844.4346</v>
      </c>
      <c r="DI141" s="1" t="n">
        <v>52974.0861</v>
      </c>
      <c r="DJ141" s="1" t="n">
        <v>50870.8767</v>
      </c>
      <c r="DK141" s="1" t="n">
        <v>53769.9596</v>
      </c>
      <c r="DL141" s="1" t="n">
        <v>53644.764</v>
      </c>
      <c r="DM141" s="1" t="n">
        <v>52696.5483</v>
      </c>
      <c r="DN141" s="1" t="n">
        <v>49141.7525</v>
      </c>
      <c r="DO141" s="1" t="n">
        <v>47365.7451</v>
      </c>
      <c r="DP141" s="1" t="n">
        <v>49472.9262</v>
      </c>
      <c r="DQ141" s="1" t="n">
        <v>49453.8156</v>
      </c>
      <c r="DR141" s="1" t="n">
        <v>47617.8024</v>
      </c>
      <c r="DS141" s="1" t="n">
        <v>52273.1705</v>
      </c>
      <c r="DT141" s="1" t="n">
        <v>55000.8028</v>
      </c>
      <c r="DU141" s="1" t="n">
        <v>56104.9659</v>
      </c>
      <c r="DV141" s="1" t="n">
        <v>53946.5111</v>
      </c>
      <c r="DW141" s="1" t="n">
        <v>56731.8911</v>
      </c>
      <c r="DX141" s="1" t="n">
        <v>58724.7909</v>
      </c>
      <c r="DY141" s="1" t="n">
        <v>57976.0849</v>
      </c>
      <c r="DZ141" s="1" t="n">
        <v>57050.5343</v>
      </c>
      <c r="EA141" s="1" t="n">
        <v>63144.0538</v>
      </c>
      <c r="EB141" s="1" t="n">
        <v>66342.636</v>
      </c>
      <c r="EC141" s="1" t="n">
        <v>67424.25930000001</v>
      </c>
      <c r="ED141" s="1" t="n">
        <v>69615.1177</v>
      </c>
      <c r="EE141" s="1" t="n">
        <v>77597.8146</v>
      </c>
      <c r="EF141" s="1" t="n">
        <v>77387.9042</v>
      </c>
      <c r="EG141" s="1" t="n">
        <v>71249.09420000001</v>
      </c>
      <c r="EH141" s="1" t="n">
        <v>77341.1859</v>
      </c>
      <c r="EI141" s="1" t="n">
        <v>80799.0113</v>
      </c>
      <c r="EJ141" s="1" t="n">
        <v>86184.51850000001</v>
      </c>
      <c r="EK141" s="1" t="n">
        <v>88912.9691</v>
      </c>
      <c r="EL141" s="1" t="n">
        <v>93026.43210000001</v>
      </c>
      <c r="EM141" s="1" t="n">
        <v>99545.692</v>
      </c>
    </row>
    <row r="142">
      <c r="A142" s="3" t="inlineStr">
        <is>
          <t>非流动负债：</t>
        </is>
      </c>
      <c r="EM142" s="1" t="inlineStr"/>
    </row>
    <row r="143">
      <c r="A143" s="2" t="inlineStr">
        <is>
          <t xml:space="preserve">    长期借款</t>
        </is>
      </c>
      <c r="B143" s="1" t="n">
        <v>19.32</v>
      </c>
      <c r="C143" s="1" t="n">
        <v>5.82</v>
      </c>
      <c r="D143" s="1" t="n">
        <v>2.32</v>
      </c>
      <c r="E143" s="1" t="n">
        <v>615</v>
      </c>
      <c r="F143" s="1" t="n">
        <v>275.8084</v>
      </c>
      <c r="G143" s="1" t="n">
        <v>165.8084</v>
      </c>
      <c r="H143" s="1" t="n">
        <v>125.8276</v>
      </c>
      <c r="I143" s="1" t="n">
        <v>39.4</v>
      </c>
      <c r="J143" s="1" t="n">
        <v>545.62</v>
      </c>
      <c r="K143" s="1" t="n">
        <v>718.8200000000001</v>
      </c>
      <c r="L143" s="1" t="n">
        <v>536.9400000000001</v>
      </c>
      <c r="M143" s="1" t="n">
        <v>42.04</v>
      </c>
      <c r="N143" s="1" t="n">
        <v>462.8648</v>
      </c>
      <c r="O143" s="1" t="n">
        <v>627.0193</v>
      </c>
      <c r="P143" s="1" t="n">
        <v>719.3505</v>
      </c>
      <c r="Q143" s="1" t="n">
        <v>1565.092</v>
      </c>
      <c r="R143" s="1" t="n">
        <v>951.1134</v>
      </c>
      <c r="S143" s="1" t="n">
        <v>1383.4264</v>
      </c>
      <c r="T143" s="1" t="n">
        <v>2167.1769</v>
      </c>
      <c r="AC143" s="1" t="n">
        <v>5.82</v>
      </c>
      <c r="AD143" s="1" t="n">
        <v>232.32</v>
      </c>
      <c r="AE143" s="1" t="n">
        <v>602.8099999999999</v>
      </c>
      <c r="AF143" s="1" t="n">
        <v>325.81</v>
      </c>
      <c r="AG143" s="1" t="n">
        <v>135.81</v>
      </c>
      <c r="AH143" s="1" t="n">
        <v>75.63</v>
      </c>
      <c r="AI143" s="1" t="n">
        <v>56.2</v>
      </c>
      <c r="AJ143" s="1" t="n">
        <v>245.22</v>
      </c>
      <c r="AK143" s="1" t="n">
        <v>726.66</v>
      </c>
      <c r="AL143" s="1" t="n">
        <v>36.94</v>
      </c>
      <c r="AM143" s="1" t="n">
        <v>636.5700000000001</v>
      </c>
      <c r="AN143" s="1" t="n">
        <v>453.22</v>
      </c>
      <c r="AO143" s="1" t="n">
        <v>622.72</v>
      </c>
      <c r="AP143" s="1" t="n">
        <v>705.77</v>
      </c>
      <c r="AQ143" s="1" t="n">
        <v>1573.71</v>
      </c>
      <c r="AR143" s="1" t="n">
        <v>992.53</v>
      </c>
      <c r="AS143" s="1" t="n">
        <v>2071.04</v>
      </c>
      <c r="AT143" s="1" t="n"/>
      <c r="BQ143" s="1" t="n">
        <v>19.32</v>
      </c>
      <c r="BU143" s="1" t="n">
        <v>5.82</v>
      </c>
      <c r="BV143" s="1" t="n">
        <v>5.82</v>
      </c>
      <c r="BW143" s="1" t="n">
        <v>5.82</v>
      </c>
      <c r="BX143" s="1" t="n">
        <v>5.82</v>
      </c>
      <c r="BY143" s="1" t="n">
        <v>2.32</v>
      </c>
      <c r="BZ143" s="1" t="n">
        <v>235.1209</v>
      </c>
      <c r="CA143" s="1" t="n">
        <v>232.32</v>
      </c>
      <c r="CB143" s="1" t="n">
        <v>182.32</v>
      </c>
      <c r="CC143" s="1" t="n">
        <v>615</v>
      </c>
      <c r="CD143" s="1" t="n">
        <v>591</v>
      </c>
      <c r="CE143" s="1" t="n">
        <v>602.8084</v>
      </c>
      <c r="CF143" s="1" t="n">
        <v>286.8084</v>
      </c>
      <c r="CG143" s="1" t="n">
        <v>275.8084</v>
      </c>
      <c r="CH143" s="1" t="n">
        <v>275.8084</v>
      </c>
      <c r="CI143" s="1" t="n">
        <v>325.8084</v>
      </c>
      <c r="CJ143" s="1" t="n">
        <v>275.8084</v>
      </c>
      <c r="CK143" s="1" t="n">
        <v>165.8084</v>
      </c>
      <c r="CL143" s="1" t="n">
        <v>135.8084</v>
      </c>
      <c r="CM143" s="1" t="n">
        <v>135.8084</v>
      </c>
      <c r="CN143" s="1" t="n">
        <v>131.7084</v>
      </c>
      <c r="CO143" s="1" t="n">
        <v>125.8276</v>
      </c>
      <c r="CP143" s="1" t="n">
        <v>125.8276</v>
      </c>
      <c r="CQ143" s="1" t="n">
        <v>75.6276</v>
      </c>
      <c r="CR143" s="1" t="n">
        <v>55.6276</v>
      </c>
      <c r="CS143" s="1" t="n">
        <v>39.4</v>
      </c>
      <c r="CT143" s="1" t="n">
        <v>56.5</v>
      </c>
      <c r="CU143" s="1" t="n">
        <v>56.2</v>
      </c>
      <c r="CV143" s="1" t="n">
        <v>215.01</v>
      </c>
      <c r="CW143" s="1" t="n">
        <v>545.62</v>
      </c>
      <c r="CX143" s="1" t="n">
        <v>245.62</v>
      </c>
      <c r="CY143" s="1" t="n">
        <v>245.22</v>
      </c>
      <c r="CZ143" s="1" t="n">
        <v>245.22</v>
      </c>
      <c r="DA143" s="1" t="n">
        <v>718.8200000000001</v>
      </c>
      <c r="DB143" s="1" t="n">
        <v>743.76</v>
      </c>
      <c r="DC143" s="1" t="n">
        <v>726.66</v>
      </c>
      <c r="DD143" s="1" t="n">
        <v>576.54</v>
      </c>
      <c r="DE143" s="1" t="n">
        <v>536.9400000000001</v>
      </c>
      <c r="DF143" s="1" t="n">
        <v>536.9400000000001</v>
      </c>
      <c r="DG143" s="1" t="n">
        <v>36.94</v>
      </c>
      <c r="DH143" s="1" t="n">
        <v>36.94</v>
      </c>
      <c r="DI143" s="1" t="n">
        <v>42.04</v>
      </c>
      <c r="DJ143" s="1" t="n">
        <v>206.82</v>
      </c>
      <c r="DK143" s="1" t="n">
        <v>636.5682</v>
      </c>
      <c r="DL143" s="1" t="n">
        <v>653.624</v>
      </c>
      <c r="DM143" s="1" t="n">
        <v>462.8648</v>
      </c>
      <c r="DN143" s="1" t="n">
        <v>444.2652</v>
      </c>
      <c r="DO143" s="1" t="n">
        <v>453.2227</v>
      </c>
      <c r="DP143" s="1" t="n">
        <v>455.1201</v>
      </c>
      <c r="DQ143" s="1" t="n">
        <v>627.0193</v>
      </c>
      <c r="DR143" s="1" t="n">
        <v>623.0562</v>
      </c>
      <c r="DS143" s="1" t="n">
        <v>622.7179</v>
      </c>
      <c r="DT143" s="1" t="n">
        <v>596.1503</v>
      </c>
      <c r="DU143" s="1" t="n">
        <v>719.3505</v>
      </c>
      <c r="DV143" s="1" t="n">
        <v>712.1532</v>
      </c>
      <c r="DW143" s="1" t="n">
        <v>705.771</v>
      </c>
      <c r="DX143" s="1" t="n">
        <v>1351.2223</v>
      </c>
      <c r="DY143" s="1" t="n">
        <v>1565.092</v>
      </c>
      <c r="DZ143" s="1" t="n">
        <v>1553.9618</v>
      </c>
      <c r="EA143" s="1" t="n">
        <v>1573.7096</v>
      </c>
      <c r="EB143" s="1" t="n">
        <v>1720.2587</v>
      </c>
      <c r="EC143" s="1" t="n">
        <v>951.1134</v>
      </c>
      <c r="ED143" s="1" t="n">
        <v>965.2769</v>
      </c>
      <c r="EE143" s="1" t="n">
        <v>992.5289</v>
      </c>
      <c r="EF143" s="1" t="n">
        <v>1375.611</v>
      </c>
      <c r="EG143" s="1" t="n">
        <v>1383.4264</v>
      </c>
      <c r="EH143" s="1" t="n">
        <v>1682.2089</v>
      </c>
      <c r="EI143" s="1" t="n">
        <v>2071.036</v>
      </c>
      <c r="EJ143" s="1" t="n">
        <v>2787.0639</v>
      </c>
      <c r="EK143" s="1" t="n">
        <v>2167.1769</v>
      </c>
      <c r="EL143" s="1" t="n">
        <v>3491.5594</v>
      </c>
      <c r="EM143" s="1" t="n">
        <v>3434.876</v>
      </c>
    </row>
    <row r="144">
      <c r="A144" s="2" t="inlineStr">
        <is>
          <t xml:space="preserve">    应付债券</t>
        </is>
      </c>
      <c r="AD144" s="1" t="n">
        <v>0</v>
      </c>
      <c r="CA144" s="1" t="n">
        <v>0</v>
      </c>
      <c r="CV144" s="1" t="n">
        <v>3161.6033</v>
      </c>
      <c r="ED144" s="1" t="n">
        <v>0</v>
      </c>
      <c r="EH144" s="1" t="n">
        <v>0</v>
      </c>
      <c r="EM144" s="1" t="inlineStr"/>
    </row>
    <row r="145">
      <c r="A145" s="2" t="inlineStr">
        <is>
          <t xml:space="preserve">    租赁负债</t>
        </is>
      </c>
      <c r="O145" s="1" t="n">
        <v>156.6646</v>
      </c>
      <c r="P145" s="1" t="n">
        <v>27.5319</v>
      </c>
      <c r="Q145" s="1" t="n">
        <v>126.9326</v>
      </c>
      <c r="R145" s="1" t="n">
        <v>184.8432</v>
      </c>
      <c r="S145" s="1" t="n">
        <v>229.9886</v>
      </c>
      <c r="T145" s="1" t="n">
        <v>415.9589</v>
      </c>
      <c r="AN145" s="1" t="n">
        <v>35.73</v>
      </c>
      <c r="AO145" s="1" t="n">
        <v>108.07</v>
      </c>
      <c r="AP145" s="1" t="n">
        <v>28.25</v>
      </c>
      <c r="AQ145" s="1" t="n">
        <v>292.22</v>
      </c>
      <c r="AR145" s="1" t="n">
        <v>191.69</v>
      </c>
      <c r="AS145" s="1" t="n">
        <v>432.67</v>
      </c>
      <c r="AT145" s="1" t="n"/>
      <c r="DN145" s="1" t="n">
        <v>47.0095</v>
      </c>
      <c r="DO145" s="1" t="n">
        <v>35.7314</v>
      </c>
      <c r="DP145" s="1" t="n">
        <v>53.3755</v>
      </c>
      <c r="DQ145" s="1" t="n">
        <v>156.6646</v>
      </c>
      <c r="DR145" s="1" t="n">
        <v>155.5359</v>
      </c>
      <c r="DS145" s="1" t="n">
        <v>108.0727</v>
      </c>
      <c r="DT145" s="1" t="n">
        <v>116.0129</v>
      </c>
      <c r="DU145" s="1" t="n">
        <v>27.5319</v>
      </c>
      <c r="DV145" s="1" t="n">
        <v>32.1194</v>
      </c>
      <c r="DW145" s="1" t="n">
        <v>28.2538</v>
      </c>
      <c r="DX145" s="1" t="n">
        <v>28.0948</v>
      </c>
      <c r="DY145" s="1" t="n">
        <v>126.9326</v>
      </c>
      <c r="DZ145" s="1" t="n">
        <v>131.316</v>
      </c>
      <c r="EA145" s="1" t="n">
        <v>292.2226</v>
      </c>
      <c r="EB145" s="1" t="n">
        <v>295.0513</v>
      </c>
      <c r="EC145" s="1" t="n">
        <v>184.8432</v>
      </c>
      <c r="ED145" s="1" t="n">
        <v>186.6165</v>
      </c>
      <c r="EE145" s="1" t="n">
        <v>191.6936</v>
      </c>
      <c r="EF145" s="1" t="n">
        <v>192.7789</v>
      </c>
      <c r="EG145" s="1" t="n">
        <v>229.9886</v>
      </c>
      <c r="EH145" s="1" t="n">
        <v>231.8326</v>
      </c>
      <c r="EI145" s="1" t="n">
        <v>432.671</v>
      </c>
      <c r="EJ145" s="1" t="n">
        <v>422.417</v>
      </c>
      <c r="EK145" s="1" t="n">
        <v>415.9589</v>
      </c>
      <c r="EL145" s="1" t="n">
        <v>407.01</v>
      </c>
      <c r="EM145" s="1" t="n">
        <v>408.213</v>
      </c>
    </row>
    <row r="146">
      <c r="A146" s="2" t="inlineStr">
        <is>
          <t xml:space="preserve">        长期应付款(合计)</t>
        </is>
      </c>
      <c r="B146" s="1" t="n">
        <v>0.6853</v>
      </c>
      <c r="C146" s="1" t="n">
        <v>1848.6853</v>
      </c>
      <c r="D146" s="1" t="n">
        <v>3626.5926</v>
      </c>
      <c r="E146" s="1" t="n">
        <v>1693.5926</v>
      </c>
      <c r="F146" s="1" t="n">
        <v>0.6853</v>
      </c>
      <c r="G146" s="1" t="n">
        <v>23.4297</v>
      </c>
      <c r="H146" s="1" t="n">
        <v>0.6853</v>
      </c>
      <c r="I146" s="1" t="n">
        <v>58.7279</v>
      </c>
      <c r="J146" s="1" t="n">
        <v>58.7279</v>
      </c>
      <c r="K146" s="1" t="n">
        <v>58.0626</v>
      </c>
      <c r="L146" s="1" t="n">
        <v>74.6006</v>
      </c>
      <c r="M146" s="1" t="n">
        <v>58.0626</v>
      </c>
      <c r="N146" s="1" t="n">
        <v>26.3405</v>
      </c>
      <c r="O146" s="1" t="n">
        <v>9.6004</v>
      </c>
      <c r="P146" s="1" t="n">
        <v>5.6609</v>
      </c>
      <c r="Q146" s="1" t="n">
        <v>0.24</v>
      </c>
      <c r="R146" s="1" t="n">
        <v>0.24</v>
      </c>
      <c r="S146" s="1" t="n">
        <v>0.24</v>
      </c>
      <c r="T146" s="1" t="n">
        <v>0.24</v>
      </c>
      <c r="AB146" s="1" t="n">
        <v>0.6899999999999999</v>
      </c>
      <c r="AC146" s="1" t="n">
        <v>4088.59</v>
      </c>
      <c r="AD146" s="1" t="n">
        <v>3066.62</v>
      </c>
      <c r="AE146" s="1" t="n">
        <v>0.6899999999999999</v>
      </c>
      <c r="AF146" s="1" t="n">
        <v>0.6899999999999999</v>
      </c>
      <c r="AG146" s="1" t="n">
        <v>29.88</v>
      </c>
      <c r="AH146" s="1" t="n">
        <v>0.6899999999999999</v>
      </c>
      <c r="AI146" s="1" t="n">
        <v>58.75</v>
      </c>
      <c r="AJ146" s="1" t="n">
        <v>68.08</v>
      </c>
      <c r="AK146" s="1" t="n">
        <v>86.38</v>
      </c>
      <c r="AL146" s="1" t="n">
        <v>58.06</v>
      </c>
      <c r="AM146" s="1" t="n">
        <v>58.06</v>
      </c>
      <c r="AN146" s="1" t="n">
        <v>26.45</v>
      </c>
      <c r="AO146" s="1" t="n">
        <v>9.470000000000001</v>
      </c>
      <c r="AP146" s="1" t="n">
        <v>5.69</v>
      </c>
      <c r="AQ146" s="1" t="n">
        <v>0.24</v>
      </c>
      <c r="AR146" s="1" t="n">
        <v>0.24</v>
      </c>
      <c r="AS146" s="1" t="n">
        <v>0.24</v>
      </c>
      <c r="AT146" s="1" t="n"/>
      <c r="BQ146" s="1" t="n">
        <v>0.6853</v>
      </c>
      <c r="BR146" s="1" t="n">
        <v>0.7506</v>
      </c>
      <c r="BS146" s="1" t="n">
        <v>0.6853</v>
      </c>
      <c r="BT146" s="1" t="n">
        <v>1.0453</v>
      </c>
      <c r="BU146" s="1" t="n">
        <v>1848.6853</v>
      </c>
      <c r="BV146" s="1" t="n">
        <v>4088.5926</v>
      </c>
      <c r="BW146" s="1" t="n">
        <v>4088.5926</v>
      </c>
      <c r="BX146" s="1" t="n">
        <v>4088.5926</v>
      </c>
      <c r="BY146" s="1" t="n">
        <v>3626.5926</v>
      </c>
      <c r="BZ146" s="1" t="n">
        <v>3626.5926</v>
      </c>
      <c r="CA146" s="1" t="n">
        <v>3066.6158</v>
      </c>
      <c r="CB146" s="1" t="n">
        <v>2588.5926</v>
      </c>
      <c r="CC146" s="1" t="n">
        <v>1693.5926</v>
      </c>
      <c r="CD146" s="1" t="n">
        <v>1193.5926</v>
      </c>
      <c r="CE146" s="1" t="n">
        <v>0.6853</v>
      </c>
      <c r="CF146" s="1" t="n">
        <v>0.6853</v>
      </c>
      <c r="CG146" s="1" t="n">
        <v>0.6853</v>
      </c>
      <c r="CH146" s="1" t="n">
        <v>0.6853</v>
      </c>
      <c r="CI146" s="1" t="n">
        <v>0.6853</v>
      </c>
      <c r="CJ146" s="1" t="n">
        <v>13.6774</v>
      </c>
      <c r="CK146" s="1" t="n">
        <v>23.4297</v>
      </c>
      <c r="CL146" s="1" t="n">
        <v>24.9297</v>
      </c>
      <c r="CM146" s="1" t="n">
        <v>29.8797</v>
      </c>
      <c r="CN146" s="1" t="n">
        <v>29.8797</v>
      </c>
      <c r="CO146" s="1" t="n">
        <v>0.6853</v>
      </c>
      <c r="CP146" s="1" t="n">
        <v>0.6853</v>
      </c>
      <c r="CQ146" s="1" t="n">
        <v>0.6853</v>
      </c>
      <c r="CR146" s="1" t="n">
        <v>0.6853</v>
      </c>
      <c r="CS146" s="1" t="n">
        <v>58.7279</v>
      </c>
      <c r="CT146" s="1" t="n">
        <v>58.7279</v>
      </c>
      <c r="CU146" s="1" t="n">
        <v>58.7479</v>
      </c>
      <c r="CV146" s="1" t="n">
        <v>58.7479</v>
      </c>
      <c r="CW146" s="1" t="n">
        <v>58.7279</v>
      </c>
      <c r="CX146" s="1" t="n">
        <v>59.8274</v>
      </c>
      <c r="CY146" s="1" t="n">
        <v>68.08069999999999</v>
      </c>
      <c r="CZ146" s="1" t="n">
        <v>72.9965</v>
      </c>
      <c r="DA146" s="1" t="n">
        <v>58.0626</v>
      </c>
      <c r="DB146" s="1" t="n">
        <v>96.0181</v>
      </c>
      <c r="DC146" s="1" t="n">
        <v>86.38120000000001</v>
      </c>
      <c r="DD146" s="1" t="n">
        <v>84.6404</v>
      </c>
      <c r="DE146" s="1" t="n">
        <v>74.6006</v>
      </c>
      <c r="DF146" s="1" t="n">
        <v>72.8503</v>
      </c>
      <c r="DG146" s="1" t="n">
        <v>58.0626</v>
      </c>
      <c r="DH146" s="1" t="n">
        <v>55.6207</v>
      </c>
      <c r="DI146" s="1" t="n">
        <v>58.0626</v>
      </c>
      <c r="DJ146" s="1" t="n">
        <v>58.0626</v>
      </c>
      <c r="DK146" s="1" t="n">
        <v>58.0626</v>
      </c>
      <c r="DL146" s="1" t="n">
        <v>58.0626</v>
      </c>
      <c r="DM146" s="1" t="n">
        <v>26.3405</v>
      </c>
      <c r="DN146" s="1" t="n">
        <v>26.6726</v>
      </c>
      <c r="DO146" s="1" t="n">
        <v>26.4455</v>
      </c>
      <c r="DP146" s="1" t="n">
        <v>29.3874</v>
      </c>
      <c r="DQ146" s="1" t="n">
        <v>9.6004</v>
      </c>
      <c r="DR146" s="1" t="n">
        <v>167.8704</v>
      </c>
      <c r="DS146" s="1" t="n">
        <v>9.4739</v>
      </c>
      <c r="DT146" s="1" t="n">
        <v>5.6609</v>
      </c>
      <c r="DU146" s="1" t="n">
        <v>5.6609</v>
      </c>
      <c r="DV146" s="1" t="n">
        <v>5.6609</v>
      </c>
      <c r="DW146" s="1" t="n">
        <v>5.6872</v>
      </c>
      <c r="DX146" s="1" t="n">
        <v>5.6872</v>
      </c>
      <c r="DY146" s="1" t="n">
        <v>0.24</v>
      </c>
      <c r="DZ146" s="1" t="n">
        <v>0.24</v>
      </c>
      <c r="EA146" s="1" t="n">
        <v>0.24</v>
      </c>
      <c r="EB146" s="1" t="n">
        <v>0.24</v>
      </c>
      <c r="EC146" s="1" t="n">
        <v>0.24</v>
      </c>
      <c r="ED146" s="1" t="n">
        <v>0.24</v>
      </c>
      <c r="EE146" s="1" t="n">
        <v>0.24</v>
      </c>
      <c r="EF146" s="1" t="n">
        <v>0.24</v>
      </c>
      <c r="EG146" s="1" t="n">
        <v>0.24</v>
      </c>
      <c r="EH146" s="1" t="n">
        <v>0.24</v>
      </c>
      <c r="EI146" s="1" t="n">
        <v>0.24</v>
      </c>
      <c r="EJ146" s="1" t="n">
        <v>0.24</v>
      </c>
      <c r="EK146" s="1" t="n">
        <v>0.24</v>
      </c>
      <c r="EL146" s="1" t="n">
        <v>40.48</v>
      </c>
      <c r="EM146" s="1" t="n">
        <v>0.24</v>
      </c>
    </row>
    <row r="147">
      <c r="A147" s="2" t="inlineStr">
        <is>
          <t xml:space="preserve">                    长期应付款</t>
        </is>
      </c>
      <c r="B147" s="1" t="n">
        <v>0.6853</v>
      </c>
      <c r="C147" s="1" t="n">
        <v>1848.6853</v>
      </c>
      <c r="D147" s="1" t="n">
        <v>3626.5926</v>
      </c>
      <c r="E147" s="1" t="n">
        <v>1588.5926</v>
      </c>
      <c r="F147" s="1" t="n">
        <v>0.6853</v>
      </c>
      <c r="G147" s="1" t="n">
        <v>0.6853</v>
      </c>
      <c r="H147" s="1" t="n">
        <v>0.6853</v>
      </c>
      <c r="I147" s="1" t="n">
        <v>0.6853</v>
      </c>
      <c r="J147" s="1" t="n">
        <v>0.6853</v>
      </c>
      <c r="L147" s="1" t="n">
        <v>16.538</v>
      </c>
      <c r="T147" s="1" t="n">
        <v>0</v>
      </c>
      <c r="AA147" s="1" t="n">
        <v>0.6899999999999999</v>
      </c>
      <c r="AB147" s="1" t="n">
        <v>0.6899999999999999</v>
      </c>
      <c r="AC147" s="1" t="n">
        <v>4088.59</v>
      </c>
      <c r="AD147" s="1" t="n">
        <v>3066.62</v>
      </c>
      <c r="AE147" s="1" t="n">
        <v>0.6899999999999999</v>
      </c>
      <c r="AF147" s="1" t="n">
        <v>0.6899999999999999</v>
      </c>
      <c r="AG147" s="1" t="n">
        <v>0.6899999999999999</v>
      </c>
      <c r="AH147" s="1" t="n">
        <v>0.6899999999999999</v>
      </c>
      <c r="AI147" s="1" t="n">
        <v>0.6899999999999999</v>
      </c>
      <c r="AJ147" s="1" t="n">
        <v>0.6899999999999999</v>
      </c>
      <c r="AK147" s="1" t="n">
        <v>28.28</v>
      </c>
      <c r="AM147" s="1" t="n">
        <v>58.06</v>
      </c>
      <c r="AO147" s="1" t="n">
        <v>0</v>
      </c>
      <c r="AQ147" s="1" t="n">
        <v>0</v>
      </c>
      <c r="AS147" s="1" t="n">
        <v>0</v>
      </c>
      <c r="AT147" s="1" t="n"/>
      <c r="BN147" s="1" t="n">
        <v>0.6853</v>
      </c>
      <c r="BO147" s="1" t="n">
        <v>0.6853</v>
      </c>
      <c r="BP147" s="1" t="n">
        <v>0.6853</v>
      </c>
      <c r="BQ147" s="1" t="n">
        <v>0.6853</v>
      </c>
      <c r="BR147" s="1" t="n">
        <v>0.6853</v>
      </c>
      <c r="BS147" s="1" t="n">
        <v>0.6853</v>
      </c>
      <c r="BT147" s="1" t="n">
        <v>0.6853</v>
      </c>
      <c r="BU147" s="1" t="n">
        <v>1848.6853</v>
      </c>
      <c r="BV147" s="1" t="n">
        <v>4088.5926</v>
      </c>
      <c r="BW147" s="1" t="n">
        <v>4088.5926</v>
      </c>
      <c r="BX147" s="1" t="n">
        <v>4088.5926</v>
      </c>
      <c r="BY147" s="1" t="n">
        <v>3626.5926</v>
      </c>
      <c r="BZ147" s="1" t="n">
        <v>3626.5926</v>
      </c>
      <c r="CA147" s="1" t="n">
        <v>3066.6158</v>
      </c>
      <c r="CB147" s="1" t="n">
        <v>2588.5926</v>
      </c>
      <c r="CC147" s="1" t="n">
        <v>1588.5926</v>
      </c>
      <c r="CD147" s="1" t="n">
        <v>1088.5926</v>
      </c>
      <c r="CE147" s="1" t="n">
        <v>0.6853</v>
      </c>
      <c r="CF147" s="1" t="n">
        <v>0.6853</v>
      </c>
      <c r="CG147" s="1" t="n">
        <v>0.6853</v>
      </c>
      <c r="CH147" s="1" t="n">
        <v>0.6853</v>
      </c>
      <c r="CI147" s="1" t="n">
        <v>0.6853</v>
      </c>
      <c r="CJ147" s="1" t="n">
        <v>0.6853</v>
      </c>
      <c r="CK147" s="1" t="n">
        <v>0.6853</v>
      </c>
      <c r="CL147" s="1" t="n">
        <v>0.6853</v>
      </c>
      <c r="CM147" s="1" t="n">
        <v>0.6853</v>
      </c>
      <c r="CN147" s="1" t="n">
        <v>0.6853</v>
      </c>
      <c r="CO147" s="1" t="n">
        <v>0.6853</v>
      </c>
      <c r="CP147" s="1" t="n">
        <v>0.6853</v>
      </c>
      <c r="CQ147" s="1" t="n">
        <v>0.6853</v>
      </c>
      <c r="CR147" s="1" t="n">
        <v>0.6853</v>
      </c>
      <c r="CS147" s="1" t="n">
        <v>0.6853</v>
      </c>
      <c r="CT147" s="1" t="n">
        <v>0.6853</v>
      </c>
      <c r="CU147" s="1" t="n">
        <v>0.6853</v>
      </c>
      <c r="CV147" s="1" t="n">
        <v>0.6853</v>
      </c>
      <c r="CW147" s="1" t="n">
        <v>0.6853</v>
      </c>
      <c r="CX147" s="1" t="n">
        <v>0.6853</v>
      </c>
      <c r="CY147" s="1" t="n">
        <v>0.6853</v>
      </c>
      <c r="CZ147" s="1" t="n">
        <v>0.6853</v>
      </c>
      <c r="DB147" s="1" t="n">
        <v>33.5574</v>
      </c>
      <c r="DC147" s="1" t="n">
        <v>28.2786</v>
      </c>
      <c r="DD147" s="1" t="n">
        <v>26.5378</v>
      </c>
      <c r="DE147" s="1" t="n">
        <v>16.538</v>
      </c>
      <c r="DF147" s="1" t="n">
        <v>14.6077</v>
      </c>
      <c r="DK147" s="1" t="n">
        <v>58.0626</v>
      </c>
      <c r="DS147" s="1" t="n">
        <v>0</v>
      </c>
      <c r="EA147" s="1" t="n">
        <v>0</v>
      </c>
      <c r="EI147" s="1" t="n">
        <v>0</v>
      </c>
      <c r="EK147" s="1" t="n">
        <v>0</v>
      </c>
      <c r="EM147" s="1" t="n">
        <v>0</v>
      </c>
    </row>
    <row r="148">
      <c r="A148" s="2" t="inlineStr">
        <is>
          <t xml:space="preserve">                    专项应付款</t>
        </is>
      </c>
      <c r="E148" s="1" t="n">
        <v>105</v>
      </c>
      <c r="G148" s="1" t="n">
        <v>22.7444</v>
      </c>
      <c r="I148" s="1" t="n">
        <v>58.0426</v>
      </c>
      <c r="J148" s="1" t="n">
        <v>58.0426</v>
      </c>
      <c r="K148" s="1" t="n">
        <v>58.0626</v>
      </c>
      <c r="L148" s="1" t="n">
        <v>58.0626</v>
      </c>
      <c r="M148" s="1" t="n">
        <v>58.0626</v>
      </c>
      <c r="N148" s="1" t="n">
        <v>26.3405</v>
      </c>
      <c r="O148" s="1" t="n">
        <v>9.6004</v>
      </c>
      <c r="P148" s="1" t="n">
        <v>5.6609</v>
      </c>
      <c r="Q148" s="1" t="n">
        <v>0.24</v>
      </c>
      <c r="R148" s="1" t="n">
        <v>0.24</v>
      </c>
      <c r="S148" s="1" t="n">
        <v>0.24</v>
      </c>
      <c r="T148" s="1" t="n">
        <v>0.24</v>
      </c>
      <c r="AA148" s="1" t="n">
        <v>100.88</v>
      </c>
      <c r="AG148" s="1" t="n">
        <v>29.19</v>
      </c>
      <c r="AI148" s="1" t="n">
        <v>58.06</v>
      </c>
      <c r="AJ148" s="1" t="n">
        <v>67.40000000000001</v>
      </c>
      <c r="AK148" s="1" t="n">
        <v>58.1</v>
      </c>
      <c r="AL148" s="1" t="n">
        <v>58.06</v>
      </c>
      <c r="AN148" s="1" t="n">
        <v>26.45</v>
      </c>
      <c r="AO148" s="1" t="n">
        <v>9.470000000000001</v>
      </c>
      <c r="AP148" s="1" t="n">
        <v>5.69</v>
      </c>
      <c r="AQ148" s="1" t="n">
        <v>0.24</v>
      </c>
      <c r="AR148" s="1" t="n">
        <v>0.24</v>
      </c>
      <c r="AS148" s="1" t="n">
        <v>0.24</v>
      </c>
      <c r="AT148" s="1" t="n"/>
      <c r="BN148" s="1" t="n">
        <v>119.7407</v>
      </c>
      <c r="BO148" s="1" t="n">
        <v>100.8819</v>
      </c>
      <c r="BP148" s="1" t="n">
        <v>101.3358</v>
      </c>
      <c r="BR148" s="1" t="n">
        <v>0.0654</v>
      </c>
      <c r="BT148" s="1" t="n">
        <v>0.36</v>
      </c>
      <c r="CC148" s="1" t="n">
        <v>105</v>
      </c>
      <c r="CD148" s="1" t="n">
        <v>105</v>
      </c>
      <c r="CJ148" s="1" t="n">
        <v>12.9922</v>
      </c>
      <c r="CK148" s="1" t="n">
        <v>22.7444</v>
      </c>
      <c r="CL148" s="1" t="n">
        <v>24.2444</v>
      </c>
      <c r="CM148" s="1" t="n">
        <v>29.1944</v>
      </c>
      <c r="CN148" s="1" t="n">
        <v>29.1944</v>
      </c>
      <c r="CS148" s="1" t="n">
        <v>58.0426</v>
      </c>
      <c r="CT148" s="1" t="n">
        <v>58.0426</v>
      </c>
      <c r="CU148" s="1" t="n">
        <v>58.0626</v>
      </c>
      <c r="CV148" s="1" t="n">
        <v>58.0626</v>
      </c>
      <c r="CW148" s="1" t="n">
        <v>58.0426</v>
      </c>
      <c r="CX148" s="1" t="n">
        <v>59.1421</v>
      </c>
      <c r="CY148" s="1" t="n">
        <v>67.3955</v>
      </c>
      <c r="CZ148" s="1" t="n">
        <v>72.3113</v>
      </c>
      <c r="DA148" s="1" t="n">
        <v>58.0626</v>
      </c>
      <c r="DB148" s="1" t="n">
        <v>62.4608</v>
      </c>
      <c r="DC148" s="1" t="n">
        <v>58.1026</v>
      </c>
      <c r="DD148" s="1" t="n">
        <v>58.1026</v>
      </c>
      <c r="DE148" s="1" t="n">
        <v>58.0626</v>
      </c>
      <c r="DF148" s="1" t="n">
        <v>58.2426</v>
      </c>
      <c r="DG148" s="1" t="n">
        <v>58.0626</v>
      </c>
      <c r="DH148" s="1" t="n">
        <v>55.6207</v>
      </c>
      <c r="DI148" s="1" t="n">
        <v>58.0626</v>
      </c>
      <c r="DJ148" s="1" t="n">
        <v>58.0626</v>
      </c>
      <c r="DM148" s="1" t="n">
        <v>26.3405</v>
      </c>
      <c r="DO148" s="1" t="n">
        <v>26.4455</v>
      </c>
      <c r="DQ148" s="1" t="n">
        <v>9.6004</v>
      </c>
      <c r="DS148" s="1" t="n">
        <v>9.4739</v>
      </c>
      <c r="DU148" s="1" t="n">
        <v>5.6609</v>
      </c>
      <c r="DW148" s="1" t="n">
        <v>5.6872</v>
      </c>
      <c r="DY148" s="1" t="n">
        <v>0.24</v>
      </c>
      <c r="EA148" s="1" t="n">
        <v>0.24</v>
      </c>
      <c r="EC148" s="1" t="n">
        <v>0.24</v>
      </c>
      <c r="EE148" s="1" t="n">
        <v>0.24</v>
      </c>
      <c r="EG148" s="1" t="n">
        <v>0.24</v>
      </c>
      <c r="EI148" s="1" t="n">
        <v>0.24</v>
      </c>
      <c r="EK148" s="1" t="n">
        <v>0.24</v>
      </c>
      <c r="EM148" s="1" t="n">
        <v>0.24</v>
      </c>
    </row>
    <row r="149">
      <c r="A149" s="2" t="inlineStr">
        <is>
          <t xml:space="preserve">    长期应付职工薪酬</t>
        </is>
      </c>
      <c r="J149" s="1" t="n">
        <v>63.5853</v>
      </c>
      <c r="K149" s="1" t="n">
        <v>142.8689</v>
      </c>
      <c r="L149" s="1" t="n">
        <v>462.1071</v>
      </c>
      <c r="M149" s="1" t="n">
        <v>693.8585</v>
      </c>
      <c r="N149" s="1" t="n">
        <v>837.3033</v>
      </c>
      <c r="O149" s="1" t="n">
        <v>784.4136</v>
      </c>
      <c r="P149" s="1" t="n">
        <v>960.97</v>
      </c>
      <c r="Q149" s="1" t="n">
        <v>978.6956</v>
      </c>
      <c r="R149" s="1" t="n">
        <v>1047.8269</v>
      </c>
      <c r="S149" s="1" t="n">
        <v>1053.5393</v>
      </c>
      <c r="T149" s="1" t="n">
        <v>1003.1062</v>
      </c>
      <c r="AJ149" s="1" t="n">
        <v>129.1</v>
      </c>
      <c r="AK149" s="1" t="n">
        <v>237.5</v>
      </c>
      <c r="AL149" s="1" t="n">
        <v>513.42</v>
      </c>
      <c r="AM149" s="1" t="n">
        <v>770.86</v>
      </c>
      <c r="AN149" s="1" t="n">
        <v>861.4299999999999</v>
      </c>
      <c r="AO149" s="1" t="n">
        <v>763.46</v>
      </c>
      <c r="AP149" s="1" t="n">
        <v>1103.81</v>
      </c>
      <c r="AQ149" s="1" t="n">
        <v>1136.01</v>
      </c>
      <c r="AR149" s="1" t="n">
        <v>1120.2</v>
      </c>
      <c r="AS149" s="1" t="n">
        <v>1071.4</v>
      </c>
      <c r="AT149" s="1" t="n"/>
      <c r="CW149" s="1" t="n">
        <v>63.5853</v>
      </c>
      <c r="CX149" s="1" t="n">
        <v>106.7816</v>
      </c>
      <c r="CY149" s="1" t="n">
        <v>129.0988</v>
      </c>
      <c r="CZ149" s="1" t="n">
        <v>141.2365</v>
      </c>
      <c r="DA149" s="1" t="n">
        <v>142.8689</v>
      </c>
      <c r="DB149" s="1" t="n">
        <v>146.4238</v>
      </c>
      <c r="DC149" s="1" t="n">
        <v>237.5011</v>
      </c>
      <c r="DD149" s="1" t="n">
        <v>291.682</v>
      </c>
      <c r="DE149" s="1" t="n">
        <v>462.1071</v>
      </c>
      <c r="DF149" s="1" t="n">
        <v>470.2892</v>
      </c>
      <c r="DG149" s="1" t="n">
        <v>513.4162</v>
      </c>
      <c r="DH149" s="1" t="n">
        <v>527.3299</v>
      </c>
      <c r="DI149" s="1" t="n">
        <v>693.8585</v>
      </c>
      <c r="DJ149" s="1" t="n">
        <v>692.1599</v>
      </c>
      <c r="DK149" s="1" t="n">
        <v>770.8647999999999</v>
      </c>
      <c r="DL149" s="1" t="n">
        <v>900.9451</v>
      </c>
      <c r="DM149" s="1" t="n">
        <v>837.3033</v>
      </c>
      <c r="DN149" s="1" t="n">
        <v>837.008</v>
      </c>
      <c r="DO149" s="1" t="n">
        <v>861.4348</v>
      </c>
      <c r="DP149" s="1" t="n">
        <v>850.9978</v>
      </c>
      <c r="DQ149" s="1" t="n">
        <v>784.4136</v>
      </c>
      <c r="DR149" s="1" t="n">
        <v>788.6319999999999</v>
      </c>
      <c r="DS149" s="1" t="n">
        <v>763.4584</v>
      </c>
      <c r="DT149" s="1" t="n">
        <v>768.3972</v>
      </c>
      <c r="DU149" s="1" t="n">
        <v>960.97</v>
      </c>
      <c r="DV149" s="1" t="n">
        <v>1099.2498</v>
      </c>
      <c r="DW149" s="1" t="n">
        <v>1103.8105</v>
      </c>
      <c r="DX149" s="1" t="n">
        <v>1112.3408</v>
      </c>
      <c r="DY149" s="1" t="n">
        <v>978.6956</v>
      </c>
      <c r="DZ149" s="1" t="n">
        <v>1111.5318</v>
      </c>
      <c r="EA149" s="1" t="n">
        <v>1136.0111</v>
      </c>
      <c r="EB149" s="1" t="n">
        <v>1154.5301</v>
      </c>
      <c r="EC149" s="1" t="n">
        <v>1047.8269</v>
      </c>
      <c r="ED149" s="1" t="n">
        <v>1113.0863</v>
      </c>
      <c r="EE149" s="1" t="n">
        <v>1120.1976</v>
      </c>
      <c r="EF149" s="1" t="n">
        <v>1131.9448</v>
      </c>
      <c r="EG149" s="1" t="n">
        <v>1053.5393</v>
      </c>
      <c r="EH149" s="1" t="n">
        <v>1066.6719</v>
      </c>
      <c r="EI149" s="1" t="n">
        <v>1071.4038</v>
      </c>
      <c r="EJ149" s="1" t="n">
        <v>1081.2961</v>
      </c>
      <c r="EK149" s="1" t="n">
        <v>1003.1062</v>
      </c>
      <c r="EL149" s="1" t="n">
        <v>1016.5414</v>
      </c>
      <c r="EM149" s="1" t="n">
        <v>1021.36</v>
      </c>
    </row>
    <row r="150">
      <c r="A150" s="2" t="inlineStr">
        <is>
          <t xml:space="preserve">    预计负债</t>
        </is>
      </c>
      <c r="B150" s="1" t="n">
        <v>175.3404</v>
      </c>
      <c r="C150" s="1" t="n">
        <v>228.3779</v>
      </c>
      <c r="D150" s="1" t="n">
        <v>332.9661</v>
      </c>
      <c r="E150" s="1" t="n">
        <v>658.0428000000001</v>
      </c>
      <c r="F150" s="1" t="n">
        <v>833.6438000000001</v>
      </c>
      <c r="G150" s="1" t="n">
        <v>937.4853000000001</v>
      </c>
      <c r="H150" s="1" t="n">
        <v>1064.2995</v>
      </c>
      <c r="I150" s="1" t="n">
        <v>1392.6166</v>
      </c>
      <c r="J150" s="1" t="n">
        <v>1228.9214</v>
      </c>
      <c r="K150" s="1" t="n">
        <v>1330.193</v>
      </c>
      <c r="L150" s="1" t="n">
        <v>1771.9528</v>
      </c>
      <c r="M150" s="1" t="n">
        <v>1940.4657</v>
      </c>
      <c r="N150" s="1" t="n">
        <v>6136.1061</v>
      </c>
      <c r="O150" s="1" t="n">
        <v>6280.3801</v>
      </c>
      <c r="P150" s="1" t="n">
        <v>5896.4109</v>
      </c>
      <c r="Q150" s="1" t="n">
        <v>6668.286</v>
      </c>
      <c r="R150" s="1" t="n">
        <v>6633.5808</v>
      </c>
      <c r="S150" s="1" t="n">
        <v>5426.7241</v>
      </c>
      <c r="T150" s="1" t="n">
        <v>5659.3357</v>
      </c>
      <c r="AA150" s="1" t="n">
        <v>7.48</v>
      </c>
      <c r="AB150" s="1" t="n">
        <v>50.01</v>
      </c>
      <c r="AC150" s="1" t="n">
        <v>285.13</v>
      </c>
      <c r="AD150" s="1" t="n">
        <v>455.86</v>
      </c>
      <c r="AE150" s="1" t="n">
        <v>784.95</v>
      </c>
      <c r="AF150" s="1" t="n">
        <v>835.73</v>
      </c>
      <c r="AG150" s="1" t="n">
        <v>1072.48</v>
      </c>
      <c r="AH150" s="1" t="n">
        <v>1037.54</v>
      </c>
      <c r="AI150" s="1" t="n">
        <v>1259.49</v>
      </c>
      <c r="AJ150" s="1" t="n">
        <v>1391.01</v>
      </c>
      <c r="AK150" s="1" t="n">
        <v>1522.32</v>
      </c>
      <c r="AL150" s="1" t="n">
        <v>2132.76</v>
      </c>
      <c r="AM150" s="1" t="n">
        <v>2966.85</v>
      </c>
      <c r="AN150" s="1" t="n">
        <v>5983.88</v>
      </c>
      <c r="AO150" s="1" t="n">
        <v>6164.43</v>
      </c>
      <c r="AP150" s="1" t="n">
        <v>5958.95</v>
      </c>
      <c r="AQ150" s="1" t="n">
        <v>6716.18</v>
      </c>
      <c r="AR150" s="1" t="n">
        <v>6362.45</v>
      </c>
      <c r="AS150" s="1" t="n">
        <v>5175.18</v>
      </c>
      <c r="AT150" s="1" t="n"/>
      <c r="BN150" s="1" t="n">
        <v>0.5412</v>
      </c>
      <c r="BO150" s="1" t="n">
        <v>7.4845</v>
      </c>
      <c r="BP150" s="1" t="n">
        <v>8.165100000000001</v>
      </c>
      <c r="BQ150" s="1" t="n">
        <v>175.3404</v>
      </c>
      <c r="BR150" s="1" t="n">
        <v>47.1698</v>
      </c>
      <c r="BS150" s="1" t="n">
        <v>50.0062</v>
      </c>
      <c r="BT150" s="1" t="n">
        <v>50.0062</v>
      </c>
      <c r="BU150" s="1" t="n">
        <v>228.3779</v>
      </c>
      <c r="BV150" s="1" t="n">
        <v>245.3645</v>
      </c>
      <c r="BW150" s="1" t="n">
        <v>285.1313</v>
      </c>
      <c r="BX150" s="1" t="n">
        <v>304.7462</v>
      </c>
      <c r="BY150" s="1" t="n">
        <v>332.9661</v>
      </c>
      <c r="BZ150" s="1" t="n">
        <v>377.8905</v>
      </c>
      <c r="CA150" s="1" t="n">
        <v>455.8637</v>
      </c>
      <c r="CB150" s="1" t="n">
        <v>517.8807</v>
      </c>
      <c r="CC150" s="1" t="n">
        <v>658.0428000000001</v>
      </c>
      <c r="CD150" s="1" t="n">
        <v>736.6767</v>
      </c>
      <c r="CE150" s="1" t="n">
        <v>784.9527</v>
      </c>
      <c r="CF150" s="1" t="n">
        <v>903.6867999999999</v>
      </c>
      <c r="CG150" s="1" t="n">
        <v>833.6438000000001</v>
      </c>
      <c r="CH150" s="1" t="n">
        <v>843.3807</v>
      </c>
      <c r="CI150" s="1" t="n">
        <v>835.7338</v>
      </c>
      <c r="CJ150" s="1" t="n">
        <v>804.0675</v>
      </c>
      <c r="CK150" s="1" t="n">
        <v>937.4853000000001</v>
      </c>
      <c r="CL150" s="1" t="n">
        <v>968.8253999999999</v>
      </c>
      <c r="CM150" s="1" t="n">
        <v>1072.4819</v>
      </c>
      <c r="CN150" s="1" t="n">
        <v>1110.2177</v>
      </c>
      <c r="CO150" s="1" t="n">
        <v>1064.2995</v>
      </c>
      <c r="CP150" s="1" t="n">
        <v>1093.6519</v>
      </c>
      <c r="CQ150" s="1" t="n">
        <v>1037.5407</v>
      </c>
      <c r="CR150" s="1" t="n">
        <v>1072.9437</v>
      </c>
      <c r="CS150" s="1" t="n">
        <v>1392.6166</v>
      </c>
      <c r="CT150" s="1" t="n">
        <v>1434.6617</v>
      </c>
      <c r="CU150" s="1" t="n">
        <v>1259.4858</v>
      </c>
      <c r="CV150" s="1" t="n">
        <v>1293.2727</v>
      </c>
      <c r="CW150" s="1" t="n">
        <v>1228.9214</v>
      </c>
      <c r="CX150" s="1" t="n">
        <v>1241.5551</v>
      </c>
      <c r="CY150" s="1" t="n">
        <v>1391.0116</v>
      </c>
      <c r="CZ150" s="1" t="n">
        <v>1428.9918</v>
      </c>
      <c r="DA150" s="1" t="n">
        <v>1330.193</v>
      </c>
      <c r="DB150" s="1" t="n">
        <v>1361.8128</v>
      </c>
      <c r="DC150" s="1" t="n">
        <v>1522.3233</v>
      </c>
      <c r="DD150" s="1" t="n">
        <v>1589.6943</v>
      </c>
      <c r="DE150" s="1" t="n">
        <v>1771.9528</v>
      </c>
      <c r="DF150" s="1" t="n">
        <v>1806.6125</v>
      </c>
      <c r="DG150" s="1" t="n">
        <v>2132.7553</v>
      </c>
      <c r="DH150" s="1" t="n">
        <v>1918.2702</v>
      </c>
      <c r="DI150" s="1" t="n">
        <v>1940.4657</v>
      </c>
      <c r="DJ150" s="1" t="n">
        <v>2005.0623</v>
      </c>
      <c r="DK150" s="1" t="n">
        <v>2966.8474</v>
      </c>
      <c r="DL150" s="1" t="n">
        <v>3080.7163</v>
      </c>
      <c r="DM150" s="1" t="n">
        <v>6136.1061</v>
      </c>
      <c r="DN150" s="1" t="n">
        <v>6206.771</v>
      </c>
      <c r="DO150" s="1" t="n">
        <v>5983.8775</v>
      </c>
      <c r="DP150" s="1" t="n">
        <v>6286.1178</v>
      </c>
      <c r="DQ150" s="1" t="n">
        <v>6280.3801</v>
      </c>
      <c r="DR150" s="1" t="n">
        <v>6167.464</v>
      </c>
      <c r="DS150" s="1" t="n">
        <v>6164.4263</v>
      </c>
      <c r="DT150" s="1" t="n">
        <v>6148.9922</v>
      </c>
      <c r="DU150" s="1" t="n">
        <v>5896.4109</v>
      </c>
      <c r="DV150" s="1" t="n">
        <v>5931.2538</v>
      </c>
      <c r="DW150" s="1" t="n">
        <v>5958.951</v>
      </c>
      <c r="DX150" s="1" t="n">
        <v>6006.1745</v>
      </c>
      <c r="DY150" s="1" t="n">
        <v>6668.286</v>
      </c>
      <c r="DZ150" s="1" t="n">
        <v>6903.2321</v>
      </c>
      <c r="EA150" s="1" t="n">
        <v>6716.1794</v>
      </c>
      <c r="EB150" s="1" t="n">
        <v>6419.8</v>
      </c>
      <c r="EC150" s="1" t="n">
        <v>6633.5808</v>
      </c>
      <c r="ED150" s="1" t="n">
        <v>6457.0471</v>
      </c>
      <c r="EE150" s="1" t="n">
        <v>6362.4504</v>
      </c>
      <c r="EF150" s="1" t="n">
        <v>6167.0979</v>
      </c>
      <c r="EG150" s="1" t="n">
        <v>5426.7241</v>
      </c>
      <c r="EH150" s="1" t="n">
        <v>5256.3711</v>
      </c>
      <c r="EI150" s="1" t="n">
        <v>5175.1788</v>
      </c>
      <c r="EJ150" s="1" t="n">
        <v>5134.3154</v>
      </c>
      <c r="EK150" s="1" t="n">
        <v>5659.3357</v>
      </c>
      <c r="EL150" s="1" t="n">
        <v>5712.2545</v>
      </c>
      <c r="EM150" s="1" t="n">
        <v>5865.026</v>
      </c>
    </row>
    <row r="151">
      <c r="A151" s="2" t="inlineStr">
        <is>
          <t xml:space="preserve">    递延所得税负债</t>
        </is>
      </c>
      <c r="B151" s="1" t="n">
        <v>82.3797</v>
      </c>
      <c r="C151" s="1" t="n">
        <v>45.1206</v>
      </c>
      <c r="D151" s="1" t="n">
        <v>30.4028</v>
      </c>
      <c r="E151" s="1" t="n">
        <v>21.4898</v>
      </c>
      <c r="F151" s="1" t="n">
        <v>15.6483</v>
      </c>
      <c r="G151" s="1" t="n">
        <v>11.6404</v>
      </c>
      <c r="H151" s="1" t="n">
        <v>3.9324</v>
      </c>
      <c r="I151" s="1" t="n">
        <v>1.838</v>
      </c>
      <c r="J151" s="1" t="n">
        <v>2.6676</v>
      </c>
      <c r="K151" s="1" t="n">
        <v>14.8133</v>
      </c>
      <c r="L151" s="1" t="n">
        <v>7.2929</v>
      </c>
      <c r="M151" s="1" t="n">
        <v>7.9511</v>
      </c>
      <c r="N151" s="1" t="n">
        <v>26.2431</v>
      </c>
      <c r="O151" s="1" t="n">
        <v>38.0315</v>
      </c>
      <c r="P151" s="1" t="n">
        <v>34.3643</v>
      </c>
      <c r="Q151" s="1" t="n">
        <v>45.9604</v>
      </c>
      <c r="R151" s="1" t="n">
        <v>60.3114</v>
      </c>
      <c r="S151" s="1" t="n">
        <v>180.1561</v>
      </c>
      <c r="T151" s="1" t="n">
        <v>229.8504</v>
      </c>
      <c r="AC151" s="1" t="n">
        <v>27.99</v>
      </c>
      <c r="AD151" s="1" t="n">
        <v>18.03</v>
      </c>
      <c r="AE151" s="1" t="n">
        <v>17.45</v>
      </c>
      <c r="AF151" s="1" t="n">
        <v>16.1</v>
      </c>
      <c r="AG151" s="1" t="n">
        <v>5.88</v>
      </c>
      <c r="AH151" s="1" t="n">
        <v>3.35</v>
      </c>
      <c r="AI151" s="1" t="n">
        <v>1.43</v>
      </c>
      <c r="AJ151" s="1" t="n">
        <v>2.65</v>
      </c>
      <c r="AK151" s="1" t="n">
        <v>14.81</v>
      </c>
      <c r="AL151" s="1" t="n">
        <v>6.67</v>
      </c>
      <c r="AM151" s="1" t="n">
        <v>38.78</v>
      </c>
      <c r="AN151" s="1" t="n">
        <v>21.34</v>
      </c>
      <c r="AO151" s="1" t="n">
        <v>37.43</v>
      </c>
      <c r="AP151" s="1" t="n">
        <v>34.36</v>
      </c>
      <c r="AQ151" s="1" t="n">
        <v>43.65</v>
      </c>
      <c r="AR151" s="1" t="n">
        <v>50.38</v>
      </c>
      <c r="AS151" s="1" t="n">
        <v>206.8</v>
      </c>
      <c r="AT151" s="1" t="n"/>
      <c r="BQ151" s="1" t="n">
        <v>82.3797</v>
      </c>
      <c r="BU151" s="1" t="n">
        <v>45.1206</v>
      </c>
      <c r="BV151" s="1" t="n">
        <v>44.0346</v>
      </c>
      <c r="BW151" s="1" t="n">
        <v>27.9882</v>
      </c>
      <c r="BX151" s="1" t="n">
        <v>25.5736</v>
      </c>
      <c r="BY151" s="1" t="n">
        <v>30.4028</v>
      </c>
      <c r="BZ151" s="1" t="n">
        <v>20.874</v>
      </c>
      <c r="CA151" s="1" t="n">
        <v>18.033</v>
      </c>
      <c r="CB151" s="1" t="n">
        <v>16.2228</v>
      </c>
      <c r="CC151" s="1" t="n">
        <v>21.4898</v>
      </c>
      <c r="CD151" s="1" t="n">
        <v>18.3494</v>
      </c>
      <c r="CE151" s="1" t="n">
        <v>17.4519</v>
      </c>
      <c r="CF151" s="1" t="n">
        <v>16.8829</v>
      </c>
      <c r="CG151" s="1" t="n">
        <v>15.6483</v>
      </c>
      <c r="CH151" s="1" t="n">
        <v>14.9076</v>
      </c>
      <c r="CI151" s="1" t="n">
        <v>16.1024</v>
      </c>
      <c r="CJ151" s="1" t="n">
        <v>15.3873</v>
      </c>
      <c r="CK151" s="1" t="n">
        <v>11.6404</v>
      </c>
      <c r="CL151" s="1" t="n">
        <v>9.5603</v>
      </c>
      <c r="CM151" s="1" t="n">
        <v>5.8779</v>
      </c>
      <c r="CN151" s="1" t="n">
        <v>4.4158</v>
      </c>
      <c r="CO151" s="1" t="n">
        <v>3.9324</v>
      </c>
      <c r="CP151" s="1" t="n">
        <v>3.3026</v>
      </c>
      <c r="CQ151" s="1" t="n">
        <v>3.3545</v>
      </c>
      <c r="CR151" s="1" t="n">
        <v>3.0348</v>
      </c>
      <c r="CS151" s="1" t="n">
        <v>1.838</v>
      </c>
      <c r="CT151" s="1" t="n">
        <v>1.8407</v>
      </c>
      <c r="CU151" s="1" t="n">
        <v>1.4261</v>
      </c>
      <c r="CV151" s="1" t="n">
        <v>1.4145</v>
      </c>
      <c r="CW151" s="1" t="n">
        <v>2.6676</v>
      </c>
      <c r="CX151" s="1" t="n">
        <v>1.4109</v>
      </c>
      <c r="CY151" s="1" t="n">
        <v>2.6506</v>
      </c>
      <c r="CZ151" s="1" t="n">
        <v>2.6513</v>
      </c>
      <c r="DA151" s="1" t="n">
        <v>14.8133</v>
      </c>
      <c r="DB151" s="1" t="n">
        <v>14.8315</v>
      </c>
      <c r="DC151" s="1" t="n">
        <v>14.8117</v>
      </c>
      <c r="DD151" s="1" t="n">
        <v>16.5505</v>
      </c>
      <c r="DE151" s="1" t="n">
        <v>7.2929</v>
      </c>
      <c r="DF151" s="1" t="n">
        <v>7.3855</v>
      </c>
      <c r="DG151" s="1" t="n">
        <v>6.6731</v>
      </c>
      <c r="DH151" s="1" t="n">
        <v>6.6731</v>
      </c>
      <c r="DI151" s="1" t="n">
        <v>7.9511</v>
      </c>
      <c r="DJ151" s="1" t="n">
        <v>7.6385</v>
      </c>
      <c r="DK151" s="1" t="n">
        <v>38.7832</v>
      </c>
      <c r="DL151" s="1" t="n">
        <v>39.5388</v>
      </c>
      <c r="DM151" s="1" t="n">
        <v>26.2431</v>
      </c>
      <c r="DN151" s="1" t="n">
        <v>22.3255</v>
      </c>
      <c r="DO151" s="1" t="n">
        <v>21.3371</v>
      </c>
      <c r="DP151" s="1" t="n">
        <v>19.2024</v>
      </c>
      <c r="DQ151" s="1" t="n">
        <v>38.0315</v>
      </c>
      <c r="DR151" s="1" t="n">
        <v>37.4327</v>
      </c>
      <c r="DS151" s="1" t="n">
        <v>37.4327</v>
      </c>
      <c r="DT151" s="1" t="n">
        <v>27.7279</v>
      </c>
      <c r="DU151" s="1" t="n">
        <v>34.3643</v>
      </c>
      <c r="DV151" s="1" t="n">
        <v>34.3643</v>
      </c>
      <c r="DW151" s="1" t="n">
        <v>34.3643</v>
      </c>
      <c r="DX151" s="1" t="n">
        <v>42.8328</v>
      </c>
      <c r="DY151" s="1" t="n">
        <v>45.9604</v>
      </c>
      <c r="DZ151" s="1" t="n">
        <v>48.532</v>
      </c>
      <c r="EA151" s="1" t="n">
        <v>43.6473</v>
      </c>
      <c r="EB151" s="1" t="n">
        <v>43.6473</v>
      </c>
      <c r="EC151" s="1" t="n">
        <v>60.3114</v>
      </c>
      <c r="ED151" s="1" t="n">
        <v>61.9916</v>
      </c>
      <c r="EE151" s="1" t="n">
        <v>50.3824</v>
      </c>
      <c r="EF151" s="1" t="n">
        <v>50.3824</v>
      </c>
      <c r="EG151" s="1" t="n">
        <v>180.1561</v>
      </c>
      <c r="EH151" s="1" t="n">
        <v>183.2375</v>
      </c>
      <c r="EI151" s="1" t="n">
        <v>206.8001</v>
      </c>
      <c r="EJ151" s="1" t="n">
        <v>205.2895</v>
      </c>
      <c r="EK151" s="1" t="n">
        <v>229.8504</v>
      </c>
      <c r="EL151" s="1" t="n">
        <v>225.1325</v>
      </c>
      <c r="EM151" s="1" t="n">
        <v>223.911</v>
      </c>
    </row>
    <row r="152">
      <c r="A152" s="2" t="inlineStr">
        <is>
          <t xml:space="preserve">    递延收益-非流动负债</t>
        </is>
      </c>
      <c r="J152" s="1" t="n">
        <v>466.1496</v>
      </c>
      <c r="K152" s="1" t="n">
        <v>408.6347</v>
      </c>
      <c r="L152" s="1" t="n">
        <v>473.9917</v>
      </c>
      <c r="M152" s="1" t="n">
        <v>436.3289</v>
      </c>
      <c r="N152" s="1" t="n">
        <v>444.0148</v>
      </c>
      <c r="O152" s="1" t="n">
        <v>470.6076</v>
      </c>
      <c r="P152" s="1" t="n">
        <v>404.2832</v>
      </c>
      <c r="Q152" s="1" t="n">
        <v>359.4046</v>
      </c>
      <c r="R152" s="1" t="n">
        <v>338.0139</v>
      </c>
      <c r="S152" s="1" t="n">
        <v>365.3299</v>
      </c>
      <c r="T152" s="1" t="n">
        <v>478.3995</v>
      </c>
      <c r="AJ152" s="1" t="n">
        <v>466.28</v>
      </c>
      <c r="AK152" s="1" t="n">
        <v>410.7</v>
      </c>
      <c r="AL152" s="1" t="n">
        <v>472.45</v>
      </c>
      <c r="AM152" s="1" t="n">
        <v>426.91</v>
      </c>
      <c r="AN152" s="1" t="n">
        <v>471.29</v>
      </c>
      <c r="AO152" s="1" t="n">
        <v>444.18</v>
      </c>
      <c r="AP152" s="1" t="n">
        <v>387.87</v>
      </c>
      <c r="AQ152" s="1" t="n">
        <v>342.03</v>
      </c>
      <c r="AR152" s="1" t="n">
        <v>360.3</v>
      </c>
      <c r="AS152" s="1" t="n">
        <v>352.96</v>
      </c>
      <c r="AT152" s="1" t="n"/>
      <c r="CW152" s="1" t="n">
        <v>466.1496</v>
      </c>
      <c r="CX152" s="1" t="n">
        <v>498.8744</v>
      </c>
      <c r="CY152" s="1" t="n">
        <v>466.2817</v>
      </c>
      <c r="CZ152" s="1" t="n">
        <v>475.3557</v>
      </c>
      <c r="DA152" s="1" t="n">
        <v>408.6347</v>
      </c>
      <c r="DB152" s="1" t="n">
        <v>400.5997</v>
      </c>
      <c r="DC152" s="1" t="n">
        <v>410.6952</v>
      </c>
      <c r="DD152" s="1" t="n">
        <v>497.4813</v>
      </c>
      <c r="DE152" s="1" t="n">
        <v>473.9917</v>
      </c>
      <c r="DF152" s="1" t="n">
        <v>471.0207</v>
      </c>
      <c r="DG152" s="1" t="n">
        <v>472.4489</v>
      </c>
      <c r="DH152" s="1" t="n">
        <v>492.3052</v>
      </c>
      <c r="DI152" s="1" t="n">
        <v>436.3289</v>
      </c>
      <c r="DJ152" s="1" t="n">
        <v>437.4861</v>
      </c>
      <c r="DK152" s="1" t="n">
        <v>426.9141</v>
      </c>
      <c r="DL152" s="1" t="n">
        <v>443.7228</v>
      </c>
      <c r="DM152" s="1" t="n">
        <v>444.0148</v>
      </c>
      <c r="DN152" s="1" t="n">
        <v>441.1721</v>
      </c>
      <c r="DO152" s="1" t="n">
        <v>471.2907</v>
      </c>
      <c r="DP152" s="1" t="n">
        <v>480.7971</v>
      </c>
      <c r="DQ152" s="1" t="n">
        <v>470.6076</v>
      </c>
      <c r="DR152" s="1" t="n">
        <v>477.1946</v>
      </c>
      <c r="DS152" s="1" t="n">
        <v>444.1768</v>
      </c>
      <c r="DT152" s="1" t="n">
        <v>430.534</v>
      </c>
      <c r="DU152" s="1" t="n">
        <v>404.2832</v>
      </c>
      <c r="DV152" s="1" t="n">
        <v>397.9718</v>
      </c>
      <c r="DW152" s="1" t="n">
        <v>387.8672</v>
      </c>
      <c r="DX152" s="1" t="n">
        <v>370.8598</v>
      </c>
      <c r="DY152" s="1" t="n">
        <v>359.4046</v>
      </c>
      <c r="DZ152" s="1" t="n">
        <v>365.5725</v>
      </c>
      <c r="EA152" s="1" t="n">
        <v>342.0258</v>
      </c>
      <c r="EB152" s="1" t="n">
        <v>354.596</v>
      </c>
      <c r="EC152" s="1" t="n">
        <v>338.0139</v>
      </c>
      <c r="ED152" s="1" t="n">
        <v>371.3668</v>
      </c>
      <c r="EE152" s="1" t="n">
        <v>360.2979</v>
      </c>
      <c r="EF152" s="1" t="n">
        <v>394.3968</v>
      </c>
      <c r="EG152" s="1" t="n">
        <v>365.3299</v>
      </c>
      <c r="EH152" s="1" t="n">
        <v>364.0256</v>
      </c>
      <c r="EI152" s="1" t="n">
        <v>352.9561</v>
      </c>
      <c r="EJ152" s="1" t="n">
        <v>371.1626</v>
      </c>
      <c r="EK152" s="1" t="n">
        <v>478.3995</v>
      </c>
      <c r="EL152" s="1" t="n">
        <v>471.0003</v>
      </c>
      <c r="EM152" s="1" t="n">
        <v>462.536</v>
      </c>
    </row>
    <row r="153">
      <c r="A153" s="2" t="inlineStr">
        <is>
          <t xml:space="preserve">    其他非流动负债</t>
        </is>
      </c>
      <c r="B153" s="1" t="n">
        <v>718.6169</v>
      </c>
      <c r="C153" s="1" t="n">
        <v>699.7872</v>
      </c>
      <c r="D153" s="1" t="n">
        <v>903.7786</v>
      </c>
      <c r="E153" s="1" t="n">
        <v>915.4565</v>
      </c>
      <c r="F153" s="1" t="n">
        <v>723.3142</v>
      </c>
      <c r="G153" s="1" t="n">
        <v>644.9991</v>
      </c>
      <c r="H153" s="1" t="n">
        <v>539.6419</v>
      </c>
      <c r="I153" s="1" t="n">
        <v>500.2878</v>
      </c>
      <c r="AB153" s="1" t="n">
        <v>236.56</v>
      </c>
      <c r="AC153" s="1" t="n">
        <v>1028.35</v>
      </c>
      <c r="AD153" s="1" t="n">
        <v>910.22</v>
      </c>
      <c r="AE153" s="1" t="n">
        <v>893.55</v>
      </c>
      <c r="AF153" s="1" t="n">
        <v>725.76</v>
      </c>
      <c r="AG153" s="1" t="n">
        <v>630.24</v>
      </c>
      <c r="AH153" s="1" t="n">
        <v>540.05</v>
      </c>
      <c r="AI153" s="1" t="n">
        <v>540.85</v>
      </c>
      <c r="BQ153" s="1" t="n">
        <v>718.6169</v>
      </c>
      <c r="BR153" s="1" t="n">
        <v>243.0513</v>
      </c>
      <c r="BS153" s="1" t="n">
        <v>236.5646</v>
      </c>
      <c r="BT153" s="1" t="n">
        <v>230.9722</v>
      </c>
      <c r="BU153" s="1" t="n">
        <v>699.7872</v>
      </c>
      <c r="BV153" s="1" t="n">
        <v>688.8347</v>
      </c>
      <c r="BW153" s="1" t="n">
        <v>1028.3473</v>
      </c>
      <c r="BX153" s="1" t="n">
        <v>982.2658</v>
      </c>
      <c r="BY153" s="1" t="n">
        <v>903.7786</v>
      </c>
      <c r="BZ153" s="1" t="n">
        <v>1088.0811</v>
      </c>
      <c r="CA153" s="1" t="n">
        <v>910.2243</v>
      </c>
      <c r="CB153" s="1" t="n">
        <v>919.0661</v>
      </c>
      <c r="CC153" s="1" t="n">
        <v>915.4565</v>
      </c>
      <c r="CD153" s="1" t="n">
        <v>906.0843</v>
      </c>
      <c r="CE153" s="1" t="n">
        <v>893.5497</v>
      </c>
      <c r="CF153" s="1" t="n">
        <v>873.9832</v>
      </c>
      <c r="CG153" s="1" t="n">
        <v>723.3142</v>
      </c>
      <c r="CH153" s="1" t="n">
        <v>714.9983999999999</v>
      </c>
      <c r="CI153" s="1" t="n">
        <v>725.7628</v>
      </c>
      <c r="CJ153" s="1" t="n">
        <v>706.1018</v>
      </c>
      <c r="CK153" s="1" t="n">
        <v>644.9991</v>
      </c>
      <c r="CL153" s="1" t="n">
        <v>642.4869</v>
      </c>
      <c r="CM153" s="1" t="n">
        <v>630.2373</v>
      </c>
      <c r="CN153" s="1" t="n">
        <v>657.8244999999999</v>
      </c>
      <c r="CO153" s="1" t="n">
        <v>539.6419</v>
      </c>
      <c r="CP153" s="1" t="n">
        <v>540.7523</v>
      </c>
      <c r="CQ153" s="1" t="n">
        <v>540.0451</v>
      </c>
      <c r="CR153" s="1" t="n">
        <v>539.4232</v>
      </c>
      <c r="CS153" s="1" t="n">
        <v>500.2878</v>
      </c>
      <c r="CT153" s="1" t="n">
        <v>539.2045000000001</v>
      </c>
      <c r="CU153" s="1" t="n">
        <v>540.8499</v>
      </c>
      <c r="CV153" s="1" t="n">
        <v>686.9388</v>
      </c>
      <c r="DP153" s="1" t="n">
        <v>0.3857</v>
      </c>
      <c r="EB153" s="1" t="n">
        <v>0</v>
      </c>
      <c r="ED153" s="1" t="n">
        <v>3.716</v>
      </c>
      <c r="EH153" s="1" t="n">
        <v>0</v>
      </c>
      <c r="EM153" s="1" t="inlineStr"/>
    </row>
    <row r="154">
      <c r="A154" s="2" t="inlineStr">
        <is>
          <t xml:space="preserve">    非流动负债差额(特殊报表科目)</t>
        </is>
      </c>
      <c r="EM154" s="1" t="inlineStr"/>
    </row>
    <row r="155">
      <c r="A155" s="2" t="inlineStr">
        <is>
          <t xml:space="preserve">    非流动负债差额(合计平衡项目)</t>
        </is>
      </c>
      <c r="AA155" s="1" t="n">
        <v>0</v>
      </c>
      <c r="BN155" s="1" t="n">
        <v>0</v>
      </c>
      <c r="BO155" s="1" t="n">
        <v>0</v>
      </c>
      <c r="BP155" s="1" t="n">
        <v>0</v>
      </c>
      <c r="EM155" s="1" t="inlineStr"/>
    </row>
    <row r="156">
      <c r="A156" s="3" t="inlineStr">
        <is>
          <t xml:space="preserve">    非流动负债合计</t>
        </is>
      </c>
      <c r="B156" s="1" t="n">
        <v>996.3423</v>
      </c>
      <c r="C156" s="1" t="n">
        <v>2827.791</v>
      </c>
      <c r="D156" s="1" t="n">
        <v>4896.0601</v>
      </c>
      <c r="E156" s="1" t="n">
        <v>3903.5817</v>
      </c>
      <c r="F156" s="1" t="n">
        <v>1849.1</v>
      </c>
      <c r="G156" s="1" t="n">
        <v>1783.363</v>
      </c>
      <c r="H156" s="1" t="n">
        <v>1734.3866</v>
      </c>
      <c r="I156" s="1" t="n">
        <v>1992.8703</v>
      </c>
      <c r="J156" s="1" t="n">
        <v>2365.6717</v>
      </c>
      <c r="K156" s="1" t="n">
        <v>2673.3925</v>
      </c>
      <c r="L156" s="1" t="n">
        <v>3326.8851</v>
      </c>
      <c r="M156" s="1" t="n">
        <v>3178.7069</v>
      </c>
      <c r="N156" s="1" t="n">
        <v>7932.8725</v>
      </c>
      <c r="O156" s="1" t="n">
        <v>8366.717000000001</v>
      </c>
      <c r="P156" s="1" t="n">
        <v>8048.5719</v>
      </c>
      <c r="Q156" s="1" t="n">
        <v>9744.611199999999</v>
      </c>
      <c r="R156" s="1" t="n">
        <v>9215.929700000001</v>
      </c>
      <c r="S156" s="1" t="n">
        <v>8639.404399999999</v>
      </c>
      <c r="T156" s="1" t="n">
        <v>9954.0676</v>
      </c>
      <c r="AA156" s="1" t="n">
        <v>109.05</v>
      </c>
      <c r="AB156" s="1" t="n">
        <v>287.26</v>
      </c>
      <c r="AC156" s="1" t="n">
        <v>5435.88</v>
      </c>
      <c r="AD156" s="1" t="n">
        <v>4683.06</v>
      </c>
      <c r="AE156" s="1" t="n">
        <v>2299.45</v>
      </c>
      <c r="AF156" s="1" t="n">
        <v>1904.09</v>
      </c>
      <c r="AG156" s="1" t="n">
        <v>1874.29</v>
      </c>
      <c r="AH156" s="1" t="n">
        <v>1657.25</v>
      </c>
      <c r="AI156" s="1" t="n">
        <v>1916.71</v>
      </c>
      <c r="AJ156" s="1" t="n">
        <v>2302.34</v>
      </c>
      <c r="AK156" s="1" t="n">
        <v>2998.37</v>
      </c>
      <c r="AL156" s="1" t="n">
        <v>3220.3</v>
      </c>
      <c r="AM156" s="1" t="n">
        <v>4898.04</v>
      </c>
      <c r="AN156" s="1" t="n">
        <v>7853.34</v>
      </c>
      <c r="AO156" s="1" t="n">
        <v>8149.76</v>
      </c>
      <c r="AP156" s="1" t="n">
        <v>8224.709999999999</v>
      </c>
      <c r="AQ156" s="1" t="n">
        <v>10104.04</v>
      </c>
      <c r="AR156" s="1" t="n">
        <v>9077.790000000001</v>
      </c>
      <c r="AS156" s="1" t="n">
        <v>9310.290000000001</v>
      </c>
      <c r="AT156" s="1" t="n"/>
      <c r="BN156" s="1" t="n">
        <v>120.9671</v>
      </c>
      <c r="BO156" s="1" t="n">
        <v>109.0517</v>
      </c>
      <c r="BP156" s="1" t="n">
        <v>110.1861</v>
      </c>
      <c r="BQ156" s="1" t="n">
        <v>996.3423</v>
      </c>
      <c r="BR156" s="1" t="n">
        <v>290.9717</v>
      </c>
      <c r="BS156" s="1" t="n">
        <v>287.256</v>
      </c>
      <c r="BT156" s="1" t="n">
        <v>282.0236</v>
      </c>
      <c r="BU156" s="1" t="n">
        <v>2827.791</v>
      </c>
      <c r="BV156" s="1" t="n">
        <v>5072.6464</v>
      </c>
      <c r="BW156" s="1" t="n">
        <v>5435.8794</v>
      </c>
      <c r="BX156" s="1" t="n">
        <v>5406.9982</v>
      </c>
      <c r="BY156" s="1" t="n">
        <v>4896.0601</v>
      </c>
      <c r="BZ156" s="1" t="n">
        <v>5348.5591</v>
      </c>
      <c r="CA156" s="1" t="n">
        <v>4683.0567</v>
      </c>
      <c r="CB156" s="1" t="n">
        <v>4224.0822</v>
      </c>
      <c r="CC156" s="1" t="n">
        <v>3903.5817</v>
      </c>
      <c r="CD156" s="1" t="n">
        <v>3445.703</v>
      </c>
      <c r="CE156" s="1" t="n">
        <v>2299.448</v>
      </c>
      <c r="CF156" s="1" t="n">
        <v>2082.0466</v>
      </c>
      <c r="CG156" s="1" t="n">
        <v>1849.1</v>
      </c>
      <c r="CH156" s="1" t="n">
        <v>1849.7804</v>
      </c>
      <c r="CI156" s="1" t="n">
        <v>1904.0927</v>
      </c>
      <c r="CJ156" s="1" t="n">
        <v>1815.0425</v>
      </c>
      <c r="CK156" s="1" t="n">
        <v>1783.363</v>
      </c>
      <c r="CL156" s="1" t="n">
        <v>1781.6107</v>
      </c>
      <c r="CM156" s="1" t="n">
        <v>1874.2851</v>
      </c>
      <c r="CN156" s="1" t="n">
        <v>1934.0461</v>
      </c>
      <c r="CO156" s="1" t="n">
        <v>1734.3866</v>
      </c>
      <c r="CP156" s="1" t="n">
        <v>1764.2196</v>
      </c>
      <c r="CQ156" s="1" t="n">
        <v>1657.253</v>
      </c>
      <c r="CR156" s="1" t="n">
        <v>1671.7145</v>
      </c>
      <c r="CS156" s="1" t="n">
        <v>1992.8703</v>
      </c>
      <c r="CT156" s="1" t="n">
        <v>2090.9348</v>
      </c>
      <c r="CU156" s="1" t="n">
        <v>1916.7096</v>
      </c>
      <c r="CV156" s="1" t="n">
        <v>5416.9872</v>
      </c>
      <c r="CW156" s="1" t="n">
        <v>2365.6717</v>
      </c>
      <c r="CX156" s="1" t="n">
        <v>2154.0694</v>
      </c>
      <c r="CY156" s="1" t="n">
        <v>2302.3435</v>
      </c>
      <c r="CZ156" s="1" t="n">
        <v>2366.4518</v>
      </c>
      <c r="DA156" s="1" t="n">
        <v>2673.3925</v>
      </c>
      <c r="DB156" s="1" t="n">
        <v>2763.4458</v>
      </c>
      <c r="DC156" s="1" t="n">
        <v>2998.3726</v>
      </c>
      <c r="DD156" s="1" t="n">
        <v>3056.5884</v>
      </c>
      <c r="DE156" s="1" t="n">
        <v>3326.8851</v>
      </c>
      <c r="DF156" s="1" t="n">
        <v>3365.0981</v>
      </c>
      <c r="DG156" s="1" t="n">
        <v>3220.2962</v>
      </c>
      <c r="DH156" s="1" t="n">
        <v>3037.1391</v>
      </c>
      <c r="DI156" s="1" t="n">
        <v>3178.7069</v>
      </c>
      <c r="DJ156" s="1" t="n">
        <v>3407.2293</v>
      </c>
      <c r="DK156" s="1" t="n">
        <v>4898.0404</v>
      </c>
      <c r="DL156" s="1" t="n">
        <v>5176.6097</v>
      </c>
      <c r="DM156" s="1" t="n">
        <v>7932.8725</v>
      </c>
      <c r="DN156" s="1" t="n">
        <v>8025.224</v>
      </c>
      <c r="DO156" s="1" t="n">
        <v>7853.3396</v>
      </c>
      <c r="DP156" s="1" t="n">
        <v>8175.3838</v>
      </c>
      <c r="DQ156" s="1" t="n">
        <v>8366.717000000001</v>
      </c>
      <c r="DR156" s="1" t="n">
        <v>8417.1859</v>
      </c>
      <c r="DS156" s="1" t="n">
        <v>8149.7588</v>
      </c>
      <c r="DT156" s="1" t="n">
        <v>8093.4755</v>
      </c>
      <c r="DU156" s="1" t="n">
        <v>8048.5719</v>
      </c>
      <c r="DV156" s="1" t="n">
        <v>8212.7732</v>
      </c>
      <c r="DW156" s="1" t="n">
        <v>8224.705</v>
      </c>
      <c r="DX156" s="1" t="n">
        <v>8917.212100000001</v>
      </c>
      <c r="DY156" s="1" t="n">
        <v>9744.611199999999</v>
      </c>
      <c r="DZ156" s="1" t="n">
        <v>10114.3862</v>
      </c>
      <c r="EA156" s="1" t="n">
        <v>10104.0356</v>
      </c>
      <c r="EB156" s="1" t="n">
        <v>9988.1234</v>
      </c>
      <c r="EC156" s="1" t="n">
        <v>9215.929700000001</v>
      </c>
      <c r="ED156" s="1" t="n">
        <v>9159.341200000001</v>
      </c>
      <c r="EE156" s="1" t="n">
        <v>9077.790800000001</v>
      </c>
      <c r="EF156" s="1" t="n">
        <v>9312.4519</v>
      </c>
      <c r="EG156" s="1" t="n">
        <v>8639.404399999999</v>
      </c>
      <c r="EH156" s="1" t="n">
        <v>8784.5875</v>
      </c>
      <c r="EI156" s="1" t="n">
        <v>9310.285900000001</v>
      </c>
      <c r="EJ156" s="1" t="n">
        <v>10001.7844</v>
      </c>
      <c r="EK156" s="1" t="n">
        <v>9954.0676</v>
      </c>
      <c r="EL156" s="1" t="n">
        <v>11363.9782</v>
      </c>
      <c r="EM156" s="1" t="n">
        <v>11416.16</v>
      </c>
    </row>
    <row r="157">
      <c r="A157" s="2" t="inlineStr">
        <is>
          <t xml:space="preserve">    负债差额(特殊报表科目)</t>
        </is>
      </c>
      <c r="EM157" s="1" t="inlineStr"/>
    </row>
    <row r="158">
      <c r="A158" s="2" t="inlineStr">
        <is>
          <t xml:space="preserve">    负债差额(合计平衡项目)</t>
        </is>
      </c>
      <c r="AA158" s="1" t="n">
        <v>0</v>
      </c>
      <c r="BN158" s="1" t="n">
        <v>0</v>
      </c>
      <c r="BO158" s="1" t="n">
        <v>0</v>
      </c>
      <c r="BP158" s="1" t="n">
        <v>0</v>
      </c>
      <c r="EM158" s="1" t="inlineStr"/>
    </row>
    <row r="159">
      <c r="A159" s="3" t="inlineStr">
        <is>
          <t xml:space="preserve">    负债合计</t>
        </is>
      </c>
      <c r="B159" s="1" t="n">
        <v>25348.1431</v>
      </c>
      <c r="C159" s="1" t="n">
        <v>32510.2895</v>
      </c>
      <c r="D159" s="1" t="n">
        <v>54025.5745</v>
      </c>
      <c r="E159" s="1" t="n">
        <v>63961.4899</v>
      </c>
      <c r="F159" s="1" t="n">
        <v>70468.50599999999</v>
      </c>
      <c r="G159" s="1" t="n">
        <v>67835.9721</v>
      </c>
      <c r="H159" s="1" t="n">
        <v>61779.5414</v>
      </c>
      <c r="I159" s="1" t="n">
        <v>59243.3124</v>
      </c>
      <c r="J159" s="1" t="n">
        <v>64760.9039</v>
      </c>
      <c r="K159" s="1" t="n">
        <v>62156.8341</v>
      </c>
      <c r="L159" s="1" t="n">
        <v>62616.8454</v>
      </c>
      <c r="M159" s="1" t="n">
        <v>56152.793</v>
      </c>
      <c r="N159" s="1" t="n">
        <v>60629.4208</v>
      </c>
      <c r="O159" s="1" t="n">
        <v>57820.5326</v>
      </c>
      <c r="P159" s="1" t="n">
        <v>64153.5377</v>
      </c>
      <c r="Q159" s="1" t="n">
        <v>67720.6961</v>
      </c>
      <c r="R159" s="1" t="n">
        <v>76640.18889999999</v>
      </c>
      <c r="S159" s="1" t="n">
        <v>79888.49860000001</v>
      </c>
      <c r="T159" s="1" t="n">
        <v>98867.0367</v>
      </c>
      <c r="AA159" s="1" t="n">
        <v>6722.64</v>
      </c>
      <c r="AB159" s="1" t="n">
        <v>6854.58</v>
      </c>
      <c r="AC159" s="1" t="n">
        <v>45197.73</v>
      </c>
      <c r="AD159" s="1" t="n">
        <v>60676.34</v>
      </c>
      <c r="AE159" s="1" t="n">
        <v>67704.96000000001</v>
      </c>
      <c r="AF159" s="1" t="n">
        <v>73239.78</v>
      </c>
      <c r="AG159" s="1" t="n">
        <v>64216.8</v>
      </c>
      <c r="AH159" s="1" t="n">
        <v>59432.16</v>
      </c>
      <c r="AI159" s="1" t="n">
        <v>59699.85</v>
      </c>
      <c r="AJ159" s="1" t="n">
        <v>59155.68</v>
      </c>
      <c r="AK159" s="1" t="n">
        <v>62159.5</v>
      </c>
      <c r="AL159" s="1" t="n">
        <v>58897.69</v>
      </c>
      <c r="AM159" s="1" t="n">
        <v>58668</v>
      </c>
      <c r="AN159" s="1" t="n">
        <v>55219.08</v>
      </c>
      <c r="AO159" s="1" t="n">
        <v>60422.93</v>
      </c>
      <c r="AP159" s="1" t="n">
        <v>64956.6</v>
      </c>
      <c r="AQ159" s="1" t="n">
        <v>73248.09</v>
      </c>
      <c r="AR159" s="1" t="n">
        <v>86675.61</v>
      </c>
      <c r="AS159" s="1" t="n">
        <v>90109.3</v>
      </c>
      <c r="AT159" s="1" t="n"/>
      <c r="BN159" s="1" t="n">
        <v>6750.6497</v>
      </c>
      <c r="BO159" s="1" t="n">
        <v>6722.6437</v>
      </c>
      <c r="BP159" s="1" t="n">
        <v>6604.5386</v>
      </c>
      <c r="BQ159" s="1" t="n">
        <v>25348.1431</v>
      </c>
      <c r="BR159" s="1" t="n">
        <v>6943.867</v>
      </c>
      <c r="BS159" s="1" t="n">
        <v>6854.5781</v>
      </c>
      <c r="BT159" s="1" t="n">
        <v>6777.8698</v>
      </c>
      <c r="BU159" s="1" t="n">
        <v>32510.2895</v>
      </c>
      <c r="BV159" s="1" t="n">
        <v>38790.3232</v>
      </c>
      <c r="BW159" s="1" t="n">
        <v>45197.727</v>
      </c>
      <c r="BX159" s="1" t="n">
        <v>50569.2239</v>
      </c>
      <c r="BY159" s="1" t="n">
        <v>54025.5745</v>
      </c>
      <c r="BZ159" s="1" t="n">
        <v>56585.8416</v>
      </c>
      <c r="CA159" s="1" t="n">
        <v>60676.3441</v>
      </c>
      <c r="CB159" s="1" t="n">
        <v>65142.0134</v>
      </c>
      <c r="CC159" s="1" t="n">
        <v>63961.4899</v>
      </c>
      <c r="CD159" s="1" t="n">
        <v>64767.7809</v>
      </c>
      <c r="CE159" s="1" t="n">
        <v>67704.9556</v>
      </c>
      <c r="CF159" s="1" t="n">
        <v>71325.757</v>
      </c>
      <c r="CG159" s="1" t="n">
        <v>70468.50599999999</v>
      </c>
      <c r="CH159" s="1" t="n">
        <v>71774.09080000001</v>
      </c>
      <c r="CI159" s="1" t="n">
        <v>73239.783</v>
      </c>
      <c r="CJ159" s="1" t="n">
        <v>73992.52989999999</v>
      </c>
      <c r="CK159" s="1" t="n">
        <v>67835.9721</v>
      </c>
      <c r="CL159" s="1" t="n">
        <v>65195.6457</v>
      </c>
      <c r="CM159" s="1" t="n">
        <v>64216.8001</v>
      </c>
      <c r="CN159" s="1" t="n">
        <v>62526.2583</v>
      </c>
      <c r="CO159" s="1" t="n">
        <v>61779.5414</v>
      </c>
      <c r="CP159" s="1" t="n">
        <v>61002.4668</v>
      </c>
      <c r="CQ159" s="1" t="n">
        <v>59432.1581</v>
      </c>
      <c r="CR159" s="1" t="n">
        <v>59831.9623</v>
      </c>
      <c r="CS159" s="1" t="n">
        <v>59243.3124</v>
      </c>
      <c r="CT159" s="1" t="n">
        <v>59520.5807</v>
      </c>
      <c r="CU159" s="1" t="n">
        <v>59699.8529</v>
      </c>
      <c r="CV159" s="1" t="n">
        <v>64886.3093</v>
      </c>
      <c r="CW159" s="1" t="n">
        <v>64760.9039</v>
      </c>
      <c r="CX159" s="1" t="n">
        <v>60463.5907</v>
      </c>
      <c r="CY159" s="1" t="n">
        <v>59155.6806</v>
      </c>
      <c r="CZ159" s="1" t="n">
        <v>60160.0167</v>
      </c>
      <c r="DA159" s="1" t="n">
        <v>62156.8341</v>
      </c>
      <c r="DB159" s="1" t="n">
        <v>62045.611</v>
      </c>
      <c r="DC159" s="1" t="n">
        <v>62159.5033</v>
      </c>
      <c r="DD159" s="1" t="n">
        <v>64600.9829</v>
      </c>
      <c r="DE159" s="1" t="n">
        <v>62616.8454</v>
      </c>
      <c r="DF159" s="1" t="n">
        <v>61473.4193</v>
      </c>
      <c r="DG159" s="1" t="n">
        <v>58897.6944</v>
      </c>
      <c r="DH159" s="1" t="n">
        <v>56881.5737</v>
      </c>
      <c r="DI159" s="1" t="n">
        <v>56152.793</v>
      </c>
      <c r="DJ159" s="1" t="n">
        <v>54278.1061</v>
      </c>
      <c r="DK159" s="1" t="n">
        <v>58667.9999</v>
      </c>
      <c r="DL159" s="1" t="n">
        <v>58821.3737</v>
      </c>
      <c r="DM159" s="1" t="n">
        <v>60629.4208</v>
      </c>
      <c r="DN159" s="1" t="n">
        <v>57166.9764</v>
      </c>
      <c r="DO159" s="1" t="n">
        <v>55219.0847</v>
      </c>
      <c r="DP159" s="1" t="n">
        <v>57648.31</v>
      </c>
      <c r="DQ159" s="1" t="n">
        <v>57820.5326</v>
      </c>
      <c r="DR159" s="1" t="n">
        <v>56034.9883</v>
      </c>
      <c r="DS159" s="1" t="n">
        <v>60422.9293</v>
      </c>
      <c r="DT159" s="1" t="n">
        <v>63094.2783</v>
      </c>
      <c r="DU159" s="1" t="n">
        <v>64153.5377</v>
      </c>
      <c r="DV159" s="1" t="n">
        <v>62159.2843</v>
      </c>
      <c r="DW159" s="1" t="n">
        <v>64956.5962</v>
      </c>
      <c r="DX159" s="1" t="n">
        <v>67642.003</v>
      </c>
      <c r="DY159" s="1" t="n">
        <v>67720.6961</v>
      </c>
      <c r="DZ159" s="1" t="n">
        <v>67164.92049999999</v>
      </c>
      <c r="EA159" s="1" t="n">
        <v>73248.0894</v>
      </c>
      <c r="EB159" s="1" t="n">
        <v>76330.7594</v>
      </c>
      <c r="EC159" s="1" t="n">
        <v>76640.18889999999</v>
      </c>
      <c r="ED159" s="1" t="n">
        <v>78774.4589</v>
      </c>
      <c r="EE159" s="1" t="n">
        <v>86675.6054</v>
      </c>
      <c r="EF159" s="1" t="n">
        <v>86700.356</v>
      </c>
      <c r="EG159" s="1" t="n">
        <v>79888.49860000001</v>
      </c>
      <c r="EH159" s="1" t="n">
        <v>86125.7735</v>
      </c>
      <c r="EI159" s="1" t="n">
        <v>90109.2972</v>
      </c>
      <c r="EJ159" s="1" t="n">
        <v>96186.3029</v>
      </c>
      <c r="EK159" s="1" t="n">
        <v>98867.0367</v>
      </c>
      <c r="EL159" s="1" t="n">
        <v>104390.4103</v>
      </c>
      <c r="EM159" s="1" t="n">
        <v>110961.853</v>
      </c>
    </row>
    <row r="160">
      <c r="A160" s="3" t="inlineStr">
        <is>
          <t>所有者权益(或股东权益)：</t>
        </is>
      </c>
      <c r="EM160" s="1" t="inlineStr"/>
    </row>
    <row r="161">
      <c r="A161" s="2" t="inlineStr">
        <is>
          <t xml:space="preserve">    实收资本(或股本)</t>
        </is>
      </c>
      <c r="B161" s="1" t="n">
        <v>450</v>
      </c>
      <c r="C161" s="1" t="n">
        <v>817</v>
      </c>
      <c r="D161" s="1" t="n">
        <v>882</v>
      </c>
      <c r="E161" s="1" t="n">
        <v>1001.93</v>
      </c>
      <c r="F161" s="1" t="n">
        <v>2003.86</v>
      </c>
      <c r="G161" s="1" t="n">
        <v>2003.86</v>
      </c>
      <c r="H161" s="1" t="n">
        <v>2003.86</v>
      </c>
      <c r="I161" s="1" t="n">
        <v>2003.86</v>
      </c>
      <c r="J161" s="1" t="n">
        <v>2003.86</v>
      </c>
      <c r="K161" s="1" t="n">
        <v>2336.9004</v>
      </c>
      <c r="L161" s="1" t="n">
        <v>2336.9004</v>
      </c>
      <c r="M161" s="1" t="n">
        <v>2336.9004</v>
      </c>
      <c r="N161" s="1" t="n">
        <v>3090.8034</v>
      </c>
      <c r="O161" s="1" t="n">
        <v>3090.8034</v>
      </c>
      <c r="P161" s="1" t="n">
        <v>3119.7641</v>
      </c>
      <c r="Q161" s="1" t="n">
        <v>3119.1511</v>
      </c>
      <c r="R161" s="1" t="n">
        <v>3118.8078</v>
      </c>
      <c r="S161" s="1" t="n">
        <v>3118.5338</v>
      </c>
      <c r="T161" s="1" t="n">
        <v>3117.4995</v>
      </c>
      <c r="AA161" s="1" t="n">
        <v>450</v>
      </c>
      <c r="AB161" s="1" t="n">
        <v>450</v>
      </c>
      <c r="AC161" s="1" t="n">
        <v>817</v>
      </c>
      <c r="AD161" s="1" t="n">
        <v>882</v>
      </c>
      <c r="AE161" s="1" t="n">
        <v>1001.93</v>
      </c>
      <c r="AF161" s="1" t="n">
        <v>2003.86</v>
      </c>
      <c r="AG161" s="1" t="n">
        <v>2003.86</v>
      </c>
      <c r="AH161" s="1" t="n">
        <v>2003.86</v>
      </c>
      <c r="AI161" s="1" t="n">
        <v>2003.86</v>
      </c>
      <c r="AJ161" s="1" t="n">
        <v>2336.9</v>
      </c>
      <c r="AK161" s="1" t="n">
        <v>2336.9</v>
      </c>
      <c r="AL161" s="1" t="n">
        <v>2336.9</v>
      </c>
      <c r="AM161" s="1" t="n">
        <v>3090.8</v>
      </c>
      <c r="AN161" s="1" t="n">
        <v>3090.8</v>
      </c>
      <c r="AO161" s="1" t="n">
        <v>3118.79</v>
      </c>
      <c r="AP161" s="1" t="n">
        <v>3119.63</v>
      </c>
      <c r="AQ161" s="1" t="n">
        <v>3119</v>
      </c>
      <c r="AR161" s="1" t="n">
        <v>3118.53</v>
      </c>
      <c r="AS161" s="1" t="n">
        <v>3117.5</v>
      </c>
      <c r="AT161" s="1" t="n"/>
      <c r="BN161" s="1" t="n">
        <v>450</v>
      </c>
      <c r="BO161" s="1" t="n">
        <v>450</v>
      </c>
      <c r="BP161" s="1" t="n">
        <v>450</v>
      </c>
      <c r="BQ161" s="1" t="n">
        <v>450</v>
      </c>
      <c r="BR161" s="1" t="n">
        <v>450</v>
      </c>
      <c r="BS161" s="1" t="n">
        <v>450</v>
      </c>
      <c r="BT161" s="1" t="n">
        <v>450</v>
      </c>
      <c r="BU161" s="1" t="n">
        <v>817</v>
      </c>
      <c r="BV161" s="1" t="n">
        <v>817</v>
      </c>
      <c r="BW161" s="1" t="n">
        <v>817</v>
      </c>
      <c r="BX161" s="1" t="n">
        <v>817</v>
      </c>
      <c r="BY161" s="1" t="n">
        <v>882</v>
      </c>
      <c r="BZ161" s="1" t="n">
        <v>882</v>
      </c>
      <c r="CA161" s="1" t="n">
        <v>882</v>
      </c>
      <c r="CB161" s="1" t="n">
        <v>882</v>
      </c>
      <c r="CC161" s="1" t="n">
        <v>1001.93</v>
      </c>
      <c r="CD161" s="1" t="n">
        <v>1001.93</v>
      </c>
      <c r="CE161" s="1" t="n">
        <v>1001.93</v>
      </c>
      <c r="CF161" s="1" t="n">
        <v>2003.86</v>
      </c>
      <c r="CG161" s="1" t="n">
        <v>2003.86</v>
      </c>
      <c r="CH161" s="1" t="n">
        <v>2003.86</v>
      </c>
      <c r="CI161" s="1" t="n">
        <v>2003.86</v>
      </c>
      <c r="CJ161" s="1" t="n">
        <v>2003.86</v>
      </c>
      <c r="CK161" s="1" t="n">
        <v>2003.86</v>
      </c>
      <c r="CL161" s="1" t="n">
        <v>2003.86</v>
      </c>
      <c r="CM161" s="1" t="n">
        <v>2003.86</v>
      </c>
      <c r="CN161" s="1" t="n">
        <v>2003.86</v>
      </c>
      <c r="CO161" s="1" t="n">
        <v>2003.86</v>
      </c>
      <c r="CP161" s="1" t="n">
        <v>2003.86</v>
      </c>
      <c r="CQ161" s="1" t="n">
        <v>2003.86</v>
      </c>
      <c r="CR161" s="1" t="n">
        <v>2003.86</v>
      </c>
      <c r="CS161" s="1" t="n">
        <v>2003.86</v>
      </c>
      <c r="CT161" s="1" t="n">
        <v>2003.86</v>
      </c>
      <c r="CU161" s="1" t="n">
        <v>2003.86</v>
      </c>
      <c r="CV161" s="1" t="n">
        <v>2003.86</v>
      </c>
      <c r="CW161" s="1" t="n">
        <v>2003.86</v>
      </c>
      <c r="CX161" s="1" t="n">
        <v>2336.9004</v>
      </c>
      <c r="CY161" s="1" t="n">
        <v>2336.9004</v>
      </c>
      <c r="CZ161" s="1" t="n">
        <v>2336.9004</v>
      </c>
      <c r="DA161" s="1" t="n">
        <v>2336.9004</v>
      </c>
      <c r="DB161" s="1" t="n">
        <v>2336.9004</v>
      </c>
      <c r="DC161" s="1" t="n">
        <v>2336.9004</v>
      </c>
      <c r="DD161" s="1" t="n">
        <v>2336.9004</v>
      </c>
      <c r="DE161" s="1" t="n">
        <v>2336.9004</v>
      </c>
      <c r="DF161" s="1" t="n">
        <v>2336.9004</v>
      </c>
      <c r="DG161" s="1" t="n">
        <v>2336.9004</v>
      </c>
      <c r="DH161" s="1" t="n">
        <v>2336.9004</v>
      </c>
      <c r="DI161" s="1" t="n">
        <v>2336.9004</v>
      </c>
      <c r="DJ161" s="1" t="n">
        <v>2336.9004</v>
      </c>
      <c r="DK161" s="1" t="n">
        <v>3090.8034</v>
      </c>
      <c r="DL161" s="1" t="n">
        <v>3090.8034</v>
      </c>
      <c r="DM161" s="1" t="n">
        <v>3090.8034</v>
      </c>
      <c r="DN161" s="1" t="n">
        <v>3090.8034</v>
      </c>
      <c r="DO161" s="1" t="n">
        <v>3090.8034</v>
      </c>
      <c r="DP161" s="1" t="n">
        <v>3090.8034</v>
      </c>
      <c r="DQ161" s="1" t="n">
        <v>3090.8034</v>
      </c>
      <c r="DR161" s="1" t="n">
        <v>3118.7921</v>
      </c>
      <c r="DS161" s="1" t="n">
        <v>3118.7921</v>
      </c>
      <c r="DT161" s="1" t="n">
        <v>3118.7921</v>
      </c>
      <c r="DU161" s="1" t="n">
        <v>3119.7641</v>
      </c>
      <c r="DV161" s="1" t="n">
        <v>3119.7641</v>
      </c>
      <c r="DW161" s="1" t="n">
        <v>3119.6261</v>
      </c>
      <c r="DX161" s="1" t="n">
        <v>3119.1511</v>
      </c>
      <c r="DY161" s="1" t="n">
        <v>3119.1511</v>
      </c>
      <c r="DZ161" s="1" t="n">
        <v>3119.1511</v>
      </c>
      <c r="EA161" s="1" t="n">
        <v>3119.0011</v>
      </c>
      <c r="EB161" s="1" t="n">
        <v>3118.8078</v>
      </c>
      <c r="EC161" s="1" t="n">
        <v>3118.8078</v>
      </c>
      <c r="ED161" s="1" t="n">
        <v>3118.5338</v>
      </c>
      <c r="EE161" s="1" t="n">
        <v>3118.5338</v>
      </c>
      <c r="EF161" s="1" t="n">
        <v>3118.5338</v>
      </c>
      <c r="EG161" s="1" t="n">
        <v>3118.5338</v>
      </c>
      <c r="EH161" s="1" t="n">
        <v>3118.5338</v>
      </c>
      <c r="EI161" s="1" t="n">
        <v>3117.4995</v>
      </c>
      <c r="EJ161" s="1" t="n">
        <v>3117.4995</v>
      </c>
      <c r="EK161" s="1" t="n">
        <v>3117.4995</v>
      </c>
      <c r="EL161" s="1" t="n">
        <v>3117.4821</v>
      </c>
      <c r="EM161" s="1" t="n">
        <v>3390.36</v>
      </c>
    </row>
    <row r="162">
      <c r="A162" s="2" t="inlineStr">
        <is>
          <t xml:space="preserve">    其它权益工具</t>
        </is>
      </c>
      <c r="ED162" s="1" t="n">
        <v>0</v>
      </c>
      <c r="EH162" s="1" t="n">
        <v>0</v>
      </c>
      <c r="EM162" s="1" t="inlineStr"/>
    </row>
    <row r="163">
      <c r="A163" s="2" t="inlineStr">
        <is>
          <t xml:space="preserve">        其中：优先股</t>
        </is>
      </c>
      <c r="EM163" s="1" t="inlineStr"/>
    </row>
    <row r="164">
      <c r="A164" s="2" t="inlineStr">
        <is>
          <t xml:space="preserve">                    永续债</t>
        </is>
      </c>
      <c r="EM164" s="1" t="inlineStr"/>
    </row>
    <row r="165">
      <c r="A165" s="2" t="inlineStr">
        <is>
          <t xml:space="preserve">    资本公积金</t>
        </is>
      </c>
      <c r="B165" s="1" t="n">
        <v>2731.2941</v>
      </c>
      <c r="D165" s="1" t="n">
        <v>1232.3931</v>
      </c>
      <c r="E165" s="1" t="n">
        <v>6104.621</v>
      </c>
      <c r="F165" s="1" t="n">
        <v>5094.2554</v>
      </c>
      <c r="G165" s="1" t="n">
        <v>5075.1807</v>
      </c>
      <c r="H165" s="1" t="n">
        <v>5074.0966</v>
      </c>
      <c r="I165" s="1" t="n">
        <v>4969.294</v>
      </c>
      <c r="J165" s="1" t="n">
        <v>5895.5078</v>
      </c>
      <c r="K165" s="1" t="n">
        <v>8828.517</v>
      </c>
      <c r="L165" s="1" t="n">
        <v>8828.262500000001</v>
      </c>
      <c r="M165" s="1" t="n">
        <v>8828.339900000001</v>
      </c>
      <c r="N165" s="1" t="n">
        <v>11251.8743</v>
      </c>
      <c r="O165" s="1" t="n">
        <v>11345.3392</v>
      </c>
      <c r="P165" s="1" t="n">
        <v>11584.176</v>
      </c>
      <c r="Q165" s="1" t="n">
        <v>11443.4918</v>
      </c>
      <c r="R165" s="1" t="n">
        <v>11644.9566</v>
      </c>
      <c r="S165" s="1" t="n">
        <v>11566.0066</v>
      </c>
      <c r="T165" s="1" t="n">
        <v>11559.8265</v>
      </c>
      <c r="AA165" s="1" t="n">
        <v>778.34</v>
      </c>
      <c r="AB165" s="1" t="n">
        <v>602.98</v>
      </c>
      <c r="AD165" s="1" t="n">
        <v>1232.39</v>
      </c>
      <c r="AE165" s="1" t="n">
        <v>6104.62</v>
      </c>
      <c r="AF165" s="1" t="n">
        <v>5074.26</v>
      </c>
      <c r="AG165" s="1" t="n">
        <v>5089.42</v>
      </c>
      <c r="AH165" s="1" t="n">
        <v>4991.17</v>
      </c>
      <c r="AI165" s="1" t="n">
        <v>4990.03</v>
      </c>
      <c r="AJ165" s="1" t="n">
        <v>8828.540000000001</v>
      </c>
      <c r="AK165" s="1" t="n">
        <v>8828.52</v>
      </c>
      <c r="AL165" s="1" t="n">
        <v>8828.26</v>
      </c>
      <c r="AM165" s="1" t="n">
        <v>11175.22</v>
      </c>
      <c r="AN165" s="1" t="n">
        <v>11251.87</v>
      </c>
      <c r="AO165" s="1" t="n">
        <v>11331.96</v>
      </c>
      <c r="AP165" s="1" t="n">
        <v>11583.47</v>
      </c>
      <c r="AQ165" s="1" t="n">
        <v>11417.38</v>
      </c>
      <c r="AR165" s="1" t="n">
        <v>11569.66</v>
      </c>
      <c r="AS165" s="1" t="n">
        <v>11561.88</v>
      </c>
      <c r="AT165" s="1" t="n"/>
      <c r="BN165" s="1" t="n">
        <v>757.5717</v>
      </c>
      <c r="BO165" s="1" t="n">
        <v>778.3389</v>
      </c>
      <c r="BP165" s="1" t="n">
        <v>778.1382</v>
      </c>
      <c r="BQ165" s="1" t="n">
        <v>2731.2941</v>
      </c>
      <c r="BR165" s="1" t="n">
        <v>608.5869</v>
      </c>
      <c r="BS165" s="1" t="n">
        <v>602.9841</v>
      </c>
      <c r="BT165" s="1" t="n">
        <v>602.9841</v>
      </c>
      <c r="BY165" s="1" t="n">
        <v>1232.3931</v>
      </c>
      <c r="BZ165" s="1" t="n">
        <v>1232.3931</v>
      </c>
      <c r="CA165" s="1" t="n">
        <v>1232.3931</v>
      </c>
      <c r="CB165" s="1" t="n">
        <v>1232.3931</v>
      </c>
      <c r="CC165" s="1" t="n">
        <v>6104.621</v>
      </c>
      <c r="CD165" s="1" t="n">
        <v>6104.621</v>
      </c>
      <c r="CE165" s="1" t="n">
        <v>6104.621</v>
      </c>
      <c r="CF165" s="1" t="n">
        <v>5102.691</v>
      </c>
      <c r="CG165" s="1" t="n">
        <v>5094.2554</v>
      </c>
      <c r="CH165" s="1" t="n">
        <v>5082.7055</v>
      </c>
      <c r="CI165" s="1" t="n">
        <v>5074.2562</v>
      </c>
      <c r="CJ165" s="1" t="n">
        <v>5020.1066</v>
      </c>
      <c r="CK165" s="1" t="n">
        <v>5075.1807</v>
      </c>
      <c r="CL165" s="1" t="n">
        <v>5065.7249</v>
      </c>
      <c r="CM165" s="1" t="n">
        <v>5089.4155</v>
      </c>
      <c r="CN165" s="1" t="n">
        <v>5039.4048</v>
      </c>
      <c r="CO165" s="1" t="n">
        <v>5074.0966</v>
      </c>
      <c r="CP165" s="1" t="n">
        <v>5069.7738</v>
      </c>
      <c r="CQ165" s="1" t="n">
        <v>4991.1715</v>
      </c>
      <c r="CR165" s="1" t="n">
        <v>4965.1005</v>
      </c>
      <c r="CS165" s="1" t="n">
        <v>4969.294</v>
      </c>
      <c r="CT165" s="1" t="n">
        <v>4978.3419</v>
      </c>
      <c r="CU165" s="1" t="n">
        <v>4990.0326</v>
      </c>
      <c r="CV165" s="1" t="n">
        <v>5868.403</v>
      </c>
      <c r="CW165" s="1" t="n">
        <v>5895.5078</v>
      </c>
      <c r="CX165" s="1" t="n">
        <v>8828.5393</v>
      </c>
      <c r="CY165" s="1" t="n">
        <v>8828.5393</v>
      </c>
      <c r="CZ165" s="1" t="n">
        <v>8828.5393</v>
      </c>
      <c r="DA165" s="1" t="n">
        <v>8828.517</v>
      </c>
      <c r="DB165" s="1" t="n">
        <v>8828.517</v>
      </c>
      <c r="DC165" s="1" t="n">
        <v>8828.517</v>
      </c>
      <c r="DD165" s="1" t="n">
        <v>8828.517</v>
      </c>
      <c r="DE165" s="1" t="n">
        <v>8828.262500000001</v>
      </c>
      <c r="DF165" s="1" t="n">
        <v>8828.262500000001</v>
      </c>
      <c r="DG165" s="1" t="n">
        <v>8828.262500000001</v>
      </c>
      <c r="DH165" s="1" t="n">
        <v>8828.262500000001</v>
      </c>
      <c r="DI165" s="1" t="n">
        <v>8828.339900000001</v>
      </c>
      <c r="DJ165" s="1" t="n">
        <v>8828.339900000001</v>
      </c>
      <c r="DK165" s="1" t="n">
        <v>11175.2151</v>
      </c>
      <c r="DL165" s="1" t="n">
        <v>11175.2151</v>
      </c>
      <c r="DM165" s="1" t="n">
        <v>11251.8743</v>
      </c>
      <c r="DN165" s="1" t="n">
        <v>11251.8743</v>
      </c>
      <c r="DO165" s="1" t="n">
        <v>11251.8743</v>
      </c>
      <c r="DP165" s="1" t="n">
        <v>11251.8743</v>
      </c>
      <c r="DQ165" s="1" t="n">
        <v>11345.3392</v>
      </c>
      <c r="DR165" s="1" t="n">
        <v>11317.3505</v>
      </c>
      <c r="DS165" s="1" t="n">
        <v>11331.9602</v>
      </c>
      <c r="DT165" s="1" t="n">
        <v>11393.5548</v>
      </c>
      <c r="DU165" s="1" t="n">
        <v>11584.176</v>
      </c>
      <c r="DV165" s="1" t="n">
        <v>11584.176</v>
      </c>
      <c r="DW165" s="1" t="n">
        <v>11583.4674</v>
      </c>
      <c r="DX165" s="1" t="n">
        <v>11581.304</v>
      </c>
      <c r="DY165" s="1" t="n">
        <v>11443.4918</v>
      </c>
      <c r="DZ165" s="1" t="n">
        <v>11541.0085</v>
      </c>
      <c r="EA165" s="1" t="n">
        <v>11417.3759</v>
      </c>
      <c r="EB165" s="1" t="n">
        <v>11410.3659</v>
      </c>
      <c r="EC165" s="1" t="n">
        <v>11644.9566</v>
      </c>
      <c r="ED165" s="1" t="n">
        <v>11643.7743</v>
      </c>
      <c r="EE165" s="1" t="n">
        <v>11569.6577</v>
      </c>
      <c r="EF165" s="1" t="n">
        <v>11599.8859</v>
      </c>
      <c r="EG165" s="1" t="n">
        <v>11566.0066</v>
      </c>
      <c r="EH165" s="1" t="n">
        <v>11566.0066</v>
      </c>
      <c r="EI165" s="1" t="n">
        <v>11561.8791</v>
      </c>
      <c r="EJ165" s="1" t="n">
        <v>11561.8791</v>
      </c>
      <c r="EK165" s="1" t="n">
        <v>11559.8265</v>
      </c>
      <c r="EL165" s="1" t="n">
        <v>11559.195</v>
      </c>
      <c r="EM165" s="1" t="n">
        <v>14355.749</v>
      </c>
    </row>
    <row r="166">
      <c r="A166" s="2" t="inlineStr">
        <is>
          <t xml:space="preserve">    减：库存股</t>
        </is>
      </c>
      <c r="O166" s="1" t="n">
        <v>165.973</v>
      </c>
      <c r="P166" s="1" t="n">
        <v>172.3299</v>
      </c>
      <c r="Q166" s="1" t="n">
        <v>168.649</v>
      </c>
      <c r="R166" s="1" t="n">
        <v>112.5502</v>
      </c>
      <c r="S166" s="1" t="n">
        <v>111.0939</v>
      </c>
      <c r="T166" s="1" t="n">
        <v>0.6489</v>
      </c>
      <c r="AO166" s="1" t="n">
        <v>165.97</v>
      </c>
      <c r="AP166" s="1" t="n">
        <v>171.51</v>
      </c>
      <c r="AQ166" s="1" t="n">
        <v>113.82</v>
      </c>
      <c r="AR166" s="1" t="n">
        <v>111.09</v>
      </c>
      <c r="AS166" s="1" t="n">
        <v>105.93</v>
      </c>
      <c r="DQ166" s="1" t="n">
        <v>165.973</v>
      </c>
      <c r="DR166" s="1" t="n">
        <v>165.973</v>
      </c>
      <c r="DS166" s="1" t="n">
        <v>165.973</v>
      </c>
      <c r="DT166" s="1" t="n">
        <v>165.973</v>
      </c>
      <c r="DU166" s="1" t="n">
        <v>172.3299</v>
      </c>
      <c r="DV166" s="1" t="n">
        <v>172.3299</v>
      </c>
      <c r="DW166" s="1" t="n">
        <v>171.5115</v>
      </c>
      <c r="DX166" s="1" t="n">
        <v>168.649</v>
      </c>
      <c r="DY166" s="1" t="n">
        <v>168.649</v>
      </c>
      <c r="DZ166" s="1" t="n">
        <v>168.5913</v>
      </c>
      <c r="EA166" s="1" t="n">
        <v>113.8156</v>
      </c>
      <c r="EB166" s="1" t="n">
        <v>112.5502</v>
      </c>
      <c r="EC166" s="1" t="n">
        <v>112.5502</v>
      </c>
      <c r="ED166" s="1" t="n">
        <v>111.0939</v>
      </c>
      <c r="EE166" s="1" t="n">
        <v>111.0939</v>
      </c>
      <c r="EF166" s="1" t="n">
        <v>111.0939</v>
      </c>
      <c r="EG166" s="1" t="n">
        <v>111.0939</v>
      </c>
      <c r="EH166" s="1" t="n">
        <v>111.0939</v>
      </c>
      <c r="EI166" s="1" t="n">
        <v>105.932</v>
      </c>
      <c r="EJ166" s="1" t="n">
        <v>105.932</v>
      </c>
      <c r="EK166" s="1" t="n">
        <v>0.6489</v>
      </c>
    </row>
    <row r="167">
      <c r="A167" s="2" t="inlineStr">
        <is>
          <t xml:space="preserve">    其它综合收益</t>
        </is>
      </c>
      <c r="J167" s="1" t="n">
        <v>-35.88</v>
      </c>
      <c r="K167" s="1" t="n">
        <v>-34.0937</v>
      </c>
      <c r="L167" s="1" t="n">
        <v>-28.7629</v>
      </c>
      <c r="M167" s="1" t="n">
        <v>-29.5845</v>
      </c>
      <c r="N167" s="1" t="n">
        <v>-33.4005</v>
      </c>
      <c r="O167" s="1" t="n">
        <v>-24.418</v>
      </c>
      <c r="P167" s="1" t="n">
        <v>-67.9181</v>
      </c>
      <c r="Q167" s="1" t="n">
        <v>-68.9556</v>
      </c>
      <c r="R167" s="1" t="n">
        <v>0.263</v>
      </c>
      <c r="S167" s="1" t="n">
        <v>-129.9542</v>
      </c>
      <c r="T167" s="1" t="n">
        <v>-120.0822</v>
      </c>
      <c r="AJ167" s="1" t="n">
        <v>-37.7</v>
      </c>
      <c r="AK167" s="1" t="n">
        <v>-33.86</v>
      </c>
      <c r="AL167" s="1" t="n">
        <v>-25.73</v>
      </c>
      <c r="AM167" s="1" t="n">
        <v>34.51</v>
      </c>
      <c r="AN167" s="1" t="n">
        <v>-30.79</v>
      </c>
      <c r="AO167" s="1" t="n">
        <v>-21.77</v>
      </c>
      <c r="AP167" s="1" t="n">
        <v>-76.31999999999999</v>
      </c>
      <c r="AQ167" s="1" t="n">
        <v>-34.26</v>
      </c>
      <c r="AR167" s="1" t="n">
        <v>-53.98</v>
      </c>
      <c r="AS167" s="1" t="n">
        <v>-173.43</v>
      </c>
      <c r="AT167" s="1" t="n"/>
      <c r="CW167" s="1" t="n">
        <v>-35.88</v>
      </c>
      <c r="CX167" s="1" t="n">
        <v>-32.5257</v>
      </c>
      <c r="CY167" s="1" t="n">
        <v>-37.6968</v>
      </c>
      <c r="CZ167" s="1" t="n">
        <v>-37.0121</v>
      </c>
      <c r="DA167" s="1" t="n">
        <v>-34.0937</v>
      </c>
      <c r="DB167" s="1" t="n">
        <v>-35.0329</v>
      </c>
      <c r="DC167" s="1" t="n">
        <v>-33.8565</v>
      </c>
      <c r="DD167" s="1" t="n">
        <v>-30.8102</v>
      </c>
      <c r="DE167" s="1" t="n">
        <v>-28.7629</v>
      </c>
      <c r="DF167" s="1" t="n">
        <v>-23.4901</v>
      </c>
      <c r="DG167" s="1" t="n">
        <v>-25.7266</v>
      </c>
      <c r="DH167" s="1" t="n">
        <v>-30.8041</v>
      </c>
      <c r="DI167" s="1" t="n">
        <v>-29.5845</v>
      </c>
      <c r="DJ167" s="1" t="n">
        <v>-36.3819</v>
      </c>
      <c r="DK167" s="1" t="n">
        <v>34.5133</v>
      </c>
      <c r="DL167" s="1" t="n">
        <v>49.8856</v>
      </c>
      <c r="DM167" s="1" t="n">
        <v>-33.4005</v>
      </c>
      <c r="DN167" s="1" t="n">
        <v>-42.4794</v>
      </c>
      <c r="DO167" s="1" t="n">
        <v>-30.7906</v>
      </c>
      <c r="DP167" s="1" t="n">
        <v>-14.9149</v>
      </c>
      <c r="DQ167" s="1" t="n">
        <v>-24.418</v>
      </c>
      <c r="DR167" s="1" t="n">
        <v>-24.21</v>
      </c>
      <c r="DS167" s="1" t="n">
        <v>-21.767</v>
      </c>
      <c r="DT167" s="1" t="n">
        <v>-48.0071</v>
      </c>
      <c r="DU167" s="1" t="n">
        <v>-67.9181</v>
      </c>
      <c r="DV167" s="1" t="n">
        <v>-63.5781</v>
      </c>
      <c r="DW167" s="1" t="n">
        <v>-76.321</v>
      </c>
      <c r="DX167" s="1" t="n">
        <v>-73.735</v>
      </c>
      <c r="DY167" s="1" t="n">
        <v>-68.9556</v>
      </c>
      <c r="DZ167" s="1" t="n">
        <v>-68.9374</v>
      </c>
      <c r="EA167" s="1" t="n">
        <v>-34.2601</v>
      </c>
      <c r="EB167" s="1" t="n">
        <v>1.1071</v>
      </c>
      <c r="EC167" s="1" t="n">
        <v>0.263</v>
      </c>
      <c r="ED167" s="1" t="n">
        <v>-0.335</v>
      </c>
      <c r="EE167" s="1" t="n">
        <v>-53.9842</v>
      </c>
      <c r="EF167" s="1" t="n">
        <v>-108.7338</v>
      </c>
      <c r="EG167" s="1" t="n">
        <v>-129.9542</v>
      </c>
      <c r="EH167" s="1" t="n">
        <v>-144.1386</v>
      </c>
      <c r="EI167" s="1" t="n">
        <v>-173.4327</v>
      </c>
      <c r="EJ167" s="1" t="n">
        <v>-58.7591</v>
      </c>
      <c r="EK167" s="1" t="n">
        <v>-120.0822</v>
      </c>
      <c r="EL167" s="1" t="n">
        <v>-111.9858</v>
      </c>
      <c r="EM167" s="1" t="n">
        <v>-147.247</v>
      </c>
    </row>
    <row r="168">
      <c r="A168" s="2" t="inlineStr">
        <is>
          <t xml:space="preserve">    专项储备</t>
        </is>
      </c>
      <c r="H168" s="1" t="n">
        <v>8.196300000000001</v>
      </c>
      <c r="I168" s="1" t="n">
        <v>15.6844</v>
      </c>
      <c r="J168" s="1" t="n">
        <v>22.2582</v>
      </c>
      <c r="K168" s="1" t="n">
        <v>33.1674</v>
      </c>
      <c r="L168" s="1" t="n">
        <v>45.3149</v>
      </c>
      <c r="M168" s="1" t="n">
        <v>50.0585</v>
      </c>
      <c r="N168" s="1" t="n">
        <v>79.3952</v>
      </c>
      <c r="O168" s="1" t="n">
        <v>76.1027</v>
      </c>
      <c r="P168" s="1" t="n">
        <v>88.5086</v>
      </c>
      <c r="Q168" s="1" t="n">
        <v>109.3751</v>
      </c>
      <c r="R168" s="1" t="n">
        <v>129.4259</v>
      </c>
      <c r="S168" s="1" t="n">
        <v>126.394</v>
      </c>
      <c r="T168" s="1" t="n">
        <v>124.1932</v>
      </c>
      <c r="AH168" s="1" t="n">
        <v>20.57</v>
      </c>
      <c r="AI168" s="1" t="n">
        <v>30.08</v>
      </c>
      <c r="AJ168" s="1" t="n">
        <v>37.57</v>
      </c>
      <c r="AK168" s="1" t="n">
        <v>45.69</v>
      </c>
      <c r="AL168" s="1" t="n">
        <v>59.64</v>
      </c>
      <c r="AM168" s="1" t="n">
        <v>86.48</v>
      </c>
      <c r="AN168" s="1" t="n">
        <v>91.97</v>
      </c>
      <c r="AO168" s="1" t="n">
        <v>91.59999999999999</v>
      </c>
      <c r="AP168" s="1" t="n">
        <v>110.31</v>
      </c>
      <c r="AQ168" s="1" t="n">
        <v>135.16</v>
      </c>
      <c r="AR168" s="1" t="n">
        <v>144.85</v>
      </c>
      <c r="AS168" s="1" t="n">
        <v>142.69</v>
      </c>
      <c r="AT168" s="1" t="n"/>
      <c r="CO168" s="1" t="n">
        <v>8.196300000000001</v>
      </c>
      <c r="CP168" s="1" t="n">
        <v>12.4926</v>
      </c>
      <c r="CQ168" s="1" t="n">
        <v>20.5703</v>
      </c>
      <c r="CR168" s="1" t="n">
        <v>15.5131</v>
      </c>
      <c r="CS168" s="1" t="n">
        <v>15.6844</v>
      </c>
      <c r="CT168" s="1" t="n">
        <v>27.7851</v>
      </c>
      <c r="CU168" s="1" t="n">
        <v>30.0831</v>
      </c>
      <c r="CV168" s="1" t="n">
        <v>30.2046</v>
      </c>
      <c r="CW168" s="1" t="n">
        <v>22.2582</v>
      </c>
      <c r="CX168" s="1" t="n">
        <v>25.8935</v>
      </c>
      <c r="CY168" s="1" t="n">
        <v>37.5719</v>
      </c>
      <c r="CZ168" s="1" t="n">
        <v>33.1673</v>
      </c>
      <c r="DA168" s="1" t="n">
        <v>33.1674</v>
      </c>
      <c r="DB168" s="1" t="n">
        <v>47.8207</v>
      </c>
      <c r="DC168" s="1" t="n">
        <v>45.6885</v>
      </c>
      <c r="DD168" s="1" t="n">
        <v>39.6299</v>
      </c>
      <c r="DE168" s="1" t="n">
        <v>45.3149</v>
      </c>
      <c r="DF168" s="1" t="n">
        <v>60.0101</v>
      </c>
      <c r="DG168" s="1" t="n">
        <v>59.6414</v>
      </c>
      <c r="DH168" s="1" t="n">
        <v>52.9129</v>
      </c>
      <c r="DI168" s="1" t="n">
        <v>50.0585</v>
      </c>
      <c r="DJ168" s="1" t="n">
        <v>61.4353</v>
      </c>
      <c r="DK168" s="1" t="n">
        <v>86.48090000000001</v>
      </c>
      <c r="DL168" s="1" t="n">
        <v>74.6704</v>
      </c>
      <c r="DM168" s="1" t="n">
        <v>79.3952</v>
      </c>
      <c r="DN168" s="1" t="n">
        <v>90.51519999999999</v>
      </c>
      <c r="DO168" s="1" t="n">
        <v>91.9663</v>
      </c>
      <c r="DP168" s="1" t="n">
        <v>87.27200000000001</v>
      </c>
      <c r="DQ168" s="1" t="n">
        <v>76.1027</v>
      </c>
      <c r="DR168" s="1" t="n">
        <v>87.77509999999999</v>
      </c>
      <c r="DS168" s="1" t="n">
        <v>91.5996</v>
      </c>
      <c r="DT168" s="1" t="n">
        <v>92.58450000000001</v>
      </c>
      <c r="DU168" s="1" t="n">
        <v>88.5086</v>
      </c>
      <c r="DV168" s="1" t="n">
        <v>104.5141</v>
      </c>
      <c r="DW168" s="1" t="n">
        <v>110.3081</v>
      </c>
      <c r="DX168" s="1" t="n">
        <v>111.8794</v>
      </c>
      <c r="DY168" s="1" t="n">
        <v>109.3751</v>
      </c>
      <c r="DZ168" s="1" t="n">
        <v>130.7583</v>
      </c>
      <c r="EA168" s="1" t="n">
        <v>135.1567</v>
      </c>
      <c r="EB168" s="1" t="n">
        <v>136.3033</v>
      </c>
      <c r="EC168" s="1" t="n">
        <v>129.4259</v>
      </c>
      <c r="ED168" s="1" t="n">
        <v>143.1594</v>
      </c>
      <c r="EE168" s="1" t="n">
        <v>144.8518</v>
      </c>
      <c r="EF168" s="1" t="n">
        <v>143.3618</v>
      </c>
      <c r="EG168" s="1" t="n">
        <v>126.394</v>
      </c>
      <c r="EH168" s="1" t="n">
        <v>142.1648</v>
      </c>
      <c r="EI168" s="1" t="n">
        <v>142.6877</v>
      </c>
      <c r="EJ168" s="1" t="n">
        <v>138.8799</v>
      </c>
      <c r="EK168" s="1" t="n">
        <v>124.1932</v>
      </c>
      <c r="EL168" s="1" t="n">
        <v>139.8925</v>
      </c>
      <c r="EM168" s="1" t="n">
        <v>142.076</v>
      </c>
    </row>
    <row r="169">
      <c r="A169" s="2" t="inlineStr">
        <is>
          <t xml:space="preserve">    盈余公积金</t>
        </is>
      </c>
      <c r="B169" s="1" t="n">
        <v>519.0172</v>
      </c>
      <c r="C169" s="1" t="n">
        <v>405.526</v>
      </c>
      <c r="E169" s="1" t="n">
        <v>38.0563</v>
      </c>
      <c r="F169" s="1" t="n">
        <v>151.9427</v>
      </c>
      <c r="G169" s="1" t="n">
        <v>319.6345</v>
      </c>
      <c r="H169" s="1" t="n">
        <v>453.4921</v>
      </c>
      <c r="I169" s="1" t="n">
        <v>578.4739</v>
      </c>
      <c r="J169" s="1" t="n">
        <v>674.1027</v>
      </c>
      <c r="K169" s="1" t="n">
        <v>730.7514</v>
      </c>
      <c r="L169" s="1" t="n">
        <v>769.093</v>
      </c>
      <c r="M169" s="1" t="n">
        <v>774.9139</v>
      </c>
      <c r="N169" s="1" t="n">
        <v>871.2732</v>
      </c>
      <c r="O169" s="1" t="n">
        <v>907.175</v>
      </c>
      <c r="P169" s="1" t="n">
        <v>972.8054</v>
      </c>
      <c r="Q169" s="1" t="n">
        <v>1086.9319</v>
      </c>
      <c r="R169" s="1" t="n">
        <v>1201.5035</v>
      </c>
      <c r="S169" s="1" t="n">
        <v>1337.1328</v>
      </c>
      <c r="T169" s="1" t="n">
        <v>1424.8892</v>
      </c>
      <c r="AA169" s="1" t="n">
        <v>151.24</v>
      </c>
      <c r="AB169" s="1" t="n">
        <v>226.98</v>
      </c>
      <c r="AE169" s="1" t="n">
        <v>38.06</v>
      </c>
      <c r="AF169" s="1" t="n">
        <v>151.94</v>
      </c>
      <c r="AG169" s="1" t="n">
        <v>319.63</v>
      </c>
      <c r="AH169" s="1" t="n">
        <v>453.49</v>
      </c>
      <c r="AI169" s="1" t="n">
        <v>578.47</v>
      </c>
      <c r="AJ169" s="1" t="n">
        <v>674.1</v>
      </c>
      <c r="AK169" s="1" t="n">
        <v>730.75</v>
      </c>
      <c r="AL169" s="1" t="n">
        <v>769.09</v>
      </c>
      <c r="AM169" s="1" t="n">
        <v>774.91</v>
      </c>
      <c r="AN169" s="1" t="n">
        <v>871.27</v>
      </c>
      <c r="AO169" s="1" t="n">
        <v>907.17</v>
      </c>
      <c r="AP169" s="1" t="n">
        <v>972.8099999999999</v>
      </c>
      <c r="AQ169" s="1" t="n">
        <v>1086.93</v>
      </c>
      <c r="AR169" s="1" t="n">
        <v>1201.5</v>
      </c>
      <c r="AS169" s="1" t="n">
        <v>1337.13</v>
      </c>
      <c r="AT169" s="1" t="n"/>
      <c r="BN169" s="1" t="n">
        <v>151.2391</v>
      </c>
      <c r="BO169" s="1" t="n">
        <v>151.2391</v>
      </c>
      <c r="BP169" s="1" t="n">
        <v>151.2391</v>
      </c>
      <c r="BQ169" s="1" t="n">
        <v>519.0172</v>
      </c>
      <c r="BR169" s="1" t="n">
        <v>226.9785</v>
      </c>
      <c r="BS169" s="1" t="n">
        <v>226.9785</v>
      </c>
      <c r="BT169" s="1" t="n">
        <v>226.9785</v>
      </c>
      <c r="BU169" s="1" t="n">
        <v>405.526</v>
      </c>
      <c r="CB169" s="1" t="n">
        <v>0.7207</v>
      </c>
      <c r="CC169" s="1" t="n">
        <v>38.0563</v>
      </c>
      <c r="CD169" s="1" t="n">
        <v>38.0563</v>
      </c>
      <c r="CE169" s="1" t="n">
        <v>38.0563</v>
      </c>
      <c r="CF169" s="1" t="n">
        <v>38.0563</v>
      </c>
      <c r="CG169" s="1" t="n">
        <v>151.9427</v>
      </c>
      <c r="CH169" s="1" t="n">
        <v>151.9427</v>
      </c>
      <c r="CI169" s="1" t="n">
        <v>151.9427</v>
      </c>
      <c r="CJ169" s="1" t="n">
        <v>151.9427</v>
      </c>
      <c r="CK169" s="1" t="n">
        <v>319.6345</v>
      </c>
      <c r="CL169" s="1" t="n">
        <v>319.6345</v>
      </c>
      <c r="CM169" s="1" t="n">
        <v>319.6345</v>
      </c>
      <c r="CN169" s="1" t="n">
        <v>319.6345</v>
      </c>
      <c r="CO169" s="1" t="n">
        <v>453.4921</v>
      </c>
      <c r="CP169" s="1" t="n">
        <v>453.4921</v>
      </c>
      <c r="CQ169" s="1" t="n">
        <v>453.4921</v>
      </c>
      <c r="CR169" s="1" t="n">
        <v>453.4921</v>
      </c>
      <c r="CS169" s="1" t="n">
        <v>578.4739</v>
      </c>
      <c r="CT169" s="1" t="n">
        <v>578.4739</v>
      </c>
      <c r="CU169" s="1" t="n">
        <v>578.4739</v>
      </c>
      <c r="CV169" s="1" t="n">
        <v>578.4739</v>
      </c>
      <c r="CW169" s="1" t="n">
        <v>674.1027</v>
      </c>
      <c r="CX169" s="1" t="n">
        <v>674.1027</v>
      </c>
      <c r="CY169" s="1" t="n">
        <v>674.1027</v>
      </c>
      <c r="CZ169" s="1" t="n">
        <v>674.1027</v>
      </c>
      <c r="DA169" s="1" t="n">
        <v>730.7514</v>
      </c>
      <c r="DB169" s="1" t="n">
        <v>730.7514</v>
      </c>
      <c r="DC169" s="1" t="n">
        <v>730.7514</v>
      </c>
      <c r="DD169" s="1" t="n">
        <v>730.7514</v>
      </c>
      <c r="DE169" s="1" t="n">
        <v>769.093</v>
      </c>
      <c r="DF169" s="1" t="n">
        <v>769.093</v>
      </c>
      <c r="DG169" s="1" t="n">
        <v>769.093</v>
      </c>
      <c r="DH169" s="1" t="n">
        <v>769.093</v>
      </c>
      <c r="DI169" s="1" t="n">
        <v>774.9139</v>
      </c>
      <c r="DJ169" s="1" t="n">
        <v>774.9139</v>
      </c>
      <c r="DK169" s="1" t="n">
        <v>774.9139</v>
      </c>
      <c r="DL169" s="1" t="n">
        <v>774.9139</v>
      </c>
      <c r="DM169" s="1" t="n">
        <v>871.2732</v>
      </c>
      <c r="DN169" s="1" t="n">
        <v>871.2732</v>
      </c>
      <c r="DO169" s="1" t="n">
        <v>871.2732</v>
      </c>
      <c r="DP169" s="1" t="n">
        <v>871.2732</v>
      </c>
      <c r="DQ169" s="1" t="n">
        <v>907.175</v>
      </c>
      <c r="DR169" s="1" t="n">
        <v>907.175</v>
      </c>
      <c r="DS169" s="1" t="n">
        <v>907.175</v>
      </c>
      <c r="DT169" s="1" t="n">
        <v>907.175</v>
      </c>
      <c r="DU169" s="1" t="n">
        <v>972.8054</v>
      </c>
      <c r="DV169" s="1" t="n">
        <v>972.8054</v>
      </c>
      <c r="DW169" s="1" t="n">
        <v>972.8054</v>
      </c>
      <c r="DX169" s="1" t="n">
        <v>972.7912</v>
      </c>
      <c r="DY169" s="1" t="n">
        <v>1086.9319</v>
      </c>
      <c r="DZ169" s="1" t="n">
        <v>1086.9319</v>
      </c>
      <c r="EA169" s="1" t="n">
        <v>1086.9319</v>
      </c>
      <c r="EB169" s="1" t="n">
        <v>1086.9319</v>
      </c>
      <c r="EC169" s="1" t="n">
        <v>1201.5035</v>
      </c>
      <c r="ED169" s="1" t="n">
        <v>1201.5035</v>
      </c>
      <c r="EE169" s="1" t="n">
        <v>1201.5035</v>
      </c>
      <c r="EF169" s="1" t="n">
        <v>1201.5035</v>
      </c>
      <c r="EG169" s="1" t="n">
        <v>1337.1328</v>
      </c>
      <c r="EH169" s="1" t="n">
        <v>1337.1328</v>
      </c>
      <c r="EI169" s="1" t="n">
        <v>1337.1328</v>
      </c>
      <c r="EJ169" s="1" t="n">
        <v>1337.1328</v>
      </c>
      <c r="EK169" s="1" t="n">
        <v>1424.8892</v>
      </c>
      <c r="EL169" s="1" t="n">
        <v>1424.8892</v>
      </c>
      <c r="EM169" s="1" t="n">
        <v>1424.889</v>
      </c>
    </row>
    <row r="170">
      <c r="A170" s="2" t="inlineStr">
        <is>
          <t xml:space="preserve">    一般风险准备</t>
        </is>
      </c>
      <c r="AM170" s="1" t="n">
        <v>195.26</v>
      </c>
      <c r="DK170" s="1" t="n">
        <v>195.263</v>
      </c>
      <c r="DL170" s="1" t="n">
        <v>195.263</v>
      </c>
      <c r="ED170" s="1" t="n">
        <v>0</v>
      </c>
    </row>
    <row r="171">
      <c r="A171" s="2" t="inlineStr">
        <is>
          <t xml:space="preserve">    未分配利润</t>
        </is>
      </c>
      <c r="B171" s="1" t="n">
        <v>1714.3087</v>
      </c>
      <c r="C171" s="1" t="n">
        <v>1784.981</v>
      </c>
      <c r="D171" s="1" t="n">
        <v>137.8227</v>
      </c>
      <c r="E171" s="1" t="n">
        <v>1569.4186</v>
      </c>
      <c r="F171" s="1" t="n">
        <v>3793.5956</v>
      </c>
      <c r="G171" s="1" t="n">
        <v>6421.6297</v>
      </c>
      <c r="H171" s="1" t="n">
        <v>8158.2838</v>
      </c>
      <c r="I171" s="1" t="n">
        <v>10162.309</v>
      </c>
      <c r="J171" s="1" t="n">
        <v>10984.2438</v>
      </c>
      <c r="K171" s="1" t="n">
        <v>11156.3467</v>
      </c>
      <c r="L171" s="1" t="n">
        <v>9193.4843</v>
      </c>
      <c r="M171" s="1" t="n">
        <v>9860.7425</v>
      </c>
      <c r="N171" s="1" t="n">
        <v>13324.1054</v>
      </c>
      <c r="O171" s="1" t="n">
        <v>14225.6165</v>
      </c>
      <c r="P171" s="1" t="n">
        <v>15382.6622</v>
      </c>
      <c r="Q171" s="1" t="n">
        <v>16976.3167</v>
      </c>
      <c r="R171" s="1" t="n">
        <v>18999.0698</v>
      </c>
      <c r="S171" s="1" t="n">
        <v>21337.8767</v>
      </c>
      <c r="T171" s="1" t="n">
        <v>22690.6051</v>
      </c>
      <c r="AA171" s="1" t="n">
        <v>628.63</v>
      </c>
      <c r="AB171" s="1" t="n">
        <v>1471.19</v>
      </c>
      <c r="AC171" s="1" t="n">
        <v>386.29</v>
      </c>
      <c r="AD171" s="1" t="n">
        <v>807.1900000000001</v>
      </c>
      <c r="AE171" s="1" t="n">
        <v>2321.22</v>
      </c>
      <c r="AF171" s="1" t="n">
        <v>5071.01</v>
      </c>
      <c r="AG171" s="1" t="n">
        <v>7344.97</v>
      </c>
      <c r="AH171" s="1" t="n">
        <v>9124.01</v>
      </c>
      <c r="AI171" s="1" t="n">
        <v>10640.91</v>
      </c>
      <c r="AJ171" s="1" t="n">
        <v>10942.29</v>
      </c>
      <c r="AK171" s="1" t="n">
        <v>10674.48</v>
      </c>
      <c r="AL171" s="1" t="n">
        <v>9570.57</v>
      </c>
      <c r="AM171" s="1" t="n">
        <v>11963.77</v>
      </c>
      <c r="AN171" s="1" t="n">
        <v>13713.81</v>
      </c>
      <c r="AO171" s="1" t="n">
        <v>14541.62</v>
      </c>
      <c r="AP171" s="1" t="n">
        <v>16169.24</v>
      </c>
      <c r="AQ171" s="1" t="n">
        <v>18033.08</v>
      </c>
      <c r="AR171" s="1" t="n">
        <v>19956.52</v>
      </c>
      <c r="AS171" s="1" t="n">
        <v>21548.53</v>
      </c>
      <c r="AT171" s="1" t="n"/>
      <c r="BN171" s="1" t="n">
        <v>615.8253</v>
      </c>
      <c r="BO171" s="1" t="n">
        <v>628.6339</v>
      </c>
      <c r="BP171" s="1" t="n">
        <v>878.2151</v>
      </c>
      <c r="BQ171" s="1" t="n">
        <v>1714.3087</v>
      </c>
      <c r="BR171" s="1" t="n">
        <v>1265.5748</v>
      </c>
      <c r="BS171" s="1" t="n">
        <v>1471.1934</v>
      </c>
      <c r="BT171" s="1" t="n">
        <v>1709.6686</v>
      </c>
      <c r="BU171" s="1" t="n">
        <v>1784.981</v>
      </c>
      <c r="BV171" s="1" t="n">
        <v>564.3537</v>
      </c>
      <c r="BW171" s="1" t="n">
        <v>386.2901</v>
      </c>
      <c r="BX171" s="1" t="n">
        <v>702.8627</v>
      </c>
      <c r="BY171" s="1" t="n">
        <v>137.8227</v>
      </c>
      <c r="BZ171" s="1" t="n">
        <v>456.4146</v>
      </c>
      <c r="CA171" s="1" t="n">
        <v>807.1858999999999</v>
      </c>
      <c r="CB171" s="1" t="n">
        <v>1177.6041</v>
      </c>
      <c r="CC171" s="1" t="n">
        <v>1569.4186</v>
      </c>
      <c r="CD171" s="1" t="n">
        <v>2054.6263</v>
      </c>
      <c r="CE171" s="1" t="n">
        <v>2321.2165</v>
      </c>
      <c r="CF171" s="1" t="n">
        <v>3025.5526</v>
      </c>
      <c r="CG171" s="1" t="n">
        <v>3793.5956</v>
      </c>
      <c r="CH171" s="1" t="n">
        <v>4412.8801</v>
      </c>
      <c r="CI171" s="1" t="n">
        <v>5071.0066</v>
      </c>
      <c r="CJ171" s="1" t="n">
        <v>5811.3474</v>
      </c>
      <c r="CK171" s="1" t="n">
        <v>6421.6297</v>
      </c>
      <c r="CL171" s="1" t="n">
        <v>7168.411</v>
      </c>
      <c r="CM171" s="1" t="n">
        <v>7344.9716</v>
      </c>
      <c r="CN171" s="1" t="n">
        <v>7926.053</v>
      </c>
      <c r="CO171" s="1" t="n">
        <v>8158.2838</v>
      </c>
      <c r="CP171" s="1" t="n">
        <v>8632.6803</v>
      </c>
      <c r="CQ171" s="1" t="n">
        <v>9124.0141</v>
      </c>
      <c r="CR171" s="1" t="n">
        <v>9826.3513</v>
      </c>
      <c r="CS171" s="1" t="n">
        <v>10162.309</v>
      </c>
      <c r="CT171" s="1" t="n">
        <v>10580.1695</v>
      </c>
      <c r="CU171" s="1" t="n">
        <v>10640.9086</v>
      </c>
      <c r="CV171" s="1" t="n">
        <v>10890.9679</v>
      </c>
      <c r="CW171" s="1" t="n">
        <v>10984.2438</v>
      </c>
      <c r="CX171" s="1" t="n">
        <v>11091.9582</v>
      </c>
      <c r="CY171" s="1" t="n">
        <v>10942.2907</v>
      </c>
      <c r="CZ171" s="1" t="n">
        <v>11019.9683</v>
      </c>
      <c r="DA171" s="1" t="n">
        <v>11156.3467</v>
      </c>
      <c r="DB171" s="1" t="n">
        <v>11160.7415</v>
      </c>
      <c r="DC171" s="1" t="n">
        <v>10674.4802</v>
      </c>
      <c r="DD171" s="1" t="n">
        <v>9951.1931</v>
      </c>
      <c r="DE171" s="1" t="n">
        <v>9193.4843</v>
      </c>
      <c r="DF171" s="1" t="n">
        <v>9346.4568</v>
      </c>
      <c r="DG171" s="1" t="n">
        <v>9570.572200000001</v>
      </c>
      <c r="DH171" s="1" t="n">
        <v>9624.550300000001</v>
      </c>
      <c r="DI171" s="1" t="n">
        <v>9860.7425</v>
      </c>
      <c r="DJ171" s="1" t="n">
        <v>10145.7938</v>
      </c>
      <c r="DK171" s="1" t="n">
        <v>11963.7657</v>
      </c>
      <c r="DL171" s="1" t="n">
        <v>12354.6414</v>
      </c>
      <c r="DM171" s="1" t="n">
        <v>13324.1054</v>
      </c>
      <c r="DN171" s="1" t="n">
        <v>13677.8793</v>
      </c>
      <c r="DO171" s="1" t="n">
        <v>13713.8097</v>
      </c>
      <c r="DP171" s="1" t="n">
        <v>14019.5471</v>
      </c>
      <c r="DQ171" s="1" t="n">
        <v>14225.6165</v>
      </c>
      <c r="DR171" s="1" t="n">
        <v>14621.4749</v>
      </c>
      <c r="DS171" s="1" t="n">
        <v>14541.6217</v>
      </c>
      <c r="DT171" s="1" t="n">
        <v>14930.6079</v>
      </c>
      <c r="DU171" s="1" t="n">
        <v>15382.6622</v>
      </c>
      <c r="DV171" s="1" t="n">
        <v>16015.6152</v>
      </c>
      <c r="DW171" s="1" t="n">
        <v>16169.2395</v>
      </c>
      <c r="DX171" s="1" t="n">
        <v>16687.184</v>
      </c>
      <c r="DY171" s="1" t="n">
        <v>16976.3167</v>
      </c>
      <c r="DZ171" s="1" t="n">
        <v>17902.3969</v>
      </c>
      <c r="EA171" s="1" t="n">
        <v>18033.0825</v>
      </c>
      <c r="EB171" s="1" t="n">
        <v>18768.9085</v>
      </c>
      <c r="EC171" s="1" t="n">
        <v>18999.0698</v>
      </c>
      <c r="ED171" s="1" t="n">
        <v>20018.1178</v>
      </c>
      <c r="EE171" s="1" t="n">
        <v>19956.5187</v>
      </c>
      <c r="EF171" s="1" t="n">
        <v>20868.8029</v>
      </c>
      <c r="EG171" s="1" t="n">
        <v>21337.8767</v>
      </c>
      <c r="EH171" s="1" t="n">
        <v>22243.628</v>
      </c>
      <c r="EI171" s="1" t="n">
        <v>21548.5276</v>
      </c>
      <c r="EJ171" s="1" t="n">
        <v>22481.806</v>
      </c>
      <c r="EK171" s="1" t="n">
        <v>22690.6051</v>
      </c>
      <c r="EL171" s="1" t="n">
        <v>23844.4288</v>
      </c>
      <c r="EM171" s="1" t="n">
        <v>23234.086</v>
      </c>
    </row>
    <row r="172">
      <c r="A172" s="2" t="inlineStr">
        <is>
          <t xml:space="preserve">    外币报表折算差额</t>
        </is>
      </c>
      <c r="D172" s="1" t="n">
        <v>-7.5519</v>
      </c>
      <c r="E172" s="1" t="n">
        <v>-5.2788</v>
      </c>
      <c r="F172" s="1" t="n">
        <v>-4.8994</v>
      </c>
      <c r="G172" s="1" t="n">
        <v>-17.746</v>
      </c>
      <c r="H172" s="1" t="n">
        <v>-19.8233</v>
      </c>
      <c r="I172" s="1" t="n">
        <v>-35.8524</v>
      </c>
      <c r="AD172" s="1" t="n">
        <v>-6.61</v>
      </c>
      <c r="AE172" s="1" t="n">
        <v>-5.63</v>
      </c>
      <c r="AF172" s="1" t="n">
        <v>-6.09</v>
      </c>
      <c r="AG172" s="1" t="n">
        <v>-20.71</v>
      </c>
      <c r="AH172" s="1" t="n">
        <v>-30.87</v>
      </c>
      <c r="AI172" s="1" t="n">
        <v>-31.68</v>
      </c>
      <c r="BX172" s="1" t="n">
        <v>-8.0146</v>
      </c>
      <c r="BY172" s="1" t="n">
        <v>-7.5519</v>
      </c>
      <c r="BZ172" s="1" t="n">
        <v>-10.0424</v>
      </c>
      <c r="CA172" s="1" t="n">
        <v>-6.6098</v>
      </c>
      <c r="CB172" s="1" t="n">
        <v>-6.8449</v>
      </c>
      <c r="CC172" s="1" t="n">
        <v>-5.2788</v>
      </c>
      <c r="CD172" s="1" t="n">
        <v>-3.5176</v>
      </c>
      <c r="CE172" s="1" t="n">
        <v>-5.6323</v>
      </c>
      <c r="CF172" s="1" t="n">
        <v>-4.4779</v>
      </c>
      <c r="CG172" s="1" t="n">
        <v>-4.8994</v>
      </c>
      <c r="CH172" s="1" t="n">
        <v>-5.2231</v>
      </c>
      <c r="CI172" s="1" t="n">
        <v>-6.0944</v>
      </c>
      <c r="CJ172" s="1" t="n">
        <v>-12.3198</v>
      </c>
      <c r="CK172" s="1" t="n">
        <v>-17.746</v>
      </c>
      <c r="CL172" s="1" t="n">
        <v>-16.0215</v>
      </c>
      <c r="CM172" s="1" t="n">
        <v>-20.712</v>
      </c>
      <c r="CN172" s="1" t="n">
        <v>-17.1146</v>
      </c>
      <c r="CO172" s="1" t="n">
        <v>-19.8233</v>
      </c>
      <c r="CP172" s="1" t="n">
        <v>-20.2672</v>
      </c>
      <c r="CQ172" s="1" t="n">
        <v>-30.8659</v>
      </c>
      <c r="CR172" s="1" t="n">
        <v>-34.7929</v>
      </c>
      <c r="CS172" s="1" t="n">
        <v>-35.8524</v>
      </c>
      <c r="CT172" s="1" t="n">
        <v>-31.6799</v>
      </c>
      <c r="CU172" s="1" t="n">
        <v>-31.679</v>
      </c>
      <c r="CV172" s="1" t="n">
        <v>-33.8148</v>
      </c>
    </row>
    <row r="173">
      <c r="A173" s="2" t="inlineStr">
        <is>
          <t xml:space="preserve">    未确认的投资损失</t>
        </is>
      </c>
    </row>
    <row r="174">
      <c r="A174" s="2" t="inlineStr">
        <is>
          <t xml:space="preserve">    股东权益差额(特殊报表科目)</t>
        </is>
      </c>
    </row>
    <row r="175">
      <c r="A175" s="2" t="inlineStr">
        <is>
          <t xml:space="preserve">    股权权益差额(合计平衡项目)</t>
        </is>
      </c>
      <c r="AA175" s="1" t="n">
        <v>0</v>
      </c>
      <c r="BN175" s="1" t="n">
        <v>0</v>
      </c>
      <c r="BO175" s="1" t="n">
        <v>0</v>
      </c>
      <c r="BP175" s="1" t="n">
        <v>0</v>
      </c>
    </row>
    <row r="176">
      <c r="A176" s="3" t="inlineStr">
        <is>
          <t xml:space="preserve">    归属于母公司所有者权益合计</t>
        </is>
      </c>
      <c r="B176" s="1" t="n">
        <v>5414.62</v>
      </c>
      <c r="C176" s="1" t="n">
        <v>3007.507</v>
      </c>
      <c r="D176" s="1" t="n">
        <v>2244.6639</v>
      </c>
      <c r="E176" s="1" t="n">
        <v>8708.746999999999</v>
      </c>
      <c r="F176" s="1" t="n">
        <v>11038.7543</v>
      </c>
      <c r="G176" s="1" t="n">
        <v>13802.5589</v>
      </c>
      <c r="H176" s="1" t="n">
        <v>15678.1054</v>
      </c>
      <c r="I176" s="1" t="n">
        <v>17693.769</v>
      </c>
      <c r="J176" s="1" t="n">
        <v>19544.0925</v>
      </c>
      <c r="K176" s="1" t="n">
        <v>23051.5891</v>
      </c>
      <c r="L176" s="1" t="n">
        <v>21144.2922</v>
      </c>
      <c r="M176" s="1" t="n">
        <v>21821.3707</v>
      </c>
      <c r="N176" s="1" t="n">
        <v>28584.051</v>
      </c>
      <c r="O176" s="1" t="n">
        <v>29454.6457</v>
      </c>
      <c r="P176" s="1" t="n">
        <v>30907.6685</v>
      </c>
      <c r="Q176" s="1" t="n">
        <v>32497.662</v>
      </c>
      <c r="R176" s="1" t="n">
        <v>34981.4764</v>
      </c>
      <c r="S176" s="1" t="n">
        <v>37244.8958</v>
      </c>
      <c r="T176" s="1" t="n">
        <v>38796.2824</v>
      </c>
      <c r="AA176" s="1" t="n">
        <v>2008.21</v>
      </c>
      <c r="AB176" s="1" t="n">
        <v>2751.16</v>
      </c>
      <c r="AC176" s="1" t="n">
        <v>1203.29</v>
      </c>
      <c r="AD176" s="1" t="n">
        <v>2914.97</v>
      </c>
      <c r="AE176" s="1" t="n">
        <v>9460.190000000001</v>
      </c>
      <c r="AF176" s="1" t="n">
        <v>12294.97</v>
      </c>
      <c r="AG176" s="1" t="n">
        <v>14737.17</v>
      </c>
      <c r="AH176" s="1" t="n">
        <v>16562.24</v>
      </c>
      <c r="AI176" s="1" t="n">
        <v>18211.68</v>
      </c>
      <c r="AJ176" s="1" t="n">
        <v>22781.71</v>
      </c>
      <c r="AK176" s="1" t="n">
        <v>22582.48</v>
      </c>
      <c r="AL176" s="1" t="n">
        <v>21538.74</v>
      </c>
      <c r="AM176" s="1" t="n">
        <v>27320.96</v>
      </c>
      <c r="AN176" s="1" t="n">
        <v>28988.94</v>
      </c>
      <c r="AO176" s="1" t="n">
        <v>29803.41</v>
      </c>
      <c r="AP176" s="1" t="n">
        <v>31707.61</v>
      </c>
      <c r="AQ176" s="1" t="n">
        <v>33643.47</v>
      </c>
      <c r="AR176" s="1" t="n">
        <v>35825.99</v>
      </c>
      <c r="AS176" s="1" t="n">
        <v>37428.36</v>
      </c>
      <c r="AT176" s="1" t="n"/>
      <c r="BN176" s="1" t="n">
        <v>1974.6362</v>
      </c>
      <c r="BO176" s="1" t="n">
        <v>2008.212</v>
      </c>
      <c r="BP176" s="1" t="n">
        <v>2257.5924</v>
      </c>
      <c r="BQ176" s="1" t="n">
        <v>5414.62</v>
      </c>
      <c r="BR176" s="1" t="n">
        <v>2551.1402</v>
      </c>
      <c r="BS176" s="1" t="n">
        <v>2751.156</v>
      </c>
      <c r="BT176" s="1" t="n">
        <v>2989.6312</v>
      </c>
      <c r="BU176" s="1" t="n">
        <v>3007.507</v>
      </c>
      <c r="BV176" s="1" t="n">
        <v>1381.3537</v>
      </c>
      <c r="BW176" s="1" t="n">
        <v>1203.2901</v>
      </c>
      <c r="BX176" s="1" t="n">
        <v>1511.8481</v>
      </c>
      <c r="BY176" s="1" t="n">
        <v>2244.6639</v>
      </c>
      <c r="BZ176" s="1" t="n">
        <v>2560.7654</v>
      </c>
      <c r="CA176" s="1" t="n">
        <v>2914.9693</v>
      </c>
      <c r="CB176" s="1" t="n">
        <v>3285.873</v>
      </c>
      <c r="CC176" s="1" t="n">
        <v>8708.746999999999</v>
      </c>
      <c r="CD176" s="1" t="n">
        <v>9195.715899999999</v>
      </c>
      <c r="CE176" s="1" t="n">
        <v>9460.1914</v>
      </c>
      <c r="CF176" s="1" t="n">
        <v>10165.682</v>
      </c>
      <c r="CG176" s="1" t="n">
        <v>11038.7543</v>
      </c>
      <c r="CH176" s="1" t="n">
        <v>11646.1653</v>
      </c>
      <c r="CI176" s="1" t="n">
        <v>12294.9711</v>
      </c>
      <c r="CJ176" s="1" t="n">
        <v>12974.9369</v>
      </c>
      <c r="CK176" s="1" t="n">
        <v>13802.5589</v>
      </c>
      <c r="CL176" s="1" t="n">
        <v>14541.6089</v>
      </c>
      <c r="CM176" s="1" t="n">
        <v>14737.1696</v>
      </c>
      <c r="CN176" s="1" t="n">
        <v>15271.8377</v>
      </c>
      <c r="CO176" s="1" t="n">
        <v>15678.1054</v>
      </c>
      <c r="CP176" s="1" t="n">
        <v>16152.0317</v>
      </c>
      <c r="CQ176" s="1" t="n">
        <v>16562.2422</v>
      </c>
      <c r="CR176" s="1" t="n">
        <v>17229.5241</v>
      </c>
      <c r="CS176" s="1" t="n">
        <v>17693.769</v>
      </c>
      <c r="CT176" s="1" t="n">
        <v>18136.9505</v>
      </c>
      <c r="CU176" s="1" t="n">
        <v>18211.6792</v>
      </c>
      <c r="CV176" s="1" t="n">
        <v>19338.0946</v>
      </c>
      <c r="CW176" s="1" t="n">
        <v>19544.0925</v>
      </c>
      <c r="CX176" s="1" t="n">
        <v>22924.8683</v>
      </c>
      <c r="CY176" s="1" t="n">
        <v>22781.7081</v>
      </c>
      <c r="CZ176" s="1" t="n">
        <v>22855.666</v>
      </c>
      <c r="DA176" s="1" t="n">
        <v>23051.5891</v>
      </c>
      <c r="DB176" s="1" t="n">
        <v>23069.6981</v>
      </c>
      <c r="DC176" s="1" t="n">
        <v>22582.481</v>
      </c>
      <c r="DD176" s="1" t="n">
        <v>21856.1816</v>
      </c>
      <c r="DE176" s="1" t="n">
        <v>21144.2922</v>
      </c>
      <c r="DF176" s="1" t="n">
        <v>21317.2325</v>
      </c>
      <c r="DG176" s="1" t="n">
        <v>21538.7428</v>
      </c>
      <c r="DH176" s="1" t="n">
        <v>21580.9149</v>
      </c>
      <c r="DI176" s="1" t="n">
        <v>21821.3707</v>
      </c>
      <c r="DJ176" s="1" t="n">
        <v>22111.0014</v>
      </c>
      <c r="DK176" s="1" t="n">
        <v>27320.9554</v>
      </c>
      <c r="DL176" s="1" t="n">
        <v>27715.3929</v>
      </c>
      <c r="DM176" s="1" t="n">
        <v>28584.051</v>
      </c>
      <c r="DN176" s="1" t="n">
        <v>28939.866</v>
      </c>
      <c r="DO176" s="1" t="n">
        <v>28988.9363</v>
      </c>
      <c r="DP176" s="1" t="n">
        <v>29305.855</v>
      </c>
      <c r="DQ176" s="1" t="n">
        <v>29454.6457</v>
      </c>
      <c r="DR176" s="1" t="n">
        <v>29862.3846</v>
      </c>
      <c r="DS176" s="1" t="n">
        <v>29803.4086</v>
      </c>
      <c r="DT176" s="1" t="n">
        <v>30228.7341</v>
      </c>
      <c r="DU176" s="1" t="n">
        <v>30907.6685</v>
      </c>
      <c r="DV176" s="1" t="n">
        <v>31560.967</v>
      </c>
      <c r="DW176" s="1" t="n">
        <v>31707.614</v>
      </c>
      <c r="DX176" s="1" t="n">
        <v>32229.9256</v>
      </c>
      <c r="DY176" s="1" t="n">
        <v>32497.662</v>
      </c>
      <c r="DZ176" s="1" t="n">
        <v>33542.718</v>
      </c>
      <c r="EA176" s="1" t="n">
        <v>33643.4725</v>
      </c>
      <c r="EB176" s="1" t="n">
        <v>34409.8742</v>
      </c>
      <c r="EC176" s="1" t="n">
        <v>34981.4764</v>
      </c>
      <c r="ED176" s="1" t="n">
        <v>36013.66</v>
      </c>
      <c r="EE176" s="1" t="n">
        <v>35825.9875</v>
      </c>
      <c r="EF176" s="1" t="n">
        <v>36712.2603</v>
      </c>
      <c r="EG176" s="1" t="n">
        <v>37244.8958</v>
      </c>
      <c r="EH176" s="1" t="n">
        <v>38152.2335</v>
      </c>
      <c r="EI176" s="1" t="n">
        <v>37428.3619</v>
      </c>
      <c r="EJ176" s="1" t="n">
        <v>38472.5062</v>
      </c>
      <c r="EK176" s="1" t="n">
        <v>38796.2824</v>
      </c>
      <c r="EL176" s="1" t="n">
        <v>39973.9019</v>
      </c>
      <c r="EM176" s="1" t="n">
        <v>42399.913</v>
      </c>
    </row>
    <row r="177">
      <c r="A177" s="2" t="inlineStr">
        <is>
          <t xml:space="preserve">    少数股东权益</t>
        </is>
      </c>
      <c r="B177" s="1" t="n">
        <v>667.0104</v>
      </c>
      <c r="C177" s="1" t="n">
        <v>860.6007</v>
      </c>
      <c r="D177" s="1" t="n">
        <v>188.9282</v>
      </c>
      <c r="E177" s="1" t="n">
        <v>360.5977</v>
      </c>
      <c r="F177" s="1" t="n">
        <v>745.6282</v>
      </c>
      <c r="G177" s="1" t="n">
        <v>804.1949</v>
      </c>
      <c r="H177" s="1" t="n">
        <v>869.4097</v>
      </c>
      <c r="I177" s="1" t="n">
        <v>899.6215999999999</v>
      </c>
      <c r="J177" s="1" t="n">
        <v>925.1731</v>
      </c>
      <c r="K177" s="1" t="n">
        <v>926</v>
      </c>
      <c r="L177" s="1" t="n">
        <v>941.4627</v>
      </c>
      <c r="M177" s="1" t="n">
        <v>946.6021</v>
      </c>
      <c r="N177" s="1" t="n">
        <v>2109.8576</v>
      </c>
      <c r="O177" s="1" t="n">
        <v>2343.7872</v>
      </c>
      <c r="P177" s="1" t="n">
        <v>2733.9315</v>
      </c>
      <c r="Q177" s="1" t="n">
        <v>2886.2152</v>
      </c>
      <c r="R177" s="1" t="n">
        <v>3643.3952</v>
      </c>
      <c r="S177" s="1" t="n">
        <v>3974.979</v>
      </c>
      <c r="T177" s="1" t="n">
        <v>4345.9658</v>
      </c>
      <c r="AA177" s="1" t="n">
        <v>1.47</v>
      </c>
      <c r="AB177" s="1" t="n">
        <v>1.81</v>
      </c>
      <c r="AC177" s="1" t="n">
        <v>109.34</v>
      </c>
      <c r="AD177" s="1" t="n">
        <v>213.42</v>
      </c>
      <c r="AE177" s="1" t="n">
        <v>473.32</v>
      </c>
      <c r="AF177" s="1" t="n">
        <v>773.5700000000001</v>
      </c>
      <c r="AG177" s="1" t="n">
        <v>804.9400000000001</v>
      </c>
      <c r="AH177" s="1" t="n">
        <v>876.73</v>
      </c>
      <c r="AI177" s="1" t="n">
        <v>920.77</v>
      </c>
      <c r="AJ177" s="1" t="n">
        <v>936.4400000000001</v>
      </c>
      <c r="AK177" s="1" t="n">
        <v>920.75</v>
      </c>
      <c r="AL177" s="1" t="n">
        <v>982.96</v>
      </c>
      <c r="AM177" s="1" t="n">
        <v>1208.77</v>
      </c>
      <c r="AN177" s="1" t="n">
        <v>2155.31</v>
      </c>
      <c r="AO177" s="1" t="n">
        <v>2510.03</v>
      </c>
      <c r="AP177" s="1" t="n">
        <v>2843.84</v>
      </c>
      <c r="AQ177" s="1" t="n">
        <v>3003.8</v>
      </c>
      <c r="AR177" s="1" t="n">
        <v>3971.47</v>
      </c>
      <c r="AS177" s="1" t="n">
        <v>4032.75</v>
      </c>
      <c r="AT177" s="1" t="n"/>
      <c r="BN177" s="1" t="n">
        <v>1.4715</v>
      </c>
      <c r="BO177" s="1" t="n">
        <v>1.4669</v>
      </c>
      <c r="BP177" s="1" t="n">
        <v>1.5419</v>
      </c>
      <c r="BQ177" s="1" t="n">
        <v>667.0104</v>
      </c>
      <c r="BR177" s="1" t="n">
        <v>1.626</v>
      </c>
      <c r="BS177" s="1" t="n">
        <v>1.8118</v>
      </c>
      <c r="BT177" s="1" t="n">
        <v>1.7613</v>
      </c>
      <c r="BU177" s="1" t="n">
        <v>860.6007</v>
      </c>
      <c r="BV177" s="1" t="n">
        <v>114.1225</v>
      </c>
      <c r="BW177" s="1" t="n">
        <v>109.34</v>
      </c>
      <c r="BX177" s="1" t="n">
        <v>113.7202</v>
      </c>
      <c r="BY177" s="1" t="n">
        <v>188.9282</v>
      </c>
      <c r="BZ177" s="1" t="n">
        <v>202.1</v>
      </c>
      <c r="CA177" s="1" t="n">
        <v>213.4203</v>
      </c>
      <c r="CB177" s="1" t="n">
        <v>222.1665</v>
      </c>
      <c r="CC177" s="1" t="n">
        <v>360.5977</v>
      </c>
      <c r="CD177" s="1" t="n">
        <v>443.1168</v>
      </c>
      <c r="CE177" s="1" t="n">
        <v>473.3239</v>
      </c>
      <c r="CF177" s="1" t="n">
        <v>649.9489</v>
      </c>
      <c r="CG177" s="1" t="n">
        <v>745.6282</v>
      </c>
      <c r="CH177" s="1" t="n">
        <v>752.4906999999999</v>
      </c>
      <c r="CI177" s="1" t="n">
        <v>773.5662</v>
      </c>
      <c r="CJ177" s="1" t="n">
        <v>780.4761</v>
      </c>
      <c r="CK177" s="1" t="n">
        <v>804.1949</v>
      </c>
      <c r="CL177" s="1" t="n">
        <v>800.9751</v>
      </c>
      <c r="CM177" s="1" t="n">
        <v>804.9446</v>
      </c>
      <c r="CN177" s="1" t="n">
        <v>820.8425999999999</v>
      </c>
      <c r="CO177" s="1" t="n">
        <v>869.4097</v>
      </c>
      <c r="CP177" s="1" t="n">
        <v>847.503</v>
      </c>
      <c r="CQ177" s="1" t="n">
        <v>876.7293</v>
      </c>
      <c r="CR177" s="1" t="n">
        <v>891.7085</v>
      </c>
      <c r="CS177" s="1" t="n">
        <v>899.6215999999999</v>
      </c>
      <c r="CT177" s="1" t="n">
        <v>915.7641</v>
      </c>
      <c r="CU177" s="1" t="n">
        <v>920.7691</v>
      </c>
      <c r="CV177" s="1" t="n">
        <v>921.6905</v>
      </c>
      <c r="CW177" s="1" t="n">
        <v>925.1731</v>
      </c>
      <c r="CX177" s="1" t="n">
        <v>925.73</v>
      </c>
      <c r="CY177" s="1" t="n">
        <v>936.436</v>
      </c>
      <c r="CZ177" s="1" t="n">
        <v>923.347</v>
      </c>
      <c r="DA177" s="1" t="n">
        <v>926</v>
      </c>
      <c r="DB177" s="1" t="n">
        <v>930.6377</v>
      </c>
      <c r="DC177" s="1" t="n">
        <v>920.7499</v>
      </c>
      <c r="DD177" s="1" t="n">
        <v>931.1219</v>
      </c>
      <c r="DE177" s="1" t="n">
        <v>941.4627</v>
      </c>
      <c r="DF177" s="1" t="n">
        <v>965.5339</v>
      </c>
      <c r="DG177" s="1" t="n">
        <v>982.9609</v>
      </c>
      <c r="DH177" s="1" t="n">
        <v>981.4223</v>
      </c>
      <c r="DI177" s="1" t="n">
        <v>946.6021</v>
      </c>
      <c r="DJ177" s="1" t="n">
        <v>944.4634</v>
      </c>
      <c r="DK177" s="1" t="n">
        <v>1208.7655</v>
      </c>
      <c r="DL177" s="1" t="n">
        <v>1246.755</v>
      </c>
      <c r="DM177" s="1" t="n">
        <v>2109.8576</v>
      </c>
      <c r="DN177" s="1" t="n">
        <v>2124.6437</v>
      </c>
      <c r="DO177" s="1" t="n">
        <v>2155.3143</v>
      </c>
      <c r="DP177" s="1" t="n">
        <v>2164.4818</v>
      </c>
      <c r="DQ177" s="1" t="n">
        <v>2343.7872</v>
      </c>
      <c r="DR177" s="1" t="n">
        <v>2372.5162</v>
      </c>
      <c r="DS177" s="1" t="n">
        <v>2510.0288</v>
      </c>
      <c r="DT177" s="1" t="n">
        <v>2724.396</v>
      </c>
      <c r="DU177" s="1" t="n">
        <v>2733.9315</v>
      </c>
      <c r="DV177" s="1" t="n">
        <v>2824.8738</v>
      </c>
      <c r="DW177" s="1" t="n">
        <v>2843.8389</v>
      </c>
      <c r="DX177" s="1" t="n">
        <v>2898.6915</v>
      </c>
      <c r="DY177" s="1" t="n">
        <v>2886.2152</v>
      </c>
      <c r="DZ177" s="1" t="n">
        <v>2948.2304</v>
      </c>
      <c r="EA177" s="1" t="n">
        <v>3003.8024</v>
      </c>
      <c r="EB177" s="1" t="n">
        <v>3027.7121</v>
      </c>
      <c r="EC177" s="1" t="n">
        <v>3643.3952</v>
      </c>
      <c r="ED177" s="1" t="n">
        <v>3709.6516</v>
      </c>
      <c r="EE177" s="1" t="n">
        <v>3971.4653</v>
      </c>
      <c r="EF177" s="1" t="n">
        <v>3993.5991</v>
      </c>
      <c r="EG177" s="1" t="n">
        <v>3974.979</v>
      </c>
      <c r="EH177" s="1" t="n">
        <v>4100.3657</v>
      </c>
      <c r="EI177" s="1" t="n">
        <v>4032.7486</v>
      </c>
      <c r="EJ177" s="1" t="n">
        <v>4064.9278</v>
      </c>
      <c r="EK177" s="1" t="n">
        <v>4345.9658</v>
      </c>
      <c r="EL177" s="1" t="n">
        <v>4464.5307</v>
      </c>
      <c r="EM177" s="1" t="n">
        <v>3003.751</v>
      </c>
    </row>
    <row r="178">
      <c r="A178" s="3" t="inlineStr">
        <is>
          <t xml:space="preserve">    所有者权益合计</t>
        </is>
      </c>
      <c r="B178" s="1" t="n">
        <v>6081.6305</v>
      </c>
      <c r="C178" s="1" t="n">
        <v>3868.1077</v>
      </c>
      <c r="D178" s="1" t="n">
        <v>2433.5921</v>
      </c>
      <c r="E178" s="1" t="n">
        <v>9069.344800000001</v>
      </c>
      <c r="F178" s="1" t="n">
        <v>11784.3825</v>
      </c>
      <c r="G178" s="1" t="n">
        <v>14606.7538</v>
      </c>
      <c r="H178" s="1" t="n">
        <v>16547.5152</v>
      </c>
      <c r="I178" s="1" t="n">
        <v>18593.3906</v>
      </c>
      <c r="J178" s="1" t="n">
        <v>20469.2656</v>
      </c>
      <c r="K178" s="1" t="n">
        <v>23977.5891</v>
      </c>
      <c r="L178" s="1" t="n">
        <v>22085.7549</v>
      </c>
      <c r="M178" s="1" t="n">
        <v>22767.9727</v>
      </c>
      <c r="N178" s="1" t="n">
        <v>30693.9086</v>
      </c>
      <c r="O178" s="1" t="n">
        <v>31798.433</v>
      </c>
      <c r="P178" s="1" t="n">
        <v>33641.6</v>
      </c>
      <c r="Q178" s="1" t="n">
        <v>35383.8772</v>
      </c>
      <c r="R178" s="1" t="n">
        <v>38624.8715</v>
      </c>
      <c r="S178" s="1" t="n">
        <v>41219.8748</v>
      </c>
      <c r="T178" s="1" t="n">
        <v>43142.2481</v>
      </c>
      <c r="AA178" s="1" t="n">
        <v>2009.68</v>
      </c>
      <c r="AB178" s="1" t="n">
        <v>2752.97</v>
      </c>
      <c r="AC178" s="1" t="n">
        <v>1312.63</v>
      </c>
      <c r="AD178" s="1" t="n">
        <v>3128.39</v>
      </c>
      <c r="AE178" s="1" t="n">
        <v>9933.52</v>
      </c>
      <c r="AF178" s="1" t="n">
        <v>13068.54</v>
      </c>
      <c r="AG178" s="1" t="n">
        <v>15542.11</v>
      </c>
      <c r="AH178" s="1" t="n">
        <v>17438.97</v>
      </c>
      <c r="AI178" s="1" t="n">
        <v>19132.45</v>
      </c>
      <c r="AJ178" s="1" t="n">
        <v>23718.14</v>
      </c>
      <c r="AK178" s="1" t="n">
        <v>23503.23</v>
      </c>
      <c r="AL178" s="1" t="n">
        <v>22521.7</v>
      </c>
      <c r="AM178" s="1" t="n">
        <v>28529.72</v>
      </c>
      <c r="AN178" s="1" t="n">
        <v>31144.25</v>
      </c>
      <c r="AO178" s="1" t="n">
        <v>32313.44</v>
      </c>
      <c r="AP178" s="1" t="n">
        <v>34551.45</v>
      </c>
      <c r="AQ178" s="1" t="n">
        <v>36647.27</v>
      </c>
      <c r="AR178" s="1" t="n">
        <v>39797.45</v>
      </c>
      <c r="AS178" s="1" t="n">
        <v>41461.11</v>
      </c>
      <c r="AT178" s="1" t="n"/>
      <c r="BN178" s="1" t="n">
        <v>1976.1077</v>
      </c>
      <c r="BO178" s="1" t="n">
        <v>2009.6789</v>
      </c>
      <c r="BP178" s="1" t="n">
        <v>2259.1343</v>
      </c>
      <c r="BQ178" s="1" t="n">
        <v>6081.6305</v>
      </c>
      <c r="BR178" s="1" t="n">
        <v>2552.7661</v>
      </c>
      <c r="BS178" s="1" t="n">
        <v>2752.9678</v>
      </c>
      <c r="BT178" s="1" t="n">
        <v>2991.3925</v>
      </c>
      <c r="BU178" s="1" t="n">
        <v>3868.1077</v>
      </c>
      <c r="BV178" s="1" t="n">
        <v>1495.4762</v>
      </c>
      <c r="BW178" s="1" t="n">
        <v>1312.63</v>
      </c>
      <c r="BX178" s="1" t="n">
        <v>1625.5683</v>
      </c>
      <c r="BY178" s="1" t="n">
        <v>2433.5921</v>
      </c>
      <c r="BZ178" s="1" t="n">
        <v>2762.8654</v>
      </c>
      <c r="CA178" s="1" t="n">
        <v>3128.3896</v>
      </c>
      <c r="CB178" s="1" t="n">
        <v>3508.0394</v>
      </c>
      <c r="CC178" s="1" t="n">
        <v>9069.344800000001</v>
      </c>
      <c r="CD178" s="1" t="n">
        <v>9638.8328</v>
      </c>
      <c r="CE178" s="1" t="n">
        <v>9933.515299999999</v>
      </c>
      <c r="CF178" s="1" t="n">
        <v>10815.6309</v>
      </c>
      <c r="CG178" s="1" t="n">
        <v>11784.3825</v>
      </c>
      <c r="CH178" s="1" t="n">
        <v>12398.656</v>
      </c>
      <c r="CI178" s="1" t="n">
        <v>13068.5373</v>
      </c>
      <c r="CJ178" s="1" t="n">
        <v>13755.413</v>
      </c>
      <c r="CK178" s="1" t="n">
        <v>14606.7538</v>
      </c>
      <c r="CL178" s="1" t="n">
        <v>15342.5841</v>
      </c>
      <c r="CM178" s="1" t="n">
        <v>15542.1142</v>
      </c>
      <c r="CN178" s="1" t="n">
        <v>16092.6803</v>
      </c>
      <c r="CO178" s="1" t="n">
        <v>16547.5152</v>
      </c>
      <c r="CP178" s="1" t="n">
        <v>16999.5347</v>
      </c>
      <c r="CQ178" s="1" t="n">
        <v>17438.9715</v>
      </c>
      <c r="CR178" s="1" t="n">
        <v>18121.2325</v>
      </c>
      <c r="CS178" s="1" t="n">
        <v>18593.3906</v>
      </c>
      <c r="CT178" s="1" t="n">
        <v>19052.7147</v>
      </c>
      <c r="CU178" s="1" t="n">
        <v>19132.4484</v>
      </c>
      <c r="CV178" s="1" t="n">
        <v>20259.7851</v>
      </c>
      <c r="CW178" s="1" t="n">
        <v>20469.2656</v>
      </c>
      <c r="CX178" s="1" t="n">
        <v>23850.5983</v>
      </c>
      <c r="CY178" s="1" t="n">
        <v>23718.1441</v>
      </c>
      <c r="CZ178" s="1" t="n">
        <v>23779.013</v>
      </c>
      <c r="DA178" s="1" t="n">
        <v>23977.5891</v>
      </c>
      <c r="DB178" s="1" t="n">
        <v>24000.3358</v>
      </c>
      <c r="DC178" s="1" t="n">
        <v>23503.2309</v>
      </c>
      <c r="DD178" s="1" t="n">
        <v>22787.3035</v>
      </c>
      <c r="DE178" s="1" t="n">
        <v>22085.7549</v>
      </c>
      <c r="DF178" s="1" t="n">
        <v>22282.7665</v>
      </c>
      <c r="DG178" s="1" t="n">
        <v>22521.7037</v>
      </c>
      <c r="DH178" s="1" t="n">
        <v>22562.3371</v>
      </c>
      <c r="DI178" s="1" t="n">
        <v>22767.9727</v>
      </c>
      <c r="DJ178" s="1" t="n">
        <v>23055.4648</v>
      </c>
      <c r="DK178" s="1" t="n">
        <v>28529.7208</v>
      </c>
      <c r="DL178" s="1" t="n">
        <v>28962.1479</v>
      </c>
      <c r="DM178" s="1" t="n">
        <v>30693.9086</v>
      </c>
      <c r="DN178" s="1" t="n">
        <v>31064.5097</v>
      </c>
      <c r="DO178" s="1" t="n">
        <v>31144.2506</v>
      </c>
      <c r="DP178" s="1" t="n">
        <v>31470.3369</v>
      </c>
      <c r="DQ178" s="1" t="n">
        <v>31798.433</v>
      </c>
      <c r="DR178" s="1" t="n">
        <v>32234.9007</v>
      </c>
      <c r="DS178" s="1" t="n">
        <v>32313.4374</v>
      </c>
      <c r="DT178" s="1" t="n">
        <v>32953.1301</v>
      </c>
      <c r="DU178" s="1" t="n">
        <v>33641.6</v>
      </c>
      <c r="DV178" s="1" t="n">
        <v>34385.8409</v>
      </c>
      <c r="DW178" s="1" t="n">
        <v>34551.4529</v>
      </c>
      <c r="DX178" s="1" t="n">
        <v>35128.6171</v>
      </c>
      <c r="DY178" s="1" t="n">
        <v>35383.8772</v>
      </c>
      <c r="DZ178" s="1" t="n">
        <v>36490.9484</v>
      </c>
      <c r="EA178" s="1" t="n">
        <v>36647.2749</v>
      </c>
      <c r="EB178" s="1" t="n">
        <v>37437.5864</v>
      </c>
      <c r="EC178" s="1" t="n">
        <v>38624.8715</v>
      </c>
      <c r="ED178" s="1" t="n">
        <v>39723.3116</v>
      </c>
      <c r="EE178" s="1" t="n">
        <v>39797.4529</v>
      </c>
      <c r="EF178" s="1" t="n">
        <v>40705.8594</v>
      </c>
      <c r="EG178" s="1" t="n">
        <v>41219.8748</v>
      </c>
      <c r="EH178" s="1" t="n">
        <v>42252.5992</v>
      </c>
      <c r="EI178" s="1" t="n">
        <v>41461.1106</v>
      </c>
      <c r="EJ178" s="1" t="n">
        <v>42537.434</v>
      </c>
      <c r="EK178" s="1" t="n">
        <v>43142.2481</v>
      </c>
      <c r="EL178" s="1" t="n">
        <v>44438.4326</v>
      </c>
      <c r="EM178" s="1" t="n">
        <v>45403.664</v>
      </c>
    </row>
    <row r="179">
      <c r="A179" s="2" t="inlineStr">
        <is>
          <t>负债及股东权益差额(特殊报表项目)</t>
        </is>
      </c>
      <c r="EM179" s="1" t="inlineStr"/>
    </row>
    <row r="180">
      <c r="A180" s="2" t="inlineStr">
        <is>
          <t>负债及股东权益差额(合计平衡项目)</t>
        </is>
      </c>
      <c r="AA180" s="1" t="n">
        <v>0</v>
      </c>
      <c r="BN180" s="1" t="n">
        <v>0</v>
      </c>
      <c r="BO180" s="1" t="n">
        <v>0</v>
      </c>
      <c r="BP180" s="1" t="n">
        <v>0</v>
      </c>
      <c r="EM180" s="1" t="inlineStr"/>
    </row>
    <row r="181">
      <c r="A181" s="2" t="inlineStr">
        <is>
          <t>负债和所有者权益总计</t>
        </is>
      </c>
      <c r="B181" s="1" t="n">
        <v>31429.7736</v>
      </c>
      <c r="C181" s="1" t="n">
        <v>36378.3971</v>
      </c>
      <c r="D181" s="1" t="n">
        <v>56459.1666</v>
      </c>
      <c r="E181" s="1" t="n">
        <v>73030.83470000001</v>
      </c>
      <c r="F181" s="1" t="n">
        <v>82252.8885</v>
      </c>
      <c r="G181" s="1" t="n">
        <v>82442.7259</v>
      </c>
      <c r="H181" s="1" t="n">
        <v>78327.0566</v>
      </c>
      <c r="I181" s="1" t="n">
        <v>77836.7031</v>
      </c>
      <c r="J181" s="1" t="n">
        <v>85230.1695</v>
      </c>
      <c r="K181" s="1" t="n">
        <v>86134.42329999999</v>
      </c>
      <c r="L181" s="1" t="n">
        <v>84702.60030000001</v>
      </c>
      <c r="M181" s="1" t="n">
        <v>78920.7657</v>
      </c>
      <c r="N181" s="1" t="n">
        <v>91323.3294</v>
      </c>
      <c r="O181" s="1" t="n">
        <v>89618.9656</v>
      </c>
      <c r="P181" s="1" t="n">
        <v>97795.1378</v>
      </c>
      <c r="Q181" s="1" t="n">
        <v>103104.5733</v>
      </c>
      <c r="R181" s="1" t="n">
        <v>115265.0605</v>
      </c>
      <c r="S181" s="1" t="n">
        <v>121108.3733</v>
      </c>
      <c r="T181" s="1" t="n">
        <v>142009.2849</v>
      </c>
      <c r="AA181" s="1" t="n">
        <v>8732.32</v>
      </c>
      <c r="AB181" s="1" t="n">
        <v>9607.549999999999</v>
      </c>
      <c r="AC181" s="1" t="n">
        <v>46510.36</v>
      </c>
      <c r="AD181" s="1" t="n">
        <v>63804.73</v>
      </c>
      <c r="AE181" s="1" t="n">
        <v>77638.47</v>
      </c>
      <c r="AF181" s="1" t="n">
        <v>86308.32000000001</v>
      </c>
      <c r="AG181" s="1" t="n">
        <v>79758.91</v>
      </c>
      <c r="AH181" s="1" t="n">
        <v>76871.13</v>
      </c>
      <c r="AI181" s="1" t="n">
        <v>78832.3</v>
      </c>
      <c r="AJ181" s="1" t="n">
        <v>82873.82000000001</v>
      </c>
      <c r="AK181" s="1" t="n">
        <v>85662.73</v>
      </c>
      <c r="AL181" s="1" t="n">
        <v>81419.39999999999</v>
      </c>
      <c r="AM181" s="1" t="n">
        <v>87197.72</v>
      </c>
      <c r="AN181" s="1" t="n">
        <v>86363.34</v>
      </c>
      <c r="AO181" s="1" t="n">
        <v>92736.37</v>
      </c>
      <c r="AP181" s="1" t="n">
        <v>99508.05</v>
      </c>
      <c r="AQ181" s="1" t="n">
        <v>109895.36</v>
      </c>
      <c r="AR181" s="1" t="n">
        <v>126473.06</v>
      </c>
      <c r="AS181" s="1" t="n">
        <v>131570.41</v>
      </c>
      <c r="AT181" s="1" t="n"/>
      <c r="BN181" s="1" t="n">
        <v>8726.7575</v>
      </c>
      <c r="BO181" s="1" t="n">
        <v>8732.3226</v>
      </c>
      <c r="BP181" s="1" t="n">
        <v>8863.6729</v>
      </c>
      <c r="BQ181" s="1" t="n">
        <v>31429.7736</v>
      </c>
      <c r="BR181" s="1" t="n">
        <v>9496.633099999999</v>
      </c>
      <c r="BS181" s="1" t="n">
        <v>9607.5458</v>
      </c>
      <c r="BT181" s="1" t="n">
        <v>9769.2623</v>
      </c>
      <c r="BU181" s="1" t="n">
        <v>36378.3971</v>
      </c>
      <c r="BV181" s="1" t="n">
        <v>40285.7994</v>
      </c>
      <c r="BW181" s="1" t="n">
        <v>46510.357</v>
      </c>
      <c r="BX181" s="1" t="n">
        <v>52194.7922</v>
      </c>
      <c r="BY181" s="1" t="n">
        <v>56459.1666</v>
      </c>
      <c r="BZ181" s="1" t="n">
        <v>59348.7069</v>
      </c>
      <c r="CA181" s="1" t="n">
        <v>63804.7337</v>
      </c>
      <c r="CB181" s="1" t="n">
        <v>68650.0528</v>
      </c>
      <c r="CC181" s="1" t="n">
        <v>73030.83470000001</v>
      </c>
      <c r="CD181" s="1" t="n">
        <v>74406.6136</v>
      </c>
      <c r="CE181" s="1" t="n">
        <v>77638.4709</v>
      </c>
      <c r="CF181" s="1" t="n">
        <v>82141.3879</v>
      </c>
      <c r="CG181" s="1" t="n">
        <v>82252.8885</v>
      </c>
      <c r="CH181" s="1" t="n">
        <v>84172.74679999999</v>
      </c>
      <c r="CI181" s="1" t="n">
        <v>86308.32030000001</v>
      </c>
      <c r="CJ181" s="1" t="n">
        <v>87747.94289999999</v>
      </c>
      <c r="CK181" s="1" t="n">
        <v>82442.7259</v>
      </c>
      <c r="CL181" s="1" t="n">
        <v>80538.2297</v>
      </c>
      <c r="CM181" s="1" t="n">
        <v>79758.9143</v>
      </c>
      <c r="CN181" s="1" t="n">
        <v>78618.93859999999</v>
      </c>
      <c r="CO181" s="1" t="n">
        <v>78327.0566</v>
      </c>
      <c r="CP181" s="1" t="n">
        <v>78002.0016</v>
      </c>
      <c r="CQ181" s="1" t="n">
        <v>76871.1296</v>
      </c>
      <c r="CR181" s="1" t="n">
        <v>77953.1949</v>
      </c>
      <c r="CS181" s="1" t="n">
        <v>77836.7031</v>
      </c>
      <c r="CT181" s="1" t="n">
        <v>78573.2954</v>
      </c>
      <c r="CU181" s="1" t="n">
        <v>78832.30130000001</v>
      </c>
      <c r="CV181" s="1" t="n">
        <v>85146.0944</v>
      </c>
      <c r="CW181" s="1" t="n">
        <v>85230.1695</v>
      </c>
      <c r="CX181" s="1" t="n">
        <v>84314.189</v>
      </c>
      <c r="CY181" s="1" t="n">
        <v>82873.8247</v>
      </c>
      <c r="CZ181" s="1" t="n">
        <v>83939.0297</v>
      </c>
      <c r="DA181" s="1" t="n">
        <v>86134.42329999999</v>
      </c>
      <c r="DB181" s="1" t="n">
        <v>86045.94680000001</v>
      </c>
      <c r="DC181" s="1" t="n">
        <v>85662.73420000001</v>
      </c>
      <c r="DD181" s="1" t="n">
        <v>87388.2864</v>
      </c>
      <c r="DE181" s="1" t="n">
        <v>84702.60030000001</v>
      </c>
      <c r="DF181" s="1" t="n">
        <v>83756.18580000001</v>
      </c>
      <c r="DG181" s="1" t="n">
        <v>81419.39810000001</v>
      </c>
      <c r="DH181" s="1" t="n">
        <v>79443.9108</v>
      </c>
      <c r="DI181" s="1" t="n">
        <v>78920.7657</v>
      </c>
      <c r="DJ181" s="1" t="n">
        <v>77333.57090000001</v>
      </c>
      <c r="DK181" s="1" t="n">
        <v>87197.7208</v>
      </c>
      <c r="DL181" s="1" t="n">
        <v>87783.52159999999</v>
      </c>
      <c r="DM181" s="1" t="n">
        <v>91323.3294</v>
      </c>
      <c r="DN181" s="1" t="n">
        <v>88231.48609999999</v>
      </c>
      <c r="DO181" s="1" t="n">
        <v>86363.33530000001</v>
      </c>
      <c r="DP181" s="1" t="n">
        <v>89118.64690000001</v>
      </c>
      <c r="DQ181" s="1" t="n">
        <v>89618.9656</v>
      </c>
      <c r="DR181" s="1" t="n">
        <v>88269.889</v>
      </c>
      <c r="DS181" s="1" t="n">
        <v>92736.3667</v>
      </c>
      <c r="DT181" s="1" t="n">
        <v>96047.4084</v>
      </c>
      <c r="DU181" s="1" t="n">
        <v>97795.1378</v>
      </c>
      <c r="DV181" s="1" t="n">
        <v>96545.12519999999</v>
      </c>
      <c r="DW181" s="1" t="n">
        <v>99508.0491</v>
      </c>
      <c r="DX181" s="1" t="n">
        <v>102770.6201</v>
      </c>
      <c r="DY181" s="1" t="n">
        <v>103104.5733</v>
      </c>
      <c r="DZ181" s="1" t="n">
        <v>103655.8689</v>
      </c>
      <c r="EA181" s="1" t="n">
        <v>109895.3644</v>
      </c>
      <c r="EB181" s="1" t="n">
        <v>113768.3457</v>
      </c>
      <c r="EC181" s="1" t="n">
        <v>115265.0605</v>
      </c>
      <c r="ED181" s="1" t="n">
        <v>118497.7705</v>
      </c>
      <c r="EE181" s="1" t="n">
        <v>126473.0583</v>
      </c>
      <c r="EF181" s="1" t="n">
        <v>127406.2154</v>
      </c>
      <c r="EG181" s="1" t="n">
        <v>121108.3733</v>
      </c>
      <c r="EH181" s="1" t="n">
        <v>128378.3726</v>
      </c>
      <c r="EI181" s="1" t="n">
        <v>131570.4077</v>
      </c>
      <c r="EJ181" s="1" t="n">
        <v>138723.7369</v>
      </c>
      <c r="EK181" s="1" t="n">
        <v>142009.2849</v>
      </c>
      <c r="EL181" s="1" t="n">
        <v>148828.8429</v>
      </c>
      <c r="EM181" s="1" t="n">
        <v>156365.517</v>
      </c>
    </row>
    <row r="183" ht="20.25" customHeight="1">
      <c r="A183" s="4" t="inlineStr">
        <is>
          <t>CF statement</t>
        </is>
      </c>
    </row>
    <row r="184">
      <c r="A184" s="3" t="inlineStr">
        <is>
          <t>经营活动产生的现金流量：</t>
        </is>
      </c>
    </row>
    <row r="185">
      <c r="A185" s="2" t="inlineStr">
        <is>
          <t xml:space="preserve">    销售商品、提供劳务收到的现金</t>
        </is>
      </c>
      <c r="B185" s="1" t="n">
        <v>18848.63</v>
      </c>
      <c r="C185" s="1" t="n">
        <v>26570.73</v>
      </c>
      <c r="D185" s="1" t="n">
        <v>42954.35</v>
      </c>
      <c r="E185" s="1" t="n">
        <v>44476.82</v>
      </c>
      <c r="F185" s="1" t="n">
        <v>44975.32</v>
      </c>
      <c r="G185" s="1" t="n">
        <v>35236.18</v>
      </c>
      <c r="H185" s="1" t="n">
        <v>33841.05</v>
      </c>
      <c r="I185" s="1" t="n">
        <v>36553.68</v>
      </c>
      <c r="J185" s="1" t="n">
        <v>39724.38</v>
      </c>
      <c r="K185" s="1" t="n">
        <v>37103.75</v>
      </c>
      <c r="L185" s="1" t="n">
        <v>38491.2</v>
      </c>
      <c r="M185" s="1" t="n">
        <v>29745.64</v>
      </c>
      <c r="N185" s="1" t="n">
        <v>29595.61</v>
      </c>
      <c r="O185" s="1" t="n">
        <v>30550.89</v>
      </c>
      <c r="P185" s="1" t="n">
        <v>38647.35</v>
      </c>
      <c r="Q185" s="1" t="n">
        <v>44969.41</v>
      </c>
      <c r="R185" s="1" t="n">
        <v>52161.14</v>
      </c>
      <c r="S185" s="1" t="n">
        <v>60080.39</v>
      </c>
      <c r="T185" s="1" t="n">
        <v>73358.52</v>
      </c>
      <c r="AA185" s="1" t="n">
        <v>1847.31</v>
      </c>
      <c r="AB185" s="1" t="n">
        <v>2041.27</v>
      </c>
      <c r="AC185" s="1" t="n">
        <v>19708.98</v>
      </c>
      <c r="AD185" s="1" t="n">
        <v>19747.23</v>
      </c>
      <c r="AE185" s="1" t="n">
        <v>19586.66</v>
      </c>
      <c r="AF185" s="1" t="n">
        <v>16219.02</v>
      </c>
      <c r="AG185" s="1" t="n">
        <v>13511.08</v>
      </c>
      <c r="AH185" s="1" t="n">
        <v>16273.3</v>
      </c>
      <c r="AI185" s="1" t="n">
        <v>17263.87</v>
      </c>
      <c r="AJ185" s="1" t="n">
        <v>15693.98</v>
      </c>
      <c r="AK185" s="1" t="n">
        <v>17357.42</v>
      </c>
      <c r="AL185" s="1" t="n">
        <v>13908.37</v>
      </c>
      <c r="AM185" s="1" t="n">
        <v>13120.5</v>
      </c>
      <c r="AN185" s="1" t="n">
        <v>10992.38</v>
      </c>
      <c r="AO185" s="1" t="n">
        <v>16172.2</v>
      </c>
      <c r="AP185" s="1" t="n">
        <v>16732.95</v>
      </c>
      <c r="AQ185" s="1" t="n">
        <v>19238.86</v>
      </c>
      <c r="AR185" s="1" t="n">
        <v>24975.5</v>
      </c>
      <c r="AS185" s="1" t="n">
        <v>31654.23</v>
      </c>
      <c r="AT185" s="1" t="n"/>
      <c r="BN185" s="1" t="n">
        <v>803.3319</v>
      </c>
      <c r="BO185" s="1" t="n">
        <v>1043.9775</v>
      </c>
      <c r="BP185" s="1" t="n">
        <v>1082.3733</v>
      </c>
      <c r="BQ185" s="1" t="n">
        <v>15918.9428</v>
      </c>
      <c r="BR185" s="1" t="n">
        <v>1018.1835</v>
      </c>
      <c r="BS185" s="1" t="n">
        <v>1023.0865</v>
      </c>
      <c r="BT185" s="1" t="n">
        <v>1421.7936</v>
      </c>
      <c r="BU185" s="1" t="n">
        <v>23107.6696</v>
      </c>
      <c r="BV185" s="1" t="n">
        <v>7817.2916</v>
      </c>
      <c r="BW185" s="1" t="n">
        <v>11891.6916</v>
      </c>
      <c r="BX185" s="1" t="n">
        <v>9991.9308</v>
      </c>
      <c r="BY185" s="1" t="n">
        <v>13253.44</v>
      </c>
      <c r="BZ185" s="1" t="n">
        <v>8237.105</v>
      </c>
      <c r="CA185" s="1" t="n">
        <v>11510.1218</v>
      </c>
      <c r="CB185" s="1" t="n">
        <v>11734.9967</v>
      </c>
      <c r="CC185" s="1" t="n">
        <v>12994.5919</v>
      </c>
      <c r="CD185" s="1" t="n">
        <v>8224.457399999999</v>
      </c>
      <c r="CE185" s="1" t="n">
        <v>11362.2071</v>
      </c>
      <c r="CF185" s="1" t="n">
        <v>11209.6055</v>
      </c>
      <c r="CG185" s="1" t="n">
        <v>14179.0517</v>
      </c>
      <c r="CH185" s="1" t="n">
        <v>5527.3338</v>
      </c>
      <c r="CI185" s="1" t="n">
        <v>10691.6838</v>
      </c>
      <c r="CJ185" s="1" t="n">
        <v>7472.3592</v>
      </c>
      <c r="CK185" s="1" t="n">
        <v>11544.8061</v>
      </c>
      <c r="CL185" s="1" t="n">
        <v>6099.6258</v>
      </c>
      <c r="CM185" s="1" t="n">
        <v>7411.4556</v>
      </c>
      <c r="CN185" s="1" t="n">
        <v>8212.394899999999</v>
      </c>
      <c r="CO185" s="1" t="n">
        <v>12117.578</v>
      </c>
      <c r="CP185" s="1" t="n">
        <v>7729.2994</v>
      </c>
      <c r="CQ185" s="1" t="n">
        <v>8543.9964</v>
      </c>
      <c r="CR185" s="1" t="n">
        <v>8434.361500000001</v>
      </c>
      <c r="CS185" s="1" t="n">
        <v>11846.0188</v>
      </c>
      <c r="CT185" s="1" t="n">
        <v>6715.6904</v>
      </c>
      <c r="CU185" s="1" t="n">
        <v>10548.1778</v>
      </c>
      <c r="CV185" s="1" t="n">
        <v>9701.981</v>
      </c>
      <c r="CW185" s="1" t="n">
        <v>12758.5321</v>
      </c>
      <c r="CX185" s="1" t="n">
        <v>6365.3132</v>
      </c>
      <c r="CY185" s="1" t="n">
        <v>9328.6677</v>
      </c>
      <c r="CZ185" s="1" t="n">
        <v>8805.8992</v>
      </c>
      <c r="DA185" s="1" t="n">
        <v>12603.87</v>
      </c>
      <c r="DB185" s="1" t="n">
        <v>7119.1395</v>
      </c>
      <c r="DC185" s="1" t="n">
        <v>10238.2793</v>
      </c>
      <c r="DD185" s="1" t="n">
        <v>8724.464</v>
      </c>
      <c r="DE185" s="1" t="n">
        <v>12409.3182</v>
      </c>
      <c r="DF185" s="1" t="n">
        <v>6638.6777</v>
      </c>
      <c r="DG185" s="1" t="n">
        <v>7269.6901</v>
      </c>
      <c r="DH185" s="1" t="n">
        <v>6238.5421</v>
      </c>
      <c r="DI185" s="1" t="n">
        <v>9598.7325</v>
      </c>
      <c r="DJ185" s="1" t="n">
        <v>4648.9132</v>
      </c>
      <c r="DK185" s="1" t="n">
        <v>8471.590200000001</v>
      </c>
      <c r="DL185" s="1" t="n">
        <v>7344.8638</v>
      </c>
      <c r="DM185" s="1" t="n">
        <v>9130.247300000001</v>
      </c>
      <c r="DN185" s="1" t="n">
        <v>4669.986</v>
      </c>
      <c r="DO185" s="1" t="n">
        <v>6322.3972</v>
      </c>
      <c r="DP185" s="1" t="n">
        <v>7487.8147</v>
      </c>
      <c r="DQ185" s="1" t="n">
        <v>12070.6955</v>
      </c>
      <c r="DR185" s="1" t="n">
        <v>5639.8966</v>
      </c>
      <c r="DS185" s="1" t="n">
        <v>10532.3037</v>
      </c>
      <c r="DT185" s="1" t="n">
        <v>9074.498600000001</v>
      </c>
      <c r="DU185" s="1" t="n">
        <v>13400.6543</v>
      </c>
      <c r="DV185" s="1" t="n">
        <v>6707.0827</v>
      </c>
      <c r="DW185" s="1" t="n">
        <v>10025.8629</v>
      </c>
      <c r="DX185" s="1" t="n">
        <v>11687.2856</v>
      </c>
      <c r="DY185" s="1" t="n">
        <v>16549.1814</v>
      </c>
      <c r="DZ185" s="1" t="n">
        <v>7821.6826</v>
      </c>
      <c r="EA185" s="1" t="n">
        <v>11417.1764</v>
      </c>
      <c r="EB185" s="1" t="n">
        <v>11989.065</v>
      </c>
      <c r="EC185" s="1" t="n">
        <v>20933.2209</v>
      </c>
      <c r="ED185" s="1" t="n">
        <v>9935.521699999999</v>
      </c>
      <c r="EE185" s="1" t="n">
        <v>15039.9748</v>
      </c>
      <c r="EF185" s="1" t="n">
        <v>14780.1688</v>
      </c>
      <c r="EG185" s="1" t="n">
        <v>20324.7277</v>
      </c>
      <c r="EH185" s="1" t="n">
        <v>12848.6216</v>
      </c>
      <c r="EI185" s="1" t="n">
        <v>18805.6126</v>
      </c>
      <c r="EJ185" s="1" t="n">
        <v>17218.346</v>
      </c>
      <c r="EK185" s="1" t="n">
        <v>24485.9356</v>
      </c>
      <c r="EL185" s="1" t="n">
        <v>16554.7954</v>
      </c>
      <c r="EM185" s="1" t="n">
        <v>36948.483</v>
      </c>
    </row>
    <row r="186">
      <c r="A186" s="2" t="inlineStr">
        <is>
          <t xml:space="preserve">    收到的税费返还</t>
        </is>
      </c>
      <c r="B186" s="1" t="n">
        <v>319.7</v>
      </c>
      <c r="C186" s="1" t="n">
        <v>46.76</v>
      </c>
      <c r="D186" s="1" t="n">
        <v>231.71</v>
      </c>
      <c r="E186" s="1" t="n">
        <v>139.58</v>
      </c>
      <c r="F186" s="1" t="n">
        <v>294.91</v>
      </c>
      <c r="G186" s="1" t="n">
        <v>445.77</v>
      </c>
      <c r="H186" s="1" t="n">
        <v>298.06</v>
      </c>
      <c r="I186" s="1" t="n">
        <v>395.89</v>
      </c>
      <c r="J186" s="1" t="n">
        <v>351.53</v>
      </c>
      <c r="K186" s="1" t="n">
        <v>522.0700000000001</v>
      </c>
      <c r="L186" s="1" t="n">
        <v>119.52</v>
      </c>
      <c r="M186" s="1" t="n">
        <v>67.45999999999999</v>
      </c>
      <c r="N186" s="1" t="n">
        <v>265.37</v>
      </c>
      <c r="O186" s="1" t="n">
        <v>100.21</v>
      </c>
      <c r="P186" s="1" t="n">
        <v>215.63</v>
      </c>
      <c r="Q186" s="1" t="n">
        <v>375.11</v>
      </c>
      <c r="R186" s="1" t="n">
        <v>603.45</v>
      </c>
      <c r="S186" s="1" t="n">
        <v>313.34</v>
      </c>
      <c r="T186" s="1" t="n">
        <v>24.82</v>
      </c>
      <c r="AC186" s="1" t="n">
        <v>38.08</v>
      </c>
      <c r="AD186" s="1" t="n">
        <v>32.19</v>
      </c>
      <c r="AE186" s="1" t="n">
        <v>80.58</v>
      </c>
      <c r="AF186" s="1" t="n">
        <v>181.94</v>
      </c>
      <c r="AG186" s="1" t="n">
        <v>185.59</v>
      </c>
      <c r="AH186" s="1" t="n">
        <v>165.33</v>
      </c>
      <c r="AI186" s="1" t="n">
        <v>153.06</v>
      </c>
      <c r="AJ186" s="1" t="n">
        <v>132.16</v>
      </c>
      <c r="AK186" s="1" t="n">
        <v>80.27</v>
      </c>
      <c r="AL186" s="1" t="n">
        <v>47.59</v>
      </c>
      <c r="AM186" s="1" t="n">
        <v>63.48</v>
      </c>
      <c r="AN186" s="1" t="n">
        <v>50.53</v>
      </c>
      <c r="AO186" s="1" t="n">
        <v>100.43</v>
      </c>
      <c r="AP186" s="1" t="n">
        <v>290.7</v>
      </c>
      <c r="AQ186" s="1" t="n">
        <v>433.84</v>
      </c>
      <c r="AR186" s="1" t="n">
        <v>176.72</v>
      </c>
      <c r="AS186" s="1" t="n">
        <v>32.05</v>
      </c>
      <c r="AT186" s="1" t="n"/>
      <c r="BQ186" s="1" t="n">
        <v>319.7036</v>
      </c>
      <c r="BU186" s="1" t="n">
        <v>46.7588</v>
      </c>
      <c r="BV186" s="1" t="n">
        <v>0.1273</v>
      </c>
      <c r="BW186" s="1" t="n">
        <v>37.9566</v>
      </c>
      <c r="BX186" s="1" t="n">
        <v>23.884</v>
      </c>
      <c r="BY186" s="1" t="n">
        <v>169.7373</v>
      </c>
      <c r="BZ186" s="1" t="n">
        <v>0.7133</v>
      </c>
      <c r="CA186" s="1" t="n">
        <v>31.4816</v>
      </c>
      <c r="CB186" s="1" t="n">
        <v>18.7884</v>
      </c>
      <c r="CC186" s="1" t="n">
        <v>88.596</v>
      </c>
      <c r="CD186" s="1" t="n">
        <v>5.8578</v>
      </c>
      <c r="CE186" s="1" t="n">
        <v>74.7265</v>
      </c>
      <c r="CF186" s="1" t="n">
        <v>93.1686</v>
      </c>
      <c r="CG186" s="1" t="n">
        <v>121.1587</v>
      </c>
      <c r="CH186" s="1" t="n">
        <v>64.9341</v>
      </c>
      <c r="CI186" s="1" t="n">
        <v>117.0087</v>
      </c>
      <c r="CJ186" s="1" t="n">
        <v>122.8269</v>
      </c>
      <c r="CK186" s="1" t="n">
        <v>141.0023</v>
      </c>
      <c r="CL186" s="1" t="n">
        <v>103.3557</v>
      </c>
      <c r="CM186" s="1" t="n">
        <v>82.23139999999999</v>
      </c>
      <c r="CN186" s="1" t="n">
        <v>74.05029999999999</v>
      </c>
      <c r="CO186" s="1" t="n">
        <v>38.4207</v>
      </c>
      <c r="CP186" s="1" t="n">
        <v>97.5908</v>
      </c>
      <c r="CQ186" s="1" t="n">
        <v>67.7353</v>
      </c>
      <c r="CR186" s="1" t="n">
        <v>89.67570000000001</v>
      </c>
      <c r="CS186" s="1" t="n">
        <v>140.8848</v>
      </c>
      <c r="CT186" s="1" t="n">
        <v>152.444</v>
      </c>
      <c r="CU186" s="1" t="n">
        <v>0.6118</v>
      </c>
      <c r="CV186" s="1" t="n">
        <v>3.7683</v>
      </c>
      <c r="CW186" s="1" t="n">
        <v>194.7041</v>
      </c>
      <c r="CX186" s="1" t="n">
        <v>28.942</v>
      </c>
      <c r="CY186" s="1" t="n">
        <v>103.217</v>
      </c>
      <c r="CZ186" s="1" t="n">
        <v>279.8822</v>
      </c>
      <c r="DA186" s="1" t="n">
        <v>110.0278</v>
      </c>
      <c r="DB186" s="1" t="n">
        <v>74.2628</v>
      </c>
      <c r="DC186" s="1" t="n">
        <v>6.0035</v>
      </c>
      <c r="DD186" s="1" t="n">
        <v>15.3503</v>
      </c>
      <c r="DE186" s="1" t="n">
        <v>23.9039</v>
      </c>
      <c r="DF186" s="1" t="n">
        <v>18.7129</v>
      </c>
      <c r="DG186" s="1" t="n">
        <v>28.88</v>
      </c>
      <c r="DH186" s="1" t="n">
        <v>11.3565</v>
      </c>
      <c r="DI186" s="1" t="n">
        <v>8.507999999999999</v>
      </c>
      <c r="DJ186" s="1" t="n">
        <v>11.0132</v>
      </c>
      <c r="DK186" s="1" t="n">
        <v>52.462</v>
      </c>
      <c r="DL186" s="1" t="n">
        <v>146.0292</v>
      </c>
      <c r="DM186" s="1" t="n">
        <v>55.863</v>
      </c>
      <c r="DN186" s="1" t="n">
        <v>32.3415</v>
      </c>
      <c r="DO186" s="1" t="n">
        <v>18.1882</v>
      </c>
      <c r="DP186" s="1" t="n">
        <v>18.0538</v>
      </c>
      <c r="DQ186" s="1" t="n">
        <v>31.6294</v>
      </c>
      <c r="DR186" s="1" t="n">
        <v>53.6326</v>
      </c>
      <c r="DS186" s="1" t="n">
        <v>46.7941</v>
      </c>
      <c r="DT186" s="1" t="n">
        <v>114.2204</v>
      </c>
      <c r="DU186" s="1" t="n">
        <v>0.9811</v>
      </c>
      <c r="DV186" s="1" t="n">
        <v>19.6433</v>
      </c>
      <c r="DW186" s="1" t="n">
        <v>271.0596</v>
      </c>
      <c r="DX186" s="1" t="n">
        <v>155.1367</v>
      </c>
      <c r="DY186" s="1" t="n">
        <v>-70.729</v>
      </c>
      <c r="DZ186" s="1" t="n">
        <v>161.4601</v>
      </c>
      <c r="EA186" s="1" t="n">
        <v>272.3771</v>
      </c>
      <c r="EB186" s="1" t="n">
        <v>104.912</v>
      </c>
      <c r="EC186" s="1" t="n">
        <v>64.7021</v>
      </c>
      <c r="ED186" s="1" t="n">
        <v>33.8999</v>
      </c>
      <c r="EE186" s="1" t="n">
        <v>142.8172</v>
      </c>
      <c r="EF186" s="1" t="n">
        <v>60.105</v>
      </c>
      <c r="EG186" s="1" t="n">
        <v>76.5175</v>
      </c>
      <c r="EH186" s="1" t="n">
        <v>14.1542</v>
      </c>
      <c r="EI186" s="1" t="n">
        <v>17.8939</v>
      </c>
      <c r="EJ186" s="1" t="n">
        <v>23.7106</v>
      </c>
      <c r="EK186" s="1" t="n">
        <v>-30.9394</v>
      </c>
      <c r="EL186" s="1" t="n">
        <v>4.215</v>
      </c>
      <c r="EM186" s="1" t="n">
        <v>14.018</v>
      </c>
    </row>
    <row r="187">
      <c r="A187" s="2" t="inlineStr">
        <is>
          <t xml:space="preserve">    收到其他与经营活动有关的现金</t>
        </is>
      </c>
      <c r="B187" s="1" t="n">
        <v>494.22</v>
      </c>
      <c r="C187" s="1" t="n">
        <v>257.4</v>
      </c>
      <c r="D187" s="1" t="n">
        <v>1255.42</v>
      </c>
      <c r="E187" s="1" t="n">
        <v>581.22</v>
      </c>
      <c r="F187" s="1" t="n">
        <v>616.22</v>
      </c>
      <c r="G187" s="1" t="n">
        <v>552.45</v>
      </c>
      <c r="H187" s="1" t="n">
        <v>495.01</v>
      </c>
      <c r="I187" s="1" t="n">
        <v>482.23</v>
      </c>
      <c r="J187" s="1" t="n">
        <v>690.74</v>
      </c>
      <c r="K187" s="1" t="n">
        <v>464.73</v>
      </c>
      <c r="L187" s="1" t="n">
        <v>804.65</v>
      </c>
      <c r="M187" s="1" t="n">
        <v>1102.51</v>
      </c>
      <c r="N187" s="1" t="n">
        <v>3427.34</v>
      </c>
      <c r="O187" s="1" t="n">
        <v>5527.91</v>
      </c>
      <c r="P187" s="1" t="n">
        <v>5443.72</v>
      </c>
      <c r="Q187" s="1" t="n">
        <v>1922.41</v>
      </c>
      <c r="R187" s="1" t="n">
        <v>3505.22</v>
      </c>
      <c r="S187" s="1" t="n">
        <v>4207.87</v>
      </c>
      <c r="T187" s="1" t="n">
        <v>4960.37</v>
      </c>
      <c r="AA187" s="1" t="n">
        <v>45.18</v>
      </c>
      <c r="AB187" s="1" t="n">
        <v>58.59</v>
      </c>
      <c r="AC187" s="1" t="n">
        <v>914.1900000000001</v>
      </c>
      <c r="AD187" s="1" t="n">
        <v>357.24</v>
      </c>
      <c r="AE187" s="1" t="n">
        <v>500.15</v>
      </c>
      <c r="AF187" s="1" t="n">
        <v>621.42</v>
      </c>
      <c r="AG187" s="1" t="n">
        <v>431.18</v>
      </c>
      <c r="AH187" s="1" t="n">
        <v>344.07</v>
      </c>
      <c r="AI187" s="1" t="n">
        <v>372.14</v>
      </c>
      <c r="AJ187" s="1" t="n">
        <v>509.01</v>
      </c>
      <c r="AK187" s="1" t="n">
        <v>364.55</v>
      </c>
      <c r="AL187" s="1" t="n">
        <v>428.94</v>
      </c>
      <c r="AM187" s="1" t="n">
        <v>1617.5</v>
      </c>
      <c r="AN187" s="1" t="n">
        <v>538.3200000000001</v>
      </c>
      <c r="AO187" s="1" t="n">
        <v>935.3099999999999</v>
      </c>
      <c r="AP187" s="1" t="n">
        <v>888.02</v>
      </c>
      <c r="AQ187" s="1" t="n">
        <v>888.35</v>
      </c>
      <c r="AR187" s="1" t="n">
        <v>1508.44</v>
      </c>
      <c r="AS187" s="1" t="n">
        <v>2284.29</v>
      </c>
      <c r="AT187" s="1" t="n"/>
      <c r="BN187" s="1" t="n">
        <v>27.8357</v>
      </c>
      <c r="BO187" s="1" t="n">
        <v>17.3442</v>
      </c>
      <c r="BP187" s="1" t="n">
        <v>38.3827</v>
      </c>
      <c r="BQ187" s="1" t="n">
        <v>410.6527</v>
      </c>
      <c r="BR187" s="1" t="n">
        <v>18.8611</v>
      </c>
      <c r="BS187" s="1" t="n">
        <v>39.7254</v>
      </c>
      <c r="BT187" s="1" t="n">
        <v>45.8379</v>
      </c>
      <c r="BU187" s="1" t="n">
        <v>152.9781</v>
      </c>
      <c r="BV187" s="1" t="n">
        <v>131.2893</v>
      </c>
      <c r="BW187" s="1" t="n">
        <v>782.8985</v>
      </c>
      <c r="BX187" s="1" t="n">
        <v>273.9205</v>
      </c>
      <c r="BY187" s="1" t="n">
        <v>67.30800000000001</v>
      </c>
      <c r="BZ187" s="1" t="n">
        <v>164.7527</v>
      </c>
      <c r="CA187" s="1" t="n">
        <v>192.4851</v>
      </c>
      <c r="CB187" s="1" t="n">
        <v>264.2815</v>
      </c>
      <c r="CC187" s="1" t="n">
        <v>-40.3043</v>
      </c>
      <c r="CD187" s="1" t="n">
        <v>195.575</v>
      </c>
      <c r="CE187" s="1" t="n">
        <v>304.5764</v>
      </c>
      <c r="CF187" s="1" t="n">
        <v>180.6821</v>
      </c>
      <c r="CG187" s="1" t="n">
        <v>-64.6148</v>
      </c>
      <c r="CH187" s="1" t="n">
        <v>291.7353</v>
      </c>
      <c r="CI187" s="1" t="n">
        <v>329.6798</v>
      </c>
      <c r="CJ187" s="1" t="n">
        <v>207.3934</v>
      </c>
      <c r="CK187" s="1" t="n">
        <v>-276.3593</v>
      </c>
      <c r="CL187" s="1" t="n">
        <v>185.4895</v>
      </c>
      <c r="CM187" s="1" t="n">
        <v>245.6896</v>
      </c>
      <c r="CN187" s="1" t="n">
        <v>257.923</v>
      </c>
      <c r="CO187" s="1" t="n">
        <v>-194.0895</v>
      </c>
      <c r="CP187" s="1" t="n">
        <v>236.6711</v>
      </c>
      <c r="CQ187" s="1" t="n">
        <v>107.4005</v>
      </c>
      <c r="CR187" s="1" t="n">
        <v>282.3973</v>
      </c>
      <c r="CS187" s="1" t="n">
        <v>-144.2391</v>
      </c>
      <c r="CT187" s="1" t="n">
        <v>212.3017</v>
      </c>
      <c r="CU187" s="1" t="n">
        <v>159.8346</v>
      </c>
      <c r="CV187" s="1" t="n">
        <v>542.2786</v>
      </c>
      <c r="CW187" s="1" t="n">
        <v>-223.6712</v>
      </c>
      <c r="CX187" s="1" t="n">
        <v>420.9016</v>
      </c>
      <c r="CY187" s="1" t="n">
        <v>88.107</v>
      </c>
      <c r="CZ187" s="1" t="n">
        <v>-226.7542</v>
      </c>
      <c r="DA187" s="1" t="n">
        <v>182.4738</v>
      </c>
      <c r="DB187" s="1" t="n">
        <v>375.0449</v>
      </c>
      <c r="DC187" s="1" t="n">
        <v>-10.4955</v>
      </c>
      <c r="DD187" s="1" t="n">
        <v>493.2906</v>
      </c>
      <c r="DE187" s="1" t="n">
        <v>-53.1944</v>
      </c>
      <c r="DF187" s="1" t="n">
        <v>144.9878</v>
      </c>
      <c r="DG187" s="1" t="n">
        <v>283.9568</v>
      </c>
      <c r="DH187" s="1" t="n">
        <v>287.2391</v>
      </c>
      <c r="DI187" s="1" t="n">
        <v>386.3277</v>
      </c>
      <c r="DJ187" s="1" t="n">
        <v>361.7039</v>
      </c>
      <c r="DK187" s="1" t="n">
        <v>1255.7967</v>
      </c>
      <c r="DL187" s="1" t="n">
        <v>2282.6969</v>
      </c>
      <c r="DM187" s="1" t="n">
        <v>-472.8536</v>
      </c>
      <c r="DN187" s="1" t="n">
        <v>2282.387</v>
      </c>
      <c r="DO187" s="1" t="n">
        <v>-1744.065</v>
      </c>
      <c r="DP187" s="1" t="n">
        <v>741.6312</v>
      </c>
      <c r="DQ187" s="1" t="n">
        <v>4247.9554</v>
      </c>
      <c r="DR187" s="1" t="n">
        <v>717.5911</v>
      </c>
      <c r="DS187" s="1" t="n">
        <v>217.7235</v>
      </c>
      <c r="DT187" s="1" t="n">
        <v>395.5663</v>
      </c>
      <c r="DU187" s="1" t="n">
        <v>4112.8398</v>
      </c>
      <c r="DV187" s="1" t="n">
        <v>370.2981</v>
      </c>
      <c r="DW187" s="1" t="n">
        <v>517.7221</v>
      </c>
      <c r="DX187" s="1" t="n">
        <v>608.1598</v>
      </c>
      <c r="DY187" s="1" t="n">
        <v>426.2284</v>
      </c>
      <c r="DZ187" s="1" t="n">
        <v>369.3919</v>
      </c>
      <c r="EA187" s="1" t="n">
        <v>518.9557</v>
      </c>
      <c r="EB187" s="1" t="n">
        <v>579.8656</v>
      </c>
      <c r="EC187" s="1" t="n">
        <v>2037.0059</v>
      </c>
      <c r="ED187" s="1" t="n">
        <v>268.0967</v>
      </c>
      <c r="EE187" s="1" t="n">
        <v>1240.3437</v>
      </c>
      <c r="EF187" s="1" t="n">
        <v>1620.9929</v>
      </c>
      <c r="EG187" s="1" t="n">
        <v>1078.4372</v>
      </c>
      <c r="EH187" s="1" t="n">
        <v>1388.0407</v>
      </c>
      <c r="EI187" s="1" t="n">
        <v>896.253</v>
      </c>
      <c r="EJ187" s="1" t="n">
        <v>1136.0356</v>
      </c>
      <c r="EK187" s="1" t="n">
        <v>1540.038</v>
      </c>
      <c r="EL187" s="1" t="n">
        <v>1790.6341</v>
      </c>
      <c r="EM187" s="1" t="n">
        <v>3527.993</v>
      </c>
    </row>
    <row r="188">
      <c r="A188" s="2" t="inlineStr">
        <is>
          <t xml:space="preserve">        经营活动现金流入(金融类)</t>
        </is>
      </c>
      <c r="N188" s="1" t="n">
        <v>2667.96</v>
      </c>
      <c r="O188" s="1" t="n">
        <v>258.43</v>
      </c>
      <c r="P188" s="1" t="n">
        <v>1531.01</v>
      </c>
      <c r="Q188" s="1" t="n">
        <v>-3737.29</v>
      </c>
      <c r="R188" s="1" t="n">
        <v>2366.19</v>
      </c>
      <c r="S188" s="1" t="n">
        <v>-6586.32</v>
      </c>
      <c r="T188" s="1" t="n">
        <v>1499.42</v>
      </c>
      <c r="AM188" s="1" t="n">
        <v>1593.14</v>
      </c>
      <c r="AN188" s="1" t="n">
        <v>728.55</v>
      </c>
      <c r="AO188" s="1" t="n">
        <v>1365.79</v>
      </c>
      <c r="AP188" s="1" t="n">
        <v>383.13</v>
      </c>
      <c r="AQ188" s="1" t="n">
        <v>3840.02</v>
      </c>
      <c r="AR188" s="1" t="n">
        <v>-1725.31</v>
      </c>
      <c r="AS188" s="1" t="n">
        <v>1717.5</v>
      </c>
      <c r="AT188" s="1" t="n"/>
      <c r="DK188" s="1" t="n">
        <v>1593.1443</v>
      </c>
      <c r="DL188" s="1" t="n">
        <v>638.9615</v>
      </c>
      <c r="DM188" s="1" t="n">
        <v>235.8485</v>
      </c>
      <c r="DN188" s="1" t="n">
        <v>782.5103</v>
      </c>
      <c r="DO188" s="1" t="n">
        <v>-53.9623</v>
      </c>
      <c r="DP188" s="1" t="n">
        <v>-274.0281</v>
      </c>
      <c r="DQ188" s="1" t="n">
        <v>-196.0922</v>
      </c>
      <c r="DR188" s="1" t="n">
        <v>316.9356</v>
      </c>
      <c r="DS188" s="1" t="n">
        <v>1048.8584</v>
      </c>
      <c r="DT188" s="1" t="n">
        <v>625.4188</v>
      </c>
      <c r="DU188" s="1" t="n">
        <v>173.0963</v>
      </c>
      <c r="DV188" s="1" t="n">
        <v>38.6546</v>
      </c>
      <c r="DW188" s="1" t="n">
        <v>344.4722</v>
      </c>
      <c r="DX188" s="1" t="n">
        <v>-2069.0728</v>
      </c>
      <c r="DY188" s="1" t="n">
        <v>-2051.3453</v>
      </c>
      <c r="DZ188" s="1" t="n">
        <v>-238.7622</v>
      </c>
      <c r="EA188" s="1" t="n">
        <v>4078.7851</v>
      </c>
      <c r="EB188" s="1" t="n">
        <v>831.9194</v>
      </c>
      <c r="EC188" s="1" t="n">
        <v>-2305.7557</v>
      </c>
      <c r="ED188" s="1" t="n">
        <v>-1194.8848</v>
      </c>
      <c r="EE188" s="1" t="n">
        <v>-530.4279</v>
      </c>
      <c r="EF188" s="1" t="n">
        <v>-2991.6977</v>
      </c>
      <c r="EG188" s="1" t="n">
        <v>-1869.3065</v>
      </c>
      <c r="EH188" s="1" t="n">
        <v>2292.0699</v>
      </c>
      <c r="EI188" s="1" t="n">
        <v>-574.5693</v>
      </c>
      <c r="EJ188" s="1" t="n">
        <v>-128.4997</v>
      </c>
      <c r="EK188" s="1" t="n">
        <v>-89.57989999999999</v>
      </c>
      <c r="EL188" s="1" t="n">
        <v>-667.9536000000001</v>
      </c>
      <c r="EM188" s="1" t="n">
        <v>3279.163</v>
      </c>
    </row>
    <row r="189">
      <c r="A189" s="2" t="inlineStr">
        <is>
          <t xml:space="preserve">    经营活动现金流入差额(特殊报表科目)</t>
        </is>
      </c>
      <c r="EM189" s="1" t="inlineStr"/>
    </row>
    <row r="190">
      <c r="A190" s="2" t="inlineStr">
        <is>
          <t xml:space="preserve">    经营活动现金流入差额(合计平衡项目)</t>
        </is>
      </c>
      <c r="EM190" s="1" t="inlineStr"/>
    </row>
    <row r="191">
      <c r="A191" s="3" t="inlineStr">
        <is>
          <t xml:space="preserve">    经营活动现金流入小计</t>
        </is>
      </c>
      <c r="B191" s="1" t="n">
        <v>19662.54</v>
      </c>
      <c r="C191" s="1" t="n">
        <v>26874.89</v>
      </c>
      <c r="D191" s="1" t="n">
        <v>44441.48</v>
      </c>
      <c r="E191" s="1" t="n">
        <v>45197.61</v>
      </c>
      <c r="F191" s="1" t="n">
        <v>45886.45</v>
      </c>
      <c r="G191" s="1" t="n">
        <v>36234.4</v>
      </c>
      <c r="H191" s="1" t="n">
        <v>34634.12</v>
      </c>
      <c r="I191" s="1" t="n">
        <v>37431.79</v>
      </c>
      <c r="J191" s="1" t="n">
        <v>40766.65</v>
      </c>
      <c r="K191" s="1" t="n">
        <v>38090.55</v>
      </c>
      <c r="L191" s="1" t="n">
        <v>39415.37</v>
      </c>
      <c r="M191" s="1" t="n">
        <v>30915.61</v>
      </c>
      <c r="N191" s="1" t="n">
        <v>35956.29</v>
      </c>
      <c r="O191" s="1" t="n">
        <v>36437.44</v>
      </c>
      <c r="P191" s="1" t="n">
        <v>45837.71</v>
      </c>
      <c r="Q191" s="1" t="n">
        <v>43529.64</v>
      </c>
      <c r="R191" s="1" t="n">
        <v>58636</v>
      </c>
      <c r="S191" s="1" t="n">
        <v>58015.29</v>
      </c>
      <c r="T191" s="1" t="n">
        <v>79843.12</v>
      </c>
      <c r="AA191" s="1" t="n">
        <v>1892.49</v>
      </c>
      <c r="AB191" s="1" t="n">
        <v>2099.86</v>
      </c>
      <c r="AC191" s="1" t="n">
        <v>20661.25</v>
      </c>
      <c r="AD191" s="1" t="n">
        <v>20136.66</v>
      </c>
      <c r="AE191" s="1" t="n">
        <v>20167.4</v>
      </c>
      <c r="AF191" s="1" t="n">
        <v>17022.38</v>
      </c>
      <c r="AG191" s="1" t="n">
        <v>14127.85</v>
      </c>
      <c r="AH191" s="1" t="n">
        <v>16782.69</v>
      </c>
      <c r="AI191" s="1" t="n">
        <v>17789.06</v>
      </c>
      <c r="AJ191" s="1" t="n">
        <v>16335.15</v>
      </c>
      <c r="AK191" s="1" t="n">
        <v>17802.23</v>
      </c>
      <c r="AL191" s="1" t="n">
        <v>14384.91</v>
      </c>
      <c r="AM191" s="1" t="n">
        <v>16394.62</v>
      </c>
      <c r="AN191" s="1" t="n">
        <v>12309.78</v>
      </c>
      <c r="AO191" s="1" t="n">
        <v>18573.74</v>
      </c>
      <c r="AP191" s="1" t="n">
        <v>18294.8</v>
      </c>
      <c r="AQ191" s="1" t="n">
        <v>24401.07</v>
      </c>
      <c r="AR191" s="1" t="n">
        <v>24935.34</v>
      </c>
      <c r="AS191" s="1" t="n">
        <v>35688.08</v>
      </c>
      <c r="AT191" s="1" t="n"/>
      <c r="BN191" s="1" t="n">
        <v>831.1676</v>
      </c>
      <c r="BO191" s="1" t="n">
        <v>1061.3216</v>
      </c>
      <c r="BP191" s="1" t="n">
        <v>1120.756</v>
      </c>
      <c r="BQ191" s="1" t="n">
        <v>16649.2992</v>
      </c>
      <c r="BR191" s="1" t="n">
        <v>1037.0446</v>
      </c>
      <c r="BS191" s="1" t="n">
        <v>1062.8119</v>
      </c>
      <c r="BT191" s="1" t="n">
        <v>1467.6315</v>
      </c>
      <c r="BU191" s="1" t="n">
        <v>23307.4065</v>
      </c>
      <c r="BV191" s="1" t="n">
        <v>7948.7081</v>
      </c>
      <c r="BW191" s="1" t="n">
        <v>12712.5467</v>
      </c>
      <c r="BX191" s="1" t="n">
        <v>10289.7353</v>
      </c>
      <c r="BY191" s="1" t="n">
        <v>13490.4853</v>
      </c>
      <c r="BZ191" s="1" t="n">
        <v>8402.570900000001</v>
      </c>
      <c r="CA191" s="1" t="n">
        <v>11734.0884</v>
      </c>
      <c r="CB191" s="1" t="n">
        <v>12018.0667</v>
      </c>
      <c r="CC191" s="1" t="n">
        <v>13042.8837</v>
      </c>
      <c r="CD191" s="1" t="n">
        <v>8425.8902</v>
      </c>
      <c r="CE191" s="1" t="n">
        <v>11741.51</v>
      </c>
      <c r="CF191" s="1" t="n">
        <v>11483.4562</v>
      </c>
      <c r="CG191" s="1" t="n">
        <v>14235.5956</v>
      </c>
      <c r="CH191" s="1" t="n">
        <v>5884.0032</v>
      </c>
      <c r="CI191" s="1" t="n">
        <v>11138.3723</v>
      </c>
      <c r="CJ191" s="1" t="n">
        <v>7802.5796</v>
      </c>
      <c r="CK191" s="1" t="n">
        <v>11409.4491</v>
      </c>
      <c r="CL191" s="1" t="n">
        <v>6388.471</v>
      </c>
      <c r="CM191" s="1" t="n">
        <v>7739.3766</v>
      </c>
      <c r="CN191" s="1" t="n">
        <v>8544.368200000001</v>
      </c>
      <c r="CO191" s="1" t="n">
        <v>11961.9092</v>
      </c>
      <c r="CP191" s="1" t="n">
        <v>8063.5613</v>
      </c>
      <c r="CQ191" s="1" t="n">
        <v>8719.132100000001</v>
      </c>
      <c r="CR191" s="1" t="n">
        <v>8806.434499999999</v>
      </c>
      <c r="CS191" s="1" t="n">
        <v>11842.6645</v>
      </c>
      <c r="CT191" s="1" t="n">
        <v>7080.4361</v>
      </c>
      <c r="CU191" s="1" t="n">
        <v>10708.6242</v>
      </c>
      <c r="CV191" s="1" t="n">
        <v>10248.0278</v>
      </c>
      <c r="CW191" s="1" t="n">
        <v>12729.565</v>
      </c>
      <c r="CX191" s="1" t="n">
        <v>6815.1568</v>
      </c>
      <c r="CY191" s="1" t="n">
        <v>9519.9917</v>
      </c>
      <c r="CZ191" s="1" t="n">
        <v>8859.0273</v>
      </c>
      <c r="DA191" s="1" t="n">
        <v>12896.3716</v>
      </c>
      <c r="DB191" s="1" t="n">
        <v>7568.4472</v>
      </c>
      <c r="DC191" s="1" t="n">
        <v>10233.7873</v>
      </c>
      <c r="DD191" s="1" t="n">
        <v>9233.1049</v>
      </c>
      <c r="DE191" s="1" t="n">
        <v>12380.0277</v>
      </c>
      <c r="DF191" s="1" t="n">
        <v>6802.3783</v>
      </c>
      <c r="DG191" s="1" t="n">
        <v>7582.5269</v>
      </c>
      <c r="DH191" s="1" t="n">
        <v>6537.1377</v>
      </c>
      <c r="DI191" s="1" t="n">
        <v>9993.5682</v>
      </c>
      <c r="DJ191" s="1" t="n">
        <v>5021.6303</v>
      </c>
      <c r="DK191" s="1" t="n">
        <v>11372.9931</v>
      </c>
      <c r="DL191" s="1" t="n">
        <v>10412.5513</v>
      </c>
      <c r="DM191" s="1" t="n">
        <v>9149.111500000001</v>
      </c>
      <c r="DN191" s="1" t="n">
        <v>7767.2248</v>
      </c>
      <c r="DO191" s="1" t="n">
        <v>4542.5581</v>
      </c>
      <c r="DP191" s="1" t="n">
        <v>7973.4717</v>
      </c>
      <c r="DQ191" s="1" t="n">
        <v>16154.188</v>
      </c>
      <c r="DR191" s="1" t="n">
        <v>6728.0558</v>
      </c>
      <c r="DS191" s="1" t="n">
        <v>11845.6796</v>
      </c>
      <c r="DT191" s="1" t="n">
        <v>10209.7042</v>
      </c>
      <c r="DU191" s="1" t="n">
        <v>17054.2676</v>
      </c>
      <c r="DV191" s="1" t="n">
        <v>7135.6788</v>
      </c>
      <c r="DW191" s="1" t="n">
        <v>11159.1168</v>
      </c>
      <c r="DX191" s="1" t="n">
        <v>10381.5093</v>
      </c>
      <c r="DY191" s="1" t="n">
        <v>14853.3355</v>
      </c>
      <c r="DZ191" s="1" t="n">
        <v>8113.7724</v>
      </c>
      <c r="EA191" s="1" t="n">
        <v>16287.2943</v>
      </c>
      <c r="EB191" s="1" t="n">
        <v>13505.762</v>
      </c>
      <c r="EC191" s="1" t="n">
        <v>20729.1732</v>
      </c>
      <c r="ED191" s="1" t="n">
        <v>9042.633599999999</v>
      </c>
      <c r="EE191" s="1" t="n">
        <v>15892.7078</v>
      </c>
      <c r="EF191" s="1" t="n">
        <v>13469.569</v>
      </c>
      <c r="EG191" s="1" t="n">
        <v>19610.3758</v>
      </c>
      <c r="EH191" s="1" t="n">
        <v>16542.8864</v>
      </c>
      <c r="EI191" s="1" t="n">
        <v>19145.1902</v>
      </c>
      <c r="EJ191" s="1" t="n">
        <v>18249.5926</v>
      </c>
      <c r="EK191" s="1" t="n">
        <v>25905.4542</v>
      </c>
      <c r="EL191" s="1" t="n">
        <v>17681.6909</v>
      </c>
      <c r="EM191" s="1" t="n">
        <v>43769.658</v>
      </c>
    </row>
    <row r="192">
      <c r="A192" s="2" t="inlineStr">
        <is>
          <t xml:space="preserve">    购买商品、接受劳务支付的现金</t>
        </is>
      </c>
      <c r="B192" s="1" t="n">
        <v>20454.71</v>
      </c>
      <c r="C192" s="1" t="n">
        <v>23491.05</v>
      </c>
      <c r="D192" s="1" t="n">
        <v>33485.15</v>
      </c>
      <c r="E192" s="1" t="n">
        <v>33785.29</v>
      </c>
      <c r="F192" s="1" t="n">
        <v>37772.86</v>
      </c>
      <c r="G192" s="1" t="n">
        <v>29893.24</v>
      </c>
      <c r="H192" s="1" t="n">
        <v>26569.05</v>
      </c>
      <c r="I192" s="1" t="n">
        <v>26412.28</v>
      </c>
      <c r="J192" s="1" t="n">
        <v>29425.46</v>
      </c>
      <c r="K192" s="1" t="n">
        <v>25471.28</v>
      </c>
      <c r="L192" s="1" t="n">
        <v>23088.94</v>
      </c>
      <c r="M192" s="1" t="n">
        <v>23090.17</v>
      </c>
      <c r="N192" s="1" t="n">
        <v>20830.4</v>
      </c>
      <c r="O192" s="1" t="n">
        <v>23534.53</v>
      </c>
      <c r="P192" s="1" t="n">
        <v>30395.94</v>
      </c>
      <c r="Q192" s="1" t="n">
        <v>37632.14</v>
      </c>
      <c r="R192" s="1" t="n">
        <v>39413.67</v>
      </c>
      <c r="S192" s="1" t="n">
        <v>50183.75</v>
      </c>
      <c r="T192" s="1" t="n">
        <v>56209.49</v>
      </c>
      <c r="AA192" s="1" t="n">
        <v>2080.18</v>
      </c>
      <c r="AB192" s="1" t="n">
        <v>2144.65</v>
      </c>
      <c r="AC192" s="1" t="n">
        <v>14255.77</v>
      </c>
      <c r="AD192" s="1" t="n">
        <v>15328.66</v>
      </c>
      <c r="AE192" s="1" t="n">
        <v>17136.66</v>
      </c>
      <c r="AF192" s="1" t="n">
        <v>15306.04</v>
      </c>
      <c r="AG192" s="1" t="n">
        <v>12279.05</v>
      </c>
      <c r="AH192" s="1" t="n">
        <v>11994.84</v>
      </c>
      <c r="AI192" s="1" t="n">
        <v>13115.34</v>
      </c>
      <c r="AJ192" s="1" t="n">
        <v>13059.53</v>
      </c>
      <c r="AK192" s="1" t="n">
        <v>10903.34</v>
      </c>
      <c r="AL192" s="1" t="n">
        <v>11962.68</v>
      </c>
      <c r="AM192" s="1" t="n">
        <v>10334.8</v>
      </c>
      <c r="AN192" s="1" t="n">
        <v>10215.51</v>
      </c>
      <c r="AO192" s="1" t="n">
        <v>13913.08</v>
      </c>
      <c r="AP192" s="1" t="n">
        <v>18900.28</v>
      </c>
      <c r="AQ192" s="1" t="n">
        <v>16344</v>
      </c>
      <c r="AR192" s="1" t="n">
        <v>21849.89</v>
      </c>
      <c r="AS192" s="1" t="n">
        <v>25401.53</v>
      </c>
      <c r="AT192" s="1" t="n"/>
      <c r="BN192" s="1" t="n">
        <v>980.6381</v>
      </c>
      <c r="BO192" s="1" t="n">
        <v>1099.5377</v>
      </c>
      <c r="BP192" s="1" t="n">
        <v>1095.6319</v>
      </c>
      <c r="BQ192" s="1" t="n">
        <v>17278.8978</v>
      </c>
      <c r="BR192" s="1" t="n">
        <v>1037.7716</v>
      </c>
      <c r="BS192" s="1" t="n">
        <v>1106.8806</v>
      </c>
      <c r="BT192" s="1" t="n">
        <v>1152.8348</v>
      </c>
      <c r="BU192" s="1" t="n">
        <v>20193.5621</v>
      </c>
      <c r="BV192" s="1" t="n">
        <v>6989.8019</v>
      </c>
      <c r="BW192" s="1" t="n">
        <v>7265.9696</v>
      </c>
      <c r="BX192" s="1" t="n">
        <v>9417.0051</v>
      </c>
      <c r="BY192" s="1" t="n">
        <v>9812.3742</v>
      </c>
      <c r="BZ192" s="1" t="n">
        <v>8240.0568</v>
      </c>
      <c r="CA192" s="1" t="n">
        <v>7088.6032</v>
      </c>
      <c r="CB192" s="1" t="n">
        <v>9729.929</v>
      </c>
      <c r="CC192" s="1" t="n">
        <v>8726.6963</v>
      </c>
      <c r="CD192" s="1" t="n">
        <v>8116.9387</v>
      </c>
      <c r="CE192" s="1" t="n">
        <v>9019.7186</v>
      </c>
      <c r="CF192" s="1" t="n">
        <v>7482.5455</v>
      </c>
      <c r="CG192" s="1" t="n">
        <v>13153.6561</v>
      </c>
      <c r="CH192" s="1" t="n">
        <v>6452.4226</v>
      </c>
      <c r="CI192" s="1" t="n">
        <v>8853.621300000001</v>
      </c>
      <c r="CJ192" s="1" t="n">
        <v>6392.3568</v>
      </c>
      <c r="CK192" s="1" t="n">
        <v>8194.8416</v>
      </c>
      <c r="CL192" s="1" t="n">
        <v>6905.3325</v>
      </c>
      <c r="CM192" s="1" t="n">
        <v>5373.7223</v>
      </c>
      <c r="CN192" s="1" t="n">
        <v>6790.5449</v>
      </c>
      <c r="CO192" s="1" t="n">
        <v>7499.4512</v>
      </c>
      <c r="CP192" s="1" t="n">
        <v>6002.2443</v>
      </c>
      <c r="CQ192" s="1" t="n">
        <v>5992.6004</v>
      </c>
      <c r="CR192" s="1" t="n">
        <v>6997.0679</v>
      </c>
      <c r="CS192" s="1" t="n">
        <v>7420.3644</v>
      </c>
      <c r="CT192" s="1" t="n">
        <v>6017.7411</v>
      </c>
      <c r="CU192" s="1" t="n">
        <v>7097.5943</v>
      </c>
      <c r="CV192" s="1" t="n">
        <v>7617.6806</v>
      </c>
      <c r="CW192" s="1" t="n">
        <v>8692.446</v>
      </c>
      <c r="CX192" s="1" t="n">
        <v>6972.304</v>
      </c>
      <c r="CY192" s="1" t="n">
        <v>6087.2219</v>
      </c>
      <c r="CZ192" s="1" t="n">
        <v>6095.1741</v>
      </c>
      <c r="DA192" s="1" t="n">
        <v>6316.5818</v>
      </c>
      <c r="DB192" s="1" t="n">
        <v>5518.9548</v>
      </c>
      <c r="DC192" s="1" t="n">
        <v>5384.3901</v>
      </c>
      <c r="DD192" s="1" t="n">
        <v>5241.1682</v>
      </c>
      <c r="DE192" s="1" t="n">
        <v>6944.4275</v>
      </c>
      <c r="DF192" s="1" t="n">
        <v>5672.3927</v>
      </c>
      <c r="DG192" s="1" t="n">
        <v>6290.2866</v>
      </c>
      <c r="DH192" s="1" t="n">
        <v>5507.7518</v>
      </c>
      <c r="DI192" s="1" t="n">
        <v>5619.742</v>
      </c>
      <c r="DJ192" s="1" t="n">
        <v>4915.7035</v>
      </c>
      <c r="DK192" s="1" t="n">
        <v>5419.0931</v>
      </c>
      <c r="DL192" s="1" t="n">
        <v>5537.5644</v>
      </c>
      <c r="DM192" s="1" t="n">
        <v>4958.0391</v>
      </c>
      <c r="DN192" s="1" t="n">
        <v>4762.013</v>
      </c>
      <c r="DO192" s="1" t="n">
        <v>5453.4995</v>
      </c>
      <c r="DP192" s="1" t="n">
        <v>6191.5978</v>
      </c>
      <c r="DQ192" s="1" t="n">
        <v>7127.4222</v>
      </c>
      <c r="DR192" s="1" t="n">
        <v>5725.2976</v>
      </c>
      <c r="DS192" s="1" t="n">
        <v>8187.7831</v>
      </c>
      <c r="DT192" s="1" t="n">
        <v>7718.6671</v>
      </c>
      <c r="DU192" s="1" t="n">
        <v>8764.194799999999</v>
      </c>
      <c r="DV192" s="1" t="n">
        <v>8983.0077</v>
      </c>
      <c r="DW192" s="1" t="n">
        <v>9917.2718</v>
      </c>
      <c r="DX192" s="1" t="n">
        <v>10284.2136</v>
      </c>
      <c r="DY192" s="1" t="n">
        <v>8447.6487</v>
      </c>
      <c r="DZ192" s="1" t="n">
        <v>9145.4658</v>
      </c>
      <c r="EA192" s="1" t="n">
        <v>7198.5321</v>
      </c>
      <c r="EB192" s="1" t="n">
        <v>9712.3941</v>
      </c>
      <c r="EC192" s="1" t="n">
        <v>13357.2806</v>
      </c>
      <c r="ED192" s="1" t="n">
        <v>9960.593000000001</v>
      </c>
      <c r="EE192" s="1" t="n">
        <v>11889.2971</v>
      </c>
      <c r="EF192" s="1" t="n">
        <v>11666.2992</v>
      </c>
      <c r="EG192" s="1" t="n">
        <v>16667.5622</v>
      </c>
      <c r="EH192" s="1" t="n">
        <v>12740.0781</v>
      </c>
      <c r="EI192" s="1" t="n">
        <v>12661.4514</v>
      </c>
      <c r="EJ192" s="1" t="n">
        <v>12826.6894</v>
      </c>
      <c r="EK192" s="1" t="n">
        <v>17981.2721</v>
      </c>
      <c r="EL192" s="1" t="n">
        <v>16760.8839</v>
      </c>
      <c r="EM192" s="1" t="n">
        <v>36132.553</v>
      </c>
    </row>
    <row r="193">
      <c r="A193" s="2" t="inlineStr">
        <is>
          <t xml:space="preserve">    支付给职工以及为职工支付的现金</t>
        </is>
      </c>
      <c r="B193" s="1" t="n">
        <v>1361.91</v>
      </c>
      <c r="C193" s="1" t="n">
        <v>1645.71</v>
      </c>
      <c r="D193" s="1" t="n">
        <v>1991.51</v>
      </c>
      <c r="E193" s="1" t="n">
        <v>2521.1</v>
      </c>
      <c r="F193" s="1" t="n">
        <v>2745.46</v>
      </c>
      <c r="G193" s="1" t="n">
        <v>3047.78</v>
      </c>
      <c r="H193" s="1" t="n">
        <v>3478.2</v>
      </c>
      <c r="I193" s="1" t="n">
        <v>3773.44</v>
      </c>
      <c r="J193" s="1" t="n">
        <v>4089.11</v>
      </c>
      <c r="K193" s="1" t="n">
        <v>3757.83</v>
      </c>
      <c r="L193" s="1" t="n">
        <v>3492.83</v>
      </c>
      <c r="M193" s="1" t="n">
        <v>3383.56</v>
      </c>
      <c r="N193" s="1" t="n">
        <v>3639.37</v>
      </c>
      <c r="O193" s="1" t="n">
        <v>3974.17</v>
      </c>
      <c r="P193" s="1" t="n">
        <v>4138.37</v>
      </c>
      <c r="Q193" s="1" t="n">
        <v>4546.61</v>
      </c>
      <c r="R193" s="1" t="n">
        <v>5004.83</v>
      </c>
      <c r="S193" s="1" t="n">
        <v>5481.89</v>
      </c>
      <c r="T193" s="1" t="n">
        <v>5643.56</v>
      </c>
      <c r="AA193" s="1" t="n">
        <v>218.25</v>
      </c>
      <c r="AB193" s="1" t="n">
        <v>298.92</v>
      </c>
      <c r="AC193" s="1" t="n">
        <v>691.17</v>
      </c>
      <c r="AD193" s="1" t="n">
        <v>865.3</v>
      </c>
      <c r="AE193" s="1" t="n">
        <v>1037.28</v>
      </c>
      <c r="AF193" s="1" t="n">
        <v>1280.07</v>
      </c>
      <c r="AG193" s="1" t="n">
        <v>1526.98</v>
      </c>
      <c r="AH193" s="1" t="n">
        <v>1547.06</v>
      </c>
      <c r="AI193" s="1" t="n">
        <v>1686.35</v>
      </c>
      <c r="AJ193" s="1" t="n">
        <v>1459.31</v>
      </c>
      <c r="AK193" s="1" t="n">
        <v>1388.24</v>
      </c>
      <c r="AL193" s="1" t="n">
        <v>1432.59</v>
      </c>
      <c r="AM193" s="1" t="n">
        <v>1521.43</v>
      </c>
      <c r="AN193" s="1" t="n">
        <v>1751.25</v>
      </c>
      <c r="AO193" s="1" t="n">
        <v>1751.92</v>
      </c>
      <c r="AP193" s="1" t="n">
        <v>1842.33</v>
      </c>
      <c r="AQ193" s="1" t="n">
        <v>1975.52</v>
      </c>
      <c r="AR193" s="1" t="n">
        <v>2206.2</v>
      </c>
      <c r="AS193" s="1" t="n">
        <v>2258.42</v>
      </c>
      <c r="AT193" s="1" t="n"/>
      <c r="BN193" s="1" t="n">
        <v>106.9561</v>
      </c>
      <c r="BO193" s="1" t="n">
        <v>111.2918</v>
      </c>
      <c r="BP193" s="1" t="n">
        <v>112.111</v>
      </c>
      <c r="BQ193" s="1" t="n">
        <v>1031.5504</v>
      </c>
      <c r="BR193" s="1" t="n">
        <v>160.1032</v>
      </c>
      <c r="BS193" s="1" t="n">
        <v>138.8207</v>
      </c>
      <c r="BT193" s="1" t="n">
        <v>152.2368</v>
      </c>
      <c r="BU193" s="1" t="n">
        <v>1194.5481</v>
      </c>
      <c r="BV193" s="1" t="n">
        <v>337.3331</v>
      </c>
      <c r="BW193" s="1" t="n">
        <v>353.8416</v>
      </c>
      <c r="BX193" s="1" t="n">
        <v>489.5939</v>
      </c>
      <c r="BY193" s="1" t="n">
        <v>810.7388999999999</v>
      </c>
      <c r="BZ193" s="1" t="n">
        <v>457.0958</v>
      </c>
      <c r="CA193" s="1" t="n">
        <v>408.2037</v>
      </c>
      <c r="CB193" s="1" t="n">
        <v>582.4135</v>
      </c>
      <c r="CC193" s="1" t="n">
        <v>1073.3843</v>
      </c>
      <c r="CD193" s="1" t="n">
        <v>529.4102</v>
      </c>
      <c r="CE193" s="1" t="n">
        <v>507.8722</v>
      </c>
      <c r="CF193" s="1" t="n">
        <v>734.6398</v>
      </c>
      <c r="CG193" s="1" t="n">
        <v>973.5415</v>
      </c>
      <c r="CH193" s="1" t="n">
        <v>646.0493</v>
      </c>
      <c r="CI193" s="1" t="n">
        <v>634.0232</v>
      </c>
      <c r="CJ193" s="1" t="n">
        <v>755.2677</v>
      </c>
      <c r="CK193" s="1" t="n">
        <v>1012.4413</v>
      </c>
      <c r="CL193" s="1" t="n">
        <v>813.9277</v>
      </c>
      <c r="CM193" s="1" t="n">
        <v>713.0561</v>
      </c>
      <c r="CN193" s="1" t="n">
        <v>781.2996000000001</v>
      </c>
      <c r="CO193" s="1" t="n">
        <v>1169.9204</v>
      </c>
      <c r="CP193" s="1" t="n">
        <v>798.6077</v>
      </c>
      <c r="CQ193" s="1" t="n">
        <v>748.4503999999999</v>
      </c>
      <c r="CR193" s="1" t="n">
        <v>834.3312</v>
      </c>
      <c r="CS193" s="1" t="n">
        <v>1392.0524</v>
      </c>
      <c r="CT193" s="1" t="n">
        <v>718.345</v>
      </c>
      <c r="CU193" s="1" t="n">
        <v>968.0046</v>
      </c>
      <c r="CV193" s="1" t="n">
        <v>795.8049999999999</v>
      </c>
      <c r="CW193" s="1" t="n">
        <v>1606.9529</v>
      </c>
      <c r="CX193" s="1" t="n">
        <v>696.2341</v>
      </c>
      <c r="CY193" s="1" t="n">
        <v>763.0739</v>
      </c>
      <c r="CZ193" s="1" t="n">
        <v>860.5386999999999</v>
      </c>
      <c r="DA193" s="1" t="n">
        <v>1437.98</v>
      </c>
      <c r="DB193" s="1" t="n">
        <v>668.4493</v>
      </c>
      <c r="DC193" s="1" t="n">
        <v>719.7858</v>
      </c>
      <c r="DD193" s="1" t="n">
        <v>856.1264</v>
      </c>
      <c r="DE193" s="1" t="n">
        <v>1248.4707</v>
      </c>
      <c r="DF193" s="1" t="n">
        <v>742.2593000000001</v>
      </c>
      <c r="DG193" s="1" t="n">
        <v>690.327</v>
      </c>
      <c r="DH193" s="1" t="n">
        <v>752.9338</v>
      </c>
      <c r="DI193" s="1" t="n">
        <v>1198.0405</v>
      </c>
      <c r="DJ193" s="1" t="n">
        <v>751.4181</v>
      </c>
      <c r="DK193" s="1" t="n">
        <v>770.0146999999999</v>
      </c>
      <c r="DL193" s="1" t="n">
        <v>891.5444</v>
      </c>
      <c r="DM193" s="1" t="n">
        <v>1226.3879</v>
      </c>
      <c r="DN193" s="1" t="n">
        <v>836.5706</v>
      </c>
      <c r="DO193" s="1" t="n">
        <v>914.6775</v>
      </c>
      <c r="DP193" s="1" t="n">
        <v>861.1931</v>
      </c>
      <c r="DQ193" s="1" t="n">
        <v>1361.7276</v>
      </c>
      <c r="DR193" s="1" t="n">
        <v>785.1713999999999</v>
      </c>
      <c r="DS193" s="1" t="n">
        <v>966.7514</v>
      </c>
      <c r="DT193" s="1" t="n">
        <v>908.7494</v>
      </c>
      <c r="DU193" s="1" t="n">
        <v>1477.6942</v>
      </c>
      <c r="DV193" s="1" t="n">
        <v>934.0954</v>
      </c>
      <c r="DW193" s="1" t="n">
        <v>908.2309</v>
      </c>
      <c r="DX193" s="1" t="n">
        <v>1128.1223</v>
      </c>
      <c r="DY193" s="1" t="n">
        <v>1576.1651</v>
      </c>
      <c r="DZ193" s="1" t="n">
        <v>978.4501</v>
      </c>
      <c r="EA193" s="1" t="n">
        <v>997.0681</v>
      </c>
      <c r="EB193" s="1" t="n">
        <v>1281.5981</v>
      </c>
      <c r="EC193" s="1" t="n">
        <v>1747.7163</v>
      </c>
      <c r="ED193" s="1" t="n">
        <v>1037.0732</v>
      </c>
      <c r="EE193" s="1" t="n">
        <v>1169.125</v>
      </c>
      <c r="EF193" s="1" t="n">
        <v>1347.0781</v>
      </c>
      <c r="EG193" s="1" t="n">
        <v>1928.6141</v>
      </c>
      <c r="EH193" s="1" t="n">
        <v>1124.0642</v>
      </c>
      <c r="EI193" s="1" t="n">
        <v>1134.3555</v>
      </c>
      <c r="EJ193" s="1" t="n">
        <v>1425.5295</v>
      </c>
      <c r="EK193" s="1" t="n">
        <v>1959.6078</v>
      </c>
      <c r="EL193" s="1" t="n">
        <v>1227.4896</v>
      </c>
      <c r="EM193" s="1" t="n">
        <v>2399.221</v>
      </c>
    </row>
    <row r="194">
      <c r="A194" s="2" t="inlineStr">
        <is>
          <t xml:space="preserve">    支付的各项税费</t>
        </is>
      </c>
      <c r="B194" s="1" t="n">
        <v>970.9299999999999</v>
      </c>
      <c r="C194" s="1" t="n">
        <v>1076.32</v>
      </c>
      <c r="D194" s="1" t="n">
        <v>719.39</v>
      </c>
      <c r="E194" s="1" t="n">
        <v>733.72</v>
      </c>
      <c r="F194" s="1" t="n">
        <v>2052.78</v>
      </c>
      <c r="G194" s="1" t="n">
        <v>3180.02</v>
      </c>
      <c r="H194" s="1" t="n">
        <v>3424.38</v>
      </c>
      <c r="I194" s="1" t="n">
        <v>2904.03</v>
      </c>
      <c r="J194" s="1" t="n">
        <v>2521.54</v>
      </c>
      <c r="K194" s="1" t="n">
        <v>3365.42</v>
      </c>
      <c r="L194" s="1" t="n">
        <v>2610.33</v>
      </c>
      <c r="M194" s="1" t="n">
        <v>2399.67</v>
      </c>
      <c r="N194" s="1" t="n">
        <v>2474.34</v>
      </c>
      <c r="O194" s="1" t="n">
        <v>1935.78</v>
      </c>
      <c r="P194" s="1" t="n">
        <v>1414.71</v>
      </c>
      <c r="Q194" s="1" t="n">
        <v>1658.18</v>
      </c>
      <c r="R194" s="1" t="n">
        <v>2472.14</v>
      </c>
      <c r="S194" s="1" t="n">
        <v>2219.76</v>
      </c>
      <c r="T194" s="1" t="n">
        <v>2777.69</v>
      </c>
      <c r="AA194" s="1" t="n">
        <v>166.17</v>
      </c>
      <c r="AB194" s="1" t="n">
        <v>261.2</v>
      </c>
      <c r="AC194" s="1" t="n">
        <v>503.63</v>
      </c>
      <c r="AD194" s="1" t="n">
        <v>398.34</v>
      </c>
      <c r="AE194" s="1" t="n">
        <v>1251.62</v>
      </c>
      <c r="AF194" s="1" t="n">
        <v>1403.1</v>
      </c>
      <c r="AG194" s="1" t="n">
        <v>1915.79</v>
      </c>
      <c r="AH194" s="1" t="n">
        <v>1621.86</v>
      </c>
      <c r="AI194" s="1" t="n">
        <v>1727.18</v>
      </c>
      <c r="AJ194" s="1" t="n">
        <v>1812.5</v>
      </c>
      <c r="AK194" s="1" t="n">
        <v>1522.81</v>
      </c>
      <c r="AL194" s="1" t="n">
        <v>1556.74</v>
      </c>
      <c r="AM194" s="1" t="n">
        <v>1395.48</v>
      </c>
      <c r="AN194" s="1" t="n">
        <v>1161.95</v>
      </c>
      <c r="AO194" s="1" t="n">
        <v>597.27</v>
      </c>
      <c r="AP194" s="1" t="n">
        <v>711.88</v>
      </c>
      <c r="AQ194" s="1" t="n">
        <v>1107.14</v>
      </c>
      <c r="AR194" s="1" t="n">
        <v>1304.32</v>
      </c>
      <c r="AS194" s="1" t="n">
        <v>1565.33</v>
      </c>
      <c r="AT194" s="1" t="n"/>
      <c r="BN194" s="1" t="n">
        <v>137.9619</v>
      </c>
      <c r="BO194" s="1" t="n">
        <v>28.2054</v>
      </c>
      <c r="BP194" s="1" t="n">
        <v>9.492100000000001</v>
      </c>
      <c r="BQ194" s="1" t="n">
        <v>795.2655</v>
      </c>
      <c r="BR194" s="1" t="n">
        <v>205.1039</v>
      </c>
      <c r="BS194" s="1" t="n">
        <v>56.0975</v>
      </c>
      <c r="BT194" s="1" t="n">
        <v>98.569</v>
      </c>
      <c r="BU194" s="1" t="n">
        <v>716.554</v>
      </c>
      <c r="BV194" s="1" t="n">
        <v>269.6136</v>
      </c>
      <c r="BW194" s="1" t="n">
        <v>234.0118</v>
      </c>
      <c r="BX194" s="1" t="n">
        <v>35.9164</v>
      </c>
      <c r="BY194" s="1" t="n">
        <v>179.8457</v>
      </c>
      <c r="BZ194" s="1" t="n">
        <v>301.6174</v>
      </c>
      <c r="CA194" s="1" t="n">
        <v>96.72410000000001</v>
      </c>
      <c r="CB194" s="1" t="n">
        <v>187.2376</v>
      </c>
      <c r="CC194" s="1" t="n">
        <v>148.1429</v>
      </c>
      <c r="CD194" s="1" t="n">
        <v>560.8175</v>
      </c>
      <c r="CE194" s="1" t="n">
        <v>690.8015</v>
      </c>
      <c r="CF194" s="1" t="n">
        <v>573.4194</v>
      </c>
      <c r="CG194" s="1" t="n">
        <v>227.7383</v>
      </c>
      <c r="CH194" s="1" t="n">
        <v>597.8922</v>
      </c>
      <c r="CI194" s="1" t="n">
        <v>805.2095</v>
      </c>
      <c r="CJ194" s="1" t="n">
        <v>924.4076</v>
      </c>
      <c r="CK194" s="1" t="n">
        <v>852.5091</v>
      </c>
      <c r="CL194" s="1" t="n">
        <v>648.6648</v>
      </c>
      <c r="CM194" s="1" t="n">
        <v>1267.1238</v>
      </c>
      <c r="CN194" s="1" t="n">
        <v>541.7928000000001</v>
      </c>
      <c r="CO194" s="1" t="n">
        <v>966.8033</v>
      </c>
      <c r="CP194" s="1" t="n">
        <v>754.4802</v>
      </c>
      <c r="CQ194" s="1" t="n">
        <v>867.377</v>
      </c>
      <c r="CR194" s="1" t="n">
        <v>755.3287</v>
      </c>
      <c r="CS194" s="1" t="n">
        <v>526.8424</v>
      </c>
      <c r="CT194" s="1" t="n">
        <v>651.4114</v>
      </c>
      <c r="CU194" s="1" t="n">
        <v>1075.7726</v>
      </c>
      <c r="CV194" s="1" t="n">
        <v>421.5287</v>
      </c>
      <c r="CW194" s="1" t="n">
        <v>372.8266</v>
      </c>
      <c r="CX194" s="1" t="n">
        <v>940.7026</v>
      </c>
      <c r="CY194" s="1" t="n">
        <v>871.7944</v>
      </c>
      <c r="CZ194" s="1" t="n">
        <v>936.7063000000001</v>
      </c>
      <c r="DA194" s="1" t="n">
        <v>616.2146</v>
      </c>
      <c r="DB194" s="1" t="n">
        <v>766.5561</v>
      </c>
      <c r="DC194" s="1" t="n">
        <v>756.2575000000001</v>
      </c>
      <c r="DD194" s="1" t="n">
        <v>548.2948</v>
      </c>
      <c r="DE194" s="1" t="n">
        <v>539.226</v>
      </c>
      <c r="DF194" s="1" t="n">
        <v>837.1387</v>
      </c>
      <c r="DG194" s="1" t="n">
        <v>719.604</v>
      </c>
      <c r="DH194" s="1" t="n">
        <v>493.5443</v>
      </c>
      <c r="DI194" s="1" t="n">
        <v>349.382</v>
      </c>
      <c r="DJ194" s="1" t="n">
        <v>531.5393</v>
      </c>
      <c r="DK194" s="1" t="n">
        <v>863.9444</v>
      </c>
      <c r="DL194" s="1" t="n">
        <v>447.013</v>
      </c>
      <c r="DM194" s="1" t="n">
        <v>631.847</v>
      </c>
      <c r="DN194" s="1" t="n">
        <v>545.6944999999999</v>
      </c>
      <c r="DO194" s="1" t="n">
        <v>616.2598</v>
      </c>
      <c r="DP194" s="1" t="n">
        <v>196.0523</v>
      </c>
      <c r="DQ194" s="1" t="n">
        <v>577.7745</v>
      </c>
      <c r="DR194" s="1" t="n">
        <v>286.6723</v>
      </c>
      <c r="DS194" s="1" t="n">
        <v>310.5935</v>
      </c>
      <c r="DT194" s="1" t="n">
        <v>263.6762</v>
      </c>
      <c r="DU194" s="1" t="n">
        <v>553.7642</v>
      </c>
      <c r="DV194" s="1" t="n">
        <v>346.4817</v>
      </c>
      <c r="DW194" s="1" t="n">
        <v>365.3955</v>
      </c>
      <c r="DX194" s="1" t="n">
        <v>417.8485</v>
      </c>
      <c r="DY194" s="1" t="n">
        <v>528.4494999999999</v>
      </c>
      <c r="DZ194" s="1" t="n">
        <v>427.9158</v>
      </c>
      <c r="EA194" s="1" t="n">
        <v>679.2222</v>
      </c>
      <c r="EB194" s="1" t="n">
        <v>585.8561</v>
      </c>
      <c r="EC194" s="1" t="n">
        <v>779.1509</v>
      </c>
      <c r="ED194" s="1" t="n">
        <v>650.5027</v>
      </c>
      <c r="EE194" s="1" t="n">
        <v>653.8148</v>
      </c>
      <c r="EF194" s="1" t="n">
        <v>575.9414</v>
      </c>
      <c r="EG194" s="1" t="n">
        <v>339.4984</v>
      </c>
      <c r="EH194" s="1" t="n">
        <v>716.7</v>
      </c>
      <c r="EI194" s="1" t="n">
        <v>848.6346</v>
      </c>
      <c r="EJ194" s="1" t="n">
        <v>861.3306</v>
      </c>
      <c r="EK194" s="1" t="n">
        <v>351.0251</v>
      </c>
      <c r="EL194" s="1" t="n">
        <v>938.5746</v>
      </c>
      <c r="EM194" s="1" t="n">
        <v>2112.248</v>
      </c>
    </row>
    <row r="195">
      <c r="A195" s="2" t="inlineStr">
        <is>
          <t xml:space="preserve">    支付其他与经营活动有关的现金</t>
        </is>
      </c>
      <c r="B195" s="1" t="n">
        <v>1283.57</v>
      </c>
      <c r="C195" s="1" t="n">
        <v>1123.7</v>
      </c>
      <c r="D195" s="1" t="n">
        <v>1242.75</v>
      </c>
      <c r="E195" s="1" t="n">
        <v>1612.99</v>
      </c>
      <c r="F195" s="1" t="n">
        <v>1363.17</v>
      </c>
      <c r="G195" s="1" t="n">
        <v>1251.88</v>
      </c>
      <c r="H195" s="1" t="n">
        <v>1341.01</v>
      </c>
      <c r="I195" s="1" t="n">
        <v>1338.43</v>
      </c>
      <c r="J195" s="1" t="n">
        <v>1897.91</v>
      </c>
      <c r="K195" s="1" t="n">
        <v>1340.15</v>
      </c>
      <c r="L195" s="1" t="n">
        <v>1258.17</v>
      </c>
      <c r="M195" s="1" t="n">
        <v>1591.97</v>
      </c>
      <c r="N195" s="1" t="n">
        <v>6373.2</v>
      </c>
      <c r="O195" s="1" t="n">
        <v>6207.37</v>
      </c>
      <c r="P195" s="1" t="n">
        <v>11199.94</v>
      </c>
      <c r="Q195" s="1" t="n">
        <v>2724.64</v>
      </c>
      <c r="R195" s="1" t="n">
        <v>3315.34</v>
      </c>
      <c r="S195" s="1" t="n">
        <v>6741.4</v>
      </c>
      <c r="T195" s="1" t="n">
        <v>6427.92</v>
      </c>
      <c r="AA195" s="1" t="n">
        <v>50.44</v>
      </c>
      <c r="AB195" s="1" t="n">
        <v>62.57</v>
      </c>
      <c r="AC195" s="1" t="n">
        <v>686.73</v>
      </c>
      <c r="AD195" s="1" t="n">
        <v>532.14</v>
      </c>
      <c r="AE195" s="1" t="n">
        <v>950</v>
      </c>
      <c r="AF195" s="1" t="n">
        <v>861.0599999999999</v>
      </c>
      <c r="AG195" s="1" t="n">
        <v>662.83</v>
      </c>
      <c r="AH195" s="1" t="n">
        <v>731.97</v>
      </c>
      <c r="AI195" s="1" t="n">
        <v>1128.31</v>
      </c>
      <c r="AJ195" s="1" t="n">
        <v>1000.16</v>
      </c>
      <c r="AK195" s="1" t="n">
        <v>841.72</v>
      </c>
      <c r="AL195" s="1" t="n">
        <v>578.61</v>
      </c>
      <c r="AM195" s="1" t="n">
        <v>1135.97</v>
      </c>
      <c r="AN195" s="1" t="n">
        <v>2466.51</v>
      </c>
      <c r="AO195" s="1" t="n">
        <v>951.79</v>
      </c>
      <c r="AP195" s="1" t="n">
        <v>1112.35</v>
      </c>
      <c r="AQ195" s="1" t="n">
        <v>1711.92</v>
      </c>
      <c r="AR195" s="1" t="n">
        <v>3877.23</v>
      </c>
      <c r="AS195" s="1" t="n">
        <v>2858.82</v>
      </c>
      <c r="AT195" s="1" t="n"/>
      <c r="BN195" s="1" t="n">
        <v>61.1368</v>
      </c>
      <c r="BO195" s="1" t="n">
        <v>-10.6944</v>
      </c>
      <c r="BP195" s="1" t="n">
        <v>30.5703</v>
      </c>
      <c r="BQ195" s="1" t="n">
        <v>1202.5536</v>
      </c>
      <c r="BR195" s="1" t="n">
        <v>29.2433</v>
      </c>
      <c r="BS195" s="1" t="n">
        <v>33.3289</v>
      </c>
      <c r="BT195" s="1" t="n">
        <v>56.1625</v>
      </c>
      <c r="BU195" s="1" t="n">
        <v>1004.9668</v>
      </c>
      <c r="BV195" s="1" t="n">
        <v>348.9758</v>
      </c>
      <c r="BW195" s="1" t="n">
        <v>337.7498</v>
      </c>
      <c r="BX195" s="1" t="n">
        <v>513.9008</v>
      </c>
      <c r="BY195" s="1" t="n">
        <v>42.1246</v>
      </c>
      <c r="BZ195" s="1" t="n">
        <v>272.0169</v>
      </c>
      <c r="CA195" s="1" t="n">
        <v>260.1199</v>
      </c>
      <c r="CB195" s="1" t="n">
        <v>195.6325</v>
      </c>
      <c r="CC195" s="1" t="n">
        <v>885.221</v>
      </c>
      <c r="CD195" s="1" t="n">
        <v>366.5491</v>
      </c>
      <c r="CE195" s="1" t="n">
        <v>583.452</v>
      </c>
      <c r="CF195" s="1" t="n">
        <v>550.0051999999999</v>
      </c>
      <c r="CG195" s="1" t="n">
        <v>-136.8385</v>
      </c>
      <c r="CH195" s="1" t="n">
        <v>627.7318</v>
      </c>
      <c r="CI195" s="1" t="n">
        <v>233.3293</v>
      </c>
      <c r="CJ195" s="1" t="n">
        <v>470.6844</v>
      </c>
      <c r="CK195" s="1" t="n">
        <v>-79.8703</v>
      </c>
      <c r="CL195" s="1" t="n">
        <v>317.5847</v>
      </c>
      <c r="CM195" s="1" t="n">
        <v>345.2451</v>
      </c>
      <c r="CN195" s="1" t="n">
        <v>417.1336</v>
      </c>
      <c r="CO195" s="1" t="n">
        <v>261.0458</v>
      </c>
      <c r="CP195" s="1" t="n">
        <v>373.7513</v>
      </c>
      <c r="CQ195" s="1" t="n">
        <v>358.2207</v>
      </c>
      <c r="CR195" s="1" t="n">
        <v>480.8289</v>
      </c>
      <c r="CS195" s="1" t="n">
        <v>125.6278</v>
      </c>
      <c r="CT195" s="1" t="n">
        <v>479.055</v>
      </c>
      <c r="CU195" s="1" t="n">
        <v>649.2587</v>
      </c>
      <c r="CV195" s="1" t="n">
        <v>603.9441</v>
      </c>
      <c r="CW195" s="1" t="n">
        <v>165.6561</v>
      </c>
      <c r="CX195" s="1" t="n">
        <v>578.4109</v>
      </c>
      <c r="CY195" s="1" t="n">
        <v>421.7487</v>
      </c>
      <c r="CZ195" s="1" t="n">
        <v>160.2914</v>
      </c>
      <c r="DA195" s="1" t="n">
        <v>179.7024</v>
      </c>
      <c r="DB195" s="1" t="n">
        <v>559.0607</v>
      </c>
      <c r="DC195" s="1" t="n">
        <v>282.6624</v>
      </c>
      <c r="DD195" s="1" t="n">
        <v>266.0689</v>
      </c>
      <c r="DE195" s="1" t="n">
        <v>150.3777</v>
      </c>
      <c r="DF195" s="1" t="n">
        <v>413.498</v>
      </c>
      <c r="DG195" s="1" t="n">
        <v>165.1074</v>
      </c>
      <c r="DH195" s="1" t="n">
        <v>532.5021</v>
      </c>
      <c r="DI195" s="1" t="n">
        <v>480.8615</v>
      </c>
      <c r="DJ195" s="1" t="n">
        <v>398.7708</v>
      </c>
      <c r="DK195" s="1" t="n">
        <v>737.2002</v>
      </c>
      <c r="DL195" s="1" t="n">
        <v>457.7993</v>
      </c>
      <c r="DM195" s="1" t="n">
        <v>4779.4249</v>
      </c>
      <c r="DN195" s="1" t="n">
        <v>5810.6717</v>
      </c>
      <c r="DO195" s="1" t="n">
        <v>-3344.1589</v>
      </c>
      <c r="DP195" s="1" t="n">
        <v>-55.7137</v>
      </c>
      <c r="DQ195" s="1" t="n">
        <v>3796.573</v>
      </c>
      <c r="DR195" s="1" t="n">
        <v>519.5616</v>
      </c>
      <c r="DS195" s="1" t="n">
        <v>432.2321</v>
      </c>
      <c r="DT195" s="1" t="n">
        <v>414.8724</v>
      </c>
      <c r="DU195" s="1" t="n">
        <v>9833.2755</v>
      </c>
      <c r="DV195" s="1" t="n">
        <v>481.5118</v>
      </c>
      <c r="DW195" s="1" t="n">
        <v>630.8402</v>
      </c>
      <c r="DX195" s="1" t="n">
        <v>834.7907</v>
      </c>
      <c r="DY195" s="1" t="n">
        <v>777.4995</v>
      </c>
      <c r="DZ195" s="1" t="n">
        <v>791.0382</v>
      </c>
      <c r="EA195" s="1" t="n">
        <v>920.8837</v>
      </c>
      <c r="EB195" s="1" t="n">
        <v>761.9424</v>
      </c>
      <c r="EC195" s="1" t="n">
        <v>841.4711</v>
      </c>
      <c r="ED195" s="1" t="n">
        <v>1585.078</v>
      </c>
      <c r="EE195" s="1" t="n">
        <v>2292.1549</v>
      </c>
      <c r="EF195" s="1" t="n">
        <v>1318.5207</v>
      </c>
      <c r="EG195" s="1" t="n">
        <v>1545.6445</v>
      </c>
      <c r="EH195" s="1" t="n">
        <v>1077.3903</v>
      </c>
      <c r="EI195" s="1" t="n">
        <v>1781.4295</v>
      </c>
      <c r="EJ195" s="1" t="n">
        <v>1337.6819</v>
      </c>
      <c r="EK195" s="1" t="n">
        <v>2231.4141</v>
      </c>
      <c r="EL195" s="1" t="n">
        <v>2255.8165</v>
      </c>
      <c r="EM195" s="1" t="n">
        <v>4174.475</v>
      </c>
    </row>
    <row r="196">
      <c r="A196" s="2" t="inlineStr">
        <is>
          <t xml:space="preserve">        经营活动现金流出(金融类)</t>
        </is>
      </c>
      <c r="N196" s="1" t="n">
        <v>3190.76</v>
      </c>
      <c r="O196" s="1" t="n">
        <v>583.34</v>
      </c>
      <c r="P196" s="1" t="n">
        <v>1437.55</v>
      </c>
      <c r="Q196" s="1" t="n">
        <v>1388.96</v>
      </c>
      <c r="R196" s="1" t="n">
        <v>19.9</v>
      </c>
      <c r="S196" s="1" t="n">
        <v>-3115.63</v>
      </c>
      <c r="T196" s="1" t="n">
        <v>-1275.02</v>
      </c>
      <c r="AM196" s="1" t="n">
        <v>1266.58</v>
      </c>
      <c r="AN196" s="1" t="n">
        <v>-35.63</v>
      </c>
      <c r="AO196" s="1" t="n">
        <v>387.62</v>
      </c>
      <c r="AP196" s="1" t="n">
        <v>390.63</v>
      </c>
      <c r="AQ196" s="1" t="n">
        <v>863.2</v>
      </c>
      <c r="AR196" s="1" t="n">
        <v>-2090.3</v>
      </c>
      <c r="AS196" s="1" t="n">
        <v>-460.72</v>
      </c>
      <c r="AT196" s="1" t="n"/>
      <c r="DK196" s="1" t="n">
        <v>1266.5829</v>
      </c>
      <c r="DL196" s="1" t="n">
        <v>776.5236</v>
      </c>
      <c r="DM196" s="1" t="n">
        <v>1147.6559</v>
      </c>
      <c r="DN196" s="1" t="n">
        <v>-37.3351</v>
      </c>
      <c r="DO196" s="1" t="n">
        <v>1.7039</v>
      </c>
      <c r="DP196" s="1" t="n">
        <v>203.0236</v>
      </c>
      <c r="DQ196" s="1" t="n">
        <v>415.9511</v>
      </c>
      <c r="DR196" s="1" t="n">
        <v>150.6509</v>
      </c>
      <c r="DS196" s="1" t="n">
        <v>236.9673</v>
      </c>
      <c r="DT196" s="1" t="n">
        <v>-530.1263</v>
      </c>
      <c r="DU196" s="1" t="n">
        <v>1580.0606</v>
      </c>
      <c r="DV196" s="1" t="n">
        <v>105.5217</v>
      </c>
      <c r="DW196" s="1" t="n">
        <v>285.1095</v>
      </c>
      <c r="DX196" s="1" t="n">
        <v>-1.0458</v>
      </c>
      <c r="DY196" s="1" t="n">
        <v>999.371</v>
      </c>
      <c r="DZ196" s="1" t="n">
        <v>367.239</v>
      </c>
      <c r="EA196" s="1" t="n">
        <v>495.9619</v>
      </c>
      <c r="EB196" s="1" t="n">
        <v>-143.0909</v>
      </c>
      <c r="EC196" s="1" t="n">
        <v>-700.2101</v>
      </c>
      <c r="ED196" s="1" t="n">
        <v>-1640.8725</v>
      </c>
      <c r="EE196" s="1" t="n">
        <v>-449.4278</v>
      </c>
      <c r="EF196" s="1" t="n">
        <v>-593.0513999999999</v>
      </c>
      <c r="EG196" s="1" t="n">
        <v>-432.2829</v>
      </c>
      <c r="EH196" s="1" t="n">
        <v>-355.9901</v>
      </c>
      <c r="EI196" s="1" t="n">
        <v>-104.7322</v>
      </c>
      <c r="EJ196" s="1" t="n">
        <v>-180.3869</v>
      </c>
      <c r="EK196" s="1" t="n">
        <v>-633.9129</v>
      </c>
      <c r="EL196" s="1" t="n">
        <v>-208.206</v>
      </c>
      <c r="EM196" s="1" t="n">
        <v>-492.373</v>
      </c>
    </row>
    <row r="197">
      <c r="A197" s="2" t="inlineStr">
        <is>
          <t xml:space="preserve">    经营活动现金流出差额(特殊报表科目)</t>
        </is>
      </c>
      <c r="EM197" s="1" t="inlineStr"/>
    </row>
    <row r="198">
      <c r="A198" s="2" t="inlineStr">
        <is>
          <t xml:space="preserve">    经营活动现金流出差额(合计平衡项目)</t>
        </is>
      </c>
      <c r="EM198" s="1" t="inlineStr"/>
    </row>
    <row r="199">
      <c r="A199" s="3" t="inlineStr">
        <is>
          <t xml:space="preserve">    经营活动现金流出小计</t>
        </is>
      </c>
      <c r="B199" s="1" t="n">
        <v>24071.11</v>
      </c>
      <c r="C199" s="1" t="n">
        <v>27336.78</v>
      </c>
      <c r="D199" s="1" t="n">
        <v>37438.8</v>
      </c>
      <c r="E199" s="1" t="n">
        <v>38653.09</v>
      </c>
      <c r="F199" s="1" t="n">
        <v>43934.27</v>
      </c>
      <c r="G199" s="1" t="n">
        <v>37372.92</v>
      </c>
      <c r="H199" s="1" t="n">
        <v>34812.65</v>
      </c>
      <c r="I199" s="1" t="n">
        <v>34428.18</v>
      </c>
      <c r="J199" s="1" t="n">
        <v>37934.02</v>
      </c>
      <c r="K199" s="1" t="n">
        <v>33934.68</v>
      </c>
      <c r="L199" s="1" t="n">
        <v>30450.28</v>
      </c>
      <c r="M199" s="1" t="n">
        <v>30465.37</v>
      </c>
      <c r="N199" s="1" t="n">
        <v>36508.07</v>
      </c>
      <c r="O199" s="1" t="n">
        <v>36235.2</v>
      </c>
      <c r="P199" s="1" t="n">
        <v>48586.51</v>
      </c>
      <c r="Q199" s="1" t="n">
        <v>47950.53</v>
      </c>
      <c r="R199" s="1" t="n">
        <v>50225.89</v>
      </c>
      <c r="S199" s="1" t="n">
        <v>61511.16</v>
      </c>
      <c r="T199" s="1" t="n">
        <v>69783.63</v>
      </c>
      <c r="AA199" s="1" t="n">
        <v>2515.03</v>
      </c>
      <c r="AB199" s="1" t="n">
        <v>2767.35</v>
      </c>
      <c r="AC199" s="1" t="n">
        <v>16137.3</v>
      </c>
      <c r="AD199" s="1" t="n">
        <v>17124.44</v>
      </c>
      <c r="AE199" s="1" t="n">
        <v>20375.56</v>
      </c>
      <c r="AF199" s="1" t="n">
        <v>18850.28</v>
      </c>
      <c r="AG199" s="1" t="n">
        <v>16384.66</v>
      </c>
      <c r="AH199" s="1" t="n">
        <v>15895.73</v>
      </c>
      <c r="AI199" s="1" t="n">
        <v>17657.18</v>
      </c>
      <c r="AJ199" s="1" t="n">
        <v>17331.49</v>
      </c>
      <c r="AK199" s="1" t="n">
        <v>14656.12</v>
      </c>
      <c r="AL199" s="1" t="n">
        <v>15530.61</v>
      </c>
      <c r="AM199" s="1" t="n">
        <v>15654.27</v>
      </c>
      <c r="AN199" s="1" t="n">
        <v>15559.6</v>
      </c>
      <c r="AO199" s="1" t="n">
        <v>17601.68</v>
      </c>
      <c r="AP199" s="1" t="n">
        <v>22957.47</v>
      </c>
      <c r="AQ199" s="1" t="n">
        <v>22001.78</v>
      </c>
      <c r="AR199" s="1" t="n">
        <v>27147.34</v>
      </c>
      <c r="AS199" s="1" t="n">
        <v>31623.38</v>
      </c>
      <c r="AT199" s="1" t="n"/>
      <c r="BN199" s="1" t="n">
        <v>1286.6929</v>
      </c>
      <c r="BO199" s="1" t="n">
        <v>1228.3406</v>
      </c>
      <c r="BP199" s="1" t="n">
        <v>1247.8053</v>
      </c>
      <c r="BQ199" s="1" t="n">
        <v>20308.2673</v>
      </c>
      <c r="BR199" s="1" t="n">
        <v>1432.222</v>
      </c>
      <c r="BS199" s="1" t="n">
        <v>1335.1277</v>
      </c>
      <c r="BT199" s="1" t="n">
        <v>1459.8032</v>
      </c>
      <c r="BU199" s="1" t="n">
        <v>23109.6309</v>
      </c>
      <c r="BV199" s="1" t="n">
        <v>7945.7244</v>
      </c>
      <c r="BW199" s="1" t="n">
        <v>8191.5728</v>
      </c>
      <c r="BX199" s="1" t="n">
        <v>10456.4163</v>
      </c>
      <c r="BY199" s="1" t="n">
        <v>10845.0834</v>
      </c>
      <c r="BZ199" s="1" t="n">
        <v>9270.787</v>
      </c>
      <c r="CA199" s="1" t="n">
        <v>7853.6509</v>
      </c>
      <c r="CB199" s="1" t="n">
        <v>10695.2127</v>
      </c>
      <c r="CC199" s="1" t="n">
        <v>10833.4444</v>
      </c>
      <c r="CD199" s="1" t="n">
        <v>9573.7156</v>
      </c>
      <c r="CE199" s="1" t="n">
        <v>10801.8443</v>
      </c>
      <c r="CF199" s="1" t="n">
        <v>9340.610000000001</v>
      </c>
      <c r="CG199" s="1" t="n">
        <v>14218.0975</v>
      </c>
      <c r="CH199" s="1" t="n">
        <v>8324.096</v>
      </c>
      <c r="CI199" s="1" t="n">
        <v>10526.1833</v>
      </c>
      <c r="CJ199" s="1" t="n">
        <v>8542.7165</v>
      </c>
      <c r="CK199" s="1" t="n">
        <v>9979.921700000001</v>
      </c>
      <c r="CL199" s="1" t="n">
        <v>8685.509700000001</v>
      </c>
      <c r="CM199" s="1" t="n">
        <v>7699.1473</v>
      </c>
      <c r="CN199" s="1" t="n">
        <v>8530.7709</v>
      </c>
      <c r="CO199" s="1" t="n">
        <v>9897.2207</v>
      </c>
      <c r="CP199" s="1" t="n">
        <v>7929.0834</v>
      </c>
      <c r="CQ199" s="1" t="n">
        <v>7966.6485</v>
      </c>
      <c r="CR199" s="1" t="n">
        <v>9067.556699999999</v>
      </c>
      <c r="CS199" s="1" t="n">
        <v>9464.8871</v>
      </c>
      <c r="CT199" s="1" t="n">
        <v>7866.5525</v>
      </c>
      <c r="CU199" s="1" t="n">
        <v>9790.630300000001</v>
      </c>
      <c r="CV199" s="1" t="n">
        <v>9438.9584</v>
      </c>
      <c r="CW199" s="1" t="n">
        <v>10837.8816</v>
      </c>
      <c r="CX199" s="1" t="n">
        <v>9187.6517</v>
      </c>
      <c r="CY199" s="1" t="n">
        <v>8143.8389</v>
      </c>
      <c r="CZ199" s="1" t="n">
        <v>8052.7105</v>
      </c>
      <c r="DA199" s="1" t="n">
        <v>8550.478800000001</v>
      </c>
      <c r="DB199" s="1" t="n">
        <v>7513.0209</v>
      </c>
      <c r="DC199" s="1" t="n">
        <v>7143.0957</v>
      </c>
      <c r="DD199" s="1" t="n">
        <v>6911.6583</v>
      </c>
      <c r="DE199" s="1" t="n">
        <v>8882.502</v>
      </c>
      <c r="DF199" s="1" t="n">
        <v>7665.2887</v>
      </c>
      <c r="DG199" s="1" t="n">
        <v>7865.325</v>
      </c>
      <c r="DH199" s="1" t="n">
        <v>7286.732</v>
      </c>
      <c r="DI199" s="1" t="n">
        <v>7648.0259</v>
      </c>
      <c r="DJ199" s="1" t="n">
        <v>6597.4317</v>
      </c>
      <c r="DK199" s="1" t="n">
        <v>9056.8352</v>
      </c>
      <c r="DL199" s="1" t="n">
        <v>8110.4447</v>
      </c>
      <c r="DM199" s="1" t="n">
        <v>12743.3548</v>
      </c>
      <c r="DN199" s="1" t="n">
        <v>11917.6147</v>
      </c>
      <c r="DO199" s="1" t="n">
        <v>3641.9818</v>
      </c>
      <c r="DP199" s="1" t="n">
        <v>7396.1531</v>
      </c>
      <c r="DQ199" s="1" t="n">
        <v>13279.4484</v>
      </c>
      <c r="DR199" s="1" t="n">
        <v>7467.3538</v>
      </c>
      <c r="DS199" s="1" t="n">
        <v>10134.3273</v>
      </c>
      <c r="DT199" s="1" t="n">
        <v>8775.8388</v>
      </c>
      <c r="DU199" s="1" t="n">
        <v>22208.9893</v>
      </c>
      <c r="DV199" s="1" t="n">
        <v>10850.6183</v>
      </c>
      <c r="DW199" s="1" t="n">
        <v>12106.8479</v>
      </c>
      <c r="DX199" s="1" t="n">
        <v>12663.9293</v>
      </c>
      <c r="DY199" s="1" t="n">
        <v>12329.1339</v>
      </c>
      <c r="DZ199" s="1" t="n">
        <v>11710.1088</v>
      </c>
      <c r="EA199" s="1" t="n">
        <v>10291.6681</v>
      </c>
      <c r="EB199" s="1" t="n">
        <v>12198.6998</v>
      </c>
      <c r="EC199" s="1" t="n">
        <v>16025.4088</v>
      </c>
      <c r="ED199" s="1" t="n">
        <v>11592.3744</v>
      </c>
      <c r="EE199" s="1" t="n">
        <v>15554.964</v>
      </c>
      <c r="EF199" s="1" t="n">
        <v>14314.7879</v>
      </c>
      <c r="EG199" s="1" t="n">
        <v>20049.0363</v>
      </c>
      <c r="EH199" s="1" t="n">
        <v>15302.2425</v>
      </c>
      <c r="EI199" s="1" t="n">
        <v>16321.1389</v>
      </c>
      <c r="EJ199" s="1" t="n">
        <v>16270.8444</v>
      </c>
      <c r="EK199" s="1" t="n">
        <v>21889.4062</v>
      </c>
      <c r="EL199" s="1" t="n">
        <v>20974.5585</v>
      </c>
      <c r="EM199" s="1" t="n">
        <v>44326.124</v>
      </c>
    </row>
    <row r="200">
      <c r="A200" s="2" t="inlineStr">
        <is>
          <t xml:space="preserve">    经营活动产生的现金流量净额差额(合计平衡项目)</t>
        </is>
      </c>
      <c r="EM200" s="1" t="inlineStr"/>
    </row>
    <row r="201">
      <c r="A201" s="3" t="inlineStr">
        <is>
          <t xml:space="preserve">    经营活动产生的现金流量净额</t>
        </is>
      </c>
      <c r="B201" s="1" t="n">
        <v>-4408.56</v>
      </c>
      <c r="C201" s="1" t="n">
        <v>-461.89</v>
      </c>
      <c r="D201" s="1" t="n">
        <v>7002.68</v>
      </c>
      <c r="E201" s="1" t="n">
        <v>6544.51</v>
      </c>
      <c r="F201" s="1" t="n">
        <v>1952.18</v>
      </c>
      <c r="G201" s="1" t="n">
        <v>-1138.51</v>
      </c>
      <c r="H201" s="1" t="n">
        <v>-178.52</v>
      </c>
      <c r="I201" s="1" t="n">
        <v>3003.62</v>
      </c>
      <c r="J201" s="1" t="n">
        <v>2832.63</v>
      </c>
      <c r="K201" s="1" t="n">
        <v>4155.87</v>
      </c>
      <c r="L201" s="1" t="n">
        <v>8965.09</v>
      </c>
      <c r="M201" s="1" t="n">
        <v>450.24</v>
      </c>
      <c r="N201" s="1" t="n">
        <v>-551.78</v>
      </c>
      <c r="O201" s="1" t="n">
        <v>202.24</v>
      </c>
      <c r="P201" s="1" t="n">
        <v>-2748.8</v>
      </c>
      <c r="Q201" s="1" t="n">
        <v>-4420.89</v>
      </c>
      <c r="R201" s="1" t="n">
        <v>8410.120000000001</v>
      </c>
      <c r="S201" s="1" t="n">
        <v>-3495.88</v>
      </c>
      <c r="T201" s="1" t="n">
        <v>10059.49</v>
      </c>
      <c r="AA201" s="1" t="n">
        <v>-622.54</v>
      </c>
      <c r="AB201" s="1" t="n">
        <v>-667.49</v>
      </c>
      <c r="AC201" s="1" t="n">
        <v>4523.96</v>
      </c>
      <c r="AD201" s="1" t="n">
        <v>3012.22</v>
      </c>
      <c r="AE201" s="1" t="n">
        <v>-208.16</v>
      </c>
      <c r="AF201" s="1" t="n">
        <v>-1827.9</v>
      </c>
      <c r="AG201" s="1" t="n">
        <v>-2256.81</v>
      </c>
      <c r="AH201" s="1" t="n">
        <v>886.96</v>
      </c>
      <c r="AI201" s="1" t="n">
        <v>131.88</v>
      </c>
      <c r="AJ201" s="1" t="n">
        <v>-996.34</v>
      </c>
      <c r="AK201" s="1" t="n">
        <v>3146.12</v>
      </c>
      <c r="AL201" s="1" t="n">
        <v>-1145.71</v>
      </c>
      <c r="AM201" s="1" t="n">
        <v>740.36</v>
      </c>
      <c r="AN201" s="1" t="n">
        <v>-3249.81</v>
      </c>
      <c r="AO201" s="1" t="n">
        <v>972.05</v>
      </c>
      <c r="AP201" s="1" t="n">
        <v>-4662.67</v>
      </c>
      <c r="AQ201" s="1" t="n">
        <v>2399.29</v>
      </c>
      <c r="AR201" s="1" t="n">
        <v>-2212</v>
      </c>
      <c r="AS201" s="1" t="n">
        <v>4064.7</v>
      </c>
      <c r="AT201" s="1" t="n"/>
      <c r="BN201" s="1" t="n">
        <v>-455.5253</v>
      </c>
      <c r="BO201" s="1" t="n">
        <v>-167.019</v>
      </c>
      <c r="BP201" s="1" t="n">
        <v>-127.0493</v>
      </c>
      <c r="BQ201" s="1" t="n">
        <v>-3658.9681</v>
      </c>
      <c r="BR201" s="1" t="n">
        <v>-395.1774</v>
      </c>
      <c r="BS201" s="1" t="n">
        <v>-272.3158</v>
      </c>
      <c r="BT201" s="1" t="n">
        <v>7.8283</v>
      </c>
      <c r="BU201" s="1" t="n">
        <v>197.7756</v>
      </c>
      <c r="BV201" s="1" t="n">
        <v>2.9837</v>
      </c>
      <c r="BW201" s="1" t="n">
        <v>4520.9739</v>
      </c>
      <c r="BX201" s="1" t="n">
        <v>-166.681</v>
      </c>
      <c r="BY201" s="1" t="n">
        <v>2645.4018</v>
      </c>
      <c r="BZ201" s="1" t="n">
        <v>-868.216</v>
      </c>
      <c r="CA201" s="1" t="n">
        <v>3880.4376</v>
      </c>
      <c r="CB201" s="1" t="n">
        <v>1322.854</v>
      </c>
      <c r="CC201" s="1" t="n">
        <v>2209.4393</v>
      </c>
      <c r="CD201" s="1" t="n">
        <v>-1147.8254</v>
      </c>
      <c r="CE201" s="1" t="n">
        <v>939.6657</v>
      </c>
      <c r="CF201" s="1" t="n">
        <v>2142.8462</v>
      </c>
      <c r="CG201" s="1" t="n">
        <v>17.4981</v>
      </c>
      <c r="CH201" s="1" t="n">
        <v>-2440.0927</v>
      </c>
      <c r="CI201" s="1" t="n">
        <v>612.1891000000001</v>
      </c>
      <c r="CJ201" s="1" t="n">
        <v>-740.1369999999999</v>
      </c>
      <c r="CK201" s="1" t="n">
        <v>1429.5274</v>
      </c>
      <c r="CL201" s="1" t="n">
        <v>-2297.0387</v>
      </c>
      <c r="CM201" s="1" t="n">
        <v>40.2292</v>
      </c>
      <c r="CN201" s="1" t="n">
        <v>13.5973</v>
      </c>
      <c r="CO201" s="1" t="n">
        <v>2064.6885</v>
      </c>
      <c r="CP201" s="1" t="n">
        <v>134.4779</v>
      </c>
      <c r="CQ201" s="1" t="n">
        <v>752.4836</v>
      </c>
      <c r="CR201" s="1" t="n">
        <v>-261.1223</v>
      </c>
      <c r="CS201" s="1" t="n">
        <v>2377.7774</v>
      </c>
      <c r="CT201" s="1" t="n">
        <v>-786.1164</v>
      </c>
      <c r="CU201" s="1" t="n">
        <v>917.9939000000001</v>
      </c>
      <c r="CV201" s="1" t="n">
        <v>809.0694</v>
      </c>
      <c r="CW201" s="1" t="n">
        <v>1891.6834</v>
      </c>
      <c r="CX201" s="1" t="n">
        <v>-2372.4948</v>
      </c>
      <c r="CY201" s="1" t="n">
        <v>1376.1528</v>
      </c>
      <c r="CZ201" s="1" t="n">
        <v>806.3167999999999</v>
      </c>
      <c r="DA201" s="1" t="n">
        <v>4345.8928</v>
      </c>
      <c r="DB201" s="1" t="n">
        <v>55.4263</v>
      </c>
      <c r="DC201" s="1" t="n">
        <v>3090.6916</v>
      </c>
      <c r="DD201" s="1" t="n">
        <v>2321.4466</v>
      </c>
      <c r="DE201" s="1" t="n">
        <v>3497.5257</v>
      </c>
      <c r="DF201" s="1" t="n">
        <v>-862.9104</v>
      </c>
      <c r="DG201" s="1" t="n">
        <v>-282.7981</v>
      </c>
      <c r="DH201" s="1" t="n">
        <v>-749.5943</v>
      </c>
      <c r="DI201" s="1" t="n">
        <v>2345.5423</v>
      </c>
      <c r="DJ201" s="1" t="n">
        <v>-1575.8015</v>
      </c>
      <c r="DK201" s="1" t="n">
        <v>2316.1579</v>
      </c>
      <c r="DL201" s="1" t="n">
        <v>2302.1066</v>
      </c>
      <c r="DM201" s="1" t="n">
        <v>-3594.2434</v>
      </c>
      <c r="DN201" s="1" t="n">
        <v>-4150.3899</v>
      </c>
      <c r="DO201" s="1" t="n">
        <v>900.5762999999999</v>
      </c>
      <c r="DP201" s="1" t="n">
        <v>577.3185999999999</v>
      </c>
      <c r="DQ201" s="1" t="n">
        <v>2874.7396</v>
      </c>
      <c r="DR201" s="1" t="n">
        <v>-739.2979</v>
      </c>
      <c r="DS201" s="1" t="n">
        <v>1711.3523</v>
      </c>
      <c r="DT201" s="1" t="n">
        <v>1433.8654</v>
      </c>
      <c r="DU201" s="1" t="n">
        <v>-5154.7217</v>
      </c>
      <c r="DV201" s="1" t="n">
        <v>-3714.9395</v>
      </c>
      <c r="DW201" s="1" t="n">
        <v>-947.7311</v>
      </c>
      <c r="DX201" s="1" t="n">
        <v>-2282.42</v>
      </c>
      <c r="DY201" s="1" t="n">
        <v>2524.2016</v>
      </c>
      <c r="DZ201" s="1" t="n">
        <v>-3596.3364</v>
      </c>
      <c r="EA201" s="1" t="n">
        <v>5995.6263</v>
      </c>
      <c r="EB201" s="1" t="n">
        <v>1307.0622</v>
      </c>
      <c r="EC201" s="1" t="n">
        <v>4703.7644</v>
      </c>
      <c r="ED201" s="1" t="n">
        <v>-2549.7408</v>
      </c>
      <c r="EE201" s="1" t="n">
        <v>337.7439</v>
      </c>
      <c r="EF201" s="1" t="n">
        <v>-845.2188</v>
      </c>
      <c r="EG201" s="1" t="n">
        <v>-438.6605</v>
      </c>
      <c r="EH201" s="1" t="n">
        <v>1240.6439</v>
      </c>
      <c r="EI201" s="1" t="n">
        <v>2824.0513</v>
      </c>
      <c r="EJ201" s="1" t="n">
        <v>1978.7482</v>
      </c>
      <c r="EK201" s="1" t="n">
        <v>4016.048</v>
      </c>
      <c r="EL201" s="1" t="n">
        <v>-3292.8677</v>
      </c>
      <c r="EM201" s="1" t="n">
        <v>-556.466</v>
      </c>
    </row>
    <row r="202">
      <c r="A202" s="3" t="inlineStr">
        <is>
          <t>投资活动产生的现金流量：</t>
        </is>
      </c>
      <c r="EM202" s="1" t="inlineStr"/>
    </row>
    <row r="203">
      <c r="A203" s="2" t="inlineStr">
        <is>
          <t xml:space="preserve">    收回投资收到的现金</t>
        </is>
      </c>
      <c r="B203" s="1" t="n">
        <v>8.59</v>
      </c>
      <c r="C203" s="1" t="n">
        <v>0.32</v>
      </c>
      <c r="E203" s="1" t="n">
        <v>4.6</v>
      </c>
      <c r="G203" s="1" t="n">
        <v>99.86</v>
      </c>
      <c r="H203" s="1" t="n">
        <v>279.71</v>
      </c>
      <c r="I203" s="1" t="n">
        <v>0.04</v>
      </c>
      <c r="J203" s="1" t="n">
        <v>435.89</v>
      </c>
      <c r="K203" s="1" t="n">
        <v>125.78</v>
      </c>
      <c r="L203" s="1" t="n">
        <v>11.47</v>
      </c>
      <c r="M203" s="1" t="n">
        <v>23.66</v>
      </c>
      <c r="N203" s="1" t="n">
        <v>2887.81</v>
      </c>
      <c r="O203" s="1" t="n">
        <v>2706.22</v>
      </c>
      <c r="P203" s="1" t="n">
        <v>2556.72</v>
      </c>
      <c r="Q203" s="1" t="n">
        <v>12846.01</v>
      </c>
      <c r="R203" s="1" t="n">
        <v>15269.26</v>
      </c>
      <c r="S203" s="1" t="n">
        <v>32260.62</v>
      </c>
      <c r="T203" s="1" t="n">
        <v>35262.27</v>
      </c>
      <c r="AC203" s="1" t="n">
        <v>0.8</v>
      </c>
      <c r="AF203" s="1" t="n">
        <v>85.34</v>
      </c>
      <c r="AG203" s="1" t="n">
        <v>279.61</v>
      </c>
      <c r="AI203" s="1" t="n">
        <v>39.01</v>
      </c>
      <c r="AJ203" s="1" t="n">
        <v>79.78</v>
      </c>
      <c r="AK203" s="1" t="n">
        <v>0.62</v>
      </c>
      <c r="AL203" s="1" t="n">
        <v>20.62</v>
      </c>
      <c r="AM203" s="1" t="n">
        <v>1541.26</v>
      </c>
      <c r="AN203" s="1" t="n">
        <v>2512.92</v>
      </c>
      <c r="AO203" s="1" t="n">
        <v>4420.12</v>
      </c>
      <c r="AP203" s="1" t="n">
        <v>7080.07</v>
      </c>
      <c r="AQ203" s="1" t="n">
        <v>9745.190000000001</v>
      </c>
      <c r="AR203" s="1" t="n">
        <v>19569.54</v>
      </c>
      <c r="AS203" s="1" t="n">
        <v>11029.54</v>
      </c>
      <c r="AT203" s="1" t="n"/>
      <c r="BQ203" s="1" t="n">
        <v>8.592499999999999</v>
      </c>
      <c r="BU203" s="1" t="n">
        <v>0.3203</v>
      </c>
      <c r="BW203" s="1" t="n">
        <v>0.7963</v>
      </c>
      <c r="BX203" s="1" t="n">
        <v>0</v>
      </c>
      <c r="CC203" s="1" t="n">
        <v>4.5952</v>
      </c>
      <c r="CF203" s="1" t="n">
        <v>0.98</v>
      </c>
      <c r="CH203" s="1" t="n">
        <v>41.9457</v>
      </c>
      <c r="CI203" s="1" t="n">
        <v>43.3941</v>
      </c>
      <c r="CJ203" s="1" t="n">
        <v>0</v>
      </c>
      <c r="CK203" s="1" t="n">
        <v>14.5159</v>
      </c>
      <c r="CL203" s="1" t="n">
        <v>5.4179</v>
      </c>
      <c r="CM203" s="1" t="n">
        <v>274.1967</v>
      </c>
      <c r="CN203" s="1" t="n">
        <v>0</v>
      </c>
      <c r="CO203" s="1" t="n">
        <v>0.094</v>
      </c>
      <c r="CR203" s="1" t="n">
        <v>0.0443</v>
      </c>
      <c r="CS203" s="1" t="n">
        <v>0</v>
      </c>
      <c r="CT203" s="1" t="n">
        <v>39.0137</v>
      </c>
      <c r="CU203" s="1" t="n">
        <v>0</v>
      </c>
      <c r="CV203" s="1" t="n">
        <v>158.9341</v>
      </c>
      <c r="CW203" s="1" t="n">
        <v>237.947</v>
      </c>
      <c r="CX203" s="1" t="n">
        <v>79.78149999999999</v>
      </c>
      <c r="CY203" s="1" t="n">
        <v>0</v>
      </c>
      <c r="CZ203" s="1" t="n">
        <v>23.3668</v>
      </c>
      <c r="DA203" s="1" t="n">
        <v>22.6363</v>
      </c>
      <c r="DC203" s="1" t="n">
        <v>0.616</v>
      </c>
      <c r="DD203" s="1" t="n">
        <v>0</v>
      </c>
      <c r="DE203" s="1" t="n">
        <v>10.8532</v>
      </c>
      <c r="DG203" s="1" t="n">
        <v>20.6173</v>
      </c>
      <c r="DH203" s="1" t="n">
        <v>3.0464</v>
      </c>
      <c r="DI203" s="1" t="n">
        <v>0</v>
      </c>
      <c r="DK203" s="1" t="n">
        <v>1541.2576</v>
      </c>
      <c r="DL203" s="1" t="n">
        <v>784.7352</v>
      </c>
      <c r="DM203" s="1" t="n">
        <v>561.8126</v>
      </c>
      <c r="DN203" s="1" t="n">
        <v>1049.3991</v>
      </c>
      <c r="DO203" s="1" t="n">
        <v>1463.5244</v>
      </c>
      <c r="DP203" s="1" t="n">
        <v>1347.4847</v>
      </c>
      <c r="DQ203" s="1" t="n">
        <v>-1154.1925</v>
      </c>
      <c r="DR203" s="1" t="n">
        <v>1102.7853</v>
      </c>
      <c r="DS203" s="1" t="n">
        <v>3317.3305</v>
      </c>
      <c r="DT203" s="1" t="n">
        <v>1458.1584</v>
      </c>
      <c r="DU203" s="1" t="n">
        <v>-3321.5499</v>
      </c>
      <c r="DV203" s="1" t="n">
        <v>2224.9273</v>
      </c>
      <c r="DW203" s="1" t="n">
        <v>4855.1418</v>
      </c>
      <c r="DX203" s="1" t="n">
        <v>2799.1723</v>
      </c>
      <c r="DY203" s="1" t="n">
        <v>2966.7657</v>
      </c>
      <c r="DZ203" s="1" t="n">
        <v>7715.7673</v>
      </c>
      <c r="EA203" s="1" t="n">
        <v>2029.4253</v>
      </c>
      <c r="EB203" s="1" t="n">
        <v>987.3669</v>
      </c>
      <c r="EC203" s="1" t="n">
        <v>4536.7028</v>
      </c>
      <c r="ED203" s="1" t="n">
        <v>8404.2119</v>
      </c>
      <c r="EE203" s="1" t="n">
        <v>11165.329</v>
      </c>
      <c r="EF203" s="1" t="n">
        <v>4270.5588</v>
      </c>
      <c r="EG203" s="1" t="n">
        <v>8420.5196</v>
      </c>
      <c r="EH203" s="1" t="n">
        <v>5601.2248</v>
      </c>
      <c r="EI203" s="1" t="n">
        <v>5428.3103</v>
      </c>
      <c r="EJ203" s="1" t="n">
        <v>4811.7816</v>
      </c>
      <c r="EK203" s="1" t="n">
        <v>19420.9535</v>
      </c>
      <c r="EL203" s="1" t="n">
        <v>8113.3685</v>
      </c>
      <c r="EM203" s="1" t="n">
        <v>15446.067</v>
      </c>
    </row>
    <row r="204">
      <c r="A204" s="2" t="inlineStr">
        <is>
          <t xml:space="preserve">    取得投资收益收到的现金</t>
        </is>
      </c>
      <c r="D204" s="1" t="n">
        <v>7.67</v>
      </c>
      <c r="E204" s="1" t="n">
        <v>6.34</v>
      </c>
      <c r="F204" s="1" t="n">
        <v>8.23</v>
      </c>
      <c r="G204" s="1" t="n">
        <v>30.04</v>
      </c>
      <c r="H204" s="1" t="n">
        <v>46.65</v>
      </c>
      <c r="I204" s="1" t="n">
        <v>67.2</v>
      </c>
      <c r="J204" s="1" t="n">
        <v>101.03</v>
      </c>
      <c r="K204" s="1" t="n">
        <v>83.67</v>
      </c>
      <c r="L204" s="1" t="n">
        <v>12.54</v>
      </c>
      <c r="M204" s="1" t="n">
        <v>107.34</v>
      </c>
      <c r="N204" s="1" t="n">
        <v>162.68</v>
      </c>
      <c r="O204" s="1" t="n">
        <v>259.37</v>
      </c>
      <c r="P204" s="1" t="n">
        <v>173.18</v>
      </c>
      <c r="Q204" s="1" t="n">
        <v>151.17</v>
      </c>
      <c r="R204" s="1" t="n">
        <v>179.31</v>
      </c>
      <c r="S204" s="1" t="n">
        <v>112.63</v>
      </c>
      <c r="T204" s="1" t="n">
        <v>120.01</v>
      </c>
      <c r="AC204" s="1" t="n">
        <v>0.03</v>
      </c>
      <c r="AF204" s="1" t="n">
        <v>19.1</v>
      </c>
      <c r="AG204" s="1" t="n">
        <v>2.86</v>
      </c>
      <c r="AH204" s="1" t="n">
        <v>1.88</v>
      </c>
      <c r="AI204" s="1" t="n">
        <v>2.46</v>
      </c>
      <c r="AK204" s="1" t="n">
        <v>0.32</v>
      </c>
      <c r="AL204" s="1" t="n">
        <v>68.63</v>
      </c>
      <c r="AM204" s="1" t="n">
        <v>58.85</v>
      </c>
      <c r="AN204" s="1" t="n">
        <v>305.7</v>
      </c>
      <c r="AO204" s="1" t="n">
        <v>45.28</v>
      </c>
      <c r="AP204" s="1" t="n">
        <v>132.58</v>
      </c>
      <c r="AQ204" s="1" t="n">
        <v>157.74</v>
      </c>
      <c r="AR204" s="1" t="n">
        <v>2.18</v>
      </c>
      <c r="AS204" s="1" t="n">
        <v>8.359999999999999</v>
      </c>
      <c r="AT204" s="1" t="n"/>
      <c r="BW204" s="1" t="n">
        <v>0.028</v>
      </c>
      <c r="BX204" s="1" t="n">
        <v>7.6725</v>
      </c>
      <c r="BY204" s="1" t="n">
        <v>-0.028</v>
      </c>
      <c r="CB204" s="1" t="n">
        <v>6.3425</v>
      </c>
      <c r="CC204" s="1" t="n">
        <v>0</v>
      </c>
      <c r="CF204" s="1" t="n">
        <v>7.5222</v>
      </c>
      <c r="CG204" s="1" t="n">
        <v>0.71</v>
      </c>
      <c r="CI204" s="1" t="n">
        <v>19.0956</v>
      </c>
      <c r="CJ204" s="1" t="n">
        <v>5.6966</v>
      </c>
      <c r="CK204" s="1" t="n">
        <v>5.2507</v>
      </c>
      <c r="CM204" s="1" t="n">
        <v>2.856</v>
      </c>
      <c r="CN204" s="1" t="n">
        <v>38.3079</v>
      </c>
      <c r="CO204" s="1" t="n">
        <v>5.4852</v>
      </c>
      <c r="CQ204" s="1" t="n">
        <v>1.879</v>
      </c>
      <c r="CR204" s="1" t="n">
        <v>11.5049</v>
      </c>
      <c r="CS204" s="1" t="n">
        <v>53.8139</v>
      </c>
      <c r="CU204" s="1" t="n">
        <v>2.4616</v>
      </c>
      <c r="CV204" s="1" t="n">
        <v>25.3685</v>
      </c>
      <c r="CW204" s="1" t="n">
        <v>73.2037</v>
      </c>
      <c r="CZ204" s="1" t="n">
        <v>5.3789</v>
      </c>
      <c r="DA204" s="1" t="n">
        <v>78.292</v>
      </c>
      <c r="DB204" s="1" t="n">
        <v>0.01</v>
      </c>
      <c r="DC204" s="1" t="n">
        <v>0.3055</v>
      </c>
      <c r="DD204" s="1" t="n">
        <v>12.2233</v>
      </c>
      <c r="DE204" s="1" t="n">
        <v>0</v>
      </c>
      <c r="DG204" s="1" t="n">
        <v>68.6277</v>
      </c>
      <c r="DH204" s="1" t="n">
        <v>12.2753</v>
      </c>
      <c r="DI204" s="1" t="n">
        <v>26.4323</v>
      </c>
      <c r="DJ204" s="1" t="n">
        <v>37.3266</v>
      </c>
      <c r="DK204" s="1" t="n">
        <v>21.5212</v>
      </c>
      <c r="DL204" s="1" t="n">
        <v>42.4862</v>
      </c>
      <c r="DM204" s="1" t="n">
        <v>61.3422</v>
      </c>
      <c r="DN204" s="1" t="n">
        <v>182.1764</v>
      </c>
      <c r="DO204" s="1" t="n">
        <v>123.5279</v>
      </c>
      <c r="DP204" s="1" t="n">
        <v>109.7516</v>
      </c>
      <c r="DQ204" s="1" t="n">
        <v>-156.0876</v>
      </c>
      <c r="DR204" s="1" t="n">
        <v>11.4566</v>
      </c>
      <c r="DS204" s="1" t="n">
        <v>33.8221</v>
      </c>
      <c r="DT204" s="1" t="n">
        <v>118.2032</v>
      </c>
      <c r="DU204" s="1" t="n">
        <v>9.7006</v>
      </c>
      <c r="DV204" s="1" t="n">
        <v>1.25</v>
      </c>
      <c r="DW204" s="1" t="n">
        <v>131.3319</v>
      </c>
      <c r="DX204" s="1" t="n">
        <v>18.5903</v>
      </c>
      <c r="DY204" s="1" t="n">
        <v>0</v>
      </c>
      <c r="DZ204" s="1" t="n">
        <v>5.6346</v>
      </c>
      <c r="EA204" s="1" t="n">
        <v>152.1073</v>
      </c>
      <c r="EB204" s="1" t="n">
        <v>10.942</v>
      </c>
      <c r="EC204" s="1" t="n">
        <v>10.6215</v>
      </c>
      <c r="ED204" s="1" t="n">
        <v>0</v>
      </c>
      <c r="EE204" s="1" t="n">
        <v>2.176</v>
      </c>
      <c r="EF204" s="1" t="n">
        <v>46.8259</v>
      </c>
      <c r="EG204" s="1" t="n">
        <v>63.631</v>
      </c>
      <c r="EH204" s="1" t="n">
        <v>0</v>
      </c>
      <c r="EI204" s="1" t="n">
        <v>8.362500000000001</v>
      </c>
      <c r="EJ204" s="1" t="n">
        <v>12.1213</v>
      </c>
      <c r="EK204" s="1" t="n">
        <v>99.5273</v>
      </c>
      <c r="EL204" s="1" t="n">
        <v>0.0046</v>
      </c>
      <c r="EM204" s="1" t="n">
        <v>1.895</v>
      </c>
    </row>
    <row r="205">
      <c r="A205" s="2" t="inlineStr">
        <is>
          <t xml:space="preserve">    处置固定资产、无形资产和其他长期资产收回的现金净额</t>
        </is>
      </c>
      <c r="B205" s="1" t="n">
        <v>89.69</v>
      </c>
      <c r="C205" s="1" t="n">
        <v>5.77</v>
      </c>
      <c r="D205" s="1" t="n">
        <v>4.96</v>
      </c>
      <c r="E205" s="1" t="n">
        <v>6.84</v>
      </c>
      <c r="F205" s="1" t="n">
        <v>5.54</v>
      </c>
      <c r="G205" s="1" t="n">
        <v>23.64</v>
      </c>
      <c r="H205" s="1" t="n">
        <v>26.14</v>
      </c>
      <c r="I205" s="1" t="n">
        <v>6.42</v>
      </c>
      <c r="J205" s="1" t="n">
        <v>1.56</v>
      </c>
      <c r="K205" s="1" t="n">
        <v>32.21</v>
      </c>
      <c r="L205" s="1" t="n">
        <v>7.53</v>
      </c>
      <c r="M205" s="1" t="n">
        <v>31.93</v>
      </c>
      <c r="N205" s="1" t="n">
        <v>24.39</v>
      </c>
      <c r="O205" s="1" t="n">
        <v>10.15</v>
      </c>
      <c r="P205" s="1" t="n">
        <v>6.66</v>
      </c>
      <c r="Q205" s="1" t="n">
        <v>182.21</v>
      </c>
      <c r="R205" s="1" t="n">
        <v>27.17</v>
      </c>
      <c r="S205" s="1" t="n">
        <v>9.199999999999999</v>
      </c>
      <c r="T205" s="1" t="n">
        <v>1.15</v>
      </c>
      <c r="AA205" s="1" t="n">
        <v>1.66</v>
      </c>
      <c r="AB205" s="1" t="n">
        <v>1.24</v>
      </c>
      <c r="AC205" s="1" t="n">
        <v>3.24</v>
      </c>
      <c r="AD205" s="1" t="n">
        <v>0.48</v>
      </c>
      <c r="AE205" s="1" t="n">
        <v>1.42</v>
      </c>
      <c r="AF205" s="1" t="n">
        <v>4.35</v>
      </c>
      <c r="AG205" s="1" t="n">
        <v>0.84</v>
      </c>
      <c r="AH205" s="1" t="n">
        <v>5.33</v>
      </c>
      <c r="AI205" s="1" t="n">
        <v>1.09</v>
      </c>
      <c r="AJ205" s="1" t="n">
        <v>3</v>
      </c>
      <c r="AK205" s="1" t="n">
        <v>0.13</v>
      </c>
      <c r="AL205" s="1" t="n">
        <v>2.81</v>
      </c>
      <c r="AM205" s="1" t="n">
        <v>57.72</v>
      </c>
      <c r="AN205" s="1" t="n">
        <v>4.72</v>
      </c>
      <c r="AO205" s="1" t="n">
        <v>0.74</v>
      </c>
      <c r="AP205" s="1" t="n">
        <v>175.68</v>
      </c>
      <c r="AQ205" s="1" t="n">
        <v>18.15</v>
      </c>
      <c r="AR205" s="1" t="n">
        <v>7.35</v>
      </c>
      <c r="AS205" s="1" t="n">
        <v>0.02</v>
      </c>
      <c r="AT205" s="1" t="n"/>
      <c r="BO205" s="1" t="n">
        <v>1.6552</v>
      </c>
      <c r="BP205" s="1" t="n">
        <v>0.7716</v>
      </c>
      <c r="BQ205" s="1" t="n">
        <v>87.25830000000001</v>
      </c>
      <c r="BR205" s="1" t="n">
        <v>0.2683</v>
      </c>
      <c r="BS205" s="1" t="n">
        <v>0.9761</v>
      </c>
      <c r="BT205" s="1" t="n">
        <v>0.6146</v>
      </c>
      <c r="BU205" s="1" t="n">
        <v>3.9148</v>
      </c>
      <c r="BV205" s="1" t="n">
        <v>2.258</v>
      </c>
      <c r="BW205" s="1" t="n">
        <v>0.9804</v>
      </c>
      <c r="BX205" s="1" t="n">
        <v>0.7044</v>
      </c>
      <c r="BY205" s="1" t="n">
        <v>1.0184</v>
      </c>
      <c r="BZ205" s="1" t="n">
        <v>0.0951</v>
      </c>
      <c r="CA205" s="1" t="n">
        <v>0.3849</v>
      </c>
      <c r="CB205" s="1" t="n">
        <v>3.5451</v>
      </c>
      <c r="CC205" s="1" t="n">
        <v>2.8188</v>
      </c>
      <c r="CD205" s="1" t="n">
        <v>0.6394</v>
      </c>
      <c r="CE205" s="1" t="n">
        <v>0.7795</v>
      </c>
      <c r="CF205" s="1" t="n">
        <v>1.3631</v>
      </c>
      <c r="CG205" s="1" t="n">
        <v>2.7594</v>
      </c>
      <c r="CH205" s="1" t="n">
        <v>2.1524</v>
      </c>
      <c r="CI205" s="1" t="n">
        <v>2.2009</v>
      </c>
      <c r="CJ205" s="1" t="n">
        <v>0.7669</v>
      </c>
      <c r="CK205" s="1" t="n">
        <v>18.5151</v>
      </c>
      <c r="CL205" s="1" t="n">
        <v>0.55</v>
      </c>
      <c r="CM205" s="1" t="n">
        <v>0.2912</v>
      </c>
      <c r="CN205" s="1" t="n">
        <v>0.1788</v>
      </c>
      <c r="CO205" s="1" t="n">
        <v>25.1242</v>
      </c>
      <c r="CP205" s="1" t="n">
        <v>3.9171</v>
      </c>
      <c r="CQ205" s="1" t="n">
        <v>1.4121</v>
      </c>
      <c r="CR205" s="1" t="n">
        <v>0.1791</v>
      </c>
      <c r="CS205" s="1" t="n">
        <v>0.9071</v>
      </c>
      <c r="CT205" s="1" t="n">
        <v>0.1321</v>
      </c>
      <c r="CU205" s="1" t="n">
        <v>0.9602000000000001</v>
      </c>
      <c r="CV205" s="1" t="n">
        <v>0.2706</v>
      </c>
      <c r="CW205" s="1" t="n">
        <v>0.1982</v>
      </c>
      <c r="CX205" s="1" t="n">
        <v>2.093</v>
      </c>
      <c r="CY205" s="1" t="n">
        <v>0.9031</v>
      </c>
      <c r="CZ205" s="1" t="n">
        <v>0.1016</v>
      </c>
      <c r="DA205" s="1" t="n">
        <v>29.1108</v>
      </c>
      <c r="DB205" s="1" t="n">
        <v>0.09130000000000001</v>
      </c>
      <c r="DC205" s="1" t="n">
        <v>0.0421</v>
      </c>
      <c r="DD205" s="1" t="n">
        <v>0.1897</v>
      </c>
      <c r="DE205" s="1" t="n">
        <v>7.207</v>
      </c>
      <c r="DF205" s="1" t="n">
        <v>1.5986</v>
      </c>
      <c r="DG205" s="1" t="n">
        <v>1.2083</v>
      </c>
      <c r="DH205" s="1" t="n">
        <v>13.6991</v>
      </c>
      <c r="DI205" s="1" t="n">
        <v>15.423</v>
      </c>
      <c r="DJ205" s="1" t="n">
        <v>5.0307</v>
      </c>
      <c r="DK205" s="1" t="n">
        <v>52.6915</v>
      </c>
      <c r="DL205" s="1" t="n">
        <v>6.9665</v>
      </c>
      <c r="DM205" s="1" t="n">
        <v>-40.3033</v>
      </c>
      <c r="DN205" s="1" t="n">
        <v>4.3806</v>
      </c>
      <c r="DO205" s="1" t="n">
        <v>0.3362</v>
      </c>
      <c r="DP205" s="1" t="n">
        <v>3.4544</v>
      </c>
      <c r="DQ205" s="1" t="n">
        <v>1.9808</v>
      </c>
      <c r="DR205" s="1" t="n">
        <v>0.6429</v>
      </c>
      <c r="DS205" s="1" t="n">
        <v>0.09429999999999999</v>
      </c>
      <c r="DT205" s="1" t="n">
        <v>4.2005</v>
      </c>
      <c r="DU205" s="1" t="n">
        <v>1.725</v>
      </c>
      <c r="DV205" s="1" t="n">
        <v>9.528600000000001</v>
      </c>
      <c r="DW205" s="1" t="n">
        <v>166.1519</v>
      </c>
      <c r="DX205" s="1" t="n">
        <v>1.7969</v>
      </c>
      <c r="DY205" s="1" t="n">
        <v>4.7307</v>
      </c>
      <c r="DZ205" s="1" t="n">
        <v>0.0586</v>
      </c>
      <c r="EA205" s="1" t="n">
        <v>18.0897</v>
      </c>
      <c r="EB205" s="1" t="n">
        <v>1.6504</v>
      </c>
      <c r="EC205" s="1" t="n">
        <v>7.3676</v>
      </c>
      <c r="ED205" s="1" t="n">
        <v>0.0672</v>
      </c>
      <c r="EE205" s="1" t="n">
        <v>7.2849</v>
      </c>
      <c r="EG205" s="1" t="n">
        <v>9.2041</v>
      </c>
      <c r="EH205" s="1" t="n">
        <v>0</v>
      </c>
      <c r="EI205" s="1" t="n">
        <v>0.0246</v>
      </c>
      <c r="EJ205" s="1" t="n">
        <v>0.5783</v>
      </c>
      <c r="EK205" s="1" t="n">
        <v>0.5446</v>
      </c>
      <c r="EL205" s="1" t="n">
        <v>0.1495</v>
      </c>
      <c r="EM205" s="1" t="n">
        <v>0.149</v>
      </c>
    </row>
    <row r="206">
      <c r="A206" s="2" t="inlineStr">
        <is>
          <t xml:space="preserve">    处置子公司及其他营业单位收到的现金净额</t>
        </is>
      </c>
      <c r="E206" s="1" t="n">
        <v>8.02</v>
      </c>
      <c r="M206" s="1" t="n">
        <v>-0.52</v>
      </c>
      <c r="T206" s="1" t="n">
        <v>492.57</v>
      </c>
      <c r="AS206" s="1" t="n">
        <v>-8.49</v>
      </c>
      <c r="CC206" s="1" t="n">
        <v>8.0167</v>
      </c>
      <c r="DI206" s="1" t="n">
        <v>-0.5173</v>
      </c>
      <c r="ED206" s="1" t="n">
        <v>0</v>
      </c>
      <c r="EH206" s="1" t="n">
        <v>0</v>
      </c>
      <c r="EI206" s="1" t="n">
        <v>-8.4854</v>
      </c>
      <c r="EK206" s="1" t="n">
        <v>492.5721</v>
      </c>
    </row>
    <row r="207">
      <c r="A207" s="2" t="inlineStr">
        <is>
          <t xml:space="preserve">    收到其他与投资活动有关的现金</t>
        </is>
      </c>
      <c r="D207" s="1" t="n">
        <v>1.05</v>
      </c>
      <c r="E207" s="1" t="n">
        <v>2.05</v>
      </c>
      <c r="F207" s="1" t="n">
        <v>5.52</v>
      </c>
      <c r="S207" s="1" t="n">
        <v>2.75</v>
      </c>
      <c r="AC207" s="1" t="n">
        <v>0.26</v>
      </c>
      <c r="AE207" s="1" t="n">
        <v>4.67</v>
      </c>
      <c r="AF207" s="1" t="n">
        <v>0.01</v>
      </c>
      <c r="AG207" s="1" t="n">
        <v>0</v>
      </c>
      <c r="AT207" s="1" t="n"/>
      <c r="BV207" s="1" t="n">
        <v>0.26</v>
      </c>
      <c r="BW207" s="1" t="n">
        <v>0</v>
      </c>
      <c r="BX207" s="1" t="n">
        <v>2</v>
      </c>
      <c r="BY207" s="1" t="n">
        <v>-1.2109</v>
      </c>
      <c r="CB207" s="1" t="n">
        <v>0.073</v>
      </c>
      <c r="CC207" s="1" t="n">
        <v>1.9793</v>
      </c>
      <c r="CD207" s="1" t="n">
        <v>4.8963</v>
      </c>
      <c r="CE207" s="1" t="n">
        <v>-0.2221</v>
      </c>
      <c r="CF207" s="1" t="n">
        <v>0.0155</v>
      </c>
      <c r="CG207" s="1" t="n">
        <v>0.8349</v>
      </c>
      <c r="CI207" s="1" t="n">
        <v>0.0144</v>
      </c>
      <c r="CJ207" s="1" t="n">
        <v>0.0611</v>
      </c>
      <c r="CM207" s="1" t="n">
        <v>0.0027</v>
      </c>
      <c r="CN207" s="1" t="n">
        <v>0</v>
      </c>
      <c r="ED207" s="1" t="n">
        <v>0</v>
      </c>
      <c r="EF207" s="1" t="n">
        <v>0.0026</v>
      </c>
      <c r="EG207" s="1" t="n">
        <v>2.751</v>
      </c>
      <c r="EH207" s="1" t="n">
        <v>0</v>
      </c>
      <c r="EM207" s="1" t="n">
        <v>1</v>
      </c>
    </row>
    <row r="208">
      <c r="A208" s="2" t="inlineStr">
        <is>
          <t xml:space="preserve">    投资活动现金流入差额(特殊报表科目)</t>
        </is>
      </c>
      <c r="EF208" s="1" t="n">
        <v>8.4354</v>
      </c>
      <c r="EM208" s="1" t="inlineStr"/>
    </row>
    <row r="209">
      <c r="A209" s="2" t="inlineStr">
        <is>
          <t xml:space="preserve">    投资活动现金流入差额(合计平衡项目)</t>
        </is>
      </c>
      <c r="EM209" s="1" t="inlineStr"/>
    </row>
    <row r="210">
      <c r="A210" s="3" t="inlineStr">
        <is>
          <t xml:space="preserve">    投资活动现金流入小计</t>
        </is>
      </c>
      <c r="B210" s="1" t="n">
        <v>98.28</v>
      </c>
      <c r="C210" s="1" t="n">
        <v>6.09</v>
      </c>
      <c r="D210" s="1" t="n">
        <v>13.68</v>
      </c>
      <c r="E210" s="1" t="n">
        <v>27.85</v>
      </c>
      <c r="F210" s="1" t="n">
        <v>19.3</v>
      </c>
      <c r="G210" s="1" t="n">
        <v>153.53</v>
      </c>
      <c r="H210" s="1" t="n">
        <v>352.5</v>
      </c>
      <c r="I210" s="1" t="n">
        <v>73.66</v>
      </c>
      <c r="J210" s="1" t="n">
        <v>538.49</v>
      </c>
      <c r="K210" s="1" t="n">
        <v>241.66</v>
      </c>
      <c r="L210" s="1" t="n">
        <v>31.54</v>
      </c>
      <c r="M210" s="1" t="n">
        <v>162.41</v>
      </c>
      <c r="N210" s="1" t="n">
        <v>3074.87</v>
      </c>
      <c r="O210" s="1" t="n">
        <v>2975.74</v>
      </c>
      <c r="P210" s="1" t="n">
        <v>2736.57</v>
      </c>
      <c r="Q210" s="1" t="n">
        <v>13179.39</v>
      </c>
      <c r="R210" s="1" t="n">
        <v>15475.73</v>
      </c>
      <c r="S210" s="1" t="n">
        <v>32385.21</v>
      </c>
      <c r="T210" s="1" t="n">
        <v>35876</v>
      </c>
      <c r="AA210" s="1" t="n">
        <v>1.66</v>
      </c>
      <c r="AB210" s="1" t="n">
        <v>1.24</v>
      </c>
      <c r="AC210" s="1" t="n">
        <v>4.32</v>
      </c>
      <c r="AD210" s="1" t="n">
        <v>0.48</v>
      </c>
      <c r="AE210" s="1" t="n">
        <v>6.09</v>
      </c>
      <c r="AF210" s="1" t="n">
        <v>108.8</v>
      </c>
      <c r="AG210" s="1" t="n">
        <v>283.31</v>
      </c>
      <c r="AH210" s="1" t="n">
        <v>7.21</v>
      </c>
      <c r="AI210" s="1" t="n">
        <v>42.57</v>
      </c>
      <c r="AJ210" s="1" t="n">
        <v>82.78</v>
      </c>
      <c r="AK210" s="1" t="n">
        <v>1.06</v>
      </c>
      <c r="AL210" s="1" t="n">
        <v>92.05</v>
      </c>
      <c r="AM210" s="1" t="n">
        <v>1657.83</v>
      </c>
      <c r="AN210" s="1" t="n">
        <v>2823.34</v>
      </c>
      <c r="AO210" s="1" t="n">
        <v>4466.13</v>
      </c>
      <c r="AP210" s="1" t="n">
        <v>7388.33</v>
      </c>
      <c r="AQ210" s="1" t="n">
        <v>9921.08</v>
      </c>
      <c r="AR210" s="1" t="n">
        <v>19579.07</v>
      </c>
      <c r="AS210" s="1" t="n">
        <v>11029.44</v>
      </c>
      <c r="AT210" s="1" t="n"/>
      <c r="BO210" s="1" t="n">
        <v>1.6552</v>
      </c>
      <c r="BP210" s="1" t="n">
        <v>0.7716</v>
      </c>
      <c r="BQ210" s="1" t="n">
        <v>95.85080000000001</v>
      </c>
      <c r="BR210" s="1" t="n">
        <v>0.2683</v>
      </c>
      <c r="BS210" s="1" t="n">
        <v>0.9761</v>
      </c>
      <c r="BT210" s="1" t="n">
        <v>0.6146</v>
      </c>
      <c r="BU210" s="1" t="n">
        <v>4.2352</v>
      </c>
      <c r="BV210" s="1" t="n">
        <v>2.518</v>
      </c>
      <c r="BW210" s="1" t="n">
        <v>1.8046</v>
      </c>
      <c r="BX210" s="1" t="n">
        <v>10.3769</v>
      </c>
      <c r="BY210" s="1" t="n">
        <v>-1.0167</v>
      </c>
      <c r="BZ210" s="1" t="n">
        <v>0.0951</v>
      </c>
      <c r="CA210" s="1" t="n">
        <v>0.3849</v>
      </c>
      <c r="CB210" s="1" t="n">
        <v>9.960599999999999</v>
      </c>
      <c r="CC210" s="1" t="n">
        <v>17.4101</v>
      </c>
      <c r="CD210" s="1" t="n">
        <v>5.5357</v>
      </c>
      <c r="CE210" s="1" t="n">
        <v>0.5574</v>
      </c>
      <c r="CF210" s="1" t="n">
        <v>9.880800000000001</v>
      </c>
      <c r="CG210" s="1" t="n">
        <v>3.3242</v>
      </c>
      <c r="CH210" s="1" t="n">
        <v>44.0981</v>
      </c>
      <c r="CI210" s="1" t="n">
        <v>64.705</v>
      </c>
      <c r="CJ210" s="1" t="n">
        <v>6.5246</v>
      </c>
      <c r="CK210" s="1" t="n">
        <v>38.2062</v>
      </c>
      <c r="CL210" s="1" t="n">
        <v>5.9679</v>
      </c>
      <c r="CM210" s="1" t="n">
        <v>277.3466</v>
      </c>
      <c r="CN210" s="1" t="n">
        <v>38.4867</v>
      </c>
      <c r="CO210" s="1" t="n">
        <v>30.7007</v>
      </c>
      <c r="CP210" s="1" t="n">
        <v>3.9171</v>
      </c>
      <c r="CQ210" s="1" t="n">
        <v>3.2911</v>
      </c>
      <c r="CR210" s="1" t="n">
        <v>11.7283</v>
      </c>
      <c r="CS210" s="1" t="n">
        <v>54.721</v>
      </c>
      <c r="CT210" s="1" t="n">
        <v>39.1458</v>
      </c>
      <c r="CU210" s="1" t="n">
        <v>3.4218</v>
      </c>
      <c r="CV210" s="1" t="n">
        <v>184.5732</v>
      </c>
      <c r="CW210" s="1" t="n">
        <v>311.3489</v>
      </c>
      <c r="CX210" s="1" t="n">
        <v>81.8745</v>
      </c>
      <c r="CY210" s="1" t="n">
        <v>0.9031</v>
      </c>
      <c r="CZ210" s="1" t="n">
        <v>28.8473</v>
      </c>
      <c r="DA210" s="1" t="n">
        <v>130.0391</v>
      </c>
      <c r="DB210" s="1" t="n">
        <v>0.1013</v>
      </c>
      <c r="DC210" s="1" t="n">
        <v>0.9636</v>
      </c>
      <c r="DD210" s="1" t="n">
        <v>12.413</v>
      </c>
      <c r="DE210" s="1" t="n">
        <v>18.0602</v>
      </c>
      <c r="DF210" s="1" t="n">
        <v>1.5986</v>
      </c>
      <c r="DG210" s="1" t="n">
        <v>90.4533</v>
      </c>
      <c r="DH210" s="1" t="n">
        <v>29.0208</v>
      </c>
      <c r="DI210" s="1" t="n">
        <v>41.338</v>
      </c>
      <c r="DJ210" s="1" t="n">
        <v>42.3572</v>
      </c>
      <c r="DK210" s="1" t="n">
        <v>1615.4703</v>
      </c>
      <c r="DL210" s="1" t="n">
        <v>834.188</v>
      </c>
      <c r="DM210" s="1" t="n">
        <v>582.8516</v>
      </c>
      <c r="DN210" s="1" t="n">
        <v>1235.9561</v>
      </c>
      <c r="DO210" s="1" t="n">
        <v>1587.3885</v>
      </c>
      <c r="DP210" s="1" t="n">
        <v>1460.6907</v>
      </c>
      <c r="DQ210" s="1" t="n">
        <v>-1308.2993</v>
      </c>
      <c r="DR210" s="1" t="n">
        <v>1114.8849</v>
      </c>
      <c r="DS210" s="1" t="n">
        <v>3351.2469</v>
      </c>
      <c r="DT210" s="1" t="n">
        <v>1580.5621</v>
      </c>
      <c r="DU210" s="1" t="n">
        <v>-3310.1243</v>
      </c>
      <c r="DV210" s="1" t="n">
        <v>2235.706</v>
      </c>
      <c r="DW210" s="1" t="n">
        <v>5152.6255</v>
      </c>
      <c r="DX210" s="1" t="n">
        <v>2819.5595</v>
      </c>
      <c r="DY210" s="1" t="n">
        <v>2971.4964</v>
      </c>
      <c r="DZ210" s="1" t="n">
        <v>7721.4606</v>
      </c>
      <c r="EA210" s="1" t="n">
        <v>2199.6223</v>
      </c>
      <c r="EB210" s="1" t="n">
        <v>999.9593</v>
      </c>
      <c r="EC210" s="1" t="n">
        <v>4554.692</v>
      </c>
      <c r="ED210" s="1" t="n">
        <v>8404.2791</v>
      </c>
      <c r="EE210" s="1" t="n">
        <v>11174.7899</v>
      </c>
      <c r="EF210" s="1" t="n">
        <v>4318.4707</v>
      </c>
      <c r="EG210" s="1" t="n">
        <v>8487.6703</v>
      </c>
      <c r="EH210" s="1" t="n">
        <v>5601.2248</v>
      </c>
      <c r="EI210" s="1" t="n">
        <v>5428.212</v>
      </c>
      <c r="EJ210" s="1" t="n">
        <v>4832.9666</v>
      </c>
      <c r="EK210" s="1" t="n">
        <v>20013.5975</v>
      </c>
      <c r="EL210" s="1" t="n">
        <v>8113.5227</v>
      </c>
      <c r="EM210" s="1" t="n">
        <v>15449.111</v>
      </c>
    </row>
    <row r="211">
      <c r="A211" s="2" t="inlineStr">
        <is>
          <t xml:space="preserve">    购建固定资产、无形资产和其他长期资产支付的现金</t>
        </is>
      </c>
      <c r="B211" s="1" t="n">
        <v>578.39</v>
      </c>
      <c r="C211" s="1" t="n">
        <v>692.65</v>
      </c>
      <c r="D211" s="1" t="n">
        <v>1988.31</v>
      </c>
      <c r="E211" s="1" t="n">
        <v>3685.37</v>
      </c>
      <c r="F211" s="1" t="n">
        <v>2584.36</v>
      </c>
      <c r="G211" s="1" t="n">
        <v>1861.91</v>
      </c>
      <c r="H211" s="1" t="n">
        <v>1194.53</v>
      </c>
      <c r="I211" s="1" t="n">
        <v>774.4</v>
      </c>
      <c r="J211" s="1" t="n">
        <v>667.49</v>
      </c>
      <c r="K211" s="1" t="n">
        <v>385.28</v>
      </c>
      <c r="L211" s="1" t="n">
        <v>273.83</v>
      </c>
      <c r="M211" s="1" t="n">
        <v>205.91</v>
      </c>
      <c r="N211" s="1" t="n">
        <v>184.99</v>
      </c>
      <c r="O211" s="1" t="n">
        <v>642.24</v>
      </c>
      <c r="P211" s="1" t="n">
        <v>541.17</v>
      </c>
      <c r="Q211" s="1" t="n">
        <v>717.61</v>
      </c>
      <c r="R211" s="1" t="n">
        <v>748.21</v>
      </c>
      <c r="S211" s="1" t="n">
        <v>1110.1</v>
      </c>
      <c r="T211" s="1" t="n">
        <v>2999.12</v>
      </c>
      <c r="AA211" s="1" t="n">
        <v>99.31999999999999</v>
      </c>
      <c r="AB211" s="1" t="n">
        <v>99.72</v>
      </c>
      <c r="AC211" s="1" t="n">
        <v>396.89</v>
      </c>
      <c r="AD211" s="1" t="n">
        <v>1867.11</v>
      </c>
      <c r="AE211" s="1" t="n">
        <v>1521.68</v>
      </c>
      <c r="AF211" s="1" t="n">
        <v>903.46</v>
      </c>
      <c r="AG211" s="1" t="n">
        <v>647.52</v>
      </c>
      <c r="AH211" s="1" t="n">
        <v>358.87</v>
      </c>
      <c r="AI211" s="1" t="n">
        <v>443.2</v>
      </c>
      <c r="AJ211" s="1" t="n">
        <v>189.57</v>
      </c>
      <c r="AK211" s="1" t="n">
        <v>88.52</v>
      </c>
      <c r="AL211" s="1" t="n">
        <v>77.23999999999999</v>
      </c>
      <c r="AM211" s="1" t="n">
        <v>73.53</v>
      </c>
      <c r="AN211" s="1" t="n">
        <v>108.49</v>
      </c>
      <c r="AO211" s="1" t="n">
        <v>228.07</v>
      </c>
      <c r="AP211" s="1" t="n">
        <v>185.3</v>
      </c>
      <c r="AQ211" s="1" t="n">
        <v>265.65</v>
      </c>
      <c r="AR211" s="1" t="n">
        <v>353.03</v>
      </c>
      <c r="AS211" s="1" t="n">
        <v>521.38</v>
      </c>
      <c r="AT211" s="1" t="n"/>
      <c r="BN211" s="1" t="n">
        <v>45.4913</v>
      </c>
      <c r="BO211" s="1" t="n">
        <v>53.8334</v>
      </c>
      <c r="BP211" s="1" t="n">
        <v>58.3326</v>
      </c>
      <c r="BQ211" s="1" t="n">
        <v>420.7298</v>
      </c>
      <c r="BR211" s="1" t="n">
        <v>44.6359</v>
      </c>
      <c r="BS211" s="1" t="n">
        <v>55.0809</v>
      </c>
      <c r="BT211" s="1" t="n">
        <v>36.5834</v>
      </c>
      <c r="BU211" s="1" t="n">
        <v>556.3509</v>
      </c>
      <c r="BV211" s="1" t="n">
        <v>211.4974</v>
      </c>
      <c r="BW211" s="1" t="n">
        <v>185.3918</v>
      </c>
      <c r="BX211" s="1" t="n">
        <v>611.4443</v>
      </c>
      <c r="BY211" s="1" t="n">
        <v>979.9787</v>
      </c>
      <c r="BZ211" s="1" t="n">
        <v>783.5993</v>
      </c>
      <c r="CA211" s="1" t="n">
        <v>1083.5066</v>
      </c>
      <c r="CB211" s="1" t="n">
        <v>910.3969</v>
      </c>
      <c r="CC211" s="1" t="n">
        <v>907.8655</v>
      </c>
      <c r="CD211" s="1" t="n">
        <v>908.8663</v>
      </c>
      <c r="CE211" s="1" t="n">
        <v>612.8150000000001</v>
      </c>
      <c r="CF211" s="1" t="n">
        <v>528.838</v>
      </c>
      <c r="CG211" s="1" t="n">
        <v>533.8393</v>
      </c>
      <c r="CH211" s="1" t="n">
        <v>563.9674</v>
      </c>
      <c r="CI211" s="1" t="n">
        <v>339.4934</v>
      </c>
      <c r="CJ211" s="1" t="n">
        <v>235.9592</v>
      </c>
      <c r="CK211" s="1" t="n">
        <v>722.4897999999999</v>
      </c>
      <c r="CL211" s="1" t="n">
        <v>464.4101</v>
      </c>
      <c r="CM211" s="1" t="n">
        <v>183.106</v>
      </c>
      <c r="CN211" s="1" t="n">
        <v>204.1018</v>
      </c>
      <c r="CO211" s="1" t="n">
        <v>342.9171</v>
      </c>
      <c r="CP211" s="1" t="n">
        <v>236.3952</v>
      </c>
      <c r="CQ211" s="1" t="n">
        <v>122.4717</v>
      </c>
      <c r="CR211" s="1" t="n">
        <v>219.5341</v>
      </c>
      <c r="CS211" s="1" t="n">
        <v>195.9948</v>
      </c>
      <c r="CT211" s="1" t="n">
        <v>243.8777</v>
      </c>
      <c r="CU211" s="1" t="n">
        <v>199.3211</v>
      </c>
      <c r="CV211" s="1" t="n">
        <v>126.662</v>
      </c>
      <c r="CW211" s="1" t="n">
        <v>97.6335</v>
      </c>
      <c r="CX211" s="1" t="n">
        <v>121.4153</v>
      </c>
      <c r="CY211" s="1" t="n">
        <v>68.1571</v>
      </c>
      <c r="CZ211" s="1" t="n">
        <v>76.018</v>
      </c>
      <c r="DA211" s="1" t="n">
        <v>119.691</v>
      </c>
      <c r="DB211" s="1" t="n">
        <v>60.5859</v>
      </c>
      <c r="DC211" s="1" t="n">
        <v>27.9293</v>
      </c>
      <c r="DD211" s="1" t="n">
        <v>39.4919</v>
      </c>
      <c r="DE211" s="1" t="n">
        <v>145.819</v>
      </c>
      <c r="DF211" s="1" t="n">
        <v>41.2352</v>
      </c>
      <c r="DG211" s="1" t="n">
        <v>36.0024</v>
      </c>
      <c r="DH211" s="1" t="n">
        <v>23.4678</v>
      </c>
      <c r="DI211" s="1" t="n">
        <v>105.2038</v>
      </c>
      <c r="DJ211" s="1" t="n">
        <v>38.374</v>
      </c>
      <c r="DK211" s="1" t="n">
        <v>35.1576</v>
      </c>
      <c r="DL211" s="1" t="n">
        <v>48.4555</v>
      </c>
      <c r="DM211" s="1" t="n">
        <v>63.0013</v>
      </c>
      <c r="DN211" s="1" t="n">
        <v>47.9029</v>
      </c>
      <c r="DO211" s="1" t="n">
        <v>60.5896</v>
      </c>
      <c r="DP211" s="1" t="n">
        <v>64.2316</v>
      </c>
      <c r="DQ211" s="1" t="n">
        <v>469.5127</v>
      </c>
      <c r="DR211" s="1" t="n">
        <v>61.2757</v>
      </c>
      <c r="DS211" s="1" t="n">
        <v>166.7942</v>
      </c>
      <c r="DT211" s="1" t="n">
        <v>113.7462</v>
      </c>
      <c r="DU211" s="1" t="n">
        <v>199.3548</v>
      </c>
      <c r="DV211" s="1" t="n">
        <v>99.4431</v>
      </c>
      <c r="DW211" s="1" t="n">
        <v>85.85680000000001</v>
      </c>
      <c r="DX211" s="1" t="n">
        <v>190.6986</v>
      </c>
      <c r="DY211" s="1" t="n">
        <v>341.6151</v>
      </c>
      <c r="DZ211" s="1" t="n">
        <v>70.5548</v>
      </c>
      <c r="EA211" s="1" t="n">
        <v>195.1</v>
      </c>
      <c r="EB211" s="1" t="n">
        <v>117.8023</v>
      </c>
      <c r="EC211" s="1" t="n">
        <v>364.7542</v>
      </c>
      <c r="ED211" s="1" t="n">
        <v>173.9541</v>
      </c>
      <c r="EE211" s="1" t="n">
        <v>179.0742</v>
      </c>
      <c r="EF211" s="1" t="n">
        <v>282.6554</v>
      </c>
      <c r="EG211" s="1" t="n">
        <v>474.4198</v>
      </c>
      <c r="EH211" s="1" t="n">
        <v>258.1026</v>
      </c>
      <c r="EI211" s="1" t="n">
        <v>263.2797</v>
      </c>
      <c r="EJ211" s="1" t="n">
        <v>247.2268</v>
      </c>
      <c r="EK211" s="1" t="n">
        <v>2230.5078</v>
      </c>
      <c r="EL211" s="1" t="n">
        <v>274.7582</v>
      </c>
      <c r="EM211" s="1" t="n">
        <v>742.155</v>
      </c>
    </row>
    <row r="212">
      <c r="A212" s="2" t="inlineStr">
        <is>
          <t xml:space="preserve">    投资支付的现金</t>
        </is>
      </c>
      <c r="B212" s="1" t="n">
        <v>54.11</v>
      </c>
      <c r="C212" s="1" t="n">
        <v>1175.82</v>
      </c>
      <c r="E212" s="1" t="n">
        <v>155.79</v>
      </c>
      <c r="F212" s="1" t="n">
        <v>452.4</v>
      </c>
      <c r="G212" s="1" t="n">
        <v>93.40000000000001</v>
      </c>
      <c r="H212" s="1" t="n">
        <v>404</v>
      </c>
      <c r="I212" s="1" t="n">
        <v>33</v>
      </c>
      <c r="J212" s="1" t="n">
        <v>67</v>
      </c>
      <c r="K212" s="1" t="n">
        <v>113.97</v>
      </c>
      <c r="L212" s="1" t="n">
        <v>200.72</v>
      </c>
      <c r="M212" s="1" t="n">
        <v>0.75</v>
      </c>
      <c r="N212" s="1" t="n">
        <v>3307.13</v>
      </c>
      <c r="O212" s="1" t="n">
        <v>876.65</v>
      </c>
      <c r="P212" s="1" t="n">
        <v>2875.68</v>
      </c>
      <c r="Q212" s="1" t="n">
        <v>15514.64</v>
      </c>
      <c r="R212" s="1" t="n">
        <v>27904.08</v>
      </c>
      <c r="S212" s="1" t="n">
        <v>25219.97</v>
      </c>
      <c r="T212" s="1" t="n">
        <v>35650.57</v>
      </c>
      <c r="AA212" s="1" t="n">
        <v>8.5</v>
      </c>
      <c r="AB212" s="1" t="n">
        <v>19.13</v>
      </c>
      <c r="AE212" s="1" t="n">
        <v>4</v>
      </c>
      <c r="AF212" s="1" t="n">
        <v>67.95</v>
      </c>
      <c r="AG212" s="1" t="n">
        <v>394</v>
      </c>
      <c r="AH212" s="1" t="n">
        <v>28</v>
      </c>
      <c r="AI212" s="1" t="n">
        <v>51</v>
      </c>
      <c r="AJ212" s="1" t="n">
        <v>23.63</v>
      </c>
      <c r="AK212" s="1" t="n">
        <v>39.97</v>
      </c>
      <c r="AL212" s="1" t="n">
        <v>2</v>
      </c>
      <c r="AM212" s="1" t="n">
        <v>905.02</v>
      </c>
      <c r="AN212" s="1" t="n">
        <v>4021.43</v>
      </c>
      <c r="AO212" s="1" t="n">
        <v>6343.29</v>
      </c>
      <c r="AP212" s="1" t="n">
        <v>3189.03</v>
      </c>
      <c r="AQ212" s="1" t="n">
        <v>18096.06</v>
      </c>
      <c r="AR212" s="1" t="n">
        <v>14637.93</v>
      </c>
      <c r="AS212" s="1" t="n">
        <v>11418.33</v>
      </c>
      <c r="AT212" s="1" t="n"/>
      <c r="BO212" s="1" t="n">
        <v>8.5</v>
      </c>
      <c r="BP212" s="1" t="n">
        <v>8.5</v>
      </c>
      <c r="BQ212" s="1" t="n">
        <v>37.1051</v>
      </c>
      <c r="BR212" s="1" t="n">
        <v>19.125</v>
      </c>
      <c r="BS212" s="1" t="n">
        <v>0</v>
      </c>
      <c r="BT212" s="1" t="n">
        <v>0</v>
      </c>
      <c r="BU212" s="1" t="n">
        <v>1156.6941</v>
      </c>
      <c r="CC212" s="1" t="n">
        <v>155.7874</v>
      </c>
      <c r="CE212" s="1" t="n">
        <v>3.9998</v>
      </c>
      <c r="CF212" s="1" t="n">
        <v>23</v>
      </c>
      <c r="CG212" s="1" t="n">
        <v>425.4005</v>
      </c>
      <c r="CH212" s="1" t="n">
        <v>34.0297</v>
      </c>
      <c r="CI212" s="1" t="n">
        <v>33.9229</v>
      </c>
      <c r="CJ212" s="1" t="n">
        <v>6.4429</v>
      </c>
      <c r="CK212" s="1" t="n">
        <v>19.0016</v>
      </c>
      <c r="CL212" s="1" t="n">
        <v>394</v>
      </c>
      <c r="CM212" s="1" t="n">
        <v>0</v>
      </c>
      <c r="CN212" s="1" t="n">
        <v>0</v>
      </c>
      <c r="CO212" s="1" t="n">
        <v>10</v>
      </c>
      <c r="CQ212" s="1" t="n">
        <v>28</v>
      </c>
      <c r="CR212" s="1" t="n">
        <v>5</v>
      </c>
      <c r="CS212" s="1" t="n">
        <v>0</v>
      </c>
      <c r="CU212" s="1" t="n">
        <v>51</v>
      </c>
      <c r="CV212" s="1" t="n">
        <v>16</v>
      </c>
      <c r="CW212" s="1" t="n">
        <v>0</v>
      </c>
      <c r="CX212" s="1" t="n">
        <v>12</v>
      </c>
      <c r="CY212" s="1" t="n">
        <v>11.6272</v>
      </c>
      <c r="CZ212" s="1" t="n">
        <v>50.0254</v>
      </c>
      <c r="DA212" s="1" t="n">
        <v>40.319</v>
      </c>
      <c r="DB212" s="1" t="n">
        <v>23.9668</v>
      </c>
      <c r="DC212" s="1" t="n">
        <v>16</v>
      </c>
      <c r="DD212" s="1" t="n">
        <v>160.75</v>
      </c>
      <c r="DE212" s="1" t="n">
        <v>0</v>
      </c>
      <c r="DF212" s="1" t="n">
        <v>2</v>
      </c>
      <c r="DG212" s="1" t="n">
        <v>0</v>
      </c>
      <c r="DH212" s="1" t="n">
        <v>0</v>
      </c>
      <c r="DI212" s="1" t="n">
        <v>-1.2531</v>
      </c>
      <c r="DJ212" s="1" t="n">
        <v>48</v>
      </c>
      <c r="DK212" s="1" t="n">
        <v>857.0248</v>
      </c>
      <c r="DL212" s="1" t="n">
        <v>1550.9085</v>
      </c>
      <c r="DM212" s="1" t="n">
        <v>851.2002</v>
      </c>
      <c r="DN212" s="1" t="n">
        <v>959.9697</v>
      </c>
      <c r="DO212" s="1" t="n">
        <v>3061.4585</v>
      </c>
      <c r="DP212" s="1" t="n">
        <v>32.383</v>
      </c>
      <c r="DQ212" s="1" t="n">
        <v>-3177.1634</v>
      </c>
      <c r="DR212" s="1" t="n">
        <v>1268.1666</v>
      </c>
      <c r="DS212" s="1" t="n">
        <v>5075.1241</v>
      </c>
      <c r="DT212" s="1" t="n">
        <v>5086.6128</v>
      </c>
      <c r="DU212" s="1" t="n">
        <v>-8554.2255</v>
      </c>
      <c r="DV212" s="1" t="n">
        <v>540.1041</v>
      </c>
      <c r="DW212" s="1" t="n">
        <v>2648.9214</v>
      </c>
      <c r="DX212" s="1" t="n">
        <v>8056.2302</v>
      </c>
      <c r="DY212" s="1" t="n">
        <v>4269.3877</v>
      </c>
      <c r="DZ212" s="1" t="n">
        <v>7901.2261</v>
      </c>
      <c r="EA212" s="1" t="n">
        <v>10194.8295</v>
      </c>
      <c r="EB212" s="1" t="n">
        <v>726.4567</v>
      </c>
      <c r="EC212" s="1" t="n">
        <v>9081.5661</v>
      </c>
      <c r="ED212" s="1" t="n">
        <v>5753.5939</v>
      </c>
      <c r="EE212" s="1" t="n">
        <v>8884.337600000001</v>
      </c>
      <c r="EF212" s="1" t="n">
        <v>2568.734</v>
      </c>
      <c r="EG212" s="1" t="n">
        <v>8013.3007</v>
      </c>
      <c r="EH212" s="1" t="n">
        <v>7047.7396</v>
      </c>
      <c r="EI212" s="1" t="n">
        <v>4370.5864</v>
      </c>
      <c r="EJ212" s="1" t="n">
        <v>13199.3857</v>
      </c>
      <c r="EK212" s="1" t="n">
        <v>11032.8611</v>
      </c>
      <c r="EL212" s="1" t="n">
        <v>5113.5784</v>
      </c>
      <c r="EM212" s="1" t="n">
        <v>15583.459</v>
      </c>
    </row>
    <row r="213">
      <c r="A213" s="2" t="inlineStr">
        <is>
          <t xml:space="preserve">    取得子公司及其他营业单位支付的现金净额</t>
        </is>
      </c>
      <c r="ED213" s="1" t="n">
        <v>0</v>
      </c>
      <c r="EF213" s="1" t="n">
        <v>0</v>
      </c>
      <c r="EH213" s="1" t="n">
        <v>0</v>
      </c>
    </row>
    <row r="214">
      <c r="A214" s="2" t="inlineStr">
        <is>
          <t xml:space="preserve">    支付其他与投资活动有关的现金</t>
        </is>
      </c>
      <c r="D214" s="1" t="n">
        <v>0.38</v>
      </c>
      <c r="E214" s="1" t="n">
        <v>0.49</v>
      </c>
      <c r="N214" s="1" t="n">
        <v>7.83</v>
      </c>
      <c r="O214" s="1" t="n">
        <v>86.62</v>
      </c>
      <c r="R214" s="1" t="n">
        <v>9.68</v>
      </c>
      <c r="S214" s="1" t="n">
        <v>0.15</v>
      </c>
      <c r="T214" s="1" t="n">
        <v>0.01</v>
      </c>
      <c r="AD214" s="1" t="n">
        <v>41.81</v>
      </c>
      <c r="AE214" s="1" t="n">
        <v>1.01</v>
      </c>
      <c r="AF214" s="1" t="n">
        <v>0.03</v>
      </c>
      <c r="AL214" s="1" t="n">
        <v>0.52</v>
      </c>
      <c r="AQ214" s="1" t="n">
        <v>0</v>
      </c>
      <c r="AR214" s="1" t="n">
        <v>0.24</v>
      </c>
      <c r="AS214" s="1" t="n">
        <v>0.08</v>
      </c>
      <c r="BX214" s="1" t="n">
        <v>1.2686</v>
      </c>
      <c r="BY214" s="1" t="n">
        <v>-0.8851</v>
      </c>
      <c r="CA214" s="1" t="n">
        <v>41.8128</v>
      </c>
      <c r="CB214" s="1" t="n">
        <v>-40.9366</v>
      </c>
      <c r="CC214" s="1" t="n">
        <v>-0.3896</v>
      </c>
      <c r="CD214" s="1" t="n">
        <v>0.7731</v>
      </c>
      <c r="CE214" s="1" t="n">
        <v>0.2416</v>
      </c>
      <c r="CF214" s="1" t="n">
        <v>0</v>
      </c>
      <c r="CH214" s="1" t="n">
        <v>0.0298</v>
      </c>
      <c r="CI214" s="1" t="n">
        <v>0</v>
      </c>
      <c r="CJ214" s="1" t="n">
        <v>0.225</v>
      </c>
      <c r="DG214" s="1" t="n">
        <v>0.5173</v>
      </c>
      <c r="DH214" s="1" t="n">
        <v>0</v>
      </c>
      <c r="DL214" s="1" t="n">
        <v>30</v>
      </c>
      <c r="DM214" s="1" t="n">
        <v>-22.168</v>
      </c>
      <c r="DQ214" s="1" t="n">
        <v>86.6176</v>
      </c>
      <c r="EA214" s="1" t="n">
        <v>0.0011</v>
      </c>
      <c r="EB214" s="1" t="n">
        <v>1</v>
      </c>
      <c r="EC214" s="1" t="n">
        <v>8.682</v>
      </c>
      <c r="ED214" s="1" t="n">
        <v>0</v>
      </c>
      <c r="EE214" s="1" t="n">
        <v>0.2435</v>
      </c>
      <c r="EF214" s="1" t="n">
        <v>-0.0955</v>
      </c>
      <c r="EG214" s="1" t="n">
        <v>0</v>
      </c>
      <c r="EH214" s="1" t="n">
        <v>0</v>
      </c>
      <c r="EI214" s="1" t="n">
        <v>0.0769</v>
      </c>
      <c r="EJ214" s="1" t="n">
        <v>0.0598</v>
      </c>
      <c r="EK214" s="1" t="n">
        <v>-0.1297</v>
      </c>
    </row>
    <row r="215">
      <c r="A215" s="2" t="inlineStr">
        <is>
          <t xml:space="preserve">    投资活动现金流出差额(特殊报表科目)</t>
        </is>
      </c>
    </row>
    <row r="216">
      <c r="A216" s="2" t="inlineStr">
        <is>
          <t xml:space="preserve">    投资活动现金流出差额(合计平衡项目)</t>
        </is>
      </c>
    </row>
    <row r="217">
      <c r="A217" s="3" t="inlineStr">
        <is>
          <t xml:space="preserve">    投资活动现金流出小计</t>
        </is>
      </c>
      <c r="B217" s="1" t="n">
        <v>632.49</v>
      </c>
      <c r="C217" s="1" t="n">
        <v>1868.47</v>
      </c>
      <c r="D217" s="1" t="n">
        <v>1988.7</v>
      </c>
      <c r="E217" s="1" t="n">
        <v>3841.64</v>
      </c>
      <c r="F217" s="1" t="n">
        <v>3036.76</v>
      </c>
      <c r="G217" s="1" t="n">
        <v>1955.31</v>
      </c>
      <c r="H217" s="1" t="n">
        <v>1598.53</v>
      </c>
      <c r="I217" s="1" t="n">
        <v>807.4</v>
      </c>
      <c r="J217" s="1" t="n">
        <v>734.49</v>
      </c>
      <c r="K217" s="1" t="n">
        <v>499.25</v>
      </c>
      <c r="L217" s="1" t="n">
        <v>474.54</v>
      </c>
      <c r="M217" s="1" t="n">
        <v>206.66</v>
      </c>
      <c r="N217" s="1" t="n">
        <v>3499.95</v>
      </c>
      <c r="O217" s="1" t="n">
        <v>1605.5</v>
      </c>
      <c r="P217" s="1" t="n">
        <v>3416.85</v>
      </c>
      <c r="Q217" s="1" t="n">
        <v>16232.26</v>
      </c>
      <c r="R217" s="1" t="n">
        <v>28661.97</v>
      </c>
      <c r="S217" s="1" t="n">
        <v>26330.22</v>
      </c>
      <c r="T217" s="1" t="n">
        <v>38649.7</v>
      </c>
      <c r="AA217" s="1" t="n">
        <v>107.82</v>
      </c>
      <c r="AB217" s="1" t="n">
        <v>118.84</v>
      </c>
      <c r="AC217" s="1" t="n">
        <v>396.89</v>
      </c>
      <c r="AD217" s="1" t="n">
        <v>1908.92</v>
      </c>
      <c r="AE217" s="1" t="n">
        <v>1526.7</v>
      </c>
      <c r="AF217" s="1" t="n">
        <v>971.4400000000001</v>
      </c>
      <c r="AG217" s="1" t="n">
        <v>1041.52</v>
      </c>
      <c r="AH217" s="1" t="n">
        <v>386.87</v>
      </c>
      <c r="AI217" s="1" t="n">
        <v>494.2</v>
      </c>
      <c r="AJ217" s="1" t="n">
        <v>213.2</v>
      </c>
      <c r="AK217" s="1" t="n">
        <v>128.48</v>
      </c>
      <c r="AL217" s="1" t="n">
        <v>79.75</v>
      </c>
      <c r="AM217" s="1" t="n">
        <v>978.5599999999999</v>
      </c>
      <c r="AN217" s="1" t="n">
        <v>4129.92</v>
      </c>
      <c r="AO217" s="1" t="n">
        <v>6571.36</v>
      </c>
      <c r="AP217" s="1" t="n">
        <v>3374.33</v>
      </c>
      <c r="AQ217" s="1" t="n">
        <v>18361.71</v>
      </c>
      <c r="AR217" s="1" t="n">
        <v>14991.2</v>
      </c>
      <c r="AS217" s="1" t="n">
        <v>11939.79</v>
      </c>
      <c r="AT217" s="1" t="n"/>
      <c r="BN217" s="1" t="n">
        <v>45.4913</v>
      </c>
      <c r="BO217" s="1" t="n">
        <v>62.3334</v>
      </c>
      <c r="BP217" s="1" t="n">
        <v>66.8326</v>
      </c>
      <c r="BQ217" s="1" t="n">
        <v>457.8349</v>
      </c>
      <c r="BR217" s="1" t="n">
        <v>63.7609</v>
      </c>
      <c r="BS217" s="1" t="n">
        <v>55.0809</v>
      </c>
      <c r="BT217" s="1" t="n">
        <v>36.5834</v>
      </c>
      <c r="BU217" s="1" t="n">
        <v>1713.045</v>
      </c>
      <c r="BV217" s="1" t="n">
        <v>211.4974</v>
      </c>
      <c r="BW217" s="1" t="n">
        <v>185.3918</v>
      </c>
      <c r="BX217" s="1" t="n">
        <v>612.7129</v>
      </c>
      <c r="BY217" s="1" t="n">
        <v>979.0936</v>
      </c>
      <c r="BZ217" s="1" t="n">
        <v>783.5993</v>
      </c>
      <c r="CA217" s="1" t="n">
        <v>1125.3194</v>
      </c>
      <c r="CB217" s="1" t="n">
        <v>869.4604</v>
      </c>
      <c r="CC217" s="1" t="n">
        <v>1063.2633</v>
      </c>
      <c r="CD217" s="1" t="n">
        <v>909.6394</v>
      </c>
      <c r="CE217" s="1" t="n">
        <v>617.0564000000001</v>
      </c>
      <c r="CF217" s="1" t="n">
        <v>551.838</v>
      </c>
      <c r="CG217" s="1" t="n">
        <v>958.225</v>
      </c>
      <c r="CH217" s="1" t="n">
        <v>598.0269</v>
      </c>
      <c r="CI217" s="1" t="n">
        <v>373.4164</v>
      </c>
      <c r="CJ217" s="1" t="n">
        <v>242.6271</v>
      </c>
      <c r="CK217" s="1" t="n">
        <v>741.2366</v>
      </c>
      <c r="CL217" s="1" t="n">
        <v>858.4101000000001</v>
      </c>
      <c r="CM217" s="1" t="n">
        <v>183.106</v>
      </c>
      <c r="CN217" s="1" t="n">
        <v>204.1018</v>
      </c>
      <c r="CO217" s="1" t="n">
        <v>352.9171</v>
      </c>
      <c r="CP217" s="1" t="n">
        <v>236.3952</v>
      </c>
      <c r="CQ217" s="1" t="n">
        <v>150.4717</v>
      </c>
      <c r="CR217" s="1" t="n">
        <v>224.5341</v>
      </c>
      <c r="CS217" s="1" t="n">
        <v>195.9948</v>
      </c>
      <c r="CT217" s="1" t="n">
        <v>243.8777</v>
      </c>
      <c r="CU217" s="1" t="n">
        <v>250.3211</v>
      </c>
      <c r="CV217" s="1" t="n">
        <v>142.662</v>
      </c>
      <c r="CW217" s="1" t="n">
        <v>97.6335</v>
      </c>
      <c r="CX217" s="1" t="n">
        <v>133.4153</v>
      </c>
      <c r="CY217" s="1" t="n">
        <v>79.7843</v>
      </c>
      <c r="CZ217" s="1" t="n">
        <v>126.0433</v>
      </c>
      <c r="DA217" s="1" t="n">
        <v>160.01</v>
      </c>
      <c r="DB217" s="1" t="n">
        <v>84.5527</v>
      </c>
      <c r="DC217" s="1" t="n">
        <v>43.9293</v>
      </c>
      <c r="DD217" s="1" t="n">
        <v>200.2419</v>
      </c>
      <c r="DE217" s="1" t="n">
        <v>145.819</v>
      </c>
      <c r="DF217" s="1" t="n">
        <v>43.2352</v>
      </c>
      <c r="DG217" s="1" t="n">
        <v>36.5198</v>
      </c>
      <c r="DH217" s="1" t="n">
        <v>23.4678</v>
      </c>
      <c r="DI217" s="1" t="n">
        <v>103.4333</v>
      </c>
      <c r="DJ217" s="1" t="n">
        <v>86.374</v>
      </c>
      <c r="DK217" s="1" t="n">
        <v>892.1825</v>
      </c>
      <c r="DL217" s="1" t="n">
        <v>1629.364</v>
      </c>
      <c r="DM217" s="1" t="n">
        <v>892.0335</v>
      </c>
      <c r="DN217" s="1" t="n">
        <v>1007.8726</v>
      </c>
      <c r="DO217" s="1" t="n">
        <v>3122.0481</v>
      </c>
      <c r="DP217" s="1" t="n">
        <v>96.6146</v>
      </c>
      <c r="DQ217" s="1" t="n">
        <v>-2621.033</v>
      </c>
      <c r="DR217" s="1" t="n">
        <v>1329.4423</v>
      </c>
      <c r="DS217" s="1" t="n">
        <v>5241.9183</v>
      </c>
      <c r="DT217" s="1" t="n">
        <v>5200.359</v>
      </c>
      <c r="DU217" s="1" t="n">
        <v>-8354.870800000001</v>
      </c>
      <c r="DV217" s="1" t="n">
        <v>639.5472</v>
      </c>
      <c r="DW217" s="1" t="n">
        <v>2734.7782</v>
      </c>
      <c r="DX217" s="1" t="n">
        <v>8246.9288</v>
      </c>
      <c r="DY217" s="1" t="n">
        <v>4611.0029</v>
      </c>
      <c r="DZ217" s="1" t="n">
        <v>7971.7809</v>
      </c>
      <c r="EA217" s="1" t="n">
        <v>10389.9306</v>
      </c>
      <c r="EB217" s="1" t="n">
        <v>845.2589</v>
      </c>
      <c r="EC217" s="1" t="n">
        <v>9455.0023</v>
      </c>
      <c r="ED217" s="1" t="n">
        <v>5927.548</v>
      </c>
      <c r="EE217" s="1" t="n">
        <v>9063.6553</v>
      </c>
      <c r="EF217" s="1" t="n">
        <v>2851.2939</v>
      </c>
      <c r="EG217" s="1" t="n">
        <v>8487.720499999999</v>
      </c>
      <c r="EH217" s="1" t="n">
        <v>7305.8422</v>
      </c>
      <c r="EI217" s="1" t="n">
        <v>4633.9431</v>
      </c>
      <c r="EJ217" s="1" t="n">
        <v>13446.6722</v>
      </c>
      <c r="EK217" s="1" t="n">
        <v>13263.2392</v>
      </c>
      <c r="EL217" s="1" t="n">
        <v>5388.3366</v>
      </c>
      <c r="EM217" s="1" t="n">
        <v>16325.614</v>
      </c>
    </row>
    <row r="218">
      <c r="A218" s="2" t="inlineStr">
        <is>
          <t xml:space="preserve">    投资活动产生的现金流量净额差额(合计平衡项目)</t>
        </is>
      </c>
      <c r="EM218" s="1" t="inlineStr"/>
    </row>
    <row r="219">
      <c r="A219" s="3" t="inlineStr">
        <is>
          <t xml:space="preserve">    投资活动产生的现金流量净额</t>
        </is>
      </c>
      <c r="B219" s="1" t="n">
        <v>-534.21</v>
      </c>
      <c r="C219" s="1" t="n">
        <v>-1862.38</v>
      </c>
      <c r="D219" s="1" t="n">
        <v>-1975.01</v>
      </c>
      <c r="E219" s="1" t="n">
        <v>-3813.79</v>
      </c>
      <c r="F219" s="1" t="n">
        <v>-3017.46</v>
      </c>
      <c r="G219" s="1" t="n">
        <v>-1801.77</v>
      </c>
      <c r="H219" s="1" t="n">
        <v>-1246.03</v>
      </c>
      <c r="I219" s="1" t="n">
        <v>-733.74</v>
      </c>
      <c r="J219" s="1" t="n">
        <v>-196</v>
      </c>
      <c r="K219" s="1" t="n">
        <v>-257.59</v>
      </c>
      <c r="L219" s="1" t="n">
        <v>-443</v>
      </c>
      <c r="M219" s="1" t="n">
        <v>-44.25</v>
      </c>
      <c r="N219" s="1" t="n">
        <v>-425.09</v>
      </c>
      <c r="O219" s="1" t="n">
        <v>1370.23</v>
      </c>
      <c r="P219" s="1" t="n">
        <v>-680.28</v>
      </c>
      <c r="Q219" s="1" t="n">
        <v>-3052.87</v>
      </c>
      <c r="R219" s="1" t="n">
        <v>-13186.24</v>
      </c>
      <c r="S219" s="1" t="n">
        <v>6054.99</v>
      </c>
      <c r="T219" s="1" t="n">
        <v>-2773.7</v>
      </c>
      <c r="AA219" s="1" t="n">
        <v>-106.17</v>
      </c>
      <c r="AB219" s="1" t="n">
        <v>-117.6</v>
      </c>
      <c r="AC219" s="1" t="n">
        <v>-392.57</v>
      </c>
      <c r="AD219" s="1" t="n">
        <v>-1908.44</v>
      </c>
      <c r="AE219" s="1" t="n">
        <v>-1520.6</v>
      </c>
      <c r="AF219" s="1" t="n">
        <v>-862.64</v>
      </c>
      <c r="AG219" s="1" t="n">
        <v>-758.2</v>
      </c>
      <c r="AH219" s="1" t="n">
        <v>-379.66</v>
      </c>
      <c r="AI219" s="1" t="n">
        <v>-451.63</v>
      </c>
      <c r="AJ219" s="1" t="n">
        <v>-130.42</v>
      </c>
      <c r="AK219" s="1" t="n">
        <v>-127.42</v>
      </c>
      <c r="AL219" s="1" t="n">
        <v>12.3</v>
      </c>
      <c r="AM219" s="1" t="n">
        <v>679.27</v>
      </c>
      <c r="AN219" s="1" t="n">
        <v>-1306.58</v>
      </c>
      <c r="AO219" s="1" t="n">
        <v>-2105.23</v>
      </c>
      <c r="AP219" s="1" t="n">
        <v>4014.01</v>
      </c>
      <c r="AQ219" s="1" t="n">
        <v>-8440.629999999999</v>
      </c>
      <c r="AR219" s="1" t="n">
        <v>4587.87</v>
      </c>
      <c r="AS219" s="1" t="n">
        <v>-910.35</v>
      </c>
      <c r="AT219" s="1" t="n"/>
      <c r="BN219" s="1" t="n">
        <v>-45.4913</v>
      </c>
      <c r="BO219" s="1" t="n">
        <v>-60.6782</v>
      </c>
      <c r="BP219" s="1" t="n">
        <v>-66.06100000000001</v>
      </c>
      <c r="BQ219" s="1" t="n">
        <v>-361.9841</v>
      </c>
      <c r="BR219" s="1" t="n">
        <v>-63.4926</v>
      </c>
      <c r="BS219" s="1" t="n">
        <v>-54.1048</v>
      </c>
      <c r="BT219" s="1" t="n">
        <v>-35.9688</v>
      </c>
      <c r="BU219" s="1" t="n">
        <v>-1708.8098</v>
      </c>
      <c r="BV219" s="1" t="n">
        <v>-208.9795</v>
      </c>
      <c r="BW219" s="1" t="n">
        <v>-183.5872</v>
      </c>
      <c r="BX219" s="1" t="n">
        <v>-602.336</v>
      </c>
      <c r="BY219" s="1" t="n">
        <v>-980.1103000000001</v>
      </c>
      <c r="BZ219" s="1" t="n">
        <v>-783.5042</v>
      </c>
      <c r="CA219" s="1" t="n">
        <v>-1124.9345</v>
      </c>
      <c r="CB219" s="1" t="n">
        <v>-859.4998000000001</v>
      </c>
      <c r="CC219" s="1" t="n">
        <v>-1045.8532</v>
      </c>
      <c r="CD219" s="1" t="n">
        <v>-904.1037</v>
      </c>
      <c r="CE219" s="1" t="n">
        <v>-616.499</v>
      </c>
      <c r="CF219" s="1" t="n">
        <v>-541.9571999999999</v>
      </c>
      <c r="CG219" s="1" t="n">
        <v>-954.9008</v>
      </c>
      <c r="CH219" s="1" t="n">
        <v>-553.9288</v>
      </c>
      <c r="CI219" s="1" t="n">
        <v>-308.7114</v>
      </c>
      <c r="CJ219" s="1" t="n">
        <v>-236.1024</v>
      </c>
      <c r="CK219" s="1" t="n">
        <v>-703.0304</v>
      </c>
      <c r="CL219" s="1" t="n">
        <v>-852.4422</v>
      </c>
      <c r="CM219" s="1" t="n">
        <v>94.2406</v>
      </c>
      <c r="CN219" s="1" t="n">
        <v>-165.6151</v>
      </c>
      <c r="CO219" s="1" t="n">
        <v>-322.2164</v>
      </c>
      <c r="CP219" s="1" t="n">
        <v>-232.4781</v>
      </c>
      <c r="CQ219" s="1" t="n">
        <v>-147.1805</v>
      </c>
      <c r="CR219" s="1" t="n">
        <v>-212.8059</v>
      </c>
      <c r="CS219" s="1" t="n">
        <v>-141.2738</v>
      </c>
      <c r="CT219" s="1" t="n">
        <v>-204.7319</v>
      </c>
      <c r="CU219" s="1" t="n">
        <v>-246.8993</v>
      </c>
      <c r="CV219" s="1" t="n">
        <v>41.9112</v>
      </c>
      <c r="CW219" s="1" t="n">
        <v>213.7154</v>
      </c>
      <c r="CX219" s="1" t="n">
        <v>-51.5408</v>
      </c>
      <c r="CY219" s="1" t="n">
        <v>-78.88120000000001</v>
      </c>
      <c r="CZ219" s="1" t="n">
        <v>-97.1961</v>
      </c>
      <c r="DA219" s="1" t="n">
        <v>-29.9709</v>
      </c>
      <c r="DB219" s="1" t="n">
        <v>-84.4513</v>
      </c>
      <c r="DC219" s="1" t="n">
        <v>-42.9657</v>
      </c>
      <c r="DD219" s="1" t="n">
        <v>-187.8289</v>
      </c>
      <c r="DE219" s="1" t="n">
        <v>-127.7588</v>
      </c>
      <c r="DF219" s="1" t="n">
        <v>-41.6366</v>
      </c>
      <c r="DG219" s="1" t="n">
        <v>53.9335</v>
      </c>
      <c r="DH219" s="1" t="n">
        <v>5.5529</v>
      </c>
      <c r="DI219" s="1" t="n">
        <v>-62.0953</v>
      </c>
      <c r="DJ219" s="1" t="n">
        <v>-44.0168</v>
      </c>
      <c r="DK219" s="1" t="n">
        <v>723.2877999999999</v>
      </c>
      <c r="DL219" s="1" t="n">
        <v>-795.1761</v>
      </c>
      <c r="DM219" s="1" t="n">
        <v>-309.182</v>
      </c>
      <c r="DN219" s="1" t="n">
        <v>228.0834</v>
      </c>
      <c r="DO219" s="1" t="n">
        <v>-1534.6596</v>
      </c>
      <c r="DP219" s="1" t="n">
        <v>1364.0761</v>
      </c>
      <c r="DQ219" s="1" t="n">
        <v>1312.7338</v>
      </c>
      <c r="DR219" s="1" t="n">
        <v>-214.5574</v>
      </c>
      <c r="DS219" s="1" t="n">
        <v>-1890.6714</v>
      </c>
      <c r="DT219" s="1" t="n">
        <v>-3619.7969</v>
      </c>
      <c r="DU219" s="1" t="n">
        <v>5044.7465</v>
      </c>
      <c r="DV219" s="1" t="n">
        <v>1596.1588</v>
      </c>
      <c r="DW219" s="1" t="n">
        <v>2417.8473</v>
      </c>
      <c r="DX219" s="1" t="n">
        <v>-5427.3693</v>
      </c>
      <c r="DY219" s="1" t="n">
        <v>-1639.5064</v>
      </c>
      <c r="DZ219" s="1" t="n">
        <v>-250.3204</v>
      </c>
      <c r="EA219" s="1" t="n">
        <v>-8190.3083</v>
      </c>
      <c r="EB219" s="1" t="n">
        <v>154.7004</v>
      </c>
      <c r="EC219" s="1" t="n">
        <v>-4900.3103</v>
      </c>
      <c r="ED219" s="1" t="n">
        <v>2476.7311</v>
      </c>
      <c r="EE219" s="1" t="n">
        <v>2111.1346</v>
      </c>
      <c r="EF219" s="1" t="n">
        <v>1467.1768</v>
      </c>
      <c r="EG219" s="1" t="n">
        <v>-0.0502</v>
      </c>
      <c r="EH219" s="1" t="n">
        <v>-1704.6174</v>
      </c>
      <c r="EI219" s="1" t="n">
        <v>794.2689</v>
      </c>
      <c r="EJ219" s="1" t="n">
        <v>-8613.7057</v>
      </c>
      <c r="EK219" s="1" t="n">
        <v>6750.3583</v>
      </c>
      <c r="EL219" s="1" t="n">
        <v>2725.186</v>
      </c>
      <c r="EM219" s="1" t="n">
        <v>-876.503</v>
      </c>
    </row>
    <row r="220">
      <c r="A220" s="3" t="inlineStr">
        <is>
          <t>筹资活动产生的现金流量：</t>
        </is>
      </c>
      <c r="EM220" s="1" t="inlineStr"/>
    </row>
    <row r="221">
      <c r="A221" s="2" t="inlineStr">
        <is>
          <t xml:space="preserve">    吸收投资收到的现金</t>
        </is>
      </c>
      <c r="B221" s="1" t="n">
        <v>37.82</v>
      </c>
      <c r="C221" s="1" t="n">
        <v>9.81</v>
      </c>
      <c r="D221" s="1" t="n">
        <v>1738.81</v>
      </c>
      <c r="E221" s="1" t="n">
        <v>5024.3</v>
      </c>
      <c r="F221" s="1" t="n">
        <v>216.7</v>
      </c>
      <c r="K221" s="1" t="n">
        <v>0</v>
      </c>
      <c r="N221" s="1" t="n">
        <v>49.5</v>
      </c>
      <c r="O221" s="1" t="n">
        <v>392.32</v>
      </c>
      <c r="P221" s="1" t="n">
        <v>136.9</v>
      </c>
      <c r="Q221" s="1" t="n">
        <v>100.32</v>
      </c>
      <c r="R221" s="1" t="n">
        <v>410.14</v>
      </c>
      <c r="S221" s="1" t="n">
        <v>276.46</v>
      </c>
      <c r="T221" s="1" t="n">
        <v>110.02</v>
      </c>
      <c r="AC221" s="1" t="n">
        <v>0.19</v>
      </c>
      <c r="AD221" s="1" t="n">
        <v>938.46</v>
      </c>
      <c r="AE221" s="1" t="n">
        <v>127.13</v>
      </c>
      <c r="AJ221" s="1" t="n">
        <v>0</v>
      </c>
      <c r="AN221" s="1" t="n">
        <v>150</v>
      </c>
      <c r="AO221" s="1" t="n">
        <v>8</v>
      </c>
      <c r="AP221" s="1" t="n">
        <v>58.83</v>
      </c>
      <c r="AQ221" s="1" t="n">
        <v>227.66</v>
      </c>
      <c r="AR221" s="1" t="n">
        <v>239.59</v>
      </c>
      <c r="AS221" s="1" t="n">
        <v>53.17</v>
      </c>
      <c r="AT221" s="1" t="n"/>
      <c r="BQ221" s="1" t="n">
        <v>37.8248</v>
      </c>
      <c r="BU221" s="1" t="n">
        <v>9.811400000000001</v>
      </c>
      <c r="BW221" s="1" t="n">
        <v>0.189</v>
      </c>
      <c r="BX221" s="1" t="n">
        <v>0</v>
      </c>
      <c r="BY221" s="1" t="n">
        <v>1738.6231</v>
      </c>
      <c r="BZ221" s="1" t="n">
        <v>789.53</v>
      </c>
      <c r="CA221" s="1" t="n">
        <v>148.928</v>
      </c>
      <c r="CB221" s="1" t="n">
        <v>0</v>
      </c>
      <c r="CC221" s="1" t="n">
        <v>4085.84</v>
      </c>
      <c r="CD221" s="1" t="n">
        <v>22.1258</v>
      </c>
      <c r="CE221" s="1" t="n">
        <v>105</v>
      </c>
      <c r="CF221" s="1" t="n">
        <v>217.0752</v>
      </c>
      <c r="CG221" s="1" t="n">
        <v>-127.5</v>
      </c>
      <c r="CY221" s="1" t="n">
        <v>0.0002</v>
      </c>
      <c r="CZ221" s="1" t="n">
        <v>0</v>
      </c>
      <c r="DA221" s="1" t="n">
        <v>0.0001</v>
      </c>
      <c r="DL221" s="1" t="n">
        <v>49.5</v>
      </c>
      <c r="DM221" s="1" t="n">
        <v>0</v>
      </c>
      <c r="DO221" s="1" t="n">
        <v>150</v>
      </c>
      <c r="DP221" s="1" t="n">
        <v>4.96</v>
      </c>
      <c r="DQ221" s="1" t="n">
        <v>237.365</v>
      </c>
      <c r="DS221" s="1" t="n">
        <v>8</v>
      </c>
      <c r="DT221" s="1" t="n">
        <v>118.2995</v>
      </c>
      <c r="DU221" s="1" t="n">
        <v>10.5969</v>
      </c>
      <c r="DV221" s="1" t="n">
        <v>36.5025</v>
      </c>
      <c r="DW221" s="1" t="n">
        <v>22.33</v>
      </c>
      <c r="DX221" s="1" t="n">
        <v>30</v>
      </c>
      <c r="DY221" s="1" t="n">
        <v>11.49</v>
      </c>
      <c r="DZ221" s="1" t="n">
        <v>221.2562</v>
      </c>
      <c r="EA221" s="1" t="n">
        <v>6.4</v>
      </c>
      <c r="EB221" s="1" t="n">
        <v>9.3401</v>
      </c>
      <c r="EC221" s="1" t="n">
        <v>173.1455</v>
      </c>
      <c r="ED221" s="1" t="n">
        <v>0</v>
      </c>
      <c r="EE221" s="1" t="n">
        <v>239.5905</v>
      </c>
      <c r="EF221" s="1" t="n">
        <v>30</v>
      </c>
      <c r="EG221" s="1" t="n">
        <v>6.8665</v>
      </c>
      <c r="EH221" s="1" t="n">
        <v>43.405</v>
      </c>
      <c r="EI221" s="1" t="n">
        <v>9.762499999999999</v>
      </c>
      <c r="EJ221" s="1" t="n">
        <v>4.9</v>
      </c>
      <c r="EK221" s="1" t="n">
        <v>51.95</v>
      </c>
      <c r="EL221" s="1" t="n">
        <v>44.1</v>
      </c>
      <c r="EM221" s="1" t="n">
        <v>4205.968</v>
      </c>
    </row>
    <row r="222">
      <c r="A222" s="2" t="inlineStr">
        <is>
          <t xml:space="preserve">    其中：子公司吸收少数股东投资收到的现金</t>
        </is>
      </c>
      <c r="E222" s="1" t="n">
        <v>24.43</v>
      </c>
      <c r="F222" s="1" t="n">
        <v>2.71</v>
      </c>
      <c r="K222" s="1" t="n">
        <v>0</v>
      </c>
      <c r="N222" s="1" t="n">
        <v>49.5</v>
      </c>
      <c r="O222" s="1" t="n">
        <v>226.35</v>
      </c>
      <c r="P222" s="1" t="n">
        <v>130.54</v>
      </c>
      <c r="Q222" s="1" t="n">
        <v>100.32</v>
      </c>
      <c r="R222" s="1" t="n">
        <v>410.14</v>
      </c>
      <c r="S222" s="1" t="n">
        <v>276.46</v>
      </c>
      <c r="T222" s="1" t="n">
        <v>110.02</v>
      </c>
      <c r="AJ222" s="1" t="n">
        <v>0</v>
      </c>
      <c r="AN222" s="1" t="n">
        <v>150</v>
      </c>
      <c r="AO222" s="1" t="n">
        <v>8</v>
      </c>
      <c r="AP222" s="1" t="n">
        <v>58.83</v>
      </c>
      <c r="AQ222" s="1" t="n">
        <v>227.66</v>
      </c>
      <c r="AR222" s="1" t="n">
        <v>239.59</v>
      </c>
      <c r="AS222" s="1" t="n">
        <v>53.17</v>
      </c>
      <c r="AT222" s="1" t="n"/>
      <c r="CC222" s="1" t="n">
        <v>24.428</v>
      </c>
      <c r="CG222" s="1" t="n">
        <v>2.714</v>
      </c>
      <c r="CY222" s="1" t="n">
        <v>0.0002</v>
      </c>
      <c r="CZ222" s="1" t="n">
        <v>0</v>
      </c>
      <c r="DA222" s="1" t="n">
        <v>0.0001</v>
      </c>
      <c r="DL222" s="1" t="n">
        <v>49.5</v>
      </c>
      <c r="DM222" s="1" t="n">
        <v>0</v>
      </c>
      <c r="DO222" s="1" t="n">
        <v>150</v>
      </c>
      <c r="DP222" s="1" t="n">
        <v>4.96</v>
      </c>
      <c r="DQ222" s="1" t="n">
        <v>71.392</v>
      </c>
      <c r="DS222" s="1" t="n">
        <v>8</v>
      </c>
      <c r="DT222" s="1" t="n">
        <v>118.2995</v>
      </c>
      <c r="DU222" s="1" t="n">
        <v>4.24</v>
      </c>
      <c r="DV222" s="1" t="n">
        <v>36.5025</v>
      </c>
      <c r="DW222" s="1" t="n">
        <v>22.33</v>
      </c>
      <c r="DX222" s="1" t="n">
        <v>30</v>
      </c>
      <c r="DY222" s="1" t="n">
        <v>11.49</v>
      </c>
      <c r="DZ222" s="1" t="n">
        <v>221.2562</v>
      </c>
      <c r="EA222" s="1" t="n">
        <v>6.4</v>
      </c>
      <c r="EB222" s="1" t="n">
        <v>9.3401</v>
      </c>
      <c r="EC222" s="1" t="n">
        <v>173.1455</v>
      </c>
      <c r="ED222" s="1" t="n">
        <v>0</v>
      </c>
      <c r="EE222" s="1" t="n">
        <v>239.5905</v>
      </c>
      <c r="EF222" s="1" t="n">
        <v>0</v>
      </c>
      <c r="EG222" s="1" t="n">
        <v>36.8665</v>
      </c>
      <c r="EH222" s="1" t="n">
        <v>5.475</v>
      </c>
      <c r="EI222" s="1" t="n">
        <v>47.6925</v>
      </c>
      <c r="EJ222" s="1" t="n">
        <v>4.9</v>
      </c>
      <c r="EK222" s="1" t="n">
        <v>51.95</v>
      </c>
      <c r="EL222" s="1" t="n">
        <v>44.1</v>
      </c>
      <c r="EM222" s="1" t="n">
        <v>89.8</v>
      </c>
    </row>
    <row r="223">
      <c r="A223" s="2" t="inlineStr">
        <is>
          <t xml:space="preserve">    取得借款收到的现金</t>
        </is>
      </c>
      <c r="B223" s="1" t="n">
        <v>221.68</v>
      </c>
      <c r="C223" s="1" t="n">
        <v>392.53</v>
      </c>
      <c r="D223" s="1" t="n">
        <v>195</v>
      </c>
      <c r="E223" s="1" t="n">
        <v>1741.44</v>
      </c>
      <c r="F223" s="1" t="n">
        <v>4285.81</v>
      </c>
      <c r="G223" s="1" t="n">
        <v>2692.3</v>
      </c>
      <c r="H223" s="1" t="n">
        <v>3499.42</v>
      </c>
      <c r="I223" s="1" t="n">
        <v>3778.98</v>
      </c>
      <c r="J223" s="1" t="n">
        <v>7064.82</v>
      </c>
      <c r="K223" s="1" t="n">
        <v>3044</v>
      </c>
      <c r="L223" s="1" t="n">
        <v>824.4400000000001</v>
      </c>
      <c r="M223" s="1" t="n">
        <v>485.75</v>
      </c>
      <c r="N223" s="1" t="n">
        <v>469.67</v>
      </c>
      <c r="O223" s="1" t="n">
        <v>201.65</v>
      </c>
      <c r="P223" s="1" t="n">
        <v>435.98</v>
      </c>
      <c r="Q223" s="1" t="n">
        <v>1146.85</v>
      </c>
      <c r="R223" s="1" t="n">
        <v>544.16</v>
      </c>
      <c r="S223" s="1" t="n">
        <v>865.4400000000001</v>
      </c>
      <c r="T223" s="1" t="n">
        <v>2511.72</v>
      </c>
      <c r="AA223" s="1" t="n">
        <v>10</v>
      </c>
      <c r="AC223" s="1" t="n">
        <v>378.03</v>
      </c>
      <c r="AD223" s="1" t="n">
        <v>417.88</v>
      </c>
      <c r="AE223" s="1" t="n">
        <v>1982.81</v>
      </c>
      <c r="AF223" s="1" t="n">
        <v>860</v>
      </c>
      <c r="AG223" s="1" t="n">
        <v>1275</v>
      </c>
      <c r="AH223" s="1" t="n">
        <v>1335.75</v>
      </c>
      <c r="AI223" s="1" t="n">
        <v>1111.1</v>
      </c>
      <c r="AJ223" s="1" t="n">
        <v>1155</v>
      </c>
      <c r="AK223" s="1" t="n">
        <v>674.4400000000001</v>
      </c>
      <c r="AL223" s="1" t="n">
        <v>398.65</v>
      </c>
      <c r="AM223" s="1" t="n">
        <v>199.64</v>
      </c>
      <c r="AN223" s="1" t="n">
        <v>2.65</v>
      </c>
      <c r="AO223" s="1" t="n">
        <v>32.38</v>
      </c>
      <c r="AP223" s="1" t="n">
        <v>48.05</v>
      </c>
      <c r="AQ223" s="1" t="n">
        <v>50</v>
      </c>
      <c r="AR223" s="1" t="n">
        <v>182.69</v>
      </c>
      <c r="AS223" s="1" t="n">
        <v>1182.83</v>
      </c>
      <c r="AT223" s="1" t="n"/>
      <c r="BN223" s="1" t="n">
        <v>10</v>
      </c>
      <c r="BO223" s="1" t="n">
        <v>0</v>
      </c>
      <c r="BP223" s="1" t="n">
        <v>0</v>
      </c>
      <c r="BQ223" s="1" t="n">
        <v>211.68</v>
      </c>
      <c r="BU223" s="1" t="n">
        <v>392.528</v>
      </c>
      <c r="BV223" s="1" t="n">
        <v>197.78</v>
      </c>
      <c r="BW223" s="1" t="n">
        <v>180.25</v>
      </c>
      <c r="BX223" s="1" t="n">
        <v>221.7527</v>
      </c>
      <c r="BY223" s="1" t="n">
        <v>-404.7827</v>
      </c>
      <c r="BZ223" s="1" t="n">
        <v>242.8009</v>
      </c>
      <c r="CA223" s="1" t="n">
        <v>175.077</v>
      </c>
      <c r="CB223" s="1" t="n">
        <v>183.5901</v>
      </c>
      <c r="CC223" s="1" t="n">
        <v>1139.9714</v>
      </c>
      <c r="CD223" s="1" t="n">
        <v>405</v>
      </c>
      <c r="CE223" s="1" t="n">
        <v>1577.8084</v>
      </c>
      <c r="CF223" s="1" t="n">
        <v>1355</v>
      </c>
      <c r="CG223" s="1" t="n">
        <v>948</v>
      </c>
      <c r="CH223" s="1" t="n">
        <v>175</v>
      </c>
      <c r="CI223" s="1" t="n">
        <v>685</v>
      </c>
      <c r="CJ223" s="1" t="n">
        <v>739.6</v>
      </c>
      <c r="CK223" s="1" t="n">
        <v>1092.6987</v>
      </c>
      <c r="CL223" s="1" t="n">
        <v>545</v>
      </c>
      <c r="CM223" s="1" t="n">
        <v>730</v>
      </c>
      <c r="CN223" s="1" t="n">
        <v>1385</v>
      </c>
      <c r="CO223" s="1" t="n">
        <v>839.4175</v>
      </c>
      <c r="CP223" s="1" t="n">
        <v>858.7109</v>
      </c>
      <c r="CQ223" s="1" t="n">
        <v>477.036</v>
      </c>
      <c r="CR223" s="1" t="n">
        <v>1502.5677</v>
      </c>
      <c r="CS223" s="1" t="n">
        <v>940.6688</v>
      </c>
      <c r="CT223" s="1" t="n">
        <v>851.1</v>
      </c>
      <c r="CU223" s="1" t="n">
        <v>260</v>
      </c>
      <c r="CV223" s="1" t="n">
        <v>5132.81</v>
      </c>
      <c r="CW223" s="1" t="n">
        <v>820.91</v>
      </c>
      <c r="CX223" s="1" t="n">
        <v>615</v>
      </c>
      <c r="CY223" s="1" t="n">
        <v>540</v>
      </c>
      <c r="CZ223" s="1" t="n">
        <v>207</v>
      </c>
      <c r="DA223" s="1" t="n">
        <v>1682</v>
      </c>
      <c r="DB223" s="1" t="n">
        <v>34.94</v>
      </c>
      <c r="DC223" s="1" t="n">
        <v>639.5</v>
      </c>
      <c r="DD223" s="1" t="n">
        <v>75</v>
      </c>
      <c r="DE223" s="1" t="n">
        <v>75</v>
      </c>
      <c r="DF223" s="1" t="n">
        <v>190</v>
      </c>
      <c r="DG223" s="1" t="n">
        <v>208.65</v>
      </c>
      <c r="DH223" s="1" t="n">
        <v>10</v>
      </c>
      <c r="DI223" s="1" t="n">
        <v>77.09999999999999</v>
      </c>
      <c r="DJ223" s="1" t="n">
        <v>414.72</v>
      </c>
      <c r="DK223" s="1" t="n">
        <v>-215.0751</v>
      </c>
      <c r="DL223" s="1" t="n">
        <v>200.3939</v>
      </c>
      <c r="DM223" s="1" t="n">
        <v>69.6319</v>
      </c>
      <c r="DN223" s="1" t="n">
        <v>2.65</v>
      </c>
      <c r="DO223" s="1" t="n">
        <v>0</v>
      </c>
      <c r="DP223" s="1" t="n">
        <v>0</v>
      </c>
      <c r="DQ223" s="1" t="n">
        <v>199</v>
      </c>
      <c r="DR223" s="1" t="n">
        <v>2.38</v>
      </c>
      <c r="DS223" s="1" t="n">
        <v>30</v>
      </c>
      <c r="DT223" s="1" t="n">
        <v>0</v>
      </c>
      <c r="DU223" s="1" t="n">
        <v>403.6</v>
      </c>
      <c r="DV223" s="1" t="n">
        <v>6.22</v>
      </c>
      <c r="DW223" s="1" t="n">
        <v>41.83</v>
      </c>
      <c r="DX223" s="1" t="n">
        <v>653.8</v>
      </c>
      <c r="DY223" s="1" t="n">
        <v>445</v>
      </c>
      <c r="DZ223" s="1" t="n">
        <v>20</v>
      </c>
      <c r="EA223" s="1" t="n">
        <v>30</v>
      </c>
      <c r="EB223" s="1" t="n">
        <v>136.1605</v>
      </c>
      <c r="EC223" s="1" t="n">
        <v>358.0014</v>
      </c>
      <c r="ED223" s="1" t="n">
        <v>73.77760000000001</v>
      </c>
      <c r="EE223" s="1" t="n">
        <v>108.9102</v>
      </c>
      <c r="EF223" s="1" t="n">
        <v>569.9851</v>
      </c>
      <c r="EG223" s="1" t="n">
        <v>112.7647</v>
      </c>
      <c r="EH223" s="1" t="n">
        <v>318.9207</v>
      </c>
      <c r="EI223" s="1" t="n">
        <v>863.9113</v>
      </c>
      <c r="EJ223" s="1" t="n">
        <v>883.1836</v>
      </c>
      <c r="EK223" s="1" t="n">
        <v>445.7083</v>
      </c>
      <c r="EL223" s="1" t="n">
        <v>1391.945</v>
      </c>
      <c r="EM223" s="1" t="n">
        <v>1674.782</v>
      </c>
    </row>
    <row r="224">
      <c r="A224" s="2" t="inlineStr">
        <is>
          <t xml:space="preserve">    收到其他与筹资活动有关的现金</t>
        </is>
      </c>
      <c r="EM224" s="1" t="inlineStr"/>
    </row>
    <row r="225">
      <c r="A225" s="2" t="inlineStr">
        <is>
          <t xml:space="preserve">    发行债券收到的现金</t>
        </is>
      </c>
      <c r="D225" s="1" t="n">
        <v>0.4</v>
      </c>
      <c r="E225" s="1" t="n">
        <v>1019.03</v>
      </c>
      <c r="F225" s="1" t="n">
        <v>280.67</v>
      </c>
      <c r="G225" s="1" t="n">
        <v>47.1</v>
      </c>
      <c r="H225" s="1" t="n">
        <v>85.94</v>
      </c>
      <c r="K225" s="1" t="n">
        <v>30</v>
      </c>
      <c r="N225" s="1" t="n">
        <v>33.38</v>
      </c>
      <c r="R225" s="1" t="n">
        <v>240</v>
      </c>
      <c r="S225" s="1" t="n">
        <v>436.33</v>
      </c>
      <c r="T225" s="1" t="n">
        <v>593.54</v>
      </c>
      <c r="AD225" s="1" t="n">
        <v>0.25</v>
      </c>
      <c r="AE225" s="1" t="n">
        <v>2.8</v>
      </c>
      <c r="AF225" s="1" t="n">
        <v>5.25</v>
      </c>
      <c r="AG225" s="1" t="n">
        <v>85.94</v>
      </c>
      <c r="AT225" s="1" t="n"/>
      <c r="BX225" s="1" t="n">
        <v>0.4022</v>
      </c>
      <c r="BY225" s="1" t="n">
        <v>0</v>
      </c>
      <c r="BZ225" s="1" t="n">
        <v>0.047</v>
      </c>
      <c r="CA225" s="1" t="n">
        <v>0.2001</v>
      </c>
      <c r="CB225" s="1" t="n">
        <v>0.1172</v>
      </c>
      <c r="CC225" s="1" t="n">
        <v>1018.6656</v>
      </c>
      <c r="CD225" s="1" t="n">
        <v>0.1419</v>
      </c>
      <c r="CE225" s="1" t="n">
        <v>2.6576</v>
      </c>
      <c r="CF225" s="1" t="n">
        <v>-0.0429</v>
      </c>
      <c r="CG225" s="1" t="n">
        <v>277.9134</v>
      </c>
      <c r="CH225" s="1" t="n">
        <v>5.1</v>
      </c>
      <c r="CI225" s="1" t="n">
        <v>0.15</v>
      </c>
      <c r="CJ225" s="1" t="n">
        <v>0</v>
      </c>
      <c r="CK225" s="1" t="n">
        <v>41.85</v>
      </c>
      <c r="CL225" s="1" t="n">
        <v>85.94</v>
      </c>
      <c r="CM225" s="1" t="n">
        <v>0</v>
      </c>
      <c r="CN225" s="1" t="n">
        <v>0</v>
      </c>
      <c r="CO225" s="1" t="n">
        <v>0</v>
      </c>
      <c r="DA225" s="1" t="n">
        <v>30</v>
      </c>
      <c r="DM225" s="1" t="n">
        <v>33.3833</v>
      </c>
      <c r="EC225" s="1" t="n">
        <v>240</v>
      </c>
      <c r="ED225" s="1" t="n">
        <v>9.4011</v>
      </c>
      <c r="EF225" s="1" t="n">
        <v>0</v>
      </c>
      <c r="EG225" s="1" t="n">
        <v>436.3266</v>
      </c>
      <c r="EH225" s="1" t="n">
        <v>0</v>
      </c>
      <c r="EJ225" s="1" t="n">
        <v>10.4892</v>
      </c>
      <c r="EK225" s="1" t="n">
        <v>583.0475</v>
      </c>
      <c r="EL225" s="1" t="n">
        <v>1.3085</v>
      </c>
      <c r="EM225" s="1" t="n">
        <v>0.325</v>
      </c>
    </row>
    <row r="226">
      <c r="A226" s="2" t="inlineStr">
        <is>
          <t xml:space="preserve">    筹资活动现金流入差额(特殊报表科目)</t>
        </is>
      </c>
      <c r="EM226" s="1" t="inlineStr"/>
    </row>
    <row r="227">
      <c r="A227" s="2" t="inlineStr">
        <is>
          <t xml:space="preserve">    筹资活动现金流入差额(合计平衡项目)</t>
        </is>
      </c>
      <c r="EM227" s="1" t="inlineStr"/>
    </row>
    <row r="228">
      <c r="A228" s="3" t="inlineStr">
        <is>
          <t xml:space="preserve">    筹资活动现金流入小计</t>
        </is>
      </c>
      <c r="B228" s="1" t="n">
        <v>259.5</v>
      </c>
      <c r="C228" s="1" t="n">
        <v>402.34</v>
      </c>
      <c r="D228" s="1" t="n">
        <v>1934.21</v>
      </c>
      <c r="E228" s="1" t="n">
        <v>7784.77</v>
      </c>
      <c r="F228" s="1" t="n">
        <v>4783.18</v>
      </c>
      <c r="G228" s="1" t="n">
        <v>2739.4</v>
      </c>
      <c r="H228" s="1" t="n">
        <v>3585.36</v>
      </c>
      <c r="I228" s="1" t="n">
        <v>3778.98</v>
      </c>
      <c r="J228" s="1" t="n">
        <v>7064.82</v>
      </c>
      <c r="K228" s="1" t="n">
        <v>3074</v>
      </c>
      <c r="L228" s="1" t="n">
        <v>824.4400000000001</v>
      </c>
      <c r="M228" s="1" t="n">
        <v>485.75</v>
      </c>
      <c r="N228" s="1" t="n">
        <v>552.55</v>
      </c>
      <c r="O228" s="1" t="n">
        <v>593.97</v>
      </c>
      <c r="P228" s="1" t="n">
        <v>572.88</v>
      </c>
      <c r="Q228" s="1" t="n">
        <v>1247.17</v>
      </c>
      <c r="R228" s="1" t="n">
        <v>1194.3</v>
      </c>
      <c r="S228" s="1" t="n">
        <v>1578.22</v>
      </c>
      <c r="T228" s="1" t="n">
        <v>3215.28</v>
      </c>
      <c r="AA228" s="1" t="n">
        <v>10</v>
      </c>
      <c r="AC228" s="1" t="n">
        <v>378.22</v>
      </c>
      <c r="AD228" s="1" t="n">
        <v>1356.58</v>
      </c>
      <c r="AE228" s="1" t="n">
        <v>2112.73</v>
      </c>
      <c r="AF228" s="1" t="n">
        <v>865.25</v>
      </c>
      <c r="AG228" s="1" t="n">
        <v>1360.94</v>
      </c>
      <c r="AH228" s="1" t="n">
        <v>1335.75</v>
      </c>
      <c r="AI228" s="1" t="n">
        <v>1111.1</v>
      </c>
      <c r="AJ228" s="1" t="n">
        <v>1155</v>
      </c>
      <c r="AK228" s="1" t="n">
        <v>674.4400000000001</v>
      </c>
      <c r="AL228" s="1" t="n">
        <v>398.65</v>
      </c>
      <c r="AM228" s="1" t="n">
        <v>199.64</v>
      </c>
      <c r="AN228" s="1" t="n">
        <v>152.65</v>
      </c>
      <c r="AO228" s="1" t="n">
        <v>40.38</v>
      </c>
      <c r="AP228" s="1" t="n">
        <v>106.88</v>
      </c>
      <c r="AQ228" s="1" t="n">
        <v>277.66</v>
      </c>
      <c r="AR228" s="1" t="n">
        <v>422.28</v>
      </c>
      <c r="AS228" s="1" t="n">
        <v>1236</v>
      </c>
      <c r="AT228" s="1" t="n"/>
      <c r="BN228" s="1" t="n">
        <v>10</v>
      </c>
      <c r="BO228" s="1" t="n">
        <v>0</v>
      </c>
      <c r="BP228" s="1" t="n">
        <v>0</v>
      </c>
      <c r="BQ228" s="1" t="n">
        <v>249.5048</v>
      </c>
      <c r="BU228" s="1" t="n">
        <v>402.3394</v>
      </c>
      <c r="BV228" s="1" t="n">
        <v>197.78</v>
      </c>
      <c r="BW228" s="1" t="n">
        <v>180.439</v>
      </c>
      <c r="BX228" s="1" t="n">
        <v>222.155</v>
      </c>
      <c r="BY228" s="1" t="n">
        <v>1333.8404</v>
      </c>
      <c r="BZ228" s="1" t="n">
        <v>1032.3779</v>
      </c>
      <c r="CA228" s="1" t="n">
        <v>324.2051</v>
      </c>
      <c r="CB228" s="1" t="n">
        <v>183.7073</v>
      </c>
      <c r="CC228" s="1" t="n">
        <v>6244.4771</v>
      </c>
      <c r="CD228" s="1" t="n">
        <v>427.2677</v>
      </c>
      <c r="CE228" s="1" t="n">
        <v>1685.466</v>
      </c>
      <c r="CF228" s="1" t="n">
        <v>1572.0323</v>
      </c>
      <c r="CG228" s="1" t="n">
        <v>1098.4134</v>
      </c>
      <c r="CH228" s="1" t="n">
        <v>180.1</v>
      </c>
      <c r="CI228" s="1" t="n">
        <v>685.15</v>
      </c>
      <c r="CJ228" s="1" t="n">
        <v>739.6</v>
      </c>
      <c r="CK228" s="1" t="n">
        <v>1134.5487</v>
      </c>
      <c r="CL228" s="1" t="n">
        <v>630.9400000000001</v>
      </c>
      <c r="CM228" s="1" t="n">
        <v>730</v>
      </c>
      <c r="CN228" s="1" t="n">
        <v>1385</v>
      </c>
      <c r="CO228" s="1" t="n">
        <v>839.4175</v>
      </c>
      <c r="CP228" s="1" t="n">
        <v>858.7109</v>
      </c>
      <c r="CQ228" s="1" t="n">
        <v>477.036</v>
      </c>
      <c r="CR228" s="1" t="n">
        <v>1502.5677</v>
      </c>
      <c r="CS228" s="1" t="n">
        <v>940.6688</v>
      </c>
      <c r="CT228" s="1" t="n">
        <v>851.1</v>
      </c>
      <c r="CU228" s="1" t="n">
        <v>260</v>
      </c>
      <c r="CV228" s="1" t="n">
        <v>5132.81</v>
      </c>
      <c r="CW228" s="1" t="n">
        <v>820.91</v>
      </c>
      <c r="CX228" s="1" t="n">
        <v>615</v>
      </c>
      <c r="CY228" s="1" t="n">
        <v>540.0001999999999</v>
      </c>
      <c r="CZ228" s="1" t="n">
        <v>207</v>
      </c>
      <c r="DA228" s="1" t="n">
        <v>1712.0001</v>
      </c>
      <c r="DB228" s="1" t="n">
        <v>34.94</v>
      </c>
      <c r="DC228" s="1" t="n">
        <v>639.5</v>
      </c>
      <c r="DD228" s="1" t="n">
        <v>75</v>
      </c>
      <c r="DE228" s="1" t="n">
        <v>75</v>
      </c>
      <c r="DF228" s="1" t="n">
        <v>190</v>
      </c>
      <c r="DG228" s="1" t="n">
        <v>208.65</v>
      </c>
      <c r="DH228" s="1" t="n">
        <v>10</v>
      </c>
      <c r="DI228" s="1" t="n">
        <v>77.09999999999999</v>
      </c>
      <c r="DJ228" s="1" t="n">
        <v>414.72</v>
      </c>
      <c r="DK228" s="1" t="n">
        <v>-215.0751</v>
      </c>
      <c r="DL228" s="1" t="n">
        <v>249.8939</v>
      </c>
      <c r="DM228" s="1" t="n">
        <v>103.0152</v>
      </c>
      <c r="DN228" s="1" t="n">
        <v>2.65</v>
      </c>
      <c r="DO228" s="1" t="n">
        <v>150</v>
      </c>
      <c r="DP228" s="1" t="n">
        <v>4.96</v>
      </c>
      <c r="DQ228" s="1" t="n">
        <v>436.365</v>
      </c>
      <c r="DR228" s="1" t="n">
        <v>2.38</v>
      </c>
      <c r="DS228" s="1" t="n">
        <v>38</v>
      </c>
      <c r="DT228" s="1" t="n">
        <v>118.2995</v>
      </c>
      <c r="DU228" s="1" t="n">
        <v>414.1969</v>
      </c>
      <c r="DV228" s="1" t="n">
        <v>42.7225</v>
      </c>
      <c r="DW228" s="1" t="n">
        <v>64.16</v>
      </c>
      <c r="DX228" s="1" t="n">
        <v>683.8</v>
      </c>
      <c r="DY228" s="1" t="n">
        <v>456.49</v>
      </c>
      <c r="DZ228" s="1" t="n">
        <v>241.2562</v>
      </c>
      <c r="EA228" s="1" t="n">
        <v>36.4</v>
      </c>
      <c r="EB228" s="1" t="n">
        <v>145.5006</v>
      </c>
      <c r="EC228" s="1" t="n">
        <v>771.1469</v>
      </c>
      <c r="ED228" s="1" t="n">
        <v>83.1788</v>
      </c>
      <c r="EE228" s="1" t="n">
        <v>339.0996</v>
      </c>
      <c r="EF228" s="1" t="n">
        <v>599.9851</v>
      </c>
      <c r="EG228" s="1" t="n">
        <v>555.9578</v>
      </c>
      <c r="EH228" s="1" t="n">
        <v>362.3257</v>
      </c>
      <c r="EI228" s="1" t="n">
        <v>873.6738</v>
      </c>
      <c r="EJ228" s="1" t="n">
        <v>898.5728</v>
      </c>
      <c r="EK228" s="1" t="n">
        <v>1080.7058</v>
      </c>
      <c r="EL228" s="1" t="n">
        <v>1437.3535</v>
      </c>
      <c r="EM228" s="1" t="n">
        <v>5881.075</v>
      </c>
    </row>
    <row r="229">
      <c r="A229" s="2" t="inlineStr">
        <is>
          <t xml:space="preserve">    偿还债务支付的现金</t>
        </is>
      </c>
      <c r="B229" s="1" t="n">
        <v>30</v>
      </c>
      <c r="D229" s="1" t="n">
        <v>110</v>
      </c>
      <c r="E229" s="1" t="n">
        <v>5635.44</v>
      </c>
      <c r="F229" s="1" t="n">
        <v>4515.14</v>
      </c>
      <c r="G229" s="1" t="n">
        <v>2780</v>
      </c>
      <c r="H229" s="1" t="n">
        <v>3069.09</v>
      </c>
      <c r="I229" s="1" t="n">
        <v>2415.09</v>
      </c>
      <c r="J229" s="1" t="n">
        <v>3462.16</v>
      </c>
      <c r="K229" s="1" t="n">
        <v>3438.3</v>
      </c>
      <c r="L229" s="1" t="n">
        <v>1985</v>
      </c>
      <c r="M229" s="1" t="n">
        <v>1260.97</v>
      </c>
      <c r="N229" s="1" t="n">
        <v>797.17</v>
      </c>
      <c r="O229" s="1" t="n">
        <v>259.2</v>
      </c>
      <c r="P229" s="1" t="n">
        <v>45.52</v>
      </c>
      <c r="Q229" s="1" t="n">
        <v>546.72</v>
      </c>
      <c r="R229" s="1" t="n">
        <v>84.22</v>
      </c>
      <c r="S229" s="1" t="n">
        <v>709</v>
      </c>
      <c r="T229" s="1" t="n">
        <v>316.22</v>
      </c>
      <c r="AA229" s="1" t="n">
        <v>10</v>
      </c>
      <c r="AC229" s="1" t="n">
        <v>130.97</v>
      </c>
      <c r="AD229" s="1" t="n">
        <v>1245.15</v>
      </c>
      <c r="AE229" s="1" t="n">
        <v>2354.35</v>
      </c>
      <c r="AF229" s="1" t="n">
        <v>815</v>
      </c>
      <c r="AG229" s="1" t="n">
        <v>530</v>
      </c>
      <c r="AH229" s="1" t="n">
        <v>725.2</v>
      </c>
      <c r="AI229" s="1" t="n">
        <v>1570.6</v>
      </c>
      <c r="AJ229" s="1" t="n">
        <v>1463.9</v>
      </c>
      <c r="AK229" s="1" t="n">
        <v>1745</v>
      </c>
      <c r="AL229" s="1" t="n">
        <v>866.6</v>
      </c>
      <c r="AM229" s="1" t="n">
        <v>536.03</v>
      </c>
      <c r="AN229" s="1" t="n">
        <v>26.03</v>
      </c>
      <c r="AO229" s="1" t="n">
        <v>31.32</v>
      </c>
      <c r="AP229" s="1" t="n">
        <v>42.16</v>
      </c>
      <c r="AQ229" s="1" t="n">
        <v>51.67</v>
      </c>
      <c r="AR229" s="1" t="n">
        <v>56.91</v>
      </c>
      <c r="AS229" s="1" t="n">
        <v>129.62</v>
      </c>
      <c r="AT229" s="1" t="n"/>
      <c r="BN229" s="1" t="n">
        <v>10</v>
      </c>
      <c r="BO229" s="1" t="n">
        <v>0</v>
      </c>
      <c r="BP229" s="1" t="n">
        <v>10</v>
      </c>
      <c r="BQ229" s="1" t="n">
        <v>10</v>
      </c>
      <c r="BW229" s="1" t="n">
        <v>130.97</v>
      </c>
      <c r="BX229" s="1" t="n">
        <v>197.56</v>
      </c>
      <c r="BY229" s="1" t="n">
        <v>-218.53</v>
      </c>
      <c r="BZ229" s="1" t="n">
        <v>520</v>
      </c>
      <c r="CA229" s="1" t="n">
        <v>725.1513</v>
      </c>
      <c r="CB229" s="1" t="n">
        <v>1995.4028</v>
      </c>
      <c r="CC229" s="1" t="n">
        <v>2394.8906</v>
      </c>
      <c r="CD229" s="1" t="n">
        <v>1044</v>
      </c>
      <c r="CE229" s="1" t="n">
        <v>1310.3512</v>
      </c>
      <c r="CF229" s="1" t="n">
        <v>973.5562</v>
      </c>
      <c r="CG229" s="1" t="n">
        <v>1187.2327</v>
      </c>
      <c r="CH229" s="1" t="n">
        <v>205</v>
      </c>
      <c r="CI229" s="1" t="n">
        <v>610</v>
      </c>
      <c r="CJ229" s="1" t="n">
        <v>980</v>
      </c>
      <c r="CK229" s="1" t="n">
        <v>985</v>
      </c>
      <c r="CL229" s="1" t="n">
        <v>95</v>
      </c>
      <c r="CM229" s="1" t="n">
        <v>435</v>
      </c>
      <c r="CN229" s="1" t="n">
        <v>1455.1</v>
      </c>
      <c r="CO229" s="1" t="n">
        <v>1083.9866</v>
      </c>
      <c r="CP229" s="1" t="n">
        <v>505</v>
      </c>
      <c r="CQ229" s="1" t="n">
        <v>220.2</v>
      </c>
      <c r="CR229" s="1" t="n">
        <v>787.694</v>
      </c>
      <c r="CS229" s="1" t="n">
        <v>902.1968000000001</v>
      </c>
      <c r="CT229" s="1" t="n">
        <v>1053.8128</v>
      </c>
      <c r="CU229" s="1" t="n">
        <v>516.7901000000001</v>
      </c>
      <c r="CV229" s="1" t="n">
        <v>1070.2891</v>
      </c>
      <c r="CW229" s="1" t="n">
        <v>821.2682</v>
      </c>
      <c r="CX229" s="1" t="n">
        <v>613.497</v>
      </c>
      <c r="CY229" s="1" t="n">
        <v>850.4</v>
      </c>
      <c r="CZ229" s="1" t="n">
        <v>604</v>
      </c>
      <c r="DA229" s="1" t="n">
        <v>1370.4</v>
      </c>
      <c r="DB229" s="1" t="n">
        <v>825</v>
      </c>
      <c r="DC229" s="1" t="n">
        <v>920</v>
      </c>
      <c r="DD229" s="1" t="n">
        <v>165</v>
      </c>
      <c r="DE229" s="1" t="n">
        <v>75</v>
      </c>
      <c r="DF229" s="1" t="n">
        <v>514.6</v>
      </c>
      <c r="DG229" s="1" t="n">
        <v>352</v>
      </c>
      <c r="DH229" s="1" t="n">
        <v>183.81</v>
      </c>
      <c r="DI229" s="1" t="n">
        <v>210.56</v>
      </c>
      <c r="DJ229" s="1" t="n">
        <v>40</v>
      </c>
      <c r="DK229" s="1" t="n">
        <v>496.0306</v>
      </c>
      <c r="DL229" s="1" t="n">
        <v>-5</v>
      </c>
      <c r="DM229" s="1" t="n">
        <v>266.1443</v>
      </c>
      <c r="DN229" s="1" t="n">
        <v>50.0772</v>
      </c>
      <c r="DO229" s="1" t="n">
        <v>-24.0452</v>
      </c>
      <c r="DP229" s="1" t="n">
        <v>233.0454</v>
      </c>
      <c r="DQ229" s="1" t="n">
        <v>0.1263</v>
      </c>
      <c r="DR229" s="1" t="n">
        <v>13.4788</v>
      </c>
      <c r="DS229" s="1" t="n">
        <v>17.8408</v>
      </c>
      <c r="DT229" s="1" t="n">
        <v>10.4833</v>
      </c>
      <c r="DU229" s="1" t="n">
        <v>3.7126</v>
      </c>
      <c r="DV229" s="1" t="n">
        <v>12.1839</v>
      </c>
      <c r="DW229" s="1" t="n">
        <v>29.9799</v>
      </c>
      <c r="DX229" s="1" t="n">
        <v>13.376</v>
      </c>
      <c r="DY229" s="1" t="n">
        <v>491.1846</v>
      </c>
      <c r="DZ229" s="1" t="n">
        <v>9.597</v>
      </c>
      <c r="EA229" s="1" t="n">
        <v>42.076</v>
      </c>
      <c r="EB229" s="1" t="n">
        <v>10.2703</v>
      </c>
      <c r="EC229" s="1" t="n">
        <v>22.2729</v>
      </c>
      <c r="ED229" s="1" t="n">
        <v>33.7424</v>
      </c>
      <c r="EE229" s="1" t="n">
        <v>23.1655</v>
      </c>
      <c r="EF229" s="1" t="n">
        <v>533.4353</v>
      </c>
      <c r="EG229" s="1" t="n">
        <v>118.6592</v>
      </c>
      <c r="EH229" s="1" t="n">
        <v>40.7262</v>
      </c>
      <c r="EI229" s="1" t="n">
        <v>88.8918</v>
      </c>
      <c r="EJ229" s="1" t="n">
        <v>176.3716</v>
      </c>
      <c r="EK229" s="1" t="n">
        <v>10.2275</v>
      </c>
      <c r="EL229" s="1" t="n">
        <v>71.1463</v>
      </c>
      <c r="EM229" s="1" t="n">
        <v>436.545</v>
      </c>
    </row>
    <row r="230">
      <c r="A230" s="2" t="inlineStr">
        <is>
          <t xml:space="preserve">    分配股利、利润或偿付利息支付的现金</t>
        </is>
      </c>
      <c r="B230" s="1" t="n">
        <v>523.62</v>
      </c>
      <c r="C230" s="1" t="n">
        <v>176.82</v>
      </c>
      <c r="D230" s="1" t="n">
        <v>336.39</v>
      </c>
      <c r="E230" s="1" t="n">
        <v>485.33</v>
      </c>
      <c r="F230" s="1" t="n">
        <v>290.87</v>
      </c>
      <c r="G230" s="1" t="n">
        <v>403.45</v>
      </c>
      <c r="H230" s="1" t="n">
        <v>490.52</v>
      </c>
      <c r="I230" s="1" t="n">
        <v>367.24</v>
      </c>
      <c r="J230" s="1" t="n">
        <v>511.79</v>
      </c>
      <c r="K230" s="1" t="n">
        <v>341.89</v>
      </c>
      <c r="L230" s="1" t="n">
        <v>210.92</v>
      </c>
      <c r="M230" s="1" t="n">
        <v>39.09</v>
      </c>
      <c r="N230" s="1" t="n">
        <v>63.72</v>
      </c>
      <c r="O230" s="1" t="n">
        <v>416.84</v>
      </c>
      <c r="P230" s="1" t="n">
        <v>695.6</v>
      </c>
      <c r="Q230" s="1" t="n">
        <v>636.38</v>
      </c>
      <c r="R230" s="1" t="n">
        <v>823.49</v>
      </c>
      <c r="S230" s="1" t="n">
        <v>1188.64</v>
      </c>
      <c r="T230" s="1" t="n">
        <v>1655.17</v>
      </c>
      <c r="AA230" s="1" t="n">
        <v>0.23</v>
      </c>
      <c r="AC230" s="1" t="n">
        <v>4.9</v>
      </c>
      <c r="AD230" s="1" t="n">
        <v>5.63</v>
      </c>
      <c r="AE230" s="1" t="n">
        <v>53.43</v>
      </c>
      <c r="AF230" s="1" t="n">
        <v>322.27</v>
      </c>
      <c r="AG230" s="1" t="n">
        <v>90.02</v>
      </c>
      <c r="AH230" s="1" t="n">
        <v>76.27</v>
      </c>
      <c r="AI230" s="1" t="n">
        <v>432.3</v>
      </c>
      <c r="AJ230" s="1" t="n">
        <v>71.84999999999999</v>
      </c>
      <c r="AK230" s="1" t="n">
        <v>40.72</v>
      </c>
      <c r="AL230" s="1" t="n">
        <v>23.27</v>
      </c>
      <c r="AM230" s="1" t="n">
        <v>29.3</v>
      </c>
      <c r="AN230" s="1" t="n">
        <v>31.2</v>
      </c>
      <c r="AO230" s="1" t="n">
        <v>47.55</v>
      </c>
      <c r="AP230" s="1" t="n">
        <v>61.52</v>
      </c>
      <c r="AQ230" s="1" t="n">
        <v>78.31</v>
      </c>
      <c r="AR230" s="1" t="n">
        <v>112.78</v>
      </c>
      <c r="AS230" s="1" t="n">
        <v>135.98</v>
      </c>
      <c r="AT230" s="1" t="n"/>
      <c r="BN230" s="1" t="n">
        <v>0.0104</v>
      </c>
      <c r="BO230" s="1" t="n">
        <v>0.2149</v>
      </c>
      <c r="BP230" s="1" t="n">
        <v>221.5415</v>
      </c>
      <c r="BQ230" s="1" t="n">
        <v>301.8581</v>
      </c>
      <c r="BT230" s="1" t="n">
        <v>88.40770000000001</v>
      </c>
      <c r="BU230" s="1" t="n">
        <v>88.4121</v>
      </c>
      <c r="BV230" s="1" t="n">
        <v>0.1861</v>
      </c>
      <c r="BW230" s="1" t="n">
        <v>4.7159</v>
      </c>
      <c r="BX230" s="1" t="n">
        <v>191.2601</v>
      </c>
      <c r="BY230" s="1" t="n">
        <v>140.2291</v>
      </c>
      <c r="BZ230" s="1" t="n">
        <v>1.2753</v>
      </c>
      <c r="CA230" s="1" t="n">
        <v>4.3554</v>
      </c>
      <c r="CB230" s="1" t="n">
        <v>316.9229</v>
      </c>
      <c r="CC230" s="1" t="n">
        <v>162.78</v>
      </c>
      <c r="CD230" s="1" t="n">
        <v>13.4777</v>
      </c>
      <c r="CE230" s="1" t="n">
        <v>39.9523</v>
      </c>
      <c r="CF230" s="1" t="n">
        <v>198.9352</v>
      </c>
      <c r="CG230" s="1" t="n">
        <v>38.5042</v>
      </c>
      <c r="CH230" s="1" t="n">
        <v>27.9571</v>
      </c>
      <c r="CI230" s="1" t="n">
        <v>294.316</v>
      </c>
      <c r="CJ230" s="1" t="n">
        <v>40.6549</v>
      </c>
      <c r="CK230" s="1" t="n">
        <v>40.524</v>
      </c>
      <c r="CL230" s="1" t="n">
        <v>46.865</v>
      </c>
      <c r="CM230" s="1" t="n">
        <v>43.1586</v>
      </c>
      <c r="CN230" s="1" t="n">
        <v>358.9734</v>
      </c>
      <c r="CO230" s="1" t="n">
        <v>41.5264</v>
      </c>
      <c r="CP230" s="1" t="n">
        <v>43.6272</v>
      </c>
      <c r="CQ230" s="1" t="n">
        <v>32.6436</v>
      </c>
      <c r="CR230" s="1" t="n">
        <v>254.3293</v>
      </c>
      <c r="CS230" s="1" t="n">
        <v>36.6362</v>
      </c>
      <c r="CT230" s="1" t="n">
        <v>39.0662</v>
      </c>
      <c r="CU230" s="1" t="n">
        <v>393.2326</v>
      </c>
      <c r="CV230" s="1" t="n">
        <v>31.5375</v>
      </c>
      <c r="CW230" s="1" t="n">
        <v>47.9557</v>
      </c>
      <c r="CX230" s="1" t="n">
        <v>38.1488</v>
      </c>
      <c r="CY230" s="1" t="n">
        <v>33.7053</v>
      </c>
      <c r="CZ230" s="1" t="n">
        <v>238.0255</v>
      </c>
      <c r="DA230" s="1" t="n">
        <v>32.0093</v>
      </c>
      <c r="DB230" s="1" t="n">
        <v>25.1979</v>
      </c>
      <c r="DC230" s="1" t="n">
        <v>15.5227</v>
      </c>
      <c r="DD230" s="1" t="n">
        <v>153.2456</v>
      </c>
      <c r="DE230" s="1" t="n">
        <v>16.9501</v>
      </c>
      <c r="DF230" s="1" t="n">
        <v>10.1198</v>
      </c>
      <c r="DG230" s="1" t="n">
        <v>13.1467</v>
      </c>
      <c r="DH230" s="1" t="n">
        <v>6.7319</v>
      </c>
      <c r="DI230" s="1" t="n">
        <v>9.0875</v>
      </c>
      <c r="DJ230" s="1" t="n">
        <v>11.9388</v>
      </c>
      <c r="DK230" s="1" t="n">
        <v>17.3584</v>
      </c>
      <c r="DL230" s="1" t="n">
        <v>21.6653</v>
      </c>
      <c r="DM230" s="1" t="n">
        <v>12.7562</v>
      </c>
      <c r="DN230" s="1" t="n">
        <v>10.4883</v>
      </c>
      <c r="DO230" s="1" t="n">
        <v>20.7117</v>
      </c>
      <c r="DP230" s="1" t="n">
        <v>361.3463</v>
      </c>
      <c r="DQ230" s="1" t="n">
        <v>24.2943</v>
      </c>
      <c r="DR230" s="1" t="n">
        <v>22.6849</v>
      </c>
      <c r="DS230" s="1" t="n">
        <v>24.8636</v>
      </c>
      <c r="DT230" s="1" t="n">
        <v>287.5296</v>
      </c>
      <c r="DU230" s="1" t="n">
        <v>360.5177</v>
      </c>
      <c r="DV230" s="1" t="n">
        <v>8.209199999999999</v>
      </c>
      <c r="DW230" s="1" t="n">
        <v>53.3154</v>
      </c>
      <c r="DX230" s="1" t="n">
        <v>417.9139</v>
      </c>
      <c r="DY230" s="1" t="n">
        <v>156.9369</v>
      </c>
      <c r="DZ230" s="1" t="n">
        <v>4.74</v>
      </c>
      <c r="EA230" s="1" t="n">
        <v>73.57129999999999</v>
      </c>
      <c r="EB230" s="1" t="n">
        <v>724.9374</v>
      </c>
      <c r="EC230" s="1" t="n">
        <v>20.2433</v>
      </c>
      <c r="ED230" s="1" t="n">
        <v>8.681800000000001</v>
      </c>
      <c r="EE230" s="1" t="n">
        <v>104.1023</v>
      </c>
      <c r="EF230" s="1" t="n">
        <v>1074.1609</v>
      </c>
      <c r="EG230" s="1" t="n">
        <v>1.6936</v>
      </c>
      <c r="EH230" s="1" t="n">
        <v>10.1526</v>
      </c>
      <c r="EI230" s="1" t="n">
        <v>125.8282</v>
      </c>
      <c r="EJ230" s="1" t="n">
        <v>1479.5515</v>
      </c>
      <c r="EK230" s="1" t="n">
        <v>39.641</v>
      </c>
      <c r="EL230" s="1" t="n">
        <v>11.2278</v>
      </c>
      <c r="EM230" s="1" t="n">
        <v>175.7</v>
      </c>
    </row>
    <row r="231">
      <c r="A231" s="2" t="inlineStr">
        <is>
          <t xml:space="preserve">    其中：子公司支付给少数股东的股利、利润</t>
        </is>
      </c>
      <c r="E231" s="1" t="n">
        <v>2.9</v>
      </c>
      <c r="F231" s="1" t="n">
        <v>2.32</v>
      </c>
      <c r="G231" s="1" t="n">
        <v>2.42</v>
      </c>
      <c r="H231" s="1" t="n">
        <v>16.79</v>
      </c>
      <c r="I231" s="1" t="n">
        <v>18.04</v>
      </c>
      <c r="J231" s="1" t="n">
        <v>17.04</v>
      </c>
      <c r="K231" s="1" t="n">
        <v>11.53</v>
      </c>
      <c r="L231" s="1" t="n">
        <v>9.890000000000001</v>
      </c>
      <c r="M231" s="1" t="n">
        <v>5.06</v>
      </c>
      <c r="N231" s="1" t="n">
        <v>21.62</v>
      </c>
      <c r="O231" s="1" t="n">
        <v>361.04</v>
      </c>
      <c r="P231" s="1" t="n">
        <v>27.81</v>
      </c>
      <c r="Q231" s="1" t="n">
        <v>91.31999999999999</v>
      </c>
      <c r="R231" s="1" t="n">
        <v>67.05</v>
      </c>
      <c r="S231" s="1" t="n">
        <v>98.98</v>
      </c>
      <c r="T231" s="1" t="n">
        <v>124.1</v>
      </c>
      <c r="AG231" s="1" t="n">
        <v>1.45</v>
      </c>
      <c r="AH231" s="1" t="n">
        <v>16.19</v>
      </c>
      <c r="AI231" s="1" t="n">
        <v>7.42</v>
      </c>
      <c r="AJ231" s="1" t="n">
        <v>8.359999999999999</v>
      </c>
      <c r="AK231" s="1" t="n">
        <v>8.31</v>
      </c>
      <c r="AL231" s="1" t="n">
        <v>5.06</v>
      </c>
      <c r="AM231" s="1" t="n">
        <v>6.3</v>
      </c>
      <c r="AN231" s="1" t="n">
        <v>11.76</v>
      </c>
      <c r="AO231" s="1" t="n">
        <v>27.81</v>
      </c>
      <c r="AP231" s="1" t="n">
        <v>39.33</v>
      </c>
      <c r="AQ231" s="1" t="n">
        <v>62.3</v>
      </c>
      <c r="AR231" s="1" t="n">
        <v>104.18</v>
      </c>
      <c r="AS231" s="1" t="n">
        <v>96.42</v>
      </c>
      <c r="AT231" s="1" t="n"/>
      <c r="CC231" s="1" t="n">
        <v>2.9</v>
      </c>
      <c r="CD231" s="1" t="n">
        <v>0.1422</v>
      </c>
      <c r="CG231" s="1" t="n">
        <v>2.32</v>
      </c>
      <c r="CK231" s="1" t="n">
        <v>2.4179</v>
      </c>
      <c r="CM231" s="1" t="n">
        <v>1.45</v>
      </c>
      <c r="CN231" s="1" t="n">
        <v>0</v>
      </c>
      <c r="CO231" s="1" t="n">
        <v>15.3405</v>
      </c>
      <c r="CP231" s="1" t="n">
        <v>13.98</v>
      </c>
      <c r="CQ231" s="1" t="n">
        <v>2.205</v>
      </c>
      <c r="CR231" s="1" t="n">
        <v>0</v>
      </c>
      <c r="CS231" s="1" t="n">
        <v>1.8505</v>
      </c>
      <c r="CT231" s="1" t="n">
        <v>7.075</v>
      </c>
      <c r="CU231" s="1" t="n">
        <v>0.3464</v>
      </c>
      <c r="CV231" s="1" t="n">
        <v>-0.13</v>
      </c>
      <c r="CW231" s="1" t="n">
        <v>9.751200000000001</v>
      </c>
      <c r="CX231" s="1" t="n">
        <v>7.7834</v>
      </c>
      <c r="CY231" s="1" t="n">
        <v>0.5759</v>
      </c>
      <c r="CZ231" s="1" t="n">
        <v>7.1024</v>
      </c>
      <c r="DA231" s="1" t="n">
        <v>-3.9274</v>
      </c>
      <c r="DB231" s="1" t="n">
        <v>8.3111</v>
      </c>
      <c r="DC231" s="1" t="n">
        <v>0</v>
      </c>
      <c r="DD231" s="1" t="n">
        <v>1.5798</v>
      </c>
      <c r="DE231" s="1" t="n">
        <v>0</v>
      </c>
      <c r="DG231" s="1" t="n">
        <v>5.0627</v>
      </c>
      <c r="DH231" s="1" t="n">
        <v>0</v>
      </c>
      <c r="DI231" s="1" t="n">
        <v>0</v>
      </c>
      <c r="DJ231" s="1" t="n">
        <v>5.9601</v>
      </c>
      <c r="DK231" s="1" t="n">
        <v>0.3409</v>
      </c>
      <c r="DL231" s="1" t="n">
        <v>0</v>
      </c>
      <c r="DM231" s="1" t="n">
        <v>15.3193</v>
      </c>
      <c r="DO231" s="1" t="n">
        <v>11.7589</v>
      </c>
      <c r="DP231" s="1" t="n">
        <v>6.539</v>
      </c>
      <c r="DQ231" s="1" t="n">
        <v>342.7393</v>
      </c>
      <c r="DS231" s="1" t="n">
        <v>27.8095</v>
      </c>
      <c r="DT231" s="1" t="n">
        <v>0</v>
      </c>
      <c r="DU231" s="1" t="n">
        <v>0</v>
      </c>
      <c r="DW231" s="1" t="n">
        <v>39.3321</v>
      </c>
      <c r="DX231" s="1" t="n">
        <v>0</v>
      </c>
      <c r="DY231" s="1" t="n">
        <v>51.9904</v>
      </c>
      <c r="EA231" s="1" t="n">
        <v>62.3016</v>
      </c>
      <c r="EB231" s="1" t="n">
        <v>0</v>
      </c>
      <c r="EC231" s="1" t="n">
        <v>4.7515</v>
      </c>
      <c r="ED231" s="1" t="n">
        <v>0</v>
      </c>
      <c r="EE231" s="1" t="n">
        <v>104.1788</v>
      </c>
      <c r="EF231" s="1" t="n">
        <v>0</v>
      </c>
      <c r="EG231" s="1" t="n">
        <v>-5.2006</v>
      </c>
      <c r="EH231" s="1" t="n">
        <v>0</v>
      </c>
      <c r="EI231" s="1" t="n">
        <v>96.42019999999999</v>
      </c>
      <c r="EJ231" s="1" t="n">
        <v>0</v>
      </c>
      <c r="EK231" s="1" t="n">
        <v>27.6837</v>
      </c>
      <c r="EM231" s="1" t="n">
        <v>143.838</v>
      </c>
    </row>
    <row r="232">
      <c r="A232" s="2" t="inlineStr">
        <is>
          <t xml:space="preserve">    支付其他与筹资活动有关的现金</t>
        </is>
      </c>
      <c r="E232" s="1" t="n">
        <v>1355</v>
      </c>
      <c r="F232" s="1" t="n">
        <v>105</v>
      </c>
      <c r="J232" s="1" t="n">
        <v>6.93</v>
      </c>
      <c r="L232" s="1" t="n">
        <v>2.21</v>
      </c>
      <c r="M232" s="1" t="n">
        <v>4.12</v>
      </c>
      <c r="N232" s="1" t="n">
        <v>945.29</v>
      </c>
      <c r="O232" s="1" t="n">
        <v>22.47</v>
      </c>
      <c r="P232" s="1" t="n">
        <v>286.01</v>
      </c>
      <c r="Q232" s="1" t="n">
        <v>442.33</v>
      </c>
      <c r="R232" s="1" t="n">
        <v>403.61</v>
      </c>
      <c r="S232" s="1" t="n">
        <v>177.68</v>
      </c>
      <c r="T232" s="1" t="n">
        <v>155.12</v>
      </c>
      <c r="AC232" s="1" t="n">
        <v>0</v>
      </c>
      <c r="AD232" s="1" t="n">
        <v>81.41</v>
      </c>
      <c r="AE232" s="1" t="n">
        <v>105.26</v>
      </c>
      <c r="AF232" s="1" t="n">
        <v>2.82</v>
      </c>
      <c r="AK232" s="1" t="n">
        <v>2.21</v>
      </c>
      <c r="AL232" s="1" t="n">
        <v>4.12</v>
      </c>
      <c r="AP232" s="1" t="n">
        <v>7.56</v>
      </c>
      <c r="AQ232" s="1" t="n">
        <v>65.06999999999999</v>
      </c>
      <c r="AR232" s="1" t="n">
        <v>15.55</v>
      </c>
      <c r="AS232" s="1" t="n">
        <v>18.3</v>
      </c>
      <c r="AT232" s="1" t="n"/>
      <c r="BN232" s="1" t="n">
        <v>0.0949</v>
      </c>
      <c r="BW232" s="1" t="n">
        <v>0.0001</v>
      </c>
      <c r="BX232" s="1" t="n">
        <v>0</v>
      </c>
      <c r="BZ232" s="1" t="n">
        <v>0.0001</v>
      </c>
      <c r="CA232" s="1" t="n">
        <v>81.40689999999999</v>
      </c>
      <c r="CB232" s="1" t="n">
        <v>-81.4067</v>
      </c>
      <c r="CC232" s="1" t="n">
        <v>1354.9997</v>
      </c>
      <c r="CD232" s="1" t="n">
        <v>0.3</v>
      </c>
      <c r="CE232" s="1" t="n">
        <v>104.9617</v>
      </c>
      <c r="CF232" s="1" t="n">
        <v>-0.2617</v>
      </c>
      <c r="CG232" s="1" t="n">
        <v>0</v>
      </c>
      <c r="CH232" s="1" t="n">
        <v>1.5387</v>
      </c>
      <c r="CI232" s="1" t="n">
        <v>1.2805</v>
      </c>
      <c r="CV232" s="1" t="n">
        <v>6.93</v>
      </c>
      <c r="CW232" s="1" t="n">
        <v>0</v>
      </c>
      <c r="DC232" s="1" t="n">
        <v>2.2098</v>
      </c>
      <c r="DD232" s="1" t="n">
        <v>0</v>
      </c>
      <c r="DE232" s="1" t="n">
        <v>0</v>
      </c>
      <c r="DF232" s="1" t="n">
        <v>4.1197</v>
      </c>
      <c r="DG232" s="1" t="n">
        <v>0</v>
      </c>
      <c r="DH232" s="1" t="n">
        <v>0</v>
      </c>
      <c r="DI232" s="1" t="n">
        <v>0</v>
      </c>
      <c r="DL232" s="1" t="n">
        <v>945.4004</v>
      </c>
      <c r="DM232" s="1" t="n">
        <v>-0.1093</v>
      </c>
      <c r="DP232" s="1" t="n">
        <v>3.1087</v>
      </c>
      <c r="DQ232" s="1" t="n">
        <v>19.3627</v>
      </c>
      <c r="DT232" s="1" t="n">
        <v>2.8452</v>
      </c>
      <c r="DU232" s="1" t="n">
        <v>283.1617</v>
      </c>
      <c r="DW232" s="1" t="n">
        <v>7.5632</v>
      </c>
      <c r="DX232" s="1" t="n">
        <v>2.9283</v>
      </c>
      <c r="DY232" s="1" t="n">
        <v>431.8363</v>
      </c>
      <c r="DZ232" s="1" t="n">
        <v>7.384</v>
      </c>
      <c r="EA232" s="1" t="n">
        <v>57.6905</v>
      </c>
      <c r="EB232" s="1" t="n">
        <v>30.6815</v>
      </c>
      <c r="EC232" s="1" t="n">
        <v>307.8527</v>
      </c>
      <c r="ED232" s="1" t="n">
        <v>4.29</v>
      </c>
      <c r="EE232" s="1" t="n">
        <v>11.2588</v>
      </c>
      <c r="EF232" s="1" t="n">
        <v>5.0742</v>
      </c>
      <c r="EG232" s="1" t="n">
        <v>157.058</v>
      </c>
      <c r="EH232" s="1" t="n">
        <v>12.3436</v>
      </c>
      <c r="EI232" s="1" t="n">
        <v>5.958</v>
      </c>
      <c r="EJ232" s="1" t="n">
        <v>26.5789</v>
      </c>
      <c r="EK232" s="1" t="n">
        <v>110.2428</v>
      </c>
      <c r="EM232" s="1" t="n">
        <v>47.736</v>
      </c>
    </row>
    <row r="233">
      <c r="A233" s="2" t="inlineStr">
        <is>
          <t xml:space="preserve">    筹资活动现金流出差额(特殊报表科目)</t>
        </is>
      </c>
      <c r="EM233" s="1" t="inlineStr"/>
    </row>
    <row r="234">
      <c r="A234" s="2" t="inlineStr">
        <is>
          <t xml:space="preserve">    筹资活动现金流出差额(合计平衡项目)</t>
        </is>
      </c>
      <c r="EM234" s="1" t="inlineStr"/>
    </row>
    <row r="235">
      <c r="A235" s="3" t="inlineStr">
        <is>
          <t xml:space="preserve">    筹资活动现金流出小计</t>
        </is>
      </c>
      <c r="B235" s="1" t="n">
        <v>553.62</v>
      </c>
      <c r="C235" s="1" t="n">
        <v>176.82</v>
      </c>
      <c r="D235" s="1" t="n">
        <v>446.39</v>
      </c>
      <c r="E235" s="1" t="n">
        <v>7475.78</v>
      </c>
      <c r="F235" s="1" t="n">
        <v>4911.01</v>
      </c>
      <c r="G235" s="1" t="n">
        <v>3183.45</v>
      </c>
      <c r="H235" s="1" t="n">
        <v>3559.61</v>
      </c>
      <c r="I235" s="1" t="n">
        <v>2782.33</v>
      </c>
      <c r="J235" s="1" t="n">
        <v>3980.88</v>
      </c>
      <c r="K235" s="1" t="n">
        <v>3780.19</v>
      </c>
      <c r="L235" s="1" t="n">
        <v>2198.13</v>
      </c>
      <c r="M235" s="1" t="n">
        <v>1304.18</v>
      </c>
      <c r="N235" s="1" t="n">
        <v>1806.18</v>
      </c>
      <c r="O235" s="1" t="n">
        <v>698.52</v>
      </c>
      <c r="P235" s="1" t="n">
        <v>1027.12</v>
      </c>
      <c r="Q235" s="1" t="n">
        <v>1625.43</v>
      </c>
      <c r="R235" s="1" t="n">
        <v>1311.32</v>
      </c>
      <c r="S235" s="1" t="n">
        <v>2075.32</v>
      </c>
      <c r="T235" s="1" t="n">
        <v>2126.51</v>
      </c>
      <c r="AA235" s="1" t="n">
        <v>10.23</v>
      </c>
      <c r="AC235" s="1" t="n">
        <v>135.87</v>
      </c>
      <c r="AD235" s="1" t="n">
        <v>1332.19</v>
      </c>
      <c r="AE235" s="1" t="n">
        <v>2513.04</v>
      </c>
      <c r="AF235" s="1" t="n">
        <v>1140.09</v>
      </c>
      <c r="AG235" s="1" t="n">
        <v>620.02</v>
      </c>
      <c r="AH235" s="1" t="n">
        <v>801.47</v>
      </c>
      <c r="AI235" s="1" t="n">
        <v>2002.9</v>
      </c>
      <c r="AJ235" s="1" t="n">
        <v>1535.75</v>
      </c>
      <c r="AK235" s="1" t="n">
        <v>1787.93</v>
      </c>
      <c r="AL235" s="1" t="n">
        <v>893.99</v>
      </c>
      <c r="AM235" s="1" t="n">
        <v>565.33</v>
      </c>
      <c r="AN235" s="1" t="n">
        <v>57.23</v>
      </c>
      <c r="AO235" s="1" t="n">
        <v>78.87</v>
      </c>
      <c r="AP235" s="1" t="n">
        <v>111.25</v>
      </c>
      <c r="AQ235" s="1" t="n">
        <v>195.06</v>
      </c>
      <c r="AR235" s="1" t="n">
        <v>185.24</v>
      </c>
      <c r="AS235" s="1" t="n">
        <v>283.9</v>
      </c>
      <c r="AT235" s="1" t="n"/>
      <c r="BN235" s="1" t="n">
        <v>10.1053</v>
      </c>
      <c r="BO235" s="1" t="n">
        <v>0.1201</v>
      </c>
      <c r="BP235" s="1" t="n">
        <v>231.5415</v>
      </c>
      <c r="BQ235" s="1" t="n">
        <v>311.8581</v>
      </c>
      <c r="BT235" s="1" t="n">
        <v>88.40770000000001</v>
      </c>
      <c r="BU235" s="1" t="n">
        <v>88.4121</v>
      </c>
      <c r="BV235" s="1" t="n">
        <v>0.1861</v>
      </c>
      <c r="BW235" s="1" t="n">
        <v>135.686</v>
      </c>
      <c r="BX235" s="1" t="n">
        <v>388.8201</v>
      </c>
      <c r="BY235" s="1" t="n">
        <v>-78.30110000000001</v>
      </c>
      <c r="BZ235" s="1" t="n">
        <v>521.2754</v>
      </c>
      <c r="CA235" s="1" t="n">
        <v>810.9136</v>
      </c>
      <c r="CB235" s="1" t="n">
        <v>2230.919</v>
      </c>
      <c r="CC235" s="1" t="n">
        <v>3912.6703</v>
      </c>
      <c r="CD235" s="1" t="n">
        <v>1057.7777</v>
      </c>
      <c r="CE235" s="1" t="n">
        <v>1455.2653</v>
      </c>
      <c r="CF235" s="1" t="n">
        <v>1172.2297</v>
      </c>
      <c r="CG235" s="1" t="n">
        <v>1225.7369</v>
      </c>
      <c r="CH235" s="1" t="n">
        <v>234.4958</v>
      </c>
      <c r="CI235" s="1" t="n">
        <v>905.5965</v>
      </c>
      <c r="CJ235" s="1" t="n">
        <v>1017.8357</v>
      </c>
      <c r="CK235" s="1" t="n">
        <v>1025.524</v>
      </c>
      <c r="CL235" s="1" t="n">
        <v>141.865</v>
      </c>
      <c r="CM235" s="1" t="n">
        <v>478.1586</v>
      </c>
      <c r="CN235" s="1" t="n">
        <v>1814.0734</v>
      </c>
      <c r="CO235" s="1" t="n">
        <v>1125.513</v>
      </c>
      <c r="CP235" s="1" t="n">
        <v>548.6272</v>
      </c>
      <c r="CQ235" s="1" t="n">
        <v>252.8436</v>
      </c>
      <c r="CR235" s="1" t="n">
        <v>1042.0233</v>
      </c>
      <c r="CS235" s="1" t="n">
        <v>938.833</v>
      </c>
      <c r="CT235" s="1" t="n">
        <v>1092.8789</v>
      </c>
      <c r="CU235" s="1" t="n">
        <v>910.0227</v>
      </c>
      <c r="CV235" s="1" t="n">
        <v>1108.7565</v>
      </c>
      <c r="CW235" s="1" t="n">
        <v>869.2239</v>
      </c>
      <c r="CX235" s="1" t="n">
        <v>651.6458</v>
      </c>
      <c r="CY235" s="1" t="n">
        <v>884.1053000000001</v>
      </c>
      <c r="CZ235" s="1" t="n">
        <v>842.0255</v>
      </c>
      <c r="DA235" s="1" t="n">
        <v>1402.4093</v>
      </c>
      <c r="DB235" s="1" t="n">
        <v>850.1979</v>
      </c>
      <c r="DC235" s="1" t="n">
        <v>937.7325</v>
      </c>
      <c r="DD235" s="1" t="n">
        <v>318.2456</v>
      </c>
      <c r="DE235" s="1" t="n">
        <v>91.95010000000001</v>
      </c>
      <c r="DF235" s="1" t="n">
        <v>528.8394</v>
      </c>
      <c r="DG235" s="1" t="n">
        <v>365.1467</v>
      </c>
      <c r="DH235" s="1" t="n">
        <v>190.5419</v>
      </c>
      <c r="DI235" s="1" t="n">
        <v>219.6475</v>
      </c>
      <c r="DJ235" s="1" t="n">
        <v>51.9388</v>
      </c>
      <c r="DK235" s="1" t="n">
        <v>513.389</v>
      </c>
      <c r="DL235" s="1" t="n">
        <v>962.0657</v>
      </c>
      <c r="DM235" s="1" t="n">
        <v>278.7912</v>
      </c>
      <c r="DN235" s="1" t="n">
        <v>60.5655</v>
      </c>
      <c r="DO235" s="1" t="n">
        <v>-3.3336</v>
      </c>
      <c r="DP235" s="1" t="n">
        <v>597.5003</v>
      </c>
      <c r="DQ235" s="1" t="n">
        <v>43.7834</v>
      </c>
      <c r="DR235" s="1" t="n">
        <v>36.1637</v>
      </c>
      <c r="DS235" s="1" t="n">
        <v>42.7044</v>
      </c>
      <c r="DT235" s="1" t="n">
        <v>300.8582</v>
      </c>
      <c r="DU235" s="1" t="n">
        <v>647.3920000000001</v>
      </c>
      <c r="DV235" s="1" t="n">
        <v>20.3931</v>
      </c>
      <c r="DW235" s="1" t="n">
        <v>90.85850000000001</v>
      </c>
      <c r="DX235" s="1" t="n">
        <v>434.2182</v>
      </c>
      <c r="DY235" s="1" t="n">
        <v>1079.9578</v>
      </c>
      <c r="DZ235" s="1" t="n">
        <v>21.721</v>
      </c>
      <c r="EA235" s="1" t="n">
        <v>173.3377</v>
      </c>
      <c r="EB235" s="1" t="n">
        <v>765.8891</v>
      </c>
      <c r="EC235" s="1" t="n">
        <v>350.3689</v>
      </c>
      <c r="ED235" s="1" t="n">
        <v>46.7141</v>
      </c>
      <c r="EE235" s="1" t="n">
        <v>138.5265</v>
      </c>
      <c r="EF235" s="1" t="n">
        <v>1612.6704</v>
      </c>
      <c r="EG235" s="1" t="n">
        <v>277.4108</v>
      </c>
      <c r="EH235" s="1" t="n">
        <v>63.2224</v>
      </c>
      <c r="EI235" s="1" t="n">
        <v>220.6779</v>
      </c>
      <c r="EJ235" s="1" t="n">
        <v>1682.502</v>
      </c>
      <c r="EK235" s="1" t="n">
        <v>160.1113</v>
      </c>
      <c r="EL235" s="1" t="n">
        <v>82.3741</v>
      </c>
      <c r="EM235" s="1" t="n">
        <v>659.982</v>
      </c>
    </row>
    <row r="236">
      <c r="A236" s="2" t="inlineStr">
        <is>
          <t xml:space="preserve">    筹资活动产生的现金流量净额差额(合计平衡项目)</t>
        </is>
      </c>
      <c r="EM236" s="1" t="inlineStr"/>
    </row>
    <row r="237">
      <c r="A237" s="3" t="inlineStr">
        <is>
          <t xml:space="preserve">    筹资活动产生的现金流量净额</t>
        </is>
      </c>
      <c r="B237" s="1" t="n">
        <v>-294.12</v>
      </c>
      <c r="C237" s="1" t="n">
        <v>225.52</v>
      </c>
      <c r="D237" s="1" t="n">
        <v>1487.82</v>
      </c>
      <c r="E237" s="1" t="n">
        <v>308.99</v>
      </c>
      <c r="F237" s="1" t="n">
        <v>-127.83</v>
      </c>
      <c r="G237" s="1" t="n">
        <v>-444.05</v>
      </c>
      <c r="H237" s="1" t="n">
        <v>25.75</v>
      </c>
      <c r="I237" s="1" t="n">
        <v>996.66</v>
      </c>
      <c r="J237" s="1" t="n">
        <v>3083.94</v>
      </c>
      <c r="K237" s="1" t="n">
        <v>-706.1900000000001</v>
      </c>
      <c r="L237" s="1" t="n">
        <v>-1373.69</v>
      </c>
      <c r="M237" s="1" t="n">
        <v>-818.4299999999999</v>
      </c>
      <c r="N237" s="1" t="n">
        <v>-1253.63</v>
      </c>
      <c r="O237" s="1" t="n">
        <v>-104.54</v>
      </c>
      <c r="P237" s="1" t="n">
        <v>-454.24</v>
      </c>
      <c r="Q237" s="1" t="n">
        <v>-378.26</v>
      </c>
      <c r="R237" s="1" t="n">
        <v>-117.01</v>
      </c>
      <c r="S237" s="1" t="n">
        <v>-497.1</v>
      </c>
      <c r="T237" s="1" t="n">
        <v>1088.76</v>
      </c>
      <c r="AA237" s="1" t="n">
        <v>-0.23</v>
      </c>
      <c r="AC237" s="1" t="n">
        <v>242.35</v>
      </c>
      <c r="AD237" s="1" t="n">
        <v>24.39</v>
      </c>
      <c r="AE237" s="1" t="n">
        <v>-400.31</v>
      </c>
      <c r="AF237" s="1" t="n">
        <v>-274.84</v>
      </c>
      <c r="AG237" s="1" t="n">
        <v>740.92</v>
      </c>
      <c r="AH237" s="1" t="n">
        <v>534.28</v>
      </c>
      <c r="AI237" s="1" t="n">
        <v>-891.8</v>
      </c>
      <c r="AJ237" s="1" t="n">
        <v>-380.75</v>
      </c>
      <c r="AK237" s="1" t="n">
        <v>-1113.49</v>
      </c>
      <c r="AL237" s="1" t="n">
        <v>-495.34</v>
      </c>
      <c r="AM237" s="1" t="n">
        <v>-365.68</v>
      </c>
      <c r="AN237" s="1" t="n">
        <v>95.42</v>
      </c>
      <c r="AO237" s="1" t="n">
        <v>-38.49</v>
      </c>
      <c r="AP237" s="1" t="n">
        <v>-4.37</v>
      </c>
      <c r="AQ237" s="1" t="n">
        <v>82.59999999999999</v>
      </c>
      <c r="AR237" s="1" t="n">
        <v>237.04</v>
      </c>
      <c r="AS237" s="1" t="n">
        <v>952.1</v>
      </c>
      <c r="AT237" s="1" t="n"/>
      <c r="BN237" s="1" t="n">
        <v>-0.1053</v>
      </c>
      <c r="BO237" s="1" t="n">
        <v>-0.1201</v>
      </c>
      <c r="BP237" s="1" t="n">
        <v>-231.5415</v>
      </c>
      <c r="BQ237" s="1" t="n">
        <v>-62.3533</v>
      </c>
      <c r="BT237" s="1" t="n">
        <v>-88.40770000000001</v>
      </c>
      <c r="BU237" s="1" t="n">
        <v>313.9272</v>
      </c>
      <c r="BV237" s="1" t="n">
        <v>197.5939</v>
      </c>
      <c r="BW237" s="1" t="n">
        <v>44.753</v>
      </c>
      <c r="BX237" s="1" t="n">
        <v>-166.6652</v>
      </c>
      <c r="BY237" s="1" t="n">
        <v>1412.1415</v>
      </c>
      <c r="BZ237" s="1" t="n">
        <v>511.1026</v>
      </c>
      <c r="CA237" s="1" t="n">
        <v>-486.7085</v>
      </c>
      <c r="CB237" s="1" t="n">
        <v>-2047.2118</v>
      </c>
      <c r="CC237" s="1" t="n">
        <v>2331.8068</v>
      </c>
      <c r="CD237" s="1" t="n">
        <v>-630.51</v>
      </c>
      <c r="CE237" s="1" t="n">
        <v>230.2008</v>
      </c>
      <c r="CF237" s="1" t="n">
        <v>399.8026</v>
      </c>
      <c r="CG237" s="1" t="n">
        <v>-127.3234</v>
      </c>
      <c r="CH237" s="1" t="n">
        <v>-54.3958</v>
      </c>
      <c r="CI237" s="1" t="n">
        <v>-220.4465</v>
      </c>
      <c r="CJ237" s="1" t="n">
        <v>-278.2357</v>
      </c>
      <c r="CK237" s="1" t="n">
        <v>109.0247</v>
      </c>
      <c r="CL237" s="1" t="n">
        <v>489.075</v>
      </c>
      <c r="CM237" s="1" t="n">
        <v>251.8414</v>
      </c>
      <c r="CN237" s="1" t="n">
        <v>-429.0734</v>
      </c>
      <c r="CO237" s="1" t="n">
        <v>-286.0954</v>
      </c>
      <c r="CP237" s="1" t="n">
        <v>310.0837</v>
      </c>
      <c r="CQ237" s="1" t="n">
        <v>224.1924</v>
      </c>
      <c r="CR237" s="1" t="n">
        <v>460.5444</v>
      </c>
      <c r="CS237" s="1" t="n">
        <v>1.8358</v>
      </c>
      <c r="CT237" s="1" t="n">
        <v>-241.7789</v>
      </c>
      <c r="CU237" s="1" t="n">
        <v>-650.0227</v>
      </c>
      <c r="CV237" s="1" t="n">
        <v>4024.0535</v>
      </c>
      <c r="CW237" s="1" t="n">
        <v>-48.3139</v>
      </c>
      <c r="CX237" s="1" t="n">
        <v>-36.6458</v>
      </c>
      <c r="CY237" s="1" t="n">
        <v>-344.1051</v>
      </c>
      <c r="CZ237" s="1" t="n">
        <v>-635.0255</v>
      </c>
      <c r="DA237" s="1" t="n">
        <v>309.5908</v>
      </c>
      <c r="DB237" s="1" t="n">
        <v>-815.2578999999999</v>
      </c>
      <c r="DC237" s="1" t="n">
        <v>-298.2325</v>
      </c>
      <c r="DD237" s="1" t="n">
        <v>-243.2456</v>
      </c>
      <c r="DE237" s="1" t="n">
        <v>-16.9501</v>
      </c>
      <c r="DF237" s="1" t="n">
        <v>-338.8394</v>
      </c>
      <c r="DG237" s="1" t="n">
        <v>-156.4967</v>
      </c>
      <c r="DH237" s="1" t="n">
        <v>-180.5419</v>
      </c>
      <c r="DI237" s="1" t="n">
        <v>-142.5475</v>
      </c>
      <c r="DJ237" s="1" t="n">
        <v>362.7812</v>
      </c>
      <c r="DK237" s="1" t="n">
        <v>-728.4641</v>
      </c>
      <c r="DL237" s="1" t="n">
        <v>-712.1718</v>
      </c>
      <c r="DM237" s="1" t="n">
        <v>-175.7759</v>
      </c>
      <c r="DN237" s="1" t="n">
        <v>-57.9155</v>
      </c>
      <c r="DO237" s="1" t="n">
        <v>153.3336</v>
      </c>
      <c r="DP237" s="1" t="n">
        <v>-592.5403</v>
      </c>
      <c r="DQ237" s="1" t="n">
        <v>392.5816</v>
      </c>
      <c r="DR237" s="1" t="n">
        <v>-33.7837</v>
      </c>
      <c r="DS237" s="1" t="n">
        <v>-4.7044</v>
      </c>
      <c r="DT237" s="1" t="n">
        <v>-182.5586</v>
      </c>
      <c r="DU237" s="1" t="n">
        <v>-233.1951</v>
      </c>
      <c r="DV237" s="1" t="n">
        <v>22.3294</v>
      </c>
      <c r="DW237" s="1" t="n">
        <v>-26.6985</v>
      </c>
      <c r="DX237" s="1" t="n">
        <v>249.5818</v>
      </c>
      <c r="DY237" s="1" t="n">
        <v>-623.4678</v>
      </c>
      <c r="DZ237" s="1" t="n">
        <v>219.5352</v>
      </c>
      <c r="EA237" s="1" t="n">
        <v>-136.9377</v>
      </c>
      <c r="EB237" s="1" t="n">
        <v>-620.3886</v>
      </c>
      <c r="EC237" s="1" t="n">
        <v>420.778</v>
      </c>
      <c r="ED237" s="1" t="n">
        <v>36.4646</v>
      </c>
      <c r="EE237" s="1" t="n">
        <v>200.573</v>
      </c>
      <c r="EF237" s="1" t="n">
        <v>-1012.6853</v>
      </c>
      <c r="EG237" s="1" t="n">
        <v>278.5469</v>
      </c>
      <c r="EH237" s="1" t="n">
        <v>299.1033</v>
      </c>
      <c r="EI237" s="1" t="n">
        <v>652.9959</v>
      </c>
      <c r="EJ237" s="1" t="n">
        <v>-783.9292</v>
      </c>
      <c r="EK237" s="1" t="n">
        <v>920.5945</v>
      </c>
      <c r="EL237" s="1" t="n">
        <v>1354.9793</v>
      </c>
      <c r="EM237" s="1" t="n">
        <v>5221.093</v>
      </c>
    </row>
    <row r="238">
      <c r="A238" s="3" t="inlineStr">
        <is>
          <t>汇率变动对现金的影响</t>
        </is>
      </c>
      <c r="B238" s="1" t="n">
        <v>-0.31</v>
      </c>
      <c r="C238" s="1" t="n">
        <v>-0.07000000000000001</v>
      </c>
      <c r="D238" s="1" t="n">
        <v>-28.58</v>
      </c>
      <c r="E238" s="1" t="n">
        <v>-2.31</v>
      </c>
      <c r="F238" s="1" t="n">
        <v>4.96</v>
      </c>
      <c r="G238" s="1" t="n">
        <v>-1.99</v>
      </c>
      <c r="H238" s="1" t="n">
        <v>43.58</v>
      </c>
      <c r="I238" s="1" t="n">
        <v>-87.16</v>
      </c>
      <c r="J238" s="1" t="n">
        <v>-26.49</v>
      </c>
      <c r="K238" s="1" t="n">
        <v>72</v>
      </c>
      <c r="L238" s="1" t="n">
        <v>179.34</v>
      </c>
      <c r="M238" s="1" t="n">
        <v>-110.38</v>
      </c>
      <c r="N238" s="1" t="n">
        <v>282.38</v>
      </c>
      <c r="O238" s="1" t="n">
        <v>104.8</v>
      </c>
      <c r="P238" s="1" t="n">
        <v>-311.3</v>
      </c>
      <c r="Q238" s="1" t="n">
        <v>-101.66</v>
      </c>
      <c r="R238" s="1" t="n">
        <v>685.3099999999999</v>
      </c>
      <c r="S238" s="1" t="n">
        <v>-18.6</v>
      </c>
      <c r="T238" s="1" t="n">
        <v>-39.29</v>
      </c>
      <c r="AA238" s="1" t="n">
        <v>-0.18</v>
      </c>
      <c r="AB238" s="1" t="n">
        <v>-0.16</v>
      </c>
      <c r="AC238" s="1" t="n">
        <v>-3.06</v>
      </c>
      <c r="AD238" s="1" t="n">
        <v>-1.42</v>
      </c>
      <c r="AE238" s="1" t="n">
        <v>-3.59</v>
      </c>
      <c r="AF238" s="1" t="n">
        <v>10.78</v>
      </c>
      <c r="AG238" s="1" t="n">
        <v>44</v>
      </c>
      <c r="AH238" s="1" t="n">
        <v>-44.74</v>
      </c>
      <c r="AI238" s="1" t="n">
        <v>-4.99</v>
      </c>
      <c r="AJ238" s="1" t="n">
        <v>-8.619999999999999</v>
      </c>
      <c r="AK238" s="1" t="n">
        <v>118.34</v>
      </c>
      <c r="AL238" s="1" t="n">
        <v>-31.93</v>
      </c>
      <c r="AM238" s="1" t="n">
        <v>60.31</v>
      </c>
      <c r="AN238" s="1" t="n">
        <v>-0.33</v>
      </c>
      <c r="AO238" s="1" t="n">
        <v>48.54</v>
      </c>
      <c r="AP238" s="1" t="n">
        <v>-52.53</v>
      </c>
      <c r="AQ238" s="1" t="n">
        <v>71.40000000000001</v>
      </c>
      <c r="AR238" s="1" t="n">
        <v>61.54</v>
      </c>
      <c r="AS238" s="1" t="n">
        <v>-43.84</v>
      </c>
      <c r="AT238" s="1" t="n"/>
      <c r="BN238" s="1" t="n">
        <v>-0.1362</v>
      </c>
      <c r="BO238" s="1" t="n">
        <v>-0.0409</v>
      </c>
      <c r="BP238" s="1" t="n">
        <v>-0.1025</v>
      </c>
      <c r="BQ238" s="1" t="n">
        <v>-0.0333</v>
      </c>
      <c r="BR238" s="1" t="n">
        <v>-0.0152</v>
      </c>
      <c r="BS238" s="1" t="n">
        <v>-0.1457</v>
      </c>
      <c r="BT238" s="1" t="n">
        <v>-0.0038</v>
      </c>
      <c r="BU238" s="1" t="n">
        <v>0.09719999999999999</v>
      </c>
      <c r="BV238" s="1" t="n">
        <v>0.1257</v>
      </c>
      <c r="BW238" s="1" t="n">
        <v>-3.187</v>
      </c>
      <c r="BX238" s="1" t="n">
        <v>-13.6703</v>
      </c>
      <c r="BY238" s="1" t="n">
        <v>-11.8483</v>
      </c>
      <c r="BZ238" s="1" t="n">
        <v>-9.780099999999999</v>
      </c>
      <c r="CA238" s="1" t="n">
        <v>8.362299999999999</v>
      </c>
      <c r="CB238" s="1" t="n">
        <v>-0.7739</v>
      </c>
      <c r="CC238" s="1" t="n">
        <v>-0.1151</v>
      </c>
      <c r="CD238" s="1" t="n">
        <v>-3.5893</v>
      </c>
      <c r="CE238" s="1" t="n">
        <v>0</v>
      </c>
      <c r="CF238" s="1" t="n">
        <v>-21.5709</v>
      </c>
      <c r="CG238" s="1" t="n">
        <v>30.1201</v>
      </c>
      <c r="CH238" s="1" t="n">
        <v>23.3993</v>
      </c>
      <c r="CI238" s="1" t="n">
        <v>-12.6192</v>
      </c>
      <c r="CJ238" s="1" t="n">
        <v>-50.559</v>
      </c>
      <c r="CK238" s="1" t="n">
        <v>37.7919</v>
      </c>
      <c r="CL238" s="1" t="n">
        <v>35.894</v>
      </c>
      <c r="CM238" s="1" t="n">
        <v>8.1099</v>
      </c>
      <c r="CN238" s="1" t="n">
        <v>13.1647</v>
      </c>
      <c r="CO238" s="1" t="n">
        <v>-13.5865</v>
      </c>
      <c r="CP238" s="1" t="n">
        <v>-9.595800000000001</v>
      </c>
      <c r="CQ238" s="1" t="n">
        <v>-35.1478</v>
      </c>
      <c r="CR238" s="1" t="n">
        <v>-11.9399</v>
      </c>
      <c r="CS238" s="1" t="n">
        <v>-30.4779</v>
      </c>
      <c r="CT238" s="1" t="n">
        <v>-10.5038</v>
      </c>
      <c r="CU238" s="1" t="n">
        <v>5.514</v>
      </c>
      <c r="CV238" s="1" t="n">
        <v>-9.2583</v>
      </c>
      <c r="CW238" s="1" t="n">
        <v>-12.2452</v>
      </c>
      <c r="CX238" s="1" t="n">
        <v>-1.0661</v>
      </c>
      <c r="CY238" s="1" t="n">
        <v>-7.5557</v>
      </c>
      <c r="CZ238" s="1" t="n">
        <v>45.6974</v>
      </c>
      <c r="DA238" s="1" t="n">
        <v>34.9234</v>
      </c>
      <c r="DB238" s="1" t="n">
        <v>21.1588</v>
      </c>
      <c r="DC238" s="1" t="n">
        <v>97.18510000000001</v>
      </c>
      <c r="DD238" s="1" t="n">
        <v>25.4525</v>
      </c>
      <c r="DE238" s="1" t="n">
        <v>35.5485</v>
      </c>
      <c r="DF238" s="1" t="n">
        <v>-7.8885</v>
      </c>
      <c r="DG238" s="1" t="n">
        <v>-24.0462</v>
      </c>
      <c r="DH238" s="1" t="n">
        <v>-34.481</v>
      </c>
      <c r="DI238" s="1" t="n">
        <v>-43.9597</v>
      </c>
      <c r="DJ238" s="1" t="n">
        <v>-65.14019999999999</v>
      </c>
      <c r="DK238" s="1" t="n">
        <v>125.4523</v>
      </c>
      <c r="DL238" s="1" t="n">
        <v>233.9357</v>
      </c>
      <c r="DM238" s="1" t="n">
        <v>-11.8717</v>
      </c>
      <c r="DN238" s="1" t="n">
        <v>-133.7759</v>
      </c>
      <c r="DO238" s="1" t="n">
        <v>133.4461</v>
      </c>
      <c r="DP238" s="1" t="n">
        <v>192.9061</v>
      </c>
      <c r="DQ238" s="1" t="n">
        <v>-87.7715</v>
      </c>
      <c r="DR238" s="1" t="n">
        <v>81.9342</v>
      </c>
      <c r="DS238" s="1" t="n">
        <v>-33.3946</v>
      </c>
      <c r="DT238" s="1" t="n">
        <v>-157.482</v>
      </c>
      <c r="DU238" s="1" t="n">
        <v>-202.3546</v>
      </c>
      <c r="DV238" s="1" t="n">
        <v>13.5992</v>
      </c>
      <c r="DW238" s="1" t="n">
        <v>-66.1254</v>
      </c>
      <c r="DX238" s="1" t="n">
        <v>1.3836</v>
      </c>
      <c r="DY238" s="1" t="n">
        <v>-50.5156</v>
      </c>
      <c r="DZ238" s="1" t="n">
        <v>-9.479900000000001</v>
      </c>
      <c r="EA238" s="1" t="n">
        <v>80.8832</v>
      </c>
      <c r="EB238" s="1" t="n">
        <v>86.83880000000001</v>
      </c>
      <c r="EC238" s="1" t="n">
        <v>527.0707</v>
      </c>
      <c r="ED238" s="1" t="n">
        <v>-20.392</v>
      </c>
      <c r="EE238" s="1" t="n">
        <v>81.93689999999999</v>
      </c>
      <c r="EF238" s="1" t="n">
        <v>-51.9554</v>
      </c>
      <c r="EG238" s="1" t="n">
        <v>-28.1851</v>
      </c>
      <c r="EH238" s="1" t="n">
        <v>-31.3208</v>
      </c>
      <c r="EI238" s="1" t="n">
        <v>-12.5149</v>
      </c>
      <c r="EJ238" s="1" t="n">
        <v>6.9035</v>
      </c>
      <c r="EK238" s="1" t="n">
        <v>-2.3555</v>
      </c>
      <c r="EL238" s="1" t="n">
        <v>11.0249</v>
      </c>
      <c r="EM238" s="1" t="n">
        <v>50.777</v>
      </c>
    </row>
    <row r="239">
      <c r="A239" s="2" t="inlineStr">
        <is>
          <t xml:space="preserve">    直接法-现金及现金等价物净增加额差额(特殊报表科目)</t>
        </is>
      </c>
      <c r="EM239" s="1" t="inlineStr"/>
    </row>
    <row r="240">
      <c r="A240" s="2" t="inlineStr">
        <is>
          <t xml:space="preserve">    直接法-现金及现金等价物净增加额差额(合计平衡项目)</t>
        </is>
      </c>
      <c r="EM240" s="1" t="inlineStr"/>
    </row>
    <row r="241">
      <c r="A241" s="3" t="inlineStr">
        <is>
          <t>现金及现金等价物净增加额</t>
        </is>
      </c>
      <c r="B241" s="1" t="n">
        <v>-5237.21</v>
      </c>
      <c r="C241" s="1" t="n">
        <v>-2098.81</v>
      </c>
      <c r="D241" s="1" t="n">
        <v>6486.91</v>
      </c>
      <c r="E241" s="1" t="n">
        <v>3037.41</v>
      </c>
      <c r="F241" s="1" t="n">
        <v>-1188.15</v>
      </c>
      <c r="G241" s="1" t="n">
        <v>-3386.33</v>
      </c>
      <c r="H241" s="1" t="n">
        <v>-1355.23</v>
      </c>
      <c r="I241" s="1" t="n">
        <v>3179.37</v>
      </c>
      <c r="J241" s="1" t="n">
        <v>5694.07</v>
      </c>
      <c r="K241" s="1" t="n">
        <v>3264.09</v>
      </c>
      <c r="L241" s="1" t="n">
        <v>7327.74</v>
      </c>
      <c r="M241" s="1" t="n">
        <v>-522.8099999999999</v>
      </c>
      <c r="N241" s="1" t="n">
        <v>-1948.12</v>
      </c>
      <c r="O241" s="1" t="n">
        <v>1572.74</v>
      </c>
      <c r="P241" s="1" t="n">
        <v>-4194.62</v>
      </c>
      <c r="Q241" s="1" t="n">
        <v>-7953.67</v>
      </c>
      <c r="R241" s="1" t="n">
        <v>-4207.82</v>
      </c>
      <c r="S241" s="1" t="n">
        <v>2043.42</v>
      </c>
      <c r="T241" s="1" t="n">
        <v>8335.27</v>
      </c>
      <c r="AA241" s="1" t="n">
        <v>-729.12</v>
      </c>
      <c r="AB241" s="1" t="n">
        <v>-785.25</v>
      </c>
      <c r="AC241" s="1" t="n">
        <v>4370.68</v>
      </c>
      <c r="AD241" s="1" t="n">
        <v>1126.76</v>
      </c>
      <c r="AE241" s="1" t="n">
        <v>-2132.66</v>
      </c>
      <c r="AF241" s="1" t="n">
        <v>-2954.61</v>
      </c>
      <c r="AG241" s="1" t="n">
        <v>-2230.09</v>
      </c>
      <c r="AH241" s="1" t="n">
        <v>996.84</v>
      </c>
      <c r="AI241" s="1" t="n">
        <v>-1216.55</v>
      </c>
      <c r="AJ241" s="1" t="n">
        <v>-1516.14</v>
      </c>
      <c r="AK241" s="1" t="n">
        <v>2023.55</v>
      </c>
      <c r="AL241" s="1" t="n">
        <v>-1660.68</v>
      </c>
      <c r="AM241" s="1" t="n">
        <v>1114.26</v>
      </c>
      <c r="AN241" s="1" t="n">
        <v>-4461.3</v>
      </c>
      <c r="AO241" s="1" t="n">
        <v>-1123.12</v>
      </c>
      <c r="AP241" s="1" t="n">
        <v>-705.5599999999999</v>
      </c>
      <c r="AQ241" s="1" t="n">
        <v>-5887.34</v>
      </c>
      <c r="AR241" s="1" t="n">
        <v>2674.45</v>
      </c>
      <c r="AS241" s="1" t="n">
        <v>4062.61</v>
      </c>
      <c r="AT241" s="1" t="n"/>
      <c r="BN241" s="1" t="n">
        <v>-501.2581</v>
      </c>
      <c r="BO241" s="1" t="n">
        <v>-227.8581</v>
      </c>
      <c r="BP241" s="1" t="n">
        <v>-424.7543</v>
      </c>
      <c r="BQ241" s="1" t="n">
        <v>-4083.3387</v>
      </c>
      <c r="BR241" s="1" t="n">
        <v>-458.6852</v>
      </c>
      <c r="BS241" s="1" t="n">
        <v>-326.5663</v>
      </c>
      <c r="BT241" s="1" t="n">
        <v>-116.552</v>
      </c>
      <c r="BU241" s="1" t="n">
        <v>-1197.0098</v>
      </c>
      <c r="BV241" s="1" t="n">
        <v>-8.2761</v>
      </c>
      <c r="BW241" s="1" t="n">
        <v>4378.9527</v>
      </c>
      <c r="BX241" s="1" t="n">
        <v>-949.3524</v>
      </c>
      <c r="BY241" s="1" t="n">
        <v>3065.5847</v>
      </c>
      <c r="BZ241" s="1" t="n">
        <v>-1150.3978</v>
      </c>
      <c r="CA241" s="1" t="n">
        <v>2277.1569</v>
      </c>
      <c r="CB241" s="1" t="n">
        <v>-1584.6314</v>
      </c>
      <c r="CC241" s="1" t="n">
        <v>3495.2777</v>
      </c>
      <c r="CD241" s="1" t="n">
        <v>-2686.0285</v>
      </c>
      <c r="CE241" s="1" t="n">
        <v>553.3674999999999</v>
      </c>
      <c r="CF241" s="1" t="n">
        <v>1979.1208</v>
      </c>
      <c r="CG241" s="1" t="n">
        <v>-1034.606</v>
      </c>
      <c r="CH241" s="1" t="n">
        <v>-3025.0181</v>
      </c>
      <c r="CI241" s="1" t="n">
        <v>70.41200000000001</v>
      </c>
      <c r="CJ241" s="1" t="n">
        <v>-1305.0341</v>
      </c>
      <c r="CK241" s="1" t="n">
        <v>873.3135</v>
      </c>
      <c r="CL241" s="1" t="n">
        <v>-2624.5119</v>
      </c>
      <c r="CM241" s="1" t="n">
        <v>394.4211</v>
      </c>
      <c r="CN241" s="1" t="n">
        <v>-567.9265</v>
      </c>
      <c r="CO241" s="1" t="n">
        <v>1442.7901</v>
      </c>
      <c r="CP241" s="1" t="n">
        <v>202.4877</v>
      </c>
      <c r="CQ241" s="1" t="n">
        <v>794.3477</v>
      </c>
      <c r="CR241" s="1" t="n">
        <v>-25.3236</v>
      </c>
      <c r="CS241" s="1" t="n">
        <v>2207.8615</v>
      </c>
      <c r="CT241" s="1" t="n">
        <v>-1243.131</v>
      </c>
      <c r="CU241" s="1" t="n">
        <v>26.5859</v>
      </c>
      <c r="CV241" s="1" t="n">
        <v>4865.7757</v>
      </c>
      <c r="CW241" s="1" t="n">
        <v>2044.8397</v>
      </c>
      <c r="CX241" s="1" t="n">
        <v>-2461.7475</v>
      </c>
      <c r="CY241" s="1" t="n">
        <v>945.6108</v>
      </c>
      <c r="CZ241" s="1" t="n">
        <v>119.7927</v>
      </c>
      <c r="DA241" s="1" t="n">
        <v>4660.436</v>
      </c>
      <c r="DB241" s="1" t="n">
        <v>-823.1242</v>
      </c>
      <c r="DC241" s="1" t="n">
        <v>2846.6785</v>
      </c>
      <c r="DD241" s="1" t="n">
        <v>1915.8246</v>
      </c>
      <c r="DE241" s="1" t="n">
        <v>3388.3653</v>
      </c>
      <c r="DF241" s="1" t="n">
        <v>-1251.275</v>
      </c>
      <c r="DG241" s="1" t="n">
        <v>-409.4075</v>
      </c>
      <c r="DH241" s="1" t="n">
        <v>-959.0643</v>
      </c>
      <c r="DI241" s="1" t="n">
        <v>2096.9397</v>
      </c>
      <c r="DJ241" s="1" t="n">
        <v>-1322.1773</v>
      </c>
      <c r="DK241" s="1" t="n">
        <v>2436.434</v>
      </c>
      <c r="DL241" s="1" t="n">
        <v>1028.6945</v>
      </c>
      <c r="DM241" s="1" t="n">
        <v>-4091.073</v>
      </c>
      <c r="DN241" s="1" t="n">
        <v>-4113.9979</v>
      </c>
      <c r="DO241" s="1" t="n">
        <v>-347.3036</v>
      </c>
      <c r="DP241" s="1" t="n">
        <v>1541.7605</v>
      </c>
      <c r="DQ241" s="1" t="n">
        <v>4492.2834</v>
      </c>
      <c r="DR241" s="1" t="n">
        <v>-905.7048</v>
      </c>
      <c r="DS241" s="1" t="n">
        <v>-217.4182</v>
      </c>
      <c r="DT241" s="1" t="n">
        <v>-2525.9722</v>
      </c>
      <c r="DU241" s="1" t="n">
        <v>-545.525</v>
      </c>
      <c r="DV241" s="1" t="n">
        <v>-2082.8521</v>
      </c>
      <c r="DW241" s="1" t="n">
        <v>1377.2923</v>
      </c>
      <c r="DX241" s="1" t="n">
        <v>-7458.8239</v>
      </c>
      <c r="DY241" s="1" t="n">
        <v>210.7117</v>
      </c>
      <c r="DZ241" s="1" t="n">
        <v>-3636.6015</v>
      </c>
      <c r="EA241" s="1" t="n">
        <v>-2250.7365</v>
      </c>
      <c r="EB241" s="1" t="n">
        <v>928.2128</v>
      </c>
      <c r="EC241" s="1" t="n">
        <v>751.3029</v>
      </c>
      <c r="ED241" s="1" t="n">
        <v>-56.9371</v>
      </c>
      <c r="EE241" s="1" t="n">
        <v>2731.3885</v>
      </c>
      <c r="EF241" s="1" t="n">
        <v>-442.6827</v>
      </c>
      <c r="EG241" s="1" t="n">
        <v>-188.3488</v>
      </c>
      <c r="EH241" s="1" t="n">
        <v>-196.191</v>
      </c>
      <c r="EI241" s="1" t="n">
        <v>4258.8012</v>
      </c>
      <c r="EJ241" s="1" t="n">
        <v>-7411.9831</v>
      </c>
      <c r="EK241" s="1" t="n">
        <v>11684.6452</v>
      </c>
      <c r="EL241" s="1" t="n">
        <v>798.3226</v>
      </c>
      <c r="EM241" s="1" t="n">
        <v>3838.901</v>
      </c>
    </row>
    <row r="242">
      <c r="A242" s="2" t="inlineStr">
        <is>
          <t xml:space="preserve">    期初现金及现金等价物余额</t>
        </is>
      </c>
      <c r="B242" s="1" t="n">
        <v>12163.4</v>
      </c>
      <c r="C242" s="1" t="n">
        <v>6926.19</v>
      </c>
      <c r="D242" s="1" t="n">
        <v>4827.38</v>
      </c>
      <c r="E242" s="1" t="n">
        <v>11788.43</v>
      </c>
      <c r="F242" s="1" t="n">
        <v>14858.7</v>
      </c>
      <c r="G242" s="1" t="n">
        <v>13670.55</v>
      </c>
      <c r="H242" s="1" t="n">
        <v>10284.22</v>
      </c>
      <c r="I242" s="1" t="n">
        <v>8929</v>
      </c>
      <c r="J242" s="1" t="n">
        <v>12108.37</v>
      </c>
      <c r="K242" s="1" t="n">
        <v>17802.44</v>
      </c>
      <c r="L242" s="1" t="n">
        <v>21066.53</v>
      </c>
      <c r="M242" s="1" t="n">
        <v>28394.28</v>
      </c>
      <c r="N242" s="1" t="n">
        <v>28847.75</v>
      </c>
      <c r="O242" s="1" t="n">
        <v>26899.63</v>
      </c>
      <c r="P242" s="1" t="n">
        <v>28472.37</v>
      </c>
      <c r="Q242" s="1" t="n">
        <v>24277.75</v>
      </c>
      <c r="R242" s="1" t="n">
        <v>16324.08</v>
      </c>
      <c r="S242" s="1" t="n">
        <v>12124.17</v>
      </c>
      <c r="T242" s="1" t="n">
        <v>14167.59</v>
      </c>
      <c r="AA242" s="1" t="n">
        <v>3873.24</v>
      </c>
      <c r="AB242" s="1" t="n">
        <v>3141.81</v>
      </c>
      <c r="AC242" s="1" t="n">
        <v>4827.38</v>
      </c>
      <c r="AD242" s="1" t="n">
        <v>11314.29</v>
      </c>
      <c r="AE242" s="1" t="n">
        <v>14858.61</v>
      </c>
      <c r="AF242" s="1" t="n">
        <v>13670.55</v>
      </c>
      <c r="AG242" s="1" t="n">
        <v>10285</v>
      </c>
      <c r="AH242" s="1" t="n">
        <v>8930</v>
      </c>
      <c r="AI242" s="1" t="n">
        <v>12108.37</v>
      </c>
      <c r="AJ242" s="1" t="n">
        <v>17802.44</v>
      </c>
      <c r="AK242" s="1" t="n">
        <v>21066.53</v>
      </c>
      <c r="AL242" s="1" t="n">
        <v>28394.28</v>
      </c>
      <c r="AM242" s="1" t="n">
        <v>28848.07</v>
      </c>
      <c r="AN242" s="1" t="n">
        <v>26899.63</v>
      </c>
      <c r="AO242" s="1" t="n">
        <v>28472.37</v>
      </c>
      <c r="AP242" s="1" t="n">
        <v>24277.75</v>
      </c>
      <c r="AQ242" s="1" t="n">
        <v>16324.08</v>
      </c>
      <c r="AR242" s="1" t="n">
        <v>12116.26</v>
      </c>
      <c r="AS242" s="1" t="n">
        <v>14167.59</v>
      </c>
      <c r="AT242" s="1" t="n"/>
      <c r="BN242" s="1" t="n">
        <v>3873.2397</v>
      </c>
      <c r="BO242" s="1" t="n">
        <v>3371.9815</v>
      </c>
      <c r="BP242" s="1" t="n">
        <v>3144.1234</v>
      </c>
      <c r="BQ242" s="1" t="n">
        <v>2719.3691</v>
      </c>
      <c r="BR242" s="1" t="n">
        <v>3141.8079</v>
      </c>
      <c r="BS242" s="1" t="n">
        <v>2683.1227</v>
      </c>
      <c r="BT242" s="1" t="n">
        <v>2356.5563</v>
      </c>
      <c r="BU242" s="1" t="n">
        <v>2240.0043</v>
      </c>
      <c r="BV242" s="1" t="n">
        <v>4827.3807</v>
      </c>
      <c r="BW242" s="1" t="n">
        <v>4819.1046</v>
      </c>
      <c r="BX242" s="1" t="n">
        <v>9198.0573</v>
      </c>
      <c r="BY242" s="1" t="n">
        <v>8248.704900000001</v>
      </c>
      <c r="BZ242" s="1" t="n">
        <v>11314.2896</v>
      </c>
      <c r="CA242" s="1" t="n">
        <v>10163.8918</v>
      </c>
      <c r="CB242" s="1" t="n">
        <v>12441.0487</v>
      </c>
      <c r="CC242" s="1" t="n">
        <v>10856.4173</v>
      </c>
      <c r="CD242" s="1" t="n">
        <v>14858.6143</v>
      </c>
      <c r="CE242" s="1" t="n">
        <v>12172.5858</v>
      </c>
      <c r="CF242" s="1" t="n">
        <v>12725.9533</v>
      </c>
      <c r="CG242" s="1" t="n">
        <v>14705.0741</v>
      </c>
      <c r="CH242" s="1" t="n">
        <v>13670.5514</v>
      </c>
      <c r="CI242" s="1" t="n">
        <v>10645.5333</v>
      </c>
      <c r="CJ242" s="1" t="n">
        <v>10715.9452</v>
      </c>
      <c r="CK242" s="1" t="n">
        <v>9410.911099999999</v>
      </c>
      <c r="CL242" s="1" t="n">
        <v>10284.2246</v>
      </c>
      <c r="CM242" s="1" t="n">
        <v>7659.7128</v>
      </c>
      <c r="CN242" s="1" t="n">
        <v>8054.9093</v>
      </c>
      <c r="CO242" s="1" t="n">
        <v>7316.7544</v>
      </c>
      <c r="CP242" s="1" t="n">
        <v>8928.997499999999</v>
      </c>
      <c r="CQ242" s="1" t="n">
        <v>9131.485199999999</v>
      </c>
      <c r="CR242" s="1" t="n">
        <v>9926.832899999999</v>
      </c>
      <c r="CS242" s="1" t="n">
        <v>9900.5092</v>
      </c>
      <c r="CT242" s="1" t="n">
        <v>12108.3708</v>
      </c>
      <c r="CU242" s="1" t="n">
        <v>10865.2398</v>
      </c>
      <c r="CV242" s="1" t="n">
        <v>10891.8257</v>
      </c>
      <c r="CW242" s="1" t="n">
        <v>15757.6014</v>
      </c>
      <c r="CX242" s="1" t="n">
        <v>17802.4411</v>
      </c>
      <c r="CY242" s="1" t="n">
        <v>15340.6936</v>
      </c>
      <c r="CZ242" s="1" t="n">
        <v>16286.3044</v>
      </c>
      <c r="DA242" s="1" t="n">
        <v>16406.0971</v>
      </c>
      <c r="DB242" s="1" t="n">
        <v>21066.5331</v>
      </c>
      <c r="DC242" s="1" t="n">
        <v>20243.4089</v>
      </c>
      <c r="DD242" s="1" t="n">
        <v>23090.0874</v>
      </c>
      <c r="DE242" s="1" t="n">
        <v>25005.912</v>
      </c>
      <c r="DF242" s="1" t="n">
        <v>28394.2773</v>
      </c>
      <c r="DG242" s="1" t="n">
        <v>27143.0023</v>
      </c>
      <c r="DH242" s="1" t="n">
        <v>26733.5949</v>
      </c>
      <c r="DI242" s="1" t="n">
        <v>25774.5306</v>
      </c>
      <c r="DJ242" s="1" t="n">
        <v>27871.4703</v>
      </c>
      <c r="DK242" s="1" t="n">
        <v>26549.293</v>
      </c>
      <c r="DL242" s="1" t="n">
        <v>29962.3273</v>
      </c>
      <c r="DM242" s="1" t="n">
        <v>30991.0218</v>
      </c>
      <c r="DN242" s="1" t="n">
        <v>26899.6272</v>
      </c>
      <c r="DO242" s="1" t="n">
        <v>22785.6293</v>
      </c>
      <c r="DP242" s="1" t="n">
        <v>22438.3257</v>
      </c>
      <c r="DQ242" s="1" t="n">
        <v>23980.0862</v>
      </c>
      <c r="DR242" s="1" t="n">
        <v>28472.3697</v>
      </c>
      <c r="DS242" s="1" t="n">
        <v>27566.6648</v>
      </c>
      <c r="DT242" s="1" t="n">
        <v>27349.2467</v>
      </c>
      <c r="DU242" s="1" t="n">
        <v>24823.2745</v>
      </c>
      <c r="DV242" s="1" t="n">
        <v>24277.7495</v>
      </c>
      <c r="DW242" s="1" t="n">
        <v>22194.8974</v>
      </c>
      <c r="DX242" s="1" t="n">
        <v>23572.1897</v>
      </c>
      <c r="DY242" s="1" t="n">
        <v>16113.3659</v>
      </c>
      <c r="DZ242" s="1" t="n">
        <v>16324.0776</v>
      </c>
      <c r="EA242" s="1" t="n">
        <v>12687.4761</v>
      </c>
      <c r="EB242" s="1" t="n">
        <v>10436.7395</v>
      </c>
      <c r="EC242" s="1" t="n">
        <v>11364.9523</v>
      </c>
      <c r="ED242" s="1" t="n">
        <v>12116.2552</v>
      </c>
      <c r="EE242" s="1" t="n">
        <v>12059.3181</v>
      </c>
      <c r="EF242" s="1" t="n">
        <v>14790.7065</v>
      </c>
      <c r="EG242" s="1" t="n">
        <v>14348.0238</v>
      </c>
      <c r="EH242" s="1" t="n">
        <v>14167.5854</v>
      </c>
      <c r="EI242" s="1" t="n">
        <v>13971.3944</v>
      </c>
      <c r="EJ242" s="1" t="n">
        <v>18230.1956</v>
      </c>
      <c r="EK242" s="1" t="n">
        <v>10818.2125</v>
      </c>
      <c r="EL242" s="1" t="n">
        <v>22502.8577</v>
      </c>
      <c r="EM242" s="1" t="n">
        <v>22502.858</v>
      </c>
    </row>
    <row r="243">
      <c r="A243" s="2" t="inlineStr">
        <is>
          <t xml:space="preserve">    期末现金及现金等价物余额</t>
        </is>
      </c>
      <c r="B243" s="1" t="n">
        <v>6926.19</v>
      </c>
      <c r="C243" s="1" t="n">
        <v>4827.38</v>
      </c>
      <c r="D243" s="1" t="n">
        <v>11314.29</v>
      </c>
      <c r="E243" s="1" t="n">
        <v>14825.84</v>
      </c>
      <c r="F243" s="1" t="n">
        <v>13670.55</v>
      </c>
      <c r="G243" s="1" t="n">
        <v>10284.22</v>
      </c>
      <c r="H243" s="1" t="n">
        <v>8929</v>
      </c>
      <c r="I243" s="1" t="n">
        <v>12108.37</v>
      </c>
      <c r="J243" s="1" t="n">
        <v>17802.44</v>
      </c>
      <c r="K243" s="1" t="n">
        <v>21066.53</v>
      </c>
      <c r="L243" s="1" t="n">
        <v>28394.28</v>
      </c>
      <c r="M243" s="1" t="n">
        <v>27871.47</v>
      </c>
      <c r="N243" s="1" t="n">
        <v>26899.63</v>
      </c>
      <c r="O243" s="1" t="n">
        <v>28472.37</v>
      </c>
      <c r="P243" s="1" t="n">
        <v>24277.75</v>
      </c>
      <c r="Q243" s="1" t="n">
        <v>16324.08</v>
      </c>
      <c r="R243" s="1" t="n">
        <v>12116.26</v>
      </c>
      <c r="S243" s="1" t="n">
        <v>14167.59</v>
      </c>
      <c r="T243" s="1" t="n">
        <v>22502.86</v>
      </c>
      <c r="AA243" s="1" t="n">
        <v>3144.12</v>
      </c>
      <c r="AB243" s="1" t="n">
        <v>2356.56</v>
      </c>
      <c r="AC243" s="1" t="n">
        <v>9198.059999999999</v>
      </c>
      <c r="AD243" s="1" t="n">
        <v>12441.05</v>
      </c>
      <c r="AE243" s="1" t="n">
        <v>12725.95</v>
      </c>
      <c r="AF243" s="1" t="n">
        <v>10715.95</v>
      </c>
      <c r="AG243" s="1" t="n">
        <v>8054.91</v>
      </c>
      <c r="AH243" s="1" t="n">
        <v>9926.83</v>
      </c>
      <c r="AI243" s="1" t="n">
        <v>10891.83</v>
      </c>
      <c r="AJ243" s="1" t="n">
        <v>16286.3</v>
      </c>
      <c r="AK243" s="1" t="n">
        <v>23090.09</v>
      </c>
      <c r="AL243" s="1" t="n">
        <v>26733.59</v>
      </c>
      <c r="AM243" s="1" t="n">
        <v>29962.33</v>
      </c>
      <c r="AN243" s="1" t="n">
        <v>22438.33</v>
      </c>
      <c r="AO243" s="1" t="n">
        <v>27349.25</v>
      </c>
      <c r="AP243" s="1" t="n">
        <v>23572.19</v>
      </c>
      <c r="AQ243" s="1" t="n">
        <v>10436.74</v>
      </c>
      <c r="AR243" s="1" t="n">
        <v>14790.71</v>
      </c>
      <c r="AS243" s="1" t="n">
        <v>18230.2</v>
      </c>
      <c r="AT243" s="1" t="n"/>
      <c r="BN243" s="1" t="n">
        <v>3371.9815</v>
      </c>
      <c r="BO243" s="1" t="n">
        <v>3144.1234</v>
      </c>
      <c r="BP243" s="1" t="n">
        <v>2719.3691</v>
      </c>
      <c r="BQ243" s="1" t="n">
        <v>6926.1942</v>
      </c>
      <c r="BR243" s="1" t="n">
        <v>2683.1227</v>
      </c>
      <c r="BS243" s="1" t="n">
        <v>2356.5563</v>
      </c>
      <c r="BT243" s="1" t="n">
        <v>2240.0043</v>
      </c>
      <c r="BU243" s="1" t="n">
        <v>4827.3807</v>
      </c>
      <c r="BV243" s="1" t="n">
        <v>4819.1046</v>
      </c>
      <c r="BW243" s="1" t="n">
        <v>9198.0573</v>
      </c>
      <c r="BX243" s="1" t="n">
        <v>8248.704900000001</v>
      </c>
      <c r="BY243" s="1" t="n">
        <v>11314.2896</v>
      </c>
      <c r="BZ243" s="1" t="n">
        <v>10163.8918</v>
      </c>
      <c r="CA243" s="1" t="n">
        <v>12441.0487</v>
      </c>
      <c r="CB243" s="1" t="n">
        <v>10856.4173</v>
      </c>
      <c r="CC243" s="1" t="n">
        <v>14825.8395</v>
      </c>
      <c r="CD243" s="1" t="n">
        <v>12172.5858</v>
      </c>
      <c r="CE243" s="1" t="n">
        <v>12725.9533</v>
      </c>
      <c r="CF243" s="1" t="n">
        <v>14705.0741</v>
      </c>
      <c r="CG243" s="1" t="n">
        <v>13670.5514</v>
      </c>
      <c r="CH243" s="1" t="n">
        <v>10645.5333</v>
      </c>
      <c r="CI243" s="1" t="n">
        <v>10715.9452</v>
      </c>
      <c r="CJ243" s="1" t="n">
        <v>9410.911099999999</v>
      </c>
      <c r="CK243" s="1" t="n">
        <v>10284.2246</v>
      </c>
      <c r="CL243" s="1" t="n">
        <v>7659.7128</v>
      </c>
      <c r="CM243" s="1" t="n">
        <v>8054.9093</v>
      </c>
      <c r="CN243" s="1" t="n">
        <v>7316.7544</v>
      </c>
      <c r="CO243" s="1" t="n">
        <v>8928.997499999999</v>
      </c>
      <c r="CP243" s="1" t="n">
        <v>9131.485199999999</v>
      </c>
      <c r="CQ243" s="1" t="n">
        <v>9926.832899999999</v>
      </c>
      <c r="CR243" s="1" t="n">
        <v>9900.5092</v>
      </c>
      <c r="CS243" s="1" t="n">
        <v>12108.3708</v>
      </c>
      <c r="CT243" s="1" t="n">
        <v>10865.2398</v>
      </c>
      <c r="CU243" s="1" t="n">
        <v>10891.8257</v>
      </c>
      <c r="CV243" s="1" t="n">
        <v>15757.6014</v>
      </c>
      <c r="CW243" s="1" t="n">
        <v>17802.4411</v>
      </c>
      <c r="CX243" s="1" t="n">
        <v>15340.6936</v>
      </c>
      <c r="CY243" s="1" t="n">
        <v>16286.3044</v>
      </c>
      <c r="CZ243" s="1" t="n">
        <v>16406.0971</v>
      </c>
      <c r="DA243" s="1" t="n">
        <v>21066.5331</v>
      </c>
      <c r="DB243" s="1" t="n">
        <v>20243.4089</v>
      </c>
      <c r="DC243" s="1" t="n">
        <v>23090.0874</v>
      </c>
      <c r="DD243" s="1" t="n">
        <v>25005.912</v>
      </c>
      <c r="DE243" s="1" t="n">
        <v>28394.2773</v>
      </c>
      <c r="DF243" s="1" t="n">
        <v>27143.0023</v>
      </c>
      <c r="DG243" s="1" t="n">
        <v>26733.5949</v>
      </c>
      <c r="DH243" s="1" t="n">
        <v>25774.5306</v>
      </c>
      <c r="DI243" s="1" t="n">
        <v>27871.4703</v>
      </c>
      <c r="DJ243" s="1" t="n">
        <v>26549.293</v>
      </c>
      <c r="DK243" s="1" t="n">
        <v>29962.3273</v>
      </c>
      <c r="DL243" s="1" t="n">
        <v>30991.0218</v>
      </c>
      <c r="DM243" s="1" t="n">
        <v>26899.6272</v>
      </c>
      <c r="DN243" s="1" t="n">
        <v>22785.6293</v>
      </c>
      <c r="DO243" s="1" t="n">
        <v>22438.3257</v>
      </c>
      <c r="DP243" s="1" t="n">
        <v>23980.0862</v>
      </c>
      <c r="DQ243" s="1" t="n">
        <v>28472.3697</v>
      </c>
      <c r="DR243" s="1" t="n">
        <v>27566.6648</v>
      </c>
      <c r="DS243" s="1" t="n">
        <v>27349.2467</v>
      </c>
      <c r="DT243" s="1" t="n">
        <v>24823.2745</v>
      </c>
      <c r="DU243" s="1" t="n">
        <v>24277.7495</v>
      </c>
      <c r="DV243" s="1" t="n">
        <v>22194.8974</v>
      </c>
      <c r="DW243" s="1" t="n">
        <v>23572.1897</v>
      </c>
      <c r="DX243" s="1" t="n">
        <v>16113.3659</v>
      </c>
      <c r="DY243" s="1" t="n">
        <v>16324.0776</v>
      </c>
      <c r="DZ243" s="1" t="n">
        <v>12687.4761</v>
      </c>
      <c r="EA243" s="1" t="n">
        <v>10436.7395</v>
      </c>
      <c r="EB243" s="1" t="n">
        <v>11364.9523</v>
      </c>
      <c r="EC243" s="1" t="n">
        <v>12116.2552</v>
      </c>
      <c r="ED243" s="1" t="n">
        <v>12059.3181</v>
      </c>
      <c r="EE243" s="1" t="n">
        <v>14790.7065</v>
      </c>
      <c r="EF243" s="1" t="n">
        <v>14348.0238</v>
      </c>
      <c r="EG243" s="1" t="n">
        <v>14167.5854</v>
      </c>
      <c r="EH243" s="1" t="n">
        <v>13971.3944</v>
      </c>
      <c r="EI243" s="1" t="n">
        <v>18230.1956</v>
      </c>
      <c r="EJ243" s="1" t="n">
        <v>10818.2125</v>
      </c>
      <c r="EK243" s="1" t="n">
        <v>22502.8577</v>
      </c>
      <c r="EL243" s="1" t="n">
        <v>23301.1803</v>
      </c>
      <c r="EM243" s="1" t="n">
        <v>26341.759</v>
      </c>
    </row>
    <row r="244">
      <c r="A244" s="3" t="inlineStr">
        <is>
          <t>补充资料：</t>
        </is>
      </c>
      <c r="EM244" s="1" t="inlineStr"/>
    </row>
    <row r="245">
      <c r="A245" s="2" t="inlineStr">
        <is>
          <t xml:space="preserve">    净利润</t>
        </is>
      </c>
      <c r="B245" s="1" t="n">
        <v>2258.5</v>
      </c>
      <c r="C245" s="1" t="n">
        <v>2176.37</v>
      </c>
      <c r="D245" s="1" t="n">
        <v>210.62</v>
      </c>
      <c r="E245" s="1" t="n">
        <v>1595.9</v>
      </c>
      <c r="F245" s="1" t="n">
        <v>2676.01</v>
      </c>
      <c r="G245" s="1" t="n">
        <v>3118.22</v>
      </c>
      <c r="H245" s="1" t="n">
        <v>2253.72</v>
      </c>
      <c r="I245" s="1" t="n">
        <v>2399.4</v>
      </c>
      <c r="J245" s="1" t="n">
        <v>1320.62</v>
      </c>
      <c r="K245" s="1" t="n">
        <v>459.5</v>
      </c>
      <c r="L245" s="1" t="n">
        <v>-1759.44</v>
      </c>
      <c r="M245" s="1" t="n">
        <v>683.0700000000001</v>
      </c>
      <c r="N245" s="1" t="n">
        <v>1158.27</v>
      </c>
      <c r="O245" s="1" t="n">
        <v>1380.87</v>
      </c>
      <c r="P245" s="1" t="n">
        <v>1916.26</v>
      </c>
      <c r="Q245" s="1" t="n">
        <v>2429.22</v>
      </c>
      <c r="R245" s="1" t="n">
        <v>3010.36</v>
      </c>
      <c r="S245" s="1" t="n">
        <v>3643.71</v>
      </c>
      <c r="T245" s="1" t="n">
        <v>3287.53</v>
      </c>
      <c r="AA245" s="1" t="n">
        <v>396.24</v>
      </c>
      <c r="AB245" s="1" t="n">
        <v>436.84</v>
      </c>
      <c r="AC245" s="1" t="n">
        <v>447.8</v>
      </c>
      <c r="AD245" s="1" t="n">
        <v>692.64</v>
      </c>
      <c r="AE245" s="1" t="n">
        <v>1039.08</v>
      </c>
      <c r="AF245" s="1" t="n">
        <v>1568.3</v>
      </c>
      <c r="AG245" s="1" t="n">
        <v>1262.85</v>
      </c>
      <c r="AH245" s="1" t="n">
        <v>1212.07</v>
      </c>
      <c r="AI245" s="1" t="n">
        <v>868.77</v>
      </c>
      <c r="AJ245" s="1" t="n">
        <v>187.54</v>
      </c>
      <c r="AK245" s="1" t="n">
        <v>-337.21</v>
      </c>
      <c r="AL245" s="1" t="n">
        <v>423.54</v>
      </c>
      <c r="AM245" s="1" t="n">
        <v>533.9</v>
      </c>
      <c r="AN245" s="1" t="n">
        <v>786.12</v>
      </c>
      <c r="AO245" s="1" t="n">
        <v>1019.53</v>
      </c>
      <c r="AP245" s="1" t="n">
        <v>1439.74</v>
      </c>
      <c r="AQ245" s="1" t="n">
        <v>1865.26</v>
      </c>
      <c r="AR245" s="1" t="n">
        <v>2096.21</v>
      </c>
      <c r="AS245" s="1" t="n">
        <v>1808.54</v>
      </c>
      <c r="AT245" s="1" t="n"/>
      <c r="EM245" s="1" t="n">
        <v>2060.844</v>
      </c>
    </row>
    <row r="246">
      <c r="A246" s="2" t="inlineStr">
        <is>
          <t xml:space="preserve">    加：资产减值准备</t>
        </is>
      </c>
      <c r="B246" s="1" t="n">
        <v>464.25</v>
      </c>
      <c r="C246" s="1" t="n">
        <v>107.88</v>
      </c>
      <c r="D246" s="1" t="n">
        <v>617.89</v>
      </c>
      <c r="E246" s="1" t="n">
        <v>826.64</v>
      </c>
      <c r="F246" s="1" t="n">
        <v>986.85</v>
      </c>
      <c r="G246" s="1" t="n">
        <v>1270.05</v>
      </c>
      <c r="H246" s="1" t="n">
        <v>1115.85</v>
      </c>
      <c r="I246" s="1" t="n">
        <v>961.91</v>
      </c>
      <c r="J246" s="1" t="n">
        <v>632.54</v>
      </c>
      <c r="K246" s="1" t="n">
        <v>1324.57</v>
      </c>
      <c r="L246" s="1" t="n">
        <v>1414.98</v>
      </c>
      <c r="M246" s="1" t="n">
        <v>742.22</v>
      </c>
      <c r="N246" s="1" t="n">
        <v>524</v>
      </c>
      <c r="O246" s="1" t="n">
        <v>896.33</v>
      </c>
      <c r="P246" s="1" t="n">
        <v>567.09</v>
      </c>
      <c r="Q246" s="1" t="n">
        <v>549.02</v>
      </c>
      <c r="R246" s="1" t="n">
        <v>480.48</v>
      </c>
      <c r="S246" s="1" t="n">
        <v>495.92</v>
      </c>
      <c r="T246" s="1" t="n">
        <v>1148.01</v>
      </c>
      <c r="AA246" s="1" t="n">
        <v>15.94</v>
      </c>
      <c r="AB246" s="1" t="n">
        <v>13.12</v>
      </c>
      <c r="AC246" s="1" t="n">
        <v>119</v>
      </c>
      <c r="AD246" s="1" t="n">
        <v>234.36</v>
      </c>
      <c r="AE246" s="1" t="n">
        <v>356.55</v>
      </c>
      <c r="AF246" s="1" t="n">
        <v>559.46</v>
      </c>
      <c r="AG246" s="1" t="n">
        <v>412.01</v>
      </c>
      <c r="AH246" s="1" t="n">
        <v>356.34</v>
      </c>
      <c r="AI246" s="1" t="n">
        <v>339</v>
      </c>
      <c r="AJ246" s="1" t="n">
        <v>117.01</v>
      </c>
      <c r="AK246" s="1" t="n">
        <v>653.99</v>
      </c>
      <c r="AL246" s="1" t="n">
        <v>210.99</v>
      </c>
      <c r="AM246" s="1" t="n">
        <v>448.07</v>
      </c>
      <c r="AN246" s="1" t="n">
        <v>347.8</v>
      </c>
      <c r="AO246" s="1" t="n">
        <v>214.25</v>
      </c>
      <c r="AP246" s="1" t="n">
        <v>213.04</v>
      </c>
      <c r="AQ246" s="1" t="n">
        <v>272.37</v>
      </c>
      <c r="AR246" s="1" t="n">
        <v>143.52</v>
      </c>
      <c r="AS246" s="1" t="n">
        <v>259.12</v>
      </c>
      <c r="AT246" s="1" t="n"/>
      <c r="EM246" s="1" t="n">
        <v>209.708</v>
      </c>
    </row>
    <row r="247">
      <c r="A247" s="2" t="inlineStr">
        <is>
          <t xml:space="preserve">            信用减值损失</t>
        </is>
      </c>
      <c r="N247" s="1" t="n">
        <v>255.94</v>
      </c>
      <c r="O247" s="1" t="n">
        <v>25.78</v>
      </c>
      <c r="P247" s="1" t="n">
        <v>-205.36</v>
      </c>
      <c r="Q247" s="1" t="n">
        <v>198.98</v>
      </c>
      <c r="R247" s="1" t="n">
        <v>-277.44</v>
      </c>
      <c r="S247" s="1" t="n">
        <v>175.68</v>
      </c>
      <c r="T247" s="1" t="n">
        <v>146.04</v>
      </c>
      <c r="AN247" s="1" t="n">
        <v>176.13</v>
      </c>
      <c r="AO247" s="1" t="n">
        <v>74.06999999999999</v>
      </c>
      <c r="AP247" s="1" t="n">
        <v>60.72</v>
      </c>
      <c r="AQ247" s="1" t="n">
        <v>-91.44</v>
      </c>
      <c r="AR247" s="1" t="n">
        <v>324.27</v>
      </c>
      <c r="AS247" s="1" t="n">
        <v>-14.43</v>
      </c>
      <c r="AT247" s="1" t="n"/>
      <c r="EM247" s="1" t="n">
        <v>456.797</v>
      </c>
    </row>
    <row r="248">
      <c r="A248" s="2" t="inlineStr">
        <is>
          <t xml:space="preserve">            固定资产折旧、油气资产折耗、生产性生物资产折旧</t>
        </is>
      </c>
      <c r="B248" s="1" t="n">
        <v>307.59</v>
      </c>
      <c r="C248" s="1" t="n">
        <v>417.36</v>
      </c>
      <c r="D248" s="1" t="n">
        <v>412.06</v>
      </c>
      <c r="E248" s="1" t="n">
        <v>638.89</v>
      </c>
      <c r="F248" s="1" t="n">
        <v>864.51</v>
      </c>
      <c r="G248" s="1" t="n">
        <v>1177.66</v>
      </c>
      <c r="H248" s="1" t="n">
        <v>1248.09</v>
      </c>
      <c r="I248" s="1" t="n">
        <v>1218.79</v>
      </c>
      <c r="J248" s="1" t="n">
        <v>1144.25</v>
      </c>
      <c r="K248" s="1" t="n">
        <v>1084.69</v>
      </c>
      <c r="L248" s="1" t="n">
        <v>1025.04</v>
      </c>
      <c r="M248" s="1" t="n">
        <v>940.79</v>
      </c>
      <c r="N248" s="1" t="n">
        <v>876.5599999999999</v>
      </c>
      <c r="O248" s="1" t="n">
        <v>801.77</v>
      </c>
      <c r="P248" s="1" t="n">
        <v>740.15</v>
      </c>
      <c r="Q248" s="1" t="n">
        <v>664.48</v>
      </c>
      <c r="R248" s="1" t="n">
        <v>640.04</v>
      </c>
      <c r="S248" s="1" t="n">
        <v>642.76</v>
      </c>
      <c r="T248" s="1" t="n">
        <v>780</v>
      </c>
      <c r="AA248" s="1" t="n">
        <v>49.52</v>
      </c>
      <c r="AB248" s="1" t="n">
        <v>53.94</v>
      </c>
      <c r="AC248" s="1" t="n">
        <v>118.5</v>
      </c>
      <c r="AD248" s="1" t="n">
        <v>222</v>
      </c>
      <c r="AE248" s="1" t="n">
        <v>365.7</v>
      </c>
      <c r="AF248" s="1" t="n">
        <v>544.08</v>
      </c>
      <c r="AG248" s="1" t="n">
        <v>612.23</v>
      </c>
      <c r="AH248" s="1" t="n">
        <v>602.54</v>
      </c>
      <c r="AI248" s="1" t="n">
        <v>560.71</v>
      </c>
      <c r="AJ248" s="1" t="n">
        <v>541.6</v>
      </c>
      <c r="AK248" s="1" t="n">
        <v>517.34</v>
      </c>
      <c r="AL248" s="1" t="n">
        <v>495.16</v>
      </c>
      <c r="AM248" s="1" t="n">
        <v>419.22</v>
      </c>
      <c r="AN248" s="1" t="n">
        <v>398.83</v>
      </c>
      <c r="AO248" s="1" t="n">
        <v>377.37</v>
      </c>
      <c r="AP248" s="1" t="n">
        <v>339.26</v>
      </c>
      <c r="AQ248" s="1" t="n">
        <v>320.58</v>
      </c>
      <c r="AR248" s="1" t="n">
        <v>340.46</v>
      </c>
      <c r="AS248" s="1" t="n">
        <v>374.57</v>
      </c>
      <c r="AT248" s="1" t="n"/>
      <c r="EM248" s="1" t="n">
        <v>408.296</v>
      </c>
    </row>
    <row r="249">
      <c r="A249" s="2" t="inlineStr">
        <is>
          <t xml:space="preserve">            无形资产摊销</t>
        </is>
      </c>
      <c r="B249" s="1" t="n">
        <v>30.75</v>
      </c>
      <c r="C249" s="1" t="n">
        <v>40.01</v>
      </c>
      <c r="D249" s="1" t="n">
        <v>25.8</v>
      </c>
      <c r="E249" s="1" t="n">
        <v>43.05</v>
      </c>
      <c r="F249" s="1" t="n">
        <v>69.94</v>
      </c>
      <c r="G249" s="1" t="n">
        <v>50.96</v>
      </c>
      <c r="H249" s="1" t="n">
        <v>51.7</v>
      </c>
      <c r="I249" s="1" t="n">
        <v>55.43</v>
      </c>
      <c r="J249" s="1" t="n">
        <v>64.84</v>
      </c>
      <c r="K249" s="1" t="n">
        <v>56.24</v>
      </c>
      <c r="L249" s="1" t="n">
        <v>61.97</v>
      </c>
      <c r="M249" s="1" t="n">
        <v>52.23</v>
      </c>
      <c r="N249" s="1" t="n">
        <v>97.08</v>
      </c>
      <c r="O249" s="1" t="n">
        <v>94.02</v>
      </c>
      <c r="P249" s="1" t="n">
        <v>94.52</v>
      </c>
      <c r="Q249" s="1" t="n">
        <v>97.2</v>
      </c>
      <c r="R249" s="1" t="n">
        <v>122.01</v>
      </c>
      <c r="S249" s="1" t="n">
        <v>118.53</v>
      </c>
      <c r="T249" s="1" t="n">
        <v>134.24</v>
      </c>
      <c r="AA249" s="1" t="n">
        <v>0.71</v>
      </c>
      <c r="AB249" s="1" t="n">
        <v>0.6899999999999999</v>
      </c>
      <c r="AC249" s="1" t="n">
        <v>13.74</v>
      </c>
      <c r="AD249" s="1" t="n">
        <v>17.83</v>
      </c>
      <c r="AE249" s="1" t="n">
        <v>15.02</v>
      </c>
      <c r="AF249" s="1" t="n">
        <v>24.86</v>
      </c>
      <c r="AG249" s="1" t="n">
        <v>25.25</v>
      </c>
      <c r="AH249" s="1" t="n">
        <v>27.34</v>
      </c>
      <c r="AI249" s="1" t="n">
        <v>39.13</v>
      </c>
      <c r="AJ249" s="1" t="n">
        <v>30.38</v>
      </c>
      <c r="AK249" s="1" t="n">
        <v>25.5</v>
      </c>
      <c r="AL249" s="1" t="n">
        <v>26.67</v>
      </c>
      <c r="AM249" s="1" t="n">
        <v>40.49</v>
      </c>
      <c r="AN249" s="1" t="n">
        <v>34.22</v>
      </c>
      <c r="AO249" s="1" t="n">
        <v>50.18</v>
      </c>
      <c r="AP249" s="1" t="n">
        <v>46.91</v>
      </c>
      <c r="AQ249" s="1" t="n">
        <v>53.79</v>
      </c>
      <c r="AR249" s="1" t="n">
        <v>43.92</v>
      </c>
      <c r="AS249" s="1" t="n">
        <v>64.83</v>
      </c>
      <c r="AT249" s="1" t="n"/>
      <c r="EM249" s="1" t="n">
        <v>70.75700000000001</v>
      </c>
    </row>
    <row r="250">
      <c r="A250" s="2" t="inlineStr">
        <is>
          <t xml:space="preserve">            使用权资产折旧</t>
        </is>
      </c>
      <c r="O250" s="1" t="n">
        <v>132.67</v>
      </c>
      <c r="P250" s="1" t="n">
        <v>133.48</v>
      </c>
      <c r="Q250" s="1" t="n">
        <v>135.28</v>
      </c>
      <c r="R250" s="1" t="n">
        <v>123.42</v>
      </c>
      <c r="S250" s="1" t="n">
        <v>114.06</v>
      </c>
      <c r="AO250" s="1" t="n">
        <v>64.76000000000001</v>
      </c>
      <c r="AP250" s="1" t="n">
        <v>66.81</v>
      </c>
      <c r="AQ250" s="1" t="n">
        <v>75.2</v>
      </c>
      <c r="AR250" s="1" t="n">
        <v>55.72</v>
      </c>
      <c r="AS250" s="1" t="n">
        <v>65.23999999999999</v>
      </c>
      <c r="EM250" s="1" t="inlineStr"/>
    </row>
    <row r="251">
      <c r="A251" s="2" t="inlineStr">
        <is>
          <t xml:space="preserve">            长期待摊费用摊销</t>
        </is>
      </c>
      <c r="B251" s="1" t="n">
        <v>5.86</v>
      </c>
      <c r="C251" s="1" t="n">
        <v>5.3</v>
      </c>
      <c r="E251" s="1" t="n">
        <v>0.08</v>
      </c>
      <c r="F251" s="1" t="n">
        <v>0.49</v>
      </c>
      <c r="G251" s="1" t="n">
        <v>0.92</v>
      </c>
      <c r="H251" s="1" t="n">
        <v>0.17</v>
      </c>
      <c r="I251" s="1" t="n">
        <v>0.11</v>
      </c>
      <c r="J251" s="1" t="n">
        <v>0.15</v>
      </c>
      <c r="K251" s="1" t="n">
        <v>0.13</v>
      </c>
      <c r="L251" s="1" t="n">
        <v>0.51</v>
      </c>
      <c r="M251" s="1" t="n">
        <v>0.49</v>
      </c>
      <c r="N251" s="1" t="n">
        <v>13.5</v>
      </c>
      <c r="O251" s="1" t="n">
        <v>15.38</v>
      </c>
      <c r="P251" s="1" t="n">
        <v>49.46</v>
      </c>
      <c r="Q251" s="1" t="n">
        <v>0.47</v>
      </c>
      <c r="R251" s="1" t="n">
        <v>0.67</v>
      </c>
      <c r="S251" s="1" t="n">
        <v>0.76</v>
      </c>
      <c r="T251" s="1" t="n">
        <v>2.8</v>
      </c>
      <c r="AD251" s="1" t="n">
        <v>0.04</v>
      </c>
      <c r="AE251" s="1" t="n">
        <v>0.05</v>
      </c>
      <c r="AF251" s="1" t="n">
        <v>0.16</v>
      </c>
      <c r="AG251" s="1" t="n">
        <v>0.1</v>
      </c>
      <c r="AH251" s="1" t="n">
        <v>0.05</v>
      </c>
      <c r="AI251" s="1" t="n">
        <v>0.07000000000000001</v>
      </c>
      <c r="AJ251" s="1" t="n">
        <v>0.07000000000000001</v>
      </c>
      <c r="AK251" s="1" t="n">
        <v>0.07000000000000001</v>
      </c>
      <c r="AL251" s="1" t="n">
        <v>0.03</v>
      </c>
      <c r="AM251" s="1" t="n">
        <v>0.03</v>
      </c>
      <c r="AN251" s="1" t="n">
        <v>26.12</v>
      </c>
      <c r="AO251" s="1" t="n">
        <v>10.78</v>
      </c>
      <c r="AP251" s="1" t="n">
        <v>0.08</v>
      </c>
      <c r="AQ251" s="1" t="n">
        <v>0.25</v>
      </c>
      <c r="AR251" s="1" t="n">
        <v>0.48</v>
      </c>
      <c r="AS251" s="1" t="n">
        <v>0.36</v>
      </c>
      <c r="AT251" s="1" t="n"/>
      <c r="EM251" s="1" t="n">
        <v>2.495</v>
      </c>
    </row>
    <row r="252">
      <c r="A252" s="2" t="inlineStr">
        <is>
          <t xml:space="preserve">            待摊费用减少</t>
        </is>
      </c>
      <c r="B252" s="1" t="n">
        <v>0.19</v>
      </c>
      <c r="EM252" s="1" t="inlineStr"/>
    </row>
    <row r="253">
      <c r="A253" s="2" t="inlineStr">
        <is>
          <t xml:space="preserve">            预提费用增加</t>
        </is>
      </c>
      <c r="EM253" s="1" t="inlineStr"/>
    </row>
    <row r="254">
      <c r="A254" s="2" t="inlineStr">
        <is>
          <t xml:space="preserve">            处置固定资产、无形资产和其他长期资产的损失</t>
        </is>
      </c>
      <c r="B254" s="1" t="n">
        <v>0.66</v>
      </c>
      <c r="C254" s="1" t="n">
        <v>-2.69</v>
      </c>
      <c r="D254" s="1" t="n">
        <v>-1.39</v>
      </c>
      <c r="E254" s="1" t="n">
        <v>0.25</v>
      </c>
      <c r="F254" s="1" t="n">
        <v>4.07</v>
      </c>
      <c r="G254" s="1" t="n">
        <v>6.82</v>
      </c>
      <c r="H254" s="1" t="n">
        <v>-3.44</v>
      </c>
      <c r="I254" s="1" t="n">
        <v>-4.1</v>
      </c>
      <c r="J254" s="1" t="n">
        <v>1.82</v>
      </c>
      <c r="K254" s="1" t="n">
        <v>-13.85</v>
      </c>
      <c r="L254" s="1" t="n">
        <v>5.4</v>
      </c>
      <c r="M254" s="1" t="n">
        <v>-18.21</v>
      </c>
      <c r="N254" s="1" t="n">
        <v>-17.42</v>
      </c>
      <c r="O254" s="1" t="n">
        <v>-9.42</v>
      </c>
      <c r="P254" s="1" t="n">
        <v>-7.08</v>
      </c>
      <c r="Q254" s="1" t="n">
        <v>-271.94</v>
      </c>
      <c r="R254" s="1" t="n">
        <v>-50.19</v>
      </c>
      <c r="S254" s="1" t="n">
        <v>-9.77</v>
      </c>
      <c r="T254" s="1" t="n">
        <v>-16.45</v>
      </c>
      <c r="AA254" s="1" t="n">
        <v>-2.51</v>
      </c>
      <c r="AB254" s="1" t="n">
        <v>-0.17</v>
      </c>
      <c r="AC254" s="1" t="n">
        <v>-1.5</v>
      </c>
      <c r="AD254" s="1" t="n">
        <v>0.32</v>
      </c>
      <c r="AE254" s="1" t="n">
        <v>-0.74</v>
      </c>
      <c r="AF254" s="1" t="n">
        <v>-2.7</v>
      </c>
      <c r="AG254" s="1" t="n">
        <v>-0.21</v>
      </c>
      <c r="AH254" s="1" t="n">
        <v>-4.26</v>
      </c>
      <c r="AI254" s="1" t="n">
        <v>0.51</v>
      </c>
      <c r="AJ254" s="1" t="n">
        <v>0.91</v>
      </c>
      <c r="AK254" s="1" t="n">
        <v>0.85</v>
      </c>
      <c r="AL254" s="1" t="n">
        <v>-16.34</v>
      </c>
      <c r="AM254" s="1" t="n">
        <v>-1.86</v>
      </c>
      <c r="AN254" s="1" t="n">
        <v>-1.2</v>
      </c>
      <c r="AO254" s="1" t="n">
        <v>-4.91</v>
      </c>
      <c r="AP254" s="1" t="n">
        <v>-227.47</v>
      </c>
      <c r="AQ254" s="1" t="n">
        <v>-43.04</v>
      </c>
      <c r="AR254" s="1" t="n">
        <v>-4.86</v>
      </c>
      <c r="AS254" s="1" t="n">
        <v>-0.12</v>
      </c>
      <c r="AT254" s="1" t="n"/>
      <c r="EM254" s="1" t="n">
        <v>-3.497</v>
      </c>
    </row>
    <row r="255">
      <c r="A255" s="2" t="inlineStr">
        <is>
          <t xml:space="preserve">            固定资产报废损失</t>
        </is>
      </c>
      <c r="C255" s="1" t="n">
        <v>3.18</v>
      </c>
      <c r="D255" s="1" t="n">
        <v>0.02</v>
      </c>
      <c r="G255" s="1" t="n">
        <v>0.95</v>
      </c>
      <c r="H255" s="1" t="n">
        <v>0.06</v>
      </c>
      <c r="I255" s="1" t="n">
        <v>0.06</v>
      </c>
      <c r="J255" s="1" t="n">
        <v>0.09</v>
      </c>
      <c r="K255" s="1" t="n">
        <v>0.45</v>
      </c>
      <c r="L255" s="1" t="n">
        <v>0.04</v>
      </c>
      <c r="M255" s="1" t="n">
        <v>1.25</v>
      </c>
      <c r="N255" s="1" t="n">
        <v>2.17</v>
      </c>
      <c r="O255" s="1" t="n">
        <v>0.48</v>
      </c>
      <c r="P255" s="1" t="n">
        <v>2.1</v>
      </c>
      <c r="Q255" s="1" t="n">
        <v>1.98</v>
      </c>
      <c r="R255" s="1" t="n">
        <v>0.96</v>
      </c>
      <c r="S255" s="1" t="n">
        <v>7.12</v>
      </c>
      <c r="T255" s="1" t="n">
        <v>5.38</v>
      </c>
      <c r="AC255" s="1" t="n">
        <v>308.05</v>
      </c>
      <c r="AD255" s="1" t="n">
        <v>0.67</v>
      </c>
      <c r="AF255" s="1" t="n">
        <v>0.01</v>
      </c>
      <c r="AL255" s="1" t="n">
        <v>0.17</v>
      </c>
      <c r="AM255" s="1" t="n">
        <v>0.37</v>
      </c>
      <c r="AN255" s="1" t="n">
        <v>0.1</v>
      </c>
      <c r="AO255" s="1" t="n">
        <v>0.6899999999999999</v>
      </c>
      <c r="AP255" s="1" t="n">
        <v>0.5600000000000001</v>
      </c>
      <c r="AQ255" s="1" t="n">
        <v>1.71</v>
      </c>
      <c r="AR255" s="1" t="n">
        <v>3.55</v>
      </c>
      <c r="AS255" s="1" t="n">
        <v>3.1</v>
      </c>
      <c r="AT255" s="1" t="n"/>
      <c r="EM255" s="1" t="n">
        <v>3.407</v>
      </c>
    </row>
    <row r="256">
      <c r="A256" s="2" t="inlineStr">
        <is>
          <t xml:space="preserve">            公允价值变动损失</t>
        </is>
      </c>
      <c r="C256" s="1" t="n">
        <v>-0.84</v>
      </c>
      <c r="D256" s="1" t="n">
        <v>0.71</v>
      </c>
      <c r="E256" s="1" t="n">
        <v>-1.62</v>
      </c>
      <c r="F256" s="1" t="n">
        <v>-26.66</v>
      </c>
      <c r="G256" s="1" t="n">
        <v>41.09</v>
      </c>
      <c r="H256" s="1" t="n">
        <v>29.85</v>
      </c>
      <c r="I256" s="1" t="n">
        <v>-22.17</v>
      </c>
      <c r="J256" s="1" t="n">
        <v>-32.61</v>
      </c>
      <c r="K256" s="1" t="n">
        <v>20.94</v>
      </c>
      <c r="L256" s="1" t="n">
        <v>4.9</v>
      </c>
      <c r="M256" s="1" t="n">
        <v>5.63</v>
      </c>
      <c r="N256" s="1" t="n">
        <v>-83.65000000000001</v>
      </c>
      <c r="O256" s="1" t="n">
        <v>126.07</v>
      </c>
      <c r="P256" s="1" t="n">
        <v>138.21</v>
      </c>
      <c r="Q256" s="1" t="n">
        <v>-173.61</v>
      </c>
      <c r="R256" s="1" t="n">
        <v>61.54</v>
      </c>
      <c r="S256" s="1" t="n">
        <v>-85.06</v>
      </c>
      <c r="T256" s="1" t="n">
        <v>204.16</v>
      </c>
      <c r="AC256" s="1" t="n">
        <v>0.57</v>
      </c>
      <c r="AD256" s="1" t="n">
        <v>-0.15</v>
      </c>
      <c r="AE256" s="1" t="n">
        <v>-11.59</v>
      </c>
      <c r="AF256" s="1" t="n">
        <v>-32.14</v>
      </c>
      <c r="AG256" s="1" t="n">
        <v>56.65</v>
      </c>
      <c r="AH256" s="1" t="n">
        <v>-21.78</v>
      </c>
      <c r="AI256" s="1" t="n">
        <v>0.58</v>
      </c>
      <c r="AJ256" s="1" t="n">
        <v>0.11</v>
      </c>
      <c r="AK256" s="1" t="n">
        <v>4.54</v>
      </c>
      <c r="AL256" s="1" t="n">
        <v>3.87</v>
      </c>
      <c r="AM256" s="1" t="n">
        <v>8.279999999999999</v>
      </c>
      <c r="AN256" s="1" t="n">
        <v>78.88</v>
      </c>
      <c r="AO256" s="1" t="n">
        <v>110.15</v>
      </c>
      <c r="AP256" s="1" t="n">
        <v>11.52</v>
      </c>
      <c r="AQ256" s="1" t="n">
        <v>9.9</v>
      </c>
      <c r="AR256" s="1" t="n">
        <v>-48.64</v>
      </c>
      <c r="AS256" s="1" t="n">
        <v>-28.34</v>
      </c>
      <c r="AT256" s="1" t="n"/>
      <c r="EM256" s="1" t="n">
        <v>75.265</v>
      </c>
    </row>
    <row r="257">
      <c r="A257" s="2" t="inlineStr">
        <is>
          <t xml:space="preserve">            财务费用</t>
        </is>
      </c>
      <c r="B257" s="1" t="n">
        <v>2.11</v>
      </c>
      <c r="C257" s="1" t="n">
        <v>22.34</v>
      </c>
      <c r="D257" s="1" t="n">
        <v>308.05</v>
      </c>
      <c r="E257" s="1" t="n">
        <v>275.74</v>
      </c>
      <c r="F257" s="1" t="n">
        <v>130.98</v>
      </c>
      <c r="G257" s="1" t="n">
        <v>102.6</v>
      </c>
      <c r="H257" s="1" t="n">
        <v>73.93000000000001</v>
      </c>
      <c r="I257" s="1" t="n">
        <v>131.54</v>
      </c>
      <c r="J257" s="1" t="n">
        <v>253.55</v>
      </c>
      <c r="K257" s="1" t="n">
        <v>57.76</v>
      </c>
      <c r="L257" s="1" t="n">
        <v>-118.37</v>
      </c>
      <c r="M257" s="1" t="n">
        <v>143.56</v>
      </c>
      <c r="N257" s="1" t="n">
        <v>-244.94</v>
      </c>
      <c r="O257" s="1" t="n">
        <v>-54.35</v>
      </c>
      <c r="P257" s="1" t="n">
        <v>240.29</v>
      </c>
      <c r="Q257" s="1" t="n">
        <v>99.69</v>
      </c>
      <c r="R257" s="1" t="n">
        <v>-73.79000000000001</v>
      </c>
      <c r="S257" s="1" t="n">
        <v>7.45</v>
      </c>
      <c r="T257" s="1" t="n">
        <v>88.90000000000001</v>
      </c>
      <c r="AA257" s="1" t="n">
        <v>0.4</v>
      </c>
      <c r="AB257" s="1" t="n">
        <v>0.16</v>
      </c>
      <c r="AC257" s="1" t="n">
        <v>118.87</v>
      </c>
      <c r="AD257" s="1" t="n">
        <v>84.22</v>
      </c>
      <c r="AE257" s="1" t="n">
        <v>-8.98</v>
      </c>
      <c r="AF257" s="1" t="n">
        <v>-26.13</v>
      </c>
      <c r="AG257" s="1" t="n">
        <v>-11.27</v>
      </c>
      <c r="AH257" s="1" t="n">
        <v>-45.06</v>
      </c>
      <c r="AI257" s="1" t="n">
        <v>-105.79</v>
      </c>
      <c r="AJ257" s="1" t="n">
        <v>-92.12</v>
      </c>
      <c r="AK257" s="1" t="n">
        <v>-83.56999999999999</v>
      </c>
      <c r="AL257" s="1" t="n">
        <v>-68.53</v>
      </c>
      <c r="AM257" s="1" t="n">
        <v>-48.3</v>
      </c>
      <c r="AN257" s="1" t="n">
        <v>-23</v>
      </c>
      <c r="AO257" s="1" t="n">
        <v>-54.13</v>
      </c>
      <c r="AP257" s="1" t="n">
        <v>26.95</v>
      </c>
      <c r="AQ257" s="1" t="n">
        <v>-45.55</v>
      </c>
      <c r="AR257" s="1" t="n">
        <v>-43.86</v>
      </c>
      <c r="AS257" s="1" t="n">
        <v>48.95</v>
      </c>
      <c r="AT257" s="1" t="n"/>
      <c r="EM257" s="1" t="n">
        <v>3.533</v>
      </c>
    </row>
    <row r="258">
      <c r="A258" s="2" t="inlineStr">
        <is>
          <t xml:space="preserve">            投资损失</t>
        </is>
      </c>
      <c r="B258" s="1" t="n">
        <v>-5.64</v>
      </c>
      <c r="C258" s="1" t="n">
        <v>24.01</v>
      </c>
      <c r="D258" s="1" t="n">
        <v>8.630000000000001</v>
      </c>
      <c r="E258" s="1" t="n">
        <v>-24.12</v>
      </c>
      <c r="F258" s="1" t="n">
        <v>-91.62</v>
      </c>
      <c r="G258" s="1" t="n">
        <v>-141.6</v>
      </c>
      <c r="H258" s="1" t="n">
        <v>-179.67</v>
      </c>
      <c r="I258" s="1" t="n">
        <v>-226.56</v>
      </c>
      <c r="J258" s="1" t="n">
        <v>-212.03</v>
      </c>
      <c r="K258" s="1" t="n">
        <v>-191.84</v>
      </c>
      <c r="L258" s="1" t="n">
        <v>-244.53</v>
      </c>
      <c r="M258" s="1" t="n">
        <v>-185.71</v>
      </c>
      <c r="N258" s="1" t="n">
        <v>-245.95</v>
      </c>
      <c r="O258" s="1" t="n">
        <v>-377.94</v>
      </c>
      <c r="P258" s="1" t="n">
        <v>-336.7</v>
      </c>
      <c r="Q258" s="1" t="n">
        <v>-425.57</v>
      </c>
      <c r="R258" s="1" t="n">
        <v>-480.56</v>
      </c>
      <c r="S258" s="1" t="n">
        <v>-748.15</v>
      </c>
      <c r="T258" s="1" t="n">
        <v>-1577.06</v>
      </c>
      <c r="AB258" s="1" t="n">
        <v>-1.54</v>
      </c>
      <c r="AC258" s="1" t="n">
        <v>7.73</v>
      </c>
      <c r="AD258" s="1" t="n">
        <v>-8.369999999999999</v>
      </c>
      <c r="AE258" s="1" t="n">
        <v>-11.77</v>
      </c>
      <c r="AF258" s="1" t="n">
        <v>-55.36</v>
      </c>
      <c r="AG258" s="1" t="n">
        <v>-76.18000000000001</v>
      </c>
      <c r="AH258" s="1" t="n">
        <v>-67.33</v>
      </c>
      <c r="AI258" s="1" t="n">
        <v>-46.47</v>
      </c>
      <c r="AJ258" s="1" t="n">
        <v>-53.75</v>
      </c>
      <c r="AK258" s="1" t="n">
        <v>-138.65</v>
      </c>
      <c r="AL258" s="1" t="n">
        <v>-35.82</v>
      </c>
      <c r="AM258" s="1" t="n">
        <v>-143.26</v>
      </c>
      <c r="AN258" s="1" t="n">
        <v>-150.62</v>
      </c>
      <c r="AO258" s="1" t="n">
        <v>-113.44</v>
      </c>
      <c r="AP258" s="1" t="n">
        <v>-184.37</v>
      </c>
      <c r="AQ258" s="1" t="n">
        <v>-134.85</v>
      </c>
      <c r="AR258" s="1" t="n">
        <v>-177.6</v>
      </c>
      <c r="AS258" s="1" t="n">
        <v>39.63</v>
      </c>
      <c r="AT258" s="1" t="n"/>
      <c r="EM258" s="1" t="n">
        <v>-141.075</v>
      </c>
    </row>
    <row r="259">
      <c r="A259" s="2" t="inlineStr">
        <is>
          <t xml:space="preserve">            递延所得税资产减少</t>
        </is>
      </c>
      <c r="B259" s="1" t="n">
        <v>-93.84999999999999</v>
      </c>
      <c r="C259" s="1" t="n">
        <v>-41.89</v>
      </c>
      <c r="D259" s="1" t="n">
        <v>-196.26</v>
      </c>
      <c r="E259" s="1" t="n">
        <v>-145.92</v>
      </c>
      <c r="F259" s="1" t="n">
        <v>-61.01</v>
      </c>
      <c r="G259" s="1" t="n">
        <v>-246.81</v>
      </c>
      <c r="H259" s="1" t="n">
        <v>-124.38</v>
      </c>
      <c r="I259" s="1" t="n">
        <v>-185.54</v>
      </c>
      <c r="J259" s="1" t="n">
        <v>-71.7</v>
      </c>
      <c r="K259" s="1" t="n">
        <v>-216.23</v>
      </c>
      <c r="L259" s="1" t="n">
        <v>-317.72</v>
      </c>
      <c r="M259" s="1" t="n">
        <v>-259.53</v>
      </c>
      <c r="N259" s="1" t="n">
        <v>-315.75</v>
      </c>
      <c r="O259" s="1" t="n">
        <v>4.23</v>
      </c>
      <c r="P259" s="1" t="n">
        <v>-81.59</v>
      </c>
      <c r="Q259" s="1" t="n">
        <v>-164.46</v>
      </c>
      <c r="R259" s="1" t="n">
        <v>-7.48</v>
      </c>
      <c r="S259" s="1" t="n">
        <v>-19.98</v>
      </c>
      <c r="T259" s="1" t="n">
        <v>-92.66</v>
      </c>
      <c r="AA259" s="1" t="n">
        <v>-24.84</v>
      </c>
      <c r="AB259" s="1" t="n">
        <v>-4.64</v>
      </c>
      <c r="AC259" s="1" t="n">
        <v>29.81</v>
      </c>
      <c r="AD259" s="1" t="n">
        <v>25.4</v>
      </c>
      <c r="AE259" s="1" t="n">
        <v>-41.11</v>
      </c>
      <c r="AF259" s="1" t="n">
        <v>-87.87</v>
      </c>
      <c r="AG259" s="1" t="n">
        <v>-70.09</v>
      </c>
      <c r="AH259" s="1" t="n">
        <v>-18.96</v>
      </c>
      <c r="AI259" s="1" t="n">
        <v>-5.34</v>
      </c>
      <c r="AJ259" s="1" t="n">
        <v>-13.32</v>
      </c>
      <c r="AK259" s="1" t="n">
        <v>-47.34</v>
      </c>
      <c r="AL259" s="1" t="n">
        <v>-44.88</v>
      </c>
      <c r="AM259" s="1" t="n">
        <v>-67.58</v>
      </c>
      <c r="AN259" s="1" t="n">
        <v>-33.9</v>
      </c>
      <c r="AO259" s="1" t="n">
        <v>-32.57</v>
      </c>
      <c r="AP259" s="1" t="n">
        <v>-63.78</v>
      </c>
      <c r="AQ259" s="1" t="n">
        <v>-129.93</v>
      </c>
      <c r="AR259" s="1" t="n">
        <v>-41.97</v>
      </c>
      <c r="AS259" s="1" t="n">
        <v>-181.38</v>
      </c>
      <c r="AT259" s="1" t="n"/>
      <c r="EM259" s="1" t="n">
        <v>-119.501</v>
      </c>
    </row>
    <row r="260">
      <c r="A260" s="2" t="inlineStr">
        <is>
          <t xml:space="preserve">            递延所得税负债增加</t>
        </is>
      </c>
      <c r="B260" s="1" t="n">
        <v>-82.38</v>
      </c>
      <c r="C260" s="1" t="n">
        <v>-37.26</v>
      </c>
      <c r="D260" s="1" t="n">
        <v>-14.72</v>
      </c>
      <c r="E260" s="1" t="n">
        <v>-8.91</v>
      </c>
      <c r="F260" s="1" t="n">
        <v>-5.84</v>
      </c>
      <c r="G260" s="1" t="n">
        <v>-8.800000000000001</v>
      </c>
      <c r="H260" s="1" t="n">
        <v>-7.71</v>
      </c>
      <c r="I260" s="1" t="n">
        <v>-2.09</v>
      </c>
      <c r="J260" s="1" t="n">
        <v>0.83</v>
      </c>
      <c r="K260" s="1" t="n">
        <v>12.15</v>
      </c>
      <c r="L260" s="1" t="n">
        <v>-7.52</v>
      </c>
      <c r="M260" s="1" t="n">
        <v>0.66</v>
      </c>
      <c r="N260" s="1" t="n">
        <v>4.78</v>
      </c>
      <c r="O260" s="1" t="n">
        <v>11.79</v>
      </c>
      <c r="P260" s="1" t="n">
        <v>-3.67</v>
      </c>
      <c r="Q260" s="1" t="n">
        <v>11.6</v>
      </c>
      <c r="R260" s="1" t="n">
        <v>14.35</v>
      </c>
      <c r="S260" s="1" t="n">
        <v>55.81</v>
      </c>
      <c r="T260" s="1" t="n">
        <v>49.69</v>
      </c>
      <c r="AC260" s="1" t="n">
        <v>-17.13</v>
      </c>
      <c r="AD260" s="1" t="n">
        <v>-12.37</v>
      </c>
      <c r="AE260" s="1" t="n">
        <v>-4.04</v>
      </c>
      <c r="AF260" s="1" t="n">
        <v>-0.45</v>
      </c>
      <c r="AG260" s="1" t="n">
        <v>5.76</v>
      </c>
      <c r="AH260" s="1" t="n">
        <v>-0.58</v>
      </c>
      <c r="AI260" s="1" t="n">
        <v>-0.41</v>
      </c>
      <c r="AJ260" s="1" t="n">
        <v>-0.02</v>
      </c>
      <c r="AK260" s="1" t="n">
        <v>0</v>
      </c>
      <c r="AL260" s="1" t="n">
        <v>-0.62</v>
      </c>
      <c r="AM260" s="1" t="n">
        <v>-3.48</v>
      </c>
      <c r="AN260" s="1" t="n">
        <v>-4.91</v>
      </c>
      <c r="AO260" s="1" t="n">
        <v>-0.6</v>
      </c>
      <c r="AQ260" s="1" t="n">
        <v>-2.31</v>
      </c>
      <c r="AR260" s="1" t="n">
        <v>-9.93</v>
      </c>
      <c r="AS260" s="1" t="n">
        <v>26.64</v>
      </c>
      <c r="AT260" s="1" t="n"/>
      <c r="EM260" s="1" t="n">
        <v>-5.939</v>
      </c>
    </row>
    <row r="261">
      <c r="A261" s="2" t="inlineStr">
        <is>
          <t xml:space="preserve">            存货的减少</t>
        </is>
      </c>
      <c r="B261" s="1" t="n">
        <v>-2193.16</v>
      </c>
      <c r="C261" s="1" t="n">
        <v>-3415.75</v>
      </c>
      <c r="D261" s="1" t="n">
        <v>-8912.4</v>
      </c>
      <c r="E261" s="1" t="n">
        <v>-6912.21</v>
      </c>
      <c r="F261" s="1" t="n">
        <v>-6174.08</v>
      </c>
      <c r="G261" s="1" t="n">
        <v>-1515.59</v>
      </c>
      <c r="H261" s="1" t="n">
        <v>3955.02</v>
      </c>
      <c r="I261" s="1" t="n">
        <v>4473.24</v>
      </c>
      <c r="J261" s="1" t="n">
        <v>-2803.06</v>
      </c>
      <c r="K261" s="1" t="n">
        <v>1806.92</v>
      </c>
      <c r="L261" s="1" t="n">
        <v>6459.96</v>
      </c>
      <c r="M261" s="1" t="n">
        <v>1047.58</v>
      </c>
      <c r="N261" s="1" t="n">
        <v>3655.26</v>
      </c>
      <c r="O261" s="1" t="n">
        <v>448.94</v>
      </c>
      <c r="P261" s="1" t="n">
        <v>-2467.83</v>
      </c>
      <c r="Q261" s="1" t="n">
        <v>-3452.58</v>
      </c>
      <c r="R261" s="1" t="n">
        <v>607.17</v>
      </c>
      <c r="S261" s="1" t="n">
        <v>660.88</v>
      </c>
      <c r="T261" s="1" t="n">
        <v>-3548.71</v>
      </c>
      <c r="AA261" s="1" t="n">
        <v>-647.84</v>
      </c>
      <c r="AB261" s="1" t="n">
        <v>-239.04</v>
      </c>
      <c r="AC261" s="1" t="n">
        <v>-3284.13</v>
      </c>
      <c r="AD261" s="1" t="n">
        <v>-2674.05</v>
      </c>
      <c r="AE261" s="1" t="n">
        <v>-2533.27</v>
      </c>
      <c r="AF261" s="1" t="n">
        <v>-3863.26</v>
      </c>
      <c r="AG261" s="1" t="n">
        <v>1993.59</v>
      </c>
      <c r="AH261" s="1" t="n">
        <v>2074.23</v>
      </c>
      <c r="AI261" s="1" t="n">
        <v>-1637.43</v>
      </c>
      <c r="AJ261" s="1" t="n">
        <v>-259.16</v>
      </c>
      <c r="AK261" s="1" t="n">
        <v>1109.33</v>
      </c>
      <c r="AL261" s="1" t="n">
        <v>-832.3200000000001</v>
      </c>
      <c r="AM261" s="1" t="n">
        <v>1039.46</v>
      </c>
      <c r="AN261" s="1" t="n">
        <v>1328.34</v>
      </c>
      <c r="AO261" s="1" t="n">
        <v>-616.22</v>
      </c>
      <c r="AP261" s="1" t="n">
        <v>-1784.79</v>
      </c>
      <c r="AQ261" s="1" t="n">
        <v>1637.94</v>
      </c>
      <c r="AR261" s="1" t="n">
        <v>-554.08</v>
      </c>
      <c r="AS261" s="1" t="n">
        <v>1415.93</v>
      </c>
      <c r="AT261" s="1" t="n"/>
      <c r="EM261" s="1" t="n">
        <v>-5601.482</v>
      </c>
    </row>
    <row r="262">
      <c r="A262" s="2" t="inlineStr">
        <is>
          <t xml:space="preserve">            经营性应收项目的减少</t>
        </is>
      </c>
      <c r="B262" s="1" t="n">
        <v>-2091.86</v>
      </c>
      <c r="C262" s="1" t="n">
        <v>-3777.52</v>
      </c>
      <c r="D262" s="1" t="n">
        <v>-4482.23</v>
      </c>
      <c r="E262" s="1" t="n">
        <v>1548.56</v>
      </c>
      <c r="F262" s="1" t="n">
        <v>-1875.32</v>
      </c>
      <c r="G262" s="1" t="n">
        <v>-2580.03</v>
      </c>
      <c r="H262" s="1" t="n">
        <v>-2198.44</v>
      </c>
      <c r="I262" s="1" t="n">
        <v>-2274.05</v>
      </c>
      <c r="J262" s="1" t="n">
        <v>-2206.79</v>
      </c>
      <c r="K262" s="1" t="n">
        <v>-741.54</v>
      </c>
      <c r="L262" s="1" t="n">
        <v>2531.36</v>
      </c>
      <c r="M262" s="1" t="n">
        <v>3146.25</v>
      </c>
      <c r="N262" s="1" t="n">
        <v>2349.84</v>
      </c>
      <c r="O262" s="1" t="n">
        <v>2641.08</v>
      </c>
      <c r="P262" s="1" t="n">
        <v>-3143.1</v>
      </c>
      <c r="Q262" s="1" t="n">
        <v>-2698.03</v>
      </c>
      <c r="R262" s="1" t="n">
        <v>-2439.42</v>
      </c>
      <c r="S262" s="1" t="n">
        <v>-7894.49</v>
      </c>
      <c r="T262" s="1" t="n">
        <v>3151.38</v>
      </c>
      <c r="AA262" s="1" t="n">
        <v>-293.48</v>
      </c>
      <c r="AB262" s="1" t="n">
        <v>-428.59</v>
      </c>
      <c r="AC262" s="1" t="n">
        <v>-4007.73</v>
      </c>
      <c r="AD262" s="1" t="n">
        <v>-3678.68</v>
      </c>
      <c r="AE262" s="1" t="n">
        <v>-4881</v>
      </c>
      <c r="AF262" s="1" t="n">
        <v>-3393.76</v>
      </c>
      <c r="AG262" s="1" t="n">
        <v>-1317.44</v>
      </c>
      <c r="AH262" s="1" t="n">
        <v>-110.62</v>
      </c>
      <c r="AI262" s="1" t="n">
        <v>-727.35</v>
      </c>
      <c r="AJ262" s="1" t="n">
        <v>788.6799999999999</v>
      </c>
      <c r="AK262" s="1" t="n">
        <v>695.8099999999999</v>
      </c>
      <c r="AL262" s="1" t="n">
        <v>2202.48</v>
      </c>
      <c r="AM262" s="1" t="n">
        <v>2812.67</v>
      </c>
      <c r="AN262" s="1" t="n">
        <v>-558.04</v>
      </c>
      <c r="AO262" s="1" t="n">
        <v>-2503.2</v>
      </c>
      <c r="AP262" s="1" t="n">
        <v>-4579.97</v>
      </c>
      <c r="AQ262" s="1" t="n">
        <v>-4560.78</v>
      </c>
      <c r="AR262" s="1" t="n">
        <v>-13173.25</v>
      </c>
      <c r="AS262" s="1" t="n">
        <v>-4758.39</v>
      </c>
      <c r="AT262" s="1" t="n"/>
      <c r="EM262" s="1" t="n">
        <v>-7275.736</v>
      </c>
    </row>
    <row r="263">
      <c r="A263" s="2" t="inlineStr">
        <is>
          <t xml:space="preserve">            经营性应付项目的增加</t>
        </is>
      </c>
      <c r="B263" s="1" t="n">
        <v>-2462.53</v>
      </c>
      <c r="C263" s="1" t="n">
        <v>4017.61</v>
      </c>
      <c r="D263" s="1" t="n">
        <v>17461.19</v>
      </c>
      <c r="E263" s="1" t="n">
        <v>8707.66</v>
      </c>
      <c r="F263" s="1" t="n">
        <v>5453.88</v>
      </c>
      <c r="G263" s="1" t="n">
        <v>-2414.95</v>
      </c>
      <c r="H263" s="1" t="n">
        <v>-6393.27</v>
      </c>
      <c r="I263" s="1" t="n">
        <v>-3522.36</v>
      </c>
      <c r="J263" s="1" t="n">
        <v>4740.14</v>
      </c>
      <c r="K263" s="1" t="n">
        <v>495.98</v>
      </c>
      <c r="L263" s="1" t="n">
        <v>-91.48</v>
      </c>
      <c r="M263" s="1" t="n">
        <v>-5850.04</v>
      </c>
      <c r="N263" s="1" t="n">
        <v>-8582.07</v>
      </c>
      <c r="O263" s="1" t="n">
        <v>-5939.03</v>
      </c>
      <c r="P263" s="1" t="n">
        <v>-385.04</v>
      </c>
      <c r="Q263" s="1" t="n">
        <v>-1422.61</v>
      </c>
      <c r="R263" s="1" t="n">
        <v>6678</v>
      </c>
      <c r="S263" s="1" t="n">
        <v>-661.11</v>
      </c>
      <c r="T263" s="1" t="n">
        <v>6097.11</v>
      </c>
      <c r="AA263" s="1" t="n">
        <v>-116.7</v>
      </c>
      <c r="AB263" s="1" t="n">
        <v>-498.26</v>
      </c>
      <c r="AC263" s="1" t="n">
        <v>10229.26</v>
      </c>
      <c r="AD263" s="1" t="n">
        <v>8053.71</v>
      </c>
      <c r="AE263" s="1" t="n">
        <v>5387.26</v>
      </c>
      <c r="AF263" s="1" t="n">
        <v>2936.9</v>
      </c>
      <c r="AG263" s="1" t="n">
        <v>-5150.06</v>
      </c>
      <c r="AH263" s="1" t="n">
        <v>-3117.02</v>
      </c>
      <c r="AI263" s="1" t="n">
        <v>845.89</v>
      </c>
      <c r="AJ263" s="1" t="n">
        <v>-2244.27</v>
      </c>
      <c r="AK263" s="1" t="n">
        <v>745.46</v>
      </c>
      <c r="AL263" s="1" t="n">
        <v>-3510.11</v>
      </c>
      <c r="AM263" s="1" t="n">
        <v>-4297.66</v>
      </c>
      <c r="AN263" s="1" t="n">
        <v>-5654.69</v>
      </c>
      <c r="AO263" s="1" t="n">
        <v>2375.34</v>
      </c>
      <c r="AP263" s="1" t="n">
        <v>-27.89</v>
      </c>
      <c r="AQ263" s="1" t="n">
        <v>3170.2</v>
      </c>
      <c r="AR263" s="1" t="n">
        <v>8834.030000000001</v>
      </c>
      <c r="AS263" s="1" t="n">
        <v>4940.44</v>
      </c>
      <c r="AT263" s="1" t="n"/>
      <c r="EM263" s="1" t="n">
        <v>9230.492</v>
      </c>
    </row>
    <row r="264">
      <c r="A264" s="2" t="inlineStr">
        <is>
          <t xml:space="preserve">            未确认的投资损失</t>
        </is>
      </c>
      <c r="EM264" s="1" t="inlineStr"/>
    </row>
    <row r="265">
      <c r="A265" s="2" t="inlineStr">
        <is>
          <t xml:space="preserve">            其他</t>
        </is>
      </c>
      <c r="E265" s="1" t="n">
        <v>0.54</v>
      </c>
      <c r="N265" s="1" t="n">
        <v>0.6</v>
      </c>
      <c r="O265" s="1" t="n">
        <v>3.57</v>
      </c>
      <c r="AC265" s="1" t="n">
        <v>314.78</v>
      </c>
      <c r="AD265" s="1" t="n">
        <v>-68.23999999999999</v>
      </c>
      <c r="EM265" s="1" t="inlineStr"/>
    </row>
    <row r="266">
      <c r="A266" s="2" t="inlineStr">
        <is>
          <t xml:space="preserve">            间接法-经营活动现金流量净额差额(特殊报表科目)</t>
        </is>
      </c>
      <c r="B266" s="1" t="n">
        <v>-549.04</v>
      </c>
      <c r="D266" s="1" t="n">
        <v>1564.7</v>
      </c>
      <c r="T266" s="1" t="n">
        <v>199.14</v>
      </c>
      <c r="AC266" s="1" t="n">
        <v>66.34</v>
      </c>
      <c r="AD266" s="1" t="n">
        <v>122.9</v>
      </c>
      <c r="AE266" s="1" t="n">
        <v>120.67</v>
      </c>
      <c r="AT266" s="1" t="n"/>
      <c r="EM266" s="1" t="n">
        <v>69.169</v>
      </c>
    </row>
    <row r="267">
      <c r="A267" s="2" t="inlineStr">
        <is>
          <t xml:space="preserve">            间接法-经营活动现金流量净额差额(合计平衡项目)</t>
        </is>
      </c>
      <c r="AC267" s="1" t="n">
        <v>60</v>
      </c>
      <c r="EM267" s="1" t="inlineStr"/>
    </row>
    <row r="268">
      <c r="A268" s="2" t="inlineStr">
        <is>
          <t xml:space="preserve">    间接法-经营活动产生的现金流量净额</t>
        </is>
      </c>
      <c r="B268" s="1" t="n">
        <v>-4408.56</v>
      </c>
      <c r="C268" s="1" t="n">
        <v>-461.89</v>
      </c>
      <c r="D268" s="1" t="n">
        <v>7002.68</v>
      </c>
      <c r="E268" s="1" t="n">
        <v>6544.51</v>
      </c>
      <c r="F268" s="1" t="n">
        <v>1952.18</v>
      </c>
      <c r="G268" s="1" t="n">
        <v>-1138.51</v>
      </c>
      <c r="H268" s="1" t="n">
        <v>-178.52</v>
      </c>
      <c r="I268" s="1" t="n">
        <v>3003.62</v>
      </c>
      <c r="J268" s="1" t="n">
        <v>2832.63</v>
      </c>
      <c r="K268" s="1" t="n">
        <v>4155.87</v>
      </c>
      <c r="L268" s="1" t="n">
        <v>8965.09</v>
      </c>
      <c r="M268" s="1" t="n">
        <v>450.24</v>
      </c>
      <c r="N268" s="1" t="n">
        <v>-551.78</v>
      </c>
      <c r="O268" s="1" t="n">
        <v>202.24</v>
      </c>
      <c r="P268" s="1" t="n">
        <v>-2748.8</v>
      </c>
      <c r="Q268" s="1" t="n">
        <v>-4420.89</v>
      </c>
      <c r="R268" s="1" t="n">
        <v>8410.120000000001</v>
      </c>
      <c r="S268" s="1" t="n">
        <v>-3495.88</v>
      </c>
      <c r="T268" s="1" t="n">
        <v>10059.49</v>
      </c>
      <c r="AA268" s="1" t="n">
        <v>-622.54</v>
      </c>
      <c r="AB268" s="1" t="n">
        <v>-667.49</v>
      </c>
      <c r="AC268" s="1" t="n">
        <v>4523.96</v>
      </c>
      <c r="AD268" s="1" t="n">
        <v>3012.22</v>
      </c>
      <c r="AE268" s="1" t="n">
        <v>-208.16</v>
      </c>
      <c r="AF268" s="1" t="n">
        <v>-1827.9</v>
      </c>
      <c r="AG268" s="1" t="n">
        <v>-2256.81</v>
      </c>
      <c r="AH268" s="1" t="n">
        <v>886.96</v>
      </c>
      <c r="AI268" s="1" t="n">
        <v>131.88</v>
      </c>
      <c r="AJ268" s="1" t="n">
        <v>-996.34</v>
      </c>
      <c r="AK268" s="1" t="n">
        <v>3146.12</v>
      </c>
      <c r="AL268" s="1" t="n">
        <v>-1145.71</v>
      </c>
      <c r="AM268" s="1" t="n">
        <v>740.36</v>
      </c>
      <c r="AN268" s="1" t="n">
        <v>-3249.81</v>
      </c>
      <c r="AO268" s="1" t="n">
        <v>972.05</v>
      </c>
      <c r="AP268" s="1" t="n">
        <v>-4662.67</v>
      </c>
      <c r="AQ268" s="1" t="n">
        <v>2399.29</v>
      </c>
      <c r="AR268" s="1" t="n">
        <v>-2212</v>
      </c>
      <c r="AS268" s="1" t="n">
        <v>4064.7</v>
      </c>
      <c r="AT268" s="1" t="n"/>
      <c r="EM268" s="1" t="n">
        <v>-556.466</v>
      </c>
    </row>
    <row r="269">
      <c r="A269" s="2" t="inlineStr">
        <is>
          <t xml:space="preserve">    债务转为资本</t>
        </is>
      </c>
      <c r="K269" s="1" t="n">
        <v>3266.07</v>
      </c>
      <c r="AJ269" s="1" t="n">
        <v>3266.07</v>
      </c>
      <c r="EM269" s="1" t="inlineStr"/>
    </row>
    <row r="270">
      <c r="A270" s="2" t="inlineStr">
        <is>
          <t xml:space="preserve">    一年内到期的可转换公司债券</t>
        </is>
      </c>
      <c r="EM270" s="1" t="inlineStr"/>
    </row>
    <row r="271">
      <c r="A271" s="2" t="inlineStr">
        <is>
          <t xml:space="preserve">    融资租入固定资产</t>
        </is>
      </c>
      <c r="Q271" s="1" t="n">
        <v>43529.64</v>
      </c>
      <c r="EM271" s="1" t="inlineStr"/>
    </row>
    <row r="272">
      <c r="A272" s="2" t="inlineStr">
        <is>
          <t xml:space="preserve">    现金的期末余额</t>
        </is>
      </c>
      <c r="B272" s="1" t="n">
        <v>6926.19</v>
      </c>
      <c r="C272" s="1" t="n">
        <v>4827.38</v>
      </c>
      <c r="D272" s="1" t="n">
        <v>11314.29</v>
      </c>
      <c r="E272" s="1" t="n">
        <v>14825.84</v>
      </c>
      <c r="F272" s="1" t="n">
        <v>13670.55</v>
      </c>
      <c r="G272" s="1" t="n">
        <v>10284.22</v>
      </c>
      <c r="H272" s="1" t="n">
        <v>8929</v>
      </c>
      <c r="I272" s="1" t="n">
        <v>12108.37</v>
      </c>
      <c r="J272" s="1" t="n">
        <v>17802.44</v>
      </c>
      <c r="K272" s="1" t="n">
        <v>21066.53</v>
      </c>
      <c r="L272" s="1" t="n">
        <v>28394.28</v>
      </c>
      <c r="M272" s="1" t="n">
        <v>27871.47</v>
      </c>
      <c r="N272" s="1" t="n">
        <v>26899.63</v>
      </c>
      <c r="O272" s="1" t="n">
        <v>28472.37</v>
      </c>
      <c r="P272" s="1" t="n">
        <v>24277.75</v>
      </c>
      <c r="Q272" s="1" t="n">
        <v>16324.08</v>
      </c>
      <c r="R272" s="1" t="n">
        <v>12116.26</v>
      </c>
      <c r="S272" s="1" t="n">
        <v>14167.59</v>
      </c>
      <c r="T272" s="1" t="n">
        <v>22502.86</v>
      </c>
      <c r="AA272" s="1" t="n">
        <v>3144.12</v>
      </c>
      <c r="AB272" s="1" t="n">
        <v>2356.56</v>
      </c>
      <c r="AC272" s="1" t="n">
        <v>9198.059999999999</v>
      </c>
      <c r="AD272" s="1" t="n">
        <v>12441.05</v>
      </c>
      <c r="AE272" s="1" t="n">
        <v>12725.95</v>
      </c>
      <c r="AF272" s="1" t="n">
        <v>10715.95</v>
      </c>
      <c r="AG272" s="1" t="n">
        <v>8054.91</v>
      </c>
      <c r="AH272" s="1" t="n">
        <v>9926.83</v>
      </c>
      <c r="AI272" s="1" t="n">
        <v>10891.83</v>
      </c>
      <c r="AJ272" s="1" t="n">
        <v>16286.3</v>
      </c>
      <c r="AK272" s="1" t="n">
        <v>23090.09</v>
      </c>
      <c r="AL272" s="1" t="n">
        <v>26733.59</v>
      </c>
      <c r="AM272" s="1" t="n">
        <v>29962.33</v>
      </c>
      <c r="AN272" s="1" t="n">
        <v>22438.33</v>
      </c>
      <c r="AO272" s="1" t="n">
        <v>27349.25</v>
      </c>
      <c r="AP272" s="1" t="n">
        <v>23572.19</v>
      </c>
      <c r="AQ272" s="1" t="n">
        <v>10436.74</v>
      </c>
      <c r="AR272" s="1" t="n">
        <v>14790.71</v>
      </c>
      <c r="AS272" s="1" t="n">
        <v>18230.2</v>
      </c>
      <c r="AT272" s="1" t="n"/>
      <c r="EM272" s="1" t="n">
        <v>26341.759</v>
      </c>
    </row>
    <row r="273">
      <c r="A273" s="2" t="inlineStr">
        <is>
          <t xml:space="preserve">    减：现金的期初余额</t>
        </is>
      </c>
      <c r="B273" s="1" t="n">
        <v>12163.4</v>
      </c>
      <c r="C273" s="1" t="n">
        <v>6926.19</v>
      </c>
      <c r="D273" s="1" t="n">
        <v>4827.38</v>
      </c>
      <c r="E273" s="1" t="n">
        <v>11788.43</v>
      </c>
      <c r="F273" s="1" t="n">
        <v>14858.7</v>
      </c>
      <c r="G273" s="1" t="n">
        <v>13670.55</v>
      </c>
      <c r="H273" s="1" t="n">
        <v>10284.22</v>
      </c>
      <c r="I273" s="1" t="n">
        <v>8929</v>
      </c>
      <c r="J273" s="1" t="n">
        <v>12108.37</v>
      </c>
      <c r="K273" s="1" t="n">
        <v>17802.44</v>
      </c>
      <c r="L273" s="1" t="n">
        <v>21066.53</v>
      </c>
      <c r="M273" s="1" t="n">
        <v>28394.28</v>
      </c>
      <c r="N273" s="1" t="n">
        <v>28847.75</v>
      </c>
      <c r="O273" s="1" t="n">
        <v>26899.63</v>
      </c>
      <c r="P273" s="1" t="n">
        <v>28472.37</v>
      </c>
      <c r="Q273" s="1" t="n">
        <v>24277.75</v>
      </c>
      <c r="R273" s="1" t="n">
        <v>16324.08</v>
      </c>
      <c r="S273" s="1" t="n">
        <v>12124.17</v>
      </c>
      <c r="T273" s="1" t="n">
        <v>14167.59</v>
      </c>
      <c r="AA273" s="1" t="n">
        <v>3873.24</v>
      </c>
      <c r="AB273" s="1" t="n">
        <v>3141.81</v>
      </c>
      <c r="AE273" s="1" t="n">
        <v>14858.61</v>
      </c>
      <c r="AF273" s="1" t="n">
        <v>13670.55</v>
      </c>
      <c r="AG273" s="1" t="n">
        <v>10285</v>
      </c>
      <c r="AH273" s="1" t="n">
        <v>8930</v>
      </c>
      <c r="AI273" s="1" t="n">
        <v>12108.37</v>
      </c>
      <c r="AJ273" s="1" t="n">
        <v>17802.44</v>
      </c>
      <c r="AK273" s="1" t="n">
        <v>21066.53</v>
      </c>
      <c r="AL273" s="1" t="n">
        <v>28394.28</v>
      </c>
      <c r="AM273" s="1" t="n">
        <v>28848.07</v>
      </c>
      <c r="AN273" s="1" t="n">
        <v>26899.63</v>
      </c>
      <c r="AO273" s="1" t="n">
        <v>28472.37</v>
      </c>
      <c r="AP273" s="1" t="n">
        <v>24277.75</v>
      </c>
      <c r="AQ273" s="1" t="n">
        <v>16324.08</v>
      </c>
      <c r="AR273" s="1" t="n">
        <v>12116.26</v>
      </c>
      <c r="AS273" s="1" t="n">
        <v>14167.59</v>
      </c>
      <c r="AT273" s="1" t="n"/>
      <c r="EM273" s="1" t="n">
        <v>22502.858</v>
      </c>
    </row>
    <row r="274">
      <c r="A274" s="2" t="inlineStr">
        <is>
          <t xml:space="preserve">    加：现金等价物的期末余额</t>
        </is>
      </c>
      <c r="EM274" s="1" t="inlineStr"/>
    </row>
    <row r="275">
      <c r="A275" s="2" t="inlineStr">
        <is>
          <t xml:space="preserve">    减：现金等价物的期初余额</t>
        </is>
      </c>
      <c r="AC275" s="1" t="n">
        <v>4827.38</v>
      </c>
      <c r="AD275" s="1" t="n">
        <v>11314.29</v>
      </c>
      <c r="EM275" s="1" t="inlineStr"/>
    </row>
    <row r="276">
      <c r="A276" s="2" t="inlineStr">
        <is>
          <t xml:space="preserve">    加：间接法-现金净增加额差额(特殊报表科目)</t>
        </is>
      </c>
      <c r="EM276" s="1" t="inlineStr"/>
    </row>
    <row r="277">
      <c r="A277" s="2" t="inlineStr">
        <is>
          <t xml:space="preserve">            间接法-现金净增加额差额(合计平衡项目)</t>
        </is>
      </c>
      <c r="EM277" s="1" t="inlineStr"/>
    </row>
    <row r="278">
      <c r="A278" s="2" t="inlineStr">
        <is>
          <t xml:space="preserve">    间接法-现金及现金等价物净增加额</t>
        </is>
      </c>
      <c r="B278" s="1" t="n">
        <v>-5237.21</v>
      </c>
      <c r="C278" s="1" t="n">
        <v>-2098.81</v>
      </c>
      <c r="D278" s="1" t="n">
        <v>6486.91</v>
      </c>
      <c r="E278" s="1" t="n">
        <v>3037.41</v>
      </c>
      <c r="F278" s="1" t="n">
        <v>-1188.15</v>
      </c>
      <c r="G278" s="1" t="n">
        <v>-3386.33</v>
      </c>
      <c r="H278" s="1" t="n">
        <v>-1355.23</v>
      </c>
      <c r="I278" s="1" t="n">
        <v>3179.37</v>
      </c>
      <c r="J278" s="1" t="n">
        <v>5694.07</v>
      </c>
      <c r="K278" s="1" t="n">
        <v>3264.09</v>
      </c>
      <c r="L278" s="1" t="n">
        <v>7327.74</v>
      </c>
      <c r="M278" s="1" t="n">
        <v>-522.8099999999999</v>
      </c>
      <c r="N278" s="1" t="n">
        <v>-1948.12</v>
      </c>
      <c r="O278" s="1" t="n">
        <v>1572.74</v>
      </c>
      <c r="P278" s="1" t="n">
        <v>-4194.62</v>
      </c>
      <c r="Q278" s="1" t="n">
        <v>-7953.67</v>
      </c>
      <c r="R278" s="1" t="n">
        <v>-4207.82</v>
      </c>
      <c r="S278" s="1" t="n">
        <v>2043.42</v>
      </c>
      <c r="T278" s="1" t="n">
        <v>8335.27</v>
      </c>
      <c r="AA278" s="1" t="n">
        <v>-729.12</v>
      </c>
      <c r="AB278" s="1" t="n">
        <v>-785.25</v>
      </c>
      <c r="AC278" s="1" t="n">
        <v>4370.68</v>
      </c>
      <c r="AD278" s="1" t="n">
        <v>1126.76</v>
      </c>
      <c r="AE278" s="1" t="n">
        <v>-2132.66</v>
      </c>
      <c r="AF278" s="1" t="n">
        <v>-2954.61</v>
      </c>
      <c r="AG278" s="1" t="n">
        <v>-2230.09</v>
      </c>
      <c r="AH278" s="1" t="n">
        <v>996.84</v>
      </c>
      <c r="AI278" s="1" t="n">
        <v>-1216.55</v>
      </c>
      <c r="AJ278" s="1" t="n">
        <v>-1516.14</v>
      </c>
      <c r="AK278" s="1" t="n">
        <v>2023.55</v>
      </c>
      <c r="AL278" s="1" t="n">
        <v>-1660.68</v>
      </c>
      <c r="AM278" s="1" t="n">
        <v>1114.26</v>
      </c>
      <c r="AN278" s="1" t="n">
        <v>-4461.3</v>
      </c>
      <c r="AO278" s="1" t="n">
        <v>-1123.12</v>
      </c>
      <c r="AP278" s="1" t="n">
        <v>-705.5599999999999</v>
      </c>
      <c r="AQ278" s="1" t="n">
        <v>-5887.34</v>
      </c>
      <c r="AR278" s="1" t="n">
        <v>2674.45</v>
      </c>
      <c r="AS278" s="1" t="n">
        <v>4062.61</v>
      </c>
      <c r="AT278" s="1" t="n"/>
      <c r="EM278" s="1" t="n">
        <v>3838.901</v>
      </c>
    </row>
    <row r="279">
      <c r="A279" s="2" t="inlineStr">
        <is>
          <t>显示币种</t>
        </is>
      </c>
      <c r="B279" s="1" t="inlineStr">
        <is>
          <t>CNY</t>
        </is>
      </c>
      <c r="C279" s="1" t="inlineStr">
        <is>
          <t>CNY</t>
        </is>
      </c>
      <c r="D279" s="1" t="inlineStr">
        <is>
          <t>CNY</t>
        </is>
      </c>
      <c r="E279" s="1" t="inlineStr">
        <is>
          <t>CNY</t>
        </is>
      </c>
      <c r="F279" s="1" t="inlineStr">
        <is>
          <t>CNY</t>
        </is>
      </c>
      <c r="G279" s="1" t="inlineStr">
        <is>
          <t>CNY</t>
        </is>
      </c>
      <c r="H279" s="1" t="inlineStr">
        <is>
          <t>CNY</t>
        </is>
      </c>
      <c r="I279" s="1" t="inlineStr">
        <is>
          <t>CNY</t>
        </is>
      </c>
      <c r="J279" s="1" t="inlineStr">
        <is>
          <t>CNY</t>
        </is>
      </c>
      <c r="K279" s="1" t="inlineStr">
        <is>
          <t>CNY</t>
        </is>
      </c>
      <c r="L279" s="1" t="inlineStr">
        <is>
          <t>CNY</t>
        </is>
      </c>
      <c r="M279" s="1" t="inlineStr">
        <is>
          <t>CNY</t>
        </is>
      </c>
      <c r="N279" s="1" t="inlineStr">
        <is>
          <t>CNY</t>
        </is>
      </c>
      <c r="O279" s="1" t="inlineStr">
        <is>
          <t>CNY</t>
        </is>
      </c>
      <c r="P279" s="1" t="inlineStr">
        <is>
          <t>CNY</t>
        </is>
      </c>
      <c r="Q279" s="1" t="inlineStr">
        <is>
          <t>CNY</t>
        </is>
      </c>
      <c r="R279" s="1" t="inlineStr">
        <is>
          <t>CNY</t>
        </is>
      </c>
      <c r="S279" s="1" t="inlineStr">
        <is>
          <t>CNY</t>
        </is>
      </c>
      <c r="T279" s="1" t="inlineStr">
        <is>
          <t>CNY</t>
        </is>
      </c>
      <c r="AA279" s="1" t="inlineStr">
        <is>
          <t>CNY</t>
        </is>
      </c>
      <c r="AB279" s="1" t="inlineStr">
        <is>
          <t>CNY</t>
        </is>
      </c>
      <c r="AC279" s="1" t="inlineStr">
        <is>
          <t>CNY</t>
        </is>
      </c>
      <c r="AD279" s="1" t="inlineStr">
        <is>
          <t>CNY</t>
        </is>
      </c>
      <c r="AE279" s="1" t="inlineStr">
        <is>
          <t>CNY</t>
        </is>
      </c>
      <c r="AF279" s="1" t="inlineStr">
        <is>
          <t>CNY</t>
        </is>
      </c>
      <c r="AG279" s="1" t="inlineStr">
        <is>
          <t>CNY</t>
        </is>
      </c>
      <c r="AH279" s="1" t="inlineStr">
        <is>
          <t>CNY</t>
        </is>
      </c>
      <c r="AI279" s="1" t="inlineStr">
        <is>
          <t>CNY</t>
        </is>
      </c>
      <c r="AJ279" s="1" t="inlineStr">
        <is>
          <t>CNY</t>
        </is>
      </c>
      <c r="AK279" s="1" t="inlineStr">
        <is>
          <t>CNY</t>
        </is>
      </c>
      <c r="AL279" s="1" t="inlineStr">
        <is>
          <t>CNY</t>
        </is>
      </c>
      <c r="AM279" s="1" t="inlineStr">
        <is>
          <t>CNY</t>
        </is>
      </c>
      <c r="AN279" s="1" t="inlineStr">
        <is>
          <t>CNY</t>
        </is>
      </c>
      <c r="AO279" s="1" t="inlineStr">
        <is>
          <t>CNY</t>
        </is>
      </c>
      <c r="AP279" s="1" t="inlineStr">
        <is>
          <t>CNY</t>
        </is>
      </c>
      <c r="AQ279" s="1" t="inlineStr">
        <is>
          <t>CNY</t>
        </is>
      </c>
      <c r="AR279" s="1" t="inlineStr">
        <is>
          <t>CNY</t>
        </is>
      </c>
      <c r="AS279" s="1" t="inlineStr">
        <is>
          <t>CNY</t>
        </is>
      </c>
    </row>
    <row r="280">
      <c r="A280" s="2" t="inlineStr">
        <is>
          <t>原始币种</t>
        </is>
      </c>
      <c r="B280" s="1" t="inlineStr">
        <is>
          <t>CNY</t>
        </is>
      </c>
      <c r="C280" s="1" t="inlineStr">
        <is>
          <t>CNY</t>
        </is>
      </c>
      <c r="D280" s="1" t="inlineStr">
        <is>
          <t>CNY</t>
        </is>
      </c>
      <c r="E280" s="1" t="inlineStr">
        <is>
          <t>CNY</t>
        </is>
      </c>
      <c r="F280" s="1" t="inlineStr">
        <is>
          <t>CNY</t>
        </is>
      </c>
      <c r="G280" s="1" t="inlineStr">
        <is>
          <t>CNY</t>
        </is>
      </c>
      <c r="H280" s="1" t="inlineStr">
        <is>
          <t>CNY</t>
        </is>
      </c>
      <c r="I280" s="1" t="inlineStr">
        <is>
          <t>CNY</t>
        </is>
      </c>
      <c r="J280" s="1" t="inlineStr">
        <is>
          <t>CNY</t>
        </is>
      </c>
      <c r="K280" s="1" t="inlineStr">
        <is>
          <t>CNY</t>
        </is>
      </c>
      <c r="L280" s="1" t="inlineStr">
        <is>
          <t>CNY</t>
        </is>
      </c>
      <c r="M280" s="1" t="inlineStr">
        <is>
          <t>CNY</t>
        </is>
      </c>
      <c r="N280" s="1" t="inlineStr">
        <is>
          <t>CNY</t>
        </is>
      </c>
      <c r="O280" s="1" t="inlineStr">
        <is>
          <t>CNY</t>
        </is>
      </c>
      <c r="P280" s="1" t="inlineStr">
        <is>
          <t>CNY</t>
        </is>
      </c>
      <c r="Q280" s="1" t="inlineStr">
        <is>
          <t>CNY</t>
        </is>
      </c>
      <c r="R280" s="1" t="inlineStr">
        <is>
          <t>CNY</t>
        </is>
      </c>
      <c r="S280" s="1" t="inlineStr">
        <is>
          <t>CNY</t>
        </is>
      </c>
      <c r="T280" s="1" t="inlineStr">
        <is>
          <t>CNY</t>
        </is>
      </c>
      <c r="AA280" s="1" t="inlineStr">
        <is>
          <t>CNY</t>
        </is>
      </c>
      <c r="AB280" s="1" t="inlineStr">
        <is>
          <t>CNY</t>
        </is>
      </c>
      <c r="AC280" s="1" t="inlineStr">
        <is>
          <t>CNY</t>
        </is>
      </c>
      <c r="AD280" s="1" t="inlineStr">
        <is>
          <t>CNY</t>
        </is>
      </c>
      <c r="AE280" s="1" t="inlineStr">
        <is>
          <t>CNY</t>
        </is>
      </c>
      <c r="AF280" s="1" t="inlineStr">
        <is>
          <t>CNY</t>
        </is>
      </c>
      <c r="AG280" s="1" t="inlineStr">
        <is>
          <t>CNY</t>
        </is>
      </c>
      <c r="AH280" s="1" t="inlineStr">
        <is>
          <t>CNY</t>
        </is>
      </c>
      <c r="AI280" s="1" t="inlineStr">
        <is>
          <t>CNY</t>
        </is>
      </c>
      <c r="AJ280" s="1" t="inlineStr">
        <is>
          <t>CNY</t>
        </is>
      </c>
      <c r="AK280" s="1" t="inlineStr">
        <is>
          <t>CNY</t>
        </is>
      </c>
      <c r="AL280" s="1" t="inlineStr">
        <is>
          <t>CNY</t>
        </is>
      </c>
      <c r="AM280" s="1" t="inlineStr">
        <is>
          <t>CNY</t>
        </is>
      </c>
      <c r="AN280" s="1" t="inlineStr">
        <is>
          <t>CNY</t>
        </is>
      </c>
      <c r="AO280" s="1" t="inlineStr">
        <is>
          <t>CNY</t>
        </is>
      </c>
      <c r="AP280" s="1" t="inlineStr">
        <is>
          <t>CNY</t>
        </is>
      </c>
      <c r="AQ280" s="1" t="inlineStr">
        <is>
          <t>CNY</t>
        </is>
      </c>
      <c r="AR280" s="1" t="inlineStr">
        <is>
          <t>CNY</t>
        </is>
      </c>
      <c r="AS280" s="1" t="inlineStr">
        <is>
          <t>CNY</t>
        </is>
      </c>
    </row>
    <row r="281">
      <c r="A281" s="2" t="inlineStr">
        <is>
          <t>转换汇率</t>
        </is>
      </c>
      <c r="B281" s="1" t="n">
        <v>1</v>
      </c>
      <c r="C281" s="1" t="n">
        <v>1</v>
      </c>
      <c r="D281" s="1" t="n">
        <v>1</v>
      </c>
      <c r="E281" s="1" t="n">
        <v>1</v>
      </c>
      <c r="F281" s="1" t="n">
        <v>1</v>
      </c>
      <c r="G281" s="1" t="n">
        <v>1</v>
      </c>
      <c r="H281" s="1" t="n">
        <v>1</v>
      </c>
      <c r="I281" s="1" t="n">
        <v>1</v>
      </c>
      <c r="J281" s="1" t="n">
        <v>1</v>
      </c>
      <c r="K281" s="1" t="n">
        <v>1</v>
      </c>
      <c r="L281" s="1" t="n">
        <v>1</v>
      </c>
      <c r="M281" s="1" t="n">
        <v>1</v>
      </c>
      <c r="N281" s="1" t="n">
        <v>1</v>
      </c>
      <c r="O281" s="1" t="n">
        <v>1</v>
      </c>
      <c r="P281" s="1" t="n">
        <v>1</v>
      </c>
      <c r="Q281" s="1" t="n">
        <v>1</v>
      </c>
      <c r="R281" s="1" t="n">
        <v>1</v>
      </c>
      <c r="S281" s="1" t="n">
        <v>1</v>
      </c>
      <c r="T281" s="1" t="n">
        <v>1</v>
      </c>
      <c r="AA281" s="1" t="n">
        <v>1</v>
      </c>
      <c r="AB281" s="1" t="n">
        <v>1</v>
      </c>
      <c r="AC281" s="1" t="n">
        <v>1</v>
      </c>
      <c r="AD281" s="1" t="n">
        <v>1</v>
      </c>
      <c r="AE281" s="1" t="n">
        <v>1</v>
      </c>
      <c r="AF281" s="1" t="n">
        <v>1</v>
      </c>
      <c r="AG281" s="1" t="n">
        <v>1</v>
      </c>
      <c r="AH281" s="1" t="n">
        <v>1</v>
      </c>
      <c r="AI281" s="1" t="n">
        <v>1</v>
      </c>
      <c r="AJ281" s="1" t="n">
        <v>1</v>
      </c>
      <c r="AK281" s="1" t="n">
        <v>1</v>
      </c>
      <c r="AL281" s="1" t="n">
        <v>1</v>
      </c>
      <c r="AM281" s="1" t="n">
        <v>1</v>
      </c>
      <c r="AN281" s="1" t="n">
        <v>1</v>
      </c>
      <c r="AO281" s="1" t="n">
        <v>1</v>
      </c>
      <c r="AP281" s="1" t="n">
        <v>1</v>
      </c>
      <c r="AQ281" s="1" t="n">
        <v>1</v>
      </c>
      <c r="AR281" s="1" t="n">
        <v>1</v>
      </c>
      <c r="AS281" s="1" t="n">
        <v>1</v>
      </c>
    </row>
    <row r="282">
      <c r="A282" s="2" t="inlineStr">
        <is>
          <t>利率类型</t>
        </is>
      </c>
      <c r="B282" s="1" t="inlineStr">
        <is>
          <t>最新汇率</t>
        </is>
      </c>
      <c r="C282" s="1" t="inlineStr">
        <is>
          <t>最新汇率</t>
        </is>
      </c>
      <c r="D282" s="1" t="inlineStr">
        <is>
          <t>最新汇率</t>
        </is>
      </c>
      <c r="E282" s="1" t="inlineStr">
        <is>
          <t>最新汇率</t>
        </is>
      </c>
      <c r="F282" s="1" t="inlineStr">
        <is>
          <t>最新汇率</t>
        </is>
      </c>
      <c r="G282" s="1" t="inlineStr">
        <is>
          <t>最新汇率</t>
        </is>
      </c>
      <c r="H282" s="1" t="inlineStr">
        <is>
          <t>最新汇率</t>
        </is>
      </c>
      <c r="I282" s="1" t="inlineStr">
        <is>
          <t>最新汇率</t>
        </is>
      </c>
      <c r="J282" s="1" t="inlineStr">
        <is>
          <t>最新汇率</t>
        </is>
      </c>
      <c r="K282" s="1" t="inlineStr">
        <is>
          <t>最新汇率</t>
        </is>
      </c>
      <c r="L282" s="1" t="inlineStr">
        <is>
          <t>最新汇率</t>
        </is>
      </c>
      <c r="M282" s="1" t="inlineStr">
        <is>
          <t>最新汇率</t>
        </is>
      </c>
      <c r="N282" s="1" t="inlineStr">
        <is>
          <t>最新汇率</t>
        </is>
      </c>
      <c r="O282" s="1" t="inlineStr">
        <is>
          <t>最新汇率</t>
        </is>
      </c>
      <c r="P282" s="1" t="inlineStr">
        <is>
          <t>最新汇率</t>
        </is>
      </c>
      <c r="Q282" s="1" t="inlineStr">
        <is>
          <t>最新汇率</t>
        </is>
      </c>
      <c r="R282" s="1" t="inlineStr">
        <is>
          <t>最新汇率</t>
        </is>
      </c>
      <c r="S282" s="1" t="inlineStr">
        <is>
          <t>最新汇率</t>
        </is>
      </c>
      <c r="T282" s="1" t="inlineStr">
        <is>
          <t>最新汇率</t>
        </is>
      </c>
      <c r="AA282" s="1" t="inlineStr">
        <is>
          <t>最新汇率</t>
        </is>
      </c>
      <c r="AB282" s="1" t="inlineStr">
        <is>
          <t>最新汇率</t>
        </is>
      </c>
      <c r="AC282" s="1" t="inlineStr">
        <is>
          <t>最新汇率</t>
        </is>
      </c>
      <c r="AD282" s="1" t="inlineStr">
        <is>
          <t>最新汇率</t>
        </is>
      </c>
      <c r="AE282" s="1" t="inlineStr">
        <is>
          <t>最新汇率</t>
        </is>
      </c>
      <c r="AF282" s="1" t="inlineStr">
        <is>
          <t>最新汇率</t>
        </is>
      </c>
      <c r="AG282" s="1" t="inlineStr">
        <is>
          <t>最新汇率</t>
        </is>
      </c>
      <c r="AH282" s="1" t="inlineStr">
        <is>
          <t>最新汇率</t>
        </is>
      </c>
      <c r="AI282" s="1" t="inlineStr">
        <is>
          <t>最新汇率</t>
        </is>
      </c>
      <c r="AJ282" s="1" t="inlineStr">
        <is>
          <t>最新汇率</t>
        </is>
      </c>
      <c r="AK282" s="1" t="inlineStr">
        <is>
          <t>最新汇率</t>
        </is>
      </c>
      <c r="AL282" s="1" t="inlineStr">
        <is>
          <t>最新汇率</t>
        </is>
      </c>
      <c r="AM282" s="1" t="inlineStr">
        <is>
          <t>最新汇率</t>
        </is>
      </c>
      <c r="AN282" s="1" t="inlineStr">
        <is>
          <t>最新汇率</t>
        </is>
      </c>
      <c r="AO282" s="1" t="inlineStr">
        <is>
          <t>最新汇率</t>
        </is>
      </c>
      <c r="AP282" s="1" t="inlineStr">
        <is>
          <t>最新汇率</t>
        </is>
      </c>
      <c r="AQ282" s="1" t="inlineStr">
        <is>
          <t>最新汇率</t>
        </is>
      </c>
      <c r="AR282" s="1" t="inlineStr">
        <is>
          <t>最新汇率</t>
        </is>
      </c>
      <c r="AS282" s="1" t="inlineStr">
        <is>
          <t>最新汇率</t>
        </is>
      </c>
    </row>
    <row r="283">
      <c r="A283" s="2" t="inlineStr">
        <is>
          <t>税率</t>
        </is>
      </c>
      <c r="B283" s="1" t="n">
        <v>15</v>
      </c>
      <c r="C283" s="1" t="n">
        <v>15</v>
      </c>
      <c r="D283" s="1" t="n">
        <v>15</v>
      </c>
      <c r="E283" s="1" t="n">
        <v>15</v>
      </c>
      <c r="F283" s="1" t="n">
        <v>15</v>
      </c>
      <c r="G283" s="1" t="n">
        <v>15</v>
      </c>
      <c r="H283" s="1" t="n">
        <v>15</v>
      </c>
      <c r="I283" s="1" t="n">
        <v>15</v>
      </c>
      <c r="J283" s="1" t="n">
        <v>15</v>
      </c>
      <c r="K283" s="1" t="n">
        <v>15</v>
      </c>
      <c r="L283" s="1" t="n">
        <v>15</v>
      </c>
      <c r="M283" s="1" t="n">
        <v>15</v>
      </c>
      <c r="N283" s="1" t="n">
        <v>15</v>
      </c>
      <c r="O283" s="1" t="n">
        <v>15</v>
      </c>
      <c r="P283" s="1" t="n">
        <v>15</v>
      </c>
      <c r="Q283" s="1" t="n">
        <v>15</v>
      </c>
      <c r="R283" s="1" t="n">
        <v>15</v>
      </c>
      <c r="S283" s="1" t="n">
        <v>15</v>
      </c>
      <c r="T283" s="1" t="n">
        <v>15</v>
      </c>
    </row>
    <row r="284">
      <c r="A284" s="2" t="inlineStr">
        <is>
          <t>税率说明</t>
        </is>
      </c>
    </row>
    <row r="285">
      <c r="A285" s="2" t="inlineStr">
        <is>
          <t>审计意见(境内)</t>
        </is>
      </c>
      <c r="B285" s="1" t="inlineStr">
        <is>
          <t>标准无保留意见</t>
        </is>
      </c>
      <c r="C285" s="1" t="inlineStr">
        <is>
          <t>标准无保留意见</t>
        </is>
      </c>
      <c r="D285" s="1" t="inlineStr">
        <is>
          <t>标准无保留意见</t>
        </is>
      </c>
      <c r="E285" s="1" t="inlineStr">
        <is>
          <t>标准无保留意见</t>
        </is>
      </c>
      <c r="F285" s="1" t="inlineStr">
        <is>
          <t>标准无保留意见</t>
        </is>
      </c>
      <c r="G285" s="1" t="inlineStr">
        <is>
          <t>标准无保留意见</t>
        </is>
      </c>
      <c r="H285" s="1" t="inlineStr">
        <is>
          <t>标准无保留意见</t>
        </is>
      </c>
      <c r="I285" s="1" t="inlineStr">
        <is>
          <t>标准无保留意见</t>
        </is>
      </c>
      <c r="J285" s="1" t="inlineStr">
        <is>
          <t>标准无保留意见</t>
        </is>
      </c>
      <c r="K285" s="1" t="inlineStr">
        <is>
          <t>标准无保留意见</t>
        </is>
      </c>
      <c r="L285" s="1" t="inlineStr">
        <is>
          <t>标准无保留意见</t>
        </is>
      </c>
      <c r="M285" s="1" t="inlineStr">
        <is>
          <t>标准无保留意见</t>
        </is>
      </c>
      <c r="N285" s="1" t="inlineStr">
        <is>
          <t>标准无保留意见</t>
        </is>
      </c>
      <c r="O285" s="1" t="inlineStr">
        <is>
          <t>标准无保留意见</t>
        </is>
      </c>
      <c r="P285" s="1" t="inlineStr">
        <is>
          <t>标准无保留意见</t>
        </is>
      </c>
      <c r="Q285" s="1" t="inlineStr">
        <is>
          <t>标准无保留意见</t>
        </is>
      </c>
      <c r="R285" s="1" t="inlineStr">
        <is>
          <t>标准无保留意见</t>
        </is>
      </c>
      <c r="S285" s="1" t="inlineStr">
        <is>
          <t>标准无保留意见</t>
        </is>
      </c>
      <c r="T285" s="1" t="inlineStr">
        <is>
          <t>标准无保留意见</t>
        </is>
      </c>
    </row>
    <row r="286">
      <c r="A286" s="2" t="inlineStr">
        <is>
          <t>审计意见(境外)</t>
        </is>
      </c>
      <c r="B286" s="1" t="inlineStr">
        <is>
          <t>标准无保留意见</t>
        </is>
      </c>
      <c r="C286" s="1" t="inlineStr">
        <is>
          <t>标准无保留意见</t>
        </is>
      </c>
      <c r="D286" s="1" t="inlineStr">
        <is>
          <t>标准无保留意见</t>
        </is>
      </c>
      <c r="E286" s="1" t="inlineStr">
        <is>
          <t>标准无保留意见</t>
        </is>
      </c>
      <c r="F286" s="1" t="inlineStr">
        <is>
          <t>标准无保留意见</t>
        </is>
      </c>
    </row>
    <row r="287">
      <c r="A287" s="2" t="inlineStr">
        <is>
          <t>调整原因</t>
        </is>
      </c>
    </row>
    <row r="288">
      <c r="A288" s="2" t="inlineStr">
        <is>
          <t>调整说明</t>
        </is>
      </c>
    </row>
    <row r="289">
      <c r="A289" s="2" t="inlineStr">
        <is>
          <t>公告日期</t>
        </is>
      </c>
      <c r="B289" s="1" t="inlineStr">
        <is>
          <t>2008-03-31</t>
        </is>
      </c>
      <c r="C289" s="1" t="inlineStr">
        <is>
          <t>2008-03-31</t>
        </is>
      </c>
      <c r="D289" s="1" t="inlineStr">
        <is>
          <t>2009-04-09</t>
        </is>
      </c>
      <c r="E289" s="1" t="inlineStr">
        <is>
          <t>2010-04-16</t>
        </is>
      </c>
      <c r="F289" s="1" t="inlineStr">
        <is>
          <t>2011-03-31</t>
        </is>
      </c>
      <c r="G289" s="1" t="inlineStr">
        <is>
          <t>2012-03-30</t>
        </is>
      </c>
      <c r="H289" s="1" t="inlineStr">
        <is>
          <t>2013-03-28</t>
        </is>
      </c>
      <c r="I289" s="1" t="inlineStr">
        <is>
          <t>2014-03-12</t>
        </is>
      </c>
      <c r="J289" s="1" t="inlineStr">
        <is>
          <t>2015-03-28</t>
        </is>
      </c>
      <c r="K289" s="1" t="inlineStr">
        <is>
          <t>2016-03-30</t>
        </is>
      </c>
      <c r="L289" s="1" t="inlineStr">
        <is>
          <t>2017-03-25</t>
        </is>
      </c>
      <c r="M289" s="1" t="inlineStr">
        <is>
          <t>2018-03-30</t>
        </is>
      </c>
      <c r="N289" s="1" t="inlineStr">
        <is>
          <t>2019-03-30</t>
        </is>
      </c>
      <c r="O289" s="1" t="inlineStr">
        <is>
          <t>2020-03-28</t>
        </is>
      </c>
      <c r="P289" s="1" t="inlineStr">
        <is>
          <t>2021-03-31</t>
        </is>
      </c>
      <c r="Q289" s="1" t="inlineStr">
        <is>
          <t>2022-03-31</t>
        </is>
      </c>
      <c r="R289" s="1" t="inlineStr">
        <is>
          <t>2023-04-01</t>
        </is>
      </c>
      <c r="S289" s="1" t="inlineStr">
        <is>
          <t>2024-03-29</t>
        </is>
      </c>
      <c r="T289" s="1" t="inlineStr">
        <is>
          <t>2025-04-30</t>
        </is>
      </c>
      <c r="AA289" s="1" t="inlineStr">
        <is>
          <t>2007-08-31</t>
        </is>
      </c>
      <c r="AB289" s="1" t="inlineStr">
        <is>
          <t>2007-08-31</t>
        </is>
      </c>
      <c r="AC289" s="1" t="inlineStr">
        <is>
          <t>2008-08-22</t>
        </is>
      </c>
      <c r="AD289" s="1" t="inlineStr">
        <is>
          <t>2009-08-28</t>
        </is>
      </c>
      <c r="AE289" s="1" t="inlineStr">
        <is>
          <t>2010-08-26</t>
        </is>
      </c>
      <c r="AF289" s="1" t="inlineStr">
        <is>
          <t>2011-08-24</t>
        </is>
      </c>
      <c r="AG289" s="1" t="inlineStr">
        <is>
          <t>2012-08-22</t>
        </is>
      </c>
      <c r="AH289" s="1" t="inlineStr">
        <is>
          <t>2013-08-29</t>
        </is>
      </c>
      <c r="AI289" s="1" t="inlineStr">
        <is>
          <t>2014-08-30</t>
        </is>
      </c>
      <c r="AJ289" s="1" t="inlineStr">
        <is>
          <t>2015-08-29</t>
        </is>
      </c>
      <c r="AK289" s="1" t="inlineStr">
        <is>
          <t>2016-08-27</t>
        </is>
      </c>
      <c r="AL289" s="1" t="inlineStr">
        <is>
          <t>2017-08-31</t>
        </is>
      </c>
      <c r="AM289" s="1" t="inlineStr">
        <is>
          <t>2018-08-31</t>
        </is>
      </c>
      <c r="AN289" s="1" t="inlineStr">
        <is>
          <t>2019-08-31</t>
        </is>
      </c>
      <c r="AO289" s="1" t="inlineStr">
        <is>
          <t>2020-08-28</t>
        </is>
      </c>
      <c r="AP289" s="1" t="inlineStr">
        <is>
          <t>2021-08-28</t>
        </is>
      </c>
      <c r="AQ289" s="1" t="inlineStr">
        <is>
          <t>2022-08-31</t>
        </is>
      </c>
      <c r="AR289" s="1" t="inlineStr">
        <is>
          <t>2023-08-31</t>
        </is>
      </c>
      <c r="AS289" s="1" t="inlineStr">
        <is>
          <t>2024-08-30</t>
        </is>
      </c>
    </row>
    <row r="290">
      <c r="A290" s="2" t="inlineStr">
        <is>
          <t>数据来源</t>
        </is>
      </c>
      <c r="B290" s="1" t="inlineStr">
        <is>
          <t>公司公告值</t>
        </is>
      </c>
      <c r="C290" s="1" t="inlineStr">
        <is>
          <t>公司公告值</t>
        </is>
      </c>
      <c r="D290" s="1" t="inlineStr">
        <is>
          <t>公司公告值</t>
        </is>
      </c>
      <c r="E290" s="1" t="inlineStr">
        <is>
          <t>公司公告值</t>
        </is>
      </c>
      <c r="F290" s="1" t="inlineStr">
        <is>
          <t>公司公告值</t>
        </is>
      </c>
      <c r="G290" s="1" t="inlineStr">
        <is>
          <t>公司公告值</t>
        </is>
      </c>
      <c r="H290" s="1" t="inlineStr">
        <is>
          <t>公司公告值</t>
        </is>
      </c>
      <c r="I290" s="1" t="inlineStr">
        <is>
          <t>公司公告值</t>
        </is>
      </c>
      <c r="J290" s="1" t="inlineStr">
        <is>
          <t>公司公告值</t>
        </is>
      </c>
      <c r="K290" s="1" t="inlineStr">
        <is>
          <t>公司公告值</t>
        </is>
      </c>
      <c r="L290" s="1" t="inlineStr">
        <is>
          <t>公司公告值</t>
        </is>
      </c>
      <c r="M290" s="1" t="inlineStr">
        <is>
          <t>公司公告值</t>
        </is>
      </c>
      <c r="N290" s="1" t="inlineStr">
        <is>
          <t>公司公告值</t>
        </is>
      </c>
      <c r="O290" s="1" t="inlineStr">
        <is>
          <t>公司公告值</t>
        </is>
      </c>
      <c r="P290" s="1" t="inlineStr">
        <is>
          <t>公司公告值</t>
        </is>
      </c>
      <c r="Q290" s="1" t="inlineStr">
        <is>
          <t>公司公告值</t>
        </is>
      </c>
      <c r="R290" s="1" t="inlineStr">
        <is>
          <t>公司公告值</t>
        </is>
      </c>
      <c r="S290" s="1" t="inlineStr">
        <is>
          <t>公司公告值</t>
        </is>
      </c>
      <c r="T290" s="1" t="inlineStr">
        <is>
          <t>公司公告值</t>
        </is>
      </c>
      <c r="AA290" s="1" t="inlineStr">
        <is>
          <t>公司公告值</t>
        </is>
      </c>
      <c r="AB290" s="1" t="inlineStr">
        <is>
          <t>公司公告值</t>
        </is>
      </c>
      <c r="AC290" s="1" t="inlineStr">
        <is>
          <t>公司公告值</t>
        </is>
      </c>
      <c r="AD290" s="1" t="inlineStr">
        <is>
          <t>公司公告值</t>
        </is>
      </c>
      <c r="AE290" s="1" t="inlineStr">
        <is>
          <t>公司公告值</t>
        </is>
      </c>
      <c r="AF290" s="1" t="inlineStr">
        <is>
          <t>公司公告值</t>
        </is>
      </c>
      <c r="AG290" s="1" t="inlineStr">
        <is>
          <t>公司公告值</t>
        </is>
      </c>
      <c r="AH290" s="1" t="inlineStr">
        <is>
          <t>公司公告值</t>
        </is>
      </c>
      <c r="AI290" s="1" t="inlineStr">
        <is>
          <t>公司公告值</t>
        </is>
      </c>
      <c r="AJ290" s="1" t="inlineStr">
        <is>
          <t>公司公告值</t>
        </is>
      </c>
      <c r="AK290" s="1" t="inlineStr">
        <is>
          <t>公司公告值</t>
        </is>
      </c>
      <c r="AL290" s="1" t="inlineStr">
        <is>
          <t>公司公告值</t>
        </is>
      </c>
      <c r="AM290" s="1" t="inlineStr">
        <is>
          <t>公司公告值</t>
        </is>
      </c>
      <c r="AN290" s="1" t="inlineStr">
        <is>
          <t>公司公告值</t>
        </is>
      </c>
      <c r="AO290" s="1" t="inlineStr">
        <is>
          <t>公司公告值</t>
        </is>
      </c>
      <c r="AP290" s="1" t="inlineStr">
        <is>
          <t>公司公告值</t>
        </is>
      </c>
      <c r="AQ290" s="1" t="inlineStr">
        <is>
          <t>公司公告值</t>
        </is>
      </c>
      <c r="AR290" s="1" t="inlineStr">
        <is>
          <t>公司公告值</t>
        </is>
      </c>
      <c r="AS290" s="1" t="inlineStr">
        <is>
          <t>公司公告值</t>
        </is>
      </c>
    </row>
    <row r="293">
      <c r="A293" s="2" t="inlineStr">
        <is>
          <t>数据来源：Wind</t>
        </is>
      </c>
    </row>
  </sheetData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H52"/>
  <sheetViews>
    <sheetView topLeftCell="C10" zoomScale="115" zoomScaleNormal="115" workbookViewId="0">
      <selection activeCell="C22" sqref="C22"/>
    </sheetView>
  </sheetViews>
  <sheetFormatPr baseColWidth="8" defaultColWidth="10.28515625" defaultRowHeight="14.25"/>
  <cols>
    <col width="10.28515625" customWidth="1" style="6" min="1" max="1"/>
    <col width="3.85546875" customWidth="1" style="6" min="2" max="2"/>
    <col width="63.140625" customWidth="1" style="6" min="3" max="3"/>
    <col width="10.28515625" customWidth="1" style="6" min="4" max="4"/>
    <col width="14.140625" customWidth="1" style="6" min="5" max="5"/>
    <col width="5" customWidth="1" style="6" min="6" max="6"/>
    <col width="21.140625" customWidth="1" style="6" min="7" max="7"/>
    <col width="86.42578125" customWidth="1" style="6" min="8" max="8"/>
    <col width="10.28515625" customWidth="1" style="6" min="9" max="16384"/>
  </cols>
  <sheetData>
    <row r="2">
      <c r="B2" s="244" t="inlineStr">
        <is>
          <t>Milestone</t>
        </is>
      </c>
      <c r="C2" s="245" t="n"/>
    </row>
    <row r="3">
      <c r="B3" s="251" t="inlineStr">
        <is>
          <t>Year</t>
        </is>
      </c>
      <c r="C3" s="251" t="inlineStr">
        <is>
          <t>Event</t>
        </is>
      </c>
    </row>
    <row r="4">
      <c r="B4" s="252" t="n">
        <v>1958</v>
      </c>
      <c r="C4" s="253" t="inlineStr">
        <is>
          <t>First hydropower-equipment plant started in Deyang, Sichuan.</t>
        </is>
      </c>
    </row>
    <row r="5">
      <c r="B5" s="254" t="n">
        <v>1992</v>
      </c>
      <c r="C5" s="255" t="inlineStr">
        <is>
          <t>Formally renamed “China Dongfang Electric Group Company” under central oversight.</t>
        </is>
      </c>
    </row>
    <row r="6">
      <c r="B6" s="252" t="n">
        <v>1996</v>
      </c>
      <c r="C6" s="253" t="inlineStr">
        <is>
          <t>Subsidiary Dongfang Boiler listed on the Shanghai Stock Exchange.</t>
        </is>
      </c>
    </row>
    <row r="7">
      <c r="B7" s="254" t="n">
        <v>2000</v>
      </c>
      <c r="C7" s="254" t="inlineStr">
        <is>
          <t>Completed China’s first 1 GW nuclear steam generator.</t>
        </is>
      </c>
    </row>
    <row r="8">
      <c r="B8" s="252" t="n">
        <v>2007</v>
      </c>
      <c r="C8" s="253" t="inlineStr">
        <is>
          <t>Core assets listed as Dongfang Electric Corp. Ltd. in Shanghai &amp; Hong Kong.</t>
        </is>
      </c>
    </row>
    <row r="9">
      <c r="B9" s="254" t="n">
        <v>2009</v>
      </c>
      <c r="C9" s="255" t="inlineStr">
        <is>
          <t>Reorganised as a wholly state-owned limited company; adopted current name.</t>
        </is>
      </c>
    </row>
    <row r="10">
      <c r="B10" s="252" t="n">
        <v>2013</v>
      </c>
      <c r="C10" s="253" t="inlineStr">
        <is>
          <t>Delivered the world’s largest 1.75 GW nuclear generator.</t>
        </is>
      </c>
    </row>
    <row r="11">
      <c r="B11" s="254" t="n">
        <v>2020</v>
      </c>
      <c r="C11" s="255" t="inlineStr">
        <is>
          <t>Produced in-house Gen-III “Hualong One” nuclear main equipment.</t>
        </is>
      </c>
    </row>
    <row r="12" ht="16.5" customHeight="1">
      <c r="B12" s="252" t="n">
        <v>2022</v>
      </c>
      <c r="C12" s="253" t="inlineStr">
        <is>
          <t>Shipped China’s first fully self-developed F-class 50 MW heavy-duty gas turbine, marking a breakthrough in domestic gas-turbine technology.</t>
        </is>
      </c>
    </row>
    <row r="13" ht="16.5" customHeight="1">
      <c r="B13" s="254" t="n">
        <v>2024</v>
      </c>
      <c r="C13" s="255" t="inlineStr">
        <is>
          <t>Dongfang electric (Chengdu) Engineering and Design Co., Ltd (O&amp;M services) were upgraded to a second-tier subsidiary.</t>
        </is>
      </c>
    </row>
    <row r="14" ht="15" customHeight="1">
      <c r="E14" s="6" t="inlineStr">
        <is>
          <t>Management</t>
        </is>
      </c>
    </row>
    <row r="15">
      <c r="E15" s="246" t="inlineStr">
        <is>
          <t> </t>
        </is>
      </c>
      <c r="F15" s="285" t="inlineStr">
        <is>
          <t>Age</t>
        </is>
      </c>
      <c r="G15" s="246" t="inlineStr">
        <is>
          <t>Position</t>
        </is>
      </c>
      <c r="H15" s="246" t="inlineStr">
        <is>
          <t>Key responsibility and past experience</t>
        </is>
      </c>
    </row>
    <row r="16" ht="31.5" customHeight="1">
      <c r="E16" s="245" t="inlineStr">
        <is>
          <t>Mr. Luo Qianyi</t>
        </is>
      </c>
      <c r="F16" s="245" t="n">
        <v>59</v>
      </c>
      <c r="G16" s="245" t="inlineStr">
        <is>
          <t>Chairman</t>
        </is>
      </c>
      <c r="H16" s="247" t="inlineStr">
        <is>
          <t>He holds a PhD in Management. Senior accountant and researcher. Let major SOEs, including China North Industries and State Grid. Now steering Dongfang Electric's strategic and financial growth.</t>
        </is>
      </c>
    </row>
    <row r="17" ht="31.5" customHeight="1">
      <c r="E17" s="248" t="inlineStr">
        <is>
          <t>Mr. Zhang Yanjun</t>
        </is>
      </c>
      <c r="F17" s="248" t="n">
        <v>55</v>
      </c>
      <c r="G17" s="248" t="inlineStr">
        <is>
          <t>President</t>
        </is>
      </c>
      <c r="H17" s="249" t="inlineStr">
        <is>
          <t>PhD in Thermal Engineering. Advanced from Harbin Boiler leadership to HEB's innovation roles. Becaome Dongfang's CEO in 2024, overseeing global equipment manufacturing and operations.</t>
        </is>
      </c>
    </row>
    <row r="18" ht="31.5" customHeight="1">
      <c r="E18" s="245" t="inlineStr">
        <is>
          <t>Mr. Zhang Shaofeng</t>
        </is>
      </c>
      <c r="F18" s="245" t="n">
        <v>53</v>
      </c>
      <c r="G18" s="245" t="inlineStr">
        <is>
          <t>Director</t>
        </is>
      </c>
      <c r="H18" s="250" t="inlineStr">
        <is>
          <t>Mr. Zhang is a senior accountant and holds a master’s degree. He has previously served as deputy chief accountant of PetroChina and GM of finance at China Nation Petrol Corporation.</t>
        </is>
      </c>
    </row>
    <row r="19" ht="31.5" customHeight="1">
      <c r="E19" s="248" t="inlineStr">
        <is>
          <t>Mr. Sun Guojun</t>
        </is>
      </c>
      <c r="F19" s="248" t="n">
        <v>56</v>
      </c>
      <c r="G19" s="248" t="inlineStr">
        <is>
          <t>Director, Senior Vice President</t>
        </is>
      </c>
      <c r="H19" s="249" t="inlineStr">
        <is>
          <t>Master's in Engineering. Long standing executive at Dongfang Electric. Became SVP in early 2024, guiding power product development and international contracts.</t>
        </is>
      </c>
    </row>
    <row r="20" ht="31.5" customHeight="1">
      <c r="E20" s="245" t="inlineStr">
        <is>
          <t>Mr. Wang Jun</t>
        </is>
      </c>
      <c r="F20" s="245" t="n">
        <v>52</v>
      </c>
      <c r="G20" s="245" t="inlineStr">
        <is>
          <t>Senior Vice President</t>
        </is>
      </c>
      <c r="H20" s="247" t="inlineStr">
        <is>
          <t>Master Engineering from Zhejiang University, senior engineer. Promoted from bilier R&amp;D to SVP since October 2024, now shaping power systems and hydrogen fuel initiatives.</t>
        </is>
      </c>
    </row>
    <row r="21" ht="31.5" customHeight="1">
      <c r="E21" s="248" t="inlineStr">
        <is>
          <t>Mr. Li Jianhua</t>
        </is>
      </c>
      <c r="F21" s="248" t="n">
        <v>54</v>
      </c>
      <c r="G21" s="248" t="inlineStr">
        <is>
          <t>Senior Vice President</t>
        </is>
      </c>
      <c r="H21" s="249" t="inlineStr">
        <is>
          <t>Master's in Management Economics from NTU. Mechanical engineer turned business leader. Bacame SVP in December 2024, focusing on turbine and gas business expansion.</t>
        </is>
      </c>
    </row>
    <row r="22" ht="31.5" customHeight="1">
      <c r="B22" s="6" t="inlineStr">
        <is>
          <t>Dongfang A</t>
        </is>
      </c>
      <c r="E22" s="245" t="inlineStr">
        <is>
          <t>Mrs. Lv Shuang</t>
        </is>
      </c>
      <c r="F22" s="245" t="n">
        <v>50</v>
      </c>
      <c r="G22" s="245" t="inlineStr">
        <is>
          <t>Chief Accountant</t>
        </is>
      </c>
      <c r="H22" s="247" t="inlineStr">
        <is>
          <t>Veteran financial leader from Southern Grid. Appointed Chief Accountant in early 2025. Expert in financial controls, risk management, and business integration.</t>
        </is>
      </c>
    </row>
    <row r="23" ht="25.5" customHeight="1">
      <c r="B23" s="28" t="inlineStr">
        <is>
          <t>Shareholding structure by Q125</t>
        </is>
      </c>
      <c r="E23" s="248" t="inlineStr">
        <is>
          <t>Mr. Feng Yong</t>
        </is>
      </c>
      <c r="F23" s="248" t="n">
        <v>58</v>
      </c>
      <c r="G23" s="248" t="inlineStr">
        <is>
          <t>Board Secretary</t>
        </is>
      </c>
      <c r="H23" s="249" t="inlineStr">
        <is>
          <t>Master's in Business Administration. Senior accountant who advanced through Dongfang's finance and audit functions. Became board secretary and chief auditor in 2023.</t>
        </is>
      </c>
    </row>
    <row r="24">
      <c r="B24" s="6" t="inlineStr">
        <is>
          <t>Dongfang Electric Corporation (Group)</t>
        </is>
      </c>
      <c r="C24" s="149" t="n">
        <v>0.5687</v>
      </c>
      <c r="F24" s="131" t="n"/>
      <c r="G24" s="149" t="n"/>
    </row>
    <row r="25">
      <c r="B25" s="6" t="inlineStr">
        <is>
          <t>Northbound</t>
        </is>
      </c>
      <c r="C25" s="149" t="n">
        <v>0.0504</v>
      </c>
      <c r="F25" s="131" t="n"/>
      <c r="G25" s="149" t="n"/>
    </row>
    <row r="26">
      <c r="B26" s="6" t="inlineStr">
        <is>
          <t>Other institutions and retailors</t>
        </is>
      </c>
      <c r="C26" s="149">
        <f>1-SUM(C24:C25)</f>
        <v/>
      </c>
      <c r="D26" s="37" t="n"/>
      <c r="F26" s="131" t="n"/>
      <c r="G26" s="149" t="n"/>
    </row>
    <row r="27">
      <c r="C27" s="32" t="n"/>
      <c r="F27" s="131" t="n"/>
      <c r="G27" s="149" t="n"/>
    </row>
    <row r="28">
      <c r="C28" s="32" t="n"/>
      <c r="F28" s="131" t="n"/>
      <c r="G28" s="149" t="n"/>
    </row>
    <row r="29">
      <c r="B29" s="28" t="n"/>
    </row>
    <row r="30">
      <c r="B30" s="90" t="n"/>
      <c r="C30" s="434" t="n"/>
    </row>
    <row r="31">
      <c r="B31" s="148" t="n"/>
      <c r="C31" s="434" t="n"/>
    </row>
    <row r="33">
      <c r="B33" s="28" t="inlineStr">
        <is>
          <t>Employee structure</t>
        </is>
      </c>
    </row>
    <row r="34">
      <c r="B34" s="6" t="inlineStr">
        <is>
          <t>Master degree and above</t>
        </is>
      </c>
      <c r="C34" s="6" t="n">
        <v>3108</v>
      </c>
      <c r="D34" s="149">
        <f>+C34/$C$38</f>
        <v/>
      </c>
    </row>
    <row r="35">
      <c r="B35" s="6" t="inlineStr">
        <is>
          <t>Bachelor degree</t>
        </is>
      </c>
      <c r="C35" s="6" t="n">
        <v>8427</v>
      </c>
      <c r="D35" s="149">
        <f>+C35/$C$38</f>
        <v/>
      </c>
    </row>
    <row r="36">
      <c r="B36" s="6" t="inlineStr">
        <is>
          <t>Tertiary degree</t>
        </is>
      </c>
      <c r="C36" s="6" t="n">
        <v>3564</v>
      </c>
      <c r="D36" s="149">
        <f>+C36/$C$38</f>
        <v/>
      </c>
    </row>
    <row r="37">
      <c r="B37" s="6" t="inlineStr">
        <is>
          <t>Technical secondary and below</t>
        </is>
      </c>
      <c r="C37" s="6" t="n">
        <v>2934</v>
      </c>
      <c r="D37" s="149">
        <f>+C37/$C$38</f>
        <v/>
      </c>
    </row>
    <row r="38">
      <c r="B38" s="6" t="inlineStr">
        <is>
          <t>Total</t>
        </is>
      </c>
      <c r="C38" s="6">
        <f>SUM(C34:C37)</f>
        <v/>
      </c>
      <c r="D38" s="576" t="n"/>
    </row>
    <row r="40">
      <c r="B40" s="6" t="inlineStr">
        <is>
          <t>Production</t>
        </is>
      </c>
      <c r="C40" s="6" t="n">
        <v>6401</v>
      </c>
      <c r="D40" s="149">
        <f>+C40/$C$45</f>
        <v/>
      </c>
    </row>
    <row r="41">
      <c r="B41" s="6" t="inlineStr">
        <is>
          <t>Sales</t>
        </is>
      </c>
      <c r="C41" s="6" t="n">
        <v>1006</v>
      </c>
      <c r="D41" s="149">
        <f>+C41/$C$45</f>
        <v/>
      </c>
    </row>
    <row r="42">
      <c r="B42" s="6" t="inlineStr">
        <is>
          <t>Technology</t>
        </is>
      </c>
      <c r="C42" s="6" t="n">
        <v>8886</v>
      </c>
      <c r="D42" s="149">
        <f>+C42/$C$45</f>
        <v/>
      </c>
    </row>
    <row r="43">
      <c r="B43" s="6" t="inlineStr">
        <is>
          <t>Finance</t>
        </is>
      </c>
      <c r="C43" s="6" t="n">
        <v>377</v>
      </c>
      <c r="D43" s="149">
        <f>+C43/$C$45</f>
        <v/>
      </c>
    </row>
    <row r="44">
      <c r="B44" s="6" t="inlineStr">
        <is>
          <t>Admin</t>
        </is>
      </c>
      <c r="C44" s="6" t="n">
        <v>1363</v>
      </c>
      <c r="D44" s="149">
        <f>+C44/$C$45</f>
        <v/>
      </c>
    </row>
    <row r="45">
      <c r="B45" s="6" t="inlineStr">
        <is>
          <t>Total</t>
        </is>
      </c>
      <c r="C45" s="6">
        <f>SUM(C40:C44)</f>
        <v/>
      </c>
      <c r="D45" s="576" t="n"/>
    </row>
    <row r="47">
      <c r="B47" s="28" t="n"/>
    </row>
    <row r="48">
      <c r="B48" s="6" t="inlineStr">
        <is>
          <t>Dongfang H</t>
        </is>
      </c>
    </row>
    <row r="49">
      <c r="B49" s="28" t="inlineStr">
        <is>
          <t>Shareholding structure by Q125</t>
        </is>
      </c>
    </row>
    <row r="50">
      <c r="B50" s="6" t="inlineStr">
        <is>
          <t>Dongfang Electric Corporation (Group)</t>
        </is>
      </c>
      <c r="C50" s="149" t="n">
        <v>0.5132</v>
      </c>
    </row>
    <row r="51">
      <c r="B51" s="6" t="inlineStr">
        <is>
          <t>Southbound</t>
        </is>
      </c>
      <c r="C51" s="149" t="n">
        <v>0.378</v>
      </c>
    </row>
    <row r="52">
      <c r="B52" s="6" t="inlineStr">
        <is>
          <t>Other institutions and retailors</t>
        </is>
      </c>
      <c r="C52" s="149">
        <f>1-SUM(C50:C51)</f>
        <v/>
      </c>
    </row>
  </sheetData>
  <pageMargins left="0" right="0" top="0" bottom="0" header="0" footer="0"/>
  <pageSetup orientation="landscape" paperSize="5" scale="5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772"/>
  <sheetViews>
    <sheetView topLeftCell="E4696" workbookViewId="0">
      <selection activeCell="G4732" sqref="G4732"/>
    </sheetView>
  </sheetViews>
  <sheetFormatPr baseColWidth="8" defaultColWidth="9.140625" defaultRowHeight="15.75"/>
  <cols>
    <col width="23.85546875" customWidth="1" style="239" min="1" max="1"/>
    <col width="35.85546875" bestFit="1" customWidth="1" style="239" min="2" max="2"/>
    <col width="21.140625" customWidth="1" style="239" min="3" max="5"/>
    <col width="23.85546875" customWidth="1" style="239" min="6" max="16"/>
    <col width="9.140625" customWidth="1" style="239" min="17" max="16384"/>
  </cols>
  <sheetData>
    <row r="1" customFormat="1" s="407">
      <c r="B1" s="284" t="n"/>
      <c r="C1" s="284" t="n"/>
      <c r="D1" s="284" t="n"/>
      <c r="E1" s="284" t="n"/>
      <c r="F1" s="407" t="inlineStr">
        <is>
          <t>A股</t>
        </is>
      </c>
      <c r="K1" s="407" t="inlineStr">
        <is>
          <t>H股</t>
        </is>
      </c>
      <c r="P1" s="407" t="inlineStr">
        <is>
          <t>A/H溢价率</t>
        </is>
      </c>
      <c r="R1" s="284">
        <f>_xlfn.STDEV.P(B29:B3190)</f>
        <v/>
      </c>
    </row>
    <row r="2" customFormat="1" s="407">
      <c r="A2" s="407" t="inlineStr">
        <is>
          <t>Date</t>
        </is>
      </c>
      <c r="B2" s="407" t="inlineStr">
        <is>
          <t>Dongfang H share discount to A share</t>
        </is>
      </c>
      <c r="C2" s="407" t="inlineStr">
        <is>
          <t>average</t>
        </is>
      </c>
      <c r="D2" s="407" t="inlineStr">
        <is>
          <t>SD-1</t>
        </is>
      </c>
      <c r="E2" s="407" t="inlineStr">
        <is>
          <t>SD+1</t>
        </is>
      </c>
      <c r="F2" s="407" t="inlineStr">
        <is>
          <t>收盘价</t>
        </is>
      </c>
      <c r="G2" s="407" t="inlineStr">
        <is>
          <t>成交量</t>
        </is>
      </c>
      <c r="H2" s="407" t="inlineStr">
        <is>
          <t>涨跌幅(%)</t>
        </is>
      </c>
      <c r="I2" s="407" t="inlineStr">
        <is>
          <t>近一月涨跌幅(%)</t>
        </is>
      </c>
      <c r="J2" s="407" t="inlineStr">
        <is>
          <t>年初至今涨跌幅(%)</t>
        </is>
      </c>
      <c r="K2" s="407" t="inlineStr">
        <is>
          <t>收盘价</t>
        </is>
      </c>
      <c r="L2" s="407" t="inlineStr">
        <is>
          <t>成交量</t>
        </is>
      </c>
      <c r="M2" s="407" t="inlineStr">
        <is>
          <t>涨跌幅(%)</t>
        </is>
      </c>
      <c r="N2" s="407" t="inlineStr">
        <is>
          <t>近一月涨跌幅(%)</t>
        </is>
      </c>
      <c r="O2" s="407" t="inlineStr">
        <is>
          <t>年初至今涨跌幅(%)</t>
        </is>
      </c>
      <c r="R2" s="284">
        <f>AVERAGE(B29:B3190)</f>
        <v/>
      </c>
    </row>
    <row r="3">
      <c r="A3" s="282" t="inlineStr">
        <is>
          <t>2006-01-04</t>
        </is>
      </c>
      <c r="B3" s="240">
        <f>IFERROR(1/P3-1,"")</f>
        <v/>
      </c>
      <c r="C3" s="240">
        <f>AVERAGE(B3:B9999)</f>
        <v/>
      </c>
      <c r="D3" s="240">
        <f>$C$3-_xlfn.STDEV.P(B3:B10000)</f>
        <v/>
      </c>
      <c r="E3" s="240">
        <f>$C$3+_xlfn.STDEV.P(B3:B10000)</f>
        <v/>
      </c>
      <c r="F3" s="241" t="n">
        <v>12.68</v>
      </c>
      <c r="G3" s="242" t="n">
        <v>1091742</v>
      </c>
      <c r="H3" s="241" t="n">
        <v>2.18</v>
      </c>
      <c r="I3" s="241" t="n">
        <v>13.82</v>
      </c>
      <c r="J3" s="241" t="n">
        <v>2.18</v>
      </c>
      <c r="K3" s="241" t="n">
        <v>8.43</v>
      </c>
      <c r="L3" s="242" t="n">
        <v>1716000</v>
      </c>
      <c r="M3" s="241" t="n">
        <v>0.62</v>
      </c>
      <c r="N3" s="241" t="n">
        <v>-6.9</v>
      </c>
      <c r="O3" s="241" t="n">
        <v>2.53</v>
      </c>
      <c r="P3" s="241" t="n">
        <v>1.5</v>
      </c>
    </row>
    <row r="4">
      <c r="A4" s="282" t="inlineStr">
        <is>
          <t>2006-01-05</t>
        </is>
      </c>
      <c r="B4" s="240">
        <f>IFERROR(1/P4-1,B3)</f>
        <v/>
      </c>
      <c r="C4" s="240">
        <f>$C$3</f>
        <v/>
      </c>
      <c r="D4" s="240">
        <f>$D$3</f>
        <v/>
      </c>
      <c r="E4" s="240">
        <f>$E$3</f>
        <v/>
      </c>
      <c r="F4" s="241" t="n">
        <v>12.8</v>
      </c>
      <c r="G4" s="242" t="n">
        <v>1073169</v>
      </c>
      <c r="H4" s="241" t="n">
        <v>0.95</v>
      </c>
      <c r="I4" s="241" t="n">
        <v>14.9</v>
      </c>
      <c r="J4" s="241" t="n">
        <v>3.14</v>
      </c>
      <c r="K4" s="241" t="n">
        <v>8.119999999999999</v>
      </c>
      <c r="L4" s="242" t="n">
        <v>1016000</v>
      </c>
      <c r="M4" s="241" t="n">
        <v>-3.7</v>
      </c>
      <c r="N4" s="241" t="n">
        <v>-10.34</v>
      </c>
      <c r="O4" s="241" t="n">
        <v>-1.27</v>
      </c>
      <c r="P4" s="241" t="n">
        <v>1.58</v>
      </c>
    </row>
    <row r="5">
      <c r="A5" s="282" t="inlineStr">
        <is>
          <t>2006-01-06</t>
        </is>
      </c>
      <c r="B5" s="240">
        <f>IFERROR(1/P5-1,B4)</f>
        <v/>
      </c>
      <c r="C5" s="240">
        <f>$C$3</f>
        <v/>
      </c>
      <c r="D5" s="240">
        <f>$D$3</f>
        <v/>
      </c>
      <c r="E5" s="240">
        <f>$E$3</f>
        <v/>
      </c>
      <c r="F5" s="241" t="n">
        <v>12.75</v>
      </c>
      <c r="G5" s="242" t="n">
        <v>1655450</v>
      </c>
      <c r="H5" s="241" t="n">
        <v>-0.39</v>
      </c>
      <c r="I5" s="241" t="n">
        <v>16.23</v>
      </c>
      <c r="J5" s="241" t="n">
        <v>2.74</v>
      </c>
      <c r="K5" s="241" t="n">
        <v>8.220000000000001</v>
      </c>
      <c r="L5" s="242" t="n">
        <v>2518000</v>
      </c>
      <c r="M5" s="241" t="n">
        <v>1.28</v>
      </c>
      <c r="N5" s="241" t="n">
        <v>-6.51</v>
      </c>
      <c r="O5" s="241" t="n">
        <v>0</v>
      </c>
      <c r="P5" s="241" t="n">
        <v>1.55</v>
      </c>
    </row>
    <row r="6">
      <c r="A6" s="282" t="inlineStr">
        <is>
          <t>2006-01-09</t>
        </is>
      </c>
      <c r="B6" s="240">
        <f>IFERROR(1/P6-1,B5)</f>
        <v/>
      </c>
      <c r="C6" s="240">
        <f>$C$3</f>
        <v/>
      </c>
      <c r="D6" s="240">
        <f>$D$3</f>
        <v/>
      </c>
      <c r="E6" s="240">
        <f>$E$3</f>
        <v/>
      </c>
      <c r="F6" s="241" t="n">
        <v>12.9</v>
      </c>
      <c r="G6" s="242" t="n">
        <v>2080032</v>
      </c>
      <c r="H6" s="241" t="n">
        <v>1.18</v>
      </c>
      <c r="I6" s="241" t="n">
        <v>16.22</v>
      </c>
      <c r="J6" s="241" t="n">
        <v>3.95</v>
      </c>
      <c r="K6" s="241" t="n">
        <v>8.06</v>
      </c>
      <c r="L6" s="242" t="n">
        <v>2102000</v>
      </c>
      <c r="M6" s="241" t="n">
        <v>-1.9</v>
      </c>
      <c r="N6" s="241" t="n">
        <v>-3.73</v>
      </c>
      <c r="O6" s="241" t="n">
        <v>-1.9</v>
      </c>
      <c r="P6" s="241" t="n">
        <v>1.6</v>
      </c>
    </row>
    <row r="7">
      <c r="A7" s="282" t="inlineStr">
        <is>
          <t>2006-01-10</t>
        </is>
      </c>
      <c r="B7" s="240">
        <f>IFERROR(1/P7-1,B6)</f>
        <v/>
      </c>
      <c r="C7" s="240">
        <f>$C$3</f>
        <v/>
      </c>
      <c r="D7" s="240">
        <f>$D$3</f>
        <v/>
      </c>
      <c r="E7" s="240">
        <f>$E$3</f>
        <v/>
      </c>
      <c r="F7" s="241" t="n">
        <v>13.9</v>
      </c>
      <c r="G7" s="242" t="n">
        <v>5414509</v>
      </c>
      <c r="H7" s="241" t="n">
        <v>7.75</v>
      </c>
      <c r="I7" s="241" t="n">
        <v>23.56</v>
      </c>
      <c r="J7" s="241" t="n">
        <v>12.01</v>
      </c>
      <c r="K7" s="241" t="n">
        <v>8.69</v>
      </c>
      <c r="L7" s="242" t="n">
        <v>4766000</v>
      </c>
      <c r="M7" s="241" t="n">
        <v>7.74</v>
      </c>
      <c r="N7" s="241" t="n">
        <v>1.83</v>
      </c>
      <c r="O7" s="241" t="n">
        <v>5.7</v>
      </c>
      <c r="P7" s="241" t="n">
        <v>1.6</v>
      </c>
    </row>
    <row r="8">
      <c r="A8" s="282" t="inlineStr">
        <is>
          <t>2006-01-11</t>
        </is>
      </c>
      <c r="B8" s="240">
        <f>IFERROR(1/P8-1,B7)</f>
        <v/>
      </c>
      <c r="C8" s="240">
        <f>$C$3</f>
        <v/>
      </c>
      <c r="D8" s="240">
        <f>$D$3</f>
        <v/>
      </c>
      <c r="E8" s="240">
        <f>$E$3</f>
        <v/>
      </c>
      <c r="F8" s="241" t="n">
        <v>13.91</v>
      </c>
      <c r="G8" s="242" t="n">
        <v>3454595</v>
      </c>
      <c r="H8" s="241" t="n">
        <v>0.07000000000000001</v>
      </c>
      <c r="I8" s="241" t="n">
        <v>23.64</v>
      </c>
      <c r="J8" s="241" t="n">
        <v>12.09</v>
      </c>
      <c r="K8" s="241" t="n">
        <v>9.01</v>
      </c>
      <c r="L8" s="242" t="n">
        <v>3708000</v>
      </c>
      <c r="M8" s="241" t="n">
        <v>3.59</v>
      </c>
      <c r="N8" s="241" t="n">
        <v>5.49</v>
      </c>
      <c r="O8" s="241" t="n">
        <v>9.49</v>
      </c>
      <c r="P8" s="241" t="n">
        <v>1.54</v>
      </c>
    </row>
    <row r="9">
      <c r="A9" s="282" t="inlineStr">
        <is>
          <t>2006-01-12</t>
        </is>
      </c>
      <c r="B9" s="240">
        <f>IFERROR(1/P9-1,B8)</f>
        <v/>
      </c>
      <c r="C9" s="240">
        <f>$C$3</f>
        <v/>
      </c>
      <c r="D9" s="240">
        <f>$D$3</f>
        <v/>
      </c>
      <c r="E9" s="240">
        <f>$E$3</f>
        <v/>
      </c>
      <c r="F9" s="241" t="n">
        <v>13.91</v>
      </c>
      <c r="G9" s="242" t="n">
        <v>2001409</v>
      </c>
      <c r="H9" s="241" t="n">
        <v>0</v>
      </c>
      <c r="I9" s="241" t="n">
        <v>23.64</v>
      </c>
      <c r="J9" s="241" t="n">
        <v>12.09</v>
      </c>
      <c r="K9" s="241" t="n">
        <v>9.06</v>
      </c>
      <c r="L9" s="242" t="n">
        <v>3006000</v>
      </c>
      <c r="M9" s="241" t="n">
        <v>0.58</v>
      </c>
      <c r="N9" s="241" t="n">
        <v>6.1</v>
      </c>
      <c r="O9" s="241" t="n">
        <v>10.13</v>
      </c>
      <c r="P9" s="241" t="n">
        <v>1.54</v>
      </c>
    </row>
    <row r="10">
      <c r="A10" s="282" t="inlineStr">
        <is>
          <t>2006-01-13</t>
        </is>
      </c>
      <c r="B10" s="240">
        <f>IFERROR(1/P10-1,B9)</f>
        <v/>
      </c>
      <c r="C10" s="240">
        <f>$C$3</f>
        <v/>
      </c>
      <c r="D10" s="240">
        <f>$D$3</f>
        <v/>
      </c>
      <c r="E10" s="240">
        <f>$E$3</f>
        <v/>
      </c>
      <c r="F10" s="241" t="n">
        <v>14.01</v>
      </c>
      <c r="G10" s="242" t="n">
        <v>1727364</v>
      </c>
      <c r="H10" s="241" t="n">
        <v>0.72</v>
      </c>
      <c r="I10" s="241" t="n">
        <v>20.98</v>
      </c>
      <c r="J10" s="241" t="n">
        <v>12.89</v>
      </c>
      <c r="K10" s="241" t="n">
        <v>9.01</v>
      </c>
      <c r="L10" s="242" t="n">
        <v>440000</v>
      </c>
      <c r="M10" s="241" t="n">
        <v>-0.57</v>
      </c>
      <c r="N10" s="241" t="n">
        <v>6.13</v>
      </c>
      <c r="O10" s="241" t="n">
        <v>9.49</v>
      </c>
      <c r="P10" s="241" t="n">
        <v>1.56</v>
      </c>
    </row>
    <row r="11">
      <c r="A11" s="282" t="inlineStr">
        <is>
          <t>2006-01-16</t>
        </is>
      </c>
      <c r="B11" s="240">
        <f>IFERROR(1/P11-1,B10)</f>
        <v/>
      </c>
      <c r="C11" s="240">
        <f>$C$3</f>
        <v/>
      </c>
      <c r="D11" s="240">
        <f>$D$3</f>
        <v/>
      </c>
      <c r="E11" s="240">
        <f>$E$3</f>
        <v/>
      </c>
      <c r="F11" s="241" t="n">
        <v>13.32</v>
      </c>
      <c r="G11" s="242" t="n">
        <v>2209073</v>
      </c>
      <c r="H11" s="241" t="n">
        <v>-4.93</v>
      </c>
      <c r="I11" s="241" t="n">
        <v>14.14</v>
      </c>
      <c r="J11" s="241" t="n">
        <v>7.33</v>
      </c>
      <c r="K11" s="241" t="n">
        <v>9</v>
      </c>
      <c r="L11" s="242" t="n">
        <v>1936000</v>
      </c>
      <c r="M11" s="241" t="n">
        <v>0</v>
      </c>
      <c r="N11" s="241" t="n">
        <v>7.45</v>
      </c>
      <c r="O11" s="241" t="n">
        <v>9.49</v>
      </c>
      <c r="P11" s="241" t="n">
        <v>1.48</v>
      </c>
    </row>
    <row r="12">
      <c r="A12" s="282" t="inlineStr">
        <is>
          <t>2006-01-17</t>
        </is>
      </c>
      <c r="B12" s="240">
        <f>IFERROR(1/P12-1,B11)</f>
        <v/>
      </c>
      <c r="C12" s="240">
        <f>$C$3</f>
        <v/>
      </c>
      <c r="D12" s="240">
        <f>$D$3</f>
        <v/>
      </c>
      <c r="E12" s="240">
        <f>$E$3</f>
        <v/>
      </c>
      <c r="F12" s="241" t="n">
        <v>12.92</v>
      </c>
      <c r="G12" s="242" t="n">
        <v>2760635</v>
      </c>
      <c r="H12" s="241" t="n">
        <v>-3</v>
      </c>
      <c r="I12" s="241" t="n">
        <v>10.71</v>
      </c>
      <c r="J12" s="241" t="n">
        <v>4.11</v>
      </c>
      <c r="K12" s="241" t="n">
        <v>8.74</v>
      </c>
      <c r="L12" s="242" t="n">
        <v>4021000</v>
      </c>
      <c r="M12" s="241" t="n">
        <v>-2.89</v>
      </c>
      <c r="N12" s="241" t="n">
        <v>6.33</v>
      </c>
      <c r="O12" s="241" t="n">
        <v>6.33</v>
      </c>
      <c r="P12" s="241" t="n">
        <v>1.48</v>
      </c>
    </row>
    <row r="13">
      <c r="A13" s="282" t="inlineStr">
        <is>
          <t>2006-01-18</t>
        </is>
      </c>
      <c r="B13" s="240">
        <f>IFERROR(1/P13-1,B12)</f>
        <v/>
      </c>
      <c r="C13" s="240">
        <f>$C$3</f>
        <v/>
      </c>
      <c r="D13" s="240">
        <f>$D$3</f>
        <v/>
      </c>
      <c r="E13" s="240">
        <f>$E$3</f>
        <v/>
      </c>
      <c r="F13" s="241" t="n">
        <v>13.34</v>
      </c>
      <c r="G13" s="242" t="n">
        <v>1846061</v>
      </c>
      <c r="H13" s="241" t="n">
        <v>3.25</v>
      </c>
      <c r="I13" s="241" t="n">
        <v>14.31</v>
      </c>
      <c r="J13" s="241" t="n">
        <v>7.49</v>
      </c>
      <c r="K13" s="241" t="n">
        <v>8.85</v>
      </c>
      <c r="L13" s="242" t="n">
        <v>2526000</v>
      </c>
      <c r="M13" s="241" t="n">
        <v>1.19</v>
      </c>
      <c r="N13" s="241" t="n">
        <v>7.59</v>
      </c>
      <c r="O13" s="241" t="n">
        <v>7.59</v>
      </c>
      <c r="P13" s="241" t="n">
        <v>1.51</v>
      </c>
    </row>
    <row r="14">
      <c r="A14" s="282" t="inlineStr">
        <is>
          <t>2006-01-19</t>
        </is>
      </c>
      <c r="B14" s="240">
        <f>IFERROR(1/P14-1,B13)</f>
        <v/>
      </c>
      <c r="C14" s="240">
        <f>$C$3</f>
        <v/>
      </c>
      <c r="D14" s="240">
        <f>$D$3</f>
        <v/>
      </c>
      <c r="E14" s="240">
        <f>$E$3</f>
        <v/>
      </c>
      <c r="F14" s="241" t="n">
        <v>13.89</v>
      </c>
      <c r="G14" s="242" t="n">
        <v>2733210</v>
      </c>
      <c r="H14" s="241" t="n">
        <v>4.12</v>
      </c>
      <c r="I14" s="241" t="n">
        <v>19.02</v>
      </c>
      <c r="J14" s="241" t="n">
        <v>11.93</v>
      </c>
      <c r="K14" s="241" t="n">
        <v>9.050000000000001</v>
      </c>
      <c r="L14" s="242" t="n">
        <v>3920000</v>
      </c>
      <c r="M14" s="241" t="n">
        <v>2.35</v>
      </c>
      <c r="N14" s="241" t="n">
        <v>10.13</v>
      </c>
      <c r="O14" s="241" t="n">
        <v>10.13</v>
      </c>
      <c r="P14" s="241" t="n">
        <v>1.53</v>
      </c>
    </row>
    <row r="15">
      <c r="A15" s="282" t="inlineStr">
        <is>
          <t>2006-01-20</t>
        </is>
      </c>
      <c r="B15" s="240">
        <f>IFERROR(1/P15-1,B14)</f>
        <v/>
      </c>
      <c r="C15" s="240">
        <f>$C$3</f>
        <v/>
      </c>
      <c r="D15" s="240">
        <f>$D$3</f>
        <v/>
      </c>
      <c r="E15" s="240">
        <f>$E$3</f>
        <v/>
      </c>
      <c r="F15" s="241" t="n">
        <v>13.95</v>
      </c>
      <c r="G15" s="242" t="n">
        <v>3721107</v>
      </c>
      <c r="H15" s="241" t="n">
        <v>0.43</v>
      </c>
      <c r="I15" s="241" t="n">
        <v>19.64</v>
      </c>
      <c r="J15" s="241" t="n">
        <v>12.41</v>
      </c>
      <c r="K15" s="241" t="n">
        <v>9.359999999999999</v>
      </c>
      <c r="L15" s="242" t="n">
        <v>5334000</v>
      </c>
      <c r="M15" s="241" t="n">
        <v>3.45</v>
      </c>
      <c r="N15" s="241" t="n">
        <v>13.21</v>
      </c>
      <c r="O15" s="241" t="n">
        <v>13.92</v>
      </c>
      <c r="P15" s="241" t="n">
        <v>1.49</v>
      </c>
    </row>
    <row r="16">
      <c r="A16" s="282" t="inlineStr">
        <is>
          <t>2006-01-23</t>
        </is>
      </c>
      <c r="B16" s="240">
        <f>IFERROR(1/P16-1,B15)</f>
        <v/>
      </c>
      <c r="C16" s="240">
        <f>$C$3</f>
        <v/>
      </c>
      <c r="D16" s="240">
        <f>$D$3</f>
        <v/>
      </c>
      <c r="E16" s="240">
        <f>$E$3</f>
        <v/>
      </c>
      <c r="F16" s="241" t="n">
        <v>14.34</v>
      </c>
      <c r="G16" s="242" t="n">
        <v>1698452</v>
      </c>
      <c r="H16" s="241" t="n">
        <v>2.8</v>
      </c>
      <c r="I16" s="241" t="n">
        <v>23.3</v>
      </c>
      <c r="J16" s="241" t="n">
        <v>15.55</v>
      </c>
      <c r="K16" s="241" t="n">
        <v>9.41</v>
      </c>
      <c r="L16" s="242" t="n">
        <v>1500000</v>
      </c>
      <c r="M16" s="241" t="n">
        <v>0.5600000000000001</v>
      </c>
      <c r="N16" s="241" t="n">
        <v>19.87</v>
      </c>
      <c r="O16" s="241" t="n">
        <v>14.56</v>
      </c>
      <c r="P16" s="241" t="n">
        <v>1.52</v>
      </c>
    </row>
    <row r="17">
      <c r="A17" s="282" t="inlineStr">
        <is>
          <t>2006-01-24</t>
        </is>
      </c>
      <c r="B17" s="240">
        <f>IFERROR(1/P17-1,B16)</f>
        <v/>
      </c>
      <c r="C17" s="240">
        <f>$C$3</f>
        <v/>
      </c>
      <c r="D17" s="240">
        <f>$D$3</f>
        <v/>
      </c>
      <c r="E17" s="240">
        <f>$E$3</f>
        <v/>
      </c>
      <c r="F17" s="241" t="n">
        <v>13.97</v>
      </c>
      <c r="G17" s="242" t="n">
        <v>2487250</v>
      </c>
      <c r="H17" s="241" t="n">
        <v>-2.58</v>
      </c>
      <c r="I17" s="241" t="n">
        <v>14.23</v>
      </c>
      <c r="J17" s="241" t="n">
        <v>12.57</v>
      </c>
      <c r="K17" s="241" t="n">
        <v>9.51</v>
      </c>
      <c r="L17" s="242" t="n">
        <v>854000</v>
      </c>
      <c r="M17" s="241" t="n">
        <v>1.1</v>
      </c>
      <c r="N17" s="241" t="n">
        <v>18.83</v>
      </c>
      <c r="O17" s="241" t="n">
        <v>15.82</v>
      </c>
      <c r="P17" s="241" t="n">
        <v>1.47</v>
      </c>
    </row>
    <row r="18">
      <c r="A18" s="282" t="inlineStr">
        <is>
          <t>2006-01-25</t>
        </is>
      </c>
      <c r="B18" s="240">
        <f>IFERROR(1/P18-1,B17)</f>
        <v/>
      </c>
      <c r="C18" s="240">
        <f>$C$3</f>
        <v/>
      </c>
      <c r="D18" s="240">
        <f>$D$3</f>
        <v/>
      </c>
      <c r="E18" s="240">
        <f>$E$3</f>
        <v/>
      </c>
      <c r="F18" s="241" t="n">
        <v>14.15</v>
      </c>
      <c r="G18" s="242" t="n">
        <v>1100805</v>
      </c>
      <c r="H18" s="241" t="n">
        <v>1.29</v>
      </c>
      <c r="I18" s="241" t="n">
        <v>15.7</v>
      </c>
      <c r="J18" s="241" t="n">
        <v>14.02</v>
      </c>
      <c r="K18" s="241" t="n">
        <v>9.460000000000001</v>
      </c>
      <c r="L18" s="242" t="n">
        <v>1494000</v>
      </c>
      <c r="M18" s="241" t="n">
        <v>-0.55</v>
      </c>
      <c r="N18" s="241" t="n">
        <v>18.18</v>
      </c>
      <c r="O18" s="241" t="n">
        <v>15.19</v>
      </c>
      <c r="P18" s="241" t="n">
        <v>1.5</v>
      </c>
    </row>
    <row r="19">
      <c r="A19" s="282" t="inlineStr">
        <is>
          <t>2006-02-06</t>
        </is>
      </c>
      <c r="B19" s="240">
        <f>IFERROR(1/P19-1,B18)</f>
        <v/>
      </c>
      <c r="C19" s="240">
        <f>$C$3</f>
        <v/>
      </c>
      <c r="D19" s="240">
        <f>$D$3</f>
        <v/>
      </c>
      <c r="E19" s="240">
        <f>$E$3</f>
        <v/>
      </c>
      <c r="F19" s="241" t="n">
        <v>14.36</v>
      </c>
      <c r="G19" s="242" t="n">
        <v>1757956</v>
      </c>
      <c r="H19" s="241" t="n">
        <v>1.48</v>
      </c>
      <c r="I19" s="241" t="n">
        <v>12.19</v>
      </c>
      <c r="J19" s="241" t="n">
        <v>15.71</v>
      </c>
      <c r="K19" s="241" t="n">
        <v>10.85</v>
      </c>
      <c r="L19" s="242" t="n">
        <v>3746000</v>
      </c>
      <c r="M19" s="241" t="n">
        <v>4.5</v>
      </c>
      <c r="N19" s="241" t="n">
        <v>33.97</v>
      </c>
      <c r="O19" s="241" t="n">
        <v>32.28</v>
      </c>
      <c r="P19" s="241" t="n">
        <v>1.32</v>
      </c>
    </row>
    <row r="20">
      <c r="A20" s="282" t="inlineStr">
        <is>
          <t>2006-02-07</t>
        </is>
      </c>
      <c r="B20" s="240">
        <f>IFERROR(1/P20-1,B19)</f>
        <v/>
      </c>
      <c r="C20" s="240">
        <f>$C$3</f>
        <v/>
      </c>
      <c r="D20" s="240">
        <f>$D$3</f>
        <v/>
      </c>
      <c r="E20" s="240">
        <f>$E$3</f>
        <v/>
      </c>
      <c r="F20" s="241" t="n">
        <v>14.01</v>
      </c>
      <c r="G20" s="242" t="n">
        <v>1892027</v>
      </c>
      <c r="H20" s="241" t="n">
        <v>-2.44</v>
      </c>
      <c r="I20" s="241" t="n">
        <v>9.880000000000001</v>
      </c>
      <c r="J20" s="241" t="n">
        <v>12.89</v>
      </c>
      <c r="K20" s="241" t="n">
        <v>11.63</v>
      </c>
      <c r="L20" s="242" t="n">
        <v>7383000</v>
      </c>
      <c r="M20" s="241" t="n">
        <v>7.18</v>
      </c>
      <c r="N20" s="241" t="n">
        <v>41.77</v>
      </c>
      <c r="O20" s="241" t="n">
        <v>41.77</v>
      </c>
      <c r="P20" s="241" t="n">
        <v>1.2</v>
      </c>
    </row>
    <row r="21">
      <c r="A21" s="282" t="inlineStr">
        <is>
          <t>2006-02-08</t>
        </is>
      </c>
      <c r="B21" s="240">
        <f>IFERROR(1/P21-1,B20)</f>
        <v/>
      </c>
      <c r="C21" s="240">
        <f>$C$3</f>
        <v/>
      </c>
      <c r="D21" s="240">
        <f>$D$3</f>
        <v/>
      </c>
      <c r="E21" s="240">
        <f>$E$3</f>
        <v/>
      </c>
      <c r="F21" s="241" t="n">
        <v>14.92</v>
      </c>
      <c r="G21" s="242" t="n">
        <v>3440649</v>
      </c>
      <c r="H21" s="241" t="n">
        <v>6.5</v>
      </c>
      <c r="I21" s="241" t="n">
        <v>17.02</v>
      </c>
      <c r="J21" s="241" t="n">
        <v>20.23</v>
      </c>
      <c r="K21" s="241" t="n">
        <v>11.94</v>
      </c>
      <c r="L21" s="242" t="n">
        <v>4217000</v>
      </c>
      <c r="M21" s="241" t="n">
        <v>2.68</v>
      </c>
      <c r="N21" s="241" t="n">
        <v>45.57</v>
      </c>
      <c r="O21" s="241" t="n">
        <v>45.57</v>
      </c>
      <c r="P21" s="241" t="n">
        <v>1.25</v>
      </c>
    </row>
    <row r="22">
      <c r="A22" s="282" t="inlineStr">
        <is>
          <t>2006-02-09</t>
        </is>
      </c>
      <c r="B22" s="240">
        <f>IFERROR(1/P22-1,B21)</f>
        <v/>
      </c>
      <c r="C22" s="240">
        <f>$C$3</f>
        <v/>
      </c>
      <c r="D22" s="240">
        <f>$D$3</f>
        <v/>
      </c>
      <c r="E22" s="240">
        <f>$E$3</f>
        <v/>
      </c>
      <c r="F22" s="241" t="n">
        <v>14.62</v>
      </c>
      <c r="G22" s="242" t="n">
        <v>1761471</v>
      </c>
      <c r="H22" s="241" t="n">
        <v>-2.01</v>
      </c>
      <c r="I22" s="241" t="n">
        <v>14.67</v>
      </c>
      <c r="J22" s="241" t="n">
        <v>17.81</v>
      </c>
      <c r="K22" s="241" t="n">
        <v>12.3</v>
      </c>
      <c r="L22" s="242" t="n">
        <v>7960000</v>
      </c>
      <c r="M22" s="241" t="n">
        <v>3.04</v>
      </c>
      <c r="N22" s="241" t="n">
        <v>50</v>
      </c>
      <c r="O22" s="241" t="n">
        <v>50</v>
      </c>
      <c r="P22" s="241" t="n">
        <v>1.19</v>
      </c>
    </row>
    <row r="23">
      <c r="A23" s="282" t="inlineStr">
        <is>
          <t>2006-02-10</t>
        </is>
      </c>
      <c r="B23" s="240">
        <f>IFERROR(1/P23-1,B22)</f>
        <v/>
      </c>
      <c r="C23" s="240">
        <f>$C$3</f>
        <v/>
      </c>
      <c r="D23" s="240">
        <f>$D$3</f>
        <v/>
      </c>
      <c r="E23" s="240">
        <f>$E$3</f>
        <v/>
      </c>
      <c r="F23" s="241" t="n">
        <v>15.61</v>
      </c>
      <c r="G23" s="242" t="n">
        <v>4301456</v>
      </c>
      <c r="H23" s="241" t="n">
        <v>6.77</v>
      </c>
      <c r="I23" s="241" t="n">
        <v>21.01</v>
      </c>
      <c r="J23" s="241" t="n">
        <v>25.79</v>
      </c>
      <c r="K23" s="241" t="n">
        <v>12.45</v>
      </c>
      <c r="L23" s="242" t="n">
        <v>6644000</v>
      </c>
      <c r="M23" s="241" t="n">
        <v>1.27</v>
      </c>
      <c r="N23" s="241" t="n">
        <v>54.84</v>
      </c>
      <c r="O23" s="241" t="n">
        <v>51.9</v>
      </c>
      <c r="P23" s="241" t="n">
        <v>1.25</v>
      </c>
    </row>
    <row r="24">
      <c r="A24" s="282" t="inlineStr">
        <is>
          <t>2006-02-13</t>
        </is>
      </c>
      <c r="B24" s="240">
        <f>IFERROR(1/P24-1,B23)</f>
        <v/>
      </c>
      <c r="C24" s="240">
        <f>$C$3</f>
        <v/>
      </c>
      <c r="D24" s="240">
        <f>$D$3</f>
        <v/>
      </c>
      <c r="E24" s="240">
        <f>$E$3</f>
        <v/>
      </c>
      <c r="F24" s="241" t="n">
        <v>15.8</v>
      </c>
      <c r="G24" s="242" t="n">
        <v>1537634</v>
      </c>
      <c r="H24" s="241" t="n">
        <v>1.22</v>
      </c>
      <c r="I24" s="241" t="n">
        <v>13.59</v>
      </c>
      <c r="J24" s="241" t="n">
        <v>27.32</v>
      </c>
      <c r="K24" s="241" t="n">
        <v>12.45</v>
      </c>
      <c r="L24" s="242" t="n">
        <v>4026000</v>
      </c>
      <c r="M24" s="241" t="n">
        <v>0</v>
      </c>
      <c r="N24" s="241" t="n">
        <v>37.93</v>
      </c>
      <c r="O24" s="241" t="n">
        <v>51.9</v>
      </c>
      <c r="P24" s="241" t="n">
        <v>1.27</v>
      </c>
    </row>
    <row r="25">
      <c r="A25" s="282" t="inlineStr">
        <is>
          <t>2006-02-14</t>
        </is>
      </c>
      <c r="B25" s="240">
        <f>IFERROR(1/P25-1,B24)</f>
        <v/>
      </c>
      <c r="C25" s="240">
        <f>$C$3</f>
        <v/>
      </c>
      <c r="D25" s="240">
        <f>$D$3</f>
        <v/>
      </c>
      <c r="E25" s="240">
        <f>$E$3</f>
        <v/>
      </c>
      <c r="F25" s="241" t="n">
        <v>15.99</v>
      </c>
      <c r="G25" s="242" t="n">
        <v>1977900</v>
      </c>
      <c r="H25" s="241" t="n">
        <v>1.2</v>
      </c>
      <c r="I25" s="241" t="n">
        <v>14.13</v>
      </c>
      <c r="J25" s="241" t="n">
        <v>28.85</v>
      </c>
      <c r="K25" s="241" t="n">
        <v>12.65</v>
      </c>
      <c r="L25" s="242" t="n">
        <v>4446000</v>
      </c>
      <c r="M25" s="241" t="n">
        <v>1.67</v>
      </c>
      <c r="N25" s="241" t="n">
        <v>41.04</v>
      </c>
      <c r="O25" s="241" t="n">
        <v>54.43</v>
      </c>
      <c r="P25" s="241" t="n">
        <v>1.26</v>
      </c>
    </row>
    <row r="26">
      <c r="A26" s="282" t="inlineStr">
        <is>
          <t>2006-02-15</t>
        </is>
      </c>
      <c r="B26" s="240">
        <f>IFERROR(1/P26-1,B25)</f>
        <v/>
      </c>
      <c r="C26" s="240">
        <f>$C$3</f>
        <v/>
      </c>
      <c r="D26" s="240">
        <f>$D$3</f>
        <v/>
      </c>
      <c r="E26" s="240">
        <f>$E$3</f>
        <v/>
      </c>
      <c r="F26" s="241" t="n">
        <v>15.65</v>
      </c>
      <c r="G26" s="242" t="n">
        <v>2632927</v>
      </c>
      <c r="H26" s="241" t="n">
        <v>-2.13</v>
      </c>
      <c r="I26" s="241" t="n">
        <v>11.71</v>
      </c>
      <c r="J26" s="241" t="n">
        <v>26.11</v>
      </c>
      <c r="K26" s="241" t="n">
        <v>13.22</v>
      </c>
      <c r="L26" s="242" t="n">
        <v>3372959</v>
      </c>
      <c r="M26" s="241" t="n">
        <v>4.51</v>
      </c>
      <c r="N26" s="241" t="n">
        <v>47.4</v>
      </c>
      <c r="O26" s="241" t="n">
        <v>61.39</v>
      </c>
      <c r="P26" s="241" t="n">
        <v>1.18</v>
      </c>
    </row>
    <row r="27">
      <c r="A27" s="282" t="inlineStr">
        <is>
          <t>2006-02-16</t>
        </is>
      </c>
      <c r="B27" s="240">
        <f>IFERROR(1/P27-1,B26)</f>
        <v/>
      </c>
      <c r="C27" s="240">
        <f>$C$3</f>
        <v/>
      </c>
      <c r="D27" s="240">
        <f>$D$3</f>
        <v/>
      </c>
      <c r="E27" s="240">
        <f>$E$3</f>
        <v/>
      </c>
      <c r="F27" s="241" t="n">
        <v>14.83</v>
      </c>
      <c r="G27" s="242" t="n">
        <v>2723710</v>
      </c>
      <c r="H27" s="241" t="n">
        <v>-5.24</v>
      </c>
      <c r="I27" s="241" t="n">
        <v>5.85</v>
      </c>
      <c r="J27" s="241" t="n">
        <v>19.5</v>
      </c>
      <c r="K27" s="241" t="n">
        <v>12.45</v>
      </c>
      <c r="L27" s="242" t="n">
        <v>1402000</v>
      </c>
      <c r="M27" s="241" t="n">
        <v>-5.88</v>
      </c>
      <c r="N27" s="241" t="n">
        <v>38.73</v>
      </c>
      <c r="O27" s="241" t="n">
        <v>51.9</v>
      </c>
      <c r="P27" s="241" t="n">
        <v>1.19</v>
      </c>
    </row>
    <row r="28">
      <c r="A28" s="282" t="inlineStr">
        <is>
          <t>2006-02-17</t>
        </is>
      </c>
      <c r="B28" s="240">
        <f>IFERROR(1/P28-1,B27)</f>
        <v/>
      </c>
      <c r="C28" s="240">
        <f>$C$3</f>
        <v/>
      </c>
      <c r="D28" s="240">
        <f>$D$3</f>
        <v/>
      </c>
      <c r="E28" s="240">
        <f>$E$3</f>
        <v/>
      </c>
      <c r="F28" s="241" t="n">
        <v>14.71</v>
      </c>
      <c r="G28" s="242" t="n">
        <v>1979564</v>
      </c>
      <c r="H28" s="241" t="n">
        <v>-0.8100000000000001</v>
      </c>
      <c r="I28" s="241" t="n">
        <v>10.44</v>
      </c>
      <c r="J28" s="241" t="n">
        <v>18.53</v>
      </c>
      <c r="K28" s="241" t="n">
        <v>11.56</v>
      </c>
      <c r="L28" s="242" t="n">
        <v>3106359</v>
      </c>
      <c r="M28" s="241" t="n">
        <v>-7.08</v>
      </c>
      <c r="N28" s="241" t="n">
        <v>28.9</v>
      </c>
      <c r="O28" s="241" t="n">
        <v>41.14</v>
      </c>
      <c r="P28" s="241" t="n">
        <v>1.27</v>
      </c>
    </row>
    <row r="29">
      <c r="A29" s="282" t="inlineStr">
        <is>
          <t>2006-02-20</t>
        </is>
      </c>
      <c r="B29" s="240">
        <f>IFERROR(1/P29-1,B28)</f>
        <v/>
      </c>
      <c r="C29" s="240">
        <f>$C$3</f>
        <v/>
      </c>
      <c r="D29" s="240">
        <f>$D$3</f>
        <v/>
      </c>
      <c r="E29" s="240">
        <f>$E$3</f>
        <v/>
      </c>
      <c r="F29" s="241" t="n">
        <v>14.43</v>
      </c>
      <c r="G29" s="242" t="n">
        <v>1373156</v>
      </c>
      <c r="H29" s="241" t="n">
        <v>-1.9</v>
      </c>
      <c r="I29" s="241" t="n">
        <v>3.89</v>
      </c>
      <c r="J29" s="241" t="n">
        <v>16.28</v>
      </c>
      <c r="K29" s="241" t="n">
        <v>12.08</v>
      </c>
      <c r="L29" s="242" t="n">
        <v>3522000</v>
      </c>
      <c r="M29" s="241" t="n">
        <v>4.48</v>
      </c>
      <c r="N29" s="241" t="n">
        <v>33.91</v>
      </c>
      <c r="O29" s="241" t="n">
        <v>47.47</v>
      </c>
      <c r="P29" s="241" t="n">
        <v>1.19</v>
      </c>
    </row>
    <row r="30">
      <c r="A30" s="282" t="inlineStr">
        <is>
          <t>2006-02-21</t>
        </is>
      </c>
      <c r="B30" s="240">
        <f>IFERROR(1/P30-1,B29)</f>
        <v/>
      </c>
      <c r="C30" s="240">
        <f>$C$3</f>
        <v/>
      </c>
      <c r="D30" s="240">
        <f>$D$3</f>
        <v/>
      </c>
      <c r="E30" s="240">
        <f>$E$3</f>
        <v/>
      </c>
      <c r="F30" s="241" t="n">
        <v>14.92</v>
      </c>
      <c r="G30" s="242" t="n">
        <v>1519642</v>
      </c>
      <c r="H30" s="241" t="n">
        <v>3.4</v>
      </c>
      <c r="I30" s="241" t="n">
        <v>6.95</v>
      </c>
      <c r="J30" s="241" t="n">
        <v>20.23</v>
      </c>
      <c r="K30" s="241" t="n">
        <v>12.44</v>
      </c>
      <c r="L30" s="242" t="n">
        <v>2344000</v>
      </c>
      <c r="M30" s="241" t="n">
        <v>3</v>
      </c>
      <c r="N30" s="241" t="n">
        <v>33.33</v>
      </c>
      <c r="O30" s="241" t="n">
        <v>51.9</v>
      </c>
      <c r="P30" s="241" t="n">
        <v>1.2</v>
      </c>
    </row>
    <row r="31">
      <c r="A31" s="282" t="inlineStr">
        <is>
          <t>2006-02-22</t>
        </is>
      </c>
      <c r="B31" s="240">
        <f>IFERROR(1/P31-1,B30)</f>
        <v/>
      </c>
      <c r="C31" s="240">
        <f>$C$3</f>
        <v/>
      </c>
      <c r="D31" s="240">
        <f>$D$3</f>
        <v/>
      </c>
      <c r="E31" s="240">
        <f>$E$3</f>
        <v/>
      </c>
      <c r="F31" s="241" t="n">
        <v>14.8</v>
      </c>
      <c r="G31" s="242" t="n">
        <v>1334845</v>
      </c>
      <c r="H31" s="241" t="n">
        <v>-0.8</v>
      </c>
      <c r="I31" s="241" t="n">
        <v>6.09</v>
      </c>
      <c r="J31" s="241" t="n">
        <v>19.26</v>
      </c>
      <c r="K31" s="241" t="n">
        <v>12.81</v>
      </c>
      <c r="L31" s="242" t="n">
        <v>1472000</v>
      </c>
      <c r="M31" s="241" t="n">
        <v>2.92</v>
      </c>
      <c r="N31" s="241" t="n">
        <v>37.22</v>
      </c>
      <c r="O31" s="241" t="n">
        <v>56.33</v>
      </c>
      <c r="P31" s="241" t="n">
        <v>1.16</v>
      </c>
    </row>
    <row r="32">
      <c r="A32" s="282" t="inlineStr">
        <is>
          <t>2006-02-23</t>
        </is>
      </c>
      <c r="B32" s="240">
        <f>IFERROR(1/P32-1,B31)</f>
        <v/>
      </c>
      <c r="C32" s="240">
        <f>$C$3</f>
        <v/>
      </c>
      <c r="D32" s="240">
        <f>$D$3</f>
        <v/>
      </c>
      <c r="E32" s="240">
        <f>$E$3</f>
        <v/>
      </c>
      <c r="F32" s="241" t="n">
        <v>14.95</v>
      </c>
      <c r="G32" s="242" t="n">
        <v>1346325</v>
      </c>
      <c r="H32" s="241" t="n">
        <v>1.01</v>
      </c>
      <c r="I32" s="241" t="n">
        <v>7.17</v>
      </c>
      <c r="J32" s="241" t="n">
        <v>20.47</v>
      </c>
      <c r="K32" s="241" t="n">
        <v>13.48</v>
      </c>
      <c r="L32" s="242" t="n">
        <v>2792000</v>
      </c>
      <c r="M32" s="241" t="n">
        <v>5.26</v>
      </c>
      <c r="N32" s="241" t="n">
        <v>44.44</v>
      </c>
      <c r="O32" s="241" t="n">
        <v>64.56</v>
      </c>
      <c r="P32" s="241" t="n">
        <v>1.11</v>
      </c>
    </row>
    <row r="33">
      <c r="A33" s="282" t="inlineStr">
        <is>
          <t>2006-02-24</t>
        </is>
      </c>
      <c r="B33" s="240">
        <f>IFERROR(1/P33-1,B32)</f>
        <v/>
      </c>
      <c r="C33" s="240">
        <f>$C$3</f>
        <v/>
      </c>
      <c r="D33" s="240">
        <f>$D$3</f>
        <v/>
      </c>
      <c r="E33" s="240">
        <f>$E$3</f>
        <v/>
      </c>
      <c r="F33" s="241" t="n">
        <v>15.59</v>
      </c>
      <c r="G33" s="242" t="n">
        <v>2583920</v>
      </c>
      <c r="H33" s="241" t="n">
        <v>4.28</v>
      </c>
      <c r="I33" s="241" t="n">
        <v>8.720000000000001</v>
      </c>
      <c r="J33" s="241" t="n">
        <v>25.62</v>
      </c>
      <c r="K33" s="241" t="n">
        <v>13.17</v>
      </c>
      <c r="L33" s="242" t="n">
        <v>1380000</v>
      </c>
      <c r="M33" s="241" t="n">
        <v>-2.31</v>
      </c>
      <c r="N33" s="241" t="n">
        <v>40.33</v>
      </c>
      <c r="O33" s="241" t="n">
        <v>60.76</v>
      </c>
      <c r="P33" s="241" t="n">
        <v>1.18</v>
      </c>
    </row>
    <row r="34">
      <c r="A34" s="282" t="inlineStr">
        <is>
          <t>2006-02-27</t>
        </is>
      </c>
      <c r="B34" s="240">
        <f>IFERROR(1/P34-1,B33)</f>
        <v/>
      </c>
      <c r="C34" s="240">
        <f>$C$3</f>
        <v/>
      </c>
      <c r="D34" s="240">
        <f>$D$3</f>
        <v/>
      </c>
      <c r="E34" s="240">
        <f>$E$3</f>
        <v/>
      </c>
      <c r="F34" s="241" t="n">
        <v>15.59</v>
      </c>
      <c r="G34" s="242" t="n">
        <v>0</v>
      </c>
      <c r="H34" s="241" t="n">
        <v>0</v>
      </c>
      <c r="I34" s="241" t="n">
        <v>10.18</v>
      </c>
      <c r="J34" s="241" t="n">
        <v>25.62</v>
      </c>
      <c r="K34" s="241" t="n">
        <v>12.54</v>
      </c>
      <c r="L34" s="242" t="n">
        <v>2392000</v>
      </c>
      <c r="M34" s="241" t="n">
        <v>-4.72</v>
      </c>
      <c r="N34" s="241" t="n">
        <v>29.41</v>
      </c>
      <c r="O34" s="241" t="n">
        <v>53.16</v>
      </c>
      <c r="P34" s="241" t="n">
        <v>1.24</v>
      </c>
    </row>
    <row r="35">
      <c r="A35" s="282" t="inlineStr">
        <is>
          <t>2006-02-28</t>
        </is>
      </c>
      <c r="B35" s="240">
        <f>IFERROR(1/P35-1,B34)</f>
        <v/>
      </c>
      <c r="C35" s="240">
        <f>$C$3</f>
        <v/>
      </c>
      <c r="D35" s="240">
        <f>$D$3</f>
        <v/>
      </c>
      <c r="E35" s="240">
        <f>$E$3</f>
        <v/>
      </c>
      <c r="F35" s="241" t="n">
        <v>15.59</v>
      </c>
      <c r="G35" s="242" t="n">
        <v>0</v>
      </c>
      <c r="H35" s="241" t="n">
        <v>0</v>
      </c>
      <c r="I35" s="241" t="n">
        <v>10.18</v>
      </c>
      <c r="J35" s="241" t="n">
        <v>25.62</v>
      </c>
      <c r="K35" s="241" t="n">
        <v>12.18</v>
      </c>
      <c r="L35" s="242" t="n">
        <v>6444000</v>
      </c>
      <c r="M35" s="241" t="n">
        <v>-2.89</v>
      </c>
      <c r="N35" s="241" t="n">
        <v>21.76</v>
      </c>
      <c r="O35" s="241" t="n">
        <v>48.73</v>
      </c>
      <c r="P35" s="241" t="n">
        <v>1.28</v>
      </c>
    </row>
    <row r="36">
      <c r="A36" s="282" t="inlineStr">
        <is>
          <t>2006-03-01</t>
        </is>
      </c>
      <c r="B36" s="240">
        <f>IFERROR(1/P36-1,B35)</f>
        <v/>
      </c>
      <c r="C36" s="240">
        <f>$C$3</f>
        <v/>
      </c>
      <c r="D36" s="240">
        <f>$D$3</f>
        <v/>
      </c>
      <c r="E36" s="240">
        <f>$E$3</f>
        <v/>
      </c>
      <c r="F36" s="241" t="n">
        <v>15.59</v>
      </c>
      <c r="G36" s="242" t="n">
        <v>0</v>
      </c>
      <c r="H36" s="241" t="n">
        <v>0</v>
      </c>
      <c r="I36" s="241" t="n">
        <v>10.18</v>
      </c>
      <c r="J36" s="241" t="n">
        <v>25.62</v>
      </c>
      <c r="K36" s="241" t="n">
        <v>12.23</v>
      </c>
      <c r="L36" s="242" t="n">
        <v>3646000</v>
      </c>
      <c r="M36" s="241" t="n">
        <v>0.43</v>
      </c>
      <c r="N36" s="241" t="n">
        <v>22.28</v>
      </c>
      <c r="O36" s="241" t="n">
        <v>49.37</v>
      </c>
      <c r="P36" s="241" t="n">
        <v>1.27</v>
      </c>
    </row>
    <row r="37">
      <c r="A37" s="282" t="inlineStr">
        <is>
          <t>2006-03-02</t>
        </is>
      </c>
      <c r="B37" s="240">
        <f>IFERROR(1/P37-1,B36)</f>
        <v/>
      </c>
      <c r="C37" s="240">
        <f>$C$3</f>
        <v/>
      </c>
      <c r="D37" s="240">
        <f>$D$3</f>
        <v/>
      </c>
      <c r="E37" s="240">
        <f>$E$3</f>
        <v/>
      </c>
      <c r="F37" s="241" t="n">
        <v>15.59</v>
      </c>
      <c r="G37" s="242" t="n">
        <v>0</v>
      </c>
      <c r="H37" s="241" t="n">
        <v>0</v>
      </c>
      <c r="I37" s="241" t="n">
        <v>10.18</v>
      </c>
      <c r="J37" s="241" t="n">
        <v>25.62</v>
      </c>
      <c r="K37" s="241" t="n">
        <v>12.54</v>
      </c>
      <c r="L37" s="242" t="n">
        <v>2384000</v>
      </c>
      <c r="M37" s="241" t="n">
        <v>2.54</v>
      </c>
      <c r="N37" s="241" t="n">
        <v>16.91</v>
      </c>
      <c r="O37" s="241" t="n">
        <v>53.16</v>
      </c>
      <c r="P37" s="241" t="n">
        <v>1.24</v>
      </c>
    </row>
    <row r="38">
      <c r="A38" s="282" t="inlineStr">
        <is>
          <t>2006-03-03</t>
        </is>
      </c>
      <c r="B38" s="240">
        <f>IFERROR(1/P38-1,B37)</f>
        <v/>
      </c>
      <c r="C38" s="240">
        <f>$C$3</f>
        <v/>
      </c>
      <c r="D38" s="240">
        <f>$D$3</f>
        <v/>
      </c>
      <c r="E38" s="240">
        <f>$E$3</f>
        <v/>
      </c>
      <c r="F38" s="241" t="n">
        <v>15.59</v>
      </c>
      <c r="G38" s="242" t="n">
        <v>0</v>
      </c>
      <c r="H38" s="241" t="n">
        <v>0</v>
      </c>
      <c r="I38" s="241" t="n">
        <v>10.18</v>
      </c>
      <c r="J38" s="241" t="n">
        <v>25.62</v>
      </c>
      <c r="K38" s="241" t="n">
        <v>12.02</v>
      </c>
      <c r="L38" s="242" t="n">
        <v>2012000</v>
      </c>
      <c r="M38" s="241" t="n">
        <v>-4.13</v>
      </c>
      <c r="N38" s="241" t="n">
        <v>12.08</v>
      </c>
      <c r="O38" s="241" t="n">
        <v>46.84</v>
      </c>
      <c r="P38" s="241" t="n">
        <v>1.3</v>
      </c>
    </row>
    <row r="39">
      <c r="A39" s="282" t="inlineStr">
        <is>
          <t>2006-03-06</t>
        </is>
      </c>
      <c r="B39" s="240">
        <f>IFERROR(1/P39-1,B38)</f>
        <v/>
      </c>
      <c r="C39" s="240">
        <f>$C$3</f>
        <v/>
      </c>
      <c r="D39" s="240">
        <f>$D$3</f>
        <v/>
      </c>
      <c r="E39" s="240">
        <f>$E$3</f>
        <v/>
      </c>
      <c r="F39" s="241" t="n">
        <v>15.59</v>
      </c>
      <c r="G39" s="242" t="n">
        <v>0</v>
      </c>
      <c r="H39" s="241" t="n">
        <v>0</v>
      </c>
      <c r="I39" s="241" t="n">
        <v>10.18</v>
      </c>
      <c r="J39" s="241" t="n">
        <v>25.62</v>
      </c>
      <c r="K39" s="241" t="n">
        <v>12.17</v>
      </c>
      <c r="L39" s="242" t="n">
        <v>2268000</v>
      </c>
      <c r="M39" s="241" t="n">
        <v>1.29</v>
      </c>
      <c r="N39" s="241" t="n">
        <v>17.5</v>
      </c>
      <c r="O39" s="241" t="n">
        <v>48.73</v>
      </c>
      <c r="P39" s="241" t="n">
        <v>1.28</v>
      </c>
    </row>
    <row r="40">
      <c r="A40" s="282" t="inlineStr">
        <is>
          <t>2006-03-07</t>
        </is>
      </c>
      <c r="B40" s="240">
        <f>IFERROR(1/P40-1,B39)</f>
        <v/>
      </c>
      <c r="C40" s="240">
        <f>$C$3</f>
        <v/>
      </c>
      <c r="D40" s="240">
        <f>$D$3</f>
        <v/>
      </c>
      <c r="E40" s="240">
        <f>$E$3</f>
        <v/>
      </c>
      <c r="F40" s="241" t="n">
        <v>15.59</v>
      </c>
      <c r="G40" s="242" t="n">
        <v>0</v>
      </c>
      <c r="H40" s="241" t="n">
        <v>0</v>
      </c>
      <c r="I40" s="241" t="n">
        <v>8.57</v>
      </c>
      <c r="J40" s="241" t="n">
        <v>25.62</v>
      </c>
      <c r="K40" s="241" t="n">
        <v>12.13</v>
      </c>
      <c r="L40" s="242" t="n">
        <v>2280000</v>
      </c>
      <c r="M40" s="241" t="n">
        <v>-0.43</v>
      </c>
      <c r="N40" s="241" t="n">
        <v>11.96</v>
      </c>
      <c r="O40" s="241" t="n">
        <v>48.1</v>
      </c>
      <c r="P40" s="241" t="n">
        <v>1.29</v>
      </c>
    </row>
    <row r="41">
      <c r="A41" s="282" t="inlineStr">
        <is>
          <t>2006-03-08</t>
        </is>
      </c>
      <c r="B41" s="240">
        <f>IFERROR(1/P41-1,B40)</f>
        <v/>
      </c>
      <c r="C41" s="240">
        <f>$C$3</f>
        <v/>
      </c>
      <c r="D41" s="240">
        <f>$D$3</f>
        <v/>
      </c>
      <c r="E41" s="240">
        <f>$E$3</f>
        <v/>
      </c>
      <c r="F41" s="241" t="n">
        <v>15.59</v>
      </c>
      <c r="G41" s="242" t="n">
        <v>0</v>
      </c>
      <c r="H41" s="241" t="n">
        <v>0</v>
      </c>
      <c r="I41" s="241" t="n">
        <v>11.28</v>
      </c>
      <c r="J41" s="241" t="n">
        <v>25.62</v>
      </c>
      <c r="K41" s="241" t="n">
        <v>12.08</v>
      </c>
      <c r="L41" s="242" t="n">
        <v>2978000</v>
      </c>
      <c r="M41" s="241" t="n">
        <v>-0.43</v>
      </c>
      <c r="N41" s="241" t="n">
        <v>4.02</v>
      </c>
      <c r="O41" s="241" t="n">
        <v>47.47</v>
      </c>
      <c r="P41" s="241" t="n">
        <v>1.29</v>
      </c>
    </row>
    <row r="42">
      <c r="A42" s="282" t="inlineStr">
        <is>
          <t>2006-03-09</t>
        </is>
      </c>
      <c r="B42" s="240">
        <f>IFERROR(1/P42-1,B41)</f>
        <v/>
      </c>
      <c r="C42" s="240">
        <f>$C$3</f>
        <v/>
      </c>
      <c r="D42" s="240">
        <f>$D$3</f>
        <v/>
      </c>
      <c r="E42" s="240">
        <f>$E$3</f>
        <v/>
      </c>
      <c r="F42" s="241" t="n">
        <v>15.59</v>
      </c>
      <c r="G42" s="242" t="n">
        <v>0</v>
      </c>
      <c r="H42" s="241" t="n">
        <v>0</v>
      </c>
      <c r="I42" s="241" t="n">
        <v>4.49</v>
      </c>
      <c r="J42" s="241" t="n">
        <v>25.62</v>
      </c>
      <c r="K42" s="241" t="n">
        <v>12.03</v>
      </c>
      <c r="L42" s="242" t="n">
        <v>3269000</v>
      </c>
      <c r="M42" s="241" t="n">
        <v>-0.43</v>
      </c>
      <c r="N42" s="241" t="n">
        <v>0.87</v>
      </c>
      <c r="O42" s="241" t="n">
        <v>46.84</v>
      </c>
      <c r="P42" s="241" t="n">
        <v>1.3</v>
      </c>
    </row>
    <row r="43">
      <c r="A43" s="282" t="inlineStr">
        <is>
          <t>2006-03-10</t>
        </is>
      </c>
      <c r="B43" s="240">
        <f>IFERROR(1/P43-1,B42)</f>
        <v/>
      </c>
      <c r="C43" s="240">
        <f>$C$3</f>
        <v/>
      </c>
      <c r="D43" s="240">
        <f>$D$3</f>
        <v/>
      </c>
      <c r="E43" s="240">
        <f>$E$3</f>
        <v/>
      </c>
      <c r="F43" s="241" t="n">
        <v>15.59</v>
      </c>
      <c r="G43" s="242" t="n">
        <v>0</v>
      </c>
      <c r="H43" s="241" t="n">
        <v>0</v>
      </c>
      <c r="I43" s="241" t="n">
        <v>6.63</v>
      </c>
      <c r="J43" s="241" t="n">
        <v>25.62</v>
      </c>
      <c r="K43" s="241" t="n">
        <v>12.91</v>
      </c>
      <c r="L43" s="242" t="n">
        <v>3516000</v>
      </c>
      <c r="M43" s="241" t="n">
        <v>7.33</v>
      </c>
      <c r="N43" s="241" t="n">
        <v>5.06</v>
      </c>
      <c r="O43" s="241" t="n">
        <v>57.59</v>
      </c>
      <c r="P43" s="241" t="n">
        <v>1.21</v>
      </c>
    </row>
    <row r="44">
      <c r="A44" s="282" t="inlineStr">
        <is>
          <t>2006-03-13</t>
        </is>
      </c>
      <c r="B44" s="240">
        <f>IFERROR(1/P44-1,B43)</f>
        <v/>
      </c>
      <c r="C44" s="240">
        <f>$C$3</f>
        <v/>
      </c>
      <c r="D44" s="240">
        <f>$D$3</f>
        <v/>
      </c>
      <c r="E44" s="240">
        <f>$E$3</f>
        <v/>
      </c>
      <c r="F44" s="241" t="n">
        <v>15.59</v>
      </c>
      <c r="G44" s="242" t="n">
        <v>0</v>
      </c>
      <c r="H44" s="241" t="n">
        <v>0</v>
      </c>
      <c r="I44" s="241" t="n">
        <v>-0.13</v>
      </c>
      <c r="J44" s="241" t="n">
        <v>25.62</v>
      </c>
      <c r="K44" s="241" t="n">
        <v>13.79</v>
      </c>
      <c r="L44" s="242" t="n">
        <v>2992000</v>
      </c>
      <c r="M44" s="241" t="n">
        <v>6.83</v>
      </c>
      <c r="N44" s="241" t="n">
        <v>10.83</v>
      </c>
      <c r="O44" s="241" t="n">
        <v>68.34999999999999</v>
      </c>
      <c r="P44" s="241" t="n">
        <v>1.13</v>
      </c>
    </row>
    <row r="45">
      <c r="A45" s="282" t="inlineStr">
        <is>
          <t>2006-03-14</t>
        </is>
      </c>
      <c r="B45" s="240">
        <f>IFERROR(1/P45-1,B44)</f>
        <v/>
      </c>
      <c r="C45" s="240">
        <f>$C$3</f>
        <v/>
      </c>
      <c r="D45" s="240">
        <f>$D$3</f>
        <v/>
      </c>
      <c r="E45" s="240">
        <f>$E$3</f>
        <v/>
      </c>
      <c r="F45" s="241" t="n">
        <v>15.59</v>
      </c>
      <c r="G45" s="242" t="n">
        <v>0</v>
      </c>
      <c r="H45" s="241" t="n">
        <v>0</v>
      </c>
      <c r="I45" s="241" t="n">
        <v>-1.33</v>
      </c>
      <c r="J45" s="241" t="n">
        <v>25.62</v>
      </c>
      <c r="K45" s="241" t="n">
        <v>14.1</v>
      </c>
      <c r="L45" s="242" t="n">
        <v>2040000</v>
      </c>
      <c r="M45" s="241" t="n">
        <v>2.26</v>
      </c>
      <c r="N45" s="241" t="n">
        <v>13.33</v>
      </c>
      <c r="O45" s="241" t="n">
        <v>72.15000000000001</v>
      </c>
      <c r="P45" s="241" t="n">
        <v>1.11</v>
      </c>
    </row>
    <row r="46">
      <c r="A46" s="282" t="inlineStr">
        <is>
          <t>2006-03-15</t>
        </is>
      </c>
      <c r="B46" s="240">
        <f>IFERROR(1/P46-1,B45)</f>
        <v/>
      </c>
      <c r="C46" s="240">
        <f>$C$3</f>
        <v/>
      </c>
      <c r="D46" s="240">
        <f>$D$3</f>
        <v/>
      </c>
      <c r="E46" s="240">
        <f>$E$3</f>
        <v/>
      </c>
      <c r="F46" s="241" t="n">
        <v>15.59</v>
      </c>
      <c r="G46" s="242" t="n">
        <v>0</v>
      </c>
      <c r="H46" s="241" t="n">
        <v>0</v>
      </c>
      <c r="I46" s="241" t="n">
        <v>-2.5</v>
      </c>
      <c r="J46" s="241" t="n">
        <v>25.62</v>
      </c>
      <c r="K46" s="241" t="n">
        <v>14.3</v>
      </c>
      <c r="L46" s="242" t="n">
        <v>800000</v>
      </c>
      <c r="M46" s="241" t="n">
        <v>1.47</v>
      </c>
      <c r="N46" s="241" t="n">
        <v>13.11</v>
      </c>
      <c r="O46" s="241" t="n">
        <v>74.68000000000001</v>
      </c>
      <c r="P46" s="241" t="n">
        <v>1.09</v>
      </c>
    </row>
    <row r="47">
      <c r="A47" s="282" t="inlineStr">
        <is>
          <t>2006-03-16</t>
        </is>
      </c>
      <c r="B47" s="240">
        <f>IFERROR(1/P47-1,B46)</f>
        <v/>
      </c>
      <c r="C47" s="240">
        <f>$C$3</f>
        <v/>
      </c>
      <c r="D47" s="240">
        <f>$D$3</f>
        <v/>
      </c>
      <c r="E47" s="240">
        <f>$E$3</f>
        <v/>
      </c>
      <c r="F47" s="241" t="n">
        <v>15.59</v>
      </c>
      <c r="G47" s="242" t="n">
        <v>0</v>
      </c>
      <c r="H47" s="241" t="n">
        <v>0</v>
      </c>
      <c r="I47" s="241" t="n">
        <v>-0.38</v>
      </c>
      <c r="J47" s="241" t="n">
        <v>25.62</v>
      </c>
      <c r="K47" s="241" t="n">
        <v>13.72</v>
      </c>
      <c r="L47" s="242" t="n">
        <v>2356000</v>
      </c>
      <c r="M47" s="241" t="n">
        <v>-3.99</v>
      </c>
      <c r="N47" s="241" t="n">
        <v>3.92</v>
      </c>
      <c r="O47" s="241" t="n">
        <v>67.72</v>
      </c>
      <c r="P47" s="241" t="n">
        <v>1.14</v>
      </c>
    </row>
    <row r="48">
      <c r="A48" s="282" t="inlineStr">
        <is>
          <t>2006-03-17</t>
        </is>
      </c>
      <c r="B48" s="240">
        <f>IFERROR(1/P48-1,B47)</f>
        <v/>
      </c>
      <c r="C48" s="240">
        <f>$C$3</f>
        <v/>
      </c>
      <c r="D48" s="240">
        <f>$D$3</f>
        <v/>
      </c>
      <c r="E48" s="240">
        <f>$E$3</f>
        <v/>
      </c>
      <c r="F48" s="241" t="n">
        <v>15.37</v>
      </c>
      <c r="G48" s="242" t="n">
        <v>2661667</v>
      </c>
      <c r="H48" s="241" t="n">
        <v>-1.41</v>
      </c>
      <c r="I48" s="241" t="n">
        <v>3.64</v>
      </c>
      <c r="J48" s="241" t="n">
        <v>23.85</v>
      </c>
      <c r="K48" s="241" t="n">
        <v>13.51</v>
      </c>
      <c r="L48" s="242" t="n">
        <v>810000</v>
      </c>
      <c r="M48" s="241" t="n">
        <v>-1.51</v>
      </c>
      <c r="N48" s="241" t="n">
        <v>8.75</v>
      </c>
      <c r="O48" s="241" t="n">
        <v>65.19</v>
      </c>
      <c r="P48" s="241" t="n">
        <v>1.14</v>
      </c>
    </row>
    <row r="49">
      <c r="A49" s="282" t="inlineStr">
        <is>
          <t>2006-03-20</t>
        </is>
      </c>
      <c r="B49" s="240">
        <f>IFERROR(1/P49-1,B48)</f>
        <v/>
      </c>
      <c r="C49" s="240">
        <f>$C$3</f>
        <v/>
      </c>
      <c r="D49" s="240">
        <f>$D$3</f>
        <v/>
      </c>
      <c r="E49" s="240">
        <f>$E$3</f>
        <v/>
      </c>
      <c r="F49" s="241" t="n">
        <v>15.29</v>
      </c>
      <c r="G49" s="242" t="n">
        <v>868625</v>
      </c>
      <c r="H49" s="241" t="n">
        <v>-0.52</v>
      </c>
      <c r="I49" s="241" t="n">
        <v>3.94</v>
      </c>
      <c r="J49" s="241" t="n">
        <v>23.21</v>
      </c>
      <c r="K49" s="241" t="n">
        <v>13.76</v>
      </c>
      <c r="L49" s="242" t="n">
        <v>886000</v>
      </c>
      <c r="M49" s="241" t="n">
        <v>1.92</v>
      </c>
      <c r="N49" s="241" t="n">
        <v>19.28</v>
      </c>
      <c r="O49" s="241" t="n">
        <v>68.34999999999999</v>
      </c>
      <c r="P49" s="241" t="n">
        <v>1.11</v>
      </c>
    </row>
    <row r="50">
      <c r="A50" s="282" t="inlineStr">
        <is>
          <t>2006-03-21</t>
        </is>
      </c>
      <c r="B50" s="240">
        <f>IFERROR(1/P50-1,B49)</f>
        <v/>
      </c>
      <c r="C50" s="240">
        <f>$C$3</f>
        <v/>
      </c>
      <c r="D50" s="240">
        <f>$D$3</f>
        <v/>
      </c>
      <c r="E50" s="240">
        <f>$E$3</f>
        <v/>
      </c>
      <c r="F50" s="241" t="n">
        <v>15.41</v>
      </c>
      <c r="G50" s="242" t="n">
        <v>1297058</v>
      </c>
      <c r="H50" s="241" t="n">
        <v>0.78</v>
      </c>
      <c r="I50" s="241" t="n">
        <v>6.79</v>
      </c>
      <c r="J50" s="241" t="n">
        <v>24.17</v>
      </c>
      <c r="K50" s="241" t="n">
        <v>13.81</v>
      </c>
      <c r="L50" s="242" t="n">
        <v>252000</v>
      </c>
      <c r="M50" s="241" t="n">
        <v>0.38</v>
      </c>
      <c r="N50" s="241" t="n">
        <v>14.59</v>
      </c>
      <c r="O50" s="241" t="n">
        <v>68.98999999999999</v>
      </c>
      <c r="P50" s="241" t="n">
        <v>1.12</v>
      </c>
    </row>
    <row r="51">
      <c r="A51" s="282" t="inlineStr">
        <is>
          <t>2006-03-22</t>
        </is>
      </c>
      <c r="B51" s="240">
        <f>IFERROR(1/P51-1,B50)</f>
        <v/>
      </c>
      <c r="C51" s="240">
        <f>$C$3</f>
        <v/>
      </c>
      <c r="D51" s="240">
        <f>$D$3</f>
        <v/>
      </c>
      <c r="E51" s="240">
        <f>$E$3</f>
        <v/>
      </c>
      <c r="F51" s="241" t="n">
        <v>15.7</v>
      </c>
      <c r="G51" s="242" t="n">
        <v>1900151</v>
      </c>
      <c r="H51" s="241" t="n">
        <v>1.88</v>
      </c>
      <c r="I51" s="241" t="n">
        <v>5.23</v>
      </c>
      <c r="J51" s="241" t="n">
        <v>26.51</v>
      </c>
      <c r="K51" s="241" t="n">
        <v>13.76</v>
      </c>
      <c r="L51" s="242" t="n">
        <v>1164000</v>
      </c>
      <c r="M51" s="241" t="n">
        <v>-0.37</v>
      </c>
      <c r="N51" s="241" t="n">
        <v>10.83</v>
      </c>
      <c r="O51" s="241" t="n">
        <v>68.34999999999999</v>
      </c>
      <c r="P51" s="241" t="n">
        <v>1.14</v>
      </c>
    </row>
    <row r="52">
      <c r="A52" s="282" t="inlineStr">
        <is>
          <t>2006-03-23</t>
        </is>
      </c>
      <c r="B52" s="240">
        <f>IFERROR(1/P52-1,B51)</f>
        <v/>
      </c>
      <c r="C52" s="240">
        <f>$C$3</f>
        <v/>
      </c>
      <c r="D52" s="240">
        <f>$D$3</f>
        <v/>
      </c>
      <c r="E52" s="240">
        <f>$E$3</f>
        <v/>
      </c>
      <c r="F52" s="241" t="n">
        <v>15.51</v>
      </c>
      <c r="G52" s="242" t="n">
        <v>1284914</v>
      </c>
      <c r="H52" s="241" t="n">
        <v>-1.21</v>
      </c>
      <c r="I52" s="241" t="n">
        <v>4.8</v>
      </c>
      <c r="J52" s="241" t="n">
        <v>24.98</v>
      </c>
      <c r="K52" s="241" t="n">
        <v>14.02</v>
      </c>
      <c r="L52" s="242" t="n">
        <v>648000</v>
      </c>
      <c r="M52" s="241" t="n">
        <v>1.88</v>
      </c>
      <c r="N52" s="241" t="n">
        <v>9.720000000000001</v>
      </c>
      <c r="O52" s="241" t="n">
        <v>71.52</v>
      </c>
      <c r="P52" s="241" t="n">
        <v>1.11</v>
      </c>
    </row>
    <row r="53">
      <c r="A53" s="282" t="inlineStr">
        <is>
          <t>2006-03-24</t>
        </is>
      </c>
      <c r="B53" s="240">
        <f>IFERROR(1/P53-1,B52)</f>
        <v/>
      </c>
      <c r="C53" s="240">
        <f>$C$3</f>
        <v/>
      </c>
      <c r="D53" s="240">
        <f>$D$3</f>
        <v/>
      </c>
      <c r="E53" s="240">
        <f>$E$3</f>
        <v/>
      </c>
      <c r="F53" s="241" t="n">
        <v>15.45</v>
      </c>
      <c r="G53" s="242" t="n">
        <v>2463180</v>
      </c>
      <c r="H53" s="241" t="n">
        <v>-0.39</v>
      </c>
      <c r="I53" s="241" t="n">
        <v>3.34</v>
      </c>
      <c r="J53" s="241" t="n">
        <v>24.5</v>
      </c>
      <c r="K53" s="241" t="n">
        <v>14.24</v>
      </c>
      <c r="L53" s="242" t="n">
        <v>1922000</v>
      </c>
      <c r="M53" s="241" t="n">
        <v>1.48</v>
      </c>
      <c r="N53" s="241" t="n">
        <v>5.77</v>
      </c>
      <c r="O53" s="241" t="n">
        <v>74.05</v>
      </c>
      <c r="P53" s="241" t="n">
        <v>1.09</v>
      </c>
    </row>
    <row r="54">
      <c r="A54" s="282" t="inlineStr">
        <is>
          <t>2006-03-27</t>
        </is>
      </c>
      <c r="B54" s="240">
        <f>IFERROR(1/P54-1,B53)</f>
        <v/>
      </c>
      <c r="C54" s="240">
        <f>$C$3</f>
        <v/>
      </c>
      <c r="D54" s="240">
        <f>$D$3</f>
        <v/>
      </c>
      <c r="E54" s="240">
        <f>$E$3</f>
        <v/>
      </c>
      <c r="F54" s="241" t="n">
        <v>15.45</v>
      </c>
      <c r="G54" s="242" t="n">
        <v>0</v>
      </c>
      <c r="H54" s="241" t="n">
        <v>0</v>
      </c>
      <c r="I54" s="241" t="n">
        <v>-0.9</v>
      </c>
      <c r="J54" s="241" t="n">
        <v>24.5</v>
      </c>
      <c r="K54" s="241" t="n">
        <v>14.37</v>
      </c>
      <c r="L54" s="242" t="n">
        <v>786000</v>
      </c>
      <c r="M54" s="241" t="n">
        <v>1.09</v>
      </c>
      <c r="N54" s="241" t="n">
        <v>9.449999999999999</v>
      </c>
      <c r="O54" s="241" t="n">
        <v>75.95</v>
      </c>
      <c r="P54" s="241" t="n">
        <v>1.07</v>
      </c>
    </row>
    <row r="55">
      <c r="A55" s="282" t="inlineStr">
        <is>
          <t>2006-03-28</t>
        </is>
      </c>
      <c r="B55" s="240">
        <f>IFERROR(1/P55-1,B54)</f>
        <v/>
      </c>
      <c r="C55" s="240">
        <f>$C$3</f>
        <v/>
      </c>
      <c r="D55" s="240">
        <f>$D$3</f>
        <v/>
      </c>
      <c r="E55" s="240">
        <f>$E$3</f>
        <v/>
      </c>
      <c r="F55" s="241" t="n">
        <v>15.45</v>
      </c>
      <c r="G55" s="242" t="n">
        <v>0</v>
      </c>
      <c r="H55" s="241" t="n">
        <v>0</v>
      </c>
      <c r="I55" s="241" t="n">
        <v>-0.9</v>
      </c>
      <c r="J55" s="241" t="n">
        <v>24.5</v>
      </c>
      <c r="K55" s="241" t="n">
        <v>14.58</v>
      </c>
      <c r="L55" s="242" t="n">
        <v>1650000</v>
      </c>
      <c r="M55" s="241" t="n">
        <v>1.44</v>
      </c>
      <c r="N55" s="241" t="n">
        <v>16.53</v>
      </c>
      <c r="O55" s="241" t="n">
        <v>78.48</v>
      </c>
      <c r="P55" s="241" t="n">
        <v>1.06</v>
      </c>
    </row>
    <row r="56">
      <c r="A56" s="282" t="inlineStr">
        <is>
          <t>2006-03-29</t>
        </is>
      </c>
      <c r="B56" s="240">
        <f>IFERROR(1/P56-1,B55)</f>
        <v/>
      </c>
      <c r="C56" s="240">
        <f>$C$3</f>
        <v/>
      </c>
      <c r="D56" s="240">
        <f>$D$3</f>
        <v/>
      </c>
      <c r="E56" s="240">
        <f>$E$3</f>
        <v/>
      </c>
      <c r="F56" s="241" t="n">
        <v>15.45</v>
      </c>
      <c r="G56" s="242" t="n">
        <v>0</v>
      </c>
      <c r="H56" s="241" t="n">
        <v>0</v>
      </c>
      <c r="I56" s="241" t="n">
        <v>-0.9</v>
      </c>
      <c r="J56" s="241" t="n">
        <v>24.5</v>
      </c>
      <c r="K56" s="241" t="n">
        <v>14.59</v>
      </c>
      <c r="L56" s="242" t="n">
        <v>522000</v>
      </c>
      <c r="M56" s="241" t="n">
        <v>0</v>
      </c>
      <c r="N56" s="241" t="n">
        <v>16.53</v>
      </c>
      <c r="O56" s="241" t="n">
        <v>78.48</v>
      </c>
      <c r="P56" s="241" t="n">
        <v>1.06</v>
      </c>
    </row>
    <row r="57">
      <c r="A57" s="282" t="inlineStr">
        <is>
          <t>2006-03-30</t>
        </is>
      </c>
      <c r="B57" s="240">
        <f>IFERROR(1/P57-1,B56)</f>
        <v/>
      </c>
      <c r="C57" s="240">
        <f>$C$3</f>
        <v/>
      </c>
      <c r="D57" s="240">
        <f>$D$3</f>
        <v/>
      </c>
      <c r="E57" s="240">
        <f>$E$3</f>
        <v/>
      </c>
      <c r="F57" s="241" t="n">
        <v>15.45</v>
      </c>
      <c r="G57" s="242" t="n">
        <v>0</v>
      </c>
      <c r="H57" s="241" t="n">
        <v>0</v>
      </c>
      <c r="I57" s="241" t="n">
        <v>-0.9</v>
      </c>
      <c r="J57" s="241" t="n">
        <v>24.5</v>
      </c>
      <c r="K57" s="241" t="n">
        <v>14.89</v>
      </c>
      <c r="L57" s="242" t="n">
        <v>563000</v>
      </c>
      <c r="M57" s="241" t="n">
        <v>2.13</v>
      </c>
      <c r="N57" s="241" t="n">
        <v>19.01</v>
      </c>
      <c r="O57" s="241" t="n">
        <v>82.28</v>
      </c>
      <c r="P57" s="241" t="n">
        <v>1.04</v>
      </c>
    </row>
    <row r="58">
      <c r="A58" s="282" t="inlineStr">
        <is>
          <t>2006-03-31</t>
        </is>
      </c>
      <c r="B58" s="240">
        <f>IFERROR(1/P58-1,B57)</f>
        <v/>
      </c>
      <c r="C58" s="240">
        <f>$C$3</f>
        <v/>
      </c>
      <c r="D58" s="240">
        <f>$D$3</f>
        <v/>
      </c>
      <c r="E58" s="240">
        <f>$E$3</f>
        <v/>
      </c>
      <c r="F58" s="241" t="n">
        <v>15.45</v>
      </c>
      <c r="G58" s="242" t="n">
        <v>0</v>
      </c>
      <c r="H58" s="241" t="n">
        <v>0</v>
      </c>
      <c r="I58" s="241" t="n">
        <v>-0.9</v>
      </c>
      <c r="J58" s="241" t="n">
        <v>24.5</v>
      </c>
      <c r="K58" s="241" t="n">
        <v>16.32</v>
      </c>
      <c r="L58" s="242" t="n">
        <v>1354000</v>
      </c>
      <c r="M58" s="241" t="n">
        <v>9.720000000000001</v>
      </c>
      <c r="N58" s="241" t="n">
        <v>30.58</v>
      </c>
      <c r="O58" s="241" t="n">
        <v>100</v>
      </c>
      <c r="P58" s="241" t="n">
        <v>0.95</v>
      </c>
    </row>
    <row r="59">
      <c r="A59" s="282" t="inlineStr">
        <is>
          <t>2006-04-03</t>
        </is>
      </c>
      <c r="B59" s="240">
        <f>IFERROR(1/P59-1,B58)</f>
        <v/>
      </c>
      <c r="C59" s="240">
        <f>$C$3</f>
        <v/>
      </c>
      <c r="D59" s="240">
        <f>$D$3</f>
        <v/>
      </c>
      <c r="E59" s="240">
        <f>$E$3</f>
        <v/>
      </c>
      <c r="F59" s="241" t="n">
        <v>15.45</v>
      </c>
      <c r="G59" s="242" t="n">
        <v>0</v>
      </c>
      <c r="H59" s="241" t="n">
        <v>0</v>
      </c>
      <c r="I59" s="241" t="n">
        <v>-0.9</v>
      </c>
      <c r="J59" s="241" t="n">
        <v>24.5</v>
      </c>
      <c r="K59" s="241" t="n">
        <v>17.16</v>
      </c>
      <c r="L59" s="242" t="n">
        <v>2560000</v>
      </c>
      <c r="M59" s="241" t="n">
        <v>5.06</v>
      </c>
      <c r="N59" s="241" t="n">
        <v>37.19</v>
      </c>
      <c r="O59" s="241" t="n">
        <v>110.13</v>
      </c>
      <c r="P59" s="241" t="n">
        <v>0.9</v>
      </c>
    </row>
    <row r="60">
      <c r="A60" s="282" t="inlineStr">
        <is>
          <t>2006-04-04</t>
        </is>
      </c>
      <c r="B60" s="240">
        <f>IFERROR(1/P60-1,B59)</f>
        <v/>
      </c>
      <c r="C60" s="240">
        <f>$C$3</f>
        <v/>
      </c>
      <c r="D60" s="240">
        <f>$D$3</f>
        <v/>
      </c>
      <c r="E60" s="240">
        <f>$E$3</f>
        <v/>
      </c>
      <c r="F60" s="241" t="n">
        <v>15.45</v>
      </c>
      <c r="G60" s="242" t="n">
        <v>0</v>
      </c>
      <c r="H60" s="241" t="n">
        <v>0</v>
      </c>
      <c r="I60" s="241" t="n">
        <v>-0.9</v>
      </c>
      <c r="J60" s="241" t="n">
        <v>24.5</v>
      </c>
      <c r="K60" s="241" t="n">
        <v>17.36</v>
      </c>
      <c r="L60" s="242" t="n">
        <v>1872000</v>
      </c>
      <c r="M60" s="241" t="n">
        <v>1.2</v>
      </c>
      <c r="N60" s="241" t="n">
        <v>44.83</v>
      </c>
      <c r="O60" s="241" t="n">
        <v>112.66</v>
      </c>
      <c r="P60" s="241" t="n">
        <v>0.89</v>
      </c>
    </row>
    <row r="61">
      <c r="A61" s="282" t="inlineStr">
        <is>
          <t>2006-04-05</t>
        </is>
      </c>
      <c r="B61" s="240">
        <f>IFERROR(1/P61-1,B60)</f>
        <v/>
      </c>
      <c r="C61" s="240">
        <f>$C$3</f>
        <v/>
      </c>
      <c r="D61" s="240">
        <f>$D$3</f>
        <v/>
      </c>
      <c r="E61" s="240">
        <f>$E$3</f>
        <v/>
      </c>
      <c r="F61" s="241" t="n">
        <v>15.45</v>
      </c>
      <c r="G61" s="242" t="n">
        <v>0</v>
      </c>
      <c r="H61" s="241" t="n">
        <v>0</v>
      </c>
      <c r="I61" s="241" t="n">
        <v>-0.9</v>
      </c>
      <c r="J61" s="241" t="n">
        <v>24.5</v>
      </c>
      <c r="K61" s="239" t="inlineStr">
        <is>
          <t>--</t>
        </is>
      </c>
      <c r="L61" s="239" t="inlineStr">
        <is>
          <t>--</t>
        </is>
      </c>
      <c r="M61" s="239" t="inlineStr">
        <is>
          <t>--</t>
        </is>
      </c>
      <c r="N61" s="239" t="inlineStr">
        <is>
          <t>--</t>
        </is>
      </c>
      <c r="O61" s="239" t="inlineStr">
        <is>
          <t>--</t>
        </is>
      </c>
      <c r="P61" s="239" t="inlineStr">
        <is>
          <t>--</t>
        </is>
      </c>
    </row>
    <row r="62">
      <c r="A62" s="282" t="inlineStr">
        <is>
          <t>2006-04-06</t>
        </is>
      </c>
      <c r="B62" s="240">
        <f>IFERROR(1/P62-1,B61)</f>
        <v/>
      </c>
      <c r="C62" s="240">
        <f>$C$3</f>
        <v/>
      </c>
      <c r="D62" s="240">
        <f>$D$3</f>
        <v/>
      </c>
      <c r="E62" s="240">
        <f>$E$3</f>
        <v/>
      </c>
      <c r="F62" s="241" t="n">
        <v>15.45</v>
      </c>
      <c r="G62" s="242" t="n">
        <v>0</v>
      </c>
      <c r="H62" s="241" t="n">
        <v>0</v>
      </c>
      <c r="I62" s="241" t="n">
        <v>-0.9</v>
      </c>
      <c r="J62" s="241" t="n">
        <v>24.5</v>
      </c>
      <c r="K62" s="241" t="n">
        <v>17.19</v>
      </c>
      <c r="L62" s="242" t="n">
        <v>3822000</v>
      </c>
      <c r="M62" s="241" t="n">
        <v>-0.89</v>
      </c>
      <c r="N62" s="241" t="n">
        <v>43.53</v>
      </c>
      <c r="O62" s="241" t="n">
        <v>110.76</v>
      </c>
      <c r="P62" s="241" t="n">
        <v>0.9</v>
      </c>
    </row>
    <row r="63">
      <c r="A63" s="282" t="inlineStr">
        <is>
          <t>2006-04-07</t>
        </is>
      </c>
      <c r="B63" s="240">
        <f>IFERROR(1/P63-1,B62)</f>
        <v/>
      </c>
      <c r="C63" s="240">
        <f>$C$3</f>
        <v/>
      </c>
      <c r="D63" s="240">
        <f>$D$3</f>
        <v/>
      </c>
      <c r="E63" s="240">
        <f>$E$3</f>
        <v/>
      </c>
      <c r="F63" s="241" t="n">
        <v>15.45</v>
      </c>
      <c r="G63" s="242" t="n">
        <v>0</v>
      </c>
      <c r="H63" s="241" t="n">
        <v>0</v>
      </c>
      <c r="I63" s="241" t="n">
        <v>-0.9</v>
      </c>
      <c r="J63" s="241" t="n">
        <v>24.5</v>
      </c>
      <c r="K63" s="241" t="n">
        <v>17.56</v>
      </c>
      <c r="L63" s="242" t="n">
        <v>2144605</v>
      </c>
      <c r="M63" s="241" t="n">
        <v>2.1</v>
      </c>
      <c r="N63" s="241" t="n">
        <v>44.68</v>
      </c>
      <c r="O63" s="241" t="n">
        <v>115.19</v>
      </c>
      <c r="P63" s="241" t="n">
        <v>0.88</v>
      </c>
    </row>
    <row r="64">
      <c r="A64" s="282" t="inlineStr">
        <is>
          <t>2006-04-10</t>
        </is>
      </c>
      <c r="B64" s="240">
        <f>IFERROR(1/P64-1,B63)</f>
        <v/>
      </c>
      <c r="C64" s="240">
        <f>$C$3</f>
        <v/>
      </c>
      <c r="D64" s="240">
        <f>$D$3</f>
        <v/>
      </c>
      <c r="E64" s="240">
        <f>$E$3</f>
        <v/>
      </c>
      <c r="F64" s="241" t="n">
        <v>15.45</v>
      </c>
      <c r="G64" s="242" t="n">
        <v>0</v>
      </c>
      <c r="H64" s="241" t="n">
        <v>0</v>
      </c>
      <c r="I64" s="241" t="n">
        <v>-0.9</v>
      </c>
      <c r="J64" s="241" t="n">
        <v>24.5</v>
      </c>
      <c r="K64" s="241" t="n">
        <v>17.85</v>
      </c>
      <c r="L64" s="242" t="n">
        <v>516000</v>
      </c>
      <c r="M64" s="241" t="n">
        <v>1.76</v>
      </c>
      <c r="N64" s="241" t="n">
        <v>49.14</v>
      </c>
      <c r="O64" s="241" t="n">
        <v>118.99</v>
      </c>
      <c r="P64" s="241" t="n">
        <v>0.87</v>
      </c>
    </row>
    <row r="65">
      <c r="A65" s="282" t="inlineStr">
        <is>
          <t>2006-04-11</t>
        </is>
      </c>
      <c r="B65" s="240">
        <f>IFERROR(1/P65-1,B64)</f>
        <v/>
      </c>
      <c r="C65" s="240">
        <f>$C$3</f>
        <v/>
      </c>
      <c r="D65" s="240">
        <f>$D$3</f>
        <v/>
      </c>
      <c r="E65" s="240">
        <f>$E$3</f>
        <v/>
      </c>
      <c r="F65" s="241" t="n">
        <v>15.45</v>
      </c>
      <c r="G65" s="242" t="n">
        <v>0</v>
      </c>
      <c r="H65" s="241" t="n">
        <v>0</v>
      </c>
      <c r="I65" s="241" t="n">
        <v>-0.9</v>
      </c>
      <c r="J65" s="241" t="n">
        <v>24.5</v>
      </c>
      <c r="K65" s="241" t="n">
        <v>18.18</v>
      </c>
      <c r="L65" s="242" t="n">
        <v>384000</v>
      </c>
      <c r="M65" s="241" t="n">
        <v>1.73</v>
      </c>
      <c r="N65" s="241" t="n">
        <v>41.37</v>
      </c>
      <c r="O65" s="241" t="n">
        <v>122.78</v>
      </c>
      <c r="P65" s="241" t="n">
        <v>0.85</v>
      </c>
    </row>
    <row r="66">
      <c r="A66" s="282" t="inlineStr">
        <is>
          <t>2006-04-12</t>
        </is>
      </c>
      <c r="B66" s="240">
        <f>IFERROR(1/P66-1,B65)</f>
        <v/>
      </c>
      <c r="C66" s="240">
        <f>$C$3</f>
        <v/>
      </c>
      <c r="D66" s="240">
        <f>$D$3</f>
        <v/>
      </c>
      <c r="E66" s="240">
        <f>$E$3</f>
        <v/>
      </c>
      <c r="F66" s="241" t="n">
        <v>15.45</v>
      </c>
      <c r="G66" s="242" t="n">
        <v>0</v>
      </c>
      <c r="H66" s="241" t="n">
        <v>0</v>
      </c>
      <c r="I66" s="241" t="n">
        <v>-0.9</v>
      </c>
      <c r="J66" s="241" t="n">
        <v>24.5</v>
      </c>
      <c r="K66" s="241" t="n">
        <v>17.97</v>
      </c>
      <c r="L66" s="242" t="n">
        <v>390000</v>
      </c>
      <c r="M66" s="241" t="n">
        <v>-1.14</v>
      </c>
      <c r="N66" s="241" t="n">
        <v>39.76</v>
      </c>
      <c r="O66" s="241" t="n">
        <v>120.25</v>
      </c>
      <c r="P66" s="241" t="n">
        <v>0.86</v>
      </c>
    </row>
    <row r="67">
      <c r="A67" s="282" t="inlineStr">
        <is>
          <t>2006-04-13</t>
        </is>
      </c>
      <c r="B67" s="240">
        <f>IFERROR(1/P67-1,B66)</f>
        <v/>
      </c>
      <c r="C67" s="240">
        <f>$C$3</f>
        <v/>
      </c>
      <c r="D67" s="240">
        <f>$D$3</f>
        <v/>
      </c>
      <c r="E67" s="240">
        <f>$E$3</f>
        <v/>
      </c>
      <c r="F67" s="241" t="n">
        <v>15.45</v>
      </c>
      <c r="G67" s="242" t="n">
        <v>0</v>
      </c>
      <c r="H67" s="241" t="n">
        <v>0</v>
      </c>
      <c r="I67" s="241" t="n">
        <v>-0.9</v>
      </c>
      <c r="J67" s="241" t="n">
        <v>24.5</v>
      </c>
      <c r="K67" s="241" t="n">
        <v>17.58</v>
      </c>
      <c r="L67" s="242" t="n">
        <v>1415816</v>
      </c>
      <c r="M67" s="241" t="n">
        <v>-2.3</v>
      </c>
      <c r="N67" s="241" t="n">
        <v>36.55</v>
      </c>
      <c r="O67" s="241" t="n">
        <v>115.19</v>
      </c>
      <c r="P67" s="241" t="n">
        <v>0.88</v>
      </c>
    </row>
    <row r="68">
      <c r="A68" s="282" t="inlineStr">
        <is>
          <t>2006-04-14</t>
        </is>
      </c>
      <c r="B68" s="240">
        <f>IFERROR(1/P68-1,B67)</f>
        <v/>
      </c>
      <c r="C68" s="240">
        <f>$C$3</f>
        <v/>
      </c>
      <c r="D68" s="240">
        <f>$D$3</f>
        <v/>
      </c>
      <c r="E68" s="240">
        <f>$E$3</f>
        <v/>
      </c>
      <c r="F68" s="241" t="n">
        <v>15.45</v>
      </c>
      <c r="G68" s="242" t="n">
        <v>0</v>
      </c>
      <c r="H68" s="241" t="n">
        <v>0</v>
      </c>
      <c r="I68" s="241" t="n">
        <v>-0.9</v>
      </c>
      <c r="J68" s="241" t="n">
        <v>24.5</v>
      </c>
      <c r="K68" s="239" t="inlineStr">
        <is>
          <t>--</t>
        </is>
      </c>
      <c r="L68" s="239" t="inlineStr">
        <is>
          <t>--</t>
        </is>
      </c>
      <c r="M68" s="239" t="inlineStr">
        <is>
          <t>--</t>
        </is>
      </c>
      <c r="N68" s="239" t="inlineStr">
        <is>
          <t>--</t>
        </is>
      </c>
      <c r="O68" s="239" t="inlineStr">
        <is>
          <t>--</t>
        </is>
      </c>
      <c r="P68" s="239" t="inlineStr">
        <is>
          <t>--</t>
        </is>
      </c>
    </row>
    <row r="69">
      <c r="A69" s="282" t="inlineStr">
        <is>
          <t>2006-04-17</t>
        </is>
      </c>
      <c r="B69" s="240">
        <f>IFERROR(1/P69-1,B68)</f>
        <v/>
      </c>
      <c r="C69" s="240">
        <f>$C$3</f>
        <v/>
      </c>
      <c r="D69" s="240">
        <f>$D$3</f>
        <v/>
      </c>
      <c r="E69" s="240">
        <f>$E$3</f>
        <v/>
      </c>
      <c r="F69" s="241" t="n">
        <v>15.16</v>
      </c>
      <c r="G69" s="242" t="n">
        <v>9665571</v>
      </c>
      <c r="H69" s="241" t="n">
        <v>24.62</v>
      </c>
      <c r="I69" s="241" t="n">
        <v>23.5</v>
      </c>
      <c r="J69" s="241" t="n">
        <v>55.14</v>
      </c>
      <c r="K69" s="239" t="inlineStr">
        <is>
          <t>--</t>
        </is>
      </c>
      <c r="L69" s="239" t="inlineStr">
        <is>
          <t>--</t>
        </is>
      </c>
      <c r="M69" s="239" t="inlineStr">
        <is>
          <t>--</t>
        </is>
      </c>
      <c r="N69" s="239" t="inlineStr">
        <is>
          <t>--</t>
        </is>
      </c>
      <c r="O69" s="239" t="inlineStr">
        <is>
          <t>--</t>
        </is>
      </c>
      <c r="P69" s="239" t="inlineStr">
        <is>
          <t>--</t>
        </is>
      </c>
    </row>
    <row r="70">
      <c r="A70" s="282" t="inlineStr">
        <is>
          <t>2006-04-18</t>
        </is>
      </c>
      <c r="B70" s="240">
        <f>IFERROR(1/P70-1,B69)</f>
        <v/>
      </c>
      <c r="C70" s="240">
        <f>$C$3</f>
        <v/>
      </c>
      <c r="D70" s="240">
        <f>$D$3</f>
        <v/>
      </c>
      <c r="E70" s="240">
        <f>$E$3</f>
        <v/>
      </c>
      <c r="F70" s="241" t="n">
        <v>16.07</v>
      </c>
      <c r="G70" s="242" t="n">
        <v>4150779</v>
      </c>
      <c r="H70" s="241" t="n">
        <v>6</v>
      </c>
      <c r="I70" s="241" t="n">
        <v>32.78</v>
      </c>
      <c r="J70" s="241" t="n">
        <v>64.45999999999999</v>
      </c>
      <c r="K70" s="241" t="n">
        <v>18.03</v>
      </c>
      <c r="L70" s="242" t="n">
        <v>2124000</v>
      </c>
      <c r="M70" s="241" t="n">
        <v>2.65</v>
      </c>
      <c r="N70" s="241" t="n">
        <v>33.72</v>
      </c>
      <c r="O70" s="241" t="n">
        <v>120.89</v>
      </c>
      <c r="P70" s="241" t="n">
        <v>0.89</v>
      </c>
    </row>
    <row r="71">
      <c r="A71" s="282" t="inlineStr">
        <is>
          <t>2006-04-19</t>
        </is>
      </c>
      <c r="B71" s="240">
        <f>IFERROR(1/P71-1,B70)</f>
        <v/>
      </c>
      <c r="C71" s="240">
        <f>$C$3</f>
        <v/>
      </c>
      <c r="D71" s="240">
        <f>$D$3</f>
        <v/>
      </c>
      <c r="E71" s="240">
        <f>$E$3</f>
        <v/>
      </c>
      <c r="F71" s="241" t="n">
        <v>16.59</v>
      </c>
      <c r="G71" s="242" t="n">
        <v>3813217</v>
      </c>
      <c r="H71" s="241" t="n">
        <v>3.24</v>
      </c>
      <c r="I71" s="241" t="n">
        <v>37.08</v>
      </c>
      <c r="J71" s="241" t="n">
        <v>69.78</v>
      </c>
      <c r="K71" s="241" t="n">
        <v>18.29</v>
      </c>
      <c r="L71" s="242" t="n">
        <v>2084000</v>
      </c>
      <c r="M71" s="241" t="n">
        <v>1.43</v>
      </c>
      <c r="N71" s="241" t="n">
        <v>35.63</v>
      </c>
      <c r="O71" s="241" t="n">
        <v>124.05</v>
      </c>
      <c r="P71" s="241" t="n">
        <v>0.91</v>
      </c>
    </row>
    <row r="72">
      <c r="A72" s="282" t="inlineStr">
        <is>
          <t>2006-04-20</t>
        </is>
      </c>
      <c r="B72" s="240">
        <f>IFERROR(1/P72-1,B71)</f>
        <v/>
      </c>
      <c r="C72" s="240">
        <f>$C$3</f>
        <v/>
      </c>
      <c r="D72" s="240">
        <f>$D$3</f>
        <v/>
      </c>
      <c r="E72" s="240">
        <f>$E$3</f>
        <v/>
      </c>
      <c r="F72" s="241" t="n">
        <v>15.94</v>
      </c>
      <c r="G72" s="242" t="n">
        <v>3174902</v>
      </c>
      <c r="H72" s="241" t="n">
        <v>-3.92</v>
      </c>
      <c r="I72" s="241" t="n">
        <v>31.71</v>
      </c>
      <c r="J72" s="241" t="n">
        <v>63.12</v>
      </c>
      <c r="K72" s="241" t="n">
        <v>18.19</v>
      </c>
      <c r="L72" s="242" t="n">
        <v>1202000</v>
      </c>
      <c r="M72" s="241" t="n">
        <v>-0.5600000000000001</v>
      </c>
      <c r="N72" s="241" t="n">
        <v>34.87</v>
      </c>
      <c r="O72" s="241" t="n">
        <v>122.78</v>
      </c>
      <c r="P72" s="241" t="n">
        <v>0.88</v>
      </c>
    </row>
    <row r="73">
      <c r="A73" s="282" t="inlineStr">
        <is>
          <t>2006-04-21</t>
        </is>
      </c>
      <c r="B73" s="240">
        <f>IFERROR(1/P73-1,B72)</f>
        <v/>
      </c>
      <c r="C73" s="240">
        <f>$C$3</f>
        <v/>
      </c>
      <c r="D73" s="240">
        <f>$D$3</f>
        <v/>
      </c>
      <c r="E73" s="240">
        <f>$E$3</f>
        <v/>
      </c>
      <c r="F73" s="241" t="n">
        <v>16.35</v>
      </c>
      <c r="G73" s="242" t="n">
        <v>3562089</v>
      </c>
      <c r="H73" s="241" t="n">
        <v>2.57</v>
      </c>
      <c r="I73" s="241" t="n">
        <v>35.8</v>
      </c>
      <c r="J73" s="241" t="n">
        <v>67.31999999999999</v>
      </c>
      <c r="K73" s="241" t="n">
        <v>18.98</v>
      </c>
      <c r="L73" s="242" t="n">
        <v>3189000</v>
      </c>
      <c r="M73" s="241" t="n">
        <v>4.26</v>
      </c>
      <c r="N73" s="241" t="n">
        <v>37.97</v>
      </c>
      <c r="O73" s="241" t="n">
        <v>132.28</v>
      </c>
      <c r="P73" s="241" t="n">
        <v>0.86</v>
      </c>
    </row>
    <row r="74">
      <c r="A74" s="282" t="inlineStr">
        <is>
          <t>2006-04-24</t>
        </is>
      </c>
      <c r="B74" s="240">
        <f>IFERROR(1/P74-1,B73)</f>
        <v/>
      </c>
      <c r="C74" s="240">
        <f>$C$3</f>
        <v/>
      </c>
      <c r="D74" s="240">
        <f>$D$3</f>
        <v/>
      </c>
      <c r="E74" s="240">
        <f>$E$3</f>
        <v/>
      </c>
      <c r="F74" s="241" t="n">
        <v>15.78</v>
      </c>
      <c r="G74" s="242" t="n">
        <v>3060081</v>
      </c>
      <c r="H74" s="241" t="n">
        <v>-3.49</v>
      </c>
      <c r="I74" s="241" t="n">
        <v>29.21</v>
      </c>
      <c r="J74" s="241" t="n">
        <v>61.49</v>
      </c>
      <c r="K74" s="241" t="n">
        <v>18.36</v>
      </c>
      <c r="L74" s="242" t="n">
        <v>2690000</v>
      </c>
      <c r="M74" s="241" t="n">
        <v>-3.27</v>
      </c>
      <c r="N74" s="241" t="n">
        <v>31</v>
      </c>
      <c r="O74" s="241" t="n">
        <v>124.68</v>
      </c>
      <c r="P74" s="241" t="n">
        <v>0.86</v>
      </c>
    </row>
    <row r="75">
      <c r="A75" s="282" t="inlineStr">
        <is>
          <t>2006-04-25</t>
        </is>
      </c>
      <c r="B75" s="240">
        <f>IFERROR(1/P75-1,B74)</f>
        <v/>
      </c>
      <c r="C75" s="240">
        <f>$C$3</f>
        <v/>
      </c>
      <c r="D75" s="240">
        <f>$D$3</f>
        <v/>
      </c>
      <c r="E75" s="240">
        <f>$E$3</f>
        <v/>
      </c>
      <c r="F75" s="241" t="n">
        <v>15.88</v>
      </c>
      <c r="G75" s="242" t="n">
        <v>3384191</v>
      </c>
      <c r="H75" s="241" t="n">
        <v>0.63</v>
      </c>
      <c r="I75" s="241" t="n">
        <v>30.53</v>
      </c>
      <c r="J75" s="241" t="n">
        <v>62.51</v>
      </c>
      <c r="K75" s="241" t="n">
        <v>16.65</v>
      </c>
      <c r="L75" s="242" t="n">
        <v>4864000</v>
      </c>
      <c r="M75" s="241" t="n">
        <v>-9.300000000000001</v>
      </c>
      <c r="N75" s="241" t="n">
        <v>17.09</v>
      </c>
      <c r="O75" s="241" t="n">
        <v>103.8</v>
      </c>
      <c r="P75" s="241" t="n">
        <v>0.95</v>
      </c>
    </row>
    <row r="76">
      <c r="A76" s="282" t="inlineStr">
        <is>
          <t>2006-04-26</t>
        </is>
      </c>
      <c r="B76" s="240">
        <f>IFERROR(1/P76-1,B75)</f>
        <v/>
      </c>
      <c r="C76" s="240">
        <f>$C$3</f>
        <v/>
      </c>
      <c r="D76" s="240">
        <f>$D$3</f>
        <v/>
      </c>
      <c r="E76" s="240">
        <f>$E$3</f>
        <v/>
      </c>
      <c r="F76" s="241" t="n">
        <v>15.38</v>
      </c>
      <c r="G76" s="242" t="n">
        <v>2754285</v>
      </c>
      <c r="H76" s="241" t="n">
        <v>-3.15</v>
      </c>
      <c r="I76" s="241" t="n">
        <v>26.42</v>
      </c>
      <c r="J76" s="241" t="n">
        <v>57.39</v>
      </c>
      <c r="K76" s="241" t="n">
        <v>17.17</v>
      </c>
      <c r="L76" s="242" t="n">
        <v>6000711</v>
      </c>
      <c r="M76" s="241" t="n">
        <v>3.11</v>
      </c>
      <c r="N76" s="241" t="n">
        <v>20.73</v>
      </c>
      <c r="O76" s="241" t="n">
        <v>110.13</v>
      </c>
      <c r="P76" s="241" t="n">
        <v>0.9</v>
      </c>
    </row>
    <row r="77">
      <c r="A77" s="282" t="inlineStr">
        <is>
          <t>2006-04-27</t>
        </is>
      </c>
      <c r="B77" s="240">
        <f>IFERROR(1/P77-1,B76)</f>
        <v/>
      </c>
      <c r="C77" s="240">
        <f>$C$3</f>
        <v/>
      </c>
      <c r="D77" s="240">
        <f>$D$3</f>
        <v/>
      </c>
      <c r="E77" s="240">
        <f>$E$3</f>
        <v/>
      </c>
      <c r="F77" s="241" t="n">
        <v>15.39</v>
      </c>
      <c r="G77" s="242" t="n">
        <v>2090449</v>
      </c>
      <c r="H77" s="241" t="n">
        <v>0.07000000000000001</v>
      </c>
      <c r="I77" s="241" t="n">
        <v>26.51</v>
      </c>
      <c r="J77" s="241" t="n">
        <v>57.5</v>
      </c>
      <c r="K77" s="241" t="n">
        <v>16.91</v>
      </c>
      <c r="L77" s="242" t="n">
        <v>1302000</v>
      </c>
      <c r="M77" s="241" t="n">
        <v>-1.51</v>
      </c>
      <c r="N77" s="241" t="n">
        <v>18.91</v>
      </c>
      <c r="O77" s="241" t="n">
        <v>106.96</v>
      </c>
      <c r="P77" s="241" t="n">
        <v>0.91</v>
      </c>
    </row>
    <row r="78">
      <c r="A78" s="282" t="inlineStr">
        <is>
          <t>2006-04-28</t>
        </is>
      </c>
      <c r="B78" s="240">
        <f>IFERROR(1/P78-1,B77)</f>
        <v/>
      </c>
      <c r="C78" s="240">
        <f>$C$3</f>
        <v/>
      </c>
      <c r="D78" s="240">
        <f>$D$3</f>
        <v/>
      </c>
      <c r="E78" s="240">
        <f>$E$3</f>
        <v/>
      </c>
      <c r="F78" s="241" t="n">
        <v>15.3</v>
      </c>
      <c r="G78" s="242" t="n">
        <v>3219941</v>
      </c>
      <c r="H78" s="241" t="n">
        <v>-0.58</v>
      </c>
      <c r="I78" s="241" t="n">
        <v>25.77</v>
      </c>
      <c r="J78" s="241" t="n">
        <v>56.58</v>
      </c>
      <c r="K78" s="241" t="n">
        <v>16.54</v>
      </c>
      <c r="L78" s="242" t="n">
        <v>1888000</v>
      </c>
      <c r="M78" s="241" t="n">
        <v>-2.14</v>
      </c>
      <c r="N78" s="241" t="n">
        <v>15.11</v>
      </c>
      <c r="O78" s="241" t="n">
        <v>102.53</v>
      </c>
      <c r="P78" s="241" t="n">
        <v>0.92</v>
      </c>
    </row>
    <row r="79">
      <c r="A79" s="282" t="inlineStr">
        <is>
          <t>2006-05-08</t>
        </is>
      </c>
      <c r="B79" s="240">
        <f>IFERROR(1/P79-1,B78)</f>
        <v/>
      </c>
      <c r="C79" s="240">
        <f>$C$3</f>
        <v/>
      </c>
      <c r="D79" s="240">
        <f>$D$3</f>
        <v/>
      </c>
      <c r="E79" s="240">
        <f>$E$3</f>
        <v/>
      </c>
      <c r="F79" s="241" t="n">
        <v>15.84</v>
      </c>
      <c r="G79" s="242" t="n">
        <v>3226441</v>
      </c>
      <c r="H79" s="241" t="n">
        <v>3.53</v>
      </c>
      <c r="I79" s="241" t="n">
        <v>30.21</v>
      </c>
      <c r="J79" s="241" t="n">
        <v>62.1</v>
      </c>
      <c r="K79" s="241" t="n">
        <v>16.32</v>
      </c>
      <c r="L79" s="242" t="n">
        <v>454000</v>
      </c>
      <c r="M79" s="241" t="n">
        <v>0.32</v>
      </c>
      <c r="N79" s="241" t="n">
        <v>-7.06</v>
      </c>
      <c r="O79" s="241" t="n">
        <v>100</v>
      </c>
      <c r="P79" s="241" t="n">
        <v>0.97</v>
      </c>
    </row>
    <row r="80">
      <c r="A80" s="282" t="inlineStr">
        <is>
          <t>2006-05-09</t>
        </is>
      </c>
      <c r="B80" s="240">
        <f>IFERROR(1/P80-1,B79)</f>
        <v/>
      </c>
      <c r="C80" s="240">
        <f>$C$3</f>
        <v/>
      </c>
      <c r="D80" s="240">
        <f>$D$3</f>
        <v/>
      </c>
      <c r="E80" s="240">
        <f>$E$3</f>
        <v/>
      </c>
      <c r="F80" s="241" t="n">
        <v>17.42</v>
      </c>
      <c r="G80" s="242" t="n">
        <v>4293114</v>
      </c>
      <c r="H80" s="241" t="n">
        <v>9.970000000000001</v>
      </c>
      <c r="I80" s="241" t="n">
        <v>43.19</v>
      </c>
      <c r="J80" s="241" t="n">
        <v>78.27</v>
      </c>
      <c r="K80" s="241" t="n">
        <v>16.99</v>
      </c>
      <c r="L80" s="242" t="n">
        <v>3274000</v>
      </c>
      <c r="M80" s="241" t="n">
        <v>4.11</v>
      </c>
      <c r="N80" s="241" t="n">
        <v>-3.24</v>
      </c>
      <c r="O80" s="241" t="n">
        <v>108.23</v>
      </c>
      <c r="P80" s="241" t="n">
        <v>1.03</v>
      </c>
    </row>
    <row r="81">
      <c r="A81" s="282" t="inlineStr">
        <is>
          <t>2006-05-10</t>
        </is>
      </c>
      <c r="B81" s="240">
        <f>IFERROR(1/P81-1,B80)</f>
        <v/>
      </c>
      <c r="C81" s="240">
        <f>$C$3</f>
        <v/>
      </c>
      <c r="D81" s="240">
        <f>$D$3</f>
        <v/>
      </c>
      <c r="E81" s="240">
        <f>$E$3</f>
        <v/>
      </c>
      <c r="F81" s="241" t="n">
        <v>17.55</v>
      </c>
      <c r="G81" s="242" t="n">
        <v>4961814</v>
      </c>
      <c r="H81" s="241" t="n">
        <v>0.75</v>
      </c>
      <c r="I81" s="241" t="n">
        <v>44.26</v>
      </c>
      <c r="J81" s="241" t="n">
        <v>79.59999999999999</v>
      </c>
      <c r="K81" s="241" t="n">
        <v>16.83</v>
      </c>
      <c r="L81" s="242" t="n">
        <v>3550400</v>
      </c>
      <c r="M81" s="241" t="n">
        <v>-0.91</v>
      </c>
      <c r="N81" s="241" t="n">
        <v>-4.12</v>
      </c>
      <c r="O81" s="241" t="n">
        <v>106.33</v>
      </c>
      <c r="P81" s="241" t="n">
        <v>1.04</v>
      </c>
    </row>
    <row r="82">
      <c r="A82" s="282" t="inlineStr">
        <is>
          <t>2006-05-11</t>
        </is>
      </c>
      <c r="B82" s="240">
        <f>IFERROR(1/P82-1,B81)</f>
        <v/>
      </c>
      <c r="C82" s="240">
        <f>$C$3</f>
        <v/>
      </c>
      <c r="D82" s="240">
        <f>$D$3</f>
        <v/>
      </c>
      <c r="E82" s="240">
        <f>$E$3</f>
        <v/>
      </c>
      <c r="F82" s="241" t="n">
        <v>16.81</v>
      </c>
      <c r="G82" s="242" t="n">
        <v>6643033</v>
      </c>
      <c r="H82" s="241" t="n">
        <v>-4.22</v>
      </c>
      <c r="I82" s="241" t="n">
        <v>38.18</v>
      </c>
      <c r="J82" s="241" t="n">
        <v>72.03</v>
      </c>
      <c r="K82" s="241" t="n">
        <v>16.52</v>
      </c>
      <c r="L82" s="242" t="n">
        <v>1472000</v>
      </c>
      <c r="M82" s="241" t="n">
        <v>-1.84</v>
      </c>
      <c r="N82" s="241" t="n">
        <v>-7.51</v>
      </c>
      <c r="O82" s="241" t="n">
        <v>102.53</v>
      </c>
      <c r="P82" s="241" t="n">
        <v>1.02</v>
      </c>
    </row>
    <row r="83">
      <c r="A83" s="282" t="inlineStr">
        <is>
          <t>2006-05-12</t>
        </is>
      </c>
      <c r="B83" s="240">
        <f>IFERROR(1/P83-1,B82)</f>
        <v/>
      </c>
      <c r="C83" s="240">
        <f>$C$3</f>
        <v/>
      </c>
      <c r="D83" s="240">
        <f>$D$3</f>
        <v/>
      </c>
      <c r="E83" s="240">
        <f>$E$3</f>
        <v/>
      </c>
      <c r="F83" s="241" t="n">
        <v>17.3</v>
      </c>
      <c r="G83" s="242" t="n">
        <v>6008304</v>
      </c>
      <c r="H83" s="241" t="n">
        <v>2.91</v>
      </c>
      <c r="I83" s="241" t="n">
        <v>42.21</v>
      </c>
      <c r="J83" s="241" t="n">
        <v>77.04000000000001</v>
      </c>
      <c r="K83" s="241" t="n">
        <v>15.65</v>
      </c>
      <c r="L83" s="242" t="n">
        <v>954000</v>
      </c>
      <c r="M83" s="241" t="n">
        <v>-2.35</v>
      </c>
      <c r="N83" s="241" t="n">
        <v>-11.23</v>
      </c>
      <c r="O83" s="241" t="n">
        <v>97.77</v>
      </c>
      <c r="P83" s="241" t="n">
        <v>1.11</v>
      </c>
    </row>
    <row r="84">
      <c r="A84" s="282" t="inlineStr">
        <is>
          <t>2006-05-15</t>
        </is>
      </c>
      <c r="B84" s="240">
        <f>IFERROR(1/P84-1,B83)</f>
        <v/>
      </c>
      <c r="C84" s="240">
        <f>$C$3</f>
        <v/>
      </c>
      <c r="D84" s="240">
        <f>$D$3</f>
        <v/>
      </c>
      <c r="E84" s="240">
        <f>$E$3</f>
        <v/>
      </c>
      <c r="F84" s="241" t="n">
        <v>18.2</v>
      </c>
      <c r="G84" s="242" t="n">
        <v>5931161</v>
      </c>
      <c r="H84" s="241" t="n">
        <v>5.2</v>
      </c>
      <c r="I84" s="241" t="n">
        <v>49.61</v>
      </c>
      <c r="J84" s="241" t="n">
        <v>86.25</v>
      </c>
      <c r="K84" s="241" t="n">
        <v>14.44</v>
      </c>
      <c r="L84" s="242" t="n">
        <v>2244000</v>
      </c>
      <c r="M84" s="241" t="n">
        <v>-7.59</v>
      </c>
      <c r="N84" s="241" t="n">
        <v>-15.07</v>
      </c>
      <c r="O84" s="241" t="n">
        <v>82.76000000000001</v>
      </c>
      <c r="P84" s="241" t="n">
        <v>1.26</v>
      </c>
    </row>
    <row r="85">
      <c r="A85" s="282" t="inlineStr">
        <is>
          <t>2006-05-16</t>
        </is>
      </c>
      <c r="B85" s="240">
        <f>IFERROR(1/P85-1,B84)</f>
        <v/>
      </c>
      <c r="C85" s="240">
        <f>$C$3</f>
        <v/>
      </c>
      <c r="D85" s="240">
        <f>$D$3</f>
        <v/>
      </c>
      <c r="E85" s="240">
        <f>$E$3</f>
        <v/>
      </c>
      <c r="F85" s="241" t="n">
        <v>16.41</v>
      </c>
      <c r="G85" s="242" t="n">
        <v>7799700</v>
      </c>
      <c r="H85" s="241" t="n">
        <v>-9.84</v>
      </c>
      <c r="I85" s="241" t="n">
        <v>34.89</v>
      </c>
      <c r="J85" s="241" t="n">
        <v>67.93000000000001</v>
      </c>
      <c r="K85" s="241" t="n">
        <v>13.96</v>
      </c>
      <c r="L85" s="242" t="n">
        <v>1542000</v>
      </c>
      <c r="M85" s="241" t="n">
        <v>-3.57</v>
      </c>
      <c r="N85" s="241" t="n">
        <v>-18.11</v>
      </c>
      <c r="O85" s="241" t="n">
        <v>76.23</v>
      </c>
      <c r="P85" s="241" t="n">
        <v>1.18</v>
      </c>
    </row>
    <row r="86">
      <c r="A86" s="282" t="inlineStr">
        <is>
          <t>2006-05-17</t>
        </is>
      </c>
      <c r="B86" s="240">
        <f>IFERROR(1/P86-1,B85)</f>
        <v/>
      </c>
      <c r="C86" s="240">
        <f>$C$3</f>
        <v/>
      </c>
      <c r="D86" s="240">
        <f>$D$3</f>
        <v/>
      </c>
      <c r="E86" s="240">
        <f>$E$3</f>
        <v/>
      </c>
      <c r="F86" s="241" t="n">
        <v>15.99</v>
      </c>
      <c r="G86" s="242" t="n">
        <v>3757000</v>
      </c>
      <c r="H86" s="241" t="n">
        <v>-2.56</v>
      </c>
      <c r="I86" s="241" t="n">
        <v>31.44</v>
      </c>
      <c r="J86" s="241" t="n">
        <v>63.64</v>
      </c>
      <c r="K86" s="241" t="n">
        <v>14.61</v>
      </c>
      <c r="L86" s="242" t="n">
        <v>1026600</v>
      </c>
      <c r="M86" s="241" t="n">
        <v>4.81</v>
      </c>
      <c r="N86" s="241" t="n">
        <v>-14.16</v>
      </c>
      <c r="O86" s="241" t="n">
        <v>84.70999999999999</v>
      </c>
      <c r="P86" s="241" t="n">
        <v>1.09</v>
      </c>
    </row>
    <row r="87">
      <c r="A87" s="282" t="inlineStr">
        <is>
          <t>2006-05-18</t>
        </is>
      </c>
      <c r="B87" s="240">
        <f>IFERROR(1/P87-1,B86)</f>
        <v/>
      </c>
      <c r="C87" s="240">
        <f>$C$3</f>
        <v/>
      </c>
      <c r="D87" s="240">
        <f>$D$3</f>
        <v/>
      </c>
      <c r="E87" s="240">
        <f>$E$3</f>
        <v/>
      </c>
      <c r="F87" s="241" t="n">
        <v>15.66</v>
      </c>
      <c r="G87" s="242" t="n">
        <v>2629830</v>
      </c>
      <c r="H87" s="241" t="n">
        <v>-2.06</v>
      </c>
      <c r="I87" s="241" t="n">
        <v>3.3</v>
      </c>
      <c r="J87" s="241" t="n">
        <v>60.26</v>
      </c>
      <c r="K87" s="241" t="n">
        <v>14.22</v>
      </c>
      <c r="L87" s="242" t="n">
        <v>1370000</v>
      </c>
      <c r="M87" s="241" t="n">
        <v>-2.83</v>
      </c>
      <c r="N87" s="241" t="n">
        <v>-16.59</v>
      </c>
      <c r="O87" s="241" t="n">
        <v>79.48999999999999</v>
      </c>
      <c r="P87" s="241" t="n">
        <v>1.1</v>
      </c>
    </row>
    <row r="88">
      <c r="A88" s="282" t="inlineStr">
        <is>
          <t>2006-05-19</t>
        </is>
      </c>
      <c r="B88" s="240">
        <f>IFERROR(1/P88-1,B87)</f>
        <v/>
      </c>
      <c r="C88" s="240">
        <f>$C$3</f>
        <v/>
      </c>
      <c r="D88" s="240">
        <f>$D$3</f>
        <v/>
      </c>
      <c r="E88" s="240">
        <f>$E$3</f>
        <v/>
      </c>
      <c r="F88" s="241" t="n">
        <v>16.33</v>
      </c>
      <c r="G88" s="242" t="n">
        <v>2696839</v>
      </c>
      <c r="H88" s="241" t="n">
        <v>4.28</v>
      </c>
      <c r="I88" s="241" t="n">
        <v>1.62</v>
      </c>
      <c r="J88" s="241" t="n">
        <v>67.12</v>
      </c>
      <c r="K88" s="241" t="n">
        <v>14.06</v>
      </c>
      <c r="L88" s="242" t="n">
        <v>812000</v>
      </c>
      <c r="M88" s="241" t="n">
        <v>-1.09</v>
      </c>
      <c r="N88" s="241" t="n">
        <v>-19.63</v>
      </c>
      <c r="O88" s="241" t="n">
        <v>77.53</v>
      </c>
      <c r="P88" s="241" t="n">
        <v>1.16</v>
      </c>
    </row>
    <row r="89">
      <c r="A89" s="282" t="inlineStr">
        <is>
          <t>2006-05-22</t>
        </is>
      </c>
      <c r="B89" s="240">
        <f>IFERROR(1/P89-1,B88)</f>
        <v/>
      </c>
      <c r="C89" s="240">
        <f>$C$3</f>
        <v/>
      </c>
      <c r="D89" s="240">
        <f>$D$3</f>
        <v/>
      </c>
      <c r="E89" s="240">
        <f>$E$3</f>
        <v/>
      </c>
      <c r="F89" s="241" t="n">
        <v>15.88</v>
      </c>
      <c r="G89" s="242" t="n">
        <v>2984339</v>
      </c>
      <c r="H89" s="241" t="n">
        <v>-2.76</v>
      </c>
      <c r="I89" s="241" t="n">
        <v>-2.87</v>
      </c>
      <c r="J89" s="241" t="n">
        <v>62.51</v>
      </c>
      <c r="K89" s="241" t="n">
        <v>13.45</v>
      </c>
      <c r="L89" s="242" t="n">
        <v>980600</v>
      </c>
      <c r="M89" s="241" t="n">
        <v>-4.41</v>
      </c>
      <c r="N89" s="241" t="n">
        <v>-26.94</v>
      </c>
      <c r="O89" s="241" t="n">
        <v>69.7</v>
      </c>
      <c r="P89" s="241" t="n">
        <v>1.18</v>
      </c>
    </row>
    <row r="90">
      <c r="A90" s="282" t="inlineStr">
        <is>
          <t>2006-05-23</t>
        </is>
      </c>
      <c r="B90" s="240">
        <f>IFERROR(1/P90-1,B89)</f>
        <v/>
      </c>
      <c r="C90" s="240">
        <f>$C$3</f>
        <v/>
      </c>
      <c r="D90" s="240">
        <f>$D$3</f>
        <v/>
      </c>
      <c r="E90" s="240">
        <f>$E$3</f>
        <v/>
      </c>
      <c r="F90" s="241" t="n">
        <v>14.55</v>
      </c>
      <c r="G90" s="242" t="n">
        <v>3172323</v>
      </c>
      <c r="H90" s="241" t="n">
        <v>-8.380000000000001</v>
      </c>
      <c r="I90" s="241" t="n">
        <v>-11.01</v>
      </c>
      <c r="J90" s="241" t="n">
        <v>48.9</v>
      </c>
      <c r="K90" s="241" t="n">
        <v>13.34</v>
      </c>
      <c r="L90" s="242" t="n">
        <v>2102000</v>
      </c>
      <c r="M90" s="241" t="n">
        <v>-0.77</v>
      </c>
      <c r="N90" s="241" t="n">
        <v>-27.5</v>
      </c>
      <c r="O90" s="241" t="n">
        <v>68.40000000000001</v>
      </c>
      <c r="P90" s="241" t="n">
        <v>1.09</v>
      </c>
    </row>
    <row r="91">
      <c r="A91" s="282" t="inlineStr">
        <is>
          <t>2006-05-24</t>
        </is>
      </c>
      <c r="B91" s="240">
        <f>IFERROR(1/P91-1,B90)</f>
        <v/>
      </c>
      <c r="C91" s="240">
        <f>$C$3</f>
        <v/>
      </c>
      <c r="D91" s="240">
        <f>$D$3</f>
        <v/>
      </c>
      <c r="E91" s="240">
        <f>$E$3</f>
        <v/>
      </c>
      <c r="F91" s="241" t="n">
        <v>14.1</v>
      </c>
      <c r="G91" s="242" t="n">
        <v>3439073</v>
      </c>
      <c r="H91" s="241" t="n">
        <v>-3.09</v>
      </c>
      <c r="I91" s="241" t="n">
        <v>-13.76</v>
      </c>
      <c r="J91" s="241" t="n">
        <v>44.29</v>
      </c>
      <c r="K91" s="241" t="n">
        <v>13.29</v>
      </c>
      <c r="L91" s="242" t="n">
        <v>1130000</v>
      </c>
      <c r="M91" s="241" t="n">
        <v>-0.39</v>
      </c>
      <c r="N91" s="241" t="n">
        <v>-27.78</v>
      </c>
      <c r="O91" s="241" t="n">
        <v>67.73999999999999</v>
      </c>
      <c r="P91" s="241" t="n">
        <v>1.06</v>
      </c>
    </row>
    <row r="92">
      <c r="A92" s="282" t="inlineStr">
        <is>
          <t>2006-05-25</t>
        </is>
      </c>
      <c r="B92" s="240">
        <f>IFERROR(1/P92-1,B91)</f>
        <v/>
      </c>
      <c r="C92" s="240">
        <f>$C$3</f>
        <v/>
      </c>
      <c r="D92" s="240">
        <f>$D$3</f>
        <v/>
      </c>
      <c r="E92" s="240">
        <f>$E$3</f>
        <v/>
      </c>
      <c r="F92" s="241" t="n">
        <v>14.56</v>
      </c>
      <c r="G92" s="242" t="n">
        <v>1848841</v>
      </c>
      <c r="H92" s="241" t="n">
        <v>3.26</v>
      </c>
      <c r="I92" s="241" t="n">
        <v>-7.73</v>
      </c>
      <c r="J92" s="241" t="n">
        <v>49</v>
      </c>
      <c r="K92" s="241" t="n">
        <v>14.07</v>
      </c>
      <c r="L92" s="242" t="n">
        <v>1802000</v>
      </c>
      <c r="M92" s="241" t="n">
        <v>5.84</v>
      </c>
      <c r="N92" s="241" t="n">
        <v>-20.98</v>
      </c>
      <c r="O92" s="241" t="n">
        <v>77.53</v>
      </c>
      <c r="P92" s="241" t="n">
        <v>1.03</v>
      </c>
    </row>
    <row r="93">
      <c r="A93" s="282" t="inlineStr">
        <is>
          <t>2006-05-26</t>
        </is>
      </c>
      <c r="B93" s="240">
        <f>IFERROR(1/P93-1,B92)</f>
        <v/>
      </c>
      <c r="C93" s="240">
        <f>$C$3</f>
        <v/>
      </c>
      <c r="D93" s="240">
        <f>$D$3</f>
        <v/>
      </c>
      <c r="E93" s="240">
        <f>$E$3</f>
        <v/>
      </c>
      <c r="F93" s="241" t="n">
        <v>14.9</v>
      </c>
      <c r="G93" s="242" t="n">
        <v>1873567</v>
      </c>
      <c r="H93" s="241" t="n">
        <v>2.34</v>
      </c>
      <c r="I93" s="241" t="n">
        <v>-6.17</v>
      </c>
      <c r="J93" s="241" t="n">
        <v>52.48</v>
      </c>
      <c r="K93" s="241" t="n">
        <v>14.43</v>
      </c>
      <c r="L93" s="242" t="n">
        <v>1566000</v>
      </c>
      <c r="M93" s="241" t="n">
        <v>2.57</v>
      </c>
      <c r="N93" s="241" t="n">
        <v>-10.64</v>
      </c>
      <c r="O93" s="241" t="n">
        <v>82.09999999999999</v>
      </c>
      <c r="P93" s="241" t="n">
        <v>1.03</v>
      </c>
    </row>
    <row r="94">
      <c r="A94" s="282" t="inlineStr">
        <is>
          <t>2006-05-29</t>
        </is>
      </c>
      <c r="B94" s="240">
        <f>IFERROR(1/P94-1,B93)</f>
        <v/>
      </c>
      <c r="C94" s="240">
        <f>$C$3</f>
        <v/>
      </c>
      <c r="D94" s="240">
        <f>$D$3</f>
        <v/>
      </c>
      <c r="E94" s="240">
        <f>$E$3</f>
        <v/>
      </c>
      <c r="F94" s="241" t="n">
        <v>15.36</v>
      </c>
      <c r="G94" s="242" t="n">
        <v>1897678</v>
      </c>
      <c r="H94" s="241" t="n">
        <v>3.09</v>
      </c>
      <c r="I94" s="241" t="n">
        <v>0.39</v>
      </c>
      <c r="J94" s="241" t="n">
        <v>57.19</v>
      </c>
      <c r="K94" s="241" t="n">
        <v>14.85</v>
      </c>
      <c r="L94" s="242" t="n">
        <v>1066000</v>
      </c>
      <c r="M94" s="241" t="n">
        <v>2.87</v>
      </c>
      <c r="N94" s="241" t="n">
        <v>-7.51</v>
      </c>
      <c r="O94" s="241" t="n">
        <v>87.33</v>
      </c>
      <c r="P94" s="241" t="n">
        <v>1.03</v>
      </c>
    </row>
    <row r="95">
      <c r="A95" s="282" t="inlineStr">
        <is>
          <t>2006-05-30</t>
        </is>
      </c>
      <c r="B95" s="240">
        <f>IFERROR(1/P95-1,B94)</f>
        <v/>
      </c>
      <c r="C95" s="240">
        <f>$C$3</f>
        <v/>
      </c>
      <c r="D95" s="240">
        <f>$D$3</f>
        <v/>
      </c>
      <c r="E95" s="240">
        <f>$E$3</f>
        <v/>
      </c>
      <c r="F95" s="241" t="n">
        <v>15.21</v>
      </c>
      <c r="G95" s="242" t="n">
        <v>2736708</v>
      </c>
      <c r="H95" s="241" t="n">
        <v>-0.98</v>
      </c>
      <c r="I95" s="241" t="n">
        <v>-0.59</v>
      </c>
      <c r="J95" s="241" t="n">
        <v>55.65</v>
      </c>
      <c r="K95" s="241" t="n">
        <v>15.21</v>
      </c>
      <c r="L95" s="242" t="n">
        <v>988000</v>
      </c>
      <c r="M95" s="241" t="n">
        <v>2.44</v>
      </c>
      <c r="N95" s="241" t="n">
        <v>-5.25</v>
      </c>
      <c r="O95" s="241" t="n">
        <v>91.89</v>
      </c>
      <c r="P95" s="241" t="n">
        <v>1</v>
      </c>
    </row>
    <row r="96">
      <c r="A96" s="282" t="inlineStr">
        <is>
          <t>2006-05-31</t>
        </is>
      </c>
      <c r="B96" s="240">
        <f>IFERROR(1/P96-1,B95)</f>
        <v/>
      </c>
      <c r="C96" s="240">
        <f>$C$3</f>
        <v/>
      </c>
      <c r="D96" s="240">
        <f>$D$3</f>
        <v/>
      </c>
      <c r="E96" s="240">
        <f>$E$3</f>
        <v/>
      </c>
      <c r="F96" s="241" t="n">
        <v>14.81</v>
      </c>
      <c r="G96" s="242" t="n">
        <v>2163470</v>
      </c>
      <c r="H96" s="241" t="n">
        <v>-2.63</v>
      </c>
      <c r="I96" s="241" t="n">
        <v>-3.2</v>
      </c>
      <c r="J96" s="241" t="n">
        <v>51.56</v>
      </c>
      <c r="K96" s="239" t="inlineStr">
        <is>
          <t>--</t>
        </is>
      </c>
      <c r="L96" s="239" t="inlineStr">
        <is>
          <t>--</t>
        </is>
      </c>
      <c r="M96" s="239" t="inlineStr">
        <is>
          <t>--</t>
        </is>
      </c>
      <c r="N96" s="239" t="inlineStr">
        <is>
          <t>--</t>
        </is>
      </c>
      <c r="O96" s="239" t="inlineStr">
        <is>
          <t>--</t>
        </is>
      </c>
      <c r="P96" s="239" t="inlineStr">
        <is>
          <t>--</t>
        </is>
      </c>
    </row>
    <row r="97">
      <c r="A97" s="282" t="inlineStr">
        <is>
          <t>2006-06-01</t>
        </is>
      </c>
      <c r="B97" s="240">
        <f>IFERROR(1/P97-1,B96)</f>
        <v/>
      </c>
      <c r="C97" s="240">
        <f>$C$3</f>
        <v/>
      </c>
      <c r="D97" s="240">
        <f>$D$3</f>
        <v/>
      </c>
      <c r="E97" s="240">
        <f>$E$3</f>
        <v/>
      </c>
      <c r="F97" s="241" t="n">
        <v>16.11</v>
      </c>
      <c r="G97" s="242" t="n">
        <v>3998809</v>
      </c>
      <c r="H97" s="241" t="n">
        <v>8.779999999999999</v>
      </c>
      <c r="I97" s="241" t="n">
        <v>5.29</v>
      </c>
      <c r="J97" s="241" t="n">
        <v>64.86</v>
      </c>
      <c r="K97" s="241" t="n">
        <v>15.15</v>
      </c>
      <c r="L97" s="242" t="n">
        <v>1220000</v>
      </c>
      <c r="M97" s="241" t="n">
        <v>-0.34</v>
      </c>
      <c r="N97" s="241" t="n">
        <v>-5.57</v>
      </c>
      <c r="O97" s="241" t="n">
        <v>91.23999999999999</v>
      </c>
      <c r="P97" s="241" t="n">
        <v>1.06</v>
      </c>
    </row>
    <row r="98">
      <c r="A98" s="282" t="inlineStr">
        <is>
          <t>2006-06-02</t>
        </is>
      </c>
      <c r="B98" s="240">
        <f>IFERROR(1/P98-1,B97)</f>
        <v/>
      </c>
      <c r="C98" s="240">
        <f>$C$3</f>
        <v/>
      </c>
      <c r="D98" s="240">
        <f>$D$3</f>
        <v/>
      </c>
      <c r="E98" s="240">
        <f>$E$3</f>
        <v/>
      </c>
      <c r="F98" s="241" t="n">
        <v>16.87</v>
      </c>
      <c r="G98" s="242" t="n">
        <v>8965481</v>
      </c>
      <c r="H98" s="241" t="n">
        <v>4.72</v>
      </c>
      <c r="I98" s="241" t="n">
        <v>10.26</v>
      </c>
      <c r="J98" s="241" t="n">
        <v>72.64</v>
      </c>
      <c r="K98" s="241" t="n">
        <v>15.56</v>
      </c>
      <c r="L98" s="242" t="n">
        <v>1348000</v>
      </c>
      <c r="M98" s="241" t="n">
        <v>2.73</v>
      </c>
      <c r="N98" s="241" t="n">
        <v>-3</v>
      </c>
      <c r="O98" s="241" t="n">
        <v>96.45999999999999</v>
      </c>
      <c r="P98" s="241" t="n">
        <v>1.08</v>
      </c>
    </row>
    <row r="99">
      <c r="A99" s="282" t="inlineStr">
        <is>
          <t>2006-06-05</t>
        </is>
      </c>
      <c r="B99" s="240">
        <f>IFERROR(1/P99-1,B98)</f>
        <v/>
      </c>
      <c r="C99" s="240">
        <f>$C$3</f>
        <v/>
      </c>
      <c r="D99" s="240">
        <f>$D$3</f>
        <v/>
      </c>
      <c r="E99" s="240">
        <f>$E$3</f>
        <v/>
      </c>
      <c r="F99" s="241" t="n">
        <v>16.62</v>
      </c>
      <c r="G99" s="242" t="n">
        <v>2275545</v>
      </c>
      <c r="H99" s="241" t="n">
        <v>-1.48</v>
      </c>
      <c r="I99" s="241" t="n">
        <v>8.630000000000001</v>
      </c>
      <c r="J99" s="241" t="n">
        <v>70.08</v>
      </c>
      <c r="K99" s="241" t="n">
        <v>15.69</v>
      </c>
      <c r="L99" s="242" t="n">
        <v>584000</v>
      </c>
      <c r="M99" s="241" t="n">
        <v>1</v>
      </c>
      <c r="N99" s="241" t="n">
        <v>-0.47</v>
      </c>
      <c r="O99" s="241" t="n">
        <v>98.42</v>
      </c>
      <c r="P99" s="241" t="n">
        <v>1.06</v>
      </c>
    </row>
    <row r="100">
      <c r="A100" s="282" t="inlineStr">
        <is>
          <t>2006-06-06</t>
        </is>
      </c>
      <c r="B100" s="240">
        <f>IFERROR(1/P100-1,B99)</f>
        <v/>
      </c>
      <c r="C100" s="240">
        <f>$C$3</f>
        <v/>
      </c>
      <c r="D100" s="240">
        <f>$D$3</f>
        <v/>
      </c>
      <c r="E100" s="240">
        <f>$E$3</f>
        <v/>
      </c>
      <c r="F100" s="241" t="n">
        <v>17</v>
      </c>
      <c r="G100" s="242" t="n">
        <v>3243883</v>
      </c>
      <c r="H100" s="241" t="n">
        <v>2.29</v>
      </c>
      <c r="I100" s="241" t="n">
        <v>11.11</v>
      </c>
      <c r="J100" s="241" t="n">
        <v>73.97</v>
      </c>
      <c r="K100" s="241" t="n">
        <v>15.75</v>
      </c>
      <c r="L100" s="242" t="n">
        <v>850000</v>
      </c>
      <c r="M100" s="241" t="n">
        <v>0.33</v>
      </c>
      <c r="N100" s="241" t="n">
        <v>-0.15</v>
      </c>
      <c r="O100" s="241" t="n">
        <v>99.06999999999999</v>
      </c>
      <c r="P100" s="241" t="n">
        <v>1.08</v>
      </c>
    </row>
    <row r="101">
      <c r="A101" s="282" t="inlineStr">
        <is>
          <t>2006-06-07</t>
        </is>
      </c>
      <c r="B101" s="240">
        <f>IFERROR(1/P101-1,B100)</f>
        <v/>
      </c>
      <c r="C101" s="240">
        <f>$C$3</f>
        <v/>
      </c>
      <c r="D101" s="240">
        <f>$D$3</f>
        <v/>
      </c>
      <c r="E101" s="240">
        <f>$E$3</f>
        <v/>
      </c>
      <c r="F101" s="241" t="n">
        <v>15.87</v>
      </c>
      <c r="G101" s="242" t="n">
        <v>2699349</v>
      </c>
      <c r="H101" s="241" t="n">
        <v>-6.65</v>
      </c>
      <c r="I101" s="241" t="n">
        <v>3.73</v>
      </c>
      <c r="J101" s="241" t="n">
        <v>62.41</v>
      </c>
      <c r="K101" s="241" t="n">
        <v>15.62</v>
      </c>
      <c r="L101" s="242" t="n">
        <v>1052000</v>
      </c>
      <c r="M101" s="241" t="n">
        <v>-0.98</v>
      </c>
      <c r="N101" s="241" t="n">
        <v>-1.13</v>
      </c>
      <c r="O101" s="241" t="n">
        <v>97.12</v>
      </c>
      <c r="P101" s="241" t="n">
        <v>1.02</v>
      </c>
    </row>
    <row r="102">
      <c r="A102" s="282" t="inlineStr">
        <is>
          <t>2006-06-08</t>
        </is>
      </c>
      <c r="B102" s="240">
        <f>IFERROR(1/P102-1,B101)</f>
        <v/>
      </c>
      <c r="C102" s="240">
        <f>$C$3</f>
        <v/>
      </c>
      <c r="D102" s="240">
        <f>$D$3</f>
        <v/>
      </c>
      <c r="E102" s="240">
        <f>$E$3</f>
        <v/>
      </c>
      <c r="F102" s="241" t="n">
        <v>15.24</v>
      </c>
      <c r="G102" s="242" t="n">
        <v>2397020</v>
      </c>
      <c r="H102" s="241" t="n">
        <v>-3.97</v>
      </c>
      <c r="I102" s="241" t="n">
        <v>-0.39</v>
      </c>
      <c r="J102" s="241" t="n">
        <v>55.96</v>
      </c>
      <c r="K102" s="241" t="n">
        <v>14.05</v>
      </c>
      <c r="L102" s="242" t="n">
        <v>1362000</v>
      </c>
      <c r="M102" s="241" t="n">
        <v>-9.93</v>
      </c>
      <c r="N102" s="241" t="n">
        <v>-10.95</v>
      </c>
      <c r="O102" s="241" t="n">
        <v>77.53</v>
      </c>
      <c r="P102" s="241" t="n">
        <v>1.08</v>
      </c>
    </row>
    <row r="103">
      <c r="A103" s="282" t="inlineStr">
        <is>
          <t>2006-06-09</t>
        </is>
      </c>
      <c r="B103" s="240">
        <f>IFERROR(1/P103-1,B102)</f>
        <v/>
      </c>
      <c r="C103" s="240">
        <f>$C$3</f>
        <v/>
      </c>
      <c r="D103" s="240">
        <f>$D$3</f>
        <v/>
      </c>
      <c r="E103" s="240">
        <f>$E$3</f>
        <v/>
      </c>
      <c r="F103" s="241" t="n">
        <v>15.1</v>
      </c>
      <c r="G103" s="242" t="n">
        <v>1427409</v>
      </c>
      <c r="H103" s="241" t="n">
        <v>-0.92</v>
      </c>
      <c r="I103" s="241" t="n">
        <v>-4.67</v>
      </c>
      <c r="J103" s="241" t="n">
        <v>54.53</v>
      </c>
      <c r="K103" s="241" t="n">
        <v>14.26</v>
      </c>
      <c r="L103" s="242" t="n">
        <v>1162200</v>
      </c>
      <c r="M103" s="241" t="n">
        <v>1.47</v>
      </c>
      <c r="N103" s="241" t="n">
        <v>-9.93</v>
      </c>
      <c r="O103" s="241" t="n">
        <v>80.15000000000001</v>
      </c>
      <c r="P103" s="241" t="n">
        <v>1.06</v>
      </c>
    </row>
    <row r="104">
      <c r="A104" s="282" t="inlineStr">
        <is>
          <t>2006-06-12</t>
        </is>
      </c>
      <c r="B104" s="240">
        <f>IFERROR(1/P104-1,B103)</f>
        <v/>
      </c>
      <c r="C104" s="240">
        <f>$C$3</f>
        <v/>
      </c>
      <c r="D104" s="240">
        <f>$D$3</f>
        <v/>
      </c>
      <c r="E104" s="240">
        <f>$E$3</f>
        <v/>
      </c>
      <c r="F104" s="241" t="n">
        <v>15.35</v>
      </c>
      <c r="G104" s="242" t="n">
        <v>1068004</v>
      </c>
      <c r="H104" s="241" t="n">
        <v>1.66</v>
      </c>
      <c r="I104" s="241" t="n">
        <v>-8.69</v>
      </c>
      <c r="J104" s="241" t="n">
        <v>57.09</v>
      </c>
      <c r="K104" s="241" t="n">
        <v>14.1</v>
      </c>
      <c r="L104" s="242" t="n">
        <v>466000</v>
      </c>
      <c r="M104" s="241" t="n">
        <v>-1.09</v>
      </c>
      <c r="N104" s="241" t="n">
        <v>-12.02</v>
      </c>
      <c r="O104" s="241" t="n">
        <v>78.19</v>
      </c>
      <c r="P104" s="241" t="n">
        <v>1.09</v>
      </c>
    </row>
    <row r="105">
      <c r="A105" s="282" t="inlineStr">
        <is>
          <t>2006-06-13</t>
        </is>
      </c>
      <c r="B105" s="240">
        <f>IFERROR(1/P105-1,B104)</f>
        <v/>
      </c>
      <c r="C105" s="240">
        <f>$C$3</f>
        <v/>
      </c>
      <c r="D105" s="240">
        <f>$D$3</f>
        <v/>
      </c>
      <c r="E105" s="240">
        <f>$E$3</f>
        <v/>
      </c>
      <c r="F105" s="241" t="n">
        <v>15.02</v>
      </c>
      <c r="G105" s="242" t="n">
        <v>1568853</v>
      </c>
      <c r="H105" s="241" t="n">
        <v>-2.15</v>
      </c>
      <c r="I105" s="241" t="n">
        <v>-13.18</v>
      </c>
      <c r="J105" s="241" t="n">
        <v>53.71</v>
      </c>
      <c r="K105" s="241" t="n">
        <v>12.95</v>
      </c>
      <c r="L105" s="242" t="n">
        <v>960000</v>
      </c>
      <c r="M105" s="241" t="n">
        <v>-8.06</v>
      </c>
      <c r="N105" s="241" t="n">
        <v>-17.16</v>
      </c>
      <c r="O105" s="241" t="n">
        <v>63.83</v>
      </c>
      <c r="P105" s="241" t="n">
        <v>1.16</v>
      </c>
    </row>
    <row r="106">
      <c r="A106" s="282" t="inlineStr">
        <is>
          <t>2006-06-14</t>
        </is>
      </c>
      <c r="B106" s="240">
        <f>IFERROR(1/P106-1,B105)</f>
        <v/>
      </c>
      <c r="C106" s="240">
        <f>$C$3</f>
        <v/>
      </c>
      <c r="D106" s="240">
        <f>$D$3</f>
        <v/>
      </c>
      <c r="E106" s="240">
        <f>$E$3</f>
        <v/>
      </c>
      <c r="F106" s="241" t="n">
        <v>14.95</v>
      </c>
      <c r="G106" s="242" t="n">
        <v>829101</v>
      </c>
      <c r="H106" s="241" t="n">
        <v>-0.47</v>
      </c>
      <c r="I106" s="241" t="n">
        <v>-13.58</v>
      </c>
      <c r="J106" s="241" t="n">
        <v>52.99</v>
      </c>
      <c r="K106" s="241" t="n">
        <v>12.63</v>
      </c>
      <c r="L106" s="242" t="n">
        <v>2732000</v>
      </c>
      <c r="M106" s="241" t="n">
        <v>-2.39</v>
      </c>
      <c r="N106" s="241" t="n">
        <v>-19.14</v>
      </c>
      <c r="O106" s="241" t="n">
        <v>59.91</v>
      </c>
      <c r="P106" s="241" t="n">
        <v>1.18</v>
      </c>
    </row>
    <row r="107">
      <c r="A107" s="282" t="inlineStr">
        <is>
          <t>2006-06-15</t>
        </is>
      </c>
      <c r="B107" s="240">
        <f>IFERROR(1/P107-1,B106)</f>
        <v/>
      </c>
      <c r="C107" s="240">
        <f>$C$3</f>
        <v/>
      </c>
      <c r="D107" s="240">
        <f>$D$3</f>
        <v/>
      </c>
      <c r="E107" s="240">
        <f>$E$3</f>
        <v/>
      </c>
      <c r="F107" s="241" t="n">
        <v>14.95</v>
      </c>
      <c r="G107" s="242" t="n">
        <v>0</v>
      </c>
      <c r="H107" s="241" t="n">
        <v>0</v>
      </c>
      <c r="I107" s="241" t="n">
        <v>-13.58</v>
      </c>
      <c r="J107" s="241" t="n">
        <v>52.99</v>
      </c>
      <c r="K107" s="241" t="n">
        <v>12.94</v>
      </c>
      <c r="L107" s="242" t="n">
        <v>671726</v>
      </c>
      <c r="M107" s="241" t="n">
        <v>2.45</v>
      </c>
      <c r="N107" s="241" t="n">
        <v>-17.16</v>
      </c>
      <c r="O107" s="241" t="n">
        <v>63.83</v>
      </c>
      <c r="P107" s="241" t="n">
        <v>1.16</v>
      </c>
    </row>
    <row r="108">
      <c r="A108" s="282" t="inlineStr">
        <is>
          <t>2006-06-16</t>
        </is>
      </c>
      <c r="B108" s="240">
        <f>IFERROR(1/P108-1,B107)</f>
        <v/>
      </c>
      <c r="C108" s="240">
        <f>$C$3</f>
        <v/>
      </c>
      <c r="D108" s="240">
        <f>$D$3</f>
        <v/>
      </c>
      <c r="E108" s="240">
        <f>$E$3</f>
        <v/>
      </c>
      <c r="F108" s="241" t="n">
        <v>15.37</v>
      </c>
      <c r="G108" s="242" t="n">
        <v>1058762</v>
      </c>
      <c r="H108" s="241" t="n">
        <v>2.81</v>
      </c>
      <c r="I108" s="241" t="n">
        <v>-15.55</v>
      </c>
      <c r="J108" s="241" t="n">
        <v>57.29</v>
      </c>
      <c r="K108" s="241" t="n">
        <v>12.93</v>
      </c>
      <c r="L108" s="242" t="n">
        <v>2475000</v>
      </c>
      <c r="M108" s="241" t="n">
        <v>0</v>
      </c>
      <c r="N108" s="241" t="n">
        <v>-10.36</v>
      </c>
      <c r="O108" s="241" t="n">
        <v>63.83</v>
      </c>
      <c r="P108" s="241" t="n">
        <v>1.19</v>
      </c>
    </row>
    <row r="109">
      <c r="A109" s="282" t="inlineStr">
        <is>
          <t>2006-06-19</t>
        </is>
      </c>
      <c r="B109" s="240">
        <f>IFERROR(1/P109-1,B108)</f>
        <v/>
      </c>
      <c r="C109" s="240">
        <f>$C$3</f>
        <v/>
      </c>
      <c r="D109" s="240">
        <f>$D$3</f>
        <v/>
      </c>
      <c r="E109" s="240">
        <f>$E$3</f>
        <v/>
      </c>
      <c r="F109" s="241" t="n">
        <v>15.64</v>
      </c>
      <c r="G109" s="242" t="n">
        <v>1534390</v>
      </c>
      <c r="H109" s="241" t="n">
        <v>1.76</v>
      </c>
      <c r="I109" s="241" t="n">
        <v>-0.13</v>
      </c>
      <c r="J109" s="241" t="n">
        <v>60.05</v>
      </c>
      <c r="K109" s="241" t="n">
        <v>12.47</v>
      </c>
      <c r="L109" s="242" t="n">
        <v>1022000</v>
      </c>
      <c r="M109" s="241" t="n">
        <v>-3.59</v>
      </c>
      <c r="N109" s="241" t="n">
        <v>-12</v>
      </c>
      <c r="O109" s="241" t="n">
        <v>57.95</v>
      </c>
      <c r="P109" s="241" t="n">
        <v>1.25</v>
      </c>
    </row>
    <row r="110">
      <c r="A110" s="282" t="inlineStr">
        <is>
          <t>2006-06-20</t>
        </is>
      </c>
      <c r="B110" s="240">
        <f>IFERROR(1/P110-1,B109)</f>
        <v/>
      </c>
      <c r="C110" s="240">
        <f>$C$3</f>
        <v/>
      </c>
      <c r="D110" s="240">
        <f>$D$3</f>
        <v/>
      </c>
      <c r="E110" s="240">
        <f>$E$3</f>
        <v/>
      </c>
      <c r="F110" s="241" t="n">
        <v>15.32</v>
      </c>
      <c r="G110" s="242" t="n">
        <v>1868451</v>
      </c>
      <c r="H110" s="241" t="n">
        <v>-2.05</v>
      </c>
      <c r="I110" s="241" t="n">
        <v>-6.18</v>
      </c>
      <c r="J110" s="241" t="n">
        <v>56.78</v>
      </c>
      <c r="K110" s="241" t="n">
        <v>12.11</v>
      </c>
      <c r="L110" s="242" t="n">
        <v>1194000</v>
      </c>
      <c r="M110" s="241" t="n">
        <v>-2.89</v>
      </c>
      <c r="N110" s="241" t="n">
        <v>-13.6</v>
      </c>
      <c r="O110" s="241" t="n">
        <v>53.38</v>
      </c>
      <c r="P110" s="241" t="n">
        <v>1.27</v>
      </c>
    </row>
    <row r="111">
      <c r="A111" s="282" t="inlineStr">
        <is>
          <t>2006-06-21</t>
        </is>
      </c>
      <c r="B111" s="240">
        <f>IFERROR(1/P111-1,B110)</f>
        <v/>
      </c>
      <c r="C111" s="240">
        <f>$C$3</f>
        <v/>
      </c>
      <c r="D111" s="240">
        <f>$D$3</f>
        <v/>
      </c>
      <c r="E111" s="240">
        <f>$E$3</f>
        <v/>
      </c>
      <c r="F111" s="241" t="n">
        <v>15.39</v>
      </c>
      <c r="G111" s="242" t="n">
        <v>2190415</v>
      </c>
      <c r="H111" s="241" t="n">
        <v>0.46</v>
      </c>
      <c r="I111" s="241" t="n">
        <v>-5.76</v>
      </c>
      <c r="J111" s="241" t="n">
        <v>57.5</v>
      </c>
      <c r="K111" s="241" t="n">
        <v>12.36</v>
      </c>
      <c r="L111" s="242" t="n">
        <v>1484000</v>
      </c>
      <c r="M111" s="241" t="n">
        <v>2.13</v>
      </c>
      <c r="N111" s="241" t="n">
        <v>-11.76</v>
      </c>
      <c r="O111" s="241" t="n">
        <v>56.65</v>
      </c>
      <c r="P111" s="241" t="n">
        <v>1.25</v>
      </c>
    </row>
    <row r="112">
      <c r="A112" s="282" t="inlineStr">
        <is>
          <t>2006-06-22</t>
        </is>
      </c>
      <c r="B112" s="240">
        <f>IFERROR(1/P112-1,B111)</f>
        <v/>
      </c>
      <c r="C112" s="240">
        <f>$C$3</f>
        <v/>
      </c>
      <c r="D112" s="240">
        <f>$D$3</f>
        <v/>
      </c>
      <c r="E112" s="240">
        <f>$E$3</f>
        <v/>
      </c>
      <c r="F112" s="241" t="n">
        <v>16.02</v>
      </c>
      <c r="G112" s="242" t="n">
        <v>2729691</v>
      </c>
      <c r="H112" s="241" t="n">
        <v>4.09</v>
      </c>
      <c r="I112" s="241" t="n">
        <v>-1.9</v>
      </c>
      <c r="J112" s="241" t="n">
        <v>63.94</v>
      </c>
      <c r="K112" s="241" t="n">
        <v>12.77</v>
      </c>
      <c r="L112" s="242" t="n">
        <v>3028000</v>
      </c>
      <c r="M112" s="241" t="n">
        <v>3.33</v>
      </c>
      <c r="N112" s="241" t="n">
        <v>-8.82</v>
      </c>
      <c r="O112" s="241" t="n">
        <v>61.87</v>
      </c>
      <c r="P112" s="241" t="n">
        <v>1.25</v>
      </c>
    </row>
    <row r="113">
      <c r="A113" s="282" t="inlineStr">
        <is>
          <t>2006-06-23</t>
        </is>
      </c>
      <c r="B113" s="240">
        <f>IFERROR(1/P113-1,B112)</f>
        <v/>
      </c>
      <c r="C113" s="240">
        <f>$C$3</f>
        <v/>
      </c>
      <c r="D113" s="240">
        <f>$D$3</f>
        <v/>
      </c>
      <c r="E113" s="240">
        <f>$E$3</f>
        <v/>
      </c>
      <c r="F113" s="241" t="n">
        <v>15.99</v>
      </c>
      <c r="G113" s="242" t="n">
        <v>1499126</v>
      </c>
      <c r="H113" s="241" t="n">
        <v>-0.19</v>
      </c>
      <c r="I113" s="241" t="n">
        <v>0.6899999999999999</v>
      </c>
      <c r="J113" s="241" t="n">
        <v>63.64</v>
      </c>
      <c r="K113" s="241" t="n">
        <v>13.19</v>
      </c>
      <c r="L113" s="242" t="n">
        <v>1286000</v>
      </c>
      <c r="M113" s="241" t="n">
        <v>3.23</v>
      </c>
      <c r="N113" s="241" t="n">
        <v>-1.54</v>
      </c>
      <c r="O113" s="241" t="n">
        <v>67.09</v>
      </c>
      <c r="P113" s="241" t="n">
        <v>1.21</v>
      </c>
    </row>
    <row r="114">
      <c r="A114" s="282" t="inlineStr">
        <is>
          <t>2006-06-26</t>
        </is>
      </c>
      <c r="B114" s="240">
        <f>IFERROR(1/P114-1,B113)</f>
        <v/>
      </c>
      <c r="C114" s="240">
        <f>$C$3</f>
        <v/>
      </c>
      <c r="D114" s="240">
        <f>$D$3</f>
        <v/>
      </c>
      <c r="E114" s="240">
        <f>$E$3</f>
        <v/>
      </c>
      <c r="F114" s="241" t="n">
        <v>16.58</v>
      </c>
      <c r="G114" s="242" t="n">
        <v>1758788</v>
      </c>
      <c r="H114" s="241" t="n">
        <v>3.69</v>
      </c>
      <c r="I114" s="241" t="n">
        <v>13.87</v>
      </c>
      <c r="J114" s="241" t="n">
        <v>69.67</v>
      </c>
      <c r="K114" s="241" t="n">
        <v>13.34</v>
      </c>
      <c r="L114" s="242" t="n">
        <v>1440000</v>
      </c>
      <c r="M114" s="241" t="n">
        <v>1.17</v>
      </c>
      <c r="N114" s="241" t="n">
        <v>-4.78</v>
      </c>
      <c r="O114" s="241" t="n">
        <v>69.05</v>
      </c>
      <c r="P114" s="241" t="n">
        <v>1.24</v>
      </c>
    </row>
    <row r="115">
      <c r="A115" s="282" t="inlineStr">
        <is>
          <t>2006-06-27</t>
        </is>
      </c>
      <c r="B115" s="240">
        <f>IFERROR(1/P115-1,B114)</f>
        <v/>
      </c>
      <c r="C115" s="240">
        <f>$C$3</f>
        <v/>
      </c>
      <c r="D115" s="240">
        <f>$D$3</f>
        <v/>
      </c>
      <c r="E115" s="240">
        <f>$E$3</f>
        <v/>
      </c>
      <c r="F115" s="241" t="n">
        <v>16.6</v>
      </c>
      <c r="G115" s="242" t="n">
        <v>1404465</v>
      </c>
      <c r="H115" s="241" t="n">
        <v>0.12</v>
      </c>
      <c r="I115" s="241" t="n">
        <v>11.41</v>
      </c>
      <c r="J115" s="241" t="n">
        <v>69.88</v>
      </c>
      <c r="K115" s="241" t="n">
        <v>13.55</v>
      </c>
      <c r="L115" s="242" t="n">
        <v>1214000</v>
      </c>
      <c r="M115" s="241" t="n">
        <v>1.54</v>
      </c>
      <c r="N115" s="241" t="n">
        <v>-5.73</v>
      </c>
      <c r="O115" s="241" t="n">
        <v>71.66</v>
      </c>
      <c r="P115" s="241" t="n">
        <v>1.23</v>
      </c>
    </row>
    <row r="116">
      <c r="A116" s="282" t="inlineStr">
        <is>
          <t>2006-06-28</t>
        </is>
      </c>
      <c r="B116" s="240">
        <f>IFERROR(1/P116-1,B115)</f>
        <v/>
      </c>
      <c r="C116" s="240">
        <f>$C$3</f>
        <v/>
      </c>
      <c r="D116" s="240">
        <f>$D$3</f>
        <v/>
      </c>
      <c r="E116" s="240">
        <f>$E$3</f>
        <v/>
      </c>
      <c r="F116" s="241" t="n">
        <v>16.51</v>
      </c>
      <c r="G116" s="242" t="n">
        <v>1375480</v>
      </c>
      <c r="H116" s="241" t="n">
        <v>-0.54</v>
      </c>
      <c r="I116" s="241" t="n">
        <v>10.81</v>
      </c>
      <c r="J116" s="241" t="n">
        <v>68.95999999999999</v>
      </c>
      <c r="K116" s="241" t="n">
        <v>13.54</v>
      </c>
      <c r="L116" s="242" t="n">
        <v>1186000</v>
      </c>
      <c r="M116" s="241" t="n">
        <v>0</v>
      </c>
      <c r="N116" s="241" t="n">
        <v>-5.73</v>
      </c>
      <c r="O116" s="241" t="n">
        <v>71.66</v>
      </c>
      <c r="P116" s="241" t="n">
        <v>1.22</v>
      </c>
    </row>
    <row r="117">
      <c r="A117" s="282" t="inlineStr">
        <is>
          <t>2006-06-29</t>
        </is>
      </c>
      <c r="B117" s="240">
        <f>IFERROR(1/P117-1,B116)</f>
        <v/>
      </c>
      <c r="C117" s="240">
        <f>$C$3</f>
        <v/>
      </c>
      <c r="D117" s="240">
        <f>$D$3</f>
        <v/>
      </c>
      <c r="E117" s="240">
        <f>$E$3</f>
        <v/>
      </c>
      <c r="F117" s="241" t="n">
        <v>16.95</v>
      </c>
      <c r="G117" s="242" t="n">
        <v>4037142</v>
      </c>
      <c r="H117" s="241" t="n">
        <v>5.87</v>
      </c>
      <c r="I117" s="241" t="n">
        <v>17.31</v>
      </c>
      <c r="J117" s="241" t="n">
        <v>78.88</v>
      </c>
      <c r="K117" s="241" t="n">
        <v>14.21</v>
      </c>
      <c r="L117" s="242" t="n">
        <v>1212000</v>
      </c>
      <c r="M117" s="241" t="n">
        <v>4.94</v>
      </c>
      <c r="N117" s="241" t="n">
        <v>-1.08</v>
      </c>
      <c r="O117" s="241" t="n">
        <v>80.15000000000001</v>
      </c>
      <c r="P117" s="241" t="n">
        <v>1.19</v>
      </c>
    </row>
    <row r="118">
      <c r="A118" s="282" t="inlineStr">
        <is>
          <t>2006-06-30</t>
        </is>
      </c>
      <c r="B118" s="240">
        <f>IFERROR(1/P118-1,B117)</f>
        <v/>
      </c>
      <c r="C118" s="240">
        <f>$C$3</f>
        <v/>
      </c>
      <c r="D118" s="240">
        <f>$D$3</f>
        <v/>
      </c>
      <c r="E118" s="240">
        <f>$E$3</f>
        <v/>
      </c>
      <c r="F118" s="241" t="n">
        <v>17.07</v>
      </c>
      <c r="G118" s="242" t="n">
        <v>3170315</v>
      </c>
      <c r="H118" s="241" t="n">
        <v>0.71</v>
      </c>
      <c r="I118" s="241" t="n">
        <v>14.6</v>
      </c>
      <c r="J118" s="241" t="n">
        <v>80.14</v>
      </c>
      <c r="K118" s="241" t="n">
        <v>15.13</v>
      </c>
      <c r="L118" s="242" t="n">
        <v>2288000</v>
      </c>
      <c r="M118" s="241" t="n">
        <v>6.52</v>
      </c>
      <c r="N118" s="241" t="n">
        <v>2.44</v>
      </c>
      <c r="O118" s="241" t="n">
        <v>91.89</v>
      </c>
      <c r="P118" s="241" t="n">
        <v>1.13</v>
      </c>
    </row>
    <row r="119">
      <c r="A119" s="282" t="inlineStr">
        <is>
          <t>2006-07-03</t>
        </is>
      </c>
      <c r="B119" s="240">
        <f>IFERROR(1/P119-1,B118)</f>
        <v/>
      </c>
      <c r="C119" s="240">
        <f>$C$3</f>
        <v/>
      </c>
      <c r="D119" s="240">
        <f>$D$3</f>
        <v/>
      </c>
      <c r="E119" s="240">
        <f>$E$3</f>
        <v/>
      </c>
      <c r="F119" s="241" t="n">
        <v>18.21</v>
      </c>
      <c r="G119" s="242" t="n">
        <v>4205988</v>
      </c>
      <c r="H119" s="241" t="n">
        <v>6.68</v>
      </c>
      <c r="I119" s="241" t="n">
        <v>11.31</v>
      </c>
      <c r="J119" s="241" t="n">
        <v>92.18000000000001</v>
      </c>
      <c r="K119" s="241" t="n">
        <v>15.54</v>
      </c>
      <c r="L119" s="242" t="n">
        <v>672000</v>
      </c>
      <c r="M119" s="241" t="n">
        <v>2.72</v>
      </c>
      <c r="N119" s="241" t="n">
        <v>0.33</v>
      </c>
      <c r="O119" s="241" t="n">
        <v>97.12</v>
      </c>
      <c r="P119" s="241" t="n">
        <v>1.17</v>
      </c>
    </row>
    <row r="120">
      <c r="A120" s="282" t="inlineStr">
        <is>
          <t>2006-07-04</t>
        </is>
      </c>
      <c r="B120" s="240">
        <f>IFERROR(1/P120-1,B119)</f>
        <v/>
      </c>
      <c r="C120" s="240">
        <f>$C$3</f>
        <v/>
      </c>
      <c r="D120" s="240">
        <f>$D$3</f>
        <v/>
      </c>
      <c r="E120" s="240">
        <f>$E$3</f>
        <v/>
      </c>
      <c r="F120" s="241" t="n">
        <v>17.61</v>
      </c>
      <c r="G120" s="242" t="n">
        <v>2961908</v>
      </c>
      <c r="H120" s="241" t="n">
        <v>-3.29</v>
      </c>
      <c r="I120" s="241" t="n">
        <v>7.65</v>
      </c>
      <c r="J120" s="241" t="n">
        <v>85.84</v>
      </c>
      <c r="K120" s="241" t="n">
        <v>15.02</v>
      </c>
      <c r="L120" s="242" t="n">
        <v>1724000</v>
      </c>
      <c r="M120" s="241" t="n">
        <v>-3.31</v>
      </c>
      <c r="N120" s="241" t="n">
        <v>-2.99</v>
      </c>
      <c r="O120" s="241" t="n">
        <v>90.59</v>
      </c>
      <c r="P120" s="241" t="n">
        <v>1.17</v>
      </c>
    </row>
    <row r="121">
      <c r="A121" s="282" t="inlineStr">
        <is>
          <t>2006-07-05</t>
        </is>
      </c>
      <c r="B121" s="240">
        <f>IFERROR(1/P121-1,B120)</f>
        <v/>
      </c>
      <c r="C121" s="240">
        <f>$C$3</f>
        <v/>
      </c>
      <c r="D121" s="240">
        <f>$D$3</f>
        <v/>
      </c>
      <c r="E121" s="240">
        <f>$E$3</f>
        <v/>
      </c>
      <c r="F121" s="241" t="n">
        <v>17.62</v>
      </c>
      <c r="G121" s="242" t="n">
        <v>2496912</v>
      </c>
      <c r="H121" s="241" t="n">
        <v>0.06</v>
      </c>
      <c r="I121" s="241" t="n">
        <v>7.71</v>
      </c>
      <c r="J121" s="241" t="n">
        <v>85.95</v>
      </c>
      <c r="K121" s="241" t="n">
        <v>14.77</v>
      </c>
      <c r="L121" s="242" t="n">
        <v>1556000</v>
      </c>
      <c r="M121" s="241" t="n">
        <v>-1.71</v>
      </c>
      <c r="N121" s="241" t="n">
        <v>-4.65</v>
      </c>
      <c r="O121" s="241" t="n">
        <v>87.33</v>
      </c>
      <c r="P121" s="241" t="n">
        <v>1.19</v>
      </c>
    </row>
    <row r="122">
      <c r="A122" s="282" t="inlineStr">
        <is>
          <t>2006-07-06</t>
        </is>
      </c>
      <c r="B122" s="240">
        <f>IFERROR(1/P122-1,B121)</f>
        <v/>
      </c>
      <c r="C122" s="240">
        <f>$C$3</f>
        <v/>
      </c>
      <c r="D122" s="240">
        <f>$D$3</f>
        <v/>
      </c>
      <c r="E122" s="240">
        <f>$E$3</f>
        <v/>
      </c>
      <c r="F122" s="241" t="n">
        <v>17.99</v>
      </c>
      <c r="G122" s="242" t="n">
        <v>2036590</v>
      </c>
      <c r="H122" s="241" t="n">
        <v>2.1</v>
      </c>
      <c r="I122" s="241" t="n">
        <v>11.62</v>
      </c>
      <c r="J122" s="241" t="n">
        <v>89.84999999999999</v>
      </c>
      <c r="K122" s="241" t="n">
        <v>14.97</v>
      </c>
      <c r="L122" s="242" t="n">
        <v>682000</v>
      </c>
      <c r="M122" s="241" t="n">
        <v>1.39</v>
      </c>
      <c r="N122" s="241" t="n">
        <v>-4.28</v>
      </c>
      <c r="O122" s="241" t="n">
        <v>89.94</v>
      </c>
      <c r="P122" s="241" t="n">
        <v>1.2</v>
      </c>
    </row>
    <row r="123">
      <c r="A123" s="282" t="inlineStr">
        <is>
          <t>2006-07-07</t>
        </is>
      </c>
      <c r="B123" s="240">
        <f>IFERROR(1/P123-1,B122)</f>
        <v/>
      </c>
      <c r="C123" s="240">
        <f>$C$3</f>
        <v/>
      </c>
      <c r="D123" s="240">
        <f>$D$3</f>
        <v/>
      </c>
      <c r="E123" s="240">
        <f>$E$3</f>
        <v/>
      </c>
      <c r="F123" s="241" t="n">
        <v>17.93</v>
      </c>
      <c r="G123" s="242" t="n">
        <v>1476776</v>
      </c>
      <c r="H123" s="241" t="n">
        <v>-0.33</v>
      </c>
      <c r="I123" s="241" t="n">
        <v>8.76</v>
      </c>
      <c r="J123" s="241" t="n">
        <v>89.22</v>
      </c>
      <c r="K123" s="241" t="n">
        <v>15.07</v>
      </c>
      <c r="L123" s="242" t="n">
        <v>570000</v>
      </c>
      <c r="M123" s="241" t="n">
        <v>0.6899999999999999</v>
      </c>
      <c r="N123" s="241" t="n">
        <v>-3.93</v>
      </c>
      <c r="O123" s="241" t="n">
        <v>91.23999999999999</v>
      </c>
      <c r="P123" s="241" t="n">
        <v>1.19</v>
      </c>
    </row>
    <row r="124">
      <c r="A124" s="282" t="inlineStr">
        <is>
          <t>2006-07-10</t>
        </is>
      </c>
      <c r="B124" s="240">
        <f>IFERROR(1/P124-1,B123)</f>
        <v/>
      </c>
      <c r="C124" s="240">
        <f>$C$3</f>
        <v/>
      </c>
      <c r="D124" s="240">
        <f>$D$3</f>
        <v/>
      </c>
      <c r="E124" s="240">
        <f>$E$3</f>
        <v/>
      </c>
      <c r="F124" s="241" t="n">
        <v>19.1</v>
      </c>
      <c r="G124" s="242" t="n">
        <v>3878701</v>
      </c>
      <c r="H124" s="241" t="n">
        <v>6.53</v>
      </c>
      <c r="I124" s="241" t="n">
        <v>30.44</v>
      </c>
      <c r="J124" s="241" t="n">
        <v>101.57</v>
      </c>
      <c r="K124" s="241" t="n">
        <v>16.1</v>
      </c>
      <c r="L124" s="242" t="n">
        <v>1200000</v>
      </c>
      <c r="M124" s="241" t="n">
        <v>6.83</v>
      </c>
      <c r="N124" s="241" t="n">
        <v>13.41</v>
      </c>
      <c r="O124" s="241" t="n">
        <v>104.3</v>
      </c>
      <c r="P124" s="241" t="n">
        <v>1.19</v>
      </c>
    </row>
    <row r="125">
      <c r="A125" s="282" t="inlineStr">
        <is>
          <t>2006-07-11</t>
        </is>
      </c>
      <c r="B125" s="240">
        <f>IFERROR(1/P125-1,B124)</f>
        <v/>
      </c>
      <c r="C125" s="240">
        <f>$C$3</f>
        <v/>
      </c>
      <c r="D125" s="240">
        <f>$D$3</f>
        <v/>
      </c>
      <c r="E125" s="240">
        <f>$E$3</f>
        <v/>
      </c>
      <c r="F125" s="241" t="n">
        <v>21.01</v>
      </c>
      <c r="G125" s="242" t="n">
        <v>6360298</v>
      </c>
      <c r="H125" s="241" t="n">
        <v>10</v>
      </c>
      <c r="I125" s="241" t="n">
        <v>43.48</v>
      </c>
      <c r="J125" s="241" t="n">
        <v>121.72</v>
      </c>
      <c r="K125" s="241" t="n">
        <v>16.25</v>
      </c>
      <c r="L125" s="242" t="n">
        <v>1238000</v>
      </c>
      <c r="M125" s="241" t="n">
        <v>0.96</v>
      </c>
      <c r="N125" s="241" t="n">
        <v>14.49</v>
      </c>
      <c r="O125" s="241" t="n">
        <v>106.25</v>
      </c>
      <c r="P125" s="241" t="n">
        <v>1.29</v>
      </c>
    </row>
    <row r="126">
      <c r="A126" s="282" t="inlineStr">
        <is>
          <t>2006-07-12</t>
        </is>
      </c>
      <c r="B126" s="240">
        <f>IFERROR(1/P126-1,B125)</f>
        <v/>
      </c>
      <c r="C126" s="240">
        <f>$C$3</f>
        <v/>
      </c>
      <c r="D126" s="240">
        <f>$D$3</f>
        <v/>
      </c>
      <c r="E126" s="240">
        <f>$E$3</f>
        <v/>
      </c>
      <c r="F126" s="241" t="n">
        <v>20.82</v>
      </c>
      <c r="G126" s="242" t="n">
        <v>4177658</v>
      </c>
      <c r="H126" s="241" t="n">
        <v>-0.9</v>
      </c>
      <c r="I126" s="241" t="n">
        <v>42.19</v>
      </c>
      <c r="J126" s="241" t="n">
        <v>119.72</v>
      </c>
      <c r="K126" s="241" t="n">
        <v>16.19</v>
      </c>
      <c r="L126" s="242" t="n">
        <v>392000</v>
      </c>
      <c r="M126" s="241" t="n">
        <v>-0.32</v>
      </c>
      <c r="N126" s="241" t="n">
        <v>14.13</v>
      </c>
      <c r="O126" s="241" t="n">
        <v>105.6</v>
      </c>
      <c r="P126" s="241" t="n">
        <v>1.29</v>
      </c>
    </row>
    <row r="127">
      <c r="A127" s="282" t="inlineStr">
        <is>
          <t>2006-07-13</t>
        </is>
      </c>
      <c r="B127" s="240">
        <f>IFERROR(1/P127-1,B126)</f>
        <v/>
      </c>
      <c r="C127" s="240">
        <f>$C$3</f>
        <v/>
      </c>
      <c r="D127" s="240">
        <f>$D$3</f>
        <v/>
      </c>
      <c r="E127" s="240">
        <f>$E$3</f>
        <v/>
      </c>
      <c r="F127" s="241" t="n">
        <v>19.34</v>
      </c>
      <c r="G127" s="242" t="n">
        <v>4277093</v>
      </c>
      <c r="H127" s="241" t="n">
        <v>-7.11</v>
      </c>
      <c r="I127" s="241" t="n">
        <v>29.93</v>
      </c>
      <c r="J127" s="241" t="n">
        <v>104.1</v>
      </c>
      <c r="K127" s="241" t="n">
        <v>15.73</v>
      </c>
      <c r="L127" s="242" t="n">
        <v>608000</v>
      </c>
      <c r="M127" s="241" t="n">
        <v>-2.86</v>
      </c>
      <c r="N127" s="241" t="n">
        <v>12.09</v>
      </c>
      <c r="O127" s="241" t="n">
        <v>99.73</v>
      </c>
      <c r="P127" s="241" t="n">
        <v>1.23</v>
      </c>
    </row>
    <row r="128">
      <c r="A128" s="282" t="inlineStr">
        <is>
          <t>2006-07-14</t>
        </is>
      </c>
      <c r="B128" s="240">
        <f>IFERROR(1/P128-1,B127)</f>
        <v/>
      </c>
      <c r="C128" s="240">
        <f>$C$3</f>
        <v/>
      </c>
      <c r="D128" s="240">
        <f>$D$3</f>
        <v/>
      </c>
      <c r="E128" s="240">
        <f>$E$3</f>
        <v/>
      </c>
      <c r="F128" s="241" t="n">
        <v>21.27</v>
      </c>
      <c r="G128" s="242" t="n">
        <v>3522429</v>
      </c>
      <c r="H128" s="241" t="n">
        <v>9.98</v>
      </c>
      <c r="I128" s="241" t="n">
        <v>46.03</v>
      </c>
      <c r="J128" s="241" t="n">
        <v>124.47</v>
      </c>
      <c r="K128" s="241" t="n">
        <v>15.94</v>
      </c>
      <c r="L128" s="242" t="n">
        <v>1060000</v>
      </c>
      <c r="M128" s="241" t="n">
        <v>1.31</v>
      </c>
      <c r="N128" s="241" t="n">
        <v>23.51</v>
      </c>
      <c r="O128" s="241" t="n">
        <v>102.34</v>
      </c>
      <c r="P128" s="241" t="n">
        <v>1.33</v>
      </c>
    </row>
    <row r="129">
      <c r="A129" s="282" t="inlineStr">
        <is>
          <t>2006-07-17</t>
        </is>
      </c>
      <c r="B129" s="240">
        <f>IFERROR(1/P129-1,B128)</f>
        <v/>
      </c>
      <c r="C129" s="240">
        <f>$C$3</f>
        <v/>
      </c>
      <c r="D129" s="240">
        <f>$D$3</f>
        <v/>
      </c>
      <c r="E129" s="240">
        <f>$E$3</f>
        <v/>
      </c>
      <c r="F129" s="241" t="n">
        <v>21.28</v>
      </c>
      <c r="G129" s="242" t="n">
        <v>2359888</v>
      </c>
      <c r="H129" s="241" t="n">
        <v>0.05</v>
      </c>
      <c r="I129" s="241" t="n">
        <v>42.78</v>
      </c>
      <c r="J129" s="241" t="n">
        <v>124.57</v>
      </c>
      <c r="K129" s="241" t="n">
        <v>15.94</v>
      </c>
      <c r="L129" s="242" t="n">
        <v>878000</v>
      </c>
      <c r="M129" s="241" t="n">
        <v>0</v>
      </c>
      <c r="N129" s="241" t="n">
        <v>23.51</v>
      </c>
      <c r="O129" s="241" t="n">
        <v>102.34</v>
      </c>
      <c r="P129" s="241" t="n">
        <v>1.33</v>
      </c>
    </row>
    <row r="130">
      <c r="A130" s="282" t="inlineStr">
        <is>
          <t>2006-07-18</t>
        </is>
      </c>
      <c r="B130" s="240">
        <f>IFERROR(1/P130-1,B129)</f>
        <v/>
      </c>
      <c r="C130" s="240">
        <f>$C$3</f>
        <v/>
      </c>
      <c r="D130" s="240">
        <f>$D$3</f>
        <v/>
      </c>
      <c r="E130" s="240">
        <f>$E$3</f>
        <v/>
      </c>
      <c r="F130" s="241" t="n">
        <v>20.76</v>
      </c>
      <c r="G130" s="242" t="n">
        <v>1626965</v>
      </c>
      <c r="H130" s="241" t="n">
        <v>-2.44</v>
      </c>
      <c r="I130" s="241" t="n">
        <v>39.29</v>
      </c>
      <c r="J130" s="241" t="n">
        <v>119.09</v>
      </c>
      <c r="K130" s="241" t="n">
        <v>16.26</v>
      </c>
      <c r="L130" s="242" t="n">
        <v>2106000</v>
      </c>
      <c r="M130" s="241" t="n">
        <v>1.94</v>
      </c>
      <c r="N130" s="241" t="n">
        <v>25.9</v>
      </c>
      <c r="O130" s="241" t="n">
        <v>106.25</v>
      </c>
      <c r="P130" s="241" t="n">
        <v>1.28</v>
      </c>
    </row>
    <row r="131">
      <c r="A131" s="282" t="inlineStr">
        <is>
          <t>2006-07-19</t>
        </is>
      </c>
      <c r="B131" s="240">
        <f>IFERROR(1/P131-1,B130)</f>
        <v/>
      </c>
      <c r="C131" s="240">
        <f>$C$3</f>
        <v/>
      </c>
      <c r="D131" s="240">
        <f>$D$3</f>
        <v/>
      </c>
      <c r="E131" s="240">
        <f>$E$3</f>
        <v/>
      </c>
      <c r="F131" s="241" t="n">
        <v>20.79</v>
      </c>
      <c r="G131" s="242" t="n">
        <v>2258324</v>
      </c>
      <c r="H131" s="241" t="n">
        <v>0.14</v>
      </c>
      <c r="I131" s="241" t="n">
        <v>39.49</v>
      </c>
      <c r="J131" s="241" t="n">
        <v>119.4</v>
      </c>
      <c r="K131" s="241" t="n">
        <v>16.11</v>
      </c>
      <c r="L131" s="242" t="n">
        <v>704000</v>
      </c>
      <c r="M131" s="241" t="n">
        <v>-0.95</v>
      </c>
      <c r="N131" s="241" t="n">
        <v>24.7</v>
      </c>
      <c r="O131" s="241" t="n">
        <v>104.3</v>
      </c>
      <c r="P131" s="241" t="n">
        <v>1.29</v>
      </c>
    </row>
    <row r="132">
      <c r="A132" s="282" t="inlineStr">
        <is>
          <t>2006-07-20</t>
        </is>
      </c>
      <c r="B132" s="240">
        <f>IFERROR(1/P132-1,B131)</f>
        <v/>
      </c>
      <c r="C132" s="240">
        <f>$C$3</f>
        <v/>
      </c>
      <c r="D132" s="240">
        <f>$D$3</f>
        <v/>
      </c>
      <c r="E132" s="240">
        <f>$E$3</f>
        <v/>
      </c>
      <c r="F132" s="241" t="n">
        <v>19.26</v>
      </c>
      <c r="G132" s="242" t="n">
        <v>2733612</v>
      </c>
      <c r="H132" s="241" t="n">
        <v>-7.36</v>
      </c>
      <c r="I132" s="241" t="n">
        <v>26.99</v>
      </c>
      <c r="J132" s="241" t="n">
        <v>103.26</v>
      </c>
      <c r="K132" s="241" t="n">
        <v>15.93</v>
      </c>
      <c r="L132" s="242" t="n">
        <v>328000</v>
      </c>
      <c r="M132" s="241" t="n">
        <v>-0.96</v>
      </c>
      <c r="N132" s="241" t="n">
        <v>28.1</v>
      </c>
      <c r="O132" s="241" t="n">
        <v>102.34</v>
      </c>
      <c r="P132" s="241" t="n">
        <v>1.21</v>
      </c>
    </row>
    <row r="133">
      <c r="A133" s="282" t="inlineStr">
        <is>
          <t>2006-07-21</t>
        </is>
      </c>
      <c r="B133" s="240">
        <f>IFERROR(1/P133-1,B132)</f>
        <v/>
      </c>
      <c r="C133" s="240">
        <f>$C$3</f>
        <v/>
      </c>
      <c r="D133" s="240">
        <f>$D$3</f>
        <v/>
      </c>
      <c r="E133" s="240">
        <f>$E$3</f>
        <v/>
      </c>
      <c r="F133" s="241" t="n">
        <v>19.22</v>
      </c>
      <c r="G133" s="242" t="n">
        <v>1213159</v>
      </c>
      <c r="H133" s="241" t="n">
        <v>-0.21</v>
      </c>
      <c r="I133" s="241" t="n">
        <v>29.38</v>
      </c>
      <c r="J133" s="241" t="n">
        <v>102.83</v>
      </c>
      <c r="K133" s="241" t="n">
        <v>16.08</v>
      </c>
      <c r="L133" s="242" t="n">
        <v>714000</v>
      </c>
      <c r="M133" s="241" t="n">
        <v>0.97</v>
      </c>
      <c r="N133" s="241" t="n">
        <v>33.19</v>
      </c>
      <c r="O133" s="241" t="n">
        <v>104.3</v>
      </c>
      <c r="P133" s="241" t="n">
        <v>1.2</v>
      </c>
    </row>
    <row r="134">
      <c r="A134" s="282" t="inlineStr">
        <is>
          <t>2006-07-24</t>
        </is>
      </c>
      <c r="B134" s="240">
        <f>IFERROR(1/P134-1,B133)</f>
        <v/>
      </c>
      <c r="C134" s="240">
        <f>$C$3</f>
        <v/>
      </c>
      <c r="D134" s="240">
        <f>$D$3</f>
        <v/>
      </c>
      <c r="E134" s="240">
        <f>$E$3</f>
        <v/>
      </c>
      <c r="F134" s="241" t="n">
        <v>19.08</v>
      </c>
      <c r="G134" s="242" t="n">
        <v>914606</v>
      </c>
      <c r="H134" s="241" t="n">
        <v>-0.73</v>
      </c>
      <c r="I134" s="241" t="n">
        <v>23.05</v>
      </c>
      <c r="J134" s="241" t="n">
        <v>101.36</v>
      </c>
      <c r="K134" s="241" t="n">
        <v>16.12</v>
      </c>
      <c r="L134" s="242" t="n">
        <v>1274000</v>
      </c>
      <c r="M134" s="241" t="n">
        <v>0.32</v>
      </c>
      <c r="N134" s="241" t="n">
        <v>22.66</v>
      </c>
      <c r="O134" s="241" t="n">
        <v>104.95</v>
      </c>
      <c r="P134" s="241" t="n">
        <v>1.18</v>
      </c>
    </row>
    <row r="135">
      <c r="A135" s="282" t="inlineStr">
        <is>
          <t>2006-07-25</t>
        </is>
      </c>
      <c r="B135" s="240">
        <f>IFERROR(1/P135-1,B134)</f>
        <v/>
      </c>
      <c r="C135" s="240">
        <f>$C$3</f>
        <v/>
      </c>
      <c r="D135" s="240">
        <f>$D$3</f>
        <v/>
      </c>
      <c r="E135" s="240">
        <f>$E$3</f>
        <v/>
      </c>
      <c r="F135" s="241" t="n">
        <v>19.42</v>
      </c>
      <c r="G135" s="242" t="n">
        <v>997179</v>
      </c>
      <c r="H135" s="241" t="n">
        <v>1.78</v>
      </c>
      <c r="I135" s="241" t="n">
        <v>25.24</v>
      </c>
      <c r="J135" s="241" t="n">
        <v>104.94</v>
      </c>
      <c r="K135" s="241" t="n">
        <v>16.18</v>
      </c>
      <c r="L135" s="242" t="n">
        <v>940000</v>
      </c>
      <c r="M135" s="241" t="n">
        <v>0.38</v>
      </c>
      <c r="N135" s="241" t="n">
        <v>23.13</v>
      </c>
      <c r="O135" s="241" t="n">
        <v>105.73</v>
      </c>
      <c r="P135" s="241" t="n">
        <v>1.2</v>
      </c>
    </row>
    <row r="136">
      <c r="A136" s="282" t="inlineStr">
        <is>
          <t>2006-07-26</t>
        </is>
      </c>
      <c r="B136" s="240">
        <f>IFERROR(1/P136-1,B135)</f>
        <v/>
      </c>
      <c r="C136" s="240">
        <f>$C$3</f>
        <v/>
      </c>
      <c r="D136" s="240">
        <f>$D$3</f>
        <v/>
      </c>
      <c r="E136" s="240">
        <f>$E$3</f>
        <v/>
      </c>
      <c r="F136" s="241" t="n">
        <v>19.65</v>
      </c>
      <c r="G136" s="242" t="n">
        <v>909892</v>
      </c>
      <c r="H136" s="241" t="n">
        <v>1.18</v>
      </c>
      <c r="I136" s="241" t="n">
        <v>26.73</v>
      </c>
      <c r="J136" s="241" t="n">
        <v>107.37</v>
      </c>
      <c r="K136" s="241" t="n">
        <v>15.65</v>
      </c>
      <c r="L136" s="242" t="n">
        <v>518000</v>
      </c>
      <c r="M136" s="241" t="n">
        <v>-3.3</v>
      </c>
      <c r="N136" s="241" t="n">
        <v>19.06</v>
      </c>
      <c r="O136" s="241" t="n">
        <v>98.94</v>
      </c>
      <c r="P136" s="241" t="n">
        <v>1.26</v>
      </c>
    </row>
    <row r="137">
      <c r="A137" s="282" t="inlineStr">
        <is>
          <t>2006-07-27</t>
        </is>
      </c>
      <c r="B137" s="240">
        <f>IFERROR(1/P137-1,B136)</f>
        <v/>
      </c>
      <c r="C137" s="240">
        <f>$C$3</f>
        <v/>
      </c>
      <c r="D137" s="240">
        <f>$D$3</f>
        <v/>
      </c>
      <c r="E137" s="240">
        <f>$E$3</f>
        <v/>
      </c>
      <c r="F137" s="241" t="n">
        <v>19</v>
      </c>
      <c r="G137" s="242" t="n">
        <v>2351295</v>
      </c>
      <c r="H137" s="241" t="n">
        <v>-3.31</v>
      </c>
      <c r="I137" s="241" t="n">
        <v>18.17</v>
      </c>
      <c r="J137" s="241" t="n">
        <v>100.51</v>
      </c>
      <c r="K137" s="241" t="n">
        <v>15.91</v>
      </c>
      <c r="L137" s="242" t="n">
        <v>958000</v>
      </c>
      <c r="M137" s="241" t="n">
        <v>1.71</v>
      </c>
      <c r="N137" s="241" t="n">
        <v>19.69</v>
      </c>
      <c r="O137" s="241" t="n">
        <v>102.34</v>
      </c>
      <c r="P137" s="241" t="n">
        <v>1.19</v>
      </c>
    </row>
    <row r="138">
      <c r="A138" s="282" t="inlineStr">
        <is>
          <t>2006-07-28</t>
        </is>
      </c>
      <c r="B138" s="240">
        <f>IFERROR(1/P138-1,B137)</f>
        <v/>
      </c>
      <c r="C138" s="240">
        <f>$C$3</f>
        <v/>
      </c>
      <c r="D138" s="240">
        <f>$D$3</f>
        <v/>
      </c>
      <c r="E138" s="240">
        <f>$E$3</f>
        <v/>
      </c>
      <c r="F138" s="241" t="n">
        <v>18.57</v>
      </c>
      <c r="G138" s="242" t="n">
        <v>1903603</v>
      </c>
      <c r="H138" s="241" t="n">
        <v>-2.26</v>
      </c>
      <c r="I138" s="241" t="n">
        <v>15.36</v>
      </c>
      <c r="J138" s="241" t="n">
        <v>95.97</v>
      </c>
      <c r="K138" s="241" t="n">
        <v>15.53</v>
      </c>
      <c r="L138" s="242" t="n">
        <v>432000</v>
      </c>
      <c r="M138" s="241" t="n">
        <v>-2.45</v>
      </c>
      <c r="N138" s="241" t="n">
        <v>14.98</v>
      </c>
      <c r="O138" s="241" t="n">
        <v>97.38</v>
      </c>
      <c r="P138" s="241" t="n">
        <v>1.2</v>
      </c>
    </row>
    <row r="139">
      <c r="A139" s="282" t="inlineStr">
        <is>
          <t>2006-07-31</t>
        </is>
      </c>
      <c r="B139" s="240">
        <f>IFERROR(1/P139-1,B138)</f>
        <v/>
      </c>
      <c r="C139" s="240">
        <f>$C$3</f>
        <v/>
      </c>
      <c r="D139" s="240">
        <f>$D$3</f>
        <v/>
      </c>
      <c r="E139" s="240">
        <f>$E$3</f>
        <v/>
      </c>
      <c r="F139" s="241" t="n">
        <v>17.8</v>
      </c>
      <c r="G139" s="242" t="n">
        <v>1439356</v>
      </c>
      <c r="H139" s="241" t="n">
        <v>-4.15</v>
      </c>
      <c r="I139" s="241" t="n">
        <v>5.01</v>
      </c>
      <c r="J139" s="241" t="n">
        <v>87.84999999999999</v>
      </c>
      <c r="K139" s="241" t="n">
        <v>15.37</v>
      </c>
      <c r="L139" s="242" t="n">
        <v>1026000</v>
      </c>
      <c r="M139" s="241" t="n">
        <v>-0.93</v>
      </c>
      <c r="N139" s="241" t="n">
        <v>8.550000000000001</v>
      </c>
      <c r="O139" s="241" t="n">
        <v>95.55</v>
      </c>
      <c r="P139" s="241" t="n">
        <v>1.16</v>
      </c>
    </row>
    <row r="140">
      <c r="A140" s="282" t="inlineStr">
        <is>
          <t>2006-08-01</t>
        </is>
      </c>
      <c r="B140" s="240">
        <f>IFERROR(1/P140-1,B139)</f>
        <v/>
      </c>
      <c r="C140" s="240">
        <f>$C$3</f>
        <v/>
      </c>
      <c r="D140" s="240">
        <f>$D$3</f>
        <v/>
      </c>
      <c r="E140" s="240">
        <f>$E$3</f>
        <v/>
      </c>
      <c r="F140" s="241" t="n">
        <v>17.81</v>
      </c>
      <c r="G140" s="242" t="n">
        <v>821391</v>
      </c>
      <c r="H140" s="241" t="n">
        <v>0.06</v>
      </c>
      <c r="I140" s="241" t="n">
        <v>4.34</v>
      </c>
      <c r="J140" s="241" t="n">
        <v>87.95</v>
      </c>
      <c r="K140" s="241" t="n">
        <v>15.43</v>
      </c>
      <c r="L140" s="242" t="n">
        <v>128000</v>
      </c>
      <c r="M140" s="241" t="n">
        <v>0.4</v>
      </c>
      <c r="N140" s="241" t="n">
        <v>2.31</v>
      </c>
      <c r="O140" s="241" t="n">
        <v>96.33</v>
      </c>
      <c r="P140" s="241" t="n">
        <v>1.15</v>
      </c>
    </row>
    <row r="141">
      <c r="A141" s="282" t="inlineStr">
        <is>
          <t>2006-08-02</t>
        </is>
      </c>
      <c r="B141" s="240">
        <f>IFERROR(1/P141-1,B140)</f>
        <v/>
      </c>
      <c r="C141" s="240">
        <f>$C$3</f>
        <v/>
      </c>
      <c r="D141" s="240">
        <f>$D$3</f>
        <v/>
      </c>
      <c r="E141" s="240">
        <f>$E$3</f>
        <v/>
      </c>
      <c r="F141" s="241" t="n">
        <v>18</v>
      </c>
      <c r="G141" s="242" t="n">
        <v>826979</v>
      </c>
      <c r="H141" s="241" t="n">
        <v>1.07</v>
      </c>
      <c r="I141" s="241" t="n">
        <v>5.45</v>
      </c>
      <c r="J141" s="241" t="n">
        <v>89.95999999999999</v>
      </c>
      <c r="K141" s="241" t="n">
        <v>14.89</v>
      </c>
      <c r="L141" s="242" t="n">
        <v>694000</v>
      </c>
      <c r="M141" s="241" t="n">
        <v>-3.46</v>
      </c>
      <c r="N141" s="241" t="n">
        <v>-1.22</v>
      </c>
      <c r="O141" s="241" t="n">
        <v>89.54000000000001</v>
      </c>
      <c r="P141" s="241" t="n">
        <v>1.21</v>
      </c>
    </row>
    <row r="142">
      <c r="A142" s="282" t="inlineStr">
        <is>
          <t>2006-08-03</t>
        </is>
      </c>
      <c r="B142" s="240">
        <f>IFERROR(1/P142-1,B141)</f>
        <v/>
      </c>
      <c r="C142" s="240">
        <f>$C$3</f>
        <v/>
      </c>
      <c r="D142" s="240">
        <f>$D$3</f>
        <v/>
      </c>
      <c r="E142" s="240">
        <f>$E$3</f>
        <v/>
      </c>
      <c r="F142" s="241" t="n">
        <v>17.3</v>
      </c>
      <c r="G142" s="242" t="n">
        <v>1326912</v>
      </c>
      <c r="H142" s="241" t="n">
        <v>-3.89</v>
      </c>
      <c r="I142" s="241" t="n">
        <v>1.35</v>
      </c>
      <c r="J142" s="241" t="n">
        <v>82.56999999999999</v>
      </c>
      <c r="K142" s="241" t="n">
        <v>14.26</v>
      </c>
      <c r="L142" s="242" t="n">
        <v>3140000</v>
      </c>
      <c r="M142" s="241" t="n">
        <v>-4.27</v>
      </c>
      <c r="N142" s="241" t="n">
        <v>-5.44</v>
      </c>
      <c r="O142" s="241" t="n">
        <v>81.45</v>
      </c>
      <c r="P142" s="241" t="n">
        <v>1.21</v>
      </c>
    </row>
    <row r="143">
      <c r="A143" s="282" t="inlineStr">
        <is>
          <t>2006-08-04</t>
        </is>
      </c>
      <c r="B143" s="240">
        <f>IFERROR(1/P143-1,B142)</f>
        <v/>
      </c>
      <c r="C143" s="240">
        <f>$C$3</f>
        <v/>
      </c>
      <c r="D143" s="240">
        <f>$D$3</f>
        <v/>
      </c>
      <c r="E143" s="240">
        <f>$E$3</f>
        <v/>
      </c>
      <c r="F143" s="241" t="n">
        <v>16.84</v>
      </c>
      <c r="G143" s="242" t="n">
        <v>877656</v>
      </c>
      <c r="H143" s="241" t="n">
        <v>-2.66</v>
      </c>
      <c r="I143" s="241" t="n">
        <v>-7.52</v>
      </c>
      <c r="J143" s="241" t="n">
        <v>77.72</v>
      </c>
      <c r="K143" s="241" t="n">
        <v>14.51</v>
      </c>
      <c r="L143" s="242" t="n">
        <v>1138000</v>
      </c>
      <c r="M143" s="241" t="n">
        <v>1.73</v>
      </c>
      <c r="N143" s="241" t="n">
        <v>-6.36</v>
      </c>
      <c r="O143" s="241" t="n">
        <v>84.58</v>
      </c>
      <c r="P143" s="241" t="n">
        <v>1.16</v>
      </c>
    </row>
    <row r="144">
      <c r="A144" s="282" t="inlineStr">
        <is>
          <t>2006-08-07</t>
        </is>
      </c>
      <c r="B144" s="240">
        <f>IFERROR(1/P144-1,B143)</f>
        <v/>
      </c>
      <c r="C144" s="240">
        <f>$C$3</f>
        <v/>
      </c>
      <c r="D144" s="240">
        <f>$D$3</f>
        <v/>
      </c>
      <c r="E144" s="240">
        <f>$E$3</f>
        <v/>
      </c>
      <c r="F144" s="241" t="n">
        <v>16.6</v>
      </c>
      <c r="G144" s="242" t="n">
        <v>869958</v>
      </c>
      <c r="H144" s="241" t="n">
        <v>-1.43</v>
      </c>
      <c r="I144" s="241" t="n">
        <v>-7.73</v>
      </c>
      <c r="J144" s="241" t="n">
        <v>75.18000000000001</v>
      </c>
      <c r="K144" s="241" t="n">
        <v>14.6</v>
      </c>
      <c r="L144" s="242" t="n">
        <v>1388000</v>
      </c>
      <c r="M144" s="241" t="n">
        <v>0.71</v>
      </c>
      <c r="N144" s="241" t="n">
        <v>-2.13</v>
      </c>
      <c r="O144" s="241" t="n">
        <v>85.89</v>
      </c>
      <c r="P144" s="241" t="n">
        <v>1.14</v>
      </c>
    </row>
    <row r="145">
      <c r="A145" s="282" t="inlineStr">
        <is>
          <t>2006-08-08</t>
        </is>
      </c>
      <c r="B145" s="240">
        <f>IFERROR(1/P145-1,B144)</f>
        <v/>
      </c>
      <c r="C145" s="240">
        <f>$C$3</f>
        <v/>
      </c>
      <c r="D145" s="240">
        <f>$D$3</f>
        <v/>
      </c>
      <c r="E145" s="240">
        <f>$E$3</f>
        <v/>
      </c>
      <c r="F145" s="241" t="n">
        <v>17.21</v>
      </c>
      <c r="G145" s="242" t="n">
        <v>713714</v>
      </c>
      <c r="H145" s="241" t="n">
        <v>3.67</v>
      </c>
      <c r="I145" s="241" t="n">
        <v>-4.02</v>
      </c>
      <c r="J145" s="241" t="n">
        <v>81.62</v>
      </c>
      <c r="K145" s="241" t="n">
        <v>14.5</v>
      </c>
      <c r="L145" s="242" t="n">
        <v>632000</v>
      </c>
      <c r="M145" s="241" t="n">
        <v>-0.7</v>
      </c>
      <c r="N145" s="241" t="n">
        <v>-3.48</v>
      </c>
      <c r="O145" s="241" t="n">
        <v>84.58</v>
      </c>
      <c r="P145" s="241" t="n">
        <v>1.19</v>
      </c>
    </row>
    <row r="146">
      <c r="A146" s="282" t="inlineStr">
        <is>
          <t>2006-08-09</t>
        </is>
      </c>
      <c r="B146" s="240">
        <f>IFERROR(1/P146-1,B145)</f>
        <v/>
      </c>
      <c r="C146" s="240">
        <f>$C$3</f>
        <v/>
      </c>
      <c r="D146" s="240">
        <f>$D$3</f>
        <v/>
      </c>
      <c r="E146" s="240">
        <f>$E$3</f>
        <v/>
      </c>
      <c r="F146" s="241" t="n">
        <v>16.88</v>
      </c>
      <c r="G146" s="242" t="n">
        <v>602664</v>
      </c>
      <c r="H146" s="241" t="n">
        <v>-1.92</v>
      </c>
      <c r="I146" s="241" t="n">
        <v>-5.86</v>
      </c>
      <c r="J146" s="241" t="n">
        <v>78.14</v>
      </c>
      <c r="K146" s="241" t="n">
        <v>14.55</v>
      </c>
      <c r="L146" s="242" t="n">
        <v>340000</v>
      </c>
      <c r="M146" s="241" t="n">
        <v>0.28</v>
      </c>
      <c r="N146" s="241" t="n">
        <v>-3.21</v>
      </c>
      <c r="O146" s="241" t="n">
        <v>85.11</v>
      </c>
      <c r="P146" s="241" t="n">
        <v>1.16</v>
      </c>
    </row>
    <row r="147">
      <c r="A147" s="282" t="inlineStr">
        <is>
          <t>2006-08-10</t>
        </is>
      </c>
      <c r="B147" s="240">
        <f>IFERROR(1/P147-1,B146)</f>
        <v/>
      </c>
      <c r="C147" s="240">
        <f>$C$3</f>
        <v/>
      </c>
      <c r="D147" s="240">
        <f>$D$3</f>
        <v/>
      </c>
      <c r="E147" s="240">
        <f>$E$3</f>
        <v/>
      </c>
      <c r="F147" s="241" t="n">
        <v>17.05</v>
      </c>
      <c r="G147" s="242" t="n">
        <v>822574</v>
      </c>
      <c r="H147" s="241" t="n">
        <v>1.01</v>
      </c>
      <c r="I147" s="241" t="n">
        <v>-4.91</v>
      </c>
      <c r="J147" s="241" t="n">
        <v>79.93000000000001</v>
      </c>
      <c r="K147" s="241" t="n">
        <v>14.26</v>
      </c>
      <c r="L147" s="242" t="n">
        <v>236000</v>
      </c>
      <c r="M147" s="241" t="n">
        <v>-1.83</v>
      </c>
      <c r="N147" s="241" t="n">
        <v>-4.98</v>
      </c>
      <c r="O147" s="241" t="n">
        <v>81.70999999999999</v>
      </c>
      <c r="P147" s="241" t="n">
        <v>1.2</v>
      </c>
    </row>
    <row r="148">
      <c r="A148" s="282" t="inlineStr">
        <is>
          <t>2006-08-11</t>
        </is>
      </c>
      <c r="B148" s="240">
        <f>IFERROR(1/P148-1,B147)</f>
        <v/>
      </c>
      <c r="C148" s="240">
        <f>$C$3</f>
        <v/>
      </c>
      <c r="D148" s="240">
        <f>$D$3</f>
        <v/>
      </c>
      <c r="E148" s="240">
        <f>$E$3</f>
        <v/>
      </c>
      <c r="F148" s="241" t="n">
        <v>16.95</v>
      </c>
      <c r="G148" s="242" t="n">
        <v>1046795</v>
      </c>
      <c r="H148" s="241" t="n">
        <v>-0.59</v>
      </c>
      <c r="I148" s="241" t="n">
        <v>-11.26</v>
      </c>
      <c r="J148" s="241" t="n">
        <v>78.88</v>
      </c>
      <c r="K148" s="241" t="n">
        <v>14.21</v>
      </c>
      <c r="L148" s="242" t="n">
        <v>554000</v>
      </c>
      <c r="M148" s="241" t="n">
        <v>-0.43</v>
      </c>
      <c r="N148" s="241" t="n">
        <v>-11.44</v>
      </c>
      <c r="O148" s="241" t="n">
        <v>80.93000000000001</v>
      </c>
      <c r="P148" s="241" t="n">
        <v>1.19</v>
      </c>
    </row>
    <row r="149">
      <c r="A149" s="282" t="inlineStr">
        <is>
          <t>2006-08-14</t>
        </is>
      </c>
      <c r="B149" s="240">
        <f>IFERROR(1/P149-1,B148)</f>
        <v/>
      </c>
      <c r="C149" s="240">
        <f>$C$3</f>
        <v/>
      </c>
      <c r="D149" s="240">
        <f>$D$3</f>
        <v/>
      </c>
      <c r="E149" s="240">
        <f>$E$3</f>
        <v/>
      </c>
      <c r="F149" s="241" t="n">
        <v>16.63</v>
      </c>
      <c r="G149" s="242" t="n">
        <v>1259880</v>
      </c>
      <c r="H149" s="241" t="n">
        <v>-1.89</v>
      </c>
      <c r="I149" s="241" t="n">
        <v>-14.01</v>
      </c>
      <c r="J149" s="241" t="n">
        <v>75.5</v>
      </c>
      <c r="K149" s="241" t="n">
        <v>14.45</v>
      </c>
      <c r="L149" s="242" t="n">
        <v>580000</v>
      </c>
      <c r="M149" s="241" t="n">
        <v>1.44</v>
      </c>
      <c r="N149" s="241" t="n">
        <v>-8.1</v>
      </c>
      <c r="O149" s="241" t="n">
        <v>83.54000000000001</v>
      </c>
      <c r="P149" s="241" t="n">
        <v>1.15</v>
      </c>
    </row>
    <row r="150">
      <c r="A150" s="282" t="inlineStr">
        <is>
          <t>2006-08-15</t>
        </is>
      </c>
      <c r="B150" s="240">
        <f>IFERROR(1/P150-1,B149)</f>
        <v/>
      </c>
      <c r="C150" s="240">
        <f>$C$3</f>
        <v/>
      </c>
      <c r="D150" s="240">
        <f>$D$3</f>
        <v/>
      </c>
      <c r="E150" s="240">
        <f>$E$3</f>
        <v/>
      </c>
      <c r="F150" s="241" t="n">
        <v>16.89</v>
      </c>
      <c r="G150" s="242" t="n">
        <v>583868</v>
      </c>
      <c r="H150" s="241" t="n">
        <v>1.56</v>
      </c>
      <c r="I150" s="241" t="n">
        <v>-20.59</v>
      </c>
      <c r="J150" s="241" t="n">
        <v>78.23999999999999</v>
      </c>
      <c r="K150" s="241" t="n">
        <v>14.45</v>
      </c>
      <c r="L150" s="242" t="n">
        <v>490000</v>
      </c>
      <c r="M150" s="241" t="n">
        <v>0</v>
      </c>
      <c r="N150" s="241" t="n">
        <v>-9.289999999999999</v>
      </c>
      <c r="O150" s="241" t="n">
        <v>83.54000000000001</v>
      </c>
      <c r="P150" s="241" t="n">
        <v>1.17</v>
      </c>
    </row>
    <row r="151">
      <c r="A151" s="282" t="inlineStr">
        <is>
          <t>2006-08-16</t>
        </is>
      </c>
      <c r="B151" s="240">
        <f>IFERROR(1/P151-1,B150)</f>
        <v/>
      </c>
      <c r="C151" s="240">
        <f>$C$3</f>
        <v/>
      </c>
      <c r="D151" s="240">
        <f>$D$3</f>
        <v/>
      </c>
      <c r="E151" s="240">
        <f>$E$3</f>
        <v/>
      </c>
      <c r="F151" s="241" t="n">
        <v>17.18</v>
      </c>
      <c r="G151" s="242" t="n">
        <v>638461</v>
      </c>
      <c r="H151" s="241" t="n">
        <v>1.72</v>
      </c>
      <c r="I151" s="241" t="n">
        <v>-19.23</v>
      </c>
      <c r="J151" s="241" t="n">
        <v>81.31</v>
      </c>
      <c r="K151" s="241" t="n">
        <v>14.49</v>
      </c>
      <c r="L151" s="242" t="n">
        <v>358000</v>
      </c>
      <c r="M151" s="241" t="n">
        <v>0.43</v>
      </c>
      <c r="N151" s="241" t="n">
        <v>-8.9</v>
      </c>
      <c r="O151" s="241" t="n">
        <v>84.31999999999999</v>
      </c>
      <c r="P151" s="241" t="n">
        <v>1.19</v>
      </c>
    </row>
    <row r="152">
      <c r="A152" s="282" t="inlineStr">
        <is>
          <t>2006-08-17</t>
        </is>
      </c>
      <c r="B152" s="240">
        <f>IFERROR(1/P152-1,B151)</f>
        <v/>
      </c>
      <c r="C152" s="240">
        <f>$C$3</f>
        <v/>
      </c>
      <c r="D152" s="240">
        <f>$D$3</f>
        <v/>
      </c>
      <c r="E152" s="240">
        <f>$E$3</f>
        <v/>
      </c>
      <c r="F152" s="241" t="n">
        <v>17.23</v>
      </c>
      <c r="G152" s="242" t="n">
        <v>703685</v>
      </c>
      <c r="H152" s="241" t="n">
        <v>0.29</v>
      </c>
      <c r="I152" s="241" t="n">
        <v>-18.99</v>
      </c>
      <c r="J152" s="241" t="n">
        <v>81.83</v>
      </c>
      <c r="K152" s="241" t="n">
        <v>14.25</v>
      </c>
      <c r="L152" s="242" t="n">
        <v>652000</v>
      </c>
      <c r="M152" s="241" t="n">
        <v>-1.56</v>
      </c>
      <c r="N152" s="241" t="n">
        <v>-10.32</v>
      </c>
      <c r="O152" s="241" t="n">
        <v>81.45</v>
      </c>
      <c r="P152" s="241" t="n">
        <v>1.21</v>
      </c>
    </row>
    <row r="153">
      <c r="A153" s="282" t="inlineStr">
        <is>
          <t>2006-08-18</t>
        </is>
      </c>
      <c r="B153" s="240">
        <f>IFERROR(1/P153-1,B152)</f>
        <v/>
      </c>
      <c r="C153" s="240">
        <f>$C$3</f>
        <v/>
      </c>
      <c r="D153" s="240">
        <f>$D$3</f>
        <v/>
      </c>
      <c r="E153" s="240">
        <f>$E$3</f>
        <v/>
      </c>
      <c r="F153" s="241" t="n">
        <v>17.07</v>
      </c>
      <c r="G153" s="242" t="n">
        <v>504626</v>
      </c>
      <c r="H153" s="241" t="n">
        <v>-0.93</v>
      </c>
      <c r="I153" s="241" t="n">
        <v>-19.78</v>
      </c>
      <c r="J153" s="241" t="n">
        <v>80.14</v>
      </c>
      <c r="K153" s="241" t="n">
        <v>14.13</v>
      </c>
      <c r="L153" s="242" t="n">
        <v>464000</v>
      </c>
      <c r="M153" s="241" t="n">
        <v>-0.86</v>
      </c>
      <c r="N153" s="241" t="n">
        <v>-11.1</v>
      </c>
      <c r="O153" s="241" t="n">
        <v>79.88</v>
      </c>
      <c r="P153" s="241" t="n">
        <v>1.21</v>
      </c>
    </row>
    <row r="154">
      <c r="A154" s="282" t="inlineStr">
        <is>
          <t>2006-08-21</t>
        </is>
      </c>
      <c r="B154" s="240">
        <f>IFERROR(1/P154-1,B153)</f>
        <v/>
      </c>
      <c r="C154" s="240">
        <f>$C$3</f>
        <v/>
      </c>
      <c r="D154" s="240">
        <f>$D$3</f>
        <v/>
      </c>
      <c r="E154" s="240">
        <f>$E$3</f>
        <v/>
      </c>
      <c r="F154" s="241" t="n">
        <v>16.9</v>
      </c>
      <c r="G154" s="242" t="n">
        <v>517448</v>
      </c>
      <c r="H154" s="241" t="n">
        <v>-1</v>
      </c>
      <c r="I154" s="241" t="n">
        <v>-12.25</v>
      </c>
      <c r="J154" s="241" t="n">
        <v>78.34999999999999</v>
      </c>
      <c r="K154" s="241" t="n">
        <v>13.74</v>
      </c>
      <c r="L154" s="242" t="n">
        <v>1028000</v>
      </c>
      <c r="M154" s="241" t="n">
        <v>-2.76</v>
      </c>
      <c r="N154" s="241" t="n">
        <v>-13.55</v>
      </c>
      <c r="O154" s="241" t="n">
        <v>74.92</v>
      </c>
      <c r="P154" s="241" t="n">
        <v>1.23</v>
      </c>
    </row>
    <row r="155">
      <c r="A155" s="282" t="inlineStr">
        <is>
          <t>2006-08-22</t>
        </is>
      </c>
      <c r="B155" s="240">
        <f>IFERROR(1/P155-1,B154)</f>
        <v/>
      </c>
      <c r="C155" s="240">
        <f>$C$3</f>
        <v/>
      </c>
      <c r="D155" s="240">
        <f>$D$3</f>
        <v/>
      </c>
      <c r="E155" s="240">
        <f>$E$3</f>
        <v/>
      </c>
      <c r="F155" s="241" t="n">
        <v>17.41</v>
      </c>
      <c r="G155" s="242" t="n">
        <v>1056327</v>
      </c>
      <c r="H155" s="241" t="n">
        <v>3.02</v>
      </c>
      <c r="I155" s="241" t="n">
        <v>-9.42</v>
      </c>
      <c r="J155" s="241" t="n">
        <v>83.73</v>
      </c>
      <c r="K155" s="241" t="n">
        <v>14.2</v>
      </c>
      <c r="L155" s="242" t="n">
        <v>610000</v>
      </c>
      <c r="M155" s="241" t="n">
        <v>3.43</v>
      </c>
      <c r="N155" s="241" t="n">
        <v>-11.44</v>
      </c>
      <c r="O155" s="241" t="n">
        <v>80.93000000000001</v>
      </c>
      <c r="P155" s="241" t="n">
        <v>1.23</v>
      </c>
    </row>
    <row r="156">
      <c r="A156" s="282" t="inlineStr">
        <is>
          <t>2006-08-23</t>
        </is>
      </c>
      <c r="B156" s="240">
        <f>IFERROR(1/P156-1,B155)</f>
        <v/>
      </c>
      <c r="C156" s="240">
        <f>$C$3</f>
        <v/>
      </c>
      <c r="D156" s="240">
        <f>$D$3</f>
        <v/>
      </c>
      <c r="E156" s="240">
        <f>$E$3</f>
        <v/>
      </c>
      <c r="F156" s="241" t="n">
        <v>18.44</v>
      </c>
      <c r="G156" s="242" t="n">
        <v>2452428</v>
      </c>
      <c r="H156" s="241" t="n">
        <v>5.92</v>
      </c>
      <c r="I156" s="241" t="n">
        <v>-4.06</v>
      </c>
      <c r="J156" s="241" t="n">
        <v>94.59999999999999</v>
      </c>
      <c r="K156" s="241" t="n">
        <v>14.25</v>
      </c>
      <c r="L156" s="242" t="n">
        <v>950000</v>
      </c>
      <c r="M156" s="241" t="n">
        <v>0.29</v>
      </c>
      <c r="N156" s="241" t="n">
        <v>-11.18</v>
      </c>
      <c r="O156" s="241" t="n">
        <v>81.45</v>
      </c>
      <c r="P156" s="241" t="n">
        <v>1.29</v>
      </c>
    </row>
    <row r="157">
      <c r="A157" s="282" t="inlineStr">
        <is>
          <t>2006-08-24</t>
        </is>
      </c>
      <c r="B157" s="240">
        <f>IFERROR(1/P157-1,B156)</f>
        <v/>
      </c>
      <c r="C157" s="240">
        <f>$C$3</f>
        <v/>
      </c>
      <c r="D157" s="240">
        <f>$D$3</f>
        <v/>
      </c>
      <c r="E157" s="240">
        <f>$E$3</f>
        <v/>
      </c>
      <c r="F157" s="241" t="n">
        <v>18.42</v>
      </c>
      <c r="G157" s="242" t="n">
        <v>1320173</v>
      </c>
      <c r="H157" s="241" t="n">
        <v>-0.11</v>
      </c>
      <c r="I157" s="241" t="n">
        <v>-4.16</v>
      </c>
      <c r="J157" s="241" t="n">
        <v>94.39</v>
      </c>
      <c r="K157" s="241" t="n">
        <v>13.84</v>
      </c>
      <c r="L157" s="242" t="n">
        <v>814000</v>
      </c>
      <c r="M157" s="241" t="n">
        <v>-2.88</v>
      </c>
      <c r="N157" s="241" t="n">
        <v>-13.74</v>
      </c>
      <c r="O157" s="241" t="n">
        <v>76.23</v>
      </c>
      <c r="P157" s="241" t="n">
        <v>1.33</v>
      </c>
    </row>
    <row r="158">
      <c r="A158" s="282" t="inlineStr">
        <is>
          <t>2006-08-25</t>
        </is>
      </c>
      <c r="B158" s="240">
        <f>IFERROR(1/P158-1,B157)</f>
        <v/>
      </c>
      <c r="C158" s="240">
        <f>$C$3</f>
        <v/>
      </c>
      <c r="D158" s="240">
        <f>$D$3</f>
        <v/>
      </c>
      <c r="E158" s="240">
        <f>$E$3</f>
        <v/>
      </c>
      <c r="F158" s="241" t="n">
        <v>18.24</v>
      </c>
      <c r="G158" s="242" t="n">
        <v>1309912</v>
      </c>
      <c r="H158" s="241" t="n">
        <v>-0.98</v>
      </c>
      <c r="I158" s="241" t="n">
        <v>-4.4</v>
      </c>
      <c r="J158" s="241" t="n">
        <v>92.48999999999999</v>
      </c>
      <c r="K158" s="241" t="n">
        <v>13.76</v>
      </c>
      <c r="L158" s="242" t="n">
        <v>1012000</v>
      </c>
      <c r="M158" s="241" t="n">
        <v>-0.59</v>
      </c>
      <c r="N158" s="241" t="n">
        <v>-14.52</v>
      </c>
      <c r="O158" s="241" t="n">
        <v>75.18000000000001</v>
      </c>
      <c r="P158" s="241" t="n">
        <v>1.33</v>
      </c>
    </row>
    <row r="159">
      <c r="A159" s="282" t="inlineStr">
        <is>
          <t>2006-08-28</t>
        </is>
      </c>
      <c r="B159" s="240">
        <f>IFERROR(1/P159-1,B158)</f>
        <v/>
      </c>
      <c r="C159" s="240">
        <f>$C$3</f>
        <v/>
      </c>
      <c r="D159" s="240">
        <f>$D$3</f>
        <v/>
      </c>
      <c r="E159" s="240">
        <f>$E$3</f>
        <v/>
      </c>
      <c r="F159" s="241" t="n">
        <v>18.99</v>
      </c>
      <c r="G159" s="242" t="n">
        <v>1250506</v>
      </c>
      <c r="H159" s="241" t="n">
        <v>4.11</v>
      </c>
      <c r="I159" s="241" t="n">
        <v>-0.05</v>
      </c>
      <c r="J159" s="241" t="n">
        <v>100.41</v>
      </c>
      <c r="K159" s="241" t="n">
        <v>13.79</v>
      </c>
      <c r="L159" s="242" t="n">
        <v>668000</v>
      </c>
      <c r="M159" s="241" t="n">
        <v>0.3</v>
      </c>
      <c r="N159" s="241" t="n">
        <v>-13.16</v>
      </c>
      <c r="O159" s="241" t="n">
        <v>75.70999999999999</v>
      </c>
      <c r="P159" s="241" t="n">
        <v>1.38</v>
      </c>
    </row>
    <row r="160">
      <c r="A160" s="282" t="inlineStr">
        <is>
          <t>2006-08-29</t>
        </is>
      </c>
      <c r="B160" s="240">
        <f>IFERROR(1/P160-1,B159)</f>
        <v/>
      </c>
      <c r="C160" s="240">
        <f>$C$3</f>
        <v/>
      </c>
      <c r="D160" s="240">
        <f>$D$3</f>
        <v/>
      </c>
      <c r="E160" s="240">
        <f>$E$3</f>
        <v/>
      </c>
      <c r="F160" s="241" t="n">
        <v>18.52</v>
      </c>
      <c r="G160" s="242" t="n">
        <v>2206704</v>
      </c>
      <c r="H160" s="241" t="n">
        <v>-2.48</v>
      </c>
      <c r="I160" s="241" t="n">
        <v>-0.27</v>
      </c>
      <c r="J160" s="241" t="n">
        <v>95.45</v>
      </c>
      <c r="K160" s="241" t="n">
        <v>13.79</v>
      </c>
      <c r="L160" s="242" t="n">
        <v>552000</v>
      </c>
      <c r="M160" s="241" t="n">
        <v>0</v>
      </c>
      <c r="N160" s="241" t="n">
        <v>-10.98</v>
      </c>
      <c r="O160" s="241" t="n">
        <v>75.70999999999999</v>
      </c>
      <c r="P160" s="241" t="n">
        <v>1.34</v>
      </c>
    </row>
    <row r="161">
      <c r="A161" s="282" t="inlineStr">
        <is>
          <t>2006-08-30</t>
        </is>
      </c>
      <c r="B161" s="240">
        <f>IFERROR(1/P161-1,B160)</f>
        <v/>
      </c>
      <c r="C161" s="240">
        <f>$C$3</f>
        <v/>
      </c>
      <c r="D161" s="240">
        <f>$D$3</f>
        <v/>
      </c>
      <c r="E161" s="240">
        <f>$E$3</f>
        <v/>
      </c>
      <c r="F161" s="241" t="n">
        <v>18.23</v>
      </c>
      <c r="G161" s="242" t="n">
        <v>979890</v>
      </c>
      <c r="H161" s="241" t="n">
        <v>-1.57</v>
      </c>
      <c r="I161" s="241" t="n">
        <v>-1.83</v>
      </c>
      <c r="J161" s="241" t="n">
        <v>92.39</v>
      </c>
      <c r="K161" s="241" t="n">
        <v>13.71</v>
      </c>
      <c r="L161" s="242" t="n">
        <v>1184000</v>
      </c>
      <c r="M161" s="241" t="n">
        <v>-0.45</v>
      </c>
      <c r="N161" s="241" t="n">
        <v>-11.38</v>
      </c>
      <c r="O161" s="241" t="n">
        <v>74.92</v>
      </c>
      <c r="P161" s="241" t="n">
        <v>1.33</v>
      </c>
    </row>
    <row r="162">
      <c r="A162" s="282" t="inlineStr">
        <is>
          <t>2006-08-31</t>
        </is>
      </c>
      <c r="B162" s="240">
        <f>IFERROR(1/P162-1,B161)</f>
        <v/>
      </c>
      <c r="C162" s="240">
        <f>$C$3</f>
        <v/>
      </c>
      <c r="D162" s="240">
        <f>$D$3</f>
        <v/>
      </c>
      <c r="E162" s="240">
        <f>$E$3</f>
        <v/>
      </c>
      <c r="F162" s="241" t="n">
        <v>18.3</v>
      </c>
      <c r="G162" s="242" t="n">
        <v>492536</v>
      </c>
      <c r="H162" s="241" t="n">
        <v>0.38</v>
      </c>
      <c r="I162" s="241" t="n">
        <v>-1.45</v>
      </c>
      <c r="J162" s="241" t="n">
        <v>93.13</v>
      </c>
      <c r="K162" s="241" t="n">
        <v>14.06</v>
      </c>
      <c r="L162" s="242" t="n">
        <v>884000</v>
      </c>
      <c r="M162" s="241" t="n">
        <v>2.54</v>
      </c>
      <c r="N162" s="241" t="n">
        <v>-9.130000000000001</v>
      </c>
      <c r="O162" s="241" t="n">
        <v>79.36</v>
      </c>
      <c r="P162" s="241" t="n">
        <v>1.3</v>
      </c>
    </row>
    <row r="163">
      <c r="A163" s="282" t="inlineStr">
        <is>
          <t>2006-09-01</t>
        </is>
      </c>
      <c r="B163" s="240">
        <f>IFERROR(1/P163-1,B162)</f>
        <v/>
      </c>
      <c r="C163" s="240">
        <f>$C$3</f>
        <v/>
      </c>
      <c r="D163" s="240">
        <f>$D$3</f>
        <v/>
      </c>
      <c r="E163" s="240">
        <f>$E$3</f>
        <v/>
      </c>
      <c r="F163" s="241" t="n">
        <v>17.68</v>
      </c>
      <c r="G163" s="242" t="n">
        <v>1456993</v>
      </c>
      <c r="H163" s="241" t="n">
        <v>-3.39</v>
      </c>
      <c r="I163" s="241" t="n">
        <v>-0.67</v>
      </c>
      <c r="J163" s="241" t="n">
        <v>86.58</v>
      </c>
      <c r="K163" s="241" t="n">
        <v>14.35</v>
      </c>
      <c r="L163" s="242" t="n">
        <v>1466000</v>
      </c>
      <c r="M163" s="241" t="n">
        <v>2.04</v>
      </c>
      <c r="N163" s="241" t="n">
        <v>-6.41</v>
      </c>
      <c r="O163" s="241" t="n">
        <v>83.02</v>
      </c>
      <c r="P163" s="241" t="n">
        <v>1.23</v>
      </c>
    </row>
    <row r="164">
      <c r="A164" s="282" t="inlineStr">
        <is>
          <t>2006-09-04</t>
        </is>
      </c>
      <c r="B164" s="240">
        <f>IFERROR(1/P164-1,B163)</f>
        <v/>
      </c>
      <c r="C164" s="240">
        <f>$C$3</f>
        <v/>
      </c>
      <c r="D164" s="240">
        <f>$D$3</f>
        <v/>
      </c>
      <c r="E164" s="240">
        <f>$E$3</f>
        <v/>
      </c>
      <c r="F164" s="241" t="n">
        <v>17.84</v>
      </c>
      <c r="G164" s="242" t="n">
        <v>593030</v>
      </c>
      <c r="H164" s="241" t="n">
        <v>0.91</v>
      </c>
      <c r="I164" s="241" t="n">
        <v>3.12</v>
      </c>
      <c r="J164" s="241" t="n">
        <v>88.27</v>
      </c>
      <c r="K164" s="241" t="n">
        <v>13.86</v>
      </c>
      <c r="L164" s="242" t="n">
        <v>611000</v>
      </c>
      <c r="M164" s="241" t="n">
        <v>-3.28</v>
      </c>
      <c r="N164" s="241" t="n">
        <v>-2.45</v>
      </c>
      <c r="O164" s="241" t="n">
        <v>77.01000000000001</v>
      </c>
      <c r="P164" s="241" t="n">
        <v>1.29</v>
      </c>
    </row>
    <row r="165">
      <c r="A165" s="282" t="inlineStr">
        <is>
          <t>2006-09-05</t>
        </is>
      </c>
      <c r="B165" s="240">
        <f>IFERROR(1/P165-1,B164)</f>
        <v/>
      </c>
      <c r="C165" s="240">
        <f>$C$3</f>
        <v/>
      </c>
      <c r="D165" s="240">
        <f>$D$3</f>
        <v/>
      </c>
      <c r="E165" s="240">
        <f>$E$3</f>
        <v/>
      </c>
      <c r="F165" s="241" t="n">
        <v>18.02</v>
      </c>
      <c r="G165" s="242" t="n">
        <v>635764</v>
      </c>
      <c r="H165" s="241" t="n">
        <v>1.01</v>
      </c>
      <c r="I165" s="241" t="n">
        <v>7.01</v>
      </c>
      <c r="J165" s="241" t="n">
        <v>90.17</v>
      </c>
      <c r="K165" s="241" t="n">
        <v>14.05</v>
      </c>
      <c r="L165" s="242" t="n">
        <v>288000</v>
      </c>
      <c r="M165" s="241" t="n">
        <v>1.47</v>
      </c>
      <c r="N165" s="241" t="n">
        <v>-2.69</v>
      </c>
      <c r="O165" s="241" t="n">
        <v>79.62</v>
      </c>
      <c r="P165" s="241" t="n">
        <v>1.28</v>
      </c>
    </row>
    <row r="166">
      <c r="A166" s="282" t="inlineStr">
        <is>
          <t>2006-09-06</t>
        </is>
      </c>
      <c r="B166" s="240">
        <f>IFERROR(1/P166-1,B165)</f>
        <v/>
      </c>
      <c r="C166" s="240">
        <f>$C$3</f>
        <v/>
      </c>
      <c r="D166" s="240">
        <f>$D$3</f>
        <v/>
      </c>
      <c r="E166" s="240">
        <f>$E$3</f>
        <v/>
      </c>
      <c r="F166" s="241" t="n">
        <v>17.85</v>
      </c>
      <c r="G166" s="242" t="n">
        <v>687769</v>
      </c>
      <c r="H166" s="241" t="n">
        <v>-0.9399999999999999</v>
      </c>
      <c r="I166" s="241" t="n">
        <v>6</v>
      </c>
      <c r="J166" s="241" t="n">
        <v>88.38</v>
      </c>
      <c r="K166" s="241" t="n">
        <v>14.1</v>
      </c>
      <c r="L166" s="242" t="n">
        <v>330000</v>
      </c>
      <c r="M166" s="241" t="n">
        <v>0.29</v>
      </c>
      <c r="N166" s="241" t="n">
        <v>-2.4</v>
      </c>
      <c r="O166" s="241" t="n">
        <v>80.15000000000001</v>
      </c>
      <c r="P166" s="241" t="n">
        <v>1.27</v>
      </c>
    </row>
    <row r="167">
      <c r="A167" s="282" t="inlineStr">
        <is>
          <t>2006-09-07</t>
        </is>
      </c>
      <c r="B167" s="240">
        <f>IFERROR(1/P167-1,B166)</f>
        <v/>
      </c>
      <c r="C167" s="240">
        <f>$C$3</f>
        <v/>
      </c>
      <c r="D167" s="240">
        <f>$D$3</f>
        <v/>
      </c>
      <c r="E167" s="240">
        <f>$E$3</f>
        <v/>
      </c>
      <c r="F167" s="241" t="n">
        <v>17.92</v>
      </c>
      <c r="G167" s="242" t="n">
        <v>626444</v>
      </c>
      <c r="H167" s="241" t="n">
        <v>0.39</v>
      </c>
      <c r="I167" s="241" t="n">
        <v>6.41</v>
      </c>
      <c r="J167" s="241" t="n">
        <v>89.11</v>
      </c>
      <c r="K167" s="241" t="n">
        <v>14.25</v>
      </c>
      <c r="L167" s="242" t="n">
        <v>346000</v>
      </c>
      <c r="M167" s="241" t="n">
        <v>1.01</v>
      </c>
      <c r="N167" s="241" t="n">
        <v>-1.41</v>
      </c>
      <c r="O167" s="241" t="n">
        <v>81.97</v>
      </c>
      <c r="P167" s="241" t="n">
        <v>1.26</v>
      </c>
    </row>
    <row r="168">
      <c r="A168" s="282" t="inlineStr">
        <is>
          <t>2006-09-08</t>
        </is>
      </c>
      <c r="B168" s="240">
        <f>IFERROR(1/P168-1,B167)</f>
        <v/>
      </c>
      <c r="C168" s="240">
        <f>$C$3</f>
        <v/>
      </c>
      <c r="D168" s="240">
        <f>$D$3</f>
        <v/>
      </c>
      <c r="E168" s="240">
        <f>$E$3</f>
        <v/>
      </c>
      <c r="F168" s="241" t="n">
        <v>18.44</v>
      </c>
      <c r="G168" s="242" t="n">
        <v>1401146</v>
      </c>
      <c r="H168" s="241" t="n">
        <v>2.9</v>
      </c>
      <c r="I168" s="241" t="n">
        <v>11.08</v>
      </c>
      <c r="J168" s="241" t="n">
        <v>94.59999999999999</v>
      </c>
      <c r="K168" s="241" t="n">
        <v>14.26</v>
      </c>
      <c r="L168" s="242" t="n">
        <v>304000</v>
      </c>
      <c r="M168" s="241" t="n">
        <v>0</v>
      </c>
      <c r="N168" s="241" t="n">
        <v>-2.11</v>
      </c>
      <c r="O168" s="241" t="n">
        <v>81.97</v>
      </c>
      <c r="P168" s="241" t="n">
        <v>1.29</v>
      </c>
    </row>
    <row r="169">
      <c r="A169" s="282" t="inlineStr">
        <is>
          <t>2006-09-11</t>
        </is>
      </c>
      <c r="B169" s="240">
        <f>IFERROR(1/P169-1,B168)</f>
        <v/>
      </c>
      <c r="C169" s="240">
        <f>$C$3</f>
        <v/>
      </c>
      <c r="D169" s="240">
        <f>$D$3</f>
        <v/>
      </c>
      <c r="E169" s="240">
        <f>$E$3</f>
        <v/>
      </c>
      <c r="F169" s="241" t="n">
        <v>18.75</v>
      </c>
      <c r="G169" s="242" t="n">
        <v>1480224</v>
      </c>
      <c r="H169" s="241" t="n">
        <v>1.68</v>
      </c>
      <c r="I169" s="241" t="n">
        <v>9.970000000000001</v>
      </c>
      <c r="J169" s="241" t="n">
        <v>97.87</v>
      </c>
      <c r="K169" s="241" t="n">
        <v>14.06</v>
      </c>
      <c r="L169" s="242" t="n">
        <v>322000</v>
      </c>
      <c r="M169" s="241" t="n">
        <v>-1.43</v>
      </c>
      <c r="N169" s="241" t="n">
        <v>-1.29</v>
      </c>
      <c r="O169" s="241" t="n">
        <v>79.36</v>
      </c>
      <c r="P169" s="241" t="n">
        <v>1.33</v>
      </c>
    </row>
    <row r="170">
      <c r="A170" s="282" t="inlineStr">
        <is>
          <t>2006-09-12</t>
        </is>
      </c>
      <c r="B170" s="240">
        <f>IFERROR(1/P170-1,B169)</f>
        <v/>
      </c>
      <c r="C170" s="240">
        <f>$C$3</f>
        <v/>
      </c>
      <c r="D170" s="240">
        <f>$D$3</f>
        <v/>
      </c>
      <c r="E170" s="240">
        <f>$E$3</f>
        <v/>
      </c>
      <c r="F170" s="241" t="n">
        <v>18.58</v>
      </c>
      <c r="G170" s="242" t="n">
        <v>812387</v>
      </c>
      <c r="H170" s="241" t="n">
        <v>-0.91</v>
      </c>
      <c r="I170" s="241" t="n">
        <v>9.619999999999999</v>
      </c>
      <c r="J170" s="241" t="n">
        <v>96.08</v>
      </c>
      <c r="K170" s="241" t="n">
        <v>13.81</v>
      </c>
      <c r="L170" s="242" t="n">
        <v>396000</v>
      </c>
      <c r="M170" s="241" t="n">
        <v>-1.75</v>
      </c>
      <c r="N170" s="241" t="n">
        <v>-2.6</v>
      </c>
      <c r="O170" s="241" t="n">
        <v>76.23</v>
      </c>
      <c r="P170" s="241" t="n">
        <v>1.35</v>
      </c>
    </row>
    <row r="171">
      <c r="A171" s="282" t="inlineStr">
        <is>
          <t>2006-09-13</t>
        </is>
      </c>
      <c r="B171" s="240">
        <f>IFERROR(1/P171-1,B170)</f>
        <v/>
      </c>
      <c r="C171" s="240">
        <f>$C$3</f>
        <v/>
      </c>
      <c r="D171" s="240">
        <f>$D$3</f>
        <v/>
      </c>
      <c r="E171" s="240">
        <f>$E$3</f>
        <v/>
      </c>
      <c r="F171" s="241" t="n">
        <v>18.15</v>
      </c>
      <c r="G171" s="242" t="n">
        <v>745426</v>
      </c>
      <c r="H171" s="241" t="n">
        <v>-2.31</v>
      </c>
      <c r="I171" s="241" t="n">
        <v>7.08</v>
      </c>
      <c r="J171" s="241" t="n">
        <v>91.54000000000001</v>
      </c>
      <c r="K171" s="241" t="n">
        <v>13.6</v>
      </c>
      <c r="L171" s="242" t="n">
        <v>1002000</v>
      </c>
      <c r="M171" s="241" t="n">
        <v>-1.48</v>
      </c>
      <c r="N171" s="241" t="n">
        <v>-4.04</v>
      </c>
      <c r="O171" s="241" t="n">
        <v>73.62</v>
      </c>
      <c r="P171" s="241" t="n">
        <v>1.33</v>
      </c>
    </row>
    <row r="172">
      <c r="A172" s="282" t="inlineStr">
        <is>
          <t>2006-09-14</t>
        </is>
      </c>
      <c r="B172" s="240">
        <f>IFERROR(1/P172-1,B171)</f>
        <v/>
      </c>
      <c r="C172" s="240">
        <f>$C$3</f>
        <v/>
      </c>
      <c r="D172" s="240">
        <f>$D$3</f>
        <v/>
      </c>
      <c r="E172" s="240">
        <f>$E$3</f>
        <v/>
      </c>
      <c r="F172" s="241" t="n">
        <v>17.94</v>
      </c>
      <c r="G172" s="242" t="n">
        <v>611086</v>
      </c>
      <c r="H172" s="241" t="n">
        <v>-1.16</v>
      </c>
      <c r="I172" s="241" t="n">
        <v>5.84</v>
      </c>
      <c r="J172" s="241" t="n">
        <v>89.33</v>
      </c>
      <c r="K172" s="241" t="n">
        <v>13.48</v>
      </c>
      <c r="L172" s="242" t="n">
        <v>352000</v>
      </c>
      <c r="M172" s="241" t="n">
        <v>-0.75</v>
      </c>
      <c r="N172" s="241" t="n">
        <v>-4.76</v>
      </c>
      <c r="O172" s="241" t="n">
        <v>72.31</v>
      </c>
      <c r="P172" s="241" t="n">
        <v>1.33</v>
      </c>
    </row>
    <row r="173">
      <c r="A173" s="282" t="inlineStr">
        <is>
          <t>2006-09-15</t>
        </is>
      </c>
      <c r="B173" s="240">
        <f>IFERROR(1/P173-1,B172)</f>
        <v/>
      </c>
      <c r="C173" s="240">
        <f>$C$3</f>
        <v/>
      </c>
      <c r="D173" s="240">
        <f>$D$3</f>
        <v/>
      </c>
      <c r="E173" s="240">
        <f>$E$3</f>
        <v/>
      </c>
      <c r="F173" s="241" t="n">
        <v>18.07</v>
      </c>
      <c r="G173" s="242" t="n">
        <v>704388</v>
      </c>
      <c r="H173" s="241" t="n">
        <v>0.72</v>
      </c>
      <c r="I173" s="241" t="n">
        <v>8.66</v>
      </c>
      <c r="J173" s="241" t="n">
        <v>90.7</v>
      </c>
      <c r="K173" s="241" t="n">
        <v>13.05</v>
      </c>
      <c r="L173" s="242" t="n">
        <v>882000</v>
      </c>
      <c r="M173" s="241" t="n">
        <v>-3.18</v>
      </c>
      <c r="N173" s="241" t="n">
        <v>-9.1</v>
      </c>
      <c r="O173" s="241" t="n">
        <v>66.83</v>
      </c>
      <c r="P173" s="241" t="n">
        <v>1.38</v>
      </c>
    </row>
    <row r="174">
      <c r="A174" s="282" t="inlineStr">
        <is>
          <t>2006-09-18</t>
        </is>
      </c>
      <c r="B174" s="240">
        <f>IFERROR(1/P174-1,B173)</f>
        <v/>
      </c>
      <c r="C174" s="240">
        <f>$C$3</f>
        <v/>
      </c>
      <c r="D174" s="240">
        <f>$D$3</f>
        <v/>
      </c>
      <c r="E174" s="240">
        <f>$E$3</f>
        <v/>
      </c>
      <c r="F174" s="241" t="n">
        <v>18.27</v>
      </c>
      <c r="G174" s="242" t="n">
        <v>370796</v>
      </c>
      <c r="H174" s="241" t="n">
        <v>1.11</v>
      </c>
      <c r="I174" s="241" t="n">
        <v>6.04</v>
      </c>
      <c r="J174" s="241" t="n">
        <v>92.81</v>
      </c>
      <c r="K174" s="241" t="n">
        <v>13.41</v>
      </c>
      <c r="L174" s="242" t="n">
        <v>1302000</v>
      </c>
      <c r="M174" s="241" t="n">
        <v>2.82</v>
      </c>
      <c r="N174" s="241" t="n">
        <v>-5.47</v>
      </c>
      <c r="O174" s="241" t="n">
        <v>71.53</v>
      </c>
      <c r="P174" s="241" t="n">
        <v>1.36</v>
      </c>
    </row>
    <row r="175">
      <c r="A175" s="282" t="inlineStr">
        <is>
          <t>2006-09-19</t>
        </is>
      </c>
      <c r="B175" s="240">
        <f>IFERROR(1/P175-1,B174)</f>
        <v/>
      </c>
      <c r="C175" s="240">
        <f>$C$3</f>
        <v/>
      </c>
      <c r="D175" s="240">
        <f>$D$3</f>
        <v/>
      </c>
      <c r="E175" s="240">
        <f>$E$3</f>
        <v/>
      </c>
      <c r="F175" s="241" t="n">
        <v>18.36</v>
      </c>
      <c r="G175" s="242" t="n">
        <v>898364</v>
      </c>
      <c r="H175" s="241" t="n">
        <v>0.49</v>
      </c>
      <c r="I175" s="241" t="n">
        <v>7.56</v>
      </c>
      <c r="J175" s="241" t="n">
        <v>93.76000000000001</v>
      </c>
      <c r="K175" s="241" t="n">
        <v>13.41</v>
      </c>
      <c r="L175" s="242" t="n">
        <v>330000</v>
      </c>
      <c r="M175" s="241" t="n">
        <v>0.15</v>
      </c>
      <c r="N175" s="241" t="n">
        <v>-4.5</v>
      </c>
      <c r="O175" s="241" t="n">
        <v>71.79000000000001</v>
      </c>
      <c r="P175" s="241" t="n">
        <v>1.37</v>
      </c>
    </row>
    <row r="176">
      <c r="A176" s="282" t="inlineStr">
        <is>
          <t>2006-09-20</t>
        </is>
      </c>
      <c r="B176" s="240">
        <f>IFERROR(1/P176-1,B175)</f>
        <v/>
      </c>
      <c r="C176" s="240">
        <f>$C$3</f>
        <v/>
      </c>
      <c r="D176" s="240">
        <f>$D$3</f>
        <v/>
      </c>
      <c r="E176" s="240">
        <f>$E$3</f>
        <v/>
      </c>
      <c r="F176" s="241" t="n">
        <v>18.55</v>
      </c>
      <c r="G176" s="242" t="n">
        <v>734868</v>
      </c>
      <c r="H176" s="241" t="n">
        <v>1.03</v>
      </c>
      <c r="I176" s="241" t="n">
        <v>8.67</v>
      </c>
      <c r="J176" s="241" t="n">
        <v>95.76000000000001</v>
      </c>
      <c r="K176" s="241" t="n">
        <v>13.18</v>
      </c>
      <c r="L176" s="242" t="n">
        <v>328000</v>
      </c>
      <c r="M176" s="241" t="n">
        <v>-1.67</v>
      </c>
      <c r="N176" s="241" t="n">
        <v>-6.1</v>
      </c>
      <c r="O176" s="241" t="n">
        <v>68.92</v>
      </c>
      <c r="P176" s="241" t="n">
        <v>1.41</v>
      </c>
    </row>
    <row r="177">
      <c r="A177" s="282" t="inlineStr">
        <is>
          <t>2006-09-21</t>
        </is>
      </c>
      <c r="B177" s="240">
        <f>IFERROR(1/P177-1,B176)</f>
        <v/>
      </c>
      <c r="C177" s="240">
        <f>$C$3</f>
        <v/>
      </c>
      <c r="D177" s="240">
        <f>$D$3</f>
        <v/>
      </c>
      <c r="E177" s="240">
        <f>$E$3</f>
        <v/>
      </c>
      <c r="F177" s="241" t="n">
        <v>18.44</v>
      </c>
      <c r="G177" s="242" t="n">
        <v>755583</v>
      </c>
      <c r="H177" s="241" t="n">
        <v>-0.59</v>
      </c>
      <c r="I177" s="241" t="n">
        <v>8.029999999999999</v>
      </c>
      <c r="J177" s="241" t="n">
        <v>94.59999999999999</v>
      </c>
      <c r="K177" s="241" t="n">
        <v>12.85</v>
      </c>
      <c r="L177" s="242" t="n">
        <v>1046000</v>
      </c>
      <c r="M177" s="241" t="n">
        <v>-2.47</v>
      </c>
      <c r="N177" s="241" t="n">
        <v>-8.42</v>
      </c>
      <c r="O177" s="241" t="n">
        <v>64.73999999999999</v>
      </c>
      <c r="P177" s="241" t="n">
        <v>1.44</v>
      </c>
    </row>
    <row r="178">
      <c r="A178" s="282" t="inlineStr">
        <is>
          <t>2006-09-22</t>
        </is>
      </c>
      <c r="B178" s="240">
        <f>IFERROR(1/P178-1,B177)</f>
        <v/>
      </c>
      <c r="C178" s="240">
        <f>$C$3</f>
        <v/>
      </c>
      <c r="D178" s="240">
        <f>$D$3</f>
        <v/>
      </c>
      <c r="E178" s="240">
        <f>$E$3</f>
        <v/>
      </c>
      <c r="F178" s="241" t="n">
        <v>18.8</v>
      </c>
      <c r="G178" s="242" t="n">
        <v>1903298</v>
      </c>
      <c r="H178" s="241" t="n">
        <v>1.95</v>
      </c>
      <c r="I178" s="241" t="n">
        <v>11.24</v>
      </c>
      <c r="J178" s="241" t="n">
        <v>98.40000000000001</v>
      </c>
      <c r="K178" s="241" t="n">
        <v>12.17</v>
      </c>
      <c r="L178" s="242" t="n">
        <v>3944000</v>
      </c>
      <c r="M178" s="241" t="n">
        <v>-5.23</v>
      </c>
      <c r="N178" s="241" t="n">
        <v>-10.75</v>
      </c>
      <c r="O178" s="241" t="n">
        <v>56.13</v>
      </c>
      <c r="P178" s="241" t="n">
        <v>1.54</v>
      </c>
    </row>
    <row r="179">
      <c r="A179" s="282" t="inlineStr">
        <is>
          <t>2006-09-25</t>
        </is>
      </c>
      <c r="B179" s="240">
        <f>IFERROR(1/P179-1,B178)</f>
        <v/>
      </c>
      <c r="C179" s="240">
        <f>$C$3</f>
        <v/>
      </c>
      <c r="D179" s="240">
        <f>$D$3</f>
        <v/>
      </c>
      <c r="E179" s="240">
        <f>$E$3</f>
        <v/>
      </c>
      <c r="F179" s="241" t="n">
        <v>19.5</v>
      </c>
      <c r="G179" s="242" t="n">
        <v>2649587</v>
      </c>
      <c r="H179" s="241" t="n">
        <v>3.72</v>
      </c>
      <c r="I179" s="241" t="n">
        <v>5.86</v>
      </c>
      <c r="J179" s="241" t="n">
        <v>105.79</v>
      </c>
      <c r="K179" s="241" t="n">
        <v>12.21</v>
      </c>
      <c r="L179" s="242" t="n">
        <v>1204000</v>
      </c>
      <c r="M179" s="241" t="n">
        <v>0.33</v>
      </c>
      <c r="N179" s="241" t="n">
        <v>-11.11</v>
      </c>
      <c r="O179" s="241" t="n">
        <v>56.65</v>
      </c>
      <c r="P179" s="241" t="n">
        <v>1.6</v>
      </c>
    </row>
    <row r="180">
      <c r="A180" s="282" t="inlineStr">
        <is>
          <t>2006-09-26</t>
        </is>
      </c>
      <c r="B180" s="240">
        <f>IFERROR(1/P180-1,B179)</f>
        <v/>
      </c>
      <c r="C180" s="240">
        <f>$C$3</f>
        <v/>
      </c>
      <c r="D180" s="240">
        <f>$D$3</f>
        <v/>
      </c>
      <c r="E180" s="240">
        <f>$E$3</f>
        <v/>
      </c>
      <c r="F180" s="241" t="n">
        <v>19.34</v>
      </c>
      <c r="G180" s="242" t="n">
        <v>1738008</v>
      </c>
      <c r="H180" s="241" t="n">
        <v>-0.82</v>
      </c>
      <c r="I180" s="241" t="n">
        <v>6.03</v>
      </c>
      <c r="J180" s="241" t="n">
        <v>104.1</v>
      </c>
      <c r="K180" s="241" t="n">
        <v>11.9</v>
      </c>
      <c r="L180" s="242" t="n">
        <v>950000</v>
      </c>
      <c r="M180" s="241" t="n">
        <v>-2.5</v>
      </c>
      <c r="N180" s="241" t="n">
        <v>-12.82</v>
      </c>
      <c r="O180" s="241" t="n">
        <v>52.73</v>
      </c>
      <c r="P180" s="241" t="n">
        <v>1.63</v>
      </c>
    </row>
    <row r="181">
      <c r="A181" s="282" t="inlineStr">
        <is>
          <t>2006-09-27</t>
        </is>
      </c>
      <c r="B181" s="240">
        <f>IFERROR(1/P181-1,B180)</f>
        <v/>
      </c>
      <c r="C181" s="240">
        <f>$C$3</f>
        <v/>
      </c>
      <c r="D181" s="240">
        <f>$D$3</f>
        <v/>
      </c>
      <c r="E181" s="240">
        <f>$E$3</f>
        <v/>
      </c>
      <c r="F181" s="241" t="n">
        <v>19.52</v>
      </c>
      <c r="G181" s="242" t="n">
        <v>1360633</v>
      </c>
      <c r="H181" s="241" t="n">
        <v>0.93</v>
      </c>
      <c r="I181" s="241" t="n">
        <v>7.02</v>
      </c>
      <c r="J181" s="241" t="n">
        <v>106</v>
      </c>
      <c r="K181" s="241" t="n">
        <v>12.41</v>
      </c>
      <c r="L181" s="242" t="n">
        <v>2174600</v>
      </c>
      <c r="M181" s="241" t="n">
        <v>4.44</v>
      </c>
      <c r="N181" s="241" t="n">
        <v>-8.94</v>
      </c>
      <c r="O181" s="241" t="n">
        <v>59.52</v>
      </c>
      <c r="P181" s="241" t="n">
        <v>1.57</v>
      </c>
    </row>
    <row r="182">
      <c r="A182" s="282" t="inlineStr">
        <is>
          <t>2006-09-28</t>
        </is>
      </c>
      <c r="B182" s="240">
        <f>IFERROR(1/P182-1,B181)</f>
        <v/>
      </c>
      <c r="C182" s="240">
        <f>$C$3</f>
        <v/>
      </c>
      <c r="D182" s="240">
        <f>$D$3</f>
        <v/>
      </c>
      <c r="E182" s="240">
        <f>$E$3</f>
        <v/>
      </c>
      <c r="F182" s="241" t="n">
        <v>19.9</v>
      </c>
      <c r="G182" s="242" t="n">
        <v>2181594</v>
      </c>
      <c r="H182" s="241" t="n">
        <v>1.95</v>
      </c>
      <c r="I182" s="241" t="n">
        <v>9.1</v>
      </c>
      <c r="J182" s="241" t="n">
        <v>110.01</v>
      </c>
      <c r="K182" s="241" t="n">
        <v>13.57</v>
      </c>
      <c r="L182" s="242" t="n">
        <v>2818000</v>
      </c>
      <c r="M182" s="241" t="n">
        <v>9.49</v>
      </c>
      <c r="N182" s="241" t="n">
        <v>-0.3</v>
      </c>
      <c r="O182" s="241" t="n">
        <v>74.66</v>
      </c>
      <c r="P182" s="241" t="n">
        <v>1.47</v>
      </c>
    </row>
    <row r="183">
      <c r="A183" s="282" t="inlineStr">
        <is>
          <t>2006-09-29</t>
        </is>
      </c>
      <c r="B183" s="240">
        <f>IFERROR(1/P183-1,B182)</f>
        <v/>
      </c>
      <c r="C183" s="240">
        <f>$C$3</f>
        <v/>
      </c>
      <c r="D183" s="240">
        <f>$D$3</f>
        <v/>
      </c>
      <c r="E183" s="240">
        <f>$E$3</f>
        <v/>
      </c>
      <c r="F183" s="241" t="n">
        <v>19.88</v>
      </c>
      <c r="G183" s="242" t="n">
        <v>798236</v>
      </c>
      <c r="H183" s="241" t="n">
        <v>-0.1</v>
      </c>
      <c r="I183" s="241" t="n">
        <v>4.69</v>
      </c>
      <c r="J183" s="241" t="n">
        <v>109.8</v>
      </c>
      <c r="K183" s="241" t="n">
        <v>13.77</v>
      </c>
      <c r="L183" s="242" t="n">
        <v>1372000</v>
      </c>
      <c r="M183" s="241" t="n">
        <v>1.35</v>
      </c>
      <c r="N183" s="241" t="n">
        <v>0.74</v>
      </c>
      <c r="O183" s="241" t="n">
        <v>77.01000000000001</v>
      </c>
      <c r="P183" s="241" t="n">
        <v>1.44</v>
      </c>
    </row>
    <row r="184">
      <c r="A184" s="282" t="inlineStr">
        <is>
          <t>2006-10-09</t>
        </is>
      </c>
      <c r="B184" s="240">
        <f>IFERROR(1/P184-1,B183)</f>
        <v/>
      </c>
      <c r="C184" s="240">
        <f>$C$3</f>
        <v/>
      </c>
      <c r="D184" s="240">
        <f>$D$3</f>
        <v/>
      </c>
      <c r="E184" s="240">
        <f>$E$3</f>
        <v/>
      </c>
      <c r="F184" s="241" t="n">
        <v>19.88</v>
      </c>
      <c r="G184" s="242" t="n">
        <v>1295865</v>
      </c>
      <c r="H184" s="241" t="n">
        <v>0</v>
      </c>
      <c r="I184" s="241" t="n">
        <v>7.81</v>
      </c>
      <c r="J184" s="241" t="n">
        <v>109.8</v>
      </c>
      <c r="K184" s="241" t="n">
        <v>13.31</v>
      </c>
      <c r="L184" s="242" t="n">
        <v>300500</v>
      </c>
      <c r="M184" s="241" t="n">
        <v>-4.1</v>
      </c>
      <c r="N184" s="241" t="n">
        <v>-6.03</v>
      </c>
      <c r="O184" s="241" t="n">
        <v>71.01000000000001</v>
      </c>
      <c r="P184" s="241" t="n">
        <v>1.49</v>
      </c>
    </row>
    <row r="185">
      <c r="A185" s="282" t="inlineStr">
        <is>
          <t>2006-10-10</t>
        </is>
      </c>
      <c r="B185" s="240">
        <f>IFERROR(1/P185-1,B184)</f>
        <v/>
      </c>
      <c r="C185" s="240">
        <f>$C$3</f>
        <v/>
      </c>
      <c r="D185" s="240">
        <f>$D$3</f>
        <v/>
      </c>
      <c r="E185" s="240">
        <f>$E$3</f>
        <v/>
      </c>
      <c r="F185" s="241" t="n">
        <v>20.77</v>
      </c>
      <c r="G185" s="242" t="n">
        <v>2115228</v>
      </c>
      <c r="H185" s="241" t="n">
        <v>4.48</v>
      </c>
      <c r="I185" s="241" t="n">
        <v>12.64</v>
      </c>
      <c r="J185" s="241" t="n">
        <v>119.19</v>
      </c>
      <c r="K185" s="241" t="n">
        <v>14.24</v>
      </c>
      <c r="L185" s="242" t="n">
        <v>4220000</v>
      </c>
      <c r="M185" s="241" t="n">
        <v>7.02</v>
      </c>
      <c r="N185" s="241" t="n">
        <v>0.57</v>
      </c>
      <c r="O185" s="241" t="n">
        <v>83.02</v>
      </c>
      <c r="P185" s="241" t="n">
        <v>1.46</v>
      </c>
    </row>
    <row r="186">
      <c r="A186" s="282" t="inlineStr">
        <is>
          <t>2006-10-11</t>
        </is>
      </c>
      <c r="B186" s="240">
        <f>IFERROR(1/P186-1,B185)</f>
        <v/>
      </c>
      <c r="C186" s="240">
        <f>$C$3</f>
        <v/>
      </c>
      <c r="D186" s="240">
        <f>$D$3</f>
        <v/>
      </c>
      <c r="E186" s="240">
        <f>$E$3</f>
        <v/>
      </c>
      <c r="F186" s="241" t="n">
        <v>21.18</v>
      </c>
      <c r="G186" s="242" t="n">
        <v>1513257</v>
      </c>
      <c r="H186" s="241" t="n">
        <v>1.97</v>
      </c>
      <c r="I186" s="241" t="n">
        <v>14.86</v>
      </c>
      <c r="J186" s="241" t="n">
        <v>123.52</v>
      </c>
      <c r="K186" s="241" t="n">
        <v>14.89</v>
      </c>
      <c r="L186" s="242" t="n">
        <v>2282000</v>
      </c>
      <c r="M186" s="241" t="n">
        <v>4.56</v>
      </c>
      <c r="N186" s="241" t="n">
        <v>5.17</v>
      </c>
      <c r="O186" s="241" t="n">
        <v>91.37</v>
      </c>
      <c r="P186" s="241" t="n">
        <v>1.42</v>
      </c>
    </row>
    <row r="187">
      <c r="A187" s="282" t="inlineStr">
        <is>
          <t>2006-10-12</t>
        </is>
      </c>
      <c r="B187" s="240">
        <f>IFERROR(1/P187-1,B186)</f>
        <v/>
      </c>
      <c r="C187" s="240">
        <f>$C$3</f>
        <v/>
      </c>
      <c r="D187" s="240">
        <f>$D$3</f>
        <v/>
      </c>
      <c r="E187" s="240">
        <f>$E$3</f>
        <v/>
      </c>
      <c r="F187" s="241" t="n">
        <v>20.52</v>
      </c>
      <c r="G187" s="242" t="n">
        <v>1249199</v>
      </c>
      <c r="H187" s="241" t="n">
        <v>-3.12</v>
      </c>
      <c r="I187" s="241" t="n">
        <v>9.44</v>
      </c>
      <c r="J187" s="241" t="n">
        <v>116.55</v>
      </c>
      <c r="K187" s="241" t="n">
        <v>14.9</v>
      </c>
      <c r="L187" s="242" t="n">
        <v>1316000</v>
      </c>
      <c r="M187" s="241" t="n">
        <v>0</v>
      </c>
      <c r="N187" s="241" t="n">
        <v>6.7</v>
      </c>
      <c r="O187" s="241" t="n">
        <v>91.37</v>
      </c>
      <c r="P187" s="241" t="n">
        <v>1.38</v>
      </c>
    </row>
    <row r="188">
      <c r="A188" s="282" t="inlineStr">
        <is>
          <t>2006-10-13</t>
        </is>
      </c>
      <c r="B188" s="240">
        <f>IFERROR(1/P188-1,B187)</f>
        <v/>
      </c>
      <c r="C188" s="240">
        <f>$C$3</f>
        <v/>
      </c>
      <c r="D188" s="240">
        <f>$D$3</f>
        <v/>
      </c>
      <c r="E188" s="240">
        <f>$E$3</f>
        <v/>
      </c>
      <c r="F188" s="241" t="n">
        <v>20.83</v>
      </c>
      <c r="G188" s="242" t="n">
        <v>1006567</v>
      </c>
      <c r="H188" s="241" t="n">
        <v>1.51</v>
      </c>
      <c r="I188" s="241" t="n">
        <v>12.11</v>
      </c>
      <c r="J188" s="241" t="n">
        <v>119.82</v>
      </c>
      <c r="K188" s="241" t="n">
        <v>14.63</v>
      </c>
      <c r="L188" s="242" t="n">
        <v>1410000</v>
      </c>
      <c r="M188" s="241" t="n">
        <v>-1.77</v>
      </c>
      <c r="N188" s="241" t="n">
        <v>6.67</v>
      </c>
      <c r="O188" s="241" t="n">
        <v>87.98</v>
      </c>
      <c r="P188" s="241" t="n">
        <v>1.42</v>
      </c>
    </row>
    <row r="189">
      <c r="A189" s="282" t="inlineStr">
        <is>
          <t>2006-10-16</t>
        </is>
      </c>
      <c r="B189" s="240">
        <f>IFERROR(1/P189-1,B188)</f>
        <v/>
      </c>
      <c r="C189" s="240">
        <f>$C$3</f>
        <v/>
      </c>
      <c r="D189" s="240">
        <f>$D$3</f>
        <v/>
      </c>
      <c r="E189" s="240">
        <f>$E$3</f>
        <v/>
      </c>
      <c r="F189" s="241" t="n">
        <v>21.79</v>
      </c>
      <c r="G189" s="242" t="n">
        <v>2315045</v>
      </c>
      <c r="H189" s="241" t="n">
        <v>4.61</v>
      </c>
      <c r="I189" s="241" t="n">
        <v>20.59</v>
      </c>
      <c r="J189" s="241" t="n">
        <v>129.96</v>
      </c>
      <c r="K189" s="241" t="n">
        <v>14.76</v>
      </c>
      <c r="L189" s="242" t="n">
        <v>584000</v>
      </c>
      <c r="M189" s="241" t="n">
        <v>0.83</v>
      </c>
      <c r="N189" s="241" t="n">
        <v>13.62</v>
      </c>
      <c r="O189" s="241" t="n">
        <v>89.54000000000001</v>
      </c>
      <c r="P189" s="241" t="n">
        <v>1.48</v>
      </c>
    </row>
    <row r="190">
      <c r="A190" s="282" t="inlineStr">
        <is>
          <t>2006-10-17</t>
        </is>
      </c>
      <c r="B190" s="240">
        <f>IFERROR(1/P190-1,B189)</f>
        <v/>
      </c>
      <c r="C190" s="240">
        <f>$C$3</f>
        <v/>
      </c>
      <c r="D190" s="240">
        <f>$D$3</f>
        <v/>
      </c>
      <c r="E190" s="240">
        <f>$E$3</f>
        <v/>
      </c>
      <c r="F190" s="241" t="n">
        <v>21.72</v>
      </c>
      <c r="G190" s="242" t="n">
        <v>1045905</v>
      </c>
      <c r="H190" s="241" t="n">
        <v>-0.32</v>
      </c>
      <c r="I190" s="241" t="n">
        <v>20.2</v>
      </c>
      <c r="J190" s="241" t="n">
        <v>129.22</v>
      </c>
      <c r="K190" s="241" t="n">
        <v>14.94</v>
      </c>
      <c r="L190" s="242" t="n">
        <v>1050000</v>
      </c>
      <c r="M190" s="241" t="n">
        <v>1.24</v>
      </c>
      <c r="N190" s="241" t="n">
        <v>15.02</v>
      </c>
      <c r="O190" s="241" t="n">
        <v>91.89</v>
      </c>
      <c r="P190" s="241" t="n">
        <v>1.45</v>
      </c>
    </row>
    <row r="191">
      <c r="A191" s="282" t="inlineStr">
        <is>
          <t>2006-10-18</t>
        </is>
      </c>
      <c r="B191" s="240">
        <f>IFERROR(1/P191-1,B190)</f>
        <v/>
      </c>
      <c r="C191" s="240">
        <f>$C$3</f>
        <v/>
      </c>
      <c r="D191" s="240">
        <f>$D$3</f>
        <v/>
      </c>
      <c r="E191" s="240">
        <f>$E$3</f>
        <v/>
      </c>
      <c r="F191" s="241" t="n">
        <v>21.52</v>
      </c>
      <c r="G191" s="242" t="n">
        <v>892602</v>
      </c>
      <c r="H191" s="241" t="n">
        <v>-0.92</v>
      </c>
      <c r="I191" s="241" t="n">
        <v>19.09</v>
      </c>
      <c r="J191" s="241" t="n">
        <v>127.11</v>
      </c>
      <c r="K191" s="241" t="n">
        <v>15.02</v>
      </c>
      <c r="L191" s="242" t="n">
        <v>1006000</v>
      </c>
      <c r="M191" s="241" t="n">
        <v>0.54</v>
      </c>
      <c r="N191" s="241" t="n">
        <v>15.65</v>
      </c>
      <c r="O191" s="241" t="n">
        <v>92.94</v>
      </c>
      <c r="P191" s="241" t="n">
        <v>1.43</v>
      </c>
    </row>
    <row r="192">
      <c r="A192" s="282" t="inlineStr">
        <is>
          <t>2006-10-19</t>
        </is>
      </c>
      <c r="B192" s="240">
        <f>IFERROR(1/P192-1,B191)</f>
        <v/>
      </c>
      <c r="C192" s="240">
        <f>$C$3</f>
        <v/>
      </c>
      <c r="D192" s="240">
        <f>$D$3</f>
        <v/>
      </c>
      <c r="E192" s="240">
        <f>$E$3</f>
        <v/>
      </c>
      <c r="F192" s="241" t="n">
        <v>21.58</v>
      </c>
      <c r="G192" s="242" t="n">
        <v>1557771</v>
      </c>
      <c r="H192" s="241" t="n">
        <v>0.28</v>
      </c>
      <c r="I192" s="241" t="n">
        <v>18.12</v>
      </c>
      <c r="J192" s="241" t="n">
        <v>127.74</v>
      </c>
      <c r="K192" s="241" t="n">
        <v>15.63</v>
      </c>
      <c r="L192" s="242" t="n">
        <v>2652000</v>
      </c>
      <c r="M192" s="241" t="n">
        <v>4.06</v>
      </c>
      <c r="N192" s="241" t="n">
        <v>17.05</v>
      </c>
      <c r="O192" s="241" t="n">
        <v>100.77</v>
      </c>
      <c r="P192" s="241" t="n">
        <v>1.38</v>
      </c>
    </row>
    <row r="193">
      <c r="A193" s="282" t="inlineStr">
        <is>
          <t>2006-10-20</t>
        </is>
      </c>
      <c r="B193" s="240">
        <f>IFERROR(1/P193-1,B192)</f>
        <v/>
      </c>
      <c r="C193" s="240">
        <f>$C$3</f>
        <v/>
      </c>
      <c r="D193" s="240">
        <f>$D$3</f>
        <v/>
      </c>
      <c r="E193" s="240">
        <f>$E$3</f>
        <v/>
      </c>
      <c r="F193" s="241" t="n">
        <v>21.34</v>
      </c>
      <c r="G193" s="242" t="n">
        <v>1411881</v>
      </c>
      <c r="H193" s="241" t="n">
        <v>-1.11</v>
      </c>
      <c r="I193" s="241" t="n">
        <v>16.23</v>
      </c>
      <c r="J193" s="241" t="n">
        <v>125.21</v>
      </c>
      <c r="K193" s="241" t="n">
        <v>16.13</v>
      </c>
      <c r="L193" s="242" t="n">
        <v>2072000</v>
      </c>
      <c r="M193" s="241" t="n">
        <v>3.38</v>
      </c>
      <c r="N193" s="241" t="n">
        <v>20.82</v>
      </c>
      <c r="O193" s="241" t="n">
        <v>107.56</v>
      </c>
      <c r="P193" s="241" t="n">
        <v>1.32</v>
      </c>
    </row>
    <row r="194">
      <c r="A194" s="282" t="inlineStr">
        <is>
          <t>2006-10-23</t>
        </is>
      </c>
      <c r="B194" s="240">
        <f>IFERROR(1/P194-1,B193)</f>
        <v/>
      </c>
      <c r="C194" s="240">
        <f>$C$3</f>
        <v/>
      </c>
      <c r="D194" s="240">
        <f>$D$3</f>
        <v/>
      </c>
      <c r="E194" s="240">
        <f>$E$3</f>
        <v/>
      </c>
      <c r="F194" s="241" t="n">
        <v>19.97</v>
      </c>
      <c r="G194" s="242" t="n">
        <v>1471128</v>
      </c>
      <c r="H194" s="241" t="n">
        <v>-6.42</v>
      </c>
      <c r="I194" s="241" t="n">
        <v>6.22</v>
      </c>
      <c r="J194" s="241" t="n">
        <v>110.75</v>
      </c>
      <c r="K194" s="241" t="n">
        <v>15.83</v>
      </c>
      <c r="L194" s="242" t="n">
        <v>1678000</v>
      </c>
      <c r="M194" s="241" t="n">
        <v>-1.89</v>
      </c>
      <c r="N194" s="241" t="n">
        <v>30.43</v>
      </c>
      <c r="O194" s="241" t="n">
        <v>103.64</v>
      </c>
      <c r="P194" s="241" t="n">
        <v>1.26</v>
      </c>
    </row>
    <row r="195">
      <c r="A195" s="282" t="inlineStr">
        <is>
          <t>2006-10-24</t>
        </is>
      </c>
      <c r="B195" s="240">
        <f>IFERROR(1/P195-1,B194)</f>
        <v/>
      </c>
      <c r="C195" s="240">
        <f>$C$3</f>
        <v/>
      </c>
      <c r="D195" s="240">
        <f>$D$3</f>
        <v/>
      </c>
      <c r="E195" s="240">
        <f>$E$3</f>
        <v/>
      </c>
      <c r="F195" s="241" t="n">
        <v>20.59</v>
      </c>
      <c r="G195" s="242" t="n">
        <v>1127194</v>
      </c>
      <c r="H195" s="241" t="n">
        <v>3.1</v>
      </c>
      <c r="I195" s="241" t="n">
        <v>9.52</v>
      </c>
      <c r="J195" s="241" t="n">
        <v>117.29</v>
      </c>
      <c r="K195" s="241" t="n">
        <v>15.95</v>
      </c>
      <c r="L195" s="242" t="n">
        <v>538000</v>
      </c>
      <c r="M195" s="241" t="n">
        <v>0.64</v>
      </c>
      <c r="N195" s="241" t="n">
        <v>31.27</v>
      </c>
      <c r="O195" s="241" t="n">
        <v>104.95</v>
      </c>
      <c r="P195" s="241" t="n">
        <v>1.29</v>
      </c>
    </row>
    <row r="196">
      <c r="A196" s="282" t="inlineStr">
        <is>
          <t>2006-10-25</t>
        </is>
      </c>
      <c r="B196" s="240">
        <f>IFERROR(1/P196-1,B195)</f>
        <v/>
      </c>
      <c r="C196" s="240">
        <f>$C$3</f>
        <v/>
      </c>
      <c r="D196" s="240">
        <f>$D$3</f>
        <v/>
      </c>
      <c r="E196" s="240">
        <f>$E$3</f>
        <v/>
      </c>
      <c r="F196" s="241" t="n">
        <v>20.58</v>
      </c>
      <c r="G196" s="242" t="n">
        <v>910455</v>
      </c>
      <c r="H196" s="241" t="n">
        <v>-0.05</v>
      </c>
      <c r="I196" s="241" t="n">
        <v>9.470000000000001</v>
      </c>
      <c r="J196" s="241" t="n">
        <v>117.19</v>
      </c>
      <c r="K196" s="241" t="n">
        <v>15.73</v>
      </c>
      <c r="L196" s="242" t="n">
        <v>430000</v>
      </c>
      <c r="M196" s="241" t="n">
        <v>-1.27</v>
      </c>
      <c r="N196" s="241" t="n">
        <v>29.6</v>
      </c>
      <c r="O196" s="241" t="n">
        <v>102.34</v>
      </c>
      <c r="P196" s="241" t="n">
        <v>1.31</v>
      </c>
    </row>
    <row r="197">
      <c r="A197" s="282" t="inlineStr">
        <is>
          <t>2006-10-26</t>
        </is>
      </c>
      <c r="B197" s="240">
        <f>IFERROR(1/P197-1,B196)</f>
        <v/>
      </c>
      <c r="C197" s="240">
        <f>$C$3</f>
        <v/>
      </c>
      <c r="D197" s="240">
        <f>$D$3</f>
        <v/>
      </c>
      <c r="E197" s="240">
        <f>$E$3</f>
        <v/>
      </c>
      <c r="F197" s="241" t="n">
        <v>20.28</v>
      </c>
      <c r="G197" s="242" t="n">
        <v>464636</v>
      </c>
      <c r="H197" s="241" t="n">
        <v>-1.46</v>
      </c>
      <c r="I197" s="241" t="n">
        <v>4</v>
      </c>
      <c r="J197" s="241" t="n">
        <v>114.02</v>
      </c>
      <c r="K197" s="241" t="n">
        <v>15.62</v>
      </c>
      <c r="L197" s="242" t="n">
        <v>764000</v>
      </c>
      <c r="M197" s="241" t="n">
        <v>-0.65</v>
      </c>
      <c r="N197" s="241" t="n">
        <v>28.33</v>
      </c>
      <c r="O197" s="241" t="n">
        <v>101.03</v>
      </c>
      <c r="P197" s="241" t="n">
        <v>1.3</v>
      </c>
    </row>
    <row r="198">
      <c r="A198" s="282" t="inlineStr">
        <is>
          <t>2006-10-27</t>
        </is>
      </c>
      <c r="B198" s="240">
        <f>IFERROR(1/P198-1,B197)</f>
        <v/>
      </c>
      <c r="C198" s="240">
        <f>$C$3</f>
        <v/>
      </c>
      <c r="D198" s="240">
        <f>$D$3</f>
        <v/>
      </c>
      <c r="E198" s="240">
        <f>$E$3</f>
        <v/>
      </c>
      <c r="F198" s="241" t="n">
        <v>20.2</v>
      </c>
      <c r="G198" s="242" t="n">
        <v>801025</v>
      </c>
      <c r="H198" s="241" t="n">
        <v>-0.39</v>
      </c>
      <c r="I198" s="241" t="n">
        <v>4.45</v>
      </c>
      <c r="J198" s="241" t="n">
        <v>113.18</v>
      </c>
      <c r="K198" s="241" t="n">
        <v>15.53</v>
      </c>
      <c r="L198" s="242" t="n">
        <v>534000</v>
      </c>
      <c r="M198" s="241" t="n">
        <v>-0.52</v>
      </c>
      <c r="N198" s="241" t="n">
        <v>30.94</v>
      </c>
      <c r="O198" s="241" t="n">
        <v>99.98999999999999</v>
      </c>
      <c r="P198" s="241" t="n">
        <v>1.3</v>
      </c>
    </row>
    <row r="199">
      <c r="A199" s="282" t="inlineStr">
        <is>
          <t>2006-10-30</t>
        </is>
      </c>
      <c r="B199" s="240">
        <f>IFERROR(1/P199-1,B198)</f>
        <v/>
      </c>
      <c r="C199" s="240">
        <f>$C$3</f>
        <v/>
      </c>
      <c r="D199" s="240">
        <f>$D$3</f>
        <v/>
      </c>
      <c r="E199" s="240">
        <f>$E$3</f>
        <v/>
      </c>
      <c r="F199" s="241" t="n">
        <v>19.78</v>
      </c>
      <c r="G199" s="242" t="n">
        <v>1421220</v>
      </c>
      <c r="H199" s="241" t="n">
        <v>-2.08</v>
      </c>
      <c r="I199" s="241" t="n">
        <v>-0.5</v>
      </c>
      <c r="J199" s="241" t="n">
        <v>108.74</v>
      </c>
      <c r="K199" s="239" t="inlineStr">
        <is>
          <t>--</t>
        </is>
      </c>
      <c r="L199" s="239" t="inlineStr">
        <is>
          <t>--</t>
        </is>
      </c>
      <c r="M199" s="239" t="inlineStr">
        <is>
          <t>--</t>
        </is>
      </c>
      <c r="N199" s="239" t="inlineStr">
        <is>
          <t>--</t>
        </is>
      </c>
      <c r="O199" s="239" t="inlineStr">
        <is>
          <t>--</t>
        </is>
      </c>
      <c r="P199" s="239" t="inlineStr">
        <is>
          <t>--</t>
        </is>
      </c>
    </row>
    <row r="200">
      <c r="A200" s="282" t="inlineStr">
        <is>
          <t>2006-10-31</t>
        </is>
      </c>
      <c r="B200" s="240">
        <f>IFERROR(1/P200-1,B199)</f>
        <v/>
      </c>
      <c r="C200" s="240">
        <f>$C$3</f>
        <v/>
      </c>
      <c r="D200" s="240">
        <f>$D$3</f>
        <v/>
      </c>
      <c r="E200" s="240">
        <f>$E$3</f>
        <v/>
      </c>
      <c r="F200" s="241" t="n">
        <v>20.02</v>
      </c>
      <c r="G200" s="242" t="n">
        <v>759949</v>
      </c>
      <c r="H200" s="241" t="n">
        <v>1.21</v>
      </c>
      <c r="I200" s="241" t="n">
        <v>0.7</v>
      </c>
      <c r="J200" s="241" t="n">
        <v>111.28</v>
      </c>
      <c r="K200" s="241" t="n">
        <v>15.2</v>
      </c>
      <c r="L200" s="242" t="n">
        <v>910000</v>
      </c>
      <c r="M200" s="241" t="n">
        <v>-2.09</v>
      </c>
      <c r="N200" s="241" t="n">
        <v>10.62</v>
      </c>
      <c r="O200" s="241" t="n">
        <v>95.81</v>
      </c>
      <c r="P200" s="241" t="n">
        <v>1.32</v>
      </c>
    </row>
    <row r="201">
      <c r="A201" s="282" t="inlineStr">
        <is>
          <t>2006-11-01</t>
        </is>
      </c>
      <c r="B201" s="240">
        <f>IFERROR(1/P201-1,B200)</f>
        <v/>
      </c>
      <c r="C201" s="240">
        <f>$C$3</f>
        <v/>
      </c>
      <c r="D201" s="240">
        <f>$D$3</f>
        <v/>
      </c>
      <c r="E201" s="240">
        <f>$E$3</f>
        <v/>
      </c>
      <c r="F201" s="241" t="n">
        <v>20.26</v>
      </c>
      <c r="G201" s="242" t="n">
        <v>1794670</v>
      </c>
      <c r="H201" s="241" t="n">
        <v>1.2</v>
      </c>
      <c r="I201" s="241" t="n">
        <v>1.91</v>
      </c>
      <c r="J201" s="241" t="n">
        <v>113.81</v>
      </c>
      <c r="K201" s="241" t="n">
        <v>15.39</v>
      </c>
      <c r="L201" s="242" t="n">
        <v>1150000</v>
      </c>
      <c r="M201" s="241" t="n">
        <v>1.33</v>
      </c>
      <c r="N201" s="241" t="n">
        <v>12.09</v>
      </c>
      <c r="O201" s="241" t="n">
        <v>98.42</v>
      </c>
      <c r="P201" s="241" t="n">
        <v>1.32</v>
      </c>
    </row>
    <row r="202">
      <c r="A202" s="282" t="inlineStr">
        <is>
          <t>2006-11-02</t>
        </is>
      </c>
      <c r="B202" s="240">
        <f>IFERROR(1/P202-1,B201)</f>
        <v/>
      </c>
      <c r="C202" s="240">
        <f>$C$3</f>
        <v/>
      </c>
      <c r="D202" s="240">
        <f>$D$3</f>
        <v/>
      </c>
      <c r="E202" s="240">
        <f>$E$3</f>
        <v/>
      </c>
      <c r="F202" s="241" t="n">
        <v>20.15</v>
      </c>
      <c r="G202" s="242" t="n">
        <v>1123389</v>
      </c>
      <c r="H202" s="241" t="n">
        <v>-0.54</v>
      </c>
      <c r="I202" s="241" t="n">
        <v>1.36</v>
      </c>
      <c r="J202" s="241" t="n">
        <v>112.65</v>
      </c>
      <c r="K202" s="241" t="n">
        <v>15.53</v>
      </c>
      <c r="L202" s="242" t="n">
        <v>846000</v>
      </c>
      <c r="M202" s="241" t="n">
        <v>0.92</v>
      </c>
      <c r="N202" s="241" t="n">
        <v>13.13</v>
      </c>
      <c r="O202" s="241" t="n">
        <v>100.25</v>
      </c>
      <c r="P202" s="241" t="n">
        <v>1.3</v>
      </c>
    </row>
    <row r="203">
      <c r="A203" s="282" t="inlineStr">
        <is>
          <t>2006-11-03</t>
        </is>
      </c>
      <c r="B203" s="240">
        <f>IFERROR(1/P203-1,B202)</f>
        <v/>
      </c>
      <c r="C203" s="240">
        <f>$C$3</f>
        <v/>
      </c>
      <c r="D203" s="240">
        <f>$D$3</f>
        <v/>
      </c>
      <c r="E203" s="240">
        <f>$E$3</f>
        <v/>
      </c>
      <c r="F203" s="241" t="n">
        <v>20.17</v>
      </c>
      <c r="G203" s="242" t="n">
        <v>556476</v>
      </c>
      <c r="H203" s="241" t="n">
        <v>0.1</v>
      </c>
      <c r="I203" s="241" t="n">
        <v>1.46</v>
      </c>
      <c r="J203" s="241" t="n">
        <v>112.86</v>
      </c>
      <c r="K203" s="241" t="n">
        <v>15.71</v>
      </c>
      <c r="L203" s="242" t="n">
        <v>822000</v>
      </c>
      <c r="M203" s="241" t="n">
        <v>1.17</v>
      </c>
      <c r="N203" s="241" t="n">
        <v>14.45</v>
      </c>
      <c r="O203" s="241" t="n">
        <v>102.6</v>
      </c>
      <c r="P203" s="241" t="n">
        <v>1.28</v>
      </c>
    </row>
    <row r="204">
      <c r="A204" s="282" t="inlineStr">
        <is>
          <t>2006-11-06</t>
        </is>
      </c>
      <c r="B204" s="240">
        <f>IFERROR(1/P204-1,B203)</f>
        <v/>
      </c>
      <c r="C204" s="240">
        <f>$C$3</f>
        <v/>
      </c>
      <c r="D204" s="240">
        <f>$D$3</f>
        <v/>
      </c>
      <c r="E204" s="240">
        <f>$E$3</f>
        <v/>
      </c>
      <c r="F204" s="241" t="n">
        <v>20.2</v>
      </c>
      <c r="G204" s="242" t="n">
        <v>883928</v>
      </c>
      <c r="H204" s="241" t="n">
        <v>0.15</v>
      </c>
      <c r="I204" s="241" t="n">
        <v>1.61</v>
      </c>
      <c r="J204" s="241" t="n">
        <v>113.18</v>
      </c>
      <c r="K204" s="241" t="n">
        <v>15.68</v>
      </c>
      <c r="L204" s="242" t="n">
        <v>508000</v>
      </c>
      <c r="M204" s="241" t="n">
        <v>-0.26</v>
      </c>
      <c r="N204" s="241" t="n">
        <v>10.41</v>
      </c>
      <c r="O204" s="241" t="n">
        <v>102.08</v>
      </c>
      <c r="P204" s="241" t="n">
        <v>1.29</v>
      </c>
    </row>
    <row r="205">
      <c r="A205" s="282" t="inlineStr">
        <is>
          <t>2006-11-07</t>
        </is>
      </c>
      <c r="B205" s="240">
        <f>IFERROR(1/P205-1,B204)</f>
        <v/>
      </c>
      <c r="C205" s="240">
        <f>$C$3</f>
        <v/>
      </c>
      <c r="D205" s="240">
        <f>$D$3</f>
        <v/>
      </c>
      <c r="E205" s="240">
        <f>$E$3</f>
        <v/>
      </c>
      <c r="F205" s="241" t="n">
        <v>19.85</v>
      </c>
      <c r="G205" s="242" t="n">
        <v>2081417</v>
      </c>
      <c r="H205" s="241" t="n">
        <v>-1.73</v>
      </c>
      <c r="I205" s="241" t="n">
        <v>-0.15</v>
      </c>
      <c r="J205" s="241" t="n">
        <v>109.48</v>
      </c>
      <c r="K205" s="241" t="n">
        <v>15.49</v>
      </c>
      <c r="L205" s="242" t="n">
        <v>784000</v>
      </c>
      <c r="M205" s="241" t="n">
        <v>-1.16</v>
      </c>
      <c r="N205" s="241" t="n">
        <v>12.01</v>
      </c>
      <c r="O205" s="241" t="n">
        <v>99.73</v>
      </c>
      <c r="P205" s="241" t="n">
        <v>1.28</v>
      </c>
    </row>
    <row r="206">
      <c r="A206" s="282" t="inlineStr">
        <is>
          <t>2006-11-08</t>
        </is>
      </c>
      <c r="B206" s="240">
        <f>IFERROR(1/P206-1,B205)</f>
        <v/>
      </c>
      <c r="C206" s="240">
        <f>$C$3</f>
        <v/>
      </c>
      <c r="D206" s="240">
        <f>$D$3</f>
        <v/>
      </c>
      <c r="E206" s="240">
        <f>$E$3</f>
        <v/>
      </c>
      <c r="F206" s="241" t="n">
        <v>20.23</v>
      </c>
      <c r="G206" s="242" t="n">
        <v>1778660</v>
      </c>
      <c r="H206" s="241" t="n">
        <v>1.91</v>
      </c>
      <c r="I206" s="241" t="n">
        <v>1.76</v>
      </c>
      <c r="J206" s="241" t="n">
        <v>113.49</v>
      </c>
      <c r="K206" s="241" t="n">
        <v>15.65</v>
      </c>
      <c r="L206" s="242" t="n">
        <v>1250000</v>
      </c>
      <c r="M206" s="241" t="n">
        <v>1.18</v>
      </c>
      <c r="N206" s="241" t="n">
        <v>13.32</v>
      </c>
      <c r="O206" s="241" t="n">
        <v>102.08</v>
      </c>
      <c r="P206" s="241" t="n">
        <v>1.29</v>
      </c>
    </row>
    <row r="207">
      <c r="A207" s="282" t="inlineStr">
        <is>
          <t>2006-11-09</t>
        </is>
      </c>
      <c r="B207" s="240">
        <f>IFERROR(1/P207-1,B206)</f>
        <v/>
      </c>
      <c r="C207" s="240">
        <f>$C$3</f>
        <v/>
      </c>
      <c r="D207" s="240">
        <f>$D$3</f>
        <v/>
      </c>
      <c r="E207" s="240">
        <f>$E$3</f>
        <v/>
      </c>
      <c r="F207" s="241" t="n">
        <v>21.36</v>
      </c>
      <c r="G207" s="242" t="n">
        <v>2800083</v>
      </c>
      <c r="H207" s="241" t="n">
        <v>5.59</v>
      </c>
      <c r="I207" s="241" t="n">
        <v>7.44</v>
      </c>
      <c r="J207" s="241" t="n">
        <v>125.42</v>
      </c>
      <c r="K207" s="241" t="n">
        <v>17.27</v>
      </c>
      <c r="L207" s="242" t="n">
        <v>3372000</v>
      </c>
      <c r="M207" s="241" t="n">
        <v>10.34</v>
      </c>
      <c r="N207" s="241" t="n">
        <v>25.04</v>
      </c>
      <c r="O207" s="241" t="n">
        <v>122.96</v>
      </c>
      <c r="P207" s="241" t="n">
        <v>1.24</v>
      </c>
    </row>
    <row r="208">
      <c r="A208" s="282" t="inlineStr">
        <is>
          <t>2006-11-10</t>
        </is>
      </c>
      <c r="B208" s="240">
        <f>IFERROR(1/P208-1,B207)</f>
        <v/>
      </c>
      <c r="C208" s="240">
        <f>$C$3</f>
        <v/>
      </c>
      <c r="D208" s="240">
        <f>$D$3</f>
        <v/>
      </c>
      <c r="E208" s="240">
        <f>$E$3</f>
        <v/>
      </c>
      <c r="F208" s="241" t="n">
        <v>20.73</v>
      </c>
      <c r="G208" s="242" t="n">
        <v>2386622</v>
      </c>
      <c r="H208" s="241" t="n">
        <v>-2.95</v>
      </c>
      <c r="I208" s="241" t="n">
        <v>4.28</v>
      </c>
      <c r="J208" s="241" t="n">
        <v>118.77</v>
      </c>
      <c r="K208" s="241" t="n">
        <v>17.34</v>
      </c>
      <c r="L208" s="242" t="n">
        <v>2150000</v>
      </c>
      <c r="M208" s="241" t="n">
        <v>0.47</v>
      </c>
      <c r="N208" s="241" t="n">
        <v>30.99</v>
      </c>
      <c r="O208" s="241" t="n">
        <v>124.01</v>
      </c>
      <c r="P208" s="241" t="n">
        <v>1.2</v>
      </c>
    </row>
    <row r="209">
      <c r="A209" s="282" t="inlineStr">
        <is>
          <t>2006-11-13</t>
        </is>
      </c>
      <c r="B209" s="240">
        <f>IFERROR(1/P209-1,B208)</f>
        <v/>
      </c>
      <c r="C209" s="240">
        <f>$C$3</f>
        <v/>
      </c>
      <c r="D209" s="240">
        <f>$D$3</f>
        <v/>
      </c>
      <c r="E209" s="240">
        <f>$E$3</f>
        <v/>
      </c>
      <c r="F209" s="241" t="n">
        <v>20.75</v>
      </c>
      <c r="G209" s="242" t="n">
        <v>998223</v>
      </c>
      <c r="H209" s="241" t="n">
        <v>0.1</v>
      </c>
      <c r="I209" s="241" t="n">
        <v>1.12</v>
      </c>
      <c r="J209" s="241" t="n">
        <v>118.98</v>
      </c>
      <c r="K209" s="241" t="n">
        <v>17.02</v>
      </c>
      <c r="L209" s="242" t="n">
        <v>1376000</v>
      </c>
      <c r="M209" s="241" t="n">
        <v>-1.86</v>
      </c>
      <c r="N209" s="241" t="n">
        <v>14.87</v>
      </c>
      <c r="O209" s="241" t="n">
        <v>119.83</v>
      </c>
      <c r="P209" s="241" t="n">
        <v>1.22</v>
      </c>
    </row>
    <row r="210">
      <c r="A210" s="282" t="inlineStr">
        <is>
          <t>2006-11-14</t>
        </is>
      </c>
      <c r="B210" s="240">
        <f>IFERROR(1/P210-1,B209)</f>
        <v/>
      </c>
      <c r="C210" s="240">
        <f>$C$3</f>
        <v/>
      </c>
      <c r="D210" s="240">
        <f>$D$3</f>
        <v/>
      </c>
      <c r="E210" s="240">
        <f>$E$3</f>
        <v/>
      </c>
      <c r="F210" s="241" t="n">
        <v>20.57</v>
      </c>
      <c r="G210" s="242" t="n">
        <v>794306</v>
      </c>
      <c r="H210" s="241" t="n">
        <v>-0.87</v>
      </c>
      <c r="I210" s="241" t="n">
        <v>-1.25</v>
      </c>
      <c r="J210" s="241" t="n">
        <v>117.08</v>
      </c>
      <c r="K210" s="241" t="n">
        <v>16.68</v>
      </c>
      <c r="L210" s="242" t="n">
        <v>288000</v>
      </c>
      <c r="M210" s="241" t="n">
        <v>-2.02</v>
      </c>
      <c r="N210" s="241" t="n">
        <v>14.58</v>
      </c>
      <c r="O210" s="241" t="n">
        <v>115.39</v>
      </c>
      <c r="P210" s="241" t="n">
        <v>1.23</v>
      </c>
    </row>
    <row r="211">
      <c r="A211" s="282" t="inlineStr">
        <is>
          <t>2006-11-15</t>
        </is>
      </c>
      <c r="B211" s="240">
        <f>IFERROR(1/P211-1,B210)</f>
        <v/>
      </c>
      <c r="C211" s="240">
        <f>$C$3</f>
        <v/>
      </c>
      <c r="D211" s="240">
        <f>$D$3</f>
        <v/>
      </c>
      <c r="E211" s="240">
        <f>$E$3</f>
        <v/>
      </c>
      <c r="F211" s="241" t="n">
        <v>21.26</v>
      </c>
      <c r="G211" s="242" t="n">
        <v>1468027</v>
      </c>
      <c r="H211" s="241" t="n">
        <v>3.35</v>
      </c>
      <c r="I211" s="241" t="n">
        <v>2.06</v>
      </c>
      <c r="J211" s="241" t="n">
        <v>124.36</v>
      </c>
      <c r="K211" s="241" t="n">
        <v>16.76</v>
      </c>
      <c r="L211" s="242" t="n">
        <v>758000</v>
      </c>
      <c r="M211" s="241" t="n">
        <v>0.48</v>
      </c>
      <c r="N211" s="241" t="n">
        <v>15.14</v>
      </c>
      <c r="O211" s="241" t="n">
        <v>116.44</v>
      </c>
      <c r="P211" s="241" t="n">
        <v>1.27</v>
      </c>
    </row>
    <row r="212">
      <c r="A212" s="282" t="inlineStr">
        <is>
          <t>2006-11-16</t>
        </is>
      </c>
      <c r="B212" s="240">
        <f>IFERROR(1/P212-1,B211)</f>
        <v/>
      </c>
      <c r="C212" s="240">
        <f>$C$3</f>
        <v/>
      </c>
      <c r="D212" s="240">
        <f>$D$3</f>
        <v/>
      </c>
      <c r="E212" s="240">
        <f>$E$3</f>
        <v/>
      </c>
      <c r="F212" s="241" t="n">
        <v>20.92</v>
      </c>
      <c r="G212" s="242" t="n">
        <v>1310758</v>
      </c>
      <c r="H212" s="241" t="n">
        <v>-1.6</v>
      </c>
      <c r="I212" s="241" t="n">
        <v>0.43</v>
      </c>
      <c r="J212" s="241" t="n">
        <v>120.77</v>
      </c>
      <c r="K212" s="241" t="n">
        <v>17.05</v>
      </c>
      <c r="L212" s="242" t="n">
        <v>368000</v>
      </c>
      <c r="M212" s="241" t="n">
        <v>1.69</v>
      </c>
      <c r="N212" s="241" t="n">
        <v>17.08</v>
      </c>
      <c r="O212" s="241" t="n">
        <v>120.09</v>
      </c>
      <c r="P212" s="241" t="n">
        <v>1.23</v>
      </c>
    </row>
    <row r="213">
      <c r="A213" s="282" t="inlineStr">
        <is>
          <t>2006-11-17</t>
        </is>
      </c>
      <c r="B213" s="240">
        <f>IFERROR(1/P213-1,B212)</f>
        <v/>
      </c>
      <c r="C213" s="240">
        <f>$C$3</f>
        <v/>
      </c>
      <c r="D213" s="240">
        <f>$D$3</f>
        <v/>
      </c>
      <c r="E213" s="240">
        <f>$E$3</f>
        <v/>
      </c>
      <c r="F213" s="241" t="n">
        <v>20.48</v>
      </c>
      <c r="G213" s="242" t="n">
        <v>1504645</v>
      </c>
      <c r="H213" s="241" t="n">
        <v>-2.1</v>
      </c>
      <c r="I213" s="241" t="n">
        <v>-6.01</v>
      </c>
      <c r="J213" s="241" t="n">
        <v>116.13</v>
      </c>
      <c r="K213" s="241" t="n">
        <v>16.73</v>
      </c>
      <c r="L213" s="242" t="n">
        <v>466000</v>
      </c>
      <c r="M213" s="241" t="n">
        <v>-1.9</v>
      </c>
      <c r="N213" s="241" t="n">
        <v>13.91</v>
      </c>
      <c r="O213" s="241" t="n">
        <v>115.91</v>
      </c>
      <c r="P213" s="241" t="n">
        <v>1.22</v>
      </c>
    </row>
    <row r="214">
      <c r="A214" s="282" t="inlineStr">
        <is>
          <t>2006-11-20</t>
        </is>
      </c>
      <c r="B214" s="240">
        <f>IFERROR(1/P214-1,B213)</f>
        <v/>
      </c>
      <c r="C214" s="240">
        <f>$C$3</f>
        <v/>
      </c>
      <c r="D214" s="240">
        <f>$D$3</f>
        <v/>
      </c>
      <c r="E214" s="240">
        <f>$E$3</f>
        <v/>
      </c>
      <c r="F214" s="241" t="n">
        <v>20.85</v>
      </c>
      <c r="G214" s="242" t="n">
        <v>1347924</v>
      </c>
      <c r="H214" s="241" t="n">
        <v>1.81</v>
      </c>
      <c r="I214" s="241" t="n">
        <v>-3.38</v>
      </c>
      <c r="J214" s="241" t="n">
        <v>120.04</v>
      </c>
      <c r="K214" s="241" t="n">
        <v>17.16</v>
      </c>
      <c r="L214" s="242" t="n">
        <v>1334000</v>
      </c>
      <c r="M214" s="241" t="n">
        <v>2.66</v>
      </c>
      <c r="N214" s="241" t="n">
        <v>10.4</v>
      </c>
      <c r="O214" s="241" t="n">
        <v>121.66</v>
      </c>
      <c r="P214" s="241" t="n">
        <v>1.22</v>
      </c>
    </row>
    <row r="215">
      <c r="A215" s="282" t="inlineStr">
        <is>
          <t>2006-11-21</t>
        </is>
      </c>
      <c r="B215" s="240">
        <f>IFERROR(1/P215-1,B214)</f>
        <v/>
      </c>
      <c r="C215" s="240">
        <f>$C$3</f>
        <v/>
      </c>
      <c r="D215" s="240">
        <f>$D$3</f>
        <v/>
      </c>
      <c r="E215" s="240">
        <f>$E$3</f>
        <v/>
      </c>
      <c r="F215" s="241" t="n">
        <v>22.91</v>
      </c>
      <c r="G215" s="242" t="n">
        <v>4293270</v>
      </c>
      <c r="H215" s="241" t="n">
        <v>9.880000000000001</v>
      </c>
      <c r="I215" s="241" t="n">
        <v>7.36</v>
      </c>
      <c r="J215" s="241" t="n">
        <v>141.78</v>
      </c>
      <c r="K215" s="241" t="n">
        <v>18.09</v>
      </c>
      <c r="L215" s="242" t="n">
        <v>1542000</v>
      </c>
      <c r="M215" s="241" t="n">
        <v>5.42</v>
      </c>
      <c r="N215" s="241" t="n">
        <v>12.58</v>
      </c>
      <c r="O215" s="241" t="n">
        <v>133.67</v>
      </c>
      <c r="P215" s="241" t="n">
        <v>1.27</v>
      </c>
    </row>
    <row r="216">
      <c r="A216" s="282" t="inlineStr">
        <is>
          <t>2006-11-22</t>
        </is>
      </c>
      <c r="B216" s="240">
        <f>IFERROR(1/P216-1,B215)</f>
        <v/>
      </c>
      <c r="C216" s="240">
        <f>$C$3</f>
        <v/>
      </c>
      <c r="D216" s="240">
        <f>$D$3</f>
        <v/>
      </c>
      <c r="E216" s="240">
        <f>$E$3</f>
        <v/>
      </c>
      <c r="F216" s="241" t="n">
        <v>22.62</v>
      </c>
      <c r="G216" s="242" t="n">
        <v>3976008</v>
      </c>
      <c r="H216" s="241" t="n">
        <v>-1.27</v>
      </c>
      <c r="I216" s="241" t="n">
        <v>6</v>
      </c>
      <c r="J216" s="241" t="n">
        <v>138.72</v>
      </c>
      <c r="K216" s="241" t="n">
        <v>19.09</v>
      </c>
      <c r="L216" s="242" t="n">
        <v>1197000</v>
      </c>
      <c r="M216" s="241" t="n">
        <v>5.59</v>
      </c>
      <c r="N216" s="241" t="n">
        <v>18.87</v>
      </c>
      <c r="O216" s="241" t="n">
        <v>146.72</v>
      </c>
      <c r="P216" s="241" t="n">
        <v>1.18</v>
      </c>
    </row>
    <row r="217">
      <c r="A217" s="282" t="inlineStr">
        <is>
          <t>2006-11-23</t>
        </is>
      </c>
      <c r="B217" s="240">
        <f>IFERROR(1/P217-1,B216)</f>
        <v/>
      </c>
      <c r="C217" s="240">
        <f>$C$3</f>
        <v/>
      </c>
      <c r="D217" s="240">
        <f>$D$3</f>
        <v/>
      </c>
      <c r="E217" s="240">
        <f>$E$3</f>
        <v/>
      </c>
      <c r="F217" s="241" t="n">
        <v>22.56</v>
      </c>
      <c r="G217" s="242" t="n">
        <v>1330207</v>
      </c>
      <c r="H217" s="241" t="n">
        <v>-0.27</v>
      </c>
      <c r="I217" s="241" t="n">
        <v>5.72</v>
      </c>
      <c r="J217" s="241" t="n">
        <v>138.08</v>
      </c>
      <c r="K217" s="241" t="n">
        <v>17.95</v>
      </c>
      <c r="L217" s="242" t="n">
        <v>998000</v>
      </c>
      <c r="M217" s="241" t="n">
        <v>-5.93</v>
      </c>
      <c r="N217" s="241" t="n">
        <v>11.82</v>
      </c>
      <c r="O217" s="241" t="n">
        <v>132.1</v>
      </c>
      <c r="P217" s="241" t="n">
        <v>1.26</v>
      </c>
    </row>
    <row r="218">
      <c r="A218" s="282" t="inlineStr">
        <is>
          <t>2006-11-24</t>
        </is>
      </c>
      <c r="B218" s="240">
        <f>IFERROR(1/P218-1,B217)</f>
        <v/>
      </c>
      <c r="C218" s="240">
        <f>$C$3</f>
        <v/>
      </c>
      <c r="D218" s="240">
        <f>$D$3</f>
        <v/>
      </c>
      <c r="E218" s="240">
        <f>$E$3</f>
        <v/>
      </c>
      <c r="F218" s="241" t="n">
        <v>22.91</v>
      </c>
      <c r="G218" s="242" t="n">
        <v>1609730</v>
      </c>
      <c r="H218" s="241" t="n">
        <v>1.55</v>
      </c>
      <c r="I218" s="241" t="n">
        <v>14.72</v>
      </c>
      <c r="J218" s="241" t="n">
        <v>141.78</v>
      </c>
      <c r="K218" s="241" t="n">
        <v>17.72</v>
      </c>
      <c r="L218" s="242" t="n">
        <v>1224000</v>
      </c>
      <c r="M218" s="241" t="n">
        <v>-1.24</v>
      </c>
      <c r="N218" s="241" t="n">
        <v>12.56</v>
      </c>
      <c r="O218" s="241" t="n">
        <v>129.23</v>
      </c>
      <c r="P218" s="241" t="n">
        <v>1.29</v>
      </c>
    </row>
    <row r="219">
      <c r="A219" s="282" t="inlineStr">
        <is>
          <t>2006-11-27</t>
        </is>
      </c>
      <c r="B219" s="240">
        <f>IFERROR(1/P219-1,B218)</f>
        <v/>
      </c>
      <c r="C219" s="240">
        <f>$C$3</f>
        <v/>
      </c>
      <c r="D219" s="240">
        <f>$D$3</f>
        <v/>
      </c>
      <c r="E219" s="240">
        <f>$E$3</f>
        <v/>
      </c>
      <c r="F219" s="241" t="n">
        <v>23.1</v>
      </c>
      <c r="G219" s="242" t="n">
        <v>1320208</v>
      </c>
      <c r="H219" s="241" t="n">
        <v>0.83</v>
      </c>
      <c r="I219" s="241" t="n">
        <v>13.91</v>
      </c>
      <c r="J219" s="241" t="n">
        <v>143.78</v>
      </c>
      <c r="K219" s="241" t="n">
        <v>18.28</v>
      </c>
      <c r="L219" s="242" t="n">
        <v>1294395</v>
      </c>
      <c r="M219" s="241" t="n">
        <v>3.3</v>
      </c>
      <c r="N219" s="241" t="n">
        <v>17.79</v>
      </c>
      <c r="O219" s="241" t="n">
        <v>136.8</v>
      </c>
      <c r="P219" s="241" t="n">
        <v>1.26</v>
      </c>
    </row>
    <row r="220">
      <c r="A220" s="282" t="inlineStr">
        <is>
          <t>2006-11-28</t>
        </is>
      </c>
      <c r="B220" s="240">
        <f>IFERROR(1/P220-1,B219)</f>
        <v/>
      </c>
      <c r="C220" s="240">
        <f>$C$3</f>
        <v/>
      </c>
      <c r="D220" s="240">
        <f>$D$3</f>
        <v/>
      </c>
      <c r="E220" s="240">
        <f>$E$3</f>
        <v/>
      </c>
      <c r="F220" s="241" t="n">
        <v>23.18</v>
      </c>
      <c r="G220" s="242" t="n">
        <v>1584550</v>
      </c>
      <c r="H220" s="241" t="n">
        <v>0.35</v>
      </c>
      <c r="I220" s="241" t="n">
        <v>14.75</v>
      </c>
      <c r="J220" s="241" t="n">
        <v>144.63</v>
      </c>
      <c r="K220" s="241" t="n">
        <v>17.89</v>
      </c>
      <c r="L220" s="242" t="n">
        <v>904000</v>
      </c>
      <c r="M220" s="241" t="n">
        <v>-2.32</v>
      </c>
      <c r="N220" s="241" t="n">
        <v>15.67</v>
      </c>
      <c r="O220" s="241" t="n">
        <v>131.32</v>
      </c>
      <c r="P220" s="241" t="n">
        <v>1.3</v>
      </c>
    </row>
    <row r="221">
      <c r="A221" s="282" t="inlineStr">
        <is>
          <t>2006-11-29</t>
        </is>
      </c>
      <c r="B221" s="240">
        <f>IFERROR(1/P221-1,B220)</f>
        <v/>
      </c>
      <c r="C221" s="240">
        <f>$C$3</f>
        <v/>
      </c>
      <c r="D221" s="240">
        <f>$D$3</f>
        <v/>
      </c>
      <c r="E221" s="240">
        <f>$E$3</f>
        <v/>
      </c>
      <c r="F221" s="241" t="n">
        <v>23.34</v>
      </c>
      <c r="G221" s="242" t="n">
        <v>1738341</v>
      </c>
      <c r="H221" s="241" t="n">
        <v>0.6899999999999999</v>
      </c>
      <c r="I221" s="241" t="n">
        <v>15.54</v>
      </c>
      <c r="J221" s="241" t="n">
        <v>146.31</v>
      </c>
      <c r="K221" s="241" t="n">
        <v>18.43</v>
      </c>
      <c r="L221" s="242" t="n">
        <v>394000</v>
      </c>
      <c r="M221" s="241" t="n">
        <v>3.16</v>
      </c>
      <c r="N221" s="241" t="n">
        <v>19.32</v>
      </c>
      <c r="O221" s="241" t="n">
        <v>138.63</v>
      </c>
      <c r="P221" s="241" t="n">
        <v>1.27</v>
      </c>
    </row>
    <row r="222">
      <c r="A222" s="282" t="inlineStr">
        <is>
          <t>2006-11-30</t>
        </is>
      </c>
      <c r="B222" s="240">
        <f>IFERROR(1/P222-1,B221)</f>
        <v/>
      </c>
      <c r="C222" s="240">
        <f>$C$3</f>
        <v/>
      </c>
      <c r="D222" s="240">
        <f>$D$3</f>
        <v/>
      </c>
      <c r="E222" s="240">
        <f>$E$3</f>
        <v/>
      </c>
      <c r="F222" s="241" t="n">
        <v>24.02</v>
      </c>
      <c r="G222" s="242" t="n">
        <v>2627057</v>
      </c>
      <c r="H222" s="241" t="n">
        <v>2.91</v>
      </c>
      <c r="I222" s="241" t="n">
        <v>18.91</v>
      </c>
      <c r="J222" s="241" t="n">
        <v>153.49</v>
      </c>
      <c r="K222" s="241" t="n">
        <v>18.34</v>
      </c>
      <c r="L222" s="242" t="n">
        <v>1268000</v>
      </c>
      <c r="M222" s="241" t="n">
        <v>-0.55</v>
      </c>
      <c r="N222" s="241" t="n">
        <v>18.67</v>
      </c>
      <c r="O222" s="241" t="n">
        <v>137.32</v>
      </c>
      <c r="P222" s="241" t="n">
        <v>1.31</v>
      </c>
    </row>
    <row r="223">
      <c r="A223" s="282" t="inlineStr">
        <is>
          <t>2006-12-01</t>
        </is>
      </c>
      <c r="B223" s="240">
        <f>IFERROR(1/P223-1,B222)</f>
        <v/>
      </c>
      <c r="C223" s="240">
        <f>$C$3</f>
        <v/>
      </c>
      <c r="D223" s="240">
        <f>$D$3</f>
        <v/>
      </c>
      <c r="E223" s="240">
        <f>$E$3</f>
        <v/>
      </c>
      <c r="F223" s="241" t="n">
        <v>25.31</v>
      </c>
      <c r="G223" s="242" t="n">
        <v>3267459</v>
      </c>
      <c r="H223" s="241" t="n">
        <v>5.37</v>
      </c>
      <c r="I223" s="241" t="n">
        <v>26.42</v>
      </c>
      <c r="J223" s="241" t="n">
        <v>167.1</v>
      </c>
      <c r="K223" s="241" t="n">
        <v>18.33</v>
      </c>
      <c r="L223" s="242" t="n">
        <v>974000</v>
      </c>
      <c r="M223" s="241" t="n">
        <v>0.11</v>
      </c>
      <c r="N223" s="241" t="n">
        <v>21.33</v>
      </c>
      <c r="O223" s="241" t="n">
        <v>137.58</v>
      </c>
      <c r="P223" s="241" t="n">
        <v>1.38</v>
      </c>
    </row>
    <row r="224">
      <c r="A224" s="282" t="inlineStr">
        <is>
          <t>2006-12-04</t>
        </is>
      </c>
      <c r="B224" s="240">
        <f>IFERROR(1/P224-1,B223)</f>
        <v/>
      </c>
      <c r="C224" s="240">
        <f>$C$3</f>
        <v/>
      </c>
      <c r="D224" s="240">
        <f>$D$3</f>
        <v/>
      </c>
      <c r="E224" s="240">
        <f>$E$3</f>
        <v/>
      </c>
      <c r="F224" s="241" t="n">
        <v>25.22</v>
      </c>
      <c r="G224" s="242" t="n">
        <v>2424328</v>
      </c>
      <c r="H224" s="241" t="n">
        <v>-0.36</v>
      </c>
      <c r="I224" s="241" t="n">
        <v>25.04</v>
      </c>
      <c r="J224" s="241" t="n">
        <v>166.15</v>
      </c>
      <c r="K224" s="241" t="n">
        <v>18.02</v>
      </c>
      <c r="L224" s="242" t="n">
        <v>1016000</v>
      </c>
      <c r="M224" s="241" t="n">
        <v>-1.65</v>
      </c>
      <c r="N224" s="241" t="n">
        <v>15.34</v>
      </c>
      <c r="O224" s="241" t="n">
        <v>133.67</v>
      </c>
      <c r="P224" s="241" t="n">
        <v>1.4</v>
      </c>
    </row>
    <row r="225">
      <c r="A225" s="282" t="inlineStr">
        <is>
          <t>2006-12-05</t>
        </is>
      </c>
      <c r="B225" s="240">
        <f>IFERROR(1/P225-1,B224)</f>
        <v/>
      </c>
      <c r="C225" s="240">
        <f>$C$3</f>
        <v/>
      </c>
      <c r="D225" s="240">
        <f>$D$3</f>
        <v/>
      </c>
      <c r="E225" s="240">
        <f>$E$3</f>
        <v/>
      </c>
      <c r="F225" s="241" t="n">
        <v>24.73</v>
      </c>
      <c r="G225" s="242" t="n">
        <v>2133636</v>
      </c>
      <c r="H225" s="241" t="n">
        <v>-1.94</v>
      </c>
      <c r="I225" s="241" t="n">
        <v>22.61</v>
      </c>
      <c r="J225" s="241" t="n">
        <v>160.98</v>
      </c>
      <c r="K225" s="241" t="n">
        <v>17.64</v>
      </c>
      <c r="L225" s="242" t="n">
        <v>1796000</v>
      </c>
      <c r="M225" s="241" t="n">
        <v>-2.12</v>
      </c>
      <c r="N225" s="241" t="n">
        <v>12.89</v>
      </c>
      <c r="O225" s="241" t="n">
        <v>128.71</v>
      </c>
      <c r="P225" s="241" t="n">
        <v>1.4</v>
      </c>
    </row>
    <row r="226">
      <c r="A226" s="282" t="inlineStr">
        <is>
          <t>2006-12-06</t>
        </is>
      </c>
      <c r="B226" s="240">
        <f>IFERROR(1/P226-1,B225)</f>
        <v/>
      </c>
      <c r="C226" s="240">
        <f>$C$3</f>
        <v/>
      </c>
      <c r="D226" s="240">
        <f>$D$3</f>
        <v/>
      </c>
      <c r="E226" s="240">
        <f>$E$3</f>
        <v/>
      </c>
      <c r="F226" s="241" t="n">
        <v>24.22</v>
      </c>
      <c r="G226" s="242" t="n">
        <v>1919648</v>
      </c>
      <c r="H226" s="241" t="n">
        <v>-2.06</v>
      </c>
      <c r="I226" s="241" t="n">
        <v>20.08</v>
      </c>
      <c r="J226" s="241" t="n">
        <v>155.6</v>
      </c>
      <c r="K226" s="241" t="n">
        <v>17.62</v>
      </c>
      <c r="L226" s="242" t="n">
        <v>1452000</v>
      </c>
      <c r="M226" s="241" t="n">
        <v>-0.11</v>
      </c>
      <c r="N226" s="241" t="n">
        <v>12.76</v>
      </c>
      <c r="O226" s="241" t="n">
        <v>128.45</v>
      </c>
      <c r="P226" s="241" t="n">
        <v>1.37</v>
      </c>
    </row>
    <row r="227">
      <c r="A227" s="282" t="inlineStr">
        <is>
          <t>2006-12-07</t>
        </is>
      </c>
      <c r="B227" s="240">
        <f>IFERROR(1/P227-1,B226)</f>
        <v/>
      </c>
      <c r="C227" s="240">
        <f>$C$3</f>
        <v/>
      </c>
      <c r="D227" s="240">
        <f>$D$3</f>
        <v/>
      </c>
      <c r="E227" s="240">
        <f>$E$3</f>
        <v/>
      </c>
      <c r="F227" s="241" t="n">
        <v>23.75</v>
      </c>
      <c r="G227" s="242" t="n">
        <v>1577835</v>
      </c>
      <c r="H227" s="241" t="n">
        <v>-1.94</v>
      </c>
      <c r="I227" s="241" t="n">
        <v>17.57</v>
      </c>
      <c r="J227" s="241" t="n">
        <v>150.64</v>
      </c>
      <c r="K227" s="241" t="n">
        <v>17.7</v>
      </c>
      <c r="L227" s="242" t="n">
        <v>320000</v>
      </c>
      <c r="M227" s="241" t="n">
        <v>0.34</v>
      </c>
      <c r="N227" s="241" t="n">
        <v>13.44</v>
      </c>
      <c r="O227" s="241" t="n">
        <v>129.23</v>
      </c>
      <c r="P227" s="241" t="n">
        <v>1.34</v>
      </c>
    </row>
    <row r="228">
      <c r="A228" s="282" t="inlineStr">
        <is>
          <t>2006-12-08</t>
        </is>
      </c>
      <c r="B228" s="240">
        <f>IFERROR(1/P228-1,B227)</f>
        <v/>
      </c>
      <c r="C228" s="240">
        <f>$C$3</f>
        <v/>
      </c>
      <c r="D228" s="240">
        <f>$D$3</f>
        <v/>
      </c>
      <c r="E228" s="240">
        <f>$E$3</f>
        <v/>
      </c>
      <c r="F228" s="241" t="n">
        <v>22.79</v>
      </c>
      <c r="G228" s="242" t="n">
        <v>1345835</v>
      </c>
      <c r="H228" s="241" t="n">
        <v>-4.04</v>
      </c>
      <c r="I228" s="241" t="n">
        <v>14.81</v>
      </c>
      <c r="J228" s="241" t="n">
        <v>140.51</v>
      </c>
      <c r="K228" s="241" t="n">
        <v>17.13</v>
      </c>
      <c r="L228" s="242" t="n">
        <v>668000</v>
      </c>
      <c r="M228" s="241" t="n">
        <v>-3.19</v>
      </c>
      <c r="N228" s="241" t="n">
        <v>11.11</v>
      </c>
      <c r="O228" s="241" t="n">
        <v>121.92</v>
      </c>
      <c r="P228" s="241" t="n">
        <v>1.33</v>
      </c>
    </row>
    <row r="229">
      <c r="A229" s="282" t="inlineStr">
        <is>
          <t>2006-12-11</t>
        </is>
      </c>
      <c r="B229" s="240">
        <f>IFERROR(1/P229-1,B228)</f>
        <v/>
      </c>
      <c r="C229" s="240">
        <f>$C$3</f>
        <v/>
      </c>
      <c r="D229" s="240">
        <f>$D$3</f>
        <v/>
      </c>
      <c r="E229" s="240">
        <f>$E$3</f>
        <v/>
      </c>
      <c r="F229" s="241" t="n">
        <v>23.81</v>
      </c>
      <c r="G229" s="242" t="n">
        <v>4181400</v>
      </c>
      <c r="H229" s="241" t="n">
        <v>4.48</v>
      </c>
      <c r="I229" s="241" t="n">
        <v>14.86</v>
      </c>
      <c r="J229" s="241" t="n">
        <v>151.27</v>
      </c>
      <c r="K229" s="241" t="n">
        <v>17.65</v>
      </c>
      <c r="L229" s="242" t="n">
        <v>436000</v>
      </c>
      <c r="M229" s="241" t="n">
        <v>2.94</v>
      </c>
      <c r="N229" s="241" t="n">
        <v>1.98</v>
      </c>
      <c r="O229" s="241" t="n">
        <v>128.45</v>
      </c>
      <c r="P229" s="241" t="n">
        <v>1.35</v>
      </c>
    </row>
    <row r="230">
      <c r="A230" s="282" t="inlineStr">
        <is>
          <t>2006-12-12</t>
        </is>
      </c>
      <c r="B230" s="240">
        <f>IFERROR(1/P230-1,B229)</f>
        <v/>
      </c>
      <c r="C230" s="240">
        <f>$C$3</f>
        <v/>
      </c>
      <c r="D230" s="240">
        <f>$D$3</f>
        <v/>
      </c>
      <c r="E230" s="240">
        <f>$E$3</f>
        <v/>
      </c>
      <c r="F230" s="241" t="n">
        <v>24.18</v>
      </c>
      <c r="G230" s="242" t="n">
        <v>1379363</v>
      </c>
      <c r="H230" s="241" t="n">
        <v>1.55</v>
      </c>
      <c r="I230" s="241" t="n">
        <v>16.64</v>
      </c>
      <c r="J230" s="241" t="n">
        <v>155.18</v>
      </c>
      <c r="K230" s="241" t="n">
        <v>18.34</v>
      </c>
      <c r="L230" s="242" t="n">
        <v>1130000</v>
      </c>
      <c r="M230" s="241" t="n">
        <v>4</v>
      </c>
      <c r="N230" s="241" t="n">
        <v>6.06</v>
      </c>
      <c r="O230" s="241" t="n">
        <v>137.58</v>
      </c>
      <c r="P230" s="241" t="n">
        <v>1.32</v>
      </c>
    </row>
    <row r="231">
      <c r="A231" s="282" t="inlineStr">
        <is>
          <t>2006-12-13</t>
        </is>
      </c>
      <c r="B231" s="240">
        <f>IFERROR(1/P231-1,B230)</f>
        <v/>
      </c>
      <c r="C231" s="240">
        <f>$C$3</f>
        <v/>
      </c>
      <c r="D231" s="240">
        <f>$D$3</f>
        <v/>
      </c>
      <c r="E231" s="240">
        <f>$E$3</f>
        <v/>
      </c>
      <c r="F231" s="241" t="n">
        <v>23.6</v>
      </c>
      <c r="G231" s="242" t="n">
        <v>1335207</v>
      </c>
      <c r="H231" s="241" t="n">
        <v>-2.4</v>
      </c>
      <c r="I231" s="241" t="n">
        <v>13.84</v>
      </c>
      <c r="J231" s="241" t="n">
        <v>149.06</v>
      </c>
      <c r="K231" s="241" t="n">
        <v>18.06</v>
      </c>
      <c r="L231" s="242" t="n">
        <v>724000</v>
      </c>
      <c r="M231" s="241" t="n">
        <v>-1.43</v>
      </c>
      <c r="N231" s="241" t="n">
        <v>4.55</v>
      </c>
      <c r="O231" s="241" t="n">
        <v>134.19</v>
      </c>
      <c r="P231" s="241" t="n">
        <v>1.31</v>
      </c>
    </row>
    <row r="232">
      <c r="A232" s="282" t="inlineStr">
        <is>
          <t>2006-12-14</t>
        </is>
      </c>
      <c r="B232" s="240">
        <f>IFERROR(1/P232-1,B231)</f>
        <v/>
      </c>
      <c r="C232" s="240">
        <f>$C$3</f>
        <v/>
      </c>
      <c r="D232" s="240">
        <f>$D$3</f>
        <v/>
      </c>
      <c r="E232" s="240">
        <f>$E$3</f>
        <v/>
      </c>
      <c r="F232" s="241" t="n">
        <v>24.32</v>
      </c>
      <c r="G232" s="242" t="n">
        <v>1183025</v>
      </c>
      <c r="H232" s="241" t="n">
        <v>3.05</v>
      </c>
      <c r="I232" s="241" t="n">
        <v>17.2</v>
      </c>
      <c r="J232" s="241" t="n">
        <v>156.66</v>
      </c>
      <c r="K232" s="241" t="n">
        <v>18.92</v>
      </c>
      <c r="L232" s="242" t="n">
        <v>1176000</v>
      </c>
      <c r="M232" s="241" t="n">
        <v>4.79</v>
      </c>
      <c r="N232" s="241" t="n">
        <v>11.64</v>
      </c>
      <c r="O232" s="241" t="n">
        <v>145.42</v>
      </c>
      <c r="P232" s="241" t="n">
        <v>1.29</v>
      </c>
    </row>
    <row r="233">
      <c r="A233" s="282" t="inlineStr">
        <is>
          <t>2006-12-15</t>
        </is>
      </c>
      <c r="B233" s="240">
        <f>IFERROR(1/P233-1,B232)</f>
        <v/>
      </c>
      <c r="C233" s="240">
        <f>$C$3</f>
        <v/>
      </c>
      <c r="D233" s="240">
        <f>$D$3</f>
        <v/>
      </c>
      <c r="E233" s="240">
        <f>$E$3</f>
        <v/>
      </c>
      <c r="F233" s="241" t="n">
        <v>25.24</v>
      </c>
      <c r="G233" s="242" t="n">
        <v>2637749</v>
      </c>
      <c r="H233" s="241" t="n">
        <v>3.78</v>
      </c>
      <c r="I233" s="241" t="n">
        <v>22.7</v>
      </c>
      <c r="J233" s="241" t="n">
        <v>166.36</v>
      </c>
      <c r="K233" s="241" t="n">
        <v>18.89</v>
      </c>
      <c r="L233" s="242" t="n">
        <v>560000</v>
      </c>
      <c r="M233" s="241" t="n">
        <v>-0.11</v>
      </c>
      <c r="N233" s="241" t="n">
        <v>13.82</v>
      </c>
      <c r="O233" s="241" t="n">
        <v>145.15</v>
      </c>
      <c r="P233" s="241" t="n">
        <v>1.34</v>
      </c>
    </row>
    <row r="234">
      <c r="A234" s="282" t="inlineStr">
        <is>
          <t>2006-12-18</t>
        </is>
      </c>
      <c r="B234" s="240">
        <f>IFERROR(1/P234-1,B233)</f>
        <v/>
      </c>
      <c r="C234" s="240">
        <f>$C$3</f>
        <v/>
      </c>
      <c r="D234" s="240">
        <f>$D$3</f>
        <v/>
      </c>
      <c r="E234" s="240">
        <f>$E$3</f>
        <v/>
      </c>
      <c r="F234" s="241" t="n">
        <v>27.38</v>
      </c>
      <c r="G234" s="242" t="n">
        <v>3433817</v>
      </c>
      <c r="H234" s="241" t="n">
        <v>8.48</v>
      </c>
      <c r="I234" s="241" t="n">
        <v>33.69</v>
      </c>
      <c r="J234" s="241" t="n">
        <v>188.95</v>
      </c>
      <c r="K234" s="241" t="n">
        <v>18.86</v>
      </c>
      <c r="L234" s="242" t="n">
        <v>811000</v>
      </c>
      <c r="M234" s="241" t="n">
        <v>-0.21</v>
      </c>
      <c r="N234" s="241" t="n">
        <v>13.3</v>
      </c>
      <c r="O234" s="241" t="n">
        <v>144.63</v>
      </c>
      <c r="P234" s="241" t="n">
        <v>1.45</v>
      </c>
    </row>
    <row r="235">
      <c r="A235" s="282" t="inlineStr">
        <is>
          <t>2006-12-19</t>
        </is>
      </c>
      <c r="B235" s="240">
        <f>IFERROR(1/P235-1,B234)</f>
        <v/>
      </c>
      <c r="C235" s="240">
        <f>$C$3</f>
        <v/>
      </c>
      <c r="D235" s="240">
        <f>$D$3</f>
        <v/>
      </c>
      <c r="E235" s="240">
        <f>$E$3</f>
        <v/>
      </c>
      <c r="F235" s="241" t="n">
        <v>27.1</v>
      </c>
      <c r="G235" s="242" t="n">
        <v>2448279</v>
      </c>
      <c r="H235" s="241" t="n">
        <v>-1.02</v>
      </c>
      <c r="I235" s="241" t="n">
        <v>32.32</v>
      </c>
      <c r="J235" s="241" t="n">
        <v>185.99</v>
      </c>
      <c r="K235" s="241" t="n">
        <v>20.94</v>
      </c>
      <c r="L235" s="242" t="n">
        <v>1694000</v>
      </c>
      <c r="M235" s="241" t="n">
        <v>10.99</v>
      </c>
      <c r="N235" s="241" t="n">
        <v>25.76</v>
      </c>
      <c r="O235" s="241" t="n">
        <v>171.52</v>
      </c>
      <c r="P235" s="241" t="n">
        <v>1.29</v>
      </c>
    </row>
    <row r="236">
      <c r="A236" s="282" t="inlineStr">
        <is>
          <t>2006-12-20</t>
        </is>
      </c>
      <c r="B236" s="240">
        <f>IFERROR(1/P236-1,B235)</f>
        <v/>
      </c>
      <c r="C236" s="240">
        <f>$C$3</f>
        <v/>
      </c>
      <c r="D236" s="240">
        <f>$D$3</f>
        <v/>
      </c>
      <c r="E236" s="240">
        <f>$E$3</f>
        <v/>
      </c>
      <c r="F236" s="241" t="n">
        <v>27.1</v>
      </c>
      <c r="G236" s="242" t="n">
        <v>0</v>
      </c>
      <c r="H236" s="241" t="n">
        <v>0</v>
      </c>
      <c r="I236" s="241" t="n">
        <v>32.32</v>
      </c>
      <c r="J236" s="241" t="n">
        <v>185.99</v>
      </c>
      <c r="K236" s="241" t="n">
        <v>20.92</v>
      </c>
      <c r="L236" s="242" t="n">
        <v>0</v>
      </c>
      <c r="M236" s="241" t="n">
        <v>0</v>
      </c>
      <c r="N236" s="241" t="n">
        <v>25.76</v>
      </c>
      <c r="O236" s="241" t="n">
        <v>171.52</v>
      </c>
      <c r="P236" s="241" t="n">
        <v>1.3</v>
      </c>
    </row>
    <row r="237">
      <c r="A237" s="282" t="inlineStr">
        <is>
          <t>2006-12-21</t>
        </is>
      </c>
      <c r="B237" s="240">
        <f>IFERROR(1/P237-1,B236)</f>
        <v/>
      </c>
      <c r="C237" s="240">
        <f>$C$3</f>
        <v/>
      </c>
      <c r="D237" s="240">
        <f>$D$3</f>
        <v/>
      </c>
      <c r="E237" s="240">
        <f>$E$3</f>
        <v/>
      </c>
      <c r="F237" s="241" t="n">
        <v>27.1</v>
      </c>
      <c r="G237" s="242" t="n">
        <v>0</v>
      </c>
      <c r="H237" s="241" t="n">
        <v>0</v>
      </c>
      <c r="I237" s="241" t="n">
        <v>29.98</v>
      </c>
      <c r="J237" s="241" t="n">
        <v>185.99</v>
      </c>
      <c r="K237" s="241" t="n">
        <v>20.92</v>
      </c>
      <c r="L237" s="242" t="n">
        <v>0</v>
      </c>
      <c r="M237" s="241" t="n">
        <v>0</v>
      </c>
      <c r="N237" s="241" t="n">
        <v>22.5</v>
      </c>
      <c r="O237" s="241" t="n">
        <v>171.52</v>
      </c>
      <c r="P237" s="241" t="n">
        <v>1.3</v>
      </c>
    </row>
    <row r="238">
      <c r="A238" s="282" t="inlineStr">
        <is>
          <t>2006-12-22</t>
        </is>
      </c>
      <c r="B238" s="240">
        <f>IFERROR(1/P238-1,B237)</f>
        <v/>
      </c>
      <c r="C238" s="240">
        <f>$C$3</f>
        <v/>
      </c>
      <c r="D238" s="240">
        <f>$D$3</f>
        <v/>
      </c>
      <c r="E238" s="240">
        <f>$E$3</f>
        <v/>
      </c>
      <c r="F238" s="241" t="n">
        <v>27.1</v>
      </c>
      <c r="G238" s="242" t="n">
        <v>0</v>
      </c>
      <c r="H238" s="241" t="n">
        <v>0</v>
      </c>
      <c r="I238" s="241" t="n">
        <v>18.29</v>
      </c>
      <c r="J238" s="241" t="n">
        <v>185.99</v>
      </c>
      <c r="K238" s="241" t="n">
        <v>20.92</v>
      </c>
      <c r="L238" s="242" t="n">
        <v>0</v>
      </c>
      <c r="M238" s="241" t="n">
        <v>0</v>
      </c>
      <c r="N238" s="241" t="n">
        <v>16.2</v>
      </c>
      <c r="O238" s="241" t="n">
        <v>171.52</v>
      </c>
      <c r="P238" s="241" t="n">
        <v>1.3</v>
      </c>
    </row>
    <row r="239">
      <c r="A239" s="282" t="inlineStr">
        <is>
          <t>2006-12-25</t>
        </is>
      </c>
      <c r="B239" s="240">
        <f>IFERROR(1/P239-1,B238)</f>
        <v/>
      </c>
      <c r="C239" s="240">
        <f>$C$3</f>
        <v/>
      </c>
      <c r="D239" s="240">
        <f>$D$3</f>
        <v/>
      </c>
      <c r="E239" s="240">
        <f>$E$3</f>
        <v/>
      </c>
      <c r="F239" s="241" t="n">
        <v>27.1</v>
      </c>
      <c r="G239" s="242" t="n">
        <v>0</v>
      </c>
      <c r="H239" s="241" t="n">
        <v>0</v>
      </c>
      <c r="I239" s="241" t="n">
        <v>18.29</v>
      </c>
      <c r="J239" s="241" t="n">
        <v>185.99</v>
      </c>
      <c r="K239" s="239" t="inlineStr">
        <is>
          <t>--</t>
        </is>
      </c>
      <c r="L239" s="239" t="inlineStr">
        <is>
          <t>--</t>
        </is>
      </c>
      <c r="M239" s="239" t="inlineStr">
        <is>
          <t>--</t>
        </is>
      </c>
      <c r="N239" s="239" t="inlineStr">
        <is>
          <t>--</t>
        </is>
      </c>
      <c r="O239" s="239" t="inlineStr">
        <is>
          <t>--</t>
        </is>
      </c>
      <c r="P239" s="239" t="inlineStr">
        <is>
          <t>--</t>
        </is>
      </c>
    </row>
    <row r="240">
      <c r="A240" s="282" t="inlineStr">
        <is>
          <t>2006-12-26</t>
        </is>
      </c>
      <c r="B240" s="240">
        <f>IFERROR(1/P240-1,B239)</f>
        <v/>
      </c>
      <c r="C240" s="240">
        <f>$C$3</f>
        <v/>
      </c>
      <c r="D240" s="240">
        <f>$D$3</f>
        <v/>
      </c>
      <c r="E240" s="240">
        <f>$E$3</f>
        <v/>
      </c>
      <c r="F240" s="241" t="n">
        <v>27.1</v>
      </c>
      <c r="G240" s="242" t="n">
        <v>0</v>
      </c>
      <c r="H240" s="241" t="n">
        <v>0</v>
      </c>
      <c r="I240" s="241" t="n">
        <v>18.29</v>
      </c>
      <c r="J240" s="241" t="n">
        <v>185.99</v>
      </c>
      <c r="K240" s="239" t="inlineStr">
        <is>
          <t>--</t>
        </is>
      </c>
      <c r="L240" s="239" t="inlineStr">
        <is>
          <t>--</t>
        </is>
      </c>
      <c r="M240" s="239" t="inlineStr">
        <is>
          <t>--</t>
        </is>
      </c>
      <c r="N240" s="239" t="inlineStr">
        <is>
          <t>--</t>
        </is>
      </c>
      <c r="O240" s="239" t="inlineStr">
        <is>
          <t>--</t>
        </is>
      </c>
      <c r="P240" s="239" t="inlineStr">
        <is>
          <t>--</t>
        </is>
      </c>
    </row>
    <row r="241">
      <c r="A241" s="282" t="inlineStr">
        <is>
          <t>2006-12-27</t>
        </is>
      </c>
      <c r="B241" s="240">
        <f>IFERROR(1/P241-1,B240)</f>
        <v/>
      </c>
      <c r="C241" s="240">
        <f>$C$3</f>
        <v/>
      </c>
      <c r="D241" s="240">
        <f>$D$3</f>
        <v/>
      </c>
      <c r="E241" s="240">
        <f>$E$3</f>
        <v/>
      </c>
      <c r="F241" s="241" t="n">
        <v>27.1</v>
      </c>
      <c r="G241" s="242" t="n">
        <v>0</v>
      </c>
      <c r="H241" s="241" t="n">
        <v>0</v>
      </c>
      <c r="I241" s="241" t="n">
        <v>18.29</v>
      </c>
      <c r="J241" s="241" t="n">
        <v>185.99</v>
      </c>
      <c r="K241" s="241" t="n">
        <v>20.92</v>
      </c>
      <c r="L241" s="242" t="n">
        <v>0</v>
      </c>
      <c r="M241" s="241" t="n">
        <v>0</v>
      </c>
      <c r="N241" s="241" t="n">
        <v>18.45</v>
      </c>
      <c r="O241" s="241" t="n">
        <v>171.52</v>
      </c>
      <c r="P241" s="241" t="n">
        <v>1.3</v>
      </c>
    </row>
    <row r="242">
      <c r="A242" s="282" t="inlineStr">
        <is>
          <t>2006-12-28</t>
        </is>
      </c>
      <c r="B242" s="240">
        <f>IFERROR(1/P242-1,B241)</f>
        <v/>
      </c>
      <c r="C242" s="240">
        <f>$C$3</f>
        <v/>
      </c>
      <c r="D242" s="240">
        <f>$D$3</f>
        <v/>
      </c>
      <c r="E242" s="240">
        <f>$E$3</f>
        <v/>
      </c>
      <c r="F242" s="241" t="n">
        <v>27.1</v>
      </c>
      <c r="G242" s="242" t="n">
        <v>0</v>
      </c>
      <c r="H242" s="241" t="n">
        <v>0</v>
      </c>
      <c r="I242" s="241" t="n">
        <v>17.32</v>
      </c>
      <c r="J242" s="241" t="n">
        <v>185.99</v>
      </c>
      <c r="K242" s="241" t="n">
        <v>20.91</v>
      </c>
      <c r="L242" s="242" t="n">
        <v>0</v>
      </c>
      <c r="M242" s="241" t="n">
        <v>0</v>
      </c>
      <c r="N242" s="241" t="n">
        <v>14.66</v>
      </c>
      <c r="O242" s="241" t="n">
        <v>171.52</v>
      </c>
      <c r="P242" s="241" t="n">
        <v>1.3</v>
      </c>
    </row>
    <row r="243">
      <c r="A243" s="282" t="inlineStr">
        <is>
          <t>2006-12-29</t>
        </is>
      </c>
      <c r="B243" s="240">
        <f>IFERROR(1/P243-1,B242)</f>
        <v/>
      </c>
      <c r="C243" s="240">
        <f>$C$3</f>
        <v/>
      </c>
      <c r="D243" s="240">
        <f>$D$3</f>
        <v/>
      </c>
      <c r="E243" s="240">
        <f>$E$3</f>
        <v/>
      </c>
      <c r="F243" s="241" t="n">
        <v>27.1</v>
      </c>
      <c r="G243" s="242" t="n">
        <v>0</v>
      </c>
      <c r="H243" s="241" t="n">
        <v>0</v>
      </c>
      <c r="I243" s="241" t="n">
        <v>16.91</v>
      </c>
      <c r="J243" s="241" t="n">
        <v>185.99</v>
      </c>
      <c r="K243" s="241" t="n">
        <v>20.9</v>
      </c>
      <c r="L243" s="242" t="n">
        <v>0</v>
      </c>
      <c r="M243" s="241" t="n">
        <v>0</v>
      </c>
      <c r="N243" s="241" t="n">
        <v>17.38</v>
      </c>
      <c r="O243" s="241" t="n">
        <v>171.52</v>
      </c>
      <c r="P243" s="241" t="n">
        <v>1.3</v>
      </c>
    </row>
    <row r="244">
      <c r="A244" s="282" t="inlineStr">
        <is>
          <t>2007-01-04</t>
        </is>
      </c>
      <c r="B244" s="240">
        <f>IFERROR(1/P244-1,B243)</f>
        <v/>
      </c>
      <c r="C244" s="240">
        <f>$C$3</f>
        <v/>
      </c>
      <c r="D244" s="240">
        <f>$D$3</f>
        <v/>
      </c>
      <c r="E244" s="240">
        <f>$E$3</f>
        <v/>
      </c>
      <c r="F244" s="241" t="n">
        <v>27.1</v>
      </c>
      <c r="G244" s="242" t="n">
        <v>0</v>
      </c>
      <c r="H244" s="241" t="n">
        <v>0</v>
      </c>
      <c r="I244" s="241" t="n">
        <v>7.07</v>
      </c>
      <c r="J244" s="241" t="n">
        <v>0</v>
      </c>
      <c r="K244" s="241" t="n">
        <v>20.85</v>
      </c>
      <c r="L244" s="242" t="n">
        <v>0</v>
      </c>
      <c r="M244" s="241" t="n">
        <v>0</v>
      </c>
      <c r="N244" s="241" t="n">
        <v>14.29</v>
      </c>
      <c r="O244" s="241" t="n">
        <v>0</v>
      </c>
      <c r="P244" s="241" t="n">
        <v>1.3</v>
      </c>
    </row>
    <row r="245">
      <c r="A245" s="282" t="inlineStr">
        <is>
          <t>2007-01-05</t>
        </is>
      </c>
      <c r="B245" s="240">
        <f>IFERROR(1/P245-1,B244)</f>
        <v/>
      </c>
      <c r="C245" s="240">
        <f>$C$3</f>
        <v/>
      </c>
      <c r="D245" s="240">
        <f>$D$3</f>
        <v/>
      </c>
      <c r="E245" s="240">
        <f>$E$3</f>
        <v/>
      </c>
      <c r="F245" s="241" t="n">
        <v>27.1</v>
      </c>
      <c r="G245" s="242" t="n">
        <v>0</v>
      </c>
      <c r="H245" s="241" t="n">
        <v>0</v>
      </c>
      <c r="I245" s="241" t="n">
        <v>7.45</v>
      </c>
      <c r="J245" s="241" t="n">
        <v>0</v>
      </c>
      <c r="K245" s="241" t="n">
        <v>20.86</v>
      </c>
      <c r="L245" s="242" t="n">
        <v>0</v>
      </c>
      <c r="M245" s="241" t="n">
        <v>0</v>
      </c>
      <c r="N245" s="241" t="n">
        <v>16.2</v>
      </c>
      <c r="O245" s="241" t="n">
        <v>0</v>
      </c>
      <c r="P245" s="241" t="n">
        <v>1.3</v>
      </c>
    </row>
    <row r="246">
      <c r="A246" s="282" t="inlineStr">
        <is>
          <t>2007-01-08</t>
        </is>
      </c>
      <c r="B246" s="240">
        <f>IFERROR(1/P246-1,B245)</f>
        <v/>
      </c>
      <c r="C246" s="240">
        <f>$C$3</f>
        <v/>
      </c>
      <c r="D246" s="240">
        <f>$D$3</f>
        <v/>
      </c>
      <c r="E246" s="240">
        <f>$E$3</f>
        <v/>
      </c>
      <c r="F246" s="241" t="n">
        <v>27.1</v>
      </c>
      <c r="G246" s="242" t="n">
        <v>0</v>
      </c>
      <c r="H246" s="241" t="n">
        <v>0</v>
      </c>
      <c r="I246" s="241" t="n">
        <v>14.11</v>
      </c>
      <c r="J246" s="241" t="n">
        <v>0</v>
      </c>
      <c r="K246" s="241" t="n">
        <v>20.86</v>
      </c>
      <c r="L246" s="242" t="n">
        <v>0</v>
      </c>
      <c r="M246" s="241" t="n">
        <v>0</v>
      </c>
      <c r="N246" s="241" t="n">
        <v>18.45</v>
      </c>
      <c r="O246" s="241" t="n">
        <v>0</v>
      </c>
      <c r="P246" s="241" t="n">
        <v>1.3</v>
      </c>
    </row>
    <row r="247">
      <c r="A247" s="282" t="inlineStr">
        <is>
          <t>2007-01-09</t>
        </is>
      </c>
      <c r="B247" s="240">
        <f>IFERROR(1/P247-1,B246)</f>
        <v/>
      </c>
      <c r="C247" s="240">
        <f>$C$3</f>
        <v/>
      </c>
      <c r="D247" s="240">
        <f>$D$3</f>
        <v/>
      </c>
      <c r="E247" s="240">
        <f>$E$3</f>
        <v/>
      </c>
      <c r="F247" s="241" t="n">
        <v>27.1</v>
      </c>
      <c r="G247" s="242" t="n">
        <v>0</v>
      </c>
      <c r="H247" s="241" t="n">
        <v>0</v>
      </c>
      <c r="I247" s="241" t="n">
        <v>18.91</v>
      </c>
      <c r="J247" s="241" t="n">
        <v>0</v>
      </c>
      <c r="K247" s="241" t="n">
        <v>20.83</v>
      </c>
      <c r="L247" s="242" t="n">
        <v>0</v>
      </c>
      <c r="M247" s="241" t="n">
        <v>0</v>
      </c>
      <c r="N247" s="241" t="n">
        <v>22.35</v>
      </c>
      <c r="O247" s="241" t="n">
        <v>0</v>
      </c>
      <c r="P247" s="241" t="n">
        <v>1.3</v>
      </c>
    </row>
    <row r="248">
      <c r="A248" s="282" t="inlineStr">
        <is>
          <t>2007-01-10</t>
        </is>
      </c>
      <c r="B248" s="240">
        <f>IFERROR(1/P248-1,B247)</f>
        <v/>
      </c>
      <c r="C248" s="240">
        <f>$C$3</f>
        <v/>
      </c>
      <c r="D248" s="240">
        <f>$D$3</f>
        <v/>
      </c>
      <c r="E248" s="240">
        <f>$E$3</f>
        <v/>
      </c>
      <c r="F248" s="241" t="n">
        <v>27.1</v>
      </c>
      <c r="G248" s="242" t="n">
        <v>0</v>
      </c>
      <c r="H248" s="241" t="n">
        <v>0</v>
      </c>
      <c r="I248" s="241" t="n">
        <v>18.91</v>
      </c>
      <c r="J248" s="241" t="n">
        <v>0</v>
      </c>
      <c r="K248" s="241" t="n">
        <v>20.83</v>
      </c>
      <c r="L248" s="242" t="n">
        <v>0</v>
      </c>
      <c r="M248" s="241" t="n">
        <v>0</v>
      </c>
      <c r="N248" s="241" t="n">
        <v>22.35</v>
      </c>
      <c r="O248" s="241" t="n">
        <v>0</v>
      </c>
      <c r="P248" s="241" t="n">
        <v>1.3</v>
      </c>
    </row>
    <row r="249">
      <c r="A249" s="282" t="inlineStr">
        <is>
          <t>2007-01-11</t>
        </is>
      </c>
      <c r="B249" s="240">
        <f>IFERROR(1/P249-1,B248)</f>
        <v/>
      </c>
      <c r="C249" s="240">
        <f>$C$3</f>
        <v/>
      </c>
      <c r="D249" s="240">
        <f>$D$3</f>
        <v/>
      </c>
      <c r="E249" s="240">
        <f>$E$3</f>
        <v/>
      </c>
      <c r="F249" s="241" t="n">
        <v>27.1</v>
      </c>
      <c r="G249" s="242" t="n">
        <v>0</v>
      </c>
      <c r="H249" s="241" t="n">
        <v>0</v>
      </c>
      <c r="I249" s="241" t="n">
        <v>18.91</v>
      </c>
      <c r="J249" s="241" t="n">
        <v>0</v>
      </c>
      <c r="K249" s="241" t="n">
        <v>20.8</v>
      </c>
      <c r="L249" s="242" t="n">
        <v>0</v>
      </c>
      <c r="M249" s="241" t="n">
        <v>0</v>
      </c>
      <c r="N249" s="241" t="n">
        <v>22.35</v>
      </c>
      <c r="O249" s="241" t="n">
        <v>0</v>
      </c>
      <c r="P249" s="241" t="n">
        <v>1.3</v>
      </c>
    </row>
    <row r="250">
      <c r="A250" s="282" t="inlineStr">
        <is>
          <t>2007-01-12</t>
        </is>
      </c>
      <c r="B250" s="240">
        <f>IFERROR(1/P250-1,B249)</f>
        <v/>
      </c>
      <c r="C250" s="240">
        <f>$C$3</f>
        <v/>
      </c>
      <c r="D250" s="240">
        <f>$D$3</f>
        <v/>
      </c>
      <c r="E250" s="240">
        <f>$E$3</f>
        <v/>
      </c>
      <c r="F250" s="241" t="n">
        <v>27.1</v>
      </c>
      <c r="G250" s="242" t="n">
        <v>0</v>
      </c>
      <c r="H250" s="241" t="n">
        <v>0</v>
      </c>
      <c r="I250" s="241" t="n">
        <v>13.82</v>
      </c>
      <c r="J250" s="241" t="n">
        <v>0</v>
      </c>
      <c r="K250" s="241" t="n">
        <v>20.81</v>
      </c>
      <c r="L250" s="242" t="n">
        <v>0</v>
      </c>
      <c r="M250" s="241" t="n">
        <v>0</v>
      </c>
      <c r="N250" s="241" t="n">
        <v>18.86</v>
      </c>
      <c r="O250" s="241" t="n">
        <v>0</v>
      </c>
      <c r="P250" s="241" t="n">
        <v>1.3</v>
      </c>
    </row>
    <row r="251">
      <c r="A251" s="282" t="inlineStr">
        <is>
          <t>2007-01-15</t>
        </is>
      </c>
      <c r="B251" s="240">
        <f>IFERROR(1/P251-1,B250)</f>
        <v/>
      </c>
      <c r="C251" s="240">
        <f>$C$3</f>
        <v/>
      </c>
      <c r="D251" s="240">
        <f>$D$3</f>
        <v/>
      </c>
      <c r="E251" s="240">
        <f>$E$3</f>
        <v/>
      </c>
      <c r="F251" s="241" t="n">
        <v>27.1</v>
      </c>
      <c r="G251" s="242" t="n">
        <v>0</v>
      </c>
      <c r="H251" s="241" t="n">
        <v>0</v>
      </c>
      <c r="I251" s="241" t="n">
        <v>11.43</v>
      </c>
      <c r="J251" s="241" t="n">
        <v>0</v>
      </c>
      <c r="K251" s="241" t="n">
        <v>20.79</v>
      </c>
      <c r="L251" s="242" t="n">
        <v>0</v>
      </c>
      <c r="M251" s="241" t="n">
        <v>0</v>
      </c>
      <c r="N251" s="241" t="n">
        <v>10.64</v>
      </c>
      <c r="O251" s="241" t="n">
        <v>0</v>
      </c>
      <c r="P251" s="241" t="n">
        <v>1.3</v>
      </c>
    </row>
    <row r="252">
      <c r="A252" s="282" t="inlineStr">
        <is>
          <t>2007-01-16</t>
        </is>
      </c>
      <c r="B252" s="240">
        <f>IFERROR(1/P252-1,B251)</f>
        <v/>
      </c>
      <c r="C252" s="240">
        <f>$C$3</f>
        <v/>
      </c>
      <c r="D252" s="240">
        <f>$D$3</f>
        <v/>
      </c>
      <c r="E252" s="240">
        <f>$E$3</f>
        <v/>
      </c>
      <c r="F252" s="241" t="n">
        <v>27.1</v>
      </c>
      <c r="G252" s="242" t="n">
        <v>0</v>
      </c>
      <c r="H252" s="241" t="n">
        <v>0</v>
      </c>
      <c r="I252" s="241" t="n">
        <v>7.37</v>
      </c>
      <c r="J252" s="241" t="n">
        <v>0</v>
      </c>
      <c r="K252" s="241" t="n">
        <v>20.78</v>
      </c>
      <c r="L252" s="242" t="n">
        <v>0</v>
      </c>
      <c r="M252" s="241" t="n">
        <v>0</v>
      </c>
      <c r="N252" s="241" t="n">
        <v>10.76</v>
      </c>
      <c r="O252" s="241" t="n">
        <v>0</v>
      </c>
      <c r="P252" s="241" t="n">
        <v>1.3</v>
      </c>
    </row>
    <row r="253">
      <c r="A253" s="282" t="inlineStr">
        <is>
          <t>2007-01-17</t>
        </is>
      </c>
      <c r="B253" s="240">
        <f>IFERROR(1/P253-1,B252)</f>
        <v/>
      </c>
      <c r="C253" s="240">
        <f>$C$3</f>
        <v/>
      </c>
      <c r="D253" s="240">
        <f>$D$3</f>
        <v/>
      </c>
      <c r="E253" s="240">
        <f>$E$3</f>
        <v/>
      </c>
      <c r="F253" s="241" t="n">
        <v>27.1</v>
      </c>
      <c r="G253" s="242" t="n">
        <v>0</v>
      </c>
      <c r="H253" s="241" t="n">
        <v>0</v>
      </c>
      <c r="I253" s="241" t="n">
        <v>7.37</v>
      </c>
      <c r="J253" s="241" t="n">
        <v>0</v>
      </c>
      <c r="K253" s="241" t="n">
        <v>20.74</v>
      </c>
      <c r="L253" s="242" t="n">
        <v>0</v>
      </c>
      <c r="M253" s="241" t="n">
        <v>0</v>
      </c>
      <c r="N253" s="241" t="n">
        <v>10.76</v>
      </c>
      <c r="O253" s="241" t="n">
        <v>0</v>
      </c>
      <c r="P253" s="241" t="n">
        <v>1.31</v>
      </c>
    </row>
    <row r="254">
      <c r="A254" s="282" t="inlineStr">
        <is>
          <t>2007-01-18</t>
        </is>
      </c>
      <c r="B254" s="240">
        <f>IFERROR(1/P254-1,B253)</f>
        <v/>
      </c>
      <c r="C254" s="240">
        <f>$C$3</f>
        <v/>
      </c>
      <c r="D254" s="240">
        <f>$D$3</f>
        <v/>
      </c>
      <c r="E254" s="240">
        <f>$E$3</f>
        <v/>
      </c>
      <c r="F254" s="241" t="n">
        <v>27.1</v>
      </c>
      <c r="G254" s="242" t="n">
        <v>0</v>
      </c>
      <c r="H254" s="241" t="n">
        <v>0</v>
      </c>
      <c r="I254" s="241" t="n">
        <v>7.37</v>
      </c>
      <c r="J254" s="241" t="n">
        <v>0</v>
      </c>
      <c r="K254" s="241" t="n">
        <v>20.72</v>
      </c>
      <c r="L254" s="242" t="n">
        <v>0</v>
      </c>
      <c r="M254" s="241" t="n">
        <v>0</v>
      </c>
      <c r="N254" s="241" t="n">
        <v>10.76</v>
      </c>
      <c r="O254" s="241" t="n">
        <v>0</v>
      </c>
      <c r="P254" s="241" t="n">
        <v>1.31</v>
      </c>
    </row>
    <row r="255">
      <c r="A255" s="282" t="inlineStr">
        <is>
          <t>2007-01-19</t>
        </is>
      </c>
      <c r="B255" s="240">
        <f>IFERROR(1/P255-1,B254)</f>
        <v/>
      </c>
      <c r="C255" s="240">
        <f>$C$3</f>
        <v/>
      </c>
      <c r="D255" s="240">
        <f>$D$3</f>
        <v/>
      </c>
      <c r="E255" s="240">
        <f>$E$3</f>
        <v/>
      </c>
      <c r="F255" s="241" t="n">
        <v>27.1</v>
      </c>
      <c r="G255" s="242" t="n">
        <v>0</v>
      </c>
      <c r="H255" s="241" t="n">
        <v>0</v>
      </c>
      <c r="I255" s="241" t="n">
        <v>-1.02</v>
      </c>
      <c r="J255" s="241" t="n">
        <v>0</v>
      </c>
      <c r="K255" s="241" t="n">
        <v>20.71</v>
      </c>
      <c r="L255" s="242" t="n">
        <v>0</v>
      </c>
      <c r="M255" s="241" t="n">
        <v>0</v>
      </c>
      <c r="N255" s="241" t="n">
        <v>10.99</v>
      </c>
      <c r="O255" s="241" t="n">
        <v>0</v>
      </c>
      <c r="P255" s="241" t="n">
        <v>1.31</v>
      </c>
    </row>
    <row r="256">
      <c r="A256" s="282" t="inlineStr">
        <is>
          <t>2007-01-22</t>
        </is>
      </c>
      <c r="B256" s="240">
        <f>IFERROR(1/P256-1,B255)</f>
        <v/>
      </c>
      <c r="C256" s="240">
        <f>$C$3</f>
        <v/>
      </c>
      <c r="D256" s="240">
        <f>$D$3</f>
        <v/>
      </c>
      <c r="E256" s="240">
        <f>$E$3</f>
        <v/>
      </c>
      <c r="F256" s="241" t="n">
        <v>27.1</v>
      </c>
      <c r="G256" s="242" t="n">
        <v>0</v>
      </c>
      <c r="H256" s="241" t="n">
        <v>0</v>
      </c>
      <c r="I256" s="241" t="n">
        <v>0</v>
      </c>
      <c r="J256" s="241" t="n">
        <v>0</v>
      </c>
      <c r="K256" s="241" t="n">
        <v>20.72</v>
      </c>
      <c r="L256" s="242" t="n">
        <v>0</v>
      </c>
      <c r="M256" s="241" t="n">
        <v>0</v>
      </c>
      <c r="N256" s="241" t="n">
        <v>0</v>
      </c>
      <c r="O256" s="241" t="n">
        <v>0</v>
      </c>
      <c r="P256" s="241" t="n">
        <v>1.31</v>
      </c>
    </row>
    <row r="257">
      <c r="A257" s="282" t="inlineStr">
        <is>
          <t>2007-01-23</t>
        </is>
      </c>
      <c r="B257" s="240">
        <f>IFERROR(1/P257-1,B256)</f>
        <v/>
      </c>
      <c r="C257" s="240">
        <f>$C$3</f>
        <v/>
      </c>
      <c r="D257" s="240">
        <f>$D$3</f>
        <v/>
      </c>
      <c r="E257" s="240">
        <f>$E$3</f>
        <v/>
      </c>
      <c r="F257" s="241" t="n">
        <v>27.1</v>
      </c>
      <c r="G257" s="242" t="n">
        <v>0</v>
      </c>
      <c r="H257" s="241" t="n">
        <v>0</v>
      </c>
      <c r="I257" s="241" t="n">
        <v>0</v>
      </c>
      <c r="J257" s="241" t="n">
        <v>0</v>
      </c>
      <c r="K257" s="241" t="n">
        <v>20.76</v>
      </c>
      <c r="L257" s="242" t="n">
        <v>0</v>
      </c>
      <c r="M257" s="241" t="n">
        <v>0</v>
      </c>
      <c r="N257" s="241" t="n">
        <v>0</v>
      </c>
      <c r="O257" s="241" t="n">
        <v>0</v>
      </c>
      <c r="P257" s="241" t="n">
        <v>1.31</v>
      </c>
    </row>
    <row r="258">
      <c r="A258" s="282" t="inlineStr">
        <is>
          <t>2007-01-24</t>
        </is>
      </c>
      <c r="B258" s="240">
        <f>IFERROR(1/P258-1,B257)</f>
        <v/>
      </c>
      <c r="C258" s="240">
        <f>$C$3</f>
        <v/>
      </c>
      <c r="D258" s="240">
        <f>$D$3</f>
        <v/>
      </c>
      <c r="E258" s="240">
        <f>$E$3</f>
        <v/>
      </c>
      <c r="F258" s="241" t="n">
        <v>27.1</v>
      </c>
      <c r="G258" s="242" t="n">
        <v>0</v>
      </c>
      <c r="H258" s="241" t="n">
        <v>0</v>
      </c>
      <c r="I258" s="241" t="n">
        <v>0</v>
      </c>
      <c r="J258" s="241" t="n">
        <v>0</v>
      </c>
      <c r="K258" s="241" t="n">
        <v>20.73</v>
      </c>
      <c r="L258" s="242" t="n">
        <v>0</v>
      </c>
      <c r="M258" s="241" t="n">
        <v>0</v>
      </c>
      <c r="N258" s="241" t="n">
        <v>0</v>
      </c>
      <c r="O258" s="241" t="n">
        <v>0</v>
      </c>
      <c r="P258" s="241" t="n">
        <v>1.31</v>
      </c>
    </row>
    <row r="259">
      <c r="A259" s="282" t="inlineStr">
        <is>
          <t>2007-01-25</t>
        </is>
      </c>
      <c r="B259" s="240">
        <f>IFERROR(1/P259-1,B258)</f>
        <v/>
      </c>
      <c r="C259" s="240">
        <f>$C$3</f>
        <v/>
      </c>
      <c r="D259" s="240">
        <f>$D$3</f>
        <v/>
      </c>
      <c r="E259" s="240">
        <f>$E$3</f>
        <v/>
      </c>
      <c r="F259" s="241" t="n">
        <v>27.1</v>
      </c>
      <c r="G259" s="242" t="n">
        <v>0</v>
      </c>
      <c r="H259" s="241" t="n">
        <v>0</v>
      </c>
      <c r="I259" s="241" t="n">
        <v>0</v>
      </c>
      <c r="J259" s="241" t="n">
        <v>0</v>
      </c>
      <c r="K259" s="241" t="n">
        <v>20.72</v>
      </c>
      <c r="L259" s="242" t="n">
        <v>0</v>
      </c>
      <c r="M259" s="241" t="n">
        <v>0</v>
      </c>
      <c r="N259" s="241" t="n">
        <v>0</v>
      </c>
      <c r="O259" s="241" t="n">
        <v>0</v>
      </c>
      <c r="P259" s="241" t="n">
        <v>1.31</v>
      </c>
    </row>
    <row r="260">
      <c r="A260" s="282" t="inlineStr">
        <is>
          <t>2007-01-26</t>
        </is>
      </c>
      <c r="B260" s="240">
        <f>IFERROR(1/P260-1,B259)</f>
        <v/>
      </c>
      <c r="C260" s="240">
        <f>$C$3</f>
        <v/>
      </c>
      <c r="D260" s="240">
        <f>$D$3</f>
        <v/>
      </c>
      <c r="E260" s="240">
        <f>$E$3</f>
        <v/>
      </c>
      <c r="F260" s="241" t="n">
        <v>27.1</v>
      </c>
      <c r="G260" s="242" t="n">
        <v>0</v>
      </c>
      <c r="H260" s="241" t="n">
        <v>0</v>
      </c>
      <c r="I260" s="241" t="n">
        <v>0</v>
      </c>
      <c r="J260" s="241" t="n">
        <v>0</v>
      </c>
      <c r="K260" s="241" t="n">
        <v>20.73</v>
      </c>
      <c r="L260" s="242" t="n">
        <v>0</v>
      </c>
      <c r="M260" s="241" t="n">
        <v>0</v>
      </c>
      <c r="N260" s="241" t="n">
        <v>0</v>
      </c>
      <c r="O260" s="241" t="n">
        <v>0</v>
      </c>
      <c r="P260" s="241" t="n">
        <v>1.31</v>
      </c>
    </row>
    <row r="261">
      <c r="A261" s="282" t="inlineStr">
        <is>
          <t>2007-01-29</t>
        </is>
      </c>
      <c r="B261" s="240">
        <f>IFERROR(1/P261-1,B260)</f>
        <v/>
      </c>
      <c r="C261" s="240">
        <f>$C$3</f>
        <v/>
      </c>
      <c r="D261" s="240">
        <f>$D$3</f>
        <v/>
      </c>
      <c r="E261" s="240">
        <f>$E$3</f>
        <v/>
      </c>
      <c r="F261" s="241" t="n">
        <v>27.1</v>
      </c>
      <c r="G261" s="242" t="n">
        <v>0</v>
      </c>
      <c r="H261" s="241" t="n">
        <v>0</v>
      </c>
      <c r="I261" s="241" t="n">
        <v>0</v>
      </c>
      <c r="J261" s="241" t="n">
        <v>0</v>
      </c>
      <c r="K261" s="241" t="n">
        <v>20.73</v>
      </c>
      <c r="L261" s="242" t="n">
        <v>0</v>
      </c>
      <c r="M261" s="241" t="n">
        <v>0</v>
      </c>
      <c r="N261" s="241" t="n">
        <v>0</v>
      </c>
      <c r="O261" s="241" t="n">
        <v>0</v>
      </c>
      <c r="P261" s="241" t="n">
        <v>1.31</v>
      </c>
    </row>
    <row r="262">
      <c r="A262" s="282" t="inlineStr">
        <is>
          <t>2007-01-30</t>
        </is>
      </c>
      <c r="B262" s="240">
        <f>IFERROR(1/P262-1,B261)</f>
        <v/>
      </c>
      <c r="C262" s="240">
        <f>$C$3</f>
        <v/>
      </c>
      <c r="D262" s="240">
        <f>$D$3</f>
        <v/>
      </c>
      <c r="E262" s="240">
        <f>$E$3</f>
        <v/>
      </c>
      <c r="F262" s="241" t="n">
        <v>27.1</v>
      </c>
      <c r="G262" s="242" t="n">
        <v>0</v>
      </c>
      <c r="H262" s="241" t="n">
        <v>0</v>
      </c>
      <c r="I262" s="241" t="n">
        <v>0</v>
      </c>
      <c r="J262" s="241" t="n">
        <v>0</v>
      </c>
      <c r="K262" s="241" t="n">
        <v>20.71</v>
      </c>
      <c r="L262" s="242" t="n">
        <v>0</v>
      </c>
      <c r="M262" s="241" t="n">
        <v>0</v>
      </c>
      <c r="N262" s="241" t="n">
        <v>0</v>
      </c>
      <c r="O262" s="241" t="n">
        <v>0</v>
      </c>
      <c r="P262" s="241" t="n">
        <v>1.31</v>
      </c>
    </row>
    <row r="263">
      <c r="A263" s="282" t="inlineStr">
        <is>
          <t>2007-01-31</t>
        </is>
      </c>
      <c r="B263" s="240">
        <f>IFERROR(1/P263-1,B262)</f>
        <v/>
      </c>
      <c r="C263" s="240">
        <f>$C$3</f>
        <v/>
      </c>
      <c r="D263" s="240">
        <f>$D$3</f>
        <v/>
      </c>
      <c r="E263" s="240">
        <f>$E$3</f>
        <v/>
      </c>
      <c r="F263" s="241" t="n">
        <v>27.1</v>
      </c>
      <c r="G263" s="242" t="n">
        <v>0</v>
      </c>
      <c r="H263" s="241" t="n">
        <v>0</v>
      </c>
      <c r="I263" s="241" t="n">
        <v>0</v>
      </c>
      <c r="J263" s="241" t="n">
        <v>0</v>
      </c>
      <c r="K263" s="241" t="n">
        <v>20.72</v>
      </c>
      <c r="L263" s="242" t="n">
        <v>0</v>
      </c>
      <c r="M263" s="241" t="n">
        <v>0</v>
      </c>
      <c r="N263" s="241" t="n">
        <v>0</v>
      </c>
      <c r="O263" s="241" t="n">
        <v>0</v>
      </c>
      <c r="P263" s="241" t="n">
        <v>1.31</v>
      </c>
    </row>
    <row r="264">
      <c r="A264" s="282" t="inlineStr">
        <is>
          <t>2007-02-01</t>
        </is>
      </c>
      <c r="B264" s="240">
        <f>IFERROR(1/P264-1,B263)</f>
        <v/>
      </c>
      <c r="C264" s="240">
        <f>$C$3</f>
        <v/>
      </c>
      <c r="D264" s="240">
        <f>$D$3</f>
        <v/>
      </c>
      <c r="E264" s="240">
        <f>$E$3</f>
        <v/>
      </c>
      <c r="F264" s="241" t="n">
        <v>27.1</v>
      </c>
      <c r="G264" s="242" t="n">
        <v>0</v>
      </c>
      <c r="H264" s="241" t="n">
        <v>0</v>
      </c>
      <c r="I264" s="241" t="n">
        <v>0</v>
      </c>
      <c r="J264" s="241" t="n">
        <v>0</v>
      </c>
      <c r="K264" s="241" t="n">
        <v>20.68</v>
      </c>
      <c r="L264" s="242" t="n">
        <v>0</v>
      </c>
      <c r="M264" s="241" t="n">
        <v>0</v>
      </c>
      <c r="N264" s="241" t="n">
        <v>0</v>
      </c>
      <c r="O264" s="241" t="n">
        <v>0</v>
      </c>
      <c r="P264" s="241" t="n">
        <v>1.31</v>
      </c>
    </row>
    <row r="265">
      <c r="A265" s="282" t="inlineStr">
        <is>
          <t>2007-02-02</t>
        </is>
      </c>
      <c r="B265" s="240">
        <f>IFERROR(1/P265-1,B264)</f>
        <v/>
      </c>
      <c r="C265" s="240">
        <f>$C$3</f>
        <v/>
      </c>
      <c r="D265" s="240">
        <f>$D$3</f>
        <v/>
      </c>
      <c r="E265" s="240">
        <f>$E$3</f>
        <v/>
      </c>
      <c r="F265" s="241" t="n">
        <v>27.1</v>
      </c>
      <c r="G265" s="242" t="n">
        <v>0</v>
      </c>
      <c r="H265" s="241" t="n">
        <v>0</v>
      </c>
      <c r="I265" s="241" t="n">
        <v>0</v>
      </c>
      <c r="J265" s="241" t="n">
        <v>0</v>
      </c>
      <c r="K265" s="241" t="n">
        <v>20.68</v>
      </c>
      <c r="L265" s="242" t="n">
        <v>0</v>
      </c>
      <c r="M265" s="241" t="n">
        <v>0</v>
      </c>
      <c r="N265" s="241" t="n">
        <v>0</v>
      </c>
      <c r="O265" s="241" t="n">
        <v>0</v>
      </c>
      <c r="P265" s="241" t="n">
        <v>1.31</v>
      </c>
    </row>
    <row r="266">
      <c r="A266" s="282" t="inlineStr">
        <is>
          <t>2007-02-05</t>
        </is>
      </c>
      <c r="B266" s="240">
        <f>IFERROR(1/P266-1,B265)</f>
        <v/>
      </c>
      <c r="C266" s="240">
        <f>$C$3</f>
        <v/>
      </c>
      <c r="D266" s="240">
        <f>$D$3</f>
        <v/>
      </c>
      <c r="E266" s="240">
        <f>$E$3</f>
        <v/>
      </c>
      <c r="F266" s="241" t="n">
        <v>29.81</v>
      </c>
      <c r="G266" s="242" t="n">
        <v>22386</v>
      </c>
      <c r="H266" s="241" t="n">
        <v>10</v>
      </c>
      <c r="I266" s="241" t="n">
        <v>10</v>
      </c>
      <c r="J266" s="241" t="n">
        <v>10</v>
      </c>
      <c r="K266" s="241" t="n">
        <v>29.53</v>
      </c>
      <c r="L266" s="242" t="n">
        <v>3904000</v>
      </c>
      <c r="M266" s="241" t="n">
        <v>42.79</v>
      </c>
      <c r="N266" s="241" t="n">
        <v>42.79</v>
      </c>
      <c r="O266" s="241" t="n">
        <v>42.79</v>
      </c>
      <c r="P266" s="241" t="n">
        <v>1.01</v>
      </c>
    </row>
    <row r="267">
      <c r="A267" s="282" t="inlineStr">
        <is>
          <t>2007-02-06</t>
        </is>
      </c>
      <c r="B267" s="240">
        <f>IFERROR(1/P267-1,B266)</f>
        <v/>
      </c>
      <c r="C267" s="240">
        <f>$C$3</f>
        <v/>
      </c>
      <c r="D267" s="240">
        <f>$D$3</f>
        <v/>
      </c>
      <c r="E267" s="240">
        <f>$E$3</f>
        <v/>
      </c>
      <c r="F267" s="241" t="n">
        <v>32.79</v>
      </c>
      <c r="G267" s="242" t="n">
        <v>28281</v>
      </c>
      <c r="H267" s="241" t="n">
        <v>10</v>
      </c>
      <c r="I267" s="241" t="n">
        <v>21</v>
      </c>
      <c r="J267" s="241" t="n">
        <v>21</v>
      </c>
      <c r="K267" s="241" t="n">
        <v>32.5</v>
      </c>
      <c r="L267" s="242" t="n">
        <v>5753668</v>
      </c>
      <c r="M267" s="241" t="n">
        <v>10.1</v>
      </c>
      <c r="N267" s="241" t="n">
        <v>57.21</v>
      </c>
      <c r="O267" s="241" t="n">
        <v>57.21</v>
      </c>
      <c r="P267" s="241" t="n">
        <v>1.01</v>
      </c>
    </row>
    <row r="268">
      <c r="A268" s="282" t="inlineStr">
        <is>
          <t>2007-02-07</t>
        </is>
      </c>
      <c r="B268" s="240">
        <f>IFERROR(1/P268-1,B267)</f>
        <v/>
      </c>
      <c r="C268" s="240">
        <f>$C$3</f>
        <v/>
      </c>
      <c r="D268" s="240">
        <f>$D$3</f>
        <v/>
      </c>
      <c r="E268" s="240">
        <f>$E$3</f>
        <v/>
      </c>
      <c r="F268" s="241" t="n">
        <v>36.07</v>
      </c>
      <c r="G268" s="242" t="n">
        <v>17399</v>
      </c>
      <c r="H268" s="241" t="n">
        <v>10</v>
      </c>
      <c r="I268" s="241" t="n">
        <v>33.1</v>
      </c>
      <c r="J268" s="241" t="n">
        <v>33.1</v>
      </c>
      <c r="K268" s="241" t="n">
        <v>32.8</v>
      </c>
      <c r="L268" s="242" t="n">
        <v>3244000</v>
      </c>
      <c r="M268" s="241" t="n">
        <v>1.07</v>
      </c>
      <c r="N268" s="241" t="n">
        <v>58.89</v>
      </c>
      <c r="O268" s="241" t="n">
        <v>58.89</v>
      </c>
      <c r="P268" s="241" t="n">
        <v>1.1</v>
      </c>
    </row>
    <row r="269">
      <c r="A269" s="282" t="inlineStr">
        <is>
          <t>2007-02-08</t>
        </is>
      </c>
      <c r="B269" s="240">
        <f>IFERROR(1/P269-1,B268)</f>
        <v/>
      </c>
      <c r="C269" s="240">
        <f>$C$3</f>
        <v/>
      </c>
      <c r="D269" s="240">
        <f>$D$3</f>
        <v/>
      </c>
      <c r="E269" s="240">
        <f>$E$3</f>
        <v/>
      </c>
      <c r="F269" s="241" t="n">
        <v>39.68</v>
      </c>
      <c r="G269" s="242" t="n">
        <v>4432571</v>
      </c>
      <c r="H269" s="241" t="n">
        <v>10.01</v>
      </c>
      <c r="I269" s="241" t="n">
        <v>46.42</v>
      </c>
      <c r="J269" s="241" t="n">
        <v>46.42</v>
      </c>
      <c r="K269" s="241" t="n">
        <v>33.78</v>
      </c>
      <c r="L269" s="242" t="n">
        <v>2627000</v>
      </c>
      <c r="M269" s="241" t="n">
        <v>3.03</v>
      </c>
      <c r="N269" s="241" t="n">
        <v>63.7</v>
      </c>
      <c r="O269" s="241" t="n">
        <v>63.7</v>
      </c>
      <c r="P269" s="241" t="n">
        <v>1.17</v>
      </c>
    </row>
    <row r="270">
      <c r="A270" s="282" t="inlineStr">
        <is>
          <t>2007-02-09</t>
        </is>
      </c>
      <c r="B270" s="240">
        <f>IFERROR(1/P270-1,B269)</f>
        <v/>
      </c>
      <c r="C270" s="240">
        <f>$C$3</f>
        <v/>
      </c>
      <c r="D270" s="240">
        <f>$D$3</f>
        <v/>
      </c>
      <c r="E270" s="240">
        <f>$E$3</f>
        <v/>
      </c>
      <c r="F270" s="241" t="n">
        <v>39.77</v>
      </c>
      <c r="G270" s="242" t="n">
        <v>8984517</v>
      </c>
      <c r="H270" s="241" t="n">
        <v>0.23</v>
      </c>
      <c r="I270" s="241" t="n">
        <v>46.75</v>
      </c>
      <c r="J270" s="241" t="n">
        <v>46.75</v>
      </c>
      <c r="K270" s="241" t="n">
        <v>33.75</v>
      </c>
      <c r="L270" s="242" t="n">
        <v>1497432</v>
      </c>
      <c r="M270" s="241" t="n">
        <v>-0.15</v>
      </c>
      <c r="N270" s="241" t="n">
        <v>63.46</v>
      </c>
      <c r="O270" s="241" t="n">
        <v>63.46</v>
      </c>
      <c r="P270" s="241" t="n">
        <v>1.18</v>
      </c>
    </row>
    <row r="271">
      <c r="A271" s="282" t="inlineStr">
        <is>
          <t>2007-02-12</t>
        </is>
      </c>
      <c r="B271" s="240">
        <f>IFERROR(1/P271-1,B270)</f>
        <v/>
      </c>
      <c r="C271" s="240">
        <f>$C$3</f>
        <v/>
      </c>
      <c r="D271" s="240">
        <f>$D$3</f>
        <v/>
      </c>
      <c r="E271" s="240">
        <f>$E$3</f>
        <v/>
      </c>
      <c r="F271" s="241" t="n">
        <v>42.55</v>
      </c>
      <c r="G271" s="242" t="n">
        <v>3832905</v>
      </c>
      <c r="H271" s="241" t="n">
        <v>6.99</v>
      </c>
      <c r="I271" s="241" t="n">
        <v>57.01</v>
      </c>
      <c r="J271" s="241" t="n">
        <v>57.01</v>
      </c>
      <c r="K271" s="241" t="n">
        <v>33.43</v>
      </c>
      <c r="L271" s="242" t="n">
        <v>1339000</v>
      </c>
      <c r="M271" s="241" t="n">
        <v>-1.03</v>
      </c>
      <c r="N271" s="241" t="n">
        <v>61.78</v>
      </c>
      <c r="O271" s="241" t="n">
        <v>61.78</v>
      </c>
      <c r="P271" s="241" t="n">
        <v>1.27</v>
      </c>
    </row>
    <row r="272">
      <c r="A272" s="282" t="inlineStr">
        <is>
          <t>2007-02-13</t>
        </is>
      </c>
      <c r="B272" s="240">
        <f>IFERROR(1/P272-1,B271)</f>
        <v/>
      </c>
      <c r="C272" s="240">
        <f>$C$3</f>
        <v/>
      </c>
      <c r="D272" s="240">
        <f>$D$3</f>
        <v/>
      </c>
      <c r="E272" s="240">
        <f>$E$3</f>
        <v/>
      </c>
      <c r="F272" s="241" t="n">
        <v>41.51</v>
      </c>
      <c r="G272" s="242" t="n">
        <v>2933171</v>
      </c>
      <c r="H272" s="241" t="n">
        <v>-2.44</v>
      </c>
      <c r="I272" s="241" t="n">
        <v>53.17</v>
      </c>
      <c r="J272" s="241" t="n">
        <v>53.17</v>
      </c>
      <c r="K272" s="241" t="n">
        <v>31.61</v>
      </c>
      <c r="L272" s="242" t="n">
        <v>2240000</v>
      </c>
      <c r="M272" s="241" t="n">
        <v>-5.5</v>
      </c>
      <c r="N272" s="241" t="n">
        <v>52.88</v>
      </c>
      <c r="O272" s="241" t="n">
        <v>52.88</v>
      </c>
      <c r="P272" s="241" t="n">
        <v>1.31</v>
      </c>
    </row>
    <row r="273">
      <c r="A273" s="282" t="inlineStr">
        <is>
          <t>2007-02-14</t>
        </is>
      </c>
      <c r="B273" s="240">
        <f>IFERROR(1/P273-1,B272)</f>
        <v/>
      </c>
      <c r="C273" s="240">
        <f>$C$3</f>
        <v/>
      </c>
      <c r="D273" s="240">
        <f>$D$3</f>
        <v/>
      </c>
      <c r="E273" s="240">
        <f>$E$3</f>
        <v/>
      </c>
      <c r="F273" s="241" t="n">
        <v>42.04</v>
      </c>
      <c r="G273" s="242" t="n">
        <v>3700637</v>
      </c>
      <c r="H273" s="241" t="n">
        <v>1.28</v>
      </c>
      <c r="I273" s="241" t="n">
        <v>55.13</v>
      </c>
      <c r="J273" s="241" t="n">
        <v>55.13</v>
      </c>
      <c r="K273" s="241" t="n">
        <v>30.37</v>
      </c>
      <c r="L273" s="242" t="n">
        <v>2526000</v>
      </c>
      <c r="M273" s="241" t="n">
        <v>-3.77</v>
      </c>
      <c r="N273" s="241" t="n">
        <v>47.12</v>
      </c>
      <c r="O273" s="241" t="n">
        <v>47.12</v>
      </c>
      <c r="P273" s="241" t="n">
        <v>1.38</v>
      </c>
    </row>
    <row r="274">
      <c r="A274" s="282" t="inlineStr">
        <is>
          <t>2007-02-15</t>
        </is>
      </c>
      <c r="B274" s="240">
        <f>IFERROR(1/P274-1,B273)</f>
        <v/>
      </c>
      <c r="C274" s="240">
        <f>$C$3</f>
        <v/>
      </c>
      <c r="D274" s="240">
        <f>$D$3</f>
        <v/>
      </c>
      <c r="E274" s="240">
        <f>$E$3</f>
        <v/>
      </c>
      <c r="F274" s="241" t="n">
        <v>45.78</v>
      </c>
      <c r="G274" s="242" t="n">
        <v>3040928</v>
      </c>
      <c r="H274" s="241" t="n">
        <v>8.9</v>
      </c>
      <c r="I274" s="241" t="n">
        <v>68.93000000000001</v>
      </c>
      <c r="J274" s="241" t="n">
        <v>68.93000000000001</v>
      </c>
      <c r="K274" s="241" t="n">
        <v>30.42</v>
      </c>
      <c r="L274" s="242" t="n">
        <v>1672000</v>
      </c>
      <c r="M274" s="241" t="n">
        <v>0.16</v>
      </c>
      <c r="N274" s="241" t="n">
        <v>47.36</v>
      </c>
      <c r="O274" s="241" t="n">
        <v>47.36</v>
      </c>
      <c r="P274" s="241" t="n">
        <v>1.5</v>
      </c>
    </row>
    <row r="275">
      <c r="A275" s="282" t="inlineStr">
        <is>
          <t>2007-02-16</t>
        </is>
      </c>
      <c r="B275" s="240">
        <f>IFERROR(1/P275-1,B274)</f>
        <v/>
      </c>
      <c r="C275" s="240">
        <f>$C$3</f>
        <v/>
      </c>
      <c r="D275" s="240">
        <f>$D$3</f>
        <v/>
      </c>
      <c r="E275" s="240">
        <f>$E$3</f>
        <v/>
      </c>
      <c r="F275" s="241" t="n">
        <v>45.51</v>
      </c>
      <c r="G275" s="242" t="n">
        <v>1326468</v>
      </c>
      <c r="H275" s="241" t="n">
        <v>-0.59</v>
      </c>
      <c r="I275" s="241" t="n">
        <v>67.93000000000001</v>
      </c>
      <c r="J275" s="241" t="n">
        <v>67.93000000000001</v>
      </c>
      <c r="K275" s="241" t="n">
        <v>32.42</v>
      </c>
      <c r="L275" s="242" t="n">
        <v>982000</v>
      </c>
      <c r="M275" s="241" t="n">
        <v>6.69</v>
      </c>
      <c r="N275" s="241" t="n">
        <v>57.21</v>
      </c>
      <c r="O275" s="241" t="n">
        <v>57.21</v>
      </c>
      <c r="P275" s="241" t="n">
        <v>1.4</v>
      </c>
    </row>
    <row r="276">
      <c r="A276" s="282" t="inlineStr">
        <is>
          <t>2007-02-26</t>
        </is>
      </c>
      <c r="B276" s="240">
        <f>IFERROR(1/P276-1,B275)</f>
        <v/>
      </c>
      <c r="C276" s="240">
        <f>$C$3</f>
        <v/>
      </c>
      <c r="D276" s="240">
        <f>$D$3</f>
        <v/>
      </c>
      <c r="E276" s="240">
        <f>$E$3</f>
        <v/>
      </c>
      <c r="F276" s="241" t="n">
        <v>43.87</v>
      </c>
      <c r="G276" s="242" t="n">
        <v>1503839</v>
      </c>
      <c r="H276" s="241" t="n">
        <v>-3.6</v>
      </c>
      <c r="I276" s="241" t="n">
        <v>61.88</v>
      </c>
      <c r="J276" s="241" t="n">
        <v>61.88</v>
      </c>
      <c r="K276" s="241" t="n">
        <v>35.38</v>
      </c>
      <c r="L276" s="242" t="n">
        <v>1200000</v>
      </c>
      <c r="M276" s="241" t="n">
        <v>2.15</v>
      </c>
      <c r="N276" s="241" t="n">
        <v>71.39</v>
      </c>
      <c r="O276" s="241" t="n">
        <v>71.39</v>
      </c>
      <c r="P276" s="241" t="n">
        <v>1.24</v>
      </c>
    </row>
    <row r="277">
      <c r="A277" s="282" t="inlineStr">
        <is>
          <t>2007-02-27</t>
        </is>
      </c>
      <c r="B277" s="240">
        <f>IFERROR(1/P277-1,B276)</f>
        <v/>
      </c>
      <c r="C277" s="240">
        <f>$C$3</f>
        <v/>
      </c>
      <c r="D277" s="240">
        <f>$D$3</f>
        <v/>
      </c>
      <c r="E277" s="240">
        <f>$E$3</f>
        <v/>
      </c>
      <c r="F277" s="241" t="n">
        <v>43.87</v>
      </c>
      <c r="G277" s="242" t="n">
        <v>0</v>
      </c>
      <c r="H277" s="241" t="n">
        <v>0</v>
      </c>
      <c r="I277" s="241" t="n">
        <v>61.88</v>
      </c>
      <c r="J277" s="241" t="n">
        <v>61.88</v>
      </c>
      <c r="K277" s="241" t="n">
        <v>33.72</v>
      </c>
      <c r="L277" s="242" t="n">
        <v>824000</v>
      </c>
      <c r="M277" s="241" t="n">
        <v>-4.63</v>
      </c>
      <c r="N277" s="241" t="n">
        <v>63.46</v>
      </c>
      <c r="O277" s="241" t="n">
        <v>63.46</v>
      </c>
      <c r="P277" s="241" t="n">
        <v>1.3</v>
      </c>
    </row>
    <row r="278">
      <c r="A278" s="282" t="inlineStr">
        <is>
          <t>2007-02-28</t>
        </is>
      </c>
      <c r="B278" s="240">
        <f>IFERROR(1/P278-1,B277)</f>
        <v/>
      </c>
      <c r="C278" s="240">
        <f>$C$3</f>
        <v/>
      </c>
      <c r="D278" s="240">
        <f>$D$3</f>
        <v/>
      </c>
      <c r="E278" s="240">
        <f>$E$3</f>
        <v/>
      </c>
      <c r="F278" s="241" t="n">
        <v>41.68</v>
      </c>
      <c r="G278" s="242" t="n">
        <v>3037900</v>
      </c>
      <c r="H278" s="241" t="n">
        <v>-4.99</v>
      </c>
      <c r="I278" s="241" t="n">
        <v>53.8</v>
      </c>
      <c r="J278" s="241" t="n">
        <v>53.8</v>
      </c>
      <c r="K278" s="241" t="n">
        <v>31.7</v>
      </c>
      <c r="L278" s="242" t="n">
        <v>1669000</v>
      </c>
      <c r="M278" s="241" t="n">
        <v>-5.88</v>
      </c>
      <c r="N278" s="241" t="n">
        <v>53.85</v>
      </c>
      <c r="O278" s="241" t="n">
        <v>53.85</v>
      </c>
      <c r="P278" s="241" t="n">
        <v>1.31</v>
      </c>
    </row>
    <row r="279">
      <c r="A279" s="282" t="inlineStr">
        <is>
          <t>2007-03-01</t>
        </is>
      </c>
      <c r="B279" s="240">
        <f>IFERROR(1/P279-1,B278)</f>
        <v/>
      </c>
      <c r="C279" s="240">
        <f>$C$3</f>
        <v/>
      </c>
      <c r="D279" s="240">
        <f>$D$3</f>
        <v/>
      </c>
      <c r="E279" s="240">
        <f>$E$3</f>
        <v/>
      </c>
      <c r="F279" s="241" t="n">
        <v>40.7</v>
      </c>
      <c r="G279" s="242" t="n">
        <v>1736322</v>
      </c>
      <c r="H279" s="241" t="n">
        <v>-2.35</v>
      </c>
      <c r="I279" s="241" t="n">
        <v>50.18</v>
      </c>
      <c r="J279" s="241" t="n">
        <v>50.18</v>
      </c>
      <c r="K279" s="241" t="n">
        <v>30.74</v>
      </c>
      <c r="L279" s="242" t="n">
        <v>2440000</v>
      </c>
      <c r="M279" s="241" t="n">
        <v>-3.13</v>
      </c>
      <c r="N279" s="241" t="n">
        <v>49.04</v>
      </c>
      <c r="O279" s="241" t="n">
        <v>49.04</v>
      </c>
      <c r="P279" s="241" t="n">
        <v>1.32</v>
      </c>
    </row>
    <row r="280">
      <c r="A280" s="282" t="inlineStr">
        <is>
          <t>2007-03-02</t>
        </is>
      </c>
      <c r="B280" s="240">
        <f>IFERROR(1/P280-1,B279)</f>
        <v/>
      </c>
      <c r="C280" s="240">
        <f>$C$3</f>
        <v/>
      </c>
      <c r="D280" s="240">
        <f>$D$3</f>
        <v/>
      </c>
      <c r="E280" s="240">
        <f>$E$3</f>
        <v/>
      </c>
      <c r="F280" s="241" t="n">
        <v>41.2</v>
      </c>
      <c r="G280" s="242" t="n">
        <v>1430786</v>
      </c>
      <c r="H280" s="241" t="n">
        <v>1.23</v>
      </c>
      <c r="I280" s="241" t="n">
        <v>52.03</v>
      </c>
      <c r="J280" s="241" t="n">
        <v>52.03</v>
      </c>
      <c r="K280" s="241" t="n">
        <v>30.24</v>
      </c>
      <c r="L280" s="242" t="n">
        <v>750000</v>
      </c>
      <c r="M280" s="241" t="n">
        <v>-1.61</v>
      </c>
      <c r="N280" s="241" t="n">
        <v>46.63</v>
      </c>
      <c r="O280" s="241" t="n">
        <v>46.63</v>
      </c>
      <c r="P280" s="241" t="n">
        <v>1.36</v>
      </c>
    </row>
    <row r="281">
      <c r="A281" s="282" t="inlineStr">
        <is>
          <t>2007-03-05</t>
        </is>
      </c>
      <c r="B281" s="240">
        <f>IFERROR(1/P281-1,B280)</f>
        <v/>
      </c>
      <c r="C281" s="240">
        <f>$C$3</f>
        <v/>
      </c>
      <c r="D281" s="240">
        <f>$D$3</f>
        <v/>
      </c>
      <c r="E281" s="240">
        <f>$E$3</f>
        <v/>
      </c>
      <c r="F281" s="241" t="n">
        <v>41.87</v>
      </c>
      <c r="G281" s="242" t="n">
        <v>1723052</v>
      </c>
      <c r="H281" s="241" t="n">
        <v>1.63</v>
      </c>
      <c r="I281" s="241" t="n">
        <v>54.5</v>
      </c>
      <c r="J281" s="241" t="n">
        <v>54.5</v>
      </c>
      <c r="K281" s="241" t="n">
        <v>27.69</v>
      </c>
      <c r="L281" s="242" t="n">
        <v>1234000</v>
      </c>
      <c r="M281" s="241" t="n">
        <v>-8.359999999999999</v>
      </c>
      <c r="N281" s="241" t="n">
        <v>34.38</v>
      </c>
      <c r="O281" s="241" t="n">
        <v>34.38</v>
      </c>
      <c r="P281" s="241" t="n">
        <v>1.51</v>
      </c>
    </row>
    <row r="282">
      <c r="A282" s="282" t="inlineStr">
        <is>
          <t>2007-03-06</t>
        </is>
      </c>
      <c r="B282" s="240">
        <f>IFERROR(1/P282-1,B281)</f>
        <v/>
      </c>
      <c r="C282" s="240">
        <f>$C$3</f>
        <v/>
      </c>
      <c r="D282" s="240">
        <f>$D$3</f>
        <v/>
      </c>
      <c r="E282" s="240">
        <f>$E$3</f>
        <v/>
      </c>
      <c r="F282" s="241" t="n">
        <v>41.98</v>
      </c>
      <c r="G282" s="242" t="n">
        <v>872794</v>
      </c>
      <c r="H282" s="241" t="n">
        <v>0.26</v>
      </c>
      <c r="I282" s="241" t="n">
        <v>40.83</v>
      </c>
      <c r="J282" s="241" t="n">
        <v>54.91</v>
      </c>
      <c r="K282" s="241" t="n">
        <v>28.7</v>
      </c>
      <c r="L282" s="242" t="n">
        <v>1910000</v>
      </c>
      <c r="M282" s="241" t="n">
        <v>3.58</v>
      </c>
      <c r="N282" s="241" t="n">
        <v>-2.53</v>
      </c>
      <c r="O282" s="241" t="n">
        <v>39.18</v>
      </c>
      <c r="P282" s="241" t="n">
        <v>1.46</v>
      </c>
    </row>
    <row r="283">
      <c r="A283" s="282" t="inlineStr">
        <is>
          <t>2007-03-07</t>
        </is>
      </c>
      <c r="B283" s="240">
        <f>IFERROR(1/P283-1,B282)</f>
        <v/>
      </c>
      <c r="C283" s="240">
        <f>$C$3</f>
        <v/>
      </c>
      <c r="D283" s="240">
        <f>$D$3</f>
        <v/>
      </c>
      <c r="E283" s="240">
        <f>$E$3</f>
        <v/>
      </c>
      <c r="F283" s="241" t="n">
        <v>44.09</v>
      </c>
      <c r="G283" s="242" t="n">
        <v>1661889</v>
      </c>
      <c r="H283" s="241" t="n">
        <v>5.03</v>
      </c>
      <c r="I283" s="241" t="n">
        <v>34.46</v>
      </c>
      <c r="J283" s="241" t="n">
        <v>62.69</v>
      </c>
      <c r="K283" s="241" t="n">
        <v>30.22</v>
      </c>
      <c r="L283" s="242" t="n">
        <v>1158000</v>
      </c>
      <c r="M283" s="241" t="n">
        <v>5.35</v>
      </c>
      <c r="N283" s="241" t="n">
        <v>-6.73</v>
      </c>
      <c r="O283" s="241" t="n">
        <v>46.63</v>
      </c>
      <c r="P283" s="241" t="n">
        <v>1.46</v>
      </c>
    </row>
    <row r="284">
      <c r="A284" s="282" t="inlineStr">
        <is>
          <t>2007-03-08</t>
        </is>
      </c>
      <c r="B284" s="240">
        <f>IFERROR(1/P284-1,B283)</f>
        <v/>
      </c>
      <c r="C284" s="240">
        <f>$C$3</f>
        <v/>
      </c>
      <c r="D284" s="240">
        <f>$D$3</f>
        <v/>
      </c>
      <c r="E284" s="240">
        <f>$E$3</f>
        <v/>
      </c>
      <c r="F284" s="241" t="n">
        <v>44.57</v>
      </c>
      <c r="G284" s="242" t="n">
        <v>632526</v>
      </c>
      <c r="H284" s="241" t="n">
        <v>1.09</v>
      </c>
      <c r="I284" s="241" t="n">
        <v>23.57</v>
      </c>
      <c r="J284" s="241" t="n">
        <v>64.45999999999999</v>
      </c>
      <c r="K284" s="241" t="n">
        <v>30.39</v>
      </c>
      <c r="L284" s="242" t="n">
        <v>570000</v>
      </c>
      <c r="M284" s="241" t="n">
        <v>0.66</v>
      </c>
      <c r="N284" s="241" t="n">
        <v>-7.11</v>
      </c>
      <c r="O284" s="241" t="n">
        <v>47.6</v>
      </c>
      <c r="P284" s="241" t="n">
        <v>1.47</v>
      </c>
    </row>
    <row r="285">
      <c r="A285" s="282" t="inlineStr">
        <is>
          <t>2007-03-09</t>
        </is>
      </c>
      <c r="B285" s="240">
        <f>IFERROR(1/P285-1,B284)</f>
        <v/>
      </c>
      <c r="C285" s="240">
        <f>$C$3</f>
        <v/>
      </c>
      <c r="D285" s="240">
        <f>$D$3</f>
        <v/>
      </c>
      <c r="E285" s="240">
        <f>$E$3</f>
        <v/>
      </c>
      <c r="F285" s="241" t="n">
        <v>45.96</v>
      </c>
      <c r="G285" s="242" t="n">
        <v>1223110</v>
      </c>
      <c r="H285" s="241" t="n">
        <v>3.12</v>
      </c>
      <c r="I285" s="241" t="n">
        <v>15.83</v>
      </c>
      <c r="J285" s="241" t="n">
        <v>69.59</v>
      </c>
      <c r="K285" s="241" t="n">
        <v>30.73</v>
      </c>
      <c r="L285" s="242" t="n">
        <v>412000</v>
      </c>
      <c r="M285" s="241" t="n">
        <v>0.98</v>
      </c>
      <c r="N285" s="241" t="n">
        <v>-8.960000000000001</v>
      </c>
      <c r="O285" s="241" t="n">
        <v>49.04</v>
      </c>
      <c r="P285" s="241" t="n">
        <v>1.5</v>
      </c>
    </row>
    <row r="286">
      <c r="A286" s="282" t="inlineStr">
        <is>
          <t>2007-03-12</t>
        </is>
      </c>
      <c r="B286" s="240">
        <f>IFERROR(1/P286-1,B285)</f>
        <v/>
      </c>
      <c r="C286" s="240">
        <f>$C$3</f>
        <v/>
      </c>
      <c r="D286" s="240">
        <f>$D$3</f>
        <v/>
      </c>
      <c r="E286" s="240">
        <f>$E$3</f>
        <v/>
      </c>
      <c r="F286" s="241" t="n">
        <v>47.85</v>
      </c>
      <c r="G286" s="242" t="n">
        <v>1141950</v>
      </c>
      <c r="H286" s="241" t="n">
        <v>4.11</v>
      </c>
      <c r="I286" s="241" t="n">
        <v>20.32</v>
      </c>
      <c r="J286" s="241" t="n">
        <v>76.56999999999999</v>
      </c>
      <c r="K286" s="241" t="n">
        <v>33.11</v>
      </c>
      <c r="L286" s="242" t="n">
        <v>770000</v>
      </c>
      <c r="M286" s="241" t="n">
        <v>7.74</v>
      </c>
      <c r="N286" s="241" t="n">
        <v>-1.76</v>
      </c>
      <c r="O286" s="241" t="n">
        <v>60.58</v>
      </c>
      <c r="P286" s="241" t="n">
        <v>1.45</v>
      </c>
    </row>
    <row r="287">
      <c r="A287" s="282" t="inlineStr">
        <is>
          <t>2007-03-13</t>
        </is>
      </c>
      <c r="B287" s="240">
        <f>IFERROR(1/P287-1,B286)</f>
        <v/>
      </c>
      <c r="C287" s="240">
        <f>$C$3</f>
        <v/>
      </c>
      <c r="D287" s="240">
        <f>$D$3</f>
        <v/>
      </c>
      <c r="E287" s="240">
        <f>$E$3</f>
        <v/>
      </c>
      <c r="F287" s="241" t="n">
        <v>47.89</v>
      </c>
      <c r="G287" s="242" t="n">
        <v>1266311</v>
      </c>
      <c r="H287" s="241" t="n">
        <v>0.08</v>
      </c>
      <c r="I287" s="241" t="n">
        <v>12.55</v>
      </c>
      <c r="J287" s="241" t="n">
        <v>76.72</v>
      </c>
      <c r="K287" s="241" t="n">
        <v>32.98</v>
      </c>
      <c r="L287" s="242" t="n">
        <v>1627000</v>
      </c>
      <c r="M287" s="241" t="n">
        <v>-0.3</v>
      </c>
      <c r="N287" s="241" t="n">
        <v>-1.04</v>
      </c>
      <c r="O287" s="241" t="n">
        <v>60.1</v>
      </c>
      <c r="P287" s="241" t="n">
        <v>1.45</v>
      </c>
    </row>
    <row r="288">
      <c r="A288" s="282" t="inlineStr">
        <is>
          <t>2007-03-14</t>
        </is>
      </c>
      <c r="B288" s="240">
        <f>IFERROR(1/P288-1,B287)</f>
        <v/>
      </c>
      <c r="C288" s="240">
        <f>$C$3</f>
        <v/>
      </c>
      <c r="D288" s="240">
        <f>$D$3</f>
        <v/>
      </c>
      <c r="E288" s="240">
        <f>$E$3</f>
        <v/>
      </c>
      <c r="F288" s="241" t="n">
        <v>46</v>
      </c>
      <c r="G288" s="242" t="n">
        <v>1040146</v>
      </c>
      <c r="H288" s="241" t="n">
        <v>-3.95</v>
      </c>
      <c r="I288" s="241" t="n">
        <v>10.82</v>
      </c>
      <c r="J288" s="241" t="n">
        <v>69.73999999999999</v>
      </c>
      <c r="K288" s="241" t="n">
        <v>32.23</v>
      </c>
      <c r="L288" s="242" t="n">
        <v>622000</v>
      </c>
      <c r="M288" s="241" t="n">
        <v>-2.25</v>
      </c>
      <c r="N288" s="241" t="n">
        <v>2.36</v>
      </c>
      <c r="O288" s="241" t="n">
        <v>56.49</v>
      </c>
      <c r="P288" s="241" t="n">
        <v>1.43</v>
      </c>
    </row>
    <row r="289">
      <c r="A289" s="282" t="inlineStr">
        <is>
          <t>2007-03-15</t>
        </is>
      </c>
      <c r="B289" s="240">
        <f>IFERROR(1/P289-1,B288)</f>
        <v/>
      </c>
      <c r="C289" s="240">
        <f>$C$3</f>
        <v/>
      </c>
      <c r="D289" s="240">
        <f>$D$3</f>
        <v/>
      </c>
      <c r="E289" s="240">
        <f>$E$3</f>
        <v/>
      </c>
      <c r="F289" s="241" t="n">
        <v>45.6</v>
      </c>
      <c r="G289" s="242" t="n">
        <v>1159620</v>
      </c>
      <c r="H289" s="241" t="n">
        <v>-0.87</v>
      </c>
      <c r="I289" s="241" t="n">
        <v>8.470000000000001</v>
      </c>
      <c r="J289" s="241" t="n">
        <v>68.27</v>
      </c>
      <c r="K289" s="241" t="n">
        <v>33.49</v>
      </c>
      <c r="L289" s="242" t="n">
        <v>348000</v>
      </c>
      <c r="M289" s="241" t="n">
        <v>3.84</v>
      </c>
      <c r="N289" s="241" t="n">
        <v>10.46</v>
      </c>
      <c r="O289" s="241" t="n">
        <v>62.5</v>
      </c>
      <c r="P289" s="241" t="n">
        <v>1.36</v>
      </c>
    </row>
    <row r="290">
      <c r="A290" s="282" t="inlineStr">
        <is>
          <t>2007-03-16</t>
        </is>
      </c>
      <c r="B290" s="240">
        <f>IFERROR(1/P290-1,B289)</f>
        <v/>
      </c>
      <c r="C290" s="240">
        <f>$C$3</f>
        <v/>
      </c>
      <c r="D290" s="240">
        <f>$D$3</f>
        <v/>
      </c>
      <c r="E290" s="240">
        <f>$E$3</f>
        <v/>
      </c>
      <c r="F290" s="241" t="n">
        <v>44.68</v>
      </c>
      <c r="G290" s="242" t="n">
        <v>682798</v>
      </c>
      <c r="H290" s="241" t="n">
        <v>-2.02</v>
      </c>
      <c r="I290" s="241" t="n">
        <v>-2.4</v>
      </c>
      <c r="J290" s="241" t="n">
        <v>64.87</v>
      </c>
      <c r="K290" s="241" t="n">
        <v>33.29</v>
      </c>
      <c r="L290" s="242" t="n">
        <v>398000</v>
      </c>
      <c r="M290" s="241" t="n">
        <v>-0.59</v>
      </c>
      <c r="N290" s="241" t="n">
        <v>9.619999999999999</v>
      </c>
      <c r="O290" s="241" t="n">
        <v>61.54</v>
      </c>
      <c r="P290" s="241" t="n">
        <v>1.34</v>
      </c>
    </row>
    <row r="291">
      <c r="A291" s="282" t="inlineStr">
        <is>
          <t>2007-03-19</t>
        </is>
      </c>
      <c r="B291" s="240">
        <f>IFERROR(1/P291-1,B290)</f>
        <v/>
      </c>
      <c r="C291" s="240">
        <f>$C$3</f>
        <v/>
      </c>
      <c r="D291" s="240">
        <f>$D$3</f>
        <v/>
      </c>
      <c r="E291" s="240">
        <f>$E$3</f>
        <v/>
      </c>
      <c r="F291" s="241" t="n">
        <v>44.8</v>
      </c>
      <c r="G291" s="242" t="n">
        <v>680832</v>
      </c>
      <c r="H291" s="241" t="n">
        <v>0.27</v>
      </c>
      <c r="I291" s="241" t="n">
        <v>-1.56</v>
      </c>
      <c r="J291" s="241" t="n">
        <v>65.31</v>
      </c>
      <c r="K291" s="241" t="n">
        <v>34.11</v>
      </c>
      <c r="L291" s="242" t="n">
        <v>214000</v>
      </c>
      <c r="M291" s="241" t="n">
        <v>2.53</v>
      </c>
      <c r="N291" s="241" t="n">
        <v>5.35</v>
      </c>
      <c r="O291" s="241" t="n">
        <v>65.63</v>
      </c>
      <c r="P291" s="241" t="n">
        <v>1.31</v>
      </c>
    </row>
    <row r="292">
      <c r="A292" s="282" t="inlineStr">
        <is>
          <t>2007-03-20</t>
        </is>
      </c>
      <c r="B292" s="240">
        <f>IFERROR(1/P292-1,B291)</f>
        <v/>
      </c>
      <c r="C292" s="240">
        <f>$C$3</f>
        <v/>
      </c>
      <c r="D292" s="240">
        <f>$D$3</f>
        <v/>
      </c>
      <c r="E292" s="240">
        <f>$E$3</f>
        <v/>
      </c>
      <c r="F292" s="241" t="n">
        <v>44.58</v>
      </c>
      <c r="G292" s="242" t="n">
        <v>621546</v>
      </c>
      <c r="H292" s="241" t="n">
        <v>-0.49</v>
      </c>
      <c r="I292" s="241" t="n">
        <v>-2.04</v>
      </c>
      <c r="J292" s="241" t="n">
        <v>64.5</v>
      </c>
      <c r="K292" s="241" t="n">
        <v>32.89</v>
      </c>
      <c r="L292" s="242" t="n">
        <v>736000</v>
      </c>
      <c r="M292" s="241" t="n">
        <v>-3.63</v>
      </c>
      <c r="N292" s="241" t="n">
        <v>1.53</v>
      </c>
      <c r="O292" s="241" t="n">
        <v>59.62</v>
      </c>
      <c r="P292" s="241" t="n">
        <v>1.36</v>
      </c>
    </row>
    <row r="293">
      <c r="A293" s="282" t="inlineStr">
        <is>
          <t>2007-03-21</t>
        </is>
      </c>
      <c r="B293" s="240">
        <f>IFERROR(1/P293-1,B292)</f>
        <v/>
      </c>
      <c r="C293" s="240">
        <f>$C$3</f>
        <v/>
      </c>
      <c r="D293" s="240">
        <f>$D$3</f>
        <v/>
      </c>
      <c r="E293" s="240">
        <f>$E$3</f>
        <v/>
      </c>
      <c r="F293" s="241" t="n">
        <v>43.2</v>
      </c>
      <c r="G293" s="242" t="n">
        <v>994881</v>
      </c>
      <c r="H293" s="241" t="n">
        <v>-3.1</v>
      </c>
      <c r="I293" s="241" t="n">
        <v>-5.08</v>
      </c>
      <c r="J293" s="241" t="n">
        <v>59.41</v>
      </c>
      <c r="K293" s="241" t="n">
        <v>33.66</v>
      </c>
      <c r="L293" s="242" t="n">
        <v>516000</v>
      </c>
      <c r="M293" s="241" t="n">
        <v>2.41</v>
      </c>
      <c r="N293" s="241" t="n">
        <v>3.98</v>
      </c>
      <c r="O293" s="241" t="n">
        <v>63.46</v>
      </c>
      <c r="P293" s="241" t="n">
        <v>1.28</v>
      </c>
    </row>
    <row r="294">
      <c r="A294" s="282" t="inlineStr">
        <is>
          <t>2007-03-22</t>
        </is>
      </c>
      <c r="B294" s="240">
        <f>IFERROR(1/P294-1,B293)</f>
        <v/>
      </c>
      <c r="C294" s="240">
        <f>$C$3</f>
        <v/>
      </c>
      <c r="D294" s="240">
        <f>$D$3</f>
        <v/>
      </c>
      <c r="E294" s="240">
        <f>$E$3</f>
        <v/>
      </c>
      <c r="F294" s="241" t="n">
        <v>43.88</v>
      </c>
      <c r="G294" s="242" t="n">
        <v>1352861</v>
      </c>
      <c r="H294" s="241" t="n">
        <v>1.57</v>
      </c>
      <c r="I294" s="241" t="n">
        <v>-3.58</v>
      </c>
      <c r="J294" s="241" t="n">
        <v>61.92</v>
      </c>
      <c r="K294" s="241" t="n">
        <v>33.6</v>
      </c>
      <c r="L294" s="242" t="n">
        <v>666000</v>
      </c>
      <c r="M294" s="241" t="n">
        <v>-0.15</v>
      </c>
      <c r="N294" s="241" t="n">
        <v>2.88</v>
      </c>
      <c r="O294" s="241" t="n">
        <v>63.22</v>
      </c>
      <c r="P294" s="241" t="n">
        <v>1.31</v>
      </c>
    </row>
    <row r="295">
      <c r="A295" s="282" t="inlineStr">
        <is>
          <t>2007-03-23</t>
        </is>
      </c>
      <c r="B295" s="240">
        <f>IFERROR(1/P295-1,B294)</f>
        <v/>
      </c>
      <c r="C295" s="240">
        <f>$C$3</f>
        <v/>
      </c>
      <c r="D295" s="240">
        <f>$D$3</f>
        <v/>
      </c>
      <c r="E295" s="240">
        <f>$E$3</f>
        <v/>
      </c>
      <c r="F295" s="241" t="n">
        <v>42</v>
      </c>
      <c r="G295" s="242" t="n">
        <v>1970159</v>
      </c>
      <c r="H295" s="241" t="n">
        <v>-4.28</v>
      </c>
      <c r="I295" s="241" t="n">
        <v>-7.71</v>
      </c>
      <c r="J295" s="241" t="n">
        <v>54.98</v>
      </c>
      <c r="K295" s="241" t="n">
        <v>32.14</v>
      </c>
      <c r="L295" s="242" t="n">
        <v>566000</v>
      </c>
      <c r="M295" s="241" t="n">
        <v>-4.42</v>
      </c>
      <c r="N295" s="241" t="n">
        <v>-5.67</v>
      </c>
      <c r="O295" s="241" t="n">
        <v>56.01</v>
      </c>
      <c r="P295" s="241" t="n">
        <v>1.31</v>
      </c>
    </row>
    <row r="296">
      <c r="A296" s="282" t="inlineStr">
        <is>
          <t>2007-03-26</t>
        </is>
      </c>
      <c r="B296" s="240">
        <f>IFERROR(1/P296-1,B295)</f>
        <v/>
      </c>
      <c r="C296" s="240">
        <f>$C$3</f>
        <v/>
      </c>
      <c r="D296" s="240">
        <f>$D$3</f>
        <v/>
      </c>
      <c r="E296" s="240">
        <f>$E$3</f>
        <v/>
      </c>
      <c r="F296" s="241" t="n">
        <v>41.3</v>
      </c>
      <c r="G296" s="242" t="n">
        <v>1875822</v>
      </c>
      <c r="H296" s="241" t="n">
        <v>-1.67</v>
      </c>
      <c r="I296" s="241" t="n">
        <v>-9.25</v>
      </c>
      <c r="J296" s="241" t="n">
        <v>52.4</v>
      </c>
      <c r="K296" s="241" t="n">
        <v>32.89</v>
      </c>
      <c r="L296" s="242" t="n">
        <v>435882</v>
      </c>
      <c r="M296" s="241" t="n">
        <v>2.31</v>
      </c>
      <c r="N296" s="241" t="n">
        <v>-4.87</v>
      </c>
      <c r="O296" s="241" t="n">
        <v>59.62</v>
      </c>
      <c r="P296" s="241" t="n">
        <v>1.26</v>
      </c>
    </row>
    <row r="297">
      <c r="A297" s="282" t="inlineStr">
        <is>
          <t>2007-03-27</t>
        </is>
      </c>
      <c r="B297" s="240">
        <f>IFERROR(1/P297-1,B296)</f>
        <v/>
      </c>
      <c r="C297" s="240">
        <f>$C$3</f>
        <v/>
      </c>
      <c r="D297" s="240">
        <f>$D$3</f>
        <v/>
      </c>
      <c r="E297" s="240">
        <f>$E$3</f>
        <v/>
      </c>
      <c r="F297" s="241" t="n">
        <v>41.44</v>
      </c>
      <c r="G297" s="242" t="n">
        <v>2134520</v>
      </c>
      <c r="H297" s="241" t="n">
        <v>0.34</v>
      </c>
      <c r="I297" s="241" t="n">
        <v>-5.54</v>
      </c>
      <c r="J297" s="241" t="n">
        <v>52.92</v>
      </c>
      <c r="K297" s="241" t="n">
        <v>34.15</v>
      </c>
      <c r="L297" s="242" t="n">
        <v>762000</v>
      </c>
      <c r="M297" s="241" t="n">
        <v>3.92</v>
      </c>
      <c r="N297" s="241" t="n">
        <v>-3.23</v>
      </c>
      <c r="O297" s="241" t="n">
        <v>65.87</v>
      </c>
      <c r="P297" s="241" t="n">
        <v>1.21</v>
      </c>
    </row>
    <row r="298">
      <c r="A298" s="282" t="inlineStr">
        <is>
          <t>2007-03-28</t>
        </is>
      </c>
      <c r="B298" s="240">
        <f>IFERROR(1/P298-1,B297)</f>
        <v/>
      </c>
      <c r="C298" s="240">
        <f>$C$3</f>
        <v/>
      </c>
      <c r="D298" s="240">
        <f>$D$3</f>
        <v/>
      </c>
      <c r="E298" s="240">
        <f>$E$3</f>
        <v/>
      </c>
      <c r="F298" s="241" t="n">
        <v>43.49</v>
      </c>
      <c r="G298" s="242" t="n">
        <v>2598707</v>
      </c>
      <c r="H298" s="241" t="n">
        <v>4.95</v>
      </c>
      <c r="I298" s="241" t="n">
        <v>-0.87</v>
      </c>
      <c r="J298" s="241" t="n">
        <v>60.48</v>
      </c>
      <c r="K298" s="241" t="n">
        <v>32.46</v>
      </c>
      <c r="L298" s="242" t="n">
        <v>602000</v>
      </c>
      <c r="M298" s="241" t="n">
        <v>-4.93</v>
      </c>
      <c r="N298" s="241" t="n">
        <v>-3.53</v>
      </c>
      <c r="O298" s="241" t="n">
        <v>57.69</v>
      </c>
      <c r="P298" s="241" t="n">
        <v>1.34</v>
      </c>
    </row>
    <row r="299">
      <c r="A299" s="282" t="inlineStr">
        <is>
          <t>2007-03-29</t>
        </is>
      </c>
      <c r="B299" s="240">
        <f>IFERROR(1/P299-1,B298)</f>
        <v/>
      </c>
      <c r="C299" s="240">
        <f>$C$3</f>
        <v/>
      </c>
      <c r="D299" s="240">
        <f>$D$3</f>
        <v/>
      </c>
      <c r="E299" s="240">
        <f>$E$3</f>
        <v/>
      </c>
      <c r="F299" s="241" t="n">
        <v>42.97</v>
      </c>
      <c r="G299" s="242" t="n">
        <v>2847662</v>
      </c>
      <c r="H299" s="241" t="n">
        <v>-1.2</v>
      </c>
      <c r="I299" s="241" t="n">
        <v>-2.05</v>
      </c>
      <c r="J299" s="241" t="n">
        <v>58.56</v>
      </c>
      <c r="K299" s="241" t="n">
        <v>32.55</v>
      </c>
      <c r="L299" s="242" t="n">
        <v>544000</v>
      </c>
      <c r="M299" s="241" t="n">
        <v>0.3</v>
      </c>
      <c r="N299" s="241" t="n">
        <v>-3.24</v>
      </c>
      <c r="O299" s="241" t="n">
        <v>58.17</v>
      </c>
      <c r="P299" s="241" t="n">
        <v>1.32</v>
      </c>
    </row>
    <row r="300">
      <c r="A300" s="282" t="inlineStr">
        <is>
          <t>2007-03-30</t>
        </is>
      </c>
      <c r="B300" s="240">
        <f>IFERROR(1/P300-1,B299)</f>
        <v/>
      </c>
      <c r="C300" s="240">
        <f>$C$3</f>
        <v/>
      </c>
      <c r="D300" s="240">
        <f>$D$3</f>
        <v/>
      </c>
      <c r="E300" s="240">
        <f>$E$3</f>
        <v/>
      </c>
      <c r="F300" s="241" t="n">
        <v>42.82</v>
      </c>
      <c r="G300" s="242" t="n">
        <v>988931</v>
      </c>
      <c r="H300" s="241" t="n">
        <v>-0.35</v>
      </c>
      <c r="I300" s="241" t="n">
        <v>-2.39</v>
      </c>
      <c r="J300" s="241" t="n">
        <v>58.01</v>
      </c>
      <c r="K300" s="241" t="n">
        <v>32.17</v>
      </c>
      <c r="L300" s="242" t="n">
        <v>1260000</v>
      </c>
      <c r="M300" s="241" t="n">
        <v>-1.22</v>
      </c>
      <c r="N300" s="241" t="n">
        <v>-4.41</v>
      </c>
      <c r="O300" s="241" t="n">
        <v>56.25</v>
      </c>
      <c r="P300" s="241" t="n">
        <v>1.33</v>
      </c>
    </row>
    <row r="301">
      <c r="A301" s="282" t="inlineStr">
        <is>
          <t>2007-04-02</t>
        </is>
      </c>
      <c r="B301" s="240">
        <f>IFERROR(1/P301-1,B300)</f>
        <v/>
      </c>
      <c r="C301" s="240">
        <f>$C$3</f>
        <v/>
      </c>
      <c r="D301" s="240">
        <f>$D$3</f>
        <v/>
      </c>
      <c r="E301" s="240">
        <f>$E$3</f>
        <v/>
      </c>
      <c r="F301" s="241" t="n">
        <v>44.88</v>
      </c>
      <c r="G301" s="242" t="n">
        <v>2002632</v>
      </c>
      <c r="H301" s="241" t="n">
        <v>4.81</v>
      </c>
      <c r="I301" s="241" t="n">
        <v>10.27</v>
      </c>
      <c r="J301" s="241" t="n">
        <v>65.61</v>
      </c>
      <c r="K301" s="241" t="n">
        <v>31.56</v>
      </c>
      <c r="L301" s="242" t="n">
        <v>1074325</v>
      </c>
      <c r="M301" s="241" t="n">
        <v>-1.85</v>
      </c>
      <c r="N301" s="241" t="n">
        <v>2.9</v>
      </c>
      <c r="O301" s="241" t="n">
        <v>53.37</v>
      </c>
      <c r="P301" s="241" t="n">
        <v>1.42</v>
      </c>
    </row>
    <row r="302">
      <c r="A302" s="282" t="inlineStr">
        <is>
          <t>2007-04-03</t>
        </is>
      </c>
      <c r="B302" s="240">
        <f>IFERROR(1/P302-1,B301)</f>
        <v/>
      </c>
      <c r="C302" s="240">
        <f>$C$3</f>
        <v/>
      </c>
      <c r="D302" s="240">
        <f>$D$3</f>
        <v/>
      </c>
      <c r="E302" s="240">
        <f>$E$3</f>
        <v/>
      </c>
      <c r="F302" s="241" t="n">
        <v>46.12</v>
      </c>
      <c r="G302" s="242" t="n">
        <v>2734033</v>
      </c>
      <c r="H302" s="241" t="n">
        <v>2.76</v>
      </c>
      <c r="I302" s="241" t="n">
        <v>11.94</v>
      </c>
      <c r="J302" s="241" t="n">
        <v>70.18000000000001</v>
      </c>
      <c r="K302" s="241" t="n">
        <v>31.15</v>
      </c>
      <c r="L302" s="242" t="n">
        <v>922000</v>
      </c>
      <c r="M302" s="241" t="n">
        <v>-1.25</v>
      </c>
      <c r="N302" s="241" t="n">
        <v>3.28</v>
      </c>
      <c r="O302" s="241" t="n">
        <v>51.44</v>
      </c>
      <c r="P302" s="241" t="n">
        <v>1.48</v>
      </c>
    </row>
    <row r="303">
      <c r="A303" s="282" t="inlineStr">
        <is>
          <t>2007-04-04</t>
        </is>
      </c>
      <c r="B303" s="240">
        <f>IFERROR(1/P303-1,B302)</f>
        <v/>
      </c>
      <c r="C303" s="240">
        <f>$C$3</f>
        <v/>
      </c>
      <c r="D303" s="240">
        <f>$D$3</f>
        <v/>
      </c>
      <c r="E303" s="240">
        <f>$E$3</f>
        <v/>
      </c>
      <c r="F303" s="241" t="n">
        <v>47.35</v>
      </c>
      <c r="G303" s="242" t="n">
        <v>2590839</v>
      </c>
      <c r="H303" s="241" t="n">
        <v>2.67</v>
      </c>
      <c r="I303" s="241" t="n">
        <v>14.93</v>
      </c>
      <c r="J303" s="241" t="n">
        <v>74.72</v>
      </c>
      <c r="K303" s="241" t="n">
        <v>30.43</v>
      </c>
      <c r="L303" s="242" t="n">
        <v>1070000</v>
      </c>
      <c r="M303" s="241" t="n">
        <v>-2.38</v>
      </c>
      <c r="N303" s="241" t="n">
        <v>0.82</v>
      </c>
      <c r="O303" s="241" t="n">
        <v>47.84</v>
      </c>
      <c r="P303" s="241" t="n">
        <v>1.56</v>
      </c>
    </row>
    <row r="304">
      <c r="A304" s="282" t="inlineStr">
        <is>
          <t>2007-04-05</t>
        </is>
      </c>
      <c r="B304" s="240">
        <f>IFERROR(1/P304-1,B303)</f>
        <v/>
      </c>
      <c r="C304" s="240">
        <f>$C$3</f>
        <v/>
      </c>
      <c r="D304" s="240">
        <f>$D$3</f>
        <v/>
      </c>
      <c r="E304" s="240">
        <f>$E$3</f>
        <v/>
      </c>
      <c r="F304" s="241" t="n">
        <v>46.59</v>
      </c>
      <c r="G304" s="242" t="n">
        <v>1373551</v>
      </c>
      <c r="H304" s="241" t="n">
        <v>-1.61</v>
      </c>
      <c r="I304" s="241" t="n">
        <v>13.08</v>
      </c>
      <c r="J304" s="241" t="n">
        <v>71.92</v>
      </c>
      <c r="K304" s="239" t="inlineStr">
        <is>
          <t>--</t>
        </is>
      </c>
      <c r="L304" s="239" t="inlineStr">
        <is>
          <t>--</t>
        </is>
      </c>
      <c r="M304" s="239" t="inlineStr">
        <is>
          <t>--</t>
        </is>
      </c>
      <c r="N304" s="239" t="inlineStr">
        <is>
          <t>--</t>
        </is>
      </c>
      <c r="O304" s="239" t="inlineStr">
        <is>
          <t>--</t>
        </is>
      </c>
      <c r="P304" s="239" t="inlineStr">
        <is>
          <t>--</t>
        </is>
      </c>
    </row>
    <row r="305">
      <c r="A305" s="282" t="inlineStr">
        <is>
          <t>2007-04-06</t>
        </is>
      </c>
      <c r="B305" s="240">
        <f>IFERROR(1/P305-1,B304)</f>
        <v/>
      </c>
      <c r="C305" s="240">
        <f>$C$3</f>
        <v/>
      </c>
      <c r="D305" s="240">
        <f>$D$3</f>
        <v/>
      </c>
      <c r="E305" s="240">
        <f>$E$3</f>
        <v/>
      </c>
      <c r="F305" s="241" t="n">
        <v>46.32</v>
      </c>
      <c r="G305" s="242" t="n">
        <v>1109403</v>
      </c>
      <c r="H305" s="241" t="n">
        <v>-0.58</v>
      </c>
      <c r="I305" s="241" t="n">
        <v>10.63</v>
      </c>
      <c r="J305" s="241" t="n">
        <v>70.92</v>
      </c>
      <c r="K305" s="239" t="inlineStr">
        <is>
          <t>--</t>
        </is>
      </c>
      <c r="L305" s="239" t="inlineStr">
        <is>
          <t>--</t>
        </is>
      </c>
      <c r="M305" s="239" t="inlineStr">
        <is>
          <t>--</t>
        </is>
      </c>
      <c r="N305" s="239" t="inlineStr">
        <is>
          <t>--</t>
        </is>
      </c>
      <c r="O305" s="239" t="inlineStr">
        <is>
          <t>--</t>
        </is>
      </c>
      <c r="P305" s="239" t="inlineStr">
        <is>
          <t>--</t>
        </is>
      </c>
    </row>
    <row r="306">
      <c r="A306" s="282" t="inlineStr">
        <is>
          <t>2007-04-09</t>
        </is>
      </c>
      <c r="B306" s="240">
        <f>IFERROR(1/P306-1,B305)</f>
        <v/>
      </c>
      <c r="C306" s="240">
        <f>$C$3</f>
        <v/>
      </c>
      <c r="D306" s="240">
        <f>$D$3</f>
        <v/>
      </c>
      <c r="E306" s="240">
        <f>$E$3</f>
        <v/>
      </c>
      <c r="F306" s="241" t="n">
        <v>47.05</v>
      </c>
      <c r="G306" s="242" t="n">
        <v>1249894</v>
      </c>
      <c r="H306" s="241" t="n">
        <v>1.58</v>
      </c>
      <c r="I306" s="241" t="n">
        <v>5.56</v>
      </c>
      <c r="J306" s="241" t="n">
        <v>73.62</v>
      </c>
      <c r="K306" s="239" t="inlineStr">
        <is>
          <t>--</t>
        </is>
      </c>
      <c r="L306" s="239" t="inlineStr">
        <is>
          <t>--</t>
        </is>
      </c>
      <c r="M306" s="239" t="inlineStr">
        <is>
          <t>--</t>
        </is>
      </c>
      <c r="N306" s="239" t="inlineStr">
        <is>
          <t>--</t>
        </is>
      </c>
      <c r="O306" s="239" t="inlineStr">
        <is>
          <t>--</t>
        </is>
      </c>
      <c r="P306" s="239" t="inlineStr">
        <is>
          <t>--</t>
        </is>
      </c>
    </row>
    <row r="307">
      <c r="A307" s="282" t="inlineStr">
        <is>
          <t>2007-04-10</t>
        </is>
      </c>
      <c r="B307" s="240">
        <f>IFERROR(1/P307-1,B306)</f>
        <v/>
      </c>
      <c r="C307" s="240">
        <f>$C$3</f>
        <v/>
      </c>
      <c r="D307" s="240">
        <f>$D$3</f>
        <v/>
      </c>
      <c r="E307" s="240">
        <f>$E$3</f>
        <v/>
      </c>
      <c r="F307" s="241" t="n">
        <v>48.41</v>
      </c>
      <c r="G307" s="242" t="n">
        <v>1770112</v>
      </c>
      <c r="H307" s="241" t="n">
        <v>2.89</v>
      </c>
      <c r="I307" s="241" t="n">
        <v>5.33</v>
      </c>
      <c r="J307" s="241" t="n">
        <v>78.63</v>
      </c>
      <c r="K307" s="241" t="n">
        <v>33.13</v>
      </c>
      <c r="L307" s="242" t="n">
        <v>1604000</v>
      </c>
      <c r="M307" s="241" t="n">
        <v>8.94</v>
      </c>
      <c r="N307" s="241" t="n">
        <v>8.06</v>
      </c>
      <c r="O307" s="241" t="n">
        <v>61.06</v>
      </c>
      <c r="P307" s="241" t="n">
        <v>1.46</v>
      </c>
    </row>
    <row r="308">
      <c r="A308" s="282" t="inlineStr">
        <is>
          <t>2007-04-11</t>
        </is>
      </c>
      <c r="B308" s="240">
        <f>IFERROR(1/P308-1,B307)</f>
        <v/>
      </c>
      <c r="C308" s="240">
        <f>$C$3</f>
        <v/>
      </c>
      <c r="D308" s="240">
        <f>$D$3</f>
        <v/>
      </c>
      <c r="E308" s="240">
        <f>$E$3</f>
        <v/>
      </c>
      <c r="F308" s="241" t="n">
        <v>53.25</v>
      </c>
      <c r="G308" s="242" t="n">
        <v>4588142</v>
      </c>
      <c r="H308" s="241" t="n">
        <v>10</v>
      </c>
      <c r="I308" s="241" t="n">
        <v>15.86</v>
      </c>
      <c r="J308" s="241" t="n">
        <v>96.48999999999999</v>
      </c>
      <c r="K308" s="241" t="n">
        <v>31.95</v>
      </c>
      <c r="L308" s="242" t="n">
        <v>2038000</v>
      </c>
      <c r="M308" s="241" t="n">
        <v>-3.58</v>
      </c>
      <c r="N308" s="241" t="n">
        <v>4.19</v>
      </c>
      <c r="O308" s="241" t="n">
        <v>55.29</v>
      </c>
      <c r="P308" s="241" t="n">
        <v>1.67</v>
      </c>
    </row>
    <row r="309">
      <c r="A309" s="282" t="inlineStr">
        <is>
          <t>2007-04-12</t>
        </is>
      </c>
      <c r="B309" s="240">
        <f>IFERROR(1/P309-1,B308)</f>
        <v/>
      </c>
      <c r="C309" s="240">
        <f>$C$3</f>
        <v/>
      </c>
      <c r="D309" s="240">
        <f>$D$3</f>
        <v/>
      </c>
      <c r="E309" s="240">
        <f>$E$3</f>
        <v/>
      </c>
      <c r="F309" s="241" t="n">
        <v>56.89</v>
      </c>
      <c r="G309" s="242" t="n">
        <v>3933972</v>
      </c>
      <c r="H309" s="241" t="n">
        <v>6.84</v>
      </c>
      <c r="I309" s="241" t="n">
        <v>23.78</v>
      </c>
      <c r="J309" s="241" t="n">
        <v>109.93</v>
      </c>
      <c r="K309" s="241" t="n">
        <v>32.83</v>
      </c>
      <c r="L309" s="242" t="n">
        <v>920000</v>
      </c>
      <c r="M309" s="241" t="n">
        <v>2.79</v>
      </c>
      <c r="N309" s="241" t="n">
        <v>7.1</v>
      </c>
      <c r="O309" s="241" t="n">
        <v>59.62</v>
      </c>
      <c r="P309" s="241" t="n">
        <v>1.73</v>
      </c>
    </row>
    <row r="310">
      <c r="A310" s="282" t="inlineStr">
        <is>
          <t>2007-04-13</t>
        </is>
      </c>
      <c r="B310" s="240">
        <f>IFERROR(1/P310-1,B309)</f>
        <v/>
      </c>
      <c r="C310" s="240">
        <f>$C$3</f>
        <v/>
      </c>
      <c r="D310" s="240">
        <f>$D$3</f>
        <v/>
      </c>
      <c r="E310" s="240">
        <f>$E$3</f>
        <v/>
      </c>
      <c r="F310" s="241" t="n">
        <v>52.85</v>
      </c>
      <c r="G310" s="242" t="n">
        <v>1737134</v>
      </c>
      <c r="H310" s="241" t="n">
        <v>-7.1</v>
      </c>
      <c r="I310" s="241" t="n">
        <v>10.45</v>
      </c>
      <c r="J310" s="241" t="n">
        <v>95.02</v>
      </c>
      <c r="K310" s="241" t="n">
        <v>31.92</v>
      </c>
      <c r="L310" s="242" t="n">
        <v>1315000</v>
      </c>
      <c r="M310" s="241" t="n">
        <v>-2.71</v>
      </c>
      <c r="N310" s="241" t="n">
        <v>-3.29</v>
      </c>
      <c r="O310" s="241" t="n">
        <v>55.29</v>
      </c>
      <c r="P310" s="241" t="n">
        <v>1.66</v>
      </c>
    </row>
    <row r="311">
      <c r="A311" s="282" t="inlineStr">
        <is>
          <t>2007-04-16</t>
        </is>
      </c>
      <c r="B311" s="240">
        <f>IFERROR(1/P311-1,B310)</f>
        <v/>
      </c>
      <c r="C311" s="240">
        <f>$C$3</f>
        <v/>
      </c>
      <c r="D311" s="240">
        <f>$D$3</f>
        <v/>
      </c>
      <c r="E311" s="240">
        <f>$E$3</f>
        <v/>
      </c>
      <c r="F311" s="241" t="n">
        <v>54.63</v>
      </c>
      <c r="G311" s="242" t="n">
        <v>1736301</v>
      </c>
      <c r="H311" s="241" t="n">
        <v>3.37</v>
      </c>
      <c r="I311" s="241" t="n">
        <v>19.8</v>
      </c>
      <c r="J311" s="241" t="n">
        <v>101.59</v>
      </c>
      <c r="K311" s="241" t="n">
        <v>32.57</v>
      </c>
      <c r="L311" s="242" t="n">
        <v>674000</v>
      </c>
      <c r="M311" s="241" t="n">
        <v>2.01</v>
      </c>
      <c r="N311" s="241" t="n">
        <v>-2.51</v>
      </c>
      <c r="O311" s="241" t="n">
        <v>58.41</v>
      </c>
      <c r="P311" s="241" t="n">
        <v>1.68</v>
      </c>
    </row>
    <row r="312">
      <c r="A312" s="282" t="inlineStr">
        <is>
          <t>2007-04-17</t>
        </is>
      </c>
      <c r="B312" s="240">
        <f>IFERROR(1/P312-1,B311)</f>
        <v/>
      </c>
      <c r="C312" s="240">
        <f>$C$3</f>
        <v/>
      </c>
      <c r="D312" s="240">
        <f>$D$3</f>
        <v/>
      </c>
      <c r="E312" s="240">
        <f>$E$3</f>
        <v/>
      </c>
      <c r="F312" s="241" t="n">
        <v>55</v>
      </c>
      <c r="G312" s="242" t="n">
        <v>1895351</v>
      </c>
      <c r="H312" s="241" t="n">
        <v>0.68</v>
      </c>
      <c r="I312" s="241" t="n">
        <v>23.1</v>
      </c>
      <c r="J312" s="241" t="n">
        <v>102.95</v>
      </c>
      <c r="K312" s="241" t="n">
        <v>31.87</v>
      </c>
      <c r="L312" s="242" t="n">
        <v>819420</v>
      </c>
      <c r="M312" s="241" t="n">
        <v>-2.28</v>
      </c>
      <c r="N312" s="241" t="n">
        <v>-4.17</v>
      </c>
      <c r="O312" s="241" t="n">
        <v>54.81</v>
      </c>
      <c r="P312" s="241" t="n">
        <v>1.73</v>
      </c>
    </row>
    <row r="313">
      <c r="A313" s="282" t="inlineStr">
        <is>
          <t>2007-04-18</t>
        </is>
      </c>
      <c r="B313" s="240">
        <f>IFERROR(1/P313-1,B312)</f>
        <v/>
      </c>
      <c r="C313" s="240">
        <f>$C$3</f>
        <v/>
      </c>
      <c r="D313" s="240">
        <f>$D$3</f>
        <v/>
      </c>
      <c r="E313" s="240">
        <f>$E$3</f>
        <v/>
      </c>
      <c r="F313" s="241" t="n">
        <v>56.5</v>
      </c>
      <c r="G313" s="242" t="n">
        <v>1113599</v>
      </c>
      <c r="H313" s="241" t="n">
        <v>2.73</v>
      </c>
      <c r="I313" s="241" t="n">
        <v>26.45</v>
      </c>
      <c r="J313" s="241" t="n">
        <v>108.49</v>
      </c>
      <c r="K313" s="241" t="n">
        <v>31.64</v>
      </c>
      <c r="L313" s="242" t="n">
        <v>432000</v>
      </c>
      <c r="M313" s="241" t="n">
        <v>-0.62</v>
      </c>
      <c r="N313" s="241" t="n">
        <v>-4.76</v>
      </c>
      <c r="O313" s="241" t="n">
        <v>53.85</v>
      </c>
      <c r="P313" s="241" t="n">
        <v>1.79</v>
      </c>
    </row>
    <row r="314">
      <c r="A314" s="282" t="inlineStr">
        <is>
          <t>2007-04-19</t>
        </is>
      </c>
      <c r="B314" s="240">
        <f>IFERROR(1/P314-1,B313)</f>
        <v/>
      </c>
      <c r="C314" s="240">
        <f>$C$3</f>
        <v/>
      </c>
      <c r="D314" s="240">
        <f>$D$3</f>
        <v/>
      </c>
      <c r="E314" s="240">
        <f>$E$3</f>
        <v/>
      </c>
      <c r="F314" s="241" t="n">
        <v>51.54</v>
      </c>
      <c r="G314" s="242" t="n">
        <v>952897</v>
      </c>
      <c r="H314" s="241" t="n">
        <v>-8.779999999999999</v>
      </c>
      <c r="I314" s="241" t="n">
        <v>15.35</v>
      </c>
      <c r="J314" s="241" t="n">
        <v>90.18000000000001</v>
      </c>
      <c r="K314" s="241" t="n">
        <v>29.65</v>
      </c>
      <c r="L314" s="242" t="n">
        <v>1374000</v>
      </c>
      <c r="M314" s="241" t="n">
        <v>-6.25</v>
      </c>
      <c r="N314" s="241" t="n">
        <v>-10.71</v>
      </c>
      <c r="O314" s="241" t="n">
        <v>44.23</v>
      </c>
      <c r="P314" s="241" t="n">
        <v>1.74</v>
      </c>
    </row>
    <row r="315">
      <c r="A315" s="282" t="inlineStr">
        <is>
          <t>2007-04-20</t>
        </is>
      </c>
      <c r="B315" s="240">
        <f>IFERROR(1/P315-1,B314)</f>
        <v/>
      </c>
      <c r="C315" s="240">
        <f>$C$3</f>
        <v/>
      </c>
      <c r="D315" s="240">
        <f>$D$3</f>
        <v/>
      </c>
      <c r="E315" s="240">
        <f>$E$3</f>
        <v/>
      </c>
      <c r="F315" s="241" t="n">
        <v>55.2</v>
      </c>
      <c r="G315" s="242" t="n">
        <v>1034700</v>
      </c>
      <c r="H315" s="241" t="n">
        <v>7.1</v>
      </c>
      <c r="I315" s="241" t="n">
        <v>23.21</v>
      </c>
      <c r="J315" s="241" t="n">
        <v>103.69</v>
      </c>
      <c r="K315" s="241" t="n">
        <v>30.39</v>
      </c>
      <c r="L315" s="242" t="n">
        <v>756000</v>
      </c>
      <c r="M315" s="241" t="n">
        <v>2.5</v>
      </c>
      <c r="N315" s="241" t="n">
        <v>-10.74</v>
      </c>
      <c r="O315" s="241" t="n">
        <v>47.84</v>
      </c>
      <c r="P315" s="241" t="n">
        <v>1.82</v>
      </c>
    </row>
    <row r="316">
      <c r="A316" s="282" t="inlineStr">
        <is>
          <t>2007-04-23</t>
        </is>
      </c>
      <c r="B316" s="240">
        <f>IFERROR(1/P316-1,B315)</f>
        <v/>
      </c>
      <c r="C316" s="240">
        <f>$C$3</f>
        <v/>
      </c>
      <c r="D316" s="240">
        <f>$D$3</f>
        <v/>
      </c>
      <c r="E316" s="240">
        <f>$E$3</f>
        <v/>
      </c>
      <c r="F316" s="241" t="n">
        <v>55.55</v>
      </c>
      <c r="G316" s="242" t="n">
        <v>976879</v>
      </c>
      <c r="H316" s="241" t="n">
        <v>0.63</v>
      </c>
      <c r="I316" s="241" t="n">
        <v>26.6</v>
      </c>
      <c r="J316" s="241" t="n">
        <v>104.98</v>
      </c>
      <c r="K316" s="241" t="n">
        <v>30.61</v>
      </c>
      <c r="L316" s="242" t="n">
        <v>538330</v>
      </c>
      <c r="M316" s="241" t="n">
        <v>0.65</v>
      </c>
      <c r="N316" s="241" t="n">
        <v>-8.84</v>
      </c>
      <c r="O316" s="241" t="n">
        <v>48.8</v>
      </c>
      <c r="P316" s="241" t="n">
        <v>1.81</v>
      </c>
    </row>
    <row r="317">
      <c r="A317" s="282" t="inlineStr">
        <is>
          <t>2007-04-24</t>
        </is>
      </c>
      <c r="B317" s="240">
        <f>IFERROR(1/P317-1,B316)</f>
        <v/>
      </c>
      <c r="C317" s="240">
        <f>$C$3</f>
        <v/>
      </c>
      <c r="D317" s="240">
        <f>$D$3</f>
        <v/>
      </c>
      <c r="E317" s="240">
        <f>$E$3</f>
        <v/>
      </c>
      <c r="F317" s="241" t="n">
        <v>54.53</v>
      </c>
      <c r="G317" s="242" t="n">
        <v>617294</v>
      </c>
      <c r="H317" s="241" t="n">
        <v>-1.84</v>
      </c>
      <c r="I317" s="241" t="n">
        <v>29.83</v>
      </c>
      <c r="J317" s="241" t="n">
        <v>101.22</v>
      </c>
      <c r="K317" s="241" t="n">
        <v>30.71</v>
      </c>
      <c r="L317" s="242" t="n">
        <v>646000</v>
      </c>
      <c r="M317" s="241" t="n">
        <v>0.32</v>
      </c>
      <c r="N317" s="241" t="n">
        <v>-4.31</v>
      </c>
      <c r="O317" s="241" t="n">
        <v>49.28</v>
      </c>
      <c r="P317" s="241" t="n">
        <v>1.78</v>
      </c>
    </row>
    <row r="318">
      <c r="A318" s="282" t="inlineStr">
        <is>
          <t>2007-04-25</t>
        </is>
      </c>
      <c r="B318" s="240">
        <f>IFERROR(1/P318-1,B317)</f>
        <v/>
      </c>
      <c r="C318" s="240">
        <f>$C$3</f>
        <v/>
      </c>
      <c r="D318" s="240">
        <f>$D$3</f>
        <v/>
      </c>
      <c r="E318" s="240">
        <f>$E$3</f>
        <v/>
      </c>
      <c r="F318" s="241" t="n">
        <v>53.22</v>
      </c>
      <c r="G318" s="242" t="n">
        <v>640724</v>
      </c>
      <c r="H318" s="241" t="n">
        <v>-2.4</v>
      </c>
      <c r="I318" s="241" t="n">
        <v>26.71</v>
      </c>
      <c r="J318" s="241" t="n">
        <v>96.38</v>
      </c>
      <c r="K318" s="241" t="n">
        <v>30.08</v>
      </c>
      <c r="L318" s="242" t="n">
        <v>418000</v>
      </c>
      <c r="M318" s="241" t="n">
        <v>-1.93</v>
      </c>
      <c r="N318" s="241" t="n">
        <v>-6.16</v>
      </c>
      <c r="O318" s="241" t="n">
        <v>46.39</v>
      </c>
      <c r="P318" s="241" t="n">
        <v>1.77</v>
      </c>
    </row>
    <row r="319">
      <c r="A319" s="282" t="inlineStr">
        <is>
          <t>2007-04-26</t>
        </is>
      </c>
      <c r="B319" s="240">
        <f>IFERROR(1/P319-1,B318)</f>
        <v/>
      </c>
      <c r="C319" s="240">
        <f>$C$3</f>
        <v/>
      </c>
      <c r="D319" s="240">
        <f>$D$3</f>
        <v/>
      </c>
      <c r="E319" s="240">
        <f>$E$3</f>
        <v/>
      </c>
      <c r="F319" s="241" t="n">
        <v>53.18</v>
      </c>
      <c r="G319" s="242" t="n">
        <v>448758</v>
      </c>
      <c r="H319" s="241" t="n">
        <v>-0.08</v>
      </c>
      <c r="I319" s="241" t="n">
        <v>26.62</v>
      </c>
      <c r="J319" s="241" t="n">
        <v>96.23999999999999</v>
      </c>
      <c r="K319" s="241" t="n">
        <v>31.84</v>
      </c>
      <c r="L319" s="242" t="n">
        <v>410000</v>
      </c>
      <c r="M319" s="241" t="n">
        <v>5.91</v>
      </c>
      <c r="N319" s="241" t="n">
        <v>-0.62</v>
      </c>
      <c r="O319" s="241" t="n">
        <v>55.05</v>
      </c>
      <c r="P319" s="241" t="n">
        <v>1.67</v>
      </c>
    </row>
    <row r="320">
      <c r="A320" s="282" t="inlineStr">
        <is>
          <t>2007-04-27</t>
        </is>
      </c>
      <c r="B320" s="240">
        <f>IFERROR(1/P320-1,B319)</f>
        <v/>
      </c>
      <c r="C320" s="240">
        <f>$C$3</f>
        <v/>
      </c>
      <c r="D320" s="240">
        <f>$D$3</f>
        <v/>
      </c>
      <c r="E320" s="240">
        <f>$E$3</f>
        <v/>
      </c>
      <c r="F320" s="241" t="n">
        <v>51.01</v>
      </c>
      <c r="G320" s="242" t="n">
        <v>590005</v>
      </c>
      <c r="H320" s="241" t="n">
        <v>-4.08</v>
      </c>
      <c r="I320" s="241" t="n">
        <v>23.51</v>
      </c>
      <c r="J320" s="241" t="n">
        <v>88.23</v>
      </c>
      <c r="K320" s="241" t="n">
        <v>31.56</v>
      </c>
      <c r="L320" s="242" t="n">
        <v>286104</v>
      </c>
      <c r="M320" s="241" t="n">
        <v>-0.78</v>
      </c>
      <c r="N320" s="241" t="n">
        <v>-3.61</v>
      </c>
      <c r="O320" s="241" t="n">
        <v>53.85</v>
      </c>
      <c r="P320" s="241" t="n">
        <v>1.62</v>
      </c>
    </row>
    <row r="321">
      <c r="A321" s="282" t="inlineStr">
        <is>
          <t>2007-04-30</t>
        </is>
      </c>
      <c r="B321" s="240">
        <f>IFERROR(1/P321-1,B320)</f>
        <v/>
      </c>
      <c r="C321" s="240">
        <f>$C$3</f>
        <v/>
      </c>
      <c r="D321" s="240">
        <f>$D$3</f>
        <v/>
      </c>
      <c r="E321" s="240">
        <f>$E$3</f>
        <v/>
      </c>
      <c r="F321" s="241" t="n">
        <v>51.09</v>
      </c>
      <c r="G321" s="242" t="n">
        <v>1110383</v>
      </c>
      <c r="H321" s="241" t="n">
        <v>0.16</v>
      </c>
      <c r="I321" s="241" t="n">
        <v>18.9</v>
      </c>
      <c r="J321" s="241" t="n">
        <v>88.52</v>
      </c>
      <c r="K321" s="241" t="n">
        <v>31.13</v>
      </c>
      <c r="L321" s="242" t="n">
        <v>280000</v>
      </c>
      <c r="M321" s="241" t="n">
        <v>-1.25</v>
      </c>
      <c r="N321" s="241" t="n">
        <v>-3.95</v>
      </c>
      <c r="O321" s="241" t="n">
        <v>51.92</v>
      </c>
      <c r="P321" s="241" t="n">
        <v>1.64</v>
      </c>
    </row>
    <row r="322">
      <c r="A322" s="282" t="inlineStr">
        <is>
          <t>2007-05-08</t>
        </is>
      </c>
      <c r="B322" s="240">
        <f>IFERROR(1/P322-1,B321)</f>
        <v/>
      </c>
      <c r="C322" s="240">
        <f>$C$3</f>
        <v/>
      </c>
      <c r="D322" s="240">
        <f>$D$3</f>
        <v/>
      </c>
      <c r="E322" s="240">
        <f>$E$3</f>
        <v/>
      </c>
      <c r="F322" s="241" t="n">
        <v>52.45</v>
      </c>
      <c r="G322" s="242" t="n">
        <v>774426</v>
      </c>
      <c r="H322" s="241" t="n">
        <v>2.66</v>
      </c>
      <c r="I322" s="241" t="n">
        <v>13.23</v>
      </c>
      <c r="J322" s="241" t="n">
        <v>93.54000000000001</v>
      </c>
      <c r="K322" s="241" t="n">
        <v>32.48</v>
      </c>
      <c r="L322" s="242" t="n">
        <v>1302000</v>
      </c>
      <c r="M322" s="241" t="n">
        <v>3.94</v>
      </c>
      <c r="N322" s="241" t="n">
        <v>7.32</v>
      </c>
      <c r="O322" s="241" t="n">
        <v>58.65</v>
      </c>
      <c r="P322" s="241" t="n">
        <v>1.61</v>
      </c>
    </row>
    <row r="323">
      <c r="A323" s="282" t="inlineStr">
        <is>
          <t>2007-05-09</t>
        </is>
      </c>
      <c r="B323" s="240">
        <f>IFERROR(1/P323-1,B322)</f>
        <v/>
      </c>
      <c r="C323" s="240">
        <f>$C$3</f>
        <v/>
      </c>
      <c r="D323" s="240">
        <f>$D$3</f>
        <v/>
      </c>
      <c r="E323" s="240">
        <f>$E$3</f>
        <v/>
      </c>
      <c r="F323" s="241" t="n">
        <v>51.02</v>
      </c>
      <c r="G323" s="242" t="n">
        <v>1287375</v>
      </c>
      <c r="H323" s="241" t="n">
        <v>-2.73</v>
      </c>
      <c r="I323" s="241" t="n">
        <v>10.15</v>
      </c>
      <c r="J323" s="241" t="n">
        <v>88.27</v>
      </c>
      <c r="K323" s="241" t="n">
        <v>32.78</v>
      </c>
      <c r="L323" s="242" t="n">
        <v>896000</v>
      </c>
      <c r="M323" s="241" t="n">
        <v>0.91</v>
      </c>
      <c r="N323" s="241" t="n">
        <v>8.289999999999999</v>
      </c>
      <c r="O323" s="241" t="n">
        <v>60.1</v>
      </c>
      <c r="P323" s="241" t="n">
        <v>1.56</v>
      </c>
    </row>
    <row r="324">
      <c r="A324" s="282" t="inlineStr">
        <is>
          <t>2007-05-10</t>
        </is>
      </c>
      <c r="B324" s="240">
        <f>IFERROR(1/P324-1,B323)</f>
        <v/>
      </c>
      <c r="C324" s="240">
        <f>$C$3</f>
        <v/>
      </c>
      <c r="D324" s="240">
        <f>$D$3</f>
        <v/>
      </c>
      <c r="E324" s="240">
        <f>$E$3</f>
        <v/>
      </c>
      <c r="F324" s="241" t="n">
        <v>49.81</v>
      </c>
      <c r="G324" s="242" t="n">
        <v>980345</v>
      </c>
      <c r="H324" s="241" t="n">
        <v>-2.37</v>
      </c>
      <c r="I324" s="241" t="n">
        <v>5.87</v>
      </c>
      <c r="J324" s="241" t="n">
        <v>83.8</v>
      </c>
      <c r="K324" s="241" t="n">
        <v>32.43</v>
      </c>
      <c r="L324" s="242" t="n">
        <v>226000</v>
      </c>
      <c r="M324" s="241" t="n">
        <v>-0.44</v>
      </c>
      <c r="N324" s="241" t="n">
        <v>7.82</v>
      </c>
      <c r="O324" s="241" t="n">
        <v>59.4</v>
      </c>
      <c r="P324" s="241" t="n">
        <v>1.54</v>
      </c>
    </row>
    <row r="325">
      <c r="A325" s="282" t="inlineStr">
        <is>
          <t>2007-05-11</t>
        </is>
      </c>
      <c r="B325" s="240">
        <f>IFERROR(1/P325-1,B324)</f>
        <v/>
      </c>
      <c r="C325" s="240">
        <f>$C$3</f>
        <v/>
      </c>
      <c r="D325" s="240">
        <f>$D$3</f>
        <v/>
      </c>
      <c r="E325" s="240">
        <f>$E$3</f>
        <v/>
      </c>
      <c r="F325" s="241" t="n">
        <v>48.65</v>
      </c>
      <c r="G325" s="242" t="n">
        <v>995095</v>
      </c>
      <c r="H325" s="241" t="n">
        <v>-2.33</v>
      </c>
      <c r="I325" s="241" t="n">
        <v>0.5</v>
      </c>
      <c r="J325" s="241" t="n">
        <v>79.52</v>
      </c>
      <c r="K325" s="241" t="n">
        <v>32.22</v>
      </c>
      <c r="L325" s="242" t="n">
        <v>302000</v>
      </c>
      <c r="M325" s="241" t="n">
        <v>-0.46</v>
      </c>
      <c r="N325" s="241" t="n">
        <v>-1.48</v>
      </c>
      <c r="O325" s="241" t="n">
        <v>58.67</v>
      </c>
      <c r="P325" s="241" t="n">
        <v>1.51</v>
      </c>
    </row>
    <row r="326">
      <c r="A326" s="282" t="inlineStr">
        <is>
          <t>2007-05-14</t>
        </is>
      </c>
      <c r="B326" s="240">
        <f>IFERROR(1/P326-1,B325)</f>
        <v/>
      </c>
      <c r="C326" s="240">
        <f>$C$3</f>
        <v/>
      </c>
      <c r="D326" s="240">
        <f>$D$3</f>
        <v/>
      </c>
      <c r="E326" s="240">
        <f>$E$3</f>
        <v/>
      </c>
      <c r="F326" s="241" t="n">
        <v>50.26</v>
      </c>
      <c r="G326" s="242" t="n">
        <v>2767505</v>
      </c>
      <c r="H326" s="241" t="n">
        <v>3.31</v>
      </c>
      <c r="I326" s="241" t="n">
        <v>-4.9</v>
      </c>
      <c r="J326" s="241" t="n">
        <v>85.45999999999999</v>
      </c>
      <c r="K326" s="241" t="n">
        <v>33.96</v>
      </c>
      <c r="L326" s="242" t="n">
        <v>2261000</v>
      </c>
      <c r="M326" s="241" t="n">
        <v>5.49</v>
      </c>
      <c r="N326" s="241" t="n">
        <v>7.79</v>
      </c>
      <c r="O326" s="241" t="n">
        <v>67.38</v>
      </c>
      <c r="P326" s="241" t="n">
        <v>1.48</v>
      </c>
    </row>
    <row r="327">
      <c r="A327" s="282" t="inlineStr">
        <is>
          <t>2007-05-15</t>
        </is>
      </c>
      <c r="B327" s="240">
        <f>IFERROR(1/P327-1,B326)</f>
        <v/>
      </c>
      <c r="C327" s="240">
        <f>$C$3</f>
        <v/>
      </c>
      <c r="D327" s="240">
        <f>$D$3</f>
        <v/>
      </c>
      <c r="E327" s="240">
        <f>$E$3</f>
        <v/>
      </c>
      <c r="F327" s="241" t="n">
        <v>50.26</v>
      </c>
      <c r="G327" s="242" t="n">
        <v>2309111</v>
      </c>
      <c r="H327" s="241" t="n">
        <v>0</v>
      </c>
      <c r="I327" s="241" t="n">
        <v>-4.9</v>
      </c>
      <c r="J327" s="241" t="n">
        <v>85.45999999999999</v>
      </c>
      <c r="K327" s="241" t="n">
        <v>35.47</v>
      </c>
      <c r="L327" s="242" t="n">
        <v>920000</v>
      </c>
      <c r="M327" s="241" t="n">
        <v>4.05</v>
      </c>
      <c r="N327" s="241" t="n">
        <v>12.15</v>
      </c>
      <c r="O327" s="241" t="n">
        <v>74.15000000000001</v>
      </c>
      <c r="P327" s="241" t="n">
        <v>1.42</v>
      </c>
    </row>
    <row r="328">
      <c r="A328" s="282" t="inlineStr">
        <is>
          <t>2007-05-16</t>
        </is>
      </c>
      <c r="B328" s="240">
        <f>IFERROR(1/P328-1,B327)</f>
        <v/>
      </c>
      <c r="C328" s="240">
        <f>$C$3</f>
        <v/>
      </c>
      <c r="D328" s="240">
        <f>$D$3</f>
        <v/>
      </c>
      <c r="E328" s="240">
        <f>$E$3</f>
        <v/>
      </c>
      <c r="F328" s="241" t="n">
        <v>52</v>
      </c>
      <c r="G328" s="242" t="n">
        <v>2269037</v>
      </c>
      <c r="H328" s="241" t="n">
        <v>3.46</v>
      </c>
      <c r="I328" s="241" t="n">
        <v>-1.61</v>
      </c>
      <c r="J328" s="241" t="n">
        <v>91.88</v>
      </c>
      <c r="K328" s="241" t="n">
        <v>35.01</v>
      </c>
      <c r="L328" s="242" t="n">
        <v>4934000</v>
      </c>
      <c r="M328" s="241" t="n">
        <v>-1.11</v>
      </c>
      <c r="N328" s="241" t="n">
        <v>10.9</v>
      </c>
      <c r="O328" s="241" t="n">
        <v>72.22</v>
      </c>
      <c r="P328" s="241" t="n">
        <v>1.49</v>
      </c>
    </row>
    <row r="329">
      <c r="A329" s="282" t="inlineStr">
        <is>
          <t>2007-05-17</t>
        </is>
      </c>
      <c r="B329" s="240">
        <f>IFERROR(1/P329-1,B328)</f>
        <v/>
      </c>
      <c r="C329" s="240">
        <f>$C$3</f>
        <v/>
      </c>
      <c r="D329" s="240">
        <f>$D$3</f>
        <v/>
      </c>
      <c r="E329" s="240">
        <f>$E$3</f>
        <v/>
      </c>
      <c r="F329" s="241" t="n">
        <v>57.2</v>
      </c>
      <c r="G329" s="242" t="n">
        <v>4227215</v>
      </c>
      <c r="H329" s="241" t="n">
        <v>10</v>
      </c>
      <c r="I329" s="241" t="n">
        <v>4.7</v>
      </c>
      <c r="J329" s="241" t="n">
        <v>111.07</v>
      </c>
      <c r="K329" s="241" t="n">
        <v>37.13</v>
      </c>
      <c r="L329" s="242" t="n">
        <v>2184000</v>
      </c>
      <c r="M329" s="241" t="n">
        <v>6.18</v>
      </c>
      <c r="N329" s="241" t="n">
        <v>15.43</v>
      </c>
      <c r="O329" s="241" t="n">
        <v>82.86</v>
      </c>
      <c r="P329" s="241" t="n">
        <v>1.54</v>
      </c>
    </row>
    <row r="330">
      <c r="A330" s="282" t="inlineStr">
        <is>
          <t>2007-05-18</t>
        </is>
      </c>
      <c r="B330" s="240">
        <f>IFERROR(1/P330-1,B329)</f>
        <v/>
      </c>
      <c r="C330" s="240">
        <f>$C$3</f>
        <v/>
      </c>
      <c r="D330" s="240">
        <f>$D$3</f>
        <v/>
      </c>
      <c r="E330" s="240">
        <f>$E$3</f>
        <v/>
      </c>
      <c r="F330" s="241" t="n">
        <v>57.21</v>
      </c>
      <c r="G330" s="242" t="n">
        <v>5059959</v>
      </c>
      <c r="H330" s="241" t="n">
        <v>0.02</v>
      </c>
      <c r="I330" s="241" t="n">
        <v>4.02</v>
      </c>
      <c r="J330" s="241" t="n">
        <v>111.11</v>
      </c>
      <c r="K330" s="241" t="n">
        <v>37.32</v>
      </c>
      <c r="L330" s="242" t="n">
        <v>4056970</v>
      </c>
      <c r="M330" s="241" t="n">
        <v>0.53</v>
      </c>
      <c r="N330" s="241" t="n">
        <v>18.75</v>
      </c>
      <c r="O330" s="241" t="n">
        <v>83.83</v>
      </c>
      <c r="P330" s="241" t="n">
        <v>1.53</v>
      </c>
    </row>
    <row r="331">
      <c r="A331" s="282" t="inlineStr">
        <is>
          <t>2007-05-21</t>
        </is>
      </c>
      <c r="B331" s="240">
        <f>IFERROR(1/P331-1,B330)</f>
        <v/>
      </c>
      <c r="C331" s="240">
        <f>$C$3</f>
        <v/>
      </c>
      <c r="D331" s="240">
        <f>$D$3</f>
        <v/>
      </c>
      <c r="E331" s="240">
        <f>$E$3</f>
        <v/>
      </c>
      <c r="F331" s="241" t="n">
        <v>55</v>
      </c>
      <c r="G331" s="242" t="n">
        <v>3446739</v>
      </c>
      <c r="H331" s="241" t="n">
        <v>-3.86</v>
      </c>
      <c r="I331" s="241" t="n">
        <v>-0.36</v>
      </c>
      <c r="J331" s="241" t="n">
        <v>102.95</v>
      </c>
      <c r="K331" s="241" t="n">
        <v>36.76</v>
      </c>
      <c r="L331" s="242" t="n">
        <v>1540000</v>
      </c>
      <c r="M331" s="241" t="n">
        <v>-1.32</v>
      </c>
      <c r="N331" s="241" t="n">
        <v>22.71</v>
      </c>
      <c r="O331" s="241" t="n">
        <v>81.41</v>
      </c>
      <c r="P331" s="241" t="n">
        <v>1.5</v>
      </c>
    </row>
    <row r="332">
      <c r="A332" s="282" t="inlineStr">
        <is>
          <t>2007-05-22</t>
        </is>
      </c>
      <c r="B332" s="240">
        <f>IFERROR(1/P332-1,B331)</f>
        <v/>
      </c>
      <c r="C332" s="240">
        <f>$C$3</f>
        <v/>
      </c>
      <c r="D332" s="240">
        <f>$D$3</f>
        <v/>
      </c>
      <c r="E332" s="240">
        <f>$E$3</f>
        <v/>
      </c>
      <c r="F332" s="241" t="n">
        <v>53.6</v>
      </c>
      <c r="G332" s="242" t="n">
        <v>2268523</v>
      </c>
      <c r="H332" s="241" t="n">
        <v>-2.55</v>
      </c>
      <c r="I332" s="241" t="n">
        <v>-2.9</v>
      </c>
      <c r="J332" s="241" t="n">
        <v>97.79000000000001</v>
      </c>
      <c r="K332" s="241" t="n">
        <v>34.6</v>
      </c>
      <c r="L332" s="242" t="n">
        <v>1212000</v>
      </c>
      <c r="M332" s="241" t="n">
        <v>-5.73</v>
      </c>
      <c r="N332" s="241" t="n">
        <v>15.67</v>
      </c>
      <c r="O332" s="241" t="n">
        <v>71.01000000000001</v>
      </c>
      <c r="P332" s="241" t="n">
        <v>1.55</v>
      </c>
    </row>
    <row r="333">
      <c r="A333" s="282" t="inlineStr">
        <is>
          <t>2007-05-23</t>
        </is>
      </c>
      <c r="B333" s="240">
        <f>IFERROR(1/P333-1,B332)</f>
        <v/>
      </c>
      <c r="C333" s="240">
        <f>$C$3</f>
        <v/>
      </c>
      <c r="D333" s="240">
        <f>$D$3</f>
        <v/>
      </c>
      <c r="E333" s="240">
        <f>$E$3</f>
        <v/>
      </c>
      <c r="F333" s="241" t="n">
        <v>53.22</v>
      </c>
      <c r="G333" s="242" t="n">
        <v>1717304</v>
      </c>
      <c r="H333" s="241" t="n">
        <v>-0.71</v>
      </c>
      <c r="I333" s="241" t="n">
        <v>-3.59</v>
      </c>
      <c r="J333" s="241" t="n">
        <v>96.38</v>
      </c>
      <c r="K333" s="241" t="n">
        <v>34.73</v>
      </c>
      <c r="L333" s="242" t="n">
        <v>2144000</v>
      </c>
      <c r="M333" s="241" t="n">
        <v>0.42</v>
      </c>
      <c r="N333" s="241" t="n">
        <v>16.17</v>
      </c>
      <c r="O333" s="241" t="n">
        <v>71.73</v>
      </c>
      <c r="P333" s="241" t="n">
        <v>1.53</v>
      </c>
    </row>
    <row r="334">
      <c r="A334" s="282" t="inlineStr">
        <is>
          <t>2007-05-24</t>
        </is>
      </c>
      <c r="B334" s="240">
        <f>IFERROR(1/P334-1,B333)</f>
        <v/>
      </c>
      <c r="C334" s="240">
        <f>$C$3</f>
        <v/>
      </c>
      <c r="D334" s="240">
        <f>$D$3</f>
        <v/>
      </c>
      <c r="E334" s="240">
        <f>$E$3</f>
        <v/>
      </c>
      <c r="F334" s="241" t="n">
        <v>51.03</v>
      </c>
      <c r="G334" s="242" t="n">
        <v>2407683</v>
      </c>
      <c r="H334" s="241" t="n">
        <v>-4.12</v>
      </c>
      <c r="I334" s="241" t="n">
        <v>-8.140000000000001</v>
      </c>
      <c r="J334" s="241" t="n">
        <v>88.3</v>
      </c>
      <c r="K334" s="239" t="inlineStr">
        <is>
          <t>--</t>
        </is>
      </c>
      <c r="L334" s="239" t="inlineStr">
        <is>
          <t>--</t>
        </is>
      </c>
      <c r="M334" s="239" t="inlineStr">
        <is>
          <t>--</t>
        </is>
      </c>
      <c r="N334" s="239" t="inlineStr">
        <is>
          <t>--</t>
        </is>
      </c>
      <c r="O334" s="239" t="inlineStr">
        <is>
          <t>--</t>
        </is>
      </c>
      <c r="P334" s="239" t="inlineStr">
        <is>
          <t>--</t>
        </is>
      </c>
    </row>
    <row r="335">
      <c r="A335" s="282" t="inlineStr">
        <is>
          <t>2007-05-25</t>
        </is>
      </c>
      <c r="B335" s="240">
        <f>IFERROR(1/P335-1,B334)</f>
        <v/>
      </c>
      <c r="C335" s="240">
        <f>$C$3</f>
        <v/>
      </c>
      <c r="D335" s="240">
        <f>$D$3</f>
        <v/>
      </c>
      <c r="E335" s="240">
        <f>$E$3</f>
        <v/>
      </c>
      <c r="F335" s="241" t="n">
        <v>51.3</v>
      </c>
      <c r="G335" s="242" t="n">
        <v>2447015</v>
      </c>
      <c r="H335" s="241" t="n">
        <v>0.53</v>
      </c>
      <c r="I335" s="241" t="n">
        <v>-5.92</v>
      </c>
      <c r="J335" s="241" t="n">
        <v>89.3</v>
      </c>
      <c r="K335" s="241" t="n">
        <v>35.98</v>
      </c>
      <c r="L335" s="242" t="n">
        <v>1315000</v>
      </c>
      <c r="M335" s="241" t="n">
        <v>3.66</v>
      </c>
      <c r="N335" s="241" t="n">
        <v>19.26</v>
      </c>
      <c r="O335" s="241" t="n">
        <v>78.02</v>
      </c>
      <c r="P335" s="241" t="n">
        <v>1.43</v>
      </c>
    </row>
    <row r="336">
      <c r="A336" s="282" t="inlineStr">
        <is>
          <t>2007-05-28</t>
        </is>
      </c>
      <c r="B336" s="240">
        <f>IFERROR(1/P336-1,B335)</f>
        <v/>
      </c>
      <c r="C336" s="240">
        <f>$C$3</f>
        <v/>
      </c>
      <c r="D336" s="240">
        <f>$D$3</f>
        <v/>
      </c>
      <c r="E336" s="240">
        <f>$E$3</f>
        <v/>
      </c>
      <c r="F336" s="241" t="n">
        <v>55.41</v>
      </c>
      <c r="G336" s="242" t="n">
        <v>4214233</v>
      </c>
      <c r="H336" s="241" t="n">
        <v>8.01</v>
      </c>
      <c r="I336" s="241" t="n">
        <v>8.630000000000001</v>
      </c>
      <c r="J336" s="241" t="n">
        <v>104.46</v>
      </c>
      <c r="K336" s="241" t="n">
        <v>34.96</v>
      </c>
      <c r="L336" s="242" t="n">
        <v>662000</v>
      </c>
      <c r="M336" s="241" t="n">
        <v>-2.85</v>
      </c>
      <c r="N336" s="241" t="n">
        <v>12.41</v>
      </c>
      <c r="O336" s="241" t="n">
        <v>72.94</v>
      </c>
      <c r="P336" s="241" t="n">
        <v>1.58</v>
      </c>
    </row>
    <row r="337">
      <c r="A337" s="282" t="inlineStr">
        <is>
          <t>2007-05-29</t>
        </is>
      </c>
      <c r="B337" s="240">
        <f>IFERROR(1/P337-1,B336)</f>
        <v/>
      </c>
      <c r="C337" s="240">
        <f>$C$3</f>
        <v/>
      </c>
      <c r="D337" s="240">
        <f>$D$3</f>
        <v/>
      </c>
      <c r="E337" s="240">
        <f>$E$3</f>
        <v/>
      </c>
      <c r="F337" s="241" t="n">
        <v>54.72</v>
      </c>
      <c r="G337" s="242" t="n">
        <v>3458797</v>
      </c>
      <c r="H337" s="241" t="n">
        <v>-1.25</v>
      </c>
      <c r="I337" s="241" t="n">
        <v>7.27</v>
      </c>
      <c r="J337" s="241" t="n">
        <v>101.92</v>
      </c>
      <c r="K337" s="241" t="n">
        <v>34.65</v>
      </c>
      <c r="L337" s="242" t="n">
        <v>607000</v>
      </c>
      <c r="M337" s="241" t="n">
        <v>-0.98</v>
      </c>
      <c r="N337" s="241" t="n">
        <v>11.31</v>
      </c>
      <c r="O337" s="241" t="n">
        <v>71.25</v>
      </c>
      <c r="P337" s="241" t="n">
        <v>1.58</v>
      </c>
    </row>
    <row r="338">
      <c r="A338" s="282" t="inlineStr">
        <is>
          <t>2007-05-30</t>
        </is>
      </c>
      <c r="B338" s="240">
        <f>IFERROR(1/P338-1,B337)</f>
        <v/>
      </c>
      <c r="C338" s="240">
        <f>$C$3</f>
        <v/>
      </c>
      <c r="D338" s="240">
        <f>$D$3</f>
        <v/>
      </c>
      <c r="E338" s="240">
        <f>$E$3</f>
        <v/>
      </c>
      <c r="F338" s="241" t="n">
        <v>50.05</v>
      </c>
      <c r="G338" s="242" t="n">
        <v>4671960</v>
      </c>
      <c r="H338" s="241" t="n">
        <v>-8.529999999999999</v>
      </c>
      <c r="I338" s="241" t="n">
        <v>-1.88</v>
      </c>
      <c r="J338" s="241" t="n">
        <v>84.69</v>
      </c>
      <c r="K338" s="241" t="n">
        <v>33.31</v>
      </c>
      <c r="L338" s="242" t="n">
        <v>1519000</v>
      </c>
      <c r="M338" s="241" t="n">
        <v>-3.81</v>
      </c>
      <c r="N338" s="241" t="n">
        <v>7.07</v>
      </c>
      <c r="O338" s="241" t="n">
        <v>64.72</v>
      </c>
      <c r="P338" s="241" t="n">
        <v>1.5</v>
      </c>
    </row>
    <row r="339">
      <c r="A339" s="282" t="inlineStr">
        <is>
          <t>2007-05-31</t>
        </is>
      </c>
      <c r="B339" s="240">
        <f>IFERROR(1/P339-1,B338)</f>
        <v/>
      </c>
      <c r="C339" s="240">
        <f>$C$3</f>
        <v/>
      </c>
      <c r="D339" s="240">
        <f>$D$3</f>
        <v/>
      </c>
      <c r="E339" s="240">
        <f>$E$3</f>
        <v/>
      </c>
      <c r="F339" s="241" t="n">
        <v>52.29</v>
      </c>
      <c r="G339" s="242" t="n">
        <v>2524320</v>
      </c>
      <c r="H339" s="241" t="n">
        <v>4.48</v>
      </c>
      <c r="I339" s="241" t="n">
        <v>2.51</v>
      </c>
      <c r="J339" s="241" t="n">
        <v>92.95</v>
      </c>
      <c r="K339" s="241" t="n">
        <v>33.81</v>
      </c>
      <c r="L339" s="242" t="n">
        <v>740000</v>
      </c>
      <c r="M339" s="241" t="n">
        <v>1.32</v>
      </c>
      <c r="N339" s="241" t="n">
        <v>8.48</v>
      </c>
      <c r="O339" s="241" t="n">
        <v>66.90000000000001</v>
      </c>
      <c r="P339" s="241" t="n">
        <v>1.55</v>
      </c>
    </row>
    <row r="340">
      <c r="A340" s="282" t="inlineStr">
        <is>
          <t>2007-06-01</t>
        </is>
      </c>
      <c r="B340" s="240">
        <f>IFERROR(1/P340-1,B339)</f>
        <v/>
      </c>
      <c r="C340" s="240">
        <f>$C$3</f>
        <v/>
      </c>
      <c r="D340" s="240">
        <f>$D$3</f>
        <v/>
      </c>
      <c r="E340" s="240">
        <f>$E$3</f>
        <v/>
      </c>
      <c r="F340" s="241" t="n">
        <v>53.17</v>
      </c>
      <c r="G340" s="242" t="n">
        <v>2905328</v>
      </c>
      <c r="H340" s="241" t="n">
        <v>1.68</v>
      </c>
      <c r="I340" s="241" t="n">
        <v>4.07</v>
      </c>
      <c r="J340" s="241" t="n">
        <v>96.2</v>
      </c>
      <c r="K340" s="241" t="n">
        <v>33.1</v>
      </c>
      <c r="L340" s="242" t="n">
        <v>1392000</v>
      </c>
      <c r="M340" s="241" t="n">
        <v>-2.03</v>
      </c>
      <c r="N340" s="241" t="n">
        <v>7.63</v>
      </c>
      <c r="O340" s="241" t="n">
        <v>63.51</v>
      </c>
      <c r="P340" s="241" t="n">
        <v>1.61</v>
      </c>
    </row>
    <row r="341">
      <c r="A341" s="282" t="inlineStr">
        <is>
          <t>2007-06-04</t>
        </is>
      </c>
      <c r="B341" s="240">
        <f>IFERROR(1/P341-1,B340)</f>
        <v/>
      </c>
      <c r="C341" s="240">
        <f>$C$3</f>
        <v/>
      </c>
      <c r="D341" s="240">
        <f>$D$3</f>
        <v/>
      </c>
      <c r="E341" s="240">
        <f>$E$3</f>
        <v/>
      </c>
      <c r="F341" s="241" t="n">
        <v>47.85</v>
      </c>
      <c r="G341" s="242" t="n">
        <v>2096606</v>
      </c>
      <c r="H341" s="241" t="n">
        <v>-10.01</v>
      </c>
      <c r="I341" s="241" t="n">
        <v>-6.34</v>
      </c>
      <c r="J341" s="241" t="n">
        <v>76.56999999999999</v>
      </c>
      <c r="K341" s="241" t="n">
        <v>32.97</v>
      </c>
      <c r="L341" s="242" t="n">
        <v>1617507</v>
      </c>
      <c r="M341" s="241" t="n">
        <v>-0.44</v>
      </c>
      <c r="N341" s="241" t="n">
        <v>9.58</v>
      </c>
      <c r="O341" s="241" t="n">
        <v>62.78</v>
      </c>
      <c r="P341" s="241" t="n">
        <v>1.45</v>
      </c>
    </row>
    <row r="342">
      <c r="A342" s="282" t="inlineStr">
        <is>
          <t>2007-06-05</t>
        </is>
      </c>
      <c r="B342" s="240">
        <f>IFERROR(1/P342-1,B341)</f>
        <v/>
      </c>
      <c r="C342" s="240">
        <f>$C$3</f>
        <v/>
      </c>
      <c r="D342" s="240">
        <f>$D$3</f>
        <v/>
      </c>
      <c r="E342" s="240">
        <f>$E$3</f>
        <v/>
      </c>
      <c r="F342" s="241" t="n">
        <v>49.53</v>
      </c>
      <c r="G342" s="242" t="n">
        <v>3060469</v>
      </c>
      <c r="H342" s="241" t="n">
        <v>3.51</v>
      </c>
      <c r="I342" s="241" t="n">
        <v>-3.05</v>
      </c>
      <c r="J342" s="241" t="n">
        <v>82.77</v>
      </c>
      <c r="K342" s="241" t="n">
        <v>33.09</v>
      </c>
      <c r="L342" s="242" t="n">
        <v>1014000</v>
      </c>
      <c r="M342" s="241" t="n">
        <v>0.45</v>
      </c>
      <c r="N342" s="241" t="n">
        <v>12.06</v>
      </c>
      <c r="O342" s="241" t="n">
        <v>63.51</v>
      </c>
      <c r="P342" s="241" t="n">
        <v>1.5</v>
      </c>
    </row>
    <row r="343">
      <c r="A343" s="282" t="inlineStr">
        <is>
          <t>2007-06-06</t>
        </is>
      </c>
      <c r="B343" s="240">
        <f>IFERROR(1/P343-1,B342)</f>
        <v/>
      </c>
      <c r="C343" s="240">
        <f>$C$3</f>
        <v/>
      </c>
      <c r="D343" s="240">
        <f>$D$3</f>
        <v/>
      </c>
      <c r="E343" s="240">
        <f>$E$3</f>
        <v/>
      </c>
      <c r="F343" s="241" t="n">
        <v>50.16</v>
      </c>
      <c r="G343" s="242" t="n">
        <v>1481815</v>
      </c>
      <c r="H343" s="241" t="n">
        <v>1.27</v>
      </c>
      <c r="I343" s="241" t="n">
        <v>-1.82</v>
      </c>
      <c r="J343" s="241" t="n">
        <v>85.09</v>
      </c>
      <c r="K343" s="241" t="n">
        <v>31.7</v>
      </c>
      <c r="L343" s="242" t="n">
        <v>2014000</v>
      </c>
      <c r="M343" s="241" t="n">
        <v>-4.14</v>
      </c>
      <c r="N343" s="241" t="n">
        <v>7.42</v>
      </c>
      <c r="O343" s="241" t="n">
        <v>56.74</v>
      </c>
      <c r="P343" s="241" t="n">
        <v>1.58</v>
      </c>
    </row>
    <row r="344">
      <c r="A344" s="282" t="inlineStr">
        <is>
          <t>2007-06-07</t>
        </is>
      </c>
      <c r="B344" s="240">
        <f>IFERROR(1/P344-1,B343)</f>
        <v/>
      </c>
      <c r="C344" s="240">
        <f>$C$3</f>
        <v/>
      </c>
      <c r="D344" s="240">
        <f>$D$3</f>
        <v/>
      </c>
      <c r="E344" s="240">
        <f>$E$3</f>
        <v/>
      </c>
      <c r="F344" s="241" t="n">
        <v>51.12</v>
      </c>
      <c r="G344" s="242" t="n">
        <v>1596304</v>
      </c>
      <c r="H344" s="241" t="n">
        <v>1.91</v>
      </c>
      <c r="I344" s="241" t="n">
        <v>0.06</v>
      </c>
      <c r="J344" s="241" t="n">
        <v>88.63</v>
      </c>
      <c r="K344" s="241" t="n">
        <v>33.15</v>
      </c>
      <c r="L344" s="242" t="n">
        <v>896000</v>
      </c>
      <c r="M344" s="241" t="n">
        <v>4.48</v>
      </c>
      <c r="N344" s="241" t="n">
        <v>12.23</v>
      </c>
      <c r="O344" s="241" t="n">
        <v>63.75</v>
      </c>
      <c r="P344" s="241" t="n">
        <v>1.54</v>
      </c>
    </row>
    <row r="345">
      <c r="A345" s="282" t="inlineStr">
        <is>
          <t>2007-06-08</t>
        </is>
      </c>
      <c r="B345" s="240">
        <f>IFERROR(1/P345-1,B344)</f>
        <v/>
      </c>
      <c r="C345" s="240">
        <f>$C$3</f>
        <v/>
      </c>
      <c r="D345" s="240">
        <f>$D$3</f>
        <v/>
      </c>
      <c r="E345" s="240">
        <f>$E$3</f>
        <v/>
      </c>
      <c r="F345" s="241" t="n">
        <v>53.97</v>
      </c>
      <c r="G345" s="242" t="n">
        <v>2736480</v>
      </c>
      <c r="H345" s="241" t="n">
        <v>5.58</v>
      </c>
      <c r="I345" s="241" t="n">
        <v>5.64</v>
      </c>
      <c r="J345" s="241" t="n">
        <v>99.15000000000001</v>
      </c>
      <c r="K345" s="241" t="n">
        <v>33.84</v>
      </c>
      <c r="L345" s="242" t="n">
        <v>1606000</v>
      </c>
      <c r="M345" s="241" t="n">
        <v>1.92</v>
      </c>
      <c r="N345" s="241" t="n">
        <v>9.34</v>
      </c>
      <c r="O345" s="241" t="n">
        <v>66.90000000000001</v>
      </c>
      <c r="P345" s="241" t="n">
        <v>1.59</v>
      </c>
    </row>
    <row r="346">
      <c r="A346" s="282" t="inlineStr">
        <is>
          <t>2007-06-11</t>
        </is>
      </c>
      <c r="B346" s="240">
        <f>IFERROR(1/P346-1,B345)</f>
        <v/>
      </c>
      <c r="C346" s="240">
        <f>$C$3</f>
        <v/>
      </c>
      <c r="D346" s="240">
        <f>$D$3</f>
        <v/>
      </c>
      <c r="E346" s="240">
        <f>$E$3</f>
        <v/>
      </c>
      <c r="F346" s="241" t="n">
        <v>57.6</v>
      </c>
      <c r="G346" s="242" t="n">
        <v>3338469</v>
      </c>
      <c r="H346" s="241" t="n">
        <v>6.73</v>
      </c>
      <c r="I346" s="241" t="n">
        <v>15.64</v>
      </c>
      <c r="J346" s="241" t="n">
        <v>112.55</v>
      </c>
      <c r="K346" s="241" t="n">
        <v>33.61</v>
      </c>
      <c r="L346" s="242" t="n">
        <v>1170000</v>
      </c>
      <c r="M346" s="241" t="n">
        <v>-0.87</v>
      </c>
      <c r="N346" s="241" t="n">
        <v>3.79</v>
      </c>
      <c r="O346" s="241" t="n">
        <v>65.45</v>
      </c>
      <c r="P346" s="241" t="n">
        <v>1.71</v>
      </c>
    </row>
    <row r="347">
      <c r="A347" s="282" t="inlineStr">
        <is>
          <t>2007-06-12</t>
        </is>
      </c>
      <c r="B347" s="240">
        <f>IFERROR(1/P347-1,B346)</f>
        <v/>
      </c>
      <c r="C347" s="240">
        <f>$C$3</f>
        <v/>
      </c>
      <c r="D347" s="240">
        <f>$D$3</f>
        <v/>
      </c>
      <c r="E347" s="240">
        <f>$E$3</f>
        <v/>
      </c>
      <c r="F347" s="241" t="n">
        <v>57.98</v>
      </c>
      <c r="G347" s="242" t="n">
        <v>2541853</v>
      </c>
      <c r="H347" s="241" t="n">
        <v>0.66</v>
      </c>
      <c r="I347" s="241" t="n">
        <v>19.18</v>
      </c>
      <c r="J347" s="241" t="n">
        <v>113.95</v>
      </c>
      <c r="K347" s="241" t="n">
        <v>33.42</v>
      </c>
      <c r="L347" s="242" t="n">
        <v>1144000</v>
      </c>
      <c r="M347" s="241" t="n">
        <v>-0.15</v>
      </c>
      <c r="N347" s="241" t="n">
        <v>4.12</v>
      </c>
      <c r="O347" s="241" t="n">
        <v>65.2</v>
      </c>
      <c r="P347" s="241" t="n">
        <v>1.73</v>
      </c>
    </row>
    <row r="348">
      <c r="A348" s="282" t="inlineStr">
        <is>
          <t>2007-06-13</t>
        </is>
      </c>
      <c r="B348" s="240">
        <f>IFERROR(1/P348-1,B347)</f>
        <v/>
      </c>
      <c r="C348" s="240">
        <f>$C$3</f>
        <v/>
      </c>
      <c r="D348" s="240">
        <f>$D$3</f>
        <v/>
      </c>
      <c r="E348" s="240">
        <f>$E$3</f>
        <v/>
      </c>
      <c r="F348" s="241" t="n">
        <v>58.91</v>
      </c>
      <c r="G348" s="242" t="n">
        <v>3228635</v>
      </c>
      <c r="H348" s="241" t="n">
        <v>1.6</v>
      </c>
      <c r="I348" s="241" t="n">
        <v>21.09</v>
      </c>
      <c r="J348" s="241" t="n">
        <v>117.38</v>
      </c>
      <c r="K348" s="241" t="n">
        <v>34.3</v>
      </c>
      <c r="L348" s="242" t="n">
        <v>1632000</v>
      </c>
      <c r="M348" s="241" t="n">
        <v>2.93</v>
      </c>
      <c r="N348" s="241" t="n">
        <v>7.16</v>
      </c>
      <c r="O348" s="241" t="n">
        <v>70.04000000000001</v>
      </c>
      <c r="P348" s="241" t="n">
        <v>1.72</v>
      </c>
    </row>
    <row r="349">
      <c r="A349" s="282" t="inlineStr">
        <is>
          <t>2007-06-14</t>
        </is>
      </c>
      <c r="B349" s="240">
        <f>IFERROR(1/P349-1,B348)</f>
        <v/>
      </c>
      <c r="C349" s="240">
        <f>$C$3</f>
        <v/>
      </c>
      <c r="D349" s="240">
        <f>$D$3</f>
        <v/>
      </c>
      <c r="E349" s="240">
        <f>$E$3</f>
        <v/>
      </c>
      <c r="F349" s="241" t="n">
        <v>57.69</v>
      </c>
      <c r="G349" s="242" t="n">
        <v>1705142</v>
      </c>
      <c r="H349" s="241" t="n">
        <v>-2.07</v>
      </c>
      <c r="I349" s="241" t="n">
        <v>18.58</v>
      </c>
      <c r="J349" s="241" t="n">
        <v>112.88</v>
      </c>
      <c r="K349" s="241" t="n">
        <v>36.1</v>
      </c>
      <c r="L349" s="242" t="n">
        <v>2214000</v>
      </c>
      <c r="M349" s="241" t="n">
        <v>5.26</v>
      </c>
      <c r="N349" s="241" t="n">
        <v>12.8</v>
      </c>
      <c r="O349" s="241" t="n">
        <v>78.98999999999999</v>
      </c>
      <c r="P349" s="241" t="n">
        <v>1.6</v>
      </c>
    </row>
    <row r="350">
      <c r="A350" s="282" t="inlineStr">
        <is>
          <t>2007-06-15</t>
        </is>
      </c>
      <c r="B350" s="240">
        <f>IFERROR(1/P350-1,B349)</f>
        <v/>
      </c>
      <c r="C350" s="240">
        <f>$C$3</f>
        <v/>
      </c>
      <c r="D350" s="240">
        <f>$D$3</f>
        <v/>
      </c>
      <c r="E350" s="240">
        <f>$E$3</f>
        <v/>
      </c>
      <c r="F350" s="241" t="n">
        <v>63.45</v>
      </c>
      <c r="G350" s="242" t="n">
        <v>3807973</v>
      </c>
      <c r="H350" s="241" t="n">
        <v>9.98</v>
      </c>
      <c r="I350" s="241" t="n">
        <v>26.24</v>
      </c>
      <c r="J350" s="241" t="n">
        <v>134.13</v>
      </c>
      <c r="K350" s="241" t="n">
        <v>36.96</v>
      </c>
      <c r="L350" s="242" t="n">
        <v>1934000</v>
      </c>
      <c r="M350" s="241" t="n">
        <v>2.43</v>
      </c>
      <c r="N350" s="241" t="n">
        <v>9.539999999999999</v>
      </c>
      <c r="O350" s="241" t="n">
        <v>83.34</v>
      </c>
      <c r="P350" s="241" t="n">
        <v>1.72</v>
      </c>
    </row>
    <row r="351">
      <c r="A351" s="282" t="inlineStr">
        <is>
          <t>2007-06-18</t>
        </is>
      </c>
      <c r="B351" s="240">
        <f>IFERROR(1/P351-1,B350)</f>
        <v/>
      </c>
      <c r="C351" s="240">
        <f>$C$3</f>
        <v/>
      </c>
      <c r="D351" s="240">
        <f>$D$3</f>
        <v/>
      </c>
      <c r="E351" s="240">
        <f>$E$3</f>
        <v/>
      </c>
      <c r="F351" s="241" t="n">
        <v>69.8</v>
      </c>
      <c r="G351" s="242" t="n">
        <v>3373093</v>
      </c>
      <c r="H351" s="241" t="n">
        <v>10.01</v>
      </c>
      <c r="I351" s="241" t="n">
        <v>22.03</v>
      </c>
      <c r="J351" s="241" t="n">
        <v>157.56</v>
      </c>
      <c r="K351" s="241" t="n">
        <v>36.56</v>
      </c>
      <c r="L351" s="242" t="n">
        <v>1162500</v>
      </c>
      <c r="M351" s="241" t="n">
        <v>-1.06</v>
      </c>
      <c r="N351" s="241" t="n">
        <v>-0.79</v>
      </c>
      <c r="O351" s="241" t="n">
        <v>81.41</v>
      </c>
      <c r="P351" s="241" t="n">
        <v>1.91</v>
      </c>
    </row>
    <row r="352">
      <c r="A352" s="282" t="inlineStr">
        <is>
          <t>2007-06-19</t>
        </is>
      </c>
      <c r="B352" s="240">
        <f>IFERROR(1/P352-1,B351)</f>
        <v/>
      </c>
      <c r="C352" s="240">
        <f>$C$3</f>
        <v/>
      </c>
      <c r="D352" s="240">
        <f>$D$3</f>
        <v/>
      </c>
      <c r="E352" s="240">
        <f>$E$3</f>
        <v/>
      </c>
      <c r="F352" s="241" t="n">
        <v>68.81</v>
      </c>
      <c r="G352" s="242" t="n">
        <v>2315243</v>
      </c>
      <c r="H352" s="241" t="n">
        <v>-1.42</v>
      </c>
      <c r="I352" s="241" t="n">
        <v>20.28</v>
      </c>
      <c r="J352" s="241" t="n">
        <v>153.91</v>
      </c>
      <c r="K352" s="239" t="inlineStr">
        <is>
          <t>--</t>
        </is>
      </c>
      <c r="L352" s="239" t="inlineStr">
        <is>
          <t>--</t>
        </is>
      </c>
      <c r="M352" s="239" t="inlineStr">
        <is>
          <t>--</t>
        </is>
      </c>
      <c r="N352" s="239" t="inlineStr">
        <is>
          <t>--</t>
        </is>
      </c>
      <c r="O352" s="239" t="inlineStr">
        <is>
          <t>--</t>
        </is>
      </c>
      <c r="P352" s="239" t="inlineStr">
        <is>
          <t>--</t>
        </is>
      </c>
    </row>
    <row r="353">
      <c r="A353" s="282" t="inlineStr">
        <is>
          <t>2007-06-20</t>
        </is>
      </c>
      <c r="B353" s="240">
        <f>IFERROR(1/P353-1,B352)</f>
        <v/>
      </c>
      <c r="C353" s="240">
        <f>$C$3</f>
        <v/>
      </c>
      <c r="D353" s="240">
        <f>$D$3</f>
        <v/>
      </c>
      <c r="E353" s="240">
        <f>$E$3</f>
        <v/>
      </c>
      <c r="F353" s="241" t="n">
        <v>65.7</v>
      </c>
      <c r="G353" s="242" t="n">
        <v>1149873</v>
      </c>
      <c r="H353" s="241" t="n">
        <v>-4.52</v>
      </c>
      <c r="I353" s="241" t="n">
        <v>14.84</v>
      </c>
      <c r="J353" s="241" t="n">
        <v>142.44</v>
      </c>
      <c r="K353" s="241" t="n">
        <v>36.84</v>
      </c>
      <c r="L353" s="242" t="n">
        <v>2786000</v>
      </c>
      <c r="M353" s="241" t="n">
        <v>0.8</v>
      </c>
      <c r="N353" s="241" t="n">
        <v>-0.53</v>
      </c>
      <c r="O353" s="241" t="n">
        <v>82.86</v>
      </c>
      <c r="P353" s="241" t="n">
        <v>1.78</v>
      </c>
    </row>
    <row r="354">
      <c r="A354" s="282" t="inlineStr">
        <is>
          <t>2007-06-21</t>
        </is>
      </c>
      <c r="B354" s="240">
        <f>IFERROR(1/P354-1,B353)</f>
        <v/>
      </c>
      <c r="C354" s="240">
        <f>$C$3</f>
        <v/>
      </c>
      <c r="D354" s="240">
        <f>$D$3</f>
        <v/>
      </c>
      <c r="E354" s="240">
        <f>$E$3</f>
        <v/>
      </c>
      <c r="F354" s="241" t="n">
        <v>68.5</v>
      </c>
      <c r="G354" s="242" t="n">
        <v>1615817</v>
      </c>
      <c r="H354" s="241" t="n">
        <v>4.26</v>
      </c>
      <c r="I354" s="241" t="n">
        <v>19.73</v>
      </c>
      <c r="J354" s="241" t="n">
        <v>152.77</v>
      </c>
      <c r="K354" s="241" t="n">
        <v>41.93</v>
      </c>
      <c r="L354" s="242" t="n">
        <v>2164000</v>
      </c>
      <c r="M354" s="241" t="n">
        <v>13.76</v>
      </c>
      <c r="N354" s="241" t="n">
        <v>13.16</v>
      </c>
      <c r="O354" s="241" t="n">
        <v>108.02</v>
      </c>
      <c r="P354" s="241" t="n">
        <v>1.63</v>
      </c>
    </row>
    <row r="355">
      <c r="A355" s="282" t="inlineStr">
        <is>
          <t>2007-06-22</t>
        </is>
      </c>
      <c r="B355" s="240">
        <f>IFERROR(1/P355-1,B354)</f>
        <v/>
      </c>
      <c r="C355" s="240">
        <f>$C$3</f>
        <v/>
      </c>
      <c r="D355" s="240">
        <f>$D$3</f>
        <v/>
      </c>
      <c r="E355" s="240">
        <f>$E$3</f>
        <v/>
      </c>
      <c r="F355" s="241" t="n">
        <v>65.83</v>
      </c>
      <c r="G355" s="242" t="n">
        <v>1458170</v>
      </c>
      <c r="H355" s="241" t="n">
        <v>-3.9</v>
      </c>
      <c r="I355" s="241" t="n">
        <v>19.69</v>
      </c>
      <c r="J355" s="241" t="n">
        <v>142.92</v>
      </c>
      <c r="K355" s="241" t="n">
        <v>43.51</v>
      </c>
      <c r="L355" s="242" t="n">
        <v>2543000</v>
      </c>
      <c r="M355" s="241" t="n">
        <v>3.72</v>
      </c>
      <c r="N355" s="241" t="n">
        <v>18.93</v>
      </c>
      <c r="O355" s="241" t="n">
        <v>115.76</v>
      </c>
      <c r="P355" s="241" t="n">
        <v>1.51</v>
      </c>
    </row>
    <row r="356">
      <c r="A356" s="282" t="inlineStr">
        <is>
          <t>2007-06-25</t>
        </is>
      </c>
      <c r="B356" s="240">
        <f>IFERROR(1/P356-1,B355)</f>
        <v/>
      </c>
      <c r="C356" s="240">
        <f>$C$3</f>
        <v/>
      </c>
      <c r="D356" s="240">
        <f>$D$3</f>
        <v/>
      </c>
      <c r="E356" s="240">
        <f>$E$3</f>
        <v/>
      </c>
      <c r="F356" s="241" t="n">
        <v>64.47</v>
      </c>
      <c r="G356" s="242" t="n">
        <v>1731493</v>
      </c>
      <c r="H356" s="241" t="n">
        <v>-2.07</v>
      </c>
      <c r="I356" s="241" t="n">
        <v>26.34</v>
      </c>
      <c r="J356" s="241" t="n">
        <v>137.9</v>
      </c>
      <c r="K356" s="241" t="n">
        <v>40.85</v>
      </c>
      <c r="L356" s="242" t="n">
        <v>1568000</v>
      </c>
      <c r="M356" s="241" t="n">
        <v>-6.05</v>
      </c>
      <c r="N356" s="241" t="n">
        <v>18.03</v>
      </c>
      <c r="O356" s="241" t="n">
        <v>102.69</v>
      </c>
      <c r="P356" s="241" t="n">
        <v>1.58</v>
      </c>
    </row>
    <row r="357">
      <c r="A357" s="282" t="inlineStr">
        <is>
          <t>2007-06-26</t>
        </is>
      </c>
      <c r="B357" s="240">
        <f>IFERROR(1/P357-1,B356)</f>
        <v/>
      </c>
      <c r="C357" s="240">
        <f>$C$3</f>
        <v/>
      </c>
      <c r="D357" s="240">
        <f>$D$3</f>
        <v/>
      </c>
      <c r="E357" s="240">
        <f>$E$3</f>
        <v/>
      </c>
      <c r="F357" s="241" t="n">
        <v>65.45</v>
      </c>
      <c r="G357" s="242" t="n">
        <v>1278917</v>
      </c>
      <c r="H357" s="241" t="n">
        <v>1.52</v>
      </c>
      <c r="I357" s="241" t="n">
        <v>27.58</v>
      </c>
      <c r="J357" s="241" t="n">
        <v>141.51</v>
      </c>
      <c r="K357" s="241" t="n">
        <v>40.22</v>
      </c>
      <c r="L357" s="242" t="n">
        <v>456000</v>
      </c>
      <c r="M357" s="241" t="n">
        <v>-1.55</v>
      </c>
      <c r="N357" s="241" t="n">
        <v>12.09</v>
      </c>
      <c r="O357" s="241" t="n">
        <v>99.55</v>
      </c>
      <c r="P357" s="241" t="n">
        <v>1.63</v>
      </c>
    </row>
    <row r="358">
      <c r="A358" s="282" t="inlineStr">
        <is>
          <t>2007-06-27</t>
        </is>
      </c>
      <c r="B358" s="240">
        <f>IFERROR(1/P358-1,B357)</f>
        <v/>
      </c>
      <c r="C358" s="240">
        <f>$C$3</f>
        <v/>
      </c>
      <c r="D358" s="240">
        <f>$D$3</f>
        <v/>
      </c>
      <c r="E358" s="240">
        <f>$E$3</f>
        <v/>
      </c>
      <c r="F358" s="241" t="n">
        <v>67.2</v>
      </c>
      <c r="G358" s="242" t="n">
        <v>1297322</v>
      </c>
      <c r="H358" s="241" t="n">
        <v>2.67</v>
      </c>
      <c r="I358" s="241" t="n">
        <v>30.99</v>
      </c>
      <c r="J358" s="241" t="n">
        <v>147.97</v>
      </c>
      <c r="K358" s="241" t="n">
        <v>41.92</v>
      </c>
      <c r="L358" s="242" t="n">
        <v>685000</v>
      </c>
      <c r="M358" s="241" t="n">
        <v>4.24</v>
      </c>
      <c r="N358" s="241" t="n">
        <v>16.85</v>
      </c>
      <c r="O358" s="241" t="n">
        <v>108.02</v>
      </c>
      <c r="P358" s="241" t="n">
        <v>1.6</v>
      </c>
    </row>
    <row r="359">
      <c r="A359" s="282" t="inlineStr">
        <is>
          <t>2007-06-28</t>
        </is>
      </c>
      <c r="B359" s="240">
        <f>IFERROR(1/P359-1,B358)</f>
        <v/>
      </c>
      <c r="C359" s="240">
        <f>$C$3</f>
        <v/>
      </c>
      <c r="D359" s="240">
        <f>$D$3</f>
        <v/>
      </c>
      <c r="E359" s="240">
        <f>$E$3</f>
        <v/>
      </c>
      <c r="F359" s="241" t="n">
        <v>65.34999999999999</v>
      </c>
      <c r="G359" s="242" t="n">
        <v>863616</v>
      </c>
      <c r="H359" s="241" t="n">
        <v>-2.75</v>
      </c>
      <c r="I359" s="241" t="n">
        <v>27.39</v>
      </c>
      <c r="J359" s="241" t="n">
        <v>141.14</v>
      </c>
      <c r="K359" s="241" t="n">
        <v>41.53</v>
      </c>
      <c r="L359" s="242" t="n">
        <v>1139000</v>
      </c>
      <c r="M359" s="241" t="n">
        <v>-0.93</v>
      </c>
      <c r="N359" s="241" t="n">
        <v>15.76</v>
      </c>
      <c r="O359" s="241" t="n">
        <v>106.08</v>
      </c>
      <c r="P359" s="241" t="n">
        <v>1.57</v>
      </c>
    </row>
    <row r="360">
      <c r="A360" s="282" t="inlineStr">
        <is>
          <t>2007-06-29</t>
        </is>
      </c>
      <c r="B360" s="240">
        <f>IFERROR(1/P360-1,B359)</f>
        <v/>
      </c>
      <c r="C360" s="240">
        <f>$C$3</f>
        <v/>
      </c>
      <c r="D360" s="240">
        <f>$D$3</f>
        <v/>
      </c>
      <c r="E360" s="240">
        <f>$E$3</f>
        <v/>
      </c>
      <c r="F360" s="241" t="n">
        <v>63.88</v>
      </c>
      <c r="G360" s="242" t="n">
        <v>667599</v>
      </c>
      <c r="H360" s="241" t="n">
        <v>-2.25</v>
      </c>
      <c r="I360" s="241" t="n">
        <v>15.29</v>
      </c>
      <c r="J360" s="241" t="n">
        <v>135.72</v>
      </c>
      <c r="K360" s="241" t="n">
        <v>42.19</v>
      </c>
      <c r="L360" s="242" t="n">
        <v>1238000</v>
      </c>
      <c r="M360" s="241" t="n">
        <v>1.64</v>
      </c>
      <c r="N360" s="241" t="n">
        <v>21.12</v>
      </c>
      <c r="O360" s="241" t="n">
        <v>109.47</v>
      </c>
      <c r="P360" s="241" t="n">
        <v>1.51</v>
      </c>
    </row>
    <row r="361">
      <c r="A361" s="282" t="inlineStr">
        <is>
          <t>2007-07-02</t>
        </is>
      </c>
      <c r="B361" s="240">
        <f>IFERROR(1/P361-1,B360)</f>
        <v/>
      </c>
      <c r="C361" s="240">
        <f>$C$3</f>
        <v/>
      </c>
      <c r="D361" s="240">
        <f>$D$3</f>
        <v/>
      </c>
      <c r="E361" s="240">
        <f>$E$3</f>
        <v/>
      </c>
      <c r="F361" s="241" t="n">
        <v>62.91</v>
      </c>
      <c r="G361" s="242" t="n">
        <v>1230415</v>
      </c>
      <c r="H361" s="241" t="n">
        <v>-1.52</v>
      </c>
      <c r="I361" s="241" t="n">
        <v>18.32</v>
      </c>
      <c r="J361" s="241" t="n">
        <v>132.14</v>
      </c>
      <c r="K361" s="239" t="inlineStr">
        <is>
          <t>--</t>
        </is>
      </c>
      <c r="L361" s="239" t="inlineStr">
        <is>
          <t>--</t>
        </is>
      </c>
      <c r="M361" s="239" t="inlineStr">
        <is>
          <t>--</t>
        </is>
      </c>
      <c r="N361" s="239" t="inlineStr">
        <is>
          <t>--</t>
        </is>
      </c>
      <c r="O361" s="239" t="inlineStr">
        <is>
          <t>--</t>
        </is>
      </c>
      <c r="P361" s="239" t="inlineStr">
        <is>
          <t>--</t>
        </is>
      </c>
    </row>
    <row r="362">
      <c r="A362" s="282" t="inlineStr">
        <is>
          <t>2007-07-03</t>
        </is>
      </c>
      <c r="B362" s="240">
        <f>IFERROR(1/P362-1,B361)</f>
        <v/>
      </c>
      <c r="C362" s="240">
        <f>$C$3</f>
        <v/>
      </c>
      <c r="D362" s="240">
        <f>$D$3</f>
        <v/>
      </c>
      <c r="E362" s="240">
        <f>$E$3</f>
        <v/>
      </c>
      <c r="F362" s="241" t="n">
        <v>62.91</v>
      </c>
      <c r="G362" s="242" t="n">
        <v>0</v>
      </c>
      <c r="H362" s="241" t="n">
        <v>0</v>
      </c>
      <c r="I362" s="241" t="n">
        <v>18.32</v>
      </c>
      <c r="J362" s="241" t="n">
        <v>132.14</v>
      </c>
      <c r="K362" s="241" t="n">
        <v>42.7</v>
      </c>
      <c r="L362" s="242" t="n">
        <v>818000</v>
      </c>
      <c r="M362" s="241" t="n">
        <v>1.5</v>
      </c>
      <c r="N362" s="241" t="n">
        <v>30.03</v>
      </c>
      <c r="O362" s="241" t="n">
        <v>112.61</v>
      </c>
      <c r="P362" s="241" t="n">
        <v>1.47</v>
      </c>
    </row>
    <row r="363">
      <c r="A363" s="282" t="inlineStr">
        <is>
          <t>2007-07-04</t>
        </is>
      </c>
      <c r="B363" s="240">
        <f>IFERROR(1/P363-1,B362)</f>
        <v/>
      </c>
      <c r="C363" s="240">
        <f>$C$3</f>
        <v/>
      </c>
      <c r="D363" s="240">
        <f>$D$3</f>
        <v/>
      </c>
      <c r="E363" s="240">
        <f>$E$3</f>
        <v/>
      </c>
      <c r="F363" s="241" t="n">
        <v>64.03</v>
      </c>
      <c r="G363" s="242" t="n">
        <v>575643</v>
      </c>
      <c r="H363" s="241" t="n">
        <v>1.78</v>
      </c>
      <c r="I363" s="241" t="n">
        <v>20.43</v>
      </c>
      <c r="J363" s="241" t="n">
        <v>136.27</v>
      </c>
      <c r="K363" s="241" t="n">
        <v>44.42</v>
      </c>
      <c r="L363" s="242" t="n">
        <v>1706710</v>
      </c>
      <c r="M363" s="241" t="n">
        <v>3.87</v>
      </c>
      <c r="N363" s="241" t="n">
        <v>35.06</v>
      </c>
      <c r="O363" s="241" t="n">
        <v>120.84</v>
      </c>
      <c r="P363" s="241" t="n">
        <v>1.44</v>
      </c>
    </row>
    <row r="364">
      <c r="A364" s="282" t="inlineStr">
        <is>
          <t>2007-07-05</t>
        </is>
      </c>
      <c r="B364" s="240">
        <f>IFERROR(1/P364-1,B363)</f>
        <v/>
      </c>
      <c r="C364" s="240">
        <f>$C$3</f>
        <v/>
      </c>
      <c r="D364" s="240">
        <f>$D$3</f>
        <v/>
      </c>
      <c r="E364" s="240">
        <f>$E$3</f>
        <v/>
      </c>
      <c r="F364" s="241" t="n">
        <v>58.33</v>
      </c>
      <c r="G364" s="242" t="n">
        <v>657271</v>
      </c>
      <c r="H364" s="241" t="n">
        <v>-8.9</v>
      </c>
      <c r="I364" s="241" t="n">
        <v>21.9</v>
      </c>
      <c r="J364" s="241" t="n">
        <v>115.24</v>
      </c>
      <c r="K364" s="241" t="n">
        <v>46.67</v>
      </c>
      <c r="L364" s="242" t="n">
        <v>1832000</v>
      </c>
      <c r="M364" s="241" t="n">
        <v>5.04</v>
      </c>
      <c r="N364" s="241" t="n">
        <v>42.5</v>
      </c>
      <c r="O364" s="241" t="n">
        <v>131.96</v>
      </c>
      <c r="P364" s="241" t="n">
        <v>1.25</v>
      </c>
    </row>
    <row r="365">
      <c r="A365" s="282" t="inlineStr">
        <is>
          <t>2007-07-06</t>
        </is>
      </c>
      <c r="B365" s="240">
        <f>IFERROR(1/P365-1,B364)</f>
        <v/>
      </c>
      <c r="C365" s="240">
        <f>$C$3</f>
        <v/>
      </c>
      <c r="D365" s="240">
        <f>$D$3</f>
        <v/>
      </c>
      <c r="E365" s="240">
        <f>$E$3</f>
        <v/>
      </c>
      <c r="F365" s="241" t="n">
        <v>60.75</v>
      </c>
      <c r="G365" s="242" t="n">
        <v>901957</v>
      </c>
      <c r="H365" s="241" t="n">
        <v>4.15</v>
      </c>
      <c r="I365" s="241" t="n">
        <v>22.65</v>
      </c>
      <c r="J365" s="241" t="n">
        <v>124.17</v>
      </c>
      <c r="K365" s="241" t="n">
        <v>45.97</v>
      </c>
      <c r="L365" s="242" t="n">
        <v>1040000</v>
      </c>
      <c r="M365" s="241" t="n">
        <v>-1.56</v>
      </c>
      <c r="N365" s="241" t="n">
        <v>39.65</v>
      </c>
      <c r="O365" s="241" t="n">
        <v>128.33</v>
      </c>
      <c r="P365" s="241" t="n">
        <v>1.32</v>
      </c>
    </row>
    <row r="366">
      <c r="A366" s="282" t="inlineStr">
        <is>
          <t>2007-07-09</t>
        </is>
      </c>
      <c r="B366" s="240">
        <f>IFERROR(1/P366-1,B365)</f>
        <v/>
      </c>
      <c r="C366" s="240">
        <f>$C$3</f>
        <v/>
      </c>
      <c r="D366" s="240">
        <f>$D$3</f>
        <v/>
      </c>
      <c r="E366" s="240">
        <f>$E$3</f>
        <v/>
      </c>
      <c r="F366" s="241" t="n">
        <v>64.22</v>
      </c>
      <c r="G366" s="242" t="n">
        <v>661130</v>
      </c>
      <c r="H366" s="241" t="n">
        <v>5.71</v>
      </c>
      <c r="I366" s="241" t="n">
        <v>18.99</v>
      </c>
      <c r="J366" s="241" t="n">
        <v>136.97</v>
      </c>
      <c r="K366" s="241" t="n">
        <v>47.69</v>
      </c>
      <c r="L366" s="242" t="n">
        <v>680000</v>
      </c>
      <c r="M366" s="241" t="n">
        <v>3.81</v>
      </c>
      <c r="N366" s="241" t="n">
        <v>42.03</v>
      </c>
      <c r="O366" s="241" t="n">
        <v>137.04</v>
      </c>
      <c r="P366" s="241" t="n">
        <v>1.35</v>
      </c>
    </row>
    <row r="367">
      <c r="A367" s="282" t="inlineStr">
        <is>
          <t>2007-07-10</t>
        </is>
      </c>
      <c r="B367" s="240">
        <f>IFERROR(1/P367-1,B366)</f>
        <v/>
      </c>
      <c r="C367" s="240">
        <f>$C$3</f>
        <v/>
      </c>
      <c r="D367" s="240">
        <f>$D$3</f>
        <v/>
      </c>
      <c r="E367" s="240">
        <f>$E$3</f>
        <v/>
      </c>
      <c r="F367" s="241" t="n">
        <v>64.43000000000001</v>
      </c>
      <c r="G367" s="242" t="n">
        <v>1588086</v>
      </c>
      <c r="H367" s="241" t="n">
        <v>0.33</v>
      </c>
      <c r="I367" s="241" t="n">
        <v>19.38</v>
      </c>
      <c r="J367" s="241" t="n">
        <v>137.75</v>
      </c>
      <c r="K367" s="241" t="n">
        <v>50.46</v>
      </c>
      <c r="L367" s="242" t="n">
        <v>1577280</v>
      </c>
      <c r="M367" s="241" t="n">
        <v>6.12</v>
      </c>
      <c r="N367" s="241" t="n">
        <v>50.72</v>
      </c>
      <c r="O367" s="241" t="n">
        <v>151.55</v>
      </c>
      <c r="P367" s="241" t="n">
        <v>1.28</v>
      </c>
    </row>
    <row r="368">
      <c r="A368" s="282" t="inlineStr">
        <is>
          <t>2007-07-11</t>
        </is>
      </c>
      <c r="B368" s="240">
        <f>IFERROR(1/P368-1,B367)</f>
        <v/>
      </c>
      <c r="C368" s="240">
        <f>$C$3</f>
        <v/>
      </c>
      <c r="D368" s="240">
        <f>$D$3</f>
        <v/>
      </c>
      <c r="E368" s="240">
        <f>$E$3</f>
        <v/>
      </c>
      <c r="F368" s="241" t="n">
        <v>65.79000000000001</v>
      </c>
      <c r="G368" s="242" t="n">
        <v>487787</v>
      </c>
      <c r="H368" s="241" t="n">
        <v>2.11</v>
      </c>
      <c r="I368" s="241" t="n">
        <v>21.9</v>
      </c>
      <c r="J368" s="241" t="n">
        <v>142.77</v>
      </c>
      <c r="K368" s="241" t="n">
        <v>48.67</v>
      </c>
      <c r="L368" s="242" t="n">
        <v>740000</v>
      </c>
      <c r="M368" s="241" t="n">
        <v>-3.37</v>
      </c>
      <c r="N368" s="241" t="n">
        <v>45.65</v>
      </c>
      <c r="O368" s="241" t="n">
        <v>143.09</v>
      </c>
      <c r="P368" s="241" t="n">
        <v>1.35</v>
      </c>
    </row>
    <row r="369">
      <c r="A369" s="282" t="inlineStr">
        <is>
          <t>2007-07-12</t>
        </is>
      </c>
      <c r="B369" s="240">
        <f>IFERROR(1/P369-1,B368)</f>
        <v/>
      </c>
      <c r="C369" s="240">
        <f>$C$3</f>
        <v/>
      </c>
      <c r="D369" s="240">
        <f>$D$3</f>
        <v/>
      </c>
      <c r="E369" s="240">
        <f>$E$3</f>
        <v/>
      </c>
      <c r="F369" s="241" t="n">
        <v>66.38</v>
      </c>
      <c r="G369" s="242" t="n">
        <v>581689</v>
      </c>
      <c r="H369" s="241" t="n">
        <v>0.9</v>
      </c>
      <c r="I369" s="241" t="n">
        <v>15.24</v>
      </c>
      <c r="J369" s="241" t="n">
        <v>144.94</v>
      </c>
      <c r="K369" s="241" t="n">
        <v>49.34</v>
      </c>
      <c r="L369" s="242" t="n">
        <v>1052000</v>
      </c>
      <c r="M369" s="241" t="n">
        <v>1.29</v>
      </c>
      <c r="N369" s="241" t="n">
        <v>48.83</v>
      </c>
      <c r="O369" s="241" t="n">
        <v>146.23</v>
      </c>
      <c r="P369" s="241" t="n">
        <v>1.35</v>
      </c>
    </row>
    <row r="370">
      <c r="A370" s="282" t="inlineStr">
        <is>
          <t>2007-07-13</t>
        </is>
      </c>
      <c r="B370" s="240">
        <f>IFERROR(1/P370-1,B369)</f>
        <v/>
      </c>
      <c r="C370" s="240">
        <f>$C$3</f>
        <v/>
      </c>
      <c r="D370" s="240">
        <f>$D$3</f>
        <v/>
      </c>
      <c r="E370" s="240">
        <f>$E$3</f>
        <v/>
      </c>
      <c r="F370" s="241" t="n">
        <v>64.61</v>
      </c>
      <c r="G370" s="242" t="n">
        <v>771804</v>
      </c>
      <c r="H370" s="241" t="n">
        <v>-2.67</v>
      </c>
      <c r="I370" s="241" t="n">
        <v>11.44</v>
      </c>
      <c r="J370" s="241" t="n">
        <v>138.41</v>
      </c>
      <c r="K370" s="241" t="n">
        <v>49.41</v>
      </c>
      <c r="L370" s="242" t="n">
        <v>270000</v>
      </c>
      <c r="M370" s="241" t="n">
        <v>0.2</v>
      </c>
      <c r="N370" s="241" t="n">
        <v>49.34</v>
      </c>
      <c r="O370" s="241" t="n">
        <v>146.72</v>
      </c>
      <c r="P370" s="241" t="n">
        <v>1.31</v>
      </c>
    </row>
    <row r="371">
      <c r="A371" s="282" t="inlineStr">
        <is>
          <t>2007-07-16</t>
        </is>
      </c>
      <c r="B371" s="240">
        <f>IFERROR(1/P371-1,B370)</f>
        <v/>
      </c>
      <c r="C371" s="240">
        <f>$C$3</f>
        <v/>
      </c>
      <c r="D371" s="240">
        <f>$D$3</f>
        <v/>
      </c>
      <c r="E371" s="240">
        <f>$E$3</f>
        <v/>
      </c>
      <c r="F371" s="241" t="n">
        <v>61.55</v>
      </c>
      <c r="G371" s="242" t="n">
        <v>551886</v>
      </c>
      <c r="H371" s="241" t="n">
        <v>-4.74</v>
      </c>
      <c r="I371" s="241" t="n">
        <v>-2.99</v>
      </c>
      <c r="J371" s="241" t="n">
        <v>127.12</v>
      </c>
      <c r="K371" s="241" t="n">
        <v>49.06</v>
      </c>
      <c r="L371" s="242" t="n">
        <v>542000</v>
      </c>
      <c r="M371" s="241" t="n">
        <v>-0.59</v>
      </c>
      <c r="N371" s="241" t="n">
        <v>33.77</v>
      </c>
      <c r="O371" s="241" t="n">
        <v>145.27</v>
      </c>
      <c r="P371" s="241" t="n">
        <v>1.25</v>
      </c>
    </row>
    <row r="372">
      <c r="A372" s="282" t="inlineStr">
        <is>
          <t>2007-07-17</t>
        </is>
      </c>
      <c r="B372" s="240">
        <f>IFERROR(1/P372-1,B371)</f>
        <v/>
      </c>
      <c r="C372" s="240">
        <f>$C$3</f>
        <v/>
      </c>
      <c r="D372" s="240">
        <f>$D$3</f>
        <v/>
      </c>
      <c r="E372" s="240">
        <f>$E$3</f>
        <v/>
      </c>
      <c r="F372" s="241" t="n">
        <v>63.76</v>
      </c>
      <c r="G372" s="242" t="n">
        <v>1012142</v>
      </c>
      <c r="H372" s="241" t="n">
        <v>3.59</v>
      </c>
      <c r="I372" s="241" t="n">
        <v>0.49</v>
      </c>
      <c r="J372" s="241" t="n">
        <v>135.28</v>
      </c>
      <c r="K372" s="241" t="n">
        <v>51.75</v>
      </c>
      <c r="L372" s="242" t="n">
        <v>785000</v>
      </c>
      <c r="M372" s="241" t="n">
        <v>5.52</v>
      </c>
      <c r="N372" s="241" t="n">
        <v>41.16</v>
      </c>
      <c r="O372" s="241" t="n">
        <v>158.81</v>
      </c>
      <c r="P372" s="241" t="n">
        <v>1.23</v>
      </c>
    </row>
    <row r="373">
      <c r="A373" s="282" t="inlineStr">
        <is>
          <t>2007-07-18</t>
        </is>
      </c>
      <c r="B373" s="240">
        <f>IFERROR(1/P373-1,B372)</f>
        <v/>
      </c>
      <c r="C373" s="240">
        <f>$C$3</f>
        <v/>
      </c>
      <c r="D373" s="240">
        <f>$D$3</f>
        <v/>
      </c>
      <c r="E373" s="240">
        <f>$E$3</f>
        <v/>
      </c>
      <c r="F373" s="241" t="n">
        <v>64.51000000000001</v>
      </c>
      <c r="G373" s="242" t="n">
        <v>754940</v>
      </c>
      <c r="H373" s="241" t="n">
        <v>1.18</v>
      </c>
      <c r="I373" s="241" t="n">
        <v>1.67</v>
      </c>
      <c r="J373" s="241" t="n">
        <v>138.04</v>
      </c>
      <c r="K373" s="241" t="n">
        <v>51.27</v>
      </c>
      <c r="L373" s="242" t="n">
        <v>1292000</v>
      </c>
      <c r="M373" s="241" t="n">
        <v>-0.93</v>
      </c>
      <c r="N373" s="241" t="n">
        <v>39.84</v>
      </c>
      <c r="O373" s="241" t="n">
        <v>156.39</v>
      </c>
      <c r="P373" s="241" t="n">
        <v>1.26</v>
      </c>
    </row>
    <row r="374">
      <c r="A374" s="282" t="inlineStr">
        <is>
          <t>2007-07-19</t>
        </is>
      </c>
      <c r="B374" s="240">
        <f>IFERROR(1/P374-1,B373)</f>
        <v/>
      </c>
      <c r="C374" s="240">
        <f>$C$3</f>
        <v/>
      </c>
      <c r="D374" s="240">
        <f>$D$3</f>
        <v/>
      </c>
      <c r="E374" s="240">
        <f>$E$3</f>
        <v/>
      </c>
      <c r="F374" s="241" t="n">
        <v>66.54000000000001</v>
      </c>
      <c r="G374" s="242" t="n">
        <v>539750</v>
      </c>
      <c r="H374" s="241" t="n">
        <v>3.15</v>
      </c>
      <c r="I374" s="241" t="n">
        <v>-4.67</v>
      </c>
      <c r="J374" s="241" t="n">
        <v>145.54</v>
      </c>
      <c r="K374" s="241" t="n">
        <v>51.98</v>
      </c>
      <c r="L374" s="242" t="n">
        <v>708500</v>
      </c>
      <c r="M374" s="241" t="n">
        <v>1.42</v>
      </c>
      <c r="N374" s="241" t="n">
        <v>43.33</v>
      </c>
      <c r="O374" s="241" t="n">
        <v>160.02</v>
      </c>
      <c r="P374" s="241" t="n">
        <v>1.28</v>
      </c>
    </row>
    <row r="375">
      <c r="A375" s="282" t="inlineStr">
        <is>
          <t>2007-07-20</t>
        </is>
      </c>
      <c r="B375" s="240">
        <f>IFERROR(1/P375-1,B374)</f>
        <v/>
      </c>
      <c r="C375" s="240">
        <f>$C$3</f>
        <v/>
      </c>
      <c r="D375" s="240">
        <f>$D$3</f>
        <v/>
      </c>
      <c r="E375" s="240">
        <f>$E$3</f>
        <v/>
      </c>
      <c r="F375" s="241" t="n">
        <v>67.65000000000001</v>
      </c>
      <c r="G375" s="242" t="n">
        <v>948977</v>
      </c>
      <c r="H375" s="241" t="n">
        <v>1.67</v>
      </c>
      <c r="I375" s="241" t="n">
        <v>-1.69</v>
      </c>
      <c r="J375" s="241" t="n">
        <v>149.63</v>
      </c>
      <c r="K375" s="241" t="n">
        <v>53.58</v>
      </c>
      <c r="L375" s="242" t="n">
        <v>282000</v>
      </c>
      <c r="M375" s="241" t="n">
        <v>2.98</v>
      </c>
      <c r="N375" s="241" t="n">
        <v>47.6</v>
      </c>
      <c r="O375" s="241" t="n">
        <v>167.76</v>
      </c>
      <c r="P375" s="241" t="n">
        <v>1.26</v>
      </c>
    </row>
    <row r="376">
      <c r="A376" s="282" t="inlineStr">
        <is>
          <t>2007-07-23</t>
        </is>
      </c>
      <c r="B376" s="240">
        <f>IFERROR(1/P376-1,B375)</f>
        <v/>
      </c>
      <c r="C376" s="240">
        <f>$C$3</f>
        <v/>
      </c>
      <c r="D376" s="240">
        <f>$D$3</f>
        <v/>
      </c>
      <c r="E376" s="240">
        <f>$E$3</f>
        <v/>
      </c>
      <c r="F376" s="241" t="n">
        <v>69.23</v>
      </c>
      <c r="G376" s="242" t="n">
        <v>1554121</v>
      </c>
      <c r="H376" s="241" t="n">
        <v>2.34</v>
      </c>
      <c r="I376" s="241" t="n">
        <v>5.16</v>
      </c>
      <c r="J376" s="241" t="n">
        <v>155.46</v>
      </c>
      <c r="K376" s="241" t="n">
        <v>52.34</v>
      </c>
      <c r="L376" s="242" t="n">
        <v>548000</v>
      </c>
      <c r="M376" s="241" t="n">
        <v>-2.26</v>
      </c>
      <c r="N376" s="241" t="n">
        <v>21.3</v>
      </c>
      <c r="O376" s="241" t="n">
        <v>161.71</v>
      </c>
      <c r="P376" s="241" t="n">
        <v>1.32</v>
      </c>
    </row>
    <row r="377">
      <c r="A377" s="282" t="inlineStr">
        <is>
          <t>2007-07-24</t>
        </is>
      </c>
      <c r="B377" s="240">
        <f>IFERROR(1/P377-1,B376)</f>
        <v/>
      </c>
      <c r="C377" s="240">
        <f>$C$3</f>
        <v/>
      </c>
      <c r="D377" s="240">
        <f>$D$3</f>
        <v/>
      </c>
      <c r="E377" s="240">
        <f>$E$3</f>
        <v/>
      </c>
      <c r="F377" s="241" t="n">
        <v>68.18000000000001</v>
      </c>
      <c r="G377" s="242" t="n">
        <v>595283</v>
      </c>
      <c r="H377" s="241" t="n">
        <v>-1.52</v>
      </c>
      <c r="I377" s="241" t="n">
        <v>3.57</v>
      </c>
      <c r="J377" s="241" t="n">
        <v>151.59</v>
      </c>
      <c r="K377" s="241" t="n">
        <v>50.44</v>
      </c>
      <c r="L377" s="242" t="n">
        <v>368000</v>
      </c>
      <c r="M377" s="241" t="n">
        <v>-3.7</v>
      </c>
      <c r="N377" s="241" t="n">
        <v>16.82</v>
      </c>
      <c r="O377" s="241" t="n">
        <v>152.04</v>
      </c>
      <c r="P377" s="241" t="n">
        <v>1.35</v>
      </c>
    </row>
    <row r="378">
      <c r="A378" s="282" t="inlineStr">
        <is>
          <t>2007-07-25</t>
        </is>
      </c>
      <c r="B378" s="240">
        <f>IFERROR(1/P378-1,B377)</f>
        <v/>
      </c>
      <c r="C378" s="240">
        <f>$C$3</f>
        <v/>
      </c>
      <c r="D378" s="240">
        <f>$D$3</f>
        <v/>
      </c>
      <c r="E378" s="240">
        <f>$E$3</f>
        <v/>
      </c>
      <c r="F378" s="241" t="n">
        <v>66.95</v>
      </c>
      <c r="G378" s="242" t="n">
        <v>510480</v>
      </c>
      <c r="H378" s="241" t="n">
        <v>-1.52</v>
      </c>
      <c r="I378" s="241" t="n">
        <v>2</v>
      </c>
      <c r="J378" s="241" t="n">
        <v>147.77</v>
      </c>
      <c r="K378" s="241" t="n">
        <v>51.22</v>
      </c>
      <c r="L378" s="242" t="n">
        <v>668000</v>
      </c>
      <c r="M378" s="241" t="n">
        <v>1.73</v>
      </c>
      <c r="N378" s="241" t="n">
        <v>18.83</v>
      </c>
      <c r="O378" s="241" t="n">
        <v>156.39</v>
      </c>
      <c r="P378" s="241" t="n">
        <v>1.31</v>
      </c>
    </row>
    <row r="379">
      <c r="A379" s="282" t="inlineStr">
        <is>
          <t>2007-07-26</t>
        </is>
      </c>
      <c r="B379" s="240">
        <f>IFERROR(1/P379-1,B378)</f>
        <v/>
      </c>
      <c r="C379" s="240">
        <f>$C$3</f>
        <v/>
      </c>
      <c r="D379" s="240">
        <f>$D$3</f>
        <v/>
      </c>
      <c r="E379" s="240">
        <f>$E$3</f>
        <v/>
      </c>
      <c r="F379" s="241" t="n">
        <v>67.56</v>
      </c>
      <c r="G379" s="242" t="n">
        <v>431962</v>
      </c>
      <c r="H379" s="241" t="n">
        <v>0.91</v>
      </c>
      <c r="I379" s="241" t="n">
        <v>5.1</v>
      </c>
      <c r="J379" s="241" t="n">
        <v>150.03</v>
      </c>
      <c r="K379" s="241" t="n">
        <v>49.84</v>
      </c>
      <c r="L379" s="242" t="n">
        <v>516000</v>
      </c>
      <c r="M379" s="241" t="n">
        <v>-2.92</v>
      </c>
      <c r="N379" s="241" t="n">
        <v>22.79</v>
      </c>
      <c r="O379" s="241" t="n">
        <v>148.89</v>
      </c>
      <c r="P379" s="241" t="n">
        <v>1.36</v>
      </c>
    </row>
    <row r="380">
      <c r="A380" s="282" t="inlineStr">
        <is>
          <t>2007-07-27</t>
        </is>
      </c>
      <c r="B380" s="240">
        <f>IFERROR(1/P380-1,B379)</f>
        <v/>
      </c>
      <c r="C380" s="240">
        <f>$C$3</f>
        <v/>
      </c>
      <c r="D380" s="240">
        <f>$D$3</f>
        <v/>
      </c>
      <c r="E380" s="240">
        <f>$E$3</f>
        <v/>
      </c>
      <c r="F380" s="241" t="n">
        <v>67.33</v>
      </c>
      <c r="G380" s="242" t="n">
        <v>320893</v>
      </c>
      <c r="H380" s="241" t="n">
        <v>-0.34</v>
      </c>
      <c r="I380" s="241" t="n">
        <v>3.18</v>
      </c>
      <c r="J380" s="241" t="n">
        <v>149.18</v>
      </c>
      <c r="K380" s="241" t="n">
        <v>48.39</v>
      </c>
      <c r="L380" s="242" t="n">
        <v>526000</v>
      </c>
      <c r="M380" s="241" t="n">
        <v>-2.82</v>
      </c>
      <c r="N380" s="241" t="n">
        <v>21.21</v>
      </c>
      <c r="O380" s="241" t="n">
        <v>141.88</v>
      </c>
      <c r="P380" s="241" t="n">
        <v>1.39</v>
      </c>
    </row>
    <row r="381">
      <c r="A381" s="282" t="inlineStr">
        <is>
          <t>2007-07-30</t>
        </is>
      </c>
      <c r="B381" s="240">
        <f>IFERROR(1/P381-1,B380)</f>
        <v/>
      </c>
      <c r="C381" s="240">
        <f>$C$3</f>
        <v/>
      </c>
      <c r="D381" s="240">
        <f>$D$3</f>
        <v/>
      </c>
      <c r="E381" s="240">
        <f>$E$3</f>
        <v/>
      </c>
      <c r="F381" s="241" t="n">
        <v>68.87</v>
      </c>
      <c r="G381" s="242" t="n">
        <v>681362</v>
      </c>
      <c r="H381" s="241" t="n">
        <v>2.29</v>
      </c>
      <c r="I381" s="241" t="n">
        <v>8.130000000000001</v>
      </c>
      <c r="J381" s="241" t="n">
        <v>154.88</v>
      </c>
      <c r="K381" s="241" t="n">
        <v>48.46</v>
      </c>
      <c r="L381" s="242" t="n">
        <v>557000</v>
      </c>
      <c r="M381" s="241" t="n">
        <v>0</v>
      </c>
      <c r="N381" s="241" t="n">
        <v>15.47</v>
      </c>
      <c r="O381" s="241" t="n">
        <v>141.88</v>
      </c>
      <c r="P381" s="241" t="n">
        <v>1.42</v>
      </c>
    </row>
    <row r="382">
      <c r="A382" s="282" t="inlineStr">
        <is>
          <t>2007-07-31</t>
        </is>
      </c>
      <c r="B382" s="240">
        <f>IFERROR(1/P382-1,B381)</f>
        <v/>
      </c>
      <c r="C382" s="240">
        <f>$C$3</f>
        <v/>
      </c>
      <c r="D382" s="240">
        <f>$D$3</f>
        <v/>
      </c>
      <c r="E382" s="240">
        <f>$E$3</f>
        <v/>
      </c>
      <c r="F382" s="241" t="n">
        <v>67.41</v>
      </c>
      <c r="G382" s="242" t="n">
        <v>675386</v>
      </c>
      <c r="H382" s="241" t="n">
        <v>-2.12</v>
      </c>
      <c r="I382" s="241" t="n">
        <v>5.84</v>
      </c>
      <c r="J382" s="241" t="n">
        <v>149.48</v>
      </c>
      <c r="K382" s="241" t="n">
        <v>48.98</v>
      </c>
      <c r="L382" s="242" t="n">
        <v>170000</v>
      </c>
      <c r="M382" s="241" t="n">
        <v>1.2</v>
      </c>
      <c r="N382" s="241" t="n">
        <v>16.86</v>
      </c>
      <c r="O382" s="241" t="n">
        <v>144.78</v>
      </c>
      <c r="P382" s="241" t="n">
        <v>1.38</v>
      </c>
    </row>
    <row r="383">
      <c r="A383" s="282" t="inlineStr">
        <is>
          <t>2007-08-01</t>
        </is>
      </c>
      <c r="B383" s="240">
        <f>IFERROR(1/P383-1,B382)</f>
        <v/>
      </c>
      <c r="C383" s="240">
        <f>$C$3</f>
        <v/>
      </c>
      <c r="D383" s="240">
        <f>$D$3</f>
        <v/>
      </c>
      <c r="E383" s="240">
        <f>$E$3</f>
        <v/>
      </c>
      <c r="F383" s="241" t="n">
        <v>65.43000000000001</v>
      </c>
      <c r="G383" s="242" t="n">
        <v>547050</v>
      </c>
      <c r="H383" s="241" t="n">
        <v>-2.94</v>
      </c>
      <c r="I383" s="241" t="n">
        <v>2.73</v>
      </c>
      <c r="J383" s="241" t="n">
        <v>142.15</v>
      </c>
      <c r="K383" s="241" t="n">
        <v>46.74</v>
      </c>
      <c r="L383" s="242" t="n">
        <v>719000</v>
      </c>
      <c r="M383" s="241" t="n">
        <v>-4.45</v>
      </c>
      <c r="N383" s="241" t="n">
        <v>11.66</v>
      </c>
      <c r="O383" s="241" t="n">
        <v>133.9</v>
      </c>
      <c r="P383" s="241" t="n">
        <v>1.4</v>
      </c>
    </row>
    <row r="384">
      <c r="A384" s="282" t="inlineStr">
        <is>
          <t>2007-08-02</t>
        </is>
      </c>
      <c r="B384" s="240">
        <f>IFERROR(1/P384-1,B383)</f>
        <v/>
      </c>
      <c r="C384" s="240">
        <f>$C$3</f>
        <v/>
      </c>
      <c r="D384" s="240">
        <f>$D$3</f>
        <v/>
      </c>
      <c r="E384" s="240">
        <f>$E$3</f>
        <v/>
      </c>
      <c r="F384" s="241" t="n">
        <v>66.34</v>
      </c>
      <c r="G384" s="242" t="n">
        <v>861233</v>
      </c>
      <c r="H384" s="241" t="n">
        <v>1.39</v>
      </c>
      <c r="I384" s="241" t="n">
        <v>4.16</v>
      </c>
      <c r="J384" s="241" t="n">
        <v>145.52</v>
      </c>
      <c r="K384" s="241" t="n">
        <v>46.72</v>
      </c>
      <c r="L384" s="242" t="n">
        <v>606600</v>
      </c>
      <c r="M384" s="241" t="n">
        <v>-0.1</v>
      </c>
      <c r="N384" s="241" t="n">
        <v>11.55</v>
      </c>
      <c r="O384" s="241" t="n">
        <v>133.66</v>
      </c>
      <c r="P384" s="241" t="n">
        <v>1.42</v>
      </c>
    </row>
    <row r="385">
      <c r="A385" s="282" t="inlineStr">
        <is>
          <t>2007-08-03</t>
        </is>
      </c>
      <c r="B385" s="240">
        <f>IFERROR(1/P385-1,B384)</f>
        <v/>
      </c>
      <c r="C385" s="240">
        <f>$C$3</f>
        <v/>
      </c>
      <c r="D385" s="240">
        <f>$D$3</f>
        <v/>
      </c>
      <c r="E385" s="240">
        <f>$E$3</f>
        <v/>
      </c>
      <c r="F385" s="241" t="n">
        <v>72.97</v>
      </c>
      <c r="G385" s="242" t="n">
        <v>1956378</v>
      </c>
      <c r="H385" s="241" t="n">
        <v>9.99</v>
      </c>
      <c r="I385" s="241" t="n">
        <v>16.33</v>
      </c>
      <c r="J385" s="241" t="n">
        <v>170.05</v>
      </c>
      <c r="K385" s="241" t="n">
        <v>49.79</v>
      </c>
      <c r="L385" s="242" t="n">
        <v>1140039</v>
      </c>
      <c r="M385" s="241" t="n">
        <v>6.63</v>
      </c>
      <c r="N385" s="241" t="n">
        <v>18.94</v>
      </c>
      <c r="O385" s="241" t="n">
        <v>149.14</v>
      </c>
      <c r="P385" s="241" t="n">
        <v>1.47</v>
      </c>
    </row>
    <row r="386">
      <c r="A386" s="282" t="inlineStr">
        <is>
          <t>2007-08-06</t>
        </is>
      </c>
      <c r="B386" s="240">
        <f>IFERROR(1/P386-1,B385)</f>
        <v/>
      </c>
      <c r="C386" s="240">
        <f>$C$3</f>
        <v/>
      </c>
      <c r="D386" s="240">
        <f>$D$3</f>
        <v/>
      </c>
      <c r="E386" s="240">
        <f>$E$3</f>
        <v/>
      </c>
      <c r="F386" s="241" t="n">
        <v>71.3</v>
      </c>
      <c r="G386" s="242" t="n">
        <v>1453436</v>
      </c>
      <c r="H386" s="241" t="n">
        <v>-2.29</v>
      </c>
      <c r="I386" s="241" t="n">
        <v>22.6</v>
      </c>
      <c r="J386" s="241" t="n">
        <v>163.87</v>
      </c>
      <c r="K386" s="241" t="n">
        <v>47.31</v>
      </c>
      <c r="L386" s="242" t="n">
        <v>472000</v>
      </c>
      <c r="M386" s="241" t="n">
        <v>-4.85</v>
      </c>
      <c r="N386" s="241" t="n">
        <v>2.19</v>
      </c>
      <c r="O386" s="241" t="n">
        <v>137.04</v>
      </c>
      <c r="P386" s="241" t="n">
        <v>1.51</v>
      </c>
    </row>
    <row r="387">
      <c r="A387" s="282" t="inlineStr">
        <is>
          <t>2007-08-07</t>
        </is>
      </c>
      <c r="B387" s="240">
        <f>IFERROR(1/P387-1,B386)</f>
        <v/>
      </c>
      <c r="C387" s="240">
        <f>$C$3</f>
        <v/>
      </c>
      <c r="D387" s="240">
        <f>$D$3</f>
        <v/>
      </c>
      <c r="E387" s="240">
        <f>$E$3</f>
        <v/>
      </c>
      <c r="F387" s="241" t="n">
        <v>78.43000000000001</v>
      </c>
      <c r="G387" s="242" t="n">
        <v>2303762</v>
      </c>
      <c r="H387" s="241" t="n">
        <v>10</v>
      </c>
      <c r="I387" s="241" t="n">
        <v>29.48</v>
      </c>
      <c r="J387" s="241" t="n">
        <v>190.26</v>
      </c>
      <c r="K387" s="241" t="n">
        <v>51.29</v>
      </c>
      <c r="L387" s="242" t="n">
        <v>639000</v>
      </c>
      <c r="M387" s="241" t="n">
        <v>8.27</v>
      </c>
      <c r="N387" s="241" t="n">
        <v>12.39</v>
      </c>
      <c r="O387" s="241" t="n">
        <v>156.63</v>
      </c>
      <c r="P387" s="241" t="n">
        <v>1.53</v>
      </c>
    </row>
    <row r="388">
      <c r="A388" s="282" t="inlineStr">
        <is>
          <t>2007-08-08</t>
        </is>
      </c>
      <c r="B388" s="240">
        <f>IFERROR(1/P388-1,B387)</f>
        <v/>
      </c>
      <c r="C388" s="240">
        <f>$C$3</f>
        <v/>
      </c>
      <c r="D388" s="240">
        <f>$D$3</f>
        <v/>
      </c>
      <c r="E388" s="240">
        <f>$E$3</f>
        <v/>
      </c>
      <c r="F388" s="241" t="n">
        <v>78.37</v>
      </c>
      <c r="G388" s="242" t="n">
        <v>1639576</v>
      </c>
      <c r="H388" s="241" t="n">
        <v>-0.08</v>
      </c>
      <c r="I388" s="241" t="n">
        <v>29.38</v>
      </c>
      <c r="J388" s="241" t="n">
        <v>190.04</v>
      </c>
      <c r="K388" s="241" t="n">
        <v>49.06</v>
      </c>
      <c r="L388" s="242" t="n">
        <v>336000</v>
      </c>
      <c r="M388" s="241" t="n">
        <v>-4.43</v>
      </c>
      <c r="N388" s="241" t="n">
        <v>7.42</v>
      </c>
      <c r="O388" s="241" t="n">
        <v>145.27</v>
      </c>
      <c r="P388" s="241" t="n">
        <v>1.6</v>
      </c>
    </row>
    <row r="389">
      <c r="A389" s="282" t="inlineStr">
        <is>
          <t>2007-08-09</t>
        </is>
      </c>
      <c r="B389" s="240">
        <f>IFERROR(1/P389-1,B388)</f>
        <v/>
      </c>
      <c r="C389" s="240">
        <f>$C$3</f>
        <v/>
      </c>
      <c r="D389" s="240">
        <f>$D$3</f>
        <v/>
      </c>
      <c r="E389" s="240">
        <f>$E$3</f>
        <v/>
      </c>
      <c r="F389" s="241" t="n">
        <v>77.81999999999999</v>
      </c>
      <c r="G389" s="242" t="n">
        <v>1079831</v>
      </c>
      <c r="H389" s="241" t="n">
        <v>-0.7</v>
      </c>
      <c r="I389" s="241" t="n">
        <v>28.48</v>
      </c>
      <c r="J389" s="241" t="n">
        <v>188</v>
      </c>
      <c r="K389" s="241" t="n">
        <v>47.84</v>
      </c>
      <c r="L389" s="242" t="n">
        <v>534000</v>
      </c>
      <c r="M389" s="241" t="n">
        <v>-2.37</v>
      </c>
      <c r="N389" s="241" t="n">
        <v>4.87</v>
      </c>
      <c r="O389" s="241" t="n">
        <v>139.46</v>
      </c>
      <c r="P389" s="241" t="n">
        <v>1.63</v>
      </c>
    </row>
    <row r="390">
      <c r="A390" s="282" t="inlineStr">
        <is>
          <t>2007-08-10</t>
        </is>
      </c>
      <c r="B390" s="240">
        <f>IFERROR(1/P390-1,B389)</f>
        <v/>
      </c>
      <c r="C390" s="240">
        <f>$C$3</f>
        <v/>
      </c>
      <c r="D390" s="240">
        <f>$D$3</f>
        <v/>
      </c>
      <c r="E390" s="240">
        <f>$E$3</f>
        <v/>
      </c>
      <c r="F390" s="241" t="n">
        <v>76.31</v>
      </c>
      <c r="G390" s="242" t="n">
        <v>939341</v>
      </c>
      <c r="H390" s="241" t="n">
        <v>-1.94</v>
      </c>
      <c r="I390" s="241" t="n">
        <v>19.18</v>
      </c>
      <c r="J390" s="241" t="n">
        <v>182.42</v>
      </c>
      <c r="K390" s="241" t="n">
        <v>45</v>
      </c>
      <c r="L390" s="242" t="n">
        <v>1352701</v>
      </c>
      <c r="M390" s="241" t="n">
        <v>-6.06</v>
      </c>
      <c r="N390" s="241" t="n">
        <v>-5.1</v>
      </c>
      <c r="O390" s="241" t="n">
        <v>124.95</v>
      </c>
      <c r="P390" s="241" t="n">
        <v>1.7</v>
      </c>
    </row>
    <row r="391">
      <c r="A391" s="282" t="inlineStr">
        <is>
          <t>2007-08-13</t>
        </is>
      </c>
      <c r="B391" s="240">
        <f>IFERROR(1/P391-1,B390)</f>
        <v/>
      </c>
      <c r="C391" s="240">
        <f>$C$3</f>
        <v/>
      </c>
      <c r="D391" s="240">
        <f>$D$3</f>
        <v/>
      </c>
      <c r="E391" s="240">
        <f>$E$3</f>
        <v/>
      </c>
      <c r="F391" s="241" t="n">
        <v>74.94</v>
      </c>
      <c r="G391" s="242" t="n">
        <v>650027</v>
      </c>
      <c r="H391" s="241" t="n">
        <v>-1.8</v>
      </c>
      <c r="I391" s="241" t="n">
        <v>13.23</v>
      </c>
      <c r="J391" s="241" t="n">
        <v>177.34</v>
      </c>
      <c r="K391" s="241" t="n">
        <v>46.52</v>
      </c>
      <c r="L391" s="242" t="n">
        <v>538000</v>
      </c>
      <c r="M391" s="241" t="n">
        <v>3.23</v>
      </c>
      <c r="N391" s="241" t="n">
        <v>-5.7</v>
      </c>
      <c r="O391" s="241" t="n">
        <v>132.2</v>
      </c>
      <c r="P391" s="241" t="n">
        <v>1.61</v>
      </c>
    </row>
    <row r="392">
      <c r="A392" s="282" t="inlineStr">
        <is>
          <t>2007-08-14</t>
        </is>
      </c>
      <c r="B392" s="240">
        <f>IFERROR(1/P392-1,B391)</f>
        <v/>
      </c>
      <c r="C392" s="240">
        <f>$C$3</f>
        <v/>
      </c>
      <c r="D392" s="240">
        <f>$D$3</f>
        <v/>
      </c>
      <c r="E392" s="240">
        <f>$E$3</f>
        <v/>
      </c>
      <c r="F392" s="241" t="n">
        <v>75.78</v>
      </c>
      <c r="G392" s="242" t="n">
        <v>347501</v>
      </c>
      <c r="H392" s="241" t="n">
        <v>1.12</v>
      </c>
      <c r="I392" s="241" t="n">
        <v>17.63</v>
      </c>
      <c r="J392" s="241" t="n">
        <v>180.45</v>
      </c>
      <c r="K392" s="241" t="n">
        <v>48.96</v>
      </c>
      <c r="L392" s="242" t="n">
        <v>293000</v>
      </c>
      <c r="M392" s="241" t="n">
        <v>5.21</v>
      </c>
      <c r="N392" s="241" t="n">
        <v>-0.98</v>
      </c>
      <c r="O392" s="241" t="n">
        <v>144.3</v>
      </c>
      <c r="P392" s="241" t="n">
        <v>1.55</v>
      </c>
    </row>
    <row r="393">
      <c r="A393" s="282" t="inlineStr">
        <is>
          <t>2007-08-15</t>
        </is>
      </c>
      <c r="B393" s="240">
        <f>IFERROR(1/P393-1,B392)</f>
        <v/>
      </c>
      <c r="C393" s="240">
        <f>$C$3</f>
        <v/>
      </c>
      <c r="D393" s="240">
        <f>$D$3</f>
        <v/>
      </c>
      <c r="E393" s="240">
        <f>$E$3</f>
        <v/>
      </c>
      <c r="F393" s="241" t="n">
        <v>77.52</v>
      </c>
      <c r="G393" s="242" t="n">
        <v>589450</v>
      </c>
      <c r="H393" s="241" t="n">
        <v>2.3</v>
      </c>
      <c r="I393" s="241" t="n">
        <v>20.33</v>
      </c>
      <c r="J393" s="241" t="n">
        <v>186.89</v>
      </c>
      <c r="K393" s="241" t="n">
        <v>47.56</v>
      </c>
      <c r="L393" s="242" t="n">
        <v>648000</v>
      </c>
      <c r="M393" s="241" t="n">
        <v>-2.97</v>
      </c>
      <c r="N393" s="241" t="n">
        <v>-3.92</v>
      </c>
      <c r="O393" s="241" t="n">
        <v>137.04</v>
      </c>
      <c r="P393" s="241" t="n">
        <v>1.63</v>
      </c>
    </row>
    <row r="394">
      <c r="A394" s="282" t="inlineStr">
        <is>
          <t>2007-08-16</t>
        </is>
      </c>
      <c r="B394" s="240">
        <f>IFERROR(1/P394-1,B393)</f>
        <v/>
      </c>
      <c r="C394" s="240">
        <f>$C$3</f>
        <v/>
      </c>
      <c r="D394" s="240">
        <f>$D$3</f>
        <v/>
      </c>
      <c r="E394" s="240">
        <f>$E$3</f>
        <v/>
      </c>
      <c r="F394" s="241" t="n">
        <v>75.84999999999999</v>
      </c>
      <c r="G394" s="242" t="n">
        <v>540230</v>
      </c>
      <c r="H394" s="241" t="n">
        <v>-2.15</v>
      </c>
      <c r="I394" s="241" t="n">
        <v>17.74</v>
      </c>
      <c r="J394" s="241" t="n">
        <v>180.71</v>
      </c>
      <c r="K394" s="241" t="n">
        <v>44.87</v>
      </c>
      <c r="L394" s="242" t="n">
        <v>1172000</v>
      </c>
      <c r="M394" s="241" t="n">
        <v>-5.82</v>
      </c>
      <c r="N394" s="241" t="n">
        <v>-9.51</v>
      </c>
      <c r="O394" s="241" t="n">
        <v>123.25</v>
      </c>
      <c r="P394" s="241" t="n">
        <v>1.69</v>
      </c>
    </row>
    <row r="395">
      <c r="A395" s="282" t="inlineStr">
        <is>
          <t>2007-08-17</t>
        </is>
      </c>
      <c r="B395" s="240">
        <f>IFERROR(1/P395-1,B394)</f>
        <v/>
      </c>
      <c r="C395" s="240">
        <f>$C$3</f>
        <v/>
      </c>
      <c r="D395" s="240">
        <f>$D$3</f>
        <v/>
      </c>
      <c r="E395" s="240">
        <f>$E$3</f>
        <v/>
      </c>
      <c r="F395" s="241" t="n">
        <v>73.15000000000001</v>
      </c>
      <c r="G395" s="242" t="n">
        <v>1588127</v>
      </c>
      <c r="H395" s="241" t="n">
        <v>-3.56</v>
      </c>
      <c r="I395" s="241" t="n">
        <v>19.2</v>
      </c>
      <c r="J395" s="241" t="n">
        <v>170.72</v>
      </c>
      <c r="K395" s="241" t="n">
        <v>46.66</v>
      </c>
      <c r="L395" s="242" t="n">
        <v>1702000</v>
      </c>
      <c r="M395" s="241" t="n">
        <v>4.01</v>
      </c>
      <c r="N395" s="241" t="n">
        <v>-5.33</v>
      </c>
      <c r="O395" s="241" t="n">
        <v>132.2</v>
      </c>
      <c r="P395" s="241" t="n">
        <v>1.57</v>
      </c>
    </row>
    <row r="396">
      <c r="A396" s="282" t="inlineStr">
        <is>
          <t>2007-08-20</t>
        </is>
      </c>
      <c r="B396" s="240">
        <f>IFERROR(1/P396-1,B395)</f>
        <v/>
      </c>
      <c r="C396" s="240">
        <f>$C$3</f>
        <v/>
      </c>
      <c r="D396" s="240">
        <f>$D$3</f>
        <v/>
      </c>
      <c r="E396" s="240">
        <f>$E$3</f>
        <v/>
      </c>
      <c r="F396" s="241" t="n">
        <v>74.48999999999999</v>
      </c>
      <c r="G396" s="242" t="n">
        <v>1213682</v>
      </c>
      <c r="H396" s="241" t="n">
        <v>1.83</v>
      </c>
      <c r="I396" s="241" t="n">
        <v>12.28</v>
      </c>
      <c r="J396" s="241" t="n">
        <v>175.68</v>
      </c>
      <c r="K396" s="241" t="n">
        <v>47.74</v>
      </c>
      <c r="L396" s="242" t="n">
        <v>1066000</v>
      </c>
      <c r="M396" s="241" t="n">
        <v>2.29</v>
      </c>
      <c r="N396" s="241" t="n">
        <v>-8.65</v>
      </c>
      <c r="O396" s="241" t="n">
        <v>137.53</v>
      </c>
      <c r="P396" s="241" t="n">
        <v>1.56</v>
      </c>
    </row>
    <row r="397">
      <c r="A397" s="282" t="inlineStr">
        <is>
          <t>2007-08-21</t>
        </is>
      </c>
      <c r="B397" s="240">
        <f>IFERROR(1/P397-1,B396)</f>
        <v/>
      </c>
      <c r="C397" s="240">
        <f>$C$3</f>
        <v/>
      </c>
      <c r="D397" s="240">
        <f>$D$3</f>
        <v/>
      </c>
      <c r="E397" s="240">
        <f>$E$3</f>
        <v/>
      </c>
      <c r="F397" s="241" t="n">
        <v>75.55</v>
      </c>
      <c r="G397" s="242" t="n">
        <v>1114224</v>
      </c>
      <c r="H397" s="241" t="n">
        <v>1.42</v>
      </c>
      <c r="I397" s="241" t="n">
        <v>12.01</v>
      </c>
      <c r="J397" s="241" t="n">
        <v>179.6</v>
      </c>
      <c r="K397" s="241" t="n">
        <v>49.56</v>
      </c>
      <c r="L397" s="242" t="n">
        <v>516000</v>
      </c>
      <c r="M397" s="241" t="n">
        <v>3.87</v>
      </c>
      <c r="N397" s="241" t="n">
        <v>-7.86</v>
      </c>
      <c r="O397" s="241" t="n">
        <v>146.72</v>
      </c>
      <c r="P397" s="241" t="n">
        <v>1.52</v>
      </c>
    </row>
    <row r="398">
      <c r="A398" s="282" t="inlineStr">
        <is>
          <t>2007-08-22</t>
        </is>
      </c>
      <c r="B398" s="240">
        <f>IFERROR(1/P398-1,B397)</f>
        <v/>
      </c>
      <c r="C398" s="240">
        <f>$C$3</f>
        <v/>
      </c>
      <c r="D398" s="240">
        <f>$D$3</f>
        <v/>
      </c>
      <c r="E398" s="240">
        <f>$E$3</f>
        <v/>
      </c>
      <c r="F398" s="241" t="n">
        <v>75.42</v>
      </c>
      <c r="G398" s="242" t="n">
        <v>609658</v>
      </c>
      <c r="H398" s="241" t="n">
        <v>-0.17</v>
      </c>
      <c r="I398" s="241" t="n">
        <v>11.81</v>
      </c>
      <c r="J398" s="241" t="n">
        <v>179.12</v>
      </c>
      <c r="K398" s="241" t="n">
        <v>51.24</v>
      </c>
      <c r="L398" s="242" t="n">
        <v>332000</v>
      </c>
      <c r="M398" s="241" t="n">
        <v>3.24</v>
      </c>
      <c r="N398" s="241" t="n">
        <v>-4.88</v>
      </c>
      <c r="O398" s="241" t="n">
        <v>154.7</v>
      </c>
      <c r="P398" s="241" t="n">
        <v>1.47</v>
      </c>
    </row>
    <row r="399">
      <c r="A399" s="282" t="inlineStr">
        <is>
          <t>2007-08-23</t>
        </is>
      </c>
      <c r="B399" s="240">
        <f>IFERROR(1/P399-1,B398)</f>
        <v/>
      </c>
      <c r="C399" s="240">
        <f>$C$3</f>
        <v/>
      </c>
      <c r="D399" s="240">
        <f>$D$3</f>
        <v/>
      </c>
      <c r="E399" s="240">
        <f>$E$3</f>
        <v/>
      </c>
      <c r="F399" s="241" t="n">
        <v>74</v>
      </c>
      <c r="G399" s="242" t="n">
        <v>1036152</v>
      </c>
      <c r="H399" s="241" t="n">
        <v>-1.88</v>
      </c>
      <c r="I399" s="241" t="n">
        <v>9.710000000000001</v>
      </c>
      <c r="J399" s="241" t="n">
        <v>173.87</v>
      </c>
      <c r="K399" s="241" t="n">
        <v>53.89</v>
      </c>
      <c r="L399" s="242" t="n">
        <v>851000</v>
      </c>
      <c r="M399" s="241" t="n">
        <v>5.41</v>
      </c>
      <c r="N399" s="241" t="n">
        <v>0.27</v>
      </c>
      <c r="O399" s="241" t="n">
        <v>168.49</v>
      </c>
      <c r="P399" s="241" t="n">
        <v>1.37</v>
      </c>
    </row>
    <row r="400">
      <c r="A400" s="282" t="inlineStr">
        <is>
          <t>2007-08-24</t>
        </is>
      </c>
      <c r="B400" s="240">
        <f>IFERROR(1/P400-1,B399)</f>
        <v/>
      </c>
      <c r="C400" s="240">
        <f>$C$3</f>
        <v/>
      </c>
      <c r="D400" s="240">
        <f>$D$3</f>
        <v/>
      </c>
      <c r="E400" s="240">
        <f>$E$3</f>
        <v/>
      </c>
      <c r="F400" s="241" t="n">
        <v>76.29000000000001</v>
      </c>
      <c r="G400" s="242" t="n">
        <v>1410938</v>
      </c>
      <c r="H400" s="241" t="n">
        <v>3.09</v>
      </c>
      <c r="I400" s="241" t="n">
        <v>10.52</v>
      </c>
      <c r="J400" s="241" t="n">
        <v>182.34</v>
      </c>
      <c r="K400" s="241" t="n">
        <v>53.45</v>
      </c>
      <c r="L400" s="242" t="n">
        <v>508000</v>
      </c>
      <c r="M400" s="241" t="n">
        <v>-0.63</v>
      </c>
      <c r="N400" s="241" t="n">
        <v>1.94</v>
      </c>
      <c r="O400" s="241" t="n">
        <v>166.79</v>
      </c>
      <c r="P400" s="241" t="n">
        <v>1.43</v>
      </c>
    </row>
    <row r="401">
      <c r="A401" s="282" t="inlineStr">
        <is>
          <t>2007-08-27</t>
        </is>
      </c>
      <c r="B401" s="240">
        <f>IFERROR(1/P401-1,B400)</f>
        <v/>
      </c>
      <c r="C401" s="240">
        <f>$C$3</f>
        <v/>
      </c>
      <c r="D401" s="240">
        <f>$D$3</f>
        <v/>
      </c>
      <c r="E401" s="240">
        <f>$E$3</f>
        <v/>
      </c>
      <c r="F401" s="241" t="n">
        <v>76.29000000000001</v>
      </c>
      <c r="G401" s="242" t="n">
        <v>0</v>
      </c>
      <c r="H401" s="241" t="n">
        <v>0</v>
      </c>
      <c r="I401" s="241" t="n">
        <v>12.92</v>
      </c>
      <c r="J401" s="241" t="n">
        <v>182.34</v>
      </c>
      <c r="K401" s="241" t="n">
        <v>58.69</v>
      </c>
      <c r="L401" s="242" t="n">
        <v>1354000</v>
      </c>
      <c r="M401" s="241" t="n">
        <v>9.789999999999999</v>
      </c>
      <c r="N401" s="241" t="n">
        <v>17.69</v>
      </c>
      <c r="O401" s="241" t="n">
        <v>192.92</v>
      </c>
      <c r="P401" s="241" t="n">
        <v>1.3</v>
      </c>
    </row>
    <row r="402">
      <c r="A402" s="282" t="inlineStr">
        <is>
          <t>2007-08-28</t>
        </is>
      </c>
      <c r="B402" s="240">
        <f>IFERROR(1/P402-1,B401)</f>
        <v/>
      </c>
      <c r="C402" s="240">
        <f>$C$3</f>
        <v/>
      </c>
      <c r="D402" s="240">
        <f>$D$3</f>
        <v/>
      </c>
      <c r="E402" s="240">
        <f>$E$3</f>
        <v/>
      </c>
      <c r="F402" s="241" t="n">
        <v>79.90000000000001</v>
      </c>
      <c r="G402" s="242" t="n">
        <v>2268077</v>
      </c>
      <c r="H402" s="241" t="n">
        <v>4.73</v>
      </c>
      <c r="I402" s="241" t="n">
        <v>18.67</v>
      </c>
      <c r="J402" s="241" t="n">
        <v>195.7</v>
      </c>
      <c r="K402" s="241" t="n">
        <v>59.93</v>
      </c>
      <c r="L402" s="242" t="n">
        <v>940000</v>
      </c>
      <c r="M402" s="241" t="n">
        <v>2.23</v>
      </c>
      <c r="N402" s="241" t="n">
        <v>23.8</v>
      </c>
      <c r="O402" s="241" t="n">
        <v>199.45</v>
      </c>
      <c r="P402" s="241" t="n">
        <v>1.33</v>
      </c>
    </row>
    <row r="403">
      <c r="A403" s="282" t="inlineStr">
        <is>
          <t>2007-08-29</t>
        </is>
      </c>
      <c r="B403" s="240">
        <f>IFERROR(1/P403-1,B402)</f>
        <v/>
      </c>
      <c r="C403" s="240">
        <f>$C$3</f>
        <v/>
      </c>
      <c r="D403" s="240">
        <f>$D$3</f>
        <v/>
      </c>
      <c r="E403" s="240">
        <f>$E$3</f>
        <v/>
      </c>
      <c r="F403" s="241" t="n">
        <v>79.06999999999999</v>
      </c>
      <c r="G403" s="242" t="n">
        <v>1141182</v>
      </c>
      <c r="H403" s="241" t="n">
        <v>-1.04</v>
      </c>
      <c r="I403" s="241" t="n">
        <v>17.44</v>
      </c>
      <c r="J403" s="241" t="n">
        <v>192.63</v>
      </c>
      <c r="K403" s="241" t="n">
        <v>56.11</v>
      </c>
      <c r="L403" s="242" t="n">
        <v>216000</v>
      </c>
      <c r="M403" s="241" t="n">
        <v>-6.38</v>
      </c>
      <c r="N403" s="241" t="n">
        <v>15.9</v>
      </c>
      <c r="O403" s="241" t="n">
        <v>180.34</v>
      </c>
      <c r="P403" s="241" t="n">
        <v>1.41</v>
      </c>
    </row>
    <row r="404">
      <c r="A404" s="282" t="inlineStr">
        <is>
          <t>2007-08-30</t>
        </is>
      </c>
      <c r="B404" s="240">
        <f>IFERROR(1/P404-1,B403)</f>
        <v/>
      </c>
      <c r="C404" s="240">
        <f>$C$3</f>
        <v/>
      </c>
      <c r="D404" s="240">
        <f>$D$3</f>
        <v/>
      </c>
      <c r="E404" s="240">
        <f>$E$3</f>
        <v/>
      </c>
      <c r="F404" s="241" t="n">
        <v>77.65000000000001</v>
      </c>
      <c r="G404" s="242" t="n">
        <v>460043</v>
      </c>
      <c r="H404" s="241" t="n">
        <v>-1.8</v>
      </c>
      <c r="I404" s="241" t="n">
        <v>15.33</v>
      </c>
      <c r="J404" s="241" t="n">
        <v>187.37</v>
      </c>
      <c r="K404" s="241" t="n">
        <v>57.15</v>
      </c>
      <c r="L404" s="242" t="n">
        <v>562000</v>
      </c>
      <c r="M404" s="241" t="n">
        <v>1.81</v>
      </c>
      <c r="N404" s="241" t="n">
        <v>18</v>
      </c>
      <c r="O404" s="241" t="n">
        <v>185.42</v>
      </c>
      <c r="P404" s="241" t="n">
        <v>1.36</v>
      </c>
    </row>
    <row r="405">
      <c r="A405" s="282" t="inlineStr">
        <is>
          <t>2007-08-31</t>
        </is>
      </c>
      <c r="B405" s="240">
        <f>IFERROR(1/P405-1,B404)</f>
        <v/>
      </c>
      <c r="C405" s="240">
        <f>$C$3</f>
        <v/>
      </c>
      <c r="D405" s="240">
        <f>$D$3</f>
        <v/>
      </c>
      <c r="E405" s="240">
        <f>$E$3</f>
        <v/>
      </c>
      <c r="F405" s="241" t="n">
        <v>75.69</v>
      </c>
      <c r="G405" s="242" t="n">
        <v>1322508</v>
      </c>
      <c r="H405" s="241" t="n">
        <v>-2.52</v>
      </c>
      <c r="I405" s="241" t="n">
        <v>9.9</v>
      </c>
      <c r="J405" s="241" t="n">
        <v>180.12</v>
      </c>
      <c r="K405" s="241" t="n">
        <v>50.82</v>
      </c>
      <c r="L405" s="242" t="n">
        <v>5108000</v>
      </c>
      <c r="M405" s="241" t="n">
        <v>-11.19</v>
      </c>
      <c r="N405" s="241" t="n">
        <v>4.8</v>
      </c>
      <c r="O405" s="241" t="n">
        <v>153.49</v>
      </c>
      <c r="P405" s="241" t="n">
        <v>1.49</v>
      </c>
    </row>
    <row r="406">
      <c r="A406" s="282" t="inlineStr">
        <is>
          <t>2007-09-03</t>
        </is>
      </c>
      <c r="B406" s="240">
        <f>IFERROR(1/P406-1,B405)</f>
        <v/>
      </c>
      <c r="C406" s="240">
        <f>$C$3</f>
        <v/>
      </c>
      <c r="D406" s="240">
        <f>$D$3</f>
        <v/>
      </c>
      <c r="E406" s="240">
        <f>$E$3</f>
        <v/>
      </c>
      <c r="F406" s="241" t="n">
        <v>76</v>
      </c>
      <c r="G406" s="242" t="n">
        <v>746859</v>
      </c>
      <c r="H406" s="241" t="n">
        <v>0.41</v>
      </c>
      <c r="I406" s="241" t="n">
        <v>14.56</v>
      </c>
      <c r="J406" s="241" t="n">
        <v>181.27</v>
      </c>
      <c r="K406" s="241" t="n">
        <v>51.73</v>
      </c>
      <c r="L406" s="242" t="n">
        <v>2514000</v>
      </c>
      <c r="M406" s="241" t="n">
        <v>1.91</v>
      </c>
      <c r="N406" s="241" t="n">
        <v>10.56</v>
      </c>
      <c r="O406" s="241" t="n">
        <v>158.33</v>
      </c>
      <c r="P406" s="241" t="n">
        <v>1.47</v>
      </c>
    </row>
    <row r="407">
      <c r="A407" s="282" t="inlineStr">
        <is>
          <t>2007-09-04</t>
        </is>
      </c>
      <c r="B407" s="240">
        <f>IFERROR(1/P407-1,B406)</f>
        <v/>
      </c>
      <c r="C407" s="240">
        <f>$C$3</f>
        <v/>
      </c>
      <c r="D407" s="240">
        <f>$D$3</f>
        <v/>
      </c>
      <c r="E407" s="240">
        <f>$E$3</f>
        <v/>
      </c>
      <c r="F407" s="241" t="n">
        <v>76.73999999999999</v>
      </c>
      <c r="G407" s="242" t="n">
        <v>1053477</v>
      </c>
      <c r="H407" s="241" t="n">
        <v>0.97</v>
      </c>
      <c r="I407" s="241" t="n">
        <v>5.17</v>
      </c>
      <c r="J407" s="241" t="n">
        <v>184.01</v>
      </c>
      <c r="K407" s="241" t="n">
        <v>54.77</v>
      </c>
      <c r="L407" s="242" t="n">
        <v>956000</v>
      </c>
      <c r="M407" s="241" t="n">
        <v>5.81</v>
      </c>
      <c r="N407" s="241" t="n">
        <v>9.710000000000001</v>
      </c>
      <c r="O407" s="241" t="n">
        <v>173.32</v>
      </c>
      <c r="P407" s="241" t="n">
        <v>1.4</v>
      </c>
    </row>
    <row r="408">
      <c r="A408" s="282" t="inlineStr">
        <is>
          <t>2007-09-05</t>
        </is>
      </c>
      <c r="B408" s="240">
        <f>IFERROR(1/P408-1,B407)</f>
        <v/>
      </c>
      <c r="C408" s="240">
        <f>$C$3</f>
        <v/>
      </c>
      <c r="D408" s="240">
        <f>$D$3</f>
        <v/>
      </c>
      <c r="E408" s="240">
        <f>$E$3</f>
        <v/>
      </c>
      <c r="F408" s="241" t="n">
        <v>79.93000000000001</v>
      </c>
      <c r="G408" s="242" t="n">
        <v>1164258</v>
      </c>
      <c r="H408" s="241" t="n">
        <v>4.16</v>
      </c>
      <c r="I408" s="241" t="n">
        <v>9.539999999999999</v>
      </c>
      <c r="J408" s="241" t="n">
        <v>195.81</v>
      </c>
      <c r="K408" s="241" t="n">
        <v>56.21</v>
      </c>
      <c r="L408" s="242" t="n">
        <v>1547000</v>
      </c>
      <c r="M408" s="241" t="n">
        <v>2.65</v>
      </c>
      <c r="N408" s="241" t="n">
        <v>12.62</v>
      </c>
      <c r="O408" s="241" t="n">
        <v>180.58</v>
      </c>
      <c r="P408" s="241" t="n">
        <v>1.42</v>
      </c>
    </row>
    <row r="409">
      <c r="A409" s="282" t="inlineStr">
        <is>
          <t>2007-09-06</t>
        </is>
      </c>
      <c r="B409" s="240">
        <f>IFERROR(1/P409-1,B408)</f>
        <v/>
      </c>
      <c r="C409" s="240">
        <f>$C$3</f>
        <v/>
      </c>
      <c r="D409" s="240">
        <f>$D$3</f>
        <v/>
      </c>
      <c r="E409" s="240">
        <f>$E$3</f>
        <v/>
      </c>
      <c r="F409" s="241" t="n">
        <v>84.56999999999999</v>
      </c>
      <c r="G409" s="242" t="n">
        <v>1539095</v>
      </c>
      <c r="H409" s="241" t="n">
        <v>5.81</v>
      </c>
      <c r="I409" s="241" t="n">
        <v>15.9</v>
      </c>
      <c r="J409" s="241" t="n">
        <v>212.98</v>
      </c>
      <c r="K409" s="241" t="n">
        <v>55.16</v>
      </c>
      <c r="L409" s="242" t="n">
        <v>562800</v>
      </c>
      <c r="M409" s="241" t="n">
        <v>-1.72</v>
      </c>
      <c r="N409" s="241" t="n">
        <v>10.68</v>
      </c>
      <c r="O409" s="241" t="n">
        <v>175.74</v>
      </c>
      <c r="P409" s="241" t="n">
        <v>1.53</v>
      </c>
    </row>
    <row r="410">
      <c r="A410" s="282" t="inlineStr">
        <is>
          <t>2007-09-07</t>
        </is>
      </c>
      <c r="B410" s="240">
        <f>IFERROR(1/P410-1,B409)</f>
        <v/>
      </c>
      <c r="C410" s="240">
        <f>$C$3</f>
        <v/>
      </c>
      <c r="D410" s="240">
        <f>$D$3</f>
        <v/>
      </c>
      <c r="E410" s="240">
        <f>$E$3</f>
        <v/>
      </c>
      <c r="F410" s="241" t="n">
        <v>79.81999999999999</v>
      </c>
      <c r="G410" s="242" t="n">
        <v>1567471</v>
      </c>
      <c r="H410" s="241" t="n">
        <v>-5.62</v>
      </c>
      <c r="I410" s="241" t="n">
        <v>11.95</v>
      </c>
      <c r="J410" s="241" t="n">
        <v>195.41</v>
      </c>
      <c r="K410" s="241" t="n">
        <v>56.31</v>
      </c>
      <c r="L410" s="242" t="n">
        <v>768000</v>
      </c>
      <c r="M410" s="241" t="n">
        <v>2.02</v>
      </c>
      <c r="N410" s="241" t="n">
        <v>18.67</v>
      </c>
      <c r="O410" s="241" t="n">
        <v>181.31</v>
      </c>
      <c r="P410" s="241" t="n">
        <v>1.42</v>
      </c>
    </row>
    <row r="411">
      <c r="A411" s="282" t="inlineStr">
        <is>
          <t>2007-09-10</t>
        </is>
      </c>
      <c r="B411" s="240">
        <f>IFERROR(1/P411-1,B410)</f>
        <v/>
      </c>
      <c r="C411" s="240">
        <f>$C$3</f>
        <v/>
      </c>
      <c r="D411" s="240">
        <f>$D$3</f>
        <v/>
      </c>
      <c r="E411" s="240">
        <f>$E$3</f>
        <v/>
      </c>
      <c r="F411" s="241" t="n">
        <v>84.77</v>
      </c>
      <c r="G411" s="242" t="n">
        <v>954951</v>
      </c>
      <c r="H411" s="241" t="n">
        <v>6.2</v>
      </c>
      <c r="I411" s="241" t="n">
        <v>8.93</v>
      </c>
      <c r="J411" s="241" t="n">
        <v>213.72</v>
      </c>
      <c r="K411" s="241" t="n">
        <v>55.81</v>
      </c>
      <c r="L411" s="242" t="n">
        <v>596000</v>
      </c>
      <c r="M411" s="241" t="n">
        <v>-0.77</v>
      </c>
      <c r="N411" s="241" t="n">
        <v>16.57</v>
      </c>
      <c r="O411" s="241" t="n">
        <v>179.13</v>
      </c>
      <c r="P411" s="241" t="n">
        <v>1.52</v>
      </c>
    </row>
    <row r="412">
      <c r="A412" s="282" t="inlineStr">
        <is>
          <t>2007-09-11</t>
        </is>
      </c>
      <c r="B412" s="240">
        <f>IFERROR(1/P412-1,B411)</f>
        <v/>
      </c>
      <c r="C412" s="240">
        <f>$C$3</f>
        <v/>
      </c>
      <c r="D412" s="240">
        <f>$D$3</f>
        <v/>
      </c>
      <c r="E412" s="240">
        <f>$E$3</f>
        <v/>
      </c>
      <c r="F412" s="241" t="n">
        <v>80.76000000000001</v>
      </c>
      <c r="G412" s="242" t="n">
        <v>896804</v>
      </c>
      <c r="H412" s="241" t="n">
        <v>-4.73</v>
      </c>
      <c r="I412" s="241" t="n">
        <v>5.83</v>
      </c>
      <c r="J412" s="241" t="n">
        <v>198.88</v>
      </c>
      <c r="K412" s="241" t="n">
        <v>54.26</v>
      </c>
      <c r="L412" s="242" t="n">
        <v>842200</v>
      </c>
      <c r="M412" s="241" t="n">
        <v>-2.86</v>
      </c>
      <c r="N412" s="241" t="n">
        <v>20.54</v>
      </c>
      <c r="O412" s="241" t="n">
        <v>171.15</v>
      </c>
      <c r="P412" s="241" t="n">
        <v>1.49</v>
      </c>
    </row>
    <row r="413">
      <c r="A413" s="282" t="inlineStr">
        <is>
          <t>2007-09-12</t>
        </is>
      </c>
      <c r="B413" s="240">
        <f>IFERROR(1/P413-1,B412)</f>
        <v/>
      </c>
      <c r="C413" s="240">
        <f>$C$3</f>
        <v/>
      </c>
      <c r="D413" s="240">
        <f>$D$3</f>
        <v/>
      </c>
      <c r="E413" s="240">
        <f>$E$3</f>
        <v/>
      </c>
      <c r="F413" s="241" t="n">
        <v>84.09</v>
      </c>
      <c r="G413" s="242" t="n">
        <v>1430150</v>
      </c>
      <c r="H413" s="241" t="n">
        <v>4.12</v>
      </c>
      <c r="I413" s="241" t="n">
        <v>10.2</v>
      </c>
      <c r="J413" s="241" t="n">
        <v>211.21</v>
      </c>
      <c r="K413" s="241" t="n">
        <v>54.43</v>
      </c>
      <c r="L413" s="242" t="n">
        <v>268000</v>
      </c>
      <c r="M413" s="241" t="n">
        <v>0.45</v>
      </c>
      <c r="N413" s="241" t="n">
        <v>21.08</v>
      </c>
      <c r="O413" s="241" t="n">
        <v>172.36</v>
      </c>
      <c r="P413" s="241" t="n">
        <v>1.55</v>
      </c>
    </row>
    <row r="414">
      <c r="A414" s="282" t="inlineStr">
        <is>
          <t>2007-09-13</t>
        </is>
      </c>
      <c r="B414" s="240">
        <f>IFERROR(1/P414-1,B413)</f>
        <v/>
      </c>
      <c r="C414" s="240">
        <f>$C$3</f>
        <v/>
      </c>
      <c r="D414" s="240">
        <f>$D$3</f>
        <v/>
      </c>
      <c r="E414" s="240">
        <f>$E$3</f>
        <v/>
      </c>
      <c r="F414" s="241" t="n">
        <v>88.33</v>
      </c>
      <c r="G414" s="242" t="n">
        <v>970884</v>
      </c>
      <c r="H414" s="241" t="n">
        <v>5.04</v>
      </c>
      <c r="I414" s="241" t="n">
        <v>15.75</v>
      </c>
      <c r="J414" s="241" t="n">
        <v>226.9</v>
      </c>
      <c r="K414" s="241" t="n">
        <v>54.13</v>
      </c>
      <c r="L414" s="242" t="n">
        <v>430580</v>
      </c>
      <c r="M414" s="241" t="n">
        <v>-0.36</v>
      </c>
      <c r="N414" s="241" t="n">
        <v>20.65</v>
      </c>
      <c r="O414" s="241" t="n">
        <v>171.39</v>
      </c>
      <c r="P414" s="241" t="n">
        <v>1.63</v>
      </c>
    </row>
    <row r="415">
      <c r="A415" s="282" t="inlineStr">
        <is>
          <t>2007-09-14</t>
        </is>
      </c>
      <c r="B415" s="240">
        <f>IFERROR(1/P415-1,B414)</f>
        <v/>
      </c>
      <c r="C415" s="240">
        <f>$C$3</f>
        <v/>
      </c>
      <c r="D415" s="240">
        <f>$D$3</f>
        <v/>
      </c>
      <c r="E415" s="240">
        <f>$E$3</f>
        <v/>
      </c>
      <c r="F415" s="241" t="n">
        <v>87.36</v>
      </c>
      <c r="G415" s="242" t="n">
        <v>843292</v>
      </c>
      <c r="H415" s="241" t="n">
        <v>-1.1</v>
      </c>
      <c r="I415" s="241" t="n">
        <v>16.57</v>
      </c>
      <c r="J415" s="241" t="n">
        <v>223.31</v>
      </c>
      <c r="K415" s="241" t="n">
        <v>56.01</v>
      </c>
      <c r="L415" s="242" t="n">
        <v>854140</v>
      </c>
      <c r="M415" s="241" t="n">
        <v>3.39</v>
      </c>
      <c r="N415" s="241" t="n">
        <v>20.83</v>
      </c>
      <c r="O415" s="241" t="n">
        <v>180.58</v>
      </c>
      <c r="P415" s="241" t="n">
        <v>1.56</v>
      </c>
    </row>
    <row r="416">
      <c r="A416" s="282" t="inlineStr">
        <is>
          <t>2007-09-17</t>
        </is>
      </c>
      <c r="B416" s="240">
        <f>IFERROR(1/P416-1,B415)</f>
        <v/>
      </c>
      <c r="C416" s="240">
        <f>$C$3</f>
        <v/>
      </c>
      <c r="D416" s="240">
        <f>$D$3</f>
        <v/>
      </c>
      <c r="E416" s="240">
        <f>$E$3</f>
        <v/>
      </c>
      <c r="F416" s="241" t="n">
        <v>86.34</v>
      </c>
      <c r="G416" s="242" t="n">
        <v>678372</v>
      </c>
      <c r="H416" s="241" t="n">
        <v>-1.17</v>
      </c>
      <c r="I416" s="241" t="n">
        <v>13.83</v>
      </c>
      <c r="J416" s="241" t="n">
        <v>219.54</v>
      </c>
      <c r="K416" s="241" t="n">
        <v>56.03</v>
      </c>
      <c r="L416" s="242" t="n">
        <v>328000</v>
      </c>
      <c r="M416" s="241" t="n">
        <v>0</v>
      </c>
      <c r="N416" s="241" t="n">
        <v>25.68</v>
      </c>
      <c r="O416" s="241" t="n">
        <v>180.58</v>
      </c>
      <c r="P416" s="241" t="n">
        <v>1.54</v>
      </c>
    </row>
    <row r="417">
      <c r="A417" s="282" t="inlineStr">
        <is>
          <t>2007-09-18</t>
        </is>
      </c>
      <c r="B417" s="240">
        <f>IFERROR(1/P417-1,B416)</f>
        <v/>
      </c>
      <c r="C417" s="240">
        <f>$C$3</f>
        <v/>
      </c>
      <c r="D417" s="240">
        <f>$D$3</f>
        <v/>
      </c>
      <c r="E417" s="240">
        <f>$E$3</f>
        <v/>
      </c>
      <c r="F417" s="241" t="n">
        <v>84.19</v>
      </c>
      <c r="G417" s="242" t="n">
        <v>901645</v>
      </c>
      <c r="H417" s="241" t="n">
        <v>-2.49</v>
      </c>
      <c r="I417" s="241" t="n">
        <v>15.09</v>
      </c>
      <c r="J417" s="241" t="n">
        <v>211.58</v>
      </c>
      <c r="K417" s="241" t="n">
        <v>56.28</v>
      </c>
      <c r="L417" s="242" t="n">
        <v>1076000</v>
      </c>
      <c r="M417" s="241" t="n">
        <v>0.43</v>
      </c>
      <c r="N417" s="241" t="n">
        <v>21.35</v>
      </c>
      <c r="O417" s="241" t="n">
        <v>181.79</v>
      </c>
      <c r="P417" s="241" t="n">
        <v>1.5</v>
      </c>
    </row>
    <row r="418">
      <c r="A418" s="282" t="inlineStr">
        <is>
          <t>2007-09-19</t>
        </is>
      </c>
      <c r="B418" s="240">
        <f>IFERROR(1/P418-1,B417)</f>
        <v/>
      </c>
      <c r="C418" s="240">
        <f>$C$3</f>
        <v/>
      </c>
      <c r="D418" s="240">
        <f>$D$3</f>
        <v/>
      </c>
      <c r="E418" s="240">
        <f>$E$3</f>
        <v/>
      </c>
      <c r="F418" s="241" t="n">
        <v>84.59999999999999</v>
      </c>
      <c r="G418" s="242" t="n">
        <v>768418</v>
      </c>
      <c r="H418" s="241" t="n">
        <v>0.49</v>
      </c>
      <c r="I418" s="241" t="n">
        <v>15.65</v>
      </c>
      <c r="J418" s="241" t="n">
        <v>213.1</v>
      </c>
      <c r="K418" s="241" t="n">
        <v>56.95</v>
      </c>
      <c r="L418" s="242" t="n">
        <v>1700000</v>
      </c>
      <c r="M418" s="241" t="n">
        <v>1.29</v>
      </c>
      <c r="N418" s="241" t="n">
        <v>22.92</v>
      </c>
      <c r="O418" s="241" t="n">
        <v>185.42</v>
      </c>
      <c r="P418" s="241" t="n">
        <v>1.49</v>
      </c>
    </row>
    <row r="419">
      <c r="A419" s="282" t="inlineStr">
        <is>
          <t>2007-09-20</t>
        </is>
      </c>
      <c r="B419" s="240">
        <f>IFERROR(1/P419-1,B418)</f>
        <v/>
      </c>
      <c r="C419" s="240">
        <f>$C$3</f>
        <v/>
      </c>
      <c r="D419" s="240">
        <f>$D$3</f>
        <v/>
      </c>
      <c r="E419" s="240">
        <f>$E$3</f>
        <v/>
      </c>
      <c r="F419" s="241" t="n">
        <v>83.28</v>
      </c>
      <c r="G419" s="242" t="n">
        <v>689677</v>
      </c>
      <c r="H419" s="241" t="n">
        <v>-1.56</v>
      </c>
      <c r="I419" s="241" t="n">
        <v>13.85</v>
      </c>
      <c r="J419" s="241" t="n">
        <v>208.21</v>
      </c>
      <c r="K419" s="241" t="n">
        <v>57.18</v>
      </c>
      <c r="L419" s="242" t="n">
        <v>254079</v>
      </c>
      <c r="M419" s="241" t="n">
        <v>0.34</v>
      </c>
      <c r="N419" s="241" t="n">
        <v>23.33</v>
      </c>
      <c r="O419" s="241" t="n">
        <v>186.39</v>
      </c>
      <c r="P419" s="241" t="n">
        <v>1.46</v>
      </c>
    </row>
    <row r="420">
      <c r="A420" s="282" t="inlineStr">
        <is>
          <t>2007-09-21</t>
        </is>
      </c>
      <c r="B420" s="240">
        <f>IFERROR(1/P420-1,B419)</f>
        <v/>
      </c>
      <c r="C420" s="240">
        <f>$C$3</f>
        <v/>
      </c>
      <c r="D420" s="240">
        <f>$D$3</f>
        <v/>
      </c>
      <c r="E420" s="240">
        <f>$E$3</f>
        <v/>
      </c>
      <c r="F420" s="241" t="n">
        <v>81.78</v>
      </c>
      <c r="G420" s="242" t="n">
        <v>352315</v>
      </c>
      <c r="H420" s="241" t="n">
        <v>-1.8</v>
      </c>
      <c r="I420" s="241" t="n">
        <v>9.789999999999999</v>
      </c>
      <c r="J420" s="241" t="n">
        <v>202.66</v>
      </c>
      <c r="K420" s="241" t="n">
        <v>56.87</v>
      </c>
      <c r="L420" s="242" t="n">
        <v>148500</v>
      </c>
      <c r="M420" s="241" t="n">
        <v>-0.34</v>
      </c>
      <c r="N420" s="241" t="n">
        <v>20.16</v>
      </c>
      <c r="O420" s="241" t="n">
        <v>185.42</v>
      </c>
      <c r="P420" s="241" t="n">
        <v>1.44</v>
      </c>
    </row>
    <row r="421">
      <c r="A421" s="282" t="inlineStr">
        <is>
          <t>2007-09-24</t>
        </is>
      </c>
      <c r="B421" s="240">
        <f>IFERROR(1/P421-1,B420)</f>
        <v/>
      </c>
      <c r="C421" s="240">
        <f>$C$3</f>
        <v/>
      </c>
      <c r="D421" s="240">
        <f>$D$3</f>
        <v/>
      </c>
      <c r="E421" s="240">
        <f>$E$3</f>
        <v/>
      </c>
      <c r="F421" s="241" t="n">
        <v>84</v>
      </c>
      <c r="G421" s="242" t="n">
        <v>625059</v>
      </c>
      <c r="H421" s="241" t="n">
        <v>2.71</v>
      </c>
      <c r="I421" s="241" t="n">
        <v>13.51</v>
      </c>
      <c r="J421" s="241" t="n">
        <v>210.88</v>
      </c>
      <c r="K421" s="241" t="n">
        <v>58.48</v>
      </c>
      <c r="L421" s="242" t="n">
        <v>971134</v>
      </c>
      <c r="M421" s="241" t="n">
        <v>2.71</v>
      </c>
      <c r="N421" s="241" t="n">
        <v>9.19</v>
      </c>
      <c r="O421" s="241" t="n">
        <v>193.16</v>
      </c>
      <c r="P421" s="241" t="n">
        <v>1.44</v>
      </c>
    </row>
    <row r="422">
      <c r="A422" s="282" t="inlineStr">
        <is>
          <t>2007-09-25</t>
        </is>
      </c>
      <c r="B422" s="240">
        <f>IFERROR(1/P422-1,B421)</f>
        <v/>
      </c>
      <c r="C422" s="240">
        <f>$C$3</f>
        <v/>
      </c>
      <c r="D422" s="240">
        <f>$D$3</f>
        <v/>
      </c>
      <c r="E422" s="240">
        <f>$E$3</f>
        <v/>
      </c>
      <c r="F422" s="241" t="n">
        <v>82.05</v>
      </c>
      <c r="G422" s="242" t="n">
        <v>224337</v>
      </c>
      <c r="H422" s="241" t="n">
        <v>-2.32</v>
      </c>
      <c r="I422" s="241" t="n">
        <v>7.55</v>
      </c>
      <c r="J422" s="241" t="n">
        <v>203.66</v>
      </c>
      <c r="K422" s="241" t="n">
        <v>60</v>
      </c>
      <c r="L422" s="242" t="n">
        <v>1138000</v>
      </c>
      <c r="M422" s="241" t="n">
        <v>2.48</v>
      </c>
      <c r="N422" s="241" t="n">
        <v>12.6</v>
      </c>
      <c r="O422" s="241" t="n">
        <v>200.41</v>
      </c>
      <c r="P422" s="241" t="n">
        <v>1.37</v>
      </c>
    </row>
    <row r="423">
      <c r="A423" s="282" t="inlineStr">
        <is>
          <t>2007-09-26</t>
        </is>
      </c>
      <c r="B423" s="240">
        <f>IFERROR(1/P423-1,B422)</f>
        <v/>
      </c>
      <c r="C423" s="240">
        <f>$C$3</f>
        <v/>
      </c>
      <c r="D423" s="240">
        <f>$D$3</f>
        <v/>
      </c>
      <c r="E423" s="240">
        <f>$E$3</f>
        <v/>
      </c>
      <c r="F423" s="241" t="n">
        <v>80.45</v>
      </c>
      <c r="G423" s="242" t="n">
        <v>202323</v>
      </c>
      <c r="H423" s="241" t="n">
        <v>-1.95</v>
      </c>
      <c r="I423" s="241" t="n">
        <v>5.45</v>
      </c>
      <c r="J423" s="241" t="n">
        <v>197.74</v>
      </c>
      <c r="K423" s="239" t="inlineStr">
        <is>
          <t>--</t>
        </is>
      </c>
      <c r="L423" s="239" t="inlineStr">
        <is>
          <t>--</t>
        </is>
      </c>
      <c r="M423" s="239" t="inlineStr">
        <is>
          <t>--</t>
        </is>
      </c>
      <c r="N423" s="239" t="inlineStr">
        <is>
          <t>--</t>
        </is>
      </c>
      <c r="O423" s="239" t="inlineStr">
        <is>
          <t>--</t>
        </is>
      </c>
      <c r="P423" s="239" t="inlineStr">
        <is>
          <t>--</t>
        </is>
      </c>
    </row>
    <row r="424">
      <c r="A424" s="282" t="inlineStr">
        <is>
          <t>2007-09-27</t>
        </is>
      </c>
      <c r="B424" s="240">
        <f>IFERROR(1/P424-1,B423)</f>
        <v/>
      </c>
      <c r="C424" s="240">
        <f>$C$3</f>
        <v/>
      </c>
      <c r="D424" s="240">
        <f>$D$3</f>
        <v/>
      </c>
      <c r="E424" s="240">
        <f>$E$3</f>
        <v/>
      </c>
      <c r="F424" s="241" t="n">
        <v>80.76000000000001</v>
      </c>
      <c r="G424" s="242" t="n">
        <v>874389</v>
      </c>
      <c r="H424" s="241" t="n">
        <v>0.39</v>
      </c>
      <c r="I424" s="241" t="n">
        <v>5.86</v>
      </c>
      <c r="J424" s="241" t="n">
        <v>198.88</v>
      </c>
      <c r="K424" s="241" t="n">
        <v>62.56</v>
      </c>
      <c r="L424" s="242" t="n">
        <v>962000</v>
      </c>
      <c r="M424" s="241" t="n">
        <v>4.11</v>
      </c>
      <c r="N424" s="241" t="n">
        <v>17.23</v>
      </c>
      <c r="O424" s="241" t="n">
        <v>212.75</v>
      </c>
      <c r="P424" s="241" t="n">
        <v>1.29</v>
      </c>
    </row>
    <row r="425">
      <c r="A425" s="282" t="inlineStr">
        <is>
          <t>2007-09-28</t>
        </is>
      </c>
      <c r="B425" s="240">
        <f>IFERROR(1/P425-1,B424)</f>
        <v/>
      </c>
      <c r="C425" s="240">
        <f>$C$3</f>
        <v/>
      </c>
      <c r="D425" s="240">
        <f>$D$3</f>
        <v/>
      </c>
      <c r="E425" s="240">
        <f>$E$3</f>
        <v/>
      </c>
      <c r="F425" s="241" t="n">
        <v>83.01000000000001</v>
      </c>
      <c r="G425" s="242" t="n">
        <v>1600613</v>
      </c>
      <c r="H425" s="241" t="n">
        <v>2.79</v>
      </c>
      <c r="I425" s="241" t="n">
        <v>8.81</v>
      </c>
      <c r="J425" s="241" t="n">
        <v>207.21</v>
      </c>
      <c r="K425" s="241" t="n">
        <v>68.75</v>
      </c>
      <c r="L425" s="242" t="n">
        <v>1426800</v>
      </c>
      <c r="M425" s="241" t="n">
        <v>9.82</v>
      </c>
      <c r="N425" s="241" t="n">
        <v>17.26</v>
      </c>
      <c r="O425" s="241" t="n">
        <v>243.47</v>
      </c>
      <c r="P425" s="241" t="n">
        <v>1.21</v>
      </c>
    </row>
    <row r="426">
      <c r="A426" s="282" t="inlineStr">
        <is>
          <t>2007-10-08</t>
        </is>
      </c>
      <c r="B426" s="240">
        <f>IFERROR(1/P426-1,B425)</f>
        <v/>
      </c>
      <c r="C426" s="240">
        <f>$C$3</f>
        <v/>
      </c>
      <c r="D426" s="240">
        <f>$D$3</f>
        <v/>
      </c>
      <c r="E426" s="240">
        <f>$E$3</f>
        <v/>
      </c>
      <c r="F426" s="241" t="n">
        <v>82.78</v>
      </c>
      <c r="G426" s="242" t="n">
        <v>835921</v>
      </c>
      <c r="H426" s="241" t="n">
        <v>-0.28</v>
      </c>
      <c r="I426" s="241" t="n">
        <v>3.71</v>
      </c>
      <c r="J426" s="241" t="n">
        <v>206.36</v>
      </c>
      <c r="K426" s="241" t="n">
        <v>71.27</v>
      </c>
      <c r="L426" s="242" t="n">
        <v>421580</v>
      </c>
      <c r="M426" s="241" t="n">
        <v>4.25</v>
      </c>
      <c r="N426" s="241" t="n">
        <v>26.57</v>
      </c>
      <c r="O426" s="241" t="n">
        <v>256.05</v>
      </c>
      <c r="P426" s="241" t="n">
        <v>1.16</v>
      </c>
    </row>
    <row r="427">
      <c r="A427" s="282" t="inlineStr">
        <is>
          <t>2007-10-09</t>
        </is>
      </c>
      <c r="B427" s="240">
        <f>IFERROR(1/P427-1,B426)</f>
        <v/>
      </c>
      <c r="C427" s="240">
        <f>$C$3</f>
        <v/>
      </c>
      <c r="D427" s="240">
        <f>$D$3</f>
        <v/>
      </c>
      <c r="E427" s="240">
        <f>$E$3</f>
        <v/>
      </c>
      <c r="F427" s="241" t="n">
        <v>83.05</v>
      </c>
      <c r="G427" s="242" t="n">
        <v>650265</v>
      </c>
      <c r="H427" s="241" t="n">
        <v>0.33</v>
      </c>
      <c r="I427" s="241" t="n">
        <v>4.05</v>
      </c>
      <c r="J427" s="241" t="n">
        <v>207.36</v>
      </c>
      <c r="K427" s="241" t="n">
        <v>69.90000000000001</v>
      </c>
      <c r="L427" s="242" t="n">
        <v>880000</v>
      </c>
      <c r="M427" s="241" t="n">
        <v>-2.04</v>
      </c>
      <c r="N427" s="241" t="n">
        <v>23.99</v>
      </c>
      <c r="O427" s="241" t="n">
        <v>248.79</v>
      </c>
      <c r="P427" s="241" t="n">
        <v>1.19</v>
      </c>
    </row>
    <row r="428">
      <c r="A428" s="282" t="inlineStr">
        <is>
          <t>2007-10-10</t>
        </is>
      </c>
      <c r="B428" s="240">
        <f>IFERROR(1/P428-1,B427)</f>
        <v/>
      </c>
      <c r="C428" s="240">
        <f>$C$3</f>
        <v/>
      </c>
      <c r="D428" s="240">
        <f>$D$3</f>
        <v/>
      </c>
      <c r="E428" s="240">
        <f>$E$3</f>
        <v/>
      </c>
      <c r="F428" s="241" t="n">
        <v>82.95</v>
      </c>
      <c r="G428" s="242" t="n">
        <v>893729</v>
      </c>
      <c r="H428" s="241" t="n">
        <v>-0.12</v>
      </c>
      <c r="I428" s="241" t="n">
        <v>3.92</v>
      </c>
      <c r="J428" s="241" t="n">
        <v>206.99</v>
      </c>
      <c r="K428" s="241" t="n">
        <v>69.79000000000001</v>
      </c>
      <c r="L428" s="242" t="n">
        <v>555000</v>
      </c>
      <c r="M428" s="241" t="n">
        <v>-0.07000000000000001</v>
      </c>
      <c r="N428" s="241" t="n">
        <v>23.9</v>
      </c>
      <c r="O428" s="241" t="n">
        <v>248.55</v>
      </c>
      <c r="P428" s="241" t="n">
        <v>1.19</v>
      </c>
    </row>
    <row r="429">
      <c r="A429" s="282" t="inlineStr">
        <is>
          <t>2007-10-11</t>
        </is>
      </c>
      <c r="B429" s="240">
        <f>IFERROR(1/P429-1,B428)</f>
        <v/>
      </c>
      <c r="C429" s="240">
        <f>$C$3</f>
        <v/>
      </c>
      <c r="D429" s="240">
        <f>$D$3</f>
        <v/>
      </c>
      <c r="E429" s="240">
        <f>$E$3</f>
        <v/>
      </c>
      <c r="F429" s="241" t="n">
        <v>81.04000000000001</v>
      </c>
      <c r="G429" s="242" t="n">
        <v>957083</v>
      </c>
      <c r="H429" s="241" t="n">
        <v>-2.3</v>
      </c>
      <c r="I429" s="241" t="n">
        <v>-4.4</v>
      </c>
      <c r="J429" s="241" t="n">
        <v>199.92</v>
      </c>
      <c r="K429" s="241" t="n">
        <v>69.56999999999999</v>
      </c>
      <c r="L429" s="242" t="n">
        <v>717000</v>
      </c>
      <c r="M429" s="241" t="n">
        <v>-0.35</v>
      </c>
      <c r="N429" s="241" t="n">
        <v>24.44</v>
      </c>
      <c r="O429" s="241" t="n">
        <v>247.34</v>
      </c>
      <c r="P429" s="241" t="n">
        <v>1.16</v>
      </c>
    </row>
    <row r="430">
      <c r="A430" s="282" t="inlineStr">
        <is>
          <t>2007-10-12</t>
        </is>
      </c>
      <c r="B430" s="240">
        <f>IFERROR(1/P430-1,B429)</f>
        <v/>
      </c>
      <c r="C430" s="240">
        <f>$C$3</f>
        <v/>
      </c>
      <c r="D430" s="240">
        <f>$D$3</f>
        <v/>
      </c>
      <c r="E430" s="240">
        <f>$E$3</f>
        <v/>
      </c>
      <c r="F430" s="241" t="n">
        <v>79</v>
      </c>
      <c r="G430" s="242" t="n">
        <v>1557840</v>
      </c>
      <c r="H430" s="241" t="n">
        <v>-2.52</v>
      </c>
      <c r="I430" s="241" t="n">
        <v>-2.18</v>
      </c>
      <c r="J430" s="241" t="n">
        <v>192.37</v>
      </c>
      <c r="K430" s="241" t="n">
        <v>69.17</v>
      </c>
      <c r="L430" s="242" t="n">
        <v>230000</v>
      </c>
      <c r="M430" s="241" t="n">
        <v>-0.5600000000000001</v>
      </c>
      <c r="N430" s="241" t="n">
        <v>27.39</v>
      </c>
      <c r="O430" s="241" t="n">
        <v>245.4</v>
      </c>
      <c r="P430" s="241" t="n">
        <v>1.14</v>
      </c>
    </row>
    <row r="431">
      <c r="A431" s="282" t="inlineStr">
        <is>
          <t>2007-10-15</t>
        </is>
      </c>
      <c r="B431" s="240">
        <f>IFERROR(1/P431-1,B430)</f>
        <v/>
      </c>
      <c r="C431" s="240">
        <f>$C$3</f>
        <v/>
      </c>
      <c r="D431" s="240">
        <f>$D$3</f>
        <v/>
      </c>
      <c r="E431" s="240">
        <f>$E$3</f>
        <v/>
      </c>
      <c r="F431" s="241" t="n">
        <v>77.98999999999999</v>
      </c>
      <c r="G431" s="242" t="n">
        <v>1508046</v>
      </c>
      <c r="H431" s="241" t="n">
        <v>-1.28</v>
      </c>
      <c r="I431" s="241" t="n">
        <v>-10.73</v>
      </c>
      <c r="J431" s="241" t="n">
        <v>188.63</v>
      </c>
      <c r="K431" s="241" t="n">
        <v>65.52</v>
      </c>
      <c r="L431" s="242" t="n">
        <v>317000</v>
      </c>
      <c r="M431" s="241" t="n">
        <v>-5.32</v>
      </c>
      <c r="N431" s="241" t="n">
        <v>16.55</v>
      </c>
      <c r="O431" s="241" t="n">
        <v>227.02</v>
      </c>
      <c r="P431" s="241" t="n">
        <v>1.19</v>
      </c>
    </row>
    <row r="432">
      <c r="A432" s="282" t="inlineStr">
        <is>
          <t>2007-10-16</t>
        </is>
      </c>
      <c r="B432" s="240">
        <f>IFERROR(1/P432-1,B431)</f>
        <v/>
      </c>
      <c r="C432" s="240">
        <f>$C$3</f>
        <v/>
      </c>
      <c r="D432" s="240">
        <f>$D$3</f>
        <v/>
      </c>
      <c r="E432" s="240">
        <f>$E$3</f>
        <v/>
      </c>
      <c r="F432" s="241" t="n">
        <v>78.06</v>
      </c>
      <c r="G432" s="242" t="n">
        <v>2762785</v>
      </c>
      <c r="H432" s="241" t="n">
        <v>0.09</v>
      </c>
      <c r="I432" s="241" t="n">
        <v>-10.65</v>
      </c>
      <c r="J432" s="241" t="n">
        <v>188.89</v>
      </c>
      <c r="K432" s="241" t="n">
        <v>67.25</v>
      </c>
      <c r="L432" s="242" t="n">
        <v>626000</v>
      </c>
      <c r="M432" s="241" t="n">
        <v>2.66</v>
      </c>
      <c r="N432" s="241" t="n">
        <v>19.66</v>
      </c>
      <c r="O432" s="241" t="n">
        <v>235.73</v>
      </c>
      <c r="P432" s="241" t="n">
        <v>1.16</v>
      </c>
    </row>
    <row r="433">
      <c r="A433" s="282" t="inlineStr">
        <is>
          <t>2007-10-17</t>
        </is>
      </c>
      <c r="B433" s="240">
        <f>IFERROR(1/P433-1,B432)</f>
        <v/>
      </c>
      <c r="C433" s="240">
        <f>$C$3</f>
        <v/>
      </c>
      <c r="D433" s="240">
        <f>$D$3</f>
        <v/>
      </c>
      <c r="E433" s="240">
        <f>$E$3</f>
        <v/>
      </c>
      <c r="F433" s="241" t="n">
        <v>80.79000000000001</v>
      </c>
      <c r="G433" s="242" t="n">
        <v>2115914</v>
      </c>
      <c r="H433" s="241" t="n">
        <v>3.5</v>
      </c>
      <c r="I433" s="241" t="n">
        <v>-7.52</v>
      </c>
      <c r="J433" s="241" t="n">
        <v>199</v>
      </c>
      <c r="K433" s="241" t="n">
        <v>68.63</v>
      </c>
      <c r="L433" s="242" t="n">
        <v>1062000</v>
      </c>
      <c r="M433" s="241" t="n">
        <v>2.02</v>
      </c>
      <c r="N433" s="241" t="n">
        <v>22.07</v>
      </c>
      <c r="O433" s="241" t="n">
        <v>242.5</v>
      </c>
      <c r="P433" s="241" t="n">
        <v>1.18</v>
      </c>
    </row>
    <row r="434">
      <c r="A434" s="282" t="inlineStr">
        <is>
          <t>2007-10-18</t>
        </is>
      </c>
      <c r="B434" s="240">
        <f>IFERROR(1/P434-1,B433)</f>
        <v/>
      </c>
      <c r="C434" s="240">
        <f>$C$3</f>
        <v/>
      </c>
      <c r="D434" s="240">
        <f>$D$3</f>
        <v/>
      </c>
      <c r="E434" s="240">
        <f>$E$3</f>
        <v/>
      </c>
      <c r="F434" s="241" t="n">
        <v>80</v>
      </c>
      <c r="G434" s="242" t="n">
        <v>3006802</v>
      </c>
      <c r="H434" s="241" t="n">
        <v>-0.98</v>
      </c>
      <c r="I434" s="241" t="n">
        <v>-7.34</v>
      </c>
      <c r="J434" s="241" t="n">
        <v>196.07</v>
      </c>
      <c r="K434" s="241" t="n">
        <v>69.76000000000001</v>
      </c>
      <c r="L434" s="242" t="n">
        <v>877000</v>
      </c>
      <c r="M434" s="241" t="n">
        <v>1.69</v>
      </c>
      <c r="N434" s="241" t="n">
        <v>24.14</v>
      </c>
      <c r="O434" s="241" t="n">
        <v>248.31</v>
      </c>
      <c r="P434" s="241" t="n">
        <v>1.15</v>
      </c>
    </row>
    <row r="435">
      <c r="A435" s="282" t="inlineStr">
        <is>
          <t>2007-10-19</t>
        </is>
      </c>
      <c r="B435" s="240">
        <f>IFERROR(1/P435-1,B434)</f>
        <v/>
      </c>
      <c r="C435" s="240">
        <f>$C$3</f>
        <v/>
      </c>
      <c r="D435" s="240">
        <f>$D$3</f>
        <v/>
      </c>
      <c r="E435" s="240">
        <f>$E$3</f>
        <v/>
      </c>
      <c r="F435" s="241" t="n">
        <v>78.8</v>
      </c>
      <c r="G435" s="242" t="n">
        <v>987509</v>
      </c>
      <c r="H435" s="241" t="n">
        <v>-1.5</v>
      </c>
      <c r="I435" s="241" t="n">
        <v>-6.4</v>
      </c>
      <c r="J435" s="241" t="n">
        <v>191.63</v>
      </c>
      <c r="K435" s="239" t="inlineStr">
        <is>
          <t>--</t>
        </is>
      </c>
      <c r="L435" s="239" t="inlineStr">
        <is>
          <t>--</t>
        </is>
      </c>
      <c r="M435" s="239" t="inlineStr">
        <is>
          <t>--</t>
        </is>
      </c>
      <c r="N435" s="239" t="inlineStr">
        <is>
          <t>--</t>
        </is>
      </c>
      <c r="O435" s="239" t="inlineStr">
        <is>
          <t>--</t>
        </is>
      </c>
      <c r="P435" s="239" t="inlineStr">
        <is>
          <t>--</t>
        </is>
      </c>
    </row>
    <row r="436">
      <c r="A436" s="282" t="inlineStr">
        <is>
          <t>2007-10-22</t>
        </is>
      </c>
      <c r="B436" s="240">
        <f>IFERROR(1/P436-1,B435)</f>
        <v/>
      </c>
      <c r="C436" s="240">
        <f>$C$3</f>
        <v/>
      </c>
      <c r="D436" s="240">
        <f>$D$3</f>
        <v/>
      </c>
      <c r="E436" s="240">
        <f>$E$3</f>
        <v/>
      </c>
      <c r="F436" s="241" t="n">
        <v>80.26000000000001</v>
      </c>
      <c r="G436" s="242" t="n">
        <v>1841767</v>
      </c>
      <c r="H436" s="241" t="n">
        <v>1.85</v>
      </c>
      <c r="I436" s="241" t="n">
        <v>-1.86</v>
      </c>
      <c r="J436" s="241" t="n">
        <v>197.03</v>
      </c>
      <c r="K436" s="241" t="n">
        <v>69.72</v>
      </c>
      <c r="L436" s="242" t="n">
        <v>0</v>
      </c>
      <c r="M436" s="241" t="n">
        <v>0</v>
      </c>
      <c r="N436" s="241" t="n">
        <v>22.03</v>
      </c>
      <c r="O436" s="241" t="n">
        <v>248.31</v>
      </c>
      <c r="P436" s="241" t="n">
        <v>1.15</v>
      </c>
    </row>
    <row r="437">
      <c r="A437" s="282" t="inlineStr">
        <is>
          <t>2007-10-23</t>
        </is>
      </c>
      <c r="B437" s="240">
        <f>IFERROR(1/P437-1,B436)</f>
        <v/>
      </c>
      <c r="C437" s="240">
        <f>$C$3</f>
        <v/>
      </c>
      <c r="D437" s="240">
        <f>$D$3</f>
        <v/>
      </c>
      <c r="E437" s="240">
        <f>$E$3</f>
        <v/>
      </c>
      <c r="F437" s="241" t="n">
        <v>81.98</v>
      </c>
      <c r="G437" s="242" t="n">
        <v>890988</v>
      </c>
      <c r="H437" s="241" t="n">
        <v>2.14</v>
      </c>
      <c r="I437" s="241" t="n">
        <v>0.24</v>
      </c>
      <c r="J437" s="241" t="n">
        <v>203.4</v>
      </c>
      <c r="K437" s="241" t="n">
        <v>69.68000000000001</v>
      </c>
      <c r="L437" s="242" t="n">
        <v>0</v>
      </c>
      <c r="M437" s="241" t="n">
        <v>0</v>
      </c>
      <c r="N437" s="241" t="n">
        <v>22.03</v>
      </c>
      <c r="O437" s="241" t="n">
        <v>248.31</v>
      </c>
      <c r="P437" s="241" t="n">
        <v>1.18</v>
      </c>
    </row>
    <row r="438">
      <c r="A438" s="282" t="inlineStr">
        <is>
          <t>2007-10-24</t>
        </is>
      </c>
      <c r="B438" s="240">
        <f>IFERROR(1/P438-1,B437)</f>
        <v/>
      </c>
      <c r="C438" s="240">
        <f>$C$3</f>
        <v/>
      </c>
      <c r="D438" s="240">
        <f>$D$3</f>
        <v/>
      </c>
      <c r="E438" s="240">
        <f>$E$3</f>
        <v/>
      </c>
      <c r="F438" s="241" t="n">
        <v>81.06</v>
      </c>
      <c r="G438" s="242" t="n">
        <v>843793</v>
      </c>
      <c r="H438" s="241" t="n">
        <v>-1.12</v>
      </c>
      <c r="I438" s="241" t="n">
        <v>-0.88</v>
      </c>
      <c r="J438" s="241" t="n">
        <v>199.99</v>
      </c>
      <c r="K438" s="241" t="n">
        <v>64.39</v>
      </c>
      <c r="L438" s="242" t="n">
        <v>1288172</v>
      </c>
      <c r="M438" s="241" t="n">
        <v>-7.5</v>
      </c>
      <c r="N438" s="241" t="n">
        <v>12.88</v>
      </c>
      <c r="O438" s="241" t="n">
        <v>222.18</v>
      </c>
      <c r="P438" s="241" t="n">
        <v>1.26</v>
      </c>
    </row>
    <row r="439">
      <c r="A439" s="282" t="inlineStr">
        <is>
          <t>2007-10-25</t>
        </is>
      </c>
      <c r="B439" s="240">
        <f>IFERROR(1/P439-1,B438)</f>
        <v/>
      </c>
      <c r="C439" s="240">
        <f>$C$3</f>
        <v/>
      </c>
      <c r="D439" s="240">
        <f>$D$3</f>
        <v/>
      </c>
      <c r="E439" s="240">
        <f>$E$3</f>
        <v/>
      </c>
      <c r="F439" s="241" t="n">
        <v>73.98999999999999</v>
      </c>
      <c r="G439" s="242" t="n">
        <v>1290519</v>
      </c>
      <c r="H439" s="241" t="n">
        <v>-8.720000000000001</v>
      </c>
      <c r="I439" s="241" t="n">
        <v>-11.92</v>
      </c>
      <c r="J439" s="241" t="n">
        <v>173.83</v>
      </c>
      <c r="K439" s="241" t="n">
        <v>64.42</v>
      </c>
      <c r="L439" s="242" t="n">
        <v>404000</v>
      </c>
      <c r="M439" s="241" t="n">
        <v>0.15</v>
      </c>
      <c r="N439" s="241" t="n">
        <v>10.07</v>
      </c>
      <c r="O439" s="241" t="n">
        <v>222.67</v>
      </c>
      <c r="P439" s="241" t="n">
        <v>1.15</v>
      </c>
    </row>
    <row r="440">
      <c r="A440" s="282" t="inlineStr">
        <is>
          <t>2007-10-26</t>
        </is>
      </c>
      <c r="B440" s="240">
        <f>IFERROR(1/P440-1,B439)</f>
        <v/>
      </c>
      <c r="C440" s="240">
        <f>$C$3</f>
        <v/>
      </c>
      <c r="D440" s="240">
        <f>$D$3</f>
        <v/>
      </c>
      <c r="E440" s="240">
        <f>$E$3</f>
        <v/>
      </c>
      <c r="F440" s="241" t="n">
        <v>72.20999999999999</v>
      </c>
      <c r="G440" s="242" t="n">
        <v>525793</v>
      </c>
      <c r="H440" s="241" t="n">
        <v>-2.41</v>
      </c>
      <c r="I440" s="241" t="n">
        <v>-11.99</v>
      </c>
      <c r="J440" s="241" t="n">
        <v>167.24</v>
      </c>
      <c r="K440" s="241" t="n">
        <v>66.7</v>
      </c>
      <c r="L440" s="242" t="n">
        <v>848287</v>
      </c>
      <c r="M440" s="241" t="n">
        <v>3.6</v>
      </c>
      <c r="N440" s="241" t="n">
        <v>11.27</v>
      </c>
      <c r="O440" s="241" t="n">
        <v>234.28</v>
      </c>
      <c r="P440" s="241" t="n">
        <v>1.08</v>
      </c>
    </row>
    <row r="441">
      <c r="A441" s="282" t="inlineStr">
        <is>
          <t>2007-10-29</t>
        </is>
      </c>
      <c r="B441" s="240">
        <f>IFERROR(1/P441-1,B440)</f>
        <v/>
      </c>
      <c r="C441" s="240">
        <f>$C$3</f>
        <v/>
      </c>
      <c r="D441" s="240">
        <f>$D$3</f>
        <v/>
      </c>
      <c r="E441" s="240">
        <f>$E$3</f>
        <v/>
      </c>
      <c r="F441" s="241" t="n">
        <v>74.65000000000001</v>
      </c>
      <c r="G441" s="242" t="n">
        <v>338592</v>
      </c>
      <c r="H441" s="241" t="n">
        <v>3.38</v>
      </c>
      <c r="I441" s="241" t="n">
        <v>-10.07</v>
      </c>
      <c r="J441" s="241" t="n">
        <v>176.27</v>
      </c>
      <c r="K441" s="241" t="n">
        <v>66.52</v>
      </c>
      <c r="L441" s="242" t="n">
        <v>821172</v>
      </c>
      <c r="M441" s="241" t="n">
        <v>-0.14</v>
      </c>
      <c r="N441" s="241" t="n">
        <v>-2.82</v>
      </c>
      <c r="O441" s="241" t="n">
        <v>233.79</v>
      </c>
      <c r="P441" s="241" t="n">
        <v>1.12</v>
      </c>
    </row>
    <row r="442">
      <c r="A442" s="282" t="inlineStr">
        <is>
          <t>2007-10-30</t>
        </is>
      </c>
      <c r="B442" s="240">
        <f>IFERROR(1/P442-1,B441)</f>
        <v/>
      </c>
      <c r="C442" s="240">
        <f>$C$3</f>
        <v/>
      </c>
      <c r="D442" s="240">
        <f>$D$3</f>
        <v/>
      </c>
      <c r="E442" s="240">
        <f>$E$3</f>
        <v/>
      </c>
      <c r="F442" s="241" t="n">
        <v>73.41</v>
      </c>
      <c r="G442" s="242" t="n">
        <v>969127</v>
      </c>
      <c r="H442" s="241" t="n">
        <v>-1.66</v>
      </c>
      <c r="I442" s="241" t="n">
        <v>-11.56</v>
      </c>
      <c r="J442" s="241" t="n">
        <v>171.68</v>
      </c>
      <c r="K442" s="241" t="n">
        <v>65.56</v>
      </c>
      <c r="L442" s="242" t="n">
        <v>560096</v>
      </c>
      <c r="M442" s="241" t="n">
        <v>-1.45</v>
      </c>
      <c r="N442" s="241" t="n">
        <v>-4.23</v>
      </c>
      <c r="O442" s="241" t="n">
        <v>228.96</v>
      </c>
      <c r="P442" s="241" t="n">
        <v>1.12</v>
      </c>
    </row>
    <row r="443">
      <c r="A443" s="282" t="inlineStr">
        <is>
          <t>2007-10-31</t>
        </is>
      </c>
      <c r="B443" s="240">
        <f>IFERROR(1/P443-1,B442)</f>
        <v/>
      </c>
      <c r="C443" s="240">
        <f>$C$3</f>
        <v/>
      </c>
      <c r="D443" s="240">
        <f>$D$3</f>
        <v/>
      </c>
      <c r="E443" s="240">
        <f>$E$3</f>
        <v/>
      </c>
      <c r="F443" s="241" t="n">
        <v>74.43000000000001</v>
      </c>
      <c r="G443" s="242" t="n">
        <v>1177396</v>
      </c>
      <c r="H443" s="241" t="n">
        <v>1.39</v>
      </c>
      <c r="I443" s="241" t="n">
        <v>-10.34</v>
      </c>
      <c r="J443" s="241" t="n">
        <v>175.46</v>
      </c>
      <c r="K443" s="241" t="n">
        <v>66.40000000000001</v>
      </c>
      <c r="L443" s="242" t="n">
        <v>614630</v>
      </c>
      <c r="M443" s="241" t="n">
        <v>1.32</v>
      </c>
      <c r="N443" s="241" t="n">
        <v>-2.96</v>
      </c>
      <c r="O443" s="241" t="n">
        <v>233.31</v>
      </c>
      <c r="P443" s="241" t="n">
        <v>1.12</v>
      </c>
    </row>
    <row r="444">
      <c r="A444" s="282" t="inlineStr">
        <is>
          <t>2007-11-01</t>
        </is>
      </c>
      <c r="B444" s="240">
        <f>IFERROR(1/P444-1,B443)</f>
        <v/>
      </c>
      <c r="C444" s="240">
        <f>$C$3</f>
        <v/>
      </c>
      <c r="D444" s="240">
        <f>$D$3</f>
        <v/>
      </c>
      <c r="E444" s="240">
        <f>$E$3</f>
        <v/>
      </c>
      <c r="F444" s="241" t="n">
        <v>71.95999999999999</v>
      </c>
      <c r="G444" s="242" t="n">
        <v>1212889</v>
      </c>
      <c r="H444" s="241" t="n">
        <v>-3.32</v>
      </c>
      <c r="I444" s="241" t="n">
        <v>-13.31</v>
      </c>
      <c r="J444" s="241" t="n">
        <v>166.32</v>
      </c>
      <c r="K444" s="241" t="n">
        <v>65.41</v>
      </c>
      <c r="L444" s="242" t="n">
        <v>591220</v>
      </c>
      <c r="M444" s="241" t="n">
        <v>-1.31</v>
      </c>
      <c r="N444" s="241" t="n">
        <v>-4.23</v>
      </c>
      <c r="O444" s="241" t="n">
        <v>228.96</v>
      </c>
      <c r="P444" s="241" t="n">
        <v>1.1</v>
      </c>
    </row>
    <row r="445">
      <c r="A445" s="282" t="inlineStr">
        <is>
          <t>2007-11-02</t>
        </is>
      </c>
      <c r="B445" s="240">
        <f>IFERROR(1/P445-1,B444)</f>
        <v/>
      </c>
      <c r="C445" s="240">
        <f>$C$3</f>
        <v/>
      </c>
      <c r="D445" s="240">
        <f>$D$3</f>
        <v/>
      </c>
      <c r="E445" s="240">
        <f>$E$3</f>
        <v/>
      </c>
      <c r="F445" s="241" t="n">
        <v>69.76000000000001</v>
      </c>
      <c r="G445" s="242" t="n">
        <v>771096</v>
      </c>
      <c r="H445" s="241" t="n">
        <v>-3.06</v>
      </c>
      <c r="I445" s="241" t="n">
        <v>-15.96</v>
      </c>
      <c r="J445" s="241" t="n">
        <v>158.17</v>
      </c>
      <c r="K445" s="241" t="n">
        <v>64.53</v>
      </c>
      <c r="L445" s="242" t="n">
        <v>260340</v>
      </c>
      <c r="M445" s="241" t="n">
        <v>-1.32</v>
      </c>
      <c r="N445" s="241" t="n">
        <v>-5.49</v>
      </c>
      <c r="O445" s="241" t="n">
        <v>224.6</v>
      </c>
      <c r="P445" s="241" t="n">
        <v>1.08</v>
      </c>
    </row>
    <row r="446">
      <c r="A446" s="282" t="inlineStr">
        <is>
          <t>2007-11-05</t>
        </is>
      </c>
      <c r="B446" s="240">
        <f>IFERROR(1/P446-1,B445)</f>
        <v/>
      </c>
      <c r="C446" s="240">
        <f>$C$3</f>
        <v/>
      </c>
      <c r="D446" s="240">
        <f>$D$3</f>
        <v/>
      </c>
      <c r="E446" s="240">
        <f>$E$3</f>
        <v/>
      </c>
      <c r="F446" s="241" t="n">
        <v>71.16</v>
      </c>
      <c r="G446" s="242" t="n">
        <v>1144498</v>
      </c>
      <c r="H446" s="241" t="n">
        <v>2.01</v>
      </c>
      <c r="I446" s="241" t="n">
        <v>-14.28</v>
      </c>
      <c r="J446" s="241" t="n">
        <v>163.36</v>
      </c>
      <c r="K446" s="241" t="n">
        <v>62.42</v>
      </c>
      <c r="L446" s="242" t="n">
        <v>326397</v>
      </c>
      <c r="M446" s="241" t="n">
        <v>-3.13</v>
      </c>
      <c r="N446" s="241" t="n">
        <v>-5.8</v>
      </c>
      <c r="O446" s="241" t="n">
        <v>214.44</v>
      </c>
      <c r="P446" s="241" t="n">
        <v>1.14</v>
      </c>
    </row>
    <row r="447">
      <c r="A447" s="282" t="inlineStr">
        <is>
          <t>2007-11-06</t>
        </is>
      </c>
      <c r="B447" s="240">
        <f>IFERROR(1/P447-1,B446)</f>
        <v/>
      </c>
      <c r="C447" s="240">
        <f>$C$3</f>
        <v/>
      </c>
      <c r="D447" s="240">
        <f>$D$3</f>
        <v/>
      </c>
      <c r="E447" s="240">
        <f>$E$3</f>
        <v/>
      </c>
      <c r="F447" s="241" t="n">
        <v>69.76000000000001</v>
      </c>
      <c r="G447" s="242" t="n">
        <v>396836</v>
      </c>
      <c r="H447" s="241" t="n">
        <v>-1.97</v>
      </c>
      <c r="I447" s="241" t="n">
        <v>-15.96</v>
      </c>
      <c r="J447" s="241" t="n">
        <v>158.17</v>
      </c>
      <c r="K447" s="241" t="n">
        <v>61.95</v>
      </c>
      <c r="L447" s="242" t="n">
        <v>532893</v>
      </c>
      <c r="M447" s="241" t="n">
        <v>-0.77</v>
      </c>
      <c r="N447" s="241" t="n">
        <v>-8.640000000000001</v>
      </c>
      <c r="O447" s="241" t="n">
        <v>212.02</v>
      </c>
      <c r="P447" s="241" t="n">
        <v>1.13</v>
      </c>
    </row>
    <row r="448">
      <c r="A448" s="282" t="inlineStr">
        <is>
          <t>2007-11-07</t>
        </is>
      </c>
      <c r="B448" s="240">
        <f>IFERROR(1/P448-1,B447)</f>
        <v/>
      </c>
      <c r="C448" s="240">
        <f>$C$3</f>
        <v/>
      </c>
      <c r="D448" s="240">
        <f>$D$3</f>
        <v/>
      </c>
      <c r="E448" s="240">
        <f>$E$3</f>
        <v/>
      </c>
      <c r="F448" s="241" t="n">
        <v>68.97</v>
      </c>
      <c r="G448" s="242" t="n">
        <v>1451921</v>
      </c>
      <c r="H448" s="241" t="n">
        <v>-1.13</v>
      </c>
      <c r="I448" s="241" t="n">
        <v>-16.91</v>
      </c>
      <c r="J448" s="241" t="n">
        <v>155.25</v>
      </c>
      <c r="K448" s="241" t="n">
        <v>64.84</v>
      </c>
      <c r="L448" s="242" t="n">
        <v>1637265</v>
      </c>
      <c r="M448" s="241" t="n">
        <v>4.81</v>
      </c>
      <c r="N448" s="241" t="n">
        <v>-4.25</v>
      </c>
      <c r="O448" s="241" t="n">
        <v>227.02</v>
      </c>
      <c r="P448" s="241" t="n">
        <v>1.06</v>
      </c>
    </row>
    <row r="449">
      <c r="A449" s="282" t="inlineStr">
        <is>
          <t>2007-11-08</t>
        </is>
      </c>
      <c r="B449" s="240">
        <f>IFERROR(1/P449-1,B448)</f>
        <v/>
      </c>
      <c r="C449" s="240">
        <f>$C$3</f>
        <v/>
      </c>
      <c r="D449" s="240">
        <f>$D$3</f>
        <v/>
      </c>
      <c r="E449" s="240">
        <f>$E$3</f>
        <v/>
      </c>
      <c r="F449" s="241" t="n">
        <v>66.68000000000001</v>
      </c>
      <c r="G449" s="242" t="n">
        <v>760820</v>
      </c>
      <c r="H449" s="241" t="n">
        <v>-3.32</v>
      </c>
      <c r="I449" s="241" t="n">
        <v>-19.67</v>
      </c>
      <c r="J449" s="241" t="n">
        <v>146.78</v>
      </c>
      <c r="K449" s="241" t="n">
        <v>62.44</v>
      </c>
      <c r="L449" s="242" t="n">
        <v>422471</v>
      </c>
      <c r="M449" s="241" t="n">
        <v>-3.4</v>
      </c>
      <c r="N449" s="241" t="n">
        <v>-7.51</v>
      </c>
      <c r="O449" s="241" t="n">
        <v>215.89</v>
      </c>
      <c r="P449" s="241" t="n">
        <v>1.07</v>
      </c>
    </row>
    <row r="450">
      <c r="A450" s="282" t="inlineStr">
        <is>
          <t>2007-11-09</t>
        </is>
      </c>
      <c r="B450" s="240">
        <f>IFERROR(1/P450-1,B449)</f>
        <v/>
      </c>
      <c r="C450" s="240">
        <f>$C$3</f>
        <v/>
      </c>
      <c r="D450" s="240">
        <f>$D$3</f>
        <v/>
      </c>
      <c r="E450" s="240">
        <f>$E$3</f>
        <v/>
      </c>
      <c r="F450" s="241" t="n">
        <v>67.76000000000001</v>
      </c>
      <c r="G450" s="242" t="n">
        <v>406437</v>
      </c>
      <c r="H450" s="241" t="n">
        <v>1.62</v>
      </c>
      <c r="I450" s="241" t="n">
        <v>-18.14</v>
      </c>
      <c r="J450" s="241" t="n">
        <v>150.77</v>
      </c>
      <c r="K450" s="241" t="n">
        <v>60.59</v>
      </c>
      <c r="L450" s="242" t="n">
        <v>292101</v>
      </c>
      <c r="M450" s="241" t="n">
        <v>-2.76</v>
      </c>
      <c r="N450" s="241" t="n">
        <v>-13.72</v>
      </c>
      <c r="O450" s="241" t="n">
        <v>207.19</v>
      </c>
      <c r="P450" s="241" t="n">
        <v>1.12</v>
      </c>
    </row>
    <row r="451">
      <c r="A451" s="282" t="inlineStr">
        <is>
          <t>2007-11-12</t>
        </is>
      </c>
      <c r="B451" s="240">
        <f>IFERROR(1/P451-1,B450)</f>
        <v/>
      </c>
      <c r="C451" s="240">
        <f>$C$3</f>
        <v/>
      </c>
      <c r="D451" s="240">
        <f>$D$3</f>
        <v/>
      </c>
      <c r="E451" s="240">
        <f>$E$3</f>
        <v/>
      </c>
      <c r="F451" s="241" t="n">
        <v>63.14</v>
      </c>
      <c r="G451" s="242" t="n">
        <v>848216</v>
      </c>
      <c r="H451" s="241" t="n">
        <v>-6.82</v>
      </c>
      <c r="I451" s="241" t="n">
        <v>-22.09</v>
      </c>
      <c r="J451" s="241" t="n">
        <v>133.67</v>
      </c>
      <c r="K451" s="241" t="n">
        <v>57.62</v>
      </c>
      <c r="L451" s="242" t="n">
        <v>543000</v>
      </c>
      <c r="M451" s="241" t="n">
        <v>-4.72</v>
      </c>
      <c r="N451" s="241" t="n">
        <v>-15.74</v>
      </c>
      <c r="O451" s="241" t="n">
        <v>192.67</v>
      </c>
      <c r="P451" s="241" t="n">
        <v>1.1</v>
      </c>
    </row>
    <row r="452">
      <c r="A452" s="282" t="inlineStr">
        <is>
          <t>2007-11-13</t>
        </is>
      </c>
      <c r="B452" s="240">
        <f>IFERROR(1/P452-1,B451)</f>
        <v/>
      </c>
      <c r="C452" s="240">
        <f>$C$3</f>
        <v/>
      </c>
      <c r="D452" s="240">
        <f>$D$3</f>
        <v/>
      </c>
      <c r="E452" s="240">
        <f>$E$3</f>
        <v/>
      </c>
      <c r="F452" s="241" t="n">
        <v>61.84</v>
      </c>
      <c r="G452" s="242" t="n">
        <v>955939</v>
      </c>
      <c r="H452" s="241" t="n">
        <v>-2.06</v>
      </c>
      <c r="I452" s="241" t="n">
        <v>-21.72</v>
      </c>
      <c r="J452" s="241" t="n">
        <v>128.86</v>
      </c>
      <c r="K452" s="241" t="n">
        <v>54.86</v>
      </c>
      <c r="L452" s="242" t="n">
        <v>1862000</v>
      </c>
      <c r="M452" s="241" t="n">
        <v>-4.96</v>
      </c>
      <c r="N452" s="241" t="n">
        <v>-19.47</v>
      </c>
      <c r="O452" s="241" t="n">
        <v>178.16</v>
      </c>
      <c r="P452" s="241" t="n">
        <v>1.13</v>
      </c>
    </row>
    <row r="453">
      <c r="A453" s="282" t="inlineStr">
        <is>
          <t>2007-11-14</t>
        </is>
      </c>
      <c r="B453" s="240">
        <f>IFERROR(1/P453-1,B452)</f>
        <v/>
      </c>
      <c r="C453" s="240">
        <f>$C$3</f>
        <v/>
      </c>
      <c r="D453" s="240">
        <f>$D$3</f>
        <v/>
      </c>
      <c r="E453" s="240">
        <f>$E$3</f>
        <v/>
      </c>
      <c r="F453" s="241" t="n">
        <v>63.88</v>
      </c>
      <c r="G453" s="242" t="n">
        <v>1297696</v>
      </c>
      <c r="H453" s="241" t="n">
        <v>3.3</v>
      </c>
      <c r="I453" s="241" t="n">
        <v>-19.14</v>
      </c>
      <c r="J453" s="241" t="n">
        <v>136.41</v>
      </c>
      <c r="K453" s="241" t="n">
        <v>56.03</v>
      </c>
      <c r="L453" s="242" t="n">
        <v>1130034</v>
      </c>
      <c r="M453" s="241" t="n">
        <v>2.09</v>
      </c>
      <c r="N453" s="241" t="n">
        <v>-17.79</v>
      </c>
      <c r="O453" s="241" t="n">
        <v>183.97</v>
      </c>
      <c r="P453" s="241" t="n">
        <v>1.14</v>
      </c>
    </row>
    <row r="454">
      <c r="A454" s="282" t="inlineStr">
        <is>
          <t>2007-11-15</t>
        </is>
      </c>
      <c r="B454" s="240">
        <f>IFERROR(1/P454-1,B453)</f>
        <v/>
      </c>
      <c r="C454" s="240">
        <f>$C$3</f>
        <v/>
      </c>
      <c r="D454" s="240">
        <f>$D$3</f>
        <v/>
      </c>
      <c r="E454" s="240">
        <f>$E$3</f>
        <v/>
      </c>
      <c r="F454" s="241" t="n">
        <v>62.93</v>
      </c>
      <c r="G454" s="242" t="n">
        <v>1207571</v>
      </c>
      <c r="H454" s="241" t="n">
        <v>-1.49</v>
      </c>
      <c r="I454" s="241" t="n">
        <v>-20.34</v>
      </c>
      <c r="J454" s="241" t="n">
        <v>132.9</v>
      </c>
      <c r="K454" s="241" t="n">
        <v>54.39</v>
      </c>
      <c r="L454" s="242" t="n">
        <v>1729637</v>
      </c>
      <c r="M454" s="241" t="n">
        <v>-2.9</v>
      </c>
      <c r="N454" s="241" t="n">
        <v>-20.17</v>
      </c>
      <c r="O454" s="241" t="n">
        <v>175.74</v>
      </c>
      <c r="P454" s="241" t="n">
        <v>1.16</v>
      </c>
    </row>
    <row r="455">
      <c r="A455" s="282" t="inlineStr">
        <is>
          <t>2007-11-16</t>
        </is>
      </c>
      <c r="B455" s="240">
        <f>IFERROR(1/P455-1,B454)</f>
        <v/>
      </c>
      <c r="C455" s="240">
        <f>$C$3</f>
        <v/>
      </c>
      <c r="D455" s="240">
        <f>$D$3</f>
        <v/>
      </c>
      <c r="E455" s="240">
        <f>$E$3</f>
        <v/>
      </c>
      <c r="F455" s="241" t="n">
        <v>61.09</v>
      </c>
      <c r="G455" s="242" t="n">
        <v>916495</v>
      </c>
      <c r="H455" s="241" t="n">
        <v>-2.92</v>
      </c>
      <c r="I455" s="241" t="n">
        <v>-21.67</v>
      </c>
      <c r="J455" s="241" t="n">
        <v>126.09</v>
      </c>
      <c r="K455" s="241" t="n">
        <v>53.03</v>
      </c>
      <c r="L455" s="242" t="n">
        <v>1073672</v>
      </c>
      <c r="M455" s="241" t="n">
        <v>-2.63</v>
      </c>
      <c r="N455" s="241" t="n">
        <v>-17.9</v>
      </c>
      <c r="O455" s="241" t="n">
        <v>168.49</v>
      </c>
      <c r="P455" s="241" t="n">
        <v>1.15</v>
      </c>
    </row>
    <row r="456">
      <c r="A456" s="282" t="inlineStr">
        <is>
          <t>2007-11-19</t>
        </is>
      </c>
      <c r="B456" s="240">
        <f>IFERROR(1/P456-1,B455)</f>
        <v/>
      </c>
      <c r="C456" s="240">
        <f>$C$3</f>
        <v/>
      </c>
      <c r="D456" s="240">
        <f>$D$3</f>
        <v/>
      </c>
      <c r="E456" s="240">
        <f>$E$3</f>
        <v/>
      </c>
      <c r="F456" s="241" t="n">
        <v>64.8</v>
      </c>
      <c r="G456" s="242" t="n">
        <v>1108634</v>
      </c>
      <c r="H456" s="241" t="n">
        <v>6.07</v>
      </c>
      <c r="I456" s="241" t="n">
        <v>-19</v>
      </c>
      <c r="J456" s="241" t="n">
        <v>139.82</v>
      </c>
      <c r="K456" s="241" t="n">
        <v>50.35</v>
      </c>
      <c r="L456" s="242" t="n">
        <v>888241</v>
      </c>
      <c r="M456" s="241" t="n">
        <v>-4.96</v>
      </c>
      <c r="N456" s="241" t="n">
        <v>-26.74</v>
      </c>
      <c r="O456" s="241" t="n">
        <v>155.18</v>
      </c>
      <c r="P456" s="241" t="n">
        <v>1.29</v>
      </c>
    </row>
    <row r="457">
      <c r="A457" s="282" t="inlineStr">
        <is>
          <t>2007-11-20</t>
        </is>
      </c>
      <c r="B457" s="240">
        <f>IFERROR(1/P457-1,B456)</f>
        <v/>
      </c>
      <c r="C457" s="240">
        <f>$C$3</f>
        <v/>
      </c>
      <c r="D457" s="240">
        <f>$D$3</f>
        <v/>
      </c>
      <c r="E457" s="240">
        <f>$E$3</f>
        <v/>
      </c>
      <c r="F457" s="241" t="n">
        <v>69.01000000000001</v>
      </c>
      <c r="G457" s="242" t="n">
        <v>2217047</v>
      </c>
      <c r="H457" s="241" t="n">
        <v>6.5</v>
      </c>
      <c r="I457" s="241" t="n">
        <v>-12.42</v>
      </c>
      <c r="J457" s="241" t="n">
        <v>155.4</v>
      </c>
      <c r="K457" s="241" t="n">
        <v>50.69</v>
      </c>
      <c r="L457" s="242" t="n">
        <v>949972</v>
      </c>
      <c r="M457" s="241" t="n">
        <v>0.66</v>
      </c>
      <c r="N457" s="241" t="n">
        <v>-26.25</v>
      </c>
      <c r="O457" s="241" t="n">
        <v>156.88</v>
      </c>
      <c r="P457" s="241" t="n">
        <v>1.36</v>
      </c>
    </row>
    <row r="458">
      <c r="A458" s="282" t="inlineStr">
        <is>
          <t>2007-11-21</t>
        </is>
      </c>
      <c r="B458" s="240">
        <f>IFERROR(1/P458-1,B457)</f>
        <v/>
      </c>
      <c r="C458" s="240">
        <f>$C$3</f>
        <v/>
      </c>
      <c r="D458" s="240">
        <f>$D$3</f>
        <v/>
      </c>
      <c r="E458" s="240">
        <f>$E$3</f>
        <v/>
      </c>
      <c r="F458" s="241" t="n">
        <v>73.59</v>
      </c>
      <c r="G458" s="242" t="n">
        <v>2529299</v>
      </c>
      <c r="H458" s="241" t="n">
        <v>6.64</v>
      </c>
      <c r="I458" s="241" t="n">
        <v>-6.61</v>
      </c>
      <c r="J458" s="241" t="n">
        <v>172.35</v>
      </c>
      <c r="K458" s="241" t="n">
        <v>48.06</v>
      </c>
      <c r="L458" s="242" t="n">
        <v>1312685</v>
      </c>
      <c r="M458" s="241" t="n">
        <v>-4.99</v>
      </c>
      <c r="N458" s="241" t="n">
        <v>-29.93</v>
      </c>
      <c r="O458" s="241" t="n">
        <v>144.06</v>
      </c>
      <c r="P458" s="241" t="n">
        <v>1.53</v>
      </c>
    </row>
    <row r="459">
      <c r="A459" s="282" t="inlineStr">
        <is>
          <t>2007-11-22</t>
        </is>
      </c>
      <c r="B459" s="240">
        <f>IFERROR(1/P459-1,B458)</f>
        <v/>
      </c>
      <c r="C459" s="240">
        <f>$C$3</f>
        <v/>
      </c>
      <c r="D459" s="240">
        <f>$D$3</f>
        <v/>
      </c>
      <c r="E459" s="240">
        <f>$E$3</f>
        <v/>
      </c>
      <c r="F459" s="241" t="n">
        <v>73.16</v>
      </c>
      <c r="G459" s="242" t="n">
        <v>1473397</v>
      </c>
      <c r="H459" s="241" t="n">
        <v>-0.58</v>
      </c>
      <c r="I459" s="241" t="n">
        <v>-7.16</v>
      </c>
      <c r="J459" s="241" t="n">
        <v>170.76</v>
      </c>
      <c r="K459" s="241" t="n">
        <v>46.78</v>
      </c>
      <c r="L459" s="242" t="n">
        <v>1110000</v>
      </c>
      <c r="M459" s="241" t="n">
        <v>-2.68</v>
      </c>
      <c r="N459" s="241" t="n">
        <v>-31.81</v>
      </c>
      <c r="O459" s="241" t="n">
        <v>137.53</v>
      </c>
      <c r="P459" s="241" t="n">
        <v>1.56</v>
      </c>
    </row>
    <row r="460">
      <c r="A460" s="282" t="inlineStr">
        <is>
          <t>2007-11-23</t>
        </is>
      </c>
      <c r="B460" s="240">
        <f>IFERROR(1/P460-1,B459)</f>
        <v/>
      </c>
      <c r="C460" s="240">
        <f>$C$3</f>
        <v/>
      </c>
      <c r="D460" s="240">
        <f>$D$3</f>
        <v/>
      </c>
      <c r="E460" s="240">
        <f>$E$3</f>
        <v/>
      </c>
      <c r="F460" s="241" t="n">
        <v>73.94</v>
      </c>
      <c r="G460" s="242" t="n">
        <v>1034734</v>
      </c>
      <c r="H460" s="241" t="n">
        <v>1.07</v>
      </c>
      <c r="I460" s="241" t="n">
        <v>-7.87</v>
      </c>
      <c r="J460" s="241" t="n">
        <v>173.64</v>
      </c>
      <c r="K460" s="241" t="n">
        <v>49.7</v>
      </c>
      <c r="L460" s="242" t="n">
        <v>963159</v>
      </c>
      <c r="M460" s="241" t="n">
        <v>6.42</v>
      </c>
      <c r="N460" s="241" t="n">
        <v>-27.43</v>
      </c>
      <c r="O460" s="241" t="n">
        <v>152.76</v>
      </c>
      <c r="P460" s="241" t="n">
        <v>1.49</v>
      </c>
    </row>
    <row r="461">
      <c r="A461" s="282" t="inlineStr">
        <is>
          <t>2007-11-26</t>
        </is>
      </c>
      <c r="B461" s="240">
        <f>IFERROR(1/P461-1,B460)</f>
        <v/>
      </c>
      <c r="C461" s="240">
        <f>$C$3</f>
        <v/>
      </c>
      <c r="D461" s="240">
        <f>$D$3</f>
        <v/>
      </c>
      <c r="E461" s="240">
        <f>$E$3</f>
        <v/>
      </c>
      <c r="F461" s="241" t="n">
        <v>71.09999999999999</v>
      </c>
      <c r="G461" s="242" t="n">
        <v>2281728</v>
      </c>
      <c r="H461" s="241" t="n">
        <v>-3.84</v>
      </c>
      <c r="I461" s="241" t="n">
        <v>-3.91</v>
      </c>
      <c r="J461" s="241" t="n">
        <v>163.13</v>
      </c>
      <c r="K461" s="241" t="n">
        <v>53.64</v>
      </c>
      <c r="L461" s="242" t="n">
        <v>850086</v>
      </c>
      <c r="M461" s="241" t="n">
        <v>7.94</v>
      </c>
      <c r="N461" s="241" t="n">
        <v>-15.44</v>
      </c>
      <c r="O461" s="241" t="n">
        <v>172.84</v>
      </c>
      <c r="P461" s="241" t="n">
        <v>1.33</v>
      </c>
    </row>
    <row r="462">
      <c r="A462" s="282" t="inlineStr">
        <is>
          <t>2007-11-27</t>
        </is>
      </c>
      <c r="B462" s="240">
        <f>IFERROR(1/P462-1,B461)</f>
        <v/>
      </c>
      <c r="C462" s="240">
        <f>$C$3</f>
        <v/>
      </c>
      <c r="D462" s="240">
        <f>$D$3</f>
        <v/>
      </c>
      <c r="E462" s="240">
        <f>$E$3</f>
        <v/>
      </c>
      <c r="F462" s="241" t="n">
        <v>72.11</v>
      </c>
      <c r="G462" s="242" t="n">
        <v>1549317</v>
      </c>
      <c r="H462" s="241" t="n">
        <v>1.42</v>
      </c>
      <c r="I462" s="241" t="n">
        <v>-0.14</v>
      </c>
      <c r="J462" s="241" t="n">
        <v>166.87</v>
      </c>
      <c r="K462" s="241" t="n">
        <v>54.77</v>
      </c>
      <c r="L462" s="242" t="n">
        <v>424324</v>
      </c>
      <c r="M462" s="241" t="n">
        <v>2.31</v>
      </c>
      <c r="N462" s="241" t="n">
        <v>-16.5</v>
      </c>
      <c r="O462" s="241" t="n">
        <v>179.13</v>
      </c>
      <c r="P462" s="241" t="n">
        <v>1.32</v>
      </c>
    </row>
    <row r="463">
      <c r="A463" s="282" t="inlineStr">
        <is>
          <t>2007-11-28</t>
        </is>
      </c>
      <c r="B463" s="240">
        <f>IFERROR(1/P463-1,B462)</f>
        <v/>
      </c>
      <c r="C463" s="240">
        <f>$C$3</f>
        <v/>
      </c>
      <c r="D463" s="240">
        <f>$D$3</f>
        <v/>
      </c>
      <c r="E463" s="240">
        <f>$E$3</f>
        <v/>
      </c>
      <c r="F463" s="241" t="n">
        <v>74.2</v>
      </c>
      <c r="G463" s="242" t="n">
        <v>981195</v>
      </c>
      <c r="H463" s="241" t="n">
        <v>2.9</v>
      </c>
      <c r="I463" s="241" t="n">
        <v>2.76</v>
      </c>
      <c r="J463" s="241" t="n">
        <v>174.61</v>
      </c>
      <c r="K463" s="241" t="n">
        <v>58.86</v>
      </c>
      <c r="L463" s="242" t="n">
        <v>902060</v>
      </c>
      <c r="M463" s="241" t="n">
        <v>7.45</v>
      </c>
      <c r="N463" s="241" t="n">
        <v>-10.28</v>
      </c>
      <c r="O463" s="241" t="n">
        <v>199.93</v>
      </c>
      <c r="P463" s="241" t="n">
        <v>1.26</v>
      </c>
    </row>
    <row r="464">
      <c r="A464" s="282" t="inlineStr">
        <is>
          <t>2007-11-29</t>
        </is>
      </c>
      <c r="B464" s="240">
        <f>IFERROR(1/P464-1,B463)</f>
        <v/>
      </c>
      <c r="C464" s="240">
        <f>$C$3</f>
        <v/>
      </c>
      <c r="D464" s="240">
        <f>$D$3</f>
        <v/>
      </c>
      <c r="E464" s="240">
        <f>$E$3</f>
        <v/>
      </c>
      <c r="F464" s="241" t="n">
        <v>75.41</v>
      </c>
      <c r="G464" s="242" t="n">
        <v>807956</v>
      </c>
      <c r="H464" s="241" t="n">
        <v>1.63</v>
      </c>
      <c r="I464" s="241" t="n">
        <v>4.43</v>
      </c>
      <c r="J464" s="241" t="n">
        <v>179.08</v>
      </c>
      <c r="K464" s="241" t="n">
        <v>63.67</v>
      </c>
      <c r="L464" s="242" t="n">
        <v>2284000</v>
      </c>
      <c r="M464" s="241" t="n">
        <v>8.06</v>
      </c>
      <c r="N464" s="241" t="n">
        <v>-3.04</v>
      </c>
      <c r="O464" s="241" t="n">
        <v>224.12</v>
      </c>
      <c r="P464" s="241" t="n">
        <v>1.18</v>
      </c>
    </row>
    <row r="465">
      <c r="A465" s="282" t="inlineStr">
        <is>
          <t>2007-11-30</t>
        </is>
      </c>
      <c r="B465" s="240">
        <f>IFERROR(1/P465-1,B464)</f>
        <v/>
      </c>
      <c r="C465" s="240">
        <f>$C$3</f>
        <v/>
      </c>
      <c r="D465" s="240">
        <f>$D$3</f>
        <v/>
      </c>
      <c r="E465" s="240">
        <f>$E$3</f>
        <v/>
      </c>
      <c r="F465" s="241" t="n">
        <v>73.56</v>
      </c>
      <c r="G465" s="242" t="n">
        <v>493547</v>
      </c>
      <c r="H465" s="241" t="n">
        <v>-2.45</v>
      </c>
      <c r="I465" s="241" t="n">
        <v>-1.46</v>
      </c>
      <c r="J465" s="241" t="n">
        <v>172.24</v>
      </c>
      <c r="K465" s="241" t="n">
        <v>63.09</v>
      </c>
      <c r="L465" s="242" t="n">
        <v>2390024</v>
      </c>
      <c r="M465" s="241" t="n">
        <v>-0.9</v>
      </c>
      <c r="N465" s="241" t="n">
        <v>-3.77</v>
      </c>
      <c r="O465" s="241" t="n">
        <v>221.22</v>
      </c>
      <c r="P465" s="241" t="n">
        <v>1.17</v>
      </c>
    </row>
    <row r="466">
      <c r="A466" s="282" t="inlineStr">
        <is>
          <t>2007-12-03</t>
        </is>
      </c>
      <c r="B466" s="240">
        <f>IFERROR(1/P466-1,B465)</f>
        <v/>
      </c>
      <c r="C466" s="240">
        <f>$C$3</f>
        <v/>
      </c>
      <c r="D466" s="240">
        <f>$D$3</f>
        <v/>
      </c>
      <c r="E466" s="240">
        <f>$E$3</f>
        <v/>
      </c>
      <c r="F466" s="241" t="n">
        <v>72.7</v>
      </c>
      <c r="G466" s="242" t="n">
        <v>900280</v>
      </c>
      <c r="H466" s="241" t="n">
        <v>-1.17</v>
      </c>
      <c r="I466" s="241" t="n">
        <v>4.21</v>
      </c>
      <c r="J466" s="241" t="n">
        <v>169.05</v>
      </c>
      <c r="K466" s="241" t="n">
        <v>66.65000000000001</v>
      </c>
      <c r="L466" s="242" t="n">
        <v>2092041</v>
      </c>
      <c r="M466" s="241" t="n">
        <v>5.42</v>
      </c>
      <c r="N466" s="241" t="n">
        <v>4.32</v>
      </c>
      <c r="O466" s="241" t="n">
        <v>238.63</v>
      </c>
      <c r="P466" s="241" t="n">
        <v>1.09</v>
      </c>
    </row>
    <row r="467">
      <c r="A467" s="282" t="inlineStr">
        <is>
          <t>2007-12-04</t>
        </is>
      </c>
      <c r="B467" s="240">
        <f>IFERROR(1/P467-1,B466)</f>
        <v/>
      </c>
      <c r="C467" s="240">
        <f>$C$3</f>
        <v/>
      </c>
      <c r="D467" s="240">
        <f>$D$3</f>
        <v/>
      </c>
      <c r="E467" s="240">
        <f>$E$3</f>
        <v/>
      </c>
      <c r="F467" s="241" t="n">
        <v>74.94</v>
      </c>
      <c r="G467" s="242" t="n">
        <v>804861</v>
      </c>
      <c r="H467" s="241" t="n">
        <v>3.08</v>
      </c>
      <c r="I467" s="241" t="n">
        <v>7.43</v>
      </c>
      <c r="J467" s="241" t="n">
        <v>177.34</v>
      </c>
      <c r="K467" s="241" t="n">
        <v>64.92</v>
      </c>
      <c r="L467" s="242" t="n">
        <v>278119</v>
      </c>
      <c r="M467" s="241" t="n">
        <v>-2.5</v>
      </c>
      <c r="N467" s="241" t="n">
        <v>1.71</v>
      </c>
      <c r="O467" s="241" t="n">
        <v>230.17</v>
      </c>
      <c r="P467" s="241" t="n">
        <v>1.15</v>
      </c>
    </row>
    <row r="468">
      <c r="A468" s="282" t="inlineStr">
        <is>
          <t>2007-12-05</t>
        </is>
      </c>
      <c r="B468" s="240">
        <f>IFERROR(1/P468-1,B467)</f>
        <v/>
      </c>
      <c r="C468" s="240">
        <f>$C$3</f>
        <v/>
      </c>
      <c r="D468" s="240">
        <f>$D$3</f>
        <v/>
      </c>
      <c r="E468" s="240">
        <f>$E$3</f>
        <v/>
      </c>
      <c r="F468" s="241" t="n">
        <v>77.36</v>
      </c>
      <c r="G468" s="242" t="n">
        <v>1853488</v>
      </c>
      <c r="H468" s="241" t="n">
        <v>3.23</v>
      </c>
      <c r="I468" s="241" t="n">
        <v>10.89</v>
      </c>
      <c r="J468" s="241" t="n">
        <v>186.3</v>
      </c>
      <c r="K468" s="241" t="n">
        <v>66.94</v>
      </c>
      <c r="L468" s="242" t="n">
        <v>450000</v>
      </c>
      <c r="M468" s="241" t="n">
        <v>3.3</v>
      </c>
      <c r="N468" s="241" t="n">
        <v>5.07</v>
      </c>
      <c r="O468" s="241" t="n">
        <v>241.05</v>
      </c>
      <c r="P468" s="241" t="n">
        <v>1.16</v>
      </c>
    </row>
    <row r="469">
      <c r="A469" s="282" t="inlineStr">
        <is>
          <t>2007-12-06</t>
        </is>
      </c>
      <c r="B469" s="240">
        <f>IFERROR(1/P469-1,B468)</f>
        <v/>
      </c>
      <c r="C469" s="240">
        <f>$C$3</f>
        <v/>
      </c>
      <c r="D469" s="240">
        <f>$D$3</f>
        <v/>
      </c>
      <c r="E469" s="240">
        <f>$E$3</f>
        <v/>
      </c>
      <c r="F469" s="241" t="n">
        <v>77.81</v>
      </c>
      <c r="G469" s="242" t="n">
        <v>316510</v>
      </c>
      <c r="H469" s="241" t="n">
        <v>0.58</v>
      </c>
      <c r="I469" s="241" t="n">
        <v>9.35</v>
      </c>
      <c r="J469" s="241" t="n">
        <v>187.97</v>
      </c>
      <c r="K469" s="241" t="n">
        <v>66.63</v>
      </c>
      <c r="L469" s="242" t="n">
        <v>604050</v>
      </c>
      <c r="M469" s="241" t="n">
        <v>-0.71</v>
      </c>
      <c r="N469" s="241" t="n">
        <v>7.69</v>
      </c>
      <c r="O469" s="241" t="n">
        <v>238.63</v>
      </c>
      <c r="P469" s="241" t="n">
        <v>1.17</v>
      </c>
    </row>
    <row r="470">
      <c r="A470" s="282" t="inlineStr">
        <is>
          <t>2007-12-07</t>
        </is>
      </c>
      <c r="B470" s="240">
        <f>IFERROR(1/P470-1,B469)</f>
        <v/>
      </c>
      <c r="C470" s="240">
        <f>$C$3</f>
        <v/>
      </c>
      <c r="D470" s="240">
        <f>$D$3</f>
        <v/>
      </c>
      <c r="E470" s="240">
        <f>$E$3</f>
        <v/>
      </c>
      <c r="F470" s="241" t="n">
        <v>77.75</v>
      </c>
      <c r="G470" s="242" t="n">
        <v>256626</v>
      </c>
      <c r="H470" s="241" t="n">
        <v>-0.08</v>
      </c>
      <c r="I470" s="241" t="n">
        <v>11.45</v>
      </c>
      <c r="J470" s="241" t="n">
        <v>187.74</v>
      </c>
      <c r="K470" s="241" t="n">
        <v>66.53</v>
      </c>
      <c r="L470" s="242" t="n">
        <v>434000</v>
      </c>
      <c r="M470" s="241" t="n">
        <v>0</v>
      </c>
      <c r="N470" s="241" t="n">
        <v>8.529999999999999</v>
      </c>
      <c r="O470" s="241" t="n">
        <v>238.63</v>
      </c>
      <c r="P470" s="241" t="n">
        <v>1.17</v>
      </c>
    </row>
    <row r="471">
      <c r="A471" s="282" t="inlineStr">
        <is>
          <t>2007-12-10</t>
        </is>
      </c>
      <c r="B471" s="240">
        <f>IFERROR(1/P471-1,B470)</f>
        <v/>
      </c>
      <c r="C471" s="240">
        <f>$C$3</f>
        <v/>
      </c>
      <c r="D471" s="240">
        <f>$D$3</f>
        <v/>
      </c>
      <c r="E471" s="240">
        <f>$E$3</f>
        <v/>
      </c>
      <c r="F471" s="241" t="n">
        <v>80.03</v>
      </c>
      <c r="G471" s="242" t="n">
        <v>560521</v>
      </c>
      <c r="H471" s="241" t="n">
        <v>2.93</v>
      </c>
      <c r="I471" s="241" t="n">
        <v>18.11</v>
      </c>
      <c r="J471" s="241" t="n">
        <v>196.18</v>
      </c>
      <c r="K471" s="241" t="n">
        <v>66.40000000000001</v>
      </c>
      <c r="L471" s="242" t="n">
        <v>49057</v>
      </c>
      <c r="M471" s="241" t="n">
        <v>0</v>
      </c>
      <c r="N471" s="241" t="n">
        <v>10.24</v>
      </c>
      <c r="O471" s="241" t="n">
        <v>238.63</v>
      </c>
      <c r="P471" s="241" t="n">
        <v>1.21</v>
      </c>
    </row>
    <row r="472">
      <c r="A472" s="282" t="inlineStr">
        <is>
          <t>2007-12-11</t>
        </is>
      </c>
      <c r="B472" s="240">
        <f>IFERROR(1/P472-1,B471)</f>
        <v/>
      </c>
      <c r="C472" s="240">
        <f>$C$3</f>
        <v/>
      </c>
      <c r="D472" s="240">
        <f>$D$3</f>
        <v/>
      </c>
      <c r="E472" s="240">
        <f>$E$3</f>
        <v/>
      </c>
      <c r="F472" s="241" t="n">
        <v>80.03</v>
      </c>
      <c r="G472" s="242" t="n">
        <v>0</v>
      </c>
      <c r="H472" s="241" t="n">
        <v>0</v>
      </c>
      <c r="I472" s="241" t="n">
        <v>18.11</v>
      </c>
      <c r="J472" s="241" t="n">
        <v>196.18</v>
      </c>
      <c r="K472" s="241" t="n">
        <v>64.36</v>
      </c>
      <c r="L472" s="242" t="n">
        <v>232847</v>
      </c>
      <c r="M472" s="241" t="n">
        <v>-2.86</v>
      </c>
      <c r="N472" s="241" t="n">
        <v>7.09</v>
      </c>
      <c r="O472" s="241" t="n">
        <v>228.96</v>
      </c>
      <c r="P472" s="241" t="n">
        <v>1.24</v>
      </c>
    </row>
    <row r="473">
      <c r="A473" s="282" t="inlineStr">
        <is>
          <t>2007-12-12</t>
        </is>
      </c>
      <c r="B473" s="240">
        <f>IFERROR(1/P473-1,B472)</f>
        <v/>
      </c>
      <c r="C473" s="240">
        <f>$C$3</f>
        <v/>
      </c>
      <c r="D473" s="240">
        <f>$D$3</f>
        <v/>
      </c>
      <c r="E473" s="240">
        <f>$E$3</f>
        <v/>
      </c>
      <c r="F473" s="241" t="n">
        <v>82.65000000000001</v>
      </c>
      <c r="G473" s="242" t="n">
        <v>791207</v>
      </c>
      <c r="H473" s="241" t="n">
        <v>3.27</v>
      </c>
      <c r="I473" s="241" t="n">
        <v>21.97</v>
      </c>
      <c r="J473" s="241" t="n">
        <v>205.88</v>
      </c>
      <c r="K473" s="241" t="n">
        <v>64.22</v>
      </c>
      <c r="L473" s="242" t="n">
        <v>226312</v>
      </c>
      <c r="M473" s="241" t="n">
        <v>0</v>
      </c>
      <c r="N473" s="241" t="n">
        <v>7.09</v>
      </c>
      <c r="O473" s="241" t="n">
        <v>228.96</v>
      </c>
      <c r="P473" s="241" t="n">
        <v>1.29</v>
      </c>
    </row>
    <row r="474">
      <c r="A474" s="282" t="inlineStr">
        <is>
          <t>2007-12-13</t>
        </is>
      </c>
      <c r="B474" s="240">
        <f>IFERROR(1/P474-1,B473)</f>
        <v/>
      </c>
      <c r="C474" s="240">
        <f>$C$3</f>
        <v/>
      </c>
      <c r="D474" s="240">
        <f>$D$3</f>
        <v/>
      </c>
      <c r="E474" s="240">
        <f>$E$3</f>
        <v/>
      </c>
      <c r="F474" s="241" t="n">
        <v>78.17</v>
      </c>
      <c r="G474" s="242" t="n">
        <v>850710</v>
      </c>
      <c r="H474" s="241" t="n">
        <v>-5.42</v>
      </c>
      <c r="I474" s="241" t="n">
        <v>23.8</v>
      </c>
      <c r="J474" s="241" t="n">
        <v>189.3</v>
      </c>
      <c r="K474" s="241" t="n">
        <v>61.79</v>
      </c>
      <c r="L474" s="242" t="n">
        <v>334786</v>
      </c>
      <c r="M474" s="241" t="n">
        <v>-3.68</v>
      </c>
      <c r="N474" s="241" t="n">
        <v>8.26</v>
      </c>
      <c r="O474" s="241" t="n">
        <v>216.86</v>
      </c>
      <c r="P474" s="241" t="n">
        <v>1.27</v>
      </c>
    </row>
    <row r="475">
      <c r="A475" s="282" t="inlineStr">
        <is>
          <t>2007-12-14</t>
        </is>
      </c>
      <c r="B475" s="240">
        <f>IFERROR(1/P475-1,B474)</f>
        <v/>
      </c>
      <c r="C475" s="240">
        <f>$C$3</f>
        <v/>
      </c>
      <c r="D475" s="240">
        <f>$D$3</f>
        <v/>
      </c>
      <c r="E475" s="240">
        <f>$E$3</f>
        <v/>
      </c>
      <c r="F475" s="241" t="n">
        <v>79.88</v>
      </c>
      <c r="G475" s="242" t="n">
        <v>337162</v>
      </c>
      <c r="H475" s="241" t="n">
        <v>2.19</v>
      </c>
      <c r="I475" s="241" t="n">
        <v>29.17</v>
      </c>
      <c r="J475" s="241" t="n">
        <v>195.63</v>
      </c>
      <c r="K475" s="241" t="n">
        <v>59.13</v>
      </c>
      <c r="L475" s="242" t="n">
        <v>569235</v>
      </c>
      <c r="M475" s="241" t="n">
        <v>-4.35</v>
      </c>
      <c r="N475" s="241" t="n">
        <v>8.960000000000001</v>
      </c>
      <c r="O475" s="241" t="n">
        <v>203.07</v>
      </c>
      <c r="P475" s="241" t="n">
        <v>1.35</v>
      </c>
    </row>
    <row r="476">
      <c r="A476" s="282" t="inlineStr">
        <is>
          <t>2007-12-17</t>
        </is>
      </c>
      <c r="B476" s="240">
        <f>IFERROR(1/P476-1,B475)</f>
        <v/>
      </c>
      <c r="C476" s="240">
        <f>$C$3</f>
        <v/>
      </c>
      <c r="D476" s="240">
        <f>$D$3</f>
        <v/>
      </c>
      <c r="E476" s="240">
        <f>$E$3</f>
        <v/>
      </c>
      <c r="F476" s="241" t="n">
        <v>78.61</v>
      </c>
      <c r="G476" s="242" t="n">
        <v>267202</v>
      </c>
      <c r="H476" s="241" t="n">
        <v>-1.59</v>
      </c>
      <c r="I476" s="241" t="n">
        <v>28.68</v>
      </c>
      <c r="J476" s="241" t="n">
        <v>190.93</v>
      </c>
      <c r="K476" s="241" t="n">
        <v>56.39</v>
      </c>
      <c r="L476" s="242" t="n">
        <v>922797</v>
      </c>
      <c r="M476" s="241" t="n">
        <v>-4.87</v>
      </c>
      <c r="N476" s="241" t="n">
        <v>7.39</v>
      </c>
      <c r="O476" s="241" t="n">
        <v>188.32</v>
      </c>
      <c r="P476" s="241" t="n">
        <v>1.39</v>
      </c>
    </row>
    <row r="477">
      <c r="A477" s="282" t="inlineStr">
        <is>
          <t>2007-12-18</t>
        </is>
      </c>
      <c r="B477" s="240">
        <f>IFERROR(1/P477-1,B476)</f>
        <v/>
      </c>
      <c r="C477" s="240">
        <f>$C$3</f>
        <v/>
      </c>
      <c r="D477" s="240">
        <f>$D$3</f>
        <v/>
      </c>
      <c r="E477" s="240">
        <f>$E$3</f>
        <v/>
      </c>
      <c r="F477" s="241" t="n">
        <v>76.81</v>
      </c>
      <c r="G477" s="242" t="n">
        <v>183189</v>
      </c>
      <c r="H477" s="241" t="n">
        <v>-2.29</v>
      </c>
      <c r="I477" s="241" t="n">
        <v>25.73</v>
      </c>
      <c r="J477" s="241" t="n">
        <v>184.27</v>
      </c>
      <c r="K477" s="241" t="n">
        <v>56.52</v>
      </c>
      <c r="L477" s="242" t="n">
        <v>531607</v>
      </c>
      <c r="M477" s="241" t="n">
        <v>0.25</v>
      </c>
      <c r="N477" s="241" t="n">
        <v>7.66</v>
      </c>
      <c r="O477" s="241" t="n">
        <v>189.05</v>
      </c>
      <c r="P477" s="241" t="n">
        <v>1.36</v>
      </c>
    </row>
    <row r="478">
      <c r="A478" s="282" t="inlineStr">
        <is>
          <t>2007-12-19</t>
        </is>
      </c>
      <c r="B478" s="240">
        <f>IFERROR(1/P478-1,B477)</f>
        <v/>
      </c>
      <c r="C478" s="240">
        <f>$C$3</f>
        <v/>
      </c>
      <c r="D478" s="240">
        <f>$D$3</f>
        <v/>
      </c>
      <c r="E478" s="240">
        <f>$E$3</f>
        <v/>
      </c>
      <c r="F478" s="241" t="n">
        <v>77.40000000000001</v>
      </c>
      <c r="G478" s="242" t="n">
        <v>142305</v>
      </c>
      <c r="H478" s="241" t="n">
        <v>0.77</v>
      </c>
      <c r="I478" s="241" t="n">
        <v>26.7</v>
      </c>
      <c r="J478" s="241" t="n">
        <v>186.45</v>
      </c>
      <c r="K478" s="241" t="n">
        <v>63.48</v>
      </c>
      <c r="L478" s="242" t="n">
        <v>406557</v>
      </c>
      <c r="M478" s="241" t="n">
        <v>12.47</v>
      </c>
      <c r="N478" s="241" t="n">
        <v>21.08</v>
      </c>
      <c r="O478" s="241" t="n">
        <v>225.09</v>
      </c>
      <c r="P478" s="241" t="n">
        <v>1.22</v>
      </c>
    </row>
    <row r="479">
      <c r="A479" s="282" t="inlineStr">
        <is>
          <t>2007-12-20</t>
        </is>
      </c>
      <c r="B479" s="240">
        <f>IFERROR(1/P479-1,B478)</f>
        <v/>
      </c>
      <c r="C479" s="240">
        <f>$C$3</f>
        <v/>
      </c>
      <c r="D479" s="240">
        <f>$D$3</f>
        <v/>
      </c>
      <c r="E479" s="240">
        <f>$E$3</f>
        <v/>
      </c>
      <c r="F479" s="241" t="n">
        <v>79.41</v>
      </c>
      <c r="G479" s="242" t="n">
        <v>395742</v>
      </c>
      <c r="H479" s="241" t="n">
        <v>2.6</v>
      </c>
      <c r="I479" s="241" t="n">
        <v>22.55</v>
      </c>
      <c r="J479" s="241" t="n">
        <v>193.89</v>
      </c>
      <c r="K479" s="241" t="n">
        <v>59.58</v>
      </c>
      <c r="L479" s="242" t="n">
        <v>438649</v>
      </c>
      <c r="M479" s="241" t="n">
        <v>-6.1</v>
      </c>
      <c r="N479" s="241" t="n">
        <v>19.62</v>
      </c>
      <c r="O479" s="241" t="n">
        <v>205.25</v>
      </c>
      <c r="P479" s="241" t="n">
        <v>1.33</v>
      </c>
    </row>
    <row r="480">
      <c r="A480" s="282" t="inlineStr">
        <is>
          <t>2007-12-21</t>
        </is>
      </c>
      <c r="B480" s="240">
        <f>IFERROR(1/P480-1,B479)</f>
        <v/>
      </c>
      <c r="C480" s="240">
        <f>$C$3</f>
        <v/>
      </c>
      <c r="D480" s="240">
        <f>$D$3</f>
        <v/>
      </c>
      <c r="E480" s="240">
        <f>$E$3</f>
        <v/>
      </c>
      <c r="F480" s="241" t="n">
        <v>82.3</v>
      </c>
      <c r="G480" s="242" t="n">
        <v>546577</v>
      </c>
      <c r="H480" s="241" t="n">
        <v>3.64</v>
      </c>
      <c r="I480" s="241" t="n">
        <v>19.26</v>
      </c>
      <c r="J480" s="241" t="n">
        <v>204.58</v>
      </c>
      <c r="K480" s="241" t="n">
        <v>63.99</v>
      </c>
      <c r="L480" s="242" t="n">
        <v>959509</v>
      </c>
      <c r="M480" s="241" t="n">
        <v>7.53</v>
      </c>
      <c r="N480" s="241" t="n">
        <v>27.78</v>
      </c>
      <c r="O480" s="241" t="n">
        <v>228.23</v>
      </c>
      <c r="P480" s="241" t="n">
        <v>1.29</v>
      </c>
    </row>
    <row r="481">
      <c r="A481" s="282" t="inlineStr">
        <is>
          <t>2007-12-24</t>
        </is>
      </c>
      <c r="B481" s="240">
        <f>IFERROR(1/P481-1,B480)</f>
        <v/>
      </c>
      <c r="C481" s="240">
        <f>$C$3</f>
        <v/>
      </c>
      <c r="D481" s="240">
        <f>$D$3</f>
        <v/>
      </c>
      <c r="E481" s="240">
        <f>$E$3</f>
        <v/>
      </c>
      <c r="F481" s="241" t="n">
        <v>83.52</v>
      </c>
      <c r="G481" s="242" t="n">
        <v>552870</v>
      </c>
      <c r="H481" s="241" t="n">
        <v>1.48</v>
      </c>
      <c r="I481" s="241" t="n">
        <v>12.96</v>
      </c>
      <c r="J481" s="241" t="n">
        <v>209.1</v>
      </c>
      <c r="K481" s="241" t="n">
        <v>64.84</v>
      </c>
      <c r="L481" s="242" t="n">
        <v>431408</v>
      </c>
      <c r="M481" s="241" t="n">
        <v>1.69</v>
      </c>
      <c r="N481" s="241" t="n">
        <v>32.06</v>
      </c>
      <c r="O481" s="241" t="n">
        <v>233.79</v>
      </c>
      <c r="P481" s="241" t="n">
        <v>1.29</v>
      </c>
    </row>
    <row r="482">
      <c r="A482" s="282" t="inlineStr">
        <is>
          <t>2007-12-25</t>
        </is>
      </c>
      <c r="B482" s="240">
        <f>IFERROR(1/P482-1,B481)</f>
        <v/>
      </c>
      <c r="C482" s="240">
        <f>$C$3</f>
        <v/>
      </c>
      <c r="D482" s="240">
        <f>$D$3</f>
        <v/>
      </c>
      <c r="E482" s="240">
        <f>$E$3</f>
        <v/>
      </c>
      <c r="F482" s="241" t="n">
        <v>82.8</v>
      </c>
      <c r="G482" s="242" t="n">
        <v>358682</v>
      </c>
      <c r="H482" s="241" t="n">
        <v>-0.86</v>
      </c>
      <c r="I482" s="241" t="n">
        <v>11.98</v>
      </c>
      <c r="J482" s="241" t="n">
        <v>206.43</v>
      </c>
      <c r="K482" s="239" t="inlineStr">
        <is>
          <t>--</t>
        </is>
      </c>
      <c r="L482" s="239" t="inlineStr">
        <is>
          <t>--</t>
        </is>
      </c>
      <c r="M482" s="239" t="inlineStr">
        <is>
          <t>--</t>
        </is>
      </c>
      <c r="N482" s="239" t="inlineStr">
        <is>
          <t>--</t>
        </is>
      </c>
      <c r="O482" s="239" t="inlineStr">
        <is>
          <t>--</t>
        </is>
      </c>
      <c r="P482" s="239" t="inlineStr">
        <is>
          <t>--</t>
        </is>
      </c>
    </row>
    <row r="483">
      <c r="A483" s="282" t="inlineStr">
        <is>
          <t>2007-12-26</t>
        </is>
      </c>
      <c r="B483" s="240">
        <f>IFERROR(1/P483-1,B482)</f>
        <v/>
      </c>
      <c r="C483" s="240">
        <f>$C$3</f>
        <v/>
      </c>
      <c r="D483" s="240">
        <f>$D$3</f>
        <v/>
      </c>
      <c r="E483" s="240">
        <f>$E$3</f>
        <v/>
      </c>
      <c r="F483" s="241" t="n">
        <v>85.06</v>
      </c>
      <c r="G483" s="242" t="n">
        <v>2123974</v>
      </c>
      <c r="H483" s="241" t="n">
        <v>2.73</v>
      </c>
      <c r="I483" s="241" t="n">
        <v>15.04</v>
      </c>
      <c r="J483" s="241" t="n">
        <v>214.8</v>
      </c>
      <c r="K483" s="239" t="inlineStr">
        <is>
          <t>--</t>
        </is>
      </c>
      <c r="L483" s="239" t="inlineStr">
        <is>
          <t>--</t>
        </is>
      </c>
      <c r="M483" s="239" t="inlineStr">
        <is>
          <t>--</t>
        </is>
      </c>
      <c r="N483" s="239" t="inlineStr">
        <is>
          <t>--</t>
        </is>
      </c>
      <c r="O483" s="239" t="inlineStr">
        <is>
          <t>--</t>
        </is>
      </c>
      <c r="P483" s="239" t="inlineStr">
        <is>
          <t>--</t>
        </is>
      </c>
    </row>
    <row r="484">
      <c r="A484" s="282" t="inlineStr">
        <is>
          <t>2007-12-27</t>
        </is>
      </c>
      <c r="B484" s="240">
        <f>IFERROR(1/P484-1,B483)</f>
        <v/>
      </c>
      <c r="C484" s="240">
        <f>$C$3</f>
        <v/>
      </c>
      <c r="D484" s="240">
        <f>$D$3</f>
        <v/>
      </c>
      <c r="E484" s="240">
        <f>$E$3</f>
        <v/>
      </c>
      <c r="F484" s="241" t="n">
        <v>88.92</v>
      </c>
      <c r="G484" s="242" t="n">
        <v>1539013</v>
      </c>
      <c r="H484" s="241" t="n">
        <v>4.54</v>
      </c>
      <c r="I484" s="241" t="n">
        <v>25.06</v>
      </c>
      <c r="J484" s="241" t="n">
        <v>229.08</v>
      </c>
      <c r="K484" s="241" t="n">
        <v>61.79</v>
      </c>
      <c r="L484" s="242" t="n">
        <v>403100</v>
      </c>
      <c r="M484" s="241" t="n">
        <v>-4.35</v>
      </c>
      <c r="N484" s="241" t="n">
        <v>17.02</v>
      </c>
      <c r="O484" s="241" t="n">
        <v>219.28</v>
      </c>
      <c r="P484" s="241" t="n">
        <v>1.44</v>
      </c>
    </row>
    <row r="485">
      <c r="A485" s="282" t="inlineStr">
        <is>
          <t>2007-12-28</t>
        </is>
      </c>
      <c r="B485" s="240">
        <f>IFERROR(1/P485-1,B484)</f>
        <v/>
      </c>
      <c r="C485" s="240">
        <f>$C$3</f>
        <v/>
      </c>
      <c r="D485" s="240">
        <f>$D$3</f>
        <v/>
      </c>
      <c r="E485" s="240">
        <f>$E$3</f>
        <v/>
      </c>
      <c r="F485" s="241" t="n">
        <v>89</v>
      </c>
      <c r="G485" s="242" t="n">
        <v>1170714</v>
      </c>
      <c r="H485" s="241" t="n">
        <v>0.09</v>
      </c>
      <c r="I485" s="241" t="n">
        <v>23.42</v>
      </c>
      <c r="J485" s="241" t="n">
        <v>229.38</v>
      </c>
      <c r="K485" s="241" t="n">
        <v>61.43</v>
      </c>
      <c r="L485" s="242" t="n">
        <v>273067</v>
      </c>
      <c r="M485" s="241" t="n">
        <v>-0.61</v>
      </c>
      <c r="N485" s="241" t="n">
        <v>13.69</v>
      </c>
      <c r="O485" s="241" t="n">
        <v>217.35</v>
      </c>
      <c r="P485" s="241" t="n">
        <v>1.45</v>
      </c>
    </row>
    <row r="486">
      <c r="A486" s="282" t="inlineStr">
        <is>
          <t>2008-01-02</t>
        </is>
      </c>
      <c r="B486" s="240">
        <f>IFERROR(1/P486-1,B485)</f>
        <v/>
      </c>
      <c r="C486" s="240">
        <f>$C$3</f>
        <v/>
      </c>
      <c r="D486" s="240">
        <f>$D$3</f>
        <v/>
      </c>
      <c r="E486" s="240">
        <f>$E$3</f>
        <v/>
      </c>
      <c r="F486" s="241" t="n">
        <v>89.70999999999999</v>
      </c>
      <c r="G486" s="242" t="n">
        <v>1000921</v>
      </c>
      <c r="H486" s="241" t="n">
        <v>0.8</v>
      </c>
      <c r="I486" s="241" t="n">
        <v>21.95</v>
      </c>
      <c r="J486" s="241" t="n">
        <v>0.8</v>
      </c>
      <c r="K486" s="241" t="n">
        <v>62.01</v>
      </c>
      <c r="L486" s="242" t="n">
        <v>41255</v>
      </c>
      <c r="M486" s="241" t="n">
        <v>0.76</v>
      </c>
      <c r="N486" s="241" t="n">
        <v>-0.15</v>
      </c>
      <c r="O486" s="241" t="n">
        <v>0.76</v>
      </c>
      <c r="P486" s="241" t="n">
        <v>1.45</v>
      </c>
    </row>
    <row r="487">
      <c r="A487" s="282" t="inlineStr">
        <is>
          <t>2008-01-03</t>
        </is>
      </c>
      <c r="B487" s="240">
        <f>IFERROR(1/P487-1,B486)</f>
        <v/>
      </c>
      <c r="C487" s="240">
        <f>$C$3</f>
        <v/>
      </c>
      <c r="D487" s="240">
        <f>$D$3</f>
        <v/>
      </c>
      <c r="E487" s="240">
        <f>$E$3</f>
        <v/>
      </c>
      <c r="F487" s="241" t="n">
        <v>88.95</v>
      </c>
      <c r="G487" s="242" t="n">
        <v>634980</v>
      </c>
      <c r="H487" s="241" t="n">
        <v>-0.85</v>
      </c>
      <c r="I487" s="241" t="n">
        <v>20.92</v>
      </c>
      <c r="J487" s="241" t="n">
        <v>-0.06</v>
      </c>
      <c r="K487" s="241" t="n">
        <v>60.27</v>
      </c>
      <c r="L487" s="242" t="n">
        <v>194680</v>
      </c>
      <c r="M487" s="241" t="n">
        <v>-2.41</v>
      </c>
      <c r="N487" s="241" t="n">
        <v>-2.56</v>
      </c>
      <c r="O487" s="241" t="n">
        <v>-1.67</v>
      </c>
      <c r="P487" s="241" t="n">
        <v>1.48</v>
      </c>
    </row>
    <row r="488">
      <c r="A488" s="282" t="inlineStr">
        <is>
          <t>2008-01-04</t>
        </is>
      </c>
      <c r="B488" s="240">
        <f>IFERROR(1/P488-1,B487)</f>
        <v/>
      </c>
      <c r="C488" s="240">
        <f>$C$3</f>
        <v/>
      </c>
      <c r="D488" s="240">
        <f>$D$3</f>
        <v/>
      </c>
      <c r="E488" s="240">
        <f>$E$3</f>
        <v/>
      </c>
      <c r="F488" s="241" t="n">
        <v>87</v>
      </c>
      <c r="G488" s="242" t="n">
        <v>980326</v>
      </c>
      <c r="H488" s="241" t="n">
        <v>-2.19</v>
      </c>
      <c r="I488" s="241" t="n">
        <v>19.67</v>
      </c>
      <c r="J488" s="241" t="n">
        <v>-2.25</v>
      </c>
      <c r="K488" s="241" t="n">
        <v>59.69</v>
      </c>
      <c r="L488" s="242" t="n">
        <v>262480</v>
      </c>
      <c r="M488" s="241" t="n">
        <v>-1.16</v>
      </c>
      <c r="N488" s="241" t="n">
        <v>-8.640000000000001</v>
      </c>
      <c r="O488" s="241" t="n">
        <v>-2.81</v>
      </c>
      <c r="P488" s="241" t="n">
        <v>1.46</v>
      </c>
    </row>
    <row r="489">
      <c r="A489" s="282" t="inlineStr">
        <is>
          <t>2008-01-07</t>
        </is>
      </c>
      <c r="B489" s="240">
        <f>IFERROR(1/P489-1,B488)</f>
        <v/>
      </c>
      <c r="C489" s="240">
        <f>$C$3</f>
        <v/>
      </c>
      <c r="D489" s="240">
        <f>$D$3</f>
        <v/>
      </c>
      <c r="E489" s="240">
        <f>$E$3</f>
        <v/>
      </c>
      <c r="F489" s="241" t="n">
        <v>87.33</v>
      </c>
      <c r="G489" s="242" t="n">
        <v>1129915</v>
      </c>
      <c r="H489" s="241" t="n">
        <v>0.38</v>
      </c>
      <c r="I489" s="241" t="n">
        <v>12.23</v>
      </c>
      <c r="J489" s="241" t="n">
        <v>-1.88</v>
      </c>
      <c r="K489" s="241" t="n">
        <v>59.18</v>
      </c>
      <c r="L489" s="242" t="n">
        <v>95310</v>
      </c>
      <c r="M489" s="241" t="n">
        <v>-0.7</v>
      </c>
      <c r="N489" s="241" t="n">
        <v>-9.289999999999999</v>
      </c>
      <c r="O489" s="241" t="n">
        <v>-3.5</v>
      </c>
      <c r="P489" s="241" t="n">
        <v>1.48</v>
      </c>
    </row>
    <row r="490">
      <c r="A490" s="282" t="inlineStr">
        <is>
          <t>2008-01-08</t>
        </is>
      </c>
      <c r="B490" s="240">
        <f>IFERROR(1/P490-1,B489)</f>
        <v/>
      </c>
      <c r="C490" s="240">
        <f>$C$3</f>
        <v/>
      </c>
      <c r="D490" s="240">
        <f>$D$3</f>
        <v/>
      </c>
      <c r="E490" s="240">
        <f>$E$3</f>
        <v/>
      </c>
      <c r="F490" s="241" t="n">
        <v>88.76000000000001</v>
      </c>
      <c r="G490" s="242" t="n">
        <v>1233366</v>
      </c>
      <c r="H490" s="241" t="n">
        <v>1.64</v>
      </c>
      <c r="I490" s="241" t="n">
        <v>14.16</v>
      </c>
      <c r="J490" s="241" t="n">
        <v>-0.27</v>
      </c>
      <c r="K490" s="241" t="n">
        <v>59.07</v>
      </c>
      <c r="L490" s="242" t="n">
        <v>245876</v>
      </c>
      <c r="M490" s="241" t="n">
        <v>-0.32</v>
      </c>
      <c r="N490" s="241" t="n">
        <v>-9.57</v>
      </c>
      <c r="O490" s="241" t="n">
        <v>-3.8</v>
      </c>
      <c r="P490" s="241" t="n">
        <v>1.5</v>
      </c>
    </row>
    <row r="491">
      <c r="A491" s="282" t="inlineStr">
        <is>
          <t>2008-01-09</t>
        </is>
      </c>
      <c r="B491" s="240">
        <f>IFERROR(1/P491-1,B490)</f>
        <v/>
      </c>
      <c r="C491" s="240">
        <f>$C$3</f>
        <v/>
      </c>
      <c r="D491" s="240">
        <f>$D$3</f>
        <v/>
      </c>
      <c r="E491" s="240">
        <f>$E$3</f>
        <v/>
      </c>
      <c r="F491" s="241" t="n">
        <v>92.01000000000001</v>
      </c>
      <c r="G491" s="242" t="n">
        <v>1028282</v>
      </c>
      <c r="H491" s="241" t="n">
        <v>3.66</v>
      </c>
      <c r="I491" s="241" t="n">
        <v>18.34</v>
      </c>
      <c r="J491" s="241" t="n">
        <v>3.38</v>
      </c>
      <c r="K491" s="241" t="n">
        <v>59.09</v>
      </c>
      <c r="L491" s="242" t="n">
        <v>461461</v>
      </c>
      <c r="M491" s="241" t="n">
        <v>0.16</v>
      </c>
      <c r="N491" s="241" t="n">
        <v>-9.43</v>
      </c>
      <c r="O491" s="241" t="n">
        <v>-3.65</v>
      </c>
      <c r="P491" s="241" t="n">
        <v>1.56</v>
      </c>
    </row>
    <row r="492">
      <c r="A492" s="282" t="inlineStr">
        <is>
          <t>2008-01-10</t>
        </is>
      </c>
      <c r="B492" s="240">
        <f>IFERROR(1/P492-1,B491)</f>
        <v/>
      </c>
      <c r="C492" s="240">
        <f>$C$3</f>
        <v/>
      </c>
      <c r="D492" s="240">
        <f>$D$3</f>
        <v/>
      </c>
      <c r="E492" s="240">
        <f>$E$3</f>
        <v/>
      </c>
      <c r="F492" s="241" t="n">
        <v>95.61</v>
      </c>
      <c r="G492" s="242" t="n">
        <v>1035518</v>
      </c>
      <c r="H492" s="241" t="n">
        <v>3.91</v>
      </c>
      <c r="I492" s="241" t="n">
        <v>22.97</v>
      </c>
      <c r="J492" s="241" t="n">
        <v>7.43</v>
      </c>
      <c r="K492" s="241" t="n">
        <v>58.3</v>
      </c>
      <c r="L492" s="242" t="n">
        <v>612544</v>
      </c>
      <c r="M492" s="241" t="n">
        <v>-1.42</v>
      </c>
      <c r="N492" s="241" t="n">
        <v>-10.71</v>
      </c>
      <c r="O492" s="241" t="n">
        <v>-5.02</v>
      </c>
      <c r="P492" s="241" t="n">
        <v>1.64</v>
      </c>
    </row>
    <row r="493">
      <c r="A493" s="282" t="inlineStr">
        <is>
          <t>2008-01-11</t>
        </is>
      </c>
      <c r="B493" s="240">
        <f>IFERROR(1/P493-1,B492)</f>
        <v/>
      </c>
      <c r="C493" s="240">
        <f>$C$3</f>
        <v/>
      </c>
      <c r="D493" s="240">
        <f>$D$3</f>
        <v/>
      </c>
      <c r="E493" s="240">
        <f>$E$3</f>
        <v/>
      </c>
      <c r="F493" s="241" t="n">
        <v>95.02</v>
      </c>
      <c r="G493" s="242" t="n">
        <v>363016</v>
      </c>
      <c r="H493" s="241" t="n">
        <v>-0.62</v>
      </c>
      <c r="I493" s="241" t="n">
        <v>18.73</v>
      </c>
      <c r="J493" s="241" t="n">
        <v>6.76</v>
      </c>
      <c r="K493" s="241" t="n">
        <v>57.93</v>
      </c>
      <c r="L493" s="242" t="n">
        <v>572124</v>
      </c>
      <c r="M493" s="241" t="n">
        <v>-0.48</v>
      </c>
      <c r="N493" s="241" t="n">
        <v>-11.14</v>
      </c>
      <c r="O493" s="241" t="n">
        <v>-5.47</v>
      </c>
      <c r="P493" s="241" t="n">
        <v>1.64</v>
      </c>
    </row>
    <row r="494">
      <c r="A494" s="282" t="inlineStr">
        <is>
          <t>2008-01-14</t>
        </is>
      </c>
      <c r="B494" s="240">
        <f>IFERROR(1/P494-1,B493)</f>
        <v/>
      </c>
      <c r="C494" s="240">
        <f>$C$3</f>
        <v/>
      </c>
      <c r="D494" s="240">
        <f>$D$3</f>
        <v/>
      </c>
      <c r="E494" s="240">
        <f>$E$3</f>
        <v/>
      </c>
      <c r="F494" s="241" t="n">
        <v>96.02</v>
      </c>
      <c r="G494" s="242" t="n">
        <v>541686</v>
      </c>
      <c r="H494" s="241" t="n">
        <v>1.05</v>
      </c>
      <c r="I494" s="241" t="n">
        <v>22.83</v>
      </c>
      <c r="J494" s="241" t="n">
        <v>7.89</v>
      </c>
      <c r="K494" s="241" t="n">
        <v>53.92</v>
      </c>
      <c r="L494" s="242" t="n">
        <v>624855</v>
      </c>
      <c r="M494" s="241" t="n">
        <v>-6.75</v>
      </c>
      <c r="N494" s="241" t="n">
        <v>-11.45</v>
      </c>
      <c r="O494" s="241" t="n">
        <v>-11.85</v>
      </c>
      <c r="P494" s="241" t="n">
        <v>1.78</v>
      </c>
    </row>
    <row r="495">
      <c r="A495" s="282" t="inlineStr">
        <is>
          <t>2008-01-15</t>
        </is>
      </c>
      <c r="B495" s="240">
        <f>IFERROR(1/P495-1,B494)</f>
        <v/>
      </c>
      <c r="C495" s="240">
        <f>$C$3</f>
        <v/>
      </c>
      <c r="D495" s="240">
        <f>$D$3</f>
        <v/>
      </c>
      <c r="E495" s="240">
        <f>$E$3</f>
        <v/>
      </c>
      <c r="F495" s="241" t="n">
        <v>95.51000000000001</v>
      </c>
      <c r="G495" s="242" t="n">
        <v>255333</v>
      </c>
      <c r="H495" s="241" t="n">
        <v>-0.53</v>
      </c>
      <c r="I495" s="241" t="n">
        <v>19.57</v>
      </c>
      <c r="J495" s="241" t="n">
        <v>7.31</v>
      </c>
      <c r="K495" s="241" t="n">
        <v>52.92</v>
      </c>
      <c r="L495" s="242" t="n">
        <v>634416</v>
      </c>
      <c r="M495" s="241" t="n">
        <v>-1.72</v>
      </c>
      <c r="N495" s="241" t="n">
        <v>-9.02</v>
      </c>
      <c r="O495" s="241" t="n">
        <v>-13.37</v>
      </c>
      <c r="P495" s="241" t="n">
        <v>1.8</v>
      </c>
    </row>
    <row r="496">
      <c r="A496" s="282" t="inlineStr">
        <is>
          <t>2008-01-16</t>
        </is>
      </c>
      <c r="B496" s="240">
        <f>IFERROR(1/P496-1,B495)</f>
        <v/>
      </c>
      <c r="C496" s="240">
        <f>$C$3</f>
        <v/>
      </c>
      <c r="D496" s="240">
        <f>$D$3</f>
        <v/>
      </c>
      <c r="E496" s="240">
        <f>$E$3</f>
        <v/>
      </c>
      <c r="F496" s="241" t="n">
        <v>91.48999999999999</v>
      </c>
      <c r="G496" s="242" t="n">
        <v>585579</v>
      </c>
      <c r="H496" s="241" t="n">
        <v>-4.21</v>
      </c>
      <c r="I496" s="241" t="n">
        <v>14.53</v>
      </c>
      <c r="J496" s="241" t="n">
        <v>2.8</v>
      </c>
      <c r="K496" s="241" t="n">
        <v>51.5</v>
      </c>
      <c r="L496" s="242" t="n">
        <v>1402412</v>
      </c>
      <c r="M496" s="241" t="n">
        <v>-2.72</v>
      </c>
      <c r="N496" s="241" t="n">
        <v>-11.49</v>
      </c>
      <c r="O496" s="241" t="n">
        <v>-15.73</v>
      </c>
      <c r="P496" s="241" t="n">
        <v>1.78</v>
      </c>
    </row>
    <row r="497">
      <c r="A497" s="282" t="inlineStr">
        <is>
          <t>2008-01-17</t>
        </is>
      </c>
      <c r="B497" s="240">
        <f>IFERROR(1/P497-1,B496)</f>
        <v/>
      </c>
      <c r="C497" s="240">
        <f>$C$3</f>
        <v/>
      </c>
      <c r="D497" s="240">
        <f>$D$3</f>
        <v/>
      </c>
      <c r="E497" s="240">
        <f>$E$3</f>
        <v/>
      </c>
      <c r="F497" s="241" t="n">
        <v>90.03</v>
      </c>
      <c r="G497" s="242" t="n">
        <v>685048</v>
      </c>
      <c r="H497" s="241" t="n">
        <v>-1.6</v>
      </c>
      <c r="I497" s="241" t="n">
        <v>12.71</v>
      </c>
      <c r="J497" s="241" t="n">
        <v>1.16</v>
      </c>
      <c r="K497" s="241" t="n">
        <v>50.24</v>
      </c>
      <c r="L497" s="242" t="n">
        <v>1057300</v>
      </c>
      <c r="M497" s="241" t="n">
        <v>-2.62</v>
      </c>
      <c r="N497" s="241" t="n">
        <v>-13.81</v>
      </c>
      <c r="O497" s="241" t="n">
        <v>-17.93</v>
      </c>
      <c r="P497" s="241" t="n">
        <v>1.79</v>
      </c>
    </row>
    <row r="498">
      <c r="A498" s="282" t="inlineStr">
        <is>
          <t>2008-01-18</t>
        </is>
      </c>
      <c r="B498" s="240">
        <f>IFERROR(1/P498-1,B497)</f>
        <v/>
      </c>
      <c r="C498" s="240">
        <f>$C$3</f>
        <v/>
      </c>
      <c r="D498" s="240">
        <f>$D$3</f>
        <v/>
      </c>
      <c r="E498" s="240">
        <f>$E$3</f>
        <v/>
      </c>
      <c r="F498" s="241" t="n">
        <v>92.2</v>
      </c>
      <c r="G498" s="242" t="n">
        <v>1070929</v>
      </c>
      <c r="H498" s="241" t="n">
        <v>2.41</v>
      </c>
      <c r="I498" s="241" t="n">
        <v>17.29</v>
      </c>
      <c r="J498" s="241" t="n">
        <v>3.6</v>
      </c>
      <c r="K498" s="241" t="n">
        <v>48.34</v>
      </c>
      <c r="L498" s="242" t="n">
        <v>2028934</v>
      </c>
      <c r="M498" s="241" t="n">
        <v>-3.7</v>
      </c>
      <c r="N498" s="241" t="n">
        <v>-12.75</v>
      </c>
      <c r="O498" s="241" t="n">
        <v>-20.97</v>
      </c>
      <c r="P498" s="241" t="n">
        <v>1.91</v>
      </c>
    </row>
    <row r="499">
      <c r="A499" s="282" t="inlineStr">
        <is>
          <t>2008-01-21</t>
        </is>
      </c>
      <c r="B499" s="240">
        <f>IFERROR(1/P499-1,B498)</f>
        <v/>
      </c>
      <c r="C499" s="240">
        <f>$C$3</f>
        <v/>
      </c>
      <c r="D499" s="240">
        <f>$D$3</f>
        <v/>
      </c>
      <c r="E499" s="240">
        <f>$E$3</f>
        <v/>
      </c>
      <c r="F499" s="241" t="n">
        <v>89.79000000000001</v>
      </c>
      <c r="G499" s="242" t="n">
        <v>395772</v>
      </c>
      <c r="H499" s="241" t="n">
        <v>-2.61</v>
      </c>
      <c r="I499" s="241" t="n">
        <v>13.07</v>
      </c>
      <c r="J499" s="241" t="n">
        <v>0.89</v>
      </c>
      <c r="K499" s="241" t="n">
        <v>44.08</v>
      </c>
      <c r="L499" s="242" t="n">
        <v>1234897</v>
      </c>
      <c r="M499" s="241" t="n">
        <v>-8.85</v>
      </c>
      <c r="N499" s="241" t="n">
        <v>-24.88</v>
      </c>
      <c r="O499" s="241" t="n">
        <v>-27.96</v>
      </c>
      <c r="P499" s="241" t="n">
        <v>2.04</v>
      </c>
    </row>
    <row r="500">
      <c r="A500" s="282" t="inlineStr">
        <is>
          <t>2008-01-22</t>
        </is>
      </c>
      <c r="B500" s="240">
        <f>IFERROR(1/P500-1,B499)</f>
        <v/>
      </c>
      <c r="C500" s="240">
        <f>$C$3</f>
        <v/>
      </c>
      <c r="D500" s="240">
        <f>$D$3</f>
        <v/>
      </c>
      <c r="E500" s="240">
        <f>$E$3</f>
        <v/>
      </c>
      <c r="F500" s="241" t="n">
        <v>81.02</v>
      </c>
      <c r="G500" s="242" t="n">
        <v>548099</v>
      </c>
      <c r="H500" s="241" t="n">
        <v>-9.77</v>
      </c>
      <c r="I500" s="241" t="n">
        <v>-1.56</v>
      </c>
      <c r="J500" s="241" t="n">
        <v>-8.970000000000001</v>
      </c>
      <c r="K500" s="241" t="n">
        <v>40.85</v>
      </c>
      <c r="L500" s="242" t="n">
        <v>1516000</v>
      </c>
      <c r="M500" s="241" t="n">
        <v>-7.17</v>
      </c>
      <c r="N500" s="241" t="n">
        <v>-35.15</v>
      </c>
      <c r="O500" s="241" t="n">
        <v>-33.13</v>
      </c>
      <c r="P500" s="241" t="n">
        <v>1.98</v>
      </c>
    </row>
    <row r="501">
      <c r="A501" s="282" t="inlineStr">
        <is>
          <t>2008-01-23</t>
        </is>
      </c>
      <c r="B501" s="240">
        <f>IFERROR(1/P501-1,B500)</f>
        <v/>
      </c>
      <c r="C501" s="240">
        <f>$C$3</f>
        <v/>
      </c>
      <c r="D501" s="240">
        <f>$D$3</f>
        <v/>
      </c>
      <c r="E501" s="240">
        <f>$E$3</f>
        <v/>
      </c>
      <c r="F501" s="241" t="n">
        <v>86.98999999999999</v>
      </c>
      <c r="G501" s="242" t="n">
        <v>4668739</v>
      </c>
      <c r="H501" s="241" t="n">
        <v>7.37</v>
      </c>
      <c r="I501" s="241" t="n">
        <v>5.7</v>
      </c>
      <c r="J501" s="241" t="n">
        <v>-2.26</v>
      </c>
      <c r="K501" s="241" t="n">
        <v>41.99</v>
      </c>
      <c r="L501" s="242" t="n">
        <v>1559120</v>
      </c>
      <c r="M501" s="241" t="n">
        <v>2.95</v>
      </c>
      <c r="N501" s="241" t="n">
        <v>-33.24</v>
      </c>
      <c r="O501" s="241" t="n">
        <v>-31.16</v>
      </c>
      <c r="P501" s="241" t="n">
        <v>2.07</v>
      </c>
    </row>
    <row r="502">
      <c r="A502" s="282" t="inlineStr">
        <is>
          <t>2008-01-24</t>
        </is>
      </c>
      <c r="B502" s="240">
        <f>IFERROR(1/P502-1,B501)</f>
        <v/>
      </c>
      <c r="C502" s="240">
        <f>$C$3</f>
        <v/>
      </c>
      <c r="D502" s="240">
        <f>$D$3</f>
        <v/>
      </c>
      <c r="E502" s="240">
        <f>$E$3</f>
        <v/>
      </c>
      <c r="F502" s="241" t="n">
        <v>88.55</v>
      </c>
      <c r="G502" s="242" t="n">
        <v>1364456</v>
      </c>
      <c r="H502" s="241" t="n">
        <v>1.79</v>
      </c>
      <c r="I502" s="241" t="n">
        <v>7.59</v>
      </c>
      <c r="J502" s="241" t="n">
        <v>-0.51</v>
      </c>
      <c r="K502" s="241" t="n">
        <v>41.59</v>
      </c>
      <c r="L502" s="242" t="n">
        <v>817723</v>
      </c>
      <c r="M502" s="241" t="n">
        <v>-0.88</v>
      </c>
      <c r="N502" s="241" t="n">
        <v>-33.82</v>
      </c>
      <c r="O502" s="241" t="n">
        <v>-31.76</v>
      </c>
      <c r="P502" s="241" t="n">
        <v>2.13</v>
      </c>
    </row>
    <row r="503">
      <c r="A503" s="282" t="inlineStr">
        <is>
          <t>2008-01-25</t>
        </is>
      </c>
      <c r="B503" s="240">
        <f>IFERROR(1/P503-1,B502)</f>
        <v/>
      </c>
      <c r="C503" s="240">
        <f>$C$3</f>
        <v/>
      </c>
      <c r="D503" s="240">
        <f>$D$3</f>
        <v/>
      </c>
      <c r="E503" s="240">
        <f>$E$3</f>
        <v/>
      </c>
      <c r="F503" s="241" t="n">
        <v>86.88</v>
      </c>
      <c r="G503" s="242" t="n">
        <v>190391</v>
      </c>
      <c r="H503" s="241" t="n">
        <v>-1.89</v>
      </c>
      <c r="I503" s="241" t="n">
        <v>4.02</v>
      </c>
      <c r="J503" s="241" t="n">
        <v>-2.38</v>
      </c>
      <c r="K503" s="241" t="n">
        <v>43.19</v>
      </c>
      <c r="L503" s="242" t="n">
        <v>1750395</v>
      </c>
      <c r="M503" s="241" t="n">
        <v>4.23</v>
      </c>
      <c r="N503" s="241" t="n">
        <v>-32.17</v>
      </c>
      <c r="O503" s="241" t="n">
        <v>-28.88</v>
      </c>
      <c r="P503" s="241" t="n">
        <v>2.01</v>
      </c>
    </row>
    <row r="504">
      <c r="A504" s="282" t="inlineStr">
        <is>
          <t>2008-01-28</t>
        </is>
      </c>
      <c r="B504" s="240">
        <f>IFERROR(1/P504-1,B503)</f>
        <v/>
      </c>
      <c r="C504" s="240">
        <f>$C$3</f>
        <v/>
      </c>
      <c r="D504" s="240">
        <f>$D$3</f>
        <v/>
      </c>
      <c r="E504" s="240">
        <f>$E$3</f>
        <v/>
      </c>
      <c r="F504" s="241" t="n">
        <v>85.06999999999999</v>
      </c>
      <c r="G504" s="242" t="n">
        <v>419649</v>
      </c>
      <c r="H504" s="241" t="n">
        <v>-2.08</v>
      </c>
      <c r="I504" s="241" t="n">
        <v>-4.33</v>
      </c>
      <c r="J504" s="241" t="n">
        <v>-4.42</v>
      </c>
      <c r="K504" s="241" t="n">
        <v>42.6</v>
      </c>
      <c r="L504" s="242" t="n">
        <v>951044</v>
      </c>
      <c r="M504" s="241" t="n">
        <v>-1.28</v>
      </c>
      <c r="N504" s="241" t="n">
        <v>-30</v>
      </c>
      <c r="O504" s="241" t="n">
        <v>-29.79</v>
      </c>
      <c r="P504" s="241" t="n">
        <v>2</v>
      </c>
    </row>
    <row r="505">
      <c r="A505" s="282" t="inlineStr">
        <is>
          <t>2008-01-29</t>
        </is>
      </c>
      <c r="B505" s="240">
        <f>IFERROR(1/P505-1,B504)</f>
        <v/>
      </c>
      <c r="C505" s="240">
        <f>$C$3</f>
        <v/>
      </c>
      <c r="D505" s="240">
        <f>$D$3</f>
        <v/>
      </c>
      <c r="E505" s="240">
        <f>$E$3</f>
        <v/>
      </c>
      <c r="F505" s="241" t="n">
        <v>85.06999999999999</v>
      </c>
      <c r="G505" s="242" t="n">
        <v>0</v>
      </c>
      <c r="H505" s="241" t="n">
        <v>0</v>
      </c>
      <c r="I505" s="241" t="n">
        <v>-4.42</v>
      </c>
      <c r="J505" s="241" t="n">
        <v>-4.42</v>
      </c>
      <c r="K505" s="241" t="n">
        <v>40.59</v>
      </c>
      <c r="L505" s="242" t="n">
        <v>624315</v>
      </c>
      <c r="M505" s="241" t="n">
        <v>-4.76</v>
      </c>
      <c r="N505" s="241" t="n">
        <v>-32.93</v>
      </c>
      <c r="O505" s="241" t="n">
        <v>-33.13</v>
      </c>
      <c r="P505" s="241" t="n">
        <v>2.1</v>
      </c>
    </row>
    <row r="506">
      <c r="A506" s="282" t="inlineStr">
        <is>
          <t>2008-01-30</t>
        </is>
      </c>
      <c r="B506" s="240">
        <f>IFERROR(1/P506-1,B505)</f>
        <v/>
      </c>
      <c r="C506" s="240">
        <f>$C$3</f>
        <v/>
      </c>
      <c r="D506" s="240">
        <f>$D$3</f>
        <v/>
      </c>
      <c r="E506" s="240">
        <f>$E$3</f>
        <v/>
      </c>
      <c r="F506" s="241" t="n">
        <v>85.56999999999999</v>
      </c>
      <c r="G506" s="242" t="n">
        <v>386111</v>
      </c>
      <c r="H506" s="241" t="n">
        <v>0.59</v>
      </c>
      <c r="I506" s="241" t="n">
        <v>-3.85</v>
      </c>
      <c r="J506" s="241" t="n">
        <v>-3.85</v>
      </c>
      <c r="K506" s="241" t="n">
        <v>40.87</v>
      </c>
      <c r="L506" s="242" t="n">
        <v>803254</v>
      </c>
      <c r="M506" s="241" t="n">
        <v>0.68</v>
      </c>
      <c r="N506" s="241" t="n">
        <v>-32.47</v>
      </c>
      <c r="O506" s="241" t="n">
        <v>-32.67</v>
      </c>
      <c r="P506" s="241" t="n">
        <v>2.09</v>
      </c>
    </row>
    <row r="507">
      <c r="A507" s="282" t="inlineStr">
        <is>
          <t>2008-01-31</t>
        </is>
      </c>
      <c r="B507" s="240">
        <f>IFERROR(1/P507-1,B506)</f>
        <v/>
      </c>
      <c r="C507" s="240">
        <f>$C$3</f>
        <v/>
      </c>
      <c r="D507" s="240">
        <f>$D$3</f>
        <v/>
      </c>
      <c r="E507" s="240">
        <f>$E$3</f>
        <v/>
      </c>
      <c r="F507" s="241" t="n">
        <v>80.48</v>
      </c>
      <c r="G507" s="242" t="n">
        <v>534030</v>
      </c>
      <c r="H507" s="241" t="n">
        <v>-5.95</v>
      </c>
      <c r="I507" s="241" t="n">
        <v>-9.57</v>
      </c>
      <c r="J507" s="241" t="n">
        <v>-9.57</v>
      </c>
      <c r="K507" s="241" t="n">
        <v>42.37</v>
      </c>
      <c r="L507" s="242" t="n">
        <v>944725</v>
      </c>
      <c r="M507" s="241" t="n">
        <v>3.84</v>
      </c>
      <c r="N507" s="241" t="n">
        <v>-29.88</v>
      </c>
      <c r="O507" s="241" t="n">
        <v>-30.09</v>
      </c>
      <c r="P507" s="241" t="n">
        <v>1.9</v>
      </c>
    </row>
    <row r="508">
      <c r="A508" s="282" t="inlineStr">
        <is>
          <t>2008-02-01</t>
        </is>
      </c>
      <c r="B508" s="240">
        <f>IFERROR(1/P508-1,B507)</f>
        <v/>
      </c>
      <c r="C508" s="240">
        <f>$C$3</f>
        <v/>
      </c>
      <c r="D508" s="240">
        <f>$D$3</f>
        <v/>
      </c>
      <c r="E508" s="240">
        <f>$E$3</f>
        <v/>
      </c>
      <c r="F508" s="241" t="n">
        <v>80.59999999999999</v>
      </c>
      <c r="G508" s="242" t="n">
        <v>708090</v>
      </c>
      <c r="H508" s="241" t="n">
        <v>0.15</v>
      </c>
      <c r="I508" s="241" t="n">
        <v>-9.44</v>
      </c>
      <c r="J508" s="241" t="n">
        <v>-9.44</v>
      </c>
      <c r="K508" s="241" t="n">
        <v>44.37</v>
      </c>
      <c r="L508" s="242" t="n">
        <v>1658383</v>
      </c>
      <c r="M508" s="241" t="n">
        <v>4.57</v>
      </c>
      <c r="N508" s="241" t="n">
        <v>-26.9</v>
      </c>
      <c r="O508" s="241" t="n">
        <v>-26.9</v>
      </c>
      <c r="P508" s="241" t="n">
        <v>1.82</v>
      </c>
    </row>
    <row r="509">
      <c r="A509" s="282" t="inlineStr">
        <is>
          <t>2008-02-04</t>
        </is>
      </c>
      <c r="B509" s="240">
        <f>IFERROR(1/P509-1,B508)</f>
        <v/>
      </c>
      <c r="C509" s="240">
        <f>$C$3</f>
        <v/>
      </c>
      <c r="D509" s="240">
        <f>$D$3</f>
        <v/>
      </c>
      <c r="E509" s="240">
        <f>$E$3</f>
        <v/>
      </c>
      <c r="F509" s="241" t="n">
        <v>86.08</v>
      </c>
      <c r="G509" s="242" t="n">
        <v>357116</v>
      </c>
      <c r="H509" s="241" t="n">
        <v>6.8</v>
      </c>
      <c r="I509" s="241" t="n">
        <v>-3.23</v>
      </c>
      <c r="J509" s="241" t="n">
        <v>-3.28</v>
      </c>
      <c r="K509" s="241" t="n">
        <v>47.59</v>
      </c>
      <c r="L509" s="242" t="n">
        <v>917190</v>
      </c>
      <c r="M509" s="241" t="n">
        <v>7.28</v>
      </c>
      <c r="N509" s="241" t="n">
        <v>-20.25</v>
      </c>
      <c r="O509" s="241" t="n">
        <v>-21.58</v>
      </c>
      <c r="P509" s="241" t="n">
        <v>1.81</v>
      </c>
    </row>
    <row r="510">
      <c r="A510" s="282" t="inlineStr">
        <is>
          <t>2008-02-05</t>
        </is>
      </c>
      <c r="B510" s="240">
        <f>IFERROR(1/P510-1,B509)</f>
        <v/>
      </c>
      <c r="C510" s="240">
        <f>$C$3</f>
        <v/>
      </c>
      <c r="D510" s="240">
        <f>$D$3</f>
        <v/>
      </c>
      <c r="E510" s="240">
        <f>$E$3</f>
        <v/>
      </c>
      <c r="F510" s="241" t="n">
        <v>84.39</v>
      </c>
      <c r="G510" s="242" t="n">
        <v>158900</v>
      </c>
      <c r="H510" s="241" t="n">
        <v>-1.96</v>
      </c>
      <c r="I510" s="241" t="n">
        <v>-3</v>
      </c>
      <c r="J510" s="241" t="n">
        <v>-5.18</v>
      </c>
      <c r="K510" s="241" t="n">
        <v>48.64</v>
      </c>
      <c r="L510" s="242" t="n">
        <v>634000</v>
      </c>
      <c r="M510" s="241" t="n">
        <v>2.33</v>
      </c>
      <c r="N510" s="241" t="n">
        <v>-17.44</v>
      </c>
      <c r="O510" s="241" t="n">
        <v>-19.76</v>
      </c>
      <c r="P510" s="241" t="n">
        <v>1.74</v>
      </c>
    </row>
    <row r="511">
      <c r="A511" s="282" t="inlineStr">
        <is>
          <t>2008-02-13</t>
        </is>
      </c>
      <c r="B511" s="240">
        <f>IFERROR(1/P511-1,B510)</f>
        <v/>
      </c>
      <c r="C511" s="240">
        <f>$C$3</f>
        <v/>
      </c>
      <c r="D511" s="240">
        <f>$D$3</f>
        <v/>
      </c>
      <c r="E511" s="240">
        <f>$E$3</f>
        <v/>
      </c>
      <c r="F511" s="241" t="n">
        <v>84.31</v>
      </c>
      <c r="G511" s="242" t="n">
        <v>87143</v>
      </c>
      <c r="H511" s="241" t="n">
        <v>-0.09</v>
      </c>
      <c r="I511" s="241" t="n">
        <v>-11.27</v>
      </c>
      <c r="J511" s="241" t="n">
        <v>-5.27</v>
      </c>
      <c r="K511" s="241" t="n">
        <v>46.77</v>
      </c>
      <c r="L511" s="242" t="n">
        <v>434051</v>
      </c>
      <c r="M511" s="241" t="n">
        <v>1.4</v>
      </c>
      <c r="N511" s="241" t="n">
        <v>-18.49</v>
      </c>
      <c r="O511" s="241" t="n">
        <v>-22.95</v>
      </c>
      <c r="P511" s="241" t="n">
        <v>1.8</v>
      </c>
    </row>
    <row r="512">
      <c r="A512" s="282" t="inlineStr">
        <is>
          <t>2008-02-14</t>
        </is>
      </c>
      <c r="B512" s="240">
        <f>IFERROR(1/P512-1,B511)</f>
        <v/>
      </c>
      <c r="C512" s="240">
        <f>$C$3</f>
        <v/>
      </c>
      <c r="D512" s="240">
        <f>$D$3</f>
        <v/>
      </c>
      <c r="E512" s="240">
        <f>$E$3</f>
        <v/>
      </c>
      <c r="F512" s="241" t="n">
        <v>87.89</v>
      </c>
      <c r="G512" s="242" t="n">
        <v>226133</v>
      </c>
      <c r="H512" s="241" t="n">
        <v>4.25</v>
      </c>
      <c r="I512" s="241" t="n">
        <v>-7.5</v>
      </c>
      <c r="J512" s="241" t="n">
        <v>-1.25</v>
      </c>
      <c r="K512" s="241" t="n">
        <v>48.67</v>
      </c>
      <c r="L512" s="242" t="n">
        <v>355697</v>
      </c>
      <c r="M512" s="241" t="n">
        <v>4.14</v>
      </c>
      <c r="N512" s="241" t="n">
        <v>-15.11</v>
      </c>
      <c r="O512" s="241" t="n">
        <v>-19.76</v>
      </c>
      <c r="P512" s="241" t="n">
        <v>1.81</v>
      </c>
    </row>
    <row r="513">
      <c r="A513" s="282" t="inlineStr">
        <is>
          <t>2008-02-15</t>
        </is>
      </c>
      <c r="B513" s="240">
        <f>IFERROR(1/P513-1,B512)</f>
        <v/>
      </c>
      <c r="C513" s="240">
        <f>$C$3</f>
        <v/>
      </c>
      <c r="D513" s="240">
        <f>$D$3</f>
        <v/>
      </c>
      <c r="E513" s="240">
        <f>$E$3</f>
        <v/>
      </c>
      <c r="F513" s="241" t="n">
        <v>91.56999999999999</v>
      </c>
      <c r="G513" s="242" t="n">
        <v>948848</v>
      </c>
      <c r="H513" s="241" t="n">
        <v>4.19</v>
      </c>
      <c r="I513" s="241" t="n">
        <v>-4.63</v>
      </c>
      <c r="J513" s="241" t="n">
        <v>2.89</v>
      </c>
      <c r="K513" s="241" t="n">
        <v>48.12</v>
      </c>
      <c r="L513" s="242" t="n">
        <v>336528</v>
      </c>
      <c r="M513" s="241" t="n">
        <v>-0.95</v>
      </c>
      <c r="N513" s="241" t="n">
        <v>-9.83</v>
      </c>
      <c r="O513" s="241" t="n">
        <v>-20.52</v>
      </c>
      <c r="P513" s="241" t="n">
        <v>1.9</v>
      </c>
    </row>
    <row r="514">
      <c r="A514" s="282" t="inlineStr">
        <is>
          <t>2008-02-18</t>
        </is>
      </c>
      <c r="B514" s="240">
        <f>IFERROR(1/P514-1,B513)</f>
        <v/>
      </c>
      <c r="C514" s="240">
        <f>$C$3</f>
        <v/>
      </c>
      <c r="D514" s="240">
        <f>$D$3</f>
        <v/>
      </c>
      <c r="E514" s="240">
        <f>$E$3</f>
        <v/>
      </c>
      <c r="F514" s="241" t="n">
        <v>91.06</v>
      </c>
      <c r="G514" s="242" t="n">
        <v>183874</v>
      </c>
      <c r="H514" s="241" t="n">
        <v>-0.5600000000000001</v>
      </c>
      <c r="I514" s="241" t="n">
        <v>1.14</v>
      </c>
      <c r="J514" s="241" t="n">
        <v>2.31</v>
      </c>
      <c r="K514" s="241" t="n">
        <v>46.91</v>
      </c>
      <c r="L514" s="242" t="n">
        <v>984274</v>
      </c>
      <c r="M514" s="241" t="n">
        <v>-2.39</v>
      </c>
      <c r="N514" s="241" t="n">
        <v>-5.46</v>
      </c>
      <c r="O514" s="241" t="n">
        <v>-22.42</v>
      </c>
      <c r="P514" s="241" t="n">
        <v>1.94</v>
      </c>
    </row>
    <row r="515">
      <c r="A515" s="282" t="inlineStr">
        <is>
          <t>2008-02-19</t>
        </is>
      </c>
      <c r="B515" s="240">
        <f>IFERROR(1/P515-1,B514)</f>
        <v/>
      </c>
      <c r="C515" s="240">
        <f>$C$3</f>
        <v/>
      </c>
      <c r="D515" s="240">
        <f>$D$3</f>
        <v/>
      </c>
      <c r="E515" s="240">
        <f>$E$3</f>
        <v/>
      </c>
      <c r="F515" s="241" t="n">
        <v>92.51000000000001</v>
      </c>
      <c r="G515" s="242" t="n">
        <v>379380</v>
      </c>
      <c r="H515" s="241" t="n">
        <v>1.59</v>
      </c>
      <c r="I515" s="241" t="n">
        <v>0.34</v>
      </c>
      <c r="J515" s="241" t="n">
        <v>3.94</v>
      </c>
      <c r="K515" s="241" t="n">
        <v>47.72</v>
      </c>
      <c r="L515" s="242" t="n">
        <v>476000</v>
      </c>
      <c r="M515" s="241" t="n">
        <v>1.86</v>
      </c>
      <c r="N515" s="241" t="n">
        <v>0</v>
      </c>
      <c r="O515" s="241" t="n">
        <v>-20.97</v>
      </c>
      <c r="P515" s="241" t="n">
        <v>1.94</v>
      </c>
    </row>
    <row r="516">
      <c r="A516" s="282" t="inlineStr">
        <is>
          <t>2008-02-20</t>
        </is>
      </c>
      <c r="B516" s="240">
        <f>IFERROR(1/P516-1,B515)</f>
        <v/>
      </c>
      <c r="C516" s="240">
        <f>$C$3</f>
        <v/>
      </c>
      <c r="D516" s="240">
        <f>$D$3</f>
        <v/>
      </c>
      <c r="E516" s="240">
        <f>$E$3</f>
        <v/>
      </c>
      <c r="F516" s="241" t="n">
        <v>93.03</v>
      </c>
      <c r="G516" s="242" t="n">
        <v>381348</v>
      </c>
      <c r="H516" s="241" t="n">
        <v>0.5600000000000001</v>
      </c>
      <c r="I516" s="241" t="n">
        <v>0.9</v>
      </c>
      <c r="J516" s="241" t="n">
        <v>4.53</v>
      </c>
      <c r="K516" s="241" t="n">
        <v>46.34</v>
      </c>
      <c r="L516" s="242" t="n">
        <v>847844</v>
      </c>
      <c r="M516" s="241" t="n">
        <v>-2.69</v>
      </c>
      <c r="N516" s="241" t="n">
        <v>-2.69</v>
      </c>
      <c r="O516" s="241" t="n">
        <v>-23.1</v>
      </c>
      <c r="P516" s="241" t="n">
        <v>2.01</v>
      </c>
    </row>
    <row r="517">
      <c r="A517" s="282" t="inlineStr">
        <is>
          <t>2008-02-21</t>
        </is>
      </c>
      <c r="B517" s="240">
        <f>IFERROR(1/P517-1,B516)</f>
        <v/>
      </c>
      <c r="C517" s="240">
        <f>$C$3</f>
        <v/>
      </c>
      <c r="D517" s="240">
        <f>$D$3</f>
        <v/>
      </c>
      <c r="E517" s="240">
        <f>$E$3</f>
        <v/>
      </c>
      <c r="F517" s="241" t="n">
        <v>95.48</v>
      </c>
      <c r="G517" s="242" t="n">
        <v>402237</v>
      </c>
      <c r="H517" s="241" t="n">
        <v>2.63</v>
      </c>
      <c r="I517" s="241" t="n">
        <v>3.56</v>
      </c>
      <c r="J517" s="241" t="n">
        <v>7.28</v>
      </c>
      <c r="K517" s="241" t="n">
        <v>46.06</v>
      </c>
      <c r="L517" s="242" t="n">
        <v>170146</v>
      </c>
      <c r="M517" s="241" t="n">
        <v>-0.6899999999999999</v>
      </c>
      <c r="N517" s="241" t="n">
        <v>-3.37</v>
      </c>
      <c r="O517" s="241" t="n">
        <v>-23.63</v>
      </c>
      <c r="P517" s="241" t="n">
        <v>2.07</v>
      </c>
    </row>
    <row r="518">
      <c r="A518" s="282" t="inlineStr">
        <is>
          <t>2008-02-22</t>
        </is>
      </c>
      <c r="B518" s="240">
        <f>IFERROR(1/P518-1,B517)</f>
        <v/>
      </c>
      <c r="C518" s="240">
        <f>$C$3</f>
        <v/>
      </c>
      <c r="D518" s="240">
        <f>$D$3</f>
        <v/>
      </c>
      <c r="E518" s="240">
        <f>$E$3</f>
        <v/>
      </c>
      <c r="F518" s="241" t="n">
        <v>95.45</v>
      </c>
      <c r="G518" s="242" t="n">
        <v>429731</v>
      </c>
      <c r="H518" s="241" t="n">
        <v>-0.03</v>
      </c>
      <c r="I518" s="241" t="n">
        <v>6.3</v>
      </c>
      <c r="J518" s="241" t="n">
        <v>7.25</v>
      </c>
      <c r="K518" s="241" t="n">
        <v>45.36</v>
      </c>
      <c r="L518" s="242" t="n">
        <v>409634</v>
      </c>
      <c r="M518" s="241" t="n">
        <v>-1.49</v>
      </c>
      <c r="N518" s="241" t="n">
        <v>4.43</v>
      </c>
      <c r="O518" s="241" t="n">
        <v>-24.77</v>
      </c>
      <c r="P518" s="241" t="n">
        <v>2.1</v>
      </c>
    </row>
    <row r="519">
      <c r="A519" s="282" t="inlineStr">
        <is>
          <t>2008-02-25</t>
        </is>
      </c>
      <c r="B519" s="240">
        <f>IFERROR(1/P519-1,B518)</f>
        <v/>
      </c>
      <c r="C519" s="240">
        <f>$C$3</f>
        <v/>
      </c>
      <c r="D519" s="240">
        <f>$D$3</f>
        <v/>
      </c>
      <c r="E519" s="240">
        <f>$E$3</f>
        <v/>
      </c>
      <c r="F519" s="241" t="n">
        <v>91.59</v>
      </c>
      <c r="G519" s="242" t="n">
        <v>379627</v>
      </c>
      <c r="H519" s="241" t="n">
        <v>-4.04</v>
      </c>
      <c r="I519" s="241" t="n">
        <v>3.43</v>
      </c>
      <c r="J519" s="241" t="n">
        <v>2.91</v>
      </c>
      <c r="K519" s="241" t="n">
        <v>45.46</v>
      </c>
      <c r="L519" s="242" t="n">
        <v>303313</v>
      </c>
      <c r="M519" s="241" t="n">
        <v>0.2</v>
      </c>
      <c r="N519" s="241" t="n">
        <v>10.47</v>
      </c>
      <c r="O519" s="241" t="n">
        <v>-24.62</v>
      </c>
      <c r="P519" s="241" t="n">
        <v>2.01</v>
      </c>
    </row>
    <row r="520">
      <c r="A520" s="282" t="inlineStr">
        <is>
          <t>2008-02-26</t>
        </is>
      </c>
      <c r="B520" s="240">
        <f>IFERROR(1/P520-1,B519)</f>
        <v/>
      </c>
      <c r="C520" s="240">
        <f>$C$3</f>
        <v/>
      </c>
      <c r="D520" s="240">
        <f>$D$3</f>
        <v/>
      </c>
      <c r="E520" s="240">
        <f>$E$3</f>
        <v/>
      </c>
      <c r="F520" s="241" t="n">
        <v>86.86</v>
      </c>
      <c r="G520" s="242" t="n">
        <v>261400</v>
      </c>
      <c r="H520" s="241" t="n">
        <v>-5.16</v>
      </c>
      <c r="I520" s="241" t="n">
        <v>-0.02</v>
      </c>
      <c r="J520" s="241" t="n">
        <v>-2.4</v>
      </c>
      <c r="K520" s="241" t="n">
        <v>44.85</v>
      </c>
      <c r="L520" s="242" t="n">
        <v>350466</v>
      </c>
      <c r="M520" s="241" t="n">
        <v>-1.41</v>
      </c>
      <c r="N520" s="241" t="n">
        <v>4.49</v>
      </c>
      <c r="O520" s="241" t="n">
        <v>-25.68</v>
      </c>
      <c r="P520" s="241" t="n">
        <v>1.94</v>
      </c>
    </row>
    <row r="521">
      <c r="A521" s="282" t="inlineStr">
        <is>
          <t>2008-02-27</t>
        </is>
      </c>
      <c r="B521" s="240">
        <f>IFERROR(1/P521-1,B520)</f>
        <v/>
      </c>
      <c r="C521" s="240">
        <f>$C$3</f>
        <v/>
      </c>
      <c r="D521" s="240">
        <f>$D$3</f>
        <v/>
      </c>
      <c r="E521" s="240">
        <f>$E$3</f>
        <v/>
      </c>
      <c r="F521" s="241" t="n">
        <v>85.47</v>
      </c>
      <c r="G521" s="242" t="n">
        <v>977010</v>
      </c>
      <c r="H521" s="241" t="n">
        <v>-1.6</v>
      </c>
      <c r="I521" s="241" t="n">
        <v>-1.62</v>
      </c>
      <c r="J521" s="241" t="n">
        <v>-3.97</v>
      </c>
      <c r="K521" s="241" t="n">
        <v>44.38</v>
      </c>
      <c r="L521" s="242" t="n">
        <v>1339014</v>
      </c>
      <c r="M521" s="241" t="n">
        <v>-1.02</v>
      </c>
      <c r="N521" s="241" t="n">
        <v>3.42</v>
      </c>
      <c r="O521" s="241" t="n">
        <v>-26.44</v>
      </c>
      <c r="P521" s="241" t="n">
        <v>1.93</v>
      </c>
    </row>
    <row r="522">
      <c r="A522" s="282" t="inlineStr">
        <is>
          <t>2008-02-28</t>
        </is>
      </c>
      <c r="B522" s="240">
        <f>IFERROR(1/P522-1,B521)</f>
        <v/>
      </c>
      <c r="C522" s="240">
        <f>$C$3</f>
        <v/>
      </c>
      <c r="D522" s="240">
        <f>$D$3</f>
        <v/>
      </c>
      <c r="E522" s="240">
        <f>$E$3</f>
        <v/>
      </c>
      <c r="F522" s="241" t="n">
        <v>84.7</v>
      </c>
      <c r="G522" s="242" t="n">
        <v>394067</v>
      </c>
      <c r="H522" s="241" t="n">
        <v>-0.9</v>
      </c>
      <c r="I522" s="241" t="n">
        <v>-2.51</v>
      </c>
      <c r="J522" s="241" t="n">
        <v>-4.83</v>
      </c>
      <c r="K522" s="241" t="n">
        <v>44.01</v>
      </c>
      <c r="L522" s="242" t="n">
        <v>1748446</v>
      </c>
      <c r="M522" s="241" t="n">
        <v>-0.62</v>
      </c>
      <c r="N522" s="241" t="n">
        <v>2.78</v>
      </c>
      <c r="O522" s="241" t="n">
        <v>-26.9</v>
      </c>
      <c r="P522" s="241" t="n">
        <v>1.92</v>
      </c>
    </row>
    <row r="523">
      <c r="A523" s="282" t="inlineStr">
        <is>
          <t>2008-02-29</t>
        </is>
      </c>
      <c r="B523" s="240">
        <f>IFERROR(1/P523-1,B522)</f>
        <v/>
      </c>
      <c r="C523" s="240">
        <f>$C$3</f>
        <v/>
      </c>
      <c r="D523" s="240">
        <f>$D$3</f>
        <v/>
      </c>
      <c r="E523" s="240">
        <f>$E$3</f>
        <v/>
      </c>
      <c r="F523" s="241" t="n">
        <v>86.89</v>
      </c>
      <c r="G523" s="242" t="n">
        <v>521512</v>
      </c>
      <c r="H523" s="241" t="n">
        <v>2.59</v>
      </c>
      <c r="I523" s="241" t="n">
        <v>2.14</v>
      </c>
      <c r="J523" s="241" t="n">
        <v>-2.37</v>
      </c>
      <c r="K523" s="241" t="n">
        <v>43.39</v>
      </c>
      <c r="L523" s="242" t="n">
        <v>3126319</v>
      </c>
      <c r="M523" s="241" t="n">
        <v>-1.25</v>
      </c>
      <c r="N523" s="241" t="n">
        <v>2.81</v>
      </c>
      <c r="O523" s="241" t="n">
        <v>-27.81</v>
      </c>
      <c r="P523" s="241" t="n">
        <v>2</v>
      </c>
    </row>
    <row r="524">
      <c r="A524" s="282" t="inlineStr">
        <is>
          <t>2008-03-03</t>
        </is>
      </c>
      <c r="B524" s="240">
        <f>IFERROR(1/P524-1,B523)</f>
        <v/>
      </c>
      <c r="C524" s="240">
        <f>$C$3</f>
        <v/>
      </c>
      <c r="D524" s="240">
        <f>$D$3</f>
        <v/>
      </c>
      <c r="E524" s="240">
        <f>$E$3</f>
        <v/>
      </c>
      <c r="F524" s="241" t="n">
        <v>89.18000000000001</v>
      </c>
      <c r="G524" s="242" t="n">
        <v>608221</v>
      </c>
      <c r="H524" s="241" t="n">
        <v>2.64</v>
      </c>
      <c r="I524" s="241" t="n">
        <v>10.65</v>
      </c>
      <c r="J524" s="241" t="n">
        <v>0.2</v>
      </c>
      <c r="K524" s="241" t="n">
        <v>41.97</v>
      </c>
      <c r="L524" s="242" t="n">
        <v>2233366</v>
      </c>
      <c r="M524" s="241" t="n">
        <v>-3.26</v>
      </c>
      <c r="N524" s="241" t="n">
        <v>-4.47</v>
      </c>
      <c r="O524" s="241" t="n">
        <v>-30.17</v>
      </c>
      <c r="P524" s="241" t="n">
        <v>2.12</v>
      </c>
    </row>
    <row r="525">
      <c r="A525" s="282" t="inlineStr">
        <is>
          <t>2008-03-04</t>
        </is>
      </c>
      <c r="B525" s="240">
        <f>IFERROR(1/P525-1,B524)</f>
        <v/>
      </c>
      <c r="C525" s="240">
        <f>$C$3</f>
        <v/>
      </c>
      <c r="D525" s="240">
        <f>$D$3</f>
        <v/>
      </c>
      <c r="E525" s="240">
        <f>$E$3</f>
        <v/>
      </c>
      <c r="F525" s="241" t="n">
        <v>88.26000000000001</v>
      </c>
      <c r="G525" s="242" t="n">
        <v>902800</v>
      </c>
      <c r="H525" s="241" t="n">
        <v>-1.03</v>
      </c>
      <c r="I525" s="241" t="n">
        <v>9.5</v>
      </c>
      <c r="J525" s="241" t="n">
        <v>-0.83</v>
      </c>
      <c r="K525" s="241" t="n">
        <v>39.46</v>
      </c>
      <c r="L525" s="242" t="n">
        <v>778757</v>
      </c>
      <c r="M525" s="241" t="n">
        <v>-6.09</v>
      </c>
      <c r="N525" s="241" t="n">
        <v>-10.29</v>
      </c>
      <c r="O525" s="241" t="n">
        <v>-34.42</v>
      </c>
      <c r="P525" s="241" t="n">
        <v>2.24</v>
      </c>
    </row>
    <row r="526">
      <c r="A526" s="282" t="inlineStr">
        <is>
          <t>2008-03-05</t>
        </is>
      </c>
      <c r="B526" s="240">
        <f>IFERROR(1/P526-1,B525)</f>
        <v/>
      </c>
      <c r="C526" s="240">
        <f>$C$3</f>
        <v/>
      </c>
      <c r="D526" s="240">
        <f>$D$3</f>
        <v/>
      </c>
      <c r="E526" s="240">
        <f>$E$3</f>
        <v/>
      </c>
      <c r="F526" s="241" t="n">
        <v>87</v>
      </c>
      <c r="G526" s="242" t="n">
        <v>948059</v>
      </c>
      <c r="H526" s="241" t="n">
        <v>-1.43</v>
      </c>
      <c r="I526" s="241" t="n">
        <v>1.07</v>
      </c>
      <c r="J526" s="241" t="n">
        <v>-2.25</v>
      </c>
      <c r="K526" s="241" t="n">
        <v>38.82</v>
      </c>
      <c r="L526" s="242" t="n">
        <v>736636</v>
      </c>
      <c r="M526" s="241" t="n">
        <v>-1.62</v>
      </c>
      <c r="N526" s="241" t="n">
        <v>-17.73</v>
      </c>
      <c r="O526" s="241" t="n">
        <v>-35.49</v>
      </c>
      <c r="P526" s="241" t="n">
        <v>2.24</v>
      </c>
    </row>
    <row r="527">
      <c r="A527" s="282" t="inlineStr">
        <is>
          <t>2008-03-06</t>
        </is>
      </c>
      <c r="B527" s="240">
        <f>IFERROR(1/P527-1,B526)</f>
        <v/>
      </c>
      <c r="C527" s="240">
        <f>$C$3</f>
        <v/>
      </c>
      <c r="D527" s="240">
        <f>$D$3</f>
        <v/>
      </c>
      <c r="E527" s="240">
        <f>$E$3</f>
        <v/>
      </c>
      <c r="F527" s="241" t="n">
        <v>86.37</v>
      </c>
      <c r="G527" s="242" t="n">
        <v>596773</v>
      </c>
      <c r="H527" s="241" t="n">
        <v>-0.72</v>
      </c>
      <c r="I527" s="241" t="n">
        <v>2.35</v>
      </c>
      <c r="J527" s="241" t="n">
        <v>-2.96</v>
      </c>
      <c r="K527" s="241" t="n">
        <v>39.12</v>
      </c>
      <c r="L527" s="242" t="n">
        <v>256210</v>
      </c>
      <c r="M527" s="241" t="n">
        <v>0.82</v>
      </c>
      <c r="N527" s="241" t="n">
        <v>-18.94</v>
      </c>
      <c r="O527" s="241" t="n">
        <v>-34.95</v>
      </c>
      <c r="P527" s="241" t="n">
        <v>2.21</v>
      </c>
    </row>
    <row r="528">
      <c r="A528" s="282" t="inlineStr">
        <is>
          <t>2008-03-07</t>
        </is>
      </c>
      <c r="B528" s="240">
        <f>IFERROR(1/P528-1,B527)</f>
        <v/>
      </c>
      <c r="C528" s="240">
        <f>$C$3</f>
        <v/>
      </c>
      <c r="D528" s="240">
        <f>$D$3</f>
        <v/>
      </c>
      <c r="E528" s="240">
        <f>$E$3</f>
        <v/>
      </c>
      <c r="F528" s="241" t="n">
        <v>84.91</v>
      </c>
      <c r="G528" s="242" t="n">
        <v>480844</v>
      </c>
      <c r="H528" s="241" t="n">
        <v>-1.69</v>
      </c>
      <c r="I528" s="241" t="n">
        <v>0.62</v>
      </c>
      <c r="J528" s="241" t="n">
        <v>-4.6</v>
      </c>
      <c r="K528" s="241" t="n">
        <v>37.25</v>
      </c>
      <c r="L528" s="242" t="n">
        <v>385637</v>
      </c>
      <c r="M528" s="241" t="n">
        <v>-4.67</v>
      </c>
      <c r="N528" s="241" t="n">
        <v>-19.21</v>
      </c>
      <c r="O528" s="241" t="n">
        <v>-37.99</v>
      </c>
      <c r="P528" s="241" t="n">
        <v>2.28</v>
      </c>
    </row>
    <row r="529">
      <c r="A529" s="282" t="inlineStr">
        <is>
          <t>2008-03-10</t>
        </is>
      </c>
      <c r="B529" s="240">
        <f>IFERROR(1/P529-1,B528)</f>
        <v/>
      </c>
      <c r="C529" s="240">
        <f>$C$3</f>
        <v/>
      </c>
      <c r="D529" s="240">
        <f>$D$3</f>
        <v/>
      </c>
      <c r="E529" s="240">
        <f>$E$3</f>
        <v/>
      </c>
      <c r="F529" s="241" t="n">
        <v>76.59</v>
      </c>
      <c r="G529" s="242" t="n">
        <v>2560706</v>
      </c>
      <c r="H529" s="241" t="n">
        <v>-9.800000000000001</v>
      </c>
      <c r="I529" s="241" t="n">
        <v>-9.24</v>
      </c>
      <c r="J529" s="241" t="n">
        <v>-13.94</v>
      </c>
      <c r="K529" s="241" t="n">
        <v>35.24</v>
      </c>
      <c r="L529" s="242" t="n">
        <v>1262789</v>
      </c>
      <c r="M529" s="241" t="n">
        <v>-5.39</v>
      </c>
      <c r="N529" s="241" t="n">
        <v>-23.56</v>
      </c>
      <c r="O529" s="241" t="n">
        <v>-41.34</v>
      </c>
      <c r="P529" s="241" t="n">
        <v>2.17</v>
      </c>
    </row>
    <row r="530">
      <c r="A530" s="282" t="inlineStr">
        <is>
          <t>2008-03-11</t>
        </is>
      </c>
      <c r="B530" s="240">
        <f>IFERROR(1/P530-1,B529)</f>
        <v/>
      </c>
      <c r="C530" s="240">
        <f>$C$3</f>
        <v/>
      </c>
      <c r="D530" s="240">
        <f>$D$3</f>
        <v/>
      </c>
      <c r="E530" s="240">
        <f>$E$3</f>
        <v/>
      </c>
      <c r="F530" s="241" t="n">
        <v>71.06</v>
      </c>
      <c r="G530" s="242" t="n">
        <v>2083483</v>
      </c>
      <c r="H530" s="241" t="n">
        <v>-7.22</v>
      </c>
      <c r="I530" s="241" t="n">
        <v>-15.8</v>
      </c>
      <c r="J530" s="241" t="n">
        <v>-20.16</v>
      </c>
      <c r="K530" s="241" t="n">
        <v>34.65</v>
      </c>
      <c r="L530" s="242" t="n">
        <v>482071</v>
      </c>
      <c r="M530" s="241" t="n">
        <v>-1.55</v>
      </c>
      <c r="N530" s="241" t="n">
        <v>-24.75</v>
      </c>
      <c r="O530" s="241" t="n">
        <v>-42.25</v>
      </c>
      <c r="P530" s="241" t="n">
        <v>2.05</v>
      </c>
    </row>
    <row r="531">
      <c r="A531" s="282" t="inlineStr">
        <is>
          <t>2008-03-12</t>
        </is>
      </c>
      <c r="B531" s="240">
        <f>IFERROR(1/P531-1,B530)</f>
        <v/>
      </c>
      <c r="C531" s="240">
        <f>$C$3</f>
        <v/>
      </c>
      <c r="D531" s="240">
        <f>$D$3</f>
        <v/>
      </c>
      <c r="E531" s="240">
        <f>$E$3</f>
        <v/>
      </c>
      <c r="F531" s="241" t="n">
        <v>69.98999999999999</v>
      </c>
      <c r="G531" s="242" t="n">
        <v>2110527</v>
      </c>
      <c r="H531" s="241" t="n">
        <v>-1.51</v>
      </c>
      <c r="I531" s="241" t="n">
        <v>-17.06</v>
      </c>
      <c r="J531" s="241" t="n">
        <v>-21.36</v>
      </c>
      <c r="K531" s="241" t="n">
        <v>34.72</v>
      </c>
      <c r="L531" s="242" t="n">
        <v>1144168</v>
      </c>
      <c r="M531" s="241" t="n">
        <v>0.13</v>
      </c>
      <c r="N531" s="241" t="n">
        <v>-24.13</v>
      </c>
      <c r="O531" s="241" t="n">
        <v>-42.17</v>
      </c>
      <c r="P531" s="241" t="n">
        <v>2.02</v>
      </c>
    </row>
    <row r="532">
      <c r="A532" s="282" t="inlineStr">
        <is>
          <t>2008-03-13</t>
        </is>
      </c>
      <c r="B532" s="240">
        <f>IFERROR(1/P532-1,B531)</f>
        <v/>
      </c>
      <c r="C532" s="240">
        <f>$C$3</f>
        <v/>
      </c>
      <c r="D532" s="240">
        <f>$D$3</f>
        <v/>
      </c>
      <c r="E532" s="240">
        <f>$E$3</f>
        <v/>
      </c>
      <c r="F532" s="241" t="n">
        <v>66.59999999999999</v>
      </c>
      <c r="G532" s="242" t="n">
        <v>2001473</v>
      </c>
      <c r="H532" s="241" t="n">
        <v>-4.84</v>
      </c>
      <c r="I532" s="241" t="n">
        <v>-21.08</v>
      </c>
      <c r="J532" s="241" t="n">
        <v>-25.17</v>
      </c>
      <c r="K532" s="241" t="n">
        <v>32.8</v>
      </c>
      <c r="L532" s="242" t="n">
        <v>580432</v>
      </c>
      <c r="M532" s="241" t="n">
        <v>-5.39</v>
      </c>
      <c r="N532" s="241" t="n">
        <v>-28</v>
      </c>
      <c r="O532" s="241" t="n">
        <v>-45.29</v>
      </c>
      <c r="P532" s="241" t="n">
        <v>2.03</v>
      </c>
    </row>
    <row r="533">
      <c r="A533" s="282" t="inlineStr">
        <is>
          <t>2008-03-14</t>
        </is>
      </c>
      <c r="B533" s="240">
        <f>IFERROR(1/P533-1,B532)</f>
        <v/>
      </c>
      <c r="C533" s="240">
        <f>$C$3</f>
        <v/>
      </c>
      <c r="D533" s="240">
        <f>$D$3</f>
        <v/>
      </c>
      <c r="E533" s="240">
        <f>$E$3</f>
        <v/>
      </c>
      <c r="F533" s="241" t="n">
        <v>67.11</v>
      </c>
      <c r="G533" s="242" t="n">
        <v>968594</v>
      </c>
      <c r="H533" s="241" t="n">
        <v>0.77</v>
      </c>
      <c r="I533" s="241" t="n">
        <v>-20.4</v>
      </c>
      <c r="J533" s="241" t="n">
        <v>-24.6</v>
      </c>
      <c r="K533" s="241" t="n">
        <v>30.5</v>
      </c>
      <c r="L533" s="242" t="n">
        <v>624079</v>
      </c>
      <c r="M533" s="241" t="n">
        <v>-6.94</v>
      </c>
      <c r="N533" s="241" t="n">
        <v>-33.92</v>
      </c>
      <c r="O533" s="241" t="n">
        <v>-49.09</v>
      </c>
      <c r="P533" s="241" t="n">
        <v>2.2</v>
      </c>
    </row>
    <row r="534">
      <c r="A534" s="282" t="inlineStr">
        <is>
          <t>2008-03-17</t>
        </is>
      </c>
      <c r="B534" s="240">
        <f>IFERROR(1/P534-1,B533)</f>
        <v/>
      </c>
      <c r="C534" s="240">
        <f>$C$3</f>
        <v/>
      </c>
      <c r="D534" s="240">
        <f>$D$3</f>
        <v/>
      </c>
      <c r="E534" s="240">
        <f>$E$3</f>
        <v/>
      </c>
      <c r="F534" s="241" t="n">
        <v>60.4</v>
      </c>
      <c r="G534" s="242" t="n">
        <v>2166209</v>
      </c>
      <c r="H534" s="241" t="n">
        <v>-10</v>
      </c>
      <c r="I534" s="241" t="n">
        <v>-34.04</v>
      </c>
      <c r="J534" s="241" t="n">
        <v>-32.13</v>
      </c>
      <c r="K534" s="241" t="n">
        <v>27.38</v>
      </c>
      <c r="L534" s="242" t="n">
        <v>1911759</v>
      </c>
      <c r="M534" s="241" t="n">
        <v>-10.3</v>
      </c>
      <c r="N534" s="241" t="n">
        <v>-42.54</v>
      </c>
      <c r="O534" s="241" t="n">
        <v>-54.33</v>
      </c>
      <c r="P534" s="241" t="n">
        <v>2.21</v>
      </c>
    </row>
    <row r="535">
      <c r="A535" s="282" t="inlineStr">
        <is>
          <t>2008-03-18</t>
        </is>
      </c>
      <c r="B535" s="240">
        <f>IFERROR(1/P535-1,B534)</f>
        <v/>
      </c>
      <c r="C535" s="240">
        <f>$C$3</f>
        <v/>
      </c>
      <c r="D535" s="240">
        <f>$D$3</f>
        <v/>
      </c>
      <c r="E535" s="240">
        <f>$E$3</f>
        <v/>
      </c>
      <c r="F535" s="241" t="n">
        <v>55.99</v>
      </c>
      <c r="G535" s="242" t="n">
        <v>4449750</v>
      </c>
      <c r="H535" s="241" t="n">
        <v>-7.3</v>
      </c>
      <c r="I535" s="241" t="n">
        <v>-38.86</v>
      </c>
      <c r="J535" s="241" t="n">
        <v>-37.09</v>
      </c>
      <c r="K535" s="241" t="n">
        <v>23.92</v>
      </c>
      <c r="L535" s="242" t="n">
        <v>3372843</v>
      </c>
      <c r="M535" s="241" t="n">
        <v>-12.81</v>
      </c>
      <c r="N535" s="241" t="n">
        <v>-49.9</v>
      </c>
      <c r="O535" s="241" t="n">
        <v>-60.18</v>
      </c>
      <c r="P535" s="241" t="n">
        <v>2.34</v>
      </c>
    </row>
    <row r="536">
      <c r="A536" s="282" t="inlineStr">
        <is>
          <t>2008-03-19</t>
        </is>
      </c>
      <c r="B536" s="240">
        <f>IFERROR(1/P536-1,B535)</f>
        <v/>
      </c>
      <c r="C536" s="240">
        <f>$C$3</f>
        <v/>
      </c>
      <c r="D536" s="240">
        <f>$D$3</f>
        <v/>
      </c>
      <c r="E536" s="240">
        <f>$E$3</f>
        <v/>
      </c>
      <c r="F536" s="241" t="n">
        <v>57.39</v>
      </c>
      <c r="G536" s="242" t="n">
        <v>1438598</v>
      </c>
      <c r="H536" s="241" t="n">
        <v>2.5</v>
      </c>
      <c r="I536" s="241" t="n">
        <v>-36.98</v>
      </c>
      <c r="J536" s="241" t="n">
        <v>-35.52</v>
      </c>
      <c r="K536" s="241" t="n">
        <v>24.4</v>
      </c>
      <c r="L536" s="242" t="n">
        <v>3868493</v>
      </c>
      <c r="M536" s="241" t="n">
        <v>2.48</v>
      </c>
      <c r="N536" s="241" t="n">
        <v>-47.4</v>
      </c>
      <c r="O536" s="241" t="n">
        <v>-59.19</v>
      </c>
      <c r="P536" s="241" t="n">
        <v>2.35</v>
      </c>
    </row>
    <row r="537">
      <c r="A537" s="282" t="inlineStr">
        <is>
          <t>2008-03-20</t>
        </is>
      </c>
      <c r="B537" s="240">
        <f>IFERROR(1/P537-1,B536)</f>
        <v/>
      </c>
      <c r="C537" s="240">
        <f>$C$3</f>
        <v/>
      </c>
      <c r="D537" s="240">
        <f>$D$3</f>
        <v/>
      </c>
      <c r="E537" s="240">
        <f>$E$3</f>
        <v/>
      </c>
      <c r="F537" s="241" t="n">
        <v>60.82</v>
      </c>
      <c r="G537" s="242" t="n">
        <v>2241036</v>
      </c>
      <c r="H537" s="241" t="n">
        <v>5.98</v>
      </c>
      <c r="I537" s="241" t="n">
        <v>-34.26</v>
      </c>
      <c r="J537" s="241" t="n">
        <v>-31.66</v>
      </c>
      <c r="K537" s="241" t="n">
        <v>25.4</v>
      </c>
      <c r="L537" s="242" t="n">
        <v>2573978</v>
      </c>
      <c r="M537" s="241" t="n">
        <v>4.28</v>
      </c>
      <c r="N537" s="241" t="n">
        <v>-46.15</v>
      </c>
      <c r="O537" s="241" t="n">
        <v>-57.45</v>
      </c>
      <c r="P537" s="241" t="n">
        <v>2.39</v>
      </c>
    </row>
    <row r="538">
      <c r="A538" s="282" t="inlineStr">
        <is>
          <t>2008-03-21</t>
        </is>
      </c>
      <c r="B538" s="240">
        <f>IFERROR(1/P538-1,B537)</f>
        <v/>
      </c>
      <c r="C538" s="240">
        <f>$C$3</f>
        <v/>
      </c>
      <c r="D538" s="240">
        <f>$D$3</f>
        <v/>
      </c>
      <c r="E538" s="240">
        <f>$E$3</f>
        <v/>
      </c>
      <c r="F538" s="241" t="n">
        <v>59.41</v>
      </c>
      <c r="G538" s="242" t="n">
        <v>1272405</v>
      </c>
      <c r="H538" s="241" t="n">
        <v>-2.32</v>
      </c>
      <c r="I538" s="241" t="n">
        <v>-36.14</v>
      </c>
      <c r="J538" s="241" t="n">
        <v>-33.25</v>
      </c>
      <c r="K538" s="239" t="inlineStr">
        <is>
          <t>--</t>
        </is>
      </c>
      <c r="L538" s="239" t="inlineStr">
        <is>
          <t>--</t>
        </is>
      </c>
      <c r="M538" s="239" t="inlineStr">
        <is>
          <t>--</t>
        </is>
      </c>
      <c r="N538" s="239" t="inlineStr">
        <is>
          <t>--</t>
        </is>
      </c>
      <c r="O538" s="239" t="inlineStr">
        <is>
          <t>--</t>
        </is>
      </c>
      <c r="P538" s="239" t="inlineStr">
        <is>
          <t>--</t>
        </is>
      </c>
    </row>
    <row r="539">
      <c r="A539" s="282" t="inlineStr">
        <is>
          <t>2008-03-24</t>
        </is>
      </c>
      <c r="B539" s="240">
        <f>IFERROR(1/P539-1,B538)</f>
        <v/>
      </c>
      <c r="C539" s="240">
        <f>$C$3</f>
        <v/>
      </c>
      <c r="D539" s="240">
        <f>$D$3</f>
        <v/>
      </c>
      <c r="E539" s="240">
        <f>$E$3</f>
        <v/>
      </c>
      <c r="F539" s="241" t="n">
        <v>58.9</v>
      </c>
      <c r="G539" s="242" t="n">
        <v>1890210</v>
      </c>
      <c r="H539" s="241" t="n">
        <v>-0.86</v>
      </c>
      <c r="I539" s="241" t="n">
        <v>-38.29</v>
      </c>
      <c r="J539" s="241" t="n">
        <v>-33.82</v>
      </c>
      <c r="K539" s="239" t="inlineStr">
        <is>
          <t>--</t>
        </is>
      </c>
      <c r="L539" s="239" t="inlineStr">
        <is>
          <t>--</t>
        </is>
      </c>
      <c r="M539" s="239" t="inlineStr">
        <is>
          <t>--</t>
        </is>
      </c>
      <c r="N539" s="239" t="inlineStr">
        <is>
          <t>--</t>
        </is>
      </c>
      <c r="O539" s="239" t="inlineStr">
        <is>
          <t>--</t>
        </is>
      </c>
      <c r="P539" s="239" t="inlineStr">
        <is>
          <t>--</t>
        </is>
      </c>
    </row>
    <row r="540">
      <c r="A540" s="282" t="inlineStr">
        <is>
          <t>2008-03-25</t>
        </is>
      </c>
      <c r="B540" s="240">
        <f>IFERROR(1/P540-1,B539)</f>
        <v/>
      </c>
      <c r="C540" s="240">
        <f>$C$3</f>
        <v/>
      </c>
      <c r="D540" s="240">
        <f>$D$3</f>
        <v/>
      </c>
      <c r="E540" s="240">
        <f>$E$3</f>
        <v/>
      </c>
      <c r="F540" s="241" t="n">
        <v>59.99</v>
      </c>
      <c r="G540" s="242" t="n">
        <v>1677641</v>
      </c>
      <c r="H540" s="241" t="n">
        <v>1.85</v>
      </c>
      <c r="I540" s="241" t="n">
        <v>-37.15</v>
      </c>
      <c r="J540" s="241" t="n">
        <v>-32.6</v>
      </c>
      <c r="K540" s="241" t="n">
        <v>28.24</v>
      </c>
      <c r="L540" s="242" t="n">
        <v>2631628</v>
      </c>
      <c r="M540" s="241" t="n">
        <v>11.43</v>
      </c>
      <c r="N540" s="241" t="n">
        <v>-36.97</v>
      </c>
      <c r="O540" s="241" t="n">
        <v>-52.58</v>
      </c>
      <c r="P540" s="241" t="n">
        <v>2.12</v>
      </c>
    </row>
    <row r="541">
      <c r="A541" s="282" t="inlineStr">
        <is>
          <t>2008-03-26</t>
        </is>
      </c>
      <c r="B541" s="240">
        <f>IFERROR(1/P541-1,B540)</f>
        <v/>
      </c>
      <c r="C541" s="240">
        <f>$C$3</f>
        <v/>
      </c>
      <c r="D541" s="240">
        <f>$D$3</f>
        <v/>
      </c>
      <c r="E541" s="240">
        <f>$E$3</f>
        <v/>
      </c>
      <c r="F541" s="241" t="n">
        <v>60.58</v>
      </c>
      <c r="G541" s="242" t="n">
        <v>1323800</v>
      </c>
      <c r="H541" s="241" t="n">
        <v>0.98</v>
      </c>
      <c r="I541" s="241" t="n">
        <v>-33.86</v>
      </c>
      <c r="J541" s="241" t="n">
        <v>-31.93</v>
      </c>
      <c r="K541" s="241" t="n">
        <v>28.03</v>
      </c>
      <c r="L541" s="242" t="n">
        <v>866898</v>
      </c>
      <c r="M541" s="241" t="n">
        <v>-0.48</v>
      </c>
      <c r="N541" s="241" t="n">
        <v>-37.4</v>
      </c>
      <c r="O541" s="241" t="n">
        <v>-52.81</v>
      </c>
      <c r="P541" s="241" t="n">
        <v>2.16</v>
      </c>
    </row>
    <row r="542">
      <c r="A542" s="282" t="inlineStr">
        <is>
          <t>2008-03-27</t>
        </is>
      </c>
      <c r="B542" s="240">
        <f>IFERROR(1/P542-1,B541)</f>
        <v/>
      </c>
      <c r="C542" s="240">
        <f>$C$3</f>
        <v/>
      </c>
      <c r="D542" s="240">
        <f>$D$3</f>
        <v/>
      </c>
      <c r="E542" s="240">
        <f>$E$3</f>
        <v/>
      </c>
      <c r="F542" s="241" t="n">
        <v>56.67</v>
      </c>
      <c r="G542" s="242" t="n">
        <v>1249945</v>
      </c>
      <c r="H542" s="241" t="n">
        <v>-6.45</v>
      </c>
      <c r="I542" s="241" t="n">
        <v>-34.76</v>
      </c>
      <c r="J542" s="241" t="n">
        <v>-36.33</v>
      </c>
      <c r="K542" s="241" t="n">
        <v>29.61</v>
      </c>
      <c r="L542" s="242" t="n">
        <v>1393182</v>
      </c>
      <c r="M542" s="241" t="n">
        <v>5.8</v>
      </c>
      <c r="N542" s="241" t="n">
        <v>-32.82</v>
      </c>
      <c r="O542" s="241" t="n">
        <v>-50.08</v>
      </c>
      <c r="P542" s="241" t="n">
        <v>1.91</v>
      </c>
    </row>
    <row r="543">
      <c r="A543" s="282" t="inlineStr">
        <is>
          <t>2008-03-28</t>
        </is>
      </c>
      <c r="B543" s="240">
        <f>IFERROR(1/P543-1,B542)</f>
        <v/>
      </c>
      <c r="C543" s="240">
        <f>$C$3</f>
        <v/>
      </c>
      <c r="D543" s="240">
        <f>$D$3</f>
        <v/>
      </c>
      <c r="E543" s="240">
        <f>$E$3</f>
        <v/>
      </c>
      <c r="F543" s="241" t="n">
        <v>55.71</v>
      </c>
      <c r="G543" s="242" t="n">
        <v>2317360</v>
      </c>
      <c r="H543" s="241" t="n">
        <v>-1.69</v>
      </c>
      <c r="I543" s="241" t="n">
        <v>-34.82</v>
      </c>
      <c r="J543" s="241" t="n">
        <v>-37.4</v>
      </c>
      <c r="K543" s="241" t="n">
        <v>30.47</v>
      </c>
      <c r="L543" s="242" t="n">
        <v>1430820</v>
      </c>
      <c r="M543" s="241" t="n">
        <v>2.89</v>
      </c>
      <c r="N543" s="241" t="n">
        <v>-30.17</v>
      </c>
      <c r="O543" s="241" t="n">
        <v>-48.63</v>
      </c>
      <c r="P543" s="241" t="n">
        <v>1.83</v>
      </c>
    </row>
    <row r="544">
      <c r="A544" s="282" t="inlineStr">
        <is>
          <t>2008-03-31</t>
        </is>
      </c>
      <c r="B544" s="240">
        <f>IFERROR(1/P544-1,B543)</f>
        <v/>
      </c>
      <c r="C544" s="240">
        <f>$C$3</f>
        <v/>
      </c>
      <c r="D544" s="240">
        <f>$D$3</f>
        <v/>
      </c>
      <c r="E544" s="240">
        <f>$E$3</f>
        <v/>
      </c>
      <c r="F544" s="241" t="n">
        <v>50.14</v>
      </c>
      <c r="G544" s="242" t="n">
        <v>3471955</v>
      </c>
      <c r="H544" s="241" t="n">
        <v>-10</v>
      </c>
      <c r="I544" s="241" t="n">
        <v>-40.8</v>
      </c>
      <c r="J544" s="241" t="n">
        <v>-43.66</v>
      </c>
      <c r="K544" s="241" t="n">
        <v>28.41</v>
      </c>
      <c r="L544" s="242" t="n">
        <v>2417738</v>
      </c>
      <c r="M544" s="241" t="n">
        <v>-6.8</v>
      </c>
      <c r="N544" s="241" t="n">
        <v>-34.51</v>
      </c>
      <c r="O544" s="241" t="n">
        <v>-52.13</v>
      </c>
      <c r="P544" s="241" t="n">
        <v>1.76</v>
      </c>
    </row>
    <row r="545">
      <c r="A545" s="282" t="inlineStr">
        <is>
          <t>2008-04-01</t>
        </is>
      </c>
      <c r="B545" s="240">
        <f>IFERROR(1/P545-1,B544)</f>
        <v/>
      </c>
      <c r="C545" s="240">
        <f>$C$3</f>
        <v/>
      </c>
      <c r="D545" s="240">
        <f>$D$3</f>
        <v/>
      </c>
      <c r="E545" s="240">
        <f>$E$3</f>
        <v/>
      </c>
      <c r="F545" s="241" t="n">
        <v>45.13</v>
      </c>
      <c r="G545" s="242" t="n">
        <v>5129097</v>
      </c>
      <c r="H545" s="241" t="n">
        <v>-9.99</v>
      </c>
      <c r="I545" s="241" t="n">
        <v>-48.06</v>
      </c>
      <c r="J545" s="241" t="n">
        <v>-49.29</v>
      </c>
      <c r="K545" s="241" t="n">
        <v>28.14</v>
      </c>
      <c r="L545" s="242" t="n">
        <v>1676103</v>
      </c>
      <c r="M545" s="241" t="n">
        <v>-0.95</v>
      </c>
      <c r="N545" s="241" t="n">
        <v>-34.32</v>
      </c>
      <c r="O545" s="241" t="n">
        <v>-52.58</v>
      </c>
      <c r="P545" s="241" t="n">
        <v>1.6</v>
      </c>
    </row>
    <row r="546">
      <c r="A546" s="282" t="inlineStr">
        <is>
          <t>2008-04-02</t>
        </is>
      </c>
      <c r="B546" s="240">
        <f>IFERROR(1/P546-1,B545)</f>
        <v/>
      </c>
      <c r="C546" s="240">
        <f>$C$3</f>
        <v/>
      </c>
      <c r="D546" s="240">
        <f>$D$3</f>
        <v/>
      </c>
      <c r="E546" s="240">
        <f>$E$3</f>
        <v/>
      </c>
      <c r="F546" s="241" t="n">
        <v>41.65</v>
      </c>
      <c r="G546" s="242" t="n">
        <v>3535350</v>
      </c>
      <c r="H546" s="241" t="n">
        <v>-7.71</v>
      </c>
      <c r="I546" s="241" t="n">
        <v>-52.07</v>
      </c>
      <c r="J546" s="241" t="n">
        <v>-53.2</v>
      </c>
      <c r="K546" s="241" t="n">
        <v>27.89</v>
      </c>
      <c r="L546" s="242" t="n">
        <v>1080315</v>
      </c>
      <c r="M546" s="241" t="n">
        <v>-0.96</v>
      </c>
      <c r="N546" s="241" t="n">
        <v>-34.95</v>
      </c>
      <c r="O546" s="241" t="n">
        <v>-53.04</v>
      </c>
      <c r="P546" s="241" t="n">
        <v>1.49</v>
      </c>
    </row>
    <row r="547">
      <c r="A547" s="282" t="inlineStr">
        <is>
          <t>2008-04-03</t>
        </is>
      </c>
      <c r="B547" s="240">
        <f>IFERROR(1/P547-1,B546)</f>
        <v/>
      </c>
      <c r="C547" s="240">
        <f>$C$3</f>
        <v/>
      </c>
      <c r="D547" s="240">
        <f>$D$3</f>
        <v/>
      </c>
      <c r="E547" s="240">
        <f>$E$3</f>
        <v/>
      </c>
      <c r="F547" s="241" t="n">
        <v>43.85</v>
      </c>
      <c r="G547" s="242" t="n">
        <v>1795051</v>
      </c>
      <c r="H547" s="241" t="n">
        <v>5.28</v>
      </c>
      <c r="I547" s="241" t="n">
        <v>-49.53</v>
      </c>
      <c r="J547" s="241" t="n">
        <v>-50.73</v>
      </c>
      <c r="K547" s="241" t="n">
        <v>26.58</v>
      </c>
      <c r="L547" s="242" t="n">
        <v>1127519</v>
      </c>
      <c r="M547" s="241" t="n">
        <v>-4.53</v>
      </c>
      <c r="N547" s="241" t="n">
        <v>-37.89</v>
      </c>
      <c r="O547" s="241" t="n">
        <v>-55.17</v>
      </c>
      <c r="P547" s="241" t="n">
        <v>1.65</v>
      </c>
    </row>
    <row r="548">
      <c r="A548" s="282" t="inlineStr">
        <is>
          <t>2008-04-07</t>
        </is>
      </c>
      <c r="B548" s="240">
        <f>IFERROR(1/P548-1,B547)</f>
        <v/>
      </c>
      <c r="C548" s="240">
        <f>$C$3</f>
        <v/>
      </c>
      <c r="D548" s="240">
        <f>$D$3</f>
        <v/>
      </c>
      <c r="E548" s="240">
        <f>$E$3</f>
        <v/>
      </c>
      <c r="F548" s="241" t="n">
        <v>48.24</v>
      </c>
      <c r="G548" s="242" t="n">
        <v>5915201</v>
      </c>
      <c r="H548" s="241" t="n">
        <v>10.01</v>
      </c>
      <c r="I548" s="241" t="n">
        <v>-44.15</v>
      </c>
      <c r="J548" s="241" t="n">
        <v>-45.8</v>
      </c>
      <c r="K548" s="241" t="n">
        <v>27.86</v>
      </c>
      <c r="L548" s="242" t="n">
        <v>3203939</v>
      </c>
      <c r="M548" s="241" t="n">
        <v>5.08</v>
      </c>
      <c r="N548" s="241" t="n">
        <v>-27.57</v>
      </c>
      <c r="O548" s="241" t="n">
        <v>-52.89</v>
      </c>
      <c r="P548" s="241" t="n">
        <v>1.73</v>
      </c>
    </row>
    <row r="549">
      <c r="A549" s="282" t="inlineStr">
        <is>
          <t>2008-04-08</t>
        </is>
      </c>
      <c r="B549" s="240">
        <f>IFERROR(1/P549-1,B548)</f>
        <v/>
      </c>
      <c r="C549" s="240">
        <f>$C$3</f>
        <v/>
      </c>
      <c r="D549" s="240">
        <f>$D$3</f>
        <v/>
      </c>
      <c r="E549" s="240">
        <f>$E$3</f>
        <v/>
      </c>
      <c r="F549" s="241" t="n">
        <v>46.82</v>
      </c>
      <c r="G549" s="242" t="n">
        <v>3857923</v>
      </c>
      <c r="H549" s="241" t="n">
        <v>-2.94</v>
      </c>
      <c r="I549" s="241" t="n">
        <v>-44.86</v>
      </c>
      <c r="J549" s="241" t="n">
        <v>-47.39</v>
      </c>
      <c r="K549" s="241" t="n">
        <v>30.38</v>
      </c>
      <c r="L549" s="242" t="n">
        <v>3902135</v>
      </c>
      <c r="M549" s="241" t="n">
        <v>9.029999999999999</v>
      </c>
      <c r="N549" s="241" t="n">
        <v>-17.16</v>
      </c>
      <c r="O549" s="241" t="n">
        <v>-48.63</v>
      </c>
      <c r="P549" s="241" t="n">
        <v>1.54</v>
      </c>
    </row>
    <row r="550">
      <c r="A550" s="282" t="inlineStr">
        <is>
          <t>2008-04-09</t>
        </is>
      </c>
      <c r="B550" s="240">
        <f>IFERROR(1/P550-1,B549)</f>
        <v/>
      </c>
      <c r="C550" s="240">
        <f>$C$3</f>
        <v/>
      </c>
      <c r="D550" s="240">
        <f>$D$3</f>
        <v/>
      </c>
      <c r="E550" s="240">
        <f>$E$3</f>
        <v/>
      </c>
      <c r="F550" s="241" t="n">
        <v>42.96</v>
      </c>
      <c r="G550" s="242" t="n">
        <v>5103657</v>
      </c>
      <c r="H550" s="241" t="n">
        <v>-8.24</v>
      </c>
      <c r="I550" s="241" t="n">
        <v>-49.41</v>
      </c>
      <c r="J550" s="241" t="n">
        <v>-51.73</v>
      </c>
      <c r="K550" s="241" t="n">
        <v>27.37</v>
      </c>
      <c r="L550" s="242" t="n">
        <v>2137486</v>
      </c>
      <c r="M550" s="241" t="n">
        <v>-9.91</v>
      </c>
      <c r="N550" s="241" t="n">
        <v>-25.37</v>
      </c>
      <c r="O550" s="241" t="n">
        <v>-53.72</v>
      </c>
      <c r="P550" s="241" t="n">
        <v>1.57</v>
      </c>
    </row>
    <row r="551">
      <c r="A551" s="282" t="inlineStr">
        <is>
          <t>2008-04-10</t>
        </is>
      </c>
      <c r="B551" s="240">
        <f>IFERROR(1/P551-1,B550)</f>
        <v/>
      </c>
      <c r="C551" s="240">
        <f>$C$3</f>
        <v/>
      </c>
      <c r="D551" s="240">
        <f>$D$3</f>
        <v/>
      </c>
      <c r="E551" s="240">
        <f>$E$3</f>
        <v/>
      </c>
      <c r="F551" s="241" t="n">
        <v>43.33</v>
      </c>
      <c r="G551" s="242" t="n">
        <v>2773272</v>
      </c>
      <c r="H551" s="241" t="n">
        <v>0.86</v>
      </c>
      <c r="I551" s="241" t="n">
        <v>-48.97</v>
      </c>
      <c r="J551" s="241" t="n">
        <v>-51.31</v>
      </c>
      <c r="K551" s="241" t="n">
        <v>26.76</v>
      </c>
      <c r="L551" s="242" t="n">
        <v>2165624</v>
      </c>
      <c r="M551" s="241" t="n">
        <v>-2.13</v>
      </c>
      <c r="N551" s="241" t="n">
        <v>-26.96</v>
      </c>
      <c r="O551" s="241" t="n">
        <v>-54.71</v>
      </c>
      <c r="P551" s="241" t="n">
        <v>1.62</v>
      </c>
    </row>
    <row r="552">
      <c r="A552" s="282" t="inlineStr">
        <is>
          <t>2008-04-11</t>
        </is>
      </c>
      <c r="B552" s="240">
        <f>IFERROR(1/P552-1,B551)</f>
        <v/>
      </c>
      <c r="C552" s="240">
        <f>$C$3</f>
        <v/>
      </c>
      <c r="D552" s="240">
        <f>$D$3</f>
        <v/>
      </c>
      <c r="E552" s="240">
        <f>$E$3</f>
        <v/>
      </c>
      <c r="F552" s="241" t="n">
        <v>44.21</v>
      </c>
      <c r="G552" s="242" t="n">
        <v>1954753</v>
      </c>
      <c r="H552" s="241" t="n">
        <v>2.03</v>
      </c>
      <c r="I552" s="241" t="n">
        <v>-42.28</v>
      </c>
      <c r="J552" s="241" t="n">
        <v>-50.33</v>
      </c>
      <c r="K552" s="241" t="n">
        <v>26.75</v>
      </c>
      <c r="L552" s="242" t="n">
        <v>1308323</v>
      </c>
      <c r="M552" s="241" t="n">
        <v>-0.17</v>
      </c>
      <c r="N552" s="241" t="n">
        <v>-22.93</v>
      </c>
      <c r="O552" s="241" t="n">
        <v>-54.79</v>
      </c>
      <c r="P552" s="241" t="n">
        <v>1.65</v>
      </c>
    </row>
    <row r="553">
      <c r="A553" s="282" t="inlineStr">
        <is>
          <t>2008-04-14</t>
        </is>
      </c>
      <c r="B553" s="240">
        <f>IFERROR(1/P553-1,B552)</f>
        <v/>
      </c>
      <c r="C553" s="240">
        <f>$C$3</f>
        <v/>
      </c>
      <c r="D553" s="240">
        <f>$D$3</f>
        <v/>
      </c>
      <c r="E553" s="240">
        <f>$E$3</f>
        <v/>
      </c>
      <c r="F553" s="241" t="n">
        <v>41.51</v>
      </c>
      <c r="G553" s="242" t="n">
        <v>1559884</v>
      </c>
      <c r="H553" s="241" t="n">
        <v>-6.11</v>
      </c>
      <c r="I553" s="241" t="n">
        <v>-37.67</v>
      </c>
      <c r="J553" s="241" t="n">
        <v>-53.36</v>
      </c>
      <c r="K553" s="241" t="n">
        <v>25.51</v>
      </c>
      <c r="L553" s="242" t="n">
        <v>1114570</v>
      </c>
      <c r="M553" s="241" t="n">
        <v>-3.67</v>
      </c>
      <c r="N553" s="241" t="n">
        <v>-20.4</v>
      </c>
      <c r="O553" s="241" t="n">
        <v>-56.45</v>
      </c>
      <c r="P553" s="241" t="n">
        <v>1.63</v>
      </c>
    </row>
    <row r="554">
      <c r="A554" s="282" t="inlineStr">
        <is>
          <t>2008-04-15</t>
        </is>
      </c>
      <c r="B554" s="240">
        <f>IFERROR(1/P554-1,B553)</f>
        <v/>
      </c>
      <c r="C554" s="240">
        <f>$C$3</f>
        <v/>
      </c>
      <c r="D554" s="240">
        <f>$D$3</f>
        <v/>
      </c>
      <c r="E554" s="240">
        <f>$E$3</f>
        <v/>
      </c>
      <c r="F554" s="241" t="n">
        <v>39.32</v>
      </c>
      <c r="G554" s="242" t="n">
        <v>5565267</v>
      </c>
      <c r="H554" s="241" t="n">
        <v>-5.28</v>
      </c>
      <c r="I554" s="241" t="n">
        <v>-41.41</v>
      </c>
      <c r="J554" s="241" t="n">
        <v>-55.82</v>
      </c>
      <c r="K554" s="241" t="n">
        <v>24.87</v>
      </c>
      <c r="L554" s="242" t="n">
        <v>712000</v>
      </c>
      <c r="M554" s="241" t="n">
        <v>-2.46</v>
      </c>
      <c r="N554" s="241" t="n">
        <v>-16.56</v>
      </c>
      <c r="O554" s="241" t="n">
        <v>-57.52</v>
      </c>
      <c r="P554" s="241" t="n">
        <v>1.58</v>
      </c>
    </row>
    <row r="555">
      <c r="A555" s="282" t="inlineStr">
        <is>
          <t>2008-04-16</t>
        </is>
      </c>
      <c r="B555" s="240">
        <f>IFERROR(1/P555-1,B554)</f>
        <v/>
      </c>
      <c r="C555" s="240">
        <f>$C$3</f>
        <v/>
      </c>
      <c r="D555" s="240">
        <f>$D$3</f>
        <v/>
      </c>
      <c r="E555" s="240">
        <f>$E$3</f>
        <v/>
      </c>
      <c r="F555" s="241" t="n">
        <v>38.05</v>
      </c>
      <c r="G555" s="242" t="n">
        <v>4600701</v>
      </c>
      <c r="H555" s="241" t="n">
        <v>-3.23</v>
      </c>
      <c r="I555" s="241" t="n">
        <v>-43.3</v>
      </c>
      <c r="J555" s="241" t="n">
        <v>-57.25</v>
      </c>
      <c r="K555" s="241" t="n">
        <v>23.37</v>
      </c>
      <c r="L555" s="242" t="n">
        <v>1426067</v>
      </c>
      <c r="M555" s="241" t="n">
        <v>-6.14</v>
      </c>
      <c r="N555" s="241" t="n">
        <v>-21.68</v>
      </c>
      <c r="O555" s="241" t="n">
        <v>-60.13</v>
      </c>
      <c r="P555" s="241" t="n">
        <v>1.63</v>
      </c>
    </row>
    <row r="556">
      <c r="A556" s="282" t="inlineStr">
        <is>
          <t>2008-04-17</t>
        </is>
      </c>
      <c r="B556" s="240">
        <f>IFERROR(1/P556-1,B555)</f>
        <v/>
      </c>
      <c r="C556" s="240">
        <f>$C$3</f>
        <v/>
      </c>
      <c r="D556" s="240">
        <f>$D$3</f>
        <v/>
      </c>
      <c r="E556" s="240">
        <f>$E$3</f>
        <v/>
      </c>
      <c r="F556" s="241" t="n">
        <v>34.25</v>
      </c>
      <c r="G556" s="242" t="n">
        <v>13880158</v>
      </c>
      <c r="H556" s="241" t="n">
        <v>-9.99</v>
      </c>
      <c r="I556" s="241" t="n">
        <v>-48.96</v>
      </c>
      <c r="J556" s="241" t="n">
        <v>-61.52</v>
      </c>
      <c r="K556" s="241" t="n">
        <v>23.32</v>
      </c>
      <c r="L556" s="242" t="n">
        <v>1861594</v>
      </c>
      <c r="M556" s="241" t="n">
        <v>0</v>
      </c>
      <c r="N556" s="241" t="n">
        <v>-21.68</v>
      </c>
      <c r="O556" s="241" t="n">
        <v>-60.13</v>
      </c>
      <c r="P556" s="241" t="n">
        <v>1.47</v>
      </c>
    </row>
    <row r="557">
      <c r="A557" s="282" t="inlineStr">
        <is>
          <t>2008-04-18</t>
        </is>
      </c>
      <c r="B557" s="240">
        <f>IFERROR(1/P557-1,B556)</f>
        <v/>
      </c>
      <c r="C557" s="240">
        <f>$C$3</f>
        <v/>
      </c>
      <c r="D557" s="240">
        <f>$D$3</f>
        <v/>
      </c>
      <c r="E557" s="240">
        <f>$E$3</f>
        <v/>
      </c>
      <c r="F557" s="241" t="n">
        <v>33.48</v>
      </c>
      <c r="G557" s="242" t="n">
        <v>14923579</v>
      </c>
      <c r="H557" s="241" t="n">
        <v>-2.25</v>
      </c>
      <c r="I557" s="241" t="n">
        <v>-44.57</v>
      </c>
      <c r="J557" s="241" t="n">
        <v>-62.38</v>
      </c>
      <c r="K557" s="241" t="n">
        <v>22.91</v>
      </c>
      <c r="L557" s="242" t="n">
        <v>1700000</v>
      </c>
      <c r="M557" s="241" t="n">
        <v>-1.92</v>
      </c>
      <c r="N557" s="241" t="n">
        <v>-14.37</v>
      </c>
      <c r="O557" s="241" t="n">
        <v>-60.89</v>
      </c>
      <c r="P557" s="241" t="n">
        <v>1.46</v>
      </c>
    </row>
    <row r="558">
      <c r="A558" s="282" t="inlineStr">
        <is>
          <t>2008-04-21</t>
        </is>
      </c>
      <c r="B558" s="240">
        <f>IFERROR(1/P558-1,B557)</f>
        <v/>
      </c>
      <c r="C558" s="240">
        <f>$C$3</f>
        <v/>
      </c>
      <c r="D558" s="240">
        <f>$D$3</f>
        <v/>
      </c>
      <c r="E558" s="240">
        <f>$E$3</f>
        <v/>
      </c>
      <c r="F558" s="241" t="n">
        <v>34.97</v>
      </c>
      <c r="G558" s="242" t="n">
        <v>18454746</v>
      </c>
      <c r="H558" s="241" t="n">
        <v>4.45</v>
      </c>
      <c r="I558" s="241" t="n">
        <v>-42.5</v>
      </c>
      <c r="J558" s="241" t="n">
        <v>-60.71</v>
      </c>
      <c r="K558" s="241" t="n">
        <v>24.59</v>
      </c>
      <c r="L558" s="242" t="n">
        <v>1961061</v>
      </c>
      <c r="M558" s="241" t="n">
        <v>7.25</v>
      </c>
      <c r="N558" s="241" t="n">
        <v>-1.44</v>
      </c>
      <c r="O558" s="241" t="n">
        <v>-58.06</v>
      </c>
      <c r="P558" s="241" t="n">
        <v>1.42</v>
      </c>
    </row>
    <row r="559">
      <c r="A559" s="282" t="inlineStr">
        <is>
          <t>2008-04-22</t>
        </is>
      </c>
      <c r="B559" s="240">
        <f>IFERROR(1/P559-1,B558)</f>
        <v/>
      </c>
      <c r="C559" s="240">
        <f>$C$3</f>
        <v/>
      </c>
      <c r="D559" s="240">
        <f>$D$3</f>
        <v/>
      </c>
      <c r="E559" s="240">
        <f>$E$3</f>
        <v/>
      </c>
      <c r="F559" s="241" t="n">
        <v>36.2</v>
      </c>
      <c r="G559" s="242" t="n">
        <v>12610109</v>
      </c>
      <c r="H559" s="241" t="n">
        <v>3.52</v>
      </c>
      <c r="I559" s="241" t="n">
        <v>-39.07</v>
      </c>
      <c r="J559" s="241" t="n">
        <v>-59.33</v>
      </c>
      <c r="K559" s="241" t="n">
        <v>25.51</v>
      </c>
      <c r="L559" s="242" t="n">
        <v>1020137</v>
      </c>
      <c r="M559" s="241" t="n">
        <v>4.02</v>
      </c>
      <c r="N559" s="241" t="n">
        <v>2.53</v>
      </c>
      <c r="O559" s="241" t="n">
        <v>-56.37</v>
      </c>
      <c r="P559" s="241" t="n">
        <v>1.42</v>
      </c>
    </row>
    <row r="560">
      <c r="A560" s="282" t="inlineStr">
        <is>
          <t>2008-04-23</t>
        </is>
      </c>
      <c r="B560" s="240">
        <f>IFERROR(1/P560-1,B559)</f>
        <v/>
      </c>
      <c r="C560" s="240">
        <f>$C$3</f>
        <v/>
      </c>
      <c r="D560" s="240">
        <f>$D$3</f>
        <v/>
      </c>
      <c r="E560" s="240">
        <f>$E$3</f>
        <v/>
      </c>
      <c r="F560" s="241" t="n">
        <v>37.61</v>
      </c>
      <c r="G560" s="242" t="n">
        <v>13219991</v>
      </c>
      <c r="H560" s="241" t="n">
        <v>3.9</v>
      </c>
      <c r="I560" s="241" t="n">
        <v>-36.69</v>
      </c>
      <c r="J560" s="241" t="n">
        <v>-57.74</v>
      </c>
      <c r="K560" s="241" t="n">
        <v>27.14</v>
      </c>
      <c r="L560" s="242" t="n">
        <v>957522</v>
      </c>
      <c r="M560" s="241" t="n">
        <v>6.5</v>
      </c>
      <c r="N560" s="241" t="n">
        <v>9.199999999999999</v>
      </c>
      <c r="O560" s="241" t="n">
        <v>-53.53</v>
      </c>
      <c r="P560" s="241" t="n">
        <v>1.39</v>
      </c>
    </row>
    <row r="561">
      <c r="A561" s="282" t="inlineStr">
        <is>
          <t>2008-04-24</t>
        </is>
      </c>
      <c r="B561" s="240">
        <f>IFERROR(1/P561-1,B560)</f>
        <v/>
      </c>
      <c r="C561" s="240">
        <f>$C$3</f>
        <v/>
      </c>
      <c r="D561" s="240">
        <f>$D$3</f>
        <v/>
      </c>
      <c r="E561" s="240">
        <f>$E$3</f>
        <v/>
      </c>
      <c r="F561" s="241" t="n">
        <v>41.37</v>
      </c>
      <c r="G561" s="242" t="n">
        <v>21574941</v>
      </c>
      <c r="H561" s="241" t="n">
        <v>10</v>
      </c>
      <c r="I561" s="241" t="n">
        <v>-30.37</v>
      </c>
      <c r="J561" s="241" t="n">
        <v>-53.52</v>
      </c>
      <c r="K561" s="241" t="n">
        <v>30.04</v>
      </c>
      <c r="L561" s="242" t="n">
        <v>3816477</v>
      </c>
      <c r="M561" s="241" t="n">
        <v>10.56</v>
      </c>
      <c r="N561" s="241" t="n">
        <v>20.73</v>
      </c>
      <c r="O561" s="241" t="n">
        <v>-48.63</v>
      </c>
      <c r="P561" s="241" t="n">
        <v>1.38</v>
      </c>
    </row>
    <row r="562">
      <c r="A562" s="282" t="inlineStr">
        <is>
          <t>2008-04-25</t>
        </is>
      </c>
      <c r="B562" s="240">
        <f>IFERROR(1/P562-1,B561)</f>
        <v/>
      </c>
      <c r="C562" s="240">
        <f>$C$3</f>
        <v/>
      </c>
      <c r="D562" s="240">
        <f>$D$3</f>
        <v/>
      </c>
      <c r="E562" s="240">
        <f>$E$3</f>
        <v/>
      </c>
      <c r="F562" s="241" t="n">
        <v>42.28</v>
      </c>
      <c r="G562" s="242" t="n">
        <v>13615864</v>
      </c>
      <c r="H562" s="241" t="n">
        <v>2.2</v>
      </c>
      <c r="I562" s="241" t="n">
        <v>-28.22</v>
      </c>
      <c r="J562" s="241" t="n">
        <v>-52.49</v>
      </c>
      <c r="K562" s="241" t="n">
        <v>29.9</v>
      </c>
      <c r="L562" s="242" t="n">
        <v>3309948</v>
      </c>
      <c r="M562" s="241" t="n">
        <v>-0.6</v>
      </c>
      <c r="N562" s="241" t="n">
        <v>20.01</v>
      </c>
      <c r="O562" s="241" t="n">
        <v>-48.93</v>
      </c>
      <c r="P562" s="241" t="n">
        <v>1.41</v>
      </c>
    </row>
    <row r="563">
      <c r="A563" s="282" t="inlineStr">
        <is>
          <t>2008-04-28</t>
        </is>
      </c>
      <c r="B563" s="240">
        <f>IFERROR(1/P563-1,B562)</f>
        <v/>
      </c>
      <c r="C563" s="240">
        <f>$C$3</f>
        <v/>
      </c>
      <c r="D563" s="240">
        <f>$D$3</f>
        <v/>
      </c>
      <c r="E563" s="240">
        <f>$E$3</f>
        <v/>
      </c>
      <c r="F563" s="241" t="n">
        <v>40.01</v>
      </c>
      <c r="G563" s="242" t="n">
        <v>8199294</v>
      </c>
      <c r="H563" s="241" t="n">
        <v>-5.37</v>
      </c>
      <c r="I563" s="241" t="n">
        <v>-29.4</v>
      </c>
      <c r="J563" s="241" t="n">
        <v>-55.04</v>
      </c>
      <c r="K563" s="241" t="n">
        <v>29.14</v>
      </c>
      <c r="L563" s="242" t="n">
        <v>362876</v>
      </c>
      <c r="M563" s="241" t="n">
        <v>-2.55</v>
      </c>
      <c r="N563" s="241" t="n">
        <v>-0.32</v>
      </c>
      <c r="O563" s="241" t="n">
        <v>-50.24</v>
      </c>
      <c r="P563" s="241" t="n">
        <v>1.37</v>
      </c>
    </row>
    <row r="564">
      <c r="A564" s="282" t="inlineStr">
        <is>
          <t>2008-04-29</t>
        </is>
      </c>
      <c r="B564" s="240">
        <f>IFERROR(1/P564-1,B563)</f>
        <v/>
      </c>
      <c r="C564" s="240">
        <f>$C$3</f>
        <v/>
      </c>
      <c r="D564" s="240">
        <f>$D$3</f>
        <v/>
      </c>
      <c r="E564" s="240">
        <f>$E$3</f>
        <v/>
      </c>
      <c r="F564" s="241" t="n">
        <v>39.83</v>
      </c>
      <c r="G564" s="242" t="n">
        <v>9383118</v>
      </c>
      <c r="H564" s="241" t="n">
        <v>-0.45</v>
      </c>
      <c r="I564" s="241" t="n">
        <v>-28.5</v>
      </c>
      <c r="J564" s="241" t="n">
        <v>-55.25</v>
      </c>
      <c r="K564" s="241" t="n">
        <v>28.22</v>
      </c>
      <c r="L564" s="242" t="n">
        <v>456163</v>
      </c>
      <c r="M564" s="241" t="n">
        <v>-3.08</v>
      </c>
      <c r="N564" s="241" t="n">
        <v>-6.11</v>
      </c>
      <c r="O564" s="241" t="n">
        <v>-51.77</v>
      </c>
      <c r="P564" s="241" t="n">
        <v>1.41</v>
      </c>
    </row>
    <row r="565">
      <c r="A565" s="282" t="inlineStr">
        <is>
          <t>2008-04-30</t>
        </is>
      </c>
      <c r="B565" s="240">
        <f>IFERROR(1/P565-1,B564)</f>
        <v/>
      </c>
      <c r="C565" s="240">
        <f>$C$3</f>
        <v/>
      </c>
      <c r="D565" s="240">
        <f>$D$3</f>
        <v/>
      </c>
      <c r="E565" s="240">
        <f>$E$3</f>
        <v/>
      </c>
      <c r="F565" s="241" t="n">
        <v>43.81</v>
      </c>
      <c r="G565" s="242" t="n">
        <v>12758231</v>
      </c>
      <c r="H565" s="241" t="n">
        <v>9.99</v>
      </c>
      <c r="I565" s="241" t="n">
        <v>-21.36</v>
      </c>
      <c r="J565" s="241" t="n">
        <v>-50.78</v>
      </c>
      <c r="K565" s="241" t="n">
        <v>28.43</v>
      </c>
      <c r="L565" s="242" t="n">
        <v>1757563</v>
      </c>
      <c r="M565" s="241" t="n">
        <v>0.64</v>
      </c>
      <c r="N565" s="241" t="n">
        <v>-5.51</v>
      </c>
      <c r="O565" s="241" t="n">
        <v>-51.46</v>
      </c>
      <c r="P565" s="241" t="n">
        <v>1.54</v>
      </c>
    </row>
    <row r="566">
      <c r="A566" s="282" t="inlineStr">
        <is>
          <t>2008-05-05</t>
        </is>
      </c>
      <c r="B566" s="240">
        <f>IFERROR(1/P566-1,B565)</f>
        <v/>
      </c>
      <c r="C566" s="240">
        <f>$C$3</f>
        <v/>
      </c>
      <c r="D566" s="240">
        <f>$D$3</f>
        <v/>
      </c>
      <c r="E566" s="240">
        <f>$E$3</f>
        <v/>
      </c>
      <c r="F566" s="241" t="n">
        <v>46.39</v>
      </c>
      <c r="G566" s="242" t="n">
        <v>11887329</v>
      </c>
      <c r="H566" s="241" t="n">
        <v>5.89</v>
      </c>
      <c r="I566" s="241" t="n">
        <v>5.79</v>
      </c>
      <c r="J566" s="241" t="n">
        <v>-47.88</v>
      </c>
      <c r="K566" s="241" t="n">
        <v>29.23</v>
      </c>
      <c r="L566" s="242" t="n">
        <v>862709</v>
      </c>
      <c r="M566" s="241" t="n">
        <v>-1.06</v>
      </c>
      <c r="N566" s="241" t="n">
        <v>11.34</v>
      </c>
      <c r="O566" s="241" t="n">
        <v>-50.08</v>
      </c>
      <c r="P566" s="241" t="n">
        <v>1.59</v>
      </c>
    </row>
    <row r="567">
      <c r="A567" s="282" t="inlineStr">
        <is>
          <t>2008-05-06</t>
        </is>
      </c>
      <c r="B567" s="240">
        <f>IFERROR(1/P567-1,B566)</f>
        <v/>
      </c>
      <c r="C567" s="240">
        <f>$C$3</f>
        <v/>
      </c>
      <c r="D567" s="240">
        <f>$D$3</f>
        <v/>
      </c>
      <c r="E567" s="240">
        <f>$E$3</f>
        <v/>
      </c>
      <c r="F567" s="241" t="n">
        <v>43.95</v>
      </c>
      <c r="G567" s="242" t="n">
        <v>14558321</v>
      </c>
      <c r="H567" s="241" t="n">
        <v>-5.26</v>
      </c>
      <c r="I567" s="241" t="n">
        <v>0.23</v>
      </c>
      <c r="J567" s="241" t="n">
        <v>-50.62</v>
      </c>
      <c r="K567" s="241" t="n">
        <v>28.96</v>
      </c>
      <c r="L567" s="242" t="n">
        <v>538076</v>
      </c>
      <c r="M567" s="241" t="n">
        <v>-0.77</v>
      </c>
      <c r="N567" s="241" t="n">
        <v>10.48</v>
      </c>
      <c r="O567" s="241" t="n">
        <v>-50.47</v>
      </c>
      <c r="P567" s="241" t="n">
        <v>1.52</v>
      </c>
    </row>
    <row r="568">
      <c r="A568" s="282" t="inlineStr">
        <is>
          <t>2008-05-07</t>
        </is>
      </c>
      <c r="B568" s="240">
        <f>IFERROR(1/P568-1,B567)</f>
        <v/>
      </c>
      <c r="C568" s="240">
        <f>$C$3</f>
        <v/>
      </c>
      <c r="D568" s="240">
        <f>$D$3</f>
        <v/>
      </c>
      <c r="E568" s="240">
        <f>$E$3</f>
        <v/>
      </c>
      <c r="F568" s="241" t="n">
        <v>42.38</v>
      </c>
      <c r="G568" s="242" t="n">
        <v>13010088</v>
      </c>
      <c r="H568" s="241" t="n">
        <v>-3.57</v>
      </c>
      <c r="I568" s="241" t="n">
        <v>-3.35</v>
      </c>
      <c r="J568" s="241" t="n">
        <v>-52.38</v>
      </c>
      <c r="K568" s="241" t="n">
        <v>26.98</v>
      </c>
      <c r="L568" s="242" t="n">
        <v>1440686</v>
      </c>
      <c r="M568" s="241" t="n">
        <v>-6.81</v>
      </c>
      <c r="N568" s="241" t="n">
        <v>2.96</v>
      </c>
      <c r="O568" s="241" t="n">
        <v>-53.84</v>
      </c>
      <c r="P568" s="241" t="n">
        <v>1.57</v>
      </c>
    </row>
    <row r="569">
      <c r="A569" s="282" t="inlineStr">
        <is>
          <t>2008-05-08</t>
        </is>
      </c>
      <c r="B569" s="240">
        <f>IFERROR(1/P569-1,B568)</f>
        <v/>
      </c>
      <c r="C569" s="240">
        <f>$C$3</f>
        <v/>
      </c>
      <c r="D569" s="240">
        <f>$D$3</f>
        <v/>
      </c>
      <c r="E569" s="240">
        <f>$E$3</f>
        <v/>
      </c>
      <c r="F569" s="241" t="n">
        <v>43.79</v>
      </c>
      <c r="G569" s="242" t="n">
        <v>12779727</v>
      </c>
      <c r="H569" s="241" t="n">
        <v>3.33</v>
      </c>
      <c r="I569" s="241" t="n">
        <v>-9.220000000000001</v>
      </c>
      <c r="J569" s="241" t="n">
        <v>-50.8</v>
      </c>
      <c r="K569" s="241" t="n">
        <v>26.95</v>
      </c>
      <c r="L569" s="242" t="n">
        <v>739643</v>
      </c>
      <c r="M569" s="241" t="n">
        <v>-0.33</v>
      </c>
      <c r="N569" s="241" t="n">
        <v>-2.35</v>
      </c>
      <c r="O569" s="241" t="n">
        <v>-53.99</v>
      </c>
      <c r="P569" s="241" t="n">
        <v>1.63</v>
      </c>
    </row>
    <row r="570">
      <c r="A570" s="282" t="inlineStr">
        <is>
          <t>2008-05-09</t>
        </is>
      </c>
      <c r="B570" s="240">
        <f>IFERROR(1/P570-1,B569)</f>
        <v/>
      </c>
      <c r="C570" s="240">
        <f>$C$3</f>
        <v/>
      </c>
      <c r="D570" s="240">
        <f>$D$3</f>
        <v/>
      </c>
      <c r="E570" s="240">
        <f>$E$3</f>
        <v/>
      </c>
      <c r="F570" s="241" t="n">
        <v>44.3</v>
      </c>
      <c r="G570" s="242" t="n">
        <v>16744968</v>
      </c>
      <c r="H570" s="241" t="n">
        <v>1.16</v>
      </c>
      <c r="I570" s="241" t="n">
        <v>-5.38</v>
      </c>
      <c r="J570" s="241" t="n">
        <v>-50.22</v>
      </c>
      <c r="K570" s="241" t="n">
        <v>26.94</v>
      </c>
      <c r="L570" s="242" t="n">
        <v>566000</v>
      </c>
      <c r="M570" s="241" t="n">
        <v>0</v>
      </c>
      <c r="N570" s="241" t="n">
        <v>-10.44</v>
      </c>
      <c r="O570" s="241" t="n">
        <v>-53.99</v>
      </c>
      <c r="P570" s="241" t="n">
        <v>1.64</v>
      </c>
    </row>
    <row r="571">
      <c r="A571" s="282" t="inlineStr">
        <is>
          <t>2008-05-12</t>
        </is>
      </c>
      <c r="B571" s="240">
        <f>IFERROR(1/P571-1,B570)</f>
        <v/>
      </c>
      <c r="C571" s="240">
        <f>$C$3</f>
        <v/>
      </c>
      <c r="D571" s="240">
        <f>$D$3</f>
        <v/>
      </c>
      <c r="E571" s="240">
        <f>$E$3</f>
        <v/>
      </c>
      <c r="F571" s="241" t="n">
        <v>44.85</v>
      </c>
      <c r="G571" s="242" t="n">
        <v>9101574</v>
      </c>
      <c r="H571" s="241" t="n">
        <v>1.24</v>
      </c>
      <c r="I571" s="241" t="n">
        <v>1.45</v>
      </c>
      <c r="J571" s="241" t="n">
        <v>-49.61</v>
      </c>
      <c r="K571" s="239" t="inlineStr">
        <is>
          <t>--</t>
        </is>
      </c>
      <c r="L571" s="239" t="inlineStr">
        <is>
          <t>--</t>
        </is>
      </c>
      <c r="M571" s="239" t="inlineStr">
        <is>
          <t>--</t>
        </is>
      </c>
      <c r="N571" s="239" t="inlineStr">
        <is>
          <t>--</t>
        </is>
      </c>
      <c r="O571" s="239" t="inlineStr">
        <is>
          <t>--</t>
        </is>
      </c>
      <c r="P571" s="239" t="inlineStr">
        <is>
          <t>--</t>
        </is>
      </c>
    </row>
    <row r="572">
      <c r="A572" s="282" t="inlineStr">
        <is>
          <t>2008-05-13</t>
        </is>
      </c>
      <c r="B572" s="240">
        <f>IFERROR(1/P572-1,B571)</f>
        <v/>
      </c>
      <c r="C572" s="240">
        <f>$C$3</f>
        <v/>
      </c>
      <c r="D572" s="240">
        <f>$D$3</f>
        <v/>
      </c>
      <c r="E572" s="240">
        <f>$E$3</f>
        <v/>
      </c>
      <c r="F572" s="241" t="n">
        <v>44.85</v>
      </c>
      <c r="G572" s="242" t="n">
        <v>0</v>
      </c>
      <c r="H572" s="241" t="n">
        <v>0</v>
      </c>
      <c r="I572" s="241" t="n">
        <v>1.45</v>
      </c>
      <c r="J572" s="241" t="n">
        <v>-49.61</v>
      </c>
      <c r="K572" s="241" t="n">
        <v>26.89</v>
      </c>
      <c r="L572" s="242" t="n">
        <v>0</v>
      </c>
      <c r="M572" s="241" t="n">
        <v>0</v>
      </c>
      <c r="N572" s="241" t="n">
        <v>1.75</v>
      </c>
      <c r="O572" s="241" t="n">
        <v>-53.99</v>
      </c>
      <c r="P572" s="241" t="n">
        <v>1.67</v>
      </c>
    </row>
    <row r="573">
      <c r="A573" s="282" t="inlineStr">
        <is>
          <t>2008-05-14</t>
        </is>
      </c>
      <c r="B573" s="240">
        <f>IFERROR(1/P573-1,B572)</f>
        <v/>
      </c>
      <c r="C573" s="240">
        <f>$C$3</f>
        <v/>
      </c>
      <c r="D573" s="240">
        <f>$D$3</f>
        <v/>
      </c>
      <c r="E573" s="240">
        <f>$E$3</f>
        <v/>
      </c>
      <c r="F573" s="241" t="n">
        <v>44.85</v>
      </c>
      <c r="G573" s="242" t="n">
        <v>0</v>
      </c>
      <c r="H573" s="241" t="n">
        <v>0</v>
      </c>
      <c r="I573" s="241" t="n">
        <v>1.45</v>
      </c>
      <c r="J573" s="241" t="n">
        <v>-49.61</v>
      </c>
      <c r="K573" s="241" t="n">
        <v>26.93</v>
      </c>
      <c r="L573" s="242" t="n">
        <v>0</v>
      </c>
      <c r="M573" s="241" t="n">
        <v>0</v>
      </c>
      <c r="N573" s="241" t="n">
        <v>1.75</v>
      </c>
      <c r="O573" s="241" t="n">
        <v>-53.99</v>
      </c>
      <c r="P573" s="241" t="n">
        <v>1.67</v>
      </c>
    </row>
    <row r="574">
      <c r="A574" s="282" t="inlineStr">
        <is>
          <t>2008-05-15</t>
        </is>
      </c>
      <c r="B574" s="240">
        <f>IFERROR(1/P574-1,B573)</f>
        <v/>
      </c>
      <c r="C574" s="240">
        <f>$C$3</f>
        <v/>
      </c>
      <c r="D574" s="240">
        <f>$D$3</f>
        <v/>
      </c>
      <c r="E574" s="240">
        <f>$E$3</f>
        <v/>
      </c>
      <c r="F574" s="241" t="n">
        <v>44.85</v>
      </c>
      <c r="G574" s="242" t="n">
        <v>0</v>
      </c>
      <c r="H574" s="241" t="n">
        <v>0</v>
      </c>
      <c r="I574" s="241" t="n">
        <v>8.050000000000001</v>
      </c>
      <c r="J574" s="241" t="n">
        <v>-49.61</v>
      </c>
      <c r="K574" s="241" t="n">
        <v>26.92</v>
      </c>
      <c r="L574" s="242" t="n">
        <v>0</v>
      </c>
      <c r="M574" s="241" t="n">
        <v>0</v>
      </c>
      <c r="N574" s="241" t="n">
        <v>5.63</v>
      </c>
      <c r="O574" s="241" t="n">
        <v>-53.99</v>
      </c>
      <c r="P574" s="241" t="n">
        <v>1.67</v>
      </c>
    </row>
    <row r="575">
      <c r="A575" s="282" t="inlineStr">
        <is>
          <t>2008-05-16</t>
        </is>
      </c>
      <c r="B575" s="240">
        <f>IFERROR(1/P575-1,B574)</f>
        <v/>
      </c>
      <c r="C575" s="240">
        <f>$C$3</f>
        <v/>
      </c>
      <c r="D575" s="240">
        <f>$D$3</f>
        <v/>
      </c>
      <c r="E575" s="240">
        <f>$E$3</f>
        <v/>
      </c>
      <c r="F575" s="241" t="n">
        <v>44.85</v>
      </c>
      <c r="G575" s="242" t="n">
        <v>0</v>
      </c>
      <c r="H575" s="241" t="n">
        <v>0</v>
      </c>
      <c r="I575" s="241" t="n">
        <v>14.06</v>
      </c>
      <c r="J575" s="241" t="n">
        <v>-49.61</v>
      </c>
      <c r="K575" s="241" t="n">
        <v>23.03</v>
      </c>
      <c r="L575" s="242" t="n">
        <v>23774657</v>
      </c>
      <c r="M575" s="241" t="n">
        <v>-14.33</v>
      </c>
      <c r="N575" s="241" t="n">
        <v>-7.22</v>
      </c>
      <c r="O575" s="241" t="n">
        <v>-60.59</v>
      </c>
      <c r="P575" s="241" t="n">
        <v>1.95</v>
      </c>
    </row>
    <row r="576">
      <c r="A576" s="282" t="inlineStr">
        <is>
          <t>2008-05-19</t>
        </is>
      </c>
      <c r="B576" s="240">
        <f>IFERROR(1/P576-1,B575)</f>
        <v/>
      </c>
      <c r="C576" s="240">
        <f>$C$3</f>
        <v/>
      </c>
      <c r="D576" s="240">
        <f>$D$3</f>
        <v/>
      </c>
      <c r="E576" s="240">
        <f>$E$3</f>
        <v/>
      </c>
      <c r="F576" s="241" t="n">
        <v>40.37</v>
      </c>
      <c r="G576" s="242" t="n">
        <v>190900</v>
      </c>
      <c r="H576" s="241" t="n">
        <v>-9.99</v>
      </c>
      <c r="I576" s="241" t="n">
        <v>20.58</v>
      </c>
      <c r="J576" s="241" t="n">
        <v>-54.64</v>
      </c>
      <c r="K576" s="241" t="n">
        <v>22.17</v>
      </c>
      <c r="L576" s="242" t="n">
        <v>6612480</v>
      </c>
      <c r="M576" s="241" t="n">
        <v>-3.5</v>
      </c>
      <c r="N576" s="241" t="n">
        <v>-2.75</v>
      </c>
      <c r="O576" s="241" t="n">
        <v>-61.97</v>
      </c>
      <c r="P576" s="241" t="n">
        <v>1.82</v>
      </c>
    </row>
    <row r="577">
      <c r="A577" s="282" t="inlineStr">
        <is>
          <t>2008-05-20</t>
        </is>
      </c>
      <c r="B577" s="240">
        <f>IFERROR(1/P577-1,B576)</f>
        <v/>
      </c>
      <c r="C577" s="240">
        <f>$C$3</f>
        <v/>
      </c>
      <c r="D577" s="240">
        <f>$D$3</f>
        <v/>
      </c>
      <c r="E577" s="240">
        <f>$E$3</f>
        <v/>
      </c>
      <c r="F577" s="241" t="n">
        <v>36.33</v>
      </c>
      <c r="G577" s="242" t="n">
        <v>375800</v>
      </c>
      <c r="H577" s="241" t="n">
        <v>-10.01</v>
      </c>
      <c r="I577" s="241" t="n">
        <v>8.51</v>
      </c>
      <c r="J577" s="241" t="n">
        <v>-59.18</v>
      </c>
      <c r="K577" s="241" t="n">
        <v>20.93</v>
      </c>
      <c r="L577" s="242" t="n">
        <v>17070243</v>
      </c>
      <c r="M577" s="241" t="n">
        <v>-5.65</v>
      </c>
      <c r="N577" s="241" t="n">
        <v>-8.24</v>
      </c>
      <c r="O577" s="241" t="n">
        <v>-64.12</v>
      </c>
      <c r="P577" s="241" t="n">
        <v>1.74</v>
      </c>
    </row>
    <row r="578">
      <c r="A578" s="282" t="inlineStr">
        <is>
          <t>2008-05-21</t>
        </is>
      </c>
      <c r="B578" s="240">
        <f>IFERROR(1/P578-1,B577)</f>
        <v/>
      </c>
      <c r="C578" s="240">
        <f>$C$3</f>
        <v/>
      </c>
      <c r="D578" s="240">
        <f>$D$3</f>
        <v/>
      </c>
      <c r="E578" s="240">
        <f>$E$3</f>
        <v/>
      </c>
      <c r="F578" s="241" t="n">
        <v>32.98</v>
      </c>
      <c r="G578" s="242" t="n">
        <v>50401770</v>
      </c>
      <c r="H578" s="241" t="n">
        <v>-9.220000000000001</v>
      </c>
      <c r="I578" s="241" t="n">
        <v>-1.49</v>
      </c>
      <c r="J578" s="241" t="n">
        <v>-62.94</v>
      </c>
      <c r="K578" s="241" t="n">
        <v>21.46</v>
      </c>
      <c r="L578" s="242" t="n">
        <v>7090396</v>
      </c>
      <c r="M578" s="241" t="n">
        <v>2.78</v>
      </c>
      <c r="N578" s="241" t="n">
        <v>-5.69</v>
      </c>
      <c r="O578" s="241" t="n">
        <v>-63.12</v>
      </c>
      <c r="P578" s="241" t="n">
        <v>1.54</v>
      </c>
    </row>
    <row r="579">
      <c r="A579" s="282" t="inlineStr">
        <is>
          <t>2008-05-22</t>
        </is>
      </c>
      <c r="B579" s="240">
        <f>IFERROR(1/P579-1,B578)</f>
        <v/>
      </c>
      <c r="C579" s="240">
        <f>$C$3</f>
        <v/>
      </c>
      <c r="D579" s="240">
        <f>$D$3</f>
        <v/>
      </c>
      <c r="E579" s="240">
        <f>$E$3</f>
        <v/>
      </c>
      <c r="F579" s="241" t="n">
        <v>33.49</v>
      </c>
      <c r="G579" s="242" t="n">
        <v>36648404</v>
      </c>
      <c r="H579" s="241" t="n">
        <v>1.55</v>
      </c>
      <c r="I579" s="241" t="n">
        <v>-4.23</v>
      </c>
      <c r="J579" s="241" t="n">
        <v>-62.37</v>
      </c>
      <c r="K579" s="241" t="n">
        <v>22.43</v>
      </c>
      <c r="L579" s="242" t="n">
        <v>11577125</v>
      </c>
      <c r="M579" s="241" t="n">
        <v>4.78</v>
      </c>
      <c r="N579" s="241" t="n">
        <v>-7.86</v>
      </c>
      <c r="O579" s="241" t="n">
        <v>-61.35</v>
      </c>
      <c r="P579" s="241" t="n">
        <v>1.49</v>
      </c>
    </row>
    <row r="580">
      <c r="A580" s="282" t="inlineStr">
        <is>
          <t>2008-05-23</t>
        </is>
      </c>
      <c r="B580" s="240">
        <f>IFERROR(1/P580-1,B579)</f>
        <v/>
      </c>
      <c r="C580" s="240">
        <f>$C$3</f>
        <v/>
      </c>
      <c r="D580" s="240">
        <f>$D$3</f>
        <v/>
      </c>
      <c r="E580" s="240">
        <f>$E$3</f>
        <v/>
      </c>
      <c r="F580" s="241" t="n">
        <v>30.14</v>
      </c>
      <c r="G580" s="242" t="n">
        <v>29269780</v>
      </c>
      <c r="H580" s="241" t="n">
        <v>-10</v>
      </c>
      <c r="I580" s="241" t="n">
        <v>-16.74</v>
      </c>
      <c r="J580" s="241" t="n">
        <v>-66.13</v>
      </c>
      <c r="K580" s="241" t="n">
        <v>22.18</v>
      </c>
      <c r="L580" s="242" t="n">
        <v>4667427</v>
      </c>
      <c r="M580" s="241" t="n">
        <v>-1.19</v>
      </c>
      <c r="N580" s="241" t="n">
        <v>-12.48</v>
      </c>
      <c r="O580" s="241" t="n">
        <v>-61.81</v>
      </c>
      <c r="P580" s="241" t="n">
        <v>1.36</v>
      </c>
    </row>
    <row r="581">
      <c r="A581" s="282" t="inlineStr">
        <is>
          <t>2008-05-26</t>
        </is>
      </c>
      <c r="B581" s="240">
        <f>IFERROR(1/P581-1,B580)</f>
        <v/>
      </c>
      <c r="C581" s="240">
        <f>$C$3</f>
        <v/>
      </c>
      <c r="D581" s="240">
        <f>$D$3</f>
        <v/>
      </c>
      <c r="E581" s="240">
        <f>$E$3</f>
        <v/>
      </c>
      <c r="F581" s="241" t="n">
        <v>32.7</v>
      </c>
      <c r="G581" s="242" t="n">
        <v>31152395</v>
      </c>
      <c r="H581" s="241" t="n">
        <v>8.49</v>
      </c>
      <c r="I581" s="241" t="n">
        <v>-22.66</v>
      </c>
      <c r="J581" s="241" t="n">
        <v>-63.26</v>
      </c>
      <c r="K581" s="241" t="n">
        <v>23.17</v>
      </c>
      <c r="L581" s="242" t="n">
        <v>3536400</v>
      </c>
      <c r="M581" s="241" t="n">
        <v>4.62</v>
      </c>
      <c r="N581" s="241" t="n">
        <v>-21.77</v>
      </c>
      <c r="O581" s="241" t="n">
        <v>-60.05</v>
      </c>
      <c r="P581" s="241" t="n">
        <v>1.41</v>
      </c>
    </row>
    <row r="582">
      <c r="A582" s="282" t="inlineStr">
        <is>
          <t>2008-05-27</t>
        </is>
      </c>
      <c r="B582" s="240">
        <f>IFERROR(1/P582-1,B581)</f>
        <v/>
      </c>
      <c r="C582" s="240">
        <f>$C$3</f>
        <v/>
      </c>
      <c r="D582" s="240">
        <f>$D$3</f>
        <v/>
      </c>
      <c r="E582" s="240">
        <f>$E$3</f>
        <v/>
      </c>
      <c r="F582" s="241" t="n">
        <v>31.7</v>
      </c>
      <c r="G582" s="242" t="n">
        <v>12933926</v>
      </c>
      <c r="H582" s="241" t="n">
        <v>-3.06</v>
      </c>
      <c r="I582" s="241" t="n">
        <v>-25.02</v>
      </c>
      <c r="J582" s="241" t="n">
        <v>-64.38</v>
      </c>
      <c r="K582" s="241" t="n">
        <v>21.89</v>
      </c>
      <c r="L582" s="242" t="n">
        <v>3873139</v>
      </c>
      <c r="M582" s="241" t="n">
        <v>-5.57</v>
      </c>
      <c r="N582" s="241" t="n">
        <v>-26.13</v>
      </c>
      <c r="O582" s="241" t="n">
        <v>-62.27</v>
      </c>
      <c r="P582" s="241" t="n">
        <v>1.45</v>
      </c>
    </row>
    <row r="583">
      <c r="A583" s="282" t="inlineStr">
        <is>
          <t>2008-05-28</t>
        </is>
      </c>
      <c r="B583" s="240">
        <f>IFERROR(1/P583-1,B582)</f>
        <v/>
      </c>
      <c r="C583" s="240">
        <f>$C$3</f>
        <v/>
      </c>
      <c r="D583" s="240">
        <f>$D$3</f>
        <v/>
      </c>
      <c r="E583" s="240">
        <f>$E$3</f>
        <v/>
      </c>
      <c r="F583" s="241" t="n">
        <v>32.07</v>
      </c>
      <c r="G583" s="242" t="n">
        <v>11179323</v>
      </c>
      <c r="H583" s="241" t="n">
        <v>1.17</v>
      </c>
      <c r="I583" s="241" t="n">
        <v>-24.15</v>
      </c>
      <c r="J583" s="241" t="n">
        <v>-63.97</v>
      </c>
      <c r="K583" s="241" t="n">
        <v>22.01</v>
      </c>
      <c r="L583" s="242" t="n">
        <v>847229</v>
      </c>
      <c r="M583" s="241" t="n">
        <v>0.61</v>
      </c>
      <c r="N583" s="241" t="n">
        <v>-25.68</v>
      </c>
      <c r="O583" s="241" t="n">
        <v>-62.04</v>
      </c>
      <c r="P583" s="241" t="n">
        <v>1.46</v>
      </c>
    </row>
    <row r="584">
      <c r="A584" s="282" t="inlineStr">
        <is>
          <t>2008-05-29</t>
        </is>
      </c>
      <c r="B584" s="240">
        <f>IFERROR(1/P584-1,B583)</f>
        <v/>
      </c>
      <c r="C584" s="240">
        <f>$C$3</f>
        <v/>
      </c>
      <c r="D584" s="240">
        <f>$D$3</f>
        <v/>
      </c>
      <c r="E584" s="240">
        <f>$E$3</f>
        <v/>
      </c>
      <c r="F584" s="241" t="n">
        <v>33.1</v>
      </c>
      <c r="G584" s="242" t="n">
        <v>19476542</v>
      </c>
      <c r="H584" s="241" t="n">
        <v>3.21</v>
      </c>
      <c r="I584" s="241" t="n">
        <v>-17.27</v>
      </c>
      <c r="J584" s="241" t="n">
        <v>-62.81</v>
      </c>
      <c r="K584" s="241" t="n">
        <v>22.41</v>
      </c>
      <c r="L584" s="242" t="n">
        <v>1934863</v>
      </c>
      <c r="M584" s="241" t="n">
        <v>1.82</v>
      </c>
      <c r="N584" s="241" t="n">
        <v>-22.34</v>
      </c>
      <c r="O584" s="241" t="n">
        <v>-61.35</v>
      </c>
      <c r="P584" s="241" t="n">
        <v>1.48</v>
      </c>
    </row>
    <row r="585">
      <c r="A585" s="282" t="inlineStr">
        <is>
          <t>2008-05-30</t>
        </is>
      </c>
      <c r="B585" s="240">
        <f>IFERROR(1/P585-1,B584)</f>
        <v/>
      </c>
      <c r="C585" s="240">
        <f>$C$3</f>
        <v/>
      </c>
      <c r="D585" s="240">
        <f>$D$3</f>
        <v/>
      </c>
      <c r="E585" s="240">
        <f>$E$3</f>
        <v/>
      </c>
      <c r="F585" s="241" t="n">
        <v>33.29</v>
      </c>
      <c r="G585" s="242" t="n">
        <v>9866506</v>
      </c>
      <c r="H585" s="241" t="n">
        <v>0.57</v>
      </c>
      <c r="I585" s="241" t="n">
        <v>-16.42</v>
      </c>
      <c r="J585" s="241" t="n">
        <v>-62.6</v>
      </c>
      <c r="K585" s="241" t="n">
        <v>24.04</v>
      </c>
      <c r="L585" s="242" t="n">
        <v>4626800</v>
      </c>
      <c r="M585" s="241" t="n">
        <v>7.14</v>
      </c>
      <c r="N585" s="241" t="n">
        <v>-14.15</v>
      </c>
      <c r="O585" s="241" t="n">
        <v>-58.59</v>
      </c>
      <c r="P585" s="241" t="n">
        <v>1.38</v>
      </c>
    </row>
    <row r="586">
      <c r="A586" s="282" t="inlineStr">
        <is>
          <t>2008-06-02</t>
        </is>
      </c>
      <c r="B586" s="240">
        <f>IFERROR(1/P586-1,B585)</f>
        <v/>
      </c>
      <c r="C586" s="240">
        <f>$C$3</f>
        <v/>
      </c>
      <c r="D586" s="240">
        <f>$D$3</f>
        <v/>
      </c>
      <c r="E586" s="240">
        <f>$E$3</f>
        <v/>
      </c>
      <c r="F586" s="241" t="n">
        <v>34.65</v>
      </c>
      <c r="G586" s="242" t="n">
        <v>12006072</v>
      </c>
      <c r="H586" s="241" t="n">
        <v>4.09</v>
      </c>
      <c r="I586" s="241" t="n">
        <v>-20.91</v>
      </c>
      <c r="J586" s="241" t="n">
        <v>-61.07</v>
      </c>
      <c r="K586" s="241" t="n">
        <v>23.82</v>
      </c>
      <c r="L586" s="242" t="n">
        <v>2340497</v>
      </c>
      <c r="M586" s="241" t="n">
        <v>-0.74</v>
      </c>
      <c r="N586" s="241" t="n">
        <v>-15.32</v>
      </c>
      <c r="O586" s="241" t="n">
        <v>-58.9</v>
      </c>
      <c r="P586" s="241" t="n">
        <v>1.45</v>
      </c>
    </row>
    <row r="587">
      <c r="A587" s="282" t="inlineStr">
        <is>
          <t>2008-06-03</t>
        </is>
      </c>
      <c r="B587" s="240">
        <f>IFERROR(1/P587-1,B586)</f>
        <v/>
      </c>
      <c r="C587" s="240">
        <f>$C$3</f>
        <v/>
      </c>
      <c r="D587" s="240">
        <f>$D$3</f>
        <v/>
      </c>
      <c r="E587" s="240">
        <f>$E$3</f>
        <v/>
      </c>
      <c r="F587" s="241" t="n">
        <v>33.97</v>
      </c>
      <c r="G587" s="242" t="n">
        <v>6776593</v>
      </c>
      <c r="H587" s="241" t="n">
        <v>-1.96</v>
      </c>
      <c r="I587" s="241" t="n">
        <v>-22.46</v>
      </c>
      <c r="J587" s="241" t="n">
        <v>-61.83</v>
      </c>
      <c r="K587" s="241" t="n">
        <v>22.86</v>
      </c>
      <c r="L587" s="242" t="n">
        <v>1576984</v>
      </c>
      <c r="M587" s="241" t="n">
        <v>-3.92</v>
      </c>
      <c r="N587" s="241" t="n">
        <v>-21.73</v>
      </c>
      <c r="O587" s="241" t="n">
        <v>-60.51</v>
      </c>
      <c r="P587" s="241" t="n">
        <v>1.49</v>
      </c>
    </row>
    <row r="588">
      <c r="A588" s="282" t="inlineStr">
        <is>
          <t>2008-06-04</t>
        </is>
      </c>
      <c r="B588" s="240">
        <f>IFERROR(1/P588-1,B587)</f>
        <v/>
      </c>
      <c r="C588" s="240">
        <f>$C$3</f>
        <v/>
      </c>
      <c r="D588" s="240">
        <f>$D$3</f>
        <v/>
      </c>
      <c r="E588" s="240">
        <f>$E$3</f>
        <v/>
      </c>
      <c r="F588" s="241" t="n">
        <v>33.15</v>
      </c>
      <c r="G588" s="242" t="n">
        <v>5456908</v>
      </c>
      <c r="H588" s="241" t="n">
        <v>-2.41</v>
      </c>
      <c r="I588" s="241" t="n">
        <v>-24.33</v>
      </c>
      <c r="J588" s="241" t="n">
        <v>-62.75</v>
      </c>
      <c r="K588" s="241" t="n">
        <v>22.3</v>
      </c>
      <c r="L588" s="242" t="n">
        <v>1243199</v>
      </c>
      <c r="M588" s="241" t="n">
        <v>-2.52</v>
      </c>
      <c r="N588" s="241" t="n">
        <v>-23.71</v>
      </c>
      <c r="O588" s="241" t="n">
        <v>-61.51</v>
      </c>
      <c r="P588" s="241" t="n">
        <v>1.49</v>
      </c>
    </row>
    <row r="589">
      <c r="A589" s="282" t="inlineStr">
        <is>
          <t>2008-06-05</t>
        </is>
      </c>
      <c r="B589" s="240">
        <f>IFERROR(1/P589-1,B588)</f>
        <v/>
      </c>
      <c r="C589" s="240">
        <f>$C$3</f>
        <v/>
      </c>
      <c r="D589" s="240">
        <f>$D$3</f>
        <v/>
      </c>
      <c r="E589" s="240">
        <f>$E$3</f>
        <v/>
      </c>
      <c r="F589" s="241" t="n">
        <v>32.62</v>
      </c>
      <c r="G589" s="242" t="n">
        <v>3874785</v>
      </c>
      <c r="H589" s="241" t="n">
        <v>-1.6</v>
      </c>
      <c r="I589" s="241" t="n">
        <v>-25.54</v>
      </c>
      <c r="J589" s="241" t="n">
        <v>-63.35</v>
      </c>
      <c r="K589" s="241" t="n">
        <v>21.6</v>
      </c>
      <c r="L589" s="242" t="n">
        <v>2176091</v>
      </c>
      <c r="M589" s="241" t="n">
        <v>-3.19</v>
      </c>
      <c r="N589" s="241" t="n">
        <v>-26.14</v>
      </c>
      <c r="O589" s="241" t="n">
        <v>-62.73</v>
      </c>
      <c r="P589" s="241" t="n">
        <v>1.51</v>
      </c>
    </row>
    <row r="590">
      <c r="A590" s="282" t="inlineStr">
        <is>
          <t>2008-06-06</t>
        </is>
      </c>
      <c r="B590" s="240">
        <f>IFERROR(1/P590-1,B589)</f>
        <v/>
      </c>
      <c r="C590" s="240">
        <f>$C$3</f>
        <v/>
      </c>
      <c r="D590" s="240">
        <f>$D$3</f>
        <v/>
      </c>
      <c r="E590" s="240">
        <f>$E$3</f>
        <v/>
      </c>
      <c r="F590" s="241" t="n">
        <v>32.24</v>
      </c>
      <c r="G590" s="242" t="n">
        <v>3365735</v>
      </c>
      <c r="H590" s="241" t="n">
        <v>-1.16</v>
      </c>
      <c r="I590" s="241" t="n">
        <v>-30.5</v>
      </c>
      <c r="J590" s="241" t="n">
        <v>-63.78</v>
      </c>
      <c r="K590" s="241" t="n">
        <v>21.46</v>
      </c>
      <c r="L590" s="242" t="n">
        <v>803536</v>
      </c>
      <c r="M590" s="241" t="n">
        <v>-0.41</v>
      </c>
      <c r="N590" s="241" t="n">
        <v>-25.65</v>
      </c>
      <c r="O590" s="241" t="n">
        <v>-62.89</v>
      </c>
      <c r="P590" s="241" t="n">
        <v>1.5</v>
      </c>
    </row>
    <row r="591">
      <c r="A591" s="282" t="inlineStr">
        <is>
          <t>2008-06-10</t>
        </is>
      </c>
      <c r="B591" s="240">
        <f>IFERROR(1/P591-1,B590)</f>
        <v/>
      </c>
      <c r="C591" s="240">
        <f>$C$3</f>
        <v/>
      </c>
      <c r="D591" s="240">
        <f>$D$3</f>
        <v/>
      </c>
      <c r="E591" s="240">
        <f>$E$3</f>
        <v/>
      </c>
      <c r="F591" s="241" t="n">
        <v>30.22</v>
      </c>
      <c r="G591" s="242" t="n">
        <v>9542042</v>
      </c>
      <c r="H591" s="241" t="n">
        <v>-6.27</v>
      </c>
      <c r="I591" s="241" t="n">
        <v>-31.78</v>
      </c>
      <c r="J591" s="241" t="n">
        <v>-66.04000000000001</v>
      </c>
      <c r="K591" s="241" t="n">
        <v>21.09</v>
      </c>
      <c r="L591" s="242" t="n">
        <v>1972337</v>
      </c>
      <c r="M591" s="241" t="n">
        <v>-1.65</v>
      </c>
      <c r="N591" s="241" t="n">
        <v>-20.67</v>
      </c>
      <c r="O591" s="241" t="n">
        <v>-63.5</v>
      </c>
      <c r="P591" s="241" t="n">
        <v>1.43</v>
      </c>
    </row>
    <row r="592">
      <c r="A592" s="282" t="inlineStr">
        <is>
          <t>2008-06-11</t>
        </is>
      </c>
      <c r="B592" s="240">
        <f>IFERROR(1/P592-1,B591)</f>
        <v/>
      </c>
      <c r="C592" s="240">
        <f>$C$3</f>
        <v/>
      </c>
      <c r="D592" s="240">
        <f>$D$3</f>
        <v/>
      </c>
      <c r="E592" s="240">
        <f>$E$3</f>
        <v/>
      </c>
      <c r="F592" s="241" t="n">
        <v>29.79</v>
      </c>
      <c r="G592" s="242" t="n">
        <v>7920978</v>
      </c>
      <c r="H592" s="241" t="n">
        <v>-1.42</v>
      </c>
      <c r="I592" s="241" t="n">
        <v>-32.75</v>
      </c>
      <c r="J592" s="241" t="n">
        <v>-66.53</v>
      </c>
      <c r="K592" s="241" t="n">
        <v>21</v>
      </c>
      <c r="L592" s="242" t="n">
        <v>920574</v>
      </c>
      <c r="M592" s="241" t="n">
        <v>-0.42</v>
      </c>
      <c r="N592" s="241" t="n">
        <v>-21</v>
      </c>
      <c r="O592" s="241" t="n">
        <v>-63.66</v>
      </c>
      <c r="P592" s="241" t="n">
        <v>1.42</v>
      </c>
    </row>
    <row r="593">
      <c r="A593" s="282" t="inlineStr">
        <is>
          <t>2008-06-12</t>
        </is>
      </c>
      <c r="B593" s="240">
        <f>IFERROR(1/P593-1,B592)</f>
        <v/>
      </c>
      <c r="C593" s="240">
        <f>$C$3</f>
        <v/>
      </c>
      <c r="D593" s="240">
        <f>$D$3</f>
        <v/>
      </c>
      <c r="E593" s="240">
        <f>$E$3</f>
        <v/>
      </c>
      <c r="F593" s="241" t="n">
        <v>30.13</v>
      </c>
      <c r="G593" s="242" t="n">
        <v>10523632</v>
      </c>
      <c r="H593" s="241" t="n">
        <v>1.14</v>
      </c>
      <c r="I593" s="241" t="n">
        <v>-31.99</v>
      </c>
      <c r="J593" s="241" t="n">
        <v>-66.15000000000001</v>
      </c>
      <c r="K593" s="241" t="n">
        <v>20.55</v>
      </c>
      <c r="L593" s="242" t="n">
        <v>1929765</v>
      </c>
      <c r="M593" s="241" t="n">
        <v>-1.9</v>
      </c>
      <c r="N593" s="241" t="n">
        <v>-22.5</v>
      </c>
      <c r="O593" s="241" t="n">
        <v>-64.34999999999999</v>
      </c>
      <c r="P593" s="241" t="n">
        <v>1.47</v>
      </c>
    </row>
    <row r="594">
      <c r="A594" s="282" t="inlineStr">
        <is>
          <t>2008-06-13</t>
        </is>
      </c>
      <c r="B594" s="240">
        <f>IFERROR(1/P594-1,B593)</f>
        <v/>
      </c>
      <c r="C594" s="240">
        <f>$C$3</f>
        <v/>
      </c>
      <c r="D594" s="240">
        <f>$D$3</f>
        <v/>
      </c>
      <c r="E594" s="240">
        <f>$E$3</f>
        <v/>
      </c>
      <c r="F594" s="241" t="n">
        <v>30.48</v>
      </c>
      <c r="G594" s="242" t="n">
        <v>7660876</v>
      </c>
      <c r="H594" s="241" t="n">
        <v>1.16</v>
      </c>
      <c r="I594" s="241" t="n">
        <v>-32.04</v>
      </c>
      <c r="J594" s="241" t="n">
        <v>-65.75</v>
      </c>
      <c r="K594" s="241" t="n">
        <v>19.48</v>
      </c>
      <c r="L594" s="242" t="n">
        <v>2888216</v>
      </c>
      <c r="M594" s="241" t="n">
        <v>-5.16</v>
      </c>
      <c r="N594" s="241" t="n">
        <v>-26.5</v>
      </c>
      <c r="O594" s="241" t="n">
        <v>-66.19</v>
      </c>
      <c r="P594" s="241" t="n">
        <v>1.56</v>
      </c>
    </row>
    <row r="595">
      <c r="A595" s="282" t="inlineStr">
        <is>
          <t>2008-06-16</t>
        </is>
      </c>
      <c r="B595" s="240">
        <f>IFERROR(1/P595-1,B594)</f>
        <v/>
      </c>
      <c r="C595" s="240">
        <f>$C$3</f>
        <v/>
      </c>
      <c r="D595" s="240">
        <f>$D$3</f>
        <v/>
      </c>
      <c r="E595" s="240">
        <f>$E$3</f>
        <v/>
      </c>
      <c r="F595" s="241" t="n">
        <v>28.51</v>
      </c>
      <c r="G595" s="242" t="n">
        <v>7584646</v>
      </c>
      <c r="H595" s="241" t="n">
        <v>-6.46</v>
      </c>
      <c r="I595" s="241" t="n">
        <v>-36.43</v>
      </c>
      <c r="J595" s="241" t="n">
        <v>-67.97</v>
      </c>
      <c r="K595" s="241" t="n">
        <v>20.5</v>
      </c>
      <c r="L595" s="242" t="n">
        <v>1013698</v>
      </c>
      <c r="M595" s="241" t="n">
        <v>5.22</v>
      </c>
      <c r="N595" s="241" t="n">
        <v>-22.67</v>
      </c>
      <c r="O595" s="241" t="n">
        <v>-64.42</v>
      </c>
      <c r="P595" s="241" t="n">
        <v>1.39</v>
      </c>
    </row>
    <row r="596">
      <c r="A596" s="282" t="inlineStr">
        <is>
          <t>2008-06-17</t>
        </is>
      </c>
      <c r="B596" s="240">
        <f>IFERROR(1/P596-1,B595)</f>
        <v/>
      </c>
      <c r="C596" s="240">
        <f>$C$3</f>
        <v/>
      </c>
      <c r="D596" s="240">
        <f>$D$3</f>
        <v/>
      </c>
      <c r="E596" s="240">
        <f>$E$3</f>
        <v/>
      </c>
      <c r="F596" s="241" t="n">
        <v>25.66</v>
      </c>
      <c r="G596" s="242" t="n">
        <v>8204202</v>
      </c>
      <c r="H596" s="241" t="n">
        <v>-10</v>
      </c>
      <c r="I596" s="241" t="n">
        <v>-42.79</v>
      </c>
      <c r="J596" s="241" t="n">
        <v>-71.17</v>
      </c>
      <c r="K596" s="241" t="n">
        <v>20.74</v>
      </c>
      <c r="L596" s="242" t="n">
        <v>2119647</v>
      </c>
      <c r="M596" s="241" t="n">
        <v>1.29</v>
      </c>
      <c r="N596" s="241" t="n">
        <v>-8.56</v>
      </c>
      <c r="O596" s="241" t="n">
        <v>-63.96</v>
      </c>
      <c r="P596" s="241" t="n">
        <v>1.24</v>
      </c>
    </row>
    <row r="597">
      <c r="A597" s="282" t="inlineStr">
        <is>
          <t>2008-06-18</t>
        </is>
      </c>
      <c r="B597" s="240">
        <f>IFERROR(1/P597-1,B596)</f>
        <v/>
      </c>
      <c r="C597" s="240">
        <f>$C$3</f>
        <v/>
      </c>
      <c r="D597" s="240">
        <f>$D$3</f>
        <v/>
      </c>
      <c r="E597" s="240">
        <f>$E$3</f>
        <v/>
      </c>
      <c r="F597" s="241" t="n">
        <v>27.09</v>
      </c>
      <c r="G597" s="242" t="n">
        <v>7834198</v>
      </c>
      <c r="H597" s="241" t="n">
        <v>5.57</v>
      </c>
      <c r="I597" s="241" t="n">
        <v>-39.6</v>
      </c>
      <c r="J597" s="241" t="n">
        <v>-69.56</v>
      </c>
      <c r="K597" s="241" t="n">
        <v>22.03</v>
      </c>
      <c r="L597" s="242" t="n">
        <v>3650646</v>
      </c>
      <c r="M597" s="241" t="n">
        <v>6.38</v>
      </c>
      <c r="N597" s="241" t="n">
        <v>-2.72</v>
      </c>
      <c r="O597" s="241" t="n">
        <v>-61.66</v>
      </c>
      <c r="P597" s="241" t="n">
        <v>1.23</v>
      </c>
    </row>
    <row r="598">
      <c r="A598" s="282" t="inlineStr">
        <is>
          <t>2008-06-19</t>
        </is>
      </c>
      <c r="B598" s="240">
        <f>IFERROR(1/P598-1,B597)</f>
        <v/>
      </c>
      <c r="C598" s="240">
        <f>$C$3</f>
        <v/>
      </c>
      <c r="D598" s="240">
        <f>$D$3</f>
        <v/>
      </c>
      <c r="E598" s="240">
        <f>$E$3</f>
        <v/>
      </c>
      <c r="F598" s="241" t="n">
        <v>25.16</v>
      </c>
      <c r="G598" s="242" t="n">
        <v>6009713</v>
      </c>
      <c r="H598" s="241" t="n">
        <v>-7.12</v>
      </c>
      <c r="I598" s="241" t="n">
        <v>-43.9</v>
      </c>
      <c r="J598" s="241" t="n">
        <v>-71.73</v>
      </c>
      <c r="K598" s="241" t="n">
        <v>21.95</v>
      </c>
      <c r="L598" s="242" t="n">
        <v>1699870</v>
      </c>
      <c r="M598" s="241" t="n">
        <v>-0.4</v>
      </c>
      <c r="N598" s="241" t="n">
        <v>-3.11</v>
      </c>
      <c r="O598" s="241" t="n">
        <v>-61.81</v>
      </c>
      <c r="P598" s="241" t="n">
        <v>1.15</v>
      </c>
    </row>
    <row r="599">
      <c r="A599" s="282" t="inlineStr">
        <is>
          <t>2008-06-20</t>
        </is>
      </c>
      <c r="B599" s="240">
        <f>IFERROR(1/P599-1,B598)</f>
        <v/>
      </c>
      <c r="C599" s="240">
        <f>$C$3</f>
        <v/>
      </c>
      <c r="D599" s="240">
        <f>$D$3</f>
        <v/>
      </c>
      <c r="E599" s="240">
        <f>$E$3</f>
        <v/>
      </c>
      <c r="F599" s="241" t="n">
        <v>27.67</v>
      </c>
      <c r="G599" s="242" t="n">
        <v>12680925</v>
      </c>
      <c r="H599" s="241" t="n">
        <v>9.98</v>
      </c>
      <c r="I599" s="241" t="n">
        <v>-31.46</v>
      </c>
      <c r="J599" s="241" t="n">
        <v>-68.91</v>
      </c>
      <c r="K599" s="241" t="n">
        <v>21.86</v>
      </c>
      <c r="L599" s="242" t="n">
        <v>1646280</v>
      </c>
      <c r="M599" s="241" t="n">
        <v>-0.4</v>
      </c>
      <c r="N599" s="241" t="n">
        <v>0</v>
      </c>
      <c r="O599" s="241" t="n">
        <v>-61.97</v>
      </c>
      <c r="P599" s="241" t="n">
        <v>1.27</v>
      </c>
    </row>
    <row r="600">
      <c r="A600" s="282" t="inlineStr">
        <is>
          <t>2008-06-23</t>
        </is>
      </c>
      <c r="B600" s="240">
        <f>IFERROR(1/P600-1,B599)</f>
        <v/>
      </c>
      <c r="C600" s="240">
        <f>$C$3</f>
        <v/>
      </c>
      <c r="D600" s="240">
        <f>$D$3</f>
        <v/>
      </c>
      <c r="E600" s="240">
        <f>$E$3</f>
        <v/>
      </c>
      <c r="F600" s="241" t="n">
        <v>26.66</v>
      </c>
      <c r="G600" s="242" t="n">
        <v>4969458</v>
      </c>
      <c r="H600" s="241" t="n">
        <v>-3.65</v>
      </c>
      <c r="I600" s="241" t="n">
        <v>-20.39</v>
      </c>
      <c r="J600" s="241" t="n">
        <v>-70.04000000000001</v>
      </c>
      <c r="K600" s="241" t="n">
        <v>21.07</v>
      </c>
      <c r="L600" s="242" t="n">
        <v>1375561</v>
      </c>
      <c r="M600" s="241" t="n">
        <v>-3.43</v>
      </c>
      <c r="N600" s="241" t="n">
        <v>-4.96</v>
      </c>
      <c r="O600" s="241" t="n">
        <v>-63.27</v>
      </c>
      <c r="P600" s="241" t="n">
        <v>1.27</v>
      </c>
    </row>
    <row r="601">
      <c r="A601" s="282" t="inlineStr">
        <is>
          <t>2008-06-24</t>
        </is>
      </c>
      <c r="B601" s="240">
        <f>IFERROR(1/P601-1,B600)</f>
        <v/>
      </c>
      <c r="C601" s="240">
        <f>$C$3</f>
        <v/>
      </c>
      <c r="D601" s="240">
        <f>$D$3</f>
        <v/>
      </c>
      <c r="E601" s="240">
        <f>$E$3</f>
        <v/>
      </c>
      <c r="F601" s="241" t="n">
        <v>27.25</v>
      </c>
      <c r="G601" s="242" t="n">
        <v>5080389</v>
      </c>
      <c r="H601" s="241" t="n">
        <v>2.21</v>
      </c>
      <c r="I601" s="241" t="n">
        <v>-9.59</v>
      </c>
      <c r="J601" s="241" t="n">
        <v>-69.38</v>
      </c>
      <c r="K601" s="241" t="n">
        <v>20.03</v>
      </c>
      <c r="L601" s="242" t="n">
        <v>2664941</v>
      </c>
      <c r="M601" s="241" t="n">
        <v>-5.01</v>
      </c>
      <c r="N601" s="241" t="n">
        <v>-8.630000000000001</v>
      </c>
      <c r="O601" s="241" t="n">
        <v>-65.11</v>
      </c>
      <c r="P601" s="241" t="n">
        <v>1.36</v>
      </c>
    </row>
    <row r="602">
      <c r="A602" s="282" t="inlineStr">
        <is>
          <t>2008-06-25</t>
        </is>
      </c>
      <c r="B602" s="240">
        <f>IFERROR(1/P602-1,B601)</f>
        <v/>
      </c>
      <c r="C602" s="240">
        <f>$C$3</f>
        <v/>
      </c>
      <c r="D602" s="240">
        <f>$D$3</f>
        <v/>
      </c>
      <c r="E602" s="240">
        <f>$E$3</f>
        <v/>
      </c>
      <c r="F602" s="241" t="n">
        <v>29.84</v>
      </c>
      <c r="G602" s="242" t="n">
        <v>8472674</v>
      </c>
      <c r="H602" s="241" t="n">
        <v>9.5</v>
      </c>
      <c r="I602" s="241" t="n">
        <v>-1</v>
      </c>
      <c r="J602" s="241" t="n">
        <v>-66.47</v>
      </c>
      <c r="K602" s="241" t="n">
        <v>19.84</v>
      </c>
      <c r="L602" s="242" t="n">
        <v>1026981</v>
      </c>
      <c r="M602" s="241" t="n">
        <v>-0.88</v>
      </c>
      <c r="N602" s="241" t="n">
        <v>-9.44</v>
      </c>
      <c r="O602" s="241" t="n">
        <v>-65.42</v>
      </c>
      <c r="P602" s="241" t="n">
        <v>1.5</v>
      </c>
    </row>
    <row r="603">
      <c r="A603" s="282" t="inlineStr">
        <is>
          <t>2008-06-26</t>
        </is>
      </c>
      <c r="B603" s="240">
        <f>IFERROR(1/P603-1,B602)</f>
        <v/>
      </c>
      <c r="C603" s="240">
        <f>$C$3</f>
        <v/>
      </c>
      <c r="D603" s="240">
        <f>$D$3</f>
        <v/>
      </c>
      <c r="E603" s="240">
        <f>$E$3</f>
        <v/>
      </c>
      <c r="F603" s="241" t="n">
        <v>30.17</v>
      </c>
      <c r="G603" s="242" t="n">
        <v>8886359</v>
      </c>
      <c r="H603" s="241" t="n">
        <v>1.11</v>
      </c>
      <c r="I603" s="241" t="n">
        <v>0.1</v>
      </c>
      <c r="J603" s="241" t="n">
        <v>-66.09999999999999</v>
      </c>
      <c r="K603" s="241" t="n">
        <v>20.26</v>
      </c>
      <c r="L603" s="242" t="n">
        <v>2538174</v>
      </c>
      <c r="M603" s="241" t="n">
        <v>2.22</v>
      </c>
      <c r="N603" s="241" t="n">
        <v>-7.43</v>
      </c>
      <c r="O603" s="241" t="n">
        <v>-64.65000000000001</v>
      </c>
      <c r="P603" s="241" t="n">
        <v>1.49</v>
      </c>
    </row>
    <row r="604">
      <c r="A604" s="282" t="inlineStr">
        <is>
          <t>2008-06-27</t>
        </is>
      </c>
      <c r="B604" s="240">
        <f>IFERROR(1/P604-1,B603)</f>
        <v/>
      </c>
      <c r="C604" s="240">
        <f>$C$3</f>
        <v/>
      </c>
      <c r="D604" s="240">
        <f>$D$3</f>
        <v/>
      </c>
      <c r="E604" s="240">
        <f>$E$3</f>
        <v/>
      </c>
      <c r="F604" s="241" t="n">
        <v>29.13</v>
      </c>
      <c r="G604" s="242" t="n">
        <v>9746012</v>
      </c>
      <c r="H604" s="241" t="n">
        <v>-3.45</v>
      </c>
      <c r="I604" s="241" t="n">
        <v>-10.92</v>
      </c>
      <c r="J604" s="241" t="n">
        <v>-67.27</v>
      </c>
      <c r="K604" s="241" t="n">
        <v>19.79</v>
      </c>
      <c r="L604" s="242" t="n">
        <v>2183200</v>
      </c>
      <c r="M604" s="241" t="n">
        <v>-2.39</v>
      </c>
      <c r="N604" s="241" t="n">
        <v>-13.63</v>
      </c>
      <c r="O604" s="241" t="n">
        <v>-65.5</v>
      </c>
      <c r="P604" s="241" t="n">
        <v>1.47</v>
      </c>
    </row>
    <row r="605">
      <c r="A605" s="282" t="inlineStr">
        <is>
          <t>2008-06-30</t>
        </is>
      </c>
      <c r="B605" s="240">
        <f>IFERROR(1/P605-1,B604)</f>
        <v/>
      </c>
      <c r="C605" s="240">
        <f>$C$3</f>
        <v/>
      </c>
      <c r="D605" s="240">
        <f>$D$3</f>
        <v/>
      </c>
      <c r="E605" s="240">
        <f>$E$3</f>
        <v/>
      </c>
      <c r="F605" s="241" t="n">
        <v>29.75</v>
      </c>
      <c r="G605" s="242" t="n">
        <v>4873120</v>
      </c>
      <c r="H605" s="241" t="n">
        <v>2.13</v>
      </c>
      <c r="I605" s="241" t="n">
        <v>-10.12</v>
      </c>
      <c r="J605" s="241" t="n">
        <v>-66.56999999999999</v>
      </c>
      <c r="K605" s="241" t="n">
        <v>20.13</v>
      </c>
      <c r="L605" s="242" t="n">
        <v>2659846</v>
      </c>
      <c r="M605" s="241" t="n">
        <v>1.78</v>
      </c>
      <c r="N605" s="241" t="n">
        <v>-9.130000000000001</v>
      </c>
      <c r="O605" s="241" t="n">
        <v>-64.88</v>
      </c>
      <c r="P605" s="241" t="n">
        <v>1.48</v>
      </c>
    </row>
    <row r="606">
      <c r="A606" s="282" t="inlineStr">
        <is>
          <t>2008-07-01</t>
        </is>
      </c>
      <c r="B606" s="240">
        <f>IFERROR(1/P606-1,B605)</f>
        <v/>
      </c>
      <c r="C606" s="240">
        <f>$C$3</f>
        <v/>
      </c>
      <c r="D606" s="240">
        <f>$D$3</f>
        <v/>
      </c>
      <c r="E606" s="240">
        <f>$E$3</f>
        <v/>
      </c>
      <c r="F606" s="241" t="n">
        <v>29.56</v>
      </c>
      <c r="G606" s="242" t="n">
        <v>4864614</v>
      </c>
      <c r="H606" s="241" t="n">
        <v>-0.64</v>
      </c>
      <c r="I606" s="241" t="n">
        <v>-11.2</v>
      </c>
      <c r="J606" s="241" t="n">
        <v>-66.79000000000001</v>
      </c>
      <c r="K606" s="239" t="inlineStr">
        <is>
          <t>--</t>
        </is>
      </c>
      <c r="L606" s="239" t="inlineStr">
        <is>
          <t>--</t>
        </is>
      </c>
      <c r="M606" s="239" t="inlineStr">
        <is>
          <t>--</t>
        </is>
      </c>
      <c r="N606" s="239" t="inlineStr">
        <is>
          <t>--</t>
        </is>
      </c>
      <c r="O606" s="239" t="inlineStr">
        <is>
          <t>--</t>
        </is>
      </c>
      <c r="P606" s="239" t="inlineStr">
        <is>
          <t>--</t>
        </is>
      </c>
    </row>
    <row r="607">
      <c r="A607" s="282" t="inlineStr">
        <is>
          <t>2008-07-02</t>
        </is>
      </c>
      <c r="B607" s="240">
        <f>IFERROR(1/P607-1,B606)</f>
        <v/>
      </c>
      <c r="C607" s="240">
        <f>$C$3</f>
        <v/>
      </c>
      <c r="D607" s="240">
        <f>$D$3</f>
        <v/>
      </c>
      <c r="E607" s="240">
        <f>$E$3</f>
        <v/>
      </c>
      <c r="F607" s="241" t="n">
        <v>30.09</v>
      </c>
      <c r="G607" s="242" t="n">
        <v>5261469</v>
      </c>
      <c r="H607" s="241" t="n">
        <v>1.79</v>
      </c>
      <c r="I607" s="241" t="n">
        <v>-9.609999999999999</v>
      </c>
      <c r="J607" s="241" t="n">
        <v>-66.19</v>
      </c>
      <c r="K607" s="241" t="n">
        <v>20.06</v>
      </c>
      <c r="L607" s="242" t="n">
        <v>1592622</v>
      </c>
      <c r="M607" s="241" t="n">
        <v>-0.44</v>
      </c>
      <c r="N607" s="241" t="n">
        <v>-15.56</v>
      </c>
      <c r="O607" s="241" t="n">
        <v>-65.04000000000001</v>
      </c>
      <c r="P607" s="241" t="n">
        <v>1.5</v>
      </c>
    </row>
    <row r="608">
      <c r="A608" s="282" t="inlineStr">
        <is>
          <t>2008-07-03</t>
        </is>
      </c>
      <c r="B608" s="240">
        <f>IFERROR(1/P608-1,B607)</f>
        <v/>
      </c>
      <c r="C608" s="240">
        <f>$C$3</f>
        <v/>
      </c>
      <c r="D608" s="240">
        <f>$D$3</f>
        <v/>
      </c>
      <c r="E608" s="240">
        <f>$E$3</f>
        <v/>
      </c>
      <c r="F608" s="241" t="n">
        <v>31.65</v>
      </c>
      <c r="G608" s="242" t="n">
        <v>7297442</v>
      </c>
      <c r="H608" s="241" t="n">
        <v>5.18</v>
      </c>
      <c r="I608" s="241" t="n">
        <v>-8.66</v>
      </c>
      <c r="J608" s="241" t="n">
        <v>-64.44</v>
      </c>
      <c r="K608" s="241" t="n">
        <v>19.38</v>
      </c>
      <c r="L608" s="242" t="n">
        <v>1720654</v>
      </c>
      <c r="M608" s="241" t="n">
        <v>-3.29</v>
      </c>
      <c r="N608" s="241" t="n">
        <v>-17.72</v>
      </c>
      <c r="O608" s="241" t="n">
        <v>-66.19</v>
      </c>
      <c r="P608" s="241" t="n">
        <v>1.63</v>
      </c>
    </row>
    <row r="609">
      <c r="A609" s="282" t="inlineStr">
        <is>
          <t>2008-07-04</t>
        </is>
      </c>
      <c r="B609" s="240">
        <f>IFERROR(1/P609-1,B608)</f>
        <v/>
      </c>
      <c r="C609" s="240">
        <f>$C$3</f>
        <v/>
      </c>
      <c r="D609" s="240">
        <f>$D$3</f>
        <v/>
      </c>
      <c r="E609" s="240">
        <f>$E$3</f>
        <v/>
      </c>
      <c r="F609" s="241" t="n">
        <v>29.61</v>
      </c>
      <c r="G609" s="242" t="n">
        <v>8045076</v>
      </c>
      <c r="H609" s="241" t="n">
        <v>-6.45</v>
      </c>
      <c r="I609" s="241" t="n">
        <v>-12.83</v>
      </c>
      <c r="J609" s="241" t="n">
        <v>-66.73</v>
      </c>
      <c r="K609" s="241" t="n">
        <v>19.8</v>
      </c>
      <c r="L609" s="242" t="n">
        <v>672859</v>
      </c>
      <c r="M609" s="241" t="n">
        <v>2.04</v>
      </c>
      <c r="N609" s="241" t="n">
        <v>-12.62</v>
      </c>
      <c r="O609" s="241" t="n">
        <v>-65.5</v>
      </c>
      <c r="P609" s="241" t="n">
        <v>1.5</v>
      </c>
    </row>
    <row r="610">
      <c r="A610" s="282" t="inlineStr">
        <is>
          <t>2008-07-07</t>
        </is>
      </c>
      <c r="B610" s="240">
        <f>IFERROR(1/P610-1,B609)</f>
        <v/>
      </c>
      <c r="C610" s="240">
        <f>$C$3</f>
        <v/>
      </c>
      <c r="D610" s="240">
        <f>$D$3</f>
        <v/>
      </c>
      <c r="E610" s="240">
        <f>$E$3</f>
        <v/>
      </c>
      <c r="F610" s="241" t="n">
        <v>30.95</v>
      </c>
      <c r="G610" s="242" t="n">
        <v>5674005</v>
      </c>
      <c r="H610" s="241" t="n">
        <v>5.38</v>
      </c>
      <c r="I610" s="241" t="n">
        <v>-3.22</v>
      </c>
      <c r="J610" s="241" t="n">
        <v>-64.94</v>
      </c>
      <c r="K610" s="241" t="n">
        <v>20.18</v>
      </c>
      <c r="L610" s="242" t="n">
        <v>1512133</v>
      </c>
      <c r="M610" s="241" t="n">
        <v>2</v>
      </c>
      <c r="N610" s="241" t="n">
        <v>-5.17</v>
      </c>
      <c r="O610" s="241" t="n">
        <v>-64.81</v>
      </c>
      <c r="P610" s="241" t="n">
        <v>1.53</v>
      </c>
    </row>
    <row r="611">
      <c r="A611" s="282" t="inlineStr">
        <is>
          <t>2008-07-08</t>
        </is>
      </c>
      <c r="B611" s="240">
        <f>IFERROR(1/P611-1,B610)</f>
        <v/>
      </c>
      <c r="C611" s="240">
        <f>$C$3</f>
        <v/>
      </c>
      <c r="D611" s="240">
        <f>$D$3</f>
        <v/>
      </c>
      <c r="E611" s="240">
        <f>$E$3</f>
        <v/>
      </c>
      <c r="F611" s="241" t="n">
        <v>31.87</v>
      </c>
      <c r="G611" s="242" t="n">
        <v>8234762</v>
      </c>
      <c r="H611" s="241" t="n">
        <v>2.97</v>
      </c>
      <c r="I611" s="241" t="n">
        <v>-0.34</v>
      </c>
      <c r="J611" s="241" t="n">
        <v>-63.9</v>
      </c>
      <c r="K611" s="241" t="n">
        <v>20.66</v>
      </c>
      <c r="L611" s="242" t="n">
        <v>1341580</v>
      </c>
      <c r="M611" s="241" t="n">
        <v>2.4</v>
      </c>
      <c r="N611" s="241" t="n">
        <v>-2.89</v>
      </c>
      <c r="O611" s="241" t="n">
        <v>-63.96</v>
      </c>
      <c r="P611" s="241" t="n">
        <v>1.54</v>
      </c>
    </row>
    <row r="612">
      <c r="A612" s="282" t="inlineStr">
        <is>
          <t>2008-07-09</t>
        </is>
      </c>
      <c r="B612" s="240">
        <f>IFERROR(1/P612-1,B611)</f>
        <v/>
      </c>
      <c r="C612" s="240">
        <f>$C$3</f>
        <v/>
      </c>
      <c r="D612" s="240">
        <f>$D$3</f>
        <v/>
      </c>
      <c r="E612" s="240">
        <f>$E$3</f>
        <v/>
      </c>
      <c r="F612" s="241" t="n">
        <v>32.31</v>
      </c>
      <c r="G612" s="242" t="n">
        <v>6763491</v>
      </c>
      <c r="H612" s="241" t="n">
        <v>1.38</v>
      </c>
      <c r="I612" s="241" t="n">
        <v>1.04</v>
      </c>
      <c r="J612" s="241" t="n">
        <v>-63.4</v>
      </c>
      <c r="K612" s="241" t="n">
        <v>20.67</v>
      </c>
      <c r="L612" s="242" t="n">
        <v>1635418</v>
      </c>
      <c r="M612" s="241" t="n">
        <v>0</v>
      </c>
      <c r="N612" s="241" t="n">
        <v>-2.89</v>
      </c>
      <c r="O612" s="241" t="n">
        <v>-63.96</v>
      </c>
      <c r="P612" s="241" t="n">
        <v>1.56</v>
      </c>
    </row>
    <row r="613">
      <c r="A613" s="282" t="inlineStr">
        <is>
          <t>2008-07-10</t>
        </is>
      </c>
      <c r="B613" s="240">
        <f>IFERROR(1/P613-1,B612)</f>
        <v/>
      </c>
      <c r="C613" s="240">
        <f>$C$3</f>
        <v/>
      </c>
      <c r="D613" s="240">
        <f>$D$3</f>
        <v/>
      </c>
      <c r="E613" s="240">
        <f>$E$3</f>
        <v/>
      </c>
      <c r="F613" s="241" t="n">
        <v>32.22</v>
      </c>
      <c r="G613" s="242" t="n">
        <v>8047914</v>
      </c>
      <c r="H613" s="241" t="n">
        <v>-0.28</v>
      </c>
      <c r="I613" s="241" t="n">
        <v>0.75</v>
      </c>
      <c r="J613" s="241" t="n">
        <v>-63.5</v>
      </c>
      <c r="K613" s="241" t="n">
        <v>21.07</v>
      </c>
      <c r="L613" s="242" t="n">
        <v>1764577</v>
      </c>
      <c r="M613" s="241" t="n">
        <v>2.13</v>
      </c>
      <c r="N613" s="241" t="n">
        <v>-0.83</v>
      </c>
      <c r="O613" s="241" t="n">
        <v>-63.2</v>
      </c>
      <c r="P613" s="241" t="n">
        <v>1.53</v>
      </c>
    </row>
    <row r="614">
      <c r="A614" s="282" t="inlineStr">
        <is>
          <t>2008-07-11</t>
        </is>
      </c>
      <c r="B614" s="240">
        <f>IFERROR(1/P614-1,B613)</f>
        <v/>
      </c>
      <c r="C614" s="240">
        <f>$C$3</f>
        <v/>
      </c>
      <c r="D614" s="240">
        <f>$D$3</f>
        <v/>
      </c>
      <c r="E614" s="240">
        <f>$E$3</f>
        <v/>
      </c>
      <c r="F614" s="241" t="n">
        <v>31.8</v>
      </c>
      <c r="G614" s="242" t="n">
        <v>4742572</v>
      </c>
      <c r="H614" s="241" t="n">
        <v>-1.3</v>
      </c>
      <c r="I614" s="241" t="n">
        <v>6.09</v>
      </c>
      <c r="J614" s="241" t="n">
        <v>-63.98</v>
      </c>
      <c r="K614" s="241" t="n">
        <v>21.61</v>
      </c>
      <c r="L614" s="242" t="n">
        <v>1542996</v>
      </c>
      <c r="M614" s="241" t="n">
        <v>2.71</v>
      </c>
      <c r="N614" s="241" t="n">
        <v>3.57</v>
      </c>
      <c r="O614" s="241" t="n">
        <v>-62.2</v>
      </c>
      <c r="P614" s="241" t="n">
        <v>1.47</v>
      </c>
    </row>
    <row r="615">
      <c r="A615" s="282" t="inlineStr">
        <is>
          <t>2008-07-14</t>
        </is>
      </c>
      <c r="B615" s="240">
        <f>IFERROR(1/P615-1,B614)</f>
        <v/>
      </c>
      <c r="C615" s="240">
        <f>$C$3</f>
        <v/>
      </c>
      <c r="D615" s="240">
        <f>$D$3</f>
        <v/>
      </c>
      <c r="E615" s="240">
        <f>$E$3</f>
        <v/>
      </c>
      <c r="F615" s="241" t="n">
        <v>32.84</v>
      </c>
      <c r="G615" s="242" t="n">
        <v>5446334</v>
      </c>
      <c r="H615" s="241" t="n">
        <v>3.27</v>
      </c>
      <c r="I615" s="241" t="n">
        <v>8.619999999999999</v>
      </c>
      <c r="J615" s="241" t="n">
        <v>-62.8</v>
      </c>
      <c r="K615" s="241" t="n">
        <v>21.65</v>
      </c>
      <c r="L615" s="242" t="n">
        <v>953237</v>
      </c>
      <c r="M615" s="241" t="n">
        <v>0.41</v>
      </c>
      <c r="N615" s="241" t="n">
        <v>12.24</v>
      </c>
      <c r="O615" s="241" t="n">
        <v>-62.04</v>
      </c>
      <c r="P615" s="241" t="n">
        <v>1.52</v>
      </c>
    </row>
    <row r="616">
      <c r="A616" s="282" t="inlineStr">
        <is>
          <t>2008-07-15</t>
        </is>
      </c>
      <c r="B616" s="240">
        <f>IFERROR(1/P616-1,B615)</f>
        <v/>
      </c>
      <c r="C616" s="240">
        <f>$C$3</f>
        <v/>
      </c>
      <c r="D616" s="240">
        <f>$D$3</f>
        <v/>
      </c>
      <c r="E616" s="240">
        <f>$E$3</f>
        <v/>
      </c>
      <c r="F616" s="241" t="n">
        <v>30.75</v>
      </c>
      <c r="G616" s="242" t="n">
        <v>5857994</v>
      </c>
      <c r="H616" s="241" t="n">
        <v>-6.36</v>
      </c>
      <c r="I616" s="241" t="n">
        <v>1.71</v>
      </c>
      <c r="J616" s="241" t="n">
        <v>-65.17</v>
      </c>
      <c r="K616" s="241" t="n">
        <v>20.6</v>
      </c>
      <c r="L616" s="242" t="n">
        <v>846165</v>
      </c>
      <c r="M616" s="241" t="n">
        <v>-4.85</v>
      </c>
      <c r="N616" s="241" t="n">
        <v>6.8</v>
      </c>
      <c r="O616" s="241" t="n">
        <v>-63.89</v>
      </c>
      <c r="P616" s="241" t="n">
        <v>1.49</v>
      </c>
    </row>
    <row r="617">
      <c r="A617" s="282" t="inlineStr">
        <is>
          <t>2008-07-16</t>
        </is>
      </c>
      <c r="B617" s="240">
        <f>IFERROR(1/P617-1,B616)</f>
        <v/>
      </c>
      <c r="C617" s="240">
        <f>$C$3</f>
        <v/>
      </c>
      <c r="D617" s="240">
        <f>$D$3</f>
        <v/>
      </c>
      <c r="E617" s="240">
        <f>$E$3</f>
        <v/>
      </c>
      <c r="F617" s="241" t="n">
        <v>28.89</v>
      </c>
      <c r="G617" s="242" t="n">
        <v>6008145</v>
      </c>
      <c r="H617" s="241" t="n">
        <v>-6.05</v>
      </c>
      <c r="I617" s="241" t="n">
        <v>-4.44</v>
      </c>
      <c r="J617" s="241" t="n">
        <v>-67.27</v>
      </c>
      <c r="K617" s="241" t="n">
        <v>20.44</v>
      </c>
      <c r="L617" s="242" t="n">
        <v>1255567</v>
      </c>
      <c r="M617" s="241" t="n">
        <v>-0.64</v>
      </c>
      <c r="N617" s="241" t="n">
        <v>6.12</v>
      </c>
      <c r="O617" s="241" t="n">
        <v>-64.12</v>
      </c>
      <c r="P617" s="241" t="n">
        <v>1.41</v>
      </c>
    </row>
    <row r="618">
      <c r="A618" s="282" t="inlineStr">
        <is>
          <t>2008-07-17</t>
        </is>
      </c>
      <c r="B618" s="240">
        <f>IFERROR(1/P618-1,B617)</f>
        <v/>
      </c>
      <c r="C618" s="240">
        <f>$C$3</f>
        <v/>
      </c>
      <c r="D618" s="240">
        <f>$D$3</f>
        <v/>
      </c>
      <c r="E618" s="240">
        <f>$E$3</f>
        <v/>
      </c>
      <c r="F618" s="241" t="n">
        <v>28.72</v>
      </c>
      <c r="G618" s="242" t="n">
        <v>3739418</v>
      </c>
      <c r="H618" s="241" t="n">
        <v>-0.59</v>
      </c>
      <c r="I618" s="241" t="n">
        <v>1.56</v>
      </c>
      <c r="J618" s="241" t="n">
        <v>-67.47</v>
      </c>
      <c r="K618" s="241" t="n">
        <v>21.6</v>
      </c>
      <c r="L618" s="242" t="n">
        <v>1825007</v>
      </c>
      <c r="M618" s="241" t="n">
        <v>5.56</v>
      </c>
      <c r="N618" s="241" t="n">
        <v>6.47</v>
      </c>
      <c r="O618" s="241" t="n">
        <v>-62.12</v>
      </c>
      <c r="P618" s="241" t="n">
        <v>1.33</v>
      </c>
    </row>
    <row r="619">
      <c r="A619" s="282" t="inlineStr">
        <is>
          <t>2008-07-18</t>
        </is>
      </c>
      <c r="B619" s="240">
        <f>IFERROR(1/P619-1,B618)</f>
        <v/>
      </c>
      <c r="C619" s="240">
        <f>$C$3</f>
        <v/>
      </c>
      <c r="D619" s="240">
        <f>$D$3</f>
        <v/>
      </c>
      <c r="E619" s="240">
        <f>$E$3</f>
        <v/>
      </c>
      <c r="F619" s="241" t="n">
        <v>29.71</v>
      </c>
      <c r="G619" s="242" t="n">
        <v>3418616</v>
      </c>
      <c r="H619" s="241" t="n">
        <v>3.45</v>
      </c>
      <c r="I619" s="241" t="n">
        <v>16.73</v>
      </c>
      <c r="J619" s="241" t="n">
        <v>-66.34999999999999</v>
      </c>
      <c r="K619" s="241" t="n">
        <v>21.48</v>
      </c>
      <c r="L619" s="242" t="n">
        <v>701707</v>
      </c>
      <c r="M619" s="241" t="n">
        <v>-0.61</v>
      </c>
      <c r="N619" s="241" t="n">
        <v>4.47</v>
      </c>
      <c r="O619" s="241" t="n">
        <v>-62.35</v>
      </c>
      <c r="P619" s="241" t="n">
        <v>1.38</v>
      </c>
    </row>
    <row r="620">
      <c r="A620" s="282" t="inlineStr">
        <is>
          <t>2008-07-21</t>
        </is>
      </c>
      <c r="B620" s="240">
        <f>IFERROR(1/P620-1,B619)</f>
        <v/>
      </c>
      <c r="C620" s="240">
        <f>$C$3</f>
        <v/>
      </c>
      <c r="D620" s="240">
        <f>$D$3</f>
        <v/>
      </c>
      <c r="E620" s="240">
        <f>$E$3</f>
        <v/>
      </c>
      <c r="F620" s="241" t="n">
        <v>30.49</v>
      </c>
      <c r="G620" s="242" t="n">
        <v>3712551</v>
      </c>
      <c r="H620" s="241" t="n">
        <v>2.63</v>
      </c>
      <c r="I620" s="241" t="n">
        <v>11.09</v>
      </c>
      <c r="J620" s="241" t="n">
        <v>-65.45999999999999</v>
      </c>
      <c r="K620" s="241" t="n">
        <v>22.32</v>
      </c>
      <c r="L620" s="242" t="n">
        <v>1684672</v>
      </c>
      <c r="M620" s="241" t="n">
        <v>3.87</v>
      </c>
      <c r="N620" s="241" t="n">
        <v>2.82</v>
      </c>
      <c r="O620" s="241" t="n">
        <v>-60.89</v>
      </c>
      <c r="P620" s="241" t="n">
        <v>1.37</v>
      </c>
    </row>
    <row r="621">
      <c r="A621" s="282" t="inlineStr">
        <is>
          <t>2008-07-22</t>
        </is>
      </c>
      <c r="B621" s="240">
        <f>IFERROR(1/P621-1,B620)</f>
        <v/>
      </c>
      <c r="C621" s="240">
        <f>$C$3</f>
        <v/>
      </c>
      <c r="D621" s="240">
        <f>$D$3</f>
        <v/>
      </c>
      <c r="E621" s="240">
        <f>$E$3</f>
        <v/>
      </c>
      <c r="F621" s="241" t="n">
        <v>30.41</v>
      </c>
      <c r="G621" s="242" t="n">
        <v>5113455</v>
      </c>
      <c r="H621" s="241" t="n">
        <v>-0.26</v>
      </c>
      <c r="I621" s="241" t="n">
        <v>10.8</v>
      </c>
      <c r="J621" s="241" t="n">
        <v>-65.55</v>
      </c>
      <c r="K621" s="241" t="n">
        <v>22.96</v>
      </c>
      <c r="L621" s="242" t="n">
        <v>1643800</v>
      </c>
      <c r="M621" s="241" t="n">
        <v>2.94</v>
      </c>
      <c r="N621" s="241" t="n">
        <v>5.85</v>
      </c>
      <c r="O621" s="241" t="n">
        <v>-59.74</v>
      </c>
      <c r="P621" s="241" t="n">
        <v>1.32</v>
      </c>
    </row>
    <row r="622">
      <c r="A622" s="282" t="inlineStr">
        <is>
          <t>2008-07-23</t>
        </is>
      </c>
      <c r="B622" s="240">
        <f>IFERROR(1/P622-1,B621)</f>
        <v/>
      </c>
      <c r="C622" s="240">
        <f>$C$3</f>
        <v/>
      </c>
      <c r="D622" s="240">
        <f>$D$3</f>
        <v/>
      </c>
      <c r="E622" s="240">
        <f>$E$3</f>
        <v/>
      </c>
      <c r="F622" s="241" t="n">
        <v>30.48</v>
      </c>
      <c r="G622" s="242" t="n">
        <v>3747864</v>
      </c>
      <c r="H622" s="241" t="n">
        <v>0.23</v>
      </c>
      <c r="I622" s="241" t="n">
        <v>11.06</v>
      </c>
      <c r="J622" s="241" t="n">
        <v>-65.47</v>
      </c>
      <c r="K622" s="241" t="n">
        <v>22.94</v>
      </c>
      <c r="L622" s="242" t="n">
        <v>1254718</v>
      </c>
      <c r="M622" s="241" t="n">
        <v>-0.19</v>
      </c>
      <c r="N622" s="241" t="n">
        <v>5.65</v>
      </c>
      <c r="O622" s="241" t="n">
        <v>-59.82</v>
      </c>
      <c r="P622" s="241" t="n">
        <v>1.33</v>
      </c>
    </row>
    <row r="623">
      <c r="A623" s="282" t="inlineStr">
        <is>
          <t>2008-07-24</t>
        </is>
      </c>
      <c r="B623" s="240">
        <f>IFERROR(1/P623-1,B622)</f>
        <v/>
      </c>
      <c r="C623" s="240">
        <f>$C$3</f>
        <v/>
      </c>
      <c r="D623" s="240">
        <f>$D$3</f>
        <v/>
      </c>
      <c r="E623" s="240">
        <f>$E$3</f>
        <v/>
      </c>
      <c r="F623" s="241" t="n">
        <v>31.08</v>
      </c>
      <c r="G623" s="242" t="n">
        <v>3078977</v>
      </c>
      <c r="H623" s="241" t="n">
        <v>1.97</v>
      </c>
      <c r="I623" s="241" t="n">
        <v>17.53</v>
      </c>
      <c r="J623" s="241" t="n">
        <v>-64.79000000000001</v>
      </c>
      <c r="K623" s="241" t="n">
        <v>24.38</v>
      </c>
      <c r="L623" s="242" t="n">
        <v>3095059</v>
      </c>
      <c r="M623" s="241" t="n">
        <v>6.3</v>
      </c>
      <c r="N623" s="241" t="n">
        <v>16.28</v>
      </c>
      <c r="O623" s="241" t="n">
        <v>-57.29</v>
      </c>
      <c r="P623" s="241" t="n">
        <v>1.27</v>
      </c>
    </row>
    <row r="624">
      <c r="A624" s="282" t="inlineStr">
        <is>
          <t>2008-07-25</t>
        </is>
      </c>
      <c r="B624" s="240">
        <f>IFERROR(1/P624-1,B623)</f>
        <v/>
      </c>
      <c r="C624" s="240">
        <f>$C$3</f>
        <v/>
      </c>
      <c r="D624" s="240">
        <f>$D$3</f>
        <v/>
      </c>
      <c r="E624" s="240">
        <f>$E$3</f>
        <v/>
      </c>
      <c r="F624" s="241" t="n">
        <v>31.14</v>
      </c>
      <c r="G624" s="242" t="n">
        <v>3070185</v>
      </c>
      <c r="H624" s="241" t="n">
        <v>0.19</v>
      </c>
      <c r="I624" s="241" t="n">
        <v>15.21</v>
      </c>
      <c r="J624" s="241" t="n">
        <v>-64.73</v>
      </c>
      <c r="K624" s="241" t="n">
        <v>23.54</v>
      </c>
      <c r="L624" s="242" t="n">
        <v>1276265</v>
      </c>
      <c r="M624" s="241" t="n">
        <v>-3.41</v>
      </c>
      <c r="N624" s="241" t="n">
        <v>18.24</v>
      </c>
      <c r="O624" s="241" t="n">
        <v>-58.75</v>
      </c>
      <c r="P624" s="241" t="n">
        <v>1.32</v>
      </c>
    </row>
    <row r="625">
      <c r="A625" s="282" t="inlineStr">
        <is>
          <t>2008-07-28</t>
        </is>
      </c>
      <c r="B625" s="240">
        <f>IFERROR(1/P625-1,B624)</f>
        <v/>
      </c>
      <c r="C625" s="240">
        <f>$C$3</f>
        <v/>
      </c>
      <c r="D625" s="240">
        <f>$D$3</f>
        <v/>
      </c>
      <c r="E625" s="240">
        <f>$E$3</f>
        <v/>
      </c>
      <c r="F625" s="241" t="n">
        <v>30.84</v>
      </c>
      <c r="G625" s="242" t="n">
        <v>2540085</v>
      </c>
      <c r="H625" s="241" t="n">
        <v>-0.96</v>
      </c>
      <c r="I625" s="241" t="n">
        <v>6.74</v>
      </c>
      <c r="J625" s="241" t="n">
        <v>-65.06999999999999</v>
      </c>
      <c r="K625" s="241" t="n">
        <v>23.72</v>
      </c>
      <c r="L625" s="242" t="n">
        <v>243814</v>
      </c>
      <c r="M625" s="241" t="n">
        <v>0.74</v>
      </c>
      <c r="N625" s="241" t="n">
        <v>20.44</v>
      </c>
      <c r="O625" s="241" t="n">
        <v>-58.44</v>
      </c>
      <c r="P625" s="241" t="n">
        <v>1.3</v>
      </c>
    </row>
    <row r="626">
      <c r="A626" s="282" t="inlineStr">
        <is>
          <t>2008-07-29</t>
        </is>
      </c>
      <c r="B626" s="240">
        <f>IFERROR(1/P626-1,B625)</f>
        <v/>
      </c>
      <c r="C626" s="240">
        <f>$C$3</f>
        <v/>
      </c>
      <c r="D626" s="240">
        <f>$D$3</f>
        <v/>
      </c>
      <c r="E626" s="240">
        <f>$E$3</f>
        <v/>
      </c>
      <c r="F626" s="241" t="n">
        <v>30.2</v>
      </c>
      <c r="G626" s="242" t="n">
        <v>2040490</v>
      </c>
      <c r="H626" s="241" t="n">
        <v>-2.08</v>
      </c>
      <c r="I626" s="241" t="n">
        <v>4.52</v>
      </c>
      <c r="J626" s="241" t="n">
        <v>-65.79000000000001</v>
      </c>
      <c r="K626" s="241" t="n">
        <v>23.52</v>
      </c>
      <c r="L626" s="242" t="n">
        <v>697972</v>
      </c>
      <c r="M626" s="241" t="n">
        <v>-0.74</v>
      </c>
      <c r="N626" s="241" t="n">
        <v>19.56</v>
      </c>
      <c r="O626" s="241" t="n">
        <v>-58.75</v>
      </c>
      <c r="P626" s="241" t="n">
        <v>1.28</v>
      </c>
    </row>
    <row r="627">
      <c r="A627" s="282" t="inlineStr">
        <is>
          <t>2008-07-30</t>
        </is>
      </c>
      <c r="B627" s="240">
        <f>IFERROR(1/P627-1,B626)</f>
        <v/>
      </c>
      <c r="C627" s="240">
        <f>$C$3</f>
        <v/>
      </c>
      <c r="D627" s="240">
        <f>$D$3</f>
        <v/>
      </c>
      <c r="E627" s="240">
        <f>$E$3</f>
        <v/>
      </c>
      <c r="F627" s="241" t="n">
        <v>29.62</v>
      </c>
      <c r="G627" s="242" t="n">
        <v>1860187</v>
      </c>
      <c r="H627" s="241" t="n">
        <v>-1.92</v>
      </c>
      <c r="I627" s="241" t="n">
        <v>2.51</v>
      </c>
      <c r="J627" s="241" t="n">
        <v>-66.45</v>
      </c>
      <c r="K627" s="241" t="n">
        <v>23.92</v>
      </c>
      <c r="L627" s="242" t="n">
        <v>558291</v>
      </c>
      <c r="M627" s="241" t="n">
        <v>1.49</v>
      </c>
      <c r="N627" s="241" t="n">
        <v>21.33</v>
      </c>
      <c r="O627" s="241" t="n">
        <v>-58.13</v>
      </c>
      <c r="P627" s="241" t="n">
        <v>1.24</v>
      </c>
    </row>
    <row r="628">
      <c r="A628" s="282" t="inlineStr">
        <is>
          <t>2008-07-31</t>
        </is>
      </c>
      <c r="B628" s="240">
        <f>IFERROR(1/P628-1,B627)</f>
        <v/>
      </c>
      <c r="C628" s="240">
        <f>$C$3</f>
        <v/>
      </c>
      <c r="D628" s="240">
        <f>$D$3</f>
        <v/>
      </c>
      <c r="E628" s="240">
        <f>$E$3</f>
        <v/>
      </c>
      <c r="F628" s="241" t="n">
        <v>29.71</v>
      </c>
      <c r="G628" s="242" t="n">
        <v>2866202</v>
      </c>
      <c r="H628" s="241" t="n">
        <v>0.3</v>
      </c>
      <c r="I628" s="241" t="n">
        <v>2.82</v>
      </c>
      <c r="J628" s="241" t="n">
        <v>-66.34999999999999</v>
      </c>
      <c r="K628" s="241" t="n">
        <v>23.4</v>
      </c>
      <c r="L628" s="242" t="n">
        <v>1734831</v>
      </c>
      <c r="M628" s="241" t="n">
        <v>-2.2</v>
      </c>
      <c r="N628" s="241" t="n">
        <v>18.67</v>
      </c>
      <c r="O628" s="241" t="n">
        <v>-59.05</v>
      </c>
      <c r="P628" s="241" t="n">
        <v>1.27</v>
      </c>
    </row>
    <row r="629">
      <c r="A629" s="282" t="inlineStr">
        <is>
          <t>2008-08-01</t>
        </is>
      </c>
      <c r="B629" s="240">
        <f>IFERROR(1/P629-1,B628)</f>
        <v/>
      </c>
      <c r="C629" s="240">
        <f>$C$3</f>
        <v/>
      </c>
      <c r="D629" s="240">
        <f>$D$3</f>
        <v/>
      </c>
      <c r="E629" s="240">
        <f>$E$3</f>
        <v/>
      </c>
      <c r="F629" s="241" t="n">
        <v>29.9</v>
      </c>
      <c r="G629" s="242" t="n">
        <v>2061461</v>
      </c>
      <c r="H629" s="241" t="n">
        <v>0.64</v>
      </c>
      <c r="I629" s="241" t="n">
        <v>1.33</v>
      </c>
      <c r="J629" s="241" t="n">
        <v>-66.13</v>
      </c>
      <c r="K629" s="241" t="n">
        <v>23.5</v>
      </c>
      <c r="L629" s="242" t="n">
        <v>437491</v>
      </c>
      <c r="M629" s="241" t="n">
        <v>0.37</v>
      </c>
      <c r="N629" s="241" t="n">
        <v>17.03</v>
      </c>
      <c r="O629" s="241" t="n">
        <v>-58.9</v>
      </c>
      <c r="P629" s="241" t="n">
        <v>1.27</v>
      </c>
    </row>
    <row r="630">
      <c r="A630" s="282" t="inlineStr">
        <is>
          <t>2008-08-04</t>
        </is>
      </c>
      <c r="B630" s="240">
        <f>IFERROR(1/P630-1,B629)</f>
        <v/>
      </c>
      <c r="C630" s="240">
        <f>$C$3</f>
        <v/>
      </c>
      <c r="D630" s="240">
        <f>$D$3</f>
        <v/>
      </c>
      <c r="E630" s="240">
        <f>$E$3</f>
        <v/>
      </c>
      <c r="F630" s="241" t="n">
        <v>30.02</v>
      </c>
      <c r="G630" s="242" t="n">
        <v>2160965</v>
      </c>
      <c r="H630" s="241" t="n">
        <v>0.4</v>
      </c>
      <c r="I630" s="241" t="n">
        <v>-4.38</v>
      </c>
      <c r="J630" s="241" t="n">
        <v>-65.98999999999999</v>
      </c>
      <c r="K630" s="241" t="n">
        <v>23.03</v>
      </c>
      <c r="L630" s="242" t="n">
        <v>172202</v>
      </c>
      <c r="M630" s="241" t="n">
        <v>-2.05</v>
      </c>
      <c r="N630" s="241" t="n">
        <v>19.05</v>
      </c>
      <c r="O630" s="241" t="n">
        <v>-59.74</v>
      </c>
      <c r="P630" s="241" t="n">
        <v>1.3</v>
      </c>
    </row>
    <row r="631">
      <c r="A631" s="282" t="inlineStr">
        <is>
          <t>2008-08-05</t>
        </is>
      </c>
      <c r="B631" s="240">
        <f>IFERROR(1/P631-1,B630)</f>
        <v/>
      </c>
      <c r="C631" s="240">
        <f>$C$3</f>
        <v/>
      </c>
      <c r="D631" s="240">
        <f>$D$3</f>
        <v/>
      </c>
      <c r="E631" s="240">
        <f>$E$3</f>
        <v/>
      </c>
      <c r="F631" s="241" t="n">
        <v>28.97</v>
      </c>
      <c r="G631" s="242" t="n">
        <v>1737478</v>
      </c>
      <c r="H631" s="241" t="n">
        <v>-3.5</v>
      </c>
      <c r="I631" s="241" t="n">
        <v>-1.36</v>
      </c>
      <c r="J631" s="241" t="n">
        <v>-67.18000000000001</v>
      </c>
      <c r="K631" s="241" t="n">
        <v>22.25</v>
      </c>
      <c r="L631" s="242" t="n">
        <v>562710</v>
      </c>
      <c r="M631" s="241" t="n">
        <v>-3.43</v>
      </c>
      <c r="N631" s="241" t="n">
        <v>12.67</v>
      </c>
      <c r="O631" s="241" t="n">
        <v>-61.12</v>
      </c>
      <c r="P631" s="241" t="n">
        <v>1.3</v>
      </c>
    </row>
    <row r="632">
      <c r="A632" s="282" t="inlineStr">
        <is>
          <t>2008-08-06</t>
        </is>
      </c>
      <c r="B632" s="240">
        <f>IFERROR(1/P632-1,B631)</f>
        <v/>
      </c>
      <c r="C632" s="240">
        <f>$C$3</f>
        <v/>
      </c>
      <c r="D632" s="240">
        <f>$D$3</f>
        <v/>
      </c>
      <c r="E632" s="240">
        <f>$E$3</f>
        <v/>
      </c>
      <c r="F632" s="241" t="n">
        <v>28.69</v>
      </c>
      <c r="G632" s="242" t="n">
        <v>2182953</v>
      </c>
      <c r="H632" s="241" t="n">
        <v>-0.97</v>
      </c>
      <c r="I632" s="241" t="n">
        <v>-2.32</v>
      </c>
      <c r="J632" s="241" t="n">
        <v>-67.5</v>
      </c>
      <c r="K632" s="239" t="inlineStr">
        <is>
          <t>--</t>
        </is>
      </c>
      <c r="L632" s="239" t="inlineStr">
        <is>
          <t>--</t>
        </is>
      </c>
      <c r="M632" s="239" t="inlineStr">
        <is>
          <t>--</t>
        </is>
      </c>
      <c r="N632" s="239" t="inlineStr">
        <is>
          <t>--</t>
        </is>
      </c>
      <c r="O632" s="239" t="inlineStr">
        <is>
          <t>--</t>
        </is>
      </c>
      <c r="P632" s="239" t="inlineStr">
        <is>
          <t>--</t>
        </is>
      </c>
    </row>
    <row r="633">
      <c r="A633" s="282" t="inlineStr">
        <is>
          <t>2008-08-07</t>
        </is>
      </c>
      <c r="B633" s="240">
        <f>IFERROR(1/P633-1,B632)</f>
        <v/>
      </c>
      <c r="C633" s="240">
        <f>$C$3</f>
        <v/>
      </c>
      <c r="D633" s="240">
        <f>$D$3</f>
        <v/>
      </c>
      <c r="E633" s="240">
        <f>$E$3</f>
        <v/>
      </c>
      <c r="F633" s="241" t="n">
        <v>28.73</v>
      </c>
      <c r="G633" s="242" t="n">
        <v>1337974</v>
      </c>
      <c r="H633" s="241" t="n">
        <v>0.14</v>
      </c>
      <c r="I633" s="241" t="n">
        <v>-2.18</v>
      </c>
      <c r="J633" s="241" t="n">
        <v>-67.45999999999999</v>
      </c>
      <c r="K633" s="241" t="n">
        <v>21.87</v>
      </c>
      <c r="L633" s="242" t="n">
        <v>813093</v>
      </c>
      <c r="M633" s="241" t="n">
        <v>-1.78</v>
      </c>
      <c r="N633" s="241" t="n">
        <v>10.67</v>
      </c>
      <c r="O633" s="241" t="n">
        <v>-61.81</v>
      </c>
      <c r="P633" s="241" t="n">
        <v>1.31</v>
      </c>
    </row>
    <row r="634">
      <c r="A634" s="282" t="inlineStr">
        <is>
          <t>2008-08-08</t>
        </is>
      </c>
      <c r="B634" s="240">
        <f>IFERROR(1/P634-1,B633)</f>
        <v/>
      </c>
      <c r="C634" s="240">
        <f>$C$3</f>
        <v/>
      </c>
      <c r="D634" s="240">
        <f>$D$3</f>
        <v/>
      </c>
      <c r="E634" s="240">
        <f>$E$3</f>
        <v/>
      </c>
      <c r="F634" s="241" t="n">
        <v>27.31</v>
      </c>
      <c r="G634" s="242" t="n">
        <v>2340888</v>
      </c>
      <c r="H634" s="241" t="n">
        <v>-4.94</v>
      </c>
      <c r="I634" s="241" t="n">
        <v>-11.76</v>
      </c>
      <c r="J634" s="241" t="n">
        <v>-69.06</v>
      </c>
      <c r="K634" s="241" t="n">
        <v>20.65</v>
      </c>
      <c r="L634" s="242" t="n">
        <v>829013</v>
      </c>
      <c r="M634" s="241" t="n">
        <v>-5.62</v>
      </c>
      <c r="N634" s="241" t="n">
        <v>2.4</v>
      </c>
      <c r="O634" s="241" t="n">
        <v>-63.96</v>
      </c>
      <c r="P634" s="241" t="n">
        <v>1.32</v>
      </c>
    </row>
    <row r="635">
      <c r="A635" s="282" t="inlineStr">
        <is>
          <t>2008-08-11</t>
        </is>
      </c>
      <c r="B635" s="240">
        <f>IFERROR(1/P635-1,B634)</f>
        <v/>
      </c>
      <c r="C635" s="240">
        <f>$C$3</f>
        <v/>
      </c>
      <c r="D635" s="240">
        <f>$D$3</f>
        <v/>
      </c>
      <c r="E635" s="240">
        <f>$E$3</f>
        <v/>
      </c>
      <c r="F635" s="241" t="n">
        <v>26.07</v>
      </c>
      <c r="G635" s="242" t="n">
        <v>4161798</v>
      </c>
      <c r="H635" s="241" t="n">
        <v>-4.54</v>
      </c>
      <c r="I635" s="241" t="n">
        <v>-19.09</v>
      </c>
      <c r="J635" s="241" t="n">
        <v>-70.47</v>
      </c>
      <c r="K635" s="241" t="n">
        <v>20.21</v>
      </c>
      <c r="L635" s="242" t="n">
        <v>705551</v>
      </c>
      <c r="M635" s="241" t="n">
        <v>-2.13</v>
      </c>
      <c r="N635" s="241" t="n">
        <v>-4.17</v>
      </c>
      <c r="O635" s="241" t="n">
        <v>-64.73</v>
      </c>
      <c r="P635" s="241" t="n">
        <v>1.29</v>
      </c>
    </row>
    <row r="636">
      <c r="A636" s="282" t="inlineStr">
        <is>
          <t>2008-08-12</t>
        </is>
      </c>
      <c r="B636" s="240">
        <f>IFERROR(1/P636-1,B635)</f>
        <v/>
      </c>
      <c r="C636" s="240">
        <f>$C$3</f>
        <v/>
      </c>
      <c r="D636" s="240">
        <f>$D$3</f>
        <v/>
      </c>
      <c r="E636" s="240">
        <f>$E$3</f>
        <v/>
      </c>
      <c r="F636" s="241" t="n">
        <v>26.68</v>
      </c>
      <c r="G636" s="242" t="n">
        <v>1673104</v>
      </c>
      <c r="H636" s="241" t="n">
        <v>2.34</v>
      </c>
      <c r="I636" s="241" t="n">
        <v>-16.1</v>
      </c>
      <c r="J636" s="241" t="n">
        <v>-69.78</v>
      </c>
      <c r="K636" s="241" t="n">
        <v>20.92</v>
      </c>
      <c r="L636" s="242" t="n">
        <v>1059655</v>
      </c>
      <c r="M636" s="241" t="n">
        <v>3.48</v>
      </c>
      <c r="N636" s="241" t="n">
        <v>-3.45</v>
      </c>
      <c r="O636" s="241" t="n">
        <v>-63.5</v>
      </c>
      <c r="P636" s="241" t="n">
        <v>1.28</v>
      </c>
    </row>
    <row r="637">
      <c r="A637" s="282" t="inlineStr">
        <is>
          <t>2008-08-13</t>
        </is>
      </c>
      <c r="B637" s="240">
        <f>IFERROR(1/P637-1,B636)</f>
        <v/>
      </c>
      <c r="C637" s="240">
        <f>$C$3</f>
        <v/>
      </c>
      <c r="D637" s="240">
        <f>$D$3</f>
        <v/>
      </c>
      <c r="E637" s="240">
        <f>$E$3</f>
        <v/>
      </c>
      <c r="F637" s="241" t="n">
        <v>26.54</v>
      </c>
      <c r="G637" s="242" t="n">
        <v>1868464</v>
      </c>
      <c r="H637" s="241" t="n">
        <v>-0.52</v>
      </c>
      <c r="I637" s="241" t="n">
        <v>-16.54</v>
      </c>
      <c r="J637" s="241" t="n">
        <v>-69.94</v>
      </c>
      <c r="K637" s="241" t="n">
        <v>21.27</v>
      </c>
      <c r="L637" s="242" t="n">
        <v>1032808</v>
      </c>
      <c r="M637" s="241" t="n">
        <v>1.68</v>
      </c>
      <c r="N637" s="241" t="n">
        <v>-1.83</v>
      </c>
      <c r="O637" s="241" t="n">
        <v>-62.89</v>
      </c>
      <c r="P637" s="241" t="n">
        <v>1.25</v>
      </c>
    </row>
    <row r="638">
      <c r="A638" s="282" t="inlineStr">
        <is>
          <t>2008-08-14</t>
        </is>
      </c>
      <c r="B638" s="240">
        <f>IFERROR(1/P638-1,B637)</f>
        <v/>
      </c>
      <c r="C638" s="240">
        <f>$C$3</f>
        <v/>
      </c>
      <c r="D638" s="240">
        <f>$D$3</f>
        <v/>
      </c>
      <c r="E638" s="240">
        <f>$E$3</f>
        <v/>
      </c>
      <c r="F638" s="241" t="n">
        <v>26.54</v>
      </c>
      <c r="G638" s="242" t="n">
        <v>678207</v>
      </c>
      <c r="H638" s="241" t="n">
        <v>0</v>
      </c>
      <c r="I638" s="241" t="n">
        <v>-16.54</v>
      </c>
      <c r="J638" s="241" t="n">
        <v>-69.94</v>
      </c>
      <c r="K638" s="241" t="n">
        <v>22.15</v>
      </c>
      <c r="L638" s="242" t="n">
        <v>1134728</v>
      </c>
      <c r="M638" s="241" t="n">
        <v>4.13</v>
      </c>
      <c r="N638" s="241" t="n">
        <v>2.23</v>
      </c>
      <c r="O638" s="241" t="n">
        <v>-61.35</v>
      </c>
      <c r="P638" s="241" t="n">
        <v>1.2</v>
      </c>
    </row>
    <row r="639">
      <c r="A639" s="282" t="inlineStr">
        <is>
          <t>2008-08-15</t>
        </is>
      </c>
      <c r="B639" s="240">
        <f>IFERROR(1/P639-1,B638)</f>
        <v/>
      </c>
      <c r="C639" s="240">
        <f>$C$3</f>
        <v/>
      </c>
      <c r="D639" s="240">
        <f>$D$3</f>
        <v/>
      </c>
      <c r="E639" s="240">
        <f>$E$3</f>
        <v/>
      </c>
      <c r="F639" s="241" t="n">
        <v>26.87</v>
      </c>
      <c r="G639" s="242" t="n">
        <v>1249281</v>
      </c>
      <c r="H639" s="241" t="n">
        <v>1.24</v>
      </c>
      <c r="I639" s="241" t="n">
        <v>-18.18</v>
      </c>
      <c r="J639" s="241" t="n">
        <v>-69.56</v>
      </c>
      <c r="K639" s="241" t="n">
        <v>22.5</v>
      </c>
      <c r="L639" s="242" t="n">
        <v>365748</v>
      </c>
      <c r="M639" s="241" t="n">
        <v>1.59</v>
      </c>
      <c r="N639" s="241" t="n">
        <v>3.43</v>
      </c>
      <c r="O639" s="241" t="n">
        <v>-60.74</v>
      </c>
      <c r="P639" s="241" t="n">
        <v>1.19</v>
      </c>
    </row>
    <row r="640">
      <c r="A640" s="282" t="inlineStr">
        <is>
          <t>2008-08-18</t>
        </is>
      </c>
      <c r="B640" s="240">
        <f>IFERROR(1/P640-1,B639)</f>
        <v/>
      </c>
      <c r="C640" s="240">
        <f>$C$3</f>
        <v/>
      </c>
      <c r="D640" s="240">
        <f>$D$3</f>
        <v/>
      </c>
      <c r="E640" s="240">
        <f>$E$3</f>
        <v/>
      </c>
      <c r="F640" s="241" t="n">
        <v>25.61</v>
      </c>
      <c r="G640" s="242" t="n">
        <v>2088768</v>
      </c>
      <c r="H640" s="241" t="n">
        <v>-4.69</v>
      </c>
      <c r="I640" s="241" t="n">
        <v>-10.83</v>
      </c>
      <c r="J640" s="241" t="n">
        <v>-70.98999999999999</v>
      </c>
      <c r="K640" s="241" t="n">
        <v>22.89</v>
      </c>
      <c r="L640" s="242" t="n">
        <v>819318</v>
      </c>
      <c r="M640" s="241" t="n">
        <v>1.76</v>
      </c>
      <c r="N640" s="241" t="n">
        <v>5.47</v>
      </c>
      <c r="O640" s="241" t="n">
        <v>-60.05</v>
      </c>
      <c r="P640" s="241" t="n">
        <v>1.12</v>
      </c>
    </row>
    <row r="641">
      <c r="A641" s="282" t="inlineStr">
        <is>
          <t>2008-08-19</t>
        </is>
      </c>
      <c r="B641" s="240">
        <f>IFERROR(1/P641-1,B640)</f>
        <v/>
      </c>
      <c r="C641" s="240">
        <f>$C$3</f>
        <v/>
      </c>
      <c r="D641" s="240">
        <f>$D$3</f>
        <v/>
      </c>
      <c r="E641" s="240">
        <f>$E$3</f>
        <v/>
      </c>
      <c r="F641" s="241" t="n">
        <v>26.99</v>
      </c>
      <c r="G641" s="242" t="n">
        <v>2557615</v>
      </c>
      <c r="H641" s="241" t="n">
        <v>5.39</v>
      </c>
      <c r="I641" s="241" t="n">
        <v>-9.16</v>
      </c>
      <c r="J641" s="241" t="n">
        <v>-69.43000000000001</v>
      </c>
      <c r="K641" s="241" t="n">
        <v>21.95</v>
      </c>
      <c r="L641" s="242" t="n">
        <v>881432</v>
      </c>
      <c r="M641" s="241" t="n">
        <v>-4.03</v>
      </c>
      <c r="N641" s="241" t="n">
        <v>1.83</v>
      </c>
      <c r="O641" s="241" t="n">
        <v>-61.66</v>
      </c>
      <c r="P641" s="241" t="n">
        <v>1.23</v>
      </c>
    </row>
    <row r="642">
      <c r="A642" s="282" t="inlineStr">
        <is>
          <t>2008-08-20</t>
        </is>
      </c>
      <c r="B642" s="240">
        <f>IFERROR(1/P642-1,B641)</f>
        <v/>
      </c>
      <c r="C642" s="240">
        <f>$C$3</f>
        <v/>
      </c>
      <c r="D642" s="240">
        <f>$D$3</f>
        <v/>
      </c>
      <c r="E642" s="240">
        <f>$E$3</f>
        <v/>
      </c>
      <c r="F642" s="241" t="n">
        <v>29.28</v>
      </c>
      <c r="G642" s="242" t="n">
        <v>2494999</v>
      </c>
      <c r="H642" s="241" t="n">
        <v>8.48</v>
      </c>
      <c r="I642" s="241" t="n">
        <v>-1.45</v>
      </c>
      <c r="J642" s="241" t="n">
        <v>-66.83</v>
      </c>
      <c r="K642" s="241" t="n">
        <v>22.64</v>
      </c>
      <c r="L642" s="242" t="n">
        <v>800974</v>
      </c>
      <c r="M642" s="241" t="n">
        <v>3.2</v>
      </c>
      <c r="N642" s="241" t="n">
        <v>5.09</v>
      </c>
      <c r="O642" s="241" t="n">
        <v>-60.43</v>
      </c>
      <c r="P642" s="241" t="n">
        <v>1.29</v>
      </c>
    </row>
    <row r="643">
      <c r="A643" s="282" t="inlineStr">
        <is>
          <t>2008-08-21</t>
        </is>
      </c>
      <c r="B643" s="240">
        <f>IFERROR(1/P643-1,B642)</f>
        <v/>
      </c>
      <c r="C643" s="240">
        <f>$C$3</f>
        <v/>
      </c>
      <c r="D643" s="240">
        <f>$D$3</f>
        <v/>
      </c>
      <c r="E643" s="240">
        <f>$E$3</f>
        <v/>
      </c>
      <c r="F643" s="241" t="n">
        <v>27.7</v>
      </c>
      <c r="G643" s="242" t="n">
        <v>1469933</v>
      </c>
      <c r="H643" s="241" t="n">
        <v>-5.4</v>
      </c>
      <c r="I643" s="241" t="n">
        <v>-6.77</v>
      </c>
      <c r="J643" s="241" t="n">
        <v>-68.62</v>
      </c>
      <c r="K643" s="241" t="n">
        <v>22.07</v>
      </c>
      <c r="L643" s="242" t="n">
        <v>425200</v>
      </c>
      <c r="M643" s="241" t="n">
        <v>-2.52</v>
      </c>
      <c r="N643" s="241" t="n">
        <v>2.44</v>
      </c>
      <c r="O643" s="241" t="n">
        <v>-61.43</v>
      </c>
      <c r="P643" s="241" t="n">
        <v>1.26</v>
      </c>
    </row>
    <row r="644">
      <c r="A644" s="282" t="inlineStr">
        <is>
          <t>2008-08-22</t>
        </is>
      </c>
      <c r="B644" s="240">
        <f>IFERROR(1/P644-1,B643)</f>
        <v/>
      </c>
      <c r="C644" s="240">
        <f>$C$3</f>
        <v/>
      </c>
      <c r="D644" s="240">
        <f>$D$3</f>
        <v/>
      </c>
      <c r="E644" s="240">
        <f>$E$3</f>
        <v/>
      </c>
      <c r="F644" s="241" t="n">
        <v>26.87</v>
      </c>
      <c r="G644" s="242" t="n">
        <v>2310564</v>
      </c>
      <c r="H644" s="241" t="n">
        <v>-3</v>
      </c>
      <c r="I644" s="241" t="n">
        <v>-11.87</v>
      </c>
      <c r="J644" s="241" t="n">
        <v>-69.56</v>
      </c>
      <c r="K644" s="239" t="inlineStr">
        <is>
          <t>--</t>
        </is>
      </c>
      <c r="L644" s="239" t="inlineStr">
        <is>
          <t>--</t>
        </is>
      </c>
      <c r="M644" s="239" t="inlineStr">
        <is>
          <t>--</t>
        </is>
      </c>
      <c r="N644" s="239" t="inlineStr">
        <is>
          <t>--</t>
        </is>
      </c>
      <c r="O644" s="239" t="inlineStr">
        <is>
          <t>--</t>
        </is>
      </c>
      <c r="P644" s="239" t="inlineStr">
        <is>
          <t>--</t>
        </is>
      </c>
    </row>
    <row r="645">
      <c r="A645" s="282" t="inlineStr">
        <is>
          <t>2008-08-25</t>
        </is>
      </c>
      <c r="B645" s="240">
        <f>IFERROR(1/P645-1,B644)</f>
        <v/>
      </c>
      <c r="C645" s="240">
        <f>$C$3</f>
        <v/>
      </c>
      <c r="D645" s="240">
        <f>$D$3</f>
        <v/>
      </c>
      <c r="E645" s="240">
        <f>$E$3</f>
        <v/>
      </c>
      <c r="F645" s="241" t="n">
        <v>26.85</v>
      </c>
      <c r="G645" s="242" t="n">
        <v>1725852</v>
      </c>
      <c r="H645" s="241" t="n">
        <v>-0.07000000000000001</v>
      </c>
      <c r="I645" s="241" t="n">
        <v>-13.61</v>
      </c>
      <c r="J645" s="241" t="n">
        <v>-69.58</v>
      </c>
      <c r="K645" s="241" t="n">
        <v>21.07</v>
      </c>
      <c r="L645" s="242" t="n">
        <v>1429407</v>
      </c>
      <c r="M645" s="241" t="n">
        <v>-4.37</v>
      </c>
      <c r="N645" s="241" t="n">
        <v>-13.64</v>
      </c>
      <c r="O645" s="241" t="n">
        <v>-63.12</v>
      </c>
      <c r="P645" s="241" t="n">
        <v>1.27</v>
      </c>
    </row>
    <row r="646">
      <c r="A646" s="282" t="inlineStr">
        <is>
          <t>2008-08-26</t>
        </is>
      </c>
      <c r="B646" s="240">
        <f>IFERROR(1/P646-1,B645)</f>
        <v/>
      </c>
      <c r="C646" s="240">
        <f>$C$3</f>
        <v/>
      </c>
      <c r="D646" s="240">
        <f>$D$3</f>
        <v/>
      </c>
      <c r="E646" s="240">
        <f>$E$3</f>
        <v/>
      </c>
      <c r="F646" s="241" t="n">
        <v>26.1</v>
      </c>
      <c r="G646" s="242" t="n">
        <v>1863846</v>
      </c>
      <c r="H646" s="241" t="n">
        <v>-2.79</v>
      </c>
      <c r="I646" s="241" t="n">
        <v>-16.18</v>
      </c>
      <c r="J646" s="241" t="n">
        <v>-70.43000000000001</v>
      </c>
      <c r="K646" s="241" t="n">
        <v>20.63</v>
      </c>
      <c r="L646" s="242" t="n">
        <v>1232864</v>
      </c>
      <c r="M646" s="241" t="n">
        <v>-2.08</v>
      </c>
      <c r="N646" s="241" t="n">
        <v>-12.45</v>
      </c>
      <c r="O646" s="241" t="n">
        <v>-63.89</v>
      </c>
      <c r="P646" s="241" t="n">
        <v>1.27</v>
      </c>
    </row>
    <row r="647">
      <c r="A647" s="282" t="inlineStr">
        <is>
          <t>2008-08-27</t>
        </is>
      </c>
      <c r="B647" s="240">
        <f>IFERROR(1/P647-1,B646)</f>
        <v/>
      </c>
      <c r="C647" s="240">
        <f>$C$3</f>
        <v/>
      </c>
      <c r="D647" s="240">
        <f>$D$3</f>
        <v/>
      </c>
      <c r="E647" s="240">
        <f>$E$3</f>
        <v/>
      </c>
      <c r="F647" s="241" t="n">
        <v>26.2</v>
      </c>
      <c r="G647" s="242" t="n">
        <v>2096285</v>
      </c>
      <c r="H647" s="241" t="n">
        <v>0.38</v>
      </c>
      <c r="I647" s="241" t="n">
        <v>-15.86</v>
      </c>
      <c r="J647" s="241" t="n">
        <v>-70.31999999999999</v>
      </c>
      <c r="K647" s="241" t="n">
        <v>20.02</v>
      </c>
      <c r="L647" s="242" t="n">
        <v>2024109</v>
      </c>
      <c r="M647" s="241" t="n">
        <v>-2.97</v>
      </c>
      <c r="N647" s="241" t="n">
        <v>-15.06</v>
      </c>
      <c r="O647" s="241" t="n">
        <v>-64.95999999999999</v>
      </c>
      <c r="P647" s="241" t="n">
        <v>1.31</v>
      </c>
    </row>
    <row r="648">
      <c r="A648" s="282" t="inlineStr">
        <is>
          <t>2008-08-28</t>
        </is>
      </c>
      <c r="B648" s="240">
        <f>IFERROR(1/P648-1,B647)</f>
        <v/>
      </c>
      <c r="C648" s="240">
        <f>$C$3</f>
        <v/>
      </c>
      <c r="D648" s="240">
        <f>$D$3</f>
        <v/>
      </c>
      <c r="E648" s="240">
        <f>$E$3</f>
        <v/>
      </c>
      <c r="F648" s="241" t="n">
        <v>25.6</v>
      </c>
      <c r="G648" s="242" t="n">
        <v>1462270</v>
      </c>
      <c r="H648" s="241" t="n">
        <v>-2.29</v>
      </c>
      <c r="I648" s="241" t="n">
        <v>-17.79</v>
      </c>
      <c r="J648" s="241" t="n">
        <v>-71</v>
      </c>
      <c r="K648" s="241" t="n">
        <v>20.74</v>
      </c>
      <c r="L648" s="242" t="n">
        <v>1019754</v>
      </c>
      <c r="M648" s="241" t="n">
        <v>3.72</v>
      </c>
      <c r="N648" s="241" t="n">
        <v>-11.9</v>
      </c>
      <c r="O648" s="241" t="n">
        <v>-63.66</v>
      </c>
      <c r="P648" s="241" t="n">
        <v>1.23</v>
      </c>
    </row>
    <row r="649">
      <c r="A649" s="282" t="inlineStr">
        <is>
          <t>2008-08-29</t>
        </is>
      </c>
      <c r="B649" s="240">
        <f>IFERROR(1/P649-1,B648)</f>
        <v/>
      </c>
      <c r="C649" s="240">
        <f>$C$3</f>
        <v/>
      </c>
      <c r="D649" s="240">
        <f>$D$3</f>
        <v/>
      </c>
      <c r="E649" s="240">
        <f>$E$3</f>
        <v/>
      </c>
      <c r="F649" s="241" t="n">
        <v>26.62</v>
      </c>
      <c r="G649" s="242" t="n">
        <v>1357882</v>
      </c>
      <c r="H649" s="241" t="n">
        <v>3.98</v>
      </c>
      <c r="I649" s="241" t="n">
        <v>-13.68</v>
      </c>
      <c r="J649" s="241" t="n">
        <v>-69.84999999999999</v>
      </c>
      <c r="K649" s="241" t="n">
        <v>21.27</v>
      </c>
      <c r="L649" s="242" t="n">
        <v>873086</v>
      </c>
      <c r="M649" s="241" t="n">
        <v>2.53</v>
      </c>
      <c r="N649" s="241" t="n">
        <v>-10.33</v>
      </c>
      <c r="O649" s="241" t="n">
        <v>-62.73</v>
      </c>
      <c r="P649" s="241" t="n">
        <v>1.25</v>
      </c>
    </row>
    <row r="650">
      <c r="A650" s="282" t="inlineStr">
        <is>
          <t>2008-09-01</t>
        </is>
      </c>
      <c r="B650" s="240">
        <f>IFERROR(1/P650-1,B649)</f>
        <v/>
      </c>
      <c r="C650" s="240">
        <f>$C$3</f>
        <v/>
      </c>
      <c r="D650" s="240">
        <f>$D$3</f>
        <v/>
      </c>
      <c r="E650" s="240">
        <f>$E$3</f>
        <v/>
      </c>
      <c r="F650" s="241" t="n">
        <v>26</v>
      </c>
      <c r="G650" s="242" t="n">
        <v>715897</v>
      </c>
      <c r="H650" s="241" t="n">
        <v>-2.33</v>
      </c>
      <c r="I650" s="241" t="n">
        <v>-12.49</v>
      </c>
      <c r="J650" s="241" t="n">
        <v>-70.55</v>
      </c>
      <c r="K650" s="241" t="n">
        <v>20.96</v>
      </c>
      <c r="L650" s="242" t="n">
        <v>372718</v>
      </c>
      <c r="M650" s="241" t="n">
        <v>-1.44</v>
      </c>
      <c r="N650" s="241" t="n">
        <v>-10.3</v>
      </c>
      <c r="O650" s="241" t="n">
        <v>-63.27</v>
      </c>
      <c r="P650" s="241" t="n">
        <v>1.24</v>
      </c>
    </row>
    <row r="651">
      <c r="A651" s="282" t="inlineStr">
        <is>
          <t>2008-09-02</t>
        </is>
      </c>
      <c r="B651" s="240">
        <f>IFERROR(1/P651-1,B650)</f>
        <v/>
      </c>
      <c r="C651" s="240">
        <f>$C$3</f>
        <v/>
      </c>
      <c r="D651" s="240">
        <f>$D$3</f>
        <v/>
      </c>
      <c r="E651" s="240">
        <f>$E$3</f>
        <v/>
      </c>
      <c r="F651" s="241" t="n">
        <v>26.33</v>
      </c>
      <c r="G651" s="242" t="n">
        <v>1300822</v>
      </c>
      <c r="H651" s="241" t="n">
        <v>1.27</v>
      </c>
      <c r="I651" s="241" t="n">
        <v>-11.94</v>
      </c>
      <c r="J651" s="241" t="n">
        <v>-70.17</v>
      </c>
      <c r="K651" s="241" t="n">
        <v>20.45</v>
      </c>
      <c r="L651" s="242" t="n">
        <v>436800</v>
      </c>
      <c r="M651" s="241" t="n">
        <v>-2.51</v>
      </c>
      <c r="N651" s="241" t="n">
        <v>-12.87</v>
      </c>
      <c r="O651" s="241" t="n">
        <v>-64.19</v>
      </c>
      <c r="P651" s="241" t="n">
        <v>1.29</v>
      </c>
    </row>
    <row r="652">
      <c r="A652" s="282" t="inlineStr">
        <is>
          <t>2008-09-03</t>
        </is>
      </c>
      <c r="B652" s="240">
        <f>IFERROR(1/P652-1,B651)</f>
        <v/>
      </c>
      <c r="C652" s="240">
        <f>$C$3</f>
        <v/>
      </c>
      <c r="D652" s="240">
        <f>$D$3</f>
        <v/>
      </c>
      <c r="E652" s="240">
        <f>$E$3</f>
        <v/>
      </c>
      <c r="F652" s="241" t="n">
        <v>26.2</v>
      </c>
      <c r="G652" s="242" t="n">
        <v>797425</v>
      </c>
      <c r="H652" s="241" t="n">
        <v>-0.49</v>
      </c>
      <c r="I652" s="241" t="n">
        <v>-12.37</v>
      </c>
      <c r="J652" s="241" t="n">
        <v>-70.31999999999999</v>
      </c>
      <c r="K652" s="241" t="n">
        <v>20.28</v>
      </c>
      <c r="L652" s="242" t="n">
        <v>1311143</v>
      </c>
      <c r="M652" s="241" t="n">
        <v>-0.86</v>
      </c>
      <c r="N652" s="241" t="n">
        <v>-13.62</v>
      </c>
      <c r="O652" s="241" t="n">
        <v>-64.5</v>
      </c>
      <c r="P652" s="241" t="n">
        <v>1.29</v>
      </c>
    </row>
    <row r="653">
      <c r="A653" s="282" t="inlineStr">
        <is>
          <t>2008-09-04</t>
        </is>
      </c>
      <c r="B653" s="240">
        <f>IFERROR(1/P653-1,B652)</f>
        <v/>
      </c>
      <c r="C653" s="240">
        <f>$C$3</f>
        <v/>
      </c>
      <c r="D653" s="240">
        <f>$D$3</f>
        <v/>
      </c>
      <c r="E653" s="240">
        <f>$E$3</f>
        <v/>
      </c>
      <c r="F653" s="241" t="n">
        <v>26.09</v>
      </c>
      <c r="G653" s="242" t="n">
        <v>595845</v>
      </c>
      <c r="H653" s="241" t="n">
        <v>-0.42</v>
      </c>
      <c r="I653" s="241" t="n">
        <v>-12.74</v>
      </c>
      <c r="J653" s="241" t="n">
        <v>-70.45</v>
      </c>
      <c r="K653" s="241" t="n">
        <v>20.11</v>
      </c>
      <c r="L653" s="242" t="n">
        <v>1379603</v>
      </c>
      <c r="M653" s="241" t="n">
        <v>-0.86</v>
      </c>
      <c r="N653" s="241" t="n">
        <v>-14.37</v>
      </c>
      <c r="O653" s="241" t="n">
        <v>-64.81</v>
      </c>
      <c r="P653" s="241" t="n">
        <v>1.3</v>
      </c>
    </row>
    <row r="654">
      <c r="A654" s="282" t="inlineStr">
        <is>
          <t>2008-09-05</t>
        </is>
      </c>
      <c r="B654" s="240">
        <f>IFERROR(1/P654-1,B653)</f>
        <v/>
      </c>
      <c r="C654" s="240">
        <f>$C$3</f>
        <v/>
      </c>
      <c r="D654" s="240">
        <f>$D$3</f>
        <v/>
      </c>
      <c r="E654" s="240">
        <f>$E$3</f>
        <v/>
      </c>
      <c r="F654" s="241" t="n">
        <v>25.31</v>
      </c>
      <c r="G654" s="242" t="n">
        <v>1514082</v>
      </c>
      <c r="H654" s="241" t="n">
        <v>-2.99</v>
      </c>
      <c r="I654" s="241" t="n">
        <v>-15.69</v>
      </c>
      <c r="J654" s="241" t="n">
        <v>-71.33</v>
      </c>
      <c r="K654" s="241" t="n">
        <v>19.46</v>
      </c>
      <c r="L654" s="242" t="n">
        <v>1895444</v>
      </c>
      <c r="M654" s="241" t="n">
        <v>-3.27</v>
      </c>
      <c r="N654" s="241" t="n">
        <v>-15.43</v>
      </c>
      <c r="O654" s="241" t="n">
        <v>-65.95999999999999</v>
      </c>
      <c r="P654" s="241" t="n">
        <v>1.3</v>
      </c>
    </row>
    <row r="655">
      <c r="A655" s="282" t="inlineStr">
        <is>
          <t>2008-09-08</t>
        </is>
      </c>
      <c r="B655" s="240">
        <f>IFERROR(1/P655-1,B654)</f>
        <v/>
      </c>
      <c r="C655" s="240">
        <f>$C$3</f>
        <v/>
      </c>
      <c r="D655" s="240">
        <f>$D$3</f>
        <v/>
      </c>
      <c r="E655" s="240">
        <f>$E$3</f>
        <v/>
      </c>
      <c r="F655" s="241" t="n">
        <v>24.06</v>
      </c>
      <c r="G655" s="242" t="n">
        <v>3351963</v>
      </c>
      <c r="H655" s="241" t="n">
        <v>-4.94</v>
      </c>
      <c r="I655" s="241" t="n">
        <v>-16.25</v>
      </c>
      <c r="J655" s="241" t="n">
        <v>-72.75</v>
      </c>
      <c r="K655" s="241" t="n">
        <v>19.73</v>
      </c>
      <c r="L655" s="242" t="n">
        <v>491385</v>
      </c>
      <c r="M655" s="241" t="n">
        <v>1.35</v>
      </c>
      <c r="N655" s="241" t="n">
        <v>-9.640000000000001</v>
      </c>
      <c r="O655" s="241" t="n">
        <v>-65.5</v>
      </c>
      <c r="P655" s="241" t="n">
        <v>1.22</v>
      </c>
    </row>
    <row r="656">
      <c r="A656" s="282" t="inlineStr">
        <is>
          <t>2008-09-09</t>
        </is>
      </c>
      <c r="B656" s="240">
        <f>IFERROR(1/P656-1,B655)</f>
        <v/>
      </c>
      <c r="C656" s="240">
        <f>$C$3</f>
        <v/>
      </c>
      <c r="D656" s="240">
        <f>$D$3</f>
        <v/>
      </c>
      <c r="E656" s="240">
        <f>$E$3</f>
        <v/>
      </c>
      <c r="F656" s="241" t="n">
        <v>24.53</v>
      </c>
      <c r="G656" s="242" t="n">
        <v>1275703</v>
      </c>
      <c r="H656" s="241" t="n">
        <v>1.95</v>
      </c>
      <c r="I656" s="241" t="n">
        <v>-10.18</v>
      </c>
      <c r="J656" s="241" t="n">
        <v>-72.20999999999999</v>
      </c>
      <c r="K656" s="241" t="n">
        <v>19.11</v>
      </c>
      <c r="L656" s="242" t="n">
        <v>308951</v>
      </c>
      <c r="M656" s="241" t="n">
        <v>-3.11</v>
      </c>
      <c r="N656" s="241" t="n">
        <v>-7.23</v>
      </c>
      <c r="O656" s="241" t="n">
        <v>-66.56999999999999</v>
      </c>
      <c r="P656" s="241" t="n">
        <v>1.28</v>
      </c>
    </row>
    <row r="657">
      <c r="A657" s="282" t="inlineStr">
        <is>
          <t>2008-09-10</t>
        </is>
      </c>
      <c r="B657" s="240">
        <f>IFERROR(1/P657-1,B656)</f>
        <v/>
      </c>
      <c r="C657" s="240">
        <f>$C$3</f>
        <v/>
      </c>
      <c r="D657" s="240">
        <f>$D$3</f>
        <v/>
      </c>
      <c r="E657" s="240">
        <f>$E$3</f>
        <v/>
      </c>
      <c r="F657" s="241" t="n">
        <v>24.52</v>
      </c>
      <c r="G657" s="242" t="n">
        <v>716746</v>
      </c>
      <c r="H657" s="241" t="n">
        <v>-0.04</v>
      </c>
      <c r="I657" s="241" t="n">
        <v>-10.22</v>
      </c>
      <c r="J657" s="241" t="n">
        <v>-72.22</v>
      </c>
      <c r="K657" s="241" t="n">
        <v>17.71</v>
      </c>
      <c r="L657" s="242" t="n">
        <v>1006574</v>
      </c>
      <c r="M657" s="241" t="n">
        <v>-7.34</v>
      </c>
      <c r="N657" s="241" t="n">
        <v>-14.04</v>
      </c>
      <c r="O657" s="241" t="n">
        <v>-69.02</v>
      </c>
      <c r="P657" s="241" t="n">
        <v>1.38</v>
      </c>
    </row>
    <row r="658">
      <c r="A658" s="282" t="inlineStr">
        <is>
          <t>2008-09-11</t>
        </is>
      </c>
      <c r="B658" s="240">
        <f>IFERROR(1/P658-1,B657)</f>
        <v/>
      </c>
      <c r="C658" s="240">
        <f>$C$3</f>
        <v/>
      </c>
      <c r="D658" s="240">
        <f>$D$3</f>
        <v/>
      </c>
      <c r="E658" s="240">
        <f>$E$3</f>
        <v/>
      </c>
      <c r="F658" s="241" t="n">
        <v>22.31</v>
      </c>
      <c r="G658" s="242" t="n">
        <v>2081815</v>
      </c>
      <c r="H658" s="241" t="n">
        <v>-9.01</v>
      </c>
      <c r="I658" s="241" t="n">
        <v>-18.31</v>
      </c>
      <c r="J658" s="241" t="n">
        <v>-74.73</v>
      </c>
      <c r="K658" s="241" t="n">
        <v>16.5</v>
      </c>
      <c r="L658" s="242" t="n">
        <v>1277143</v>
      </c>
      <c r="M658" s="241" t="n">
        <v>-6.93</v>
      </c>
      <c r="N658" s="241" t="n">
        <v>-20</v>
      </c>
      <c r="O658" s="241" t="n">
        <v>-71.17</v>
      </c>
      <c r="P658" s="241" t="n">
        <v>1.35</v>
      </c>
    </row>
    <row r="659">
      <c r="A659" s="282" t="inlineStr">
        <is>
          <t>2008-09-12</t>
        </is>
      </c>
      <c r="B659" s="240">
        <f>IFERROR(1/P659-1,B658)</f>
        <v/>
      </c>
      <c r="C659" s="240">
        <f>$C$3</f>
        <v/>
      </c>
      <c r="D659" s="240">
        <f>$D$3</f>
        <v/>
      </c>
      <c r="E659" s="240">
        <f>$E$3</f>
        <v/>
      </c>
      <c r="F659" s="241" t="n">
        <v>22.52</v>
      </c>
      <c r="G659" s="242" t="n">
        <v>1943491</v>
      </c>
      <c r="H659" s="241" t="n">
        <v>0.9399999999999999</v>
      </c>
      <c r="I659" s="241" t="n">
        <v>-13.62</v>
      </c>
      <c r="J659" s="241" t="n">
        <v>-74.48999999999999</v>
      </c>
      <c r="K659" s="241" t="n">
        <v>16.79</v>
      </c>
      <c r="L659" s="242" t="n">
        <v>1719962</v>
      </c>
      <c r="M659" s="241" t="n">
        <v>1.7</v>
      </c>
      <c r="N659" s="241" t="n">
        <v>-16.87</v>
      </c>
      <c r="O659" s="241" t="n">
        <v>-70.68000000000001</v>
      </c>
      <c r="P659" s="241" t="n">
        <v>1.34</v>
      </c>
    </row>
    <row r="660">
      <c r="A660" s="282" t="inlineStr">
        <is>
          <t>2008-09-16</t>
        </is>
      </c>
      <c r="B660" s="240">
        <f>IFERROR(1/P660-1,B659)</f>
        <v/>
      </c>
      <c r="C660" s="240">
        <f>$C$3</f>
        <v/>
      </c>
      <c r="D660" s="240">
        <f>$D$3</f>
        <v/>
      </c>
      <c r="E660" s="240">
        <f>$E$3</f>
        <v/>
      </c>
      <c r="F660" s="241" t="n">
        <v>22.27</v>
      </c>
      <c r="G660" s="242" t="n">
        <v>1188824</v>
      </c>
      <c r="H660" s="241" t="n">
        <v>-1.11</v>
      </c>
      <c r="I660" s="241" t="n">
        <v>-17.12</v>
      </c>
      <c r="J660" s="241" t="n">
        <v>-74.77</v>
      </c>
      <c r="K660" s="241" t="n">
        <v>16.46</v>
      </c>
      <c r="L660" s="242" t="n">
        <v>1107456</v>
      </c>
      <c r="M660" s="241" t="n">
        <v>-1.67</v>
      </c>
      <c r="N660" s="241" t="n">
        <v>-26.56</v>
      </c>
      <c r="O660" s="241" t="n">
        <v>-71.17</v>
      </c>
      <c r="P660" s="241" t="n">
        <v>1.35</v>
      </c>
    </row>
    <row r="661">
      <c r="A661" s="282" t="inlineStr">
        <is>
          <t>2008-09-17</t>
        </is>
      </c>
      <c r="B661" s="240">
        <f>IFERROR(1/P661-1,B660)</f>
        <v/>
      </c>
      <c r="C661" s="240">
        <f>$C$3</f>
        <v/>
      </c>
      <c r="D661" s="240">
        <f>$D$3</f>
        <v/>
      </c>
      <c r="E661" s="240">
        <f>$E$3</f>
        <v/>
      </c>
      <c r="F661" s="241" t="n">
        <v>22.29</v>
      </c>
      <c r="G661" s="242" t="n">
        <v>1964529</v>
      </c>
      <c r="H661" s="241" t="n">
        <v>0.09</v>
      </c>
      <c r="I661" s="241" t="n">
        <v>-17.05</v>
      </c>
      <c r="J661" s="241" t="n">
        <v>-74.75</v>
      </c>
      <c r="K661" s="241" t="n">
        <v>16.85</v>
      </c>
      <c r="L661" s="242" t="n">
        <v>1202434</v>
      </c>
      <c r="M661" s="241" t="n">
        <v>2.13</v>
      </c>
      <c r="N661" s="241" t="n">
        <v>-25</v>
      </c>
      <c r="O661" s="241" t="n">
        <v>-70.56</v>
      </c>
      <c r="P661" s="241" t="n">
        <v>1.32</v>
      </c>
    </row>
    <row r="662">
      <c r="A662" s="282" t="inlineStr">
        <is>
          <t>2008-09-18</t>
        </is>
      </c>
      <c r="B662" s="240">
        <f>IFERROR(1/P662-1,B661)</f>
        <v/>
      </c>
      <c r="C662" s="240">
        <f>$C$3</f>
        <v/>
      </c>
      <c r="D662" s="240">
        <f>$D$3</f>
        <v/>
      </c>
      <c r="E662" s="240">
        <f>$E$3</f>
        <v/>
      </c>
      <c r="F662" s="241" t="n">
        <v>22.13</v>
      </c>
      <c r="G662" s="242" t="n">
        <v>1892554</v>
      </c>
      <c r="H662" s="241" t="n">
        <v>-0.72</v>
      </c>
      <c r="I662" s="241" t="n">
        <v>-17.64</v>
      </c>
      <c r="J662" s="241" t="n">
        <v>-74.93000000000001</v>
      </c>
      <c r="K662" s="241" t="n">
        <v>15.79</v>
      </c>
      <c r="L662" s="242" t="n">
        <v>1507062</v>
      </c>
      <c r="M662" s="241" t="n">
        <v>-6.15</v>
      </c>
      <c r="N662" s="241" t="n">
        <v>-29.61</v>
      </c>
      <c r="O662" s="241" t="n">
        <v>-72.37</v>
      </c>
      <c r="P662" s="241" t="n">
        <v>1.4</v>
      </c>
    </row>
    <row r="663">
      <c r="A663" s="282" t="inlineStr">
        <is>
          <t>2008-09-19</t>
        </is>
      </c>
      <c r="B663" s="240">
        <f>IFERROR(1/P663-1,B662)</f>
        <v/>
      </c>
      <c r="C663" s="240">
        <f>$C$3</f>
        <v/>
      </c>
      <c r="D663" s="240">
        <f>$D$3</f>
        <v/>
      </c>
      <c r="E663" s="240">
        <f>$E$3</f>
        <v/>
      </c>
      <c r="F663" s="241" t="n">
        <v>24.34</v>
      </c>
      <c r="G663" s="242" t="n">
        <v>1968184</v>
      </c>
      <c r="H663" s="241" t="n">
        <v>9.99</v>
      </c>
      <c r="I663" s="241" t="n">
        <v>-4.96</v>
      </c>
      <c r="J663" s="241" t="n">
        <v>-72.43000000000001</v>
      </c>
      <c r="K663" s="241" t="n">
        <v>17.46</v>
      </c>
      <c r="L663" s="242" t="n">
        <v>1052289</v>
      </c>
      <c r="M663" s="241" t="n">
        <v>10.43</v>
      </c>
      <c r="N663" s="241" t="n">
        <v>-23.61</v>
      </c>
      <c r="O663" s="241" t="n">
        <v>-69.48</v>
      </c>
      <c r="P663" s="241" t="n">
        <v>1.39</v>
      </c>
    </row>
    <row r="664">
      <c r="A664" s="282" t="inlineStr">
        <is>
          <t>2008-09-22</t>
        </is>
      </c>
      <c r="B664" s="240">
        <f>IFERROR(1/P664-1,B663)</f>
        <v/>
      </c>
      <c r="C664" s="240">
        <f>$C$3</f>
        <v/>
      </c>
      <c r="D664" s="240">
        <f>$D$3</f>
        <v/>
      </c>
      <c r="E664" s="240">
        <f>$E$3</f>
        <v/>
      </c>
      <c r="F664" s="241" t="n">
        <v>25.75</v>
      </c>
      <c r="G664" s="242" t="n">
        <v>4210620</v>
      </c>
      <c r="H664" s="241" t="n">
        <v>5.79</v>
      </c>
      <c r="I664" s="241" t="n">
        <v>-7.04</v>
      </c>
      <c r="J664" s="241" t="n">
        <v>-70.83</v>
      </c>
      <c r="K664" s="241" t="n">
        <v>19.83</v>
      </c>
      <c r="L664" s="242" t="n">
        <v>1351198</v>
      </c>
      <c r="M664" s="241" t="n">
        <v>13.57</v>
      </c>
      <c r="N664" s="241" t="n">
        <v>-10.14</v>
      </c>
      <c r="O664" s="241" t="n">
        <v>-65.34</v>
      </c>
      <c r="P664" s="241" t="n">
        <v>1.3</v>
      </c>
    </row>
    <row r="665">
      <c r="A665" s="282" t="inlineStr">
        <is>
          <t>2008-09-23</t>
        </is>
      </c>
      <c r="B665" s="240">
        <f>IFERROR(1/P665-1,B664)</f>
        <v/>
      </c>
      <c r="C665" s="240">
        <f>$C$3</f>
        <v/>
      </c>
      <c r="D665" s="240">
        <f>$D$3</f>
        <v/>
      </c>
      <c r="E665" s="240">
        <f>$E$3</f>
        <v/>
      </c>
      <c r="F665" s="241" t="n">
        <v>25.05</v>
      </c>
      <c r="G665" s="242" t="n">
        <v>2113119</v>
      </c>
      <c r="H665" s="241" t="n">
        <v>-2.72</v>
      </c>
      <c r="I665" s="241" t="n">
        <v>-6.77</v>
      </c>
      <c r="J665" s="241" t="n">
        <v>-71.62</v>
      </c>
      <c r="K665" s="241" t="n">
        <v>18.39</v>
      </c>
      <c r="L665" s="242" t="n">
        <v>1261084</v>
      </c>
      <c r="M665" s="241" t="n">
        <v>-7.08</v>
      </c>
      <c r="N665" s="241" t="n">
        <v>-16.5</v>
      </c>
      <c r="O665" s="241" t="n">
        <v>-67.8</v>
      </c>
      <c r="P665" s="241" t="n">
        <v>1.36</v>
      </c>
    </row>
    <row r="666">
      <c r="A666" s="282" t="inlineStr">
        <is>
          <t>2008-09-24</t>
        </is>
      </c>
      <c r="B666" s="240">
        <f>IFERROR(1/P666-1,B665)</f>
        <v/>
      </c>
      <c r="C666" s="240">
        <f>$C$3</f>
        <v/>
      </c>
      <c r="D666" s="240">
        <f>$D$3</f>
        <v/>
      </c>
      <c r="E666" s="240">
        <f>$E$3</f>
        <v/>
      </c>
      <c r="F666" s="241" t="n">
        <v>25.76</v>
      </c>
      <c r="G666" s="242" t="n">
        <v>1711982</v>
      </c>
      <c r="H666" s="241" t="n">
        <v>2.83</v>
      </c>
      <c r="I666" s="241" t="n">
        <v>-4.13</v>
      </c>
      <c r="J666" s="241" t="n">
        <v>-70.81999999999999</v>
      </c>
      <c r="K666" s="241" t="n">
        <v>19.53</v>
      </c>
      <c r="L666" s="242" t="n">
        <v>666410</v>
      </c>
      <c r="M666" s="241" t="n">
        <v>5.95</v>
      </c>
      <c r="N666" s="241" t="n">
        <v>-11.53</v>
      </c>
      <c r="O666" s="241" t="n">
        <v>-65.88</v>
      </c>
      <c r="P666" s="241" t="n">
        <v>1.32</v>
      </c>
    </row>
    <row r="667">
      <c r="A667" s="282" t="inlineStr">
        <is>
          <t>2008-09-25</t>
        </is>
      </c>
      <c r="B667" s="240">
        <f>IFERROR(1/P667-1,B666)</f>
        <v/>
      </c>
      <c r="C667" s="240">
        <f>$C$3</f>
        <v/>
      </c>
      <c r="D667" s="240">
        <f>$D$3</f>
        <v/>
      </c>
      <c r="E667" s="240">
        <f>$E$3</f>
        <v/>
      </c>
      <c r="F667" s="241" t="n">
        <v>26.17</v>
      </c>
      <c r="G667" s="242" t="n">
        <v>2012665</v>
      </c>
      <c r="H667" s="241" t="n">
        <v>1.59</v>
      </c>
      <c r="I667" s="241" t="n">
        <v>-2.61</v>
      </c>
      <c r="J667" s="241" t="n">
        <v>-70.36</v>
      </c>
      <c r="K667" s="241" t="n">
        <v>19.32</v>
      </c>
      <c r="L667" s="242" t="n">
        <v>417250</v>
      </c>
      <c r="M667" s="241" t="n">
        <v>-1.12</v>
      </c>
      <c r="N667" s="241" t="n">
        <v>-12.52</v>
      </c>
      <c r="O667" s="241" t="n">
        <v>-66.26000000000001</v>
      </c>
      <c r="P667" s="241" t="n">
        <v>1.35</v>
      </c>
    </row>
    <row r="668">
      <c r="A668" s="282" t="inlineStr">
        <is>
          <t>2008-09-26</t>
        </is>
      </c>
      <c r="B668" s="240">
        <f>IFERROR(1/P668-1,B667)</f>
        <v/>
      </c>
      <c r="C668" s="240">
        <f>$C$3</f>
        <v/>
      </c>
      <c r="D668" s="240">
        <f>$D$3</f>
        <v/>
      </c>
      <c r="E668" s="240">
        <f>$E$3</f>
        <v/>
      </c>
      <c r="F668" s="241" t="n">
        <v>25.91</v>
      </c>
      <c r="G668" s="242" t="n">
        <v>1424245</v>
      </c>
      <c r="H668" s="241" t="n">
        <v>-0.99</v>
      </c>
      <c r="I668" s="241" t="n">
        <v>-3.5</v>
      </c>
      <c r="J668" s="241" t="n">
        <v>-70.65000000000001</v>
      </c>
      <c r="K668" s="241" t="n">
        <v>19.11</v>
      </c>
      <c r="L668" s="242" t="n">
        <v>563191</v>
      </c>
      <c r="M668" s="241" t="n">
        <v>-0.91</v>
      </c>
      <c r="N668" s="241" t="n">
        <v>-9.359999999999999</v>
      </c>
      <c r="O668" s="241" t="n">
        <v>-66.56999999999999</v>
      </c>
      <c r="P668" s="241" t="n">
        <v>1.36</v>
      </c>
    </row>
    <row r="669">
      <c r="A669" s="282" t="inlineStr">
        <is>
          <t>2008-10-06</t>
        </is>
      </c>
      <c r="B669" s="240">
        <f>IFERROR(1/P669-1,B668)</f>
        <v/>
      </c>
      <c r="C669" s="240">
        <f>$C$3</f>
        <v/>
      </c>
      <c r="D669" s="240">
        <f>$D$3</f>
        <v/>
      </c>
      <c r="E669" s="240">
        <f>$E$3</f>
        <v/>
      </c>
      <c r="F669" s="241" t="n">
        <v>24.51</v>
      </c>
      <c r="G669" s="242" t="n">
        <v>905159</v>
      </c>
      <c r="H669" s="241" t="n">
        <v>-5.4</v>
      </c>
      <c r="I669" s="241" t="n">
        <v>-3.16</v>
      </c>
      <c r="J669" s="241" t="n">
        <v>-72.23999999999999</v>
      </c>
      <c r="K669" s="241" t="n">
        <v>17.8</v>
      </c>
      <c r="L669" s="242" t="n">
        <v>708897</v>
      </c>
      <c r="M669" s="241" t="n">
        <v>-7.32</v>
      </c>
      <c r="N669" s="241" t="n">
        <v>-8.779999999999999</v>
      </c>
      <c r="O669" s="241" t="n">
        <v>-68.95</v>
      </c>
      <c r="P669" s="241" t="n">
        <v>1.38</v>
      </c>
    </row>
    <row r="670">
      <c r="A670" s="282" t="inlineStr">
        <is>
          <t>2008-10-07</t>
        </is>
      </c>
      <c r="B670" s="240">
        <f>IFERROR(1/P670-1,B669)</f>
        <v/>
      </c>
      <c r="C670" s="240">
        <f>$C$3</f>
        <v/>
      </c>
      <c r="D670" s="240">
        <f>$D$3</f>
        <v/>
      </c>
      <c r="E670" s="240">
        <f>$E$3</f>
        <v/>
      </c>
      <c r="F670" s="241" t="n">
        <v>24.21</v>
      </c>
      <c r="G670" s="242" t="n">
        <v>1075778</v>
      </c>
      <c r="H670" s="241" t="n">
        <v>-1.22</v>
      </c>
      <c r="I670" s="241" t="n">
        <v>-4.35</v>
      </c>
      <c r="J670" s="241" t="n">
        <v>-72.58</v>
      </c>
      <c r="K670" s="239" t="inlineStr">
        <is>
          <t>--</t>
        </is>
      </c>
      <c r="L670" s="239" t="inlineStr">
        <is>
          <t>--</t>
        </is>
      </c>
      <c r="M670" s="239" t="inlineStr">
        <is>
          <t>--</t>
        </is>
      </c>
      <c r="N670" s="239" t="inlineStr">
        <is>
          <t>--</t>
        </is>
      </c>
      <c r="O670" s="239" t="inlineStr">
        <is>
          <t>--</t>
        </is>
      </c>
      <c r="P670" s="239" t="inlineStr">
        <is>
          <t>--</t>
        </is>
      </c>
    </row>
    <row r="671">
      <c r="A671" s="282" t="inlineStr">
        <is>
          <t>2008-10-08</t>
        </is>
      </c>
      <c r="B671" s="240">
        <f>IFERROR(1/P671-1,B670)</f>
        <v/>
      </c>
      <c r="C671" s="240">
        <f>$C$3</f>
        <v/>
      </c>
      <c r="D671" s="240">
        <f>$D$3</f>
        <v/>
      </c>
      <c r="E671" s="240">
        <f>$E$3</f>
        <v/>
      </c>
      <c r="F671" s="241" t="n">
        <v>23.03</v>
      </c>
      <c r="G671" s="242" t="n">
        <v>1371093</v>
      </c>
      <c r="H671" s="241" t="n">
        <v>-4.87</v>
      </c>
      <c r="I671" s="241" t="n">
        <v>-9.01</v>
      </c>
      <c r="J671" s="241" t="n">
        <v>-73.91</v>
      </c>
      <c r="K671" s="241" t="n">
        <v>16.7</v>
      </c>
      <c r="L671" s="242" t="n">
        <v>1666801</v>
      </c>
      <c r="M671" s="241" t="n">
        <v>-6.17</v>
      </c>
      <c r="N671" s="241" t="n">
        <v>-14.41</v>
      </c>
      <c r="O671" s="241" t="n">
        <v>-70.86</v>
      </c>
      <c r="P671" s="241" t="n">
        <v>1.38</v>
      </c>
    </row>
    <row r="672">
      <c r="A672" s="282" t="inlineStr">
        <is>
          <t>2008-10-09</t>
        </is>
      </c>
      <c r="B672" s="240">
        <f>IFERROR(1/P672-1,B671)</f>
        <v/>
      </c>
      <c r="C672" s="240">
        <f>$C$3</f>
        <v/>
      </c>
      <c r="D672" s="240">
        <f>$D$3</f>
        <v/>
      </c>
      <c r="E672" s="240">
        <f>$E$3</f>
        <v/>
      </c>
      <c r="F672" s="241" t="n">
        <v>23.03</v>
      </c>
      <c r="G672" s="242" t="n">
        <v>0</v>
      </c>
      <c r="H672" s="241" t="n">
        <v>0</v>
      </c>
      <c r="I672" s="241" t="n">
        <v>-4.28</v>
      </c>
      <c r="J672" s="241" t="n">
        <v>-73.91</v>
      </c>
      <c r="K672" s="241" t="n">
        <v>17.47</v>
      </c>
      <c r="L672" s="242" t="n">
        <v>907363</v>
      </c>
      <c r="M672" s="241" t="n">
        <v>4.53</v>
      </c>
      <c r="N672" s="241" t="n">
        <v>-11.73</v>
      </c>
      <c r="O672" s="241" t="n">
        <v>-69.54000000000001</v>
      </c>
      <c r="P672" s="241" t="n">
        <v>1.32</v>
      </c>
    </row>
    <row r="673">
      <c r="A673" s="282" t="inlineStr">
        <is>
          <t>2008-10-10</t>
        </is>
      </c>
      <c r="B673" s="240">
        <f>IFERROR(1/P673-1,B672)</f>
        <v/>
      </c>
      <c r="C673" s="240">
        <f>$C$3</f>
        <v/>
      </c>
      <c r="D673" s="240">
        <f>$D$3</f>
        <v/>
      </c>
      <c r="E673" s="240">
        <f>$E$3</f>
        <v/>
      </c>
      <c r="F673" s="241" t="n">
        <v>21.74</v>
      </c>
      <c r="G673" s="242" t="n">
        <v>1025756</v>
      </c>
      <c r="H673" s="241" t="n">
        <v>-5.6</v>
      </c>
      <c r="I673" s="241" t="n">
        <v>-11.37</v>
      </c>
      <c r="J673" s="241" t="n">
        <v>-75.37</v>
      </c>
      <c r="K673" s="241" t="n">
        <v>15.67</v>
      </c>
      <c r="L673" s="242" t="n">
        <v>1376775</v>
      </c>
      <c r="M673" s="241" t="n">
        <v>-10.37</v>
      </c>
      <c r="N673" s="241" t="n">
        <v>-18.35</v>
      </c>
      <c r="O673" s="241" t="n">
        <v>-72.7</v>
      </c>
      <c r="P673" s="241" t="n">
        <v>1.39</v>
      </c>
    </row>
    <row r="674">
      <c r="A674" s="282" t="inlineStr">
        <is>
          <t>2008-10-13</t>
        </is>
      </c>
      <c r="B674" s="240">
        <f>IFERROR(1/P674-1,B673)</f>
        <v/>
      </c>
      <c r="C674" s="240">
        <f>$C$3</f>
        <v/>
      </c>
      <c r="D674" s="240">
        <f>$D$3</f>
        <v/>
      </c>
      <c r="E674" s="240">
        <f>$E$3</f>
        <v/>
      </c>
      <c r="F674" s="241" t="n">
        <v>22.32</v>
      </c>
      <c r="G674" s="242" t="n">
        <v>912835</v>
      </c>
      <c r="H674" s="241" t="n">
        <v>2.67</v>
      </c>
      <c r="I674" s="241" t="n">
        <v>-0.89</v>
      </c>
      <c r="J674" s="241" t="n">
        <v>-74.72</v>
      </c>
      <c r="K674" s="241" t="n">
        <v>16.63</v>
      </c>
      <c r="L674" s="242" t="n">
        <v>1057501</v>
      </c>
      <c r="M674" s="241" t="n">
        <v>6.18</v>
      </c>
      <c r="N674" s="241" t="n">
        <v>-1.15</v>
      </c>
      <c r="O674" s="241" t="n">
        <v>-71.02</v>
      </c>
      <c r="P674" s="241" t="n">
        <v>1.34</v>
      </c>
    </row>
    <row r="675">
      <c r="A675" s="282" t="inlineStr">
        <is>
          <t>2008-10-14</t>
        </is>
      </c>
      <c r="B675" s="240">
        <f>IFERROR(1/P675-1,B674)</f>
        <v/>
      </c>
      <c r="C675" s="240">
        <f>$C$3</f>
        <v/>
      </c>
      <c r="D675" s="240">
        <f>$D$3</f>
        <v/>
      </c>
      <c r="E675" s="240">
        <f>$E$3</f>
        <v/>
      </c>
      <c r="F675" s="241" t="n">
        <v>22.62</v>
      </c>
      <c r="G675" s="242" t="n">
        <v>1680967</v>
      </c>
      <c r="H675" s="241" t="n">
        <v>1.34</v>
      </c>
      <c r="I675" s="241" t="n">
        <v>0.44</v>
      </c>
      <c r="J675" s="241" t="n">
        <v>-74.38</v>
      </c>
      <c r="K675" s="241" t="n">
        <v>17.57</v>
      </c>
      <c r="L675" s="242" t="n">
        <v>1191725</v>
      </c>
      <c r="M675" s="241" t="n">
        <v>5.71</v>
      </c>
      <c r="N675" s="241" t="n">
        <v>4.5</v>
      </c>
      <c r="O675" s="241" t="n">
        <v>-69.36</v>
      </c>
      <c r="P675" s="241" t="n">
        <v>1.29</v>
      </c>
    </row>
    <row r="676">
      <c r="A676" s="282" t="inlineStr">
        <is>
          <t>2008-10-15</t>
        </is>
      </c>
      <c r="B676" s="240">
        <f>IFERROR(1/P676-1,B675)</f>
        <v/>
      </c>
      <c r="C676" s="240">
        <f>$C$3</f>
        <v/>
      </c>
      <c r="D676" s="240">
        <f>$D$3</f>
        <v/>
      </c>
      <c r="E676" s="240">
        <f>$E$3</f>
        <v/>
      </c>
      <c r="F676" s="241" t="n">
        <v>23</v>
      </c>
      <c r="G676" s="242" t="n">
        <v>826597</v>
      </c>
      <c r="H676" s="241" t="n">
        <v>1.68</v>
      </c>
      <c r="I676" s="241" t="n">
        <v>2.13</v>
      </c>
      <c r="J676" s="241" t="n">
        <v>-73.95</v>
      </c>
      <c r="K676" s="241" t="n">
        <v>17.44</v>
      </c>
      <c r="L676" s="242" t="n">
        <v>1020718</v>
      </c>
      <c r="M676" s="241" t="n">
        <v>-0.8</v>
      </c>
      <c r="N676" s="241" t="n">
        <v>3.66</v>
      </c>
      <c r="O676" s="241" t="n">
        <v>-69.61</v>
      </c>
      <c r="P676" s="241" t="n">
        <v>1.32</v>
      </c>
    </row>
    <row r="677">
      <c r="A677" s="282" t="inlineStr">
        <is>
          <t>2008-10-16</t>
        </is>
      </c>
      <c r="B677" s="240">
        <f>IFERROR(1/P677-1,B676)</f>
        <v/>
      </c>
      <c r="C677" s="240">
        <f>$C$3</f>
        <v/>
      </c>
      <c r="D677" s="240">
        <f>$D$3</f>
        <v/>
      </c>
      <c r="E677" s="240">
        <f>$E$3</f>
        <v/>
      </c>
      <c r="F677" s="241" t="n">
        <v>21.79</v>
      </c>
      <c r="G677" s="242" t="n">
        <v>837360</v>
      </c>
      <c r="H677" s="241" t="n">
        <v>-5.26</v>
      </c>
      <c r="I677" s="241" t="n">
        <v>-3.24</v>
      </c>
      <c r="J677" s="241" t="n">
        <v>-75.31999999999999</v>
      </c>
      <c r="K677" s="241" t="n">
        <v>16.74</v>
      </c>
      <c r="L677" s="242" t="n">
        <v>1008642</v>
      </c>
      <c r="M677" s="241" t="n">
        <v>-4.04</v>
      </c>
      <c r="N677" s="241" t="n">
        <v>-0.52</v>
      </c>
      <c r="O677" s="241" t="n">
        <v>-70.83</v>
      </c>
      <c r="P677" s="241" t="n">
        <v>1.3</v>
      </c>
    </row>
    <row r="678">
      <c r="A678" s="282" t="inlineStr">
        <is>
          <t>2008-10-17</t>
        </is>
      </c>
      <c r="B678" s="240">
        <f>IFERROR(1/P678-1,B677)</f>
        <v/>
      </c>
      <c r="C678" s="240">
        <f>$C$3</f>
        <v/>
      </c>
      <c r="D678" s="240">
        <f>$D$3</f>
        <v/>
      </c>
      <c r="E678" s="240">
        <f>$E$3</f>
        <v/>
      </c>
      <c r="F678" s="241" t="n">
        <v>21.84</v>
      </c>
      <c r="G678" s="242" t="n">
        <v>1555608</v>
      </c>
      <c r="H678" s="241" t="n">
        <v>0.23</v>
      </c>
      <c r="I678" s="241" t="n">
        <v>-1.93</v>
      </c>
      <c r="J678" s="241" t="n">
        <v>-75.26000000000001</v>
      </c>
      <c r="K678" s="241" t="n">
        <v>16.8</v>
      </c>
      <c r="L678" s="242" t="n">
        <v>671309</v>
      </c>
      <c r="M678" s="241" t="n">
        <v>0.32</v>
      </c>
      <c r="N678" s="241" t="n">
        <v>1.49</v>
      </c>
      <c r="O678" s="241" t="n">
        <v>-70.73999999999999</v>
      </c>
      <c r="P678" s="241" t="n">
        <v>1.3</v>
      </c>
    </row>
    <row r="679">
      <c r="A679" s="282" t="inlineStr">
        <is>
          <t>2008-10-20</t>
        </is>
      </c>
      <c r="B679" s="240">
        <f>IFERROR(1/P679-1,B678)</f>
        <v/>
      </c>
      <c r="C679" s="240">
        <f>$C$3</f>
        <v/>
      </c>
      <c r="D679" s="240">
        <f>$D$3</f>
        <v/>
      </c>
      <c r="E679" s="240">
        <f>$E$3</f>
        <v/>
      </c>
      <c r="F679" s="241" t="n">
        <v>22.66</v>
      </c>
      <c r="G679" s="242" t="n">
        <v>572166</v>
      </c>
      <c r="H679" s="241" t="n">
        <v>3.75</v>
      </c>
      <c r="I679" s="241" t="n">
        <v>-6.9</v>
      </c>
      <c r="J679" s="241" t="n">
        <v>-74.33</v>
      </c>
      <c r="K679" s="241" t="n">
        <v>16.75</v>
      </c>
      <c r="L679" s="242" t="n">
        <v>598776</v>
      </c>
      <c r="M679" s="241" t="n">
        <v>-0.31</v>
      </c>
      <c r="N679" s="241" t="n">
        <v>-4.42</v>
      </c>
      <c r="O679" s="241" t="n">
        <v>-70.83</v>
      </c>
      <c r="P679" s="241" t="n">
        <v>1.35</v>
      </c>
    </row>
    <row r="680">
      <c r="A680" s="282" t="inlineStr">
        <is>
          <t>2008-10-21</t>
        </is>
      </c>
      <c r="B680" s="240">
        <f>IFERROR(1/P680-1,B679)</f>
        <v/>
      </c>
      <c r="C680" s="240">
        <f>$C$3</f>
        <v/>
      </c>
      <c r="D680" s="240">
        <f>$D$3</f>
        <v/>
      </c>
      <c r="E680" s="240">
        <f>$E$3</f>
        <v/>
      </c>
      <c r="F680" s="241" t="n">
        <v>22.15</v>
      </c>
      <c r="G680" s="242" t="n">
        <v>659542</v>
      </c>
      <c r="H680" s="241" t="n">
        <v>-2.25</v>
      </c>
      <c r="I680" s="241" t="n">
        <v>-9</v>
      </c>
      <c r="J680" s="241" t="n">
        <v>-74.91</v>
      </c>
      <c r="K680" s="241" t="n">
        <v>16.86</v>
      </c>
      <c r="L680" s="242" t="n">
        <v>768483</v>
      </c>
      <c r="M680" s="241" t="n">
        <v>0.63</v>
      </c>
      <c r="N680" s="241" t="n">
        <v>-3.82</v>
      </c>
      <c r="O680" s="241" t="n">
        <v>-70.65000000000001</v>
      </c>
      <c r="P680" s="241" t="n">
        <v>1.31</v>
      </c>
    </row>
    <row r="681">
      <c r="A681" s="282" t="inlineStr">
        <is>
          <t>2008-10-22</t>
        </is>
      </c>
      <c r="B681" s="240">
        <f>IFERROR(1/P681-1,B680)</f>
        <v/>
      </c>
      <c r="C681" s="240">
        <f>$C$3</f>
        <v/>
      </c>
      <c r="D681" s="240">
        <f>$D$3</f>
        <v/>
      </c>
      <c r="E681" s="240">
        <f>$E$3</f>
        <v/>
      </c>
      <c r="F681" s="241" t="n">
        <v>21.42</v>
      </c>
      <c r="G681" s="242" t="n">
        <v>560732</v>
      </c>
      <c r="H681" s="241" t="n">
        <v>-3.3</v>
      </c>
      <c r="I681" s="241" t="n">
        <v>-12</v>
      </c>
      <c r="J681" s="241" t="n">
        <v>-75.73999999999999</v>
      </c>
      <c r="K681" s="241" t="n">
        <v>16.92</v>
      </c>
      <c r="L681" s="242" t="n">
        <v>1041472</v>
      </c>
      <c r="M681" s="241" t="n">
        <v>0.31</v>
      </c>
      <c r="N681" s="241" t="n">
        <v>-3.52</v>
      </c>
      <c r="O681" s="241" t="n">
        <v>-70.56</v>
      </c>
      <c r="P681" s="241" t="n">
        <v>1.27</v>
      </c>
    </row>
    <row r="682">
      <c r="A682" s="282" t="inlineStr">
        <is>
          <t>2008-10-23</t>
        </is>
      </c>
      <c r="B682" s="240">
        <f>IFERROR(1/P682-1,B681)</f>
        <v/>
      </c>
      <c r="C682" s="240">
        <f>$C$3</f>
        <v/>
      </c>
      <c r="D682" s="240">
        <f>$D$3</f>
        <v/>
      </c>
      <c r="E682" s="240">
        <f>$E$3</f>
        <v/>
      </c>
      <c r="F682" s="241" t="n">
        <v>21.41</v>
      </c>
      <c r="G682" s="242" t="n">
        <v>440356</v>
      </c>
      <c r="H682" s="241" t="n">
        <v>-0.05</v>
      </c>
      <c r="I682" s="241" t="n">
        <v>-16.85</v>
      </c>
      <c r="J682" s="241" t="n">
        <v>-75.75</v>
      </c>
      <c r="K682" s="241" t="n">
        <v>16.68</v>
      </c>
      <c r="L682" s="242" t="n">
        <v>604006</v>
      </c>
      <c r="M682" s="241" t="n">
        <v>-1.46</v>
      </c>
      <c r="N682" s="241" t="n">
        <v>-16.28</v>
      </c>
      <c r="O682" s="241" t="n">
        <v>-70.98999999999999</v>
      </c>
      <c r="P682" s="241" t="n">
        <v>1.28</v>
      </c>
    </row>
    <row r="683">
      <c r="A683" s="282" t="inlineStr">
        <is>
          <t>2008-10-24</t>
        </is>
      </c>
      <c r="B683" s="240">
        <f>IFERROR(1/P683-1,B682)</f>
        <v/>
      </c>
      <c r="C683" s="240">
        <f>$C$3</f>
        <v/>
      </c>
      <c r="D683" s="240">
        <f>$D$3</f>
        <v/>
      </c>
      <c r="E683" s="240">
        <f>$E$3</f>
        <v/>
      </c>
      <c r="F683" s="241" t="n">
        <v>21.01</v>
      </c>
      <c r="G683" s="242" t="n">
        <v>538176</v>
      </c>
      <c r="H683" s="241" t="n">
        <v>-1.87</v>
      </c>
      <c r="I683" s="241" t="n">
        <v>-16.13</v>
      </c>
      <c r="J683" s="241" t="n">
        <v>-76.2</v>
      </c>
      <c r="K683" s="241" t="n">
        <v>15.43</v>
      </c>
      <c r="L683" s="242" t="n">
        <v>1114181</v>
      </c>
      <c r="M683" s="241" t="n">
        <v>-7.51</v>
      </c>
      <c r="N683" s="241" t="n">
        <v>-16.67</v>
      </c>
      <c r="O683" s="241" t="n">
        <v>-73.16</v>
      </c>
      <c r="P683" s="241" t="n">
        <v>1.36</v>
      </c>
    </row>
    <row r="684">
      <c r="A684" s="282" t="inlineStr">
        <is>
          <t>2008-10-27</t>
        </is>
      </c>
      <c r="B684" s="240">
        <f>IFERROR(1/P684-1,B683)</f>
        <v/>
      </c>
      <c r="C684" s="240">
        <f>$C$3</f>
        <v/>
      </c>
      <c r="D684" s="240">
        <f>$D$3</f>
        <v/>
      </c>
      <c r="E684" s="240">
        <f>$E$3</f>
        <v/>
      </c>
      <c r="F684" s="241" t="n">
        <v>18.91</v>
      </c>
      <c r="G684" s="242" t="n">
        <v>2159719</v>
      </c>
      <c r="H684" s="241" t="n">
        <v>-10</v>
      </c>
      <c r="I684" s="241" t="n">
        <v>-27.02</v>
      </c>
      <c r="J684" s="241" t="n">
        <v>-78.58</v>
      </c>
      <c r="K684" s="241" t="n">
        <v>9.699999999999999</v>
      </c>
      <c r="L684" s="242" t="n">
        <v>1614443</v>
      </c>
      <c r="M684" s="241" t="n">
        <v>-37.14</v>
      </c>
      <c r="N684" s="241" t="n">
        <v>-49.54</v>
      </c>
      <c r="O684" s="241" t="n">
        <v>-83.13</v>
      </c>
      <c r="P684" s="241" t="n">
        <v>1.95</v>
      </c>
    </row>
    <row r="685">
      <c r="A685" s="282" t="inlineStr">
        <is>
          <t>2008-10-28</t>
        </is>
      </c>
      <c r="B685" s="240">
        <f>IFERROR(1/P685-1,B684)</f>
        <v/>
      </c>
      <c r="C685" s="240">
        <f>$C$3</f>
        <v/>
      </c>
      <c r="D685" s="240">
        <f>$D$3</f>
        <v/>
      </c>
      <c r="E685" s="240">
        <f>$E$3</f>
        <v/>
      </c>
      <c r="F685" s="241" t="n">
        <v>18.9</v>
      </c>
      <c r="G685" s="242" t="n">
        <v>3744268</v>
      </c>
      <c r="H685" s="241" t="n">
        <v>-0.05</v>
      </c>
      <c r="I685" s="241" t="n">
        <v>-27.06</v>
      </c>
      <c r="J685" s="241" t="n">
        <v>-78.59</v>
      </c>
      <c r="K685" s="241" t="n">
        <v>10.42</v>
      </c>
      <c r="L685" s="242" t="n">
        <v>1062892</v>
      </c>
      <c r="M685" s="241" t="n">
        <v>7.45</v>
      </c>
      <c r="N685" s="241" t="n">
        <v>-45.78</v>
      </c>
      <c r="O685" s="241" t="n">
        <v>-81.87</v>
      </c>
      <c r="P685" s="241" t="n">
        <v>1.81</v>
      </c>
    </row>
    <row r="686">
      <c r="A686" s="282" t="inlineStr">
        <is>
          <t>2008-10-29</t>
        </is>
      </c>
      <c r="B686" s="240">
        <f>IFERROR(1/P686-1,B685)</f>
        <v/>
      </c>
      <c r="C686" s="240">
        <f>$C$3</f>
        <v/>
      </c>
      <c r="D686" s="240">
        <f>$D$3</f>
        <v/>
      </c>
      <c r="E686" s="240">
        <f>$E$3</f>
        <v/>
      </c>
      <c r="F686" s="241" t="n">
        <v>18.3</v>
      </c>
      <c r="G686" s="242" t="n">
        <v>1913667</v>
      </c>
      <c r="H686" s="241" t="n">
        <v>-3.17</v>
      </c>
      <c r="I686" s="241" t="n">
        <v>-29.37</v>
      </c>
      <c r="J686" s="241" t="n">
        <v>-79.27</v>
      </c>
      <c r="K686" s="241" t="n">
        <v>9.57</v>
      </c>
      <c r="L686" s="242" t="n">
        <v>1445757</v>
      </c>
      <c r="M686" s="241" t="n">
        <v>-8.119999999999999</v>
      </c>
      <c r="N686" s="241" t="n">
        <v>-50.18</v>
      </c>
      <c r="O686" s="241" t="n">
        <v>-83.34999999999999</v>
      </c>
      <c r="P686" s="241" t="n">
        <v>1.91</v>
      </c>
    </row>
    <row r="687">
      <c r="A687" s="282" t="inlineStr">
        <is>
          <t>2008-10-30</t>
        </is>
      </c>
      <c r="B687" s="240">
        <f>IFERROR(1/P687-1,B686)</f>
        <v/>
      </c>
      <c r="C687" s="240">
        <f>$C$3</f>
        <v/>
      </c>
      <c r="D687" s="240">
        <f>$D$3</f>
        <v/>
      </c>
      <c r="E687" s="240">
        <f>$E$3</f>
        <v/>
      </c>
      <c r="F687" s="241" t="n">
        <v>17.6</v>
      </c>
      <c r="G687" s="242" t="n">
        <v>3032718</v>
      </c>
      <c r="H687" s="241" t="n">
        <v>-3.83</v>
      </c>
      <c r="I687" s="241" t="n">
        <v>-32.07</v>
      </c>
      <c r="J687" s="241" t="n">
        <v>-80.06</v>
      </c>
      <c r="K687" s="241" t="n">
        <v>11.25</v>
      </c>
      <c r="L687" s="242" t="n">
        <v>1869627</v>
      </c>
      <c r="M687" s="241" t="n">
        <v>17.68</v>
      </c>
      <c r="N687" s="241" t="n">
        <v>-41.11</v>
      </c>
      <c r="O687" s="241" t="n">
        <v>-80.40000000000001</v>
      </c>
      <c r="P687" s="241" t="n">
        <v>1.56</v>
      </c>
    </row>
    <row r="688">
      <c r="A688" s="282" t="inlineStr">
        <is>
          <t>2008-10-31</t>
        </is>
      </c>
      <c r="B688" s="240">
        <f>IFERROR(1/P688-1,B687)</f>
        <v/>
      </c>
      <c r="C688" s="240">
        <f>$C$3</f>
        <v/>
      </c>
      <c r="D688" s="240">
        <f>$D$3</f>
        <v/>
      </c>
      <c r="E688" s="240">
        <f>$E$3</f>
        <v/>
      </c>
      <c r="F688" s="241" t="n">
        <v>16.83</v>
      </c>
      <c r="G688" s="242" t="n">
        <v>1985062</v>
      </c>
      <c r="H688" s="241" t="n">
        <v>-4.38</v>
      </c>
      <c r="I688" s="241" t="n">
        <v>-35.04</v>
      </c>
      <c r="J688" s="241" t="n">
        <v>-80.94</v>
      </c>
      <c r="K688" s="241" t="n">
        <v>12.96</v>
      </c>
      <c r="L688" s="242" t="n">
        <v>1736483</v>
      </c>
      <c r="M688" s="241" t="n">
        <v>15.18</v>
      </c>
      <c r="N688" s="241" t="n">
        <v>-32.17</v>
      </c>
      <c r="O688" s="241" t="n">
        <v>-77.43000000000001</v>
      </c>
      <c r="P688" s="241" t="n">
        <v>1.3</v>
      </c>
    </row>
    <row r="689">
      <c r="A689" s="282" t="inlineStr">
        <is>
          <t>2008-11-03</t>
        </is>
      </c>
      <c r="B689" s="240">
        <f>IFERROR(1/P689-1,B688)</f>
        <v/>
      </c>
      <c r="C689" s="240">
        <f>$C$3</f>
        <v/>
      </c>
      <c r="D689" s="240">
        <f>$D$3</f>
        <v/>
      </c>
      <c r="E689" s="240">
        <f>$E$3</f>
        <v/>
      </c>
      <c r="F689" s="241" t="n">
        <v>16.93</v>
      </c>
      <c r="G689" s="242" t="n">
        <v>963060</v>
      </c>
      <c r="H689" s="241" t="n">
        <v>0.59</v>
      </c>
      <c r="I689" s="241" t="n">
        <v>-34.66</v>
      </c>
      <c r="J689" s="241" t="n">
        <v>-80.81999999999999</v>
      </c>
      <c r="K689" s="241" t="n">
        <v>12.95</v>
      </c>
      <c r="L689" s="242" t="n">
        <v>1315232</v>
      </c>
      <c r="M689" s="241" t="n">
        <v>-0.14</v>
      </c>
      <c r="N689" s="241" t="n">
        <v>-32.1</v>
      </c>
      <c r="O689" s="241" t="n">
        <v>-77.45999999999999</v>
      </c>
      <c r="P689" s="241" t="n">
        <v>1.31</v>
      </c>
    </row>
    <row r="690">
      <c r="A690" s="282" t="inlineStr">
        <is>
          <t>2008-11-04</t>
        </is>
      </c>
      <c r="B690" s="240">
        <f>IFERROR(1/P690-1,B689)</f>
        <v/>
      </c>
      <c r="C690" s="240">
        <f>$C$3</f>
        <v/>
      </c>
      <c r="D690" s="240">
        <f>$D$3</f>
        <v/>
      </c>
      <c r="E690" s="240">
        <f>$E$3</f>
        <v/>
      </c>
      <c r="F690" s="241" t="n">
        <v>17.19</v>
      </c>
      <c r="G690" s="242" t="n">
        <v>663234</v>
      </c>
      <c r="H690" s="241" t="n">
        <v>1.54</v>
      </c>
      <c r="I690" s="241" t="n">
        <v>-33.66</v>
      </c>
      <c r="J690" s="241" t="n">
        <v>-80.53</v>
      </c>
      <c r="K690" s="241" t="n">
        <v>13.18</v>
      </c>
      <c r="L690" s="242" t="n">
        <v>350197</v>
      </c>
      <c r="M690" s="241" t="n">
        <v>1.77</v>
      </c>
      <c r="N690" s="241" t="n">
        <v>-31.53</v>
      </c>
      <c r="O690" s="241" t="n">
        <v>-77.06</v>
      </c>
      <c r="P690" s="241" t="n">
        <v>1.3</v>
      </c>
    </row>
    <row r="691">
      <c r="A691" s="282" t="inlineStr">
        <is>
          <t>2008-11-05</t>
        </is>
      </c>
      <c r="B691" s="240">
        <f>IFERROR(1/P691-1,B690)</f>
        <v/>
      </c>
      <c r="C691" s="240">
        <f>$C$3</f>
        <v/>
      </c>
      <c r="D691" s="240">
        <f>$D$3</f>
        <v/>
      </c>
      <c r="E691" s="240">
        <f>$E$3</f>
        <v/>
      </c>
      <c r="F691" s="241" t="n">
        <v>17.99</v>
      </c>
      <c r="G691" s="242" t="n">
        <v>1512548</v>
      </c>
      <c r="H691" s="241" t="n">
        <v>4.65</v>
      </c>
      <c r="I691" s="241" t="n">
        <v>-30.57</v>
      </c>
      <c r="J691" s="241" t="n">
        <v>-79.62</v>
      </c>
      <c r="K691" s="241" t="n">
        <v>13.75</v>
      </c>
      <c r="L691" s="242" t="n">
        <v>854653</v>
      </c>
      <c r="M691" s="241" t="n">
        <v>4.41</v>
      </c>
      <c r="N691" s="241" t="n">
        <v>-28.51</v>
      </c>
      <c r="O691" s="241" t="n">
        <v>-76.05</v>
      </c>
      <c r="P691" s="241" t="n">
        <v>1.31</v>
      </c>
    </row>
    <row r="692">
      <c r="A692" s="282" t="inlineStr">
        <is>
          <t>2008-11-06</t>
        </is>
      </c>
      <c r="B692" s="240">
        <f>IFERROR(1/P692-1,B691)</f>
        <v/>
      </c>
      <c r="C692" s="240">
        <f>$C$3</f>
        <v/>
      </c>
      <c r="D692" s="240">
        <f>$D$3</f>
        <v/>
      </c>
      <c r="E692" s="240">
        <f>$E$3</f>
        <v/>
      </c>
      <c r="F692" s="241" t="n">
        <v>17.5</v>
      </c>
      <c r="G692" s="242" t="n">
        <v>815461</v>
      </c>
      <c r="H692" s="241" t="n">
        <v>-2.72</v>
      </c>
      <c r="I692" s="241" t="n">
        <v>-32.46</v>
      </c>
      <c r="J692" s="241" t="n">
        <v>-80.18000000000001</v>
      </c>
      <c r="K692" s="241" t="n">
        <v>12.1</v>
      </c>
      <c r="L692" s="242" t="n">
        <v>258600</v>
      </c>
      <c r="M692" s="241" t="n">
        <v>-12.04</v>
      </c>
      <c r="N692" s="241" t="n">
        <v>-37.12</v>
      </c>
      <c r="O692" s="241" t="n">
        <v>-78.93000000000001</v>
      </c>
      <c r="P692" s="241" t="n">
        <v>1.45</v>
      </c>
    </row>
    <row r="693">
      <c r="A693" s="282" t="inlineStr">
        <is>
          <t>2008-11-07</t>
        </is>
      </c>
      <c r="B693" s="240">
        <f>IFERROR(1/P693-1,B692)</f>
        <v/>
      </c>
      <c r="C693" s="240">
        <f>$C$3</f>
        <v/>
      </c>
      <c r="D693" s="240">
        <f>$D$3</f>
        <v/>
      </c>
      <c r="E693" s="240">
        <f>$E$3</f>
        <v/>
      </c>
      <c r="F693" s="241" t="n">
        <v>17.56</v>
      </c>
      <c r="G693" s="242" t="n">
        <v>1029857</v>
      </c>
      <c r="H693" s="241" t="n">
        <v>0.34</v>
      </c>
      <c r="I693" s="241" t="n">
        <v>-28.36</v>
      </c>
      <c r="J693" s="241" t="n">
        <v>-80.11</v>
      </c>
      <c r="K693" s="241" t="n">
        <v>12.25</v>
      </c>
      <c r="L693" s="242" t="n">
        <v>1012000</v>
      </c>
      <c r="M693" s="241" t="n">
        <v>1.16</v>
      </c>
      <c r="N693" s="241" t="n">
        <v>-31.36</v>
      </c>
      <c r="O693" s="241" t="n">
        <v>-78.68000000000001</v>
      </c>
      <c r="P693" s="241" t="n">
        <v>1.43</v>
      </c>
    </row>
    <row r="694">
      <c r="A694" s="282" t="inlineStr">
        <is>
          <t>2008-11-10</t>
        </is>
      </c>
      <c r="B694" s="240">
        <f>IFERROR(1/P694-1,B693)</f>
        <v/>
      </c>
      <c r="C694" s="240">
        <f>$C$3</f>
        <v/>
      </c>
      <c r="D694" s="240">
        <f>$D$3</f>
        <v/>
      </c>
      <c r="E694" s="240">
        <f>$E$3</f>
        <v/>
      </c>
      <c r="F694" s="241" t="n">
        <v>18.82</v>
      </c>
      <c r="G694" s="242" t="n">
        <v>2344291</v>
      </c>
      <c r="H694" s="241" t="n">
        <v>7.18</v>
      </c>
      <c r="I694" s="241" t="n">
        <v>-18.28</v>
      </c>
      <c r="J694" s="241" t="n">
        <v>-78.68000000000001</v>
      </c>
      <c r="K694" s="241" t="n">
        <v>13.84</v>
      </c>
      <c r="L694" s="242" t="n">
        <v>1149670</v>
      </c>
      <c r="M694" s="241" t="n">
        <v>13.09</v>
      </c>
      <c r="N694" s="241" t="n">
        <v>-20.85</v>
      </c>
      <c r="O694" s="241" t="n">
        <v>-75.89</v>
      </c>
      <c r="P694" s="241" t="n">
        <v>1.36</v>
      </c>
    </row>
    <row r="695">
      <c r="A695" s="282" t="inlineStr">
        <is>
          <t>2008-11-11</t>
        </is>
      </c>
      <c r="B695" s="240">
        <f>IFERROR(1/P695-1,B694)</f>
        <v/>
      </c>
      <c r="C695" s="240">
        <f>$C$3</f>
        <v/>
      </c>
      <c r="D695" s="240">
        <f>$D$3</f>
        <v/>
      </c>
      <c r="E695" s="240">
        <f>$E$3</f>
        <v/>
      </c>
      <c r="F695" s="241" t="n">
        <v>18.83</v>
      </c>
      <c r="G695" s="242" t="n">
        <v>2565534</v>
      </c>
      <c r="H695" s="241" t="n">
        <v>0.05</v>
      </c>
      <c r="I695" s="241" t="n">
        <v>-13.39</v>
      </c>
      <c r="J695" s="241" t="n">
        <v>-78.67</v>
      </c>
      <c r="K695" s="241" t="n">
        <v>13.65</v>
      </c>
      <c r="L695" s="242" t="n">
        <v>880257</v>
      </c>
      <c r="M695" s="241" t="n">
        <v>-1.4</v>
      </c>
      <c r="N695" s="241" t="n">
        <v>-12.92</v>
      </c>
      <c r="O695" s="241" t="n">
        <v>-76.23</v>
      </c>
      <c r="P695" s="241" t="n">
        <v>1.38</v>
      </c>
    </row>
    <row r="696">
      <c r="A696" s="282" t="inlineStr">
        <is>
          <t>2008-11-12</t>
        </is>
      </c>
      <c r="B696" s="240">
        <f>IFERROR(1/P696-1,B695)</f>
        <v/>
      </c>
      <c r="C696" s="240">
        <f>$C$3</f>
        <v/>
      </c>
      <c r="D696" s="240">
        <f>$D$3</f>
        <v/>
      </c>
      <c r="E696" s="240">
        <f>$E$3</f>
        <v/>
      </c>
      <c r="F696" s="241" t="n">
        <v>19.02</v>
      </c>
      <c r="G696" s="242" t="n">
        <v>1031941</v>
      </c>
      <c r="H696" s="241" t="n">
        <v>1.01</v>
      </c>
      <c r="I696" s="241" t="n">
        <v>-12.51</v>
      </c>
      <c r="J696" s="241" t="n">
        <v>-78.45</v>
      </c>
      <c r="K696" s="241" t="n">
        <v>14.1</v>
      </c>
      <c r="L696" s="242" t="n">
        <v>953600</v>
      </c>
      <c r="M696" s="241" t="n">
        <v>3.23</v>
      </c>
      <c r="N696" s="241" t="n">
        <v>-10.11</v>
      </c>
      <c r="O696" s="241" t="n">
        <v>-75.45999999999999</v>
      </c>
      <c r="P696" s="241" t="n">
        <v>1.35</v>
      </c>
    </row>
    <row r="697">
      <c r="A697" s="282" t="inlineStr">
        <is>
          <t>2008-11-13</t>
        </is>
      </c>
      <c r="B697" s="240">
        <f>IFERROR(1/P697-1,B696)</f>
        <v/>
      </c>
      <c r="C697" s="240">
        <f>$C$3</f>
        <v/>
      </c>
      <c r="D697" s="240">
        <f>$D$3</f>
        <v/>
      </c>
      <c r="E697" s="240">
        <f>$E$3</f>
        <v/>
      </c>
      <c r="F697" s="241" t="n">
        <v>20.92</v>
      </c>
      <c r="G697" s="242" t="n">
        <v>880258</v>
      </c>
      <c r="H697" s="241" t="n">
        <v>9.99</v>
      </c>
      <c r="I697" s="241" t="n">
        <v>-3.77</v>
      </c>
      <c r="J697" s="241" t="n">
        <v>-76.3</v>
      </c>
      <c r="K697" s="241" t="n">
        <v>14.26</v>
      </c>
      <c r="L697" s="242" t="n">
        <v>2115186</v>
      </c>
      <c r="M697" s="241" t="n">
        <v>1.13</v>
      </c>
      <c r="N697" s="241" t="n">
        <v>-9.1</v>
      </c>
      <c r="O697" s="241" t="n">
        <v>-75.19</v>
      </c>
      <c r="P697" s="241" t="n">
        <v>1.47</v>
      </c>
    </row>
    <row r="698">
      <c r="A698" s="282" t="inlineStr">
        <is>
          <t>2008-11-14</t>
        </is>
      </c>
      <c r="B698" s="240">
        <f>IFERROR(1/P698-1,B697)</f>
        <v/>
      </c>
      <c r="C698" s="240">
        <f>$C$3</f>
        <v/>
      </c>
      <c r="D698" s="240">
        <f>$D$3</f>
        <v/>
      </c>
      <c r="E698" s="240">
        <f>$E$3</f>
        <v/>
      </c>
      <c r="F698" s="241" t="n">
        <v>22.55</v>
      </c>
      <c r="G698" s="242" t="n">
        <v>17651895</v>
      </c>
      <c r="H698" s="241" t="n">
        <v>7.79</v>
      </c>
      <c r="I698" s="241" t="n">
        <v>1.03</v>
      </c>
      <c r="J698" s="241" t="n">
        <v>-74.45999999999999</v>
      </c>
      <c r="K698" s="241" t="n">
        <v>13.9</v>
      </c>
      <c r="L698" s="242" t="n">
        <v>1960430</v>
      </c>
      <c r="M698" s="241" t="n">
        <v>-2.47</v>
      </c>
      <c r="N698" s="241" t="n">
        <v>-16.51</v>
      </c>
      <c r="O698" s="241" t="n">
        <v>-75.8</v>
      </c>
      <c r="P698" s="241" t="n">
        <v>1.62</v>
      </c>
    </row>
    <row r="699">
      <c r="A699" s="282" t="inlineStr">
        <is>
          <t>2008-11-17</t>
        </is>
      </c>
      <c r="B699" s="240">
        <f>IFERROR(1/P699-1,B698)</f>
        <v/>
      </c>
      <c r="C699" s="240">
        <f>$C$3</f>
        <v/>
      </c>
      <c r="D699" s="240">
        <f>$D$3</f>
        <v/>
      </c>
      <c r="E699" s="240">
        <f>$E$3</f>
        <v/>
      </c>
      <c r="F699" s="241" t="n">
        <v>24.69</v>
      </c>
      <c r="G699" s="242" t="n">
        <v>15075214</v>
      </c>
      <c r="H699" s="241" t="n">
        <v>9.49</v>
      </c>
      <c r="I699" s="241" t="n">
        <v>13.31</v>
      </c>
      <c r="J699" s="241" t="n">
        <v>-72.03</v>
      </c>
      <c r="K699" s="241" t="n">
        <v>13.57</v>
      </c>
      <c r="L699" s="242" t="n">
        <v>721098</v>
      </c>
      <c r="M699" s="241" t="n">
        <v>-2.41</v>
      </c>
      <c r="N699" s="241" t="n">
        <v>-19.03</v>
      </c>
      <c r="O699" s="241" t="n">
        <v>-76.38</v>
      </c>
      <c r="P699" s="241" t="n">
        <v>1.82</v>
      </c>
    </row>
    <row r="700">
      <c r="A700" s="282" t="inlineStr">
        <is>
          <t>2008-11-18</t>
        </is>
      </c>
      <c r="B700" s="240">
        <f>IFERROR(1/P700-1,B699)</f>
        <v/>
      </c>
      <c r="C700" s="240">
        <f>$C$3</f>
        <v/>
      </c>
      <c r="D700" s="240">
        <f>$D$3</f>
        <v/>
      </c>
      <c r="E700" s="240">
        <f>$E$3</f>
        <v/>
      </c>
      <c r="F700" s="241" t="n">
        <v>22.22</v>
      </c>
      <c r="G700" s="242" t="n">
        <v>12999155</v>
      </c>
      <c r="H700" s="241" t="n">
        <v>-10</v>
      </c>
      <c r="I700" s="241" t="n">
        <v>1.74</v>
      </c>
      <c r="J700" s="241" t="n">
        <v>-74.83</v>
      </c>
      <c r="K700" s="241" t="n">
        <v>12.46</v>
      </c>
      <c r="L700" s="242" t="n">
        <v>965719</v>
      </c>
      <c r="M700" s="241" t="n">
        <v>-8.18</v>
      </c>
      <c r="N700" s="241" t="n">
        <v>-25.89</v>
      </c>
      <c r="O700" s="241" t="n">
        <v>-78.31999999999999</v>
      </c>
      <c r="P700" s="241" t="n">
        <v>1.78</v>
      </c>
    </row>
    <row r="701">
      <c r="A701" s="282" t="inlineStr">
        <is>
          <t>2008-11-19</t>
        </is>
      </c>
      <c r="B701" s="240">
        <f>IFERROR(1/P701-1,B700)</f>
        <v/>
      </c>
      <c r="C701" s="240">
        <f>$C$3</f>
        <v/>
      </c>
      <c r="D701" s="240">
        <f>$D$3</f>
        <v/>
      </c>
      <c r="E701" s="240">
        <f>$E$3</f>
        <v/>
      </c>
      <c r="F701" s="241" t="n">
        <v>22.97</v>
      </c>
      <c r="G701" s="242" t="n">
        <v>10285614</v>
      </c>
      <c r="H701" s="241" t="n">
        <v>3.38</v>
      </c>
      <c r="I701" s="241" t="n">
        <v>5.17</v>
      </c>
      <c r="J701" s="241" t="n">
        <v>-73.98</v>
      </c>
      <c r="K701" s="241" t="n">
        <v>12.95</v>
      </c>
      <c r="L701" s="242" t="n">
        <v>1048309</v>
      </c>
      <c r="M701" s="241" t="n">
        <v>3.96</v>
      </c>
      <c r="N701" s="241" t="n">
        <v>-22.96</v>
      </c>
      <c r="O701" s="241" t="n">
        <v>-77.45999999999999</v>
      </c>
      <c r="P701" s="241" t="n">
        <v>1.77</v>
      </c>
    </row>
    <row r="702">
      <c r="A702" s="282" t="inlineStr">
        <is>
          <t>2008-11-20</t>
        </is>
      </c>
      <c r="B702" s="240">
        <f>IFERROR(1/P702-1,B701)</f>
        <v/>
      </c>
      <c r="C702" s="240">
        <f>$C$3</f>
        <v/>
      </c>
      <c r="D702" s="240">
        <f>$D$3</f>
        <v/>
      </c>
      <c r="E702" s="240">
        <f>$E$3</f>
        <v/>
      </c>
      <c r="F702" s="241" t="n">
        <v>22.97</v>
      </c>
      <c r="G702" s="242" t="n">
        <v>0</v>
      </c>
      <c r="H702" s="241" t="n">
        <v>0</v>
      </c>
      <c r="I702" s="241" t="n">
        <v>5.17</v>
      </c>
      <c r="J702" s="241" t="n">
        <v>-73.98</v>
      </c>
      <c r="K702" s="241" t="n">
        <v>12.6</v>
      </c>
      <c r="L702" s="242" t="n">
        <v>1031300</v>
      </c>
      <c r="M702" s="241" t="n">
        <v>-2.72</v>
      </c>
      <c r="N702" s="241" t="n">
        <v>-25.05</v>
      </c>
      <c r="O702" s="241" t="n">
        <v>-78.06999999999999</v>
      </c>
      <c r="P702" s="241" t="n">
        <v>1.82</v>
      </c>
    </row>
    <row r="703">
      <c r="A703" s="282" t="inlineStr">
        <is>
          <t>2008-11-21</t>
        </is>
      </c>
      <c r="B703" s="240">
        <f>IFERROR(1/P703-1,B702)</f>
        <v/>
      </c>
      <c r="C703" s="240">
        <f>$C$3</f>
        <v/>
      </c>
      <c r="D703" s="240">
        <f>$D$3</f>
        <v/>
      </c>
      <c r="E703" s="240">
        <f>$E$3</f>
        <v/>
      </c>
      <c r="F703" s="241" t="n">
        <v>22.97</v>
      </c>
      <c r="G703" s="242" t="n">
        <v>0</v>
      </c>
      <c r="H703" s="241" t="n">
        <v>0</v>
      </c>
      <c r="I703" s="241" t="n">
        <v>1.37</v>
      </c>
      <c r="J703" s="241" t="n">
        <v>-73.98</v>
      </c>
      <c r="K703" s="241" t="n">
        <v>13.52</v>
      </c>
      <c r="L703" s="242" t="n">
        <v>1274923</v>
      </c>
      <c r="M703" s="241" t="n">
        <v>7.27</v>
      </c>
      <c r="N703" s="241" t="n">
        <v>-19.35</v>
      </c>
      <c r="O703" s="241" t="n">
        <v>-76.48</v>
      </c>
      <c r="P703" s="241" t="n">
        <v>1.7</v>
      </c>
    </row>
    <row r="704">
      <c r="A704" s="282" t="inlineStr">
        <is>
          <t>2008-11-24</t>
        </is>
      </c>
      <c r="B704" s="240">
        <f>IFERROR(1/P704-1,B703)</f>
        <v/>
      </c>
      <c r="C704" s="240">
        <f>$C$3</f>
        <v/>
      </c>
      <c r="D704" s="240">
        <f>$D$3</f>
        <v/>
      </c>
      <c r="E704" s="240">
        <f>$E$3</f>
        <v/>
      </c>
      <c r="F704" s="241" t="n">
        <v>22.97</v>
      </c>
      <c r="G704" s="242" t="n">
        <v>0</v>
      </c>
      <c r="H704" s="241" t="n">
        <v>0</v>
      </c>
      <c r="I704" s="241" t="n">
        <v>7.29</v>
      </c>
      <c r="J704" s="241" t="n">
        <v>-73.98</v>
      </c>
      <c r="K704" s="241" t="n">
        <v>13.16</v>
      </c>
      <c r="L704" s="242" t="n">
        <v>3094575</v>
      </c>
      <c r="M704" s="241" t="n">
        <v>-2.61</v>
      </c>
      <c r="N704" s="241" t="n">
        <v>-21.04</v>
      </c>
      <c r="O704" s="241" t="n">
        <v>-77.09</v>
      </c>
      <c r="P704" s="241" t="n">
        <v>1.74</v>
      </c>
    </row>
    <row r="705">
      <c r="A705" s="282" t="inlineStr">
        <is>
          <t>2008-11-25</t>
        </is>
      </c>
      <c r="B705" s="240">
        <f>IFERROR(1/P705-1,B704)</f>
        <v/>
      </c>
      <c r="C705" s="240">
        <f>$C$3</f>
        <v/>
      </c>
      <c r="D705" s="240">
        <f>$D$3</f>
        <v/>
      </c>
      <c r="E705" s="240">
        <f>$E$3</f>
        <v/>
      </c>
      <c r="F705" s="241" t="n">
        <v>22.97</v>
      </c>
      <c r="G705" s="242" t="n">
        <v>0</v>
      </c>
      <c r="H705" s="241" t="n">
        <v>0</v>
      </c>
      <c r="I705" s="241" t="n">
        <v>9.33</v>
      </c>
      <c r="J705" s="241" t="n">
        <v>-73.98</v>
      </c>
      <c r="K705" s="241" t="n">
        <v>14.34</v>
      </c>
      <c r="L705" s="242" t="n">
        <v>2501537</v>
      </c>
      <c r="M705" s="241" t="n">
        <v>8.970000000000001</v>
      </c>
      <c r="N705" s="241" t="n">
        <v>-6.97</v>
      </c>
      <c r="O705" s="241" t="n">
        <v>-75.03</v>
      </c>
      <c r="P705" s="241" t="n">
        <v>1.6</v>
      </c>
    </row>
    <row r="706">
      <c r="A706" s="282" t="inlineStr">
        <is>
          <t>2008-11-26</t>
        </is>
      </c>
      <c r="B706" s="240">
        <f>IFERROR(1/P706-1,B705)</f>
        <v/>
      </c>
      <c r="C706" s="240">
        <f>$C$3</f>
        <v/>
      </c>
      <c r="D706" s="240">
        <f>$D$3</f>
        <v/>
      </c>
      <c r="E706" s="240">
        <f>$E$3</f>
        <v/>
      </c>
      <c r="F706" s="241" t="n">
        <v>21.44</v>
      </c>
      <c r="G706" s="242" t="n">
        <v>5277335</v>
      </c>
      <c r="H706" s="241" t="n">
        <v>-6.66</v>
      </c>
      <c r="I706" s="241" t="n">
        <v>2.05</v>
      </c>
      <c r="J706" s="241" t="n">
        <v>-75.70999999999999</v>
      </c>
      <c r="K706" s="241" t="n">
        <v>13.84</v>
      </c>
      <c r="L706" s="242" t="n">
        <v>1168400</v>
      </c>
      <c r="M706" s="241" t="n">
        <v>-3.44</v>
      </c>
      <c r="N706" s="241" t="n">
        <v>-10.17</v>
      </c>
      <c r="O706" s="241" t="n">
        <v>-75.89</v>
      </c>
      <c r="P706" s="241" t="n">
        <v>1.55</v>
      </c>
    </row>
    <row r="707">
      <c r="A707" s="282" t="inlineStr">
        <is>
          <t>2008-11-27</t>
        </is>
      </c>
      <c r="B707" s="240">
        <f>IFERROR(1/P707-1,B706)</f>
        <v/>
      </c>
      <c r="C707" s="240">
        <f>$C$3</f>
        <v/>
      </c>
      <c r="D707" s="240">
        <f>$D$3</f>
        <v/>
      </c>
      <c r="E707" s="240">
        <f>$E$3</f>
        <v/>
      </c>
      <c r="F707" s="241" t="n">
        <v>22.83</v>
      </c>
      <c r="G707" s="242" t="n">
        <v>9558710</v>
      </c>
      <c r="H707" s="241" t="n">
        <v>6.48</v>
      </c>
      <c r="I707" s="241" t="n">
        <v>8.66</v>
      </c>
      <c r="J707" s="241" t="n">
        <v>-74.14</v>
      </c>
      <c r="K707" s="241" t="n">
        <v>14.09</v>
      </c>
      <c r="L707" s="242" t="n">
        <v>1484541</v>
      </c>
      <c r="M707" s="241" t="n">
        <v>1.78</v>
      </c>
      <c r="N707" s="241" t="n">
        <v>-8.57</v>
      </c>
      <c r="O707" s="241" t="n">
        <v>-75.45999999999999</v>
      </c>
      <c r="P707" s="241" t="n">
        <v>1.62</v>
      </c>
    </row>
    <row r="708">
      <c r="A708" s="282" t="inlineStr">
        <is>
          <t>2008-11-28</t>
        </is>
      </c>
      <c r="B708" s="240">
        <f>IFERROR(1/P708-1,B707)</f>
        <v/>
      </c>
      <c r="C708" s="240">
        <f>$C$3</f>
        <v/>
      </c>
      <c r="D708" s="240">
        <f>$D$3</f>
        <v/>
      </c>
      <c r="E708" s="240">
        <f>$E$3</f>
        <v/>
      </c>
      <c r="F708" s="241" t="n">
        <v>25.1</v>
      </c>
      <c r="G708" s="242" t="n">
        <v>11231100</v>
      </c>
      <c r="H708" s="241" t="n">
        <v>9.94</v>
      </c>
      <c r="I708" s="241" t="n">
        <v>32.73</v>
      </c>
      <c r="J708" s="241" t="n">
        <v>-71.56999999999999</v>
      </c>
      <c r="K708" s="241" t="n">
        <v>15.22</v>
      </c>
      <c r="L708" s="242" t="n">
        <v>1070200</v>
      </c>
      <c r="M708" s="241" t="n">
        <v>7.88</v>
      </c>
      <c r="N708" s="241" t="n">
        <v>56.91</v>
      </c>
      <c r="O708" s="241" t="n">
        <v>-73.53</v>
      </c>
      <c r="P708" s="241" t="n">
        <v>1.65</v>
      </c>
    </row>
    <row r="709">
      <c r="A709" s="282" t="inlineStr">
        <is>
          <t>2008-12-01</t>
        </is>
      </c>
      <c r="B709" s="240">
        <f>IFERROR(1/P709-1,B708)</f>
        <v/>
      </c>
      <c r="C709" s="240">
        <f>$C$3</f>
        <v/>
      </c>
      <c r="D709" s="240">
        <f>$D$3</f>
        <v/>
      </c>
      <c r="E709" s="240">
        <f>$E$3</f>
        <v/>
      </c>
      <c r="F709" s="241" t="n">
        <v>26.19</v>
      </c>
      <c r="G709" s="242" t="n">
        <v>9360232</v>
      </c>
      <c r="H709" s="241" t="n">
        <v>4.34</v>
      </c>
      <c r="I709" s="241" t="n">
        <v>55.62</v>
      </c>
      <c r="J709" s="241" t="n">
        <v>-70.33</v>
      </c>
      <c r="K709" s="241" t="n">
        <v>15.2</v>
      </c>
      <c r="L709" s="242" t="n">
        <v>2011200</v>
      </c>
      <c r="M709" s="241" t="n">
        <v>-0.35</v>
      </c>
      <c r="N709" s="241" t="n">
        <v>16.85</v>
      </c>
      <c r="O709" s="241" t="n">
        <v>-73.62</v>
      </c>
      <c r="P709" s="241" t="n">
        <v>1.72</v>
      </c>
    </row>
    <row r="710">
      <c r="A710" s="282" t="inlineStr">
        <is>
          <t>2008-12-02</t>
        </is>
      </c>
      <c r="B710" s="240">
        <f>IFERROR(1/P710-1,B709)</f>
        <v/>
      </c>
      <c r="C710" s="240">
        <f>$C$3</f>
        <v/>
      </c>
      <c r="D710" s="240">
        <f>$D$3</f>
        <v/>
      </c>
      <c r="E710" s="240">
        <f>$E$3</f>
        <v/>
      </c>
      <c r="F710" s="241" t="n">
        <v>26.21</v>
      </c>
      <c r="G710" s="242" t="n">
        <v>11829063</v>
      </c>
      <c r="H710" s="241" t="n">
        <v>0.08</v>
      </c>
      <c r="I710" s="241" t="n">
        <v>55.73</v>
      </c>
      <c r="J710" s="241" t="n">
        <v>-70.31</v>
      </c>
      <c r="K710" s="241" t="n">
        <v>13.86</v>
      </c>
      <c r="L710" s="242" t="n">
        <v>1030278</v>
      </c>
      <c r="M710" s="241" t="n">
        <v>-8.84</v>
      </c>
      <c r="N710" s="241" t="n">
        <v>6.52</v>
      </c>
      <c r="O710" s="241" t="n">
        <v>-75.95</v>
      </c>
      <c r="P710" s="241" t="n">
        <v>1.89</v>
      </c>
    </row>
    <row r="711">
      <c r="A711" s="282" t="inlineStr">
        <is>
          <t>2008-12-03</t>
        </is>
      </c>
      <c r="B711" s="240">
        <f>IFERROR(1/P711-1,B710)</f>
        <v/>
      </c>
      <c r="C711" s="240">
        <f>$C$3</f>
        <v/>
      </c>
      <c r="D711" s="240">
        <f>$D$3</f>
        <v/>
      </c>
      <c r="E711" s="240">
        <f>$E$3</f>
        <v/>
      </c>
      <c r="F711" s="241" t="n">
        <v>26.92</v>
      </c>
      <c r="G711" s="242" t="n">
        <v>7577540</v>
      </c>
      <c r="H711" s="241" t="n">
        <v>2.71</v>
      </c>
      <c r="I711" s="241" t="n">
        <v>59.95</v>
      </c>
      <c r="J711" s="241" t="n">
        <v>-69.51000000000001</v>
      </c>
      <c r="K711" s="241" t="n">
        <v>14.44</v>
      </c>
      <c r="L711" s="242" t="n">
        <v>837903</v>
      </c>
      <c r="M711" s="241" t="n">
        <v>4.21</v>
      </c>
      <c r="N711" s="241" t="n">
        <v>11.01</v>
      </c>
      <c r="O711" s="241" t="n">
        <v>-74.94</v>
      </c>
      <c r="P711" s="241" t="n">
        <v>1.86</v>
      </c>
    </row>
    <row r="712">
      <c r="A712" s="282" t="inlineStr">
        <is>
          <t>2008-12-04</t>
        </is>
      </c>
      <c r="B712" s="240">
        <f>IFERROR(1/P712-1,B711)</f>
        <v/>
      </c>
      <c r="C712" s="240">
        <f>$C$3</f>
        <v/>
      </c>
      <c r="D712" s="240">
        <f>$D$3</f>
        <v/>
      </c>
      <c r="E712" s="240">
        <f>$E$3</f>
        <v/>
      </c>
      <c r="F712" s="241" t="n">
        <v>26.85</v>
      </c>
      <c r="G712" s="242" t="n">
        <v>10441204</v>
      </c>
      <c r="H712" s="241" t="n">
        <v>-0.26</v>
      </c>
      <c r="I712" s="241" t="n">
        <v>58.59</v>
      </c>
      <c r="J712" s="241" t="n">
        <v>-69.58</v>
      </c>
      <c r="K712" s="241" t="n">
        <v>14.58</v>
      </c>
      <c r="L712" s="242" t="n">
        <v>1411720</v>
      </c>
      <c r="M712" s="241" t="n">
        <v>0.98</v>
      </c>
      <c r="N712" s="241" t="n">
        <v>12.24</v>
      </c>
      <c r="O712" s="241" t="n">
        <v>-74.7</v>
      </c>
      <c r="P712" s="241" t="n">
        <v>1.84</v>
      </c>
    </row>
    <row r="713">
      <c r="A713" s="282" t="inlineStr">
        <is>
          <t>2008-12-05</t>
        </is>
      </c>
      <c r="B713" s="240">
        <f>IFERROR(1/P713-1,B712)</f>
        <v/>
      </c>
      <c r="C713" s="240">
        <f>$C$3</f>
        <v/>
      </c>
      <c r="D713" s="240">
        <f>$D$3</f>
        <v/>
      </c>
      <c r="E713" s="240">
        <f>$E$3</f>
        <v/>
      </c>
      <c r="F713" s="241" t="n">
        <v>26</v>
      </c>
      <c r="G713" s="242" t="n">
        <v>6551053</v>
      </c>
      <c r="H713" s="241" t="n">
        <v>-3.17</v>
      </c>
      <c r="I713" s="241" t="n">
        <v>51.25</v>
      </c>
      <c r="J713" s="241" t="n">
        <v>-70.55</v>
      </c>
      <c r="K713" s="241" t="n">
        <v>15.2</v>
      </c>
      <c r="L713" s="242" t="n">
        <v>1128167</v>
      </c>
      <c r="M713" s="241" t="n">
        <v>4.24</v>
      </c>
      <c r="N713" s="241" t="n">
        <v>14.97</v>
      </c>
      <c r="O713" s="241" t="n">
        <v>-73.62</v>
      </c>
      <c r="P713" s="241" t="n">
        <v>1.71</v>
      </c>
    </row>
    <row r="714">
      <c r="A714" s="282" t="inlineStr">
        <is>
          <t>2008-12-08</t>
        </is>
      </c>
      <c r="B714" s="240">
        <f>IFERROR(1/P714-1,B713)</f>
        <v/>
      </c>
      <c r="C714" s="240">
        <f>$C$3</f>
        <v/>
      </c>
      <c r="D714" s="240">
        <f>$D$3</f>
        <v/>
      </c>
      <c r="E714" s="240">
        <f>$E$3</f>
        <v/>
      </c>
      <c r="F714" s="241" t="n">
        <v>26.5</v>
      </c>
      <c r="G714" s="242" t="n">
        <v>7114975</v>
      </c>
      <c r="H714" s="241" t="n">
        <v>1.92</v>
      </c>
      <c r="I714" s="241" t="n">
        <v>50.91</v>
      </c>
      <c r="J714" s="241" t="n">
        <v>-69.98</v>
      </c>
      <c r="K714" s="241" t="n">
        <v>15.75</v>
      </c>
      <c r="L714" s="242" t="n">
        <v>1151475</v>
      </c>
      <c r="M714" s="241" t="n">
        <v>3.6</v>
      </c>
      <c r="N714" s="241" t="n">
        <v>28.2</v>
      </c>
      <c r="O714" s="241" t="n">
        <v>-72.67</v>
      </c>
      <c r="P714" s="241" t="n">
        <v>1.68</v>
      </c>
    </row>
    <row r="715">
      <c r="A715" s="282" t="inlineStr">
        <is>
          <t>2008-12-09</t>
        </is>
      </c>
      <c r="B715" s="240">
        <f>IFERROR(1/P715-1,B714)</f>
        <v/>
      </c>
      <c r="C715" s="240">
        <f>$C$3</f>
        <v/>
      </c>
      <c r="D715" s="240">
        <f>$D$3</f>
        <v/>
      </c>
      <c r="E715" s="240">
        <f>$E$3</f>
        <v/>
      </c>
      <c r="F715" s="241" t="n">
        <v>25.76</v>
      </c>
      <c r="G715" s="242" t="n">
        <v>5095328</v>
      </c>
      <c r="H715" s="241" t="n">
        <v>-2.79</v>
      </c>
      <c r="I715" s="241" t="n">
        <v>46.7</v>
      </c>
      <c r="J715" s="241" t="n">
        <v>-70.81999999999999</v>
      </c>
      <c r="K715" s="241" t="n">
        <v>16.06</v>
      </c>
      <c r="L715" s="242" t="n">
        <v>1536479</v>
      </c>
      <c r="M715" s="241" t="n">
        <v>2.02</v>
      </c>
      <c r="N715" s="241" t="n">
        <v>30.79</v>
      </c>
      <c r="O715" s="241" t="n">
        <v>-72.12</v>
      </c>
      <c r="P715" s="241" t="n">
        <v>1.6</v>
      </c>
    </row>
    <row r="716">
      <c r="A716" s="282" t="inlineStr">
        <is>
          <t>2008-12-10</t>
        </is>
      </c>
      <c r="B716" s="240">
        <f>IFERROR(1/P716-1,B715)</f>
        <v/>
      </c>
      <c r="C716" s="240">
        <f>$C$3</f>
        <v/>
      </c>
      <c r="D716" s="240">
        <f>$D$3</f>
        <v/>
      </c>
      <c r="E716" s="240">
        <f>$E$3</f>
        <v/>
      </c>
      <c r="F716" s="241" t="n">
        <v>28.34</v>
      </c>
      <c r="G716" s="242" t="n">
        <v>8251713</v>
      </c>
      <c r="H716" s="241" t="n">
        <v>10.02</v>
      </c>
      <c r="I716" s="241" t="n">
        <v>61.39</v>
      </c>
      <c r="J716" s="241" t="n">
        <v>-67.90000000000001</v>
      </c>
      <c r="K716" s="241" t="n">
        <v>16.84</v>
      </c>
      <c r="L716" s="242" t="n">
        <v>1507142</v>
      </c>
      <c r="M716" s="241" t="n">
        <v>4.84</v>
      </c>
      <c r="N716" s="241" t="n">
        <v>37.12</v>
      </c>
      <c r="O716" s="241" t="n">
        <v>-70.77</v>
      </c>
      <c r="P716" s="241" t="n">
        <v>1.68</v>
      </c>
    </row>
    <row r="717">
      <c r="A717" s="282" t="inlineStr">
        <is>
          <t>2008-12-11</t>
        </is>
      </c>
      <c r="B717" s="240">
        <f>IFERROR(1/P717-1,B716)</f>
        <v/>
      </c>
      <c r="C717" s="240">
        <f>$C$3</f>
        <v/>
      </c>
      <c r="D717" s="240">
        <f>$D$3</f>
        <v/>
      </c>
      <c r="E717" s="240">
        <f>$E$3</f>
        <v/>
      </c>
      <c r="F717" s="241" t="n">
        <v>28.42</v>
      </c>
      <c r="G717" s="242" t="n">
        <v>7553027</v>
      </c>
      <c r="H717" s="241" t="n">
        <v>0.28</v>
      </c>
      <c r="I717" s="241" t="n">
        <v>51.01</v>
      </c>
      <c r="J717" s="241" t="n">
        <v>-67.81</v>
      </c>
      <c r="K717" s="241" t="n">
        <v>17.62</v>
      </c>
      <c r="L717" s="242" t="n">
        <v>2083723</v>
      </c>
      <c r="M717" s="241" t="n">
        <v>4.62</v>
      </c>
      <c r="N717" s="241" t="n">
        <v>26.84</v>
      </c>
      <c r="O717" s="241" t="n">
        <v>-69.42</v>
      </c>
      <c r="P717" s="241" t="n">
        <v>1.61</v>
      </c>
    </row>
    <row r="718">
      <c r="A718" s="282" t="inlineStr">
        <is>
          <t>2008-12-12</t>
        </is>
      </c>
      <c r="B718" s="240">
        <f>IFERROR(1/P718-1,B717)</f>
        <v/>
      </c>
      <c r="C718" s="240">
        <f>$C$3</f>
        <v/>
      </c>
      <c r="D718" s="240">
        <f>$D$3</f>
        <v/>
      </c>
      <c r="E718" s="240">
        <f>$E$3</f>
        <v/>
      </c>
      <c r="F718" s="241" t="n">
        <v>29.05</v>
      </c>
      <c r="G718" s="242" t="n">
        <v>9407096</v>
      </c>
      <c r="H718" s="241" t="n">
        <v>2.22</v>
      </c>
      <c r="I718" s="241" t="n">
        <v>54.28</v>
      </c>
      <c r="J718" s="241" t="n">
        <v>-67.09</v>
      </c>
      <c r="K718" s="241" t="n">
        <v>16.25</v>
      </c>
      <c r="L718" s="242" t="n">
        <v>944729</v>
      </c>
      <c r="M718" s="241" t="n">
        <v>-7.72</v>
      </c>
      <c r="N718" s="241" t="n">
        <v>18.71</v>
      </c>
      <c r="O718" s="241" t="n">
        <v>-71.78</v>
      </c>
      <c r="P718" s="241" t="n">
        <v>1.79</v>
      </c>
    </row>
    <row r="719">
      <c r="A719" s="282" t="inlineStr">
        <is>
          <t>2008-12-15</t>
        </is>
      </c>
      <c r="B719" s="240">
        <f>IFERROR(1/P719-1,B718)</f>
        <v/>
      </c>
      <c r="C719" s="240">
        <f>$C$3</f>
        <v/>
      </c>
      <c r="D719" s="240">
        <f>$D$3</f>
        <v/>
      </c>
      <c r="E719" s="240">
        <f>$E$3</f>
        <v/>
      </c>
      <c r="F719" s="241" t="n">
        <v>28.56</v>
      </c>
      <c r="G719" s="242" t="n">
        <v>7005591</v>
      </c>
      <c r="H719" s="241" t="n">
        <v>-1.69</v>
      </c>
      <c r="I719" s="241" t="n">
        <v>26.65</v>
      </c>
      <c r="J719" s="241" t="n">
        <v>-67.65000000000001</v>
      </c>
      <c r="K719" s="241" t="n">
        <v>16.25</v>
      </c>
      <c r="L719" s="242" t="n">
        <v>1178521</v>
      </c>
      <c r="M719" s="241" t="n">
        <v>0</v>
      </c>
      <c r="N719" s="241" t="n">
        <v>16.6</v>
      </c>
      <c r="O719" s="241" t="n">
        <v>-71.78</v>
      </c>
      <c r="P719" s="241" t="n">
        <v>1.76</v>
      </c>
    </row>
    <row r="720">
      <c r="A720" s="282" t="inlineStr">
        <is>
          <t>2008-12-16</t>
        </is>
      </c>
      <c r="B720" s="240">
        <f>IFERROR(1/P720-1,B719)</f>
        <v/>
      </c>
      <c r="C720" s="240">
        <f>$C$3</f>
        <v/>
      </c>
      <c r="D720" s="240">
        <f>$D$3</f>
        <v/>
      </c>
      <c r="E720" s="240">
        <f>$E$3</f>
        <v/>
      </c>
      <c r="F720" s="241" t="n">
        <v>28.41</v>
      </c>
      <c r="G720" s="242" t="n">
        <v>3450711</v>
      </c>
      <c r="H720" s="241" t="n">
        <v>-0.53</v>
      </c>
      <c r="I720" s="241" t="n">
        <v>25.99</v>
      </c>
      <c r="J720" s="241" t="n">
        <v>-67.81999999999999</v>
      </c>
      <c r="K720" s="241" t="n">
        <v>16.26</v>
      </c>
      <c r="L720" s="242" t="n">
        <v>630153</v>
      </c>
      <c r="M720" s="241" t="n">
        <v>0.11</v>
      </c>
      <c r="N720" s="241" t="n">
        <v>16.73</v>
      </c>
      <c r="O720" s="241" t="n">
        <v>-71.75</v>
      </c>
      <c r="P720" s="241" t="n">
        <v>1.75</v>
      </c>
    </row>
    <row r="721">
      <c r="A721" s="282" t="inlineStr">
        <is>
          <t>2008-12-17</t>
        </is>
      </c>
      <c r="B721" s="240">
        <f>IFERROR(1/P721-1,B720)</f>
        <v/>
      </c>
      <c r="C721" s="240">
        <f>$C$3</f>
        <v/>
      </c>
      <c r="D721" s="240">
        <f>$D$3</f>
        <v/>
      </c>
      <c r="E721" s="240">
        <f>$E$3</f>
        <v/>
      </c>
      <c r="F721" s="241" t="n">
        <v>29</v>
      </c>
      <c r="G721" s="242" t="n">
        <v>5029921</v>
      </c>
      <c r="H721" s="241" t="n">
        <v>2.08</v>
      </c>
      <c r="I721" s="241" t="n">
        <v>28.6</v>
      </c>
      <c r="J721" s="241" t="n">
        <v>-67.15000000000001</v>
      </c>
      <c r="K721" s="241" t="n">
        <v>17.29</v>
      </c>
      <c r="L721" s="242" t="n">
        <v>1229956</v>
      </c>
      <c r="M721" s="241" t="n">
        <v>6.41</v>
      </c>
      <c r="N721" s="241" t="n">
        <v>24.21</v>
      </c>
      <c r="O721" s="241" t="n">
        <v>-69.94</v>
      </c>
      <c r="P721" s="241" t="n">
        <v>1.68</v>
      </c>
    </row>
    <row r="722">
      <c r="A722" s="282" t="inlineStr">
        <is>
          <t>2008-12-18</t>
        </is>
      </c>
      <c r="B722" s="240">
        <f>IFERROR(1/P722-1,B721)</f>
        <v/>
      </c>
      <c r="C722" s="240">
        <f>$C$3</f>
        <v/>
      </c>
      <c r="D722" s="240">
        <f>$D$3</f>
        <v/>
      </c>
      <c r="E722" s="240">
        <f>$E$3</f>
        <v/>
      </c>
      <c r="F722" s="241" t="n">
        <v>29.19</v>
      </c>
      <c r="G722" s="242" t="n">
        <v>2486556</v>
      </c>
      <c r="H722" s="241" t="n">
        <v>0.66</v>
      </c>
      <c r="I722" s="241" t="n">
        <v>18.23</v>
      </c>
      <c r="J722" s="241" t="n">
        <v>-66.93000000000001</v>
      </c>
      <c r="K722" s="241" t="n">
        <v>16.57</v>
      </c>
      <c r="L722" s="242" t="n">
        <v>1311882</v>
      </c>
      <c r="M722" s="241" t="n">
        <v>-4.08</v>
      </c>
      <c r="N722" s="241" t="n">
        <v>22.08</v>
      </c>
      <c r="O722" s="241" t="n">
        <v>-71.17</v>
      </c>
      <c r="P722" s="241" t="n">
        <v>1.76</v>
      </c>
    </row>
    <row r="723">
      <c r="A723" s="282" t="inlineStr">
        <is>
          <t>2008-12-19</t>
        </is>
      </c>
      <c r="B723" s="240">
        <f>IFERROR(1/P723-1,B722)</f>
        <v/>
      </c>
      <c r="C723" s="240">
        <f>$C$3</f>
        <v/>
      </c>
      <c r="D723" s="240">
        <f>$D$3</f>
        <v/>
      </c>
      <c r="E723" s="240">
        <f>$E$3</f>
        <v/>
      </c>
      <c r="F723" s="241" t="n">
        <v>29.05</v>
      </c>
      <c r="G723" s="242" t="n">
        <v>3607049</v>
      </c>
      <c r="H723" s="241" t="n">
        <v>-0.48</v>
      </c>
      <c r="I723" s="241" t="n">
        <v>30.74</v>
      </c>
      <c r="J723" s="241" t="n">
        <v>-67.09</v>
      </c>
      <c r="K723" s="241" t="n">
        <v>15.79</v>
      </c>
      <c r="L723" s="242" t="n">
        <v>2452565</v>
      </c>
      <c r="M723" s="241" t="n">
        <v>-4.79</v>
      </c>
      <c r="N723" s="241" t="n">
        <v>26.59</v>
      </c>
      <c r="O723" s="241" t="n">
        <v>-72.55</v>
      </c>
      <c r="P723" s="241" t="n">
        <v>1.84</v>
      </c>
    </row>
    <row r="724">
      <c r="A724" s="282" t="inlineStr">
        <is>
          <t>2008-12-22</t>
        </is>
      </c>
      <c r="B724" s="240">
        <f>IFERROR(1/P724-1,B723)</f>
        <v/>
      </c>
      <c r="C724" s="240">
        <f>$C$3</f>
        <v/>
      </c>
      <c r="D724" s="240">
        <f>$D$3</f>
        <v/>
      </c>
      <c r="E724" s="240">
        <f>$E$3</f>
        <v/>
      </c>
      <c r="F724" s="241" t="n">
        <v>28.5</v>
      </c>
      <c r="G724" s="242" t="n">
        <v>3000934</v>
      </c>
      <c r="H724" s="241" t="n">
        <v>-1.89</v>
      </c>
      <c r="I724" s="241" t="n">
        <v>24.07</v>
      </c>
      <c r="J724" s="241" t="n">
        <v>-67.72</v>
      </c>
      <c r="K724" s="241" t="n">
        <v>16.11</v>
      </c>
      <c r="L724" s="242" t="n">
        <v>905892</v>
      </c>
      <c r="M724" s="241" t="n">
        <v>2.01</v>
      </c>
      <c r="N724" s="241" t="n">
        <v>19.04</v>
      </c>
      <c r="O724" s="241" t="n">
        <v>-72</v>
      </c>
      <c r="P724" s="241" t="n">
        <v>1.77</v>
      </c>
    </row>
    <row r="725">
      <c r="A725" s="282" t="inlineStr">
        <is>
          <t>2008-12-23</t>
        </is>
      </c>
      <c r="B725" s="240">
        <f>IFERROR(1/P725-1,B724)</f>
        <v/>
      </c>
      <c r="C725" s="240">
        <f>$C$3</f>
        <v/>
      </c>
      <c r="D725" s="240">
        <f>$D$3</f>
        <v/>
      </c>
      <c r="E725" s="240">
        <f>$E$3</f>
        <v/>
      </c>
      <c r="F725" s="241" t="n">
        <v>26.62</v>
      </c>
      <c r="G725" s="242" t="n">
        <v>5412456</v>
      </c>
      <c r="H725" s="241" t="n">
        <v>-6.6</v>
      </c>
      <c r="I725" s="241" t="n">
        <v>15.89</v>
      </c>
      <c r="J725" s="241" t="n">
        <v>-69.84999999999999</v>
      </c>
      <c r="K725" s="241" t="n">
        <v>15.35</v>
      </c>
      <c r="L725" s="242" t="n">
        <v>980474</v>
      </c>
      <c r="M725" s="241" t="n">
        <v>-4.71</v>
      </c>
      <c r="N725" s="241" t="n">
        <v>13.43</v>
      </c>
      <c r="O725" s="241" t="n">
        <v>-73.31999999999999</v>
      </c>
      <c r="P725" s="241" t="n">
        <v>1.73</v>
      </c>
    </row>
    <row r="726">
      <c r="A726" s="282" t="inlineStr">
        <is>
          <t>2008-12-24</t>
        </is>
      </c>
      <c r="B726" s="240">
        <f>IFERROR(1/P726-1,B725)</f>
        <v/>
      </c>
      <c r="C726" s="240">
        <f>$C$3</f>
        <v/>
      </c>
      <c r="D726" s="240">
        <f>$D$3</f>
        <v/>
      </c>
      <c r="E726" s="240">
        <f>$E$3</f>
        <v/>
      </c>
      <c r="F726" s="241" t="n">
        <v>26.77</v>
      </c>
      <c r="G726" s="242" t="n">
        <v>2793007</v>
      </c>
      <c r="H726" s="241" t="n">
        <v>0.5600000000000001</v>
      </c>
      <c r="I726" s="241" t="n">
        <v>16.54</v>
      </c>
      <c r="J726" s="241" t="n">
        <v>-69.68000000000001</v>
      </c>
      <c r="K726" s="241" t="n">
        <v>14.7</v>
      </c>
      <c r="L726" s="242" t="n">
        <v>769444</v>
      </c>
      <c r="M726" s="241" t="n">
        <v>-4.25</v>
      </c>
      <c r="N726" s="241" t="n">
        <v>8.609999999999999</v>
      </c>
      <c r="O726" s="241" t="n">
        <v>-74.45</v>
      </c>
      <c r="P726" s="241" t="n">
        <v>1.82</v>
      </c>
    </row>
    <row r="727">
      <c r="A727" s="282" t="inlineStr">
        <is>
          <t>2008-12-25</t>
        </is>
      </c>
      <c r="B727" s="240">
        <f>IFERROR(1/P727-1,B726)</f>
        <v/>
      </c>
      <c r="C727" s="240">
        <f>$C$3</f>
        <v/>
      </c>
      <c r="D727" s="240">
        <f>$D$3</f>
        <v/>
      </c>
      <c r="E727" s="240">
        <f>$E$3</f>
        <v/>
      </c>
      <c r="F727" s="241" t="n">
        <v>26.99</v>
      </c>
      <c r="G727" s="242" t="n">
        <v>2867077</v>
      </c>
      <c r="H727" s="241" t="n">
        <v>0.82</v>
      </c>
      <c r="I727" s="241" t="n">
        <v>17.5</v>
      </c>
      <c r="J727" s="241" t="n">
        <v>-69.43000000000001</v>
      </c>
      <c r="K727" s="239" t="inlineStr">
        <is>
          <t>--</t>
        </is>
      </c>
      <c r="L727" s="239" t="inlineStr">
        <is>
          <t>--</t>
        </is>
      </c>
      <c r="M727" s="239" t="inlineStr">
        <is>
          <t>--</t>
        </is>
      </c>
      <c r="N727" s="239" t="inlineStr">
        <is>
          <t>--</t>
        </is>
      </c>
      <c r="O727" s="239" t="inlineStr">
        <is>
          <t>--</t>
        </is>
      </c>
      <c r="P727" s="239" t="inlineStr">
        <is>
          <t>--</t>
        </is>
      </c>
    </row>
    <row r="728">
      <c r="A728" s="282" t="inlineStr">
        <is>
          <t>2008-12-26</t>
        </is>
      </c>
      <c r="B728" s="240">
        <f>IFERROR(1/P728-1,B727)</f>
        <v/>
      </c>
      <c r="C728" s="240">
        <f>$C$3</f>
        <v/>
      </c>
      <c r="D728" s="240">
        <f>$D$3</f>
        <v/>
      </c>
      <c r="E728" s="240">
        <f>$E$3</f>
        <v/>
      </c>
      <c r="F728" s="241" t="n">
        <v>27.67</v>
      </c>
      <c r="G728" s="242" t="n">
        <v>3297766</v>
      </c>
      <c r="H728" s="241" t="n">
        <v>2.52</v>
      </c>
      <c r="I728" s="241" t="n">
        <v>20.46</v>
      </c>
      <c r="J728" s="241" t="n">
        <v>-68.66</v>
      </c>
      <c r="K728" s="239" t="inlineStr">
        <is>
          <t>--</t>
        </is>
      </c>
      <c r="L728" s="239" t="inlineStr">
        <is>
          <t>--</t>
        </is>
      </c>
      <c r="M728" s="239" t="inlineStr">
        <is>
          <t>--</t>
        </is>
      </c>
      <c r="N728" s="239" t="inlineStr">
        <is>
          <t>--</t>
        </is>
      </c>
      <c r="O728" s="239" t="inlineStr">
        <is>
          <t>--</t>
        </is>
      </c>
      <c r="P728" s="239" t="inlineStr">
        <is>
          <t>--</t>
        </is>
      </c>
    </row>
    <row r="729">
      <c r="A729" s="282" t="inlineStr">
        <is>
          <t>2008-12-29</t>
        </is>
      </c>
      <c r="B729" s="240">
        <f>IFERROR(1/P729-1,B728)</f>
        <v/>
      </c>
      <c r="C729" s="240">
        <f>$C$3</f>
        <v/>
      </c>
      <c r="D729" s="240">
        <f>$D$3</f>
        <v/>
      </c>
      <c r="E729" s="240">
        <f>$E$3</f>
        <v/>
      </c>
      <c r="F729" s="241" t="n">
        <v>28.82</v>
      </c>
      <c r="G729" s="242" t="n">
        <v>3831547</v>
      </c>
      <c r="H729" s="241" t="n">
        <v>4.16</v>
      </c>
      <c r="I729" s="241" t="n">
        <v>14.82</v>
      </c>
      <c r="J729" s="241" t="n">
        <v>-67.34999999999999</v>
      </c>
      <c r="K729" s="241" t="n">
        <v>15.05</v>
      </c>
      <c r="L729" s="242" t="n">
        <v>759731</v>
      </c>
      <c r="M729" s="241" t="n">
        <v>2.4</v>
      </c>
      <c r="N729" s="241" t="n">
        <v>-1.16</v>
      </c>
      <c r="O729" s="241" t="n">
        <v>-73.84</v>
      </c>
      <c r="P729" s="241" t="n">
        <v>1.92</v>
      </c>
    </row>
    <row r="730">
      <c r="A730" s="282" t="inlineStr">
        <is>
          <t>2008-12-30</t>
        </is>
      </c>
      <c r="B730" s="240">
        <f>IFERROR(1/P730-1,B729)</f>
        <v/>
      </c>
      <c r="C730" s="240">
        <f>$C$3</f>
        <v/>
      </c>
      <c r="D730" s="240">
        <f>$D$3</f>
        <v/>
      </c>
      <c r="E730" s="240">
        <f>$E$3</f>
        <v/>
      </c>
      <c r="F730" s="241" t="n">
        <v>29.32</v>
      </c>
      <c r="G730" s="242" t="n">
        <v>4077047</v>
      </c>
      <c r="H730" s="241" t="n">
        <v>1.73</v>
      </c>
      <c r="I730" s="241" t="n">
        <v>16.81</v>
      </c>
      <c r="J730" s="241" t="n">
        <v>-66.79000000000001</v>
      </c>
      <c r="K730" s="241" t="n">
        <v>15.77</v>
      </c>
      <c r="L730" s="242" t="n">
        <v>1387362</v>
      </c>
      <c r="M730" s="241" t="n">
        <v>4.81</v>
      </c>
      <c r="N730" s="241" t="n">
        <v>3.59</v>
      </c>
      <c r="O730" s="241" t="n">
        <v>-72.58</v>
      </c>
      <c r="P730" s="241" t="n">
        <v>1.86</v>
      </c>
    </row>
    <row r="731">
      <c r="A731" s="282" t="inlineStr">
        <is>
          <t>2008-12-31</t>
        </is>
      </c>
      <c r="B731" s="240">
        <f>IFERROR(1/P731-1,B730)</f>
        <v/>
      </c>
      <c r="C731" s="240">
        <f>$C$3</f>
        <v/>
      </c>
      <c r="D731" s="240">
        <f>$D$3</f>
        <v/>
      </c>
      <c r="E731" s="240">
        <f>$E$3</f>
        <v/>
      </c>
      <c r="F731" s="241" t="n">
        <v>29.81</v>
      </c>
      <c r="G731" s="242" t="n">
        <v>4602664</v>
      </c>
      <c r="H731" s="241" t="n">
        <v>1.67</v>
      </c>
      <c r="I731" s="241" t="n">
        <v>18.76</v>
      </c>
      <c r="J731" s="241" t="n">
        <v>-66.23</v>
      </c>
      <c r="K731" s="241" t="n">
        <v>17.11</v>
      </c>
      <c r="L731" s="242" t="n">
        <v>2624599</v>
      </c>
      <c r="M731" s="241" t="n">
        <v>8.5</v>
      </c>
      <c r="N731" s="241" t="n">
        <v>12.4</v>
      </c>
      <c r="O731" s="241" t="n">
        <v>-70.25</v>
      </c>
      <c r="P731" s="241" t="n">
        <v>1.74</v>
      </c>
    </row>
    <row r="732">
      <c r="A732" s="282" t="inlineStr">
        <is>
          <t>2009-01-05</t>
        </is>
      </c>
      <c r="B732" s="240">
        <f>IFERROR(1/P732-1,B731)</f>
        <v/>
      </c>
      <c r="C732" s="240">
        <f>$C$3</f>
        <v/>
      </c>
      <c r="D732" s="240">
        <f>$D$3</f>
        <v/>
      </c>
      <c r="E732" s="240">
        <f>$E$3</f>
        <v/>
      </c>
      <c r="F732" s="241" t="n">
        <v>30.23</v>
      </c>
      <c r="G732" s="242" t="n">
        <v>4935894</v>
      </c>
      <c r="H732" s="241" t="n">
        <v>1.41</v>
      </c>
      <c r="I732" s="241" t="n">
        <v>12.59</v>
      </c>
      <c r="J732" s="241" t="n">
        <v>1.41</v>
      </c>
      <c r="K732" s="241" t="n">
        <v>17.38</v>
      </c>
      <c r="L732" s="242" t="n">
        <v>2481750</v>
      </c>
      <c r="M732" s="241" t="n">
        <v>-2.96</v>
      </c>
      <c r="N732" s="241" t="n">
        <v>19.39</v>
      </c>
      <c r="O732" s="241" t="n">
        <v>1.55</v>
      </c>
      <c r="P732" s="241" t="n">
        <v>1.74</v>
      </c>
    </row>
    <row r="733">
      <c r="A733" s="282" t="inlineStr">
        <is>
          <t>2009-01-06</t>
        </is>
      </c>
      <c r="B733" s="240">
        <f>IFERROR(1/P733-1,B732)</f>
        <v/>
      </c>
      <c r="C733" s="240">
        <f>$C$3</f>
        <v/>
      </c>
      <c r="D733" s="240">
        <f>$D$3</f>
        <v/>
      </c>
      <c r="E733" s="240">
        <f>$E$3</f>
        <v/>
      </c>
      <c r="F733" s="241" t="n">
        <v>30.46</v>
      </c>
      <c r="G733" s="242" t="n">
        <v>5821384</v>
      </c>
      <c r="H733" s="241" t="n">
        <v>0.76</v>
      </c>
      <c r="I733" s="241" t="n">
        <v>17.15</v>
      </c>
      <c r="J733" s="241" t="n">
        <v>2.18</v>
      </c>
      <c r="K733" s="241" t="n">
        <v>18.08</v>
      </c>
      <c r="L733" s="242" t="n">
        <v>2826198</v>
      </c>
      <c r="M733" s="241" t="n">
        <v>4.06</v>
      </c>
      <c r="N733" s="241" t="n">
        <v>19.19</v>
      </c>
      <c r="O733" s="241" t="n">
        <v>5.67</v>
      </c>
      <c r="P733" s="241" t="n">
        <v>1.68</v>
      </c>
    </row>
    <row r="734">
      <c r="A734" s="282" t="inlineStr">
        <is>
          <t>2009-01-07</t>
        </is>
      </c>
      <c r="B734" s="240">
        <f>IFERROR(1/P734-1,B733)</f>
        <v/>
      </c>
      <c r="C734" s="240">
        <f>$C$3</f>
        <v/>
      </c>
      <c r="D734" s="240">
        <f>$D$3</f>
        <v/>
      </c>
      <c r="E734" s="240">
        <f>$E$3</f>
        <v/>
      </c>
      <c r="F734" s="241" t="n">
        <v>31.09</v>
      </c>
      <c r="G734" s="242" t="n">
        <v>3801561</v>
      </c>
      <c r="H734" s="241" t="n">
        <v>2.07</v>
      </c>
      <c r="I734" s="241" t="n">
        <v>19.58</v>
      </c>
      <c r="J734" s="241" t="n">
        <v>4.29</v>
      </c>
      <c r="K734" s="241" t="n">
        <v>17.29</v>
      </c>
      <c r="L734" s="242" t="n">
        <v>2907798</v>
      </c>
      <c r="M734" s="241" t="n">
        <v>-4.39</v>
      </c>
      <c r="N734" s="241" t="n">
        <v>13.95</v>
      </c>
      <c r="O734" s="241" t="n">
        <v>1.03</v>
      </c>
      <c r="P734" s="241" t="n">
        <v>1.8</v>
      </c>
    </row>
    <row r="735">
      <c r="A735" s="282" t="inlineStr">
        <is>
          <t>2009-01-08</t>
        </is>
      </c>
      <c r="B735" s="240">
        <f>IFERROR(1/P735-1,B734)</f>
        <v/>
      </c>
      <c r="C735" s="240">
        <f>$C$3</f>
        <v/>
      </c>
      <c r="D735" s="240">
        <f>$D$3</f>
        <v/>
      </c>
      <c r="E735" s="240">
        <f>$E$3</f>
        <v/>
      </c>
      <c r="F735" s="241" t="n">
        <v>30.65</v>
      </c>
      <c r="G735" s="242" t="n">
        <v>3141412</v>
      </c>
      <c r="H735" s="241" t="n">
        <v>-1.42</v>
      </c>
      <c r="I735" s="241" t="n">
        <v>17.88</v>
      </c>
      <c r="J735" s="241" t="n">
        <v>2.82</v>
      </c>
      <c r="K735" s="241" t="n">
        <v>16.67</v>
      </c>
      <c r="L735" s="242" t="n">
        <v>3678440</v>
      </c>
      <c r="M735" s="241" t="n">
        <v>-3.57</v>
      </c>
      <c r="N735" s="241" t="n">
        <v>9.880000000000001</v>
      </c>
      <c r="O735" s="241" t="n">
        <v>-2.58</v>
      </c>
      <c r="P735" s="241" t="n">
        <v>1.84</v>
      </c>
    </row>
    <row r="736">
      <c r="A736" s="282" t="inlineStr">
        <is>
          <t>2009-01-09</t>
        </is>
      </c>
      <c r="B736" s="240">
        <f>IFERROR(1/P736-1,B735)</f>
        <v/>
      </c>
      <c r="C736" s="240">
        <f>$C$3</f>
        <v/>
      </c>
      <c r="D736" s="240">
        <f>$D$3</f>
        <v/>
      </c>
      <c r="E736" s="240">
        <f>$E$3</f>
        <v/>
      </c>
      <c r="F736" s="241" t="n">
        <v>30.26</v>
      </c>
      <c r="G736" s="242" t="n">
        <v>2954191</v>
      </c>
      <c r="H736" s="241" t="n">
        <v>-1.27</v>
      </c>
      <c r="I736" s="241" t="n">
        <v>14.19</v>
      </c>
      <c r="J736" s="241" t="n">
        <v>1.51</v>
      </c>
      <c r="K736" s="241" t="n">
        <v>16.66</v>
      </c>
      <c r="L736" s="242" t="n">
        <v>1113335</v>
      </c>
      <c r="M736" s="241" t="n">
        <v>0</v>
      </c>
      <c r="N736" s="241" t="n">
        <v>6.06</v>
      </c>
      <c r="O736" s="241" t="n">
        <v>-2.58</v>
      </c>
      <c r="P736" s="241" t="n">
        <v>1.82</v>
      </c>
    </row>
    <row r="737">
      <c r="A737" s="282" t="inlineStr">
        <is>
          <t>2009-01-12</t>
        </is>
      </c>
      <c r="B737" s="240">
        <f>IFERROR(1/P737-1,B736)</f>
        <v/>
      </c>
      <c r="C737" s="240">
        <f>$C$3</f>
        <v/>
      </c>
      <c r="D737" s="240">
        <f>$D$3</f>
        <v/>
      </c>
      <c r="E737" s="240">
        <f>$E$3</f>
        <v/>
      </c>
      <c r="F737" s="241" t="n">
        <v>29.45</v>
      </c>
      <c r="G737" s="242" t="n">
        <v>3252652</v>
      </c>
      <c r="H737" s="241" t="n">
        <v>-2.68</v>
      </c>
      <c r="I737" s="241" t="n">
        <v>3.62</v>
      </c>
      <c r="J737" s="241" t="n">
        <v>-1.21</v>
      </c>
      <c r="K737" s="241" t="n">
        <v>16.31</v>
      </c>
      <c r="L737" s="242" t="n">
        <v>922604</v>
      </c>
      <c r="M737" s="241" t="n">
        <v>-2.12</v>
      </c>
      <c r="N737" s="241" t="n">
        <v>-7.22</v>
      </c>
      <c r="O737" s="241" t="n">
        <v>-4.64</v>
      </c>
      <c r="P737" s="241" t="n">
        <v>1.81</v>
      </c>
    </row>
    <row r="738">
      <c r="A738" s="282" t="inlineStr">
        <is>
          <t>2009-01-13</t>
        </is>
      </c>
      <c r="B738" s="240">
        <f>IFERROR(1/P738-1,B737)</f>
        <v/>
      </c>
      <c r="C738" s="240">
        <f>$C$3</f>
        <v/>
      </c>
      <c r="D738" s="240">
        <f>$D$3</f>
        <v/>
      </c>
      <c r="E738" s="240">
        <f>$E$3</f>
        <v/>
      </c>
      <c r="F738" s="241" t="n">
        <v>29.3</v>
      </c>
      <c r="G738" s="242" t="n">
        <v>2084821</v>
      </c>
      <c r="H738" s="241" t="n">
        <v>-0.51</v>
      </c>
      <c r="I738" s="241" t="n">
        <v>0.86</v>
      </c>
      <c r="J738" s="241" t="n">
        <v>-1.71</v>
      </c>
      <c r="K738" s="241" t="n">
        <v>15.86</v>
      </c>
      <c r="L738" s="242" t="n">
        <v>1036820</v>
      </c>
      <c r="M738" s="241" t="n">
        <v>-2.81</v>
      </c>
      <c r="N738" s="241" t="n">
        <v>-2.28</v>
      </c>
      <c r="O738" s="241" t="n">
        <v>-7.32</v>
      </c>
      <c r="P738" s="241" t="n">
        <v>1.85</v>
      </c>
    </row>
    <row r="739">
      <c r="A739" s="282" t="inlineStr">
        <is>
          <t>2009-01-14</t>
        </is>
      </c>
      <c r="B739" s="240">
        <f>IFERROR(1/P739-1,B738)</f>
        <v/>
      </c>
      <c r="C739" s="240">
        <f>$C$3</f>
        <v/>
      </c>
      <c r="D739" s="240">
        <f>$D$3</f>
        <v/>
      </c>
      <c r="E739" s="240">
        <f>$E$3</f>
        <v/>
      </c>
      <c r="F739" s="241" t="n">
        <v>30.31</v>
      </c>
      <c r="G739" s="242" t="n">
        <v>6320302</v>
      </c>
      <c r="H739" s="241" t="n">
        <v>3.45</v>
      </c>
      <c r="I739" s="241" t="n">
        <v>4.34</v>
      </c>
      <c r="J739" s="241" t="n">
        <v>1.68</v>
      </c>
      <c r="K739" s="241" t="n">
        <v>15.84</v>
      </c>
      <c r="L739" s="242" t="n">
        <v>582163</v>
      </c>
      <c r="M739" s="241" t="n">
        <v>-0.11</v>
      </c>
      <c r="N739" s="241" t="n">
        <v>-2.39</v>
      </c>
      <c r="O739" s="241" t="n">
        <v>-7.42</v>
      </c>
      <c r="P739" s="241" t="n">
        <v>1.91</v>
      </c>
    </row>
    <row r="740">
      <c r="A740" s="282" t="inlineStr">
        <is>
          <t>2009-01-15</t>
        </is>
      </c>
      <c r="B740" s="240">
        <f>IFERROR(1/P740-1,B739)</f>
        <v/>
      </c>
      <c r="C740" s="240">
        <f>$C$3</f>
        <v/>
      </c>
      <c r="D740" s="240">
        <f>$D$3</f>
        <v/>
      </c>
      <c r="E740" s="240">
        <f>$E$3</f>
        <v/>
      </c>
      <c r="F740" s="241" t="n">
        <v>29.84</v>
      </c>
      <c r="G740" s="242" t="n">
        <v>4785643</v>
      </c>
      <c r="H740" s="241" t="n">
        <v>-1.55</v>
      </c>
      <c r="I740" s="241" t="n">
        <v>2.72</v>
      </c>
      <c r="J740" s="241" t="n">
        <v>0.1</v>
      </c>
      <c r="K740" s="241" t="n">
        <v>15.07</v>
      </c>
      <c r="L740" s="242" t="n">
        <v>1500601</v>
      </c>
      <c r="M740" s="241" t="n">
        <v>-4.79</v>
      </c>
      <c r="N740" s="241" t="n">
        <v>-7.07</v>
      </c>
      <c r="O740" s="241" t="n">
        <v>-11.86</v>
      </c>
      <c r="P740" s="241" t="n">
        <v>1.98</v>
      </c>
    </row>
    <row r="741">
      <c r="A741" s="282" t="inlineStr">
        <is>
          <t>2009-01-16</t>
        </is>
      </c>
      <c r="B741" s="240">
        <f>IFERROR(1/P741-1,B740)</f>
        <v/>
      </c>
      <c r="C741" s="240">
        <f>$C$3</f>
        <v/>
      </c>
      <c r="D741" s="240">
        <f>$D$3</f>
        <v/>
      </c>
      <c r="E741" s="240">
        <f>$E$3</f>
        <v/>
      </c>
      <c r="F741" s="241" t="n">
        <v>30.54</v>
      </c>
      <c r="G741" s="242" t="n">
        <v>5598407</v>
      </c>
      <c r="H741" s="241" t="n">
        <v>2.35</v>
      </c>
      <c r="I741" s="241" t="n">
        <v>6.93</v>
      </c>
      <c r="J741" s="241" t="n">
        <v>2.45</v>
      </c>
      <c r="K741" s="241" t="n">
        <v>14.82</v>
      </c>
      <c r="L741" s="242" t="n">
        <v>1426112</v>
      </c>
      <c r="M741" s="241" t="n">
        <v>-1.64</v>
      </c>
      <c r="N741" s="241" t="n">
        <v>-8.59</v>
      </c>
      <c r="O741" s="241" t="n">
        <v>-13.3</v>
      </c>
      <c r="P741" s="241" t="n">
        <v>2.06</v>
      </c>
    </row>
    <row r="742">
      <c r="A742" s="282" t="inlineStr">
        <is>
          <t>2009-01-19</t>
        </is>
      </c>
      <c r="B742" s="240">
        <f>IFERROR(1/P742-1,B741)</f>
        <v/>
      </c>
      <c r="C742" s="240">
        <f>$C$3</f>
        <v/>
      </c>
      <c r="D742" s="240">
        <f>$D$3</f>
        <v/>
      </c>
      <c r="E742" s="240">
        <f>$E$3</f>
        <v/>
      </c>
      <c r="F742" s="241" t="n">
        <v>31.18</v>
      </c>
      <c r="G742" s="242" t="n">
        <v>3532026</v>
      </c>
      <c r="H742" s="241" t="n">
        <v>2.1</v>
      </c>
      <c r="I742" s="241" t="n">
        <v>6.82</v>
      </c>
      <c r="J742" s="241" t="n">
        <v>4.6</v>
      </c>
      <c r="K742" s="241" t="n">
        <v>15.42</v>
      </c>
      <c r="L742" s="242" t="n">
        <v>839164</v>
      </c>
      <c r="M742" s="241" t="n">
        <v>4.04</v>
      </c>
      <c r="N742" s="241" t="n">
        <v>-6.91</v>
      </c>
      <c r="O742" s="241" t="n">
        <v>-9.789999999999999</v>
      </c>
      <c r="P742" s="241" t="n">
        <v>2.02</v>
      </c>
    </row>
    <row r="743">
      <c r="A743" s="282" t="inlineStr">
        <is>
          <t>2009-01-20</t>
        </is>
      </c>
      <c r="B743" s="240">
        <f>IFERROR(1/P743-1,B742)</f>
        <v/>
      </c>
      <c r="C743" s="240">
        <f>$C$3</f>
        <v/>
      </c>
      <c r="D743" s="240">
        <f>$D$3</f>
        <v/>
      </c>
      <c r="E743" s="240">
        <f>$E$3</f>
        <v/>
      </c>
      <c r="F743" s="241" t="n">
        <v>31.11</v>
      </c>
      <c r="G743" s="242" t="n">
        <v>2024592</v>
      </c>
      <c r="H743" s="241" t="n">
        <v>-0.22</v>
      </c>
      <c r="I743" s="241" t="n">
        <v>7.09</v>
      </c>
      <c r="J743" s="241" t="n">
        <v>4.36</v>
      </c>
      <c r="K743" s="241" t="n">
        <v>15.25</v>
      </c>
      <c r="L743" s="242" t="n">
        <v>284400</v>
      </c>
      <c r="M743" s="241" t="n">
        <v>-1.14</v>
      </c>
      <c r="N743" s="241" t="n">
        <v>-3.35</v>
      </c>
      <c r="O743" s="241" t="n">
        <v>-10.82</v>
      </c>
      <c r="P743" s="241" t="n">
        <v>2.04</v>
      </c>
    </row>
    <row r="744">
      <c r="A744" s="282" t="inlineStr">
        <is>
          <t>2009-01-21</t>
        </is>
      </c>
      <c r="B744" s="240">
        <f>IFERROR(1/P744-1,B743)</f>
        <v/>
      </c>
      <c r="C744" s="240">
        <f>$C$3</f>
        <v/>
      </c>
      <c r="D744" s="240">
        <f>$D$3</f>
        <v/>
      </c>
      <c r="E744" s="240">
        <f>$E$3</f>
        <v/>
      </c>
      <c r="F744" s="241" t="n">
        <v>30.6</v>
      </c>
      <c r="G744" s="242" t="n">
        <v>2518773</v>
      </c>
      <c r="H744" s="241" t="n">
        <v>-1.64</v>
      </c>
      <c r="I744" s="241" t="n">
        <v>5.34</v>
      </c>
      <c r="J744" s="241" t="n">
        <v>2.65</v>
      </c>
      <c r="K744" s="241" t="n">
        <v>15.16</v>
      </c>
      <c r="L744" s="242" t="n">
        <v>921945</v>
      </c>
      <c r="M744" s="241" t="n">
        <v>-0.58</v>
      </c>
      <c r="N744" s="241" t="n">
        <v>-3.91</v>
      </c>
      <c r="O744" s="241" t="n">
        <v>-11.34</v>
      </c>
      <c r="P744" s="241" t="n">
        <v>2.02</v>
      </c>
    </row>
    <row r="745">
      <c r="A745" s="282" t="inlineStr">
        <is>
          <t>2009-01-22</t>
        </is>
      </c>
      <c r="B745" s="240">
        <f>IFERROR(1/P745-1,B744)</f>
        <v/>
      </c>
      <c r="C745" s="240">
        <f>$C$3</f>
        <v/>
      </c>
      <c r="D745" s="240">
        <f>$D$3</f>
        <v/>
      </c>
      <c r="E745" s="240">
        <f>$E$3</f>
        <v/>
      </c>
      <c r="F745" s="241" t="n">
        <v>30.27</v>
      </c>
      <c r="G745" s="242" t="n">
        <v>2777524</v>
      </c>
      <c r="H745" s="241" t="n">
        <v>-1.08</v>
      </c>
      <c r="I745" s="241" t="n">
        <v>4.2</v>
      </c>
      <c r="J745" s="241" t="n">
        <v>1.54</v>
      </c>
      <c r="K745" s="241" t="n">
        <v>15.24</v>
      </c>
      <c r="L745" s="242" t="n">
        <v>657841</v>
      </c>
      <c r="M745" s="241" t="n">
        <v>0.58</v>
      </c>
      <c r="N745" s="241" t="n">
        <v>-3.35</v>
      </c>
      <c r="O745" s="241" t="n">
        <v>-10.82</v>
      </c>
      <c r="P745" s="241" t="n">
        <v>1.99</v>
      </c>
    </row>
    <row r="746">
      <c r="A746" s="282" t="inlineStr">
        <is>
          <t>2009-01-23</t>
        </is>
      </c>
      <c r="B746" s="240">
        <f>IFERROR(1/P746-1,B745)</f>
        <v/>
      </c>
      <c r="C746" s="240">
        <f>$C$3</f>
        <v/>
      </c>
      <c r="D746" s="240">
        <f>$D$3</f>
        <v/>
      </c>
      <c r="E746" s="240">
        <f>$E$3</f>
        <v/>
      </c>
      <c r="F746" s="241" t="n">
        <v>30.1</v>
      </c>
      <c r="G746" s="242" t="n">
        <v>2530964</v>
      </c>
      <c r="H746" s="241" t="n">
        <v>-0.5600000000000001</v>
      </c>
      <c r="I746" s="241" t="n">
        <v>5.61</v>
      </c>
      <c r="J746" s="241" t="n">
        <v>0.97</v>
      </c>
      <c r="K746" s="241" t="n">
        <v>14.31</v>
      </c>
      <c r="L746" s="242" t="n">
        <v>1150332</v>
      </c>
      <c r="M746" s="241" t="n">
        <v>-6.13</v>
      </c>
      <c r="N746" s="241" t="n">
        <v>-11.06</v>
      </c>
      <c r="O746" s="241" t="n">
        <v>-16.29</v>
      </c>
      <c r="P746" s="241" t="n">
        <v>2.1</v>
      </c>
    </row>
    <row r="747">
      <c r="A747" s="282" t="inlineStr">
        <is>
          <t>2009-02-02</t>
        </is>
      </c>
      <c r="B747" s="240">
        <f>IFERROR(1/P747-1,B746)</f>
        <v/>
      </c>
      <c r="C747" s="240">
        <f>$C$3</f>
        <v/>
      </c>
      <c r="D747" s="240">
        <f>$D$3</f>
        <v/>
      </c>
      <c r="E747" s="240">
        <f>$E$3</f>
        <v/>
      </c>
      <c r="F747" s="241" t="n">
        <v>31.19</v>
      </c>
      <c r="G747" s="242" t="n">
        <v>2584034</v>
      </c>
      <c r="H747" s="241" t="n">
        <v>3.62</v>
      </c>
      <c r="I747" s="241" t="n">
        <v>4.63</v>
      </c>
      <c r="J747" s="241" t="n">
        <v>4.63</v>
      </c>
      <c r="K747" s="241" t="n">
        <v>15.96</v>
      </c>
      <c r="L747" s="242" t="n">
        <v>543771</v>
      </c>
      <c r="M747" s="241" t="n">
        <v>3.78</v>
      </c>
      <c r="N747" s="241" t="n">
        <v>-6.7</v>
      </c>
      <c r="O747" s="241" t="n">
        <v>-6.7</v>
      </c>
      <c r="P747" s="241" t="n">
        <v>1.95</v>
      </c>
    </row>
    <row r="748">
      <c r="A748" s="282" t="inlineStr">
        <is>
          <t>2009-02-03</t>
        </is>
      </c>
      <c r="B748" s="240">
        <f>IFERROR(1/P748-1,B747)</f>
        <v/>
      </c>
      <c r="C748" s="240">
        <f>$C$3</f>
        <v/>
      </c>
      <c r="D748" s="240">
        <f>$D$3</f>
        <v/>
      </c>
      <c r="E748" s="240">
        <f>$E$3</f>
        <v/>
      </c>
      <c r="F748" s="241" t="n">
        <v>32.84</v>
      </c>
      <c r="G748" s="242" t="n">
        <v>2884340</v>
      </c>
      <c r="H748" s="241" t="n">
        <v>5.29</v>
      </c>
      <c r="I748" s="241" t="n">
        <v>10.16</v>
      </c>
      <c r="J748" s="241" t="n">
        <v>10.16</v>
      </c>
      <c r="K748" s="241" t="n">
        <v>15.86</v>
      </c>
      <c r="L748" s="242" t="n">
        <v>608116</v>
      </c>
      <c r="M748" s="241" t="n">
        <v>-0.66</v>
      </c>
      <c r="N748" s="241" t="n">
        <v>-11.43</v>
      </c>
      <c r="O748" s="241" t="n">
        <v>-7.32</v>
      </c>
      <c r="P748" s="241" t="n">
        <v>2.07</v>
      </c>
    </row>
    <row r="749">
      <c r="A749" s="282" t="inlineStr">
        <is>
          <t>2009-02-04</t>
        </is>
      </c>
      <c r="B749" s="240">
        <f>IFERROR(1/P749-1,B748)</f>
        <v/>
      </c>
      <c r="C749" s="240">
        <f>$C$3</f>
        <v/>
      </c>
      <c r="D749" s="240">
        <f>$D$3</f>
        <v/>
      </c>
      <c r="E749" s="240">
        <f>$E$3</f>
        <v/>
      </c>
      <c r="F749" s="241" t="n">
        <v>33.44</v>
      </c>
      <c r="G749" s="242" t="n">
        <v>4428641</v>
      </c>
      <c r="H749" s="241" t="n">
        <v>1.83</v>
      </c>
      <c r="I749" s="241" t="n">
        <v>12.18</v>
      </c>
      <c r="J749" s="241" t="n">
        <v>12.18</v>
      </c>
      <c r="K749" s="241" t="n">
        <v>15.78</v>
      </c>
      <c r="L749" s="242" t="n">
        <v>1606838</v>
      </c>
      <c r="M749" s="241" t="n">
        <v>-0.44</v>
      </c>
      <c r="N749" s="241" t="n">
        <v>-11.82</v>
      </c>
      <c r="O749" s="241" t="n">
        <v>-7.73</v>
      </c>
      <c r="P749" s="241" t="n">
        <v>2.12</v>
      </c>
    </row>
    <row r="750">
      <c r="A750" s="282" t="inlineStr">
        <is>
          <t>2009-02-05</t>
        </is>
      </c>
      <c r="B750" s="240">
        <f>IFERROR(1/P750-1,B749)</f>
        <v/>
      </c>
      <c r="C750" s="240">
        <f>$C$3</f>
        <v/>
      </c>
      <c r="D750" s="240">
        <f>$D$3</f>
        <v/>
      </c>
      <c r="E750" s="240">
        <f>$E$3</f>
        <v/>
      </c>
      <c r="F750" s="241" t="n">
        <v>32.26</v>
      </c>
      <c r="G750" s="242" t="n">
        <v>2757081</v>
      </c>
      <c r="H750" s="241" t="n">
        <v>-3.53</v>
      </c>
      <c r="I750" s="241" t="n">
        <v>8.220000000000001</v>
      </c>
      <c r="J750" s="241" t="n">
        <v>8.220000000000001</v>
      </c>
      <c r="K750" s="241" t="n">
        <v>16.04</v>
      </c>
      <c r="L750" s="242" t="n">
        <v>1279767</v>
      </c>
      <c r="M750" s="241" t="n">
        <v>1.68</v>
      </c>
      <c r="N750" s="241" t="n">
        <v>-10.34</v>
      </c>
      <c r="O750" s="241" t="n">
        <v>-6.19</v>
      </c>
      <c r="P750" s="241" t="n">
        <v>2.01</v>
      </c>
    </row>
    <row r="751">
      <c r="A751" s="282" t="inlineStr">
        <is>
          <t>2009-02-06</t>
        </is>
      </c>
      <c r="B751" s="240">
        <f>IFERROR(1/P751-1,B750)</f>
        <v/>
      </c>
      <c r="C751" s="240">
        <f>$C$3</f>
        <v/>
      </c>
      <c r="D751" s="240">
        <f>$D$3</f>
        <v/>
      </c>
      <c r="E751" s="240">
        <f>$E$3</f>
        <v/>
      </c>
      <c r="F751" s="241" t="n">
        <v>32.86</v>
      </c>
      <c r="G751" s="242" t="n">
        <v>3790709</v>
      </c>
      <c r="H751" s="241" t="n">
        <v>1.86</v>
      </c>
      <c r="I751" s="241" t="n">
        <v>8.699999999999999</v>
      </c>
      <c r="J751" s="241" t="n">
        <v>10.23</v>
      </c>
      <c r="K751" s="241" t="n">
        <v>16.14</v>
      </c>
      <c r="L751" s="242" t="n">
        <v>540627</v>
      </c>
      <c r="M751" s="241" t="n">
        <v>0.55</v>
      </c>
      <c r="N751" s="241" t="n">
        <v>-7.11</v>
      </c>
      <c r="O751" s="241" t="n">
        <v>-5.67</v>
      </c>
      <c r="P751" s="241" t="n">
        <v>2.04</v>
      </c>
    </row>
    <row r="752">
      <c r="A752" s="282" t="inlineStr">
        <is>
          <t>2009-02-09</t>
        </is>
      </c>
      <c r="B752" s="240">
        <f>IFERROR(1/P752-1,B751)</f>
        <v/>
      </c>
      <c r="C752" s="240">
        <f>$C$3</f>
        <v/>
      </c>
      <c r="D752" s="240">
        <f>$D$3</f>
        <v/>
      </c>
      <c r="E752" s="240">
        <f>$E$3</f>
        <v/>
      </c>
      <c r="F752" s="241" t="n">
        <v>33.83</v>
      </c>
      <c r="G752" s="242" t="n">
        <v>7964366</v>
      </c>
      <c r="H752" s="241" t="n">
        <v>2.95</v>
      </c>
      <c r="I752" s="241" t="n">
        <v>10.38</v>
      </c>
      <c r="J752" s="241" t="n">
        <v>13.49</v>
      </c>
      <c r="K752" s="241" t="n">
        <v>16.64</v>
      </c>
      <c r="L752" s="242" t="n">
        <v>702000</v>
      </c>
      <c r="M752" s="241" t="n">
        <v>3.17</v>
      </c>
      <c r="N752" s="241" t="n">
        <v>-0.11</v>
      </c>
      <c r="O752" s="241" t="n">
        <v>-2.68</v>
      </c>
      <c r="P752" s="241" t="n">
        <v>2.03</v>
      </c>
    </row>
    <row r="753">
      <c r="A753" s="282" t="inlineStr">
        <is>
          <t>2009-02-10</t>
        </is>
      </c>
      <c r="B753" s="240">
        <f>IFERROR(1/P753-1,B752)</f>
        <v/>
      </c>
      <c r="C753" s="240">
        <f>$C$3</f>
        <v/>
      </c>
      <c r="D753" s="240">
        <f>$D$3</f>
        <v/>
      </c>
      <c r="E753" s="240">
        <f>$E$3</f>
        <v/>
      </c>
      <c r="F753" s="241" t="n">
        <v>33.36</v>
      </c>
      <c r="G753" s="242" t="n">
        <v>5087760</v>
      </c>
      <c r="H753" s="241" t="n">
        <v>-1.39</v>
      </c>
      <c r="I753" s="241" t="n">
        <v>10.24</v>
      </c>
      <c r="J753" s="241" t="n">
        <v>11.91</v>
      </c>
      <c r="K753" s="241" t="n">
        <v>17.08</v>
      </c>
      <c r="L753" s="242" t="n">
        <v>422354</v>
      </c>
      <c r="M753" s="241" t="n">
        <v>2.65</v>
      </c>
      <c r="N753" s="241" t="n">
        <v>2.54</v>
      </c>
      <c r="O753" s="241" t="n">
        <v>-0.1</v>
      </c>
      <c r="P753" s="241" t="n">
        <v>1.95</v>
      </c>
    </row>
    <row r="754">
      <c r="A754" s="282" t="inlineStr">
        <is>
          <t>2009-02-11</t>
        </is>
      </c>
      <c r="B754" s="240">
        <f>IFERROR(1/P754-1,B753)</f>
        <v/>
      </c>
      <c r="C754" s="240">
        <f>$C$3</f>
        <v/>
      </c>
      <c r="D754" s="240">
        <f>$D$3</f>
        <v/>
      </c>
      <c r="E754" s="240">
        <f>$E$3</f>
        <v/>
      </c>
      <c r="F754" s="241" t="n">
        <v>33.36</v>
      </c>
      <c r="G754" s="242" t="n">
        <v>0</v>
      </c>
      <c r="H754" s="241" t="n">
        <v>0</v>
      </c>
      <c r="I754" s="241" t="n">
        <v>10.24</v>
      </c>
      <c r="J754" s="241" t="n">
        <v>11.91</v>
      </c>
      <c r="K754" s="241" t="n">
        <v>16.71</v>
      </c>
      <c r="L754" s="242" t="n">
        <v>385102</v>
      </c>
      <c r="M754" s="241" t="n">
        <v>-2.17</v>
      </c>
      <c r="N754" s="241" t="n">
        <v>0.32</v>
      </c>
      <c r="O754" s="241" t="n">
        <v>-2.27</v>
      </c>
      <c r="P754" s="241" t="n">
        <v>2</v>
      </c>
    </row>
    <row r="755">
      <c r="A755" s="282" t="inlineStr">
        <is>
          <t>2009-02-12</t>
        </is>
      </c>
      <c r="B755" s="240">
        <f>IFERROR(1/P755-1,B754)</f>
        <v/>
      </c>
      <c r="C755" s="240">
        <f>$C$3</f>
        <v/>
      </c>
      <c r="D755" s="240">
        <f>$D$3</f>
        <v/>
      </c>
      <c r="E755" s="240">
        <f>$E$3</f>
        <v/>
      </c>
      <c r="F755" s="241" t="n">
        <v>32.96</v>
      </c>
      <c r="G755" s="242" t="n">
        <v>2771617</v>
      </c>
      <c r="H755" s="241" t="n">
        <v>-1.2</v>
      </c>
      <c r="I755" s="241" t="n">
        <v>8.92</v>
      </c>
      <c r="J755" s="241" t="n">
        <v>10.57</v>
      </c>
      <c r="K755" s="241" t="n">
        <v>16.5</v>
      </c>
      <c r="L755" s="242" t="n">
        <v>603855</v>
      </c>
      <c r="M755" s="241" t="n">
        <v>-1.27</v>
      </c>
      <c r="N755" s="241" t="n">
        <v>-0.95</v>
      </c>
      <c r="O755" s="241" t="n">
        <v>-3.51</v>
      </c>
      <c r="P755" s="241" t="n">
        <v>2</v>
      </c>
    </row>
    <row r="756">
      <c r="A756" s="282" t="inlineStr">
        <is>
          <t>2009-02-13</t>
        </is>
      </c>
      <c r="B756" s="240">
        <f>IFERROR(1/P756-1,B755)</f>
        <v/>
      </c>
      <c r="C756" s="240">
        <f>$C$3</f>
        <v/>
      </c>
      <c r="D756" s="240">
        <f>$D$3</f>
        <v/>
      </c>
      <c r="E756" s="240">
        <f>$E$3</f>
        <v/>
      </c>
      <c r="F756" s="241" t="n">
        <v>34.31</v>
      </c>
      <c r="G756" s="242" t="n">
        <v>5863726</v>
      </c>
      <c r="H756" s="241" t="n">
        <v>4.1</v>
      </c>
      <c r="I756" s="241" t="n">
        <v>16.5</v>
      </c>
      <c r="J756" s="241" t="n">
        <v>15.1</v>
      </c>
      <c r="K756" s="241" t="n">
        <v>15.73</v>
      </c>
      <c r="L756" s="242" t="n">
        <v>1890388</v>
      </c>
      <c r="M756" s="241" t="n">
        <v>-4.7</v>
      </c>
      <c r="N756" s="241" t="n">
        <v>-3.57</v>
      </c>
      <c r="O756" s="241" t="n">
        <v>-8.039999999999999</v>
      </c>
      <c r="P756" s="241" t="n">
        <v>2.18</v>
      </c>
    </row>
    <row r="757">
      <c r="A757" s="282" t="inlineStr">
        <is>
          <t>2009-02-16</t>
        </is>
      </c>
      <c r="B757" s="240">
        <f>IFERROR(1/P757-1,B756)</f>
        <v/>
      </c>
      <c r="C757" s="240">
        <f>$C$3</f>
        <v/>
      </c>
      <c r="D757" s="240">
        <f>$D$3</f>
        <v/>
      </c>
      <c r="E757" s="240">
        <f>$E$3</f>
        <v/>
      </c>
      <c r="F757" s="241" t="n">
        <v>34.48</v>
      </c>
      <c r="G757" s="242" t="n">
        <v>5082925</v>
      </c>
      <c r="H757" s="241" t="n">
        <v>0.5</v>
      </c>
      <c r="I757" s="241" t="n">
        <v>15.55</v>
      </c>
      <c r="J757" s="241" t="n">
        <v>15.67</v>
      </c>
      <c r="K757" s="241" t="n">
        <v>15.25</v>
      </c>
      <c r="L757" s="242" t="n">
        <v>1560762</v>
      </c>
      <c r="M757" s="241" t="n">
        <v>-3.03</v>
      </c>
      <c r="N757" s="241" t="n">
        <v>1.17</v>
      </c>
      <c r="O757" s="241" t="n">
        <v>-10.82</v>
      </c>
      <c r="P757" s="241" t="n">
        <v>2.26</v>
      </c>
    </row>
    <row r="758">
      <c r="A758" s="282" t="inlineStr">
        <is>
          <t>2009-02-17</t>
        </is>
      </c>
      <c r="B758" s="240">
        <f>IFERROR(1/P758-1,B757)</f>
        <v/>
      </c>
      <c r="C758" s="240">
        <f>$C$3</f>
        <v/>
      </c>
      <c r="D758" s="240">
        <f>$D$3</f>
        <v/>
      </c>
      <c r="E758" s="240">
        <f>$E$3</f>
        <v/>
      </c>
      <c r="F758" s="241" t="n">
        <v>33.01</v>
      </c>
      <c r="G758" s="242" t="n">
        <v>5351313</v>
      </c>
      <c r="H758" s="241" t="n">
        <v>-4.26</v>
      </c>
      <c r="I758" s="241" t="n">
        <v>8.09</v>
      </c>
      <c r="J758" s="241" t="n">
        <v>10.73</v>
      </c>
      <c r="K758" s="241" t="n">
        <v>14.54</v>
      </c>
      <c r="L758" s="242" t="n">
        <v>1476200</v>
      </c>
      <c r="M758" s="241" t="n">
        <v>-4.62</v>
      </c>
      <c r="N758" s="241" t="n">
        <v>-1.9</v>
      </c>
      <c r="O758" s="241" t="n">
        <v>-14.95</v>
      </c>
      <c r="P758" s="241" t="n">
        <v>2.27</v>
      </c>
    </row>
    <row r="759">
      <c r="A759" s="282" t="inlineStr">
        <is>
          <t>2009-02-18</t>
        </is>
      </c>
      <c r="B759" s="240">
        <f>IFERROR(1/P759-1,B758)</f>
        <v/>
      </c>
      <c r="C759" s="240">
        <f>$C$3</f>
        <v/>
      </c>
      <c r="D759" s="240">
        <f>$D$3</f>
        <v/>
      </c>
      <c r="E759" s="240">
        <f>$E$3</f>
        <v/>
      </c>
      <c r="F759" s="241" t="n">
        <v>32.9</v>
      </c>
      <c r="G759" s="242" t="n">
        <v>4838595</v>
      </c>
      <c r="H759" s="241" t="n">
        <v>-0.33</v>
      </c>
      <c r="I759" s="241" t="n">
        <v>7.73</v>
      </c>
      <c r="J759" s="241" t="n">
        <v>10.37</v>
      </c>
      <c r="K759" s="241" t="n">
        <v>14.83</v>
      </c>
      <c r="L759" s="242" t="n">
        <v>1789803</v>
      </c>
      <c r="M759" s="241" t="n">
        <v>1.94</v>
      </c>
      <c r="N759" s="241" t="n">
        <v>0</v>
      </c>
      <c r="O759" s="241" t="n">
        <v>-13.3</v>
      </c>
      <c r="P759" s="241" t="n">
        <v>2.22</v>
      </c>
    </row>
    <row r="760">
      <c r="A760" s="282" t="inlineStr">
        <is>
          <t>2009-02-19</t>
        </is>
      </c>
      <c r="B760" s="240">
        <f>IFERROR(1/P760-1,B759)</f>
        <v/>
      </c>
      <c r="C760" s="240">
        <f>$C$3</f>
        <v/>
      </c>
      <c r="D760" s="240">
        <f>$D$3</f>
        <v/>
      </c>
      <c r="E760" s="240">
        <f>$E$3</f>
        <v/>
      </c>
      <c r="F760" s="241" t="n">
        <v>36.19</v>
      </c>
      <c r="G760" s="242" t="n">
        <v>13799487</v>
      </c>
      <c r="H760" s="241" t="n">
        <v>10</v>
      </c>
      <c r="I760" s="241" t="n">
        <v>18.5</v>
      </c>
      <c r="J760" s="241" t="n">
        <v>21.4</v>
      </c>
      <c r="K760" s="241" t="n">
        <v>15.52</v>
      </c>
      <c r="L760" s="242" t="n">
        <v>1595300</v>
      </c>
      <c r="M760" s="241" t="n">
        <v>4.64</v>
      </c>
      <c r="N760" s="241" t="n">
        <v>4.64</v>
      </c>
      <c r="O760" s="241" t="n">
        <v>-9.279999999999999</v>
      </c>
      <c r="P760" s="241" t="n">
        <v>2.33</v>
      </c>
    </row>
    <row r="761">
      <c r="A761" s="282" t="inlineStr">
        <is>
          <t>2009-02-20</t>
        </is>
      </c>
      <c r="B761" s="240">
        <f>IFERROR(1/P761-1,B760)</f>
        <v/>
      </c>
      <c r="C761" s="240">
        <f>$C$3</f>
        <v/>
      </c>
      <c r="D761" s="240">
        <f>$D$3</f>
        <v/>
      </c>
      <c r="E761" s="240">
        <f>$E$3</f>
        <v/>
      </c>
      <c r="F761" s="241" t="n">
        <v>38.37</v>
      </c>
      <c r="G761" s="242" t="n">
        <v>7839819</v>
      </c>
      <c r="H761" s="241" t="n">
        <v>6.02</v>
      </c>
      <c r="I761" s="241" t="n">
        <v>23.06</v>
      </c>
      <c r="J761" s="241" t="n">
        <v>28.72</v>
      </c>
      <c r="K761" s="241" t="n">
        <v>15.36</v>
      </c>
      <c r="L761" s="242" t="n">
        <v>1451604</v>
      </c>
      <c r="M761" s="241" t="n">
        <v>-1.02</v>
      </c>
      <c r="N761" s="241" t="n">
        <v>-0.46</v>
      </c>
      <c r="O761" s="241" t="n">
        <v>-10.21</v>
      </c>
      <c r="P761" s="241" t="n">
        <v>2.5</v>
      </c>
    </row>
    <row r="762">
      <c r="A762" s="282" t="inlineStr">
        <is>
          <t>2009-02-23</t>
        </is>
      </c>
      <c r="B762" s="240">
        <f>IFERROR(1/P762-1,B761)</f>
        <v/>
      </c>
      <c r="C762" s="240">
        <f>$C$3</f>
        <v/>
      </c>
      <c r="D762" s="240">
        <f>$D$3</f>
        <v/>
      </c>
      <c r="E762" s="240">
        <f>$E$3</f>
        <v/>
      </c>
      <c r="F762" s="241" t="n">
        <v>38.6</v>
      </c>
      <c r="G762" s="242" t="n">
        <v>4806671</v>
      </c>
      <c r="H762" s="241" t="n">
        <v>0.6</v>
      </c>
      <c r="I762" s="241" t="n">
        <v>27.52</v>
      </c>
      <c r="J762" s="241" t="n">
        <v>29.49</v>
      </c>
      <c r="K762" s="241" t="n">
        <v>14.98</v>
      </c>
      <c r="L762" s="242" t="n">
        <v>1481956</v>
      </c>
      <c r="M762" s="241" t="n">
        <v>-2.41</v>
      </c>
      <c r="N762" s="241" t="n">
        <v>-1.73</v>
      </c>
      <c r="O762" s="241" t="n">
        <v>-12.37</v>
      </c>
      <c r="P762" s="241" t="n">
        <v>2.58</v>
      </c>
    </row>
    <row r="763">
      <c r="A763" s="282" t="inlineStr">
        <is>
          <t>2009-02-24</t>
        </is>
      </c>
      <c r="B763" s="240">
        <f>IFERROR(1/P763-1,B762)</f>
        <v/>
      </c>
      <c r="C763" s="240">
        <f>$C$3</f>
        <v/>
      </c>
      <c r="D763" s="240">
        <f>$D$3</f>
        <v/>
      </c>
      <c r="E763" s="240">
        <f>$E$3</f>
        <v/>
      </c>
      <c r="F763" s="241" t="n">
        <v>37.3</v>
      </c>
      <c r="G763" s="242" t="n">
        <v>9187196</v>
      </c>
      <c r="H763" s="241" t="n">
        <v>-3.37</v>
      </c>
      <c r="I763" s="241" t="n">
        <v>23.92</v>
      </c>
      <c r="J763" s="241" t="n">
        <v>25.13</v>
      </c>
      <c r="K763" s="241" t="n">
        <v>14.44</v>
      </c>
      <c r="L763" s="242" t="n">
        <v>1111734</v>
      </c>
      <c r="M763" s="241" t="n">
        <v>-3.65</v>
      </c>
      <c r="N763" s="241" t="n">
        <v>0.86</v>
      </c>
      <c r="O763" s="241" t="n">
        <v>-15.57</v>
      </c>
      <c r="P763" s="241" t="n">
        <v>2.58</v>
      </c>
    </row>
    <row r="764">
      <c r="A764" s="282" t="inlineStr">
        <is>
          <t>2009-02-25</t>
        </is>
      </c>
      <c r="B764" s="240">
        <f>IFERROR(1/P764-1,B763)</f>
        <v/>
      </c>
      <c r="C764" s="240">
        <f>$C$3</f>
        <v/>
      </c>
      <c r="D764" s="240">
        <f>$D$3</f>
        <v/>
      </c>
      <c r="E764" s="240">
        <f>$E$3</f>
        <v/>
      </c>
      <c r="F764" s="241" t="n">
        <v>35.86</v>
      </c>
      <c r="G764" s="242" t="n">
        <v>7941561</v>
      </c>
      <c r="H764" s="241" t="n">
        <v>-3.86</v>
      </c>
      <c r="I764" s="241" t="n">
        <v>19.14</v>
      </c>
      <c r="J764" s="241" t="n">
        <v>20.3</v>
      </c>
      <c r="K764" s="241" t="n">
        <v>13.49</v>
      </c>
      <c r="L764" s="242" t="n">
        <v>3096393</v>
      </c>
      <c r="M764" s="241" t="n">
        <v>-6.59</v>
      </c>
      <c r="N764" s="241" t="n">
        <v>-5.79</v>
      </c>
      <c r="O764" s="241" t="n">
        <v>-21.13</v>
      </c>
      <c r="P764" s="241" t="n">
        <v>2.66</v>
      </c>
    </row>
    <row r="765">
      <c r="A765" s="282" t="inlineStr">
        <is>
          <t>2009-02-26</t>
        </is>
      </c>
      <c r="B765" s="240">
        <f>IFERROR(1/P765-1,B764)</f>
        <v/>
      </c>
      <c r="C765" s="240">
        <f>$C$3</f>
        <v/>
      </c>
      <c r="D765" s="240">
        <f>$D$3</f>
        <v/>
      </c>
      <c r="E765" s="240">
        <f>$E$3</f>
        <v/>
      </c>
      <c r="F765" s="241" t="n">
        <v>32.27</v>
      </c>
      <c r="G765" s="242" t="n">
        <v>5914978</v>
      </c>
      <c r="H765" s="241" t="n">
        <v>-10.01</v>
      </c>
      <c r="I765" s="241" t="n">
        <v>7.21</v>
      </c>
      <c r="J765" s="241" t="n">
        <v>8.25</v>
      </c>
      <c r="K765" s="241" t="n">
        <v>12.26</v>
      </c>
      <c r="L765" s="242" t="n">
        <v>3349560</v>
      </c>
      <c r="M765" s="241" t="n">
        <v>-9.15</v>
      </c>
      <c r="N765" s="241" t="n">
        <v>-14.41</v>
      </c>
      <c r="O765" s="241" t="n">
        <v>-28.35</v>
      </c>
      <c r="P765" s="241" t="n">
        <v>2.63</v>
      </c>
    </row>
    <row r="766">
      <c r="A766" s="282" t="inlineStr">
        <is>
          <t>2009-02-27</t>
        </is>
      </c>
      <c r="B766" s="240">
        <f>IFERROR(1/P766-1,B765)</f>
        <v/>
      </c>
      <c r="C766" s="240">
        <f>$C$3</f>
        <v/>
      </c>
      <c r="D766" s="240">
        <f>$D$3</f>
        <v/>
      </c>
      <c r="E766" s="240">
        <f>$E$3</f>
        <v/>
      </c>
      <c r="F766" s="241" t="n">
        <v>31.34</v>
      </c>
      <c r="G766" s="242" t="n">
        <v>5721118</v>
      </c>
      <c r="H766" s="241" t="n">
        <v>-2.88</v>
      </c>
      <c r="I766" s="241" t="n">
        <v>4.12</v>
      </c>
      <c r="J766" s="241" t="n">
        <v>5.13</v>
      </c>
      <c r="K766" s="241" t="n">
        <v>12.52</v>
      </c>
      <c r="L766" s="242" t="n">
        <v>3304791</v>
      </c>
      <c r="M766" s="241" t="n">
        <v>2.16</v>
      </c>
      <c r="N766" s="241" t="n">
        <v>-12.56</v>
      </c>
      <c r="O766" s="241" t="n">
        <v>-26.8</v>
      </c>
      <c r="P766" s="241" t="n">
        <v>2.5</v>
      </c>
    </row>
    <row r="767">
      <c r="A767" s="282" t="inlineStr">
        <is>
          <t>2009-03-02</t>
        </is>
      </c>
      <c r="B767" s="240">
        <f>IFERROR(1/P767-1,B766)</f>
        <v/>
      </c>
      <c r="C767" s="240">
        <f>$C$3</f>
        <v/>
      </c>
      <c r="D767" s="240">
        <f>$D$3</f>
        <v/>
      </c>
      <c r="E767" s="240">
        <f>$E$3</f>
        <v/>
      </c>
      <c r="F767" s="241" t="n">
        <v>31.49</v>
      </c>
      <c r="G767" s="242" t="n">
        <v>3297335</v>
      </c>
      <c r="H767" s="241" t="n">
        <v>0.48</v>
      </c>
      <c r="I767" s="241" t="n">
        <v>4.62</v>
      </c>
      <c r="J767" s="241" t="n">
        <v>5.64</v>
      </c>
      <c r="K767" s="241" t="n">
        <v>11.64</v>
      </c>
      <c r="L767" s="242" t="n">
        <v>1715318</v>
      </c>
      <c r="M767" s="241" t="n">
        <v>-7.04</v>
      </c>
      <c r="N767" s="241" t="n">
        <v>-24.31</v>
      </c>
      <c r="O767" s="241" t="n">
        <v>-31.96</v>
      </c>
      <c r="P767" s="241" t="n">
        <v>2.71</v>
      </c>
    </row>
    <row r="768">
      <c r="A768" s="282" t="inlineStr">
        <is>
          <t>2009-03-03</t>
        </is>
      </c>
      <c r="B768" s="240">
        <f>IFERROR(1/P768-1,B767)</f>
        <v/>
      </c>
      <c r="C768" s="240">
        <f>$C$3</f>
        <v/>
      </c>
      <c r="D768" s="240">
        <f>$D$3</f>
        <v/>
      </c>
      <c r="E768" s="240">
        <f>$E$3</f>
        <v/>
      </c>
      <c r="F768" s="241" t="n">
        <v>31.77</v>
      </c>
      <c r="G768" s="242" t="n">
        <v>4189029</v>
      </c>
      <c r="H768" s="241" t="n">
        <v>0.89</v>
      </c>
      <c r="I768" s="241" t="n">
        <v>1.86</v>
      </c>
      <c r="J768" s="241" t="n">
        <v>6.58</v>
      </c>
      <c r="K768" s="241" t="n">
        <v>11.23</v>
      </c>
      <c r="L768" s="242" t="n">
        <v>2725760</v>
      </c>
      <c r="M768" s="241" t="n">
        <v>-3.48</v>
      </c>
      <c r="N768" s="241" t="n">
        <v>-29.61</v>
      </c>
      <c r="O768" s="241" t="n">
        <v>-34.33</v>
      </c>
      <c r="P768" s="241" t="n">
        <v>2.83</v>
      </c>
    </row>
    <row r="769">
      <c r="A769" s="282" t="inlineStr">
        <is>
          <t>2009-03-04</t>
        </is>
      </c>
      <c r="B769" s="240">
        <f>IFERROR(1/P769-1,B768)</f>
        <v/>
      </c>
      <c r="C769" s="240">
        <f>$C$3</f>
        <v/>
      </c>
      <c r="D769" s="240">
        <f>$D$3</f>
        <v/>
      </c>
      <c r="E769" s="240">
        <f>$E$3</f>
        <v/>
      </c>
      <c r="F769" s="241" t="n">
        <v>33.7</v>
      </c>
      <c r="G769" s="242" t="n">
        <v>5371848</v>
      </c>
      <c r="H769" s="241" t="n">
        <v>6.07</v>
      </c>
      <c r="I769" s="241" t="n">
        <v>2.62</v>
      </c>
      <c r="J769" s="241" t="n">
        <v>13.05</v>
      </c>
      <c r="K769" s="241" t="n">
        <v>13.14</v>
      </c>
      <c r="L769" s="242" t="n">
        <v>2026277</v>
      </c>
      <c r="M769" s="241" t="n">
        <v>16.95</v>
      </c>
      <c r="N769" s="241" t="n">
        <v>-17.13</v>
      </c>
      <c r="O769" s="241" t="n">
        <v>-23.2</v>
      </c>
      <c r="P769" s="241" t="n">
        <v>2.57</v>
      </c>
    </row>
    <row r="770">
      <c r="A770" s="282" t="inlineStr">
        <is>
          <t>2009-03-05</t>
        </is>
      </c>
      <c r="B770" s="240">
        <f>IFERROR(1/P770-1,B769)</f>
        <v/>
      </c>
      <c r="C770" s="240">
        <f>$C$3</f>
        <v/>
      </c>
      <c r="D770" s="240">
        <f>$D$3</f>
        <v/>
      </c>
      <c r="E770" s="240">
        <f>$E$3</f>
        <v/>
      </c>
      <c r="F770" s="241" t="n">
        <v>33.38</v>
      </c>
      <c r="G770" s="242" t="n">
        <v>4311375</v>
      </c>
      <c r="H770" s="241" t="n">
        <v>-0.95</v>
      </c>
      <c r="I770" s="241" t="n">
        <v>-0.18</v>
      </c>
      <c r="J770" s="241" t="n">
        <v>11.98</v>
      </c>
      <c r="K770" s="241" t="n">
        <v>12.71</v>
      </c>
      <c r="L770" s="242" t="n">
        <v>1369036</v>
      </c>
      <c r="M770" s="241" t="n">
        <v>-3.22</v>
      </c>
      <c r="N770" s="241" t="n">
        <v>-19.44</v>
      </c>
      <c r="O770" s="241" t="n">
        <v>-25.67</v>
      </c>
      <c r="P770" s="241" t="n">
        <v>2.63</v>
      </c>
    </row>
    <row r="771">
      <c r="A771" s="282" t="inlineStr">
        <is>
          <t>2009-03-06</t>
        </is>
      </c>
      <c r="B771" s="240">
        <f>IFERROR(1/P771-1,B770)</f>
        <v/>
      </c>
      <c r="C771" s="240">
        <f>$C$3</f>
        <v/>
      </c>
      <c r="D771" s="240">
        <f>$D$3</f>
        <v/>
      </c>
      <c r="E771" s="240">
        <f>$E$3</f>
        <v/>
      </c>
      <c r="F771" s="241" t="n">
        <v>32.58</v>
      </c>
      <c r="G771" s="242" t="n">
        <v>2948373</v>
      </c>
      <c r="H771" s="241" t="n">
        <v>-2.4</v>
      </c>
      <c r="I771" s="241" t="n">
        <v>0.99</v>
      </c>
      <c r="J771" s="241" t="n">
        <v>9.289999999999999</v>
      </c>
      <c r="K771" s="241" t="n">
        <v>12.39</v>
      </c>
      <c r="L771" s="242" t="n">
        <v>832641</v>
      </c>
      <c r="M771" s="241" t="n">
        <v>-2.5</v>
      </c>
      <c r="N771" s="241" t="n">
        <v>-22.75</v>
      </c>
      <c r="O771" s="241" t="n">
        <v>-27.53</v>
      </c>
      <c r="P771" s="241" t="n">
        <v>2.63</v>
      </c>
    </row>
    <row r="772">
      <c r="A772" s="282" t="inlineStr">
        <is>
          <t>2009-03-09</t>
        </is>
      </c>
      <c r="B772" s="240">
        <f>IFERROR(1/P772-1,B771)</f>
        <v/>
      </c>
      <c r="C772" s="240">
        <f>$C$3</f>
        <v/>
      </c>
      <c r="D772" s="240">
        <f>$D$3</f>
        <v/>
      </c>
      <c r="E772" s="240">
        <f>$E$3</f>
        <v/>
      </c>
      <c r="F772" s="241" t="n">
        <v>31.02</v>
      </c>
      <c r="G772" s="242" t="n">
        <v>2392450</v>
      </c>
      <c r="H772" s="241" t="n">
        <v>-4.79</v>
      </c>
      <c r="I772" s="241" t="n">
        <v>-5.6</v>
      </c>
      <c r="J772" s="241" t="n">
        <v>4.06</v>
      </c>
      <c r="K772" s="241" t="n">
        <v>12.59</v>
      </c>
      <c r="L772" s="242" t="n">
        <v>644842</v>
      </c>
      <c r="M772" s="241" t="n">
        <v>1.56</v>
      </c>
      <c r="N772" s="241" t="n">
        <v>-21.97</v>
      </c>
      <c r="O772" s="241" t="n">
        <v>-26.39</v>
      </c>
      <c r="P772" s="241" t="n">
        <v>2.46</v>
      </c>
    </row>
    <row r="773">
      <c r="A773" s="282" t="inlineStr">
        <is>
          <t>2009-03-10</t>
        </is>
      </c>
      <c r="B773" s="240">
        <f>IFERROR(1/P773-1,B772)</f>
        <v/>
      </c>
      <c r="C773" s="240">
        <f>$C$3</f>
        <v/>
      </c>
      <c r="D773" s="240">
        <f>$D$3</f>
        <v/>
      </c>
      <c r="E773" s="240">
        <f>$E$3</f>
        <v/>
      </c>
      <c r="F773" s="241" t="n">
        <v>31.45</v>
      </c>
      <c r="G773" s="242" t="n">
        <v>1514773</v>
      </c>
      <c r="H773" s="241" t="n">
        <v>1.39</v>
      </c>
      <c r="I773" s="241" t="n">
        <v>-7.04</v>
      </c>
      <c r="J773" s="241" t="n">
        <v>5.5</v>
      </c>
      <c r="K773" s="241" t="n">
        <v>12.55</v>
      </c>
      <c r="L773" s="242" t="n">
        <v>730452</v>
      </c>
      <c r="M773" s="241" t="n">
        <v>-0.28</v>
      </c>
      <c r="N773" s="241" t="n">
        <v>-24.58</v>
      </c>
      <c r="O773" s="241" t="n">
        <v>-26.6</v>
      </c>
      <c r="P773" s="241" t="n">
        <v>2.51</v>
      </c>
    </row>
    <row r="774">
      <c r="A774" s="282" t="inlineStr">
        <is>
          <t>2009-03-11</t>
        </is>
      </c>
      <c r="B774" s="240">
        <f>IFERROR(1/P774-1,B773)</f>
        <v/>
      </c>
      <c r="C774" s="240">
        <f>$C$3</f>
        <v/>
      </c>
      <c r="D774" s="240">
        <f>$D$3</f>
        <v/>
      </c>
      <c r="E774" s="240">
        <f>$E$3</f>
        <v/>
      </c>
      <c r="F774" s="241" t="n">
        <v>31.16</v>
      </c>
      <c r="G774" s="242" t="n">
        <v>1461785</v>
      </c>
      <c r="H774" s="241" t="n">
        <v>-0.92</v>
      </c>
      <c r="I774" s="241" t="n">
        <v>-6.59</v>
      </c>
      <c r="J774" s="241" t="n">
        <v>4.53</v>
      </c>
      <c r="K774" s="241" t="n">
        <v>12.71</v>
      </c>
      <c r="L774" s="242" t="n">
        <v>875353</v>
      </c>
      <c r="M774" s="241" t="n">
        <v>1.26</v>
      </c>
      <c r="N774" s="241" t="n">
        <v>-25.59</v>
      </c>
      <c r="O774" s="241" t="n">
        <v>-25.67</v>
      </c>
      <c r="P774" s="241" t="n">
        <v>2.45</v>
      </c>
    </row>
    <row r="775">
      <c r="A775" s="282" t="inlineStr">
        <is>
          <t>2009-03-12</t>
        </is>
      </c>
      <c r="B775" s="240">
        <f>IFERROR(1/P775-1,B774)</f>
        <v/>
      </c>
      <c r="C775" s="240">
        <f>$C$3</f>
        <v/>
      </c>
      <c r="D775" s="240">
        <f>$D$3</f>
        <v/>
      </c>
      <c r="E775" s="240">
        <f>$E$3</f>
        <v/>
      </c>
      <c r="F775" s="241" t="n">
        <v>31.12</v>
      </c>
      <c r="G775" s="242" t="n">
        <v>2982076</v>
      </c>
      <c r="H775" s="241" t="n">
        <v>-0.13</v>
      </c>
      <c r="I775" s="241" t="n">
        <v>-6.71</v>
      </c>
      <c r="J775" s="241" t="n">
        <v>4.39</v>
      </c>
      <c r="K775" s="241" t="n">
        <v>12.57</v>
      </c>
      <c r="L775" s="242" t="n">
        <v>448227</v>
      </c>
      <c r="M775" s="241" t="n">
        <v>-1.11</v>
      </c>
      <c r="N775" s="241" t="n">
        <v>-24.79</v>
      </c>
      <c r="O775" s="241" t="n">
        <v>-26.49</v>
      </c>
      <c r="P775" s="241" t="n">
        <v>2.48</v>
      </c>
    </row>
    <row r="776">
      <c r="A776" s="282" t="inlineStr">
        <is>
          <t>2009-03-13</t>
        </is>
      </c>
      <c r="B776" s="240">
        <f>IFERROR(1/P776-1,B775)</f>
        <v/>
      </c>
      <c r="C776" s="240">
        <f>$C$3</f>
        <v/>
      </c>
      <c r="D776" s="240">
        <f>$D$3</f>
        <v/>
      </c>
      <c r="E776" s="240">
        <f>$E$3</f>
        <v/>
      </c>
      <c r="F776" s="241" t="n">
        <v>31.88</v>
      </c>
      <c r="G776" s="242" t="n">
        <v>2944342</v>
      </c>
      <c r="H776" s="241" t="n">
        <v>2.44</v>
      </c>
      <c r="I776" s="241" t="n">
        <v>-3.28</v>
      </c>
      <c r="J776" s="241" t="n">
        <v>6.94</v>
      </c>
      <c r="K776" s="241" t="n">
        <v>12.95</v>
      </c>
      <c r="L776" s="242" t="n">
        <v>979600</v>
      </c>
      <c r="M776" s="241" t="n">
        <v>3.09</v>
      </c>
      <c r="N776" s="241" t="n">
        <v>-21.47</v>
      </c>
      <c r="O776" s="241" t="n">
        <v>-24.23</v>
      </c>
      <c r="P776" s="241" t="n">
        <v>2.46</v>
      </c>
    </row>
    <row r="777">
      <c r="A777" s="282" t="inlineStr">
        <is>
          <t>2009-03-16</t>
        </is>
      </c>
      <c r="B777" s="240">
        <f>IFERROR(1/P777-1,B776)</f>
        <v/>
      </c>
      <c r="C777" s="240">
        <f>$C$3</f>
        <v/>
      </c>
      <c r="D777" s="240">
        <f>$D$3</f>
        <v/>
      </c>
      <c r="E777" s="240">
        <f>$E$3</f>
        <v/>
      </c>
      <c r="F777" s="241" t="n">
        <v>31.95</v>
      </c>
      <c r="G777" s="242" t="n">
        <v>1083018</v>
      </c>
      <c r="H777" s="241" t="n">
        <v>0.22</v>
      </c>
      <c r="I777" s="241" t="n">
        <v>-6.88</v>
      </c>
      <c r="J777" s="241" t="n">
        <v>7.18</v>
      </c>
      <c r="K777" s="241" t="n">
        <v>12.8</v>
      </c>
      <c r="L777" s="242" t="n">
        <v>1180600</v>
      </c>
      <c r="M777" s="241" t="n">
        <v>-1.22</v>
      </c>
      <c r="N777" s="241" t="n">
        <v>-18.61</v>
      </c>
      <c r="O777" s="241" t="n">
        <v>-25.15</v>
      </c>
      <c r="P777" s="241" t="n">
        <v>2.5</v>
      </c>
    </row>
    <row r="778">
      <c r="A778" s="282" t="inlineStr">
        <is>
          <t>2009-03-17</t>
        </is>
      </c>
      <c r="B778" s="240">
        <f>IFERROR(1/P778-1,B777)</f>
        <v/>
      </c>
      <c r="C778" s="240">
        <f>$C$3</f>
        <v/>
      </c>
      <c r="D778" s="240">
        <f>$D$3</f>
        <v/>
      </c>
      <c r="E778" s="240">
        <f>$E$3</f>
        <v/>
      </c>
      <c r="F778" s="241" t="n">
        <v>32.79</v>
      </c>
      <c r="G778" s="242" t="n">
        <v>2697047</v>
      </c>
      <c r="H778" s="241" t="n">
        <v>2.63</v>
      </c>
      <c r="I778" s="241" t="n">
        <v>-4.9</v>
      </c>
      <c r="J778" s="241" t="n">
        <v>10</v>
      </c>
      <c r="K778" s="241" t="n">
        <v>12.78</v>
      </c>
      <c r="L778" s="242" t="n">
        <v>2420192</v>
      </c>
      <c r="M778" s="241" t="n">
        <v>-0.14</v>
      </c>
      <c r="N778" s="241" t="n">
        <v>-16.18</v>
      </c>
      <c r="O778" s="241" t="n">
        <v>-25.26</v>
      </c>
      <c r="P778" s="241" t="n">
        <v>2.57</v>
      </c>
    </row>
    <row r="779">
      <c r="A779" s="282" t="inlineStr">
        <is>
          <t>2009-03-18</t>
        </is>
      </c>
      <c r="B779" s="240">
        <f>IFERROR(1/P779-1,B778)</f>
        <v/>
      </c>
      <c r="C779" s="240">
        <f>$C$3</f>
        <v/>
      </c>
      <c r="D779" s="240">
        <f>$D$3</f>
        <v/>
      </c>
      <c r="E779" s="240">
        <f>$E$3</f>
        <v/>
      </c>
      <c r="F779" s="241" t="n">
        <v>34.3</v>
      </c>
      <c r="G779" s="242" t="n">
        <v>4037214</v>
      </c>
      <c r="H779" s="241" t="n">
        <v>4.61</v>
      </c>
      <c r="I779" s="241" t="n">
        <v>3.91</v>
      </c>
      <c r="J779" s="241" t="n">
        <v>15.06</v>
      </c>
      <c r="K779" s="241" t="n">
        <v>12.9</v>
      </c>
      <c r="L779" s="242" t="n">
        <v>1721100</v>
      </c>
      <c r="M779" s="241" t="n">
        <v>0.97</v>
      </c>
      <c r="N779" s="241" t="n">
        <v>-11.27</v>
      </c>
      <c r="O779" s="241" t="n">
        <v>-24.54</v>
      </c>
      <c r="P779" s="241" t="n">
        <v>2.66</v>
      </c>
    </row>
    <row r="780">
      <c r="A780" s="282" t="inlineStr">
        <is>
          <t>2009-03-19</t>
        </is>
      </c>
      <c r="B780" s="240">
        <f>IFERROR(1/P780-1,B779)</f>
        <v/>
      </c>
      <c r="C780" s="240">
        <f>$C$3</f>
        <v/>
      </c>
      <c r="D780" s="240">
        <f>$D$3</f>
        <v/>
      </c>
      <c r="E780" s="240">
        <f>$E$3</f>
        <v/>
      </c>
      <c r="F780" s="241" t="n">
        <v>34.96</v>
      </c>
      <c r="G780" s="242" t="n">
        <v>2699611</v>
      </c>
      <c r="H780" s="241" t="n">
        <v>1.92</v>
      </c>
      <c r="I780" s="241" t="n">
        <v>6.26</v>
      </c>
      <c r="J780" s="241" t="n">
        <v>17.28</v>
      </c>
      <c r="K780" s="241" t="n">
        <v>12.99</v>
      </c>
      <c r="L780" s="242" t="n">
        <v>3229596</v>
      </c>
      <c r="M780" s="241" t="n">
        <v>0.68</v>
      </c>
      <c r="N780" s="241" t="n">
        <v>-12.37</v>
      </c>
      <c r="O780" s="241" t="n">
        <v>-24.02</v>
      </c>
      <c r="P780" s="241" t="n">
        <v>2.69</v>
      </c>
    </row>
    <row r="781">
      <c r="A781" s="282" t="inlineStr">
        <is>
          <t>2009-03-20</t>
        </is>
      </c>
      <c r="B781" s="240">
        <f>IFERROR(1/P781-1,B780)</f>
        <v/>
      </c>
      <c r="C781" s="240">
        <f>$C$3</f>
        <v/>
      </c>
      <c r="D781" s="240">
        <f>$D$3</f>
        <v/>
      </c>
      <c r="E781" s="240">
        <f>$E$3</f>
        <v/>
      </c>
      <c r="F781" s="241" t="n">
        <v>34.44</v>
      </c>
      <c r="G781" s="242" t="n">
        <v>2664172</v>
      </c>
      <c r="H781" s="241" t="n">
        <v>-1.49</v>
      </c>
      <c r="I781" s="241" t="n">
        <v>-4.84</v>
      </c>
      <c r="J781" s="241" t="n">
        <v>15.53</v>
      </c>
      <c r="K781" s="241" t="n">
        <v>12.42</v>
      </c>
      <c r="L781" s="242" t="n">
        <v>1917410</v>
      </c>
      <c r="M781" s="241" t="n">
        <v>-4.34</v>
      </c>
      <c r="N781" s="241" t="n">
        <v>-19.89</v>
      </c>
      <c r="O781" s="241" t="n">
        <v>-27.32</v>
      </c>
      <c r="P781" s="241" t="n">
        <v>2.77</v>
      </c>
    </row>
    <row r="782">
      <c r="A782" s="282" t="inlineStr">
        <is>
          <t>2009-03-23</t>
        </is>
      </c>
      <c r="B782" s="240">
        <f>IFERROR(1/P782-1,B781)</f>
        <v/>
      </c>
      <c r="C782" s="240">
        <f>$C$3</f>
        <v/>
      </c>
      <c r="D782" s="240">
        <f>$D$3</f>
        <v/>
      </c>
      <c r="E782" s="240">
        <f>$E$3</f>
        <v/>
      </c>
      <c r="F782" s="241" t="n">
        <v>35</v>
      </c>
      <c r="G782" s="242" t="n">
        <v>3110583</v>
      </c>
      <c r="H782" s="241" t="n">
        <v>1.63</v>
      </c>
      <c r="I782" s="241" t="n">
        <v>-8.779999999999999</v>
      </c>
      <c r="J782" s="241" t="n">
        <v>17.41</v>
      </c>
      <c r="K782" s="241" t="n">
        <v>13.13</v>
      </c>
      <c r="L782" s="242" t="n">
        <v>1352626</v>
      </c>
      <c r="M782" s="241" t="n">
        <v>5.67</v>
      </c>
      <c r="N782" s="241" t="n">
        <v>-14.47</v>
      </c>
      <c r="O782" s="241" t="n">
        <v>-23.2</v>
      </c>
      <c r="P782" s="241" t="n">
        <v>2.67</v>
      </c>
    </row>
    <row r="783">
      <c r="A783" s="282" t="inlineStr">
        <is>
          <t>2009-03-24</t>
        </is>
      </c>
      <c r="B783" s="240">
        <f>IFERROR(1/P783-1,B782)</f>
        <v/>
      </c>
      <c r="C783" s="240">
        <f>$C$3</f>
        <v/>
      </c>
      <c r="D783" s="240">
        <f>$D$3</f>
        <v/>
      </c>
      <c r="E783" s="240">
        <f>$E$3</f>
        <v/>
      </c>
      <c r="F783" s="241" t="n">
        <v>34.97</v>
      </c>
      <c r="G783" s="242" t="n">
        <v>2041125</v>
      </c>
      <c r="H783" s="241" t="n">
        <v>-0.09</v>
      </c>
      <c r="I783" s="241" t="n">
        <v>-9.4</v>
      </c>
      <c r="J783" s="241" t="n">
        <v>17.31</v>
      </c>
      <c r="K783" s="241" t="n">
        <v>13.7</v>
      </c>
      <c r="L783" s="242" t="n">
        <v>2796137</v>
      </c>
      <c r="M783" s="241" t="n">
        <v>4.3</v>
      </c>
      <c r="N783" s="241" t="n">
        <v>-8.59</v>
      </c>
      <c r="O783" s="241" t="n">
        <v>-19.9</v>
      </c>
      <c r="P783" s="241" t="n">
        <v>2.55</v>
      </c>
    </row>
    <row r="784">
      <c r="A784" s="282" t="inlineStr">
        <is>
          <t>2009-03-25</t>
        </is>
      </c>
      <c r="B784" s="240">
        <f>IFERROR(1/P784-1,B783)</f>
        <v/>
      </c>
      <c r="C784" s="240">
        <f>$C$3</f>
        <v/>
      </c>
      <c r="D784" s="240">
        <f>$D$3</f>
        <v/>
      </c>
      <c r="E784" s="240">
        <f>$E$3</f>
        <v/>
      </c>
      <c r="F784" s="241" t="n">
        <v>33.3</v>
      </c>
      <c r="G784" s="242" t="n">
        <v>3000354</v>
      </c>
      <c r="H784" s="241" t="n">
        <v>-4.78</v>
      </c>
      <c r="I784" s="241" t="n">
        <v>-10.72</v>
      </c>
      <c r="J784" s="241" t="n">
        <v>11.71</v>
      </c>
      <c r="K784" s="241" t="n">
        <v>13.95</v>
      </c>
      <c r="L784" s="242" t="n">
        <v>2374571</v>
      </c>
      <c r="M784" s="241" t="n">
        <v>1.8</v>
      </c>
      <c r="N784" s="241" t="n">
        <v>-3.42</v>
      </c>
      <c r="O784" s="241" t="n">
        <v>-18.45</v>
      </c>
      <c r="P784" s="241" t="n">
        <v>2.39</v>
      </c>
    </row>
    <row r="785">
      <c r="A785" s="282" t="inlineStr">
        <is>
          <t>2009-03-26</t>
        </is>
      </c>
      <c r="B785" s="240">
        <f>IFERROR(1/P785-1,B784)</f>
        <v/>
      </c>
      <c r="C785" s="240">
        <f>$C$3</f>
        <v/>
      </c>
      <c r="D785" s="240">
        <f>$D$3</f>
        <v/>
      </c>
      <c r="E785" s="240">
        <f>$E$3</f>
        <v/>
      </c>
      <c r="F785" s="241" t="n">
        <v>35.15</v>
      </c>
      <c r="G785" s="242" t="n">
        <v>5605548</v>
      </c>
      <c r="H785" s="241" t="n">
        <v>5.56</v>
      </c>
      <c r="I785" s="241" t="n">
        <v>-1.98</v>
      </c>
      <c r="J785" s="241" t="n">
        <v>17.91</v>
      </c>
      <c r="K785" s="241" t="n">
        <v>14.21</v>
      </c>
      <c r="L785" s="242" t="n">
        <v>2453500</v>
      </c>
      <c r="M785" s="241" t="n">
        <v>1.9</v>
      </c>
      <c r="N785" s="241" t="n">
        <v>5.36</v>
      </c>
      <c r="O785" s="241" t="n">
        <v>-16.91</v>
      </c>
      <c r="P785" s="241" t="n">
        <v>2.47</v>
      </c>
    </row>
    <row r="786">
      <c r="A786" s="282" t="inlineStr">
        <is>
          <t>2009-03-27</t>
        </is>
      </c>
      <c r="B786" s="240">
        <f>IFERROR(1/P786-1,B785)</f>
        <v/>
      </c>
      <c r="C786" s="240">
        <f>$C$3</f>
        <v/>
      </c>
      <c r="D786" s="240">
        <f>$D$3</f>
        <v/>
      </c>
      <c r="E786" s="240">
        <f>$E$3</f>
        <v/>
      </c>
      <c r="F786" s="241" t="n">
        <v>35.96</v>
      </c>
      <c r="G786" s="242" t="n">
        <v>6133278</v>
      </c>
      <c r="H786" s="241" t="n">
        <v>2.3</v>
      </c>
      <c r="I786" s="241" t="n">
        <v>11.43</v>
      </c>
      <c r="J786" s="241" t="n">
        <v>20.63</v>
      </c>
      <c r="K786" s="241" t="n">
        <v>15.02</v>
      </c>
      <c r="L786" s="242" t="n">
        <v>2874090</v>
      </c>
      <c r="M786" s="241" t="n">
        <v>5.71</v>
      </c>
      <c r="N786" s="241" t="n">
        <v>22.59</v>
      </c>
      <c r="O786" s="241" t="n">
        <v>-12.16</v>
      </c>
      <c r="P786" s="241" t="n">
        <v>2.39</v>
      </c>
    </row>
    <row r="787">
      <c r="A787" s="282" t="inlineStr">
        <is>
          <t>2009-03-30</t>
        </is>
      </c>
      <c r="B787" s="240">
        <f>IFERROR(1/P787-1,B786)</f>
        <v/>
      </c>
      <c r="C787" s="240">
        <f>$C$3</f>
        <v/>
      </c>
      <c r="D787" s="240">
        <f>$D$3</f>
        <v/>
      </c>
      <c r="E787" s="240">
        <f>$E$3</f>
        <v/>
      </c>
      <c r="F787" s="241" t="n">
        <v>36.84</v>
      </c>
      <c r="G787" s="242" t="n">
        <v>7068565</v>
      </c>
      <c r="H787" s="241" t="n">
        <v>2.45</v>
      </c>
      <c r="I787" s="241" t="n">
        <v>17.55</v>
      </c>
      <c r="J787" s="241" t="n">
        <v>23.58</v>
      </c>
      <c r="K787" s="241" t="n">
        <v>14.46</v>
      </c>
      <c r="L787" s="242" t="n">
        <v>1801710</v>
      </c>
      <c r="M787" s="241" t="n">
        <v>-3.76</v>
      </c>
      <c r="N787" s="241" t="n">
        <v>15.49</v>
      </c>
      <c r="O787" s="241" t="n">
        <v>-15.46</v>
      </c>
      <c r="P787" s="241" t="n">
        <v>2.55</v>
      </c>
    </row>
    <row r="788">
      <c r="A788" s="282" t="inlineStr">
        <is>
          <t>2009-03-31</t>
        </is>
      </c>
      <c r="B788" s="240">
        <f>IFERROR(1/P788-1,B787)</f>
        <v/>
      </c>
      <c r="C788" s="240">
        <f>$C$3</f>
        <v/>
      </c>
      <c r="D788" s="240">
        <f>$D$3</f>
        <v/>
      </c>
      <c r="E788" s="240">
        <f>$E$3</f>
        <v/>
      </c>
      <c r="F788" s="241" t="n">
        <v>37.52</v>
      </c>
      <c r="G788" s="242" t="n">
        <v>3750720</v>
      </c>
      <c r="H788" s="241" t="n">
        <v>1.85</v>
      </c>
      <c r="I788" s="241" t="n">
        <v>19.72</v>
      </c>
      <c r="J788" s="241" t="n">
        <v>25.86</v>
      </c>
      <c r="K788" s="241" t="n">
        <v>15.28</v>
      </c>
      <c r="L788" s="242" t="n">
        <v>991174</v>
      </c>
      <c r="M788" s="241" t="n">
        <v>5.61</v>
      </c>
      <c r="N788" s="241" t="n">
        <v>21.97</v>
      </c>
      <c r="O788" s="241" t="n">
        <v>-10.72</v>
      </c>
      <c r="P788" s="241" t="n">
        <v>2.46</v>
      </c>
    </row>
    <row r="789">
      <c r="A789" s="282" t="inlineStr">
        <is>
          <t>2009-04-01</t>
        </is>
      </c>
      <c r="B789" s="240">
        <f>IFERROR(1/P789-1,B788)</f>
        <v/>
      </c>
      <c r="C789" s="240">
        <f>$C$3</f>
        <v/>
      </c>
      <c r="D789" s="240">
        <f>$D$3</f>
        <v/>
      </c>
      <c r="E789" s="240">
        <f>$E$3</f>
        <v/>
      </c>
      <c r="F789" s="241" t="n">
        <v>37.69</v>
      </c>
      <c r="G789" s="242" t="n">
        <v>4323574</v>
      </c>
      <c r="H789" s="241" t="n">
        <v>0.45</v>
      </c>
      <c r="I789" s="241" t="n">
        <v>20.26</v>
      </c>
      <c r="J789" s="241" t="n">
        <v>26.43</v>
      </c>
      <c r="K789" s="241" t="n">
        <v>15.5</v>
      </c>
      <c r="L789" s="242" t="n">
        <v>1479104</v>
      </c>
      <c r="M789" s="241" t="n">
        <v>1.5</v>
      </c>
      <c r="N789" s="241" t="n">
        <v>23.8</v>
      </c>
      <c r="O789" s="241" t="n">
        <v>-9.380000000000001</v>
      </c>
      <c r="P789" s="241" t="n">
        <v>2.43</v>
      </c>
    </row>
    <row r="790">
      <c r="A790" s="282" t="inlineStr">
        <is>
          <t>2009-04-02</t>
        </is>
      </c>
      <c r="B790" s="240">
        <f>IFERROR(1/P790-1,B789)</f>
        <v/>
      </c>
      <c r="C790" s="240">
        <f>$C$3</f>
        <v/>
      </c>
      <c r="D790" s="240">
        <f>$D$3</f>
        <v/>
      </c>
      <c r="E790" s="240">
        <f>$E$3</f>
        <v/>
      </c>
      <c r="F790" s="241" t="n">
        <v>37.09</v>
      </c>
      <c r="G790" s="242" t="n">
        <v>2384220</v>
      </c>
      <c r="H790" s="241" t="n">
        <v>-1.59</v>
      </c>
      <c r="I790" s="241" t="n">
        <v>18.35</v>
      </c>
      <c r="J790" s="241" t="n">
        <v>24.42</v>
      </c>
      <c r="K790" s="241" t="n">
        <v>16.3</v>
      </c>
      <c r="L790" s="242" t="n">
        <v>3334193</v>
      </c>
      <c r="M790" s="241" t="n">
        <v>5.12</v>
      </c>
      <c r="N790" s="241" t="n">
        <v>30.14</v>
      </c>
      <c r="O790" s="241" t="n">
        <v>-4.74</v>
      </c>
      <c r="P790" s="241" t="n">
        <v>2.28</v>
      </c>
    </row>
    <row r="791">
      <c r="A791" s="282" t="inlineStr">
        <is>
          <t>2009-04-03</t>
        </is>
      </c>
      <c r="B791" s="240">
        <f>IFERROR(1/P791-1,B790)</f>
        <v/>
      </c>
      <c r="C791" s="240">
        <f>$C$3</f>
        <v/>
      </c>
      <c r="D791" s="240">
        <f>$D$3</f>
        <v/>
      </c>
      <c r="E791" s="240">
        <f>$E$3</f>
        <v/>
      </c>
      <c r="F791" s="241" t="n">
        <v>36.07</v>
      </c>
      <c r="G791" s="242" t="n">
        <v>4929502</v>
      </c>
      <c r="H791" s="241" t="n">
        <v>-2.75</v>
      </c>
      <c r="I791" s="241" t="n">
        <v>14.54</v>
      </c>
      <c r="J791" s="241" t="n">
        <v>21</v>
      </c>
      <c r="K791" s="241" t="n">
        <v>15.78</v>
      </c>
      <c r="L791" s="242" t="n">
        <v>1434696</v>
      </c>
      <c r="M791" s="241" t="n">
        <v>-3.14</v>
      </c>
      <c r="N791" s="241" t="n">
        <v>35.61</v>
      </c>
      <c r="O791" s="241" t="n">
        <v>-7.73</v>
      </c>
      <c r="P791" s="241" t="n">
        <v>2.29</v>
      </c>
    </row>
    <row r="792">
      <c r="A792" s="282" t="inlineStr">
        <is>
          <t>2009-04-07</t>
        </is>
      </c>
      <c r="B792" s="240">
        <f>IFERROR(1/P792-1,B791)</f>
        <v/>
      </c>
      <c r="C792" s="240">
        <f>$C$3</f>
        <v/>
      </c>
      <c r="D792" s="240">
        <f>$D$3</f>
        <v/>
      </c>
      <c r="E792" s="240">
        <f>$E$3</f>
        <v/>
      </c>
      <c r="F792" s="241" t="n">
        <v>35.68</v>
      </c>
      <c r="G792" s="242" t="n">
        <v>2613669</v>
      </c>
      <c r="H792" s="241" t="n">
        <v>-1.08</v>
      </c>
      <c r="I792" s="241" t="n">
        <v>9.52</v>
      </c>
      <c r="J792" s="241" t="n">
        <v>19.69</v>
      </c>
      <c r="K792" s="241" t="n">
        <v>15.8</v>
      </c>
      <c r="L792" s="242" t="n">
        <v>1155061</v>
      </c>
      <c r="M792" s="241" t="n">
        <v>-2.82</v>
      </c>
      <c r="N792" s="241" t="n">
        <v>27.45</v>
      </c>
      <c r="O792" s="241" t="n">
        <v>-7.63</v>
      </c>
      <c r="P792" s="241" t="n">
        <v>2.26</v>
      </c>
    </row>
    <row r="793">
      <c r="A793" s="282" t="inlineStr">
        <is>
          <t>2009-04-08</t>
        </is>
      </c>
      <c r="B793" s="240">
        <f>IFERROR(1/P793-1,B792)</f>
        <v/>
      </c>
      <c r="C793" s="240">
        <f>$C$3</f>
        <v/>
      </c>
      <c r="D793" s="240">
        <f>$D$3</f>
        <v/>
      </c>
      <c r="E793" s="240">
        <f>$E$3</f>
        <v/>
      </c>
      <c r="F793" s="241" t="n">
        <v>35.1</v>
      </c>
      <c r="G793" s="242" t="n">
        <v>3185217</v>
      </c>
      <c r="H793" s="241" t="n">
        <v>-1.63</v>
      </c>
      <c r="I793" s="241" t="n">
        <v>7.73</v>
      </c>
      <c r="J793" s="241" t="n">
        <v>17.75</v>
      </c>
      <c r="K793" s="241" t="n">
        <v>15.44</v>
      </c>
      <c r="L793" s="242" t="n">
        <v>1689240</v>
      </c>
      <c r="M793" s="241" t="n">
        <v>-2.34</v>
      </c>
      <c r="N793" s="241" t="n">
        <v>24.47</v>
      </c>
      <c r="O793" s="241" t="n">
        <v>-9.789999999999999</v>
      </c>
      <c r="P793" s="241" t="n">
        <v>2.27</v>
      </c>
    </row>
    <row r="794">
      <c r="A794" s="282" t="inlineStr">
        <is>
          <t>2009-04-09</t>
        </is>
      </c>
      <c r="B794" s="240">
        <f>IFERROR(1/P794-1,B793)</f>
        <v/>
      </c>
      <c r="C794" s="240">
        <f>$C$3</f>
        <v/>
      </c>
      <c r="D794" s="240">
        <f>$D$3</f>
        <v/>
      </c>
      <c r="E794" s="240">
        <f>$E$3</f>
        <v/>
      </c>
      <c r="F794" s="241" t="n">
        <v>36.22</v>
      </c>
      <c r="G794" s="242" t="n">
        <v>4182347</v>
      </c>
      <c r="H794" s="241" t="n">
        <v>3.19</v>
      </c>
      <c r="I794" s="241" t="n">
        <v>11.17</v>
      </c>
      <c r="J794" s="241" t="n">
        <v>21.5</v>
      </c>
      <c r="K794" s="241" t="n">
        <v>15.7</v>
      </c>
      <c r="L794" s="242" t="n">
        <v>1947746</v>
      </c>
      <c r="M794" s="241" t="n">
        <v>1.71</v>
      </c>
      <c r="N794" s="241" t="n">
        <v>26.6</v>
      </c>
      <c r="O794" s="241" t="n">
        <v>-8.25</v>
      </c>
      <c r="P794" s="241" t="n">
        <v>2.31</v>
      </c>
    </row>
    <row r="795">
      <c r="A795" s="282" t="inlineStr">
        <is>
          <t>2009-04-10</t>
        </is>
      </c>
      <c r="B795" s="240">
        <f>IFERROR(1/P795-1,B794)</f>
        <v/>
      </c>
      <c r="C795" s="240">
        <f>$C$3</f>
        <v/>
      </c>
      <c r="D795" s="240">
        <f>$D$3</f>
        <v/>
      </c>
      <c r="E795" s="240">
        <f>$E$3</f>
        <v/>
      </c>
      <c r="F795" s="241" t="n">
        <v>39.84</v>
      </c>
      <c r="G795" s="242" t="n">
        <v>13721035</v>
      </c>
      <c r="H795" s="241" t="n">
        <v>9.99</v>
      </c>
      <c r="I795" s="241" t="n">
        <v>28.43</v>
      </c>
      <c r="J795" s="241" t="n">
        <v>33.65</v>
      </c>
      <c r="K795" s="239" t="inlineStr">
        <is>
          <t>--</t>
        </is>
      </c>
      <c r="L795" s="239" t="inlineStr">
        <is>
          <t>--</t>
        </is>
      </c>
      <c r="M795" s="239" t="inlineStr">
        <is>
          <t>--</t>
        </is>
      </c>
      <c r="N795" s="239" t="inlineStr">
        <is>
          <t>--</t>
        </is>
      </c>
      <c r="O795" s="239" t="inlineStr">
        <is>
          <t>--</t>
        </is>
      </c>
      <c r="P795" s="239" t="inlineStr">
        <is>
          <t>--</t>
        </is>
      </c>
    </row>
    <row r="796">
      <c r="A796" s="282" t="inlineStr">
        <is>
          <t>2009-04-13</t>
        </is>
      </c>
      <c r="B796" s="240">
        <f>IFERROR(1/P796-1,B795)</f>
        <v/>
      </c>
      <c r="C796" s="240">
        <f>$C$3</f>
        <v/>
      </c>
      <c r="D796" s="240">
        <f>$D$3</f>
        <v/>
      </c>
      <c r="E796" s="240">
        <f>$E$3</f>
        <v/>
      </c>
      <c r="F796" s="241" t="n">
        <v>40.25</v>
      </c>
      <c r="G796" s="242" t="n">
        <v>13439555</v>
      </c>
      <c r="H796" s="241" t="n">
        <v>1.03</v>
      </c>
      <c r="I796" s="241" t="n">
        <v>29.34</v>
      </c>
      <c r="J796" s="241" t="n">
        <v>35.02</v>
      </c>
      <c r="K796" s="239" t="inlineStr">
        <is>
          <t>--</t>
        </is>
      </c>
      <c r="L796" s="239" t="inlineStr">
        <is>
          <t>--</t>
        </is>
      </c>
      <c r="M796" s="239" t="inlineStr">
        <is>
          <t>--</t>
        </is>
      </c>
      <c r="N796" s="239" t="inlineStr">
        <is>
          <t>--</t>
        </is>
      </c>
      <c r="O796" s="239" t="inlineStr">
        <is>
          <t>--</t>
        </is>
      </c>
      <c r="P796" s="239" t="inlineStr">
        <is>
          <t>--</t>
        </is>
      </c>
    </row>
    <row r="797">
      <c r="A797" s="282" t="inlineStr">
        <is>
          <t>2009-04-14</t>
        </is>
      </c>
      <c r="B797" s="240">
        <f>IFERROR(1/P797-1,B796)</f>
        <v/>
      </c>
      <c r="C797" s="240">
        <f>$C$3</f>
        <v/>
      </c>
      <c r="D797" s="240">
        <f>$D$3</f>
        <v/>
      </c>
      <c r="E797" s="240">
        <f>$E$3</f>
        <v/>
      </c>
      <c r="F797" s="241" t="n">
        <v>39.6</v>
      </c>
      <c r="G797" s="242" t="n">
        <v>10128382</v>
      </c>
      <c r="H797" s="241" t="n">
        <v>-1.61</v>
      </c>
      <c r="I797" s="241" t="n">
        <v>24.22</v>
      </c>
      <c r="J797" s="241" t="n">
        <v>32.84</v>
      </c>
      <c r="K797" s="241" t="n">
        <v>16.57</v>
      </c>
      <c r="L797" s="242" t="n">
        <v>4943807</v>
      </c>
      <c r="M797" s="241" t="n">
        <v>5.62</v>
      </c>
      <c r="N797" s="241" t="n">
        <v>27.89</v>
      </c>
      <c r="O797" s="241" t="n">
        <v>-3.09</v>
      </c>
      <c r="P797" s="241" t="n">
        <v>2.39</v>
      </c>
    </row>
    <row r="798">
      <c r="A798" s="282" t="inlineStr">
        <is>
          <t>2009-04-15</t>
        </is>
      </c>
      <c r="B798" s="240">
        <f>IFERROR(1/P798-1,B797)</f>
        <v/>
      </c>
      <c r="C798" s="240">
        <f>$C$3</f>
        <v/>
      </c>
      <c r="D798" s="240">
        <f>$D$3</f>
        <v/>
      </c>
      <c r="E798" s="240">
        <f>$E$3</f>
        <v/>
      </c>
      <c r="F798" s="241" t="n">
        <v>38.88</v>
      </c>
      <c r="G798" s="242" t="n">
        <v>6044661</v>
      </c>
      <c r="H798" s="241" t="n">
        <v>-1.82</v>
      </c>
      <c r="I798" s="241" t="n">
        <v>21.96</v>
      </c>
      <c r="J798" s="241" t="n">
        <v>30.43</v>
      </c>
      <c r="K798" s="241" t="n">
        <v>16.58</v>
      </c>
      <c r="L798" s="242" t="n">
        <v>2605823</v>
      </c>
      <c r="M798" s="241" t="n">
        <v>0.11</v>
      </c>
      <c r="N798" s="241" t="n">
        <v>28.03</v>
      </c>
      <c r="O798" s="241" t="n">
        <v>-2.99</v>
      </c>
      <c r="P798" s="241" t="n">
        <v>2.34</v>
      </c>
    </row>
    <row r="799">
      <c r="A799" s="282" t="inlineStr">
        <is>
          <t>2009-04-16</t>
        </is>
      </c>
      <c r="B799" s="240">
        <f>IFERROR(1/P799-1,B798)</f>
        <v/>
      </c>
      <c r="C799" s="240">
        <f>$C$3</f>
        <v/>
      </c>
      <c r="D799" s="240">
        <f>$D$3</f>
        <v/>
      </c>
      <c r="E799" s="240">
        <f>$E$3</f>
        <v/>
      </c>
      <c r="F799" s="241" t="n">
        <v>39.74</v>
      </c>
      <c r="G799" s="242" t="n">
        <v>7816453</v>
      </c>
      <c r="H799" s="241" t="n">
        <v>2.21</v>
      </c>
      <c r="I799" s="241" t="n">
        <v>24.66</v>
      </c>
      <c r="J799" s="241" t="n">
        <v>33.31</v>
      </c>
      <c r="K799" s="241" t="n">
        <v>17.18</v>
      </c>
      <c r="L799" s="242" t="n">
        <v>5338929</v>
      </c>
      <c r="M799" s="241" t="n">
        <v>3.61</v>
      </c>
      <c r="N799" s="241" t="n">
        <v>32.65</v>
      </c>
      <c r="O799" s="241" t="n">
        <v>0.52</v>
      </c>
      <c r="P799" s="241" t="n">
        <v>2.31</v>
      </c>
    </row>
    <row r="800">
      <c r="A800" s="282" t="inlineStr">
        <is>
          <t>2009-04-17</t>
        </is>
      </c>
      <c r="B800" s="240">
        <f>IFERROR(1/P800-1,B799)</f>
        <v/>
      </c>
      <c r="C800" s="240">
        <f>$C$3</f>
        <v/>
      </c>
      <c r="D800" s="240">
        <f>$D$3</f>
        <v/>
      </c>
      <c r="E800" s="240">
        <f>$E$3</f>
        <v/>
      </c>
      <c r="F800" s="241" t="n">
        <v>40.62</v>
      </c>
      <c r="G800" s="242" t="n">
        <v>7538279</v>
      </c>
      <c r="H800" s="241" t="n">
        <v>2.21</v>
      </c>
      <c r="I800" s="241" t="n">
        <v>27.14</v>
      </c>
      <c r="J800" s="241" t="n">
        <v>36.26</v>
      </c>
      <c r="K800" s="241" t="n">
        <v>16.99</v>
      </c>
      <c r="L800" s="242" t="n">
        <v>1825145</v>
      </c>
      <c r="M800" s="241" t="n">
        <v>-1.13</v>
      </c>
      <c r="N800" s="241" t="n">
        <v>32.78</v>
      </c>
      <c r="O800" s="241" t="n">
        <v>-0.62</v>
      </c>
      <c r="P800" s="241" t="n">
        <v>2.39</v>
      </c>
    </row>
    <row r="801">
      <c r="A801" s="282" t="inlineStr">
        <is>
          <t>2009-04-20</t>
        </is>
      </c>
      <c r="B801" s="240">
        <f>IFERROR(1/P801-1,B800)</f>
        <v/>
      </c>
      <c r="C801" s="240">
        <f>$C$3</f>
        <v/>
      </c>
      <c r="D801" s="240">
        <f>$D$3</f>
        <v/>
      </c>
      <c r="E801" s="240">
        <f>$E$3</f>
        <v/>
      </c>
      <c r="F801" s="241" t="n">
        <v>40.77</v>
      </c>
      <c r="G801" s="242" t="n">
        <v>5985488</v>
      </c>
      <c r="H801" s="241" t="n">
        <v>0.37</v>
      </c>
      <c r="I801" s="241" t="n">
        <v>16.62</v>
      </c>
      <c r="J801" s="241" t="n">
        <v>36.77</v>
      </c>
      <c r="K801" s="241" t="n">
        <v>17.6</v>
      </c>
      <c r="L801" s="242" t="n">
        <v>1668207</v>
      </c>
      <c r="M801" s="241" t="n">
        <v>3.53</v>
      </c>
      <c r="N801" s="241" t="n">
        <v>35.41</v>
      </c>
      <c r="O801" s="241" t="n">
        <v>2.89</v>
      </c>
      <c r="P801" s="241" t="n">
        <v>2.32</v>
      </c>
    </row>
    <row r="802">
      <c r="A802" s="282" t="inlineStr">
        <is>
          <t>2009-04-21</t>
        </is>
      </c>
      <c r="B802" s="240">
        <f>IFERROR(1/P802-1,B801)</f>
        <v/>
      </c>
      <c r="C802" s="240">
        <f>$C$3</f>
        <v/>
      </c>
      <c r="D802" s="240">
        <f>$D$3</f>
        <v/>
      </c>
      <c r="E802" s="240">
        <f>$E$3</f>
        <v/>
      </c>
      <c r="F802" s="241" t="n">
        <v>40.3</v>
      </c>
      <c r="G802" s="242" t="n">
        <v>5339475</v>
      </c>
      <c r="H802" s="241" t="n">
        <v>-1.15</v>
      </c>
      <c r="I802" s="241" t="n">
        <v>17.02</v>
      </c>
      <c r="J802" s="241" t="n">
        <v>35.19</v>
      </c>
      <c r="K802" s="241" t="n">
        <v>18.17</v>
      </c>
      <c r="L802" s="242" t="n">
        <v>2031600</v>
      </c>
      <c r="M802" s="241" t="n">
        <v>3.21</v>
      </c>
      <c r="N802" s="241" t="n">
        <v>46.1</v>
      </c>
      <c r="O802" s="241" t="n">
        <v>6.19</v>
      </c>
      <c r="P802" s="241" t="n">
        <v>2.22</v>
      </c>
    </row>
    <row r="803">
      <c r="A803" s="282" t="inlineStr">
        <is>
          <t>2009-04-22</t>
        </is>
      </c>
      <c r="B803" s="240">
        <f>IFERROR(1/P803-1,B802)</f>
        <v/>
      </c>
      <c r="C803" s="240">
        <f>$C$3</f>
        <v/>
      </c>
      <c r="D803" s="240">
        <f>$D$3</f>
        <v/>
      </c>
      <c r="E803" s="240">
        <f>$E$3</f>
        <v/>
      </c>
      <c r="F803" s="241" t="n">
        <v>38.41</v>
      </c>
      <c r="G803" s="242" t="n">
        <v>7462245</v>
      </c>
      <c r="H803" s="241" t="n">
        <v>-4.69</v>
      </c>
      <c r="I803" s="241" t="n">
        <v>11.53</v>
      </c>
      <c r="J803" s="241" t="n">
        <v>28.85</v>
      </c>
      <c r="K803" s="241" t="n">
        <v>17.94</v>
      </c>
      <c r="L803" s="242" t="n">
        <v>3040379</v>
      </c>
      <c r="M803" s="241" t="n">
        <v>-1.21</v>
      </c>
      <c r="N803" s="241" t="n">
        <v>44.33</v>
      </c>
      <c r="O803" s="241" t="n">
        <v>4.9</v>
      </c>
      <c r="P803" s="241" t="n">
        <v>2.14</v>
      </c>
    </row>
    <row r="804">
      <c r="A804" s="282" t="inlineStr">
        <is>
          <t>2009-04-23</t>
        </is>
      </c>
      <c r="B804" s="240">
        <f>IFERROR(1/P804-1,B803)</f>
        <v/>
      </c>
      <c r="C804" s="240">
        <f>$C$3</f>
        <v/>
      </c>
      <c r="D804" s="240">
        <f>$D$3</f>
        <v/>
      </c>
      <c r="E804" s="240">
        <f>$E$3</f>
        <v/>
      </c>
      <c r="F804" s="241" t="n">
        <v>38.97</v>
      </c>
      <c r="G804" s="242" t="n">
        <v>4523735</v>
      </c>
      <c r="H804" s="241" t="n">
        <v>1.46</v>
      </c>
      <c r="I804" s="241" t="n">
        <v>13.15</v>
      </c>
      <c r="J804" s="241" t="n">
        <v>30.73</v>
      </c>
      <c r="K804" s="241" t="n">
        <v>17.8</v>
      </c>
      <c r="L804" s="242" t="n">
        <v>858200</v>
      </c>
      <c r="M804" s="241" t="n">
        <v>-0.74</v>
      </c>
      <c r="N804" s="241" t="n">
        <v>43.26</v>
      </c>
      <c r="O804" s="241" t="n">
        <v>4.12</v>
      </c>
      <c r="P804" s="241" t="n">
        <v>2.19</v>
      </c>
    </row>
    <row r="805">
      <c r="A805" s="282" t="inlineStr">
        <is>
          <t>2009-04-24</t>
        </is>
      </c>
      <c r="B805" s="240">
        <f>IFERROR(1/P805-1,B804)</f>
        <v/>
      </c>
      <c r="C805" s="240">
        <f>$C$3</f>
        <v/>
      </c>
      <c r="D805" s="240">
        <f>$D$3</f>
        <v/>
      </c>
      <c r="E805" s="240">
        <f>$E$3</f>
        <v/>
      </c>
      <c r="F805" s="241" t="n">
        <v>41.84</v>
      </c>
      <c r="G805" s="242" t="n">
        <v>9103053</v>
      </c>
      <c r="H805" s="241" t="n">
        <v>7.36</v>
      </c>
      <c r="I805" s="241" t="n">
        <v>19.54</v>
      </c>
      <c r="J805" s="241" t="n">
        <v>40.36</v>
      </c>
      <c r="K805" s="241" t="n">
        <v>18.06</v>
      </c>
      <c r="L805" s="242" t="n">
        <v>2082172</v>
      </c>
      <c r="M805" s="241" t="n">
        <v>1.49</v>
      </c>
      <c r="N805" s="241" t="n">
        <v>37.58</v>
      </c>
      <c r="O805" s="241" t="n">
        <v>5.67</v>
      </c>
      <c r="P805" s="241" t="n">
        <v>2.32</v>
      </c>
    </row>
    <row r="806">
      <c r="A806" s="282" t="inlineStr">
        <is>
          <t>2009-04-27</t>
        </is>
      </c>
      <c r="B806" s="240">
        <f>IFERROR(1/P806-1,B805)</f>
        <v/>
      </c>
      <c r="C806" s="240">
        <f>$C$3</f>
        <v/>
      </c>
      <c r="D806" s="240">
        <f>$D$3</f>
        <v/>
      </c>
      <c r="E806" s="240">
        <f>$E$3</f>
        <v/>
      </c>
      <c r="F806" s="241" t="n">
        <v>39.98</v>
      </c>
      <c r="G806" s="242" t="n">
        <v>5270682</v>
      </c>
      <c r="H806" s="241" t="n">
        <v>-4.45</v>
      </c>
      <c r="I806" s="241" t="n">
        <v>13.74</v>
      </c>
      <c r="J806" s="241" t="n">
        <v>34.12</v>
      </c>
      <c r="K806" s="241" t="n">
        <v>17.7</v>
      </c>
      <c r="L806" s="242" t="n">
        <v>2074362</v>
      </c>
      <c r="M806" s="241" t="n">
        <v>-1.95</v>
      </c>
      <c r="N806" s="241" t="n">
        <v>24.69</v>
      </c>
      <c r="O806" s="241" t="n">
        <v>3.61</v>
      </c>
      <c r="P806" s="241" t="n">
        <v>2.26</v>
      </c>
    </row>
    <row r="807">
      <c r="A807" s="282" t="inlineStr">
        <is>
          <t>2009-04-28</t>
        </is>
      </c>
      <c r="B807" s="240">
        <f>IFERROR(1/P807-1,B806)</f>
        <v/>
      </c>
      <c r="C807" s="240">
        <f>$C$3</f>
        <v/>
      </c>
      <c r="D807" s="240">
        <f>$D$3</f>
        <v/>
      </c>
      <c r="E807" s="240">
        <f>$E$3</f>
        <v/>
      </c>
      <c r="F807" s="241" t="n">
        <v>38.37</v>
      </c>
      <c r="G807" s="242" t="n">
        <v>5994094</v>
      </c>
      <c r="H807" s="241" t="n">
        <v>-4.03</v>
      </c>
      <c r="I807" s="241" t="n">
        <v>6.7</v>
      </c>
      <c r="J807" s="241" t="n">
        <v>28.72</v>
      </c>
      <c r="K807" s="241" t="n">
        <v>16.77</v>
      </c>
      <c r="L807" s="242" t="n">
        <v>1794190</v>
      </c>
      <c r="M807" s="241" t="n">
        <v>-5.27</v>
      </c>
      <c r="N807" s="241" t="n">
        <v>11.74</v>
      </c>
      <c r="O807" s="241" t="n">
        <v>-1.86</v>
      </c>
      <c r="P807" s="241" t="n">
        <v>2.29</v>
      </c>
    </row>
    <row r="808">
      <c r="A808" s="282" t="inlineStr">
        <is>
          <t>2009-04-29</t>
        </is>
      </c>
      <c r="B808" s="240">
        <f>IFERROR(1/P808-1,B807)</f>
        <v/>
      </c>
      <c r="C808" s="240">
        <f>$C$3</f>
        <v/>
      </c>
      <c r="D808" s="240">
        <f>$D$3</f>
        <v/>
      </c>
      <c r="E808" s="240">
        <f>$E$3</f>
        <v/>
      </c>
      <c r="F808" s="241" t="n">
        <v>39.98</v>
      </c>
      <c r="G808" s="242" t="n">
        <v>4288639</v>
      </c>
      <c r="H808" s="241" t="n">
        <v>4.2</v>
      </c>
      <c r="I808" s="241" t="n">
        <v>11.18</v>
      </c>
      <c r="J808" s="241" t="n">
        <v>34.12</v>
      </c>
      <c r="K808" s="241" t="n">
        <v>16.77</v>
      </c>
      <c r="L808" s="242" t="n">
        <v>1171217</v>
      </c>
      <c r="M808" s="241" t="n">
        <v>0</v>
      </c>
      <c r="N808" s="241" t="n">
        <v>11.74</v>
      </c>
      <c r="O808" s="241" t="n">
        <v>-1.86</v>
      </c>
      <c r="P808" s="241" t="n">
        <v>2.38</v>
      </c>
    </row>
    <row r="809">
      <c r="A809" s="282" t="inlineStr">
        <is>
          <t>2009-04-30</t>
        </is>
      </c>
      <c r="B809" s="240">
        <f>IFERROR(1/P809-1,B808)</f>
        <v/>
      </c>
      <c r="C809" s="240">
        <f>$C$3</f>
        <v/>
      </c>
      <c r="D809" s="240">
        <f>$D$3</f>
        <v/>
      </c>
      <c r="E809" s="240">
        <f>$E$3</f>
        <v/>
      </c>
      <c r="F809" s="241" t="n">
        <v>42.51</v>
      </c>
      <c r="G809" s="242" t="n">
        <v>7082650</v>
      </c>
      <c r="H809" s="241" t="n">
        <v>6.33</v>
      </c>
      <c r="I809" s="241" t="n">
        <v>18.21</v>
      </c>
      <c r="J809" s="241" t="n">
        <v>42.6</v>
      </c>
      <c r="K809" s="241" t="n">
        <v>17.96</v>
      </c>
      <c r="L809" s="242" t="n">
        <v>2158760</v>
      </c>
      <c r="M809" s="241" t="n">
        <v>7.14</v>
      </c>
      <c r="N809" s="241" t="n">
        <v>19.72</v>
      </c>
      <c r="O809" s="241" t="n">
        <v>5.15</v>
      </c>
      <c r="P809" s="241" t="n">
        <v>2.37</v>
      </c>
    </row>
    <row r="810">
      <c r="A810" s="282" t="inlineStr">
        <is>
          <t>2009-05-04</t>
        </is>
      </c>
      <c r="B810" s="240">
        <f>IFERROR(1/P810-1,B809)</f>
        <v/>
      </c>
      <c r="C810" s="240">
        <f>$C$3</f>
        <v/>
      </c>
      <c r="D810" s="240">
        <f>$D$3</f>
        <v/>
      </c>
      <c r="E810" s="240">
        <f>$E$3</f>
        <v/>
      </c>
      <c r="F810" s="241" t="n">
        <v>43.52</v>
      </c>
      <c r="G810" s="242" t="n">
        <v>3686552</v>
      </c>
      <c r="H810" s="241" t="n">
        <v>2.38</v>
      </c>
      <c r="I810" s="241" t="n">
        <v>20.65</v>
      </c>
      <c r="J810" s="241" t="n">
        <v>45.99</v>
      </c>
      <c r="K810" s="241" t="n">
        <v>19.37</v>
      </c>
      <c r="L810" s="242" t="n">
        <v>3539166</v>
      </c>
      <c r="M810" s="241" t="n">
        <v>7.84</v>
      </c>
      <c r="N810" s="241" t="n">
        <v>22.91</v>
      </c>
      <c r="O810" s="241" t="n">
        <v>13.4</v>
      </c>
      <c r="P810" s="241" t="n">
        <v>2.25</v>
      </c>
    </row>
    <row r="811">
      <c r="A811" s="282" t="inlineStr">
        <is>
          <t>2009-05-05</t>
        </is>
      </c>
      <c r="B811" s="240">
        <f>IFERROR(1/P811-1,B810)</f>
        <v/>
      </c>
      <c r="C811" s="240">
        <f>$C$3</f>
        <v/>
      </c>
      <c r="D811" s="240">
        <f>$D$3</f>
        <v/>
      </c>
      <c r="E811" s="240">
        <f>$E$3</f>
        <v/>
      </c>
      <c r="F811" s="241" t="n">
        <v>44.3</v>
      </c>
      <c r="G811" s="242" t="n">
        <v>6945442</v>
      </c>
      <c r="H811" s="241" t="n">
        <v>1.79</v>
      </c>
      <c r="I811" s="241" t="n">
        <v>22.82</v>
      </c>
      <c r="J811" s="241" t="n">
        <v>48.61</v>
      </c>
      <c r="K811" s="241" t="n">
        <v>20.68</v>
      </c>
      <c r="L811" s="242" t="n">
        <v>3334399</v>
      </c>
      <c r="M811" s="241" t="n">
        <v>6.82</v>
      </c>
      <c r="N811" s="241" t="n">
        <v>31.28</v>
      </c>
      <c r="O811" s="241" t="n">
        <v>21.13</v>
      </c>
      <c r="P811" s="241" t="n">
        <v>2.14</v>
      </c>
    </row>
    <row r="812">
      <c r="A812" s="282" t="inlineStr">
        <is>
          <t>2009-05-06</t>
        </is>
      </c>
      <c r="B812" s="240">
        <f>IFERROR(1/P812-1,B811)</f>
        <v/>
      </c>
      <c r="C812" s="240">
        <f>$C$3</f>
        <v/>
      </c>
      <c r="D812" s="240">
        <f>$D$3</f>
        <v/>
      </c>
      <c r="E812" s="240">
        <f>$E$3</f>
        <v/>
      </c>
      <c r="F812" s="241" t="n">
        <v>47.48</v>
      </c>
      <c r="G812" s="242" t="n">
        <v>4988643</v>
      </c>
      <c r="H812" s="241" t="n">
        <v>7.18</v>
      </c>
      <c r="I812" s="241" t="n">
        <v>31.63</v>
      </c>
      <c r="J812" s="241" t="n">
        <v>59.28</v>
      </c>
      <c r="K812" s="241" t="n">
        <v>22.27</v>
      </c>
      <c r="L812" s="242" t="n">
        <v>4135700</v>
      </c>
      <c r="M812" s="241" t="n">
        <v>7.66</v>
      </c>
      <c r="N812" s="241" t="n">
        <v>41.34</v>
      </c>
      <c r="O812" s="241" t="n">
        <v>30.41</v>
      </c>
      <c r="P812" s="241" t="n">
        <v>2.13</v>
      </c>
    </row>
    <row r="813">
      <c r="A813" s="282" t="inlineStr">
        <is>
          <t>2009-05-07</t>
        </is>
      </c>
      <c r="B813" s="240">
        <f>IFERROR(1/P813-1,B812)</f>
        <v/>
      </c>
      <c r="C813" s="240">
        <f>$C$3</f>
        <v/>
      </c>
      <c r="D813" s="240">
        <f>$D$3</f>
        <v/>
      </c>
      <c r="E813" s="240">
        <f>$E$3</f>
        <v/>
      </c>
      <c r="F813" s="241" t="n">
        <v>49.28</v>
      </c>
      <c r="G813" s="242" t="n">
        <v>6157466</v>
      </c>
      <c r="H813" s="241" t="n">
        <v>3.79</v>
      </c>
      <c r="I813" s="241" t="n">
        <v>36.62</v>
      </c>
      <c r="J813" s="241" t="n">
        <v>65.31</v>
      </c>
      <c r="K813" s="241" t="n">
        <v>21.57</v>
      </c>
      <c r="L813" s="242" t="n">
        <v>3555200</v>
      </c>
      <c r="M813" s="241" t="n">
        <v>-3.16</v>
      </c>
      <c r="N813" s="241" t="n">
        <v>32.86</v>
      </c>
      <c r="O813" s="241" t="n">
        <v>26.29</v>
      </c>
      <c r="P813" s="241" t="n">
        <v>2.28</v>
      </c>
    </row>
    <row r="814">
      <c r="A814" s="282" t="inlineStr">
        <is>
          <t>2009-05-08</t>
        </is>
      </c>
      <c r="B814" s="240">
        <f>IFERROR(1/P814-1,B813)</f>
        <v/>
      </c>
      <c r="C814" s="240">
        <f>$C$3</f>
        <v/>
      </c>
      <c r="D814" s="240">
        <f>$D$3</f>
        <v/>
      </c>
      <c r="E814" s="240">
        <f>$E$3</f>
        <v/>
      </c>
      <c r="F814" s="241" t="n">
        <v>47.48</v>
      </c>
      <c r="G814" s="242" t="n">
        <v>3422743</v>
      </c>
      <c r="H814" s="241" t="n">
        <v>-3.65</v>
      </c>
      <c r="I814" s="241" t="n">
        <v>33.07</v>
      </c>
      <c r="J814" s="241" t="n">
        <v>59.28</v>
      </c>
      <c r="K814" s="241" t="n">
        <v>21.04</v>
      </c>
      <c r="L814" s="242" t="n">
        <v>3960663</v>
      </c>
      <c r="M814" s="241" t="n">
        <v>-2.45</v>
      </c>
      <c r="N814" s="241" t="n">
        <v>33.37</v>
      </c>
      <c r="O814" s="241" t="n">
        <v>23.2</v>
      </c>
      <c r="P814" s="241" t="n">
        <v>2.26</v>
      </c>
    </row>
    <row r="815">
      <c r="A815" s="282" t="inlineStr">
        <is>
          <t>2009-05-11</t>
        </is>
      </c>
      <c r="B815" s="240">
        <f>IFERROR(1/P815-1,B814)</f>
        <v/>
      </c>
      <c r="C815" s="240">
        <f>$C$3</f>
        <v/>
      </c>
      <c r="D815" s="240">
        <f>$D$3</f>
        <v/>
      </c>
      <c r="E815" s="240">
        <f>$E$3</f>
        <v/>
      </c>
      <c r="F815" s="241" t="n">
        <v>43.98</v>
      </c>
      <c r="G815" s="242" t="n">
        <v>6034422</v>
      </c>
      <c r="H815" s="241" t="n">
        <v>-7.37</v>
      </c>
      <c r="I815" s="241" t="n">
        <v>10.39</v>
      </c>
      <c r="J815" s="241" t="n">
        <v>47.53</v>
      </c>
      <c r="K815" s="241" t="n">
        <v>21.3</v>
      </c>
      <c r="L815" s="242" t="n">
        <v>3305900</v>
      </c>
      <c r="M815" s="241" t="n">
        <v>1.26</v>
      </c>
      <c r="N815" s="241" t="n">
        <v>35.96</v>
      </c>
      <c r="O815" s="241" t="n">
        <v>24.74</v>
      </c>
      <c r="P815" s="241" t="n">
        <v>2.06</v>
      </c>
    </row>
    <row r="816">
      <c r="A816" s="282" t="inlineStr">
        <is>
          <t>2009-05-12</t>
        </is>
      </c>
      <c r="B816" s="240">
        <f>IFERROR(1/P816-1,B815)</f>
        <v/>
      </c>
      <c r="C816" s="240">
        <f>$C$3</f>
        <v/>
      </c>
      <c r="D816" s="240">
        <f>$D$3</f>
        <v/>
      </c>
      <c r="E816" s="240">
        <f>$E$3</f>
        <v/>
      </c>
      <c r="F816" s="241" t="n">
        <v>45.97</v>
      </c>
      <c r="G816" s="242" t="n">
        <v>3158568</v>
      </c>
      <c r="H816" s="241" t="n">
        <v>4.52</v>
      </c>
      <c r="I816" s="241" t="n">
        <v>15.39</v>
      </c>
      <c r="J816" s="241" t="n">
        <v>54.21</v>
      </c>
      <c r="K816" s="241" t="n">
        <v>21.09</v>
      </c>
      <c r="L816" s="242" t="n">
        <v>1725130</v>
      </c>
      <c r="M816" s="241" t="n">
        <v>-1.03</v>
      </c>
      <c r="N816" s="241" t="n">
        <v>34.55</v>
      </c>
      <c r="O816" s="241" t="n">
        <v>23.45</v>
      </c>
      <c r="P816" s="241" t="n">
        <v>2.18</v>
      </c>
    </row>
    <row r="817">
      <c r="A817" s="282" t="inlineStr">
        <is>
          <t>2009-05-13</t>
        </is>
      </c>
      <c r="B817" s="240">
        <f>IFERROR(1/P817-1,B816)</f>
        <v/>
      </c>
      <c r="C817" s="240">
        <f>$C$3</f>
        <v/>
      </c>
      <c r="D817" s="240">
        <f>$D$3</f>
        <v/>
      </c>
      <c r="E817" s="240">
        <f>$E$3</f>
        <v/>
      </c>
      <c r="F817" s="241" t="n">
        <v>44.41</v>
      </c>
      <c r="G817" s="242" t="n">
        <v>5549150</v>
      </c>
      <c r="H817" s="241" t="n">
        <v>-3.39</v>
      </c>
      <c r="I817" s="241" t="n">
        <v>11.47</v>
      </c>
      <c r="J817" s="241" t="n">
        <v>48.98</v>
      </c>
      <c r="K817" s="241" t="n">
        <v>21.79</v>
      </c>
      <c r="L817" s="242" t="n">
        <v>1944808</v>
      </c>
      <c r="M817" s="241" t="n">
        <v>3.34</v>
      </c>
      <c r="N817" s="241" t="n">
        <v>39.04</v>
      </c>
      <c r="O817" s="241" t="n">
        <v>27.58</v>
      </c>
      <c r="P817" s="241" t="n">
        <v>2.04</v>
      </c>
    </row>
    <row r="818">
      <c r="A818" s="282" t="inlineStr">
        <is>
          <t>2009-05-14</t>
        </is>
      </c>
      <c r="B818" s="240">
        <f>IFERROR(1/P818-1,B817)</f>
        <v/>
      </c>
      <c r="C818" s="240">
        <f>$C$3</f>
        <v/>
      </c>
      <c r="D818" s="240">
        <f>$D$3</f>
        <v/>
      </c>
      <c r="E818" s="240">
        <f>$E$3</f>
        <v/>
      </c>
      <c r="F818" s="241" t="n">
        <v>43.7</v>
      </c>
      <c r="G818" s="242" t="n">
        <v>4371937</v>
      </c>
      <c r="H818" s="241" t="n">
        <v>-1.6</v>
      </c>
      <c r="I818" s="241" t="n">
        <v>8.57</v>
      </c>
      <c r="J818" s="241" t="n">
        <v>46.6</v>
      </c>
      <c r="K818" s="241" t="n">
        <v>21.84</v>
      </c>
      <c r="L818" s="242" t="n">
        <v>2320879</v>
      </c>
      <c r="M818" s="241" t="n">
        <v>0.2</v>
      </c>
      <c r="N818" s="241" t="n">
        <v>39.33</v>
      </c>
      <c r="O818" s="241" t="n">
        <v>27.84</v>
      </c>
      <c r="P818" s="241" t="n">
        <v>2</v>
      </c>
    </row>
    <row r="819">
      <c r="A819" s="282" t="inlineStr">
        <is>
          <t>2009-05-15</t>
        </is>
      </c>
      <c r="B819" s="240">
        <f>IFERROR(1/P819-1,B818)</f>
        <v/>
      </c>
      <c r="C819" s="240">
        <f>$C$3</f>
        <v/>
      </c>
      <c r="D819" s="240">
        <f>$D$3</f>
        <v/>
      </c>
      <c r="E819" s="240">
        <f>$E$3</f>
        <v/>
      </c>
      <c r="F819" s="241" t="n">
        <v>44.28</v>
      </c>
      <c r="G819" s="242" t="n">
        <v>3032754</v>
      </c>
      <c r="H819" s="241" t="n">
        <v>1.33</v>
      </c>
      <c r="I819" s="241" t="n">
        <v>11.82</v>
      </c>
      <c r="J819" s="241" t="n">
        <v>48.54</v>
      </c>
      <c r="K819" s="241" t="n">
        <v>22.41</v>
      </c>
      <c r="L819" s="242" t="n">
        <v>1732348</v>
      </c>
      <c r="M819" s="241" t="n">
        <v>2.62</v>
      </c>
      <c r="N819" s="241" t="n">
        <v>35.37</v>
      </c>
      <c r="O819" s="241" t="n">
        <v>31.19</v>
      </c>
      <c r="P819" s="241" t="n">
        <v>1.98</v>
      </c>
    </row>
    <row r="820">
      <c r="A820" s="282" t="inlineStr">
        <is>
          <t>2009-05-18</t>
        </is>
      </c>
      <c r="B820" s="240">
        <f>IFERROR(1/P820-1,B819)</f>
        <v/>
      </c>
      <c r="C820" s="240">
        <f>$C$3</f>
        <v/>
      </c>
      <c r="D820" s="240">
        <f>$D$3</f>
        <v/>
      </c>
      <c r="E820" s="240">
        <f>$E$3</f>
        <v/>
      </c>
      <c r="F820" s="241" t="n">
        <v>45.95</v>
      </c>
      <c r="G820" s="242" t="n">
        <v>3770529</v>
      </c>
      <c r="H820" s="241" t="n">
        <v>3.77</v>
      </c>
      <c r="I820" s="241" t="n">
        <v>13.12</v>
      </c>
      <c r="J820" s="241" t="n">
        <v>54.14</v>
      </c>
      <c r="K820" s="241" t="n">
        <v>21.67</v>
      </c>
      <c r="L820" s="242" t="n">
        <v>2234168</v>
      </c>
      <c r="M820" s="241" t="n">
        <v>-3.34</v>
      </c>
      <c r="N820" s="241" t="n">
        <v>27.59</v>
      </c>
      <c r="O820" s="241" t="n">
        <v>26.8</v>
      </c>
      <c r="P820" s="241" t="n">
        <v>2.12</v>
      </c>
    </row>
    <row r="821">
      <c r="A821" s="282" t="inlineStr">
        <is>
          <t>2009-05-19</t>
        </is>
      </c>
      <c r="B821" s="240">
        <f>IFERROR(1/P821-1,B820)</f>
        <v/>
      </c>
      <c r="C821" s="240">
        <f>$C$3</f>
        <v/>
      </c>
      <c r="D821" s="240">
        <f>$D$3</f>
        <v/>
      </c>
      <c r="E821" s="240">
        <f>$E$3</f>
        <v/>
      </c>
      <c r="F821" s="241" t="n">
        <v>45.95</v>
      </c>
      <c r="G821" s="242" t="n">
        <v>4512641</v>
      </c>
      <c r="H821" s="241" t="n">
        <v>0</v>
      </c>
      <c r="I821" s="241" t="n">
        <v>13.12</v>
      </c>
      <c r="J821" s="241" t="n">
        <v>54.14</v>
      </c>
      <c r="K821" s="241" t="n">
        <v>21.92</v>
      </c>
      <c r="L821" s="242" t="n">
        <v>1503456</v>
      </c>
      <c r="M821" s="241" t="n">
        <v>1.22</v>
      </c>
      <c r="N821" s="241" t="n">
        <v>29.15</v>
      </c>
      <c r="O821" s="241" t="n">
        <v>28.35</v>
      </c>
      <c r="P821" s="241" t="n">
        <v>2.1</v>
      </c>
    </row>
    <row r="822">
      <c r="A822" s="282" t="inlineStr">
        <is>
          <t>2009-05-20</t>
        </is>
      </c>
      <c r="B822" s="240">
        <f>IFERROR(1/P822-1,B821)</f>
        <v/>
      </c>
      <c r="C822" s="240">
        <f>$C$3</f>
        <v/>
      </c>
      <c r="D822" s="240">
        <f>$D$3</f>
        <v/>
      </c>
      <c r="E822" s="240">
        <f>$E$3</f>
        <v/>
      </c>
      <c r="F822" s="241" t="n">
        <v>45.32</v>
      </c>
      <c r="G822" s="242" t="n">
        <v>3172589</v>
      </c>
      <c r="H822" s="241" t="n">
        <v>-1.37</v>
      </c>
      <c r="I822" s="241" t="n">
        <v>11.57</v>
      </c>
      <c r="J822" s="241" t="n">
        <v>52.03</v>
      </c>
      <c r="K822" s="241" t="n">
        <v>22.54</v>
      </c>
      <c r="L822" s="242" t="n">
        <v>1569690</v>
      </c>
      <c r="M822" s="241" t="n">
        <v>2.81</v>
      </c>
      <c r="N822" s="241" t="n">
        <v>32.78</v>
      </c>
      <c r="O822" s="241" t="n">
        <v>31.96</v>
      </c>
      <c r="P822" s="241" t="n">
        <v>2.01</v>
      </c>
    </row>
    <row r="823">
      <c r="A823" s="282" t="inlineStr">
        <is>
          <t>2009-05-21</t>
        </is>
      </c>
      <c r="B823" s="240">
        <f>IFERROR(1/P823-1,B822)</f>
        <v/>
      </c>
      <c r="C823" s="240">
        <f>$C$3</f>
        <v/>
      </c>
      <c r="D823" s="240">
        <f>$D$3</f>
        <v/>
      </c>
      <c r="E823" s="240">
        <f>$E$3</f>
        <v/>
      </c>
      <c r="F823" s="241" t="n">
        <v>43.93</v>
      </c>
      <c r="G823" s="242" t="n">
        <v>4176911</v>
      </c>
      <c r="H823" s="241" t="n">
        <v>-3.07</v>
      </c>
      <c r="I823" s="241" t="n">
        <v>7.75</v>
      </c>
      <c r="J823" s="241" t="n">
        <v>47.37</v>
      </c>
      <c r="K823" s="241" t="n">
        <v>24.91</v>
      </c>
      <c r="L823" s="242" t="n">
        <v>4463193</v>
      </c>
      <c r="M823" s="241" t="n">
        <v>10.55</v>
      </c>
      <c r="N823" s="241" t="n">
        <v>41.78</v>
      </c>
      <c r="O823" s="241" t="n">
        <v>45.88</v>
      </c>
      <c r="P823" s="241" t="n">
        <v>1.76</v>
      </c>
    </row>
    <row r="824">
      <c r="A824" s="282" t="inlineStr">
        <is>
          <t>2009-05-22</t>
        </is>
      </c>
      <c r="B824" s="240">
        <f>IFERROR(1/P824-1,B823)</f>
        <v/>
      </c>
      <c r="C824" s="240">
        <f>$C$3</f>
        <v/>
      </c>
      <c r="D824" s="240">
        <f>$D$3</f>
        <v/>
      </c>
      <c r="E824" s="240">
        <f>$E$3</f>
        <v/>
      </c>
      <c r="F824" s="241" t="n">
        <v>43.95</v>
      </c>
      <c r="G824" s="242" t="n">
        <v>4073222</v>
      </c>
      <c r="H824" s="241" t="n">
        <v>0.05</v>
      </c>
      <c r="I824" s="241" t="n">
        <v>9.06</v>
      </c>
      <c r="J824" s="241" t="n">
        <v>47.43</v>
      </c>
      <c r="K824" s="241" t="n">
        <v>24.16</v>
      </c>
      <c r="L824" s="242" t="n">
        <v>2498018</v>
      </c>
      <c r="M824" s="241" t="n">
        <v>-2.93</v>
      </c>
      <c r="N824" s="241" t="n">
        <v>33.36</v>
      </c>
      <c r="O824" s="241" t="n">
        <v>41.61</v>
      </c>
      <c r="P824" s="241" t="n">
        <v>1.82</v>
      </c>
    </row>
    <row r="825">
      <c r="A825" s="282" t="inlineStr">
        <is>
          <t>2009-05-25</t>
        </is>
      </c>
      <c r="B825" s="240">
        <f>IFERROR(1/P825-1,B824)</f>
        <v/>
      </c>
      <c r="C825" s="240">
        <f>$C$3</f>
        <v/>
      </c>
      <c r="D825" s="240">
        <f>$D$3</f>
        <v/>
      </c>
      <c r="E825" s="240">
        <f>$E$3</f>
        <v/>
      </c>
      <c r="F825" s="241" t="n">
        <v>45.74</v>
      </c>
      <c r="G825" s="242" t="n">
        <v>5650691</v>
      </c>
      <c r="H825" s="241" t="n">
        <v>4.07</v>
      </c>
      <c r="I825" s="241" t="n">
        <v>9.32</v>
      </c>
      <c r="J825" s="241" t="n">
        <v>53.44</v>
      </c>
      <c r="K825" s="241" t="n">
        <v>25.48</v>
      </c>
      <c r="L825" s="242" t="n">
        <v>2059394</v>
      </c>
      <c r="M825" s="241" t="n">
        <v>5.46</v>
      </c>
      <c r="N825" s="241" t="n">
        <v>41.33</v>
      </c>
      <c r="O825" s="241" t="n">
        <v>49.35</v>
      </c>
      <c r="P825" s="241" t="n">
        <v>1.79</v>
      </c>
    </row>
    <row r="826">
      <c r="A826" s="282" t="inlineStr">
        <is>
          <t>2009-05-26</t>
        </is>
      </c>
      <c r="B826" s="240">
        <f>IFERROR(1/P826-1,B825)</f>
        <v/>
      </c>
      <c r="C826" s="240">
        <f>$C$3</f>
        <v/>
      </c>
      <c r="D826" s="240">
        <f>$D$3</f>
        <v/>
      </c>
      <c r="E826" s="240">
        <f>$E$3</f>
        <v/>
      </c>
      <c r="F826" s="241" t="n">
        <v>45.96</v>
      </c>
      <c r="G826" s="242" t="n">
        <v>5275351</v>
      </c>
      <c r="H826" s="241" t="n">
        <v>0.48</v>
      </c>
      <c r="I826" s="241" t="n">
        <v>9.85</v>
      </c>
      <c r="J826" s="241" t="n">
        <v>54.18</v>
      </c>
      <c r="K826" s="241" t="n">
        <v>26.25</v>
      </c>
      <c r="L826" s="242" t="n">
        <v>3065006</v>
      </c>
      <c r="M826" s="241" t="n">
        <v>2.94</v>
      </c>
      <c r="N826" s="241" t="n">
        <v>45.48</v>
      </c>
      <c r="O826" s="241" t="n">
        <v>53.73</v>
      </c>
      <c r="P826" s="241" t="n">
        <v>1.75</v>
      </c>
    </row>
    <row r="827">
      <c r="A827" s="282" t="inlineStr">
        <is>
          <t>2009-05-27</t>
        </is>
      </c>
      <c r="B827" s="240">
        <f>IFERROR(1/P827-1,B826)</f>
        <v/>
      </c>
      <c r="C827" s="240">
        <f>$C$3</f>
        <v/>
      </c>
      <c r="D827" s="240">
        <f>$D$3</f>
        <v/>
      </c>
      <c r="E827" s="240">
        <f>$E$3</f>
        <v/>
      </c>
      <c r="F827" s="241" t="n">
        <v>46.33</v>
      </c>
      <c r="G827" s="242" t="n">
        <v>2903961</v>
      </c>
      <c r="H827" s="241" t="n">
        <v>0.8100000000000001</v>
      </c>
      <c r="I827" s="241" t="n">
        <v>10.73</v>
      </c>
      <c r="J827" s="241" t="n">
        <v>55.42</v>
      </c>
      <c r="K827" s="241" t="n">
        <v>25.91</v>
      </c>
      <c r="L827" s="242" t="n">
        <v>2263357</v>
      </c>
      <c r="M827" s="241" t="n">
        <v>-1.34</v>
      </c>
      <c r="N827" s="241" t="n">
        <v>43.53</v>
      </c>
      <c r="O827" s="241" t="n">
        <v>51.67</v>
      </c>
      <c r="P827" s="241" t="n">
        <v>1.79</v>
      </c>
    </row>
    <row r="828">
      <c r="A828" s="282" t="inlineStr">
        <is>
          <t>2009-06-01</t>
        </is>
      </c>
      <c r="B828" s="240">
        <f>IFERROR(1/P828-1,B827)</f>
        <v/>
      </c>
      <c r="C828" s="240">
        <f>$C$3</f>
        <v/>
      </c>
      <c r="D828" s="240">
        <f>$D$3</f>
        <v/>
      </c>
      <c r="E828" s="240">
        <f>$E$3</f>
        <v/>
      </c>
      <c r="F828" s="241" t="n">
        <v>46.58</v>
      </c>
      <c r="G828" s="242" t="n">
        <v>3368726</v>
      </c>
      <c r="H828" s="241" t="n">
        <v>0.54</v>
      </c>
      <c r="I828" s="241" t="n">
        <v>9.57</v>
      </c>
      <c r="J828" s="241" t="n">
        <v>56.26</v>
      </c>
      <c r="K828" s="241" t="n">
        <v>28.25</v>
      </c>
      <c r="L828" s="242" t="n">
        <v>3126233</v>
      </c>
      <c r="M828" s="241" t="n">
        <v>6.83</v>
      </c>
      <c r="N828" s="241" t="n">
        <v>57.23</v>
      </c>
      <c r="O828" s="241" t="n">
        <v>65.34</v>
      </c>
      <c r="P828" s="241" t="n">
        <v>1.65</v>
      </c>
    </row>
    <row r="829">
      <c r="A829" s="282" t="inlineStr">
        <is>
          <t>2009-06-02</t>
        </is>
      </c>
      <c r="B829" s="240">
        <f>IFERROR(1/P829-1,B828)</f>
        <v/>
      </c>
      <c r="C829" s="240">
        <f>$C$3</f>
        <v/>
      </c>
      <c r="D829" s="240">
        <f>$D$3</f>
        <v/>
      </c>
      <c r="E829" s="240">
        <f>$E$3</f>
        <v/>
      </c>
      <c r="F829" s="241" t="n">
        <v>45.98</v>
      </c>
      <c r="G829" s="242" t="n">
        <v>3660815</v>
      </c>
      <c r="H829" s="241" t="n">
        <v>-1.29</v>
      </c>
      <c r="I829" s="241" t="n">
        <v>8.16</v>
      </c>
      <c r="J829" s="241" t="n">
        <v>54.24</v>
      </c>
      <c r="K829" s="241" t="n">
        <v>27.71</v>
      </c>
      <c r="L829" s="242" t="n">
        <v>993945</v>
      </c>
      <c r="M829" s="241" t="n">
        <v>-1.87</v>
      </c>
      <c r="N829" s="241" t="n">
        <v>54.29</v>
      </c>
      <c r="O829" s="241" t="n">
        <v>62.24</v>
      </c>
      <c r="P829" s="241" t="n">
        <v>1.66</v>
      </c>
    </row>
    <row r="830">
      <c r="A830" s="282" t="inlineStr">
        <is>
          <t>2009-06-03</t>
        </is>
      </c>
      <c r="B830" s="240">
        <f>IFERROR(1/P830-1,B829)</f>
        <v/>
      </c>
      <c r="C830" s="240">
        <f>$C$3</f>
        <v/>
      </c>
      <c r="D830" s="240">
        <f>$D$3</f>
        <v/>
      </c>
      <c r="E830" s="240">
        <f>$E$3</f>
        <v/>
      </c>
      <c r="F830" s="241" t="n">
        <v>45.53</v>
      </c>
      <c r="G830" s="242" t="n">
        <v>8030399</v>
      </c>
      <c r="H830" s="241" t="n">
        <v>-0.98</v>
      </c>
      <c r="I830" s="241" t="n">
        <v>7.1</v>
      </c>
      <c r="J830" s="241" t="n">
        <v>52.73</v>
      </c>
      <c r="K830" s="241" t="n">
        <v>26.87</v>
      </c>
      <c r="L830" s="242" t="n">
        <v>1660548</v>
      </c>
      <c r="M830" s="241" t="n">
        <v>-3.02</v>
      </c>
      <c r="N830" s="241" t="n">
        <v>49.63</v>
      </c>
      <c r="O830" s="241" t="n">
        <v>57.34</v>
      </c>
      <c r="P830" s="241" t="n">
        <v>1.69</v>
      </c>
    </row>
    <row r="831">
      <c r="A831" s="282" t="inlineStr">
        <is>
          <t>2009-06-04</t>
        </is>
      </c>
      <c r="B831" s="240">
        <f>IFERROR(1/P831-1,B830)</f>
        <v/>
      </c>
      <c r="C831" s="240">
        <f>$C$3</f>
        <v/>
      </c>
      <c r="D831" s="240">
        <f>$D$3</f>
        <v/>
      </c>
      <c r="E831" s="240">
        <f>$E$3</f>
        <v/>
      </c>
      <c r="F831" s="241" t="n">
        <v>44.13</v>
      </c>
      <c r="G831" s="242" t="n">
        <v>10207197</v>
      </c>
      <c r="H831" s="241" t="n">
        <v>-3.07</v>
      </c>
      <c r="I831" s="241" t="n">
        <v>3.81</v>
      </c>
      <c r="J831" s="241" t="n">
        <v>48.04</v>
      </c>
      <c r="K831" s="241" t="n">
        <v>27.5</v>
      </c>
      <c r="L831" s="242" t="n">
        <v>940379</v>
      </c>
      <c r="M831" s="241" t="n">
        <v>2.3</v>
      </c>
      <c r="N831" s="241" t="n">
        <v>53.06</v>
      </c>
      <c r="O831" s="241" t="n">
        <v>60.95</v>
      </c>
      <c r="P831" s="241" t="n">
        <v>1.6</v>
      </c>
    </row>
    <row r="832">
      <c r="A832" s="282" t="inlineStr">
        <is>
          <t>2009-06-05</t>
        </is>
      </c>
      <c r="B832" s="240">
        <f>IFERROR(1/P832-1,B831)</f>
        <v/>
      </c>
      <c r="C832" s="240">
        <f>$C$3</f>
        <v/>
      </c>
      <c r="D832" s="240">
        <f>$D$3</f>
        <v/>
      </c>
      <c r="E832" s="240">
        <f>$E$3</f>
        <v/>
      </c>
      <c r="F832" s="241" t="n">
        <v>42.67</v>
      </c>
      <c r="G832" s="242" t="n">
        <v>8807027</v>
      </c>
      <c r="H832" s="241" t="n">
        <v>-3.31</v>
      </c>
      <c r="I832" s="241" t="n">
        <v>-1.95</v>
      </c>
      <c r="J832" s="241" t="n">
        <v>43.14</v>
      </c>
      <c r="K832" s="241" t="n">
        <v>28.65</v>
      </c>
      <c r="L832" s="242" t="n">
        <v>1485972</v>
      </c>
      <c r="M832" s="241" t="n">
        <v>4.17</v>
      </c>
      <c r="N832" s="241" t="n">
        <v>47.85</v>
      </c>
      <c r="O832" s="241" t="n">
        <v>67.66</v>
      </c>
      <c r="P832" s="241" t="n">
        <v>1.49</v>
      </c>
    </row>
    <row r="833">
      <c r="A833" s="282" t="inlineStr">
        <is>
          <t>2009-06-08</t>
        </is>
      </c>
      <c r="B833" s="240">
        <f>IFERROR(1/P833-1,B832)</f>
        <v/>
      </c>
      <c r="C833" s="240">
        <f>$C$3</f>
        <v/>
      </c>
      <c r="D833" s="240">
        <f>$D$3</f>
        <v/>
      </c>
      <c r="E833" s="240">
        <f>$E$3</f>
        <v/>
      </c>
      <c r="F833" s="241" t="n">
        <v>42.1</v>
      </c>
      <c r="G833" s="242" t="n">
        <v>5090516</v>
      </c>
      <c r="H833" s="241" t="n">
        <v>-1.34</v>
      </c>
      <c r="I833" s="241" t="n">
        <v>-14.57</v>
      </c>
      <c r="J833" s="241" t="n">
        <v>41.23</v>
      </c>
      <c r="K833" s="241" t="n">
        <v>27.73</v>
      </c>
      <c r="L833" s="242" t="n">
        <v>1231207</v>
      </c>
      <c r="M833" s="241" t="n">
        <v>-3.23</v>
      </c>
      <c r="N833" s="241" t="n">
        <v>28.47</v>
      </c>
      <c r="O833" s="241" t="n">
        <v>62.24</v>
      </c>
      <c r="P833" s="241" t="n">
        <v>1.52</v>
      </c>
    </row>
    <row r="834">
      <c r="A834" s="282" t="inlineStr">
        <is>
          <t>2009-06-09</t>
        </is>
      </c>
      <c r="B834" s="240">
        <f>IFERROR(1/P834-1,B833)</f>
        <v/>
      </c>
      <c r="C834" s="240">
        <f>$C$3</f>
        <v/>
      </c>
      <c r="D834" s="240">
        <f>$D$3</f>
        <v/>
      </c>
      <c r="E834" s="240">
        <f>$E$3</f>
        <v/>
      </c>
      <c r="F834" s="241" t="n">
        <v>43.27</v>
      </c>
      <c r="G834" s="242" t="n">
        <v>7405685</v>
      </c>
      <c r="H834" s="241" t="n">
        <v>2.78</v>
      </c>
      <c r="I834" s="241" t="n">
        <v>-8.869999999999999</v>
      </c>
      <c r="J834" s="241" t="n">
        <v>45.15</v>
      </c>
      <c r="K834" s="241" t="n">
        <v>25.22</v>
      </c>
      <c r="L834" s="242" t="n">
        <v>2241644</v>
      </c>
      <c r="M834" s="241" t="n">
        <v>-9.06</v>
      </c>
      <c r="N834" s="241" t="n">
        <v>19.76</v>
      </c>
      <c r="O834" s="241" t="n">
        <v>47.54</v>
      </c>
      <c r="P834" s="241" t="n">
        <v>1.72</v>
      </c>
    </row>
    <row r="835">
      <c r="A835" s="282" t="inlineStr">
        <is>
          <t>2009-06-10</t>
        </is>
      </c>
      <c r="B835" s="240">
        <f>IFERROR(1/P835-1,B834)</f>
        <v/>
      </c>
      <c r="C835" s="240">
        <f>$C$3</f>
        <v/>
      </c>
      <c r="D835" s="240">
        <f>$D$3</f>
        <v/>
      </c>
      <c r="E835" s="240">
        <f>$E$3</f>
        <v/>
      </c>
      <c r="F835" s="241" t="n">
        <v>42.93</v>
      </c>
      <c r="G835" s="242" t="n">
        <v>4875353</v>
      </c>
      <c r="H835" s="241" t="n">
        <v>-0.79</v>
      </c>
      <c r="I835" s="241" t="n">
        <v>-9.58</v>
      </c>
      <c r="J835" s="241" t="n">
        <v>44.01</v>
      </c>
      <c r="K835" s="241" t="n">
        <v>25.74</v>
      </c>
      <c r="L835" s="242" t="n">
        <v>1640780</v>
      </c>
      <c r="M835" s="241" t="n">
        <v>2.1</v>
      </c>
      <c r="N835" s="241" t="n">
        <v>22.27</v>
      </c>
      <c r="O835" s="241" t="n">
        <v>50.64</v>
      </c>
      <c r="P835" s="241" t="n">
        <v>1.67</v>
      </c>
    </row>
    <row r="836">
      <c r="A836" s="282" t="inlineStr">
        <is>
          <t>2009-06-11</t>
        </is>
      </c>
      <c r="B836" s="240">
        <f>IFERROR(1/P836-1,B835)</f>
        <v/>
      </c>
      <c r="C836" s="240">
        <f>$C$3</f>
        <v/>
      </c>
      <c r="D836" s="240">
        <f>$D$3</f>
        <v/>
      </c>
      <c r="E836" s="240">
        <f>$E$3</f>
        <v/>
      </c>
      <c r="F836" s="241" t="n">
        <v>42.41</v>
      </c>
      <c r="G836" s="242" t="n">
        <v>3840192</v>
      </c>
      <c r="H836" s="241" t="n">
        <v>-1.21</v>
      </c>
      <c r="I836" s="241" t="n">
        <v>-10.68</v>
      </c>
      <c r="J836" s="241" t="n">
        <v>42.27</v>
      </c>
      <c r="K836" s="241" t="n">
        <v>25.57</v>
      </c>
      <c r="L836" s="242" t="n">
        <v>943200</v>
      </c>
      <c r="M836" s="241" t="n">
        <v>-0.68</v>
      </c>
      <c r="N836" s="241" t="n">
        <v>21.44</v>
      </c>
      <c r="O836" s="241" t="n">
        <v>49.6</v>
      </c>
      <c r="P836" s="241" t="n">
        <v>1.66</v>
      </c>
    </row>
    <row r="837">
      <c r="A837" s="282" t="inlineStr">
        <is>
          <t>2009-06-12</t>
        </is>
      </c>
      <c r="B837" s="240">
        <f>IFERROR(1/P837-1,B836)</f>
        <v/>
      </c>
      <c r="C837" s="240">
        <f>$C$3</f>
        <v/>
      </c>
      <c r="D837" s="240">
        <f>$D$3</f>
        <v/>
      </c>
      <c r="E837" s="240">
        <f>$E$3</f>
        <v/>
      </c>
      <c r="F837" s="241" t="n">
        <v>41.72</v>
      </c>
      <c r="G837" s="242" t="n">
        <v>5647688</v>
      </c>
      <c r="H837" s="241" t="n">
        <v>-1.63</v>
      </c>
      <c r="I837" s="241" t="n">
        <v>-5.14</v>
      </c>
      <c r="J837" s="241" t="n">
        <v>39.95</v>
      </c>
      <c r="K837" s="241" t="n">
        <v>24.51</v>
      </c>
      <c r="L837" s="242" t="n">
        <v>1953380</v>
      </c>
      <c r="M837" s="241" t="n">
        <v>-4.14</v>
      </c>
      <c r="N837" s="241" t="n">
        <v>14.97</v>
      </c>
      <c r="O837" s="241" t="n">
        <v>43.41</v>
      </c>
      <c r="P837" s="241" t="n">
        <v>1.7</v>
      </c>
    </row>
    <row r="838">
      <c r="A838" s="282" t="inlineStr">
        <is>
          <t>2009-06-15</t>
        </is>
      </c>
      <c r="B838" s="240">
        <f>IFERROR(1/P838-1,B837)</f>
        <v/>
      </c>
      <c r="C838" s="240">
        <f>$C$3</f>
        <v/>
      </c>
      <c r="D838" s="240">
        <f>$D$3</f>
        <v/>
      </c>
      <c r="E838" s="240">
        <f>$E$3</f>
        <v/>
      </c>
      <c r="F838" s="241" t="n">
        <v>42.31</v>
      </c>
      <c r="G838" s="242" t="n">
        <v>3659594</v>
      </c>
      <c r="H838" s="241" t="n">
        <v>1.41</v>
      </c>
      <c r="I838" s="241" t="n">
        <v>-3.18</v>
      </c>
      <c r="J838" s="241" t="n">
        <v>41.93</v>
      </c>
      <c r="K838" s="241" t="n">
        <v>23.46</v>
      </c>
      <c r="L838" s="242" t="n">
        <v>1080000</v>
      </c>
      <c r="M838" s="241" t="n">
        <v>-4.32</v>
      </c>
      <c r="N838" s="241" t="n">
        <v>7.34</v>
      </c>
      <c r="O838" s="241" t="n">
        <v>37.22</v>
      </c>
      <c r="P838" s="241" t="n">
        <v>1.8</v>
      </c>
    </row>
    <row r="839">
      <c r="A839" s="282" t="inlineStr">
        <is>
          <t>2009-06-16</t>
        </is>
      </c>
      <c r="B839" s="240">
        <f>IFERROR(1/P839-1,B838)</f>
        <v/>
      </c>
      <c r="C839" s="240">
        <f>$C$3</f>
        <v/>
      </c>
      <c r="D839" s="240">
        <f>$D$3</f>
        <v/>
      </c>
      <c r="E839" s="240">
        <f>$E$3</f>
        <v/>
      </c>
      <c r="F839" s="241" t="n">
        <v>41.95</v>
      </c>
      <c r="G839" s="242" t="n">
        <v>2415844</v>
      </c>
      <c r="H839" s="241" t="n">
        <v>-0.85</v>
      </c>
      <c r="I839" s="241" t="n">
        <v>-5.26</v>
      </c>
      <c r="J839" s="241" t="n">
        <v>40.72</v>
      </c>
      <c r="K839" s="241" t="n">
        <v>23.11</v>
      </c>
      <c r="L839" s="242" t="n">
        <v>1670118</v>
      </c>
      <c r="M839" s="241" t="n">
        <v>-1.5</v>
      </c>
      <c r="N839" s="241" t="n">
        <v>3.03</v>
      </c>
      <c r="O839" s="241" t="n">
        <v>35.16</v>
      </c>
      <c r="P839" s="241" t="n">
        <v>1.82</v>
      </c>
    </row>
    <row r="840">
      <c r="A840" s="282" t="inlineStr">
        <is>
          <t>2009-06-17</t>
        </is>
      </c>
      <c r="B840" s="240">
        <f>IFERROR(1/P840-1,B839)</f>
        <v/>
      </c>
      <c r="C840" s="240">
        <f>$C$3</f>
        <v/>
      </c>
      <c r="D840" s="240">
        <f>$D$3</f>
        <v/>
      </c>
      <c r="E840" s="240">
        <f>$E$3</f>
        <v/>
      </c>
      <c r="F840" s="241" t="n">
        <v>42.1</v>
      </c>
      <c r="G840" s="242" t="n">
        <v>3134056</v>
      </c>
      <c r="H840" s="241" t="n">
        <v>0.36</v>
      </c>
      <c r="I840" s="241" t="n">
        <v>-4.92</v>
      </c>
      <c r="J840" s="241" t="n">
        <v>41.23</v>
      </c>
      <c r="K840" s="241" t="n">
        <v>23.63</v>
      </c>
      <c r="L840" s="242" t="n">
        <v>2142328</v>
      </c>
      <c r="M840" s="241" t="n">
        <v>2.29</v>
      </c>
      <c r="N840" s="241" t="n">
        <v>5.39</v>
      </c>
      <c r="O840" s="241" t="n">
        <v>38.26</v>
      </c>
      <c r="P840" s="241" t="n">
        <v>1.78</v>
      </c>
    </row>
    <row r="841">
      <c r="A841" s="282" t="inlineStr">
        <is>
          <t>2009-06-18</t>
        </is>
      </c>
      <c r="B841" s="240">
        <f>IFERROR(1/P841-1,B840)</f>
        <v/>
      </c>
      <c r="C841" s="240">
        <f>$C$3</f>
        <v/>
      </c>
      <c r="D841" s="240">
        <f>$D$3</f>
        <v/>
      </c>
      <c r="E841" s="240">
        <f>$E$3</f>
        <v/>
      </c>
      <c r="F841" s="241" t="n">
        <v>42.2</v>
      </c>
      <c r="G841" s="242" t="n">
        <v>4099027</v>
      </c>
      <c r="H841" s="241" t="n">
        <v>0.24</v>
      </c>
      <c r="I841" s="241" t="n">
        <v>-4.7</v>
      </c>
      <c r="J841" s="241" t="n">
        <v>41.56</v>
      </c>
      <c r="K841" s="241" t="n">
        <v>24.55</v>
      </c>
      <c r="L841" s="242" t="n">
        <v>1648311</v>
      </c>
      <c r="M841" s="241" t="n">
        <v>3.92</v>
      </c>
      <c r="N841" s="241" t="n">
        <v>9.52</v>
      </c>
      <c r="O841" s="241" t="n">
        <v>43.67</v>
      </c>
      <c r="P841" s="241" t="n">
        <v>1.72</v>
      </c>
    </row>
    <row r="842">
      <c r="A842" s="282" t="inlineStr">
        <is>
          <t>2009-06-19</t>
        </is>
      </c>
      <c r="B842" s="240">
        <f>IFERROR(1/P842-1,B841)</f>
        <v/>
      </c>
      <c r="C842" s="240">
        <f>$C$3</f>
        <v/>
      </c>
      <c r="D842" s="240">
        <f>$D$3</f>
        <v/>
      </c>
      <c r="E842" s="240">
        <f>$E$3</f>
        <v/>
      </c>
      <c r="F842" s="241" t="n">
        <v>40.35</v>
      </c>
      <c r="G842" s="242" t="n">
        <v>16366199</v>
      </c>
      <c r="H842" s="241" t="n">
        <v>-4.38</v>
      </c>
      <c r="I842" s="241" t="n">
        <v>-12.19</v>
      </c>
      <c r="J842" s="241" t="n">
        <v>35.36</v>
      </c>
      <c r="K842" s="241" t="n">
        <v>23.59</v>
      </c>
      <c r="L842" s="242" t="n">
        <v>2428867</v>
      </c>
      <c r="M842" s="241" t="n">
        <v>-3.95</v>
      </c>
      <c r="N842" s="241" t="n">
        <v>8.83</v>
      </c>
      <c r="O842" s="241" t="n">
        <v>38</v>
      </c>
      <c r="P842" s="241" t="n">
        <v>1.71</v>
      </c>
    </row>
    <row r="843">
      <c r="A843" s="282" t="inlineStr">
        <is>
          <t>2009-06-22</t>
        </is>
      </c>
      <c r="B843" s="240">
        <f>IFERROR(1/P843-1,B842)</f>
        <v/>
      </c>
      <c r="C843" s="240">
        <f>$C$3</f>
        <v/>
      </c>
      <c r="D843" s="240">
        <f>$D$3</f>
        <v/>
      </c>
      <c r="E843" s="240">
        <f>$E$3</f>
        <v/>
      </c>
      <c r="F843" s="241" t="n">
        <v>39.45</v>
      </c>
      <c r="G843" s="242" t="n">
        <v>8889806</v>
      </c>
      <c r="H843" s="241" t="n">
        <v>-2.23</v>
      </c>
      <c r="I843" s="241" t="n">
        <v>-10.2</v>
      </c>
      <c r="J843" s="241" t="n">
        <v>32.34</v>
      </c>
      <c r="K843" s="241" t="n">
        <v>23.98</v>
      </c>
      <c r="L843" s="242" t="n">
        <v>1586834</v>
      </c>
      <c r="M843" s="241" t="n">
        <v>1.68</v>
      </c>
      <c r="N843" s="241" t="n">
        <v>-3.81</v>
      </c>
      <c r="O843" s="241" t="n">
        <v>40.32</v>
      </c>
      <c r="P843" s="241" t="n">
        <v>1.65</v>
      </c>
    </row>
    <row r="844">
      <c r="A844" s="282" t="inlineStr">
        <is>
          <t>2009-06-23</t>
        </is>
      </c>
      <c r="B844" s="240">
        <f>IFERROR(1/P844-1,B843)</f>
        <v/>
      </c>
      <c r="C844" s="240">
        <f>$C$3</f>
        <v/>
      </c>
      <c r="D844" s="240">
        <f>$D$3</f>
        <v/>
      </c>
      <c r="E844" s="240">
        <f>$E$3</f>
        <v/>
      </c>
      <c r="F844" s="241" t="n">
        <v>39.87</v>
      </c>
      <c r="G844" s="242" t="n">
        <v>4267136</v>
      </c>
      <c r="H844" s="241" t="n">
        <v>1.06</v>
      </c>
      <c r="I844" s="241" t="n">
        <v>-9.279999999999999</v>
      </c>
      <c r="J844" s="241" t="n">
        <v>33.75</v>
      </c>
      <c r="K844" s="241" t="n">
        <v>23.63</v>
      </c>
      <c r="L844" s="242" t="n">
        <v>873100</v>
      </c>
      <c r="M844" s="241" t="n">
        <v>-1.47</v>
      </c>
      <c r="N844" s="241" t="n">
        <v>-2.37</v>
      </c>
      <c r="O844" s="241" t="n">
        <v>38.26</v>
      </c>
      <c r="P844" s="241" t="n">
        <v>1.69</v>
      </c>
    </row>
    <row r="845">
      <c r="A845" s="282" t="inlineStr">
        <is>
          <t>2009-06-24</t>
        </is>
      </c>
      <c r="B845" s="240">
        <f>IFERROR(1/P845-1,B844)</f>
        <v/>
      </c>
      <c r="C845" s="240">
        <f>$C$3</f>
        <v/>
      </c>
      <c r="D845" s="240">
        <f>$D$3</f>
        <v/>
      </c>
      <c r="E845" s="240">
        <f>$E$3</f>
        <v/>
      </c>
      <c r="F845" s="241" t="n">
        <v>40.36</v>
      </c>
      <c r="G845" s="242" t="n">
        <v>8934307</v>
      </c>
      <c r="H845" s="241" t="n">
        <v>1.23</v>
      </c>
      <c r="I845" s="241" t="n">
        <v>-8.17</v>
      </c>
      <c r="J845" s="241" t="n">
        <v>35.39</v>
      </c>
      <c r="K845" s="241" t="n">
        <v>23.62</v>
      </c>
      <c r="L845" s="242" t="n">
        <v>856564</v>
      </c>
      <c r="M845" s="241" t="n">
        <v>0</v>
      </c>
      <c r="N845" s="241" t="n">
        <v>-2.37</v>
      </c>
      <c r="O845" s="241" t="n">
        <v>38.26</v>
      </c>
      <c r="P845" s="241" t="n">
        <v>1.71</v>
      </c>
    </row>
    <row r="846">
      <c r="A846" s="282" t="inlineStr">
        <is>
          <t>2009-06-25</t>
        </is>
      </c>
      <c r="B846" s="240">
        <f>IFERROR(1/P846-1,B845)</f>
        <v/>
      </c>
      <c r="C846" s="240">
        <f>$C$3</f>
        <v/>
      </c>
      <c r="D846" s="240">
        <f>$D$3</f>
        <v/>
      </c>
      <c r="E846" s="240">
        <f>$E$3</f>
        <v/>
      </c>
      <c r="F846" s="241" t="n">
        <v>40.36</v>
      </c>
      <c r="G846" s="242" t="n">
        <v>0</v>
      </c>
      <c r="H846" s="241" t="n">
        <v>0</v>
      </c>
      <c r="I846" s="241" t="n">
        <v>-8.17</v>
      </c>
      <c r="J846" s="241" t="n">
        <v>35.39</v>
      </c>
      <c r="K846" s="241" t="n">
        <v>25.13</v>
      </c>
      <c r="L846" s="242" t="n">
        <v>1795590</v>
      </c>
      <c r="M846" s="241" t="n">
        <v>6.34</v>
      </c>
      <c r="N846" s="241" t="n">
        <v>3.83</v>
      </c>
      <c r="O846" s="241" t="n">
        <v>47.03</v>
      </c>
      <c r="P846" s="241" t="n">
        <v>1.61</v>
      </c>
    </row>
    <row r="847">
      <c r="A847" s="282" t="inlineStr">
        <is>
          <t>2009-06-26</t>
        </is>
      </c>
      <c r="B847" s="240">
        <f>IFERROR(1/P847-1,B846)</f>
        <v/>
      </c>
      <c r="C847" s="240">
        <f>$C$3</f>
        <v/>
      </c>
      <c r="D847" s="240">
        <f>$D$3</f>
        <v/>
      </c>
      <c r="E847" s="240">
        <f>$E$3</f>
        <v/>
      </c>
      <c r="F847" s="241" t="n">
        <v>39.14</v>
      </c>
      <c r="G847" s="242" t="n">
        <v>10073052</v>
      </c>
      <c r="H847" s="241" t="n">
        <v>-3.02</v>
      </c>
      <c r="I847" s="241" t="n">
        <v>-14.43</v>
      </c>
      <c r="J847" s="241" t="n">
        <v>31.3</v>
      </c>
      <c r="K847" s="241" t="n">
        <v>25.74</v>
      </c>
      <c r="L847" s="242" t="n">
        <v>1536340</v>
      </c>
      <c r="M847" s="241" t="n">
        <v>2.46</v>
      </c>
      <c r="N847" s="241" t="n">
        <v>0.86</v>
      </c>
      <c r="O847" s="241" t="n">
        <v>50.64</v>
      </c>
      <c r="P847" s="241" t="n">
        <v>1.52</v>
      </c>
    </row>
    <row r="848">
      <c r="A848" s="282" t="inlineStr">
        <is>
          <t>2009-06-29</t>
        </is>
      </c>
      <c r="B848" s="240">
        <f>IFERROR(1/P848-1,B847)</f>
        <v/>
      </c>
      <c r="C848" s="240">
        <f>$C$3</f>
        <v/>
      </c>
      <c r="D848" s="240">
        <f>$D$3</f>
        <v/>
      </c>
      <c r="E848" s="240">
        <f>$E$3</f>
        <v/>
      </c>
      <c r="F848" s="241" t="n">
        <v>39.48</v>
      </c>
      <c r="G848" s="242" t="n">
        <v>10004199</v>
      </c>
      <c r="H848" s="241" t="n">
        <v>0.87</v>
      </c>
      <c r="I848" s="241" t="n">
        <v>-14.79</v>
      </c>
      <c r="J848" s="241" t="n">
        <v>32.44</v>
      </c>
      <c r="K848" s="241" t="n">
        <v>25.34</v>
      </c>
      <c r="L848" s="242" t="n">
        <v>962107</v>
      </c>
      <c r="M848" s="241" t="n">
        <v>-1.54</v>
      </c>
      <c r="N848" s="241" t="n">
        <v>-2.21</v>
      </c>
      <c r="O848" s="241" t="n">
        <v>48.31</v>
      </c>
      <c r="P848" s="241" t="n">
        <v>1.56</v>
      </c>
    </row>
    <row r="849">
      <c r="A849" s="282" t="inlineStr">
        <is>
          <t>2009-06-30</t>
        </is>
      </c>
      <c r="B849" s="240">
        <f>IFERROR(1/P849-1,B848)</f>
        <v/>
      </c>
      <c r="C849" s="240">
        <f>$C$3</f>
        <v/>
      </c>
      <c r="D849" s="240">
        <f>$D$3</f>
        <v/>
      </c>
      <c r="E849" s="240">
        <f>$E$3</f>
        <v/>
      </c>
      <c r="F849" s="241" t="n">
        <v>38.9</v>
      </c>
      <c r="G849" s="242" t="n">
        <v>8211498</v>
      </c>
      <c r="H849" s="241" t="n">
        <v>-1.47</v>
      </c>
      <c r="I849" s="241" t="n">
        <v>-16.04</v>
      </c>
      <c r="J849" s="241" t="n">
        <v>30.49</v>
      </c>
      <c r="K849" s="241" t="n">
        <v>24.42</v>
      </c>
      <c r="L849" s="242" t="n">
        <v>839234</v>
      </c>
      <c r="M849" s="241" t="n">
        <v>-3.65</v>
      </c>
      <c r="N849" s="241" t="n">
        <v>-7.67</v>
      </c>
      <c r="O849" s="241" t="n">
        <v>42.9</v>
      </c>
      <c r="P849" s="241" t="n">
        <v>1.59</v>
      </c>
    </row>
    <row r="850">
      <c r="A850" s="282" t="inlineStr">
        <is>
          <t>2009-07-01</t>
        </is>
      </c>
      <c r="B850" s="240">
        <f>IFERROR(1/P850-1,B849)</f>
        <v/>
      </c>
      <c r="C850" s="240">
        <f>$C$3</f>
        <v/>
      </c>
      <c r="D850" s="240">
        <f>$D$3</f>
        <v/>
      </c>
      <c r="E850" s="240">
        <f>$E$3</f>
        <v/>
      </c>
      <c r="F850" s="241" t="n">
        <v>38.89</v>
      </c>
      <c r="G850" s="242" t="n">
        <v>5586288</v>
      </c>
      <c r="H850" s="241" t="n">
        <v>-0.03</v>
      </c>
      <c r="I850" s="241" t="n">
        <v>-16.06</v>
      </c>
      <c r="J850" s="241" t="n">
        <v>30.46</v>
      </c>
      <c r="K850" s="239" t="inlineStr">
        <is>
          <t>--</t>
        </is>
      </c>
      <c r="L850" s="239" t="inlineStr">
        <is>
          <t>--</t>
        </is>
      </c>
      <c r="M850" s="239" t="inlineStr">
        <is>
          <t>--</t>
        </is>
      </c>
      <c r="N850" s="239" t="inlineStr">
        <is>
          <t>--</t>
        </is>
      </c>
      <c r="O850" s="239" t="inlineStr">
        <is>
          <t>--</t>
        </is>
      </c>
      <c r="P850" s="239" t="inlineStr">
        <is>
          <t>--</t>
        </is>
      </c>
    </row>
    <row r="851">
      <c r="A851" s="282" t="inlineStr">
        <is>
          <t>2009-07-02</t>
        </is>
      </c>
      <c r="B851" s="240">
        <f>IFERROR(1/P851-1,B850)</f>
        <v/>
      </c>
      <c r="C851" s="240">
        <f>$C$3</f>
        <v/>
      </c>
      <c r="D851" s="240">
        <f>$D$3</f>
        <v/>
      </c>
      <c r="E851" s="240">
        <f>$E$3</f>
        <v/>
      </c>
      <c r="F851" s="241" t="n">
        <v>40.66</v>
      </c>
      <c r="G851" s="242" t="n">
        <v>15599668</v>
      </c>
      <c r="H851" s="241" t="n">
        <v>4.55</v>
      </c>
      <c r="I851" s="241" t="n">
        <v>-12.71</v>
      </c>
      <c r="J851" s="241" t="n">
        <v>36.4</v>
      </c>
      <c r="K851" s="241" t="n">
        <v>24.37</v>
      </c>
      <c r="L851" s="242" t="n">
        <v>1440445</v>
      </c>
      <c r="M851" s="241" t="n">
        <v>-0.18</v>
      </c>
      <c r="N851" s="241" t="n">
        <v>-13.73</v>
      </c>
      <c r="O851" s="241" t="n">
        <v>42.64</v>
      </c>
      <c r="P851" s="241" t="n">
        <v>1.67</v>
      </c>
    </row>
    <row r="852">
      <c r="A852" s="282" t="inlineStr">
        <is>
          <t>2009-07-03</t>
        </is>
      </c>
      <c r="B852" s="240">
        <f>IFERROR(1/P852-1,B851)</f>
        <v/>
      </c>
      <c r="C852" s="240">
        <f>$C$3</f>
        <v/>
      </c>
      <c r="D852" s="240">
        <f>$D$3</f>
        <v/>
      </c>
      <c r="E852" s="240">
        <f>$E$3</f>
        <v/>
      </c>
      <c r="F852" s="241" t="n">
        <v>40.91</v>
      </c>
      <c r="G852" s="242" t="n">
        <v>12085499</v>
      </c>
      <c r="H852" s="241" t="n">
        <v>0.61</v>
      </c>
      <c r="I852" s="241" t="n">
        <v>-11.03</v>
      </c>
      <c r="J852" s="241" t="n">
        <v>37.24</v>
      </c>
      <c r="K852" s="241" t="n">
        <v>24.38</v>
      </c>
      <c r="L852" s="242" t="n">
        <v>541968</v>
      </c>
      <c r="M852" s="241" t="n">
        <v>0</v>
      </c>
      <c r="N852" s="241" t="n">
        <v>-12.08</v>
      </c>
      <c r="O852" s="241" t="n">
        <v>42.64</v>
      </c>
      <c r="P852" s="241" t="n">
        <v>1.68</v>
      </c>
    </row>
    <row r="853">
      <c r="A853" s="282" t="inlineStr">
        <is>
          <t>2009-07-06</t>
        </is>
      </c>
      <c r="B853" s="240">
        <f>IFERROR(1/P853-1,B852)</f>
        <v/>
      </c>
      <c r="C853" s="240">
        <f>$C$3</f>
        <v/>
      </c>
      <c r="D853" s="240">
        <f>$D$3</f>
        <v/>
      </c>
      <c r="E853" s="240">
        <f>$E$3</f>
        <v/>
      </c>
      <c r="F853" s="241" t="n">
        <v>40.11</v>
      </c>
      <c r="G853" s="242" t="n">
        <v>13432552</v>
      </c>
      <c r="H853" s="241" t="n">
        <v>-1.96</v>
      </c>
      <c r="I853" s="241" t="n">
        <v>-6</v>
      </c>
      <c r="J853" s="241" t="n">
        <v>34.55</v>
      </c>
      <c r="K853" s="241" t="n">
        <v>24.2</v>
      </c>
      <c r="L853" s="242" t="n">
        <v>438000</v>
      </c>
      <c r="M853" s="241" t="n">
        <v>-0.72</v>
      </c>
      <c r="N853" s="241" t="n">
        <v>-15.54</v>
      </c>
      <c r="O853" s="241" t="n">
        <v>41.61</v>
      </c>
      <c r="P853" s="241" t="n">
        <v>1.66</v>
      </c>
    </row>
    <row r="854">
      <c r="A854" s="282" t="inlineStr">
        <is>
          <t>2009-07-07</t>
        </is>
      </c>
      <c r="B854" s="240">
        <f>IFERROR(1/P854-1,B853)</f>
        <v/>
      </c>
      <c r="C854" s="240">
        <f>$C$3</f>
        <v/>
      </c>
      <c r="D854" s="240">
        <f>$D$3</f>
        <v/>
      </c>
      <c r="E854" s="240">
        <f>$E$3</f>
        <v/>
      </c>
      <c r="F854" s="241" t="n">
        <v>41.5</v>
      </c>
      <c r="G854" s="242" t="n">
        <v>12739814</v>
      </c>
      <c r="H854" s="241" t="n">
        <v>3.47</v>
      </c>
      <c r="I854" s="241" t="n">
        <v>-2.74</v>
      </c>
      <c r="J854" s="241" t="n">
        <v>39.22</v>
      </c>
      <c r="K854" s="241" t="n">
        <v>23.89</v>
      </c>
      <c r="L854" s="242" t="n">
        <v>537545</v>
      </c>
      <c r="M854" s="241" t="n">
        <v>-1.27</v>
      </c>
      <c r="N854" s="241" t="n">
        <v>-16.62</v>
      </c>
      <c r="O854" s="241" t="n">
        <v>39.8</v>
      </c>
      <c r="P854" s="241" t="n">
        <v>1.74</v>
      </c>
    </row>
    <row r="855">
      <c r="A855" s="282" t="inlineStr">
        <is>
          <t>2009-07-08</t>
        </is>
      </c>
      <c r="B855" s="240">
        <f>IFERROR(1/P855-1,B854)</f>
        <v/>
      </c>
      <c r="C855" s="240">
        <f>$C$3</f>
        <v/>
      </c>
      <c r="D855" s="240">
        <f>$D$3</f>
        <v/>
      </c>
      <c r="E855" s="240">
        <f>$E$3</f>
        <v/>
      </c>
      <c r="F855" s="241" t="n">
        <v>41.19</v>
      </c>
      <c r="G855" s="242" t="n">
        <v>8318660</v>
      </c>
      <c r="H855" s="241" t="n">
        <v>-0.75</v>
      </c>
      <c r="I855" s="241" t="n">
        <v>-3.47</v>
      </c>
      <c r="J855" s="241" t="n">
        <v>38.18</v>
      </c>
      <c r="K855" s="241" t="n">
        <v>23.06</v>
      </c>
      <c r="L855" s="242" t="n">
        <v>1148352</v>
      </c>
      <c r="M855" s="241" t="n">
        <v>-3.51</v>
      </c>
      <c r="N855" s="241" t="n">
        <v>-19.54</v>
      </c>
      <c r="O855" s="241" t="n">
        <v>34.9</v>
      </c>
      <c r="P855" s="241" t="n">
        <v>1.79</v>
      </c>
    </row>
    <row r="856">
      <c r="A856" s="282" t="inlineStr">
        <is>
          <t>2009-07-09</t>
        </is>
      </c>
      <c r="B856" s="240">
        <f>IFERROR(1/P856-1,B855)</f>
        <v/>
      </c>
      <c r="C856" s="240">
        <f>$C$3</f>
        <v/>
      </c>
      <c r="D856" s="240">
        <f>$D$3</f>
        <v/>
      </c>
      <c r="E856" s="240">
        <f>$E$3</f>
        <v/>
      </c>
      <c r="F856" s="241" t="n">
        <v>41.94</v>
      </c>
      <c r="G856" s="242" t="n">
        <v>12110411</v>
      </c>
      <c r="H856" s="241" t="n">
        <v>1.82</v>
      </c>
      <c r="I856" s="241" t="n">
        <v>-0.38</v>
      </c>
      <c r="J856" s="241" t="n">
        <v>40.69</v>
      </c>
      <c r="K856" s="241" t="n">
        <v>23.63</v>
      </c>
      <c r="L856" s="242" t="n">
        <v>1396600</v>
      </c>
      <c r="M856" s="241" t="n">
        <v>2.49</v>
      </c>
      <c r="N856" s="241" t="n">
        <v>-14.79</v>
      </c>
      <c r="O856" s="241" t="n">
        <v>38.26</v>
      </c>
      <c r="P856" s="241" t="n">
        <v>1.78</v>
      </c>
    </row>
    <row r="857">
      <c r="A857" s="282" t="inlineStr">
        <is>
          <t>2009-07-10</t>
        </is>
      </c>
      <c r="B857" s="240">
        <f>IFERROR(1/P857-1,B856)</f>
        <v/>
      </c>
      <c r="C857" s="240">
        <f>$C$3</f>
        <v/>
      </c>
      <c r="D857" s="240">
        <f>$D$3</f>
        <v/>
      </c>
      <c r="E857" s="240">
        <f>$E$3</f>
        <v/>
      </c>
      <c r="F857" s="241" t="n">
        <v>41.79</v>
      </c>
      <c r="G857" s="242" t="n">
        <v>11272971</v>
      </c>
      <c r="H857" s="241" t="n">
        <v>-0.36</v>
      </c>
      <c r="I857" s="241" t="n">
        <v>-3.42</v>
      </c>
      <c r="J857" s="241" t="n">
        <v>40.19</v>
      </c>
      <c r="K857" s="241" t="n">
        <v>24.5</v>
      </c>
      <c r="L857" s="242" t="n">
        <v>2092518</v>
      </c>
      <c r="M857" s="241" t="n">
        <v>3.73</v>
      </c>
      <c r="N857" s="241" t="n">
        <v>-2.8</v>
      </c>
      <c r="O857" s="241" t="n">
        <v>43.41</v>
      </c>
      <c r="P857" s="241" t="n">
        <v>1.71</v>
      </c>
    </row>
    <row r="858">
      <c r="A858" s="282" t="inlineStr">
        <is>
          <t>2009-07-13</t>
        </is>
      </c>
      <c r="B858" s="240">
        <f>IFERROR(1/P858-1,B857)</f>
        <v/>
      </c>
      <c r="C858" s="240">
        <f>$C$3</f>
        <v/>
      </c>
      <c r="D858" s="240">
        <f>$D$3</f>
        <v/>
      </c>
      <c r="E858" s="240">
        <f>$E$3</f>
        <v/>
      </c>
      <c r="F858" s="241" t="n">
        <v>42.76</v>
      </c>
      <c r="G858" s="242" t="n">
        <v>10781368</v>
      </c>
      <c r="H858" s="241" t="n">
        <v>2.32</v>
      </c>
      <c r="I858" s="241" t="n">
        <v>2.49</v>
      </c>
      <c r="J858" s="241" t="n">
        <v>43.44</v>
      </c>
      <c r="K858" s="241" t="n">
        <v>24.51</v>
      </c>
      <c r="L858" s="242" t="n">
        <v>1663060</v>
      </c>
      <c r="M858" s="241" t="n">
        <v>0</v>
      </c>
      <c r="N858" s="241" t="n">
        <v>0</v>
      </c>
      <c r="O858" s="241" t="n">
        <v>43.41</v>
      </c>
      <c r="P858" s="241" t="n">
        <v>1.74</v>
      </c>
    </row>
    <row r="859">
      <c r="A859" s="282" t="inlineStr">
        <is>
          <t>2009-07-14</t>
        </is>
      </c>
      <c r="B859" s="240">
        <f>IFERROR(1/P859-1,B858)</f>
        <v/>
      </c>
      <c r="C859" s="240">
        <f>$C$3</f>
        <v/>
      </c>
      <c r="D859" s="240">
        <f>$D$3</f>
        <v/>
      </c>
      <c r="E859" s="240">
        <f>$E$3</f>
        <v/>
      </c>
      <c r="F859" s="241" t="n">
        <v>42.85</v>
      </c>
      <c r="G859" s="242" t="n">
        <v>7672224</v>
      </c>
      <c r="H859" s="241" t="n">
        <v>0.21</v>
      </c>
      <c r="I859" s="241" t="n">
        <v>2.71</v>
      </c>
      <c r="J859" s="241" t="n">
        <v>43.74</v>
      </c>
      <c r="K859" s="241" t="n">
        <v>24.47</v>
      </c>
      <c r="L859" s="242" t="n">
        <v>1593869</v>
      </c>
      <c r="M859" s="241" t="n">
        <v>-0.18</v>
      </c>
      <c r="N859" s="241" t="n">
        <v>-0.18</v>
      </c>
      <c r="O859" s="241" t="n">
        <v>43.16</v>
      </c>
      <c r="P859" s="241" t="n">
        <v>1.75</v>
      </c>
    </row>
    <row r="860">
      <c r="A860" s="282" t="inlineStr">
        <is>
          <t>2009-07-15</t>
        </is>
      </c>
      <c r="B860" s="240">
        <f>IFERROR(1/P860-1,B859)</f>
        <v/>
      </c>
      <c r="C860" s="240">
        <f>$C$3</f>
        <v/>
      </c>
      <c r="D860" s="240">
        <f>$D$3</f>
        <v/>
      </c>
      <c r="E860" s="240">
        <f>$E$3</f>
        <v/>
      </c>
      <c r="F860" s="241" t="n">
        <v>42.17</v>
      </c>
      <c r="G860" s="242" t="n">
        <v>9718678</v>
      </c>
      <c r="H860" s="241" t="n">
        <v>-1.59</v>
      </c>
      <c r="I860" s="241" t="n">
        <v>1.08</v>
      </c>
      <c r="J860" s="241" t="n">
        <v>41.46</v>
      </c>
      <c r="K860" s="241" t="n">
        <v>24.24</v>
      </c>
      <c r="L860" s="242" t="n">
        <v>2419204</v>
      </c>
      <c r="M860" s="241" t="n">
        <v>-0.9</v>
      </c>
      <c r="N860" s="241" t="n">
        <v>-1.08</v>
      </c>
      <c r="O860" s="241" t="n">
        <v>41.87</v>
      </c>
      <c r="P860" s="241" t="n">
        <v>1.74</v>
      </c>
    </row>
    <row r="861">
      <c r="A861" s="282" t="inlineStr">
        <is>
          <t>2009-07-16</t>
        </is>
      </c>
      <c r="B861" s="240">
        <f>IFERROR(1/P861-1,B860)</f>
        <v/>
      </c>
      <c r="C861" s="240">
        <f>$C$3</f>
        <v/>
      </c>
      <c r="D861" s="240">
        <f>$D$3</f>
        <v/>
      </c>
      <c r="E861" s="240">
        <f>$E$3</f>
        <v/>
      </c>
      <c r="F861" s="241" t="n">
        <v>42.03</v>
      </c>
      <c r="G861" s="242" t="n">
        <v>9309321</v>
      </c>
      <c r="H861" s="241" t="n">
        <v>-0.33</v>
      </c>
      <c r="I861" s="241" t="n">
        <v>-0.66</v>
      </c>
      <c r="J861" s="241" t="n">
        <v>40.99</v>
      </c>
      <c r="K861" s="241" t="n">
        <v>24.24</v>
      </c>
      <c r="L861" s="242" t="n">
        <v>1596318</v>
      </c>
      <c r="M861" s="241" t="n">
        <v>0</v>
      </c>
      <c r="N861" s="241" t="n">
        <v>3.38</v>
      </c>
      <c r="O861" s="241" t="n">
        <v>41.87</v>
      </c>
      <c r="P861" s="241" t="n">
        <v>1.73</v>
      </c>
    </row>
    <row r="862">
      <c r="A862" s="282" t="inlineStr">
        <is>
          <t>2009-07-17</t>
        </is>
      </c>
      <c r="B862" s="240">
        <f>IFERROR(1/P862-1,B861)</f>
        <v/>
      </c>
      <c r="C862" s="240">
        <f>$C$3</f>
        <v/>
      </c>
      <c r="D862" s="240">
        <f>$D$3</f>
        <v/>
      </c>
      <c r="E862" s="240">
        <f>$E$3</f>
        <v/>
      </c>
      <c r="F862" s="241" t="n">
        <v>42.37</v>
      </c>
      <c r="G862" s="242" t="n">
        <v>8063058</v>
      </c>
      <c r="H862" s="241" t="n">
        <v>0.8100000000000001</v>
      </c>
      <c r="I862" s="241" t="n">
        <v>1</v>
      </c>
      <c r="J862" s="241" t="n">
        <v>42.13</v>
      </c>
      <c r="K862" s="241" t="n">
        <v>24.19</v>
      </c>
      <c r="L862" s="242" t="n">
        <v>1400206</v>
      </c>
      <c r="M862" s="241" t="n">
        <v>-0.18</v>
      </c>
      <c r="N862" s="241" t="n">
        <v>4.77</v>
      </c>
      <c r="O862" s="241" t="n">
        <v>41.61</v>
      </c>
      <c r="P862" s="241" t="n">
        <v>1.75</v>
      </c>
    </row>
    <row r="863">
      <c r="A863" s="282" t="inlineStr">
        <is>
          <t>2009-07-20</t>
        </is>
      </c>
      <c r="B863" s="240">
        <f>IFERROR(1/P863-1,B862)</f>
        <v/>
      </c>
      <c r="C863" s="240">
        <f>$C$3</f>
        <v/>
      </c>
      <c r="D863" s="240">
        <f>$D$3</f>
        <v/>
      </c>
      <c r="E863" s="240">
        <f>$E$3</f>
        <v/>
      </c>
      <c r="F863" s="241" t="n">
        <v>42.26</v>
      </c>
      <c r="G863" s="242" t="n">
        <v>9278106</v>
      </c>
      <c r="H863" s="241" t="n">
        <v>-0.26</v>
      </c>
      <c r="I863" s="241" t="n">
        <v>4.73</v>
      </c>
      <c r="J863" s="241" t="n">
        <v>41.76</v>
      </c>
      <c r="K863" s="241" t="n">
        <v>26.27</v>
      </c>
      <c r="L863" s="242" t="n">
        <v>2711996</v>
      </c>
      <c r="M863" s="241" t="n">
        <v>8.56</v>
      </c>
      <c r="N863" s="241" t="n">
        <v>11.4</v>
      </c>
      <c r="O863" s="241" t="n">
        <v>53.73</v>
      </c>
      <c r="P863" s="241" t="n">
        <v>1.61</v>
      </c>
    </row>
    <row r="864">
      <c r="A864" s="282" t="inlineStr">
        <is>
          <t>2009-07-21</t>
        </is>
      </c>
      <c r="B864" s="240">
        <f>IFERROR(1/P864-1,B863)</f>
        <v/>
      </c>
      <c r="C864" s="240">
        <f>$C$3</f>
        <v/>
      </c>
      <c r="D864" s="240">
        <f>$D$3</f>
        <v/>
      </c>
      <c r="E864" s="240">
        <f>$E$3</f>
        <v/>
      </c>
      <c r="F864" s="241" t="n">
        <v>41.17</v>
      </c>
      <c r="G864" s="242" t="n">
        <v>11473681</v>
      </c>
      <c r="H864" s="241" t="n">
        <v>-2.58</v>
      </c>
      <c r="I864" s="241" t="n">
        <v>2.03</v>
      </c>
      <c r="J864" s="241" t="n">
        <v>38.11</v>
      </c>
      <c r="K864" s="241" t="n">
        <v>26.44</v>
      </c>
      <c r="L864" s="242" t="n">
        <v>1397170</v>
      </c>
      <c r="M864" s="241" t="n">
        <v>0.67</v>
      </c>
      <c r="N864" s="241" t="n">
        <v>12.15</v>
      </c>
      <c r="O864" s="241" t="n">
        <v>54.76</v>
      </c>
      <c r="P864" s="241" t="n">
        <v>1.56</v>
      </c>
    </row>
    <row r="865">
      <c r="A865" s="282" t="inlineStr">
        <is>
          <t>2009-07-22</t>
        </is>
      </c>
      <c r="B865" s="240">
        <f>IFERROR(1/P865-1,B864)</f>
        <v/>
      </c>
      <c r="C865" s="240">
        <f>$C$3</f>
        <v/>
      </c>
      <c r="D865" s="240">
        <f>$D$3</f>
        <v/>
      </c>
      <c r="E865" s="240">
        <f>$E$3</f>
        <v/>
      </c>
      <c r="F865" s="241" t="n">
        <v>40.49</v>
      </c>
      <c r="G865" s="242" t="n">
        <v>14622477</v>
      </c>
      <c r="H865" s="241" t="n">
        <v>-1.65</v>
      </c>
      <c r="I865" s="241" t="n">
        <v>0.35</v>
      </c>
      <c r="J865" s="241" t="n">
        <v>35.83</v>
      </c>
      <c r="K865" s="241" t="n">
        <v>27.76</v>
      </c>
      <c r="L865" s="242" t="n">
        <v>2994971</v>
      </c>
      <c r="M865" s="241" t="n">
        <v>5</v>
      </c>
      <c r="N865" s="241" t="n">
        <v>17.76</v>
      </c>
      <c r="O865" s="241" t="n">
        <v>62.5</v>
      </c>
      <c r="P865" s="241" t="n">
        <v>1.46</v>
      </c>
    </row>
    <row r="866">
      <c r="A866" s="282" t="inlineStr">
        <is>
          <t>2009-07-23</t>
        </is>
      </c>
      <c r="B866" s="240">
        <f>IFERROR(1/P866-1,B865)</f>
        <v/>
      </c>
      <c r="C866" s="240">
        <f>$C$3</f>
        <v/>
      </c>
      <c r="D866" s="240">
        <f>$D$3</f>
        <v/>
      </c>
      <c r="E866" s="240">
        <f>$E$3</f>
        <v/>
      </c>
      <c r="F866" s="241" t="n">
        <v>41.16</v>
      </c>
      <c r="G866" s="242" t="n">
        <v>12415471</v>
      </c>
      <c r="H866" s="241" t="n">
        <v>1.65</v>
      </c>
      <c r="I866" s="241" t="n">
        <v>4.33</v>
      </c>
      <c r="J866" s="241" t="n">
        <v>38.07</v>
      </c>
      <c r="K866" s="241" t="n">
        <v>29</v>
      </c>
      <c r="L866" s="242" t="n">
        <v>2175979</v>
      </c>
      <c r="M866" s="241" t="n">
        <v>4.44</v>
      </c>
      <c r="N866" s="241" t="n">
        <v>20.96</v>
      </c>
      <c r="O866" s="241" t="n">
        <v>69.72</v>
      </c>
      <c r="P866" s="241" t="n">
        <v>1.42</v>
      </c>
    </row>
    <row r="867">
      <c r="A867" s="282" t="inlineStr">
        <is>
          <t>2009-07-24</t>
        </is>
      </c>
      <c r="B867" s="240">
        <f>IFERROR(1/P867-1,B866)</f>
        <v/>
      </c>
      <c r="C867" s="240">
        <f>$C$3</f>
        <v/>
      </c>
      <c r="D867" s="240">
        <f>$D$3</f>
        <v/>
      </c>
      <c r="E867" s="240">
        <f>$E$3</f>
        <v/>
      </c>
      <c r="F867" s="241" t="n">
        <v>40.01</v>
      </c>
      <c r="G867" s="242" t="n">
        <v>9348357</v>
      </c>
      <c r="H867" s="241" t="n">
        <v>-2.79</v>
      </c>
      <c r="I867" s="241" t="n">
        <v>0.35</v>
      </c>
      <c r="J867" s="241" t="n">
        <v>34.22</v>
      </c>
      <c r="K867" s="241" t="n">
        <v>29.71</v>
      </c>
      <c r="L867" s="242" t="n">
        <v>2046270</v>
      </c>
      <c r="M867" s="241" t="n">
        <v>2.43</v>
      </c>
      <c r="N867" s="241" t="n">
        <v>25.75</v>
      </c>
      <c r="O867" s="241" t="n">
        <v>73.84999999999999</v>
      </c>
      <c r="P867" s="241" t="n">
        <v>1.35</v>
      </c>
    </row>
    <row r="868">
      <c r="A868" s="282" t="inlineStr">
        <is>
          <t>2009-07-27</t>
        </is>
      </c>
      <c r="B868" s="240">
        <f>IFERROR(1/P868-1,B867)</f>
        <v/>
      </c>
      <c r="C868" s="240">
        <f>$C$3</f>
        <v/>
      </c>
      <c r="D868" s="240">
        <f>$D$3</f>
        <v/>
      </c>
      <c r="E868" s="240">
        <f>$E$3</f>
        <v/>
      </c>
      <c r="F868" s="241" t="n">
        <v>40.66</v>
      </c>
      <c r="G868" s="242" t="n">
        <v>6328622</v>
      </c>
      <c r="H868" s="241" t="n">
        <v>1.62</v>
      </c>
      <c r="I868" s="241" t="n">
        <v>3.88</v>
      </c>
      <c r="J868" s="241" t="n">
        <v>36.4</v>
      </c>
      <c r="K868" s="241" t="n">
        <v>29.71</v>
      </c>
      <c r="L868" s="242" t="n">
        <v>1231749</v>
      </c>
      <c r="M868" s="241" t="n">
        <v>0</v>
      </c>
      <c r="N868" s="241" t="n">
        <v>15.41</v>
      </c>
      <c r="O868" s="241" t="n">
        <v>73.84999999999999</v>
      </c>
      <c r="P868" s="241" t="n">
        <v>1.37</v>
      </c>
    </row>
    <row r="869">
      <c r="A869" s="282" t="inlineStr">
        <is>
          <t>2009-07-28</t>
        </is>
      </c>
      <c r="B869" s="240">
        <f>IFERROR(1/P869-1,B868)</f>
        <v/>
      </c>
      <c r="C869" s="240">
        <f>$C$3</f>
        <v/>
      </c>
      <c r="D869" s="240">
        <f>$D$3</f>
        <v/>
      </c>
      <c r="E869" s="240">
        <f>$E$3</f>
        <v/>
      </c>
      <c r="F869" s="241" t="n">
        <v>43.39</v>
      </c>
      <c r="G869" s="242" t="n">
        <v>22880715</v>
      </c>
      <c r="H869" s="241" t="n">
        <v>6.71</v>
      </c>
      <c r="I869" s="241" t="n">
        <v>10.86</v>
      </c>
      <c r="J869" s="241" t="n">
        <v>45.56</v>
      </c>
      <c r="K869" s="241" t="n">
        <v>32.52</v>
      </c>
      <c r="L869" s="242" t="n">
        <v>3529157</v>
      </c>
      <c r="M869" s="241" t="n">
        <v>9.5</v>
      </c>
      <c r="N869" s="241" t="n">
        <v>26.37</v>
      </c>
      <c r="O869" s="241" t="n">
        <v>90.36</v>
      </c>
      <c r="P869" s="241" t="n">
        <v>1.33</v>
      </c>
    </row>
    <row r="870">
      <c r="A870" s="282" t="inlineStr">
        <is>
          <t>2009-07-29</t>
        </is>
      </c>
      <c r="B870" s="240">
        <f>IFERROR(1/P870-1,B869)</f>
        <v/>
      </c>
      <c r="C870" s="240">
        <f>$C$3</f>
        <v/>
      </c>
      <c r="D870" s="240">
        <f>$D$3</f>
        <v/>
      </c>
      <c r="E870" s="240">
        <f>$E$3</f>
        <v/>
      </c>
      <c r="F870" s="241" t="n">
        <v>40.91</v>
      </c>
      <c r="G870" s="242" t="n">
        <v>13533823</v>
      </c>
      <c r="H870" s="241" t="n">
        <v>-5.72</v>
      </c>
      <c r="I870" s="241" t="n">
        <v>4.52</v>
      </c>
      <c r="J870" s="241" t="n">
        <v>37.24</v>
      </c>
      <c r="K870" s="241" t="n">
        <v>33.76</v>
      </c>
      <c r="L870" s="242" t="n">
        <v>3387400</v>
      </c>
      <c r="M870" s="241" t="n">
        <v>3.79</v>
      </c>
      <c r="N870" s="241" t="n">
        <v>31.16</v>
      </c>
      <c r="O870" s="241" t="n">
        <v>97.58</v>
      </c>
      <c r="P870" s="241" t="n">
        <v>1.21</v>
      </c>
    </row>
    <row r="871">
      <c r="A871" s="282" t="inlineStr">
        <is>
          <t>2009-07-30</t>
        </is>
      </c>
      <c r="B871" s="240">
        <f>IFERROR(1/P871-1,B870)</f>
        <v/>
      </c>
      <c r="C871" s="240">
        <f>$C$3</f>
        <v/>
      </c>
      <c r="D871" s="240">
        <f>$D$3</f>
        <v/>
      </c>
      <c r="E871" s="240">
        <f>$E$3</f>
        <v/>
      </c>
      <c r="F871" s="241" t="n">
        <v>42.2</v>
      </c>
      <c r="G871" s="242" t="n">
        <v>10496912</v>
      </c>
      <c r="H871" s="241" t="n">
        <v>3.15</v>
      </c>
      <c r="I871" s="241" t="n">
        <v>6.89</v>
      </c>
      <c r="J871" s="241" t="n">
        <v>41.56</v>
      </c>
      <c r="K871" s="241" t="n">
        <v>32.62</v>
      </c>
      <c r="L871" s="242" t="n">
        <v>2167022</v>
      </c>
      <c r="M871" s="241" t="n">
        <v>-3.39</v>
      </c>
      <c r="N871" s="241" t="n">
        <v>28.7</v>
      </c>
      <c r="O871" s="241" t="n">
        <v>90.87</v>
      </c>
      <c r="P871" s="241" t="n">
        <v>1.29</v>
      </c>
    </row>
    <row r="872">
      <c r="A872" s="282" t="inlineStr">
        <is>
          <t>2009-07-31</t>
        </is>
      </c>
      <c r="B872" s="240">
        <f>IFERROR(1/P872-1,B871)</f>
        <v/>
      </c>
      <c r="C872" s="240">
        <f>$C$3</f>
        <v/>
      </c>
      <c r="D872" s="240">
        <f>$D$3</f>
        <v/>
      </c>
      <c r="E872" s="240">
        <f>$E$3</f>
        <v/>
      </c>
      <c r="F872" s="241" t="n">
        <v>43.49</v>
      </c>
      <c r="G872" s="242" t="n">
        <v>14084136</v>
      </c>
      <c r="H872" s="241" t="n">
        <v>3.06</v>
      </c>
      <c r="I872" s="241" t="n">
        <v>10.16</v>
      </c>
      <c r="J872" s="241" t="n">
        <v>45.89</v>
      </c>
      <c r="K872" s="241" t="n">
        <v>33.46</v>
      </c>
      <c r="L872" s="242" t="n">
        <v>1199473</v>
      </c>
      <c r="M872" s="241" t="n">
        <v>2.57</v>
      </c>
      <c r="N872" s="241" t="n">
        <v>32</v>
      </c>
      <c r="O872" s="241" t="n">
        <v>95.78</v>
      </c>
      <c r="P872" s="241" t="n">
        <v>1.3</v>
      </c>
    </row>
    <row r="873">
      <c r="A873" s="282" t="inlineStr">
        <is>
          <t>2009-08-03</t>
        </is>
      </c>
      <c r="B873" s="240">
        <f>IFERROR(1/P873-1,B872)</f>
        <v/>
      </c>
      <c r="C873" s="240">
        <f>$C$3</f>
        <v/>
      </c>
      <c r="D873" s="240">
        <f>$D$3</f>
        <v/>
      </c>
      <c r="E873" s="240">
        <f>$E$3</f>
        <v/>
      </c>
      <c r="F873" s="241" t="n">
        <v>43.65</v>
      </c>
      <c r="G873" s="242" t="n">
        <v>10991588</v>
      </c>
      <c r="H873" s="241" t="n">
        <v>0.37</v>
      </c>
      <c r="I873" s="241" t="n">
        <v>7.35</v>
      </c>
      <c r="J873" s="241" t="n">
        <v>46.43</v>
      </c>
      <c r="K873" s="241" t="n">
        <v>34.9</v>
      </c>
      <c r="L873" s="242" t="n">
        <v>857800</v>
      </c>
      <c r="M873" s="241" t="n">
        <v>4.35</v>
      </c>
      <c r="N873" s="241" t="n">
        <v>43.22</v>
      </c>
      <c r="O873" s="241" t="n">
        <v>104.29</v>
      </c>
      <c r="P873" s="241" t="n">
        <v>1.25</v>
      </c>
    </row>
    <row r="874">
      <c r="A874" s="282" t="inlineStr">
        <is>
          <t>2009-08-04</t>
        </is>
      </c>
      <c r="B874" s="240">
        <f>IFERROR(1/P874-1,B873)</f>
        <v/>
      </c>
      <c r="C874" s="240">
        <f>$C$3</f>
        <v/>
      </c>
      <c r="D874" s="240">
        <f>$D$3</f>
        <v/>
      </c>
      <c r="E874" s="240">
        <f>$E$3</f>
        <v/>
      </c>
      <c r="F874" s="241" t="n">
        <v>44.04</v>
      </c>
      <c r="G874" s="242" t="n">
        <v>11759975</v>
      </c>
      <c r="H874" s="241" t="n">
        <v>0.89</v>
      </c>
      <c r="I874" s="241" t="n">
        <v>7.65</v>
      </c>
      <c r="J874" s="241" t="n">
        <v>47.74</v>
      </c>
      <c r="K874" s="241" t="n">
        <v>37.02</v>
      </c>
      <c r="L874" s="242" t="n">
        <v>2888786</v>
      </c>
      <c r="M874" s="241" t="n">
        <v>6.06</v>
      </c>
      <c r="N874" s="241" t="n">
        <v>51.9</v>
      </c>
      <c r="O874" s="241" t="n">
        <v>116.67</v>
      </c>
      <c r="P874" s="241" t="n">
        <v>1.19</v>
      </c>
    </row>
    <row r="875">
      <c r="A875" s="282" t="inlineStr">
        <is>
          <t>2009-08-05</t>
        </is>
      </c>
      <c r="B875" s="240">
        <f>IFERROR(1/P875-1,B874)</f>
        <v/>
      </c>
      <c r="C875" s="240">
        <f>$C$3</f>
        <v/>
      </c>
      <c r="D875" s="240">
        <f>$D$3</f>
        <v/>
      </c>
      <c r="E875" s="240">
        <f>$E$3</f>
        <v/>
      </c>
      <c r="F875" s="241" t="n">
        <v>44.91</v>
      </c>
      <c r="G875" s="242" t="n">
        <v>12457697</v>
      </c>
      <c r="H875" s="241" t="n">
        <v>1.98</v>
      </c>
      <c r="I875" s="241" t="n">
        <v>9.779999999999999</v>
      </c>
      <c r="J875" s="241" t="n">
        <v>50.65</v>
      </c>
      <c r="K875" s="241" t="n">
        <v>34.28</v>
      </c>
      <c r="L875" s="242" t="n">
        <v>3362354</v>
      </c>
      <c r="M875" s="241" t="n">
        <v>-7.38</v>
      </c>
      <c r="N875" s="241" t="n">
        <v>40.69</v>
      </c>
      <c r="O875" s="241" t="n">
        <v>100.68</v>
      </c>
      <c r="P875" s="241" t="n">
        <v>1.31</v>
      </c>
    </row>
    <row r="876">
      <c r="A876" s="282" t="inlineStr">
        <is>
          <t>2009-08-06</t>
        </is>
      </c>
      <c r="B876" s="240">
        <f>IFERROR(1/P876-1,B875)</f>
        <v/>
      </c>
      <c r="C876" s="240">
        <f>$C$3</f>
        <v/>
      </c>
      <c r="D876" s="240">
        <f>$D$3</f>
        <v/>
      </c>
      <c r="E876" s="240">
        <f>$E$3</f>
        <v/>
      </c>
      <c r="F876" s="241" t="n">
        <v>47.61</v>
      </c>
      <c r="G876" s="242" t="n">
        <v>21929126</v>
      </c>
      <c r="H876" s="241" t="n">
        <v>6.01</v>
      </c>
      <c r="I876" s="241" t="n">
        <v>16.38</v>
      </c>
      <c r="J876" s="241" t="n">
        <v>59.71</v>
      </c>
      <c r="K876" s="241" t="n">
        <v>33.23</v>
      </c>
      <c r="L876" s="242" t="n">
        <v>4504814</v>
      </c>
      <c r="M876" s="241" t="n">
        <v>-3.08</v>
      </c>
      <c r="N876" s="241" t="n">
        <v>36.35</v>
      </c>
      <c r="O876" s="241" t="n">
        <v>94.48999999999999</v>
      </c>
      <c r="P876" s="241" t="n">
        <v>1.43</v>
      </c>
    </row>
    <row r="877">
      <c r="A877" s="282" t="inlineStr">
        <is>
          <t>2009-08-07</t>
        </is>
      </c>
      <c r="B877" s="240">
        <f>IFERROR(1/P877-1,B876)</f>
        <v/>
      </c>
      <c r="C877" s="240">
        <f>$C$3</f>
        <v/>
      </c>
      <c r="D877" s="240">
        <f>$D$3</f>
        <v/>
      </c>
      <c r="E877" s="240">
        <f>$E$3</f>
        <v/>
      </c>
      <c r="F877" s="241" t="n">
        <v>44.97</v>
      </c>
      <c r="G877" s="242" t="n">
        <v>11359011</v>
      </c>
      <c r="H877" s="241" t="n">
        <v>-5.55</v>
      </c>
      <c r="I877" s="241" t="n">
        <v>12.12</v>
      </c>
      <c r="J877" s="241" t="n">
        <v>50.86</v>
      </c>
      <c r="K877" s="241" t="n">
        <v>31.6</v>
      </c>
      <c r="L877" s="242" t="n">
        <v>1933258</v>
      </c>
      <c r="M877" s="241" t="n">
        <v>-4.91</v>
      </c>
      <c r="N877" s="241" t="n">
        <v>30.6</v>
      </c>
      <c r="O877" s="241" t="n">
        <v>84.94</v>
      </c>
      <c r="P877" s="241" t="n">
        <v>1.42</v>
      </c>
    </row>
    <row r="878">
      <c r="A878" s="282" t="inlineStr">
        <is>
          <t>2009-08-10</t>
        </is>
      </c>
      <c r="B878" s="240">
        <f>IFERROR(1/P878-1,B877)</f>
        <v/>
      </c>
      <c r="C878" s="240">
        <f>$C$3</f>
        <v/>
      </c>
      <c r="D878" s="240">
        <f>$D$3</f>
        <v/>
      </c>
      <c r="E878" s="240">
        <f>$E$3</f>
        <v/>
      </c>
      <c r="F878" s="241" t="n">
        <v>44.46</v>
      </c>
      <c r="G878" s="242" t="n">
        <v>6635009</v>
      </c>
      <c r="H878" s="241" t="n">
        <v>-1.13</v>
      </c>
      <c r="I878" s="241" t="n">
        <v>6.01</v>
      </c>
      <c r="J878" s="241" t="n">
        <v>49.14</v>
      </c>
      <c r="K878" s="241" t="n">
        <v>32.19</v>
      </c>
      <c r="L878" s="242" t="n">
        <v>2009689</v>
      </c>
      <c r="M878" s="241" t="n">
        <v>1.81</v>
      </c>
      <c r="N878" s="241" t="n">
        <v>36.19</v>
      </c>
      <c r="O878" s="241" t="n">
        <v>88.3</v>
      </c>
      <c r="P878" s="241" t="n">
        <v>1.38</v>
      </c>
    </row>
    <row r="879">
      <c r="A879" s="282" t="inlineStr">
        <is>
          <t>2009-08-11</t>
        </is>
      </c>
      <c r="B879" s="240">
        <f>IFERROR(1/P879-1,B878)</f>
        <v/>
      </c>
      <c r="C879" s="240">
        <f>$C$3</f>
        <v/>
      </c>
      <c r="D879" s="240">
        <f>$D$3</f>
        <v/>
      </c>
      <c r="E879" s="240">
        <f>$E$3</f>
        <v/>
      </c>
      <c r="F879" s="241" t="n">
        <v>44.98</v>
      </c>
      <c r="G879" s="242" t="n">
        <v>3641643</v>
      </c>
      <c r="H879" s="241" t="n">
        <v>1.17</v>
      </c>
      <c r="I879" s="241" t="n">
        <v>7.63</v>
      </c>
      <c r="J879" s="241" t="n">
        <v>50.89</v>
      </c>
      <c r="K879" s="241" t="n">
        <v>34.31</v>
      </c>
      <c r="L879" s="242" t="n">
        <v>4232200</v>
      </c>
      <c r="M879" s="241" t="n">
        <v>6.58</v>
      </c>
      <c r="N879" s="241" t="n">
        <v>39.93</v>
      </c>
      <c r="O879" s="241" t="n">
        <v>100.68</v>
      </c>
      <c r="P879" s="241" t="n">
        <v>1.31</v>
      </c>
    </row>
    <row r="880">
      <c r="A880" s="282" t="inlineStr">
        <is>
          <t>2009-08-12</t>
        </is>
      </c>
      <c r="B880" s="240">
        <f>IFERROR(1/P880-1,B879)</f>
        <v/>
      </c>
      <c r="C880" s="240">
        <f>$C$3</f>
        <v/>
      </c>
      <c r="D880" s="240">
        <f>$D$3</f>
        <v/>
      </c>
      <c r="E880" s="240">
        <f>$E$3</f>
        <v/>
      </c>
      <c r="F880" s="241" t="n">
        <v>43.55</v>
      </c>
      <c r="G880" s="242" t="n">
        <v>8357308</v>
      </c>
      <c r="H880" s="241" t="n">
        <v>-3.18</v>
      </c>
      <c r="I880" s="241" t="n">
        <v>4.21</v>
      </c>
      <c r="J880" s="241" t="n">
        <v>46.09</v>
      </c>
      <c r="K880" s="241" t="n">
        <v>35.23</v>
      </c>
      <c r="L880" s="242" t="n">
        <v>2939054</v>
      </c>
      <c r="M880" s="241" t="n">
        <v>2.7</v>
      </c>
      <c r="N880" s="241" t="n">
        <v>43.7</v>
      </c>
      <c r="O880" s="241" t="n">
        <v>106.09</v>
      </c>
      <c r="P880" s="241" t="n">
        <v>1.24</v>
      </c>
    </row>
    <row r="881">
      <c r="A881" s="282" t="inlineStr">
        <is>
          <t>2009-08-13</t>
        </is>
      </c>
      <c r="B881" s="240">
        <f>IFERROR(1/P881-1,B880)</f>
        <v/>
      </c>
      <c r="C881" s="240">
        <f>$C$3</f>
        <v/>
      </c>
      <c r="D881" s="240">
        <f>$D$3</f>
        <v/>
      </c>
      <c r="E881" s="240">
        <f>$E$3</f>
        <v/>
      </c>
      <c r="F881" s="241" t="n">
        <v>43.06</v>
      </c>
      <c r="G881" s="242" t="n">
        <v>3923401</v>
      </c>
      <c r="H881" s="241" t="n">
        <v>-1.13</v>
      </c>
      <c r="I881" s="241" t="n">
        <v>3.04</v>
      </c>
      <c r="J881" s="241" t="n">
        <v>44.45</v>
      </c>
      <c r="K881" s="241" t="n">
        <v>34.04</v>
      </c>
      <c r="L881" s="242" t="n">
        <v>1133629</v>
      </c>
      <c r="M881" s="241" t="n">
        <v>-3.38</v>
      </c>
      <c r="N881" s="241" t="n">
        <v>38.85</v>
      </c>
      <c r="O881" s="241" t="n">
        <v>99.13</v>
      </c>
      <c r="P881" s="241" t="n">
        <v>1.27</v>
      </c>
    </row>
    <row r="882">
      <c r="A882" s="282" t="inlineStr">
        <is>
          <t>2009-08-14</t>
        </is>
      </c>
      <c r="B882" s="240">
        <f>IFERROR(1/P882-1,B881)</f>
        <v/>
      </c>
      <c r="C882" s="240">
        <f>$C$3</f>
        <v/>
      </c>
      <c r="D882" s="240">
        <f>$D$3</f>
        <v/>
      </c>
      <c r="E882" s="240">
        <f>$E$3</f>
        <v/>
      </c>
      <c r="F882" s="241" t="n">
        <v>41.21</v>
      </c>
      <c r="G882" s="242" t="n">
        <v>6290489</v>
      </c>
      <c r="H882" s="241" t="n">
        <v>-4.3</v>
      </c>
      <c r="I882" s="241" t="n">
        <v>-3.62</v>
      </c>
      <c r="J882" s="241" t="n">
        <v>38.24</v>
      </c>
      <c r="K882" s="241" t="n">
        <v>32.66</v>
      </c>
      <c r="L882" s="242" t="n">
        <v>1403602</v>
      </c>
      <c r="M882" s="241" t="n">
        <v>-4.02</v>
      </c>
      <c r="N882" s="241" t="n">
        <v>33.27</v>
      </c>
      <c r="O882" s="241" t="n">
        <v>91.13</v>
      </c>
      <c r="P882" s="241" t="n">
        <v>1.26</v>
      </c>
    </row>
    <row r="883">
      <c r="A883" s="282" t="inlineStr">
        <is>
          <t>2009-08-17</t>
        </is>
      </c>
      <c r="B883" s="240">
        <f>IFERROR(1/P883-1,B882)</f>
        <v/>
      </c>
      <c r="C883" s="240">
        <f>$C$3</f>
        <v/>
      </c>
      <c r="D883" s="240">
        <f>$D$3</f>
        <v/>
      </c>
      <c r="E883" s="240">
        <f>$E$3</f>
        <v/>
      </c>
      <c r="F883" s="241" t="n">
        <v>37.14</v>
      </c>
      <c r="G883" s="242" t="n">
        <v>6774846</v>
      </c>
      <c r="H883" s="241" t="n">
        <v>-9.880000000000001</v>
      </c>
      <c r="I883" s="241" t="n">
        <v>-11.63</v>
      </c>
      <c r="J883" s="241" t="n">
        <v>24.59</v>
      </c>
      <c r="K883" s="241" t="n">
        <v>31.12</v>
      </c>
      <c r="L883" s="242" t="n">
        <v>1589931</v>
      </c>
      <c r="M883" s="241" t="n">
        <v>-4.72</v>
      </c>
      <c r="N883" s="241" t="n">
        <v>28.36</v>
      </c>
      <c r="O883" s="241" t="n">
        <v>82.09999999999999</v>
      </c>
      <c r="P883" s="241" t="n">
        <v>1.19</v>
      </c>
    </row>
    <row r="884">
      <c r="A884" s="282" t="inlineStr">
        <is>
          <t>2009-08-18</t>
        </is>
      </c>
      <c r="B884" s="240">
        <f>IFERROR(1/P884-1,B883)</f>
        <v/>
      </c>
      <c r="C884" s="240">
        <f>$C$3</f>
        <v/>
      </c>
      <c r="D884" s="240">
        <f>$D$3</f>
        <v/>
      </c>
      <c r="E884" s="240">
        <f>$E$3</f>
        <v/>
      </c>
      <c r="F884" s="241" t="n">
        <v>38.02</v>
      </c>
      <c r="G884" s="242" t="n">
        <v>5372851</v>
      </c>
      <c r="H884" s="241" t="n">
        <v>2.37</v>
      </c>
      <c r="I884" s="241" t="n">
        <v>-10.27</v>
      </c>
      <c r="J884" s="241" t="n">
        <v>27.54</v>
      </c>
      <c r="K884" s="241" t="n">
        <v>30.15</v>
      </c>
      <c r="L884" s="242" t="n">
        <v>4607793</v>
      </c>
      <c r="M884" s="241" t="n">
        <v>-3.12</v>
      </c>
      <c r="N884" s="241" t="n">
        <v>24.59</v>
      </c>
      <c r="O884" s="241" t="n">
        <v>76.43000000000001</v>
      </c>
      <c r="P884" s="241" t="n">
        <v>1.26</v>
      </c>
    </row>
    <row r="885">
      <c r="A885" s="282" t="inlineStr">
        <is>
          <t>2009-08-19</t>
        </is>
      </c>
      <c r="B885" s="240">
        <f>IFERROR(1/P885-1,B884)</f>
        <v/>
      </c>
      <c r="C885" s="240">
        <f>$C$3</f>
        <v/>
      </c>
      <c r="D885" s="240">
        <f>$D$3</f>
        <v/>
      </c>
      <c r="E885" s="240">
        <f>$E$3</f>
        <v/>
      </c>
      <c r="F885" s="241" t="n">
        <v>37.78</v>
      </c>
      <c r="G885" s="242" t="n">
        <v>7248376</v>
      </c>
      <c r="H885" s="241" t="n">
        <v>-0.63</v>
      </c>
      <c r="I885" s="241" t="n">
        <v>-10.83</v>
      </c>
      <c r="J885" s="241" t="n">
        <v>26.74</v>
      </c>
      <c r="K885" s="241" t="n">
        <v>31.2</v>
      </c>
      <c r="L885" s="242" t="n">
        <v>3843329</v>
      </c>
      <c r="M885" s="241" t="n">
        <v>3.51</v>
      </c>
      <c r="N885" s="241" t="n">
        <v>28.96</v>
      </c>
      <c r="O885" s="241" t="n">
        <v>82.62</v>
      </c>
      <c r="P885" s="241" t="n">
        <v>1.21</v>
      </c>
    </row>
    <row r="886">
      <c r="A886" s="282" t="inlineStr">
        <is>
          <t>2009-08-20</t>
        </is>
      </c>
      <c r="B886" s="240">
        <f>IFERROR(1/P886-1,B885)</f>
        <v/>
      </c>
      <c r="C886" s="240">
        <f>$C$3</f>
        <v/>
      </c>
      <c r="D886" s="240">
        <f>$D$3</f>
        <v/>
      </c>
      <c r="E886" s="240">
        <f>$E$3</f>
        <v/>
      </c>
      <c r="F886" s="241" t="n">
        <v>39.15</v>
      </c>
      <c r="G886" s="242" t="n">
        <v>3605490</v>
      </c>
      <c r="H886" s="241" t="n">
        <v>3.68</v>
      </c>
      <c r="I886" s="241" t="n">
        <v>-7.55</v>
      </c>
      <c r="J886" s="241" t="n">
        <v>31.4</v>
      </c>
      <c r="K886" s="241" t="n">
        <v>31.9</v>
      </c>
      <c r="L886" s="242" t="n">
        <v>2020190</v>
      </c>
      <c r="M886" s="241" t="n">
        <v>2.26</v>
      </c>
      <c r="N886" s="241" t="n">
        <v>31.88</v>
      </c>
      <c r="O886" s="241" t="n">
        <v>86.75</v>
      </c>
      <c r="P886" s="241" t="n">
        <v>1.23</v>
      </c>
    </row>
    <row r="887">
      <c r="A887" s="282" t="inlineStr">
        <is>
          <t>2009-08-21</t>
        </is>
      </c>
      <c r="B887" s="240">
        <f>IFERROR(1/P887-1,B886)</f>
        <v/>
      </c>
      <c r="C887" s="240">
        <f>$C$3</f>
        <v/>
      </c>
      <c r="D887" s="240">
        <f>$D$3</f>
        <v/>
      </c>
      <c r="E887" s="240">
        <f>$E$3</f>
        <v/>
      </c>
      <c r="F887" s="241" t="n">
        <v>40.84</v>
      </c>
      <c r="G887" s="242" t="n">
        <v>6624025</v>
      </c>
      <c r="H887" s="241" t="n">
        <v>4.32</v>
      </c>
      <c r="I887" s="241" t="n">
        <v>-3.31</v>
      </c>
      <c r="J887" s="241" t="n">
        <v>37.07</v>
      </c>
      <c r="K887" s="241" t="n">
        <v>32.56</v>
      </c>
      <c r="L887" s="242" t="n">
        <v>1161828</v>
      </c>
      <c r="M887" s="241" t="n">
        <v>2.07</v>
      </c>
      <c r="N887" s="241" t="n">
        <v>23.99</v>
      </c>
      <c r="O887" s="241" t="n">
        <v>90.62</v>
      </c>
      <c r="P887" s="241" t="n">
        <v>1.25</v>
      </c>
    </row>
    <row r="888">
      <c r="A888" s="282" t="inlineStr">
        <is>
          <t>2009-08-24</t>
        </is>
      </c>
      <c r="B888" s="240">
        <f>IFERROR(1/P888-1,B887)</f>
        <v/>
      </c>
      <c r="C888" s="240">
        <f>$C$3</f>
        <v/>
      </c>
      <c r="D888" s="240">
        <f>$D$3</f>
        <v/>
      </c>
      <c r="E888" s="240">
        <f>$E$3</f>
        <v/>
      </c>
      <c r="F888" s="241" t="n">
        <v>40.82</v>
      </c>
      <c r="G888" s="242" t="n">
        <v>3454432</v>
      </c>
      <c r="H888" s="241" t="n">
        <v>-0.05</v>
      </c>
      <c r="I888" s="241" t="n">
        <v>-0.77</v>
      </c>
      <c r="J888" s="241" t="n">
        <v>37.01</v>
      </c>
      <c r="K888" s="241" t="n">
        <v>35.16</v>
      </c>
      <c r="L888" s="242" t="n">
        <v>2282119</v>
      </c>
      <c r="M888" s="241" t="n">
        <v>7.98</v>
      </c>
      <c r="N888" s="241" t="n">
        <v>21.28</v>
      </c>
      <c r="O888" s="241" t="n">
        <v>105.84</v>
      </c>
      <c r="P888" s="241" t="n">
        <v>1.16</v>
      </c>
    </row>
    <row r="889">
      <c r="A889" s="282" t="inlineStr">
        <is>
          <t>2009-08-25</t>
        </is>
      </c>
      <c r="B889" s="240">
        <f>IFERROR(1/P889-1,B888)</f>
        <v/>
      </c>
      <c r="C889" s="240">
        <f>$C$3</f>
        <v/>
      </c>
      <c r="D889" s="240">
        <f>$D$3</f>
        <v/>
      </c>
      <c r="E889" s="240">
        <f>$E$3</f>
        <v/>
      </c>
      <c r="F889" s="241" t="n">
        <v>41.27</v>
      </c>
      <c r="G889" s="242" t="n">
        <v>8023829</v>
      </c>
      <c r="H889" s="241" t="n">
        <v>1.1</v>
      </c>
      <c r="I889" s="241" t="n">
        <v>3.2</v>
      </c>
      <c r="J889" s="241" t="n">
        <v>38.52</v>
      </c>
      <c r="K889" s="241" t="n">
        <v>37.37</v>
      </c>
      <c r="L889" s="242" t="n">
        <v>3791082</v>
      </c>
      <c r="M889" s="241" t="n">
        <v>6.27</v>
      </c>
      <c r="N889" s="241" t="n">
        <v>25.82</v>
      </c>
      <c r="O889" s="241" t="n">
        <v>118.73</v>
      </c>
      <c r="P889" s="241" t="n">
        <v>1.1</v>
      </c>
    </row>
    <row r="890">
      <c r="A890" s="282" t="inlineStr">
        <is>
          <t>2009-08-26</t>
        </is>
      </c>
      <c r="B890" s="240">
        <f>IFERROR(1/P890-1,B889)</f>
        <v/>
      </c>
      <c r="C890" s="240">
        <f>$C$3</f>
        <v/>
      </c>
      <c r="D890" s="240">
        <f>$D$3</f>
        <v/>
      </c>
      <c r="E890" s="240">
        <f>$E$3</f>
        <v/>
      </c>
      <c r="F890" s="241" t="n">
        <v>43.19</v>
      </c>
      <c r="G890" s="242" t="n">
        <v>9820622</v>
      </c>
      <c r="H890" s="241" t="n">
        <v>4.65</v>
      </c>
      <c r="I890" s="241" t="n">
        <v>8.01</v>
      </c>
      <c r="J890" s="241" t="n">
        <v>44.96</v>
      </c>
      <c r="K890" s="241" t="n">
        <v>36.58</v>
      </c>
      <c r="L890" s="242" t="n">
        <v>2095715</v>
      </c>
      <c r="M890" s="241" t="n">
        <v>-2.12</v>
      </c>
      <c r="N890" s="241" t="n">
        <v>23.15</v>
      </c>
      <c r="O890" s="241" t="n">
        <v>114.09</v>
      </c>
      <c r="P890" s="241" t="n">
        <v>1.18</v>
      </c>
    </row>
    <row r="891">
      <c r="A891" s="282" t="inlineStr">
        <is>
          <t>2009-08-27</t>
        </is>
      </c>
      <c r="B891" s="240">
        <f>IFERROR(1/P891-1,B890)</f>
        <v/>
      </c>
      <c r="C891" s="240">
        <f>$C$3</f>
        <v/>
      </c>
      <c r="D891" s="240">
        <f>$D$3</f>
        <v/>
      </c>
      <c r="E891" s="240">
        <f>$E$3</f>
        <v/>
      </c>
      <c r="F891" s="241" t="n">
        <v>43.7</v>
      </c>
      <c r="G891" s="242" t="n">
        <v>7661486</v>
      </c>
      <c r="H891" s="241" t="n">
        <v>1.18</v>
      </c>
      <c r="I891" s="241" t="n">
        <v>9.279999999999999</v>
      </c>
      <c r="J891" s="241" t="n">
        <v>46.67</v>
      </c>
      <c r="K891" s="241" t="n">
        <v>35.08</v>
      </c>
      <c r="L891" s="242" t="n">
        <v>2260897</v>
      </c>
      <c r="M891" s="241" t="n">
        <v>-4.1</v>
      </c>
      <c r="N891" s="241" t="n">
        <v>18.1</v>
      </c>
      <c r="O891" s="241" t="n">
        <v>105.32</v>
      </c>
      <c r="P891" s="241" t="n">
        <v>1.25</v>
      </c>
    </row>
    <row r="892">
      <c r="A892" s="282" t="inlineStr">
        <is>
          <t>2009-08-28</t>
        </is>
      </c>
      <c r="B892" s="240">
        <f>IFERROR(1/P892-1,B891)</f>
        <v/>
      </c>
      <c r="C892" s="240">
        <f>$C$3</f>
        <v/>
      </c>
      <c r="D892" s="240">
        <f>$D$3</f>
        <v/>
      </c>
      <c r="E892" s="240">
        <f>$E$3</f>
        <v/>
      </c>
      <c r="F892" s="241" t="n">
        <v>42.19</v>
      </c>
      <c r="G892" s="242" t="n">
        <v>7291189</v>
      </c>
      <c r="H892" s="241" t="n">
        <v>-3.46</v>
      </c>
      <c r="I892" s="241" t="n">
        <v>3.82</v>
      </c>
      <c r="J892" s="241" t="n">
        <v>41.6</v>
      </c>
      <c r="K892" s="241" t="n">
        <v>34.37</v>
      </c>
      <c r="L892" s="242" t="n">
        <v>2293921</v>
      </c>
      <c r="M892" s="241" t="n">
        <v>-2.01</v>
      </c>
      <c r="N892" s="241" t="n">
        <v>15.73</v>
      </c>
      <c r="O892" s="241" t="n">
        <v>101.19</v>
      </c>
      <c r="P892" s="241" t="n">
        <v>1.23</v>
      </c>
    </row>
    <row r="893">
      <c r="A893" s="282" t="inlineStr">
        <is>
          <t>2009-08-31</t>
        </is>
      </c>
      <c r="B893" s="240">
        <f>IFERROR(1/P893-1,B892)</f>
        <v/>
      </c>
      <c r="C893" s="240">
        <f>$C$3</f>
        <v/>
      </c>
      <c r="D893" s="240">
        <f>$D$3</f>
        <v/>
      </c>
      <c r="E893" s="240">
        <f>$E$3</f>
        <v/>
      </c>
      <c r="F893" s="241" t="n">
        <v>39.3</v>
      </c>
      <c r="G893" s="242" t="n">
        <v>8592622</v>
      </c>
      <c r="H893" s="241" t="n">
        <v>-6.85</v>
      </c>
      <c r="I893" s="241" t="n">
        <v>-6.82</v>
      </c>
      <c r="J893" s="241" t="n">
        <v>31.9</v>
      </c>
      <c r="K893" s="241" t="n">
        <v>33.31</v>
      </c>
      <c r="L893" s="242" t="n">
        <v>3065768</v>
      </c>
      <c r="M893" s="241" t="n">
        <v>-3.08</v>
      </c>
      <c r="N893" s="241" t="n">
        <v>2.16</v>
      </c>
      <c r="O893" s="241" t="n">
        <v>95</v>
      </c>
      <c r="P893" s="241" t="n">
        <v>1.18</v>
      </c>
    </row>
    <row r="894">
      <c r="A894" s="282" t="inlineStr">
        <is>
          <t>2009-09-01</t>
        </is>
      </c>
      <c r="B894" s="240">
        <f>IFERROR(1/P894-1,B893)</f>
        <v/>
      </c>
      <c r="C894" s="240">
        <f>$C$3</f>
        <v/>
      </c>
      <c r="D894" s="240">
        <f>$D$3</f>
        <v/>
      </c>
      <c r="E894" s="240">
        <f>$E$3</f>
        <v/>
      </c>
      <c r="F894" s="241" t="n">
        <v>40.4</v>
      </c>
      <c r="G894" s="242" t="n">
        <v>4943357</v>
      </c>
      <c r="H894" s="241" t="n">
        <v>2.8</v>
      </c>
      <c r="I894" s="241" t="n">
        <v>-7.06</v>
      </c>
      <c r="J894" s="241" t="n">
        <v>35.6</v>
      </c>
      <c r="K894" s="241" t="n">
        <v>33.23</v>
      </c>
      <c r="L894" s="242" t="n">
        <v>1823458</v>
      </c>
      <c r="M894" s="241" t="n">
        <v>-0.26</v>
      </c>
      <c r="N894" s="241" t="n">
        <v>-0.66</v>
      </c>
      <c r="O894" s="241" t="n">
        <v>94.48999999999999</v>
      </c>
      <c r="P894" s="241" t="n">
        <v>1.22</v>
      </c>
    </row>
    <row r="895">
      <c r="A895" s="282" t="inlineStr">
        <is>
          <t>2009-09-02</t>
        </is>
      </c>
      <c r="B895" s="240">
        <f>IFERROR(1/P895-1,B894)</f>
        <v/>
      </c>
      <c r="C895" s="240">
        <f>$C$3</f>
        <v/>
      </c>
      <c r="D895" s="240">
        <f>$D$3</f>
        <v/>
      </c>
      <c r="E895" s="240">
        <f>$E$3</f>
        <v/>
      </c>
      <c r="F895" s="241" t="n">
        <v>41.1</v>
      </c>
      <c r="G895" s="242" t="n">
        <v>3976672</v>
      </c>
      <c r="H895" s="241" t="n">
        <v>1.73</v>
      </c>
      <c r="I895" s="241" t="n">
        <v>-5.45</v>
      </c>
      <c r="J895" s="241" t="n">
        <v>37.95</v>
      </c>
      <c r="K895" s="241" t="n">
        <v>31.99</v>
      </c>
      <c r="L895" s="242" t="n">
        <v>1094411</v>
      </c>
      <c r="M895" s="241" t="n">
        <v>-3.71</v>
      </c>
      <c r="N895" s="241" t="n">
        <v>-4.35</v>
      </c>
      <c r="O895" s="241" t="n">
        <v>87.26000000000001</v>
      </c>
      <c r="P895" s="241" t="n">
        <v>1.28</v>
      </c>
    </row>
    <row r="896">
      <c r="A896" s="282" t="inlineStr">
        <is>
          <t>2009-09-03</t>
        </is>
      </c>
      <c r="B896" s="240">
        <f>IFERROR(1/P896-1,B895)</f>
        <v/>
      </c>
      <c r="C896" s="240">
        <f>$C$3</f>
        <v/>
      </c>
      <c r="D896" s="240">
        <f>$D$3</f>
        <v/>
      </c>
      <c r="E896" s="240">
        <f>$E$3</f>
        <v/>
      </c>
      <c r="F896" s="241" t="n">
        <v>42.79</v>
      </c>
      <c r="G896" s="242" t="n">
        <v>6258754</v>
      </c>
      <c r="H896" s="241" t="n">
        <v>4.11</v>
      </c>
      <c r="I896" s="241" t="n">
        <v>-1.56</v>
      </c>
      <c r="J896" s="241" t="n">
        <v>43.62</v>
      </c>
      <c r="K896" s="241" t="n">
        <v>34.5</v>
      </c>
      <c r="L896" s="242" t="n">
        <v>1195796</v>
      </c>
      <c r="M896" s="241" t="n">
        <v>7.85</v>
      </c>
      <c r="N896" s="241" t="n">
        <v>3.16</v>
      </c>
      <c r="O896" s="241" t="n">
        <v>101.97</v>
      </c>
      <c r="P896" s="241" t="n">
        <v>1.24</v>
      </c>
    </row>
    <row r="897">
      <c r="A897" s="282" t="inlineStr">
        <is>
          <t>2009-09-04</t>
        </is>
      </c>
      <c r="B897" s="240">
        <f>IFERROR(1/P897-1,B896)</f>
        <v/>
      </c>
      <c r="C897" s="240">
        <f>$C$3</f>
        <v/>
      </c>
      <c r="D897" s="240">
        <f>$D$3</f>
        <v/>
      </c>
      <c r="E897" s="240">
        <f>$E$3</f>
        <v/>
      </c>
      <c r="F897" s="241" t="n">
        <v>43.2</v>
      </c>
      <c r="G897" s="242" t="n">
        <v>5088724</v>
      </c>
      <c r="H897" s="241" t="n">
        <v>0.96</v>
      </c>
      <c r="I897" s="241" t="n">
        <v>-0.98</v>
      </c>
      <c r="J897" s="241" t="n">
        <v>44.99</v>
      </c>
      <c r="K897" s="241" t="n">
        <v>35.03</v>
      </c>
      <c r="L897" s="242" t="n">
        <v>834509</v>
      </c>
      <c r="M897" s="241" t="n">
        <v>1.53</v>
      </c>
      <c r="N897" s="241" t="n">
        <v>0.38</v>
      </c>
      <c r="O897" s="241" t="n">
        <v>105.06</v>
      </c>
      <c r="P897" s="241" t="n">
        <v>1.23</v>
      </c>
    </row>
    <row r="898">
      <c r="A898" s="282" t="inlineStr">
        <is>
          <t>2009-09-07</t>
        </is>
      </c>
      <c r="B898" s="240">
        <f>IFERROR(1/P898-1,B897)</f>
        <v/>
      </c>
      <c r="C898" s="240">
        <f>$C$3</f>
        <v/>
      </c>
      <c r="D898" s="240">
        <f>$D$3</f>
        <v/>
      </c>
      <c r="E898" s="240">
        <f>$E$3</f>
        <v/>
      </c>
      <c r="F898" s="241" t="n">
        <v>45.01</v>
      </c>
      <c r="G898" s="242" t="n">
        <v>10035220</v>
      </c>
      <c r="H898" s="241" t="n">
        <v>4.19</v>
      </c>
      <c r="I898" s="241" t="n">
        <v>-5.41</v>
      </c>
      <c r="J898" s="241" t="n">
        <v>51.07</v>
      </c>
      <c r="K898" s="241" t="n">
        <v>40.19</v>
      </c>
      <c r="L898" s="242" t="n">
        <v>6729540</v>
      </c>
      <c r="M898" s="241" t="n">
        <v>14.72</v>
      </c>
      <c r="N898" s="241" t="n">
        <v>20.95</v>
      </c>
      <c r="O898" s="241" t="n">
        <v>135.24</v>
      </c>
      <c r="P898" s="241" t="n">
        <v>1.12</v>
      </c>
    </row>
    <row r="899">
      <c r="A899" s="282" t="inlineStr">
        <is>
          <t>2009-09-08</t>
        </is>
      </c>
      <c r="B899" s="240">
        <f>IFERROR(1/P899-1,B898)</f>
        <v/>
      </c>
      <c r="C899" s="240">
        <f>$C$3</f>
        <v/>
      </c>
      <c r="D899" s="240">
        <f>$D$3</f>
        <v/>
      </c>
      <c r="E899" s="240">
        <f>$E$3</f>
        <v/>
      </c>
      <c r="F899" s="241" t="n">
        <v>45.27</v>
      </c>
      <c r="G899" s="242" t="n">
        <v>7358341</v>
      </c>
      <c r="H899" s="241" t="n">
        <v>0.58</v>
      </c>
      <c r="I899" s="241" t="n">
        <v>0.72</v>
      </c>
      <c r="J899" s="241" t="n">
        <v>51.94</v>
      </c>
      <c r="K899" s="241" t="n">
        <v>38.73</v>
      </c>
      <c r="L899" s="242" t="n">
        <v>1706060</v>
      </c>
      <c r="M899" s="241" t="n">
        <v>-3.62</v>
      </c>
      <c r="N899" s="241" t="n">
        <v>22.59</v>
      </c>
      <c r="O899" s="241" t="n">
        <v>126.73</v>
      </c>
      <c r="P899" s="241" t="n">
        <v>1.17</v>
      </c>
    </row>
    <row r="900">
      <c r="A900" s="282" t="inlineStr">
        <is>
          <t>2009-09-09</t>
        </is>
      </c>
      <c r="B900" s="240">
        <f>IFERROR(1/P900-1,B899)</f>
        <v/>
      </c>
      <c r="C900" s="240">
        <f>$C$3</f>
        <v/>
      </c>
      <c r="D900" s="240">
        <f>$D$3</f>
        <v/>
      </c>
      <c r="E900" s="240">
        <f>$E$3</f>
        <v/>
      </c>
      <c r="F900" s="241" t="n">
        <v>44.98</v>
      </c>
      <c r="G900" s="242" t="n">
        <v>3890562</v>
      </c>
      <c r="H900" s="241" t="n">
        <v>-0.64</v>
      </c>
      <c r="I900" s="241" t="n">
        <v>0.08</v>
      </c>
      <c r="J900" s="241" t="n">
        <v>50.97</v>
      </c>
      <c r="K900" s="241" t="n">
        <v>36.74</v>
      </c>
      <c r="L900" s="242" t="n">
        <v>1081748</v>
      </c>
      <c r="M900" s="241" t="n">
        <v>-5.12</v>
      </c>
      <c r="N900" s="241" t="n">
        <v>16.32</v>
      </c>
      <c r="O900" s="241" t="n">
        <v>115.12</v>
      </c>
      <c r="P900" s="241" t="n">
        <v>1.22</v>
      </c>
    </row>
    <row r="901">
      <c r="A901" s="282" t="inlineStr">
        <is>
          <t>2009-09-10</t>
        </is>
      </c>
      <c r="B901" s="240">
        <f>IFERROR(1/P901-1,B900)</f>
        <v/>
      </c>
      <c r="C901" s="240">
        <f>$C$3</f>
        <v/>
      </c>
      <c r="D901" s="240">
        <f>$D$3</f>
        <v/>
      </c>
      <c r="E901" s="240">
        <f>$E$3</f>
        <v/>
      </c>
      <c r="F901" s="241" t="n">
        <v>44.88</v>
      </c>
      <c r="G901" s="242" t="n">
        <v>7161759</v>
      </c>
      <c r="H901" s="241" t="n">
        <v>-0.22</v>
      </c>
      <c r="I901" s="241" t="n">
        <v>-0.15</v>
      </c>
      <c r="J901" s="241" t="n">
        <v>50.63</v>
      </c>
      <c r="K901" s="241" t="n">
        <v>38.28</v>
      </c>
      <c r="L901" s="242" t="n">
        <v>1262289</v>
      </c>
      <c r="M901" s="241" t="n">
        <v>4.2</v>
      </c>
      <c r="N901" s="241" t="n">
        <v>21.2</v>
      </c>
      <c r="O901" s="241" t="n">
        <v>124.15</v>
      </c>
      <c r="P901" s="241" t="n">
        <v>1.17</v>
      </c>
    </row>
    <row r="902">
      <c r="A902" s="282" t="inlineStr">
        <is>
          <t>2009-09-11</t>
        </is>
      </c>
      <c r="B902" s="240">
        <f>IFERROR(1/P902-1,B901)</f>
        <v/>
      </c>
      <c r="C902" s="240">
        <f>$C$3</f>
        <v/>
      </c>
      <c r="D902" s="240">
        <f>$D$3</f>
        <v/>
      </c>
      <c r="E902" s="240">
        <f>$E$3</f>
        <v/>
      </c>
      <c r="F902" s="241" t="n">
        <v>44.17</v>
      </c>
      <c r="G902" s="242" t="n">
        <v>5134539</v>
      </c>
      <c r="H902" s="241" t="n">
        <v>-1.58</v>
      </c>
      <c r="I902" s="241" t="n">
        <v>-0.6</v>
      </c>
      <c r="J902" s="241" t="n">
        <v>48.25</v>
      </c>
      <c r="K902" s="241" t="n">
        <v>39.73</v>
      </c>
      <c r="L902" s="242" t="n">
        <v>913924</v>
      </c>
      <c r="M902" s="241" t="n">
        <v>3.8</v>
      </c>
      <c r="N902" s="241" t="n">
        <v>23.56</v>
      </c>
      <c r="O902" s="241" t="n">
        <v>132.66</v>
      </c>
      <c r="P902" s="241" t="n">
        <v>1.11</v>
      </c>
    </row>
    <row r="903">
      <c r="A903" s="282" t="inlineStr">
        <is>
          <t>2009-09-14</t>
        </is>
      </c>
      <c r="B903" s="240">
        <f>IFERROR(1/P903-1,B902)</f>
        <v/>
      </c>
      <c r="C903" s="240">
        <f>$C$3</f>
        <v/>
      </c>
      <c r="D903" s="240">
        <f>$D$3</f>
        <v/>
      </c>
      <c r="E903" s="240">
        <f>$E$3</f>
        <v/>
      </c>
      <c r="F903" s="241" t="n">
        <v>45.27</v>
      </c>
      <c r="G903" s="242" t="n">
        <v>4162013</v>
      </c>
      <c r="H903" s="241" t="n">
        <v>2.49</v>
      </c>
      <c r="I903" s="241" t="n">
        <v>5.19</v>
      </c>
      <c r="J903" s="241" t="n">
        <v>51.94</v>
      </c>
      <c r="K903" s="241" t="n">
        <v>38.32</v>
      </c>
      <c r="L903" s="242" t="n">
        <v>636812</v>
      </c>
      <c r="M903" s="241" t="n">
        <v>-3.55</v>
      </c>
      <c r="N903" s="241" t="n">
        <v>12.69</v>
      </c>
      <c r="O903" s="241" t="n">
        <v>124.41</v>
      </c>
      <c r="P903" s="241" t="n">
        <v>1.18</v>
      </c>
    </row>
    <row r="904">
      <c r="A904" s="282" t="inlineStr">
        <is>
          <t>2009-09-15</t>
        </is>
      </c>
      <c r="B904" s="240">
        <f>IFERROR(1/P904-1,B903)</f>
        <v/>
      </c>
      <c r="C904" s="240">
        <f>$C$3</f>
        <v/>
      </c>
      <c r="D904" s="240">
        <f>$D$3</f>
        <v/>
      </c>
      <c r="E904" s="240">
        <f>$E$3</f>
        <v/>
      </c>
      <c r="F904" s="241" t="n">
        <v>45.69</v>
      </c>
      <c r="G904" s="242" t="n">
        <v>4231269</v>
      </c>
      <c r="H904" s="241" t="n">
        <v>0.93</v>
      </c>
      <c r="I904" s="241" t="n">
        <v>10.93</v>
      </c>
      <c r="J904" s="241" t="n">
        <v>53.35</v>
      </c>
      <c r="K904" s="241" t="n">
        <v>38.55</v>
      </c>
      <c r="L904" s="242" t="n">
        <v>309200</v>
      </c>
      <c r="M904" s="241" t="n">
        <v>0.57</v>
      </c>
      <c r="N904" s="241" t="n">
        <v>18.08</v>
      </c>
      <c r="O904" s="241" t="n">
        <v>125.7</v>
      </c>
      <c r="P904" s="241" t="n">
        <v>1.19</v>
      </c>
    </row>
    <row r="905">
      <c r="A905" s="282" t="inlineStr">
        <is>
          <t>2009-09-16</t>
        </is>
      </c>
      <c r="B905" s="240">
        <f>IFERROR(1/P905-1,B904)</f>
        <v/>
      </c>
      <c r="C905" s="240">
        <f>$C$3</f>
        <v/>
      </c>
      <c r="D905" s="240">
        <f>$D$3</f>
        <v/>
      </c>
      <c r="E905" s="240">
        <f>$E$3</f>
        <v/>
      </c>
      <c r="F905" s="241" t="n">
        <v>45.16</v>
      </c>
      <c r="G905" s="242" t="n">
        <v>4168662</v>
      </c>
      <c r="H905" s="241" t="n">
        <v>-1.16</v>
      </c>
      <c r="I905" s="241" t="n">
        <v>9.640000000000001</v>
      </c>
      <c r="J905" s="241" t="n">
        <v>51.57</v>
      </c>
      <c r="K905" s="241" t="n">
        <v>40.48</v>
      </c>
      <c r="L905" s="242" t="n">
        <v>662750</v>
      </c>
      <c r="M905" s="241" t="n">
        <v>5.03</v>
      </c>
      <c r="N905" s="241" t="n">
        <v>24.02</v>
      </c>
      <c r="O905" s="241" t="n">
        <v>137.05</v>
      </c>
      <c r="P905" s="241" t="n">
        <v>1.12</v>
      </c>
    </row>
    <row r="906">
      <c r="A906" s="282" t="inlineStr">
        <is>
          <t>2009-09-17</t>
        </is>
      </c>
      <c r="B906" s="240">
        <f>IFERROR(1/P906-1,B905)</f>
        <v/>
      </c>
      <c r="C906" s="240">
        <f>$C$3</f>
        <v/>
      </c>
      <c r="D906" s="240">
        <f>$D$3</f>
        <v/>
      </c>
      <c r="E906" s="240">
        <f>$E$3</f>
        <v/>
      </c>
      <c r="F906" s="241" t="n">
        <v>46.28</v>
      </c>
      <c r="G906" s="242" t="n">
        <v>6663085</v>
      </c>
      <c r="H906" s="241" t="n">
        <v>2.48</v>
      </c>
      <c r="I906" s="241" t="n">
        <v>12.36</v>
      </c>
      <c r="J906" s="241" t="n">
        <v>55.33</v>
      </c>
      <c r="K906" s="241" t="n">
        <v>41.36</v>
      </c>
      <c r="L906" s="242" t="n">
        <v>1024262</v>
      </c>
      <c r="M906" s="241" t="n">
        <v>2.18</v>
      </c>
      <c r="N906" s="241" t="n">
        <v>26.72</v>
      </c>
      <c r="O906" s="241" t="n">
        <v>142.2</v>
      </c>
      <c r="P906" s="241" t="n">
        <v>1.12</v>
      </c>
    </row>
    <row r="907">
      <c r="A907" s="282" t="inlineStr">
        <is>
          <t>2009-09-18</t>
        </is>
      </c>
      <c r="B907" s="240">
        <f>IFERROR(1/P907-1,B906)</f>
        <v/>
      </c>
      <c r="C907" s="240">
        <f>$C$3</f>
        <v/>
      </c>
      <c r="D907" s="240">
        <f>$D$3</f>
        <v/>
      </c>
      <c r="E907" s="240">
        <f>$E$3</f>
        <v/>
      </c>
      <c r="F907" s="241" t="n">
        <v>45.99</v>
      </c>
      <c r="G907" s="242" t="n">
        <v>7278679</v>
      </c>
      <c r="H907" s="241" t="n">
        <v>-0.63</v>
      </c>
      <c r="I907" s="241" t="n">
        <v>23.89</v>
      </c>
      <c r="J907" s="241" t="n">
        <v>54.36</v>
      </c>
      <c r="K907" s="241" t="n">
        <v>41.84</v>
      </c>
      <c r="L907" s="242" t="n">
        <v>1122828</v>
      </c>
      <c r="M907" s="241" t="n">
        <v>1.17</v>
      </c>
      <c r="N907" s="241" t="n">
        <v>34.56</v>
      </c>
      <c r="O907" s="241" t="n">
        <v>145.04</v>
      </c>
      <c r="P907" s="241" t="n">
        <v>1.1</v>
      </c>
    </row>
    <row r="908">
      <c r="A908" s="282" t="inlineStr">
        <is>
          <t>2009-09-21</t>
        </is>
      </c>
      <c r="B908" s="240">
        <f>IFERROR(1/P908-1,B907)</f>
        <v/>
      </c>
      <c r="C908" s="240">
        <f>$C$3</f>
        <v/>
      </c>
      <c r="D908" s="240">
        <f>$D$3</f>
        <v/>
      </c>
      <c r="E908" s="240">
        <f>$E$3</f>
        <v/>
      </c>
      <c r="F908" s="241" t="n">
        <v>48.82</v>
      </c>
      <c r="G908" s="242" t="n">
        <v>10178021</v>
      </c>
      <c r="H908" s="241" t="n">
        <v>6.15</v>
      </c>
      <c r="I908" s="241" t="n">
        <v>24.7</v>
      </c>
      <c r="J908" s="241" t="n">
        <v>63.86</v>
      </c>
      <c r="K908" s="241" t="n">
        <v>40.13</v>
      </c>
      <c r="L908" s="242" t="n">
        <v>793395</v>
      </c>
      <c r="M908" s="241" t="n">
        <v>-4.11</v>
      </c>
      <c r="N908" s="241" t="n">
        <v>25.83</v>
      </c>
      <c r="O908" s="241" t="n">
        <v>134.98</v>
      </c>
      <c r="P908" s="241" t="n">
        <v>1.22</v>
      </c>
    </row>
    <row r="909">
      <c r="A909" s="282" t="inlineStr">
        <is>
          <t>2009-09-22</t>
        </is>
      </c>
      <c r="B909" s="240">
        <f>IFERROR(1/P909-1,B908)</f>
        <v/>
      </c>
      <c r="C909" s="240">
        <f>$C$3</f>
        <v/>
      </c>
      <c r="D909" s="240">
        <f>$D$3</f>
        <v/>
      </c>
      <c r="E909" s="240">
        <f>$E$3</f>
        <v/>
      </c>
      <c r="F909" s="241" t="n">
        <v>47.96</v>
      </c>
      <c r="G909" s="242" t="n">
        <v>9041376</v>
      </c>
      <c r="H909" s="241" t="n">
        <v>-1.76</v>
      </c>
      <c r="I909" s="241" t="n">
        <v>17.43</v>
      </c>
      <c r="J909" s="241" t="n">
        <v>60.97</v>
      </c>
      <c r="K909" s="241" t="n">
        <v>39.3</v>
      </c>
      <c r="L909" s="242" t="n">
        <v>680882</v>
      </c>
      <c r="M909" s="241" t="n">
        <v>-2.09</v>
      </c>
      <c r="N909" s="241" t="n">
        <v>20.7</v>
      </c>
      <c r="O909" s="241" t="n">
        <v>130.08</v>
      </c>
      <c r="P909" s="241" t="n">
        <v>1.22</v>
      </c>
    </row>
    <row r="910">
      <c r="A910" s="282" t="inlineStr">
        <is>
          <t>2009-09-23</t>
        </is>
      </c>
      <c r="B910" s="240">
        <f>IFERROR(1/P910-1,B909)</f>
        <v/>
      </c>
      <c r="C910" s="240">
        <f>$C$3</f>
        <v/>
      </c>
      <c r="D910" s="240">
        <f>$D$3</f>
        <v/>
      </c>
      <c r="E910" s="240">
        <f>$E$3</f>
        <v/>
      </c>
      <c r="F910" s="241" t="n">
        <v>49.11</v>
      </c>
      <c r="G910" s="242" t="n">
        <v>13552593</v>
      </c>
      <c r="H910" s="241" t="n">
        <v>2.4</v>
      </c>
      <c r="I910" s="241" t="n">
        <v>20.25</v>
      </c>
      <c r="J910" s="241" t="n">
        <v>64.83</v>
      </c>
      <c r="K910" s="241" t="n">
        <v>40.26</v>
      </c>
      <c r="L910" s="242" t="n">
        <v>822726</v>
      </c>
      <c r="M910" s="241" t="n">
        <v>2.47</v>
      </c>
      <c r="N910" s="241" t="n">
        <v>23.68</v>
      </c>
      <c r="O910" s="241" t="n">
        <v>135.76</v>
      </c>
      <c r="P910" s="241" t="n">
        <v>1.22</v>
      </c>
    </row>
    <row r="911">
      <c r="A911" s="282" t="inlineStr">
        <is>
          <t>2009-09-24</t>
        </is>
      </c>
      <c r="B911" s="240">
        <f>IFERROR(1/P911-1,B910)</f>
        <v/>
      </c>
      <c r="C911" s="240">
        <f>$C$3</f>
        <v/>
      </c>
      <c r="D911" s="240">
        <f>$D$3</f>
        <v/>
      </c>
      <c r="E911" s="240">
        <f>$E$3</f>
        <v/>
      </c>
      <c r="F911" s="241" t="n">
        <v>47.8</v>
      </c>
      <c r="G911" s="242" t="n">
        <v>6168784</v>
      </c>
      <c r="H911" s="241" t="n">
        <v>-2.67</v>
      </c>
      <c r="I911" s="241" t="n">
        <v>17.04</v>
      </c>
      <c r="J911" s="241" t="n">
        <v>60.43</v>
      </c>
      <c r="K911" s="241" t="n">
        <v>38.19</v>
      </c>
      <c r="L911" s="242" t="n">
        <v>1283491</v>
      </c>
      <c r="M911" s="241" t="n">
        <v>-5.14</v>
      </c>
      <c r="N911" s="241" t="n">
        <v>17.32</v>
      </c>
      <c r="O911" s="241" t="n">
        <v>123.63</v>
      </c>
      <c r="P911" s="241" t="n">
        <v>1.25</v>
      </c>
    </row>
    <row r="912">
      <c r="A912" s="282" t="inlineStr">
        <is>
          <t>2009-09-25</t>
        </is>
      </c>
      <c r="B912" s="240">
        <f>IFERROR(1/P912-1,B911)</f>
        <v/>
      </c>
      <c r="C912" s="240">
        <f>$C$3</f>
        <v/>
      </c>
      <c r="D912" s="240">
        <f>$D$3</f>
        <v/>
      </c>
      <c r="E912" s="240">
        <f>$E$3</f>
        <v/>
      </c>
      <c r="F912" s="241" t="n">
        <v>48.09</v>
      </c>
      <c r="G912" s="242" t="n">
        <v>4916946</v>
      </c>
      <c r="H912" s="241" t="n">
        <v>0.61</v>
      </c>
      <c r="I912" s="241" t="n">
        <v>17.81</v>
      </c>
      <c r="J912" s="241" t="n">
        <v>61.41</v>
      </c>
      <c r="K912" s="241" t="n">
        <v>38.19</v>
      </c>
      <c r="L912" s="242" t="n">
        <v>1275021</v>
      </c>
      <c r="M912" s="241" t="n">
        <v>0</v>
      </c>
      <c r="N912" s="241" t="n">
        <v>8.65</v>
      </c>
      <c r="O912" s="241" t="n">
        <v>123.63</v>
      </c>
      <c r="P912" s="241" t="n">
        <v>1.26</v>
      </c>
    </row>
    <row r="913">
      <c r="A913" s="282" t="inlineStr">
        <is>
          <t>2009-09-28</t>
        </is>
      </c>
      <c r="B913" s="240">
        <f>IFERROR(1/P913-1,B912)</f>
        <v/>
      </c>
      <c r="C913" s="240">
        <f>$C$3</f>
        <v/>
      </c>
      <c r="D913" s="240">
        <f>$D$3</f>
        <v/>
      </c>
      <c r="E913" s="240">
        <f>$E$3</f>
        <v/>
      </c>
      <c r="F913" s="241" t="n">
        <v>48.5</v>
      </c>
      <c r="G913" s="242" t="n">
        <v>4340006</v>
      </c>
      <c r="H913" s="241" t="n">
        <v>0.85</v>
      </c>
      <c r="I913" s="241" t="n">
        <v>10.98</v>
      </c>
      <c r="J913" s="241" t="n">
        <v>62.78</v>
      </c>
      <c r="K913" s="241" t="n">
        <v>37</v>
      </c>
      <c r="L913" s="242" t="n">
        <v>749786</v>
      </c>
      <c r="M913" s="241" t="n">
        <v>-3.11</v>
      </c>
      <c r="N913" s="241" t="n">
        <v>5.53</v>
      </c>
      <c r="O913" s="241" t="n">
        <v>116.67</v>
      </c>
      <c r="P913" s="241" t="n">
        <v>1.31</v>
      </c>
    </row>
    <row r="914">
      <c r="A914" s="282" t="inlineStr">
        <is>
          <t>2009-09-29</t>
        </is>
      </c>
      <c r="B914" s="240">
        <f>IFERROR(1/P914-1,B913)</f>
        <v/>
      </c>
      <c r="C914" s="240">
        <f>$C$3</f>
        <v/>
      </c>
      <c r="D914" s="240">
        <f>$D$3</f>
        <v/>
      </c>
      <c r="E914" s="240">
        <f>$E$3</f>
        <v/>
      </c>
      <c r="F914" s="241" t="n">
        <v>48.31</v>
      </c>
      <c r="G914" s="242" t="n">
        <v>4871026</v>
      </c>
      <c r="H914" s="241" t="n">
        <v>-0.39</v>
      </c>
      <c r="I914" s="241" t="n">
        <v>14.51</v>
      </c>
      <c r="J914" s="241" t="n">
        <v>62.15</v>
      </c>
      <c r="K914" s="241" t="n">
        <v>36.87</v>
      </c>
      <c r="L914" s="242" t="n">
        <v>1116401</v>
      </c>
      <c r="M914" s="241" t="n">
        <v>-0.36</v>
      </c>
      <c r="N914" s="241" t="n">
        <v>7.31</v>
      </c>
      <c r="O914" s="241" t="n">
        <v>115.89</v>
      </c>
      <c r="P914" s="241" t="n">
        <v>1.31</v>
      </c>
    </row>
    <row r="915">
      <c r="A915" s="282" t="inlineStr">
        <is>
          <t>2009-09-30</t>
        </is>
      </c>
      <c r="B915" s="240">
        <f>IFERROR(1/P915-1,B914)</f>
        <v/>
      </c>
      <c r="C915" s="240">
        <f>$C$3</f>
        <v/>
      </c>
      <c r="D915" s="240">
        <f>$D$3</f>
        <v/>
      </c>
      <c r="E915" s="240">
        <f>$E$3</f>
        <v/>
      </c>
      <c r="F915" s="241" t="n">
        <v>46.99</v>
      </c>
      <c r="G915" s="242" t="n">
        <v>4670993</v>
      </c>
      <c r="H915" s="241" t="n">
        <v>-2.73</v>
      </c>
      <c r="I915" s="241" t="n">
        <v>11.38</v>
      </c>
      <c r="J915" s="241" t="n">
        <v>57.72</v>
      </c>
      <c r="K915" s="241" t="n">
        <v>34.45</v>
      </c>
      <c r="L915" s="242" t="n">
        <v>3092697</v>
      </c>
      <c r="M915" s="241" t="n">
        <v>-6.57</v>
      </c>
      <c r="N915" s="241" t="n">
        <v>0.26</v>
      </c>
      <c r="O915" s="241" t="n">
        <v>101.71</v>
      </c>
      <c r="P915" s="241" t="n">
        <v>1.36</v>
      </c>
    </row>
    <row r="916">
      <c r="A916" s="282" t="inlineStr">
        <is>
          <t>2009-10-09</t>
        </is>
      </c>
      <c r="B916" s="240">
        <f>IFERROR(1/P916-1,B915)</f>
        <v/>
      </c>
      <c r="C916" s="240">
        <f>$C$3</f>
        <v/>
      </c>
      <c r="D916" s="240">
        <f>$D$3</f>
        <v/>
      </c>
      <c r="E916" s="240">
        <f>$E$3</f>
        <v/>
      </c>
      <c r="F916" s="241" t="n">
        <v>47.95</v>
      </c>
      <c r="G916" s="242" t="n">
        <v>6471306</v>
      </c>
      <c r="H916" s="241" t="n">
        <v>2.04</v>
      </c>
      <c r="I916" s="241" t="n">
        <v>5.92</v>
      </c>
      <c r="J916" s="241" t="n">
        <v>60.94</v>
      </c>
      <c r="K916" s="241" t="n">
        <v>37.79</v>
      </c>
      <c r="L916" s="242" t="n">
        <v>1298274</v>
      </c>
      <c r="M916" s="241" t="n">
        <v>0.47</v>
      </c>
      <c r="N916" s="241" t="n">
        <v>-2.39</v>
      </c>
      <c r="O916" s="241" t="n">
        <v>121.31</v>
      </c>
      <c r="P916" s="241" t="n">
        <v>1.27</v>
      </c>
    </row>
    <row r="917">
      <c r="A917" s="282" t="inlineStr">
        <is>
          <t>2009-10-12</t>
        </is>
      </c>
      <c r="B917" s="240">
        <f>IFERROR(1/P917-1,B916)</f>
        <v/>
      </c>
      <c r="C917" s="240">
        <f>$C$3</f>
        <v/>
      </c>
      <c r="D917" s="240">
        <f>$D$3</f>
        <v/>
      </c>
      <c r="E917" s="240">
        <f>$E$3</f>
        <v/>
      </c>
      <c r="F917" s="241" t="n">
        <v>47.26</v>
      </c>
      <c r="G917" s="242" t="n">
        <v>5610327</v>
      </c>
      <c r="H917" s="241" t="n">
        <v>-1.44</v>
      </c>
      <c r="I917" s="241" t="n">
        <v>7</v>
      </c>
      <c r="J917" s="241" t="n">
        <v>58.62</v>
      </c>
      <c r="K917" s="241" t="n">
        <v>37.4</v>
      </c>
      <c r="L917" s="242" t="n">
        <v>900775</v>
      </c>
      <c r="M917" s="241" t="n">
        <v>-1.05</v>
      </c>
      <c r="N917" s="241" t="n">
        <v>-5.88</v>
      </c>
      <c r="O917" s="241" t="n">
        <v>118.99</v>
      </c>
      <c r="P917" s="241" t="n">
        <v>1.26</v>
      </c>
    </row>
    <row r="918">
      <c r="A918" s="282" t="inlineStr">
        <is>
          <t>2009-10-13</t>
        </is>
      </c>
      <c r="B918" s="240">
        <f>IFERROR(1/P918-1,B917)</f>
        <v/>
      </c>
      <c r="C918" s="240">
        <f>$C$3</f>
        <v/>
      </c>
      <c r="D918" s="240">
        <f>$D$3</f>
        <v/>
      </c>
      <c r="E918" s="240">
        <f>$E$3</f>
        <v/>
      </c>
      <c r="F918" s="241" t="n">
        <v>48.08</v>
      </c>
      <c r="G918" s="242" t="n">
        <v>4117680</v>
      </c>
      <c r="H918" s="241" t="n">
        <v>1.74</v>
      </c>
      <c r="I918" s="241" t="n">
        <v>8.85</v>
      </c>
      <c r="J918" s="241" t="n">
        <v>61.37</v>
      </c>
      <c r="K918" s="241" t="n">
        <v>37.61</v>
      </c>
      <c r="L918" s="242" t="n">
        <v>771282</v>
      </c>
      <c r="M918" s="241" t="n">
        <v>0.59</v>
      </c>
      <c r="N918" s="241" t="n">
        <v>-5.32</v>
      </c>
      <c r="O918" s="241" t="n">
        <v>120.28</v>
      </c>
      <c r="P918" s="241" t="n">
        <v>1.28</v>
      </c>
    </row>
    <row r="919">
      <c r="A919" s="282" t="inlineStr">
        <is>
          <t>2009-10-14</t>
        </is>
      </c>
      <c r="B919" s="240">
        <f>IFERROR(1/P919-1,B918)</f>
        <v/>
      </c>
      <c r="C919" s="240">
        <f>$C$3</f>
        <v/>
      </c>
      <c r="D919" s="240">
        <f>$D$3</f>
        <v/>
      </c>
      <c r="E919" s="240">
        <f>$E$3</f>
        <v/>
      </c>
      <c r="F919" s="241" t="n">
        <v>47.06</v>
      </c>
      <c r="G919" s="242" t="n">
        <v>6449563</v>
      </c>
      <c r="H919" s="241" t="n">
        <v>-2.12</v>
      </c>
      <c r="I919" s="241" t="n">
        <v>6.54</v>
      </c>
      <c r="J919" s="241" t="n">
        <v>57.95</v>
      </c>
      <c r="K919" s="241" t="n">
        <v>37.61</v>
      </c>
      <c r="L919" s="242" t="n">
        <v>1030499</v>
      </c>
      <c r="M919" s="241" t="n">
        <v>0</v>
      </c>
      <c r="N919" s="241" t="n">
        <v>-5.32</v>
      </c>
      <c r="O919" s="241" t="n">
        <v>120.28</v>
      </c>
      <c r="P919" s="241" t="n">
        <v>1.25</v>
      </c>
    </row>
    <row r="920">
      <c r="A920" s="282" t="inlineStr">
        <is>
          <t>2009-10-15</t>
        </is>
      </c>
      <c r="B920" s="240">
        <f>IFERROR(1/P920-1,B919)</f>
        <v/>
      </c>
      <c r="C920" s="240">
        <f>$C$3</f>
        <v/>
      </c>
      <c r="D920" s="240">
        <f>$D$3</f>
        <v/>
      </c>
      <c r="E920" s="240">
        <f>$E$3</f>
        <v/>
      </c>
      <c r="F920" s="241" t="n">
        <v>45.44</v>
      </c>
      <c r="G920" s="242" t="n">
        <v>8439225</v>
      </c>
      <c r="H920" s="241" t="n">
        <v>-3.44</v>
      </c>
      <c r="I920" s="241" t="n">
        <v>0.38</v>
      </c>
      <c r="J920" s="241" t="n">
        <v>52.51</v>
      </c>
      <c r="K920" s="241" t="n">
        <v>37.57</v>
      </c>
      <c r="L920" s="242" t="n">
        <v>2019282</v>
      </c>
      <c r="M920" s="241" t="n">
        <v>-0.12</v>
      </c>
      <c r="N920" s="241" t="n">
        <v>-1.95</v>
      </c>
      <c r="O920" s="241" t="n">
        <v>120.02</v>
      </c>
      <c r="P920" s="241" t="n">
        <v>1.21</v>
      </c>
    </row>
    <row r="921">
      <c r="A921" s="282" t="inlineStr">
        <is>
          <t>2009-10-16</t>
        </is>
      </c>
      <c r="B921" s="240">
        <f>IFERROR(1/P921-1,B920)</f>
        <v/>
      </c>
      <c r="C921" s="240">
        <f>$C$3</f>
        <v/>
      </c>
      <c r="D921" s="240">
        <f>$D$3</f>
        <v/>
      </c>
      <c r="E921" s="240">
        <f>$E$3</f>
        <v/>
      </c>
      <c r="F921" s="241" t="n">
        <v>45.8</v>
      </c>
      <c r="G921" s="242" t="n">
        <v>4367306</v>
      </c>
      <c r="H921" s="241" t="n">
        <v>0.79</v>
      </c>
      <c r="I921" s="241" t="n">
        <v>0.24</v>
      </c>
      <c r="J921" s="241" t="n">
        <v>53.72</v>
      </c>
      <c r="K921" s="241" t="n">
        <v>37</v>
      </c>
      <c r="L921" s="242" t="n">
        <v>1126000</v>
      </c>
      <c r="M921" s="241" t="n">
        <v>-1.52</v>
      </c>
      <c r="N921" s="241" t="n">
        <v>-4</v>
      </c>
      <c r="O921" s="241" t="n">
        <v>116.67</v>
      </c>
      <c r="P921" s="241" t="n">
        <v>1.24</v>
      </c>
    </row>
    <row r="922">
      <c r="A922" s="282" t="inlineStr">
        <is>
          <t>2009-10-19</t>
        </is>
      </c>
      <c r="B922" s="240">
        <f>IFERROR(1/P922-1,B921)</f>
        <v/>
      </c>
      <c r="C922" s="240">
        <f>$C$3</f>
        <v/>
      </c>
      <c r="D922" s="240">
        <f>$D$3</f>
        <v/>
      </c>
      <c r="E922" s="240">
        <f>$E$3</f>
        <v/>
      </c>
      <c r="F922" s="241" t="n">
        <v>46.94</v>
      </c>
      <c r="G922" s="242" t="n">
        <v>5858278</v>
      </c>
      <c r="H922" s="241" t="n">
        <v>2.49</v>
      </c>
      <c r="I922" s="241" t="n">
        <v>2.07</v>
      </c>
      <c r="J922" s="241" t="n">
        <v>57.55</v>
      </c>
      <c r="K922" s="241" t="n">
        <v>37.48</v>
      </c>
      <c r="L922" s="242" t="n">
        <v>911800</v>
      </c>
      <c r="M922" s="241" t="n">
        <v>1.31</v>
      </c>
      <c r="N922" s="241" t="n">
        <v>-10.42</v>
      </c>
      <c r="O922" s="241" t="n">
        <v>119.51</v>
      </c>
      <c r="P922" s="241" t="n">
        <v>1.25</v>
      </c>
    </row>
    <row r="923">
      <c r="A923" s="282" t="inlineStr">
        <is>
          <t>2009-10-20</t>
        </is>
      </c>
      <c r="B923" s="240">
        <f>IFERROR(1/P923-1,B922)</f>
        <v/>
      </c>
      <c r="C923" s="240">
        <f>$C$3</f>
        <v/>
      </c>
      <c r="D923" s="240">
        <f>$D$3</f>
        <v/>
      </c>
      <c r="E923" s="240">
        <f>$E$3</f>
        <v/>
      </c>
      <c r="F923" s="241" t="n">
        <v>47.59</v>
      </c>
      <c r="G923" s="242" t="n">
        <v>3806776</v>
      </c>
      <c r="H923" s="241" t="n">
        <v>1.38</v>
      </c>
      <c r="I923" s="241" t="n">
        <v>3.48</v>
      </c>
      <c r="J923" s="241" t="n">
        <v>59.73</v>
      </c>
      <c r="K923" s="241" t="n">
        <v>39.03</v>
      </c>
      <c r="L923" s="242" t="n">
        <v>1836382</v>
      </c>
      <c r="M923" s="241" t="n">
        <v>4.11</v>
      </c>
      <c r="N923" s="241" t="n">
        <v>-6.74</v>
      </c>
      <c r="O923" s="241" t="n">
        <v>128.53</v>
      </c>
      <c r="P923" s="241" t="n">
        <v>1.22</v>
      </c>
    </row>
    <row r="924">
      <c r="A924" s="282" t="inlineStr">
        <is>
          <t>2009-10-21</t>
        </is>
      </c>
      <c r="B924" s="240">
        <f>IFERROR(1/P924-1,B923)</f>
        <v/>
      </c>
      <c r="C924" s="240">
        <f>$C$3</f>
        <v/>
      </c>
      <c r="D924" s="240">
        <f>$D$3</f>
        <v/>
      </c>
      <c r="E924" s="240">
        <f>$E$3</f>
        <v/>
      </c>
      <c r="F924" s="241" t="n">
        <v>47.01</v>
      </c>
      <c r="G924" s="242" t="n">
        <v>3868321</v>
      </c>
      <c r="H924" s="241" t="n">
        <v>-1.22</v>
      </c>
      <c r="I924" s="241" t="n">
        <v>2.22</v>
      </c>
      <c r="J924" s="241" t="n">
        <v>57.78</v>
      </c>
      <c r="K924" s="241" t="n">
        <v>38.06</v>
      </c>
      <c r="L924" s="242" t="n">
        <v>729351</v>
      </c>
      <c r="M924" s="241" t="n">
        <v>-2.48</v>
      </c>
      <c r="N924" s="241" t="n">
        <v>-9.050000000000001</v>
      </c>
      <c r="O924" s="241" t="n">
        <v>122.86</v>
      </c>
      <c r="P924" s="241" t="n">
        <v>1.24</v>
      </c>
    </row>
    <row r="925">
      <c r="A925" s="282" t="inlineStr">
        <is>
          <t>2009-10-22</t>
        </is>
      </c>
      <c r="B925" s="240">
        <f>IFERROR(1/P925-1,B924)</f>
        <v/>
      </c>
      <c r="C925" s="240">
        <f>$C$3</f>
        <v/>
      </c>
      <c r="D925" s="240">
        <f>$D$3</f>
        <v/>
      </c>
      <c r="E925" s="240">
        <f>$E$3</f>
        <v/>
      </c>
      <c r="F925" s="241" t="n">
        <v>46.3</v>
      </c>
      <c r="G925" s="242" t="n">
        <v>3821777</v>
      </c>
      <c r="H925" s="241" t="n">
        <v>-1.51</v>
      </c>
      <c r="I925" s="241" t="n">
        <v>-5.16</v>
      </c>
      <c r="J925" s="241" t="n">
        <v>55.4</v>
      </c>
      <c r="K925" s="241" t="n">
        <v>38.36</v>
      </c>
      <c r="L925" s="242" t="n">
        <v>851300</v>
      </c>
      <c r="M925" s="241" t="n">
        <v>0.8100000000000001</v>
      </c>
      <c r="N925" s="241" t="n">
        <v>-4.39</v>
      </c>
      <c r="O925" s="241" t="n">
        <v>124.66</v>
      </c>
      <c r="P925" s="241" t="n">
        <v>1.21</v>
      </c>
    </row>
    <row r="926">
      <c r="A926" s="282" t="inlineStr">
        <is>
          <t>2009-10-23</t>
        </is>
      </c>
      <c r="B926" s="240">
        <f>IFERROR(1/P926-1,B925)</f>
        <v/>
      </c>
      <c r="C926" s="240">
        <f>$C$3</f>
        <v/>
      </c>
      <c r="D926" s="240">
        <f>$D$3</f>
        <v/>
      </c>
      <c r="E926" s="240">
        <f>$E$3</f>
        <v/>
      </c>
      <c r="F926" s="241" t="n">
        <v>46.48</v>
      </c>
      <c r="G926" s="242" t="n">
        <v>5547534</v>
      </c>
      <c r="H926" s="241" t="n">
        <v>0.39</v>
      </c>
      <c r="I926" s="241" t="n">
        <v>-3.09</v>
      </c>
      <c r="J926" s="241" t="n">
        <v>56</v>
      </c>
      <c r="K926" s="241" t="n">
        <v>38.28</v>
      </c>
      <c r="L926" s="242" t="n">
        <v>414600</v>
      </c>
      <c r="M926" s="241" t="n">
        <v>-0.23</v>
      </c>
      <c r="N926" s="241" t="n">
        <v>-2.58</v>
      </c>
      <c r="O926" s="241" t="n">
        <v>124.15</v>
      </c>
      <c r="P926" s="241" t="n">
        <v>1.21</v>
      </c>
    </row>
    <row r="927">
      <c r="A927" s="282" t="inlineStr">
        <is>
          <t>2009-10-26</t>
        </is>
      </c>
      <c r="B927" s="240">
        <f>IFERROR(1/P927-1,B926)</f>
        <v/>
      </c>
      <c r="C927" s="240">
        <f>$C$3</f>
        <v/>
      </c>
      <c r="D927" s="240">
        <f>$D$3</f>
        <v/>
      </c>
      <c r="E927" s="240">
        <f>$E$3</f>
        <v/>
      </c>
      <c r="F927" s="241" t="n">
        <v>45.97</v>
      </c>
      <c r="G927" s="242" t="n">
        <v>4460077</v>
      </c>
      <c r="H927" s="241" t="n">
        <v>-1.1</v>
      </c>
      <c r="I927" s="241" t="n">
        <v>-4.41</v>
      </c>
      <c r="J927" s="241" t="n">
        <v>54.29</v>
      </c>
      <c r="K927" s="239" t="inlineStr">
        <is>
          <t>--</t>
        </is>
      </c>
      <c r="L927" s="239" t="inlineStr">
        <is>
          <t>--</t>
        </is>
      </c>
      <c r="M927" s="239" t="inlineStr">
        <is>
          <t>--</t>
        </is>
      </c>
      <c r="N927" s="239" t="inlineStr">
        <is>
          <t>--</t>
        </is>
      </c>
      <c r="O927" s="239" t="inlineStr">
        <is>
          <t>--</t>
        </is>
      </c>
      <c r="P927" s="239" t="inlineStr">
        <is>
          <t>--</t>
        </is>
      </c>
    </row>
    <row r="928">
      <c r="A928" s="282" t="inlineStr">
        <is>
          <t>2009-10-27</t>
        </is>
      </c>
      <c r="B928" s="240">
        <f>IFERROR(1/P928-1,B927)</f>
        <v/>
      </c>
      <c r="C928" s="240">
        <f>$C$3</f>
        <v/>
      </c>
      <c r="D928" s="240">
        <f>$D$3</f>
        <v/>
      </c>
      <c r="E928" s="240">
        <f>$E$3</f>
        <v/>
      </c>
      <c r="F928" s="241" t="n">
        <v>45.19</v>
      </c>
      <c r="G928" s="242" t="n">
        <v>4123530</v>
      </c>
      <c r="H928" s="241" t="n">
        <v>-1.7</v>
      </c>
      <c r="I928" s="241" t="n">
        <v>-6.03</v>
      </c>
      <c r="J928" s="241" t="n">
        <v>51.67</v>
      </c>
      <c r="K928" s="241" t="n">
        <v>38.15</v>
      </c>
      <c r="L928" s="242" t="n">
        <v>215145</v>
      </c>
      <c r="M928" s="241" t="n">
        <v>-0.35</v>
      </c>
      <c r="N928" s="241" t="n">
        <v>-0.12</v>
      </c>
      <c r="O928" s="241" t="n">
        <v>123.38</v>
      </c>
      <c r="P928" s="241" t="n">
        <v>1.18</v>
      </c>
    </row>
    <row r="929">
      <c r="A929" s="282" t="inlineStr">
        <is>
          <t>2009-10-28</t>
        </is>
      </c>
      <c r="B929" s="240">
        <f>IFERROR(1/P929-1,B928)</f>
        <v/>
      </c>
      <c r="C929" s="240">
        <f>$C$3</f>
        <v/>
      </c>
      <c r="D929" s="240">
        <f>$D$3</f>
        <v/>
      </c>
      <c r="E929" s="240">
        <f>$E$3</f>
        <v/>
      </c>
      <c r="F929" s="241" t="n">
        <v>46</v>
      </c>
      <c r="G929" s="242" t="n">
        <v>3269507</v>
      </c>
      <c r="H929" s="241" t="n">
        <v>1.79</v>
      </c>
      <c r="I929" s="241" t="n">
        <v>-4.35</v>
      </c>
      <c r="J929" s="241" t="n">
        <v>54.39</v>
      </c>
      <c r="K929" s="241" t="n">
        <v>37.31</v>
      </c>
      <c r="L929" s="242" t="n">
        <v>418766</v>
      </c>
      <c r="M929" s="241" t="n">
        <v>-2.19</v>
      </c>
      <c r="N929" s="241" t="n">
        <v>-2.31</v>
      </c>
      <c r="O929" s="241" t="n">
        <v>118.47</v>
      </c>
      <c r="P929" s="241" t="n">
        <v>1.23</v>
      </c>
    </row>
    <row r="930">
      <c r="A930" s="282" t="inlineStr">
        <is>
          <t>2009-10-29</t>
        </is>
      </c>
      <c r="B930" s="240">
        <f>IFERROR(1/P930-1,B929)</f>
        <v/>
      </c>
      <c r="C930" s="240">
        <f>$C$3</f>
        <v/>
      </c>
      <c r="D930" s="240">
        <f>$D$3</f>
        <v/>
      </c>
      <c r="E930" s="240">
        <f>$E$3</f>
        <v/>
      </c>
      <c r="F930" s="241" t="n">
        <v>45.99</v>
      </c>
      <c r="G930" s="242" t="n">
        <v>3211471</v>
      </c>
      <c r="H930" s="241" t="n">
        <v>-0.02</v>
      </c>
      <c r="I930" s="241" t="n">
        <v>-5.18</v>
      </c>
      <c r="J930" s="241" t="n">
        <v>54.36</v>
      </c>
      <c r="K930" s="241" t="n">
        <v>35.9</v>
      </c>
      <c r="L930" s="242" t="n">
        <v>1014379</v>
      </c>
      <c r="M930" s="241" t="n">
        <v>-3.78</v>
      </c>
      <c r="N930" s="241" t="n">
        <v>-2.98</v>
      </c>
      <c r="O930" s="241" t="n">
        <v>110.22</v>
      </c>
      <c r="P930" s="241" t="n">
        <v>1.28</v>
      </c>
    </row>
    <row r="931">
      <c r="A931" s="282" t="inlineStr">
        <is>
          <t>2009-10-30</t>
        </is>
      </c>
      <c r="B931" s="240">
        <f>IFERROR(1/P931-1,B930)</f>
        <v/>
      </c>
      <c r="C931" s="240">
        <f>$C$3</f>
        <v/>
      </c>
      <c r="D931" s="240">
        <f>$D$3</f>
        <v/>
      </c>
      <c r="E931" s="240">
        <f>$E$3</f>
        <v/>
      </c>
      <c r="F931" s="241" t="n">
        <v>46.58</v>
      </c>
      <c r="G931" s="242" t="n">
        <v>4120920</v>
      </c>
      <c r="H931" s="241" t="n">
        <v>1.28</v>
      </c>
      <c r="I931" s="241" t="n">
        <v>-3.58</v>
      </c>
      <c r="J931" s="241" t="n">
        <v>56.34</v>
      </c>
      <c r="K931" s="241" t="n">
        <v>34.45</v>
      </c>
      <c r="L931" s="242" t="n">
        <v>2139036</v>
      </c>
      <c r="M931" s="241" t="n">
        <v>-4.05</v>
      </c>
      <c r="N931" s="241" t="n">
        <v>-6.57</v>
      </c>
      <c r="O931" s="241" t="n">
        <v>101.71</v>
      </c>
      <c r="P931" s="241" t="n">
        <v>1.35</v>
      </c>
    </row>
    <row r="932">
      <c r="A932" s="282" t="inlineStr">
        <is>
          <t>2009-11-02</t>
        </is>
      </c>
      <c r="B932" s="240">
        <f>IFERROR(1/P932-1,B931)</f>
        <v/>
      </c>
      <c r="C932" s="240">
        <f>$C$3</f>
        <v/>
      </c>
      <c r="D932" s="240">
        <f>$D$3</f>
        <v/>
      </c>
      <c r="E932" s="240">
        <f>$E$3</f>
        <v/>
      </c>
      <c r="F932" s="241" t="n">
        <v>47.76</v>
      </c>
      <c r="G932" s="242" t="n">
        <v>4600008</v>
      </c>
      <c r="H932" s="241" t="n">
        <v>2.53</v>
      </c>
      <c r="I932" s="241" t="n">
        <v>1.64</v>
      </c>
      <c r="J932" s="241" t="n">
        <v>60.3</v>
      </c>
      <c r="K932" s="241" t="n">
        <v>35.15</v>
      </c>
      <c r="L932" s="242" t="n">
        <v>1424260</v>
      </c>
      <c r="M932" s="241" t="n">
        <v>2.05</v>
      </c>
      <c r="N932" s="241" t="n">
        <v>2.05</v>
      </c>
      <c r="O932" s="241" t="n">
        <v>105.84</v>
      </c>
      <c r="P932" s="241" t="n">
        <v>1.36</v>
      </c>
    </row>
    <row r="933">
      <c r="A933" s="282" t="inlineStr">
        <is>
          <t>2009-11-03</t>
        </is>
      </c>
      <c r="B933" s="240">
        <f>IFERROR(1/P933-1,B932)</f>
        <v/>
      </c>
      <c r="C933" s="240">
        <f>$C$3</f>
        <v/>
      </c>
      <c r="D933" s="240">
        <f>$D$3</f>
        <v/>
      </c>
      <c r="E933" s="240">
        <f>$E$3</f>
        <v/>
      </c>
      <c r="F933" s="241" t="n">
        <v>48.75</v>
      </c>
      <c r="G933" s="242" t="n">
        <v>6743907</v>
      </c>
      <c r="H933" s="241" t="n">
        <v>2.07</v>
      </c>
      <c r="I933" s="241" t="n">
        <v>3.75</v>
      </c>
      <c r="J933" s="241" t="n">
        <v>63.62</v>
      </c>
      <c r="K933" s="241" t="n">
        <v>35.9</v>
      </c>
      <c r="L933" s="242" t="n">
        <v>1005123</v>
      </c>
      <c r="M933" s="241" t="n">
        <v>2.13</v>
      </c>
      <c r="N933" s="241" t="n">
        <v>4.89</v>
      </c>
      <c r="O933" s="241" t="n">
        <v>110.22</v>
      </c>
      <c r="P933" s="241" t="n">
        <v>1.36</v>
      </c>
    </row>
    <row r="934">
      <c r="A934" s="282" t="inlineStr">
        <is>
          <t>2009-11-04</t>
        </is>
      </c>
      <c r="B934" s="240">
        <f>IFERROR(1/P934-1,B933)</f>
        <v/>
      </c>
      <c r="C934" s="240">
        <f>$C$3</f>
        <v/>
      </c>
      <c r="D934" s="240">
        <f>$D$3</f>
        <v/>
      </c>
      <c r="E934" s="240">
        <f>$E$3</f>
        <v/>
      </c>
      <c r="F934" s="241" t="n">
        <v>49.01</v>
      </c>
      <c r="G934" s="242" t="n">
        <v>5354260</v>
      </c>
      <c r="H934" s="241" t="n">
        <v>0.53</v>
      </c>
      <c r="I934" s="241" t="n">
        <v>4.3</v>
      </c>
      <c r="J934" s="241" t="n">
        <v>64.5</v>
      </c>
      <c r="K934" s="241" t="n">
        <v>36.08</v>
      </c>
      <c r="L934" s="242" t="n">
        <v>892392</v>
      </c>
      <c r="M934" s="241" t="n">
        <v>0.49</v>
      </c>
      <c r="N934" s="241" t="n">
        <v>5.41</v>
      </c>
      <c r="O934" s="241" t="n">
        <v>111.25</v>
      </c>
      <c r="P934" s="241" t="n">
        <v>1.36</v>
      </c>
    </row>
    <row r="935">
      <c r="A935" s="282" t="inlineStr">
        <is>
          <t>2009-11-05</t>
        </is>
      </c>
      <c r="B935" s="240">
        <f>IFERROR(1/P935-1,B934)</f>
        <v/>
      </c>
      <c r="C935" s="240">
        <f>$C$3</f>
        <v/>
      </c>
      <c r="D935" s="240">
        <f>$D$3</f>
        <v/>
      </c>
      <c r="E935" s="240">
        <f>$E$3</f>
        <v/>
      </c>
      <c r="F935" s="241" t="n">
        <v>48.22</v>
      </c>
      <c r="G935" s="242" t="n">
        <v>3135784</v>
      </c>
      <c r="H935" s="241" t="n">
        <v>-1.61</v>
      </c>
      <c r="I935" s="241" t="n">
        <v>2.62</v>
      </c>
      <c r="J935" s="241" t="n">
        <v>61.84</v>
      </c>
      <c r="K935" s="241" t="n">
        <v>35.24</v>
      </c>
      <c r="L935" s="242" t="n">
        <v>1724617</v>
      </c>
      <c r="M935" s="241" t="n">
        <v>-2.32</v>
      </c>
      <c r="N935" s="241" t="n">
        <v>2.96</v>
      </c>
      <c r="O935" s="241" t="n">
        <v>106.35</v>
      </c>
      <c r="P935" s="241" t="n">
        <v>1.37</v>
      </c>
    </row>
    <row r="936">
      <c r="A936" s="282" t="inlineStr">
        <is>
          <t>2009-11-06</t>
        </is>
      </c>
      <c r="B936" s="240">
        <f>IFERROR(1/P936-1,B935)</f>
        <v/>
      </c>
      <c r="C936" s="240">
        <f>$C$3</f>
        <v/>
      </c>
      <c r="D936" s="240">
        <f>$D$3</f>
        <v/>
      </c>
      <c r="E936" s="240">
        <f>$E$3</f>
        <v/>
      </c>
      <c r="F936" s="241" t="n">
        <v>47.95</v>
      </c>
      <c r="G936" s="242" t="n">
        <v>4316901</v>
      </c>
      <c r="H936" s="241" t="n">
        <v>-0.5600000000000001</v>
      </c>
      <c r="I936" s="241" t="n">
        <v>2.04</v>
      </c>
      <c r="J936" s="241" t="n">
        <v>60.94</v>
      </c>
      <c r="K936" s="241" t="n">
        <v>36.78</v>
      </c>
      <c r="L936" s="242" t="n">
        <v>1528862</v>
      </c>
      <c r="M936" s="241" t="n">
        <v>4.38</v>
      </c>
      <c r="N936" s="241" t="n">
        <v>7.33</v>
      </c>
      <c r="O936" s="241" t="n">
        <v>115.38</v>
      </c>
      <c r="P936" s="241" t="n">
        <v>1.3</v>
      </c>
    </row>
    <row r="937">
      <c r="A937" s="282" t="inlineStr">
        <is>
          <t>2009-11-09</t>
        </is>
      </c>
      <c r="B937" s="240">
        <f>IFERROR(1/P937-1,B936)</f>
        <v/>
      </c>
      <c r="C937" s="240">
        <f>$C$3</f>
        <v/>
      </c>
      <c r="D937" s="240">
        <f>$D$3</f>
        <v/>
      </c>
      <c r="E937" s="240">
        <f>$E$3</f>
        <v/>
      </c>
      <c r="F937" s="241" t="n">
        <v>49.33</v>
      </c>
      <c r="G937" s="242" t="n">
        <v>4343347</v>
      </c>
      <c r="H937" s="241" t="n">
        <v>2.88</v>
      </c>
      <c r="I937" s="241" t="n">
        <v>4.98</v>
      </c>
      <c r="J937" s="241" t="n">
        <v>65.56999999999999</v>
      </c>
      <c r="K937" s="241" t="n">
        <v>38.06</v>
      </c>
      <c r="L937" s="242" t="n">
        <v>1126721</v>
      </c>
      <c r="M937" s="241" t="n">
        <v>3.47</v>
      </c>
      <c r="N937" s="241" t="n">
        <v>1.17</v>
      </c>
      <c r="O937" s="241" t="n">
        <v>122.86</v>
      </c>
      <c r="P937" s="241" t="n">
        <v>1.3</v>
      </c>
    </row>
    <row r="938">
      <c r="A938" s="282" t="inlineStr">
        <is>
          <t>2009-11-10</t>
        </is>
      </c>
      <c r="B938" s="240">
        <f>IFERROR(1/P938-1,B937)</f>
        <v/>
      </c>
      <c r="C938" s="240">
        <f>$C$3</f>
        <v/>
      </c>
      <c r="D938" s="240">
        <f>$D$3</f>
        <v/>
      </c>
      <c r="E938" s="240">
        <f>$E$3</f>
        <v/>
      </c>
      <c r="F938" s="241" t="n">
        <v>48.58</v>
      </c>
      <c r="G938" s="242" t="n">
        <v>4173436</v>
      </c>
      <c r="H938" s="241" t="n">
        <v>-1.52</v>
      </c>
      <c r="I938" s="241" t="n">
        <v>1.31</v>
      </c>
      <c r="J938" s="241" t="n">
        <v>63.05</v>
      </c>
      <c r="K938" s="241" t="n">
        <v>38.23</v>
      </c>
      <c r="L938" s="242" t="n">
        <v>1031780</v>
      </c>
      <c r="M938" s="241" t="n">
        <v>0.46</v>
      </c>
      <c r="N938" s="241" t="n">
        <v>1.17</v>
      </c>
      <c r="O938" s="241" t="n">
        <v>123.89</v>
      </c>
      <c r="P938" s="241" t="n">
        <v>1.27</v>
      </c>
    </row>
    <row r="939">
      <c r="A939" s="282" t="inlineStr">
        <is>
          <t>2009-11-11</t>
        </is>
      </c>
      <c r="B939" s="240">
        <f>IFERROR(1/P939-1,B938)</f>
        <v/>
      </c>
      <c r="C939" s="240">
        <f>$C$3</f>
        <v/>
      </c>
      <c r="D939" s="240">
        <f>$D$3</f>
        <v/>
      </c>
      <c r="E939" s="240">
        <f>$E$3</f>
        <v/>
      </c>
      <c r="F939" s="241" t="n">
        <v>48.11</v>
      </c>
      <c r="G939" s="242" t="n">
        <v>4027803</v>
      </c>
      <c r="H939" s="241" t="n">
        <v>-0.97</v>
      </c>
      <c r="I939" s="241" t="n">
        <v>0.33</v>
      </c>
      <c r="J939" s="241" t="n">
        <v>61.47</v>
      </c>
      <c r="K939" s="241" t="n">
        <v>38.67</v>
      </c>
      <c r="L939" s="242" t="n">
        <v>930321</v>
      </c>
      <c r="M939" s="241" t="n">
        <v>1.15</v>
      </c>
      <c r="N939" s="241" t="n">
        <v>2.33</v>
      </c>
      <c r="O939" s="241" t="n">
        <v>126.47</v>
      </c>
      <c r="P939" s="241" t="n">
        <v>1.24</v>
      </c>
    </row>
    <row r="940">
      <c r="A940" s="282" t="inlineStr">
        <is>
          <t>2009-11-12</t>
        </is>
      </c>
      <c r="B940" s="240">
        <f>IFERROR(1/P940-1,B939)</f>
        <v/>
      </c>
      <c r="C940" s="240">
        <f>$C$3</f>
        <v/>
      </c>
      <c r="D940" s="240">
        <f>$D$3</f>
        <v/>
      </c>
      <c r="E940" s="240">
        <f>$E$3</f>
        <v/>
      </c>
      <c r="F940" s="241" t="n">
        <v>47.91</v>
      </c>
      <c r="G940" s="242" t="n">
        <v>3756423</v>
      </c>
      <c r="H940" s="241" t="n">
        <v>-0.42</v>
      </c>
      <c r="I940" s="241" t="n">
        <v>-0.08</v>
      </c>
      <c r="J940" s="241" t="n">
        <v>60.8</v>
      </c>
      <c r="K940" s="241" t="n">
        <v>37.44</v>
      </c>
      <c r="L940" s="242" t="n">
        <v>1109192</v>
      </c>
      <c r="M940" s="241" t="n">
        <v>-3.19</v>
      </c>
      <c r="N940" s="241" t="n">
        <v>-0.93</v>
      </c>
      <c r="O940" s="241" t="n">
        <v>119.25</v>
      </c>
      <c r="P940" s="241" t="n">
        <v>1.28</v>
      </c>
    </row>
    <row r="941">
      <c r="A941" s="282" t="inlineStr">
        <is>
          <t>2009-11-13</t>
        </is>
      </c>
      <c r="B941" s="240">
        <f>IFERROR(1/P941-1,B940)</f>
        <v/>
      </c>
      <c r="C941" s="240">
        <f>$C$3</f>
        <v/>
      </c>
      <c r="D941" s="240">
        <f>$D$3</f>
        <v/>
      </c>
      <c r="E941" s="240">
        <f>$E$3</f>
        <v/>
      </c>
      <c r="F941" s="241" t="n">
        <v>47.65</v>
      </c>
      <c r="G941" s="242" t="n">
        <v>9220436</v>
      </c>
      <c r="H941" s="241" t="n">
        <v>-0.54</v>
      </c>
      <c r="I941" s="241" t="n">
        <v>0.83</v>
      </c>
      <c r="J941" s="241" t="n">
        <v>59.93</v>
      </c>
      <c r="K941" s="241" t="n">
        <v>37.84</v>
      </c>
      <c r="L941" s="242" t="n">
        <v>344823</v>
      </c>
      <c r="M941" s="241" t="n">
        <v>1.06</v>
      </c>
      <c r="N941" s="241" t="n">
        <v>1.18</v>
      </c>
      <c r="O941" s="241" t="n">
        <v>121.57</v>
      </c>
      <c r="P941" s="241" t="n">
        <v>1.26</v>
      </c>
    </row>
    <row r="942">
      <c r="A942" s="282" t="inlineStr">
        <is>
          <t>2009-11-16</t>
        </is>
      </c>
      <c r="B942" s="240">
        <f>IFERROR(1/P942-1,B941)</f>
        <v/>
      </c>
      <c r="C942" s="240">
        <f>$C$3</f>
        <v/>
      </c>
      <c r="D942" s="240">
        <f>$D$3</f>
        <v/>
      </c>
      <c r="E942" s="240">
        <f>$E$3</f>
        <v/>
      </c>
      <c r="F942" s="241" t="n">
        <v>49</v>
      </c>
      <c r="G942" s="242" t="n">
        <v>8991812</v>
      </c>
      <c r="H942" s="241" t="n">
        <v>2.83</v>
      </c>
      <c r="I942" s="241" t="n">
        <v>7.83</v>
      </c>
      <c r="J942" s="241" t="n">
        <v>64.45999999999999</v>
      </c>
      <c r="K942" s="241" t="n">
        <v>38.19</v>
      </c>
      <c r="L942" s="242" t="n">
        <v>825400</v>
      </c>
      <c r="M942" s="241" t="n">
        <v>0.93</v>
      </c>
      <c r="N942" s="241" t="n">
        <v>1.64</v>
      </c>
      <c r="O942" s="241" t="n">
        <v>123.63</v>
      </c>
      <c r="P942" s="241" t="n">
        <v>1.28</v>
      </c>
    </row>
    <row r="943">
      <c r="A943" s="282" t="inlineStr">
        <is>
          <t>2009-11-17</t>
        </is>
      </c>
      <c r="B943" s="240">
        <f>IFERROR(1/P943-1,B942)</f>
        <v/>
      </c>
      <c r="C943" s="240">
        <f>$C$3</f>
        <v/>
      </c>
      <c r="D943" s="240">
        <f>$D$3</f>
        <v/>
      </c>
      <c r="E943" s="240">
        <f>$E$3</f>
        <v/>
      </c>
      <c r="F943" s="241" t="n">
        <v>48.99</v>
      </c>
      <c r="G943" s="242" t="n">
        <v>7866102</v>
      </c>
      <c r="H943" s="241" t="n">
        <v>-0.02</v>
      </c>
      <c r="I943" s="241" t="n">
        <v>6.97</v>
      </c>
      <c r="J943" s="241" t="n">
        <v>64.43000000000001</v>
      </c>
      <c r="K943" s="241" t="n">
        <v>39.02</v>
      </c>
      <c r="L943" s="242" t="n">
        <v>823197</v>
      </c>
      <c r="M943" s="241" t="n">
        <v>2.19</v>
      </c>
      <c r="N943" s="241" t="n">
        <v>5.48</v>
      </c>
      <c r="O943" s="241" t="n">
        <v>128.53</v>
      </c>
      <c r="P943" s="241" t="n">
        <v>1.26</v>
      </c>
    </row>
    <row r="944">
      <c r="A944" s="282" t="inlineStr">
        <is>
          <t>2009-11-18</t>
        </is>
      </c>
      <c r="B944" s="240">
        <f>IFERROR(1/P944-1,B943)</f>
        <v/>
      </c>
      <c r="C944" s="240">
        <f>$C$3</f>
        <v/>
      </c>
      <c r="D944" s="240">
        <f>$D$3</f>
        <v/>
      </c>
      <c r="E944" s="240">
        <f>$E$3</f>
        <v/>
      </c>
      <c r="F944" s="241" t="n">
        <v>48.86</v>
      </c>
      <c r="G944" s="242" t="n">
        <v>6223518</v>
      </c>
      <c r="H944" s="241" t="n">
        <v>-0.27</v>
      </c>
      <c r="I944" s="241" t="n">
        <v>6.68</v>
      </c>
      <c r="J944" s="241" t="n">
        <v>63.99</v>
      </c>
      <c r="K944" s="241" t="n">
        <v>37.79</v>
      </c>
      <c r="L944" s="242" t="n">
        <v>713899</v>
      </c>
      <c r="M944" s="241" t="n">
        <v>-3.16</v>
      </c>
      <c r="N944" s="241" t="n">
        <v>2.14</v>
      </c>
      <c r="O944" s="241" t="n">
        <v>121.31</v>
      </c>
      <c r="P944" s="241" t="n">
        <v>1.29</v>
      </c>
    </row>
    <row r="945">
      <c r="A945" s="282" t="inlineStr">
        <is>
          <t>2009-11-19</t>
        </is>
      </c>
      <c r="B945" s="240">
        <f>IFERROR(1/P945-1,B944)</f>
        <v/>
      </c>
      <c r="C945" s="240">
        <f>$C$3</f>
        <v/>
      </c>
      <c r="D945" s="240">
        <f>$D$3</f>
        <v/>
      </c>
      <c r="E945" s="240">
        <f>$E$3</f>
        <v/>
      </c>
      <c r="F945" s="241" t="n">
        <v>48.47</v>
      </c>
      <c r="G945" s="242" t="n">
        <v>5635020</v>
      </c>
      <c r="H945" s="241" t="n">
        <v>-0.8</v>
      </c>
      <c r="I945" s="241" t="n">
        <v>5.83</v>
      </c>
      <c r="J945" s="241" t="n">
        <v>62.68</v>
      </c>
      <c r="K945" s="241" t="n">
        <v>37.22</v>
      </c>
      <c r="L945" s="242" t="n">
        <v>490519</v>
      </c>
      <c r="M945" s="241" t="n">
        <v>-1.52</v>
      </c>
      <c r="N945" s="241" t="n">
        <v>0.6</v>
      </c>
      <c r="O945" s="241" t="n">
        <v>117.96</v>
      </c>
      <c r="P945" s="241" t="n">
        <v>1.3</v>
      </c>
    </row>
    <row r="946">
      <c r="A946" s="282" t="inlineStr">
        <is>
          <t>2009-11-20</t>
        </is>
      </c>
      <c r="B946" s="240">
        <f>IFERROR(1/P946-1,B945)</f>
        <v/>
      </c>
      <c r="C946" s="240">
        <f>$C$3</f>
        <v/>
      </c>
      <c r="D946" s="240">
        <f>$D$3</f>
        <v/>
      </c>
      <c r="E946" s="240">
        <f>$E$3</f>
        <v/>
      </c>
      <c r="F946" s="241" t="n">
        <v>48.98</v>
      </c>
      <c r="G946" s="242" t="n">
        <v>6972041</v>
      </c>
      <c r="H946" s="241" t="n">
        <v>1.05</v>
      </c>
      <c r="I946" s="241" t="n">
        <v>4.35</v>
      </c>
      <c r="J946" s="241" t="n">
        <v>64.39</v>
      </c>
      <c r="K946" s="241" t="n">
        <v>36.39</v>
      </c>
      <c r="L946" s="242" t="n">
        <v>659547</v>
      </c>
      <c r="M946" s="241" t="n">
        <v>-2.25</v>
      </c>
      <c r="N946" s="241" t="n">
        <v>-2.94</v>
      </c>
      <c r="O946" s="241" t="n">
        <v>113.06</v>
      </c>
      <c r="P946" s="241" t="n">
        <v>1.35</v>
      </c>
    </row>
    <row r="947">
      <c r="A947" s="282" t="inlineStr">
        <is>
          <t>2009-11-23</t>
        </is>
      </c>
      <c r="B947" s="240">
        <f>IFERROR(1/P947-1,B946)</f>
        <v/>
      </c>
      <c r="C947" s="240">
        <f>$C$3</f>
        <v/>
      </c>
      <c r="D947" s="240">
        <f>$D$3</f>
        <v/>
      </c>
      <c r="E947" s="240">
        <f>$E$3</f>
        <v/>
      </c>
      <c r="F947" s="241" t="n">
        <v>49.24</v>
      </c>
      <c r="G947" s="242" t="n">
        <v>6432582</v>
      </c>
      <c r="H947" s="241" t="n">
        <v>0.53</v>
      </c>
      <c r="I947" s="241" t="n">
        <v>6.35</v>
      </c>
      <c r="J947" s="241" t="n">
        <v>65.27</v>
      </c>
      <c r="K947" s="241" t="n">
        <v>36.38</v>
      </c>
      <c r="L947" s="242" t="n">
        <v>463600</v>
      </c>
      <c r="M947" s="241" t="n">
        <v>0</v>
      </c>
      <c r="N947" s="241" t="n">
        <v>-5.17</v>
      </c>
      <c r="O947" s="241" t="n">
        <v>113.06</v>
      </c>
      <c r="P947" s="241" t="n">
        <v>1.35</v>
      </c>
    </row>
    <row r="948">
      <c r="A948" s="282" t="inlineStr">
        <is>
          <t>2009-11-24</t>
        </is>
      </c>
      <c r="B948" s="240">
        <f>IFERROR(1/P948-1,B947)</f>
        <v/>
      </c>
      <c r="C948" s="240">
        <f>$C$3</f>
        <v/>
      </c>
      <c r="D948" s="240">
        <f>$D$3</f>
        <v/>
      </c>
      <c r="E948" s="240">
        <f>$E$3</f>
        <v/>
      </c>
      <c r="F948" s="241" t="n">
        <v>47.21</v>
      </c>
      <c r="G948" s="242" t="n">
        <v>10359723</v>
      </c>
      <c r="H948" s="241" t="n">
        <v>-4.12</v>
      </c>
      <c r="I948" s="241" t="n">
        <v>1.57</v>
      </c>
      <c r="J948" s="241" t="n">
        <v>58.45</v>
      </c>
      <c r="K948" s="241" t="n">
        <v>35.41</v>
      </c>
      <c r="L948" s="242" t="n">
        <v>1770431</v>
      </c>
      <c r="M948" s="241" t="n">
        <v>-2.66</v>
      </c>
      <c r="N948" s="241" t="n">
        <v>-7.48</v>
      </c>
      <c r="O948" s="241" t="n">
        <v>107.38</v>
      </c>
      <c r="P948" s="241" t="n">
        <v>1.33</v>
      </c>
    </row>
    <row r="949">
      <c r="A949" s="282" t="inlineStr">
        <is>
          <t>2009-11-25</t>
        </is>
      </c>
      <c r="B949" s="240">
        <f>IFERROR(1/P949-1,B948)</f>
        <v/>
      </c>
      <c r="C949" s="240">
        <f>$C$3</f>
        <v/>
      </c>
      <c r="D949" s="240">
        <f>$D$3</f>
        <v/>
      </c>
      <c r="E949" s="240">
        <f>$E$3</f>
        <v/>
      </c>
      <c r="F949" s="241" t="n">
        <v>47.28</v>
      </c>
      <c r="G949" s="242" t="n">
        <v>9489695</v>
      </c>
      <c r="H949" s="241" t="n">
        <v>0.15</v>
      </c>
      <c r="I949" s="241" t="n">
        <v>1.72</v>
      </c>
      <c r="J949" s="241" t="n">
        <v>58.69</v>
      </c>
      <c r="K949" s="241" t="n">
        <v>34.58</v>
      </c>
      <c r="L949" s="242" t="n">
        <v>2122917</v>
      </c>
      <c r="M949" s="241" t="n">
        <v>-2.36</v>
      </c>
      <c r="N949" s="241" t="n">
        <v>-9.67</v>
      </c>
      <c r="O949" s="241" t="n">
        <v>102.48</v>
      </c>
      <c r="P949" s="241" t="n">
        <v>1.37</v>
      </c>
    </row>
    <row r="950">
      <c r="A950" s="282" t="inlineStr">
        <is>
          <t>2009-11-26</t>
        </is>
      </c>
      <c r="B950" s="240">
        <f>IFERROR(1/P950-1,B949)</f>
        <v/>
      </c>
      <c r="C950" s="240">
        <f>$C$3</f>
        <v/>
      </c>
      <c r="D950" s="240">
        <f>$D$3</f>
        <v/>
      </c>
      <c r="E950" s="240">
        <f>$E$3</f>
        <v/>
      </c>
      <c r="F950" s="241" t="n">
        <v>44.66</v>
      </c>
      <c r="G950" s="242" t="n">
        <v>8314621</v>
      </c>
      <c r="H950" s="241" t="n">
        <v>-5.54</v>
      </c>
      <c r="I950" s="241" t="n">
        <v>-3.92</v>
      </c>
      <c r="J950" s="241" t="n">
        <v>49.89</v>
      </c>
      <c r="K950" s="241" t="n">
        <v>34.88</v>
      </c>
      <c r="L950" s="242" t="n">
        <v>531718</v>
      </c>
      <c r="M950" s="241" t="n">
        <v>0.89</v>
      </c>
      <c r="N950" s="241" t="n">
        <v>-8.859999999999999</v>
      </c>
      <c r="O950" s="241" t="n">
        <v>104.29</v>
      </c>
      <c r="P950" s="241" t="n">
        <v>1.28</v>
      </c>
    </row>
    <row r="951">
      <c r="A951" s="282" t="inlineStr">
        <is>
          <t>2009-11-27</t>
        </is>
      </c>
      <c r="B951" s="240">
        <f>IFERROR(1/P951-1,B950)</f>
        <v/>
      </c>
      <c r="C951" s="240">
        <f>$C$3</f>
        <v/>
      </c>
      <c r="D951" s="240">
        <f>$D$3</f>
        <v/>
      </c>
      <c r="E951" s="240">
        <f>$E$3</f>
        <v/>
      </c>
      <c r="F951" s="241" t="n">
        <v>45.26</v>
      </c>
      <c r="G951" s="242" t="n">
        <v>8713152</v>
      </c>
      <c r="H951" s="241" t="n">
        <v>1.34</v>
      </c>
      <c r="I951" s="241" t="n">
        <v>-1.54</v>
      </c>
      <c r="J951" s="241" t="n">
        <v>51.91</v>
      </c>
      <c r="K951" s="241" t="n">
        <v>34.57</v>
      </c>
      <c r="L951" s="242" t="n">
        <v>826600</v>
      </c>
      <c r="M951" s="241" t="n">
        <v>-0.88</v>
      </c>
      <c r="N951" s="241" t="n">
        <v>-9.67</v>
      </c>
      <c r="O951" s="241" t="n">
        <v>102.48</v>
      </c>
      <c r="P951" s="241" t="n">
        <v>1.31</v>
      </c>
    </row>
    <row r="952">
      <c r="A952" s="282" t="inlineStr">
        <is>
          <t>2009-11-30</t>
        </is>
      </c>
      <c r="B952" s="240">
        <f>IFERROR(1/P952-1,B951)</f>
        <v/>
      </c>
      <c r="C952" s="240">
        <f>$C$3</f>
        <v/>
      </c>
      <c r="D952" s="240">
        <f>$D$3</f>
        <v/>
      </c>
      <c r="E952" s="240">
        <f>$E$3</f>
        <v/>
      </c>
      <c r="F952" s="241" t="n">
        <v>46.5</v>
      </c>
      <c r="G952" s="242" t="n">
        <v>9670456</v>
      </c>
      <c r="H952" s="241" t="n">
        <v>2.74</v>
      </c>
      <c r="I952" s="241" t="n">
        <v>1.11</v>
      </c>
      <c r="J952" s="241" t="n">
        <v>56.07</v>
      </c>
      <c r="K952" s="241" t="n">
        <v>35.85</v>
      </c>
      <c r="L952" s="242" t="n">
        <v>648924</v>
      </c>
      <c r="M952" s="241" t="n">
        <v>3.69</v>
      </c>
      <c r="N952" s="241" t="n">
        <v>-0.12</v>
      </c>
      <c r="O952" s="241" t="n">
        <v>109.96</v>
      </c>
      <c r="P952" s="241" t="n">
        <v>1.3</v>
      </c>
    </row>
    <row r="953">
      <c r="A953" s="282" t="inlineStr">
        <is>
          <t>2009-12-01</t>
        </is>
      </c>
      <c r="B953" s="240">
        <f>IFERROR(1/P953-1,B952)</f>
        <v/>
      </c>
      <c r="C953" s="240">
        <f>$C$3</f>
        <v/>
      </c>
      <c r="D953" s="240">
        <f>$D$3</f>
        <v/>
      </c>
      <c r="E953" s="240">
        <f>$E$3</f>
        <v/>
      </c>
      <c r="F953" s="241" t="n">
        <v>46.47</v>
      </c>
      <c r="G953" s="242" t="n">
        <v>13988629</v>
      </c>
      <c r="H953" s="241" t="n">
        <v>-0.06</v>
      </c>
      <c r="I953" s="241" t="n">
        <v>-0.24</v>
      </c>
      <c r="J953" s="241" t="n">
        <v>55.97</v>
      </c>
      <c r="K953" s="241" t="n">
        <v>37.26</v>
      </c>
      <c r="L953" s="242" t="n">
        <v>1133092</v>
      </c>
      <c r="M953" s="241" t="n">
        <v>3.93</v>
      </c>
      <c r="N953" s="241" t="n">
        <v>8.18</v>
      </c>
      <c r="O953" s="241" t="n">
        <v>118.22</v>
      </c>
      <c r="P953" s="241" t="n">
        <v>1.25</v>
      </c>
    </row>
    <row r="954">
      <c r="A954" s="282" t="inlineStr">
        <is>
          <t>2009-12-02</t>
        </is>
      </c>
      <c r="B954" s="240">
        <f>IFERROR(1/P954-1,B953)</f>
        <v/>
      </c>
      <c r="C954" s="240">
        <f>$C$3</f>
        <v/>
      </c>
      <c r="D954" s="240">
        <f>$D$3</f>
        <v/>
      </c>
      <c r="E954" s="240">
        <f>$E$3</f>
        <v/>
      </c>
      <c r="F954" s="241" t="n">
        <v>46.75</v>
      </c>
      <c r="G954" s="242" t="n">
        <v>8458117</v>
      </c>
      <c r="H954" s="241" t="n">
        <v>0.6</v>
      </c>
      <c r="I954" s="241" t="n">
        <v>0.36</v>
      </c>
      <c r="J954" s="241" t="n">
        <v>56.91</v>
      </c>
      <c r="K954" s="241" t="n">
        <v>35.76</v>
      </c>
      <c r="L954" s="242" t="n">
        <v>1149894</v>
      </c>
      <c r="M954" s="241" t="n">
        <v>-4.02</v>
      </c>
      <c r="N954" s="241" t="n">
        <v>3.84</v>
      </c>
      <c r="O954" s="241" t="n">
        <v>109.45</v>
      </c>
      <c r="P954" s="241" t="n">
        <v>1.31</v>
      </c>
    </row>
    <row r="955">
      <c r="A955" s="282" t="inlineStr">
        <is>
          <t>2009-12-03</t>
        </is>
      </c>
      <c r="B955" s="240">
        <f>IFERROR(1/P955-1,B954)</f>
        <v/>
      </c>
      <c r="C955" s="240">
        <f>$C$3</f>
        <v/>
      </c>
      <c r="D955" s="240">
        <f>$D$3</f>
        <v/>
      </c>
      <c r="E955" s="240">
        <f>$E$3</f>
        <v/>
      </c>
      <c r="F955" s="241" t="n">
        <v>47.73</v>
      </c>
      <c r="G955" s="242" t="n">
        <v>11961521</v>
      </c>
      <c r="H955" s="241" t="n">
        <v>2.1</v>
      </c>
      <c r="I955" s="241" t="n">
        <v>-0.06</v>
      </c>
      <c r="J955" s="241" t="n">
        <v>60.2</v>
      </c>
      <c r="K955" s="241" t="n">
        <v>36.56</v>
      </c>
      <c r="L955" s="242" t="n">
        <v>1065123</v>
      </c>
      <c r="M955" s="241" t="n">
        <v>2.22</v>
      </c>
      <c r="N955" s="241" t="n">
        <v>4.01</v>
      </c>
      <c r="O955" s="241" t="n">
        <v>114.09</v>
      </c>
      <c r="P955" s="241" t="n">
        <v>1.31</v>
      </c>
    </row>
    <row r="956">
      <c r="A956" s="282" t="inlineStr">
        <is>
          <t>2009-12-04</t>
        </is>
      </c>
      <c r="B956" s="240">
        <f>IFERROR(1/P956-1,B955)</f>
        <v/>
      </c>
      <c r="C956" s="240">
        <f>$C$3</f>
        <v/>
      </c>
      <c r="D956" s="240">
        <f>$D$3</f>
        <v/>
      </c>
      <c r="E956" s="240">
        <f>$E$3</f>
        <v/>
      </c>
      <c r="F956" s="241" t="n">
        <v>46.2</v>
      </c>
      <c r="G956" s="242" t="n">
        <v>9363132</v>
      </c>
      <c r="H956" s="241" t="n">
        <v>-3.21</v>
      </c>
      <c r="I956" s="241" t="n">
        <v>-5.23</v>
      </c>
      <c r="J956" s="241" t="n">
        <v>55.06</v>
      </c>
      <c r="K956" s="241" t="n">
        <v>37.79</v>
      </c>
      <c r="L956" s="242" t="n">
        <v>1351000</v>
      </c>
      <c r="M956" s="241" t="n">
        <v>3.37</v>
      </c>
      <c r="N956" s="241" t="n">
        <v>5.28</v>
      </c>
      <c r="O956" s="241" t="n">
        <v>121.31</v>
      </c>
      <c r="P956" s="241" t="n">
        <v>1.22</v>
      </c>
    </row>
    <row r="957">
      <c r="A957" s="282" t="inlineStr">
        <is>
          <t>2009-12-07</t>
        </is>
      </c>
      <c r="B957" s="240">
        <f>IFERROR(1/P957-1,B956)</f>
        <v/>
      </c>
      <c r="C957" s="240">
        <f>$C$3</f>
        <v/>
      </c>
      <c r="D957" s="240">
        <f>$D$3</f>
        <v/>
      </c>
      <c r="E957" s="240">
        <f>$E$3</f>
        <v/>
      </c>
      <c r="F957" s="241" t="n">
        <v>46.53</v>
      </c>
      <c r="G957" s="242" t="n">
        <v>6916135</v>
      </c>
      <c r="H957" s="241" t="n">
        <v>0.71</v>
      </c>
      <c r="I957" s="241" t="n">
        <v>-2.96</v>
      </c>
      <c r="J957" s="241" t="n">
        <v>56.17</v>
      </c>
      <c r="K957" s="241" t="n">
        <v>37.4</v>
      </c>
      <c r="L957" s="242" t="n">
        <v>652759</v>
      </c>
      <c r="M957" s="241" t="n">
        <v>-1.05</v>
      </c>
      <c r="N957" s="241" t="n">
        <v>1.68</v>
      </c>
      <c r="O957" s="241" t="n">
        <v>118.99</v>
      </c>
      <c r="P957" s="241" t="n">
        <v>1.24</v>
      </c>
    </row>
    <row r="958">
      <c r="A958" s="282" t="inlineStr">
        <is>
          <t>2009-12-08</t>
        </is>
      </c>
      <c r="B958" s="240">
        <f>IFERROR(1/P958-1,B957)</f>
        <v/>
      </c>
      <c r="C958" s="240">
        <f>$C$3</f>
        <v/>
      </c>
      <c r="D958" s="240">
        <f>$D$3</f>
        <v/>
      </c>
      <c r="E958" s="240">
        <f>$E$3</f>
        <v/>
      </c>
      <c r="F958" s="241" t="n">
        <v>46.21</v>
      </c>
      <c r="G958" s="242" t="n">
        <v>5163819</v>
      </c>
      <c r="H958" s="241" t="n">
        <v>-0.6899999999999999</v>
      </c>
      <c r="I958" s="241" t="n">
        <v>-3.63</v>
      </c>
      <c r="J958" s="241" t="n">
        <v>55.1</v>
      </c>
      <c r="K958" s="241" t="n">
        <v>36.83</v>
      </c>
      <c r="L958" s="242" t="n">
        <v>1065687</v>
      </c>
      <c r="M958" s="241" t="n">
        <v>-1.53</v>
      </c>
      <c r="N958" s="241" t="n">
        <v>0.12</v>
      </c>
      <c r="O958" s="241" t="n">
        <v>115.64</v>
      </c>
      <c r="P958" s="241" t="n">
        <v>1.25</v>
      </c>
    </row>
    <row r="959">
      <c r="A959" s="282" t="inlineStr">
        <is>
          <t>2009-12-09</t>
        </is>
      </c>
      <c r="B959" s="240">
        <f>IFERROR(1/P959-1,B958)</f>
        <v/>
      </c>
      <c r="C959" s="240">
        <f>$C$3</f>
        <v/>
      </c>
      <c r="D959" s="240">
        <f>$D$3</f>
        <v/>
      </c>
      <c r="E959" s="240">
        <f>$E$3</f>
        <v/>
      </c>
      <c r="F959" s="241" t="n">
        <v>45.4</v>
      </c>
      <c r="G959" s="242" t="n">
        <v>5874515</v>
      </c>
      <c r="H959" s="241" t="n">
        <v>-1.75</v>
      </c>
      <c r="I959" s="241" t="n">
        <v>-5.32</v>
      </c>
      <c r="J959" s="241" t="n">
        <v>52.38</v>
      </c>
      <c r="K959" s="241" t="n">
        <v>34.97</v>
      </c>
      <c r="L959" s="242" t="n">
        <v>1769112</v>
      </c>
      <c r="M959" s="241" t="n">
        <v>-5.02</v>
      </c>
      <c r="N959" s="241" t="n">
        <v>-4.91</v>
      </c>
      <c r="O959" s="241" t="n">
        <v>104.8</v>
      </c>
      <c r="P959" s="241" t="n">
        <v>1.3</v>
      </c>
    </row>
    <row r="960">
      <c r="A960" s="282" t="inlineStr">
        <is>
          <t>2009-12-10</t>
        </is>
      </c>
      <c r="B960" s="240">
        <f>IFERROR(1/P960-1,B959)</f>
        <v/>
      </c>
      <c r="C960" s="240">
        <f>$C$3</f>
        <v/>
      </c>
      <c r="D960" s="240">
        <f>$D$3</f>
        <v/>
      </c>
      <c r="E960" s="240">
        <f>$E$3</f>
        <v/>
      </c>
      <c r="F960" s="241" t="n">
        <v>45.68</v>
      </c>
      <c r="G960" s="242" t="n">
        <v>4502796</v>
      </c>
      <c r="H960" s="241" t="n">
        <v>0.62</v>
      </c>
      <c r="I960" s="241" t="n">
        <v>-7.4</v>
      </c>
      <c r="J960" s="241" t="n">
        <v>53.32</v>
      </c>
      <c r="K960" s="241" t="n">
        <v>35.11</v>
      </c>
      <c r="L960" s="242" t="n">
        <v>933611</v>
      </c>
      <c r="M960" s="241" t="n">
        <v>0.38</v>
      </c>
      <c r="N960" s="241" t="n">
        <v>-7.75</v>
      </c>
      <c r="O960" s="241" t="n">
        <v>105.58</v>
      </c>
      <c r="P960" s="241" t="n">
        <v>1.3</v>
      </c>
    </row>
    <row r="961">
      <c r="A961" s="282" t="inlineStr">
        <is>
          <t>2009-12-11</t>
        </is>
      </c>
      <c r="B961" s="240">
        <f>IFERROR(1/P961-1,B960)</f>
        <v/>
      </c>
      <c r="C961" s="240">
        <f>$C$3</f>
        <v/>
      </c>
      <c r="D961" s="240">
        <f>$D$3</f>
        <v/>
      </c>
      <c r="E961" s="240">
        <f>$E$3</f>
        <v/>
      </c>
      <c r="F961" s="241" t="n">
        <v>45.64</v>
      </c>
      <c r="G961" s="242" t="n">
        <v>6333393</v>
      </c>
      <c r="H961" s="241" t="n">
        <v>-0.09</v>
      </c>
      <c r="I961" s="241" t="n">
        <v>-6.05</v>
      </c>
      <c r="J961" s="241" t="n">
        <v>53.18</v>
      </c>
      <c r="K961" s="241" t="n">
        <v>35.5</v>
      </c>
      <c r="L961" s="242" t="n">
        <v>674723</v>
      </c>
      <c r="M961" s="241" t="n">
        <v>1.13</v>
      </c>
      <c r="N961" s="241" t="n">
        <v>-7.14</v>
      </c>
      <c r="O961" s="241" t="n">
        <v>107.9</v>
      </c>
      <c r="P961" s="241" t="n">
        <v>1.29</v>
      </c>
    </row>
    <row r="962">
      <c r="A962" s="282" t="inlineStr">
        <is>
          <t>2009-12-14</t>
        </is>
      </c>
      <c r="B962" s="240">
        <f>IFERROR(1/P962-1,B961)</f>
        <v/>
      </c>
      <c r="C962" s="240">
        <f>$C$3</f>
        <v/>
      </c>
      <c r="D962" s="240">
        <f>$D$3</f>
        <v/>
      </c>
      <c r="E962" s="240">
        <f>$E$3</f>
        <v/>
      </c>
      <c r="F962" s="241" t="n">
        <v>44.8</v>
      </c>
      <c r="G962" s="242" t="n">
        <v>5674059</v>
      </c>
      <c r="H962" s="241" t="n">
        <v>-1.84</v>
      </c>
      <c r="I962" s="241" t="n">
        <v>-5.98</v>
      </c>
      <c r="J962" s="241" t="n">
        <v>50.36</v>
      </c>
      <c r="K962" s="241" t="n">
        <v>35.02</v>
      </c>
      <c r="L962" s="242" t="n">
        <v>458882</v>
      </c>
      <c r="M962" s="241" t="n">
        <v>-1.36</v>
      </c>
      <c r="N962" s="241" t="n">
        <v>-7.45</v>
      </c>
      <c r="O962" s="241" t="n">
        <v>105.06</v>
      </c>
      <c r="P962" s="241" t="n">
        <v>1.28</v>
      </c>
    </row>
    <row r="963">
      <c r="A963" s="282" t="inlineStr">
        <is>
          <t>2009-12-15</t>
        </is>
      </c>
      <c r="B963" s="240">
        <f>IFERROR(1/P963-1,B962)</f>
        <v/>
      </c>
      <c r="C963" s="240">
        <f>$C$3</f>
        <v/>
      </c>
      <c r="D963" s="240">
        <f>$D$3</f>
        <v/>
      </c>
      <c r="E963" s="240">
        <f>$E$3</f>
        <v/>
      </c>
      <c r="F963" s="241" t="n">
        <v>44.5</v>
      </c>
      <c r="G963" s="242" t="n">
        <v>6192464</v>
      </c>
      <c r="H963" s="241" t="n">
        <v>-0.67</v>
      </c>
      <c r="I963" s="241" t="n">
        <v>-6.61</v>
      </c>
      <c r="J963" s="241" t="n">
        <v>49.36</v>
      </c>
      <c r="K963" s="241" t="n">
        <v>34.04</v>
      </c>
      <c r="L963" s="242" t="n">
        <v>1445783</v>
      </c>
      <c r="M963" s="241" t="n">
        <v>-2.77</v>
      </c>
      <c r="N963" s="241" t="n">
        <v>-10.01</v>
      </c>
      <c r="O963" s="241" t="n">
        <v>99.39</v>
      </c>
      <c r="P963" s="241" t="n">
        <v>1.31</v>
      </c>
    </row>
    <row r="964">
      <c r="A964" s="282" t="inlineStr">
        <is>
          <t>2009-12-16</t>
        </is>
      </c>
      <c r="B964" s="240">
        <f>IFERROR(1/P964-1,B963)</f>
        <v/>
      </c>
      <c r="C964" s="240">
        <f>$C$3</f>
        <v/>
      </c>
      <c r="D964" s="240">
        <f>$D$3</f>
        <v/>
      </c>
      <c r="E964" s="240">
        <f>$E$3</f>
        <v/>
      </c>
      <c r="F964" s="241" t="n">
        <v>44.19</v>
      </c>
      <c r="G964" s="242" t="n">
        <v>5917378</v>
      </c>
      <c r="H964" s="241" t="n">
        <v>-0.7</v>
      </c>
      <c r="I964" s="241" t="n">
        <v>-7.26</v>
      </c>
      <c r="J964" s="241" t="n">
        <v>48.32</v>
      </c>
      <c r="K964" s="241" t="n">
        <v>33.33</v>
      </c>
      <c r="L964" s="242" t="n">
        <v>1432530</v>
      </c>
      <c r="M964" s="241" t="n">
        <v>-2.07</v>
      </c>
      <c r="N964" s="241" t="n">
        <v>-11.87</v>
      </c>
      <c r="O964" s="241" t="n">
        <v>95.26000000000001</v>
      </c>
      <c r="P964" s="241" t="n">
        <v>1.33</v>
      </c>
    </row>
    <row r="965">
      <c r="A965" s="282" t="inlineStr">
        <is>
          <t>2009-12-17</t>
        </is>
      </c>
      <c r="B965" s="240">
        <f>IFERROR(1/P965-1,B964)</f>
        <v/>
      </c>
      <c r="C965" s="240">
        <f>$C$3</f>
        <v/>
      </c>
      <c r="D965" s="240">
        <f>$D$3</f>
        <v/>
      </c>
      <c r="E965" s="240">
        <f>$E$3</f>
        <v/>
      </c>
      <c r="F965" s="241" t="n">
        <v>43.06</v>
      </c>
      <c r="G965" s="242" t="n">
        <v>5199037</v>
      </c>
      <c r="H965" s="241" t="n">
        <v>-2.56</v>
      </c>
      <c r="I965" s="241" t="n">
        <v>-12.12</v>
      </c>
      <c r="J965" s="241" t="n">
        <v>44.52</v>
      </c>
      <c r="K965" s="241" t="n">
        <v>33.29</v>
      </c>
      <c r="L965" s="242" t="n">
        <v>1479000</v>
      </c>
      <c r="M965" s="241" t="n">
        <v>-0.13</v>
      </c>
      <c r="N965" s="241" t="n">
        <v>-12.8</v>
      </c>
      <c r="O965" s="241" t="n">
        <v>95</v>
      </c>
      <c r="P965" s="241" t="n">
        <v>1.29</v>
      </c>
    </row>
    <row r="966">
      <c r="A966" s="282" t="inlineStr">
        <is>
          <t>2009-12-18</t>
        </is>
      </c>
      <c r="B966" s="240">
        <f>IFERROR(1/P966-1,B965)</f>
        <v/>
      </c>
      <c r="C966" s="240">
        <f>$C$3</f>
        <v/>
      </c>
      <c r="D966" s="240">
        <f>$D$3</f>
        <v/>
      </c>
      <c r="E966" s="240">
        <f>$E$3</f>
        <v/>
      </c>
      <c r="F966" s="241" t="n">
        <v>43.04</v>
      </c>
      <c r="G966" s="242" t="n">
        <v>4794134</v>
      </c>
      <c r="H966" s="241" t="n">
        <v>-0.05</v>
      </c>
      <c r="I966" s="241" t="n">
        <v>-12.15</v>
      </c>
      <c r="J966" s="241" t="n">
        <v>44.46</v>
      </c>
      <c r="K966" s="241" t="n">
        <v>34.6</v>
      </c>
      <c r="L966" s="242" t="n">
        <v>2229421</v>
      </c>
      <c r="M966" s="241" t="n">
        <v>3.97</v>
      </c>
      <c r="N966" s="241" t="n">
        <v>-11.29</v>
      </c>
      <c r="O966" s="241" t="n">
        <v>102.74</v>
      </c>
      <c r="P966" s="241" t="n">
        <v>1.24</v>
      </c>
    </row>
    <row r="967">
      <c r="A967" s="282" t="inlineStr">
        <is>
          <t>2009-12-21</t>
        </is>
      </c>
      <c r="B967" s="240">
        <f>IFERROR(1/P967-1,B966)</f>
        <v/>
      </c>
      <c r="C967" s="240">
        <f>$C$3</f>
        <v/>
      </c>
      <c r="D967" s="240">
        <f>$D$3</f>
        <v/>
      </c>
      <c r="E967" s="240">
        <f>$E$3</f>
        <v/>
      </c>
      <c r="F967" s="241" t="n">
        <v>43.25</v>
      </c>
      <c r="G967" s="242" t="n">
        <v>3137303</v>
      </c>
      <c r="H967" s="241" t="n">
        <v>0.49</v>
      </c>
      <c r="I967" s="241" t="n">
        <v>-11.7</v>
      </c>
      <c r="J967" s="241" t="n">
        <v>45.16</v>
      </c>
      <c r="K967" s="241" t="n">
        <v>36.75</v>
      </c>
      <c r="L967" s="242" t="n">
        <v>4089050</v>
      </c>
      <c r="M967" s="241" t="n">
        <v>6.23</v>
      </c>
      <c r="N967" s="241" t="n">
        <v>1.09</v>
      </c>
      <c r="O967" s="241" t="n">
        <v>115.38</v>
      </c>
      <c r="P967" s="241" t="n">
        <v>1.18</v>
      </c>
    </row>
    <row r="968">
      <c r="A968" s="282" t="inlineStr">
        <is>
          <t>2009-12-22</t>
        </is>
      </c>
      <c r="B968" s="240">
        <f>IFERROR(1/P968-1,B967)</f>
        <v/>
      </c>
      <c r="C968" s="240">
        <f>$C$3</f>
        <v/>
      </c>
      <c r="D968" s="240">
        <f>$D$3</f>
        <v/>
      </c>
      <c r="E968" s="240">
        <f>$E$3</f>
        <v/>
      </c>
      <c r="F968" s="241" t="n">
        <v>43.08</v>
      </c>
      <c r="G968" s="242" t="n">
        <v>7979260</v>
      </c>
      <c r="H968" s="241" t="n">
        <v>-0.39</v>
      </c>
      <c r="I968" s="241" t="n">
        <v>-12.05</v>
      </c>
      <c r="J968" s="241" t="n">
        <v>44.59</v>
      </c>
      <c r="K968" s="241" t="n">
        <v>36.01</v>
      </c>
      <c r="L968" s="242" t="n">
        <v>883000</v>
      </c>
      <c r="M968" s="241" t="n">
        <v>-2.04</v>
      </c>
      <c r="N968" s="241" t="n">
        <v>-0.97</v>
      </c>
      <c r="O968" s="241" t="n">
        <v>110.99</v>
      </c>
      <c r="P968" s="241" t="n">
        <v>1.2</v>
      </c>
    </row>
    <row r="969">
      <c r="A969" s="282" t="inlineStr">
        <is>
          <t>2009-12-23</t>
        </is>
      </c>
      <c r="B969" s="240">
        <f>IFERROR(1/P969-1,B968)</f>
        <v/>
      </c>
      <c r="C969" s="240">
        <f>$C$3</f>
        <v/>
      </c>
      <c r="D969" s="240">
        <f>$D$3</f>
        <v/>
      </c>
      <c r="E969" s="240">
        <f>$E$3</f>
        <v/>
      </c>
      <c r="F969" s="241" t="n">
        <v>44.85</v>
      </c>
      <c r="G969" s="242" t="n">
        <v>7913805</v>
      </c>
      <c r="H969" s="241" t="n">
        <v>4.11</v>
      </c>
      <c r="I969" s="241" t="n">
        <v>-8.43</v>
      </c>
      <c r="J969" s="241" t="n">
        <v>50.53</v>
      </c>
      <c r="K969" s="241" t="n">
        <v>36.76</v>
      </c>
      <c r="L969" s="242" t="n">
        <v>527200</v>
      </c>
      <c r="M969" s="241" t="n">
        <v>2.08</v>
      </c>
      <c r="N969" s="241" t="n">
        <v>1.09</v>
      </c>
      <c r="O969" s="241" t="n">
        <v>115.38</v>
      </c>
      <c r="P969" s="241" t="n">
        <v>1.22</v>
      </c>
    </row>
    <row r="970">
      <c r="A970" s="282" t="inlineStr">
        <is>
          <t>2009-12-24</t>
        </is>
      </c>
      <c r="B970" s="240">
        <f>IFERROR(1/P970-1,B969)</f>
        <v/>
      </c>
      <c r="C970" s="240">
        <f>$C$3</f>
        <v/>
      </c>
      <c r="D970" s="240">
        <f>$D$3</f>
        <v/>
      </c>
      <c r="E970" s="240">
        <f>$E$3</f>
        <v/>
      </c>
      <c r="F970" s="241" t="n">
        <v>45.49</v>
      </c>
      <c r="G970" s="242" t="n">
        <v>7219073</v>
      </c>
      <c r="H970" s="241" t="n">
        <v>1.43</v>
      </c>
      <c r="I970" s="241" t="n">
        <v>-7.62</v>
      </c>
      <c r="J970" s="241" t="n">
        <v>52.68</v>
      </c>
      <c r="K970" s="241" t="n">
        <v>36.77</v>
      </c>
      <c r="L970" s="242" t="n">
        <v>794741</v>
      </c>
      <c r="M970" s="241" t="n">
        <v>0</v>
      </c>
      <c r="N970" s="241" t="n">
        <v>1.09</v>
      </c>
      <c r="O970" s="241" t="n">
        <v>115.38</v>
      </c>
      <c r="P970" s="241" t="n">
        <v>1.24</v>
      </c>
    </row>
    <row r="971">
      <c r="A971" s="282" t="inlineStr">
        <is>
          <t>2009-12-25</t>
        </is>
      </c>
      <c r="B971" s="240">
        <f>IFERROR(1/P971-1,B970)</f>
        <v/>
      </c>
      <c r="C971" s="240">
        <f>$C$3</f>
        <v/>
      </c>
      <c r="D971" s="240">
        <f>$D$3</f>
        <v/>
      </c>
      <c r="E971" s="240">
        <f>$E$3</f>
        <v/>
      </c>
      <c r="F971" s="241" t="n">
        <v>45.33</v>
      </c>
      <c r="G971" s="242" t="n">
        <v>3736218</v>
      </c>
      <c r="H971" s="241" t="n">
        <v>-0.35</v>
      </c>
      <c r="I971" s="241" t="n">
        <v>-3.98</v>
      </c>
      <c r="J971" s="241" t="n">
        <v>52.14</v>
      </c>
      <c r="K971" s="239" t="inlineStr">
        <is>
          <t>--</t>
        </is>
      </c>
      <c r="L971" s="239" t="inlineStr">
        <is>
          <t>--</t>
        </is>
      </c>
      <c r="M971" s="239" t="inlineStr">
        <is>
          <t>--</t>
        </is>
      </c>
      <c r="N971" s="239" t="inlineStr">
        <is>
          <t>--</t>
        </is>
      </c>
      <c r="O971" s="239" t="inlineStr">
        <is>
          <t>--</t>
        </is>
      </c>
      <c r="P971" s="239" t="inlineStr">
        <is>
          <t>--</t>
        </is>
      </c>
    </row>
    <row r="972">
      <c r="A972" s="282" t="inlineStr">
        <is>
          <t>2009-12-28</t>
        </is>
      </c>
      <c r="B972" s="240">
        <f>IFERROR(1/P972-1,B971)</f>
        <v/>
      </c>
      <c r="C972" s="240">
        <f>$C$3</f>
        <v/>
      </c>
      <c r="D972" s="240">
        <f>$D$3</f>
        <v/>
      </c>
      <c r="E972" s="240">
        <f>$E$3</f>
        <v/>
      </c>
      <c r="F972" s="241" t="n">
        <v>46.02</v>
      </c>
      <c r="G972" s="242" t="n">
        <v>6487485</v>
      </c>
      <c r="H972" s="241" t="n">
        <v>1.52</v>
      </c>
      <c r="I972" s="241" t="n">
        <v>1.68</v>
      </c>
      <c r="J972" s="241" t="n">
        <v>54.46</v>
      </c>
      <c r="K972" s="241" t="n">
        <v>36.72</v>
      </c>
      <c r="L972" s="242" t="n">
        <v>909700</v>
      </c>
      <c r="M972" s="241" t="n">
        <v>-0.12</v>
      </c>
      <c r="N972" s="241" t="n">
        <v>6.24</v>
      </c>
      <c r="O972" s="241" t="n">
        <v>115.12</v>
      </c>
      <c r="P972" s="241" t="n">
        <v>1.25</v>
      </c>
    </row>
    <row r="973">
      <c r="A973" s="282" t="inlineStr">
        <is>
          <t>2009-12-29</t>
        </is>
      </c>
      <c r="B973" s="240">
        <f>IFERROR(1/P973-1,B972)</f>
        <v/>
      </c>
      <c r="C973" s="240">
        <f>$C$3</f>
        <v/>
      </c>
      <c r="D973" s="240">
        <f>$D$3</f>
        <v/>
      </c>
      <c r="E973" s="240">
        <f>$E$3</f>
        <v/>
      </c>
      <c r="F973" s="241" t="n">
        <v>45.52</v>
      </c>
      <c r="G973" s="242" t="n">
        <v>3420523</v>
      </c>
      <c r="H973" s="241" t="n">
        <v>-1.09</v>
      </c>
      <c r="I973" s="241" t="n">
        <v>0.57</v>
      </c>
      <c r="J973" s="241" t="n">
        <v>52.78</v>
      </c>
      <c r="K973" s="241" t="n">
        <v>35.43</v>
      </c>
      <c r="L973" s="242" t="n">
        <v>857687</v>
      </c>
      <c r="M973" s="241" t="n">
        <v>-3.48</v>
      </c>
      <c r="N973" s="241" t="n">
        <v>2.55</v>
      </c>
      <c r="O973" s="241" t="n">
        <v>107.64</v>
      </c>
      <c r="P973" s="241" t="n">
        <v>1.28</v>
      </c>
    </row>
    <row r="974">
      <c r="A974" s="282" t="inlineStr">
        <is>
          <t>2009-12-30</t>
        </is>
      </c>
      <c r="B974" s="240">
        <f>IFERROR(1/P974-1,B973)</f>
        <v/>
      </c>
      <c r="C974" s="240">
        <f>$C$3</f>
        <v/>
      </c>
      <c r="D974" s="240">
        <f>$D$3</f>
        <v/>
      </c>
      <c r="E974" s="240">
        <f>$E$3</f>
        <v/>
      </c>
      <c r="F974" s="241" t="n">
        <v>45.52</v>
      </c>
      <c r="G974" s="242" t="n">
        <v>0</v>
      </c>
      <c r="H974" s="241" t="n">
        <v>0</v>
      </c>
      <c r="I974" s="241" t="n">
        <v>0.57</v>
      </c>
      <c r="J974" s="241" t="n">
        <v>52.78</v>
      </c>
      <c r="K974" s="241" t="n">
        <v>35.7</v>
      </c>
      <c r="L974" s="242" t="n">
        <v>275000</v>
      </c>
      <c r="M974" s="241" t="n">
        <v>0.75</v>
      </c>
      <c r="N974" s="241" t="n">
        <v>3.31</v>
      </c>
      <c r="O974" s="241" t="n">
        <v>109.19</v>
      </c>
      <c r="P974" s="241" t="n">
        <v>1.27</v>
      </c>
    </row>
    <row r="975">
      <c r="A975" s="282" t="inlineStr">
        <is>
          <t>2009-12-31</t>
        </is>
      </c>
      <c r="B975" s="240">
        <f>IFERROR(1/P975-1,B974)</f>
        <v/>
      </c>
      <c r="C975" s="240">
        <f>$C$3</f>
        <v/>
      </c>
      <c r="D975" s="240">
        <f>$D$3</f>
        <v/>
      </c>
      <c r="E975" s="240">
        <f>$E$3</f>
        <v/>
      </c>
      <c r="F975" s="241" t="n">
        <v>45.09</v>
      </c>
      <c r="G975" s="242" t="n">
        <v>5830860</v>
      </c>
      <c r="H975" s="241" t="n">
        <v>-0.9399999999999999</v>
      </c>
      <c r="I975" s="241" t="n">
        <v>-0.38</v>
      </c>
      <c r="J975" s="241" t="n">
        <v>51.34</v>
      </c>
      <c r="K975" s="241" t="n">
        <v>36.63</v>
      </c>
      <c r="L975" s="242" t="n">
        <v>453174</v>
      </c>
      <c r="M975" s="241" t="n">
        <v>2.59</v>
      </c>
      <c r="N975" s="241" t="n">
        <v>5.99</v>
      </c>
      <c r="O975" s="241" t="n">
        <v>114.61</v>
      </c>
      <c r="P975" s="241" t="n">
        <v>1.23</v>
      </c>
    </row>
    <row r="976">
      <c r="A976" s="282" t="inlineStr">
        <is>
          <t>2010-01-04</t>
        </is>
      </c>
      <c r="B976" s="240">
        <f>IFERROR(1/P976-1,B975)</f>
        <v/>
      </c>
      <c r="C976" s="240">
        <f>$C$3</f>
        <v/>
      </c>
      <c r="D976" s="240">
        <f>$D$3</f>
        <v/>
      </c>
      <c r="E976" s="240">
        <f>$E$3</f>
        <v/>
      </c>
      <c r="F976" s="241" t="n">
        <v>45.22</v>
      </c>
      <c r="G976" s="242" t="n">
        <v>3854127</v>
      </c>
      <c r="H976" s="241" t="n">
        <v>0.29</v>
      </c>
      <c r="I976" s="241" t="n">
        <v>-5.26</v>
      </c>
      <c r="J976" s="241" t="n">
        <v>0.29</v>
      </c>
      <c r="K976" s="241" t="n">
        <v>36.89</v>
      </c>
      <c r="L976" s="242" t="n">
        <v>405931</v>
      </c>
      <c r="M976" s="241" t="n">
        <v>0.72</v>
      </c>
      <c r="N976" s="241" t="n">
        <v>0.96</v>
      </c>
      <c r="O976" s="241" t="n">
        <v>0.72</v>
      </c>
      <c r="P976" s="241" t="n">
        <v>1.23</v>
      </c>
    </row>
    <row r="977">
      <c r="A977" s="282" t="inlineStr">
        <is>
          <t>2010-01-05</t>
        </is>
      </c>
      <c r="B977" s="240">
        <f>IFERROR(1/P977-1,B976)</f>
        <v/>
      </c>
      <c r="C977" s="240">
        <f>$C$3</f>
        <v/>
      </c>
      <c r="D977" s="240">
        <f>$D$3</f>
        <v/>
      </c>
      <c r="E977" s="240">
        <f>$E$3</f>
        <v/>
      </c>
      <c r="F977" s="241" t="n">
        <v>44.32</v>
      </c>
      <c r="G977" s="242" t="n">
        <v>9243243</v>
      </c>
      <c r="H977" s="241" t="n">
        <v>-1.99</v>
      </c>
      <c r="I977" s="241" t="n">
        <v>-4.07</v>
      </c>
      <c r="J977" s="241" t="n">
        <v>-1.71</v>
      </c>
      <c r="K977" s="241" t="n">
        <v>36.93</v>
      </c>
      <c r="L977" s="242" t="n">
        <v>1302400</v>
      </c>
      <c r="M977" s="241" t="n">
        <v>0.12</v>
      </c>
      <c r="N977" s="241" t="n">
        <v>-2.21</v>
      </c>
      <c r="O977" s="241" t="n">
        <v>0.84</v>
      </c>
      <c r="P977" s="241" t="n">
        <v>1.2</v>
      </c>
    </row>
    <row r="978">
      <c r="A978" s="282" t="inlineStr">
        <is>
          <t>2010-01-06</t>
        </is>
      </c>
      <c r="B978" s="240">
        <f>IFERROR(1/P978-1,B977)</f>
        <v/>
      </c>
      <c r="C978" s="240">
        <f>$C$3</f>
        <v/>
      </c>
      <c r="D978" s="240">
        <f>$D$3</f>
        <v/>
      </c>
      <c r="E978" s="240">
        <f>$E$3</f>
        <v/>
      </c>
      <c r="F978" s="241" t="n">
        <v>44.59</v>
      </c>
      <c r="G978" s="242" t="n">
        <v>4518056</v>
      </c>
      <c r="H978" s="241" t="n">
        <v>0.61</v>
      </c>
      <c r="I978" s="241" t="n">
        <v>-3.48</v>
      </c>
      <c r="J978" s="241" t="n">
        <v>-1.11</v>
      </c>
      <c r="K978" s="241" t="n">
        <v>37.41</v>
      </c>
      <c r="L978" s="242" t="n">
        <v>1088182</v>
      </c>
      <c r="M978" s="241" t="n">
        <v>1.31</v>
      </c>
      <c r="N978" s="241" t="n">
        <v>-0.93</v>
      </c>
      <c r="O978" s="241" t="n">
        <v>2.16</v>
      </c>
      <c r="P978" s="241" t="n">
        <v>1.19</v>
      </c>
    </row>
    <row r="979">
      <c r="A979" s="282" t="inlineStr">
        <is>
          <t>2010-01-07</t>
        </is>
      </c>
      <c r="B979" s="240">
        <f>IFERROR(1/P979-1,B978)</f>
        <v/>
      </c>
      <c r="C979" s="240">
        <f>$C$3</f>
        <v/>
      </c>
      <c r="D979" s="240">
        <f>$D$3</f>
        <v/>
      </c>
      <c r="E979" s="240">
        <f>$E$3</f>
        <v/>
      </c>
      <c r="F979" s="241" t="n">
        <v>43.86</v>
      </c>
      <c r="G979" s="242" t="n">
        <v>5631610</v>
      </c>
      <c r="H979" s="241" t="n">
        <v>-1.64</v>
      </c>
      <c r="I979" s="241" t="n">
        <v>-5.06</v>
      </c>
      <c r="J979" s="241" t="n">
        <v>-2.73</v>
      </c>
      <c r="K979" s="241" t="n">
        <v>39</v>
      </c>
      <c r="L979" s="242" t="n">
        <v>1716096</v>
      </c>
      <c r="M979" s="241" t="n">
        <v>4.24</v>
      </c>
      <c r="N979" s="241" t="n">
        <v>3.26</v>
      </c>
      <c r="O979" s="241" t="n">
        <v>6.49</v>
      </c>
      <c r="P979" s="241" t="n">
        <v>1.12</v>
      </c>
    </row>
    <row r="980">
      <c r="A980" s="282" t="inlineStr">
        <is>
          <t>2010-01-08</t>
        </is>
      </c>
      <c r="B980" s="240">
        <f>IFERROR(1/P980-1,B979)</f>
        <v/>
      </c>
      <c r="C980" s="240">
        <f>$C$3</f>
        <v/>
      </c>
      <c r="D980" s="240">
        <f>$D$3</f>
        <v/>
      </c>
      <c r="E980" s="240">
        <f>$E$3</f>
        <v/>
      </c>
      <c r="F980" s="241" t="n">
        <v>45.18</v>
      </c>
      <c r="G980" s="242" t="n">
        <v>6552748</v>
      </c>
      <c r="H980" s="241" t="n">
        <v>3.01</v>
      </c>
      <c r="I980" s="241" t="n">
        <v>-2.9</v>
      </c>
      <c r="J980" s="241" t="n">
        <v>0.2</v>
      </c>
      <c r="K980" s="241" t="n">
        <v>37.2</v>
      </c>
      <c r="L980" s="242" t="n">
        <v>1403743</v>
      </c>
      <c r="M980" s="241" t="n">
        <v>-4.63</v>
      </c>
      <c r="N980" s="241" t="n">
        <v>-0.47</v>
      </c>
      <c r="O980" s="241" t="n">
        <v>1.56</v>
      </c>
      <c r="P980" s="241" t="n">
        <v>1.21</v>
      </c>
    </row>
    <row r="981">
      <c r="A981" s="282" t="inlineStr">
        <is>
          <t>2010-01-11</t>
        </is>
      </c>
      <c r="B981" s="240">
        <f>IFERROR(1/P981-1,B980)</f>
        <v/>
      </c>
      <c r="C981" s="240">
        <f>$C$3</f>
        <v/>
      </c>
      <c r="D981" s="240">
        <f>$D$3</f>
        <v/>
      </c>
      <c r="E981" s="240">
        <f>$E$3</f>
        <v/>
      </c>
      <c r="F981" s="241" t="n">
        <v>44.27</v>
      </c>
      <c r="G981" s="242" t="n">
        <v>5326137</v>
      </c>
      <c r="H981" s="241" t="n">
        <v>-2.01</v>
      </c>
      <c r="I981" s="241" t="n">
        <v>-3.09</v>
      </c>
      <c r="J981" s="241" t="n">
        <v>-1.82</v>
      </c>
      <c r="K981" s="241" t="n">
        <v>36.09</v>
      </c>
      <c r="L981" s="242" t="n">
        <v>1737418</v>
      </c>
      <c r="M981" s="241" t="n">
        <v>-2.96</v>
      </c>
      <c r="N981" s="241" t="n">
        <v>2.89</v>
      </c>
      <c r="O981" s="241" t="n">
        <v>-1.44</v>
      </c>
      <c r="P981" s="241" t="n">
        <v>1.23</v>
      </c>
    </row>
    <row r="982">
      <c r="A982" s="282" t="inlineStr">
        <is>
          <t>2010-01-12</t>
        </is>
      </c>
      <c r="B982" s="240">
        <f>IFERROR(1/P982-1,B981)</f>
        <v/>
      </c>
      <c r="C982" s="240">
        <f>$C$3</f>
        <v/>
      </c>
      <c r="D982" s="240">
        <f>$D$3</f>
        <v/>
      </c>
      <c r="E982" s="240">
        <f>$E$3</f>
        <v/>
      </c>
      <c r="F982" s="241" t="n">
        <v>44.94</v>
      </c>
      <c r="G982" s="242" t="n">
        <v>4464455</v>
      </c>
      <c r="H982" s="241" t="n">
        <v>1.51</v>
      </c>
      <c r="I982" s="241" t="n">
        <v>-1.53</v>
      </c>
      <c r="J982" s="241" t="n">
        <v>-0.33</v>
      </c>
      <c r="K982" s="241" t="n">
        <v>36.67</v>
      </c>
      <c r="L982" s="242" t="n">
        <v>784800</v>
      </c>
      <c r="M982" s="241" t="n">
        <v>1.59</v>
      </c>
      <c r="N982" s="241" t="n">
        <v>3.35</v>
      </c>
      <c r="O982" s="241" t="n">
        <v>0.12</v>
      </c>
      <c r="P982" s="241" t="n">
        <v>1.23</v>
      </c>
    </row>
    <row r="983">
      <c r="A983" s="282" t="inlineStr">
        <is>
          <t>2010-01-13</t>
        </is>
      </c>
      <c r="B983" s="240">
        <f>IFERROR(1/P983-1,B982)</f>
        <v/>
      </c>
      <c r="C983" s="240">
        <f>$C$3</f>
        <v/>
      </c>
      <c r="D983" s="240">
        <f>$D$3</f>
        <v/>
      </c>
      <c r="E983" s="240">
        <f>$E$3</f>
        <v/>
      </c>
      <c r="F983" s="241" t="n">
        <v>44.3</v>
      </c>
      <c r="G983" s="242" t="n">
        <v>4170098</v>
      </c>
      <c r="H983" s="241" t="n">
        <v>-1.42</v>
      </c>
      <c r="I983" s="241" t="n">
        <v>-2.94</v>
      </c>
      <c r="J983" s="241" t="n">
        <v>-1.75</v>
      </c>
      <c r="K983" s="241" t="n">
        <v>36.01</v>
      </c>
      <c r="L983" s="242" t="n">
        <v>1247600</v>
      </c>
      <c r="M983" s="241" t="n">
        <v>-1.8</v>
      </c>
      <c r="N983" s="241" t="n">
        <v>1.49</v>
      </c>
      <c r="O983" s="241" t="n">
        <v>-1.68</v>
      </c>
      <c r="P983" s="241" t="n">
        <v>1.23</v>
      </c>
    </row>
    <row r="984">
      <c r="A984" s="282" t="inlineStr">
        <is>
          <t>2010-01-14</t>
        </is>
      </c>
      <c r="B984" s="240">
        <f>IFERROR(1/P984-1,B983)</f>
        <v/>
      </c>
      <c r="C984" s="240">
        <f>$C$3</f>
        <v/>
      </c>
      <c r="D984" s="240">
        <f>$D$3</f>
        <v/>
      </c>
      <c r="E984" s="240">
        <f>$E$3</f>
        <v/>
      </c>
      <c r="F984" s="241" t="n">
        <v>44.29</v>
      </c>
      <c r="G984" s="242" t="n">
        <v>4914327</v>
      </c>
      <c r="H984" s="241" t="n">
        <v>-0.02</v>
      </c>
      <c r="I984" s="241" t="n">
        <v>-2.96</v>
      </c>
      <c r="J984" s="241" t="n">
        <v>-1.77</v>
      </c>
      <c r="K984" s="241" t="n">
        <v>36.53</v>
      </c>
      <c r="L984" s="242" t="n">
        <v>362600</v>
      </c>
      <c r="M984" s="241" t="n">
        <v>1.47</v>
      </c>
      <c r="N984" s="241" t="n">
        <v>2.98</v>
      </c>
      <c r="O984" s="241" t="n">
        <v>-0.24</v>
      </c>
      <c r="P984" s="241" t="n">
        <v>1.21</v>
      </c>
    </row>
    <row r="985">
      <c r="A985" s="282" t="inlineStr">
        <is>
          <t>2010-01-15</t>
        </is>
      </c>
      <c r="B985" s="240">
        <f>IFERROR(1/P985-1,B984)</f>
        <v/>
      </c>
      <c r="C985" s="240">
        <f>$C$3</f>
        <v/>
      </c>
      <c r="D985" s="240">
        <f>$D$3</f>
        <v/>
      </c>
      <c r="E985" s="240">
        <f>$E$3</f>
        <v/>
      </c>
      <c r="F985" s="241" t="n">
        <v>45.08</v>
      </c>
      <c r="G985" s="242" t="n">
        <v>7525510</v>
      </c>
      <c r="H985" s="241" t="n">
        <v>1.78</v>
      </c>
      <c r="I985" s="241" t="n">
        <v>0.63</v>
      </c>
      <c r="J985" s="241" t="n">
        <v>-0.02</v>
      </c>
      <c r="K985" s="241" t="n">
        <v>37.18</v>
      </c>
      <c r="L985" s="242" t="n">
        <v>975800</v>
      </c>
      <c r="M985" s="241" t="n">
        <v>1.81</v>
      </c>
      <c r="N985" s="241" t="n">
        <v>6.29</v>
      </c>
      <c r="O985" s="241" t="n">
        <v>1.56</v>
      </c>
      <c r="P985" s="241" t="n">
        <v>1.21</v>
      </c>
    </row>
    <row r="986">
      <c r="A986" s="282" t="inlineStr">
        <is>
          <t>2010-01-18</t>
        </is>
      </c>
      <c r="B986" s="240">
        <f>IFERROR(1/P986-1,B985)</f>
        <v/>
      </c>
      <c r="C986" s="240">
        <f>$C$3</f>
        <v/>
      </c>
      <c r="D986" s="240">
        <f>$D$3</f>
        <v/>
      </c>
      <c r="E986" s="240">
        <f>$E$3</f>
        <v/>
      </c>
      <c r="F986" s="241" t="n">
        <v>45.63</v>
      </c>
      <c r="G986" s="242" t="n">
        <v>7063323</v>
      </c>
      <c r="H986" s="241" t="n">
        <v>1.22</v>
      </c>
      <c r="I986" s="241" t="n">
        <v>5.97</v>
      </c>
      <c r="J986" s="241" t="n">
        <v>1.2</v>
      </c>
      <c r="K986" s="241" t="n">
        <v>37.26</v>
      </c>
      <c r="L986" s="242" t="n">
        <v>892084</v>
      </c>
      <c r="M986" s="241" t="n">
        <v>0.24</v>
      </c>
      <c r="N986" s="241" t="n">
        <v>12.04</v>
      </c>
      <c r="O986" s="241" t="n">
        <v>1.8</v>
      </c>
      <c r="P986" s="241" t="n">
        <v>1.22</v>
      </c>
    </row>
    <row r="987">
      <c r="A987" s="282" t="inlineStr">
        <is>
          <t>2010-01-19</t>
        </is>
      </c>
      <c r="B987" s="240">
        <f>IFERROR(1/P987-1,B986)</f>
        <v/>
      </c>
      <c r="C987" s="240">
        <f>$C$3</f>
        <v/>
      </c>
      <c r="D987" s="240">
        <f>$D$3</f>
        <v/>
      </c>
      <c r="E987" s="240">
        <f>$E$3</f>
        <v/>
      </c>
      <c r="F987" s="241" t="n">
        <v>45.39</v>
      </c>
      <c r="G987" s="242" t="n">
        <v>4878300</v>
      </c>
      <c r="H987" s="241" t="n">
        <v>-0.53</v>
      </c>
      <c r="I987" s="241" t="n">
        <v>5.46</v>
      </c>
      <c r="J987" s="241" t="n">
        <v>0.67</v>
      </c>
      <c r="K987" s="241" t="n">
        <v>37.73</v>
      </c>
      <c r="L987" s="242" t="n">
        <v>462600</v>
      </c>
      <c r="M987" s="241" t="n">
        <v>1.3</v>
      </c>
      <c r="N987" s="241" t="n">
        <v>9.16</v>
      </c>
      <c r="O987" s="241" t="n">
        <v>3.13</v>
      </c>
      <c r="P987" s="241" t="n">
        <v>1.2</v>
      </c>
    </row>
    <row r="988">
      <c r="A988" s="282" t="inlineStr">
        <is>
          <t>2010-01-20</t>
        </is>
      </c>
      <c r="B988" s="240">
        <f>IFERROR(1/P988-1,B987)</f>
        <v/>
      </c>
      <c r="C988" s="240">
        <f>$C$3</f>
        <v/>
      </c>
      <c r="D988" s="240">
        <f>$D$3</f>
        <v/>
      </c>
      <c r="E988" s="240">
        <f>$E$3</f>
        <v/>
      </c>
      <c r="F988" s="241" t="n">
        <v>45.7</v>
      </c>
      <c r="G988" s="242" t="n">
        <v>10239155</v>
      </c>
      <c r="H988" s="241" t="n">
        <v>0.68</v>
      </c>
      <c r="I988" s="241" t="n">
        <v>6.18</v>
      </c>
      <c r="J988" s="241" t="n">
        <v>1.35</v>
      </c>
      <c r="K988" s="241" t="n">
        <v>37.34</v>
      </c>
      <c r="L988" s="242" t="n">
        <v>405200</v>
      </c>
      <c r="M988" s="241" t="n">
        <v>-1.05</v>
      </c>
      <c r="N988" s="241" t="n">
        <v>8.02</v>
      </c>
      <c r="O988" s="241" t="n">
        <v>2.04</v>
      </c>
      <c r="P988" s="241" t="n">
        <v>1.22</v>
      </c>
    </row>
    <row r="989">
      <c r="A989" s="282" t="inlineStr">
        <is>
          <t>2010-01-21</t>
        </is>
      </c>
      <c r="B989" s="240">
        <f>IFERROR(1/P989-1,B988)</f>
        <v/>
      </c>
      <c r="C989" s="240">
        <f>$C$3</f>
        <v/>
      </c>
      <c r="D989" s="240">
        <f>$D$3</f>
        <v/>
      </c>
      <c r="E989" s="240">
        <f>$E$3</f>
        <v/>
      </c>
      <c r="F989" s="241" t="n">
        <v>46.89</v>
      </c>
      <c r="G989" s="242" t="n">
        <v>11631260</v>
      </c>
      <c r="H989" s="241" t="n">
        <v>2.6</v>
      </c>
      <c r="I989" s="241" t="n">
        <v>8.949999999999999</v>
      </c>
      <c r="J989" s="241" t="n">
        <v>3.99</v>
      </c>
      <c r="K989" s="241" t="n">
        <v>35.6</v>
      </c>
      <c r="L989" s="242" t="n">
        <v>779200</v>
      </c>
      <c r="M989" s="241" t="n">
        <v>-4.59</v>
      </c>
      <c r="N989" s="241" t="n">
        <v>3.05</v>
      </c>
      <c r="O989" s="241" t="n">
        <v>-2.64</v>
      </c>
      <c r="P989" s="241" t="n">
        <v>1.32</v>
      </c>
    </row>
    <row r="990">
      <c r="A990" s="282" t="inlineStr">
        <is>
          <t>2010-01-22</t>
        </is>
      </c>
      <c r="B990" s="240">
        <f>IFERROR(1/P990-1,B989)</f>
        <v/>
      </c>
      <c r="C990" s="240">
        <f>$C$3</f>
        <v/>
      </c>
      <c r="D990" s="240">
        <f>$D$3</f>
        <v/>
      </c>
      <c r="E990" s="240">
        <f>$E$3</f>
        <v/>
      </c>
      <c r="F990" s="241" t="n">
        <v>45.41</v>
      </c>
      <c r="G990" s="242" t="n">
        <v>7918064</v>
      </c>
      <c r="H990" s="241" t="n">
        <v>-3.16</v>
      </c>
      <c r="I990" s="241" t="n">
        <v>4.99</v>
      </c>
      <c r="J990" s="241" t="n">
        <v>0.71</v>
      </c>
      <c r="K990" s="241" t="n">
        <v>34.52</v>
      </c>
      <c r="L990" s="242" t="n">
        <v>1184800</v>
      </c>
      <c r="M990" s="241" t="n">
        <v>-2.96</v>
      </c>
      <c r="N990" s="241" t="n">
        <v>-5.87</v>
      </c>
      <c r="O990" s="241" t="n">
        <v>-5.53</v>
      </c>
      <c r="P990" s="241" t="n">
        <v>1.32</v>
      </c>
    </row>
    <row r="991">
      <c r="A991" s="282" t="inlineStr">
        <is>
          <t>2010-01-25</t>
        </is>
      </c>
      <c r="B991" s="240">
        <f>IFERROR(1/P991-1,B990)</f>
        <v/>
      </c>
      <c r="C991" s="240">
        <f>$C$3</f>
        <v/>
      </c>
      <c r="D991" s="240">
        <f>$D$3</f>
        <v/>
      </c>
      <c r="E991" s="240">
        <f>$E$3</f>
        <v/>
      </c>
      <c r="F991" s="241" t="n">
        <v>44.54</v>
      </c>
      <c r="G991" s="242" t="n">
        <v>5208580</v>
      </c>
      <c r="H991" s="241" t="n">
        <v>-1.92</v>
      </c>
      <c r="I991" s="241" t="n">
        <v>-2.09</v>
      </c>
      <c r="J991" s="241" t="n">
        <v>-1.22</v>
      </c>
      <c r="K991" s="241" t="n">
        <v>35.88</v>
      </c>
      <c r="L991" s="242" t="n">
        <v>680644</v>
      </c>
      <c r="M991" s="241" t="n">
        <v>3.94</v>
      </c>
      <c r="N991" s="241" t="n">
        <v>-2.16</v>
      </c>
      <c r="O991" s="241" t="n">
        <v>-1.8</v>
      </c>
      <c r="P991" s="241" t="n">
        <v>1.24</v>
      </c>
    </row>
    <row r="992">
      <c r="A992" s="282" t="inlineStr">
        <is>
          <t>2010-01-26</t>
        </is>
      </c>
      <c r="B992" s="240">
        <f>IFERROR(1/P992-1,B991)</f>
        <v/>
      </c>
      <c r="C992" s="240">
        <f>$C$3</f>
        <v/>
      </c>
      <c r="D992" s="240">
        <f>$D$3</f>
        <v/>
      </c>
      <c r="E992" s="240">
        <f>$E$3</f>
        <v/>
      </c>
      <c r="F992" s="241" t="n">
        <v>43.87</v>
      </c>
      <c r="G992" s="242" t="n">
        <v>4293867</v>
      </c>
      <c r="H992" s="241" t="n">
        <v>-1.5</v>
      </c>
      <c r="I992" s="241" t="n">
        <v>-3.22</v>
      </c>
      <c r="J992" s="241" t="n">
        <v>-2.71</v>
      </c>
      <c r="K992" s="241" t="n">
        <v>35.68</v>
      </c>
      <c r="L992" s="242" t="n">
        <v>941346</v>
      </c>
      <c r="M992" s="241" t="n">
        <v>-0.61</v>
      </c>
      <c r="N992" s="241" t="n">
        <v>-2.75</v>
      </c>
      <c r="O992" s="241" t="n">
        <v>-2.4</v>
      </c>
      <c r="P992" s="241" t="n">
        <v>1.23</v>
      </c>
    </row>
    <row r="993">
      <c r="A993" s="282" t="inlineStr">
        <is>
          <t>2010-01-27</t>
        </is>
      </c>
      <c r="B993" s="240">
        <f>IFERROR(1/P993-1,B992)</f>
        <v/>
      </c>
      <c r="C993" s="240">
        <f>$C$3</f>
        <v/>
      </c>
      <c r="D993" s="240">
        <f>$D$3</f>
        <v/>
      </c>
      <c r="E993" s="240">
        <f>$E$3</f>
        <v/>
      </c>
      <c r="F993" s="241" t="n">
        <v>43.08</v>
      </c>
      <c r="G993" s="242" t="n">
        <v>3876438</v>
      </c>
      <c r="H993" s="241" t="n">
        <v>-1.8</v>
      </c>
      <c r="I993" s="241" t="n">
        <v>-4.96</v>
      </c>
      <c r="J993" s="241" t="n">
        <v>-4.46</v>
      </c>
      <c r="K993" s="241" t="n">
        <v>34.33</v>
      </c>
      <c r="L993" s="242" t="n">
        <v>1805077</v>
      </c>
      <c r="M993" s="241" t="n">
        <v>-3.69</v>
      </c>
      <c r="N993" s="241" t="n">
        <v>-6.35</v>
      </c>
      <c r="O993" s="241" t="n">
        <v>-6.01</v>
      </c>
      <c r="P993" s="241" t="n">
        <v>1.25</v>
      </c>
    </row>
    <row r="994">
      <c r="A994" s="282" t="inlineStr">
        <is>
          <t>2010-01-28</t>
        </is>
      </c>
      <c r="B994" s="240">
        <f>IFERROR(1/P994-1,B993)</f>
        <v/>
      </c>
      <c r="C994" s="240">
        <f>$C$3</f>
        <v/>
      </c>
      <c r="D994" s="240">
        <f>$D$3</f>
        <v/>
      </c>
      <c r="E994" s="240">
        <f>$E$3</f>
        <v/>
      </c>
      <c r="F994" s="241" t="n">
        <v>44.08</v>
      </c>
      <c r="G994" s="242" t="n">
        <v>4447342</v>
      </c>
      <c r="H994" s="241" t="n">
        <v>2.32</v>
      </c>
      <c r="I994" s="241" t="n">
        <v>-2.76</v>
      </c>
      <c r="J994" s="241" t="n">
        <v>-2.24</v>
      </c>
      <c r="K994" s="241" t="n">
        <v>33.67</v>
      </c>
      <c r="L994" s="242" t="n">
        <v>807400</v>
      </c>
      <c r="M994" s="241" t="n">
        <v>-1.92</v>
      </c>
      <c r="N994" s="241" t="n">
        <v>-8.140000000000001</v>
      </c>
      <c r="O994" s="241" t="n">
        <v>-7.81</v>
      </c>
      <c r="P994" s="241" t="n">
        <v>1.31</v>
      </c>
    </row>
    <row r="995">
      <c r="A995" s="282" t="inlineStr">
        <is>
          <t>2010-01-29</t>
        </is>
      </c>
      <c r="B995" s="240">
        <f>IFERROR(1/P995-1,B994)</f>
        <v/>
      </c>
      <c r="C995" s="240">
        <f>$C$3</f>
        <v/>
      </c>
      <c r="D995" s="240">
        <f>$D$3</f>
        <v/>
      </c>
      <c r="E995" s="240">
        <f>$E$3</f>
        <v/>
      </c>
      <c r="F995" s="241" t="n">
        <v>44.62</v>
      </c>
      <c r="G995" s="242" t="n">
        <v>3426065</v>
      </c>
      <c r="H995" s="241" t="n">
        <v>1.23</v>
      </c>
      <c r="I995" s="241" t="n">
        <v>-3.04</v>
      </c>
      <c r="J995" s="241" t="n">
        <v>-1.04</v>
      </c>
      <c r="K995" s="241" t="n">
        <v>33.86</v>
      </c>
      <c r="L995" s="242" t="n">
        <v>624173</v>
      </c>
      <c r="M995" s="241" t="n">
        <v>0.52</v>
      </c>
      <c r="N995" s="241" t="n">
        <v>-7.55</v>
      </c>
      <c r="O995" s="241" t="n">
        <v>-7.33</v>
      </c>
      <c r="P995" s="241" t="n">
        <v>1.32</v>
      </c>
    </row>
    <row r="996">
      <c r="A996" s="282" t="inlineStr">
        <is>
          <t>2010-02-01</t>
        </is>
      </c>
      <c r="B996" s="240">
        <f>IFERROR(1/P996-1,B995)</f>
        <v/>
      </c>
      <c r="C996" s="240">
        <f>$C$3</f>
        <v/>
      </c>
      <c r="D996" s="240">
        <f>$D$3</f>
        <v/>
      </c>
      <c r="E996" s="240">
        <f>$E$3</f>
        <v/>
      </c>
      <c r="F996" s="241" t="n">
        <v>43.9</v>
      </c>
      <c r="G996" s="242" t="n">
        <v>2370053</v>
      </c>
      <c r="H996" s="241" t="n">
        <v>-1.61</v>
      </c>
      <c r="I996" s="241" t="n">
        <v>-2.64</v>
      </c>
      <c r="J996" s="241" t="n">
        <v>-2.64</v>
      </c>
      <c r="K996" s="241" t="n">
        <v>32.26</v>
      </c>
      <c r="L996" s="242" t="n">
        <v>2050715</v>
      </c>
      <c r="M996" s="241" t="n">
        <v>-4.8</v>
      </c>
      <c r="N996" s="241" t="n">
        <v>-11.78</v>
      </c>
      <c r="O996" s="241" t="n">
        <v>-11.78</v>
      </c>
      <c r="P996" s="241" t="n">
        <v>1.36</v>
      </c>
    </row>
    <row r="997">
      <c r="A997" s="282" t="inlineStr">
        <is>
          <t>2010-02-02</t>
        </is>
      </c>
      <c r="B997" s="240">
        <f>IFERROR(1/P997-1,B996)</f>
        <v/>
      </c>
      <c r="C997" s="240">
        <f>$C$3</f>
        <v/>
      </c>
      <c r="D997" s="240">
        <f>$D$3</f>
        <v/>
      </c>
      <c r="E997" s="240">
        <f>$E$3</f>
        <v/>
      </c>
      <c r="F997" s="241" t="n">
        <v>42.2</v>
      </c>
      <c r="G997" s="242" t="n">
        <v>4082519</v>
      </c>
      <c r="H997" s="241" t="n">
        <v>-3.87</v>
      </c>
      <c r="I997" s="241" t="n">
        <v>-6.41</v>
      </c>
      <c r="J997" s="241" t="n">
        <v>-6.41</v>
      </c>
      <c r="K997" s="241" t="n">
        <v>32.26</v>
      </c>
      <c r="L997" s="242" t="n">
        <v>2169979</v>
      </c>
      <c r="M997" s="241" t="n">
        <v>0</v>
      </c>
      <c r="N997" s="241" t="n">
        <v>-11.78</v>
      </c>
      <c r="O997" s="241" t="n">
        <v>-11.78</v>
      </c>
      <c r="P997" s="241" t="n">
        <v>1.31</v>
      </c>
    </row>
    <row r="998">
      <c r="A998" s="282" t="inlineStr">
        <is>
          <t>2010-02-03</t>
        </is>
      </c>
      <c r="B998" s="240">
        <f>IFERROR(1/P998-1,B997)</f>
        <v/>
      </c>
      <c r="C998" s="240">
        <f>$C$3</f>
        <v/>
      </c>
      <c r="D998" s="240">
        <f>$D$3</f>
        <v/>
      </c>
      <c r="E998" s="240">
        <f>$E$3</f>
        <v/>
      </c>
      <c r="F998" s="241" t="n">
        <v>41.55</v>
      </c>
      <c r="G998" s="242" t="n">
        <v>6938767</v>
      </c>
      <c r="H998" s="241" t="n">
        <v>-1.54</v>
      </c>
      <c r="I998" s="241" t="n">
        <v>-7.85</v>
      </c>
      <c r="J998" s="241" t="n">
        <v>-7.85</v>
      </c>
      <c r="K998" s="241" t="n">
        <v>32.52</v>
      </c>
      <c r="L998" s="242" t="n">
        <v>647000</v>
      </c>
      <c r="M998" s="241" t="n">
        <v>0.82</v>
      </c>
      <c r="N998" s="241" t="n">
        <v>-11.06</v>
      </c>
      <c r="O998" s="241" t="n">
        <v>-11.06</v>
      </c>
      <c r="P998" s="241" t="n">
        <v>1.28</v>
      </c>
    </row>
    <row r="999">
      <c r="A999" s="282" t="inlineStr">
        <is>
          <t>2010-02-04</t>
        </is>
      </c>
      <c r="B999" s="240">
        <f>IFERROR(1/P999-1,B998)</f>
        <v/>
      </c>
      <c r="C999" s="240">
        <f>$C$3</f>
        <v/>
      </c>
      <c r="D999" s="240">
        <f>$D$3</f>
        <v/>
      </c>
      <c r="E999" s="240">
        <f>$E$3</f>
        <v/>
      </c>
      <c r="F999" s="241" t="n">
        <v>41</v>
      </c>
      <c r="G999" s="242" t="n">
        <v>4896312</v>
      </c>
      <c r="H999" s="241" t="n">
        <v>-1.32</v>
      </c>
      <c r="I999" s="241" t="n">
        <v>-9.07</v>
      </c>
      <c r="J999" s="241" t="n">
        <v>-9.07</v>
      </c>
      <c r="K999" s="241" t="n">
        <v>31.34</v>
      </c>
      <c r="L999" s="242" t="n">
        <v>846340</v>
      </c>
      <c r="M999" s="241" t="n">
        <v>-3.65</v>
      </c>
      <c r="N999" s="241" t="n">
        <v>-14.3</v>
      </c>
      <c r="O999" s="241" t="n">
        <v>-14.3</v>
      </c>
      <c r="P999" s="241" t="n">
        <v>1.31</v>
      </c>
    </row>
    <row r="1000">
      <c r="A1000" s="282" t="inlineStr">
        <is>
          <t>2010-02-05</t>
        </is>
      </c>
      <c r="B1000" s="240">
        <f>IFERROR(1/P1000-1,B999)</f>
        <v/>
      </c>
      <c r="C1000" s="240">
        <f>$C$3</f>
        <v/>
      </c>
      <c r="D1000" s="240">
        <f>$D$3</f>
        <v/>
      </c>
      <c r="E1000" s="240">
        <f>$E$3</f>
        <v/>
      </c>
      <c r="F1000" s="241" t="n">
        <v>40.5</v>
      </c>
      <c r="G1000" s="242" t="n">
        <v>3847791</v>
      </c>
      <c r="H1000" s="241" t="n">
        <v>-1.22</v>
      </c>
      <c r="I1000" s="241" t="n">
        <v>-10.44</v>
      </c>
      <c r="J1000" s="241" t="n">
        <v>-10.18</v>
      </c>
      <c r="K1000" s="241" t="n">
        <v>29.87</v>
      </c>
      <c r="L1000" s="242" t="n">
        <v>1958575</v>
      </c>
      <c r="M1000" s="241" t="n">
        <v>-4.63</v>
      </c>
      <c r="N1000" s="241" t="n">
        <v>-18.85</v>
      </c>
      <c r="O1000" s="241" t="n">
        <v>-18.27</v>
      </c>
      <c r="P1000" s="241" t="n">
        <v>1.36</v>
      </c>
    </row>
    <row r="1001">
      <c r="A1001" s="282" t="inlineStr">
        <is>
          <t>2010-02-08</t>
        </is>
      </c>
      <c r="B1001" s="240">
        <f>IFERROR(1/P1001-1,B1000)</f>
        <v/>
      </c>
      <c r="C1001" s="240">
        <f>$C$3</f>
        <v/>
      </c>
      <c r="D1001" s="240">
        <f>$D$3</f>
        <v/>
      </c>
      <c r="E1001" s="240">
        <f>$E$3</f>
        <v/>
      </c>
      <c r="F1001" s="241" t="n">
        <v>39.81</v>
      </c>
      <c r="G1001" s="242" t="n">
        <v>4591395</v>
      </c>
      <c r="H1001" s="241" t="n">
        <v>-1.7</v>
      </c>
      <c r="I1001" s="241" t="n">
        <v>-9.23</v>
      </c>
      <c r="J1001" s="241" t="n">
        <v>-11.71</v>
      </c>
      <c r="K1001" s="241" t="n">
        <v>30.49</v>
      </c>
      <c r="L1001" s="242" t="n">
        <v>1520844</v>
      </c>
      <c r="M1001" s="241" t="n">
        <v>2.06</v>
      </c>
      <c r="N1001" s="241" t="n">
        <v>-21.67</v>
      </c>
      <c r="O1001" s="241" t="n">
        <v>-16.59</v>
      </c>
      <c r="P1001" s="241" t="n">
        <v>1.31</v>
      </c>
    </row>
    <row r="1002">
      <c r="A1002" s="282" t="inlineStr">
        <is>
          <t>2010-02-09</t>
        </is>
      </c>
      <c r="B1002" s="240">
        <f>IFERROR(1/P1002-1,B1001)</f>
        <v/>
      </c>
      <c r="C1002" s="240">
        <f>$C$3</f>
        <v/>
      </c>
      <c r="D1002" s="240">
        <f>$D$3</f>
        <v/>
      </c>
      <c r="E1002" s="240">
        <f>$E$3</f>
        <v/>
      </c>
      <c r="F1002" s="241" t="n">
        <v>40.17</v>
      </c>
      <c r="G1002" s="242" t="n">
        <v>1629530</v>
      </c>
      <c r="H1002" s="241" t="n">
        <v>0.9</v>
      </c>
      <c r="I1002" s="241" t="n">
        <v>-11.09</v>
      </c>
      <c r="J1002" s="241" t="n">
        <v>-10.91</v>
      </c>
      <c r="K1002" s="241" t="n">
        <v>30.35</v>
      </c>
      <c r="L1002" s="242" t="n">
        <v>662011</v>
      </c>
      <c r="M1002" s="241" t="n">
        <v>-0.43</v>
      </c>
      <c r="N1002" s="241" t="n">
        <v>-18.22</v>
      </c>
      <c r="O1002" s="241" t="n">
        <v>-16.95</v>
      </c>
      <c r="P1002" s="241" t="n">
        <v>1.32</v>
      </c>
    </row>
    <row r="1003">
      <c r="A1003" s="282" t="inlineStr">
        <is>
          <t>2010-02-10</t>
        </is>
      </c>
      <c r="B1003" s="240">
        <f>IFERROR(1/P1003-1,B1002)</f>
        <v/>
      </c>
      <c r="C1003" s="240">
        <f>$C$3</f>
        <v/>
      </c>
      <c r="D1003" s="240">
        <f>$D$3</f>
        <v/>
      </c>
      <c r="E1003" s="240">
        <f>$E$3</f>
        <v/>
      </c>
      <c r="F1003" s="241" t="n">
        <v>40.66</v>
      </c>
      <c r="G1003" s="242" t="n">
        <v>1813555</v>
      </c>
      <c r="H1003" s="241" t="n">
        <v>1.22</v>
      </c>
      <c r="I1003" s="241" t="n">
        <v>-10</v>
      </c>
      <c r="J1003" s="241" t="n">
        <v>-9.82</v>
      </c>
      <c r="K1003" s="241" t="n">
        <v>32.03</v>
      </c>
      <c r="L1003" s="242" t="n">
        <v>864785</v>
      </c>
      <c r="M1003" s="241" t="n">
        <v>5.5</v>
      </c>
      <c r="N1003" s="241" t="n">
        <v>-13.73</v>
      </c>
      <c r="O1003" s="241" t="n">
        <v>-12.38</v>
      </c>
      <c r="P1003" s="241" t="n">
        <v>1.27</v>
      </c>
    </row>
    <row r="1004">
      <c r="A1004" s="282" t="inlineStr">
        <is>
          <t>2010-02-11</t>
        </is>
      </c>
      <c r="B1004" s="240">
        <f>IFERROR(1/P1004-1,B1003)</f>
        <v/>
      </c>
      <c r="C1004" s="240">
        <f>$C$3</f>
        <v/>
      </c>
      <c r="D1004" s="240">
        <f>$D$3</f>
        <v/>
      </c>
      <c r="E1004" s="240">
        <f>$E$3</f>
        <v/>
      </c>
      <c r="F1004" s="241" t="n">
        <v>40.61</v>
      </c>
      <c r="G1004" s="242" t="n">
        <v>1876101</v>
      </c>
      <c r="H1004" s="241" t="n">
        <v>-0.12</v>
      </c>
      <c r="I1004" s="241" t="n">
        <v>-10.12</v>
      </c>
      <c r="J1004" s="241" t="n">
        <v>-9.94</v>
      </c>
      <c r="K1004" s="241" t="n">
        <v>32.51</v>
      </c>
      <c r="L1004" s="242" t="n">
        <v>1116468</v>
      </c>
      <c r="M1004" s="241" t="n">
        <v>1.51</v>
      </c>
      <c r="N1004" s="241" t="n">
        <v>-12.43</v>
      </c>
      <c r="O1004" s="241" t="n">
        <v>-11.06</v>
      </c>
      <c r="P1004" s="241" t="n">
        <v>1.25</v>
      </c>
    </row>
    <row r="1005">
      <c r="A1005" s="282" t="inlineStr">
        <is>
          <t>2010-02-12</t>
        </is>
      </c>
      <c r="B1005" s="240">
        <f>IFERROR(1/P1005-1,B1004)</f>
        <v/>
      </c>
      <c r="C1005" s="240">
        <f>$C$3</f>
        <v/>
      </c>
      <c r="D1005" s="240">
        <f>$D$3</f>
        <v/>
      </c>
      <c r="E1005" s="240">
        <f>$E$3</f>
        <v/>
      </c>
      <c r="F1005" s="241" t="n">
        <v>41</v>
      </c>
      <c r="G1005" s="242" t="n">
        <v>1838954</v>
      </c>
      <c r="H1005" s="241" t="n">
        <v>0.96</v>
      </c>
      <c r="I1005" s="241" t="n">
        <v>-7.39</v>
      </c>
      <c r="J1005" s="241" t="n">
        <v>-9.07</v>
      </c>
      <c r="K1005" s="241" t="n">
        <v>32.69</v>
      </c>
      <c r="L1005" s="242" t="n">
        <v>480600</v>
      </c>
      <c r="M1005" s="241" t="n">
        <v>0.54</v>
      </c>
      <c r="N1005" s="241" t="n">
        <v>-9.27</v>
      </c>
      <c r="O1005" s="241" t="n">
        <v>-10.58</v>
      </c>
      <c r="P1005" s="241" t="n">
        <v>1.25</v>
      </c>
    </row>
    <row r="1006">
      <c r="A1006" s="282" t="inlineStr">
        <is>
          <t>2010-02-22</t>
        </is>
      </c>
      <c r="B1006" s="240">
        <f>IFERROR(1/P1006-1,B1005)</f>
        <v/>
      </c>
      <c r="C1006" s="240">
        <f>$C$3</f>
        <v/>
      </c>
      <c r="D1006" s="240">
        <f>$D$3</f>
        <v/>
      </c>
      <c r="E1006" s="240">
        <f>$E$3</f>
        <v/>
      </c>
      <c r="F1006" s="241" t="n">
        <v>42.2</v>
      </c>
      <c r="G1006" s="242" t="n">
        <v>5186451</v>
      </c>
      <c r="H1006" s="241" t="n">
        <v>2.93</v>
      </c>
      <c r="I1006" s="241" t="n">
        <v>-10</v>
      </c>
      <c r="J1006" s="241" t="n">
        <v>-6.41</v>
      </c>
      <c r="K1006" s="241" t="n">
        <v>32.79</v>
      </c>
      <c r="L1006" s="242" t="n">
        <v>1468011</v>
      </c>
      <c r="M1006" s="241" t="n">
        <v>5.97</v>
      </c>
      <c r="N1006" s="241" t="n">
        <v>-7.9</v>
      </c>
      <c r="O1006" s="241" t="n">
        <v>-10.34</v>
      </c>
      <c r="P1006" s="241" t="n">
        <v>1.29</v>
      </c>
    </row>
    <row r="1007">
      <c r="A1007" s="282" t="inlineStr">
        <is>
          <t>2010-02-23</t>
        </is>
      </c>
      <c r="B1007" s="240">
        <f>IFERROR(1/P1007-1,B1006)</f>
        <v/>
      </c>
      <c r="C1007" s="240">
        <f>$C$3</f>
        <v/>
      </c>
      <c r="D1007" s="240">
        <f>$D$3</f>
        <v/>
      </c>
      <c r="E1007" s="240">
        <f>$E$3</f>
        <v/>
      </c>
      <c r="F1007" s="241" t="n">
        <v>42.7</v>
      </c>
      <c r="G1007" s="242" t="n">
        <v>2994422</v>
      </c>
      <c r="H1007" s="241" t="n">
        <v>1.18</v>
      </c>
      <c r="I1007" s="241" t="n">
        <v>-5.97</v>
      </c>
      <c r="J1007" s="241" t="n">
        <v>-5.3</v>
      </c>
      <c r="K1007" s="241" t="n">
        <v>33.24</v>
      </c>
      <c r="L1007" s="242" t="n">
        <v>1223400</v>
      </c>
      <c r="M1007" s="241" t="n">
        <v>1.34</v>
      </c>
      <c r="N1007" s="241" t="n">
        <v>-3.82</v>
      </c>
      <c r="O1007" s="241" t="n">
        <v>-9.130000000000001</v>
      </c>
      <c r="P1007" s="241" t="n">
        <v>1.28</v>
      </c>
    </row>
    <row r="1008">
      <c r="A1008" s="282" t="inlineStr">
        <is>
          <t>2010-02-24</t>
        </is>
      </c>
      <c r="B1008" s="240">
        <f>IFERROR(1/P1008-1,B1007)</f>
        <v/>
      </c>
      <c r="C1008" s="240">
        <f>$C$3</f>
        <v/>
      </c>
      <c r="D1008" s="240">
        <f>$D$3</f>
        <v/>
      </c>
      <c r="E1008" s="240">
        <f>$E$3</f>
        <v/>
      </c>
      <c r="F1008" s="241" t="n">
        <v>42.63</v>
      </c>
      <c r="G1008" s="242" t="n">
        <v>2853672</v>
      </c>
      <c r="H1008" s="241" t="n">
        <v>-0.16</v>
      </c>
      <c r="I1008" s="241" t="n">
        <v>-6.12</v>
      </c>
      <c r="J1008" s="241" t="n">
        <v>-5.46</v>
      </c>
      <c r="K1008" s="241" t="n">
        <v>33.77</v>
      </c>
      <c r="L1008" s="242" t="n">
        <v>533722</v>
      </c>
      <c r="M1008" s="241" t="n">
        <v>1.59</v>
      </c>
      <c r="N1008" s="241" t="n">
        <v>-2.29</v>
      </c>
      <c r="O1008" s="241" t="n">
        <v>-7.69</v>
      </c>
      <c r="P1008" s="241" t="n">
        <v>1.26</v>
      </c>
    </row>
    <row r="1009">
      <c r="A1009" s="282" t="inlineStr">
        <is>
          <t>2010-02-25</t>
        </is>
      </c>
      <c r="B1009" s="240">
        <f>IFERROR(1/P1009-1,B1008)</f>
        <v/>
      </c>
      <c r="C1009" s="240">
        <f>$C$3</f>
        <v/>
      </c>
      <c r="D1009" s="240">
        <f>$D$3</f>
        <v/>
      </c>
      <c r="E1009" s="240">
        <f>$E$3</f>
        <v/>
      </c>
      <c r="F1009" s="241" t="n">
        <v>42.86</v>
      </c>
      <c r="G1009" s="242" t="n">
        <v>5503798</v>
      </c>
      <c r="H1009" s="241" t="n">
        <v>0.54</v>
      </c>
      <c r="I1009" s="241" t="n">
        <v>-5.62</v>
      </c>
      <c r="J1009" s="241" t="n">
        <v>-4.95</v>
      </c>
      <c r="K1009" s="241" t="n">
        <v>33.63</v>
      </c>
      <c r="L1009" s="242" t="n">
        <v>1677658</v>
      </c>
      <c r="M1009" s="241" t="n">
        <v>-0.39</v>
      </c>
      <c r="N1009" s="241" t="n">
        <v>-2.67</v>
      </c>
      <c r="O1009" s="241" t="n">
        <v>-8.050000000000001</v>
      </c>
      <c r="P1009" s="241" t="n">
        <v>1.27</v>
      </c>
    </row>
    <row r="1010">
      <c r="A1010" s="282" t="inlineStr">
        <is>
          <t>2010-02-26</t>
        </is>
      </c>
      <c r="B1010" s="240">
        <f>IFERROR(1/P1010-1,B1009)</f>
        <v/>
      </c>
      <c r="C1010" s="240">
        <f>$C$3</f>
        <v/>
      </c>
      <c r="D1010" s="240">
        <f>$D$3</f>
        <v/>
      </c>
      <c r="E1010" s="240">
        <f>$E$3</f>
        <v/>
      </c>
      <c r="F1010" s="241" t="n">
        <v>42.51</v>
      </c>
      <c r="G1010" s="242" t="n">
        <v>3837324</v>
      </c>
      <c r="H1010" s="241" t="n">
        <v>-0.82</v>
      </c>
      <c r="I1010" s="241" t="n">
        <v>-4.56</v>
      </c>
      <c r="J1010" s="241" t="n">
        <v>-5.72</v>
      </c>
      <c r="K1010" s="241" t="n">
        <v>34.29</v>
      </c>
      <c r="L1010" s="242" t="n">
        <v>582200</v>
      </c>
      <c r="M1010" s="241" t="n">
        <v>1.96</v>
      </c>
      <c r="N1010" s="241" t="n">
        <v>-4.53</v>
      </c>
      <c r="O1010" s="241" t="n">
        <v>-6.25</v>
      </c>
      <c r="P1010" s="241" t="n">
        <v>1.24</v>
      </c>
    </row>
    <row r="1011">
      <c r="A1011" s="282" t="inlineStr">
        <is>
          <t>2010-03-01</t>
        </is>
      </c>
      <c r="B1011" s="240">
        <f>IFERROR(1/P1011-1,B1010)</f>
        <v/>
      </c>
      <c r="C1011" s="240">
        <f>$C$3</f>
        <v/>
      </c>
      <c r="D1011" s="240">
        <f>$D$3</f>
        <v/>
      </c>
      <c r="E1011" s="240">
        <f>$E$3</f>
        <v/>
      </c>
      <c r="F1011" s="241" t="n">
        <v>42.46</v>
      </c>
      <c r="G1011" s="242" t="n">
        <v>4604156</v>
      </c>
      <c r="H1011" s="241" t="n">
        <v>-0.12</v>
      </c>
      <c r="I1011" s="241" t="n">
        <v>-4.84</v>
      </c>
      <c r="J1011" s="241" t="n">
        <v>-5.83</v>
      </c>
      <c r="K1011" s="241" t="n">
        <v>33.95</v>
      </c>
      <c r="L1011" s="242" t="n">
        <v>158000</v>
      </c>
      <c r="M1011" s="241" t="n">
        <v>-1.03</v>
      </c>
      <c r="N1011" s="241" t="n">
        <v>0.13</v>
      </c>
      <c r="O1011" s="241" t="n">
        <v>-7.21</v>
      </c>
      <c r="P1011" s="241" t="n">
        <v>1.25</v>
      </c>
    </row>
    <row r="1012">
      <c r="A1012" s="282" t="inlineStr">
        <is>
          <t>2010-03-02</t>
        </is>
      </c>
      <c r="B1012" s="240">
        <f>IFERROR(1/P1012-1,B1011)</f>
        <v/>
      </c>
      <c r="C1012" s="240">
        <f>$C$3</f>
        <v/>
      </c>
      <c r="D1012" s="240">
        <f>$D$3</f>
        <v/>
      </c>
      <c r="E1012" s="240">
        <f>$E$3</f>
        <v/>
      </c>
      <c r="F1012" s="241" t="n">
        <v>43.36</v>
      </c>
      <c r="G1012" s="242" t="n">
        <v>7344532</v>
      </c>
      <c r="H1012" s="241" t="n">
        <v>2.12</v>
      </c>
      <c r="I1012" s="241" t="n">
        <v>-1.23</v>
      </c>
      <c r="J1012" s="241" t="n">
        <v>-3.84</v>
      </c>
      <c r="K1012" s="241" t="n">
        <v>34.11</v>
      </c>
      <c r="L1012" s="242" t="n">
        <v>321189</v>
      </c>
      <c r="M1012" s="241" t="n">
        <v>0.52</v>
      </c>
      <c r="N1012" s="241" t="n">
        <v>5.72</v>
      </c>
      <c r="O1012" s="241" t="n">
        <v>-6.73</v>
      </c>
      <c r="P1012" s="241" t="n">
        <v>1.27</v>
      </c>
    </row>
    <row r="1013">
      <c r="A1013" s="282" t="inlineStr">
        <is>
          <t>2010-03-03</t>
        </is>
      </c>
      <c r="B1013" s="240">
        <f>IFERROR(1/P1013-1,B1012)</f>
        <v/>
      </c>
      <c r="C1013" s="240">
        <f>$C$3</f>
        <v/>
      </c>
      <c r="D1013" s="240">
        <f>$D$3</f>
        <v/>
      </c>
      <c r="E1013" s="240">
        <f>$E$3</f>
        <v/>
      </c>
      <c r="F1013" s="241" t="n">
        <v>45.43</v>
      </c>
      <c r="G1013" s="242" t="n">
        <v>12976619</v>
      </c>
      <c r="H1013" s="241" t="n">
        <v>4.77</v>
      </c>
      <c r="I1013" s="241" t="n">
        <v>7.65</v>
      </c>
      <c r="J1013" s="241" t="n">
        <v>0.75</v>
      </c>
      <c r="K1013" s="241" t="n">
        <v>35.84</v>
      </c>
      <c r="L1013" s="242" t="n">
        <v>1384701</v>
      </c>
      <c r="M1013" s="241" t="n">
        <v>5.03</v>
      </c>
      <c r="N1013" s="241" t="n">
        <v>11.04</v>
      </c>
      <c r="O1013" s="241" t="n">
        <v>-2.04</v>
      </c>
      <c r="P1013" s="241" t="n">
        <v>1.27</v>
      </c>
    </row>
    <row r="1014">
      <c r="A1014" s="282" t="inlineStr">
        <is>
          <t>2010-03-04</t>
        </is>
      </c>
      <c r="B1014" s="240">
        <f>IFERROR(1/P1014-1,B1013)</f>
        <v/>
      </c>
      <c r="C1014" s="240">
        <f>$C$3</f>
        <v/>
      </c>
      <c r="D1014" s="240">
        <f>$D$3</f>
        <v/>
      </c>
      <c r="E1014" s="240">
        <f>$E$3</f>
        <v/>
      </c>
      <c r="F1014" s="241" t="n">
        <v>43.88</v>
      </c>
      <c r="G1014" s="242" t="n">
        <v>10264317</v>
      </c>
      <c r="H1014" s="241" t="n">
        <v>-3.41</v>
      </c>
      <c r="I1014" s="241" t="n">
        <v>5.61</v>
      </c>
      <c r="J1014" s="241" t="n">
        <v>-2.68</v>
      </c>
      <c r="K1014" s="241" t="n">
        <v>36.06</v>
      </c>
      <c r="L1014" s="242" t="n">
        <v>1352040</v>
      </c>
      <c r="M1014" s="241" t="n">
        <v>0.61</v>
      </c>
      <c r="N1014" s="241" t="n">
        <v>10.81</v>
      </c>
      <c r="O1014" s="241" t="n">
        <v>-1.44</v>
      </c>
      <c r="P1014" s="241" t="n">
        <v>1.22</v>
      </c>
    </row>
    <row r="1015">
      <c r="A1015" s="282" t="inlineStr">
        <is>
          <t>2010-03-05</t>
        </is>
      </c>
      <c r="B1015" s="240">
        <f>IFERROR(1/P1015-1,B1014)</f>
        <v/>
      </c>
      <c r="C1015" s="240">
        <f>$C$3</f>
        <v/>
      </c>
      <c r="D1015" s="240">
        <f>$D$3</f>
        <v/>
      </c>
      <c r="E1015" s="240">
        <f>$E$3</f>
        <v/>
      </c>
      <c r="F1015" s="241" t="n">
        <v>44.75</v>
      </c>
      <c r="G1015" s="242" t="n">
        <v>6135108</v>
      </c>
      <c r="H1015" s="241" t="n">
        <v>1.98</v>
      </c>
      <c r="I1015" s="241" t="n">
        <v>9.15</v>
      </c>
      <c r="J1015" s="241" t="n">
        <v>-0.75</v>
      </c>
      <c r="K1015" s="241" t="n">
        <v>37.37</v>
      </c>
      <c r="L1015" s="242" t="n">
        <v>965400</v>
      </c>
      <c r="M1015" s="241" t="n">
        <v>3.66</v>
      </c>
      <c r="N1015" s="241" t="n">
        <v>19.21</v>
      </c>
      <c r="O1015" s="241" t="n">
        <v>2.16</v>
      </c>
      <c r="P1015" s="241" t="n">
        <v>1.2</v>
      </c>
    </row>
    <row r="1016">
      <c r="A1016" s="282" t="inlineStr">
        <is>
          <t>2010-03-08</t>
        </is>
      </c>
      <c r="B1016" s="240">
        <f>IFERROR(1/P1016-1,B1015)</f>
        <v/>
      </c>
      <c r="C1016" s="240">
        <f>$C$3</f>
        <v/>
      </c>
      <c r="D1016" s="240">
        <f>$D$3</f>
        <v/>
      </c>
      <c r="E1016" s="240">
        <f>$E$3</f>
        <v/>
      </c>
      <c r="F1016" s="241" t="n">
        <v>45.8</v>
      </c>
      <c r="G1016" s="242" t="n">
        <v>6373530</v>
      </c>
      <c r="H1016" s="241" t="n">
        <v>2.35</v>
      </c>
      <c r="I1016" s="241" t="n">
        <v>13.09</v>
      </c>
      <c r="J1016" s="241" t="n">
        <v>1.57</v>
      </c>
      <c r="K1016" s="241" t="n">
        <v>38.48</v>
      </c>
      <c r="L1016" s="242" t="n">
        <v>2111400</v>
      </c>
      <c r="M1016" s="241" t="n">
        <v>2.94</v>
      </c>
      <c r="N1016" s="241" t="n">
        <v>28.68</v>
      </c>
      <c r="O1016" s="241" t="n">
        <v>5.17</v>
      </c>
      <c r="P1016" s="241" t="n">
        <v>1.19</v>
      </c>
    </row>
    <row r="1017">
      <c r="A1017" s="282" t="inlineStr">
        <is>
          <t>2010-03-09</t>
        </is>
      </c>
      <c r="B1017" s="240">
        <f>IFERROR(1/P1017-1,B1016)</f>
        <v/>
      </c>
      <c r="C1017" s="240">
        <f>$C$3</f>
        <v/>
      </c>
      <c r="D1017" s="240">
        <f>$D$3</f>
        <v/>
      </c>
      <c r="E1017" s="240">
        <f>$E$3</f>
        <v/>
      </c>
      <c r="F1017" s="241" t="n">
        <v>44.79</v>
      </c>
      <c r="G1017" s="242" t="n">
        <v>4128178</v>
      </c>
      <c r="H1017" s="241" t="n">
        <v>-2.21</v>
      </c>
      <c r="I1017" s="241" t="n">
        <v>12.51</v>
      </c>
      <c r="J1017" s="241" t="n">
        <v>-0.67</v>
      </c>
      <c r="K1017" s="241" t="n">
        <v>37.31</v>
      </c>
      <c r="L1017" s="242" t="n">
        <v>693363</v>
      </c>
      <c r="M1017" s="241" t="n">
        <v>-3.09</v>
      </c>
      <c r="N1017" s="241" t="n">
        <v>22.19</v>
      </c>
      <c r="O1017" s="241" t="n">
        <v>1.92</v>
      </c>
      <c r="P1017" s="241" t="n">
        <v>1.2</v>
      </c>
    </row>
    <row r="1018">
      <c r="A1018" s="282" t="inlineStr">
        <is>
          <t>2010-03-10</t>
        </is>
      </c>
      <c r="B1018" s="240">
        <f>IFERROR(1/P1018-1,B1017)</f>
        <v/>
      </c>
      <c r="C1018" s="240">
        <f>$C$3</f>
        <v/>
      </c>
      <c r="D1018" s="240">
        <f>$D$3</f>
        <v/>
      </c>
      <c r="E1018" s="240">
        <f>$E$3</f>
        <v/>
      </c>
      <c r="F1018" s="241" t="n">
        <v>44.56</v>
      </c>
      <c r="G1018" s="242" t="n">
        <v>2375672</v>
      </c>
      <c r="H1018" s="241" t="n">
        <v>-0.51</v>
      </c>
      <c r="I1018" s="241" t="n">
        <v>10.93</v>
      </c>
      <c r="J1018" s="241" t="n">
        <v>-1.18</v>
      </c>
      <c r="K1018" s="241" t="n">
        <v>36.9</v>
      </c>
      <c r="L1018" s="242" t="n">
        <v>208150</v>
      </c>
      <c r="M1018" s="241" t="n">
        <v>-1.06</v>
      </c>
      <c r="N1018" s="241" t="n">
        <v>21.42</v>
      </c>
      <c r="O1018" s="241" t="n">
        <v>0.84</v>
      </c>
      <c r="P1018" s="241" t="n">
        <v>1.21</v>
      </c>
    </row>
    <row r="1019">
      <c r="A1019" s="282" t="inlineStr">
        <is>
          <t>2010-03-11</t>
        </is>
      </c>
      <c r="B1019" s="240">
        <f>IFERROR(1/P1019-1,B1018)</f>
        <v/>
      </c>
      <c r="C1019" s="240">
        <f>$C$3</f>
        <v/>
      </c>
      <c r="D1019" s="240">
        <f>$D$3</f>
        <v/>
      </c>
      <c r="E1019" s="240">
        <f>$E$3</f>
        <v/>
      </c>
      <c r="F1019" s="241" t="n">
        <v>44.32</v>
      </c>
      <c r="G1019" s="242" t="n">
        <v>2680219</v>
      </c>
      <c r="H1019" s="241" t="n">
        <v>-0.54</v>
      </c>
      <c r="I1019" s="241" t="n">
        <v>9</v>
      </c>
      <c r="J1019" s="241" t="n">
        <v>-1.71</v>
      </c>
      <c r="K1019" s="241" t="n">
        <v>36.78</v>
      </c>
      <c r="L1019" s="242" t="n">
        <v>503055</v>
      </c>
      <c r="M1019" s="241" t="n">
        <v>-0.36</v>
      </c>
      <c r="N1019" s="241" t="n">
        <v>14.68</v>
      </c>
      <c r="O1019" s="241" t="n">
        <v>0.48</v>
      </c>
      <c r="P1019" s="241" t="n">
        <v>1.21</v>
      </c>
    </row>
    <row r="1020">
      <c r="A1020" s="282" t="inlineStr">
        <is>
          <t>2010-03-12</t>
        </is>
      </c>
      <c r="B1020" s="240">
        <f>IFERROR(1/P1020-1,B1019)</f>
        <v/>
      </c>
      <c r="C1020" s="240">
        <f>$C$3</f>
        <v/>
      </c>
      <c r="D1020" s="240">
        <f>$D$3</f>
        <v/>
      </c>
      <c r="E1020" s="240">
        <f>$E$3</f>
        <v/>
      </c>
      <c r="F1020" s="241" t="n">
        <v>43.2</v>
      </c>
      <c r="G1020" s="242" t="n">
        <v>3271390</v>
      </c>
      <c r="H1020" s="241" t="n">
        <v>-2.53</v>
      </c>
      <c r="I1020" s="241" t="n">
        <v>6.38</v>
      </c>
      <c r="J1020" s="241" t="n">
        <v>-4.19</v>
      </c>
      <c r="K1020" s="241" t="n">
        <v>36.9</v>
      </c>
      <c r="L1020" s="242" t="n">
        <v>359088</v>
      </c>
      <c r="M1020" s="241" t="n">
        <v>0.36</v>
      </c>
      <c r="N1020" s="241" t="n">
        <v>13.38</v>
      </c>
      <c r="O1020" s="241" t="n">
        <v>0.84</v>
      </c>
      <c r="P1020" s="241" t="n">
        <v>1.17</v>
      </c>
    </row>
    <row r="1021">
      <c r="A1021" s="282" t="inlineStr">
        <is>
          <t>2010-03-15</t>
        </is>
      </c>
      <c r="B1021" s="240">
        <f>IFERROR(1/P1021-1,B1020)</f>
        <v/>
      </c>
      <c r="C1021" s="240">
        <f>$C$3</f>
        <v/>
      </c>
      <c r="D1021" s="240">
        <f>$D$3</f>
        <v/>
      </c>
      <c r="E1021" s="240">
        <f>$E$3</f>
        <v/>
      </c>
      <c r="F1021" s="241" t="n">
        <v>42.07</v>
      </c>
      <c r="G1021" s="242" t="n">
        <v>2692501</v>
      </c>
      <c r="H1021" s="241" t="n">
        <v>-2.62</v>
      </c>
      <c r="I1021" s="241" t="n">
        <v>2.61</v>
      </c>
      <c r="J1021" s="241" t="n">
        <v>-6.7</v>
      </c>
      <c r="K1021" s="241" t="n">
        <v>36.25</v>
      </c>
      <c r="L1021" s="242" t="n">
        <v>596198</v>
      </c>
      <c r="M1021" s="241" t="n">
        <v>-1.79</v>
      </c>
      <c r="N1021" s="241" t="n">
        <v>10.75</v>
      </c>
      <c r="O1021" s="241" t="n">
        <v>-0.96</v>
      </c>
      <c r="P1021" s="241" t="n">
        <v>1.16</v>
      </c>
    </row>
    <row r="1022">
      <c r="A1022" s="282" t="inlineStr">
        <is>
          <t>2010-03-16</t>
        </is>
      </c>
      <c r="B1022" s="240">
        <f>IFERROR(1/P1022-1,B1021)</f>
        <v/>
      </c>
      <c r="C1022" s="240">
        <f>$C$3</f>
        <v/>
      </c>
      <c r="D1022" s="240">
        <f>$D$3</f>
        <v/>
      </c>
      <c r="E1022" s="240">
        <f>$E$3</f>
        <v/>
      </c>
      <c r="F1022" s="241" t="n">
        <v>42.46</v>
      </c>
      <c r="G1022" s="242" t="n">
        <v>1646271</v>
      </c>
      <c r="H1022" s="241" t="n">
        <v>0.93</v>
      </c>
      <c r="I1022" s="241" t="n">
        <v>3.56</v>
      </c>
      <c r="J1022" s="241" t="n">
        <v>-5.83</v>
      </c>
      <c r="K1022" s="241" t="n">
        <v>36.95</v>
      </c>
      <c r="L1022" s="242" t="n">
        <v>664777</v>
      </c>
      <c r="M1022" s="241" t="n">
        <v>1.94</v>
      </c>
      <c r="N1022" s="241" t="n">
        <v>12.9</v>
      </c>
      <c r="O1022" s="241" t="n">
        <v>0.96</v>
      </c>
      <c r="P1022" s="241" t="n">
        <v>1.15</v>
      </c>
    </row>
    <row r="1023">
      <c r="A1023" s="282" t="inlineStr">
        <is>
          <t>2010-03-17</t>
        </is>
      </c>
      <c r="B1023" s="240">
        <f>IFERROR(1/P1023-1,B1022)</f>
        <v/>
      </c>
      <c r="C1023" s="240">
        <f>$C$3</f>
        <v/>
      </c>
      <c r="D1023" s="240">
        <f>$D$3</f>
        <v/>
      </c>
      <c r="E1023" s="240">
        <f>$E$3</f>
        <v/>
      </c>
      <c r="F1023" s="241" t="n">
        <v>43.24</v>
      </c>
      <c r="G1023" s="242" t="n">
        <v>1457440</v>
      </c>
      <c r="H1023" s="241" t="n">
        <v>1.84</v>
      </c>
      <c r="I1023" s="241" t="n">
        <v>5.46</v>
      </c>
      <c r="J1023" s="241" t="n">
        <v>-4.1</v>
      </c>
      <c r="K1023" s="241" t="n">
        <v>37.08</v>
      </c>
      <c r="L1023" s="242" t="n">
        <v>570200</v>
      </c>
      <c r="M1023" s="241" t="n">
        <v>0.36</v>
      </c>
      <c r="N1023" s="241" t="n">
        <v>13.31</v>
      </c>
      <c r="O1023" s="241" t="n">
        <v>1.32</v>
      </c>
      <c r="P1023" s="241" t="n">
        <v>1.17</v>
      </c>
    </row>
    <row r="1024">
      <c r="A1024" s="282" t="inlineStr">
        <is>
          <t>2010-03-18</t>
        </is>
      </c>
      <c r="B1024" s="240">
        <f>IFERROR(1/P1024-1,B1023)</f>
        <v/>
      </c>
      <c r="C1024" s="240">
        <f>$C$3</f>
        <v/>
      </c>
      <c r="D1024" s="240">
        <f>$D$3</f>
        <v/>
      </c>
      <c r="E1024" s="240">
        <f>$E$3</f>
        <v/>
      </c>
      <c r="F1024" s="241" t="n">
        <v>43.21</v>
      </c>
      <c r="G1024" s="242" t="n">
        <v>1888065</v>
      </c>
      <c r="H1024" s="241" t="n">
        <v>-0.07000000000000001</v>
      </c>
      <c r="I1024" s="241" t="n">
        <v>5.39</v>
      </c>
      <c r="J1024" s="241" t="n">
        <v>-4.17</v>
      </c>
      <c r="K1024" s="241" t="n">
        <v>37.42</v>
      </c>
      <c r="L1024" s="242" t="n">
        <v>507400</v>
      </c>
      <c r="M1024" s="241" t="n">
        <v>0.95</v>
      </c>
      <c r="N1024" s="241" t="n">
        <v>14.69</v>
      </c>
      <c r="O1024" s="241" t="n">
        <v>2.28</v>
      </c>
      <c r="P1024" s="241" t="n">
        <v>1.15</v>
      </c>
    </row>
    <row r="1025">
      <c r="A1025" s="282" t="inlineStr">
        <is>
          <t>2010-03-19</t>
        </is>
      </c>
      <c r="B1025" s="240">
        <f>IFERROR(1/P1025-1,B1024)</f>
        <v/>
      </c>
      <c r="C1025" s="240">
        <f>$C$3</f>
        <v/>
      </c>
      <c r="D1025" s="240">
        <f>$D$3</f>
        <v/>
      </c>
      <c r="E1025" s="240">
        <f>$E$3</f>
        <v/>
      </c>
      <c r="F1025" s="241" t="n">
        <v>43.59</v>
      </c>
      <c r="G1025" s="242" t="n">
        <v>2887370</v>
      </c>
      <c r="H1025" s="241" t="n">
        <v>0.88</v>
      </c>
      <c r="I1025" s="241" t="n">
        <v>6.32</v>
      </c>
      <c r="J1025" s="241" t="n">
        <v>-3.33</v>
      </c>
      <c r="K1025" s="241" t="n">
        <v>36.94</v>
      </c>
      <c r="L1025" s="242" t="n">
        <v>330685</v>
      </c>
      <c r="M1025" s="241" t="n">
        <v>-1.29</v>
      </c>
      <c r="N1025" s="241" t="n">
        <v>13.82</v>
      </c>
      <c r="O1025" s="241" t="n">
        <v>0.96</v>
      </c>
      <c r="P1025" s="241" t="n">
        <v>1.18</v>
      </c>
    </row>
    <row r="1026">
      <c r="A1026" s="282" t="inlineStr">
        <is>
          <t>2010-03-22</t>
        </is>
      </c>
      <c r="B1026" s="240">
        <f>IFERROR(1/P1026-1,B1025)</f>
        <v/>
      </c>
      <c r="C1026" s="240">
        <f>$C$3</f>
        <v/>
      </c>
      <c r="D1026" s="240">
        <f>$D$3</f>
        <v/>
      </c>
      <c r="E1026" s="240">
        <f>$E$3</f>
        <v/>
      </c>
      <c r="F1026" s="241" t="n">
        <v>43.8</v>
      </c>
      <c r="G1026" s="242" t="n">
        <v>2898558</v>
      </c>
      <c r="H1026" s="241" t="n">
        <v>0.48</v>
      </c>
      <c r="I1026" s="241" t="n">
        <v>6.83</v>
      </c>
      <c r="J1026" s="241" t="n">
        <v>-2.86</v>
      </c>
      <c r="K1026" s="241" t="n">
        <v>36.95</v>
      </c>
      <c r="L1026" s="242" t="n">
        <v>430737</v>
      </c>
      <c r="M1026" s="241" t="n">
        <v>0</v>
      </c>
      <c r="N1026" s="241" t="n">
        <v>19.32</v>
      </c>
      <c r="O1026" s="241" t="n">
        <v>0.96</v>
      </c>
      <c r="P1026" s="241" t="n">
        <v>1.19</v>
      </c>
    </row>
    <row r="1027">
      <c r="A1027" s="282" t="inlineStr">
        <is>
          <t>2010-03-23</t>
        </is>
      </c>
      <c r="B1027" s="240">
        <f>IFERROR(1/P1027-1,B1026)</f>
        <v/>
      </c>
      <c r="C1027" s="240">
        <f>$C$3</f>
        <v/>
      </c>
      <c r="D1027" s="240">
        <f>$D$3</f>
        <v/>
      </c>
      <c r="E1027" s="240">
        <f>$E$3</f>
        <v/>
      </c>
      <c r="F1027" s="241" t="n">
        <v>43.99</v>
      </c>
      <c r="G1027" s="242" t="n">
        <v>3313277</v>
      </c>
      <c r="H1027" s="241" t="n">
        <v>0.43</v>
      </c>
      <c r="I1027" s="241" t="n">
        <v>4.24</v>
      </c>
      <c r="J1027" s="241" t="n">
        <v>-2.44</v>
      </c>
      <c r="K1027" s="241" t="n">
        <v>37.47</v>
      </c>
      <c r="L1027" s="242" t="n">
        <v>378000</v>
      </c>
      <c r="M1027" s="241" t="n">
        <v>1.43</v>
      </c>
      <c r="N1027" s="241" t="n">
        <v>14.21</v>
      </c>
      <c r="O1027" s="241" t="n">
        <v>2.4</v>
      </c>
      <c r="P1027" s="241" t="n">
        <v>1.17</v>
      </c>
    </row>
    <row r="1028">
      <c r="A1028" s="282" t="inlineStr">
        <is>
          <t>2010-03-24</t>
        </is>
      </c>
      <c r="B1028" s="240">
        <f>IFERROR(1/P1028-1,B1027)</f>
        <v/>
      </c>
      <c r="C1028" s="240">
        <f>$C$3</f>
        <v/>
      </c>
      <c r="D1028" s="240">
        <f>$D$3</f>
        <v/>
      </c>
      <c r="E1028" s="240">
        <f>$E$3</f>
        <v/>
      </c>
      <c r="F1028" s="241" t="n">
        <v>44.24</v>
      </c>
      <c r="G1028" s="242" t="n">
        <v>1783115</v>
      </c>
      <c r="H1028" s="241" t="n">
        <v>0.57</v>
      </c>
      <c r="I1028" s="241" t="n">
        <v>3.61</v>
      </c>
      <c r="J1028" s="241" t="n">
        <v>-1.89</v>
      </c>
      <c r="K1028" s="241" t="n">
        <v>37.73</v>
      </c>
      <c r="L1028" s="242" t="n">
        <v>355800</v>
      </c>
      <c r="M1028" s="241" t="n">
        <v>0.7</v>
      </c>
      <c r="N1028" s="241" t="n">
        <v>13.49</v>
      </c>
      <c r="O1028" s="241" t="n">
        <v>3.13</v>
      </c>
      <c r="P1028" s="241" t="n">
        <v>1.17</v>
      </c>
    </row>
    <row r="1029">
      <c r="A1029" s="282" t="inlineStr">
        <is>
          <t>2010-03-25</t>
        </is>
      </c>
      <c r="B1029" s="240">
        <f>IFERROR(1/P1029-1,B1028)</f>
        <v/>
      </c>
      <c r="C1029" s="240">
        <f>$C$3</f>
        <v/>
      </c>
      <c r="D1029" s="240">
        <f>$D$3</f>
        <v/>
      </c>
      <c r="E1029" s="240">
        <f>$E$3</f>
        <v/>
      </c>
      <c r="F1029" s="241" t="n">
        <v>43.3</v>
      </c>
      <c r="G1029" s="242" t="n">
        <v>3249811</v>
      </c>
      <c r="H1029" s="241" t="n">
        <v>-2.12</v>
      </c>
      <c r="I1029" s="241" t="n">
        <v>1.57</v>
      </c>
      <c r="J1029" s="241" t="n">
        <v>-3.97</v>
      </c>
      <c r="K1029" s="241" t="n">
        <v>37.82</v>
      </c>
      <c r="L1029" s="242" t="n">
        <v>498972</v>
      </c>
      <c r="M1029" s="241" t="n">
        <v>0.23</v>
      </c>
      <c r="N1029" s="241" t="n">
        <v>11.98</v>
      </c>
      <c r="O1029" s="241" t="n">
        <v>3.37</v>
      </c>
      <c r="P1029" s="241" t="n">
        <v>1.14</v>
      </c>
    </row>
    <row r="1030">
      <c r="A1030" s="282" t="inlineStr">
        <is>
          <t>2010-03-26</t>
        </is>
      </c>
      <c r="B1030" s="240">
        <f>IFERROR(1/P1030-1,B1029)</f>
        <v/>
      </c>
      <c r="C1030" s="240">
        <f>$C$3</f>
        <v/>
      </c>
      <c r="D1030" s="240">
        <f>$D$3</f>
        <v/>
      </c>
      <c r="E1030" s="240">
        <f>$E$3</f>
        <v/>
      </c>
      <c r="F1030" s="241" t="n">
        <v>43.64</v>
      </c>
      <c r="G1030" s="242" t="n">
        <v>2579982</v>
      </c>
      <c r="H1030" s="241" t="n">
        <v>0.79</v>
      </c>
      <c r="I1030" s="241" t="n">
        <v>1.82</v>
      </c>
      <c r="J1030" s="241" t="n">
        <v>-3.22</v>
      </c>
      <c r="K1030" s="241" t="n">
        <v>38.39</v>
      </c>
      <c r="L1030" s="242" t="n">
        <v>601839</v>
      </c>
      <c r="M1030" s="241" t="n">
        <v>1.51</v>
      </c>
      <c r="N1030" s="241" t="n">
        <v>14.12</v>
      </c>
      <c r="O1030" s="241" t="n">
        <v>4.93</v>
      </c>
      <c r="P1030" s="241" t="n">
        <v>1.14</v>
      </c>
    </row>
    <row r="1031">
      <c r="A1031" s="282" t="inlineStr">
        <is>
          <t>2010-03-29</t>
        </is>
      </c>
      <c r="B1031" s="240">
        <f>IFERROR(1/P1031-1,B1030)</f>
        <v/>
      </c>
      <c r="C1031" s="240">
        <f>$C$3</f>
        <v/>
      </c>
      <c r="D1031" s="240">
        <f>$D$3</f>
        <v/>
      </c>
      <c r="E1031" s="240">
        <f>$E$3</f>
        <v/>
      </c>
      <c r="F1031" s="241" t="n">
        <v>44.37</v>
      </c>
      <c r="G1031" s="242" t="n">
        <v>5989204</v>
      </c>
      <c r="H1031" s="241" t="n">
        <v>1.67</v>
      </c>
      <c r="I1031" s="241" t="n">
        <v>4.38</v>
      </c>
      <c r="J1031" s="241" t="n">
        <v>-1.6</v>
      </c>
      <c r="K1031" s="241" t="n">
        <v>38.82</v>
      </c>
      <c r="L1031" s="242" t="n">
        <v>850800</v>
      </c>
      <c r="M1031" s="241" t="n">
        <v>1.15</v>
      </c>
      <c r="N1031" s="241" t="n">
        <v>13.21</v>
      </c>
      <c r="O1031" s="241" t="n">
        <v>6.13</v>
      </c>
      <c r="P1031" s="241" t="n">
        <v>1.14</v>
      </c>
    </row>
    <row r="1032">
      <c r="A1032" s="282" t="inlineStr">
        <is>
          <t>2010-03-30</t>
        </is>
      </c>
      <c r="B1032" s="240">
        <f>IFERROR(1/P1032-1,B1031)</f>
        <v/>
      </c>
      <c r="C1032" s="240">
        <f>$C$3</f>
        <v/>
      </c>
      <c r="D1032" s="240">
        <f>$D$3</f>
        <v/>
      </c>
      <c r="E1032" s="240">
        <f>$E$3</f>
        <v/>
      </c>
      <c r="F1032" s="241" t="n">
        <v>44</v>
      </c>
      <c r="G1032" s="242" t="n">
        <v>4890138</v>
      </c>
      <c r="H1032" s="241" t="n">
        <v>-0.83</v>
      </c>
      <c r="I1032" s="241" t="n">
        <v>3.51</v>
      </c>
      <c r="J1032" s="241" t="n">
        <v>-2.42</v>
      </c>
      <c r="K1032" s="241" t="n">
        <v>38.6</v>
      </c>
      <c r="L1032" s="242" t="n">
        <v>986800</v>
      </c>
      <c r="M1032" s="241" t="n">
        <v>-0.57</v>
      </c>
      <c r="N1032" s="241" t="n">
        <v>12.56</v>
      </c>
      <c r="O1032" s="241" t="n">
        <v>5.53</v>
      </c>
      <c r="P1032" s="241" t="n">
        <v>1.14</v>
      </c>
    </row>
    <row r="1033">
      <c r="A1033" s="282" t="inlineStr">
        <is>
          <t>2010-03-31</t>
        </is>
      </c>
      <c r="B1033" s="240">
        <f>IFERROR(1/P1033-1,B1032)</f>
        <v/>
      </c>
      <c r="C1033" s="240">
        <f>$C$3</f>
        <v/>
      </c>
      <c r="D1033" s="240">
        <f>$D$3</f>
        <v/>
      </c>
      <c r="E1033" s="240">
        <f>$E$3</f>
        <v/>
      </c>
      <c r="F1033" s="241" t="n">
        <v>44.45</v>
      </c>
      <c r="G1033" s="242" t="n">
        <v>2894877</v>
      </c>
      <c r="H1033" s="241" t="n">
        <v>1.02</v>
      </c>
      <c r="I1033" s="241" t="n">
        <v>4.56</v>
      </c>
      <c r="J1033" s="241" t="n">
        <v>-1.42</v>
      </c>
      <c r="K1033" s="241" t="n">
        <v>38.86</v>
      </c>
      <c r="L1033" s="242" t="n">
        <v>286758</v>
      </c>
      <c r="M1033" s="241" t="n">
        <v>0.68</v>
      </c>
      <c r="N1033" s="241" t="n">
        <v>13.33</v>
      </c>
      <c r="O1033" s="241" t="n">
        <v>6.25</v>
      </c>
      <c r="P1033" s="241" t="n">
        <v>1.14</v>
      </c>
    </row>
    <row r="1034">
      <c r="A1034" s="282" t="inlineStr">
        <is>
          <t>2010-04-01</t>
        </is>
      </c>
      <c r="B1034" s="240">
        <f>IFERROR(1/P1034-1,B1033)</f>
        <v/>
      </c>
      <c r="C1034" s="240">
        <f>$C$3</f>
        <v/>
      </c>
      <c r="D1034" s="240">
        <f>$D$3</f>
        <v/>
      </c>
      <c r="E1034" s="240">
        <f>$E$3</f>
        <v/>
      </c>
      <c r="F1034" s="241" t="n">
        <v>46.07</v>
      </c>
      <c r="G1034" s="242" t="n">
        <v>10420306</v>
      </c>
      <c r="H1034" s="241" t="n">
        <v>3.64</v>
      </c>
      <c r="I1034" s="241" t="n">
        <v>8.369999999999999</v>
      </c>
      <c r="J1034" s="241" t="n">
        <v>2.17</v>
      </c>
      <c r="K1034" s="241" t="n">
        <v>38.33</v>
      </c>
      <c r="L1034" s="242" t="n">
        <v>878982</v>
      </c>
      <c r="M1034" s="241" t="n">
        <v>-1.36</v>
      </c>
      <c r="N1034" s="241" t="n">
        <v>11.79</v>
      </c>
      <c r="O1034" s="241" t="n">
        <v>4.81</v>
      </c>
      <c r="P1034" s="241" t="n">
        <v>1.2</v>
      </c>
    </row>
    <row r="1035">
      <c r="A1035" s="282" t="inlineStr">
        <is>
          <t>2010-04-02</t>
        </is>
      </c>
      <c r="B1035" s="240">
        <f>IFERROR(1/P1035-1,B1034)</f>
        <v/>
      </c>
      <c r="C1035" s="240">
        <f>$C$3</f>
        <v/>
      </c>
      <c r="D1035" s="240">
        <f>$D$3</f>
        <v/>
      </c>
      <c r="E1035" s="240">
        <f>$E$3</f>
        <v/>
      </c>
      <c r="F1035" s="241" t="n">
        <v>46.05</v>
      </c>
      <c r="G1035" s="242" t="n">
        <v>6847168</v>
      </c>
      <c r="H1035" s="241" t="n">
        <v>-0.04</v>
      </c>
      <c r="I1035" s="241" t="n">
        <v>8.460000000000001</v>
      </c>
      <c r="J1035" s="241" t="n">
        <v>2.13</v>
      </c>
      <c r="K1035" s="239" t="inlineStr">
        <is>
          <t>--</t>
        </is>
      </c>
      <c r="L1035" s="239" t="inlineStr">
        <is>
          <t>--</t>
        </is>
      </c>
      <c r="M1035" s="239" t="inlineStr">
        <is>
          <t>--</t>
        </is>
      </c>
      <c r="N1035" s="239" t="inlineStr">
        <is>
          <t>--</t>
        </is>
      </c>
      <c r="O1035" s="239" t="inlineStr">
        <is>
          <t>--</t>
        </is>
      </c>
      <c r="P1035" s="239" t="inlineStr">
        <is>
          <t>--</t>
        </is>
      </c>
    </row>
    <row r="1036">
      <c r="A1036" s="282" t="inlineStr">
        <is>
          <t>2010-04-06</t>
        </is>
      </c>
      <c r="B1036" s="240">
        <f>IFERROR(1/P1036-1,B1035)</f>
        <v/>
      </c>
      <c r="C1036" s="240">
        <f>$C$3</f>
        <v/>
      </c>
      <c r="D1036" s="240">
        <f>$D$3</f>
        <v/>
      </c>
      <c r="E1036" s="240">
        <f>$E$3</f>
        <v/>
      </c>
      <c r="F1036" s="241" t="n">
        <v>45.6</v>
      </c>
      <c r="G1036" s="242" t="n">
        <v>4741444</v>
      </c>
      <c r="H1036" s="241" t="n">
        <v>-0.98</v>
      </c>
      <c r="I1036" s="241" t="n">
        <v>1.9</v>
      </c>
      <c r="J1036" s="241" t="n">
        <v>1.13</v>
      </c>
      <c r="K1036" s="239" t="inlineStr">
        <is>
          <t>--</t>
        </is>
      </c>
      <c r="L1036" s="239" t="inlineStr">
        <is>
          <t>--</t>
        </is>
      </c>
      <c r="M1036" s="239" t="inlineStr">
        <is>
          <t>--</t>
        </is>
      </c>
      <c r="N1036" s="239" t="inlineStr">
        <is>
          <t>--</t>
        </is>
      </c>
      <c r="O1036" s="239" t="inlineStr">
        <is>
          <t>--</t>
        </is>
      </c>
      <c r="P1036" s="239" t="inlineStr">
        <is>
          <t>--</t>
        </is>
      </c>
    </row>
    <row r="1037">
      <c r="A1037" s="282" t="inlineStr">
        <is>
          <t>2010-04-07</t>
        </is>
      </c>
      <c r="B1037" s="240">
        <f>IFERROR(1/P1037-1,B1036)</f>
        <v/>
      </c>
      <c r="C1037" s="240">
        <f>$C$3</f>
        <v/>
      </c>
      <c r="D1037" s="240">
        <f>$D$3</f>
        <v/>
      </c>
      <c r="E1037" s="240">
        <f>$E$3</f>
        <v/>
      </c>
      <c r="F1037" s="241" t="n">
        <v>47.02</v>
      </c>
      <c r="G1037" s="242" t="n">
        <v>9733473</v>
      </c>
      <c r="H1037" s="241" t="n">
        <v>3.11</v>
      </c>
      <c r="I1037" s="241" t="n">
        <v>5.07</v>
      </c>
      <c r="J1037" s="241" t="n">
        <v>4.28</v>
      </c>
      <c r="K1037" s="241" t="n">
        <v>42.99</v>
      </c>
      <c r="L1037" s="242" t="n">
        <v>2270410</v>
      </c>
      <c r="M1037" s="241" t="n">
        <v>12.16</v>
      </c>
      <c r="N1037" s="241" t="n">
        <v>15.06</v>
      </c>
      <c r="O1037" s="241" t="n">
        <v>17.55</v>
      </c>
      <c r="P1037" s="241" t="n">
        <v>1.09</v>
      </c>
    </row>
    <row r="1038">
      <c r="A1038" s="282" t="inlineStr">
        <is>
          <t>2010-04-08</t>
        </is>
      </c>
      <c r="B1038" s="240">
        <f>IFERROR(1/P1038-1,B1037)</f>
        <v/>
      </c>
      <c r="C1038" s="240">
        <f>$C$3</f>
        <v/>
      </c>
      <c r="D1038" s="240">
        <f>$D$3</f>
        <v/>
      </c>
      <c r="E1038" s="240">
        <f>$E$3</f>
        <v/>
      </c>
      <c r="F1038" s="241" t="n">
        <v>47.01</v>
      </c>
      <c r="G1038" s="242" t="n">
        <v>11047593</v>
      </c>
      <c r="H1038" s="241" t="n">
        <v>-0.02</v>
      </c>
      <c r="I1038" s="241" t="n">
        <v>5.05</v>
      </c>
      <c r="J1038" s="241" t="n">
        <v>4.26</v>
      </c>
      <c r="K1038" s="241" t="n">
        <v>42.43</v>
      </c>
      <c r="L1038" s="242" t="n">
        <v>1487600</v>
      </c>
      <c r="M1038" s="241" t="n">
        <v>-1.33</v>
      </c>
      <c r="N1038" s="241" t="n">
        <v>13.53</v>
      </c>
      <c r="O1038" s="241" t="n">
        <v>15.99</v>
      </c>
      <c r="P1038" s="241" t="n">
        <v>1.11</v>
      </c>
    </row>
    <row r="1039">
      <c r="A1039" s="282" t="inlineStr">
        <is>
          <t>2010-04-09</t>
        </is>
      </c>
      <c r="B1039" s="240">
        <f>IFERROR(1/P1039-1,B1038)</f>
        <v/>
      </c>
      <c r="C1039" s="240">
        <f>$C$3</f>
        <v/>
      </c>
      <c r="D1039" s="240">
        <f>$D$3</f>
        <v/>
      </c>
      <c r="E1039" s="240">
        <f>$E$3</f>
        <v/>
      </c>
      <c r="F1039" s="241" t="n">
        <v>48</v>
      </c>
      <c r="G1039" s="242" t="n">
        <v>5276243</v>
      </c>
      <c r="H1039" s="241" t="n">
        <v>2.11</v>
      </c>
      <c r="I1039" s="241" t="n">
        <v>4.8</v>
      </c>
      <c r="J1039" s="241" t="n">
        <v>6.45</v>
      </c>
      <c r="K1039" s="241" t="n">
        <v>42.01</v>
      </c>
      <c r="L1039" s="242" t="n">
        <v>855967</v>
      </c>
      <c r="M1039" s="241" t="n">
        <v>-1.04</v>
      </c>
      <c r="N1039" s="241" t="n">
        <v>9.140000000000001</v>
      </c>
      <c r="O1039" s="241" t="n">
        <v>14.78</v>
      </c>
      <c r="P1039" s="241" t="n">
        <v>1.14</v>
      </c>
    </row>
    <row r="1040">
      <c r="A1040" s="282" t="inlineStr">
        <is>
          <t>2010-04-12</t>
        </is>
      </c>
      <c r="B1040" s="240">
        <f>IFERROR(1/P1040-1,B1039)</f>
        <v/>
      </c>
      <c r="C1040" s="240">
        <f>$C$3</f>
        <v/>
      </c>
      <c r="D1040" s="240">
        <f>$D$3</f>
        <v/>
      </c>
      <c r="E1040" s="240">
        <f>$E$3</f>
        <v/>
      </c>
      <c r="F1040" s="241" t="n">
        <v>48.91</v>
      </c>
      <c r="G1040" s="242" t="n">
        <v>10884467</v>
      </c>
      <c r="H1040" s="241" t="n">
        <v>1.9</v>
      </c>
      <c r="I1040" s="241" t="n">
        <v>10.36</v>
      </c>
      <c r="J1040" s="241" t="n">
        <v>8.470000000000001</v>
      </c>
      <c r="K1040" s="241" t="n">
        <v>41.18</v>
      </c>
      <c r="L1040" s="242" t="n">
        <v>641426</v>
      </c>
      <c r="M1040" s="241" t="n">
        <v>-1.99</v>
      </c>
      <c r="N1040" s="241" t="n">
        <v>11.96</v>
      </c>
      <c r="O1040" s="241" t="n">
        <v>12.5</v>
      </c>
      <c r="P1040" s="241" t="n">
        <v>1.19</v>
      </c>
    </row>
    <row r="1041">
      <c r="A1041" s="282" t="inlineStr">
        <is>
          <t>2010-04-13</t>
        </is>
      </c>
      <c r="B1041" s="240">
        <f>IFERROR(1/P1041-1,B1040)</f>
        <v/>
      </c>
      <c r="C1041" s="240">
        <f>$C$3</f>
        <v/>
      </c>
      <c r="D1041" s="240">
        <f>$D$3</f>
        <v/>
      </c>
      <c r="E1041" s="240">
        <f>$E$3</f>
        <v/>
      </c>
      <c r="F1041" s="241" t="n">
        <v>49.06</v>
      </c>
      <c r="G1041" s="242" t="n">
        <v>8483724</v>
      </c>
      <c r="H1041" s="241" t="n">
        <v>0.31</v>
      </c>
      <c r="I1041" s="241" t="n">
        <v>13.56</v>
      </c>
      <c r="J1041" s="241" t="n">
        <v>8.800000000000001</v>
      </c>
      <c r="K1041" s="241" t="n">
        <v>41.38</v>
      </c>
      <c r="L1041" s="242" t="n">
        <v>642800</v>
      </c>
      <c r="M1041" s="241" t="n">
        <v>0.53</v>
      </c>
      <c r="N1041" s="241" t="n">
        <v>12.16</v>
      </c>
      <c r="O1041" s="241" t="n">
        <v>13.1</v>
      </c>
      <c r="P1041" s="241" t="n">
        <v>1.19</v>
      </c>
    </row>
    <row r="1042">
      <c r="A1042" s="282" t="inlineStr">
        <is>
          <t>2010-04-14</t>
        </is>
      </c>
      <c r="B1042" s="240">
        <f>IFERROR(1/P1042-1,B1041)</f>
        <v/>
      </c>
      <c r="C1042" s="240">
        <f>$C$3</f>
        <v/>
      </c>
      <c r="D1042" s="240">
        <f>$D$3</f>
        <v/>
      </c>
      <c r="E1042" s="240">
        <f>$E$3</f>
        <v/>
      </c>
      <c r="F1042" s="241" t="n">
        <v>48.63</v>
      </c>
      <c r="G1042" s="242" t="n">
        <v>4406618</v>
      </c>
      <c r="H1042" s="241" t="n">
        <v>-0.88</v>
      </c>
      <c r="I1042" s="241" t="n">
        <v>12.57</v>
      </c>
      <c r="J1042" s="241" t="n">
        <v>7.85</v>
      </c>
      <c r="K1042" s="241" t="n">
        <v>42.76</v>
      </c>
      <c r="L1042" s="242" t="n">
        <v>1162418</v>
      </c>
      <c r="M1042" s="241" t="n">
        <v>3.29</v>
      </c>
      <c r="N1042" s="241" t="n">
        <v>15.85</v>
      </c>
      <c r="O1042" s="241" t="n">
        <v>16.83</v>
      </c>
      <c r="P1042" s="241" t="n">
        <v>1.14</v>
      </c>
    </row>
    <row r="1043">
      <c r="A1043" s="282" t="inlineStr">
        <is>
          <t>2010-04-15</t>
        </is>
      </c>
      <c r="B1043" s="240">
        <f>IFERROR(1/P1043-1,B1042)</f>
        <v/>
      </c>
      <c r="C1043" s="240">
        <f>$C$3</f>
        <v/>
      </c>
      <c r="D1043" s="240">
        <f>$D$3</f>
        <v/>
      </c>
      <c r="E1043" s="240">
        <f>$E$3</f>
        <v/>
      </c>
      <c r="F1043" s="241" t="n">
        <v>47.58</v>
      </c>
      <c r="G1043" s="242" t="n">
        <v>4895487</v>
      </c>
      <c r="H1043" s="241" t="n">
        <v>-2.16</v>
      </c>
      <c r="I1043" s="241" t="n">
        <v>10.14</v>
      </c>
      <c r="J1043" s="241" t="n">
        <v>5.52</v>
      </c>
      <c r="K1043" s="241" t="n">
        <v>42.22</v>
      </c>
      <c r="L1043" s="242" t="n">
        <v>719610</v>
      </c>
      <c r="M1043" s="241" t="n">
        <v>-1.23</v>
      </c>
      <c r="N1043" s="241" t="n">
        <v>14.42</v>
      </c>
      <c r="O1043" s="241" t="n">
        <v>15.38</v>
      </c>
      <c r="P1043" s="241" t="n">
        <v>1.13</v>
      </c>
    </row>
    <row r="1044">
      <c r="A1044" s="282" t="inlineStr">
        <is>
          <t>2010-04-16</t>
        </is>
      </c>
      <c r="B1044" s="240">
        <f>IFERROR(1/P1044-1,B1043)</f>
        <v/>
      </c>
      <c r="C1044" s="240">
        <f>$C$3</f>
        <v/>
      </c>
      <c r="D1044" s="240">
        <f>$D$3</f>
        <v/>
      </c>
      <c r="E1044" s="240">
        <f>$E$3</f>
        <v/>
      </c>
      <c r="F1044" s="241" t="n">
        <v>48.19</v>
      </c>
      <c r="G1044" s="242" t="n">
        <v>17774490</v>
      </c>
      <c r="H1044" s="241" t="n">
        <v>1.28</v>
      </c>
      <c r="I1044" s="241" t="n">
        <v>14.55</v>
      </c>
      <c r="J1044" s="241" t="n">
        <v>6.88</v>
      </c>
      <c r="K1044" s="241" t="n">
        <v>43.76</v>
      </c>
      <c r="L1044" s="242" t="n">
        <v>2835600</v>
      </c>
      <c r="M1044" s="241" t="n">
        <v>3.65</v>
      </c>
      <c r="N1044" s="241" t="n">
        <v>20.75</v>
      </c>
      <c r="O1044" s="241" t="n">
        <v>19.59</v>
      </c>
      <c r="P1044" s="241" t="n">
        <v>1.1</v>
      </c>
    </row>
    <row r="1045">
      <c r="A1045" s="282" t="inlineStr">
        <is>
          <t>2010-04-19</t>
        </is>
      </c>
      <c r="B1045" s="240">
        <f>IFERROR(1/P1045-1,B1044)</f>
        <v/>
      </c>
      <c r="C1045" s="240">
        <f>$C$3</f>
        <v/>
      </c>
      <c r="D1045" s="240">
        <f>$D$3</f>
        <v/>
      </c>
      <c r="E1045" s="240">
        <f>$E$3</f>
        <v/>
      </c>
      <c r="F1045" s="241" t="n">
        <v>46.87</v>
      </c>
      <c r="G1045" s="242" t="n">
        <v>9325735</v>
      </c>
      <c r="H1045" s="241" t="n">
        <v>-2.74</v>
      </c>
      <c r="I1045" s="241" t="n">
        <v>8.470000000000001</v>
      </c>
      <c r="J1045" s="241" t="n">
        <v>3.95</v>
      </c>
      <c r="K1045" s="241" t="n">
        <v>41.77</v>
      </c>
      <c r="L1045" s="242" t="n">
        <v>1328556</v>
      </c>
      <c r="M1045" s="241" t="n">
        <v>-4.52</v>
      </c>
      <c r="N1045" s="241" t="n">
        <v>11.63</v>
      </c>
      <c r="O1045" s="241" t="n">
        <v>14.18</v>
      </c>
      <c r="P1045" s="241" t="n">
        <v>1.12</v>
      </c>
    </row>
    <row r="1046">
      <c r="A1046" s="282" t="inlineStr">
        <is>
          <t>2010-04-20</t>
        </is>
      </c>
      <c r="B1046" s="240">
        <f>IFERROR(1/P1046-1,B1045)</f>
        <v/>
      </c>
      <c r="C1046" s="240">
        <f>$C$3</f>
        <v/>
      </c>
      <c r="D1046" s="240">
        <f>$D$3</f>
        <v/>
      </c>
      <c r="E1046" s="240">
        <f>$E$3</f>
        <v/>
      </c>
      <c r="F1046" s="241" t="n">
        <v>48.21</v>
      </c>
      <c r="G1046" s="242" t="n">
        <v>6687703</v>
      </c>
      <c r="H1046" s="241" t="n">
        <v>2.86</v>
      </c>
      <c r="I1046" s="241" t="n">
        <v>10.6</v>
      </c>
      <c r="J1046" s="241" t="n">
        <v>6.92</v>
      </c>
      <c r="K1046" s="241" t="n">
        <v>40.36</v>
      </c>
      <c r="L1046" s="242" t="n">
        <v>1305000</v>
      </c>
      <c r="M1046" s="241" t="n">
        <v>-3.37</v>
      </c>
      <c r="N1046" s="241" t="n">
        <v>9.289999999999999</v>
      </c>
      <c r="O1046" s="241" t="n">
        <v>10.34</v>
      </c>
      <c r="P1046" s="241" t="n">
        <v>1.19</v>
      </c>
    </row>
    <row r="1047">
      <c r="A1047" s="282" t="inlineStr">
        <is>
          <t>2010-04-21</t>
        </is>
      </c>
      <c r="B1047" s="240">
        <f>IFERROR(1/P1047-1,B1046)</f>
        <v/>
      </c>
      <c r="C1047" s="240">
        <f>$C$3</f>
        <v/>
      </c>
      <c r="D1047" s="240">
        <f>$D$3</f>
        <v/>
      </c>
      <c r="E1047" s="240">
        <f>$E$3</f>
        <v/>
      </c>
      <c r="F1047" s="241" t="n">
        <v>49.8</v>
      </c>
      <c r="G1047" s="242" t="n">
        <v>11752104</v>
      </c>
      <c r="H1047" s="241" t="n">
        <v>3.3</v>
      </c>
      <c r="I1047" s="241" t="n">
        <v>14.25</v>
      </c>
      <c r="J1047" s="241" t="n">
        <v>10.45</v>
      </c>
      <c r="K1047" s="241" t="n">
        <v>42.12</v>
      </c>
      <c r="L1047" s="242" t="n">
        <v>1845600</v>
      </c>
      <c r="M1047" s="241" t="n">
        <v>4.36</v>
      </c>
      <c r="N1047" s="241" t="n">
        <v>14.05</v>
      </c>
      <c r="O1047" s="241" t="n">
        <v>15.14</v>
      </c>
      <c r="P1047" s="241" t="n">
        <v>1.18</v>
      </c>
    </row>
    <row r="1048">
      <c r="A1048" s="282" t="inlineStr">
        <is>
          <t>2010-04-22</t>
        </is>
      </c>
      <c r="B1048" s="240">
        <f>IFERROR(1/P1048-1,B1047)</f>
        <v/>
      </c>
      <c r="C1048" s="240">
        <f>$C$3</f>
        <v/>
      </c>
      <c r="D1048" s="240">
        <f>$D$3</f>
        <v/>
      </c>
      <c r="E1048" s="240">
        <f>$E$3</f>
        <v/>
      </c>
      <c r="F1048" s="241" t="n">
        <v>51.38</v>
      </c>
      <c r="G1048" s="242" t="n">
        <v>11364160</v>
      </c>
      <c r="H1048" s="241" t="n">
        <v>3.17</v>
      </c>
      <c r="I1048" s="241" t="n">
        <v>17.87</v>
      </c>
      <c r="J1048" s="241" t="n">
        <v>13.95</v>
      </c>
      <c r="K1048" s="241" t="n">
        <v>42.82</v>
      </c>
      <c r="L1048" s="242" t="n">
        <v>1334800</v>
      </c>
      <c r="M1048" s="241" t="n">
        <v>1.67</v>
      </c>
      <c r="N1048" s="241" t="n">
        <v>15.95</v>
      </c>
      <c r="O1048" s="241" t="n">
        <v>17.07</v>
      </c>
      <c r="P1048" s="241" t="n">
        <v>1.2</v>
      </c>
    </row>
    <row r="1049">
      <c r="A1049" s="282" t="inlineStr">
        <is>
          <t>2010-04-23</t>
        </is>
      </c>
      <c r="B1049" s="240">
        <f>IFERROR(1/P1049-1,B1048)</f>
        <v/>
      </c>
      <c r="C1049" s="240">
        <f>$C$3</f>
        <v/>
      </c>
      <c r="D1049" s="240">
        <f>$D$3</f>
        <v/>
      </c>
      <c r="E1049" s="240">
        <f>$E$3</f>
        <v/>
      </c>
      <c r="F1049" s="241" t="n">
        <v>50.43</v>
      </c>
      <c r="G1049" s="242" t="n">
        <v>8541702</v>
      </c>
      <c r="H1049" s="241" t="n">
        <v>-1.85</v>
      </c>
      <c r="I1049" s="241" t="n">
        <v>15.14</v>
      </c>
      <c r="J1049" s="241" t="n">
        <v>11.84</v>
      </c>
      <c r="K1049" s="241" t="n">
        <v>42.7</v>
      </c>
      <c r="L1049" s="242" t="n">
        <v>1121200</v>
      </c>
      <c r="M1049" s="241" t="n">
        <v>-0.31</v>
      </c>
      <c r="N1049" s="241" t="n">
        <v>15.6</v>
      </c>
      <c r="O1049" s="241" t="n">
        <v>16.71</v>
      </c>
      <c r="P1049" s="241" t="n">
        <v>1.18</v>
      </c>
    </row>
    <row r="1050">
      <c r="A1050" s="282" t="inlineStr">
        <is>
          <t>2010-04-26</t>
        </is>
      </c>
      <c r="B1050" s="240">
        <f>IFERROR(1/P1050-1,B1049)</f>
        <v/>
      </c>
      <c r="C1050" s="240">
        <f>$C$3</f>
        <v/>
      </c>
      <c r="D1050" s="240">
        <f>$D$3</f>
        <v/>
      </c>
      <c r="E1050" s="240">
        <f>$E$3</f>
        <v/>
      </c>
      <c r="F1050" s="241" t="n">
        <v>52.4</v>
      </c>
      <c r="G1050" s="242" t="n">
        <v>9867475</v>
      </c>
      <c r="H1050" s="241" t="n">
        <v>3.91</v>
      </c>
      <c r="I1050" s="241" t="n">
        <v>21.02</v>
      </c>
      <c r="J1050" s="241" t="n">
        <v>16.21</v>
      </c>
      <c r="K1050" s="241" t="n">
        <v>45.55</v>
      </c>
      <c r="L1050" s="242" t="n">
        <v>2096600</v>
      </c>
      <c r="M1050" s="241" t="n">
        <v>6.69</v>
      </c>
      <c r="N1050" s="241" t="n">
        <v>20.47</v>
      </c>
      <c r="O1050" s="241" t="n">
        <v>24.52</v>
      </c>
      <c r="P1050" s="241" t="n">
        <v>1.15</v>
      </c>
    </row>
    <row r="1051">
      <c r="A1051" s="282" t="inlineStr">
        <is>
          <t>2010-04-27</t>
        </is>
      </c>
      <c r="B1051" s="240">
        <f>IFERROR(1/P1051-1,B1050)</f>
        <v/>
      </c>
      <c r="C1051" s="240">
        <f>$C$3</f>
        <v/>
      </c>
      <c r="D1051" s="240">
        <f>$D$3</f>
        <v/>
      </c>
      <c r="E1051" s="240">
        <f>$E$3</f>
        <v/>
      </c>
      <c r="F1051" s="241" t="n">
        <v>51.48</v>
      </c>
      <c r="G1051" s="242" t="n">
        <v>10463332</v>
      </c>
      <c r="H1051" s="241" t="n">
        <v>-1.76</v>
      </c>
      <c r="I1051" s="241" t="n">
        <v>17.97</v>
      </c>
      <c r="J1051" s="241" t="n">
        <v>14.17</v>
      </c>
      <c r="K1051" s="241" t="n">
        <v>44.62</v>
      </c>
      <c r="L1051" s="242" t="n">
        <v>2438267</v>
      </c>
      <c r="M1051" s="241" t="n">
        <v>-2.03</v>
      </c>
      <c r="N1051" s="241" t="n">
        <v>16.27</v>
      </c>
      <c r="O1051" s="241" t="n">
        <v>22</v>
      </c>
      <c r="P1051" s="241" t="n">
        <v>1.15</v>
      </c>
    </row>
    <row r="1052">
      <c r="A1052" s="282" t="inlineStr">
        <is>
          <t>2010-04-28</t>
        </is>
      </c>
      <c r="B1052" s="240">
        <f>IFERROR(1/P1052-1,B1051)</f>
        <v/>
      </c>
      <c r="C1052" s="240">
        <f>$C$3</f>
        <v/>
      </c>
      <c r="D1052" s="240">
        <f>$D$3</f>
        <v/>
      </c>
      <c r="E1052" s="240">
        <f>$E$3</f>
        <v/>
      </c>
      <c r="F1052" s="241" t="n">
        <v>50.44</v>
      </c>
      <c r="G1052" s="242" t="n">
        <v>6996778</v>
      </c>
      <c r="H1052" s="241" t="n">
        <v>-2.02</v>
      </c>
      <c r="I1052" s="241" t="n">
        <v>15.58</v>
      </c>
      <c r="J1052" s="241" t="n">
        <v>11.87</v>
      </c>
      <c r="K1052" s="241" t="n">
        <v>43.96</v>
      </c>
      <c r="L1052" s="242" t="n">
        <v>1435100</v>
      </c>
      <c r="M1052" s="241" t="n">
        <v>-1.48</v>
      </c>
      <c r="N1052" s="241" t="n">
        <v>14.55</v>
      </c>
      <c r="O1052" s="241" t="n">
        <v>20.19</v>
      </c>
      <c r="P1052" s="241" t="n">
        <v>1.15</v>
      </c>
    </row>
    <row r="1053">
      <c r="A1053" s="282" t="inlineStr">
        <is>
          <t>2010-04-29</t>
        </is>
      </c>
      <c r="B1053" s="240">
        <f>IFERROR(1/P1053-1,B1052)</f>
        <v/>
      </c>
      <c r="C1053" s="240">
        <f>$C$3</f>
        <v/>
      </c>
      <c r="D1053" s="240">
        <f>$D$3</f>
        <v/>
      </c>
      <c r="E1053" s="240">
        <f>$E$3</f>
        <v/>
      </c>
      <c r="F1053" s="241" t="n">
        <v>49.44</v>
      </c>
      <c r="G1053" s="242" t="n">
        <v>8236462</v>
      </c>
      <c r="H1053" s="241" t="n">
        <v>-1.98</v>
      </c>
      <c r="I1053" s="241" t="n">
        <v>13.29</v>
      </c>
      <c r="J1053" s="241" t="n">
        <v>9.65</v>
      </c>
      <c r="K1053" s="241" t="n">
        <v>42.71</v>
      </c>
      <c r="L1053" s="242" t="n">
        <v>1046200</v>
      </c>
      <c r="M1053" s="241" t="n">
        <v>-2.8</v>
      </c>
      <c r="N1053" s="241" t="n">
        <v>11.34</v>
      </c>
      <c r="O1053" s="241" t="n">
        <v>16.83</v>
      </c>
      <c r="P1053" s="241" t="n">
        <v>1.16</v>
      </c>
    </row>
    <row r="1054">
      <c r="A1054" s="282" t="inlineStr">
        <is>
          <t>2010-04-30</t>
        </is>
      </c>
      <c r="B1054" s="240">
        <f>IFERROR(1/P1054-1,B1053)</f>
        <v/>
      </c>
      <c r="C1054" s="240">
        <f>$C$3</f>
        <v/>
      </c>
      <c r="D1054" s="240">
        <f>$D$3</f>
        <v/>
      </c>
      <c r="E1054" s="240">
        <f>$E$3</f>
        <v/>
      </c>
      <c r="F1054" s="241" t="n">
        <v>49.8</v>
      </c>
      <c r="G1054" s="242" t="n">
        <v>9662468</v>
      </c>
      <c r="H1054" s="241" t="n">
        <v>0.73</v>
      </c>
      <c r="I1054" s="241" t="n">
        <v>12.24</v>
      </c>
      <c r="J1054" s="241" t="n">
        <v>10.45</v>
      </c>
      <c r="K1054" s="241" t="n">
        <v>45.01</v>
      </c>
      <c r="L1054" s="242" t="n">
        <v>1668584</v>
      </c>
      <c r="M1054" s="241" t="n">
        <v>5.35</v>
      </c>
      <c r="N1054" s="241" t="n">
        <v>15.97</v>
      </c>
      <c r="O1054" s="241" t="n">
        <v>23.08</v>
      </c>
      <c r="P1054" s="241" t="n">
        <v>1.11</v>
      </c>
    </row>
    <row r="1055">
      <c r="A1055" s="282" t="inlineStr">
        <is>
          <t>2010-05-04</t>
        </is>
      </c>
      <c r="B1055" s="240">
        <f>IFERROR(1/P1055-1,B1054)</f>
        <v/>
      </c>
      <c r="C1055" s="240">
        <f>$C$3</f>
        <v/>
      </c>
      <c r="D1055" s="240">
        <f>$D$3</f>
        <v/>
      </c>
      <c r="E1055" s="240">
        <f>$E$3</f>
        <v/>
      </c>
      <c r="F1055" s="241" t="n">
        <v>49.1</v>
      </c>
      <c r="G1055" s="242" t="n">
        <v>5234018</v>
      </c>
      <c r="H1055" s="241" t="n">
        <v>-1.41</v>
      </c>
      <c r="I1055" s="241" t="n">
        <v>6.62</v>
      </c>
      <c r="J1055" s="241" t="n">
        <v>8.890000000000001</v>
      </c>
      <c r="K1055" s="241" t="n">
        <v>44.41</v>
      </c>
      <c r="L1055" s="242" t="n">
        <v>588200</v>
      </c>
      <c r="M1055" s="241" t="n">
        <v>1.3</v>
      </c>
      <c r="N1055" s="241" t="n">
        <v>15.83</v>
      </c>
      <c r="O1055" s="241" t="n">
        <v>21.39</v>
      </c>
      <c r="P1055" s="241" t="n">
        <v>1.11</v>
      </c>
    </row>
    <row r="1056">
      <c r="A1056" s="282" t="inlineStr">
        <is>
          <t>2010-05-05</t>
        </is>
      </c>
      <c r="B1056" s="240">
        <f>IFERROR(1/P1056-1,B1055)</f>
        <v/>
      </c>
      <c r="C1056" s="240">
        <f>$C$3</f>
        <v/>
      </c>
      <c r="D1056" s="240">
        <f>$D$3</f>
        <v/>
      </c>
      <c r="E1056" s="240">
        <f>$E$3</f>
        <v/>
      </c>
      <c r="F1056" s="241" t="n">
        <v>50.42</v>
      </c>
      <c r="G1056" s="242" t="n">
        <v>7091393</v>
      </c>
      <c r="H1056" s="241" t="n">
        <v>2.69</v>
      </c>
      <c r="I1056" s="241" t="n">
        <v>9.49</v>
      </c>
      <c r="J1056" s="241" t="n">
        <v>11.82</v>
      </c>
      <c r="K1056" s="241" t="n">
        <v>43.56</v>
      </c>
      <c r="L1056" s="242" t="n">
        <v>740600</v>
      </c>
      <c r="M1056" s="241" t="n">
        <v>-1.88</v>
      </c>
      <c r="N1056" s="241" t="n">
        <v>13.65</v>
      </c>
      <c r="O1056" s="241" t="n">
        <v>19.11</v>
      </c>
      <c r="P1056" s="241" t="n">
        <v>1.16</v>
      </c>
    </row>
    <row r="1057">
      <c r="A1057" s="282" t="inlineStr">
        <is>
          <t>2010-05-06</t>
        </is>
      </c>
      <c r="B1057" s="240">
        <f>IFERROR(1/P1057-1,B1056)</f>
        <v/>
      </c>
      <c r="C1057" s="240">
        <f>$C$3</f>
        <v/>
      </c>
      <c r="D1057" s="240">
        <f>$D$3</f>
        <v/>
      </c>
      <c r="E1057" s="240">
        <f>$E$3</f>
        <v/>
      </c>
      <c r="F1057" s="241" t="n">
        <v>49</v>
      </c>
      <c r="G1057" s="242" t="n">
        <v>7788643</v>
      </c>
      <c r="H1057" s="241" t="n">
        <v>-2.82</v>
      </c>
      <c r="I1057" s="241" t="n">
        <v>6.41</v>
      </c>
      <c r="J1057" s="241" t="n">
        <v>8.67</v>
      </c>
      <c r="K1057" s="241" t="n">
        <v>42.02</v>
      </c>
      <c r="L1057" s="242" t="n">
        <v>1419623</v>
      </c>
      <c r="M1057" s="241" t="n">
        <v>-3.53</v>
      </c>
      <c r="N1057" s="241" t="n">
        <v>9.630000000000001</v>
      </c>
      <c r="O1057" s="241" t="n">
        <v>14.9</v>
      </c>
      <c r="P1057" s="241" t="n">
        <v>1.17</v>
      </c>
    </row>
    <row r="1058">
      <c r="A1058" s="282" t="inlineStr">
        <is>
          <t>2010-05-07</t>
        </is>
      </c>
      <c r="B1058" s="240">
        <f>IFERROR(1/P1058-1,B1057)</f>
        <v/>
      </c>
      <c r="C1058" s="240">
        <f>$C$3</f>
        <v/>
      </c>
      <c r="D1058" s="240">
        <f>$D$3</f>
        <v/>
      </c>
      <c r="E1058" s="240">
        <f>$E$3</f>
        <v/>
      </c>
      <c r="F1058" s="241" t="n">
        <v>47.44</v>
      </c>
      <c r="G1058" s="242" t="n">
        <v>7382520</v>
      </c>
      <c r="H1058" s="241" t="n">
        <v>-3.18</v>
      </c>
      <c r="I1058" s="241" t="n">
        <v>4.04</v>
      </c>
      <c r="J1058" s="241" t="n">
        <v>5.21</v>
      </c>
      <c r="K1058" s="241" t="n">
        <v>41.29</v>
      </c>
      <c r="L1058" s="242" t="n">
        <v>1097400</v>
      </c>
      <c r="M1058" s="241" t="n">
        <v>-1.57</v>
      </c>
      <c r="N1058" s="241" t="n">
        <v>7.91</v>
      </c>
      <c r="O1058" s="241" t="n">
        <v>13.1</v>
      </c>
      <c r="P1058" s="241" t="n">
        <v>1.15</v>
      </c>
    </row>
    <row r="1059">
      <c r="A1059" s="282" t="inlineStr">
        <is>
          <t>2010-05-10</t>
        </is>
      </c>
      <c r="B1059" s="240">
        <f>IFERROR(1/P1059-1,B1058)</f>
        <v/>
      </c>
      <c r="C1059" s="240">
        <f>$C$3</f>
        <v/>
      </c>
      <c r="D1059" s="240">
        <f>$D$3</f>
        <v/>
      </c>
      <c r="E1059" s="240">
        <f>$E$3</f>
        <v/>
      </c>
      <c r="F1059" s="241" t="n">
        <v>46.25</v>
      </c>
      <c r="G1059" s="242" t="n">
        <v>5822039</v>
      </c>
      <c r="H1059" s="241" t="n">
        <v>-2.51</v>
      </c>
      <c r="I1059" s="241" t="n">
        <v>-3.65</v>
      </c>
      <c r="J1059" s="241" t="n">
        <v>2.57</v>
      </c>
      <c r="K1059" s="241" t="n">
        <v>41.39</v>
      </c>
      <c r="L1059" s="242" t="n">
        <v>1550573</v>
      </c>
      <c r="M1059" s="241" t="n">
        <v>0.21</v>
      </c>
      <c r="N1059" s="241" t="n">
        <v>-1.26</v>
      </c>
      <c r="O1059" s="241" t="n">
        <v>13.34</v>
      </c>
      <c r="P1059" s="241" t="n">
        <v>1.12</v>
      </c>
    </row>
    <row r="1060">
      <c r="A1060" s="282" t="inlineStr">
        <is>
          <t>2010-05-11</t>
        </is>
      </c>
      <c r="B1060" s="240">
        <f>IFERROR(1/P1060-1,B1059)</f>
        <v/>
      </c>
      <c r="C1060" s="240">
        <f>$C$3</f>
        <v/>
      </c>
      <c r="D1060" s="240">
        <f>$D$3</f>
        <v/>
      </c>
      <c r="E1060" s="240">
        <f>$E$3</f>
        <v/>
      </c>
      <c r="F1060" s="241" t="n">
        <v>45.9</v>
      </c>
      <c r="G1060" s="242" t="n">
        <v>5811737</v>
      </c>
      <c r="H1060" s="241" t="n">
        <v>-0.76</v>
      </c>
      <c r="I1060" s="241" t="n">
        <v>-4.38</v>
      </c>
      <c r="J1060" s="241" t="n">
        <v>1.8</v>
      </c>
      <c r="K1060" s="241" t="n">
        <v>41.59</v>
      </c>
      <c r="L1060" s="242" t="n">
        <v>929800</v>
      </c>
      <c r="M1060" s="241" t="n">
        <v>0.53</v>
      </c>
      <c r="N1060" s="241" t="n">
        <v>-0.73</v>
      </c>
      <c r="O1060" s="241" t="n">
        <v>13.94</v>
      </c>
      <c r="P1060" s="241" t="n">
        <v>1.1</v>
      </c>
    </row>
    <row r="1061">
      <c r="A1061" s="282" t="inlineStr">
        <is>
          <t>2010-05-12</t>
        </is>
      </c>
      <c r="B1061" s="240">
        <f>IFERROR(1/P1061-1,B1060)</f>
        <v/>
      </c>
      <c r="C1061" s="240">
        <f>$C$3</f>
        <v/>
      </c>
      <c r="D1061" s="240">
        <f>$D$3</f>
        <v/>
      </c>
      <c r="E1061" s="240">
        <f>$E$3</f>
        <v/>
      </c>
      <c r="F1061" s="241" t="n">
        <v>44.99</v>
      </c>
      <c r="G1061" s="242" t="n">
        <v>8185233</v>
      </c>
      <c r="H1061" s="241" t="n">
        <v>-1.98</v>
      </c>
      <c r="I1061" s="241" t="n">
        <v>-6.27</v>
      </c>
      <c r="J1061" s="241" t="n">
        <v>-0.22</v>
      </c>
      <c r="K1061" s="241" t="n">
        <v>43.87</v>
      </c>
      <c r="L1061" s="242" t="n">
        <v>1387644</v>
      </c>
      <c r="M1061" s="241" t="n">
        <v>5.49</v>
      </c>
      <c r="N1061" s="241" t="n">
        <v>4.71</v>
      </c>
      <c r="O1061" s="241" t="n">
        <v>20.19</v>
      </c>
      <c r="P1061" s="241" t="n">
        <v>1.03</v>
      </c>
    </row>
    <row r="1062">
      <c r="A1062" s="282" t="inlineStr">
        <is>
          <t>2010-05-13</t>
        </is>
      </c>
      <c r="B1062" s="240">
        <f>IFERROR(1/P1062-1,B1061)</f>
        <v/>
      </c>
      <c r="C1062" s="240">
        <f>$C$3</f>
        <v/>
      </c>
      <c r="D1062" s="240">
        <f>$D$3</f>
        <v/>
      </c>
      <c r="E1062" s="240">
        <f>$E$3</f>
        <v/>
      </c>
      <c r="F1062" s="241" t="n">
        <v>47.51</v>
      </c>
      <c r="G1062" s="242" t="n">
        <v>5931848</v>
      </c>
      <c r="H1062" s="241" t="n">
        <v>5.6</v>
      </c>
      <c r="I1062" s="241" t="n">
        <v>-2.86</v>
      </c>
      <c r="J1062" s="241" t="n">
        <v>5.37</v>
      </c>
      <c r="K1062" s="241" t="n">
        <v>44.87</v>
      </c>
      <c r="L1062" s="242" t="n">
        <v>1002799</v>
      </c>
      <c r="M1062" s="241" t="n">
        <v>2.3</v>
      </c>
      <c r="N1062" s="241" t="n">
        <v>9.289999999999999</v>
      </c>
      <c r="O1062" s="241" t="n">
        <v>22.96</v>
      </c>
      <c r="P1062" s="241" t="n">
        <v>1.06</v>
      </c>
    </row>
    <row r="1063">
      <c r="A1063" s="282" t="inlineStr">
        <is>
          <t>2010-05-14</t>
        </is>
      </c>
      <c r="B1063" s="240">
        <f>IFERROR(1/P1063-1,B1062)</f>
        <v/>
      </c>
      <c r="C1063" s="240">
        <f>$C$3</f>
        <v/>
      </c>
      <c r="D1063" s="240">
        <f>$D$3</f>
        <v/>
      </c>
      <c r="E1063" s="240">
        <f>$E$3</f>
        <v/>
      </c>
      <c r="F1063" s="241" t="n">
        <v>47.04</v>
      </c>
      <c r="G1063" s="242" t="n">
        <v>4097936</v>
      </c>
      <c r="H1063" s="241" t="n">
        <v>-0.99</v>
      </c>
      <c r="I1063" s="241" t="n">
        <v>-4.12</v>
      </c>
      <c r="J1063" s="241" t="n">
        <v>4.32</v>
      </c>
      <c r="K1063" s="241" t="n">
        <v>44.92</v>
      </c>
      <c r="L1063" s="242" t="n">
        <v>747324</v>
      </c>
      <c r="M1063" s="241" t="n">
        <v>0.1</v>
      </c>
      <c r="N1063" s="241" t="n">
        <v>8.82</v>
      </c>
      <c r="O1063" s="241" t="n">
        <v>23.08</v>
      </c>
      <c r="P1063" s="241" t="n">
        <v>1.05</v>
      </c>
    </row>
    <row r="1064">
      <c r="A1064" s="282" t="inlineStr">
        <is>
          <t>2010-05-17</t>
        </is>
      </c>
      <c r="B1064" s="240">
        <f>IFERROR(1/P1064-1,B1063)</f>
        <v/>
      </c>
      <c r="C1064" s="240">
        <f>$C$3</f>
        <v/>
      </c>
      <c r="D1064" s="240">
        <f>$D$3</f>
        <v/>
      </c>
      <c r="E1064" s="240">
        <f>$E$3</f>
        <v/>
      </c>
      <c r="F1064" s="241" t="n">
        <v>44.58</v>
      </c>
      <c r="G1064" s="242" t="n">
        <v>6990293</v>
      </c>
      <c r="H1064" s="241" t="n">
        <v>-5.23</v>
      </c>
      <c r="I1064" s="241" t="n">
        <v>-7.49</v>
      </c>
      <c r="J1064" s="241" t="n">
        <v>-1.13</v>
      </c>
      <c r="K1064" s="241" t="n">
        <v>21.48</v>
      </c>
      <c r="L1064" s="242" t="n">
        <v>2979800</v>
      </c>
      <c r="M1064" s="241" t="n">
        <v>-3.95</v>
      </c>
      <c r="N1064" s="241" t="n">
        <v>-1.15</v>
      </c>
      <c r="O1064" s="241" t="n">
        <v>18.21</v>
      </c>
      <c r="P1064" s="241" t="n">
        <v>2.08</v>
      </c>
    </row>
    <row r="1065">
      <c r="A1065" s="282" t="inlineStr">
        <is>
          <t>2010-05-18</t>
        </is>
      </c>
      <c r="B1065" s="240">
        <f>IFERROR(1/P1065-1,B1064)</f>
        <v/>
      </c>
      <c r="C1065" s="240">
        <f>$C$3</f>
        <v/>
      </c>
      <c r="D1065" s="240">
        <f>$D$3</f>
        <v/>
      </c>
      <c r="E1065" s="240">
        <f>$E$3</f>
        <v/>
      </c>
      <c r="F1065" s="241" t="n">
        <v>46.1</v>
      </c>
      <c r="G1065" s="242" t="n">
        <v>6057401</v>
      </c>
      <c r="H1065" s="241" t="n">
        <v>3.41</v>
      </c>
      <c r="I1065" s="241" t="n">
        <v>-4.34</v>
      </c>
      <c r="J1065" s="241" t="n">
        <v>2.24</v>
      </c>
      <c r="K1065" s="241" t="n">
        <v>23.02</v>
      </c>
      <c r="L1065" s="242" t="n">
        <v>2965000</v>
      </c>
      <c r="M1065" s="241" t="n">
        <v>7.35</v>
      </c>
      <c r="N1065" s="241" t="n">
        <v>6.11</v>
      </c>
      <c r="O1065" s="241" t="n">
        <v>26.9</v>
      </c>
      <c r="P1065" s="241" t="n">
        <v>2</v>
      </c>
    </row>
    <row r="1066">
      <c r="A1066" s="282" t="inlineStr">
        <is>
          <t>2010-05-19</t>
        </is>
      </c>
      <c r="B1066" s="240">
        <f>IFERROR(1/P1066-1,B1065)</f>
        <v/>
      </c>
      <c r="C1066" s="240">
        <f>$C$3</f>
        <v/>
      </c>
      <c r="D1066" s="240">
        <f>$D$3</f>
        <v/>
      </c>
      <c r="E1066" s="240">
        <f>$E$3</f>
        <v/>
      </c>
      <c r="F1066" s="241" t="n">
        <v>46.84</v>
      </c>
      <c r="G1066" s="242" t="n">
        <v>5066884</v>
      </c>
      <c r="H1066" s="241" t="n">
        <v>1.61</v>
      </c>
      <c r="I1066" s="241" t="n">
        <v>-2.8</v>
      </c>
      <c r="J1066" s="241" t="n">
        <v>3.88</v>
      </c>
      <c r="K1066" s="241" t="n">
        <v>22.23</v>
      </c>
      <c r="L1066" s="242" t="n">
        <v>2323800</v>
      </c>
      <c r="M1066" s="241" t="n">
        <v>-3.42</v>
      </c>
      <c r="N1066" s="241" t="n">
        <v>2.48</v>
      </c>
      <c r="O1066" s="241" t="n">
        <v>22.55</v>
      </c>
      <c r="P1066" s="241" t="n">
        <v>2.11</v>
      </c>
    </row>
    <row r="1067">
      <c r="A1067" s="282" t="inlineStr">
        <is>
          <t>2010-05-20</t>
        </is>
      </c>
      <c r="B1067" s="240">
        <f>IFERROR(1/P1067-1,B1066)</f>
        <v/>
      </c>
      <c r="C1067" s="240">
        <f>$C$3</f>
        <v/>
      </c>
      <c r="D1067" s="240">
        <f>$D$3</f>
        <v/>
      </c>
      <c r="E1067" s="240">
        <f>$E$3</f>
        <v/>
      </c>
      <c r="F1067" s="241" t="n">
        <v>45.68</v>
      </c>
      <c r="G1067" s="242" t="n">
        <v>5132365</v>
      </c>
      <c r="H1067" s="241" t="n">
        <v>-2.48</v>
      </c>
      <c r="I1067" s="241" t="n">
        <v>-2.54</v>
      </c>
      <c r="J1067" s="241" t="n">
        <v>1.31</v>
      </c>
      <c r="K1067" s="241" t="n">
        <v>20.92</v>
      </c>
      <c r="L1067" s="242" t="n">
        <v>4397978</v>
      </c>
      <c r="M1067" s="241" t="n">
        <v>-5.91</v>
      </c>
      <c r="N1067" s="241" t="n">
        <v>0.99</v>
      </c>
      <c r="O1067" s="241" t="n">
        <v>15.32</v>
      </c>
      <c r="P1067" s="241" t="n">
        <v>2.18</v>
      </c>
    </row>
    <row r="1068">
      <c r="A1068" s="282" t="inlineStr">
        <is>
          <t>2010-05-21</t>
        </is>
      </c>
      <c r="B1068" s="240">
        <f>IFERROR(1/P1068-1,B1067)</f>
        <v/>
      </c>
      <c r="C1068" s="240">
        <f>$C$3</f>
        <v/>
      </c>
      <c r="D1068" s="240">
        <f>$D$3</f>
        <v/>
      </c>
      <c r="E1068" s="240">
        <f>$E$3</f>
        <v/>
      </c>
      <c r="F1068" s="241" t="n">
        <v>46.95</v>
      </c>
      <c r="G1068" s="242" t="n">
        <v>5627001</v>
      </c>
      <c r="H1068" s="241" t="n">
        <v>2.78</v>
      </c>
      <c r="I1068" s="241" t="n">
        <v>-2.61</v>
      </c>
      <c r="J1068" s="241" t="n">
        <v>4.13</v>
      </c>
      <c r="K1068" s="239" t="inlineStr">
        <is>
          <t>--</t>
        </is>
      </c>
      <c r="L1068" s="239" t="inlineStr">
        <is>
          <t>--</t>
        </is>
      </c>
      <c r="M1068" s="239" t="inlineStr">
        <is>
          <t>--</t>
        </is>
      </c>
      <c r="N1068" s="239" t="inlineStr">
        <is>
          <t>--</t>
        </is>
      </c>
      <c r="O1068" s="239" t="inlineStr">
        <is>
          <t>--</t>
        </is>
      </c>
      <c r="P1068" s="239" t="inlineStr">
        <is>
          <t>--</t>
        </is>
      </c>
    </row>
    <row r="1069">
      <c r="A1069" s="282" t="inlineStr">
        <is>
          <t>2010-05-24</t>
        </is>
      </c>
      <c r="B1069" s="240">
        <f>IFERROR(1/P1069-1,B1068)</f>
        <v/>
      </c>
      <c r="C1069" s="240">
        <f>$C$3</f>
        <v/>
      </c>
      <c r="D1069" s="240">
        <f>$D$3</f>
        <v/>
      </c>
      <c r="E1069" s="240">
        <f>$E$3</f>
        <v/>
      </c>
      <c r="F1069" s="241" t="n">
        <v>48.6</v>
      </c>
      <c r="G1069" s="242" t="n">
        <v>7186098</v>
      </c>
      <c r="H1069" s="241" t="n">
        <v>3.51</v>
      </c>
      <c r="I1069" s="241" t="n">
        <v>-3.63</v>
      </c>
      <c r="J1069" s="241" t="n">
        <v>7.78</v>
      </c>
      <c r="K1069" s="241" t="n">
        <v>20.47</v>
      </c>
      <c r="L1069" s="242" t="n">
        <v>1991860</v>
      </c>
      <c r="M1069" s="241" t="n">
        <v>-2.09</v>
      </c>
      <c r="N1069" s="241" t="n">
        <v>-3.26</v>
      </c>
      <c r="O1069" s="241" t="n">
        <v>12.9</v>
      </c>
      <c r="P1069" s="241" t="n">
        <v>2.37</v>
      </c>
    </row>
    <row r="1070">
      <c r="A1070" s="282" t="inlineStr">
        <is>
          <t>2010-05-25</t>
        </is>
      </c>
      <c r="B1070" s="240">
        <f>IFERROR(1/P1070-1,B1069)</f>
        <v/>
      </c>
      <c r="C1070" s="240">
        <f>$C$3</f>
        <v/>
      </c>
      <c r="D1070" s="240">
        <f>$D$3</f>
        <v/>
      </c>
      <c r="E1070" s="240">
        <f>$E$3</f>
        <v/>
      </c>
      <c r="F1070" s="241" t="n">
        <v>47.19</v>
      </c>
      <c r="G1070" s="242" t="n">
        <v>5305741</v>
      </c>
      <c r="H1070" s="241" t="n">
        <v>-2.9</v>
      </c>
      <c r="I1070" s="241" t="n">
        <v>-6.42</v>
      </c>
      <c r="J1070" s="241" t="n">
        <v>4.66</v>
      </c>
      <c r="K1070" s="241" t="n">
        <v>19.69</v>
      </c>
      <c r="L1070" s="242" t="n">
        <v>2379100</v>
      </c>
      <c r="M1070" s="241" t="n">
        <v>-3.85</v>
      </c>
      <c r="N1070" s="241" t="n">
        <v>-6.98</v>
      </c>
      <c r="O1070" s="241" t="n">
        <v>8.56</v>
      </c>
      <c r="P1070" s="241" t="n">
        <v>2.4</v>
      </c>
    </row>
    <row r="1071">
      <c r="A1071" s="282" t="inlineStr">
        <is>
          <t>2010-05-26</t>
        </is>
      </c>
      <c r="B1071" s="240">
        <f>IFERROR(1/P1071-1,B1070)</f>
        <v/>
      </c>
      <c r="C1071" s="240">
        <f>$C$3</f>
        <v/>
      </c>
      <c r="D1071" s="240">
        <f>$D$3</f>
        <v/>
      </c>
      <c r="E1071" s="240">
        <f>$E$3</f>
        <v/>
      </c>
      <c r="F1071" s="241" t="n">
        <v>48.04</v>
      </c>
      <c r="G1071" s="242" t="n">
        <v>6674476</v>
      </c>
      <c r="H1071" s="241" t="n">
        <v>1.8</v>
      </c>
      <c r="I1071" s="241" t="n">
        <v>-4.74</v>
      </c>
      <c r="J1071" s="241" t="n">
        <v>6.54</v>
      </c>
      <c r="K1071" s="241" t="n">
        <v>19.69</v>
      </c>
      <c r="L1071" s="242" t="n">
        <v>3404992</v>
      </c>
      <c r="M1071" s="241" t="n">
        <v>0</v>
      </c>
      <c r="N1071" s="241" t="n">
        <v>-6.98</v>
      </c>
      <c r="O1071" s="241" t="n">
        <v>8.56</v>
      </c>
      <c r="P1071" s="241" t="n">
        <v>2.44</v>
      </c>
    </row>
    <row r="1072">
      <c r="A1072" s="282" t="inlineStr">
        <is>
          <t>2010-05-27</t>
        </is>
      </c>
      <c r="B1072" s="240">
        <f>IFERROR(1/P1072-1,B1071)</f>
        <v/>
      </c>
      <c r="C1072" s="240">
        <f>$C$3</f>
        <v/>
      </c>
      <c r="D1072" s="240">
        <f>$D$3</f>
        <v/>
      </c>
      <c r="E1072" s="240">
        <f>$E$3</f>
        <v/>
      </c>
      <c r="F1072" s="241" t="n">
        <v>49.07</v>
      </c>
      <c r="G1072" s="242" t="n">
        <v>7482674</v>
      </c>
      <c r="H1072" s="241" t="n">
        <v>2.14</v>
      </c>
      <c r="I1072" s="241" t="n">
        <v>-6.36</v>
      </c>
      <c r="J1072" s="241" t="n">
        <v>8.83</v>
      </c>
      <c r="K1072" s="241" t="n">
        <v>21.14</v>
      </c>
      <c r="L1072" s="242" t="n">
        <v>4605200</v>
      </c>
      <c r="M1072" s="241" t="n">
        <v>7.11</v>
      </c>
      <c r="N1072" s="241" t="n">
        <v>-6.62</v>
      </c>
      <c r="O1072" s="241" t="n">
        <v>16.28</v>
      </c>
      <c r="P1072" s="241" t="n">
        <v>2.32</v>
      </c>
    </row>
    <row r="1073">
      <c r="A1073" s="282" t="inlineStr">
        <is>
          <t>2010-05-28</t>
        </is>
      </c>
      <c r="B1073" s="240">
        <f>IFERROR(1/P1073-1,B1072)</f>
        <v/>
      </c>
      <c r="C1073" s="240">
        <f>$C$3</f>
        <v/>
      </c>
      <c r="D1073" s="240">
        <f>$D$3</f>
        <v/>
      </c>
      <c r="E1073" s="240">
        <f>$E$3</f>
        <v/>
      </c>
      <c r="F1073" s="241" t="n">
        <v>49</v>
      </c>
      <c r="G1073" s="242" t="n">
        <v>4680955</v>
      </c>
      <c r="H1073" s="241" t="n">
        <v>-0.14</v>
      </c>
      <c r="I1073" s="241" t="n">
        <v>-4.82</v>
      </c>
      <c r="J1073" s="241" t="n">
        <v>8.67</v>
      </c>
      <c r="K1073" s="241" t="n">
        <v>21.18</v>
      </c>
      <c r="L1073" s="242" t="n">
        <v>2408522</v>
      </c>
      <c r="M1073" s="241" t="n">
        <v>0.21</v>
      </c>
      <c r="N1073" s="241" t="n">
        <v>-4.49</v>
      </c>
      <c r="O1073" s="241" t="n">
        <v>16.52</v>
      </c>
      <c r="P1073" s="241" t="n">
        <v>2.31</v>
      </c>
    </row>
    <row r="1074">
      <c r="A1074" s="282" t="inlineStr">
        <is>
          <t>2010-05-31</t>
        </is>
      </c>
      <c r="B1074" s="240">
        <f>IFERROR(1/P1074-1,B1073)</f>
        <v/>
      </c>
      <c r="C1074" s="240">
        <f>$C$3</f>
        <v/>
      </c>
      <c r="D1074" s="240">
        <f>$D$3</f>
        <v/>
      </c>
      <c r="E1074" s="240">
        <f>$E$3</f>
        <v/>
      </c>
      <c r="F1074" s="241" t="n">
        <v>47.15</v>
      </c>
      <c r="G1074" s="242" t="n">
        <v>4966956</v>
      </c>
      <c r="H1074" s="241" t="n">
        <v>-3.78</v>
      </c>
      <c r="I1074" s="241" t="n">
        <v>-4.63</v>
      </c>
      <c r="J1074" s="241" t="n">
        <v>4.57</v>
      </c>
      <c r="K1074" s="241" t="n">
        <v>22.62</v>
      </c>
      <c r="L1074" s="242" t="n">
        <v>2828400</v>
      </c>
      <c r="M1074" s="241" t="n">
        <v>6.83</v>
      </c>
      <c r="N1074" s="241" t="n">
        <v>6.55</v>
      </c>
      <c r="O1074" s="241" t="n">
        <v>24.48</v>
      </c>
      <c r="P1074" s="241" t="n">
        <v>2.08</v>
      </c>
    </row>
    <row r="1075">
      <c r="A1075" s="282" t="inlineStr">
        <is>
          <t>2010-06-01</t>
        </is>
      </c>
      <c r="B1075" s="240">
        <f>IFERROR(1/P1075-1,B1074)</f>
        <v/>
      </c>
      <c r="C1075" s="240">
        <f>$C$3</f>
        <v/>
      </c>
      <c r="D1075" s="240">
        <f>$D$3</f>
        <v/>
      </c>
      <c r="E1075" s="240">
        <f>$E$3</f>
        <v/>
      </c>
      <c r="F1075" s="241" t="n">
        <v>47.16</v>
      </c>
      <c r="G1075" s="242" t="n">
        <v>4558361</v>
      </c>
      <c r="H1075" s="241" t="n">
        <v>0.02</v>
      </c>
      <c r="I1075" s="241" t="n">
        <v>-5.3</v>
      </c>
      <c r="J1075" s="241" t="n">
        <v>4.59</v>
      </c>
      <c r="K1075" s="241" t="n">
        <v>22.22</v>
      </c>
      <c r="L1075" s="242" t="n">
        <v>1637400</v>
      </c>
      <c r="M1075" s="241" t="n">
        <v>-1.74</v>
      </c>
      <c r="N1075" s="241" t="n">
        <v>-0.62</v>
      </c>
      <c r="O1075" s="241" t="n">
        <v>22.31</v>
      </c>
      <c r="P1075" s="241" t="n">
        <v>2.12</v>
      </c>
    </row>
    <row r="1076">
      <c r="A1076" s="282" t="inlineStr">
        <is>
          <t>2010-06-02</t>
        </is>
      </c>
      <c r="B1076" s="240">
        <f>IFERROR(1/P1076-1,B1075)</f>
        <v/>
      </c>
      <c r="C1076" s="240">
        <f>$C$3</f>
        <v/>
      </c>
      <c r="D1076" s="240">
        <f>$D$3</f>
        <v/>
      </c>
      <c r="E1076" s="240">
        <f>$E$3</f>
        <v/>
      </c>
      <c r="F1076" s="241" t="n">
        <v>47.74</v>
      </c>
      <c r="G1076" s="242" t="n">
        <v>3317790</v>
      </c>
      <c r="H1076" s="241" t="n">
        <v>1.23</v>
      </c>
      <c r="I1076" s="241" t="n">
        <v>-4.14</v>
      </c>
      <c r="J1076" s="241" t="n">
        <v>5.88</v>
      </c>
      <c r="K1076" s="241" t="n">
        <v>21.77</v>
      </c>
      <c r="L1076" s="242" t="n">
        <v>1299400</v>
      </c>
      <c r="M1076" s="241" t="n">
        <v>-1.97</v>
      </c>
      <c r="N1076" s="241" t="n">
        <v>-2.58</v>
      </c>
      <c r="O1076" s="241" t="n">
        <v>19.9</v>
      </c>
      <c r="P1076" s="241" t="n">
        <v>2.19</v>
      </c>
    </row>
    <row r="1077">
      <c r="A1077" s="282" t="inlineStr">
        <is>
          <t>2010-06-03</t>
        </is>
      </c>
      <c r="B1077" s="240">
        <f>IFERROR(1/P1077-1,B1076)</f>
        <v/>
      </c>
      <c r="C1077" s="240">
        <f>$C$3</f>
        <v/>
      </c>
      <c r="D1077" s="240">
        <f>$D$3</f>
        <v/>
      </c>
      <c r="E1077" s="240">
        <f>$E$3</f>
        <v/>
      </c>
      <c r="F1077" s="241" t="n">
        <v>47.2</v>
      </c>
      <c r="G1077" s="242" t="n">
        <v>3236168</v>
      </c>
      <c r="H1077" s="241" t="n">
        <v>-1.13</v>
      </c>
      <c r="I1077" s="241" t="n">
        <v>-5.22</v>
      </c>
      <c r="J1077" s="241" t="n">
        <v>4.68</v>
      </c>
      <c r="K1077" s="241" t="n">
        <v>22.78</v>
      </c>
      <c r="L1077" s="242" t="n">
        <v>1972552</v>
      </c>
      <c r="M1077" s="241" t="n">
        <v>4.63</v>
      </c>
      <c r="N1077" s="241" t="n">
        <v>1.93</v>
      </c>
      <c r="O1077" s="241" t="n">
        <v>25.45</v>
      </c>
      <c r="P1077" s="241" t="n">
        <v>2.07</v>
      </c>
    </row>
    <row r="1078">
      <c r="A1078" s="282" t="inlineStr">
        <is>
          <t>2010-06-04</t>
        </is>
      </c>
      <c r="B1078" s="240">
        <f>IFERROR(1/P1078-1,B1077)</f>
        <v/>
      </c>
      <c r="C1078" s="240">
        <f>$C$3</f>
        <v/>
      </c>
      <c r="D1078" s="240">
        <f>$D$3</f>
        <v/>
      </c>
      <c r="E1078" s="240">
        <f>$E$3</f>
        <v/>
      </c>
      <c r="F1078" s="241" t="n">
        <v>47.18</v>
      </c>
      <c r="G1078" s="242" t="n">
        <v>2272725</v>
      </c>
      <c r="H1078" s="241" t="n">
        <v>-0.04</v>
      </c>
      <c r="I1078" s="241" t="n">
        <v>-5.26</v>
      </c>
      <c r="J1078" s="241" t="n">
        <v>4.64</v>
      </c>
      <c r="K1078" s="241" t="n">
        <v>22.92</v>
      </c>
      <c r="L1078" s="242" t="n">
        <v>1231600</v>
      </c>
      <c r="M1078" s="241" t="n">
        <v>0.58</v>
      </c>
      <c r="N1078" s="241" t="n">
        <v>5.29</v>
      </c>
      <c r="O1078" s="241" t="n">
        <v>26.17</v>
      </c>
      <c r="P1078" s="241" t="n">
        <v>2.06</v>
      </c>
    </row>
    <row r="1079">
      <c r="A1079" s="282" t="inlineStr">
        <is>
          <t>2010-06-07</t>
        </is>
      </c>
      <c r="B1079" s="240">
        <f>IFERROR(1/P1079-1,B1078)</f>
        <v/>
      </c>
      <c r="C1079" s="240">
        <f>$C$3</f>
        <v/>
      </c>
      <c r="D1079" s="240">
        <f>$D$3</f>
        <v/>
      </c>
      <c r="E1079" s="240">
        <f>$E$3</f>
        <v/>
      </c>
      <c r="F1079" s="241" t="n">
        <v>46.94</v>
      </c>
      <c r="G1079" s="242" t="n">
        <v>3059442</v>
      </c>
      <c r="H1079" s="241" t="n">
        <v>-0.51</v>
      </c>
      <c r="I1079" s="241" t="n">
        <v>-4.2</v>
      </c>
      <c r="J1079" s="241" t="n">
        <v>4.1</v>
      </c>
      <c r="K1079" s="241" t="n">
        <v>23.17</v>
      </c>
      <c r="L1079" s="242" t="n">
        <v>2239060</v>
      </c>
      <c r="M1079" s="241" t="n">
        <v>1.15</v>
      </c>
      <c r="N1079" s="241" t="n">
        <v>11.07</v>
      </c>
      <c r="O1079" s="241" t="n">
        <v>27.62</v>
      </c>
      <c r="P1079" s="241" t="n">
        <v>2.03</v>
      </c>
    </row>
    <row r="1080">
      <c r="A1080" s="282" t="inlineStr">
        <is>
          <t>2010-06-08</t>
        </is>
      </c>
      <c r="B1080" s="240">
        <f>IFERROR(1/P1080-1,B1079)</f>
        <v/>
      </c>
      <c r="C1080" s="240">
        <f>$C$3</f>
        <v/>
      </c>
      <c r="D1080" s="240">
        <f>$D$3</f>
        <v/>
      </c>
      <c r="E1080" s="240">
        <f>$E$3</f>
        <v/>
      </c>
      <c r="F1080" s="241" t="n">
        <v>47.36</v>
      </c>
      <c r="G1080" s="242" t="n">
        <v>3149836</v>
      </c>
      <c r="H1080" s="241" t="n">
        <v>0.89</v>
      </c>
      <c r="I1080" s="241" t="n">
        <v>-0.17</v>
      </c>
      <c r="J1080" s="241" t="n">
        <v>5.03</v>
      </c>
      <c r="K1080" s="241" t="n">
        <v>23.53</v>
      </c>
      <c r="L1080" s="242" t="n">
        <v>1091300</v>
      </c>
      <c r="M1080" s="241" t="n">
        <v>1.7</v>
      </c>
      <c r="N1080" s="241" t="n">
        <v>14.76</v>
      </c>
      <c r="O1080" s="241" t="n">
        <v>29.79</v>
      </c>
      <c r="P1080" s="241" t="n">
        <v>2.01</v>
      </c>
    </row>
    <row r="1081">
      <c r="A1081" s="282" t="inlineStr">
        <is>
          <t>2010-06-09</t>
        </is>
      </c>
      <c r="B1081" s="240">
        <f>IFERROR(1/P1081-1,B1080)</f>
        <v/>
      </c>
      <c r="C1081" s="240">
        <f>$C$3</f>
        <v/>
      </c>
      <c r="D1081" s="240">
        <f>$D$3</f>
        <v/>
      </c>
      <c r="E1081" s="240">
        <f>$E$3</f>
        <v/>
      </c>
      <c r="F1081" s="241" t="n">
        <v>48.88</v>
      </c>
      <c r="G1081" s="242" t="n">
        <v>6248378</v>
      </c>
      <c r="H1081" s="241" t="n">
        <v>3.21</v>
      </c>
      <c r="I1081" s="241" t="n">
        <v>3.04</v>
      </c>
      <c r="J1081" s="241" t="n">
        <v>8.41</v>
      </c>
      <c r="K1081" s="241" t="n">
        <v>21.74</v>
      </c>
      <c r="L1081" s="242" t="n">
        <v>2490800</v>
      </c>
      <c r="M1081" s="241" t="n">
        <v>-7.62</v>
      </c>
      <c r="N1081" s="241" t="n">
        <v>6.01</v>
      </c>
      <c r="O1081" s="241" t="n">
        <v>19.9</v>
      </c>
      <c r="P1081" s="241" t="n">
        <v>2.25</v>
      </c>
    </row>
    <row r="1082">
      <c r="A1082" s="282" t="inlineStr">
        <is>
          <t>2010-06-10</t>
        </is>
      </c>
      <c r="B1082" s="240">
        <f>IFERROR(1/P1082-1,B1081)</f>
        <v/>
      </c>
      <c r="C1082" s="240">
        <f>$C$3</f>
        <v/>
      </c>
      <c r="D1082" s="240">
        <f>$D$3</f>
        <v/>
      </c>
      <c r="E1082" s="240">
        <f>$E$3</f>
        <v/>
      </c>
      <c r="F1082" s="241" t="n">
        <v>47.74</v>
      </c>
      <c r="G1082" s="242" t="n">
        <v>5754782</v>
      </c>
      <c r="H1082" s="241" t="n">
        <v>-2.33</v>
      </c>
      <c r="I1082" s="241" t="n">
        <v>0.63</v>
      </c>
      <c r="J1082" s="241" t="n">
        <v>5.88</v>
      </c>
      <c r="K1082" s="241" t="n">
        <v>20.22</v>
      </c>
      <c r="L1082" s="242" t="n">
        <v>4815815</v>
      </c>
      <c r="M1082" s="241" t="n">
        <v>-7.04</v>
      </c>
      <c r="N1082" s="241" t="n">
        <v>-1.45</v>
      </c>
      <c r="O1082" s="241" t="n">
        <v>11.46</v>
      </c>
      <c r="P1082" s="241" t="n">
        <v>2.36</v>
      </c>
    </row>
    <row r="1083">
      <c r="A1083" s="282" t="inlineStr">
        <is>
          <t>2010-06-11</t>
        </is>
      </c>
      <c r="B1083" s="240">
        <f>IFERROR(1/P1083-1,B1082)</f>
        <v/>
      </c>
      <c r="C1083" s="240">
        <f>$C$3</f>
        <v/>
      </c>
      <c r="D1083" s="240">
        <f>$D$3</f>
        <v/>
      </c>
      <c r="E1083" s="240">
        <f>$E$3</f>
        <v/>
      </c>
      <c r="F1083" s="241" t="n">
        <v>48.38</v>
      </c>
      <c r="G1083" s="242" t="n">
        <v>5039643</v>
      </c>
      <c r="H1083" s="241" t="n">
        <v>1.34</v>
      </c>
      <c r="I1083" s="241" t="n">
        <v>4.61</v>
      </c>
      <c r="J1083" s="241" t="n">
        <v>7.3</v>
      </c>
      <c r="K1083" s="241" t="n">
        <v>20.95</v>
      </c>
      <c r="L1083" s="242" t="n">
        <v>2343473</v>
      </c>
      <c r="M1083" s="241" t="n">
        <v>3.46</v>
      </c>
      <c r="N1083" s="241" t="n">
        <v>1.74</v>
      </c>
      <c r="O1083" s="241" t="n">
        <v>15.32</v>
      </c>
      <c r="P1083" s="241" t="n">
        <v>2.31</v>
      </c>
    </row>
    <row r="1084">
      <c r="A1084" s="282" t="inlineStr">
        <is>
          <t>2010-06-17</t>
        </is>
      </c>
      <c r="B1084" s="240">
        <f>IFERROR(1/P1084-1,B1083)</f>
        <v/>
      </c>
      <c r="C1084" s="240">
        <f>$C$3</f>
        <v/>
      </c>
      <c r="D1084" s="240">
        <f>$D$3</f>
        <v/>
      </c>
      <c r="E1084" s="240">
        <f>$E$3</f>
        <v/>
      </c>
      <c r="F1084" s="241" t="n">
        <v>49.68</v>
      </c>
      <c r="G1084" s="242" t="n">
        <v>10332170</v>
      </c>
      <c r="H1084" s="241" t="n">
        <v>2.69</v>
      </c>
      <c r="I1084" s="241" t="n">
        <v>5.61</v>
      </c>
      <c r="J1084" s="241" t="n">
        <v>10.18</v>
      </c>
      <c r="K1084" s="241" t="n">
        <v>21.38</v>
      </c>
      <c r="L1084" s="242" t="n">
        <v>1068700</v>
      </c>
      <c r="M1084" s="241" t="n">
        <v>-0.61</v>
      </c>
      <c r="N1084" s="241" t="n">
        <v>-4.35</v>
      </c>
      <c r="O1084" s="241" t="n">
        <v>17.73</v>
      </c>
      <c r="P1084" s="241" t="n">
        <v>2.32</v>
      </c>
    </row>
    <row r="1085">
      <c r="A1085" s="282" t="inlineStr">
        <is>
          <t>2010-06-18</t>
        </is>
      </c>
      <c r="B1085" s="240">
        <f>IFERROR(1/P1085-1,B1084)</f>
        <v/>
      </c>
      <c r="C1085" s="240">
        <f>$C$3</f>
        <v/>
      </c>
      <c r="D1085" s="240">
        <f>$D$3</f>
        <v/>
      </c>
      <c r="E1085" s="240">
        <f>$E$3</f>
        <v/>
      </c>
      <c r="F1085" s="241" t="n">
        <v>49.68</v>
      </c>
      <c r="G1085" s="242" t="n">
        <v>0</v>
      </c>
      <c r="H1085" s="241" t="n">
        <v>0</v>
      </c>
      <c r="I1085" s="241" t="n">
        <v>11.44</v>
      </c>
      <c r="J1085" s="241" t="n">
        <v>10.18</v>
      </c>
      <c r="K1085" s="241" t="n">
        <v>21.35</v>
      </c>
      <c r="L1085" s="242" t="n">
        <v>3589031</v>
      </c>
      <c r="M1085" s="241" t="n">
        <v>-0.2</v>
      </c>
      <c r="N1085" s="241" t="n">
        <v>-0.61</v>
      </c>
      <c r="O1085" s="241" t="n">
        <v>17.49</v>
      </c>
      <c r="P1085" s="241" t="n">
        <v>2.33</v>
      </c>
    </row>
    <row r="1086">
      <c r="A1086" s="282" t="inlineStr">
        <is>
          <t>2010-06-21</t>
        </is>
      </c>
      <c r="B1086" s="240">
        <f>IFERROR(1/P1086-1,B1085)</f>
        <v/>
      </c>
      <c r="C1086" s="240">
        <f>$C$3</f>
        <v/>
      </c>
      <c r="D1086" s="240">
        <f>$D$3</f>
        <v/>
      </c>
      <c r="E1086" s="240">
        <f>$E$3</f>
        <v/>
      </c>
      <c r="F1086" s="241" t="n">
        <v>47.64</v>
      </c>
      <c r="G1086" s="242" t="n">
        <v>6797792</v>
      </c>
      <c r="H1086" s="241" t="n">
        <v>-4.11</v>
      </c>
      <c r="I1086" s="241" t="n">
        <v>4.29</v>
      </c>
      <c r="J1086" s="241" t="n">
        <v>5.66</v>
      </c>
      <c r="K1086" s="241" t="n">
        <v>22.45</v>
      </c>
      <c r="L1086" s="242" t="n">
        <v>1698600</v>
      </c>
      <c r="M1086" s="241" t="n">
        <v>4.93</v>
      </c>
      <c r="N1086" s="241" t="n">
        <v>6.9</v>
      </c>
      <c r="O1086" s="241" t="n">
        <v>23.28</v>
      </c>
      <c r="P1086" s="241" t="n">
        <v>2.12</v>
      </c>
    </row>
    <row r="1087">
      <c r="A1087" s="282" t="inlineStr">
        <is>
          <t>2010-06-22</t>
        </is>
      </c>
      <c r="B1087" s="240">
        <f>IFERROR(1/P1087-1,B1086)</f>
        <v/>
      </c>
      <c r="C1087" s="240">
        <f>$C$3</f>
        <v/>
      </c>
      <c r="D1087" s="240">
        <f>$D$3</f>
        <v/>
      </c>
      <c r="E1087" s="240">
        <f>$E$3</f>
        <v/>
      </c>
      <c r="F1087" s="241" t="n">
        <v>47.82</v>
      </c>
      <c r="G1087" s="242" t="n">
        <v>3290942</v>
      </c>
      <c r="H1087" s="241" t="n">
        <v>0.38</v>
      </c>
      <c r="I1087" s="241" t="n">
        <v>1.85</v>
      </c>
      <c r="J1087" s="241" t="n">
        <v>6.05</v>
      </c>
      <c r="K1087" s="241" t="n">
        <v>21.69</v>
      </c>
      <c r="L1087" s="242" t="n">
        <v>2315979</v>
      </c>
      <c r="M1087" s="241" t="n">
        <v>-2.94</v>
      </c>
      <c r="N1087" s="241" t="n">
        <v>3.77</v>
      </c>
      <c r="O1087" s="241" t="n">
        <v>19.66</v>
      </c>
      <c r="P1087" s="241" t="n">
        <v>2.21</v>
      </c>
    </row>
    <row r="1088">
      <c r="A1088" s="282" t="inlineStr">
        <is>
          <t>2010-06-23</t>
        </is>
      </c>
      <c r="B1088" s="240">
        <f>IFERROR(1/P1088-1,B1087)</f>
        <v/>
      </c>
      <c r="C1088" s="240">
        <f>$C$3</f>
        <v/>
      </c>
      <c r="D1088" s="240">
        <f>$D$3</f>
        <v/>
      </c>
      <c r="E1088" s="240">
        <f>$E$3</f>
        <v/>
      </c>
      <c r="F1088" s="241" t="n">
        <v>46.38</v>
      </c>
      <c r="G1088" s="242" t="n">
        <v>4194132</v>
      </c>
      <c r="H1088" s="241" t="n">
        <v>-3.01</v>
      </c>
      <c r="I1088" s="241" t="n">
        <v>-1.21</v>
      </c>
      <c r="J1088" s="241" t="n">
        <v>2.86</v>
      </c>
      <c r="K1088" s="241" t="n">
        <v>22.14</v>
      </c>
      <c r="L1088" s="242" t="n">
        <v>1536545</v>
      </c>
      <c r="M1088" s="241" t="n">
        <v>2.02</v>
      </c>
      <c r="N1088" s="241" t="n">
        <v>5.86</v>
      </c>
      <c r="O1088" s="241" t="n">
        <v>22.07</v>
      </c>
      <c r="P1088" s="241" t="n">
        <v>2.09</v>
      </c>
    </row>
    <row r="1089">
      <c r="A1089" s="282" t="inlineStr">
        <is>
          <t>2010-06-24</t>
        </is>
      </c>
      <c r="B1089" s="240">
        <f>IFERROR(1/P1089-1,B1088)</f>
        <v/>
      </c>
      <c r="C1089" s="240">
        <f>$C$3</f>
        <v/>
      </c>
      <c r="D1089" s="240">
        <f>$D$3</f>
        <v/>
      </c>
      <c r="E1089" s="240">
        <f>$E$3</f>
        <v/>
      </c>
      <c r="F1089" s="241" t="n">
        <v>46.67</v>
      </c>
      <c r="G1089" s="242" t="n">
        <v>1606699</v>
      </c>
      <c r="H1089" s="241" t="n">
        <v>0.63</v>
      </c>
      <c r="I1089" s="241" t="n">
        <v>-0.6</v>
      </c>
      <c r="J1089" s="241" t="n">
        <v>3.5</v>
      </c>
      <c r="K1089" s="241" t="n">
        <v>21.8</v>
      </c>
      <c r="L1089" s="242" t="n">
        <v>468404</v>
      </c>
      <c r="M1089" s="241" t="n">
        <v>-1.58</v>
      </c>
      <c r="N1089" s="241" t="n">
        <v>4.18</v>
      </c>
      <c r="O1089" s="241" t="n">
        <v>20.14</v>
      </c>
      <c r="P1089" s="241" t="n">
        <v>2.14</v>
      </c>
    </row>
    <row r="1090">
      <c r="A1090" s="282" t="inlineStr">
        <is>
          <t>2010-06-25</t>
        </is>
      </c>
      <c r="B1090" s="240">
        <f>IFERROR(1/P1090-1,B1089)</f>
        <v/>
      </c>
      <c r="C1090" s="240">
        <f>$C$3</f>
        <v/>
      </c>
      <c r="D1090" s="240">
        <f>$D$3</f>
        <v/>
      </c>
      <c r="E1090" s="240">
        <f>$E$3</f>
        <v/>
      </c>
      <c r="F1090" s="241" t="n">
        <v>45.8</v>
      </c>
      <c r="G1090" s="242" t="n">
        <v>2450074</v>
      </c>
      <c r="H1090" s="241" t="n">
        <v>-1.86</v>
      </c>
      <c r="I1090" s="241" t="n">
        <v>-5.76</v>
      </c>
      <c r="J1090" s="241" t="n">
        <v>1.57</v>
      </c>
      <c r="K1090" s="241" t="n">
        <v>21.39</v>
      </c>
      <c r="L1090" s="242" t="n">
        <v>971800</v>
      </c>
      <c r="M1090" s="241" t="n">
        <v>-1.61</v>
      </c>
      <c r="N1090" s="241" t="n">
        <v>4.7</v>
      </c>
      <c r="O1090" s="241" t="n">
        <v>18.21</v>
      </c>
      <c r="P1090" s="241" t="n">
        <v>2.14</v>
      </c>
    </row>
    <row r="1091">
      <c r="A1091" s="282" t="inlineStr">
        <is>
          <t>2010-06-28</t>
        </is>
      </c>
      <c r="B1091" s="240">
        <f>IFERROR(1/P1091-1,B1090)</f>
        <v/>
      </c>
      <c r="C1091" s="240">
        <f>$C$3</f>
        <v/>
      </c>
      <c r="D1091" s="240">
        <f>$D$3</f>
        <v/>
      </c>
      <c r="E1091" s="240">
        <f>$E$3</f>
        <v/>
      </c>
      <c r="F1091" s="241" t="n">
        <v>46.65</v>
      </c>
      <c r="G1091" s="242" t="n">
        <v>3359413</v>
      </c>
      <c r="H1091" s="241" t="n">
        <v>1.86</v>
      </c>
      <c r="I1091" s="241" t="n">
        <v>-4.93</v>
      </c>
      <c r="J1091" s="241" t="n">
        <v>3.46</v>
      </c>
      <c r="K1091" s="241" t="n">
        <v>22.17</v>
      </c>
      <c r="L1091" s="242" t="n">
        <v>1160600</v>
      </c>
      <c r="M1091" s="241" t="n">
        <v>3.67</v>
      </c>
      <c r="N1091" s="241" t="n">
        <v>5.39</v>
      </c>
      <c r="O1091" s="241" t="n">
        <v>22.55</v>
      </c>
      <c r="P1091" s="241" t="n">
        <v>2.1</v>
      </c>
    </row>
    <row r="1092">
      <c r="A1092" s="282" t="inlineStr">
        <is>
          <t>2010-06-29</t>
        </is>
      </c>
      <c r="B1092" s="240">
        <f>IFERROR(1/P1092-1,B1091)</f>
        <v/>
      </c>
      <c r="C1092" s="240">
        <f>$C$3</f>
        <v/>
      </c>
      <c r="D1092" s="240">
        <f>$D$3</f>
        <v/>
      </c>
      <c r="E1092" s="240">
        <f>$E$3</f>
        <v/>
      </c>
      <c r="F1092" s="241" t="n">
        <v>44.1</v>
      </c>
      <c r="G1092" s="242" t="n">
        <v>5803675</v>
      </c>
      <c r="H1092" s="241" t="n">
        <v>-5.47</v>
      </c>
      <c r="I1092" s="241" t="n">
        <v>-10</v>
      </c>
      <c r="J1092" s="241" t="n">
        <v>-2.2</v>
      </c>
      <c r="K1092" s="241" t="n">
        <v>21.86</v>
      </c>
      <c r="L1092" s="242" t="n">
        <v>1457677</v>
      </c>
      <c r="M1092" s="241" t="n">
        <v>-1.38</v>
      </c>
      <c r="N1092" s="241" t="n">
        <v>3.73</v>
      </c>
      <c r="O1092" s="241" t="n">
        <v>20.86</v>
      </c>
      <c r="P1092" s="241" t="n">
        <v>2.02</v>
      </c>
    </row>
    <row r="1093">
      <c r="A1093" s="282" t="inlineStr">
        <is>
          <t>2010-06-30</t>
        </is>
      </c>
      <c r="B1093" s="240">
        <f>IFERROR(1/P1093-1,B1092)</f>
        <v/>
      </c>
      <c r="C1093" s="240">
        <f>$C$3</f>
        <v/>
      </c>
      <c r="D1093" s="240">
        <f>$D$3</f>
        <v/>
      </c>
      <c r="E1093" s="240">
        <f>$E$3</f>
        <v/>
      </c>
      <c r="F1093" s="241" t="n">
        <v>43.55</v>
      </c>
      <c r="G1093" s="242" t="n">
        <v>3485037</v>
      </c>
      <c r="H1093" s="241" t="n">
        <v>-1.25</v>
      </c>
      <c r="I1093" s="241" t="n">
        <v>-11.12</v>
      </c>
      <c r="J1093" s="241" t="n">
        <v>-3.42</v>
      </c>
      <c r="K1093" s="241" t="n">
        <v>21.11</v>
      </c>
      <c r="L1093" s="242" t="n">
        <v>1003284</v>
      </c>
      <c r="M1093" s="241" t="n">
        <v>-3.39</v>
      </c>
      <c r="N1093" s="241" t="n">
        <v>0.21</v>
      </c>
      <c r="O1093" s="241" t="n">
        <v>16.76</v>
      </c>
      <c r="P1093" s="241" t="n">
        <v>2.06</v>
      </c>
    </row>
    <row r="1094">
      <c r="A1094" s="282" t="inlineStr">
        <is>
          <t>2010-07-01</t>
        </is>
      </c>
      <c r="B1094" s="240">
        <f>IFERROR(1/P1094-1,B1093)</f>
        <v/>
      </c>
      <c r="C1094" s="240">
        <f>$C$3</f>
        <v/>
      </c>
      <c r="D1094" s="240">
        <f>$D$3</f>
        <v/>
      </c>
      <c r="E1094" s="240">
        <f>$E$3</f>
        <v/>
      </c>
      <c r="F1094" s="241" t="n">
        <v>42.21</v>
      </c>
      <c r="G1094" s="242" t="n">
        <v>3882992</v>
      </c>
      <c r="H1094" s="241" t="n">
        <v>-3.08</v>
      </c>
      <c r="I1094" s="241" t="n">
        <v>-10.48</v>
      </c>
      <c r="J1094" s="241" t="n">
        <v>-6.39</v>
      </c>
      <c r="K1094" s="239" t="inlineStr">
        <is>
          <t>--</t>
        </is>
      </c>
      <c r="L1094" s="239" t="inlineStr">
        <is>
          <t>--</t>
        </is>
      </c>
      <c r="M1094" s="239" t="inlineStr">
        <is>
          <t>--</t>
        </is>
      </c>
      <c r="N1094" s="239" t="inlineStr">
        <is>
          <t>--</t>
        </is>
      </c>
      <c r="O1094" s="239" t="inlineStr">
        <is>
          <t>--</t>
        </is>
      </c>
      <c r="P1094" s="239" t="inlineStr">
        <is>
          <t>--</t>
        </is>
      </c>
    </row>
    <row r="1095">
      <c r="A1095" s="282" t="inlineStr">
        <is>
          <t>2010-07-02</t>
        </is>
      </c>
      <c r="B1095" s="240">
        <f>IFERROR(1/P1095-1,B1094)</f>
        <v/>
      </c>
      <c r="C1095" s="240">
        <f>$C$3</f>
        <v/>
      </c>
      <c r="D1095" s="240">
        <f>$D$3</f>
        <v/>
      </c>
      <c r="E1095" s="240">
        <f>$E$3</f>
        <v/>
      </c>
      <c r="F1095" s="241" t="n">
        <v>20.41</v>
      </c>
      <c r="G1095" s="242" t="n">
        <v>6781090</v>
      </c>
      <c r="H1095" s="241" t="n">
        <v>-2.95</v>
      </c>
      <c r="I1095" s="241" t="n">
        <v>-13.13</v>
      </c>
      <c r="J1095" s="241" t="n">
        <v>-9.15</v>
      </c>
      <c r="K1095" s="241" t="n">
        <v>20.3</v>
      </c>
      <c r="L1095" s="242" t="n">
        <v>1941483</v>
      </c>
      <c r="M1095" s="241" t="n">
        <v>-3.51</v>
      </c>
      <c r="N1095" s="241" t="n">
        <v>-7.89</v>
      </c>
      <c r="O1095" s="241" t="n">
        <v>12.66</v>
      </c>
      <c r="P1095" s="241" t="n">
        <v>1.01</v>
      </c>
    </row>
    <row r="1096">
      <c r="A1096" s="282" t="inlineStr">
        <is>
          <t>2010-07-05</t>
        </is>
      </c>
      <c r="B1096" s="240">
        <f>IFERROR(1/P1096-1,B1095)</f>
        <v/>
      </c>
      <c r="C1096" s="240">
        <f>$C$3</f>
        <v/>
      </c>
      <c r="D1096" s="240">
        <f>$D$3</f>
        <v/>
      </c>
      <c r="E1096" s="240">
        <f>$E$3</f>
        <v/>
      </c>
      <c r="F1096" s="241" t="n">
        <v>19.49</v>
      </c>
      <c r="G1096" s="242" t="n">
        <v>6550074</v>
      </c>
      <c r="H1096" s="241" t="n">
        <v>-4.51</v>
      </c>
      <c r="I1096" s="241" t="n">
        <v>-17.09</v>
      </c>
      <c r="J1096" s="241" t="n">
        <v>-13.24</v>
      </c>
      <c r="K1096" s="241" t="n">
        <v>20.85</v>
      </c>
      <c r="L1096" s="242" t="n">
        <v>1927731</v>
      </c>
      <c r="M1096" s="241" t="n">
        <v>2.78</v>
      </c>
      <c r="N1096" s="241" t="n">
        <v>-8.220000000000001</v>
      </c>
      <c r="O1096" s="241" t="n">
        <v>15.8</v>
      </c>
      <c r="P1096" s="241" t="n">
        <v>0.93</v>
      </c>
    </row>
    <row r="1097">
      <c r="A1097" s="282" t="inlineStr">
        <is>
          <t>2010-07-06</t>
        </is>
      </c>
      <c r="B1097" s="240">
        <f>IFERROR(1/P1097-1,B1096)</f>
        <v/>
      </c>
      <c r="C1097" s="240">
        <f>$C$3</f>
        <v/>
      </c>
      <c r="D1097" s="240">
        <f>$D$3</f>
        <v/>
      </c>
      <c r="E1097" s="240">
        <f>$E$3</f>
        <v/>
      </c>
      <c r="F1097" s="241" t="n">
        <v>19.97</v>
      </c>
      <c r="G1097" s="242" t="n">
        <v>8459026</v>
      </c>
      <c r="H1097" s="241" t="n">
        <v>2.46</v>
      </c>
      <c r="I1097" s="241" t="n">
        <v>-15.04</v>
      </c>
      <c r="J1097" s="241" t="n">
        <v>-11.11</v>
      </c>
      <c r="K1097" s="241" t="n">
        <v>20.67</v>
      </c>
      <c r="L1097" s="242" t="n">
        <v>2629800</v>
      </c>
      <c r="M1097" s="241" t="n">
        <v>-1.04</v>
      </c>
      <c r="N1097" s="241" t="n">
        <v>-9.18</v>
      </c>
      <c r="O1097" s="241" t="n">
        <v>14.59</v>
      </c>
      <c r="P1097" s="241" t="n">
        <v>0.97</v>
      </c>
    </row>
    <row r="1098">
      <c r="A1098" s="282" t="inlineStr">
        <is>
          <t>2010-07-07</t>
        </is>
      </c>
      <c r="B1098" s="240">
        <f>IFERROR(1/P1098-1,B1097)</f>
        <v/>
      </c>
      <c r="C1098" s="240">
        <f>$C$3</f>
        <v/>
      </c>
      <c r="D1098" s="240">
        <f>$D$3</f>
        <v/>
      </c>
      <c r="E1098" s="240">
        <f>$E$3</f>
        <v/>
      </c>
      <c r="F1098" s="241" t="n">
        <v>20.2</v>
      </c>
      <c r="G1098" s="242" t="n">
        <v>7443182</v>
      </c>
      <c r="H1098" s="241" t="n">
        <v>1.15</v>
      </c>
      <c r="I1098" s="241" t="n">
        <v>-14.07</v>
      </c>
      <c r="J1098" s="241" t="n">
        <v>-10.08</v>
      </c>
      <c r="K1098" s="241" t="n">
        <v>20.06</v>
      </c>
      <c r="L1098" s="242" t="n">
        <v>1519400</v>
      </c>
      <c r="M1098" s="241" t="n">
        <v>-2.95</v>
      </c>
      <c r="N1098" s="241" t="n">
        <v>-11.85</v>
      </c>
      <c r="O1098" s="241" t="n">
        <v>11.21</v>
      </c>
      <c r="P1098" s="241" t="n">
        <v>1.01</v>
      </c>
    </row>
    <row r="1099">
      <c r="A1099" s="282" t="inlineStr">
        <is>
          <t>2010-07-08</t>
        </is>
      </c>
      <c r="B1099" s="240">
        <f>IFERROR(1/P1099-1,B1098)</f>
        <v/>
      </c>
      <c r="C1099" s="240">
        <f>$C$3</f>
        <v/>
      </c>
      <c r="D1099" s="240">
        <f>$D$3</f>
        <v/>
      </c>
      <c r="E1099" s="240">
        <f>$E$3</f>
        <v/>
      </c>
      <c r="F1099" s="241" t="n">
        <v>20.02</v>
      </c>
      <c r="G1099" s="242" t="n">
        <v>4760233</v>
      </c>
      <c r="H1099" s="241" t="n">
        <v>-0.89</v>
      </c>
      <c r="I1099" s="241" t="n">
        <v>-14.4</v>
      </c>
      <c r="J1099" s="241" t="n">
        <v>-10.88</v>
      </c>
      <c r="K1099" s="241" t="n">
        <v>20.41</v>
      </c>
      <c r="L1099" s="242" t="n">
        <v>807200</v>
      </c>
      <c r="M1099" s="241" t="n">
        <v>1.74</v>
      </c>
      <c r="N1099" s="241" t="n">
        <v>-11.34</v>
      </c>
      <c r="O1099" s="241" t="n">
        <v>13.14</v>
      </c>
      <c r="P1099" s="241" t="n">
        <v>0.98</v>
      </c>
    </row>
    <row r="1100">
      <c r="A1100" s="282" t="inlineStr">
        <is>
          <t>2010-07-09</t>
        </is>
      </c>
      <c r="B1100" s="240">
        <f>IFERROR(1/P1100-1,B1099)</f>
        <v/>
      </c>
      <c r="C1100" s="240">
        <f>$C$3</f>
        <v/>
      </c>
      <c r="D1100" s="240">
        <f>$D$3</f>
        <v/>
      </c>
      <c r="E1100" s="240">
        <f>$E$3</f>
        <v/>
      </c>
      <c r="F1100" s="241" t="n">
        <v>21.06</v>
      </c>
      <c r="G1100" s="242" t="n">
        <v>9091601</v>
      </c>
      <c r="H1100" s="241" t="n">
        <v>5.19</v>
      </c>
      <c r="I1100" s="241" t="n">
        <v>-10.75</v>
      </c>
      <c r="J1100" s="241" t="n">
        <v>-6.25</v>
      </c>
      <c r="K1100" s="241" t="n">
        <v>20.75</v>
      </c>
      <c r="L1100" s="242" t="n">
        <v>1302800</v>
      </c>
      <c r="M1100" s="241" t="n">
        <v>1.71</v>
      </c>
      <c r="N1100" s="241" t="n">
        <v>-11.34</v>
      </c>
      <c r="O1100" s="241" t="n">
        <v>15.07</v>
      </c>
      <c r="P1100" s="241" t="n">
        <v>1.01</v>
      </c>
    </row>
    <row r="1101">
      <c r="A1101" s="282" t="inlineStr">
        <is>
          <t>2010-07-12</t>
        </is>
      </c>
      <c r="B1101" s="240">
        <f>IFERROR(1/P1101-1,B1100)</f>
        <v/>
      </c>
      <c r="C1101" s="240">
        <f>$C$3</f>
        <v/>
      </c>
      <c r="D1101" s="240">
        <f>$D$3</f>
        <v/>
      </c>
      <c r="E1101" s="240">
        <f>$E$3</f>
        <v/>
      </c>
      <c r="F1101" s="241" t="n">
        <v>21.25</v>
      </c>
      <c r="G1101" s="242" t="n">
        <v>6616781</v>
      </c>
      <c r="H1101" s="241" t="n">
        <v>0.9</v>
      </c>
      <c r="I1101" s="241" t="n">
        <v>-11.84</v>
      </c>
      <c r="J1101" s="241" t="n">
        <v>-5.41</v>
      </c>
      <c r="K1101" s="241" t="n">
        <v>21.22</v>
      </c>
      <c r="L1101" s="242" t="n">
        <v>1425600</v>
      </c>
      <c r="M1101" s="241" t="n">
        <v>2.1</v>
      </c>
      <c r="N1101" s="241" t="n">
        <v>1.88</v>
      </c>
      <c r="O1101" s="241" t="n">
        <v>17.49</v>
      </c>
      <c r="P1101" s="241" t="n">
        <v>1</v>
      </c>
    </row>
    <row r="1102">
      <c r="A1102" s="282" t="inlineStr">
        <is>
          <t>2010-07-13</t>
        </is>
      </c>
      <c r="B1102" s="240">
        <f>IFERROR(1/P1102-1,B1101)</f>
        <v/>
      </c>
      <c r="C1102" s="240">
        <f>$C$3</f>
        <v/>
      </c>
      <c r="D1102" s="240">
        <f>$D$3</f>
        <v/>
      </c>
      <c r="E1102" s="240">
        <f>$E$3</f>
        <v/>
      </c>
      <c r="F1102" s="241" t="n">
        <v>20.79</v>
      </c>
      <c r="G1102" s="242" t="n">
        <v>6400216</v>
      </c>
      <c r="H1102" s="241" t="n">
        <v>-2.16</v>
      </c>
      <c r="I1102" s="241" t="n">
        <v>-13.75</v>
      </c>
      <c r="J1102" s="241" t="n">
        <v>-7.46</v>
      </c>
      <c r="K1102" s="241" t="n">
        <v>20.97</v>
      </c>
      <c r="L1102" s="242" t="n">
        <v>415000</v>
      </c>
      <c r="M1102" s="241" t="n">
        <v>-1.23</v>
      </c>
      <c r="N1102" s="241" t="n">
        <v>0.63</v>
      </c>
      <c r="O1102" s="241" t="n">
        <v>16.04</v>
      </c>
      <c r="P1102" s="241" t="n">
        <v>0.99</v>
      </c>
    </row>
    <row r="1103">
      <c r="A1103" s="282" t="inlineStr">
        <is>
          <t>2010-07-14</t>
        </is>
      </c>
      <c r="B1103" s="240">
        <f>IFERROR(1/P1103-1,B1102)</f>
        <v/>
      </c>
      <c r="C1103" s="240">
        <f>$C$3</f>
        <v/>
      </c>
      <c r="D1103" s="240">
        <f>$D$3</f>
        <v/>
      </c>
      <c r="E1103" s="240">
        <f>$E$3</f>
        <v/>
      </c>
      <c r="F1103" s="241" t="n">
        <v>21</v>
      </c>
      <c r="G1103" s="242" t="n">
        <v>8063296</v>
      </c>
      <c r="H1103" s="241" t="n">
        <v>1.01</v>
      </c>
      <c r="I1103" s="241" t="n">
        <v>-12.88</v>
      </c>
      <c r="J1103" s="241" t="n">
        <v>-6.52</v>
      </c>
      <c r="K1103" s="241" t="n">
        <v>21.48</v>
      </c>
      <c r="L1103" s="242" t="n">
        <v>1256540</v>
      </c>
      <c r="M1103" s="241" t="n">
        <v>2.49</v>
      </c>
      <c r="N1103" s="241" t="n">
        <v>3.14</v>
      </c>
      <c r="O1103" s="241" t="n">
        <v>18.93</v>
      </c>
      <c r="P1103" s="241" t="n">
        <v>0.98</v>
      </c>
    </row>
    <row r="1104">
      <c r="A1104" s="282" t="inlineStr">
        <is>
          <t>2010-07-15</t>
        </is>
      </c>
      <c r="B1104" s="240">
        <f>IFERROR(1/P1104-1,B1103)</f>
        <v/>
      </c>
      <c r="C1104" s="240">
        <f>$C$3</f>
        <v/>
      </c>
      <c r="D1104" s="240">
        <f>$D$3</f>
        <v/>
      </c>
      <c r="E1104" s="240">
        <f>$E$3</f>
        <v/>
      </c>
      <c r="F1104" s="241" t="n">
        <v>20.19</v>
      </c>
      <c r="G1104" s="242" t="n">
        <v>6012863</v>
      </c>
      <c r="H1104" s="241" t="n">
        <v>-3.86</v>
      </c>
      <c r="I1104" s="241" t="n">
        <v>-16.24</v>
      </c>
      <c r="J1104" s="241" t="n">
        <v>-10.13</v>
      </c>
      <c r="K1104" s="241" t="n">
        <v>21.14</v>
      </c>
      <c r="L1104" s="242" t="n">
        <v>492800</v>
      </c>
      <c r="M1104" s="241" t="n">
        <v>-1.62</v>
      </c>
      <c r="N1104" s="241" t="n">
        <v>-1.62</v>
      </c>
      <c r="O1104" s="241" t="n">
        <v>17</v>
      </c>
      <c r="P1104" s="241" t="n">
        <v>0.96</v>
      </c>
    </row>
    <row r="1105">
      <c r="A1105" s="282" t="inlineStr">
        <is>
          <t>2010-07-16</t>
        </is>
      </c>
      <c r="B1105" s="240">
        <f>IFERROR(1/P1105-1,B1104)</f>
        <v/>
      </c>
      <c r="C1105" s="240">
        <f>$C$3</f>
        <v/>
      </c>
      <c r="D1105" s="240">
        <f>$D$3</f>
        <v/>
      </c>
      <c r="E1105" s="240">
        <f>$E$3</f>
        <v/>
      </c>
      <c r="F1105" s="241" t="n">
        <v>20.08</v>
      </c>
      <c r="G1105" s="242" t="n">
        <v>5125154</v>
      </c>
      <c r="H1105" s="241" t="n">
        <v>-0.54</v>
      </c>
      <c r="I1105" s="241" t="n">
        <v>-16.69</v>
      </c>
      <c r="J1105" s="241" t="n">
        <v>-10.62</v>
      </c>
      <c r="K1105" s="241" t="n">
        <v>21.09</v>
      </c>
      <c r="L1105" s="242" t="n">
        <v>851720</v>
      </c>
      <c r="M1105" s="241" t="n">
        <v>-0.21</v>
      </c>
      <c r="N1105" s="241" t="n">
        <v>-1.43</v>
      </c>
      <c r="O1105" s="241" t="n">
        <v>16.76</v>
      </c>
      <c r="P1105" s="241" t="n">
        <v>0.95</v>
      </c>
    </row>
    <row r="1106">
      <c r="A1106" s="282" t="inlineStr">
        <is>
          <t>2010-07-19</t>
        </is>
      </c>
      <c r="B1106" s="240">
        <f>IFERROR(1/P1106-1,B1105)</f>
        <v/>
      </c>
      <c r="C1106" s="240">
        <f>$C$3</f>
        <v/>
      </c>
      <c r="D1106" s="240">
        <f>$D$3</f>
        <v/>
      </c>
      <c r="E1106" s="240">
        <f>$E$3</f>
        <v/>
      </c>
      <c r="F1106" s="241" t="n">
        <v>20.71</v>
      </c>
      <c r="G1106" s="242" t="n">
        <v>9367802</v>
      </c>
      <c r="H1106" s="241" t="n">
        <v>3.14</v>
      </c>
      <c r="I1106" s="241" t="n">
        <v>-16.33</v>
      </c>
      <c r="J1106" s="241" t="n">
        <v>-7.81</v>
      </c>
      <c r="K1106" s="241" t="n">
        <v>21.28</v>
      </c>
      <c r="L1106" s="242" t="n">
        <v>1591357</v>
      </c>
      <c r="M1106" s="241" t="n">
        <v>0.83</v>
      </c>
      <c r="N1106" s="241" t="n">
        <v>0.21</v>
      </c>
      <c r="O1106" s="241" t="n">
        <v>17.73</v>
      </c>
      <c r="P1106" s="241" t="n">
        <v>0.97</v>
      </c>
    </row>
    <row r="1107">
      <c r="A1107" s="282" t="inlineStr">
        <is>
          <t>2010-07-20</t>
        </is>
      </c>
      <c r="B1107" s="240">
        <f>IFERROR(1/P1107-1,B1106)</f>
        <v/>
      </c>
      <c r="C1107" s="240">
        <f>$C$3</f>
        <v/>
      </c>
      <c r="D1107" s="240">
        <f>$D$3</f>
        <v/>
      </c>
      <c r="E1107" s="240">
        <f>$E$3</f>
        <v/>
      </c>
      <c r="F1107" s="241" t="n">
        <v>21.78</v>
      </c>
      <c r="G1107" s="242" t="n">
        <v>13240619</v>
      </c>
      <c r="H1107" s="241" t="n">
        <v>5.17</v>
      </c>
      <c r="I1107" s="241" t="n">
        <v>-12.01</v>
      </c>
      <c r="J1107" s="241" t="n">
        <v>-3.05</v>
      </c>
      <c r="K1107" s="241" t="n">
        <v>22.63</v>
      </c>
      <c r="L1107" s="242" t="n">
        <v>1816800</v>
      </c>
      <c r="M1107" s="241" t="n">
        <v>6.35</v>
      </c>
      <c r="N1107" s="241" t="n">
        <v>6.57</v>
      </c>
      <c r="O1107" s="241" t="n">
        <v>25.21</v>
      </c>
      <c r="P1107" s="241" t="n">
        <v>0.96</v>
      </c>
    </row>
    <row r="1108">
      <c r="A1108" s="282" t="inlineStr">
        <is>
          <t>2010-07-21</t>
        </is>
      </c>
      <c r="B1108" s="240">
        <f>IFERROR(1/P1108-1,B1107)</f>
        <v/>
      </c>
      <c r="C1108" s="240">
        <f>$C$3</f>
        <v/>
      </c>
      <c r="D1108" s="240">
        <f>$D$3</f>
        <v/>
      </c>
      <c r="E1108" s="240">
        <f>$E$3</f>
        <v/>
      </c>
      <c r="F1108" s="241" t="n">
        <v>22.27</v>
      </c>
      <c r="G1108" s="242" t="n">
        <v>26962397</v>
      </c>
      <c r="H1108" s="241" t="n">
        <v>2.25</v>
      </c>
      <c r="I1108" s="241" t="n">
        <v>-10.03</v>
      </c>
      <c r="J1108" s="241" t="n">
        <v>-0.87</v>
      </c>
      <c r="K1108" s="241" t="n">
        <v>23.1</v>
      </c>
      <c r="L1108" s="242" t="n">
        <v>1855400</v>
      </c>
      <c r="M1108" s="241" t="n">
        <v>2.12</v>
      </c>
      <c r="N1108" s="241" t="n">
        <v>8.83</v>
      </c>
      <c r="O1108" s="241" t="n">
        <v>27.86</v>
      </c>
      <c r="P1108" s="241" t="n">
        <v>0.96</v>
      </c>
    </row>
    <row r="1109">
      <c r="A1109" s="282" t="inlineStr">
        <is>
          <t>2010-07-22</t>
        </is>
      </c>
      <c r="B1109" s="240">
        <f>IFERROR(1/P1109-1,B1108)</f>
        <v/>
      </c>
      <c r="C1109" s="240">
        <f>$C$3</f>
        <v/>
      </c>
      <c r="D1109" s="240">
        <f>$D$3</f>
        <v/>
      </c>
      <c r="E1109" s="240">
        <f>$E$3</f>
        <v/>
      </c>
      <c r="F1109" s="241" t="n">
        <v>22.79</v>
      </c>
      <c r="G1109" s="242" t="n">
        <v>15807550</v>
      </c>
      <c r="H1109" s="241" t="n">
        <v>2.33</v>
      </c>
      <c r="I1109" s="241" t="n">
        <v>-3.98</v>
      </c>
      <c r="J1109" s="241" t="n">
        <v>1.45</v>
      </c>
      <c r="K1109" s="241" t="n">
        <v>23.17</v>
      </c>
      <c r="L1109" s="242" t="n">
        <v>655700</v>
      </c>
      <c r="M1109" s="241" t="n">
        <v>0.19</v>
      </c>
      <c r="N1109" s="241" t="n">
        <v>3.91</v>
      </c>
      <c r="O1109" s="241" t="n">
        <v>28.1</v>
      </c>
      <c r="P1109" s="241" t="n">
        <v>0.98</v>
      </c>
    </row>
    <row r="1110">
      <c r="A1110" s="282" t="inlineStr">
        <is>
          <t>2010-07-23</t>
        </is>
      </c>
      <c r="B1110" s="240">
        <f>IFERROR(1/P1110-1,B1109)</f>
        <v/>
      </c>
      <c r="C1110" s="240">
        <f>$C$3</f>
        <v/>
      </c>
      <c r="D1110" s="240">
        <f>$D$3</f>
        <v/>
      </c>
      <c r="E1110" s="240">
        <f>$E$3</f>
        <v/>
      </c>
      <c r="F1110" s="241" t="n">
        <v>23.13</v>
      </c>
      <c r="G1110" s="242" t="n">
        <v>13861920</v>
      </c>
      <c r="H1110" s="241" t="n">
        <v>1.49</v>
      </c>
      <c r="I1110" s="241" t="n">
        <v>-2.92</v>
      </c>
      <c r="J1110" s="241" t="n">
        <v>2.96</v>
      </c>
      <c r="K1110" s="241" t="n">
        <v>22.67</v>
      </c>
      <c r="L1110" s="242" t="n">
        <v>1323200</v>
      </c>
      <c r="M1110" s="241" t="n">
        <v>-2.07</v>
      </c>
      <c r="N1110" s="241" t="n">
        <v>4.84</v>
      </c>
      <c r="O1110" s="241" t="n">
        <v>25.45</v>
      </c>
      <c r="P1110" s="241" t="n">
        <v>1.02</v>
      </c>
    </row>
    <row r="1111">
      <c r="A1111" s="282" t="inlineStr">
        <is>
          <t>2010-07-26</t>
        </is>
      </c>
      <c r="B1111" s="240">
        <f>IFERROR(1/P1111-1,B1110)</f>
        <v/>
      </c>
      <c r="C1111" s="240">
        <f>$C$3</f>
        <v/>
      </c>
      <c r="D1111" s="240">
        <f>$D$3</f>
        <v/>
      </c>
      <c r="E1111" s="240">
        <f>$E$3</f>
        <v/>
      </c>
      <c r="F1111" s="241" t="n">
        <v>23.6</v>
      </c>
      <c r="G1111" s="242" t="n">
        <v>16091685</v>
      </c>
      <c r="H1111" s="241" t="n">
        <v>2.03</v>
      </c>
      <c r="I1111" s="241" t="n">
        <v>3.42</v>
      </c>
      <c r="J1111" s="241" t="n">
        <v>5.05</v>
      </c>
      <c r="K1111" s="241" t="n">
        <v>22.03</v>
      </c>
      <c r="L1111" s="242" t="n">
        <v>2722789</v>
      </c>
      <c r="M1111" s="241" t="n">
        <v>-2.88</v>
      </c>
      <c r="N1111" s="241" t="n">
        <v>3.06</v>
      </c>
      <c r="O1111" s="241" t="n">
        <v>21.83</v>
      </c>
      <c r="P1111" s="241" t="n">
        <v>1.07</v>
      </c>
    </row>
    <row r="1112">
      <c r="A1112" s="282" t="inlineStr">
        <is>
          <t>2010-07-27</t>
        </is>
      </c>
      <c r="B1112" s="240">
        <f>IFERROR(1/P1112-1,B1111)</f>
        <v/>
      </c>
      <c r="C1112" s="240">
        <f>$C$3</f>
        <v/>
      </c>
      <c r="D1112" s="240">
        <f>$D$3</f>
        <v/>
      </c>
      <c r="E1112" s="240">
        <f>$E$3</f>
        <v/>
      </c>
      <c r="F1112" s="241" t="n">
        <v>23.57</v>
      </c>
      <c r="G1112" s="242" t="n">
        <v>11503650</v>
      </c>
      <c r="H1112" s="241" t="n">
        <v>-0.13</v>
      </c>
      <c r="I1112" s="241" t="n">
        <v>3.29</v>
      </c>
      <c r="J1112" s="241" t="n">
        <v>4.92</v>
      </c>
      <c r="K1112" s="241" t="n">
        <v>21.98</v>
      </c>
      <c r="L1112" s="242" t="n">
        <v>2900389</v>
      </c>
      <c r="M1112" s="241" t="n">
        <v>-0.2</v>
      </c>
      <c r="N1112" s="241" t="n">
        <v>2.86</v>
      </c>
      <c r="O1112" s="241" t="n">
        <v>21.59</v>
      </c>
      <c r="P1112" s="241" t="n">
        <v>1.07</v>
      </c>
    </row>
    <row r="1113">
      <c r="A1113" s="282" t="inlineStr">
        <is>
          <t>2010-07-28</t>
        </is>
      </c>
      <c r="B1113" s="240">
        <f>IFERROR(1/P1113-1,B1112)</f>
        <v/>
      </c>
      <c r="C1113" s="240">
        <f>$C$3</f>
        <v/>
      </c>
      <c r="D1113" s="240">
        <f>$D$3</f>
        <v/>
      </c>
      <c r="E1113" s="240">
        <f>$E$3</f>
        <v/>
      </c>
      <c r="F1113" s="241" t="n">
        <v>23.91</v>
      </c>
      <c r="G1113" s="242" t="n">
        <v>15336478</v>
      </c>
      <c r="H1113" s="241" t="n">
        <v>1.44</v>
      </c>
      <c r="I1113" s="241" t="n">
        <v>4.78</v>
      </c>
      <c r="J1113" s="241" t="n">
        <v>6.43</v>
      </c>
      <c r="K1113" s="241" t="n">
        <v>22.47</v>
      </c>
      <c r="L1113" s="242" t="n">
        <v>3751400</v>
      </c>
      <c r="M1113" s="241" t="n">
        <v>2.18</v>
      </c>
      <c r="N1113" s="241" t="n">
        <v>5.1</v>
      </c>
      <c r="O1113" s="241" t="n">
        <v>24.24</v>
      </c>
      <c r="P1113" s="241" t="n">
        <v>1.06</v>
      </c>
    </row>
    <row r="1114">
      <c r="A1114" s="282" t="inlineStr">
        <is>
          <t>2010-07-29</t>
        </is>
      </c>
      <c r="B1114" s="240">
        <f>IFERROR(1/P1114-1,B1113)</f>
        <v/>
      </c>
      <c r="C1114" s="240">
        <f>$C$3</f>
        <v/>
      </c>
      <c r="D1114" s="240">
        <f>$D$3</f>
        <v/>
      </c>
      <c r="E1114" s="240">
        <f>$E$3</f>
        <v/>
      </c>
      <c r="F1114" s="241" t="n">
        <v>23.69</v>
      </c>
      <c r="G1114" s="242" t="n">
        <v>11514286</v>
      </c>
      <c r="H1114" s="241" t="n">
        <v>-0.92</v>
      </c>
      <c r="I1114" s="241" t="n">
        <v>1.93</v>
      </c>
      <c r="J1114" s="241" t="n">
        <v>5.45</v>
      </c>
      <c r="K1114" s="241" t="n">
        <v>22.87</v>
      </c>
      <c r="L1114" s="242" t="n">
        <v>1166200</v>
      </c>
      <c r="M1114" s="241" t="n">
        <v>1.75</v>
      </c>
      <c r="N1114" s="241" t="n">
        <v>3.15</v>
      </c>
      <c r="O1114" s="241" t="n">
        <v>26.41</v>
      </c>
      <c r="P1114" s="241" t="n">
        <v>1.04</v>
      </c>
    </row>
    <row r="1115">
      <c r="A1115" s="282" t="inlineStr">
        <is>
          <t>2010-07-30</t>
        </is>
      </c>
      <c r="B1115" s="240">
        <f>IFERROR(1/P1115-1,B1114)</f>
        <v/>
      </c>
      <c r="C1115" s="240">
        <f>$C$3</f>
        <v/>
      </c>
      <c r="D1115" s="240">
        <f>$D$3</f>
        <v/>
      </c>
      <c r="E1115" s="240">
        <f>$E$3</f>
        <v/>
      </c>
      <c r="F1115" s="241" t="n">
        <v>23.52</v>
      </c>
      <c r="G1115" s="242" t="n">
        <v>8854467</v>
      </c>
      <c r="H1115" s="241" t="n">
        <v>-0.72</v>
      </c>
      <c r="I1115" s="241" t="n">
        <v>7.05</v>
      </c>
      <c r="J1115" s="241" t="n">
        <v>4.7</v>
      </c>
      <c r="K1115" s="241" t="n">
        <v>23.29</v>
      </c>
      <c r="L1115" s="242" t="n">
        <v>1660600</v>
      </c>
      <c r="M1115" s="241" t="n">
        <v>1.91</v>
      </c>
      <c r="N1115" s="241" t="n">
        <v>6.59</v>
      </c>
      <c r="O1115" s="241" t="n">
        <v>28.83</v>
      </c>
      <c r="P1115" s="241" t="n">
        <v>1.01</v>
      </c>
    </row>
    <row r="1116">
      <c r="A1116" s="282" t="inlineStr">
        <is>
          <t>2010-08-02</t>
        </is>
      </c>
      <c r="B1116" s="240">
        <f>IFERROR(1/P1116-1,B1115)</f>
        <v/>
      </c>
      <c r="C1116" s="240">
        <f>$C$3</f>
        <v/>
      </c>
      <c r="D1116" s="240">
        <f>$D$3</f>
        <v/>
      </c>
      <c r="E1116" s="240">
        <f>$E$3</f>
        <v/>
      </c>
      <c r="F1116" s="241" t="n">
        <v>24.29</v>
      </c>
      <c r="G1116" s="242" t="n">
        <v>13873416</v>
      </c>
      <c r="H1116" s="241" t="n">
        <v>3.27</v>
      </c>
      <c r="I1116" s="241" t="n">
        <v>15.5</v>
      </c>
      <c r="J1116" s="241" t="n">
        <v>8.119999999999999</v>
      </c>
      <c r="K1116" s="241" t="n">
        <v>23.99</v>
      </c>
      <c r="L1116" s="242" t="n">
        <v>2865000</v>
      </c>
      <c r="M1116" s="241" t="n">
        <v>3</v>
      </c>
      <c r="N1116" s="241" t="n">
        <v>13.64</v>
      </c>
      <c r="O1116" s="241" t="n">
        <v>32.69</v>
      </c>
      <c r="P1116" s="241" t="n">
        <v>1.01</v>
      </c>
    </row>
    <row r="1117">
      <c r="A1117" s="282" t="inlineStr">
        <is>
          <t>2010-08-03</t>
        </is>
      </c>
      <c r="B1117" s="240">
        <f>IFERROR(1/P1117-1,B1116)</f>
        <v/>
      </c>
      <c r="C1117" s="240">
        <f>$C$3</f>
        <v/>
      </c>
      <c r="D1117" s="240">
        <f>$D$3</f>
        <v/>
      </c>
      <c r="E1117" s="240">
        <f>$E$3</f>
        <v/>
      </c>
      <c r="F1117" s="241" t="n">
        <v>23.7</v>
      </c>
      <c r="G1117" s="242" t="n">
        <v>11704681</v>
      </c>
      <c r="H1117" s="241" t="n">
        <v>-2.43</v>
      </c>
      <c r="I1117" s="241" t="n">
        <v>16.12</v>
      </c>
      <c r="J1117" s="241" t="n">
        <v>5.5</v>
      </c>
      <c r="K1117" s="241" t="n">
        <v>24.6</v>
      </c>
      <c r="L1117" s="242" t="n">
        <v>2945258</v>
      </c>
      <c r="M1117" s="241" t="n">
        <v>2.55</v>
      </c>
      <c r="N1117" s="241" t="n">
        <v>20.77</v>
      </c>
      <c r="O1117" s="241" t="n">
        <v>36.06</v>
      </c>
      <c r="P1117" s="241" t="n">
        <v>0.96</v>
      </c>
    </row>
    <row r="1118">
      <c r="A1118" s="282" t="inlineStr">
        <is>
          <t>2010-08-04</t>
        </is>
      </c>
      <c r="B1118" s="240">
        <f>IFERROR(1/P1118-1,B1117)</f>
        <v/>
      </c>
      <c r="C1118" s="240">
        <f>$C$3</f>
        <v/>
      </c>
      <c r="D1118" s="240">
        <f>$D$3</f>
        <v/>
      </c>
      <c r="E1118" s="240">
        <f>$E$3</f>
        <v/>
      </c>
      <c r="F1118" s="241" t="n">
        <v>24.8</v>
      </c>
      <c r="G1118" s="242" t="n">
        <v>13952764</v>
      </c>
      <c r="H1118" s="241" t="n">
        <v>4.64</v>
      </c>
      <c r="I1118" s="241" t="n">
        <v>21.51</v>
      </c>
      <c r="J1118" s="241" t="n">
        <v>10.39</v>
      </c>
      <c r="K1118" s="241" t="n">
        <v>25.35</v>
      </c>
      <c r="L1118" s="242" t="n">
        <v>1902215</v>
      </c>
      <c r="M1118" s="241" t="n">
        <v>3.01</v>
      </c>
      <c r="N1118" s="241" t="n">
        <v>24.41</v>
      </c>
      <c r="O1118" s="241" t="n">
        <v>40.16</v>
      </c>
      <c r="P1118" s="241" t="n">
        <v>0.98</v>
      </c>
    </row>
    <row r="1119">
      <c r="A1119" s="282" t="inlineStr">
        <is>
          <t>2010-08-05</t>
        </is>
      </c>
      <c r="B1119" s="240">
        <f>IFERROR(1/P1119-1,B1118)</f>
        <v/>
      </c>
      <c r="C1119" s="240">
        <f>$C$3</f>
        <v/>
      </c>
      <c r="D1119" s="240">
        <f>$D$3</f>
        <v/>
      </c>
      <c r="E1119" s="240">
        <f>$E$3</f>
        <v/>
      </c>
      <c r="F1119" s="241" t="n">
        <v>24.51</v>
      </c>
      <c r="G1119" s="242" t="n">
        <v>13312802</v>
      </c>
      <c r="H1119" s="241" t="n">
        <v>-1.17</v>
      </c>
      <c r="I1119" s="241" t="n">
        <v>20.09</v>
      </c>
      <c r="J1119" s="241" t="n">
        <v>9.1</v>
      </c>
      <c r="K1119" s="241" t="n">
        <v>24.27</v>
      </c>
      <c r="L1119" s="242" t="n">
        <v>3630000</v>
      </c>
      <c r="M1119" s="241" t="n">
        <v>-4.3</v>
      </c>
      <c r="N1119" s="241" t="n">
        <v>19.06</v>
      </c>
      <c r="O1119" s="241" t="n">
        <v>34.13</v>
      </c>
      <c r="P1119" s="241" t="n">
        <v>1.01</v>
      </c>
    </row>
    <row r="1120">
      <c r="A1120" s="282" t="inlineStr">
        <is>
          <t>2010-08-06</t>
        </is>
      </c>
      <c r="B1120" s="240">
        <f>IFERROR(1/P1120-1,B1119)</f>
        <v/>
      </c>
      <c r="C1120" s="240">
        <f>$C$3</f>
        <v/>
      </c>
      <c r="D1120" s="240">
        <f>$D$3</f>
        <v/>
      </c>
      <c r="E1120" s="240">
        <f>$E$3</f>
        <v/>
      </c>
      <c r="F1120" s="241" t="n">
        <v>24.95</v>
      </c>
      <c r="G1120" s="242" t="n">
        <v>12599223</v>
      </c>
      <c r="H1120" s="241" t="n">
        <v>1.8</v>
      </c>
      <c r="I1120" s="241" t="n">
        <v>28.01</v>
      </c>
      <c r="J1120" s="241" t="n">
        <v>11.06</v>
      </c>
      <c r="K1120" s="241" t="n">
        <v>23.99</v>
      </c>
      <c r="L1120" s="242" t="n">
        <v>3202000</v>
      </c>
      <c r="M1120" s="241" t="n">
        <v>-1.08</v>
      </c>
      <c r="N1120" s="241" t="n">
        <v>14.58</v>
      </c>
      <c r="O1120" s="241" t="n">
        <v>32.69</v>
      </c>
      <c r="P1120" s="241" t="n">
        <v>1.04</v>
      </c>
    </row>
    <row r="1121">
      <c r="A1121" s="282" t="inlineStr">
        <is>
          <t>2010-08-09</t>
        </is>
      </c>
      <c r="B1121" s="240">
        <f>IFERROR(1/P1121-1,B1120)</f>
        <v/>
      </c>
      <c r="C1121" s="240">
        <f>$C$3</f>
        <v/>
      </c>
      <c r="D1121" s="240">
        <f>$D$3</f>
        <v/>
      </c>
      <c r="E1121" s="240">
        <f>$E$3</f>
        <v/>
      </c>
      <c r="F1121" s="241" t="n">
        <v>25.38</v>
      </c>
      <c r="G1121" s="242" t="n">
        <v>12146816</v>
      </c>
      <c r="H1121" s="241" t="n">
        <v>1.72</v>
      </c>
      <c r="I1121" s="241" t="n">
        <v>26.77</v>
      </c>
      <c r="J1121" s="241" t="n">
        <v>12.98</v>
      </c>
      <c r="K1121" s="241" t="n">
        <v>25.63</v>
      </c>
      <c r="L1121" s="242" t="n">
        <v>2052000</v>
      </c>
      <c r="M1121" s="241" t="n">
        <v>6.91</v>
      </c>
      <c r="N1121" s="241" t="n">
        <v>25.37</v>
      </c>
      <c r="O1121" s="241" t="n">
        <v>41.85</v>
      </c>
      <c r="P1121" s="241" t="n">
        <v>0.99</v>
      </c>
    </row>
    <row r="1122">
      <c r="A1122" s="282" t="inlineStr">
        <is>
          <t>2010-08-10</t>
        </is>
      </c>
      <c r="B1122" s="240">
        <f>IFERROR(1/P1122-1,B1121)</f>
        <v/>
      </c>
      <c r="C1122" s="240">
        <f>$C$3</f>
        <v/>
      </c>
      <c r="D1122" s="240">
        <f>$D$3</f>
        <v/>
      </c>
      <c r="E1122" s="240">
        <f>$E$3</f>
        <v/>
      </c>
      <c r="F1122" s="241" t="n">
        <v>24.65</v>
      </c>
      <c r="G1122" s="242" t="n">
        <v>15131572</v>
      </c>
      <c r="H1122" s="241" t="n">
        <v>-2.88</v>
      </c>
      <c r="I1122" s="241" t="n">
        <v>17.05</v>
      </c>
      <c r="J1122" s="241" t="n">
        <v>9.73</v>
      </c>
      <c r="K1122" s="241" t="n">
        <v>25.05</v>
      </c>
      <c r="L1122" s="242" t="n">
        <v>1858800</v>
      </c>
      <c r="M1122" s="241" t="n">
        <v>-2.38</v>
      </c>
      <c r="N1122" s="241" t="n">
        <v>20.34</v>
      </c>
      <c r="O1122" s="241" t="n">
        <v>38.48</v>
      </c>
      <c r="P1122" s="241" t="n">
        <v>0.98</v>
      </c>
    </row>
    <row r="1123">
      <c r="A1123" s="282" t="inlineStr">
        <is>
          <t>2010-08-11</t>
        </is>
      </c>
      <c r="B1123" s="240">
        <f>IFERROR(1/P1123-1,B1122)</f>
        <v/>
      </c>
      <c r="C1123" s="240">
        <f>$C$3</f>
        <v/>
      </c>
      <c r="D1123" s="240">
        <f>$D$3</f>
        <v/>
      </c>
      <c r="E1123" s="240">
        <f>$E$3</f>
        <v/>
      </c>
      <c r="F1123" s="241" t="n">
        <v>24.59</v>
      </c>
      <c r="G1123" s="242" t="n">
        <v>11708512</v>
      </c>
      <c r="H1123" s="241" t="n">
        <v>-0.24</v>
      </c>
      <c r="I1123" s="241" t="n">
        <v>16.76</v>
      </c>
      <c r="J1123" s="241" t="n">
        <v>9.460000000000001</v>
      </c>
      <c r="K1123" s="241" t="n">
        <v>24.26</v>
      </c>
      <c r="L1123" s="242" t="n">
        <v>2396800</v>
      </c>
      <c r="M1123" s="241" t="n">
        <v>-3.14</v>
      </c>
      <c r="N1123" s="241" t="n">
        <v>16.56</v>
      </c>
      <c r="O1123" s="241" t="n">
        <v>34.13</v>
      </c>
      <c r="P1123" s="241" t="n">
        <v>1.01</v>
      </c>
    </row>
    <row r="1124">
      <c r="A1124" s="282" t="inlineStr">
        <is>
          <t>2010-08-12</t>
        </is>
      </c>
      <c r="B1124" s="240">
        <f>IFERROR(1/P1124-1,B1123)</f>
        <v/>
      </c>
      <c r="C1124" s="240">
        <f>$C$3</f>
        <v/>
      </c>
      <c r="D1124" s="240">
        <f>$D$3</f>
        <v/>
      </c>
      <c r="E1124" s="240">
        <f>$E$3</f>
        <v/>
      </c>
      <c r="F1124" s="241" t="n">
        <v>24.3</v>
      </c>
      <c r="G1124" s="242" t="n">
        <v>15904464</v>
      </c>
      <c r="H1124" s="241" t="n">
        <v>-1.18</v>
      </c>
      <c r="I1124" s="241" t="n">
        <v>15.38</v>
      </c>
      <c r="J1124" s="241" t="n">
        <v>8.17</v>
      </c>
      <c r="K1124" s="241" t="n">
        <v>24.17</v>
      </c>
      <c r="L1124" s="242" t="n">
        <v>2702668</v>
      </c>
      <c r="M1124" s="241" t="n">
        <v>-0.72</v>
      </c>
      <c r="N1124" s="241" t="n">
        <v>15.72</v>
      </c>
      <c r="O1124" s="241" t="n">
        <v>33.17</v>
      </c>
      <c r="P1124" s="241" t="n">
        <v>1.01</v>
      </c>
    </row>
    <row r="1125">
      <c r="A1125" s="282" t="inlineStr">
        <is>
          <t>2010-08-13</t>
        </is>
      </c>
      <c r="B1125" s="240">
        <f>IFERROR(1/P1125-1,B1124)</f>
        <v/>
      </c>
      <c r="C1125" s="240">
        <f>$C$3</f>
        <v/>
      </c>
      <c r="D1125" s="240">
        <f>$D$3</f>
        <v/>
      </c>
      <c r="E1125" s="240">
        <f>$E$3</f>
        <v/>
      </c>
      <c r="F1125" s="241" t="n">
        <v>25.6</v>
      </c>
      <c r="G1125" s="242" t="n">
        <v>20273530</v>
      </c>
      <c r="H1125" s="241" t="n">
        <v>5.35</v>
      </c>
      <c r="I1125" s="241" t="n">
        <v>20.47</v>
      </c>
      <c r="J1125" s="241" t="n">
        <v>13.96</v>
      </c>
      <c r="K1125" s="241" t="n">
        <v>24.48</v>
      </c>
      <c r="L1125" s="242" t="n">
        <v>2066499</v>
      </c>
      <c r="M1125" s="241" t="n">
        <v>1.27</v>
      </c>
      <c r="N1125" s="241" t="n">
        <v>14.78</v>
      </c>
      <c r="O1125" s="241" t="n">
        <v>34.86</v>
      </c>
      <c r="P1125" s="241" t="n">
        <v>1.05</v>
      </c>
    </row>
    <row r="1126">
      <c r="A1126" s="282" t="inlineStr">
        <is>
          <t>2010-08-16</t>
        </is>
      </c>
      <c r="B1126" s="240">
        <f>IFERROR(1/P1126-1,B1125)</f>
        <v/>
      </c>
      <c r="C1126" s="240">
        <f>$C$3</f>
        <v/>
      </c>
      <c r="D1126" s="240">
        <f>$D$3</f>
        <v/>
      </c>
      <c r="E1126" s="240">
        <f>$E$3</f>
        <v/>
      </c>
      <c r="F1126" s="241" t="n">
        <v>26.19</v>
      </c>
      <c r="G1126" s="242" t="n">
        <v>16909359</v>
      </c>
      <c r="H1126" s="241" t="n">
        <v>2.3</v>
      </c>
      <c r="I1126" s="241" t="n">
        <v>29.72</v>
      </c>
      <c r="J1126" s="241" t="n">
        <v>16.58</v>
      </c>
      <c r="K1126" s="241" t="n">
        <v>24.25</v>
      </c>
      <c r="L1126" s="242" t="n">
        <v>2961041</v>
      </c>
      <c r="M1126" s="241" t="n">
        <v>-0.89</v>
      </c>
      <c r="N1126" s="241" t="n">
        <v>14.23</v>
      </c>
      <c r="O1126" s="241" t="n">
        <v>33.65</v>
      </c>
      <c r="P1126" s="241" t="n">
        <v>1.08</v>
      </c>
    </row>
    <row r="1127">
      <c r="A1127" s="282" t="inlineStr">
        <is>
          <t>2010-08-17</t>
        </is>
      </c>
      <c r="B1127" s="240">
        <f>IFERROR(1/P1127-1,B1126)</f>
        <v/>
      </c>
      <c r="C1127" s="240">
        <f>$C$3</f>
        <v/>
      </c>
      <c r="D1127" s="240">
        <f>$D$3</f>
        <v/>
      </c>
      <c r="E1127" s="240">
        <f>$E$3</f>
        <v/>
      </c>
      <c r="F1127" s="241" t="n">
        <v>26.48</v>
      </c>
      <c r="G1127" s="242" t="n">
        <v>13630989</v>
      </c>
      <c r="H1127" s="241" t="n">
        <v>1.11</v>
      </c>
      <c r="I1127" s="241" t="n">
        <v>31.87</v>
      </c>
      <c r="J1127" s="241" t="n">
        <v>17.87</v>
      </c>
      <c r="K1127" s="241" t="n">
        <v>24.93</v>
      </c>
      <c r="L1127" s="242" t="n">
        <v>1226000</v>
      </c>
      <c r="M1127" s="241" t="n">
        <v>2.89</v>
      </c>
      <c r="N1127" s="241" t="n">
        <v>17.77</v>
      </c>
      <c r="O1127" s="241" t="n">
        <v>37.51</v>
      </c>
      <c r="P1127" s="241" t="n">
        <v>1.06</v>
      </c>
    </row>
    <row r="1128">
      <c r="A1128" s="282" t="inlineStr">
        <is>
          <t>2010-08-18</t>
        </is>
      </c>
      <c r="B1128" s="240">
        <f>IFERROR(1/P1128-1,B1127)</f>
        <v/>
      </c>
      <c r="C1128" s="240">
        <f>$C$3</f>
        <v/>
      </c>
      <c r="D1128" s="240">
        <f>$D$3</f>
        <v/>
      </c>
      <c r="E1128" s="240">
        <f>$E$3</f>
        <v/>
      </c>
      <c r="F1128" s="241" t="n">
        <v>26.25</v>
      </c>
      <c r="G1128" s="242" t="n">
        <v>11056457</v>
      </c>
      <c r="H1128" s="241" t="n">
        <v>-0.87</v>
      </c>
      <c r="I1128" s="241" t="n">
        <v>30.73</v>
      </c>
      <c r="J1128" s="241" t="n">
        <v>16.85</v>
      </c>
      <c r="K1128" s="241" t="n">
        <v>24.55</v>
      </c>
      <c r="L1128" s="242" t="n">
        <v>684400</v>
      </c>
      <c r="M1128" s="241" t="n">
        <v>-1.4</v>
      </c>
      <c r="N1128" s="241" t="n">
        <v>16.12</v>
      </c>
      <c r="O1128" s="241" t="n">
        <v>35.58</v>
      </c>
      <c r="P1128" s="241" t="n">
        <v>1.07</v>
      </c>
    </row>
    <row r="1129">
      <c r="A1129" s="282" t="inlineStr">
        <is>
          <t>2010-08-19</t>
        </is>
      </c>
      <c r="B1129" s="240">
        <f>IFERROR(1/P1129-1,B1128)</f>
        <v/>
      </c>
      <c r="C1129" s="240">
        <f>$C$3</f>
        <v/>
      </c>
      <c r="D1129" s="240">
        <f>$D$3</f>
        <v/>
      </c>
      <c r="E1129" s="240">
        <f>$E$3</f>
        <v/>
      </c>
      <c r="F1129" s="241" t="n">
        <v>26.15</v>
      </c>
      <c r="G1129" s="242" t="n">
        <v>10588704</v>
      </c>
      <c r="H1129" s="241" t="n">
        <v>-0.38</v>
      </c>
      <c r="I1129" s="241" t="n">
        <v>30.23</v>
      </c>
      <c r="J1129" s="241" t="n">
        <v>16.4</v>
      </c>
      <c r="K1129" s="241" t="n">
        <v>24.56</v>
      </c>
      <c r="L1129" s="242" t="n">
        <v>922200</v>
      </c>
      <c r="M1129" s="241" t="n">
        <v>0</v>
      </c>
      <c r="N1129" s="241" t="n">
        <v>16.12</v>
      </c>
      <c r="O1129" s="241" t="n">
        <v>35.58</v>
      </c>
      <c r="P1129" s="241" t="n">
        <v>1.06</v>
      </c>
    </row>
    <row r="1130">
      <c r="A1130" s="282" t="inlineStr">
        <is>
          <t>2010-08-20</t>
        </is>
      </c>
      <c r="B1130" s="240">
        <f>IFERROR(1/P1130-1,B1129)</f>
        <v/>
      </c>
      <c r="C1130" s="240">
        <f>$C$3</f>
        <v/>
      </c>
      <c r="D1130" s="240">
        <f>$D$3</f>
        <v/>
      </c>
      <c r="E1130" s="240">
        <f>$E$3</f>
        <v/>
      </c>
      <c r="F1130" s="241" t="n">
        <v>25.11</v>
      </c>
      <c r="G1130" s="242" t="n">
        <v>15849644</v>
      </c>
      <c r="H1130" s="241" t="n">
        <v>-3.98</v>
      </c>
      <c r="I1130" s="241" t="n">
        <v>21.25</v>
      </c>
      <c r="J1130" s="241" t="n">
        <v>11.77</v>
      </c>
      <c r="K1130" s="241" t="n">
        <v>24.24</v>
      </c>
      <c r="L1130" s="242" t="n">
        <v>713600</v>
      </c>
      <c r="M1130" s="241" t="n">
        <v>-1.25</v>
      </c>
      <c r="N1130" s="241" t="n">
        <v>13.73</v>
      </c>
      <c r="O1130" s="241" t="n">
        <v>33.89</v>
      </c>
      <c r="P1130" s="241" t="n">
        <v>1.04</v>
      </c>
    </row>
    <row r="1131">
      <c r="A1131" s="282" t="inlineStr">
        <is>
          <t>2010-08-23</t>
        </is>
      </c>
      <c r="B1131" s="240">
        <f>IFERROR(1/P1131-1,B1130)</f>
        <v/>
      </c>
      <c r="C1131" s="240">
        <f>$C$3</f>
        <v/>
      </c>
      <c r="D1131" s="240">
        <f>$D$3</f>
        <v/>
      </c>
      <c r="E1131" s="240">
        <f>$E$3</f>
        <v/>
      </c>
      <c r="F1131" s="241" t="n">
        <v>25.24</v>
      </c>
      <c r="G1131" s="242" t="n">
        <v>8473234</v>
      </c>
      <c r="H1131" s="241" t="n">
        <v>0.52</v>
      </c>
      <c r="I1131" s="241" t="n">
        <v>10.75</v>
      </c>
      <c r="J1131" s="241" t="n">
        <v>12.35</v>
      </c>
      <c r="K1131" s="241" t="n">
        <v>23.79</v>
      </c>
      <c r="L1131" s="242" t="n">
        <v>1331230</v>
      </c>
      <c r="M1131" s="241" t="n">
        <v>-1.98</v>
      </c>
      <c r="N1131" s="241" t="n">
        <v>2.45</v>
      </c>
      <c r="O1131" s="241" t="n">
        <v>31.24</v>
      </c>
      <c r="P1131" s="241" t="n">
        <v>1.06</v>
      </c>
    </row>
    <row r="1132">
      <c r="A1132" s="282" t="inlineStr">
        <is>
          <t>2010-08-24</t>
        </is>
      </c>
      <c r="B1132" s="240">
        <f>IFERROR(1/P1132-1,B1131)</f>
        <v/>
      </c>
      <c r="C1132" s="240">
        <f>$C$3</f>
        <v/>
      </c>
      <c r="D1132" s="240">
        <f>$D$3</f>
        <v/>
      </c>
      <c r="E1132" s="240">
        <f>$E$3</f>
        <v/>
      </c>
      <c r="F1132" s="241" t="n">
        <v>25.88</v>
      </c>
      <c r="G1132" s="242" t="n">
        <v>10845438</v>
      </c>
      <c r="H1132" s="241" t="n">
        <v>2.54</v>
      </c>
      <c r="I1132" s="241" t="n">
        <v>11.89</v>
      </c>
      <c r="J1132" s="241" t="n">
        <v>15.2</v>
      </c>
      <c r="K1132" s="241" t="n">
        <v>23.7</v>
      </c>
      <c r="L1132" s="242" t="n">
        <v>2327000</v>
      </c>
      <c r="M1132" s="241" t="n">
        <v>-0.37</v>
      </c>
      <c r="N1132" s="241" t="n">
        <v>4.23</v>
      </c>
      <c r="O1132" s="241" t="n">
        <v>30.76</v>
      </c>
      <c r="P1132" s="241" t="n">
        <v>1.09</v>
      </c>
    </row>
    <row r="1133">
      <c r="A1133" s="282" t="inlineStr">
        <is>
          <t>2010-08-25</t>
        </is>
      </c>
      <c r="B1133" s="240">
        <f>IFERROR(1/P1133-1,B1132)</f>
        <v/>
      </c>
      <c r="C1133" s="240">
        <f>$C$3</f>
        <v/>
      </c>
      <c r="D1133" s="240">
        <f>$D$3</f>
        <v/>
      </c>
      <c r="E1133" s="240">
        <f>$E$3</f>
        <v/>
      </c>
      <c r="F1133" s="241" t="n">
        <v>25.35</v>
      </c>
      <c r="G1133" s="242" t="n">
        <v>9464545</v>
      </c>
      <c r="H1133" s="241" t="n">
        <v>-2.05</v>
      </c>
      <c r="I1133" s="241" t="n">
        <v>9.6</v>
      </c>
      <c r="J1133" s="241" t="n">
        <v>12.84</v>
      </c>
      <c r="K1133" s="241" t="n">
        <v>23.87</v>
      </c>
      <c r="L1133" s="242" t="n">
        <v>1172600</v>
      </c>
      <c r="M1133" s="241" t="n">
        <v>0.74</v>
      </c>
      <c r="N1133" s="241" t="n">
        <v>5</v>
      </c>
      <c r="O1133" s="241" t="n">
        <v>31.72</v>
      </c>
      <c r="P1133" s="241" t="n">
        <v>1.06</v>
      </c>
    </row>
    <row r="1134">
      <c r="A1134" s="282" t="inlineStr">
        <is>
          <t>2010-08-26</t>
        </is>
      </c>
      <c r="B1134" s="240">
        <f>IFERROR(1/P1134-1,B1133)</f>
        <v/>
      </c>
      <c r="C1134" s="240">
        <f>$C$3</f>
        <v/>
      </c>
      <c r="D1134" s="240">
        <f>$D$3</f>
        <v/>
      </c>
      <c r="E1134" s="240">
        <f>$E$3</f>
        <v/>
      </c>
      <c r="F1134" s="241" t="n">
        <v>24.73</v>
      </c>
      <c r="G1134" s="242" t="n">
        <v>13431758</v>
      </c>
      <c r="H1134" s="241" t="n">
        <v>-2.45</v>
      </c>
      <c r="I1134" s="241" t="n">
        <v>6.92</v>
      </c>
      <c r="J1134" s="241" t="n">
        <v>10.08</v>
      </c>
      <c r="K1134" s="241" t="n">
        <v>23.54</v>
      </c>
      <c r="L1134" s="242" t="n">
        <v>1385523</v>
      </c>
      <c r="M1134" s="241" t="n">
        <v>-1.47</v>
      </c>
      <c r="N1134" s="241" t="n">
        <v>3.46</v>
      </c>
      <c r="O1134" s="241" t="n">
        <v>29.79</v>
      </c>
      <c r="P1134" s="241" t="n">
        <v>1.05</v>
      </c>
    </row>
    <row r="1135">
      <c r="A1135" s="282" t="inlineStr">
        <is>
          <t>2010-08-27</t>
        </is>
      </c>
      <c r="B1135" s="240">
        <f>IFERROR(1/P1135-1,B1134)</f>
        <v/>
      </c>
      <c r="C1135" s="240">
        <f>$C$3</f>
        <v/>
      </c>
      <c r="D1135" s="240">
        <f>$D$3</f>
        <v/>
      </c>
      <c r="E1135" s="240">
        <f>$E$3</f>
        <v/>
      </c>
      <c r="F1135" s="241" t="n">
        <v>25</v>
      </c>
      <c r="G1135" s="242" t="n">
        <v>10622851</v>
      </c>
      <c r="H1135" s="241" t="n">
        <v>1.09</v>
      </c>
      <c r="I1135" s="241" t="n">
        <v>5.93</v>
      </c>
      <c r="J1135" s="241" t="n">
        <v>11.28</v>
      </c>
      <c r="K1135" s="241" t="n">
        <v>24.09</v>
      </c>
      <c r="L1135" s="242" t="n">
        <v>1219578</v>
      </c>
      <c r="M1135" s="241" t="n">
        <v>2.42</v>
      </c>
      <c r="N1135" s="241" t="n">
        <v>9.109999999999999</v>
      </c>
      <c r="O1135" s="241" t="n">
        <v>32.93</v>
      </c>
      <c r="P1135" s="241" t="n">
        <v>1.04</v>
      </c>
    </row>
    <row r="1136">
      <c r="A1136" s="282" t="inlineStr">
        <is>
          <t>2010-08-30</t>
        </is>
      </c>
      <c r="B1136" s="240">
        <f>IFERROR(1/P1136-1,B1135)</f>
        <v/>
      </c>
      <c r="C1136" s="240">
        <f>$C$3</f>
        <v/>
      </c>
      <c r="D1136" s="240">
        <f>$D$3</f>
        <v/>
      </c>
      <c r="E1136" s="240">
        <f>$E$3</f>
        <v/>
      </c>
      <c r="F1136" s="241" t="n">
        <v>25.71</v>
      </c>
      <c r="G1136" s="242" t="n">
        <v>11162755</v>
      </c>
      <c r="H1136" s="241" t="n">
        <v>2.84</v>
      </c>
      <c r="I1136" s="241" t="n">
        <v>8.529999999999999</v>
      </c>
      <c r="J1136" s="241" t="n">
        <v>14.45</v>
      </c>
      <c r="K1136" s="241" t="n">
        <v>24.92</v>
      </c>
      <c r="L1136" s="242" t="n">
        <v>1938674</v>
      </c>
      <c r="M1136" s="241" t="n">
        <v>3.45</v>
      </c>
      <c r="N1136" s="241" t="n">
        <v>8.779999999999999</v>
      </c>
      <c r="O1136" s="241" t="n">
        <v>37.51</v>
      </c>
      <c r="P1136" s="241" t="n">
        <v>1.03</v>
      </c>
    </row>
    <row r="1137">
      <c r="A1137" s="282" t="inlineStr">
        <is>
          <t>2010-08-31</t>
        </is>
      </c>
      <c r="B1137" s="240">
        <f>IFERROR(1/P1137-1,B1136)</f>
        <v/>
      </c>
      <c r="C1137" s="240">
        <f>$C$3</f>
        <v/>
      </c>
      <c r="D1137" s="240">
        <f>$D$3</f>
        <v/>
      </c>
      <c r="E1137" s="240">
        <f>$E$3</f>
        <v/>
      </c>
      <c r="F1137" s="241" t="n">
        <v>26.01</v>
      </c>
      <c r="G1137" s="242" t="n">
        <v>13836863</v>
      </c>
      <c r="H1137" s="241" t="n">
        <v>1.17</v>
      </c>
      <c r="I1137" s="241" t="n">
        <v>10.59</v>
      </c>
      <c r="J1137" s="241" t="n">
        <v>15.78</v>
      </c>
      <c r="K1137" s="241" t="n">
        <v>24.81</v>
      </c>
      <c r="L1137" s="242" t="n">
        <v>914200</v>
      </c>
      <c r="M1137" s="241" t="n">
        <v>-0.53</v>
      </c>
      <c r="N1137" s="241" t="n">
        <v>6.18</v>
      </c>
      <c r="O1137" s="241" t="n">
        <v>36.79</v>
      </c>
      <c r="P1137" s="241" t="n">
        <v>1.05</v>
      </c>
    </row>
    <row r="1138">
      <c r="A1138" s="282" t="inlineStr">
        <is>
          <t>2010-09-01</t>
        </is>
      </c>
      <c r="B1138" s="240">
        <f>IFERROR(1/P1138-1,B1137)</f>
        <v/>
      </c>
      <c r="C1138" s="240">
        <f>$C$3</f>
        <v/>
      </c>
      <c r="D1138" s="240">
        <f>$D$3</f>
        <v/>
      </c>
      <c r="E1138" s="240">
        <f>$E$3</f>
        <v/>
      </c>
      <c r="F1138" s="241" t="n">
        <v>25.22</v>
      </c>
      <c r="G1138" s="242" t="n">
        <v>15390898</v>
      </c>
      <c r="H1138" s="241" t="n">
        <v>-3.04</v>
      </c>
      <c r="I1138" s="241" t="n">
        <v>7.23</v>
      </c>
      <c r="J1138" s="241" t="n">
        <v>12.26</v>
      </c>
      <c r="K1138" s="241" t="n">
        <v>26.05</v>
      </c>
      <c r="L1138" s="242" t="n">
        <v>2360112</v>
      </c>
      <c r="M1138" s="241" t="n">
        <v>4.94</v>
      </c>
      <c r="N1138" s="241" t="n">
        <v>11.42</v>
      </c>
      <c r="O1138" s="241" t="n">
        <v>43.54</v>
      </c>
      <c r="P1138" s="241" t="n">
        <v>0.97</v>
      </c>
    </row>
    <row r="1139">
      <c r="A1139" s="282" t="inlineStr">
        <is>
          <t>2010-09-02</t>
        </is>
      </c>
      <c r="B1139" s="240">
        <f>IFERROR(1/P1139-1,B1138)</f>
        <v/>
      </c>
      <c r="C1139" s="240">
        <f>$C$3</f>
        <v/>
      </c>
      <c r="D1139" s="240">
        <f>$D$3</f>
        <v/>
      </c>
      <c r="E1139" s="240">
        <f>$E$3</f>
        <v/>
      </c>
      <c r="F1139" s="241" t="n">
        <v>25.68</v>
      </c>
      <c r="G1139" s="242" t="n">
        <v>11598726</v>
      </c>
      <c r="H1139" s="241" t="n">
        <v>1.82</v>
      </c>
      <c r="I1139" s="241" t="n">
        <v>9.18</v>
      </c>
      <c r="J1139" s="241" t="n">
        <v>14.31</v>
      </c>
      <c r="K1139" s="241" t="n">
        <v>26.89</v>
      </c>
      <c r="L1139" s="242" t="n">
        <v>2876800</v>
      </c>
      <c r="M1139" s="241" t="n">
        <v>3.36</v>
      </c>
      <c r="N1139" s="241" t="n">
        <v>15.17</v>
      </c>
      <c r="O1139" s="241" t="n">
        <v>48.37</v>
      </c>
      <c r="P1139" s="241" t="n">
        <v>0.95</v>
      </c>
    </row>
    <row r="1140">
      <c r="A1140" s="282" t="inlineStr">
        <is>
          <t>2010-09-03</t>
        </is>
      </c>
      <c r="B1140" s="240">
        <f>IFERROR(1/P1140-1,B1139)</f>
        <v/>
      </c>
      <c r="C1140" s="240">
        <f>$C$3</f>
        <v/>
      </c>
      <c r="D1140" s="240">
        <f>$D$3</f>
        <v/>
      </c>
      <c r="E1140" s="240">
        <f>$E$3</f>
        <v/>
      </c>
      <c r="F1140" s="241" t="n">
        <v>27.55</v>
      </c>
      <c r="G1140" s="242" t="n">
        <v>26717595</v>
      </c>
      <c r="H1140" s="241" t="n">
        <v>7.28</v>
      </c>
      <c r="I1140" s="241" t="n">
        <v>13.42</v>
      </c>
      <c r="J1140" s="241" t="n">
        <v>22.64</v>
      </c>
      <c r="K1140" s="241" t="n">
        <v>28.55</v>
      </c>
      <c r="L1140" s="242" t="n">
        <v>5132600</v>
      </c>
      <c r="M1140" s="241" t="n">
        <v>6.18</v>
      </c>
      <c r="N1140" s="241" t="n">
        <v>18.73</v>
      </c>
      <c r="O1140" s="241" t="n">
        <v>57.53</v>
      </c>
      <c r="P1140" s="241" t="n">
        <v>0.96</v>
      </c>
    </row>
    <row r="1141">
      <c r="A1141" s="282" t="inlineStr">
        <is>
          <t>2010-09-06</t>
        </is>
      </c>
      <c r="B1141" s="240">
        <f>IFERROR(1/P1141-1,B1140)</f>
        <v/>
      </c>
      <c r="C1141" s="240">
        <f>$C$3</f>
        <v/>
      </c>
      <c r="D1141" s="240">
        <f>$D$3</f>
        <v/>
      </c>
      <c r="E1141" s="240">
        <f>$E$3</f>
        <v/>
      </c>
      <c r="F1141" s="241" t="n">
        <v>28.93</v>
      </c>
      <c r="G1141" s="242" t="n">
        <v>41896867</v>
      </c>
      <c r="H1141" s="241" t="n">
        <v>5.01</v>
      </c>
      <c r="I1141" s="241" t="n">
        <v>18.03</v>
      </c>
      <c r="J1141" s="241" t="n">
        <v>28.78</v>
      </c>
      <c r="K1141" s="241" t="n">
        <v>28.33</v>
      </c>
      <c r="L1141" s="242" t="n">
        <v>1733567</v>
      </c>
      <c r="M1141" s="241" t="n">
        <v>-0.61</v>
      </c>
      <c r="N1141" s="241" t="n">
        <v>16.73</v>
      </c>
      <c r="O1141" s="241" t="n">
        <v>56.57</v>
      </c>
      <c r="P1141" s="241" t="n">
        <v>1.02</v>
      </c>
    </row>
    <row r="1142">
      <c r="A1142" s="282" t="inlineStr">
        <is>
          <t>2010-09-07</t>
        </is>
      </c>
      <c r="B1142" s="240">
        <f>IFERROR(1/P1142-1,B1141)</f>
        <v/>
      </c>
      <c r="C1142" s="240">
        <f>$C$3</f>
        <v/>
      </c>
      <c r="D1142" s="240">
        <f>$D$3</f>
        <v/>
      </c>
      <c r="E1142" s="240">
        <f>$E$3</f>
        <v/>
      </c>
      <c r="F1142" s="241" t="n">
        <v>28.8</v>
      </c>
      <c r="G1142" s="242" t="n">
        <v>16689663</v>
      </c>
      <c r="H1142" s="241" t="n">
        <v>-0.45</v>
      </c>
      <c r="I1142" s="241" t="n">
        <v>15.43</v>
      </c>
      <c r="J1142" s="241" t="n">
        <v>28.2</v>
      </c>
      <c r="K1142" s="241" t="n">
        <v>28.28</v>
      </c>
      <c r="L1142" s="242" t="n">
        <v>2061400</v>
      </c>
      <c r="M1142" s="241" t="n">
        <v>-0.15</v>
      </c>
      <c r="N1142" s="241" t="n">
        <v>17.82</v>
      </c>
      <c r="O1142" s="241" t="n">
        <v>56.33</v>
      </c>
      <c r="P1142" s="241" t="n">
        <v>1.02</v>
      </c>
    </row>
    <row r="1143">
      <c r="A1143" s="282" t="inlineStr">
        <is>
          <t>2010-09-08</t>
        </is>
      </c>
      <c r="B1143" s="240">
        <f>IFERROR(1/P1143-1,B1142)</f>
        <v/>
      </c>
      <c r="C1143" s="240">
        <f>$C$3</f>
        <v/>
      </c>
      <c r="D1143" s="240">
        <f>$D$3</f>
        <v/>
      </c>
      <c r="E1143" s="240">
        <f>$E$3</f>
        <v/>
      </c>
      <c r="F1143" s="241" t="n">
        <v>28.8</v>
      </c>
      <c r="G1143" s="242" t="n">
        <v>0</v>
      </c>
      <c r="H1143" s="241" t="n">
        <v>0</v>
      </c>
      <c r="I1143" s="241" t="n">
        <v>15.43</v>
      </c>
      <c r="J1143" s="241" t="n">
        <v>28.2</v>
      </c>
      <c r="K1143" s="241" t="n">
        <v>28.31</v>
      </c>
      <c r="L1143" s="242" t="n">
        <v>1931930</v>
      </c>
      <c r="M1143" s="241" t="n">
        <v>0</v>
      </c>
      <c r="N1143" s="241" t="n">
        <v>17.82</v>
      </c>
      <c r="O1143" s="241" t="n">
        <v>56.33</v>
      </c>
      <c r="P1143" s="241" t="n">
        <v>1.02</v>
      </c>
    </row>
    <row r="1144">
      <c r="A1144" s="282" t="inlineStr">
        <is>
          <t>2010-09-09</t>
        </is>
      </c>
      <c r="B1144" s="240">
        <f>IFERROR(1/P1144-1,B1143)</f>
        <v/>
      </c>
      <c r="C1144" s="240">
        <f>$C$3</f>
        <v/>
      </c>
      <c r="D1144" s="240">
        <f>$D$3</f>
        <v/>
      </c>
      <c r="E1144" s="240">
        <f>$E$3</f>
        <v/>
      </c>
      <c r="F1144" s="241" t="n">
        <v>28.99</v>
      </c>
      <c r="G1144" s="242" t="n">
        <v>23891681</v>
      </c>
      <c r="H1144" s="241" t="n">
        <v>0.66</v>
      </c>
      <c r="I1144" s="241" t="n">
        <v>16.19</v>
      </c>
      <c r="J1144" s="241" t="n">
        <v>29.05</v>
      </c>
      <c r="K1144" s="241" t="n">
        <v>29.89</v>
      </c>
      <c r="L1144" s="242" t="n">
        <v>2830000</v>
      </c>
      <c r="M1144" s="241" t="n">
        <v>5.71</v>
      </c>
      <c r="N1144" s="241" t="n">
        <v>24.55</v>
      </c>
      <c r="O1144" s="241" t="n">
        <v>65.25</v>
      </c>
      <c r="P1144" s="241" t="n">
        <v>0.97</v>
      </c>
    </row>
    <row r="1145">
      <c r="A1145" s="282" t="inlineStr">
        <is>
          <t>2010-09-10</t>
        </is>
      </c>
      <c r="B1145" s="240">
        <f>IFERROR(1/P1145-1,B1144)</f>
        <v/>
      </c>
      <c r="C1145" s="240">
        <f>$C$3</f>
        <v/>
      </c>
      <c r="D1145" s="240">
        <f>$D$3</f>
        <v/>
      </c>
      <c r="E1145" s="240">
        <f>$E$3</f>
        <v/>
      </c>
      <c r="F1145" s="241" t="n">
        <v>29.98</v>
      </c>
      <c r="G1145" s="242" t="n">
        <v>23584830</v>
      </c>
      <c r="H1145" s="241" t="n">
        <v>3.42</v>
      </c>
      <c r="I1145" s="241" t="n">
        <v>18.12</v>
      </c>
      <c r="J1145" s="241" t="n">
        <v>33.45</v>
      </c>
      <c r="K1145" s="241" t="n">
        <v>30.12</v>
      </c>
      <c r="L1145" s="242" t="n">
        <v>2868316</v>
      </c>
      <c r="M1145" s="241" t="n">
        <v>1.02</v>
      </c>
      <c r="N1145" s="241" t="n">
        <v>17.69</v>
      </c>
      <c r="O1145" s="241" t="n">
        <v>66.94</v>
      </c>
      <c r="P1145" s="241" t="n">
        <v>1</v>
      </c>
    </row>
    <row r="1146">
      <c r="A1146" s="282" t="inlineStr">
        <is>
          <t>2010-09-13</t>
        </is>
      </c>
      <c r="B1146" s="240">
        <f>IFERROR(1/P1146-1,B1145)</f>
        <v/>
      </c>
      <c r="C1146" s="240">
        <f>$C$3</f>
        <v/>
      </c>
      <c r="D1146" s="240">
        <f>$D$3</f>
        <v/>
      </c>
      <c r="E1146" s="240">
        <f>$E$3</f>
        <v/>
      </c>
      <c r="F1146" s="241" t="n">
        <v>31.19</v>
      </c>
      <c r="G1146" s="242" t="n">
        <v>26585434</v>
      </c>
      <c r="H1146" s="241" t="n">
        <v>4.04</v>
      </c>
      <c r="I1146" s="241" t="n">
        <v>28.35</v>
      </c>
      <c r="J1146" s="241" t="n">
        <v>38.84</v>
      </c>
      <c r="K1146" s="241" t="n">
        <v>31.94</v>
      </c>
      <c r="L1146" s="242" t="n">
        <v>2571600</v>
      </c>
      <c r="M1146" s="241" t="n">
        <v>6.21</v>
      </c>
      <c r="N1146" s="241" t="n">
        <v>33.15</v>
      </c>
      <c r="O1146" s="241" t="n">
        <v>77.31999999999999</v>
      </c>
      <c r="P1146" s="241" t="n">
        <v>0.98</v>
      </c>
    </row>
    <row r="1147">
      <c r="A1147" s="282" t="inlineStr">
        <is>
          <t>2010-09-14</t>
        </is>
      </c>
      <c r="B1147" s="240">
        <f>IFERROR(1/P1147-1,B1146)</f>
        <v/>
      </c>
      <c r="C1147" s="240">
        <f>$C$3</f>
        <v/>
      </c>
      <c r="D1147" s="240">
        <f>$D$3</f>
        <v/>
      </c>
      <c r="E1147" s="240">
        <f>$E$3</f>
        <v/>
      </c>
      <c r="F1147" s="241" t="n">
        <v>31.59</v>
      </c>
      <c r="G1147" s="242" t="n">
        <v>21557825</v>
      </c>
      <c r="H1147" s="241" t="n">
        <v>1.28</v>
      </c>
      <c r="I1147" s="241" t="n">
        <v>23.4</v>
      </c>
      <c r="J1147" s="241" t="n">
        <v>40.62</v>
      </c>
      <c r="K1147" s="241" t="n">
        <v>31.22</v>
      </c>
      <c r="L1147" s="242" t="n">
        <v>2726600</v>
      </c>
      <c r="M1147" s="241" t="n">
        <v>-2.04</v>
      </c>
      <c r="N1147" s="241" t="n">
        <v>28.8</v>
      </c>
      <c r="O1147" s="241" t="n">
        <v>73.7</v>
      </c>
      <c r="P1147" s="241" t="n">
        <v>1.01</v>
      </c>
    </row>
    <row r="1148">
      <c r="A1148" s="282" t="inlineStr">
        <is>
          <t>2010-09-15</t>
        </is>
      </c>
      <c r="B1148" s="240">
        <f>IFERROR(1/P1148-1,B1147)</f>
        <v/>
      </c>
      <c r="C1148" s="240">
        <f>$C$3</f>
        <v/>
      </c>
      <c r="D1148" s="240">
        <f>$D$3</f>
        <v/>
      </c>
      <c r="E1148" s="240">
        <f>$E$3</f>
        <v/>
      </c>
      <c r="F1148" s="241" t="n">
        <v>30.38</v>
      </c>
      <c r="G1148" s="242" t="n">
        <v>16718302</v>
      </c>
      <c r="H1148" s="241" t="n">
        <v>-3.83</v>
      </c>
      <c r="I1148" s="241" t="n">
        <v>18.67</v>
      </c>
      <c r="J1148" s="241" t="n">
        <v>35.23</v>
      </c>
      <c r="K1148" s="241" t="n">
        <v>30.18</v>
      </c>
      <c r="L1148" s="242" t="n">
        <v>3599200</v>
      </c>
      <c r="M1148" s="241" t="n">
        <v>-3.19</v>
      </c>
      <c r="N1148" s="241" t="n">
        <v>24.69</v>
      </c>
      <c r="O1148" s="241" t="n">
        <v>68.15000000000001</v>
      </c>
      <c r="P1148" s="241" t="n">
        <v>1.01</v>
      </c>
    </row>
    <row r="1149">
      <c r="A1149" s="282" t="inlineStr">
        <is>
          <t>2010-09-16</t>
        </is>
      </c>
      <c r="B1149" s="240">
        <f>IFERROR(1/P1149-1,B1148)</f>
        <v/>
      </c>
      <c r="C1149" s="240">
        <f>$C$3</f>
        <v/>
      </c>
      <c r="D1149" s="240">
        <f>$D$3</f>
        <v/>
      </c>
      <c r="E1149" s="240">
        <f>$E$3</f>
        <v/>
      </c>
      <c r="F1149" s="241" t="n">
        <v>29.1</v>
      </c>
      <c r="G1149" s="242" t="n">
        <v>19866316</v>
      </c>
      <c r="H1149" s="241" t="n">
        <v>-4.21</v>
      </c>
      <c r="I1149" s="241" t="n">
        <v>13.67</v>
      </c>
      <c r="J1149" s="241" t="n">
        <v>29.54</v>
      </c>
      <c r="K1149" s="241" t="n">
        <v>29.19</v>
      </c>
      <c r="L1149" s="242" t="n">
        <v>4533300</v>
      </c>
      <c r="M1149" s="241" t="n">
        <v>-3.16</v>
      </c>
      <c r="N1149" s="241" t="n">
        <v>20.75</v>
      </c>
      <c r="O1149" s="241" t="n">
        <v>62.84</v>
      </c>
      <c r="P1149" s="241" t="n">
        <v>1</v>
      </c>
    </row>
    <row r="1150">
      <c r="A1150" s="282" t="inlineStr">
        <is>
          <t>2010-09-17</t>
        </is>
      </c>
      <c r="B1150" s="240">
        <f>IFERROR(1/P1150-1,B1149)</f>
        <v/>
      </c>
      <c r="C1150" s="240">
        <f>$C$3</f>
        <v/>
      </c>
      <c r="D1150" s="240">
        <f>$D$3</f>
        <v/>
      </c>
      <c r="E1150" s="240">
        <f>$E$3</f>
        <v/>
      </c>
      <c r="F1150" s="241" t="n">
        <v>29.19</v>
      </c>
      <c r="G1150" s="242" t="n">
        <v>12408616</v>
      </c>
      <c r="H1150" s="241" t="n">
        <v>0.31</v>
      </c>
      <c r="I1150" s="241" t="n">
        <v>11.45</v>
      </c>
      <c r="J1150" s="241" t="n">
        <v>29.94</v>
      </c>
      <c r="K1150" s="241" t="n">
        <v>29.19</v>
      </c>
      <c r="L1150" s="242" t="n">
        <v>5524260</v>
      </c>
      <c r="M1150" s="241" t="n">
        <v>0</v>
      </c>
      <c r="N1150" s="241" t="n">
        <v>21.84</v>
      </c>
      <c r="O1150" s="241" t="n">
        <v>62.84</v>
      </c>
      <c r="P1150" s="241" t="n">
        <v>1</v>
      </c>
    </row>
    <row r="1151">
      <c r="A1151" s="282" t="inlineStr">
        <is>
          <t>2010-09-20</t>
        </is>
      </c>
      <c r="B1151" s="240">
        <f>IFERROR(1/P1151-1,B1150)</f>
        <v/>
      </c>
      <c r="C1151" s="240">
        <f>$C$3</f>
        <v/>
      </c>
      <c r="D1151" s="240">
        <f>$D$3</f>
        <v/>
      </c>
      <c r="E1151" s="240">
        <f>$E$3</f>
        <v/>
      </c>
      <c r="F1151" s="241" t="n">
        <v>28.12</v>
      </c>
      <c r="G1151" s="242" t="n">
        <v>15826490</v>
      </c>
      <c r="H1151" s="241" t="n">
        <v>-3.67</v>
      </c>
      <c r="I1151" s="241" t="n">
        <v>7.53</v>
      </c>
      <c r="J1151" s="241" t="n">
        <v>25.17</v>
      </c>
      <c r="K1151" s="241" t="n">
        <v>28.04</v>
      </c>
      <c r="L1151" s="242" t="n">
        <v>5149800</v>
      </c>
      <c r="M1151" s="241" t="n">
        <v>-3.85</v>
      </c>
      <c r="N1151" s="241" t="n">
        <v>15.48</v>
      </c>
      <c r="O1151" s="241" t="n">
        <v>56.57</v>
      </c>
      <c r="P1151" s="241" t="n">
        <v>1</v>
      </c>
    </row>
    <row r="1152">
      <c r="A1152" s="282" t="inlineStr">
        <is>
          <t>2010-09-21</t>
        </is>
      </c>
      <c r="B1152" s="240">
        <f>IFERROR(1/P1152-1,B1151)</f>
        <v/>
      </c>
      <c r="C1152" s="240">
        <f>$C$3</f>
        <v/>
      </c>
      <c r="D1152" s="240">
        <f>$D$3</f>
        <v/>
      </c>
      <c r="E1152" s="240">
        <f>$E$3</f>
        <v/>
      </c>
      <c r="F1152" s="241" t="n">
        <v>28.54</v>
      </c>
      <c r="G1152" s="242" t="n">
        <v>10847446</v>
      </c>
      <c r="H1152" s="241" t="n">
        <v>1.49</v>
      </c>
      <c r="I1152" s="241" t="n">
        <v>13.66</v>
      </c>
      <c r="J1152" s="241" t="n">
        <v>27.04</v>
      </c>
      <c r="K1152" s="241" t="n">
        <v>29.77</v>
      </c>
      <c r="L1152" s="242" t="n">
        <v>4437235</v>
      </c>
      <c r="M1152" s="241" t="n">
        <v>6.32</v>
      </c>
      <c r="N1152" s="241" t="n">
        <v>24.32</v>
      </c>
      <c r="O1152" s="241" t="n">
        <v>66.45999999999999</v>
      </c>
      <c r="P1152" s="241" t="n">
        <v>0.96</v>
      </c>
    </row>
    <row r="1153">
      <c r="A1153" s="282" t="inlineStr">
        <is>
          <t>2010-09-27</t>
        </is>
      </c>
      <c r="B1153" s="240">
        <f>IFERROR(1/P1153-1,B1152)</f>
        <v/>
      </c>
      <c r="C1153" s="240">
        <f>$C$3</f>
        <v/>
      </c>
      <c r="D1153" s="240">
        <f>$D$3</f>
        <v/>
      </c>
      <c r="E1153" s="240">
        <f>$E$3</f>
        <v/>
      </c>
      <c r="F1153" s="241" t="n">
        <v>31.39</v>
      </c>
      <c r="G1153" s="242" t="n">
        <v>21877616</v>
      </c>
      <c r="H1153" s="241" t="n">
        <v>9.99</v>
      </c>
      <c r="I1153" s="241" t="n">
        <v>26.93</v>
      </c>
      <c r="J1153" s="241" t="n">
        <v>39.73</v>
      </c>
      <c r="K1153" s="241" t="n">
        <v>30.58</v>
      </c>
      <c r="L1153" s="242" t="n">
        <v>2043374</v>
      </c>
      <c r="M1153" s="241" t="n">
        <v>0.43</v>
      </c>
      <c r="N1153" s="241" t="n">
        <v>31.41</v>
      </c>
      <c r="O1153" s="241" t="n">
        <v>70.56</v>
      </c>
      <c r="P1153" s="241" t="n">
        <v>1.03</v>
      </c>
    </row>
    <row r="1154">
      <c r="A1154" s="282" t="inlineStr">
        <is>
          <t>2010-09-28</t>
        </is>
      </c>
      <c r="B1154" s="240">
        <f>IFERROR(1/P1154-1,B1153)</f>
        <v/>
      </c>
      <c r="C1154" s="240">
        <f>$C$3</f>
        <v/>
      </c>
      <c r="D1154" s="240">
        <f>$D$3</f>
        <v/>
      </c>
      <c r="E1154" s="240">
        <f>$E$3</f>
        <v/>
      </c>
      <c r="F1154" s="241" t="n">
        <v>31.78</v>
      </c>
      <c r="G1154" s="242" t="n">
        <v>20985670</v>
      </c>
      <c r="H1154" s="241" t="n">
        <v>1.24</v>
      </c>
      <c r="I1154" s="241" t="n">
        <v>27.12</v>
      </c>
      <c r="J1154" s="241" t="n">
        <v>41.47</v>
      </c>
      <c r="K1154" s="241" t="n">
        <v>31.2</v>
      </c>
      <c r="L1154" s="242" t="n">
        <v>1435400</v>
      </c>
      <c r="M1154" s="241" t="n">
        <v>2.12</v>
      </c>
      <c r="N1154" s="241" t="n">
        <v>31.03</v>
      </c>
      <c r="O1154" s="241" t="n">
        <v>74.18000000000001</v>
      </c>
      <c r="P1154" s="241" t="n">
        <v>1.02</v>
      </c>
    </row>
    <row r="1155">
      <c r="A1155" s="282" t="inlineStr">
        <is>
          <t>2010-09-29</t>
        </is>
      </c>
      <c r="B1155" s="240">
        <f>IFERROR(1/P1155-1,B1154)</f>
        <v/>
      </c>
      <c r="C1155" s="240">
        <f>$C$3</f>
        <v/>
      </c>
      <c r="D1155" s="240">
        <f>$D$3</f>
        <v/>
      </c>
      <c r="E1155" s="240">
        <f>$E$3</f>
        <v/>
      </c>
      <c r="F1155" s="241" t="n">
        <v>31.05</v>
      </c>
      <c r="G1155" s="242" t="n">
        <v>14448544</v>
      </c>
      <c r="H1155" s="241" t="n">
        <v>-2.3</v>
      </c>
      <c r="I1155" s="241" t="n">
        <v>24.2</v>
      </c>
      <c r="J1155" s="241" t="n">
        <v>38.22</v>
      </c>
      <c r="K1155" s="241" t="n">
        <v>30.8</v>
      </c>
      <c r="L1155" s="242" t="n">
        <v>2868800</v>
      </c>
      <c r="M1155" s="241" t="n">
        <v>-1.11</v>
      </c>
      <c r="N1155" s="241" t="n">
        <v>29.58</v>
      </c>
      <c r="O1155" s="241" t="n">
        <v>72.25</v>
      </c>
      <c r="P1155" s="241" t="n">
        <v>1.01</v>
      </c>
    </row>
    <row r="1156">
      <c r="A1156" s="282" t="inlineStr">
        <is>
          <t>2010-09-30</t>
        </is>
      </c>
      <c r="B1156" s="240">
        <f>IFERROR(1/P1156-1,B1155)</f>
        <v/>
      </c>
      <c r="C1156" s="240">
        <f>$C$3</f>
        <v/>
      </c>
      <c r="D1156" s="240">
        <f>$D$3</f>
        <v/>
      </c>
      <c r="E1156" s="240">
        <f>$E$3</f>
        <v/>
      </c>
      <c r="F1156" s="241" t="n">
        <v>31.16</v>
      </c>
      <c r="G1156" s="242" t="n">
        <v>11512929</v>
      </c>
      <c r="H1156" s="241" t="n">
        <v>0.35</v>
      </c>
      <c r="I1156" s="241" t="n">
        <v>24.64</v>
      </c>
      <c r="J1156" s="241" t="n">
        <v>38.71</v>
      </c>
      <c r="K1156" s="241" t="n">
        <v>31.47</v>
      </c>
      <c r="L1156" s="242" t="n">
        <v>2635800</v>
      </c>
      <c r="M1156" s="241" t="n">
        <v>2.1</v>
      </c>
      <c r="N1156" s="241" t="n">
        <v>32.3</v>
      </c>
      <c r="O1156" s="241" t="n">
        <v>75.87</v>
      </c>
      <c r="P1156" s="241" t="n">
        <v>0.99</v>
      </c>
    </row>
    <row r="1157">
      <c r="A1157" s="282" t="inlineStr">
        <is>
          <t>2010-10-08</t>
        </is>
      </c>
      <c r="B1157" s="240">
        <f>IFERROR(1/P1157-1,B1156)</f>
        <v/>
      </c>
      <c r="C1157" s="240">
        <f>$C$3</f>
        <v/>
      </c>
      <c r="D1157" s="240">
        <f>$D$3</f>
        <v/>
      </c>
      <c r="E1157" s="240">
        <f>$E$3</f>
        <v/>
      </c>
      <c r="F1157" s="241" t="n">
        <v>33.23</v>
      </c>
      <c r="G1157" s="242" t="n">
        <v>23603202</v>
      </c>
      <c r="H1157" s="241" t="n">
        <v>6.64</v>
      </c>
      <c r="I1157" s="241" t="n">
        <v>15.38</v>
      </c>
      <c r="J1157" s="241" t="n">
        <v>47.92</v>
      </c>
      <c r="K1157" s="241" t="n">
        <v>30.55</v>
      </c>
      <c r="L1157" s="242" t="n">
        <v>1424190</v>
      </c>
      <c r="M1157" s="241" t="n">
        <v>-1.39</v>
      </c>
      <c r="N1157" s="241" t="n">
        <v>9.41</v>
      </c>
      <c r="O1157" s="241" t="n">
        <v>71.04000000000001</v>
      </c>
      <c r="P1157" s="241" t="n">
        <v>1.09</v>
      </c>
    </row>
    <row r="1158">
      <c r="A1158" s="282" t="inlineStr">
        <is>
          <t>2010-10-11</t>
        </is>
      </c>
      <c r="B1158" s="240">
        <f>IFERROR(1/P1158-1,B1157)</f>
        <v/>
      </c>
      <c r="C1158" s="240">
        <f>$C$3</f>
        <v/>
      </c>
      <c r="D1158" s="240">
        <f>$D$3</f>
        <v/>
      </c>
      <c r="E1158" s="240">
        <f>$E$3</f>
        <v/>
      </c>
      <c r="F1158" s="241" t="n">
        <v>32.91</v>
      </c>
      <c r="G1158" s="242" t="n">
        <v>26666253</v>
      </c>
      <c r="H1158" s="241" t="n">
        <v>-0.96</v>
      </c>
      <c r="I1158" s="241" t="n">
        <v>9.77</v>
      </c>
      <c r="J1158" s="241" t="n">
        <v>46.5</v>
      </c>
      <c r="K1158" s="241" t="n">
        <v>29.98</v>
      </c>
      <c r="L1158" s="242" t="n">
        <v>2487374</v>
      </c>
      <c r="M1158" s="241" t="n">
        <v>-1.69</v>
      </c>
      <c r="N1158" s="241" t="n">
        <v>0.72</v>
      </c>
      <c r="O1158" s="241" t="n">
        <v>68.15000000000001</v>
      </c>
      <c r="P1158" s="241" t="n">
        <v>1.1</v>
      </c>
    </row>
    <row r="1159">
      <c r="A1159" s="282" t="inlineStr">
        <is>
          <t>2010-10-12</t>
        </is>
      </c>
      <c r="B1159" s="240">
        <f>IFERROR(1/P1159-1,B1158)</f>
        <v/>
      </c>
      <c r="C1159" s="240">
        <f>$C$3</f>
        <v/>
      </c>
      <c r="D1159" s="240">
        <f>$D$3</f>
        <v/>
      </c>
      <c r="E1159" s="240">
        <f>$E$3</f>
        <v/>
      </c>
      <c r="F1159" s="241" t="n">
        <v>32.28</v>
      </c>
      <c r="G1159" s="242" t="n">
        <v>20959470</v>
      </c>
      <c r="H1159" s="241" t="n">
        <v>-1.91</v>
      </c>
      <c r="I1159" s="241" t="n">
        <v>7.67</v>
      </c>
      <c r="J1159" s="241" t="n">
        <v>43.69</v>
      </c>
      <c r="K1159" s="241" t="n">
        <v>30.51</v>
      </c>
      <c r="L1159" s="242" t="n">
        <v>1108800</v>
      </c>
      <c r="M1159" s="241" t="n">
        <v>1.72</v>
      </c>
      <c r="N1159" s="241" t="n">
        <v>2.46</v>
      </c>
      <c r="O1159" s="241" t="n">
        <v>71.04000000000001</v>
      </c>
      <c r="P1159" s="241" t="n">
        <v>1.06</v>
      </c>
    </row>
    <row r="1160">
      <c r="A1160" s="282" t="inlineStr">
        <is>
          <t>2010-10-13</t>
        </is>
      </c>
      <c r="B1160" s="240">
        <f>IFERROR(1/P1160-1,B1159)</f>
        <v/>
      </c>
      <c r="C1160" s="240">
        <f>$C$3</f>
        <v/>
      </c>
      <c r="D1160" s="240">
        <f>$D$3</f>
        <v/>
      </c>
      <c r="E1160" s="240">
        <f>$E$3</f>
        <v/>
      </c>
      <c r="F1160" s="241" t="n">
        <v>33.58</v>
      </c>
      <c r="G1160" s="242" t="n">
        <v>38387099</v>
      </c>
      <c r="H1160" s="241" t="n">
        <v>4.03</v>
      </c>
      <c r="I1160" s="241" t="n">
        <v>12.01</v>
      </c>
      <c r="J1160" s="241" t="n">
        <v>49.48</v>
      </c>
      <c r="K1160" s="241" t="n">
        <v>31.2</v>
      </c>
      <c r="L1160" s="242" t="n">
        <v>1369200</v>
      </c>
      <c r="M1160" s="241" t="n">
        <v>2.4</v>
      </c>
      <c r="N1160" s="241" t="n">
        <v>4.91</v>
      </c>
      <c r="O1160" s="241" t="n">
        <v>75.14</v>
      </c>
      <c r="P1160" s="241" t="n">
        <v>1.08</v>
      </c>
    </row>
    <row r="1161">
      <c r="A1161" s="282" t="inlineStr">
        <is>
          <t>2010-10-14</t>
        </is>
      </c>
      <c r="B1161" s="240">
        <f>IFERROR(1/P1161-1,B1160)</f>
        <v/>
      </c>
      <c r="C1161" s="240">
        <f>$C$3</f>
        <v/>
      </c>
      <c r="D1161" s="240">
        <f>$D$3</f>
        <v/>
      </c>
      <c r="E1161" s="240">
        <f>$E$3</f>
        <v/>
      </c>
      <c r="F1161" s="241" t="n">
        <v>33.85</v>
      </c>
      <c r="G1161" s="242" t="n">
        <v>54135390</v>
      </c>
      <c r="H1161" s="241" t="n">
        <v>0.8</v>
      </c>
      <c r="I1161" s="241" t="n">
        <v>8.529999999999999</v>
      </c>
      <c r="J1161" s="241" t="n">
        <v>50.68</v>
      </c>
      <c r="K1161" s="241" t="n">
        <v>33.03</v>
      </c>
      <c r="L1161" s="242" t="n">
        <v>3537980</v>
      </c>
      <c r="M1161" s="241" t="n">
        <v>6.06</v>
      </c>
      <c r="N1161" s="241" t="n">
        <v>4.76</v>
      </c>
      <c r="O1161" s="241" t="n">
        <v>85.76000000000001</v>
      </c>
      <c r="P1161" s="241" t="n">
        <v>1.02</v>
      </c>
    </row>
    <row r="1162">
      <c r="A1162" s="282" t="inlineStr">
        <is>
          <t>2010-10-15</t>
        </is>
      </c>
      <c r="B1162" s="240">
        <f>IFERROR(1/P1162-1,B1161)</f>
        <v/>
      </c>
      <c r="C1162" s="240">
        <f>$C$3</f>
        <v/>
      </c>
      <c r="D1162" s="240">
        <f>$D$3</f>
        <v/>
      </c>
      <c r="E1162" s="240">
        <f>$E$3</f>
        <v/>
      </c>
      <c r="F1162" s="241" t="n">
        <v>34.84</v>
      </c>
      <c r="G1162" s="242" t="n">
        <v>44281027</v>
      </c>
      <c r="H1162" s="241" t="n">
        <v>2.92</v>
      </c>
      <c r="I1162" s="241" t="n">
        <v>10.29</v>
      </c>
      <c r="J1162" s="241" t="n">
        <v>55.09</v>
      </c>
      <c r="K1162" s="241" t="n">
        <v>34.49</v>
      </c>
      <c r="L1162" s="242" t="n">
        <v>4147182</v>
      </c>
      <c r="M1162" s="241" t="n">
        <v>4.55</v>
      </c>
      <c r="N1162" s="241" t="n">
        <v>11.81</v>
      </c>
      <c r="O1162" s="241" t="n">
        <v>94.2</v>
      </c>
      <c r="P1162" s="241" t="n">
        <v>1.01</v>
      </c>
    </row>
    <row r="1163">
      <c r="A1163" s="282" t="inlineStr">
        <is>
          <t>2010-10-18</t>
        </is>
      </c>
      <c r="B1163" s="240">
        <f>IFERROR(1/P1163-1,B1162)</f>
        <v/>
      </c>
      <c r="C1163" s="240">
        <f>$C$3</f>
        <v/>
      </c>
      <c r="D1163" s="240">
        <f>$D$3</f>
        <v/>
      </c>
      <c r="E1163" s="240">
        <f>$E$3</f>
        <v/>
      </c>
      <c r="F1163" s="241" t="n">
        <v>33.81</v>
      </c>
      <c r="G1163" s="242" t="n">
        <v>52174515</v>
      </c>
      <c r="H1163" s="241" t="n">
        <v>-2.96</v>
      </c>
      <c r="I1163" s="241" t="n">
        <v>15.83</v>
      </c>
      <c r="J1163" s="241" t="n">
        <v>50.5</v>
      </c>
      <c r="K1163" s="241" t="n">
        <v>34.26</v>
      </c>
      <c r="L1163" s="242" t="n">
        <v>3537200</v>
      </c>
      <c r="M1163" s="241" t="n">
        <v>-0.75</v>
      </c>
      <c r="N1163" s="241" t="n">
        <v>18.37</v>
      </c>
      <c r="O1163" s="241" t="n">
        <v>92.76000000000001</v>
      </c>
      <c r="P1163" s="241" t="n">
        <v>0.99</v>
      </c>
    </row>
    <row r="1164">
      <c r="A1164" s="282" t="inlineStr">
        <is>
          <t>2010-10-19</t>
        </is>
      </c>
      <c r="B1164" s="240">
        <f>IFERROR(1/P1164-1,B1163)</f>
        <v/>
      </c>
      <c r="C1164" s="240">
        <f>$C$3</f>
        <v/>
      </c>
      <c r="D1164" s="240">
        <f>$D$3</f>
        <v/>
      </c>
      <c r="E1164" s="240">
        <f>$E$3</f>
        <v/>
      </c>
      <c r="F1164" s="241" t="n">
        <v>35.6</v>
      </c>
      <c r="G1164" s="242" t="n">
        <v>33704703</v>
      </c>
      <c r="H1164" s="241" t="n">
        <v>5.29</v>
      </c>
      <c r="I1164" s="241" t="n">
        <v>21.96</v>
      </c>
      <c r="J1164" s="241" t="n">
        <v>58.47</v>
      </c>
      <c r="K1164" s="241" t="n">
        <v>34.02</v>
      </c>
      <c r="L1164" s="242" t="n">
        <v>1097846</v>
      </c>
      <c r="M1164" s="241" t="n">
        <v>-0.75</v>
      </c>
      <c r="N1164" s="241" t="n">
        <v>17.48</v>
      </c>
      <c r="O1164" s="241" t="n">
        <v>91.31</v>
      </c>
      <c r="P1164" s="241" t="n">
        <v>1.05</v>
      </c>
    </row>
    <row r="1165">
      <c r="A1165" s="282" t="inlineStr">
        <is>
          <t>2010-10-20</t>
        </is>
      </c>
      <c r="B1165" s="240">
        <f>IFERROR(1/P1165-1,B1164)</f>
        <v/>
      </c>
      <c r="C1165" s="240">
        <f>$C$3</f>
        <v/>
      </c>
      <c r="D1165" s="240">
        <f>$D$3</f>
        <v/>
      </c>
      <c r="E1165" s="240">
        <f>$E$3</f>
        <v/>
      </c>
      <c r="F1165" s="241" t="n">
        <v>37.41</v>
      </c>
      <c r="G1165" s="242" t="n">
        <v>48405626</v>
      </c>
      <c r="H1165" s="241" t="n">
        <v>5.08</v>
      </c>
      <c r="I1165" s="241" t="n">
        <v>28.16</v>
      </c>
      <c r="J1165" s="241" t="n">
        <v>66.53</v>
      </c>
      <c r="K1165" s="241" t="n">
        <v>33.89</v>
      </c>
      <c r="L1165" s="242" t="n">
        <v>2129800</v>
      </c>
      <c r="M1165" s="241" t="n">
        <v>-0.63</v>
      </c>
      <c r="N1165" s="241" t="n">
        <v>16.74</v>
      </c>
      <c r="O1165" s="241" t="n">
        <v>90.09999999999999</v>
      </c>
      <c r="P1165" s="241" t="n">
        <v>1.1</v>
      </c>
    </row>
    <row r="1166">
      <c r="A1166" s="282" t="inlineStr">
        <is>
          <t>2010-10-21</t>
        </is>
      </c>
      <c r="B1166" s="240">
        <f>IFERROR(1/P1166-1,B1165)</f>
        <v/>
      </c>
      <c r="C1166" s="240">
        <f>$C$3</f>
        <v/>
      </c>
      <c r="D1166" s="240">
        <f>$D$3</f>
        <v/>
      </c>
      <c r="E1166" s="240">
        <f>$E$3</f>
        <v/>
      </c>
      <c r="F1166" s="241" t="n">
        <v>37</v>
      </c>
      <c r="G1166" s="242" t="n">
        <v>27924971</v>
      </c>
      <c r="H1166" s="241" t="n">
        <v>-1.1</v>
      </c>
      <c r="I1166" s="241" t="n">
        <v>31.58</v>
      </c>
      <c r="J1166" s="241" t="n">
        <v>64.7</v>
      </c>
      <c r="K1166" s="241" t="n">
        <v>33.76</v>
      </c>
      <c r="L1166" s="242" t="n">
        <v>1235200</v>
      </c>
      <c r="M1166" s="241" t="n">
        <v>-0.25</v>
      </c>
      <c r="N1166" s="241" t="n">
        <v>21.11</v>
      </c>
      <c r="O1166" s="241" t="n">
        <v>89.62</v>
      </c>
      <c r="P1166" s="241" t="n">
        <v>1.1</v>
      </c>
    </row>
    <row r="1167">
      <c r="A1167" s="282" t="inlineStr">
        <is>
          <t>2010-10-22</t>
        </is>
      </c>
      <c r="B1167" s="240">
        <f>IFERROR(1/P1167-1,B1166)</f>
        <v/>
      </c>
      <c r="C1167" s="240">
        <f>$C$3</f>
        <v/>
      </c>
      <c r="D1167" s="240">
        <f>$D$3</f>
        <v/>
      </c>
      <c r="E1167" s="240">
        <f>$E$3</f>
        <v/>
      </c>
      <c r="F1167" s="241" t="n">
        <v>36.91</v>
      </c>
      <c r="G1167" s="242" t="n">
        <v>22051311</v>
      </c>
      <c r="H1167" s="241" t="n">
        <v>-0.24</v>
      </c>
      <c r="I1167" s="241" t="n">
        <v>29.33</v>
      </c>
      <c r="J1167" s="241" t="n">
        <v>64.3</v>
      </c>
      <c r="K1167" s="241" t="n">
        <v>33.32</v>
      </c>
      <c r="L1167" s="242" t="n">
        <v>1303400</v>
      </c>
      <c r="M1167" s="241" t="n">
        <v>-1.4</v>
      </c>
      <c r="N1167" s="241" t="n">
        <v>12.32</v>
      </c>
      <c r="O1167" s="241" t="n">
        <v>86.97</v>
      </c>
      <c r="P1167" s="241" t="n">
        <v>1.11</v>
      </c>
    </row>
    <row r="1168">
      <c r="A1168" s="282" t="inlineStr">
        <is>
          <t>2010-10-25</t>
        </is>
      </c>
      <c r="B1168" s="240">
        <f>IFERROR(1/P1168-1,B1167)</f>
        <v/>
      </c>
      <c r="C1168" s="240">
        <f>$C$3</f>
        <v/>
      </c>
      <c r="D1168" s="240">
        <f>$D$3</f>
        <v/>
      </c>
      <c r="E1168" s="240">
        <f>$E$3</f>
        <v/>
      </c>
      <c r="F1168" s="241" t="n">
        <v>37.63</v>
      </c>
      <c r="G1168" s="242" t="n">
        <v>28689832</v>
      </c>
      <c r="H1168" s="241" t="n">
        <v>1.95</v>
      </c>
      <c r="I1168" s="241" t="n">
        <v>31.85</v>
      </c>
      <c r="J1168" s="241" t="n">
        <v>67.51000000000001</v>
      </c>
      <c r="K1168" s="241" t="n">
        <v>33.22</v>
      </c>
      <c r="L1168" s="242" t="n">
        <v>1422340</v>
      </c>
      <c r="M1168" s="241" t="n">
        <v>-0.26</v>
      </c>
      <c r="N1168" s="241" t="n">
        <v>9.800000000000001</v>
      </c>
      <c r="O1168" s="241" t="n">
        <v>86.48</v>
      </c>
      <c r="P1168" s="241" t="n">
        <v>1.13</v>
      </c>
    </row>
    <row r="1169">
      <c r="A1169" s="282" t="inlineStr">
        <is>
          <t>2010-10-26</t>
        </is>
      </c>
      <c r="B1169" s="240">
        <f>IFERROR(1/P1169-1,B1168)</f>
        <v/>
      </c>
      <c r="C1169" s="240">
        <f>$C$3</f>
        <v/>
      </c>
      <c r="D1169" s="240">
        <f>$D$3</f>
        <v/>
      </c>
      <c r="E1169" s="240">
        <f>$E$3</f>
        <v/>
      </c>
      <c r="F1169" s="241" t="n">
        <v>38.63</v>
      </c>
      <c r="G1169" s="242" t="n">
        <v>34562464</v>
      </c>
      <c r="H1169" s="241" t="n">
        <v>2.66</v>
      </c>
      <c r="I1169" s="241" t="n">
        <v>35.35</v>
      </c>
      <c r="J1169" s="241" t="n">
        <v>71.95999999999999</v>
      </c>
      <c r="K1169" s="241" t="n">
        <v>33.95</v>
      </c>
      <c r="L1169" s="242" t="n">
        <v>1232800</v>
      </c>
      <c r="M1169" s="241" t="n">
        <v>2.07</v>
      </c>
      <c r="N1169" s="241" t="n">
        <v>12.07</v>
      </c>
      <c r="O1169" s="241" t="n">
        <v>90.34</v>
      </c>
      <c r="P1169" s="241" t="n">
        <v>1.14</v>
      </c>
    </row>
    <row r="1170">
      <c r="A1170" s="282" t="inlineStr">
        <is>
          <t>2010-10-27</t>
        </is>
      </c>
      <c r="B1170" s="240">
        <f>IFERROR(1/P1170-1,B1169)</f>
        <v/>
      </c>
      <c r="C1170" s="240">
        <f>$C$3</f>
        <v/>
      </c>
      <c r="D1170" s="240">
        <f>$D$3</f>
        <v/>
      </c>
      <c r="E1170" s="240">
        <f>$E$3</f>
        <v/>
      </c>
      <c r="F1170" s="241" t="n">
        <v>36.91</v>
      </c>
      <c r="G1170" s="242" t="n">
        <v>28432463</v>
      </c>
      <c r="H1170" s="241" t="n">
        <v>-4.45</v>
      </c>
      <c r="I1170" s="241" t="n">
        <v>29.33</v>
      </c>
      <c r="J1170" s="241" t="n">
        <v>64.3</v>
      </c>
      <c r="K1170" s="241" t="n">
        <v>31.99</v>
      </c>
      <c r="L1170" s="242" t="n">
        <v>3015000</v>
      </c>
      <c r="M1170" s="241" t="n">
        <v>-5.96</v>
      </c>
      <c r="N1170" s="241" t="n">
        <v>5.4</v>
      </c>
      <c r="O1170" s="241" t="n">
        <v>79</v>
      </c>
      <c r="P1170" s="241" t="n">
        <v>1.15</v>
      </c>
    </row>
    <row r="1171">
      <c r="A1171" s="282" t="inlineStr">
        <is>
          <t>2010-10-28</t>
        </is>
      </c>
      <c r="B1171" s="240">
        <f>IFERROR(1/P1171-1,B1170)</f>
        <v/>
      </c>
      <c r="C1171" s="240">
        <f>$C$3</f>
        <v/>
      </c>
      <c r="D1171" s="240">
        <f>$D$3</f>
        <v/>
      </c>
      <c r="E1171" s="240">
        <f>$E$3</f>
        <v/>
      </c>
      <c r="F1171" s="241" t="n">
        <v>36.29</v>
      </c>
      <c r="G1171" s="242" t="n">
        <v>21967185</v>
      </c>
      <c r="H1171" s="241" t="n">
        <v>-1.68</v>
      </c>
      <c r="I1171" s="241" t="n">
        <v>15.61</v>
      </c>
      <c r="J1171" s="241" t="n">
        <v>61.54</v>
      </c>
      <c r="K1171" s="241" t="n">
        <v>32.42</v>
      </c>
      <c r="L1171" s="242" t="n">
        <v>2062000</v>
      </c>
      <c r="M1171" s="241" t="n">
        <v>1.21</v>
      </c>
      <c r="N1171" s="241" t="n">
        <v>6.22</v>
      </c>
      <c r="O1171" s="241" t="n">
        <v>81.18000000000001</v>
      </c>
      <c r="P1171" s="241" t="n">
        <v>1.12</v>
      </c>
    </row>
    <row r="1172">
      <c r="A1172" s="282" t="inlineStr">
        <is>
          <t>2010-10-29</t>
        </is>
      </c>
      <c r="B1172" s="240">
        <f>IFERROR(1/P1172-1,B1171)</f>
        <v/>
      </c>
      <c r="C1172" s="240">
        <f>$C$3</f>
        <v/>
      </c>
      <c r="D1172" s="240">
        <f>$D$3</f>
        <v/>
      </c>
      <c r="E1172" s="240">
        <f>$E$3</f>
        <v/>
      </c>
      <c r="F1172" s="241" t="n">
        <v>36.28</v>
      </c>
      <c r="G1172" s="242" t="n">
        <v>20035894</v>
      </c>
      <c r="H1172" s="241" t="n">
        <v>-0.03</v>
      </c>
      <c r="I1172" s="241" t="n">
        <v>14.16</v>
      </c>
      <c r="J1172" s="241" t="n">
        <v>61.5</v>
      </c>
      <c r="K1172" s="241" t="n">
        <v>32.52</v>
      </c>
      <c r="L1172" s="242" t="n">
        <v>1505100</v>
      </c>
      <c r="M1172" s="241" t="n">
        <v>0.4</v>
      </c>
      <c r="N1172" s="241" t="n">
        <v>4.43</v>
      </c>
      <c r="O1172" s="241" t="n">
        <v>81.90000000000001</v>
      </c>
      <c r="P1172" s="241" t="n">
        <v>1.12</v>
      </c>
    </row>
    <row r="1173">
      <c r="A1173" s="282" t="inlineStr">
        <is>
          <t>2010-11-01</t>
        </is>
      </c>
      <c r="B1173" s="240">
        <f>IFERROR(1/P1173-1,B1172)</f>
        <v/>
      </c>
      <c r="C1173" s="240">
        <f>$C$3</f>
        <v/>
      </c>
      <c r="D1173" s="240">
        <f>$D$3</f>
        <v/>
      </c>
      <c r="E1173" s="240">
        <f>$E$3</f>
        <v/>
      </c>
      <c r="F1173" s="241" t="n">
        <v>37.54</v>
      </c>
      <c r="G1173" s="242" t="n">
        <v>30341982</v>
      </c>
      <c r="H1173" s="241" t="n">
        <v>3.47</v>
      </c>
      <c r="I1173" s="241" t="n">
        <v>20.48</v>
      </c>
      <c r="J1173" s="241" t="n">
        <v>67.11</v>
      </c>
      <c r="K1173" s="241" t="n">
        <v>34.94</v>
      </c>
      <c r="L1173" s="242" t="n">
        <v>3374220</v>
      </c>
      <c r="M1173" s="241" t="n">
        <v>7.43</v>
      </c>
      <c r="N1173" s="241" t="n">
        <v>11.11</v>
      </c>
      <c r="O1173" s="241" t="n">
        <v>95.41</v>
      </c>
      <c r="P1173" s="241" t="n">
        <v>1.07</v>
      </c>
    </row>
    <row r="1174">
      <c r="A1174" s="282" t="inlineStr">
        <is>
          <t>2010-11-02</t>
        </is>
      </c>
      <c r="B1174" s="240">
        <f>IFERROR(1/P1174-1,B1173)</f>
        <v/>
      </c>
      <c r="C1174" s="240">
        <f>$C$3</f>
        <v/>
      </c>
      <c r="D1174" s="240">
        <f>$D$3</f>
        <v/>
      </c>
      <c r="E1174" s="240">
        <f>$E$3</f>
        <v/>
      </c>
      <c r="F1174" s="241" t="n">
        <v>36.71</v>
      </c>
      <c r="G1174" s="242" t="n">
        <v>36871089</v>
      </c>
      <c r="H1174" s="241" t="n">
        <v>-2.21</v>
      </c>
      <c r="I1174" s="241" t="n">
        <v>17.81</v>
      </c>
      <c r="J1174" s="241" t="n">
        <v>63.41</v>
      </c>
      <c r="K1174" s="241" t="n">
        <v>35.35</v>
      </c>
      <c r="L1174" s="242" t="n">
        <v>2828906</v>
      </c>
      <c r="M1174" s="241" t="n">
        <v>1.11</v>
      </c>
      <c r="N1174" s="241" t="n">
        <v>12.35</v>
      </c>
      <c r="O1174" s="241" t="n">
        <v>97.58</v>
      </c>
      <c r="P1174" s="241" t="n">
        <v>1.04</v>
      </c>
    </row>
    <row r="1175">
      <c r="A1175" s="282" t="inlineStr">
        <is>
          <t>2010-11-03</t>
        </is>
      </c>
      <c r="B1175" s="240">
        <f>IFERROR(1/P1175-1,B1174)</f>
        <v/>
      </c>
      <c r="C1175" s="240">
        <f>$C$3</f>
        <v/>
      </c>
      <c r="D1175" s="240">
        <f>$D$3</f>
        <v/>
      </c>
      <c r="E1175" s="240">
        <f>$E$3</f>
        <v/>
      </c>
      <c r="F1175" s="241" t="n">
        <v>36.56</v>
      </c>
      <c r="G1175" s="242" t="n">
        <v>25133558</v>
      </c>
      <c r="H1175" s="241" t="n">
        <v>-0.41</v>
      </c>
      <c r="I1175" s="241" t="n">
        <v>17.33</v>
      </c>
      <c r="J1175" s="241" t="n">
        <v>62.74</v>
      </c>
      <c r="K1175" s="241" t="n">
        <v>37.02</v>
      </c>
      <c r="L1175" s="242" t="n">
        <v>2475600</v>
      </c>
      <c r="M1175" s="241" t="n">
        <v>4.88</v>
      </c>
      <c r="N1175" s="241" t="n">
        <v>17.83</v>
      </c>
      <c r="O1175" s="241" t="n">
        <v>107.23</v>
      </c>
      <c r="P1175" s="241" t="n">
        <v>0.99</v>
      </c>
    </row>
    <row r="1176">
      <c r="A1176" s="282" t="inlineStr">
        <is>
          <t>2010-11-04</t>
        </is>
      </c>
      <c r="B1176" s="240">
        <f>IFERROR(1/P1176-1,B1175)</f>
        <v/>
      </c>
      <c r="C1176" s="240">
        <f>$C$3</f>
        <v/>
      </c>
      <c r="D1176" s="240">
        <f>$D$3</f>
        <v/>
      </c>
      <c r="E1176" s="240">
        <f>$E$3</f>
        <v/>
      </c>
      <c r="F1176" s="241" t="n">
        <v>36.85</v>
      </c>
      <c r="G1176" s="242" t="n">
        <v>21359665</v>
      </c>
      <c r="H1176" s="241" t="n">
        <v>0.79</v>
      </c>
      <c r="I1176" s="241" t="n">
        <v>18.26</v>
      </c>
      <c r="J1176" s="241" t="n">
        <v>64.03</v>
      </c>
      <c r="K1176" s="241" t="n">
        <v>36.06</v>
      </c>
      <c r="L1176" s="242" t="n">
        <v>2940300</v>
      </c>
      <c r="M1176" s="241" t="n">
        <v>-2.44</v>
      </c>
      <c r="N1176" s="241" t="n">
        <v>14.95</v>
      </c>
      <c r="O1176" s="241" t="n">
        <v>102.16</v>
      </c>
      <c r="P1176" s="241" t="n">
        <v>1.02</v>
      </c>
    </row>
    <row r="1177">
      <c r="A1177" s="282" t="inlineStr">
        <is>
          <t>2010-11-05</t>
        </is>
      </c>
      <c r="B1177" s="240">
        <f>IFERROR(1/P1177-1,B1176)</f>
        <v/>
      </c>
      <c r="C1177" s="240">
        <f>$C$3</f>
        <v/>
      </c>
      <c r="D1177" s="240">
        <f>$D$3</f>
        <v/>
      </c>
      <c r="E1177" s="240">
        <f>$E$3</f>
        <v/>
      </c>
      <c r="F1177" s="241" t="n">
        <v>38.14</v>
      </c>
      <c r="G1177" s="242" t="n">
        <v>35499514</v>
      </c>
      <c r="H1177" s="241" t="n">
        <v>3.5</v>
      </c>
      <c r="I1177" s="241" t="n">
        <v>22.4</v>
      </c>
      <c r="J1177" s="241" t="n">
        <v>69.78</v>
      </c>
      <c r="K1177" s="241" t="n">
        <v>36.27</v>
      </c>
      <c r="L1177" s="242" t="n">
        <v>1903500</v>
      </c>
      <c r="M1177" s="241" t="n">
        <v>0.72</v>
      </c>
      <c r="N1177" s="241" t="n">
        <v>14.67</v>
      </c>
      <c r="O1177" s="241" t="n">
        <v>103.61</v>
      </c>
      <c r="P1177" s="241" t="n">
        <v>1.05</v>
      </c>
    </row>
    <row r="1178">
      <c r="A1178" s="282" t="inlineStr">
        <is>
          <t>2010-11-08</t>
        </is>
      </c>
      <c r="B1178" s="240">
        <f>IFERROR(1/P1178-1,B1177)</f>
        <v/>
      </c>
      <c r="C1178" s="240">
        <f>$C$3</f>
        <v/>
      </c>
      <c r="D1178" s="240">
        <f>$D$3</f>
        <v/>
      </c>
      <c r="E1178" s="240">
        <f>$E$3</f>
        <v/>
      </c>
      <c r="F1178" s="241" t="n">
        <v>37.61</v>
      </c>
      <c r="G1178" s="242" t="n">
        <v>24694082</v>
      </c>
      <c r="H1178" s="241" t="n">
        <v>-1.39</v>
      </c>
      <c r="I1178" s="241" t="n">
        <v>20.7</v>
      </c>
      <c r="J1178" s="241" t="n">
        <v>67.42</v>
      </c>
      <c r="K1178" s="241" t="n">
        <v>36.52</v>
      </c>
      <c r="L1178" s="242" t="n">
        <v>2101753</v>
      </c>
      <c r="M1178" s="241" t="n">
        <v>0.59</v>
      </c>
      <c r="N1178" s="241" t="n">
        <v>18.08</v>
      </c>
      <c r="O1178" s="241" t="n">
        <v>104.82</v>
      </c>
      <c r="P1178" s="241" t="n">
        <v>1.03</v>
      </c>
    </row>
    <row r="1179">
      <c r="A1179" s="282" t="inlineStr">
        <is>
          <t>2010-11-09</t>
        </is>
      </c>
      <c r="B1179" s="240">
        <f>IFERROR(1/P1179-1,B1178)</f>
        <v/>
      </c>
      <c r="C1179" s="240">
        <f>$C$3</f>
        <v/>
      </c>
      <c r="D1179" s="240">
        <f>$D$3</f>
        <v/>
      </c>
      <c r="E1179" s="240">
        <f>$E$3</f>
        <v/>
      </c>
      <c r="F1179" s="241" t="n">
        <v>37.2</v>
      </c>
      <c r="G1179" s="242" t="n">
        <v>17890531</v>
      </c>
      <c r="H1179" s="241" t="n">
        <v>-1.09</v>
      </c>
      <c r="I1179" s="241" t="n">
        <v>11.95</v>
      </c>
      <c r="J1179" s="241" t="n">
        <v>65.59</v>
      </c>
      <c r="K1179" s="241" t="n">
        <v>36.42</v>
      </c>
      <c r="L1179" s="242" t="n">
        <v>1184999</v>
      </c>
      <c r="M1179" s="241" t="n">
        <v>-0.12</v>
      </c>
      <c r="N1179" s="241" t="n">
        <v>19.61</v>
      </c>
      <c r="O1179" s="241" t="n">
        <v>104.58</v>
      </c>
      <c r="P1179" s="241" t="n">
        <v>1.02</v>
      </c>
    </row>
    <row r="1180">
      <c r="A1180" s="282" t="inlineStr">
        <is>
          <t>2010-11-10</t>
        </is>
      </c>
      <c r="B1180" s="240">
        <f>IFERROR(1/P1180-1,B1179)</f>
        <v/>
      </c>
      <c r="C1180" s="240">
        <f>$C$3</f>
        <v/>
      </c>
      <c r="D1180" s="240">
        <f>$D$3</f>
        <v/>
      </c>
      <c r="E1180" s="240">
        <f>$E$3</f>
        <v/>
      </c>
      <c r="F1180" s="241" t="n">
        <v>37.34</v>
      </c>
      <c r="G1180" s="242" t="n">
        <v>19198478</v>
      </c>
      <c r="H1180" s="241" t="n">
        <v>0.38</v>
      </c>
      <c r="I1180" s="241" t="n">
        <v>12.37</v>
      </c>
      <c r="J1180" s="241" t="n">
        <v>66.22</v>
      </c>
      <c r="K1180" s="241" t="n">
        <v>35.36</v>
      </c>
      <c r="L1180" s="242" t="n">
        <v>1367200</v>
      </c>
      <c r="M1180" s="241" t="n">
        <v>-2.71</v>
      </c>
      <c r="N1180" s="241" t="n">
        <v>16.36</v>
      </c>
      <c r="O1180" s="241" t="n">
        <v>99.03</v>
      </c>
      <c r="P1180" s="241" t="n">
        <v>1.06</v>
      </c>
    </row>
    <row r="1181">
      <c r="A1181" s="282" t="inlineStr">
        <is>
          <t>2010-11-11</t>
        </is>
      </c>
      <c r="B1181" s="240">
        <f>IFERROR(1/P1181-1,B1180)</f>
        <v/>
      </c>
      <c r="C1181" s="240">
        <f>$C$3</f>
        <v/>
      </c>
      <c r="D1181" s="240">
        <f>$D$3</f>
        <v/>
      </c>
      <c r="E1181" s="240">
        <f>$E$3</f>
        <v/>
      </c>
      <c r="F1181" s="241" t="n">
        <v>37.15</v>
      </c>
      <c r="G1181" s="242" t="n">
        <v>28194632</v>
      </c>
      <c r="H1181" s="241" t="n">
        <v>-0.51</v>
      </c>
      <c r="I1181" s="241" t="n">
        <v>11.8</v>
      </c>
      <c r="J1181" s="241" t="n">
        <v>65.37</v>
      </c>
      <c r="K1181" s="241" t="n">
        <v>35.21</v>
      </c>
      <c r="L1181" s="242" t="n">
        <v>1332300</v>
      </c>
      <c r="M1181" s="241" t="n">
        <v>-0.12</v>
      </c>
      <c r="N1181" s="241" t="n">
        <v>16.22</v>
      </c>
      <c r="O1181" s="241" t="n">
        <v>98.79000000000001</v>
      </c>
      <c r="P1181" s="241" t="n">
        <v>1.06</v>
      </c>
    </row>
    <row r="1182">
      <c r="A1182" s="282" t="inlineStr">
        <is>
          <t>2010-11-12</t>
        </is>
      </c>
      <c r="B1182" s="240">
        <f>IFERROR(1/P1182-1,B1181)</f>
        <v/>
      </c>
      <c r="C1182" s="240">
        <f>$C$3</f>
        <v/>
      </c>
      <c r="D1182" s="240">
        <f>$D$3</f>
        <v/>
      </c>
      <c r="E1182" s="240">
        <f>$E$3</f>
        <v/>
      </c>
      <c r="F1182" s="241" t="n">
        <v>33.44</v>
      </c>
      <c r="G1182" s="242" t="n">
        <v>40471352</v>
      </c>
      <c r="H1182" s="241" t="n">
        <v>-9.99</v>
      </c>
      <c r="I1182" s="241" t="n">
        <v>1.61</v>
      </c>
      <c r="J1182" s="241" t="n">
        <v>48.85</v>
      </c>
      <c r="K1182" s="241" t="n">
        <v>34.09</v>
      </c>
      <c r="L1182" s="242" t="n">
        <v>1890400</v>
      </c>
      <c r="M1182" s="241" t="n">
        <v>-3.16</v>
      </c>
      <c r="N1182" s="241" t="n">
        <v>14.49</v>
      </c>
      <c r="O1182" s="241" t="n">
        <v>92.51000000000001</v>
      </c>
      <c r="P1182" s="241" t="n">
        <v>0.98</v>
      </c>
    </row>
    <row r="1183">
      <c r="A1183" s="282" t="inlineStr">
        <is>
          <t>2010-11-15</t>
        </is>
      </c>
      <c r="B1183" s="240">
        <f>IFERROR(1/P1183-1,B1182)</f>
        <v/>
      </c>
      <c r="C1183" s="240">
        <f>$C$3</f>
        <v/>
      </c>
      <c r="D1183" s="240">
        <f>$D$3</f>
        <v/>
      </c>
      <c r="E1183" s="240">
        <f>$E$3</f>
        <v/>
      </c>
      <c r="F1183" s="241" t="n">
        <v>33.71</v>
      </c>
      <c r="G1183" s="242" t="n">
        <v>20709627</v>
      </c>
      <c r="H1183" s="241" t="n">
        <v>0.8100000000000001</v>
      </c>
      <c r="I1183" s="241" t="n">
        <v>-0.41</v>
      </c>
      <c r="J1183" s="241" t="n">
        <v>50.06</v>
      </c>
      <c r="K1183" s="241" t="n">
        <v>33.1</v>
      </c>
      <c r="L1183" s="242" t="n">
        <v>3736548</v>
      </c>
      <c r="M1183" s="241" t="n">
        <v>-3.01</v>
      </c>
      <c r="N1183" s="241" t="n">
        <v>0.52</v>
      </c>
      <c r="O1183" s="241" t="n">
        <v>86.72</v>
      </c>
      <c r="P1183" s="241" t="n">
        <v>1.02</v>
      </c>
    </row>
    <row r="1184">
      <c r="A1184" s="282" t="inlineStr">
        <is>
          <t>2010-11-16</t>
        </is>
      </c>
      <c r="B1184" s="240">
        <f>IFERROR(1/P1184-1,B1183)</f>
        <v/>
      </c>
      <c r="C1184" s="240">
        <f>$C$3</f>
        <v/>
      </c>
      <c r="D1184" s="240">
        <f>$D$3</f>
        <v/>
      </c>
      <c r="E1184" s="240">
        <f>$E$3</f>
        <v/>
      </c>
      <c r="F1184" s="241" t="n">
        <v>33.94</v>
      </c>
      <c r="G1184" s="242" t="n">
        <v>31690048</v>
      </c>
      <c r="H1184" s="241" t="n">
        <v>0.68</v>
      </c>
      <c r="I1184" s="241" t="n">
        <v>-2.58</v>
      </c>
      <c r="J1184" s="241" t="n">
        <v>51.08</v>
      </c>
      <c r="K1184" s="241" t="n">
        <v>32.09</v>
      </c>
      <c r="L1184" s="242" t="n">
        <v>3368000</v>
      </c>
      <c r="M1184" s="241" t="n">
        <v>-3.23</v>
      </c>
      <c r="N1184" s="241" t="n">
        <v>-6.96</v>
      </c>
      <c r="O1184" s="241" t="n">
        <v>80.69</v>
      </c>
      <c r="P1184" s="241" t="n">
        <v>1.06</v>
      </c>
    </row>
    <row r="1185">
      <c r="A1185" s="282" t="inlineStr">
        <is>
          <t>2010-11-17</t>
        </is>
      </c>
      <c r="B1185" s="240">
        <f>IFERROR(1/P1185-1,B1184)</f>
        <v/>
      </c>
      <c r="C1185" s="240">
        <f>$C$3</f>
        <v/>
      </c>
      <c r="D1185" s="240">
        <f>$D$3</f>
        <v/>
      </c>
      <c r="E1185" s="240">
        <f>$E$3</f>
        <v/>
      </c>
      <c r="F1185" s="241" t="n">
        <v>33.33</v>
      </c>
      <c r="G1185" s="242" t="n">
        <v>19814781</v>
      </c>
      <c r="H1185" s="241" t="n">
        <v>-1.8</v>
      </c>
      <c r="I1185" s="241" t="n">
        <v>-4.33</v>
      </c>
      <c r="J1185" s="241" t="n">
        <v>48.36</v>
      </c>
      <c r="K1185" s="241" t="n">
        <v>31.12</v>
      </c>
      <c r="L1185" s="242" t="n">
        <v>3196501</v>
      </c>
      <c r="M1185" s="241" t="n">
        <v>-3.07</v>
      </c>
      <c r="N1185" s="241" t="n">
        <v>-9.81</v>
      </c>
      <c r="O1185" s="241" t="n">
        <v>75.14</v>
      </c>
      <c r="P1185" s="241" t="n">
        <v>1.07</v>
      </c>
    </row>
    <row r="1186">
      <c r="A1186" s="282" t="inlineStr">
        <is>
          <t>2010-11-18</t>
        </is>
      </c>
      <c r="B1186" s="240">
        <f>IFERROR(1/P1186-1,B1185)</f>
        <v/>
      </c>
      <c r="C1186" s="240">
        <f>$C$3</f>
        <v/>
      </c>
      <c r="D1186" s="240">
        <f>$D$3</f>
        <v/>
      </c>
      <c r="E1186" s="240">
        <f>$E$3</f>
        <v/>
      </c>
      <c r="F1186" s="241" t="n">
        <v>33.6</v>
      </c>
      <c r="G1186" s="242" t="n">
        <v>13010090</v>
      </c>
      <c r="H1186" s="241" t="n">
        <v>0.8100000000000001</v>
      </c>
      <c r="I1186" s="241" t="n">
        <v>-3.56</v>
      </c>
      <c r="J1186" s="241" t="n">
        <v>49.57</v>
      </c>
      <c r="K1186" s="241" t="n">
        <v>32.99</v>
      </c>
      <c r="L1186" s="242" t="n">
        <v>3007512</v>
      </c>
      <c r="M1186" s="241" t="n">
        <v>6.06</v>
      </c>
      <c r="N1186" s="241" t="n">
        <v>-4.35</v>
      </c>
      <c r="O1186" s="241" t="n">
        <v>85.76000000000001</v>
      </c>
      <c r="P1186" s="241" t="n">
        <v>1.02</v>
      </c>
    </row>
    <row r="1187">
      <c r="A1187" s="282" t="inlineStr">
        <is>
          <t>2010-11-19</t>
        </is>
      </c>
      <c r="B1187" s="240">
        <f>IFERROR(1/P1187-1,B1186)</f>
        <v/>
      </c>
      <c r="C1187" s="240">
        <f>$C$3</f>
        <v/>
      </c>
      <c r="D1187" s="240">
        <f>$D$3</f>
        <v/>
      </c>
      <c r="E1187" s="240">
        <f>$E$3</f>
        <v/>
      </c>
      <c r="F1187" s="241" t="n">
        <v>34.5</v>
      </c>
      <c r="G1187" s="242" t="n">
        <v>17741083</v>
      </c>
      <c r="H1187" s="241" t="n">
        <v>2.68</v>
      </c>
      <c r="I1187" s="241" t="n">
        <v>2.04</v>
      </c>
      <c r="J1187" s="241" t="n">
        <v>53.57</v>
      </c>
      <c r="K1187" s="241" t="n">
        <v>33.36</v>
      </c>
      <c r="L1187" s="242" t="n">
        <v>2065400</v>
      </c>
      <c r="M1187" s="241" t="n">
        <v>1.17</v>
      </c>
      <c r="N1187" s="241" t="n">
        <v>-2.5</v>
      </c>
      <c r="O1187" s="241" t="n">
        <v>87.93000000000001</v>
      </c>
      <c r="P1187" s="241" t="n">
        <v>1.03</v>
      </c>
    </row>
    <row r="1188">
      <c r="A1188" s="282" t="inlineStr">
        <is>
          <t>2010-11-22</t>
        </is>
      </c>
      <c r="B1188" s="240">
        <f>IFERROR(1/P1188-1,B1187)</f>
        <v/>
      </c>
      <c r="C1188" s="240">
        <f>$C$3</f>
        <v/>
      </c>
      <c r="D1188" s="240">
        <f>$D$3</f>
        <v/>
      </c>
      <c r="E1188" s="240">
        <f>$E$3</f>
        <v/>
      </c>
      <c r="F1188" s="241" t="n">
        <v>34.33</v>
      </c>
      <c r="G1188" s="242" t="n">
        <v>15240231</v>
      </c>
      <c r="H1188" s="241" t="n">
        <v>-0.49</v>
      </c>
      <c r="I1188" s="241" t="n">
        <v>-7.22</v>
      </c>
      <c r="J1188" s="241" t="n">
        <v>52.82</v>
      </c>
      <c r="K1188" s="241" t="n">
        <v>32.88</v>
      </c>
      <c r="L1188" s="242" t="n">
        <v>1484031</v>
      </c>
      <c r="M1188" s="241" t="n">
        <v>-1.41</v>
      </c>
      <c r="N1188" s="241" t="n">
        <v>-2.29</v>
      </c>
      <c r="O1188" s="241" t="n">
        <v>85.28</v>
      </c>
      <c r="P1188" s="241" t="n">
        <v>1.04</v>
      </c>
    </row>
    <row r="1189">
      <c r="A1189" s="282" t="inlineStr">
        <is>
          <t>2010-11-23</t>
        </is>
      </c>
      <c r="B1189" s="240">
        <f>IFERROR(1/P1189-1,B1188)</f>
        <v/>
      </c>
      <c r="C1189" s="240">
        <f>$C$3</f>
        <v/>
      </c>
      <c r="D1189" s="240">
        <f>$D$3</f>
        <v/>
      </c>
      <c r="E1189" s="240">
        <f>$E$3</f>
        <v/>
      </c>
      <c r="F1189" s="241" t="n">
        <v>33.09</v>
      </c>
      <c r="G1189" s="242" t="n">
        <v>15814260</v>
      </c>
      <c r="H1189" s="241" t="n">
        <v>-3.61</v>
      </c>
      <c r="I1189" s="241" t="n">
        <v>-10.35</v>
      </c>
      <c r="J1189" s="241" t="n">
        <v>47.3</v>
      </c>
      <c r="K1189" s="241" t="n">
        <v>32.18</v>
      </c>
      <c r="L1189" s="242" t="n">
        <v>883500</v>
      </c>
      <c r="M1189" s="241" t="n">
        <v>-2.21</v>
      </c>
      <c r="N1189" s="241" t="n">
        <v>-3.1</v>
      </c>
      <c r="O1189" s="241" t="n">
        <v>81.18000000000001</v>
      </c>
      <c r="P1189" s="241" t="n">
        <v>1.03</v>
      </c>
    </row>
    <row r="1190">
      <c r="A1190" s="282" t="inlineStr">
        <is>
          <t>2010-11-24</t>
        </is>
      </c>
      <c r="B1190" s="240">
        <f>IFERROR(1/P1190-1,B1189)</f>
        <v/>
      </c>
      <c r="C1190" s="240">
        <f>$C$3</f>
        <v/>
      </c>
      <c r="D1190" s="240">
        <f>$D$3</f>
        <v/>
      </c>
      <c r="E1190" s="240">
        <f>$E$3</f>
        <v/>
      </c>
      <c r="F1190" s="241" t="n">
        <v>33.75</v>
      </c>
      <c r="G1190" s="242" t="n">
        <v>10693209</v>
      </c>
      <c r="H1190" s="241" t="n">
        <v>1.99</v>
      </c>
      <c r="I1190" s="241" t="n">
        <v>-8.56</v>
      </c>
      <c r="J1190" s="241" t="n">
        <v>50.23</v>
      </c>
      <c r="K1190" s="241" t="n">
        <v>31.84</v>
      </c>
      <c r="L1190" s="242" t="n">
        <v>1647200</v>
      </c>
      <c r="M1190" s="241" t="n">
        <v>-1.2</v>
      </c>
      <c r="N1190" s="241" t="n">
        <v>-4.26</v>
      </c>
      <c r="O1190" s="241" t="n">
        <v>79</v>
      </c>
      <c r="P1190" s="241" t="n">
        <v>1.06</v>
      </c>
    </row>
    <row r="1191">
      <c r="A1191" s="282" t="inlineStr">
        <is>
          <t>2010-11-25</t>
        </is>
      </c>
      <c r="B1191" s="240">
        <f>IFERROR(1/P1191-1,B1190)</f>
        <v/>
      </c>
      <c r="C1191" s="240">
        <f>$C$3</f>
        <v/>
      </c>
      <c r="D1191" s="240">
        <f>$D$3</f>
        <v/>
      </c>
      <c r="E1191" s="240">
        <f>$E$3</f>
        <v/>
      </c>
      <c r="F1191" s="241" t="n">
        <v>34.32</v>
      </c>
      <c r="G1191" s="242" t="n">
        <v>14054664</v>
      </c>
      <c r="H1191" s="241" t="n">
        <v>1.69</v>
      </c>
      <c r="I1191" s="241" t="n">
        <v>-7.02</v>
      </c>
      <c r="J1191" s="241" t="n">
        <v>52.77</v>
      </c>
      <c r="K1191" s="241" t="n">
        <v>32.94</v>
      </c>
      <c r="L1191" s="242" t="n">
        <v>905240</v>
      </c>
      <c r="M1191" s="241" t="n">
        <v>3.5</v>
      </c>
      <c r="N1191" s="241" t="n">
        <v>-0.9</v>
      </c>
      <c r="O1191" s="241" t="n">
        <v>85.28</v>
      </c>
      <c r="P1191" s="241" t="n">
        <v>1.04</v>
      </c>
    </row>
    <row r="1192">
      <c r="A1192" s="282" t="inlineStr">
        <is>
          <t>2010-11-26</t>
        </is>
      </c>
      <c r="B1192" s="240">
        <f>IFERROR(1/P1192-1,B1191)</f>
        <v/>
      </c>
      <c r="C1192" s="240">
        <f>$C$3</f>
        <v/>
      </c>
      <c r="D1192" s="240">
        <f>$D$3</f>
        <v/>
      </c>
      <c r="E1192" s="240">
        <f>$E$3</f>
        <v/>
      </c>
      <c r="F1192" s="241" t="n">
        <v>34.19</v>
      </c>
      <c r="G1192" s="242" t="n">
        <v>10425237</v>
      </c>
      <c r="H1192" s="241" t="n">
        <v>-0.38</v>
      </c>
      <c r="I1192" s="241" t="n">
        <v>-9.140000000000001</v>
      </c>
      <c r="J1192" s="241" t="n">
        <v>52.19</v>
      </c>
      <c r="K1192" s="241" t="n">
        <v>32.42</v>
      </c>
      <c r="L1192" s="242" t="n">
        <v>642500</v>
      </c>
      <c r="M1192" s="241" t="n">
        <v>-1.56</v>
      </c>
      <c r="N1192" s="241" t="n">
        <v>-2.2</v>
      </c>
      <c r="O1192" s="241" t="n">
        <v>82.38</v>
      </c>
      <c r="P1192" s="241" t="n">
        <v>1.05</v>
      </c>
    </row>
    <row r="1193">
      <c r="A1193" s="282" t="inlineStr">
        <is>
          <t>2010-11-29</t>
        </is>
      </c>
      <c r="B1193" s="240">
        <f>IFERROR(1/P1193-1,B1192)</f>
        <v/>
      </c>
      <c r="C1193" s="240">
        <f>$C$3</f>
        <v/>
      </c>
      <c r="D1193" s="240">
        <f>$D$3</f>
        <v/>
      </c>
      <c r="E1193" s="240">
        <f>$E$3</f>
        <v/>
      </c>
      <c r="F1193" s="241" t="n">
        <v>33.38</v>
      </c>
      <c r="G1193" s="242" t="n">
        <v>10874780</v>
      </c>
      <c r="H1193" s="241" t="n">
        <v>-2.37</v>
      </c>
      <c r="I1193" s="241" t="n">
        <v>-8.02</v>
      </c>
      <c r="J1193" s="241" t="n">
        <v>48.59</v>
      </c>
      <c r="K1193" s="241" t="n">
        <v>34.19</v>
      </c>
      <c r="L1193" s="242" t="n">
        <v>1810731</v>
      </c>
      <c r="M1193" s="241" t="n">
        <v>5.29</v>
      </c>
      <c r="N1193" s="241" t="n">
        <v>5.99</v>
      </c>
      <c r="O1193" s="241" t="n">
        <v>92.03</v>
      </c>
      <c r="P1193" s="241" t="n">
        <v>0.98</v>
      </c>
    </row>
    <row r="1194">
      <c r="A1194" s="282" t="inlineStr">
        <is>
          <t>2010-11-30</t>
        </is>
      </c>
      <c r="B1194" s="240">
        <f>IFERROR(1/P1194-1,B1193)</f>
        <v/>
      </c>
      <c r="C1194" s="240">
        <f>$C$3</f>
        <v/>
      </c>
      <c r="D1194" s="240">
        <f>$D$3</f>
        <v/>
      </c>
      <c r="E1194" s="240">
        <f>$E$3</f>
        <v/>
      </c>
      <c r="F1194" s="241" t="n">
        <v>32.2</v>
      </c>
      <c r="G1194" s="242" t="n">
        <v>17446832</v>
      </c>
      <c r="H1194" s="241" t="n">
        <v>-3.54</v>
      </c>
      <c r="I1194" s="241" t="n">
        <v>-11.25</v>
      </c>
      <c r="J1194" s="241" t="n">
        <v>43.33</v>
      </c>
      <c r="K1194" s="241" t="n">
        <v>33.14</v>
      </c>
      <c r="L1194" s="242" t="n">
        <v>2562200</v>
      </c>
      <c r="M1194" s="241" t="n">
        <v>-3.14</v>
      </c>
      <c r="N1194" s="241" t="n">
        <v>2.25</v>
      </c>
      <c r="O1194" s="241" t="n">
        <v>86</v>
      </c>
      <c r="P1194" s="241" t="n">
        <v>0.97</v>
      </c>
    </row>
    <row r="1195">
      <c r="A1195" s="282" t="inlineStr">
        <is>
          <t>2010-12-01</t>
        </is>
      </c>
      <c r="B1195" s="240">
        <f>IFERROR(1/P1195-1,B1194)</f>
        <v/>
      </c>
      <c r="C1195" s="240">
        <f>$C$3</f>
        <v/>
      </c>
      <c r="D1195" s="240">
        <f>$D$3</f>
        <v/>
      </c>
      <c r="E1195" s="240">
        <f>$E$3</f>
        <v/>
      </c>
      <c r="F1195" s="241" t="n">
        <v>32.51</v>
      </c>
      <c r="G1195" s="242" t="n">
        <v>33774110</v>
      </c>
      <c r="H1195" s="241" t="n">
        <v>0.96</v>
      </c>
      <c r="I1195" s="241" t="n">
        <v>-10.39</v>
      </c>
      <c r="J1195" s="241" t="n">
        <v>44.71</v>
      </c>
      <c r="K1195" s="241" t="n">
        <v>33.24</v>
      </c>
      <c r="L1195" s="242" t="n">
        <v>4420800</v>
      </c>
      <c r="M1195" s="241" t="n">
        <v>0.26</v>
      </c>
      <c r="N1195" s="241" t="n">
        <v>2.52</v>
      </c>
      <c r="O1195" s="241" t="n">
        <v>86.48</v>
      </c>
      <c r="P1195" s="241" t="n">
        <v>0.98</v>
      </c>
    </row>
    <row r="1196">
      <c r="A1196" s="282" t="inlineStr">
        <is>
          <t>2010-12-02</t>
        </is>
      </c>
      <c r="B1196" s="240">
        <f>IFERROR(1/P1196-1,B1195)</f>
        <v/>
      </c>
      <c r="C1196" s="240">
        <f>$C$3</f>
        <v/>
      </c>
      <c r="D1196" s="240">
        <f>$D$3</f>
        <v/>
      </c>
      <c r="E1196" s="240">
        <f>$E$3</f>
        <v/>
      </c>
      <c r="F1196" s="241" t="n">
        <v>32.17</v>
      </c>
      <c r="G1196" s="242" t="n">
        <v>19300822</v>
      </c>
      <c r="H1196" s="241" t="n">
        <v>-1.05</v>
      </c>
      <c r="I1196" s="241" t="n">
        <v>-14.3</v>
      </c>
      <c r="J1196" s="241" t="n">
        <v>43.2</v>
      </c>
      <c r="K1196" s="241" t="n">
        <v>33.53</v>
      </c>
      <c r="L1196" s="242" t="n">
        <v>1867200</v>
      </c>
      <c r="M1196" s="241" t="n">
        <v>1.03</v>
      </c>
      <c r="N1196" s="241" t="n">
        <v>-3.58</v>
      </c>
      <c r="O1196" s="241" t="n">
        <v>88.41</v>
      </c>
      <c r="P1196" s="241" t="n">
        <v>0.96</v>
      </c>
    </row>
    <row r="1197">
      <c r="A1197" s="282" t="inlineStr">
        <is>
          <t>2010-12-03</t>
        </is>
      </c>
      <c r="B1197" s="240">
        <f>IFERROR(1/P1197-1,B1196)</f>
        <v/>
      </c>
      <c r="C1197" s="240">
        <f>$C$3</f>
        <v/>
      </c>
      <c r="D1197" s="240">
        <f>$D$3</f>
        <v/>
      </c>
      <c r="E1197" s="240">
        <f>$E$3</f>
        <v/>
      </c>
      <c r="F1197" s="241" t="n">
        <v>31.53</v>
      </c>
      <c r="G1197" s="242" t="n">
        <v>17870268</v>
      </c>
      <c r="H1197" s="241" t="n">
        <v>-1.99</v>
      </c>
      <c r="I1197" s="241" t="n">
        <v>-14.11</v>
      </c>
      <c r="J1197" s="241" t="n">
        <v>40.35</v>
      </c>
      <c r="K1197" s="241" t="n">
        <v>33.53</v>
      </c>
      <c r="L1197" s="242" t="n">
        <v>2724900</v>
      </c>
      <c r="M1197" s="241" t="n">
        <v>0.13</v>
      </c>
      <c r="N1197" s="241" t="n">
        <v>-4.52</v>
      </c>
      <c r="O1197" s="241" t="n">
        <v>88.65000000000001</v>
      </c>
      <c r="P1197" s="241" t="n">
        <v>0.9399999999999999</v>
      </c>
    </row>
    <row r="1198">
      <c r="A1198" s="282" t="inlineStr">
        <is>
          <t>2010-12-06</t>
        </is>
      </c>
      <c r="B1198" s="240">
        <f>IFERROR(1/P1198-1,B1197)</f>
        <v/>
      </c>
      <c r="C1198" s="240">
        <f>$C$3</f>
        <v/>
      </c>
      <c r="D1198" s="240">
        <f>$D$3</f>
        <v/>
      </c>
      <c r="E1198" s="240">
        <f>$E$3</f>
        <v/>
      </c>
      <c r="F1198" s="241" t="n">
        <v>30.33</v>
      </c>
      <c r="G1198" s="242" t="n">
        <v>20418776</v>
      </c>
      <c r="H1198" s="241" t="n">
        <v>-3.81</v>
      </c>
      <c r="I1198" s="241" t="n">
        <v>-20.48</v>
      </c>
      <c r="J1198" s="241" t="n">
        <v>35.01</v>
      </c>
      <c r="K1198" s="241" t="n">
        <v>31.95</v>
      </c>
      <c r="L1198" s="242" t="n">
        <v>5026600</v>
      </c>
      <c r="M1198" s="241" t="n">
        <v>-4.6</v>
      </c>
      <c r="N1198" s="241" t="n">
        <v>-11.61</v>
      </c>
      <c r="O1198" s="241" t="n">
        <v>79.97</v>
      </c>
      <c r="P1198" s="241" t="n">
        <v>0.95</v>
      </c>
    </row>
    <row r="1199">
      <c r="A1199" s="282" t="inlineStr">
        <is>
          <t>2010-12-07</t>
        </is>
      </c>
      <c r="B1199" s="240">
        <f>IFERROR(1/P1199-1,B1198)</f>
        <v/>
      </c>
      <c r="C1199" s="240">
        <f>$C$3</f>
        <v/>
      </c>
      <c r="D1199" s="240">
        <f>$D$3</f>
        <v/>
      </c>
      <c r="E1199" s="240">
        <f>$E$3</f>
        <v/>
      </c>
      <c r="F1199" s="241" t="n">
        <v>30.63</v>
      </c>
      <c r="G1199" s="242" t="n">
        <v>14356187</v>
      </c>
      <c r="H1199" s="241" t="n">
        <v>0.99</v>
      </c>
      <c r="I1199" s="241" t="n">
        <v>-19.69</v>
      </c>
      <c r="J1199" s="241" t="n">
        <v>36.35</v>
      </c>
      <c r="K1199" s="241" t="n">
        <v>30.79</v>
      </c>
      <c r="L1199" s="242" t="n">
        <v>7487700</v>
      </c>
      <c r="M1199" s="241" t="n">
        <v>-3.75</v>
      </c>
      <c r="N1199" s="241" t="n">
        <v>-14.93</v>
      </c>
      <c r="O1199" s="241" t="n">
        <v>73.20999999999999</v>
      </c>
      <c r="P1199" s="241" t="n">
        <v>0.99</v>
      </c>
    </row>
    <row r="1200">
      <c r="A1200" s="282" t="inlineStr">
        <is>
          <t>2010-12-08</t>
        </is>
      </c>
      <c r="B1200" s="240">
        <f>IFERROR(1/P1200-1,B1199)</f>
        <v/>
      </c>
      <c r="C1200" s="240">
        <f>$C$3</f>
        <v/>
      </c>
      <c r="D1200" s="240">
        <f>$D$3</f>
        <v/>
      </c>
      <c r="E1200" s="240">
        <f>$E$3</f>
        <v/>
      </c>
      <c r="F1200" s="241" t="n">
        <v>30.69</v>
      </c>
      <c r="G1200" s="242" t="n">
        <v>15376309</v>
      </c>
      <c r="H1200" s="241" t="n">
        <v>0.2</v>
      </c>
      <c r="I1200" s="241" t="n">
        <v>-19.53</v>
      </c>
      <c r="J1200" s="241" t="n">
        <v>36.61</v>
      </c>
      <c r="K1200" s="241" t="n">
        <v>29.86</v>
      </c>
      <c r="L1200" s="242" t="n">
        <v>4581400</v>
      </c>
      <c r="M1200" s="241" t="n">
        <v>-3.06</v>
      </c>
      <c r="N1200" s="241" t="n">
        <v>-17.54</v>
      </c>
      <c r="O1200" s="241" t="n">
        <v>67.91</v>
      </c>
      <c r="P1200" s="241" t="n">
        <v>1.03</v>
      </c>
    </row>
    <row r="1201">
      <c r="A1201" s="282" t="inlineStr">
        <is>
          <t>2010-12-09</t>
        </is>
      </c>
      <c r="B1201" s="240">
        <f>IFERROR(1/P1201-1,B1200)</f>
        <v/>
      </c>
      <c r="C1201" s="240">
        <f>$C$3</f>
        <v/>
      </c>
      <c r="D1201" s="240">
        <f>$D$3</f>
        <v/>
      </c>
      <c r="E1201" s="240">
        <f>$E$3</f>
        <v/>
      </c>
      <c r="F1201" s="241" t="n">
        <v>29.9</v>
      </c>
      <c r="G1201" s="242" t="n">
        <v>13668872</v>
      </c>
      <c r="H1201" s="241" t="n">
        <v>-2.57</v>
      </c>
      <c r="I1201" s="241" t="n">
        <v>-20.5</v>
      </c>
      <c r="J1201" s="241" t="n">
        <v>33.1</v>
      </c>
      <c r="K1201" s="241" t="n">
        <v>30.85</v>
      </c>
      <c r="L1201" s="242" t="n">
        <v>3300200</v>
      </c>
      <c r="M1201" s="241" t="n">
        <v>3.3</v>
      </c>
      <c r="N1201" s="241" t="n">
        <v>-15.31</v>
      </c>
      <c r="O1201" s="241" t="n">
        <v>73.45999999999999</v>
      </c>
      <c r="P1201" s="241" t="n">
        <v>0.97</v>
      </c>
    </row>
    <row r="1202">
      <c r="A1202" s="282" t="inlineStr">
        <is>
          <t>2010-12-10</t>
        </is>
      </c>
      <c r="B1202" s="240">
        <f>IFERROR(1/P1202-1,B1201)</f>
        <v/>
      </c>
      <c r="C1202" s="240">
        <f>$C$3</f>
        <v/>
      </c>
      <c r="D1202" s="240">
        <f>$D$3</f>
        <v/>
      </c>
      <c r="E1202" s="240">
        <f>$E$3</f>
        <v/>
      </c>
      <c r="F1202" s="241" t="n">
        <v>31.23</v>
      </c>
      <c r="G1202" s="242" t="n">
        <v>23856176</v>
      </c>
      <c r="H1202" s="241" t="n">
        <v>4.45</v>
      </c>
      <c r="I1202" s="241" t="n">
        <v>-16.05</v>
      </c>
      <c r="J1202" s="241" t="n">
        <v>39.02</v>
      </c>
      <c r="K1202" s="241" t="n">
        <v>30.17</v>
      </c>
      <c r="L1202" s="242" t="n">
        <v>2793700</v>
      </c>
      <c r="M1202" s="241" t="n">
        <v>-2.09</v>
      </c>
      <c r="N1202" s="241" t="n">
        <v>-16.98</v>
      </c>
      <c r="O1202" s="241" t="n">
        <v>69.84</v>
      </c>
      <c r="P1202" s="241" t="n">
        <v>1.04</v>
      </c>
    </row>
    <row r="1203">
      <c r="A1203" s="282" t="inlineStr">
        <is>
          <t>2010-12-13</t>
        </is>
      </c>
      <c r="B1203" s="240">
        <f>IFERROR(1/P1203-1,B1202)</f>
        <v/>
      </c>
      <c r="C1203" s="240">
        <f>$C$3</f>
        <v/>
      </c>
      <c r="D1203" s="240">
        <f>$D$3</f>
        <v/>
      </c>
      <c r="E1203" s="240">
        <f>$E$3</f>
        <v/>
      </c>
      <c r="F1203" s="241" t="n">
        <v>32.92</v>
      </c>
      <c r="G1203" s="242" t="n">
        <v>31782581</v>
      </c>
      <c r="H1203" s="241" t="n">
        <v>5.41</v>
      </c>
      <c r="I1203" s="241" t="n">
        <v>-1.55</v>
      </c>
      <c r="J1203" s="241" t="n">
        <v>46.54</v>
      </c>
      <c r="K1203" s="241" t="n">
        <v>30.25</v>
      </c>
      <c r="L1203" s="242" t="n">
        <v>1422061</v>
      </c>
      <c r="M1203" s="241" t="n">
        <v>0.28</v>
      </c>
      <c r="N1203" s="241" t="n">
        <v>-11.53</v>
      </c>
      <c r="O1203" s="241" t="n">
        <v>70.31999999999999</v>
      </c>
      <c r="P1203" s="241" t="n">
        <v>1.09</v>
      </c>
    </row>
    <row r="1204">
      <c r="A1204" s="282" t="inlineStr">
        <is>
          <t>2010-12-14</t>
        </is>
      </c>
      <c r="B1204" s="240">
        <f>IFERROR(1/P1204-1,B1203)</f>
        <v/>
      </c>
      <c r="C1204" s="240">
        <f>$C$3</f>
        <v/>
      </c>
      <c r="D1204" s="240">
        <f>$D$3</f>
        <v/>
      </c>
      <c r="E1204" s="240">
        <f>$E$3</f>
        <v/>
      </c>
      <c r="F1204" s="241" t="n">
        <v>33.2</v>
      </c>
      <c r="G1204" s="242" t="n">
        <v>27002459</v>
      </c>
      <c r="H1204" s="241" t="n">
        <v>0.85</v>
      </c>
      <c r="I1204" s="241" t="n">
        <v>-0.72</v>
      </c>
      <c r="J1204" s="241" t="n">
        <v>47.79</v>
      </c>
      <c r="K1204" s="241" t="n">
        <v>30.79</v>
      </c>
      <c r="L1204" s="242" t="n">
        <v>1346300</v>
      </c>
      <c r="M1204" s="241" t="n">
        <v>1.98</v>
      </c>
      <c r="N1204" s="241" t="n">
        <v>-9.77</v>
      </c>
      <c r="O1204" s="241" t="n">
        <v>73.7</v>
      </c>
      <c r="P1204" s="241" t="n">
        <v>1.08</v>
      </c>
    </row>
    <row r="1205">
      <c r="A1205" s="282" t="inlineStr">
        <is>
          <t>2010-12-15</t>
        </is>
      </c>
      <c r="B1205" s="240">
        <f>IFERROR(1/P1205-1,B1204)</f>
        <v/>
      </c>
      <c r="C1205" s="240">
        <f>$C$3</f>
        <v/>
      </c>
      <c r="D1205" s="240">
        <f>$D$3</f>
        <v/>
      </c>
      <c r="E1205" s="240">
        <f>$E$3</f>
        <v/>
      </c>
      <c r="F1205" s="241" t="n">
        <v>32.95</v>
      </c>
      <c r="G1205" s="242" t="n">
        <v>12341742</v>
      </c>
      <c r="H1205" s="241" t="n">
        <v>-0.75</v>
      </c>
      <c r="I1205" s="241" t="n">
        <v>-1.47</v>
      </c>
      <c r="J1205" s="241" t="n">
        <v>46.67</v>
      </c>
      <c r="K1205" s="241" t="n">
        <v>29.97</v>
      </c>
      <c r="L1205" s="242" t="n">
        <v>1429200</v>
      </c>
      <c r="M1205" s="241" t="n">
        <v>-2.78</v>
      </c>
      <c r="N1205" s="241" t="n">
        <v>-12.28</v>
      </c>
      <c r="O1205" s="241" t="n">
        <v>68.87</v>
      </c>
      <c r="P1205" s="241" t="n">
        <v>1.1</v>
      </c>
    </row>
    <row r="1206">
      <c r="A1206" s="282" t="inlineStr">
        <is>
          <t>2010-12-16</t>
        </is>
      </c>
      <c r="B1206" s="240">
        <f>IFERROR(1/P1206-1,B1205)</f>
        <v/>
      </c>
      <c r="C1206" s="240">
        <f>$C$3</f>
        <v/>
      </c>
      <c r="D1206" s="240">
        <f>$D$3</f>
        <v/>
      </c>
      <c r="E1206" s="240">
        <f>$E$3</f>
        <v/>
      </c>
      <c r="F1206" s="241" t="n">
        <v>33.13</v>
      </c>
      <c r="G1206" s="242" t="n">
        <v>9642159</v>
      </c>
      <c r="H1206" s="241" t="n">
        <v>0.55</v>
      </c>
      <c r="I1206" s="241" t="n">
        <v>-1.72</v>
      </c>
      <c r="J1206" s="241" t="n">
        <v>47.47</v>
      </c>
      <c r="K1206" s="241" t="n">
        <v>29.56</v>
      </c>
      <c r="L1206" s="242" t="n">
        <v>3637700</v>
      </c>
      <c r="M1206" s="241" t="n">
        <v>-1.43</v>
      </c>
      <c r="N1206" s="241" t="n">
        <v>-10.85</v>
      </c>
      <c r="O1206" s="241" t="n">
        <v>66.45999999999999</v>
      </c>
      <c r="P1206" s="241" t="n">
        <v>1.12</v>
      </c>
    </row>
    <row r="1207">
      <c r="A1207" s="282" t="inlineStr">
        <is>
          <t>2010-12-17</t>
        </is>
      </c>
      <c r="B1207" s="240">
        <f>IFERROR(1/P1207-1,B1206)</f>
        <v/>
      </c>
      <c r="C1207" s="240">
        <f>$C$3</f>
        <v/>
      </c>
      <c r="D1207" s="240">
        <f>$D$3</f>
        <v/>
      </c>
      <c r="E1207" s="240">
        <f>$E$3</f>
        <v/>
      </c>
      <c r="F1207" s="241" t="n">
        <v>34.25</v>
      </c>
      <c r="G1207" s="242" t="n">
        <v>18951773</v>
      </c>
      <c r="H1207" s="241" t="n">
        <v>3.38</v>
      </c>
      <c r="I1207" s="241" t="n">
        <v>0.91</v>
      </c>
      <c r="J1207" s="241" t="n">
        <v>52.46</v>
      </c>
      <c r="K1207" s="241" t="n">
        <v>29.24</v>
      </c>
      <c r="L1207" s="242" t="n">
        <v>1604020</v>
      </c>
      <c r="M1207" s="241" t="n">
        <v>-1.01</v>
      </c>
      <c r="N1207" s="241" t="n">
        <v>-8.81</v>
      </c>
      <c r="O1207" s="241" t="n">
        <v>64.77</v>
      </c>
      <c r="P1207" s="241" t="n">
        <v>1.17</v>
      </c>
    </row>
    <row r="1208">
      <c r="A1208" s="282" t="inlineStr">
        <is>
          <t>2010-12-20</t>
        </is>
      </c>
      <c r="B1208" s="240">
        <f>IFERROR(1/P1208-1,B1207)</f>
        <v/>
      </c>
      <c r="C1208" s="240">
        <f>$C$3</f>
        <v/>
      </c>
      <c r="D1208" s="240">
        <f>$D$3</f>
        <v/>
      </c>
      <c r="E1208" s="240">
        <f>$E$3</f>
        <v/>
      </c>
      <c r="F1208" s="241" t="n">
        <v>35.1</v>
      </c>
      <c r="G1208" s="242" t="n">
        <v>38334755</v>
      </c>
      <c r="H1208" s="241" t="n">
        <v>2.48</v>
      </c>
      <c r="I1208" s="241" t="n">
        <v>1.74</v>
      </c>
      <c r="J1208" s="241" t="n">
        <v>56.24</v>
      </c>
      <c r="K1208" s="241" t="n">
        <v>29.85</v>
      </c>
      <c r="L1208" s="242" t="n">
        <v>5398600</v>
      </c>
      <c r="M1208" s="241" t="n">
        <v>2.05</v>
      </c>
      <c r="N1208" s="241" t="n">
        <v>-10.53</v>
      </c>
      <c r="O1208" s="241" t="n">
        <v>68.15000000000001</v>
      </c>
      <c r="P1208" s="241" t="n">
        <v>1.18</v>
      </c>
    </row>
    <row r="1209">
      <c r="A1209" s="282" t="inlineStr">
        <is>
          <t>2010-12-21</t>
        </is>
      </c>
      <c r="B1209" s="240">
        <f>IFERROR(1/P1209-1,B1208)</f>
        <v/>
      </c>
      <c r="C1209" s="240">
        <f>$C$3</f>
        <v/>
      </c>
      <c r="D1209" s="240">
        <f>$D$3</f>
        <v/>
      </c>
      <c r="E1209" s="240">
        <f>$E$3</f>
        <v/>
      </c>
      <c r="F1209" s="241" t="n">
        <v>35.38</v>
      </c>
      <c r="G1209" s="242" t="n">
        <v>22875347</v>
      </c>
      <c r="H1209" s="241" t="n">
        <v>0.8</v>
      </c>
      <c r="I1209" s="241" t="n">
        <v>2.55</v>
      </c>
      <c r="J1209" s="241" t="n">
        <v>57.49</v>
      </c>
      <c r="K1209" s="241" t="n">
        <v>30.4</v>
      </c>
      <c r="L1209" s="242" t="n">
        <v>1852200</v>
      </c>
      <c r="M1209" s="241" t="n">
        <v>1.87</v>
      </c>
      <c r="N1209" s="241" t="n">
        <v>-8.859999999999999</v>
      </c>
      <c r="O1209" s="241" t="n">
        <v>71.28</v>
      </c>
      <c r="P1209" s="241" t="n">
        <v>1.16</v>
      </c>
    </row>
    <row r="1210">
      <c r="A1210" s="282" t="inlineStr">
        <is>
          <t>2010-12-22</t>
        </is>
      </c>
      <c r="B1210" s="240">
        <f>IFERROR(1/P1210-1,B1209)</f>
        <v/>
      </c>
      <c r="C1210" s="240">
        <f>$C$3</f>
        <v/>
      </c>
      <c r="D1210" s="240">
        <f>$D$3</f>
        <v/>
      </c>
      <c r="E1210" s="240">
        <f>$E$3</f>
        <v/>
      </c>
      <c r="F1210" s="241" t="n">
        <v>35.52</v>
      </c>
      <c r="G1210" s="242" t="n">
        <v>17462819</v>
      </c>
      <c r="H1210" s="241" t="n">
        <v>0.4</v>
      </c>
      <c r="I1210" s="241" t="n">
        <v>2.96</v>
      </c>
      <c r="J1210" s="241" t="n">
        <v>58.11</v>
      </c>
      <c r="K1210" s="241" t="n">
        <v>31.46</v>
      </c>
      <c r="L1210" s="242" t="n">
        <v>3142000</v>
      </c>
      <c r="M1210" s="241" t="n">
        <v>3.52</v>
      </c>
      <c r="N1210" s="241" t="n">
        <v>-5.65</v>
      </c>
      <c r="O1210" s="241" t="n">
        <v>77.31999999999999</v>
      </c>
      <c r="P1210" s="241" t="n">
        <v>1.13</v>
      </c>
    </row>
    <row r="1211">
      <c r="A1211" s="282" t="inlineStr">
        <is>
          <t>2010-12-23</t>
        </is>
      </c>
      <c r="B1211" s="240">
        <f>IFERROR(1/P1211-1,B1210)</f>
        <v/>
      </c>
      <c r="C1211" s="240">
        <f>$C$3</f>
        <v/>
      </c>
      <c r="D1211" s="240">
        <f>$D$3</f>
        <v/>
      </c>
      <c r="E1211" s="240">
        <f>$E$3</f>
        <v/>
      </c>
      <c r="F1211" s="241" t="n">
        <v>35.38</v>
      </c>
      <c r="G1211" s="242" t="n">
        <v>15002593</v>
      </c>
      <c r="H1211" s="241" t="n">
        <v>-0.39</v>
      </c>
      <c r="I1211" s="241" t="n">
        <v>3.06</v>
      </c>
      <c r="J1211" s="241" t="n">
        <v>57.49</v>
      </c>
      <c r="K1211" s="241" t="n">
        <v>31.53</v>
      </c>
      <c r="L1211" s="242" t="n">
        <v>1790232</v>
      </c>
      <c r="M1211" s="241" t="n">
        <v>0.41</v>
      </c>
      <c r="N1211" s="241" t="n">
        <v>-3.91</v>
      </c>
      <c r="O1211" s="241" t="n">
        <v>78.04000000000001</v>
      </c>
      <c r="P1211" s="241" t="n">
        <v>1.12</v>
      </c>
    </row>
    <row r="1212">
      <c r="A1212" s="282" t="inlineStr">
        <is>
          <t>2010-12-24</t>
        </is>
      </c>
      <c r="B1212" s="240">
        <f>IFERROR(1/P1212-1,B1211)</f>
        <v/>
      </c>
      <c r="C1212" s="240">
        <f>$C$3</f>
        <v/>
      </c>
      <c r="D1212" s="240">
        <f>$D$3</f>
        <v/>
      </c>
      <c r="E1212" s="240">
        <f>$E$3</f>
        <v/>
      </c>
      <c r="F1212" s="241" t="n">
        <v>33.48</v>
      </c>
      <c r="G1212" s="242" t="n">
        <v>13326464</v>
      </c>
      <c r="H1212" s="241" t="n">
        <v>-5.37</v>
      </c>
      <c r="I1212" s="241" t="n">
        <v>1.18</v>
      </c>
      <c r="J1212" s="241" t="n">
        <v>49.03</v>
      </c>
      <c r="K1212" s="241" t="n">
        <v>31.15</v>
      </c>
      <c r="L1212" s="242" t="n">
        <v>900000</v>
      </c>
      <c r="M1212" s="241" t="n">
        <v>-1.08</v>
      </c>
      <c r="N1212" s="241" t="n">
        <v>-2.8</v>
      </c>
      <c r="O1212" s="241" t="n">
        <v>76.11</v>
      </c>
      <c r="P1212" s="241" t="n">
        <v>1.07</v>
      </c>
    </row>
    <row r="1213">
      <c r="A1213" s="282" t="inlineStr">
        <is>
          <t>2010-12-27</t>
        </is>
      </c>
      <c r="B1213" s="240">
        <f>IFERROR(1/P1213-1,B1212)</f>
        <v/>
      </c>
      <c r="C1213" s="240">
        <f>$C$3</f>
        <v/>
      </c>
      <c r="D1213" s="240">
        <f>$D$3</f>
        <v/>
      </c>
      <c r="E1213" s="240">
        <f>$E$3</f>
        <v/>
      </c>
      <c r="F1213" s="241" t="n">
        <v>33.08</v>
      </c>
      <c r="G1213" s="242" t="n">
        <v>14824408</v>
      </c>
      <c r="H1213" s="241" t="n">
        <v>-1.19</v>
      </c>
      <c r="I1213" s="241" t="n">
        <v>-3.25</v>
      </c>
      <c r="J1213" s="241" t="n">
        <v>47.25</v>
      </c>
      <c r="K1213" s="239" t="inlineStr">
        <is>
          <t>--</t>
        </is>
      </c>
      <c r="L1213" s="239" t="inlineStr">
        <is>
          <t>--</t>
        </is>
      </c>
      <c r="M1213" s="239" t="inlineStr">
        <is>
          <t>--</t>
        </is>
      </c>
      <c r="N1213" s="239" t="inlineStr">
        <is>
          <t>--</t>
        </is>
      </c>
      <c r="O1213" s="239" t="inlineStr">
        <is>
          <t>--</t>
        </is>
      </c>
      <c r="P1213" s="239" t="inlineStr">
        <is>
          <t>--</t>
        </is>
      </c>
    </row>
    <row r="1214">
      <c r="A1214" s="282" t="inlineStr">
        <is>
          <t>2010-12-28</t>
        </is>
      </c>
      <c r="B1214" s="240">
        <f>IFERROR(1/P1214-1,B1213)</f>
        <v/>
      </c>
      <c r="C1214" s="240">
        <f>$C$3</f>
        <v/>
      </c>
      <c r="D1214" s="240">
        <f>$D$3</f>
        <v/>
      </c>
      <c r="E1214" s="240">
        <f>$E$3</f>
        <v/>
      </c>
      <c r="F1214" s="241" t="n">
        <v>32.24</v>
      </c>
      <c r="G1214" s="242" t="n">
        <v>17718990</v>
      </c>
      <c r="H1214" s="241" t="n">
        <v>-2.54</v>
      </c>
      <c r="I1214" s="241" t="n">
        <v>-5.7</v>
      </c>
      <c r="J1214" s="241" t="n">
        <v>43.51</v>
      </c>
      <c r="K1214" s="241" t="n">
        <v>31.42</v>
      </c>
      <c r="L1214" s="242" t="n">
        <v>1409874</v>
      </c>
      <c r="M1214" s="241" t="n">
        <v>1.1</v>
      </c>
      <c r="N1214" s="241" t="n">
        <v>-2.38</v>
      </c>
      <c r="O1214" s="241" t="n">
        <v>78.04000000000001</v>
      </c>
      <c r="P1214" s="241" t="n">
        <v>1.03</v>
      </c>
    </row>
    <row r="1215">
      <c r="A1215" s="282" t="inlineStr">
        <is>
          <t>2010-12-29</t>
        </is>
      </c>
      <c r="B1215" s="240">
        <f>IFERROR(1/P1215-1,B1214)</f>
        <v/>
      </c>
      <c r="C1215" s="240">
        <f>$C$3</f>
        <v/>
      </c>
      <c r="D1215" s="240">
        <f>$D$3</f>
        <v/>
      </c>
      <c r="E1215" s="240">
        <f>$E$3</f>
        <v/>
      </c>
      <c r="F1215" s="241" t="n">
        <v>33.26</v>
      </c>
      <c r="G1215" s="242" t="n">
        <v>10936562</v>
      </c>
      <c r="H1215" s="241" t="n">
        <v>3.16</v>
      </c>
      <c r="I1215" s="241" t="n">
        <v>-2.72</v>
      </c>
      <c r="J1215" s="241" t="n">
        <v>48.05</v>
      </c>
      <c r="K1215" s="241" t="n">
        <v>31.29</v>
      </c>
      <c r="L1215" s="242" t="n">
        <v>1157200</v>
      </c>
      <c r="M1215" s="241" t="n">
        <v>-0.41</v>
      </c>
      <c r="N1215" s="241" t="n">
        <v>-2.78</v>
      </c>
      <c r="O1215" s="241" t="n">
        <v>77.31999999999999</v>
      </c>
      <c r="P1215" s="241" t="n">
        <v>1.06</v>
      </c>
    </row>
    <row r="1216">
      <c r="A1216" s="282" t="inlineStr">
        <is>
          <t>2010-12-30</t>
        </is>
      </c>
      <c r="B1216" s="240">
        <f>IFERROR(1/P1216-1,B1215)</f>
        <v/>
      </c>
      <c r="C1216" s="240">
        <f>$C$3</f>
        <v/>
      </c>
      <c r="D1216" s="240">
        <f>$D$3</f>
        <v/>
      </c>
      <c r="E1216" s="240">
        <f>$E$3</f>
        <v/>
      </c>
      <c r="F1216" s="241" t="n">
        <v>34.15</v>
      </c>
      <c r="G1216" s="242" t="n">
        <v>15259517</v>
      </c>
      <c r="H1216" s="241" t="n">
        <v>2.68</v>
      </c>
      <c r="I1216" s="241" t="n">
        <v>2.31</v>
      </c>
      <c r="J1216" s="241" t="n">
        <v>52.02</v>
      </c>
      <c r="K1216" s="241" t="n">
        <v>32.47</v>
      </c>
      <c r="L1216" s="242" t="n">
        <v>2274424</v>
      </c>
      <c r="M1216" s="241" t="n">
        <v>3.81</v>
      </c>
      <c r="N1216" s="241" t="n">
        <v>-4.15</v>
      </c>
      <c r="O1216" s="241" t="n">
        <v>84.06999999999999</v>
      </c>
      <c r="P1216" s="241" t="n">
        <v>1.05</v>
      </c>
    </row>
    <row r="1217">
      <c r="A1217" s="282" t="inlineStr">
        <is>
          <t>2010-12-31</t>
        </is>
      </c>
      <c r="B1217" s="240">
        <f>IFERROR(1/P1217-1,B1216)</f>
        <v/>
      </c>
      <c r="C1217" s="240">
        <f>$C$3</f>
        <v/>
      </c>
      <c r="D1217" s="240">
        <f>$D$3</f>
        <v/>
      </c>
      <c r="E1217" s="240">
        <f>$E$3</f>
        <v/>
      </c>
      <c r="F1217" s="241" t="n">
        <v>34.9</v>
      </c>
      <c r="G1217" s="242" t="n">
        <v>13305354</v>
      </c>
      <c r="H1217" s="241" t="n">
        <v>2.2</v>
      </c>
      <c r="I1217" s="241" t="n">
        <v>4.55</v>
      </c>
      <c r="J1217" s="241" t="n">
        <v>55.35</v>
      </c>
      <c r="K1217" s="241" t="n">
        <v>32.76</v>
      </c>
      <c r="L1217" s="242" t="n">
        <v>1049200</v>
      </c>
      <c r="M1217" s="241" t="n">
        <v>0.92</v>
      </c>
      <c r="N1217" s="241" t="n">
        <v>-3.27</v>
      </c>
      <c r="O1217" s="241" t="n">
        <v>85.76000000000001</v>
      </c>
      <c r="P1217" s="241" t="n">
        <v>1.07</v>
      </c>
    </row>
    <row r="1218">
      <c r="A1218" s="282" t="inlineStr">
        <is>
          <t>2011-01-04</t>
        </is>
      </c>
      <c r="B1218" s="240">
        <f>IFERROR(1/P1218-1,B1217)</f>
        <v/>
      </c>
      <c r="C1218" s="240">
        <f>$C$3</f>
        <v/>
      </c>
      <c r="D1218" s="240">
        <f>$D$3</f>
        <v/>
      </c>
      <c r="E1218" s="240">
        <f>$E$3</f>
        <v/>
      </c>
      <c r="F1218" s="241" t="n">
        <v>35.01</v>
      </c>
      <c r="G1218" s="242" t="n">
        <v>13077055</v>
      </c>
      <c r="H1218" s="241" t="n">
        <v>0.32</v>
      </c>
      <c r="I1218" s="241" t="n">
        <v>11.04</v>
      </c>
      <c r="J1218" s="241" t="n">
        <v>0.32</v>
      </c>
      <c r="K1218" s="241" t="n">
        <v>32.38</v>
      </c>
      <c r="L1218" s="242" t="n">
        <v>1251600</v>
      </c>
      <c r="M1218" s="241" t="n">
        <v>-0.39</v>
      </c>
      <c r="N1218" s="241" t="n">
        <v>-2.81</v>
      </c>
      <c r="O1218" s="241" t="n">
        <v>-1.3</v>
      </c>
      <c r="P1218" s="241" t="n">
        <v>1.08</v>
      </c>
    </row>
    <row r="1219">
      <c r="A1219" s="282" t="inlineStr">
        <is>
          <t>2011-01-05</t>
        </is>
      </c>
      <c r="B1219" s="240">
        <f>IFERROR(1/P1219-1,B1218)</f>
        <v/>
      </c>
      <c r="C1219" s="240">
        <f>$C$3</f>
        <v/>
      </c>
      <c r="D1219" s="240">
        <f>$D$3</f>
        <v/>
      </c>
      <c r="E1219" s="240">
        <f>$E$3</f>
        <v/>
      </c>
      <c r="F1219" s="241" t="n">
        <v>35.91</v>
      </c>
      <c r="G1219" s="242" t="n">
        <v>23494903</v>
      </c>
      <c r="H1219" s="241" t="n">
        <v>2.57</v>
      </c>
      <c r="I1219" s="241" t="n">
        <v>13.89</v>
      </c>
      <c r="J1219" s="241" t="n">
        <v>2.89</v>
      </c>
      <c r="K1219" s="241" t="n">
        <v>32.47</v>
      </c>
      <c r="L1219" s="242" t="n">
        <v>1519400</v>
      </c>
      <c r="M1219" s="241" t="n">
        <v>0.13</v>
      </c>
      <c r="N1219" s="241" t="n">
        <v>-2.69</v>
      </c>
      <c r="O1219" s="241" t="n">
        <v>-1.17</v>
      </c>
      <c r="P1219" s="241" t="n">
        <v>1.11</v>
      </c>
    </row>
    <row r="1220">
      <c r="A1220" s="282" t="inlineStr">
        <is>
          <t>2011-01-06</t>
        </is>
      </c>
      <c r="B1220" s="240">
        <f>IFERROR(1/P1220-1,B1219)</f>
        <v/>
      </c>
      <c r="C1220" s="240">
        <f>$C$3</f>
        <v/>
      </c>
      <c r="D1220" s="240">
        <f>$D$3</f>
        <v/>
      </c>
      <c r="E1220" s="240">
        <f>$E$3</f>
        <v/>
      </c>
      <c r="F1220" s="241" t="n">
        <v>34.8</v>
      </c>
      <c r="G1220" s="242" t="n">
        <v>13668235</v>
      </c>
      <c r="H1220" s="241" t="n">
        <v>-3.09</v>
      </c>
      <c r="I1220" s="241" t="n">
        <v>10.37</v>
      </c>
      <c r="J1220" s="241" t="n">
        <v>-0.29</v>
      </c>
      <c r="K1220" s="241" t="n">
        <v>32.26</v>
      </c>
      <c r="L1220" s="242" t="n">
        <v>1056800</v>
      </c>
      <c r="M1220" s="241" t="n">
        <v>-0.66</v>
      </c>
      <c r="N1220" s="241" t="n">
        <v>-3.32</v>
      </c>
      <c r="O1220" s="241" t="n">
        <v>-1.82</v>
      </c>
      <c r="P1220" s="241" t="n">
        <v>1.08</v>
      </c>
    </row>
    <row r="1221">
      <c r="A1221" s="282" t="inlineStr">
        <is>
          <t>2011-01-07</t>
        </is>
      </c>
      <c r="B1221" s="240">
        <f>IFERROR(1/P1221-1,B1220)</f>
        <v/>
      </c>
      <c r="C1221" s="240">
        <f>$C$3</f>
        <v/>
      </c>
      <c r="D1221" s="240">
        <f>$D$3</f>
        <v/>
      </c>
      <c r="E1221" s="240">
        <f>$E$3</f>
        <v/>
      </c>
      <c r="F1221" s="241" t="n">
        <v>33.73</v>
      </c>
      <c r="G1221" s="242" t="n">
        <v>19045863</v>
      </c>
      <c r="H1221" s="241" t="n">
        <v>-3.07</v>
      </c>
      <c r="I1221" s="241" t="n">
        <v>11.21</v>
      </c>
      <c r="J1221" s="241" t="n">
        <v>-3.35</v>
      </c>
      <c r="K1221" s="241" t="n">
        <v>31.75</v>
      </c>
      <c r="L1221" s="242" t="n">
        <v>3419400</v>
      </c>
      <c r="M1221" s="241" t="n">
        <v>-1.59</v>
      </c>
      <c r="N1221" s="241" t="n">
        <v>-0.27</v>
      </c>
      <c r="O1221" s="241" t="n">
        <v>-3.38</v>
      </c>
      <c r="P1221" s="241" t="n">
        <v>1.06</v>
      </c>
    </row>
    <row r="1222">
      <c r="A1222" s="282" t="inlineStr">
        <is>
          <t>2011-01-10</t>
        </is>
      </c>
      <c r="B1222" s="240">
        <f>IFERROR(1/P1222-1,B1221)</f>
        <v/>
      </c>
      <c r="C1222" s="240">
        <f>$C$3</f>
        <v/>
      </c>
      <c r="D1222" s="240">
        <f>$D$3</f>
        <v/>
      </c>
      <c r="E1222" s="240">
        <f>$E$3</f>
        <v/>
      </c>
      <c r="F1222" s="241" t="n">
        <v>33.63</v>
      </c>
      <c r="G1222" s="242" t="n">
        <v>9046078</v>
      </c>
      <c r="H1222" s="241" t="n">
        <v>-0.3</v>
      </c>
      <c r="I1222" s="241" t="n">
        <v>12.47</v>
      </c>
      <c r="J1222" s="241" t="n">
        <v>-3.64</v>
      </c>
      <c r="K1222" s="241" t="n">
        <v>30.94</v>
      </c>
      <c r="L1222" s="242" t="n">
        <v>1703695</v>
      </c>
      <c r="M1222" s="241" t="n">
        <v>-2.55</v>
      </c>
      <c r="N1222" s="241" t="n">
        <v>0.83</v>
      </c>
      <c r="O1222" s="241" t="n">
        <v>-5.84</v>
      </c>
      <c r="P1222" s="241" t="n">
        <v>1.09</v>
      </c>
    </row>
    <row r="1223">
      <c r="A1223" s="282" t="inlineStr">
        <is>
          <t>2011-01-11</t>
        </is>
      </c>
      <c r="B1223" s="240">
        <f>IFERROR(1/P1223-1,B1222)</f>
        <v/>
      </c>
      <c r="C1223" s="240">
        <f>$C$3</f>
        <v/>
      </c>
      <c r="D1223" s="240">
        <f>$D$3</f>
        <v/>
      </c>
      <c r="E1223" s="240">
        <f>$E$3</f>
        <v/>
      </c>
      <c r="F1223" s="241" t="n">
        <v>32.49</v>
      </c>
      <c r="G1223" s="242" t="n">
        <v>17942572</v>
      </c>
      <c r="H1223" s="241" t="n">
        <v>-3.39</v>
      </c>
      <c r="I1223" s="241" t="n">
        <v>4.03</v>
      </c>
      <c r="J1223" s="241" t="n">
        <v>-6.91</v>
      </c>
      <c r="K1223" s="241" t="n">
        <v>30.53</v>
      </c>
      <c r="L1223" s="242" t="n">
        <v>2366200</v>
      </c>
      <c r="M1223" s="241" t="n">
        <v>-1.1</v>
      </c>
      <c r="N1223" s="241" t="n">
        <v>1.85</v>
      </c>
      <c r="O1223" s="241" t="n">
        <v>-6.88</v>
      </c>
      <c r="P1223" s="241" t="n">
        <v>1.06</v>
      </c>
    </row>
    <row r="1224">
      <c r="A1224" s="282" t="inlineStr">
        <is>
          <t>2011-01-12</t>
        </is>
      </c>
      <c r="B1224" s="240">
        <f>IFERROR(1/P1224-1,B1223)</f>
        <v/>
      </c>
      <c r="C1224" s="240">
        <f>$C$3</f>
        <v/>
      </c>
      <c r="D1224" s="240">
        <f>$D$3</f>
        <v/>
      </c>
      <c r="E1224" s="240">
        <f>$E$3</f>
        <v/>
      </c>
      <c r="F1224" s="241" t="n">
        <v>32.49</v>
      </c>
      <c r="G1224" s="242" t="n">
        <v>8263480</v>
      </c>
      <c r="H1224" s="241" t="n">
        <v>0</v>
      </c>
      <c r="I1224" s="241" t="n">
        <v>4.03</v>
      </c>
      <c r="J1224" s="241" t="n">
        <v>-6.91</v>
      </c>
      <c r="K1224" s="241" t="n">
        <v>30.74</v>
      </c>
      <c r="L1224" s="242" t="n">
        <v>2355200</v>
      </c>
      <c r="M1224" s="241" t="n">
        <v>0.84</v>
      </c>
      <c r="N1224" s="241" t="n">
        <v>2.7</v>
      </c>
      <c r="O1224" s="241" t="n">
        <v>-6.1</v>
      </c>
      <c r="P1224" s="241" t="n">
        <v>1.06</v>
      </c>
    </row>
    <row r="1225">
      <c r="A1225" s="282" t="inlineStr">
        <is>
          <t>2011-01-13</t>
        </is>
      </c>
      <c r="B1225" s="240">
        <f>IFERROR(1/P1225-1,B1224)</f>
        <v/>
      </c>
      <c r="C1225" s="240">
        <f>$C$3</f>
        <v/>
      </c>
      <c r="D1225" s="240">
        <f>$D$3</f>
        <v/>
      </c>
      <c r="E1225" s="240">
        <f>$E$3</f>
        <v/>
      </c>
      <c r="F1225" s="241" t="n">
        <v>32.7</v>
      </c>
      <c r="G1225" s="242" t="n">
        <v>6392997</v>
      </c>
      <c r="H1225" s="241" t="n">
        <v>0.65</v>
      </c>
      <c r="I1225" s="241" t="n">
        <v>4.71</v>
      </c>
      <c r="J1225" s="241" t="n">
        <v>-6.3</v>
      </c>
      <c r="K1225" s="241" t="n">
        <v>31.46</v>
      </c>
      <c r="L1225" s="242" t="n">
        <v>2114340</v>
      </c>
      <c r="M1225" s="241" t="n">
        <v>2.49</v>
      </c>
      <c r="N1225" s="241" t="n">
        <v>5.26</v>
      </c>
      <c r="O1225" s="241" t="n">
        <v>-3.77</v>
      </c>
      <c r="P1225" s="241" t="n">
        <v>1.04</v>
      </c>
    </row>
    <row r="1226">
      <c r="A1226" s="282" t="inlineStr">
        <is>
          <t>2011-01-14</t>
        </is>
      </c>
      <c r="B1226" s="240">
        <f>IFERROR(1/P1226-1,B1225)</f>
        <v/>
      </c>
      <c r="C1226" s="240">
        <f>$C$3</f>
        <v/>
      </c>
      <c r="D1226" s="240">
        <f>$D$3</f>
        <v/>
      </c>
      <c r="E1226" s="240">
        <f>$E$3</f>
        <v/>
      </c>
      <c r="F1226" s="241" t="n">
        <v>31.4</v>
      </c>
      <c r="G1226" s="242" t="n">
        <v>13195091</v>
      </c>
      <c r="H1226" s="241" t="n">
        <v>-3.98</v>
      </c>
      <c r="I1226" s="241" t="n">
        <v>-4.62</v>
      </c>
      <c r="J1226" s="241" t="n">
        <v>-10.03</v>
      </c>
      <c r="K1226" s="241" t="n">
        <v>31.4</v>
      </c>
      <c r="L1226" s="242" t="n">
        <v>958400</v>
      </c>
      <c r="M1226" s="241" t="n">
        <v>0</v>
      </c>
      <c r="N1226" s="241" t="n">
        <v>4.96</v>
      </c>
      <c r="O1226" s="241" t="n">
        <v>-3.77</v>
      </c>
      <c r="P1226" s="241" t="n">
        <v>1</v>
      </c>
    </row>
    <row r="1227">
      <c r="A1227" s="282" t="inlineStr">
        <is>
          <t>2011-01-17</t>
        </is>
      </c>
      <c r="B1227" s="240">
        <f>IFERROR(1/P1227-1,B1226)</f>
        <v/>
      </c>
      <c r="C1227" s="240">
        <f>$C$3</f>
        <v/>
      </c>
      <c r="D1227" s="240">
        <f>$D$3</f>
        <v/>
      </c>
      <c r="E1227" s="240">
        <f>$E$3</f>
        <v/>
      </c>
      <c r="F1227" s="241" t="n">
        <v>30.34</v>
      </c>
      <c r="G1227" s="242" t="n">
        <v>13032699</v>
      </c>
      <c r="H1227" s="241" t="n">
        <v>-3.38</v>
      </c>
      <c r="I1227" s="241" t="n">
        <v>-8.42</v>
      </c>
      <c r="J1227" s="241" t="n">
        <v>-13.07</v>
      </c>
      <c r="K1227" s="241" t="n">
        <v>30.81</v>
      </c>
      <c r="L1227" s="242" t="n">
        <v>1074950</v>
      </c>
      <c r="M1227" s="241" t="n">
        <v>-1.89</v>
      </c>
      <c r="N1227" s="241" t="n">
        <v>5.36</v>
      </c>
      <c r="O1227" s="241" t="n">
        <v>-5.58</v>
      </c>
      <c r="P1227" s="241" t="n">
        <v>0.98</v>
      </c>
    </row>
    <row r="1228">
      <c r="A1228" s="282" t="inlineStr">
        <is>
          <t>2011-01-18</t>
        </is>
      </c>
      <c r="B1228" s="240">
        <f>IFERROR(1/P1228-1,B1227)</f>
        <v/>
      </c>
      <c r="C1228" s="240">
        <f>$C$3</f>
        <v/>
      </c>
      <c r="D1228" s="240">
        <f>$D$3</f>
        <v/>
      </c>
      <c r="E1228" s="240">
        <f>$E$3</f>
        <v/>
      </c>
      <c r="F1228" s="241" t="n">
        <v>30.33</v>
      </c>
      <c r="G1228" s="242" t="n">
        <v>6901349</v>
      </c>
      <c r="H1228" s="241" t="n">
        <v>-0.03</v>
      </c>
      <c r="I1228" s="241" t="n">
        <v>-11.45</v>
      </c>
      <c r="J1228" s="241" t="n">
        <v>-13.09</v>
      </c>
      <c r="K1228" s="241" t="n">
        <v>30.21</v>
      </c>
      <c r="L1228" s="242" t="n">
        <v>1885800</v>
      </c>
      <c r="M1228" s="241" t="n">
        <v>-1.93</v>
      </c>
      <c r="N1228" s="241" t="n">
        <v>4.39</v>
      </c>
      <c r="O1228" s="241" t="n">
        <v>-7.4</v>
      </c>
      <c r="P1228" s="241" t="n">
        <v>1</v>
      </c>
    </row>
    <row r="1229">
      <c r="A1229" s="282" t="inlineStr">
        <is>
          <t>2011-01-19</t>
        </is>
      </c>
      <c r="B1229" s="240">
        <f>IFERROR(1/P1229-1,B1228)</f>
        <v/>
      </c>
      <c r="C1229" s="240">
        <f>$C$3</f>
        <v/>
      </c>
      <c r="D1229" s="240">
        <f>$D$3</f>
        <v/>
      </c>
      <c r="E1229" s="240">
        <f>$E$3</f>
        <v/>
      </c>
      <c r="F1229" s="241" t="n">
        <v>31.39</v>
      </c>
      <c r="G1229" s="242" t="n">
        <v>14685346</v>
      </c>
      <c r="H1229" s="241" t="n">
        <v>3.49</v>
      </c>
      <c r="I1229" s="241" t="n">
        <v>-8.35</v>
      </c>
      <c r="J1229" s="241" t="n">
        <v>-10.06</v>
      </c>
      <c r="K1229" s="241" t="n">
        <v>30.28</v>
      </c>
      <c r="L1229" s="242" t="n">
        <v>1637000</v>
      </c>
      <c r="M1229" s="241" t="n">
        <v>0.28</v>
      </c>
      <c r="N1229" s="241" t="n">
        <v>4.69</v>
      </c>
      <c r="O1229" s="241" t="n">
        <v>-7.14</v>
      </c>
      <c r="P1229" s="241" t="n">
        <v>1.04</v>
      </c>
    </row>
    <row r="1230">
      <c r="A1230" s="282" t="inlineStr">
        <is>
          <t>2011-01-20</t>
        </is>
      </c>
      <c r="B1230" s="240">
        <f>IFERROR(1/P1230-1,B1229)</f>
        <v/>
      </c>
      <c r="C1230" s="240">
        <f>$C$3</f>
        <v/>
      </c>
      <c r="D1230" s="240">
        <f>$D$3</f>
        <v/>
      </c>
      <c r="E1230" s="240">
        <f>$E$3</f>
        <v/>
      </c>
      <c r="F1230" s="241" t="n">
        <v>30.04</v>
      </c>
      <c r="G1230" s="242" t="n">
        <v>9658276</v>
      </c>
      <c r="H1230" s="241" t="n">
        <v>-4.3</v>
      </c>
      <c r="I1230" s="241" t="n">
        <v>-12.29</v>
      </c>
      <c r="J1230" s="241" t="n">
        <v>-13.93</v>
      </c>
      <c r="K1230" s="241" t="n">
        <v>28.25</v>
      </c>
      <c r="L1230" s="242" t="n">
        <v>7787600</v>
      </c>
      <c r="M1230" s="241" t="n">
        <v>-6.71</v>
      </c>
      <c r="N1230" s="241" t="n">
        <v>-2.34</v>
      </c>
      <c r="O1230" s="241" t="n">
        <v>-13.38</v>
      </c>
      <c r="P1230" s="241" t="n">
        <v>1.06</v>
      </c>
    </row>
    <row r="1231">
      <c r="A1231" s="282" t="inlineStr">
        <is>
          <t>2011-01-21</t>
        </is>
      </c>
      <c r="B1231" s="240">
        <f>IFERROR(1/P1231-1,B1230)</f>
        <v/>
      </c>
      <c r="C1231" s="240">
        <f>$C$3</f>
        <v/>
      </c>
      <c r="D1231" s="240">
        <f>$D$3</f>
        <v/>
      </c>
      <c r="E1231" s="240">
        <f>$E$3</f>
        <v/>
      </c>
      <c r="F1231" s="241" t="n">
        <v>30.36</v>
      </c>
      <c r="G1231" s="242" t="n">
        <v>14766351</v>
      </c>
      <c r="H1231" s="241" t="n">
        <v>1.07</v>
      </c>
      <c r="I1231" s="241" t="n">
        <v>-13.5</v>
      </c>
      <c r="J1231" s="241" t="n">
        <v>-13.01</v>
      </c>
      <c r="K1231" s="241" t="n">
        <v>28.23</v>
      </c>
      <c r="L1231" s="242" t="n">
        <v>3293900</v>
      </c>
      <c r="M1231" s="241" t="n">
        <v>0</v>
      </c>
      <c r="N1231" s="241" t="n">
        <v>-4.3</v>
      </c>
      <c r="O1231" s="241" t="n">
        <v>-13.38</v>
      </c>
      <c r="P1231" s="241" t="n">
        <v>1.08</v>
      </c>
    </row>
    <row r="1232">
      <c r="A1232" s="282" t="inlineStr">
        <is>
          <t>2011-01-24</t>
        </is>
      </c>
      <c r="B1232" s="240">
        <f>IFERROR(1/P1232-1,B1231)</f>
        <v/>
      </c>
      <c r="C1232" s="240">
        <f>$C$3</f>
        <v/>
      </c>
      <c r="D1232" s="240">
        <f>$D$3</f>
        <v/>
      </c>
      <c r="E1232" s="240">
        <f>$E$3</f>
        <v/>
      </c>
      <c r="F1232" s="241" t="n">
        <v>30.42</v>
      </c>
      <c r="G1232" s="242" t="n">
        <v>9729780</v>
      </c>
      <c r="H1232" s="241" t="n">
        <v>0.2</v>
      </c>
      <c r="I1232" s="241" t="n">
        <v>-14.02</v>
      </c>
      <c r="J1232" s="241" t="n">
        <v>-12.84</v>
      </c>
      <c r="K1232" s="241" t="n">
        <v>27.61</v>
      </c>
      <c r="L1232" s="242" t="n">
        <v>2341500</v>
      </c>
      <c r="M1232" s="241" t="n">
        <v>-2.1</v>
      </c>
      <c r="N1232" s="241" t="n">
        <v>-11.52</v>
      </c>
      <c r="O1232" s="241" t="n">
        <v>-15.19</v>
      </c>
      <c r="P1232" s="241" t="n">
        <v>1.1</v>
      </c>
    </row>
    <row r="1233">
      <c r="A1233" s="282" t="inlineStr">
        <is>
          <t>2011-01-25</t>
        </is>
      </c>
      <c r="B1233" s="240">
        <f>IFERROR(1/P1233-1,B1232)</f>
        <v/>
      </c>
      <c r="C1233" s="240">
        <f>$C$3</f>
        <v/>
      </c>
      <c r="D1233" s="240">
        <f>$D$3</f>
        <v/>
      </c>
      <c r="E1233" s="240">
        <f>$E$3</f>
        <v/>
      </c>
      <c r="F1233" s="241" t="n">
        <v>28.99</v>
      </c>
      <c r="G1233" s="242" t="n">
        <v>11159538</v>
      </c>
      <c r="H1233" s="241" t="n">
        <v>-4.7</v>
      </c>
      <c r="I1233" s="241" t="n">
        <v>-13.41</v>
      </c>
      <c r="J1233" s="241" t="n">
        <v>-16.93</v>
      </c>
      <c r="K1233" s="241" t="n">
        <v>26.87</v>
      </c>
      <c r="L1233" s="242" t="n">
        <v>7414200</v>
      </c>
      <c r="M1233" s="241" t="n">
        <v>-2.6</v>
      </c>
      <c r="N1233" s="241" t="n">
        <v>-12.88</v>
      </c>
      <c r="O1233" s="241" t="n">
        <v>-17.4</v>
      </c>
      <c r="P1233" s="241" t="n">
        <v>1.08</v>
      </c>
    </row>
    <row r="1234">
      <c r="A1234" s="282" t="inlineStr">
        <is>
          <t>2011-01-26</t>
        </is>
      </c>
      <c r="B1234" s="240">
        <f>IFERROR(1/P1234-1,B1233)</f>
        <v/>
      </c>
      <c r="C1234" s="240">
        <f>$C$3</f>
        <v/>
      </c>
      <c r="D1234" s="240">
        <f>$D$3</f>
        <v/>
      </c>
      <c r="E1234" s="240">
        <f>$E$3</f>
        <v/>
      </c>
      <c r="F1234" s="241" t="n">
        <v>30.31</v>
      </c>
      <c r="G1234" s="242" t="n">
        <v>19252749</v>
      </c>
      <c r="H1234" s="241" t="n">
        <v>4.55</v>
      </c>
      <c r="I1234" s="241" t="n">
        <v>-9.470000000000001</v>
      </c>
      <c r="J1234" s="241" t="n">
        <v>-13.15</v>
      </c>
      <c r="K1234" s="241" t="n">
        <v>27.36</v>
      </c>
      <c r="L1234" s="242" t="n">
        <v>5465800</v>
      </c>
      <c r="M1234" s="241" t="n">
        <v>1.73</v>
      </c>
      <c r="N1234" s="241" t="n">
        <v>-11.37</v>
      </c>
      <c r="O1234" s="241" t="n">
        <v>-15.97</v>
      </c>
      <c r="P1234" s="241" t="n">
        <v>1.11</v>
      </c>
    </row>
    <row r="1235">
      <c r="A1235" s="282" t="inlineStr">
        <is>
          <t>2011-01-27</t>
        </is>
      </c>
      <c r="B1235" s="240">
        <f>IFERROR(1/P1235-1,B1234)</f>
        <v/>
      </c>
      <c r="C1235" s="240">
        <f>$C$3</f>
        <v/>
      </c>
      <c r="D1235" s="240">
        <f>$D$3</f>
        <v/>
      </c>
      <c r="E1235" s="240">
        <f>$E$3</f>
        <v/>
      </c>
      <c r="F1235" s="241" t="n">
        <v>33.34</v>
      </c>
      <c r="G1235" s="242" t="n">
        <v>44549556</v>
      </c>
      <c r="H1235" s="241" t="n">
        <v>10</v>
      </c>
      <c r="I1235" s="241" t="n">
        <v>-0.42</v>
      </c>
      <c r="J1235" s="241" t="n">
        <v>-4.47</v>
      </c>
      <c r="K1235" s="241" t="n">
        <v>28.27</v>
      </c>
      <c r="L1235" s="242" t="n">
        <v>9934324</v>
      </c>
      <c r="M1235" s="241" t="n">
        <v>3.25</v>
      </c>
      <c r="N1235" s="241" t="n">
        <v>-8.49</v>
      </c>
      <c r="O1235" s="241" t="n">
        <v>-13.25</v>
      </c>
      <c r="P1235" s="241" t="n">
        <v>1.18</v>
      </c>
    </row>
    <row r="1236">
      <c r="A1236" s="282" t="inlineStr">
        <is>
          <t>2011-01-28</t>
        </is>
      </c>
      <c r="B1236" s="240">
        <f>IFERROR(1/P1236-1,B1235)</f>
        <v/>
      </c>
      <c r="C1236" s="240">
        <f>$C$3</f>
        <v/>
      </c>
      <c r="D1236" s="240">
        <f>$D$3</f>
        <v/>
      </c>
      <c r="E1236" s="240">
        <f>$E$3</f>
        <v/>
      </c>
      <c r="F1236" s="241" t="n">
        <v>33.26</v>
      </c>
      <c r="G1236" s="242" t="n">
        <v>19167327</v>
      </c>
      <c r="H1236" s="241" t="n">
        <v>-0.24</v>
      </c>
      <c r="I1236" s="241" t="n">
        <v>0.54</v>
      </c>
      <c r="J1236" s="241" t="n">
        <v>-4.7</v>
      </c>
      <c r="K1236" s="241" t="n">
        <v>28.02</v>
      </c>
      <c r="L1236" s="242" t="n">
        <v>1994936</v>
      </c>
      <c r="M1236" s="241" t="n">
        <v>-0.9</v>
      </c>
      <c r="N1236" s="241" t="n">
        <v>-9.32</v>
      </c>
      <c r="O1236" s="241" t="n">
        <v>-14.03</v>
      </c>
      <c r="P1236" s="241" t="n">
        <v>1.19</v>
      </c>
    </row>
    <row r="1237">
      <c r="A1237" s="282" t="inlineStr">
        <is>
          <t>2011-01-31</t>
        </is>
      </c>
      <c r="B1237" s="240">
        <f>IFERROR(1/P1237-1,B1236)</f>
        <v/>
      </c>
      <c r="C1237" s="240">
        <f>$C$3</f>
        <v/>
      </c>
      <c r="D1237" s="240">
        <f>$D$3</f>
        <v/>
      </c>
      <c r="E1237" s="240">
        <f>$E$3</f>
        <v/>
      </c>
      <c r="F1237" s="241" t="n">
        <v>33.58</v>
      </c>
      <c r="G1237" s="242" t="n">
        <v>19112405</v>
      </c>
      <c r="H1237" s="241" t="n">
        <v>0.96</v>
      </c>
      <c r="I1237" s="241" t="n">
        <v>-1.67</v>
      </c>
      <c r="J1237" s="241" t="n">
        <v>-3.78</v>
      </c>
      <c r="K1237" s="241" t="n">
        <v>27.95</v>
      </c>
      <c r="L1237" s="242" t="n">
        <v>3066000</v>
      </c>
      <c r="M1237" s="241" t="n">
        <v>-0.15</v>
      </c>
      <c r="N1237" s="241" t="n">
        <v>-13.37</v>
      </c>
      <c r="O1237" s="241" t="n">
        <v>-14.16</v>
      </c>
      <c r="P1237" s="241" t="n">
        <v>1.2</v>
      </c>
    </row>
    <row r="1238">
      <c r="A1238" s="282" t="inlineStr">
        <is>
          <t>2011-02-01</t>
        </is>
      </c>
      <c r="B1238" s="240">
        <f>IFERROR(1/P1238-1,B1237)</f>
        <v/>
      </c>
      <c r="C1238" s="240">
        <f>$C$3</f>
        <v/>
      </c>
      <c r="D1238" s="240">
        <f>$D$3</f>
        <v/>
      </c>
      <c r="E1238" s="240">
        <f>$E$3</f>
        <v/>
      </c>
      <c r="F1238" s="241" t="n">
        <v>33.69</v>
      </c>
      <c r="G1238" s="242" t="n">
        <v>12810614</v>
      </c>
      <c r="H1238" s="241" t="n">
        <v>0.33</v>
      </c>
      <c r="I1238" s="241" t="n">
        <v>-3.47</v>
      </c>
      <c r="J1238" s="241" t="n">
        <v>-3.47</v>
      </c>
      <c r="K1238" s="241" t="n">
        <v>28.09</v>
      </c>
      <c r="L1238" s="242" t="n">
        <v>1824100</v>
      </c>
      <c r="M1238" s="241" t="n">
        <v>0.61</v>
      </c>
      <c r="N1238" s="241" t="n">
        <v>-13.64</v>
      </c>
      <c r="O1238" s="241" t="n">
        <v>-13.64</v>
      </c>
      <c r="P1238" s="241" t="n">
        <v>1.2</v>
      </c>
    </row>
    <row r="1239">
      <c r="A1239" s="282" t="inlineStr">
        <is>
          <t>2011-02-09</t>
        </is>
      </c>
      <c r="B1239" s="240">
        <f>IFERROR(1/P1239-1,B1238)</f>
        <v/>
      </c>
      <c r="C1239" s="240">
        <f>$C$3</f>
        <v/>
      </c>
      <c r="D1239" s="240">
        <f>$D$3</f>
        <v/>
      </c>
      <c r="E1239" s="240">
        <f>$E$3</f>
        <v/>
      </c>
      <c r="F1239" s="241" t="n">
        <v>34.14</v>
      </c>
      <c r="G1239" s="242" t="n">
        <v>20121865</v>
      </c>
      <c r="H1239" s="241" t="n">
        <v>1.34</v>
      </c>
      <c r="I1239" s="241" t="n">
        <v>1.22</v>
      </c>
      <c r="J1239" s="241" t="n">
        <v>-2.18</v>
      </c>
      <c r="K1239" s="241" t="n">
        <v>25.89</v>
      </c>
      <c r="L1239" s="242" t="n">
        <v>3717799</v>
      </c>
      <c r="M1239" s="241" t="n">
        <v>-1.61</v>
      </c>
      <c r="N1239" s="241" t="n">
        <v>-17.74</v>
      </c>
      <c r="O1239" s="241" t="n">
        <v>-20.52</v>
      </c>
      <c r="P1239" s="241" t="n">
        <v>1.32</v>
      </c>
    </row>
    <row r="1240">
      <c r="A1240" s="282" t="inlineStr">
        <is>
          <t>2011-02-10</t>
        </is>
      </c>
      <c r="B1240" s="240">
        <f>IFERROR(1/P1240-1,B1239)</f>
        <v/>
      </c>
      <c r="C1240" s="240">
        <f>$C$3</f>
        <v/>
      </c>
      <c r="D1240" s="240">
        <f>$D$3</f>
        <v/>
      </c>
      <c r="E1240" s="240">
        <f>$E$3</f>
        <v/>
      </c>
      <c r="F1240" s="241" t="n">
        <v>34.3</v>
      </c>
      <c r="G1240" s="242" t="n">
        <v>12665814</v>
      </c>
      <c r="H1240" s="241" t="n">
        <v>0.47</v>
      </c>
      <c r="I1240" s="241" t="n">
        <v>1.69</v>
      </c>
      <c r="J1240" s="241" t="n">
        <v>-1.72</v>
      </c>
      <c r="K1240" s="241" t="n">
        <v>24.82</v>
      </c>
      <c r="L1240" s="242" t="n">
        <v>5734400</v>
      </c>
      <c r="M1240" s="241" t="n">
        <v>-4.08</v>
      </c>
      <c r="N1240" s="241" t="n">
        <v>-21.1</v>
      </c>
      <c r="O1240" s="241" t="n">
        <v>-23.77</v>
      </c>
      <c r="P1240" s="241" t="n">
        <v>1.38</v>
      </c>
    </row>
    <row r="1241">
      <c r="A1241" s="282" t="inlineStr">
        <is>
          <t>2011-02-11</t>
        </is>
      </c>
      <c r="B1241" s="240">
        <f>IFERROR(1/P1241-1,B1240)</f>
        <v/>
      </c>
      <c r="C1241" s="240">
        <f>$C$3</f>
        <v/>
      </c>
      <c r="D1241" s="240">
        <f>$D$3</f>
        <v/>
      </c>
      <c r="E1241" s="240">
        <f>$E$3</f>
        <v/>
      </c>
      <c r="F1241" s="241" t="n">
        <v>34.49</v>
      </c>
      <c r="G1241" s="242" t="n">
        <v>13761130</v>
      </c>
      <c r="H1241" s="241" t="n">
        <v>0.55</v>
      </c>
      <c r="I1241" s="241" t="n">
        <v>2.56</v>
      </c>
      <c r="J1241" s="241" t="n">
        <v>-1.17</v>
      </c>
      <c r="K1241" s="241" t="n">
        <v>24.68</v>
      </c>
      <c r="L1241" s="242" t="n">
        <v>4635100</v>
      </c>
      <c r="M1241" s="241" t="n">
        <v>-0.68</v>
      </c>
      <c r="N1241" s="241" t="n">
        <v>-19.59</v>
      </c>
      <c r="O1241" s="241" t="n">
        <v>-24.29</v>
      </c>
      <c r="P1241" s="241" t="n">
        <v>1.4</v>
      </c>
    </row>
    <row r="1242">
      <c r="A1242" s="282" t="inlineStr">
        <is>
          <t>2011-02-14</t>
        </is>
      </c>
      <c r="B1242" s="240">
        <f>IFERROR(1/P1242-1,B1241)</f>
        <v/>
      </c>
      <c r="C1242" s="240">
        <f>$C$3</f>
        <v/>
      </c>
      <c r="D1242" s="240">
        <f>$D$3</f>
        <v/>
      </c>
      <c r="E1242" s="240">
        <f>$E$3</f>
        <v/>
      </c>
      <c r="F1242" s="241" t="n">
        <v>35.02</v>
      </c>
      <c r="G1242" s="242" t="n">
        <v>19909317</v>
      </c>
      <c r="H1242" s="241" t="n">
        <v>1.54</v>
      </c>
      <c r="I1242" s="241" t="n">
        <v>7.09</v>
      </c>
      <c r="J1242" s="241" t="n">
        <v>0.34</v>
      </c>
      <c r="K1242" s="241" t="n">
        <v>26.29</v>
      </c>
      <c r="L1242" s="242" t="n">
        <v>5454400</v>
      </c>
      <c r="M1242" s="241" t="n">
        <v>6.52</v>
      </c>
      <c r="N1242" s="241" t="n">
        <v>-16.19</v>
      </c>
      <c r="O1242" s="241" t="n">
        <v>-19.35</v>
      </c>
      <c r="P1242" s="241" t="n">
        <v>1.33</v>
      </c>
    </row>
    <row r="1243">
      <c r="A1243" s="282" t="inlineStr">
        <is>
          <t>2011-02-15</t>
        </is>
      </c>
      <c r="B1243" s="240">
        <f>IFERROR(1/P1243-1,B1242)</f>
        <v/>
      </c>
      <c r="C1243" s="240">
        <f>$C$3</f>
        <v/>
      </c>
      <c r="D1243" s="240">
        <f>$D$3</f>
        <v/>
      </c>
      <c r="E1243" s="240">
        <f>$E$3</f>
        <v/>
      </c>
      <c r="F1243" s="241" t="n">
        <v>34.38</v>
      </c>
      <c r="G1243" s="242" t="n">
        <v>22137663</v>
      </c>
      <c r="H1243" s="241" t="n">
        <v>-1.83</v>
      </c>
      <c r="I1243" s="241" t="n">
        <v>9.49</v>
      </c>
      <c r="J1243" s="241" t="n">
        <v>-1.49</v>
      </c>
      <c r="K1243" s="241" t="n">
        <v>25.88</v>
      </c>
      <c r="L1243" s="242" t="n">
        <v>2454600</v>
      </c>
      <c r="M1243" s="241" t="n">
        <v>-1.45</v>
      </c>
      <c r="N1243" s="241" t="n">
        <v>-17.41</v>
      </c>
      <c r="O1243" s="241" t="n">
        <v>-20.52</v>
      </c>
      <c r="P1243" s="241" t="n">
        <v>1.33</v>
      </c>
    </row>
    <row r="1244">
      <c r="A1244" s="282" t="inlineStr">
        <is>
          <t>2011-02-16</t>
        </is>
      </c>
      <c r="B1244" s="240">
        <f>IFERROR(1/P1244-1,B1243)</f>
        <v/>
      </c>
      <c r="C1244" s="240">
        <f>$C$3</f>
        <v/>
      </c>
      <c r="D1244" s="240">
        <f>$D$3</f>
        <v/>
      </c>
      <c r="E1244" s="240">
        <f>$E$3</f>
        <v/>
      </c>
      <c r="F1244" s="241" t="n">
        <v>34.72</v>
      </c>
      <c r="G1244" s="242" t="n">
        <v>13947041</v>
      </c>
      <c r="H1244" s="241" t="n">
        <v>0.99</v>
      </c>
      <c r="I1244" s="241" t="n">
        <v>10.57</v>
      </c>
      <c r="J1244" s="241" t="n">
        <v>-0.52</v>
      </c>
      <c r="K1244" s="241" t="n">
        <v>25.56</v>
      </c>
      <c r="L1244" s="242" t="n">
        <v>2508400</v>
      </c>
      <c r="M1244" s="241" t="n">
        <v>-1.14</v>
      </c>
      <c r="N1244" s="241" t="n">
        <v>-18.35</v>
      </c>
      <c r="O1244" s="241" t="n">
        <v>-21.43</v>
      </c>
      <c r="P1244" s="241" t="n">
        <v>1.36</v>
      </c>
    </row>
    <row r="1245">
      <c r="A1245" s="282" t="inlineStr">
        <is>
          <t>2011-02-17</t>
        </is>
      </c>
      <c r="B1245" s="240">
        <f>IFERROR(1/P1245-1,B1244)</f>
        <v/>
      </c>
      <c r="C1245" s="240">
        <f>$C$3</f>
        <v/>
      </c>
      <c r="D1245" s="240">
        <f>$D$3</f>
        <v/>
      </c>
      <c r="E1245" s="240">
        <f>$E$3</f>
        <v/>
      </c>
      <c r="F1245" s="241" t="n">
        <v>35.98</v>
      </c>
      <c r="G1245" s="242" t="n">
        <v>25510467</v>
      </c>
      <c r="H1245" s="241" t="n">
        <v>3.63</v>
      </c>
      <c r="I1245" s="241" t="n">
        <v>14.59</v>
      </c>
      <c r="J1245" s="241" t="n">
        <v>3.09</v>
      </c>
      <c r="K1245" s="241" t="n">
        <v>26.61</v>
      </c>
      <c r="L1245" s="242" t="n">
        <v>4098000</v>
      </c>
      <c r="M1245" s="241" t="n">
        <v>4.13</v>
      </c>
      <c r="N1245" s="241" t="n">
        <v>-14.98</v>
      </c>
      <c r="O1245" s="241" t="n">
        <v>-18.18</v>
      </c>
      <c r="P1245" s="241" t="n">
        <v>1.35</v>
      </c>
    </row>
    <row r="1246">
      <c r="A1246" s="282" t="inlineStr">
        <is>
          <t>2011-02-18</t>
        </is>
      </c>
      <c r="B1246" s="240">
        <f>IFERROR(1/P1246-1,B1245)</f>
        <v/>
      </c>
      <c r="C1246" s="240">
        <f>$C$3</f>
        <v/>
      </c>
      <c r="D1246" s="240">
        <f>$D$3</f>
        <v/>
      </c>
      <c r="E1246" s="240">
        <f>$E$3</f>
        <v/>
      </c>
      <c r="F1246" s="241" t="n">
        <v>34.66</v>
      </c>
      <c r="G1246" s="242" t="n">
        <v>18017777</v>
      </c>
      <c r="H1246" s="241" t="n">
        <v>-3.67</v>
      </c>
      <c r="I1246" s="241" t="n">
        <v>14.24</v>
      </c>
      <c r="J1246" s="241" t="n">
        <v>-0.6899999999999999</v>
      </c>
      <c r="K1246" s="241" t="n">
        <v>26.19</v>
      </c>
      <c r="L1246" s="242" t="n">
        <v>3715222</v>
      </c>
      <c r="M1246" s="241" t="n">
        <v>-1.59</v>
      </c>
      <c r="N1246" s="241" t="n">
        <v>-14.72</v>
      </c>
      <c r="O1246" s="241" t="n">
        <v>-19.48</v>
      </c>
      <c r="P1246" s="241" t="n">
        <v>1.32</v>
      </c>
    </row>
    <row r="1247">
      <c r="A1247" s="282" t="inlineStr">
        <is>
          <t>2011-02-21</t>
        </is>
      </c>
      <c r="B1247" s="240">
        <f>IFERROR(1/P1247-1,B1246)</f>
        <v/>
      </c>
      <c r="C1247" s="240">
        <f>$C$3</f>
        <v/>
      </c>
      <c r="D1247" s="240">
        <f>$D$3</f>
        <v/>
      </c>
      <c r="E1247" s="240">
        <f>$E$3</f>
        <v/>
      </c>
      <c r="F1247" s="241" t="n">
        <v>35.2</v>
      </c>
      <c r="G1247" s="242" t="n">
        <v>11547443</v>
      </c>
      <c r="H1247" s="241" t="n">
        <v>1.56</v>
      </c>
      <c r="I1247" s="241" t="n">
        <v>17.18</v>
      </c>
      <c r="J1247" s="241" t="n">
        <v>0.86</v>
      </c>
      <c r="K1247" s="241" t="n">
        <v>26.08</v>
      </c>
      <c r="L1247" s="242" t="n">
        <v>3428200</v>
      </c>
      <c r="M1247" s="241" t="n">
        <v>-0.32</v>
      </c>
      <c r="N1247" s="241" t="n">
        <v>-7.35</v>
      </c>
      <c r="O1247" s="241" t="n">
        <v>-19.74</v>
      </c>
      <c r="P1247" s="241" t="n">
        <v>1.35</v>
      </c>
    </row>
    <row r="1248">
      <c r="A1248" s="282" t="inlineStr">
        <is>
          <t>2011-02-22</t>
        </is>
      </c>
      <c r="B1248" s="240">
        <f>IFERROR(1/P1248-1,B1247)</f>
        <v/>
      </c>
      <c r="C1248" s="240">
        <f>$C$3</f>
        <v/>
      </c>
      <c r="D1248" s="240">
        <f>$D$3</f>
        <v/>
      </c>
      <c r="E1248" s="240">
        <f>$E$3</f>
        <v/>
      </c>
      <c r="F1248" s="241" t="n">
        <v>34.06</v>
      </c>
      <c r="G1248" s="242" t="n">
        <v>24318054</v>
      </c>
      <c r="H1248" s="241" t="n">
        <v>-3.24</v>
      </c>
      <c r="I1248" s="241" t="n">
        <v>12.19</v>
      </c>
      <c r="J1248" s="241" t="n">
        <v>-2.41</v>
      </c>
      <c r="K1248" s="241" t="n">
        <v>25.09</v>
      </c>
      <c r="L1248" s="242" t="n">
        <v>2478057</v>
      </c>
      <c r="M1248" s="241" t="n">
        <v>-3.88</v>
      </c>
      <c r="N1248" s="241" t="n">
        <v>-10.94</v>
      </c>
      <c r="O1248" s="241" t="n">
        <v>-22.86</v>
      </c>
      <c r="P1248" s="241" t="n">
        <v>1.36</v>
      </c>
    </row>
    <row r="1249">
      <c r="A1249" s="282" t="inlineStr">
        <is>
          <t>2011-02-23</t>
        </is>
      </c>
      <c r="B1249" s="240">
        <f>IFERROR(1/P1249-1,B1248)</f>
        <v/>
      </c>
      <c r="C1249" s="240">
        <f>$C$3</f>
        <v/>
      </c>
      <c r="D1249" s="240">
        <f>$D$3</f>
        <v/>
      </c>
      <c r="E1249" s="240">
        <f>$E$3</f>
        <v/>
      </c>
      <c r="F1249" s="241" t="n">
        <v>34.33</v>
      </c>
      <c r="G1249" s="242" t="n">
        <v>12408473</v>
      </c>
      <c r="H1249" s="241" t="n">
        <v>0.79</v>
      </c>
      <c r="I1249" s="241" t="n">
        <v>13.08</v>
      </c>
      <c r="J1249" s="241" t="n">
        <v>-1.63</v>
      </c>
      <c r="K1249" s="241" t="n">
        <v>25.3</v>
      </c>
      <c r="L1249" s="242" t="n">
        <v>2011635</v>
      </c>
      <c r="M1249" s="241" t="n">
        <v>0.84</v>
      </c>
      <c r="N1249" s="241" t="n">
        <v>-10.19</v>
      </c>
      <c r="O1249" s="241" t="n">
        <v>-22.21</v>
      </c>
      <c r="P1249" s="241" t="n">
        <v>1.36</v>
      </c>
    </row>
    <row r="1250">
      <c r="A1250" s="282" t="inlineStr">
        <is>
          <t>2011-02-24</t>
        </is>
      </c>
      <c r="B1250" s="240">
        <f>IFERROR(1/P1250-1,B1249)</f>
        <v/>
      </c>
      <c r="C1250" s="240">
        <f>$C$3</f>
        <v/>
      </c>
      <c r="D1250" s="240">
        <f>$D$3</f>
        <v/>
      </c>
      <c r="E1250" s="240">
        <f>$E$3</f>
        <v/>
      </c>
      <c r="F1250" s="241" t="n">
        <v>34.23</v>
      </c>
      <c r="G1250" s="242" t="n">
        <v>10023495</v>
      </c>
      <c r="H1250" s="241" t="n">
        <v>-0.29</v>
      </c>
      <c r="I1250" s="241" t="n">
        <v>12.75</v>
      </c>
      <c r="J1250" s="241" t="n">
        <v>-1.92</v>
      </c>
      <c r="K1250" s="241" t="n">
        <v>24.6</v>
      </c>
      <c r="L1250" s="242" t="n">
        <v>4010087</v>
      </c>
      <c r="M1250" s="241" t="n">
        <v>-2.67</v>
      </c>
      <c r="N1250" s="241" t="n">
        <v>-12.59</v>
      </c>
      <c r="O1250" s="241" t="n">
        <v>-24.29</v>
      </c>
      <c r="P1250" s="241" t="n">
        <v>1.39</v>
      </c>
    </row>
    <row r="1251">
      <c r="A1251" s="282" t="inlineStr">
        <is>
          <t>2011-02-25</t>
        </is>
      </c>
      <c r="B1251" s="240">
        <f>IFERROR(1/P1251-1,B1250)</f>
        <v/>
      </c>
      <c r="C1251" s="240">
        <f>$C$3</f>
        <v/>
      </c>
      <c r="D1251" s="240">
        <f>$D$3</f>
        <v/>
      </c>
      <c r="E1251" s="240">
        <f>$E$3</f>
        <v/>
      </c>
      <c r="F1251" s="241" t="n">
        <v>34.05</v>
      </c>
      <c r="G1251" s="242" t="n">
        <v>10563176</v>
      </c>
      <c r="H1251" s="241" t="n">
        <v>-0.53</v>
      </c>
      <c r="I1251" s="241" t="n">
        <v>11.93</v>
      </c>
      <c r="J1251" s="241" t="n">
        <v>-2.44</v>
      </c>
      <c r="K1251" s="241" t="n">
        <v>24.59</v>
      </c>
      <c r="L1251" s="242" t="n">
        <v>1946600</v>
      </c>
      <c r="M1251" s="241" t="n">
        <v>0</v>
      </c>
      <c r="N1251" s="241" t="n">
        <v>-10.72</v>
      </c>
      <c r="O1251" s="241" t="n">
        <v>-24.29</v>
      </c>
      <c r="P1251" s="241" t="n">
        <v>1.38</v>
      </c>
    </row>
    <row r="1252">
      <c r="A1252" s="282" t="inlineStr">
        <is>
          <t>2011-02-28</t>
        </is>
      </c>
      <c r="B1252" s="240">
        <f>IFERROR(1/P1252-1,B1251)</f>
        <v/>
      </c>
      <c r="C1252" s="240">
        <f>$C$3</f>
        <v/>
      </c>
      <c r="D1252" s="240">
        <f>$D$3</f>
        <v/>
      </c>
      <c r="E1252" s="240">
        <f>$E$3</f>
        <v/>
      </c>
      <c r="F1252" s="241" t="n">
        <v>35.29</v>
      </c>
      <c r="G1252" s="242" t="n">
        <v>16917713</v>
      </c>
      <c r="H1252" s="241" t="n">
        <v>3.64</v>
      </c>
      <c r="I1252" s="241" t="n">
        <v>5.85</v>
      </c>
      <c r="J1252" s="241" t="n">
        <v>1.12</v>
      </c>
      <c r="K1252" s="241" t="n">
        <v>25.22</v>
      </c>
      <c r="L1252" s="242" t="n">
        <v>3871300</v>
      </c>
      <c r="M1252" s="241" t="n">
        <v>2.57</v>
      </c>
      <c r="N1252" s="241" t="n">
        <v>-10.48</v>
      </c>
      <c r="O1252" s="241" t="n">
        <v>-22.34</v>
      </c>
      <c r="P1252" s="241" t="n">
        <v>1.4</v>
      </c>
    </row>
    <row r="1253">
      <c r="A1253" s="282" t="inlineStr">
        <is>
          <t>2011-03-01</t>
        </is>
      </c>
      <c r="B1253" s="240">
        <f>IFERROR(1/P1253-1,B1252)</f>
        <v/>
      </c>
      <c r="C1253" s="240">
        <f>$C$3</f>
        <v/>
      </c>
      <c r="D1253" s="240">
        <f>$D$3</f>
        <v/>
      </c>
      <c r="E1253" s="240">
        <f>$E$3</f>
        <v/>
      </c>
      <c r="F1253" s="241" t="n">
        <v>35.58</v>
      </c>
      <c r="G1253" s="242" t="n">
        <v>18452165</v>
      </c>
      <c r="H1253" s="241" t="n">
        <v>0.82</v>
      </c>
      <c r="I1253" s="241" t="n">
        <v>5.96</v>
      </c>
      <c r="J1253" s="241" t="n">
        <v>1.95</v>
      </c>
      <c r="K1253" s="241" t="n">
        <v>25.65</v>
      </c>
      <c r="L1253" s="242" t="n">
        <v>2134400</v>
      </c>
      <c r="M1253" s="241" t="n">
        <v>1.67</v>
      </c>
      <c r="N1253" s="241" t="n">
        <v>-8.02</v>
      </c>
      <c r="O1253" s="241" t="n">
        <v>-21.04</v>
      </c>
      <c r="P1253" s="241" t="n">
        <v>1.39</v>
      </c>
    </row>
    <row r="1254">
      <c r="A1254" s="282" t="inlineStr">
        <is>
          <t>2011-03-02</t>
        </is>
      </c>
      <c r="B1254" s="240">
        <f>IFERROR(1/P1254-1,B1253)</f>
        <v/>
      </c>
      <c r="C1254" s="240">
        <f>$C$3</f>
        <v/>
      </c>
      <c r="D1254" s="240">
        <f>$D$3</f>
        <v/>
      </c>
      <c r="E1254" s="240">
        <f>$E$3</f>
        <v/>
      </c>
      <c r="F1254" s="241" t="n">
        <v>34.96</v>
      </c>
      <c r="G1254" s="242" t="n">
        <v>9648375</v>
      </c>
      <c r="H1254" s="241" t="n">
        <v>-1.74</v>
      </c>
      <c r="I1254" s="241" t="n">
        <v>3.77</v>
      </c>
      <c r="J1254" s="241" t="n">
        <v>0.17</v>
      </c>
      <c r="K1254" s="241" t="n">
        <v>26.07</v>
      </c>
      <c r="L1254" s="242" t="n">
        <v>3330600</v>
      </c>
      <c r="M1254" s="241" t="n">
        <v>1.64</v>
      </c>
      <c r="N1254" s="241" t="n">
        <v>-7.07</v>
      </c>
      <c r="O1254" s="241" t="n">
        <v>-19.74</v>
      </c>
      <c r="P1254" s="241" t="n">
        <v>1.34</v>
      </c>
    </row>
    <row r="1255">
      <c r="A1255" s="282" t="inlineStr">
        <is>
          <t>2011-03-03</t>
        </is>
      </c>
      <c r="B1255" s="240">
        <f>IFERROR(1/P1255-1,B1254)</f>
        <v/>
      </c>
      <c r="C1255" s="240">
        <f>$C$3</f>
        <v/>
      </c>
      <c r="D1255" s="240">
        <f>$D$3</f>
        <v/>
      </c>
      <c r="E1255" s="240">
        <f>$E$3</f>
        <v/>
      </c>
      <c r="F1255" s="241" t="n">
        <v>34.32</v>
      </c>
      <c r="G1255" s="242" t="n">
        <v>14464476</v>
      </c>
      <c r="H1255" s="241" t="n">
        <v>-1.83</v>
      </c>
      <c r="I1255" s="241" t="n">
        <v>1.87</v>
      </c>
      <c r="J1255" s="241" t="n">
        <v>-1.66</v>
      </c>
      <c r="K1255" s="241" t="n">
        <v>26.81</v>
      </c>
      <c r="L1255" s="242" t="n">
        <v>5881800</v>
      </c>
      <c r="M1255" s="241" t="n">
        <v>2.91</v>
      </c>
      <c r="N1255" s="241" t="n">
        <v>-3.64</v>
      </c>
      <c r="O1255" s="241" t="n">
        <v>-17.4</v>
      </c>
      <c r="P1255" s="241" t="n">
        <v>1.28</v>
      </c>
    </row>
    <row r="1256">
      <c r="A1256" s="282" t="inlineStr">
        <is>
          <t>2011-03-04</t>
        </is>
      </c>
      <c r="B1256" s="240">
        <f>IFERROR(1/P1256-1,B1255)</f>
        <v/>
      </c>
      <c r="C1256" s="240">
        <f>$C$3</f>
        <v/>
      </c>
      <c r="D1256" s="240">
        <f>$D$3</f>
        <v/>
      </c>
      <c r="E1256" s="240">
        <f>$E$3</f>
        <v/>
      </c>
      <c r="F1256" s="241" t="n">
        <v>34.62</v>
      </c>
      <c r="G1256" s="242" t="n">
        <v>9675670</v>
      </c>
      <c r="H1256" s="241" t="n">
        <v>0.87</v>
      </c>
      <c r="I1256" s="241" t="n">
        <v>2.76</v>
      </c>
      <c r="J1256" s="241" t="n">
        <v>-0.8</v>
      </c>
      <c r="K1256" s="241" t="n">
        <v>27.36</v>
      </c>
      <c r="L1256" s="242" t="n">
        <v>4389700</v>
      </c>
      <c r="M1256" s="241" t="n">
        <v>2.04</v>
      </c>
      <c r="N1256" s="241" t="n">
        <v>-1.67</v>
      </c>
      <c r="O1256" s="241" t="n">
        <v>-15.71</v>
      </c>
      <c r="P1256" s="241" t="n">
        <v>1.27</v>
      </c>
    </row>
    <row r="1257">
      <c r="A1257" s="282" t="inlineStr">
        <is>
          <t>2011-03-07</t>
        </is>
      </c>
      <c r="B1257" s="240">
        <f>IFERROR(1/P1257-1,B1256)</f>
        <v/>
      </c>
      <c r="C1257" s="240">
        <f>$C$3</f>
        <v/>
      </c>
      <c r="D1257" s="240">
        <f>$D$3</f>
        <v/>
      </c>
      <c r="E1257" s="240">
        <f>$E$3</f>
        <v/>
      </c>
      <c r="F1257" s="241" t="n">
        <v>35.44</v>
      </c>
      <c r="G1257" s="242" t="n">
        <v>21155317</v>
      </c>
      <c r="H1257" s="241" t="n">
        <v>2.37</v>
      </c>
      <c r="I1257" s="241" t="n">
        <v>5.19</v>
      </c>
      <c r="J1257" s="241" t="n">
        <v>1.55</v>
      </c>
      <c r="K1257" s="241" t="n">
        <v>26.76</v>
      </c>
      <c r="L1257" s="242" t="n">
        <v>3026274</v>
      </c>
      <c r="M1257" s="241" t="n">
        <v>-2.16</v>
      </c>
      <c r="N1257" s="241" t="n">
        <v>-3.79</v>
      </c>
      <c r="O1257" s="241" t="n">
        <v>-17.53</v>
      </c>
      <c r="P1257" s="241" t="n">
        <v>1.32</v>
      </c>
    </row>
    <row r="1258">
      <c r="A1258" s="282" t="inlineStr">
        <is>
          <t>2011-03-08</t>
        </is>
      </c>
      <c r="B1258" s="240">
        <f>IFERROR(1/P1258-1,B1257)</f>
        <v/>
      </c>
      <c r="C1258" s="240">
        <f>$C$3</f>
        <v/>
      </c>
      <c r="D1258" s="240">
        <f>$D$3</f>
        <v/>
      </c>
      <c r="E1258" s="240">
        <f>$E$3</f>
        <v/>
      </c>
      <c r="F1258" s="241" t="n">
        <v>35.18</v>
      </c>
      <c r="G1258" s="242" t="n">
        <v>16634285</v>
      </c>
      <c r="H1258" s="241" t="n">
        <v>-0.73</v>
      </c>
      <c r="I1258" s="241" t="n">
        <v>4.42</v>
      </c>
      <c r="J1258" s="241" t="n">
        <v>0.8</v>
      </c>
      <c r="K1258" s="241" t="n">
        <v>26.65</v>
      </c>
      <c r="L1258" s="242" t="n">
        <v>1712500</v>
      </c>
      <c r="M1258" s="241" t="n">
        <v>-0.47</v>
      </c>
      <c r="N1258" s="241" t="n">
        <v>-0.63</v>
      </c>
      <c r="O1258" s="241" t="n">
        <v>-17.92</v>
      </c>
      <c r="P1258" s="241" t="n">
        <v>1.32</v>
      </c>
    </row>
    <row r="1259">
      <c r="A1259" s="282" t="inlineStr">
        <is>
          <t>2011-03-09</t>
        </is>
      </c>
      <c r="B1259" s="240">
        <f>IFERROR(1/P1259-1,B1258)</f>
        <v/>
      </c>
      <c r="C1259" s="240">
        <f>$C$3</f>
        <v/>
      </c>
      <c r="D1259" s="240">
        <f>$D$3</f>
        <v/>
      </c>
      <c r="E1259" s="240">
        <f>$E$3</f>
        <v/>
      </c>
      <c r="F1259" s="241" t="n">
        <v>35.68</v>
      </c>
      <c r="G1259" s="242" t="n">
        <v>25978287</v>
      </c>
      <c r="H1259" s="241" t="n">
        <v>1.42</v>
      </c>
      <c r="I1259" s="241" t="n">
        <v>5.91</v>
      </c>
      <c r="J1259" s="241" t="n">
        <v>2.23</v>
      </c>
      <c r="K1259" s="241" t="n">
        <v>27.52</v>
      </c>
      <c r="L1259" s="242" t="n">
        <v>3099600</v>
      </c>
      <c r="M1259" s="241" t="n">
        <v>3.16</v>
      </c>
      <c r="N1259" s="241" t="n">
        <v>4.82</v>
      </c>
      <c r="O1259" s="241" t="n">
        <v>-15.32</v>
      </c>
      <c r="P1259" s="241" t="n">
        <v>1.3</v>
      </c>
    </row>
    <row r="1260">
      <c r="A1260" s="282" t="inlineStr">
        <is>
          <t>2011-03-10</t>
        </is>
      </c>
      <c r="B1260" s="240">
        <f>IFERROR(1/P1260-1,B1259)</f>
        <v/>
      </c>
      <c r="C1260" s="240">
        <f>$C$3</f>
        <v/>
      </c>
      <c r="D1260" s="240">
        <f>$D$3</f>
        <v/>
      </c>
      <c r="E1260" s="240">
        <f>$E$3</f>
        <v/>
      </c>
      <c r="F1260" s="241" t="n">
        <v>34.47</v>
      </c>
      <c r="G1260" s="242" t="n">
        <v>17366261</v>
      </c>
      <c r="H1260" s="241" t="n">
        <v>-3.39</v>
      </c>
      <c r="I1260" s="241" t="n">
        <v>0.97</v>
      </c>
      <c r="J1260" s="241" t="n">
        <v>-1.23</v>
      </c>
      <c r="K1260" s="241" t="n">
        <v>26.75</v>
      </c>
      <c r="L1260" s="242" t="n">
        <v>2716767</v>
      </c>
      <c r="M1260" s="241" t="n">
        <v>-2.76</v>
      </c>
      <c r="N1260" s="241" t="n">
        <v>3.59</v>
      </c>
      <c r="O1260" s="241" t="n">
        <v>-17.66</v>
      </c>
      <c r="P1260" s="241" t="n">
        <v>1.29</v>
      </c>
    </row>
    <row r="1261">
      <c r="A1261" s="282" t="inlineStr">
        <is>
          <t>2011-03-11</t>
        </is>
      </c>
      <c r="B1261" s="240">
        <f>IFERROR(1/P1261-1,B1260)</f>
        <v/>
      </c>
      <c r="C1261" s="240">
        <f>$C$3</f>
        <v/>
      </c>
      <c r="D1261" s="240">
        <f>$D$3</f>
        <v/>
      </c>
      <c r="E1261" s="240">
        <f>$E$3</f>
        <v/>
      </c>
      <c r="F1261" s="241" t="n">
        <v>33.91</v>
      </c>
      <c r="G1261" s="242" t="n">
        <v>11467935</v>
      </c>
      <c r="H1261" s="241" t="n">
        <v>-1.62</v>
      </c>
      <c r="I1261" s="241" t="n">
        <v>-1.14</v>
      </c>
      <c r="J1261" s="241" t="n">
        <v>-2.84</v>
      </c>
      <c r="K1261" s="241" t="n">
        <v>26.17</v>
      </c>
      <c r="L1261" s="242" t="n">
        <v>1800200</v>
      </c>
      <c r="M1261" s="241" t="n">
        <v>-2.21</v>
      </c>
      <c r="N1261" s="241" t="n">
        <v>5.62</v>
      </c>
      <c r="O1261" s="241" t="n">
        <v>-19.48</v>
      </c>
      <c r="P1261" s="241" t="n">
        <v>1.3</v>
      </c>
    </row>
    <row r="1262">
      <c r="A1262" s="282" t="inlineStr">
        <is>
          <t>2011-03-14</t>
        </is>
      </c>
      <c r="B1262" s="240">
        <f>IFERROR(1/P1262-1,B1261)</f>
        <v/>
      </c>
      <c r="C1262" s="240">
        <f>$C$3</f>
        <v/>
      </c>
      <c r="D1262" s="240">
        <f>$D$3</f>
        <v/>
      </c>
      <c r="E1262" s="240">
        <f>$E$3</f>
        <v/>
      </c>
      <c r="F1262" s="241" t="n">
        <v>31.87</v>
      </c>
      <c r="G1262" s="242" t="n">
        <v>71574252</v>
      </c>
      <c r="H1262" s="241" t="n">
        <v>-6.02</v>
      </c>
      <c r="I1262" s="241" t="n">
        <v>-7.6</v>
      </c>
      <c r="J1262" s="241" t="n">
        <v>-8.68</v>
      </c>
      <c r="K1262" s="241" t="n">
        <v>23.57</v>
      </c>
      <c r="L1262" s="242" t="n">
        <v>21293650</v>
      </c>
      <c r="M1262" s="241" t="n">
        <v>-9.84</v>
      </c>
      <c r="N1262" s="241" t="n">
        <v>-4.12</v>
      </c>
      <c r="O1262" s="241" t="n">
        <v>-27.4</v>
      </c>
      <c r="P1262" s="241" t="n">
        <v>1.35</v>
      </c>
    </row>
    <row r="1263">
      <c r="A1263" s="282" t="inlineStr">
        <is>
          <t>2011-03-15</t>
        </is>
      </c>
      <c r="B1263" s="240">
        <f>IFERROR(1/P1263-1,B1262)</f>
        <v/>
      </c>
      <c r="C1263" s="240">
        <f>$C$3</f>
        <v/>
      </c>
      <c r="D1263" s="240">
        <f>$D$3</f>
        <v/>
      </c>
      <c r="E1263" s="240">
        <f>$E$3</f>
        <v/>
      </c>
      <c r="F1263" s="241" t="n">
        <v>30.2</v>
      </c>
      <c r="G1263" s="242" t="n">
        <v>77430079</v>
      </c>
      <c r="H1263" s="241" t="n">
        <v>-5.24</v>
      </c>
      <c r="I1263" s="241" t="n">
        <v>-13.76</v>
      </c>
      <c r="J1263" s="241" t="n">
        <v>-13.47</v>
      </c>
      <c r="K1263" s="241" t="n">
        <v>22.3</v>
      </c>
      <c r="L1263" s="242" t="n">
        <v>25018217</v>
      </c>
      <c r="M1263" s="241" t="n">
        <v>-5.37</v>
      </c>
      <c r="N1263" s="241" t="n">
        <v>-14.81</v>
      </c>
      <c r="O1263" s="241" t="n">
        <v>-31.3</v>
      </c>
      <c r="P1263" s="241" t="n">
        <v>1.35</v>
      </c>
    </row>
    <row r="1264">
      <c r="A1264" s="282" t="inlineStr">
        <is>
          <t>2011-03-16</t>
        </is>
      </c>
      <c r="B1264" s="240">
        <f>IFERROR(1/P1264-1,B1263)</f>
        <v/>
      </c>
      <c r="C1264" s="240">
        <f>$C$3</f>
        <v/>
      </c>
      <c r="D1264" s="240">
        <f>$D$3</f>
        <v/>
      </c>
      <c r="E1264" s="240">
        <f>$E$3</f>
        <v/>
      </c>
      <c r="F1264" s="241" t="n">
        <v>30.77</v>
      </c>
      <c r="G1264" s="242" t="n">
        <v>44432874</v>
      </c>
      <c r="H1264" s="241" t="n">
        <v>1.89</v>
      </c>
      <c r="I1264" s="241" t="n">
        <v>-10.5</v>
      </c>
      <c r="J1264" s="241" t="n">
        <v>-11.83</v>
      </c>
      <c r="K1264" s="241" t="n">
        <v>23.31</v>
      </c>
      <c r="L1264" s="242" t="n">
        <v>13498000</v>
      </c>
      <c r="M1264" s="241" t="n">
        <v>4.54</v>
      </c>
      <c r="N1264" s="241" t="n">
        <v>-9.640000000000001</v>
      </c>
      <c r="O1264" s="241" t="n">
        <v>-28.18</v>
      </c>
      <c r="P1264" s="241" t="n">
        <v>1.32</v>
      </c>
    </row>
    <row r="1265">
      <c r="A1265" s="282" t="inlineStr">
        <is>
          <t>2011-03-17</t>
        </is>
      </c>
      <c r="B1265" s="240">
        <f>IFERROR(1/P1265-1,B1264)</f>
        <v/>
      </c>
      <c r="C1265" s="240">
        <f>$C$3</f>
        <v/>
      </c>
      <c r="D1265" s="240">
        <f>$D$3</f>
        <v/>
      </c>
      <c r="E1265" s="240">
        <f>$E$3</f>
        <v/>
      </c>
      <c r="F1265" s="241" t="n">
        <v>28.43</v>
      </c>
      <c r="G1265" s="242" t="n">
        <v>94710174</v>
      </c>
      <c r="H1265" s="241" t="n">
        <v>-7.6</v>
      </c>
      <c r="I1265" s="241" t="n">
        <v>-18.12</v>
      </c>
      <c r="J1265" s="241" t="n">
        <v>-18.54</v>
      </c>
      <c r="K1265" s="241" t="n">
        <v>21.26</v>
      </c>
      <c r="L1265" s="242" t="n">
        <v>20486602</v>
      </c>
      <c r="M1265" s="241" t="n">
        <v>-8.68</v>
      </c>
      <c r="N1265" s="241" t="n">
        <v>-16.53</v>
      </c>
      <c r="O1265" s="241" t="n">
        <v>-34.42</v>
      </c>
      <c r="P1265" s="241" t="n">
        <v>1.34</v>
      </c>
    </row>
    <row r="1266">
      <c r="A1266" s="282" t="inlineStr">
        <is>
          <t>2011-03-18</t>
        </is>
      </c>
      <c r="B1266" s="240">
        <f>IFERROR(1/P1266-1,B1265)</f>
        <v/>
      </c>
      <c r="C1266" s="240">
        <f>$C$3</f>
        <v/>
      </c>
      <c r="D1266" s="240">
        <f>$D$3</f>
        <v/>
      </c>
      <c r="E1266" s="240">
        <f>$E$3</f>
        <v/>
      </c>
      <c r="F1266" s="241" t="n">
        <v>28.88</v>
      </c>
      <c r="G1266" s="242" t="n">
        <v>49322282</v>
      </c>
      <c r="H1266" s="241" t="n">
        <v>1.58</v>
      </c>
      <c r="I1266" s="241" t="n">
        <v>-19.73</v>
      </c>
      <c r="J1266" s="241" t="n">
        <v>-17.25</v>
      </c>
      <c r="K1266" s="241" t="n">
        <v>21.21</v>
      </c>
      <c r="L1266" s="242" t="n">
        <v>16917645</v>
      </c>
      <c r="M1266" s="241" t="n">
        <v>-0.2</v>
      </c>
      <c r="N1266" s="241" t="n">
        <v>-20</v>
      </c>
      <c r="O1266" s="241" t="n">
        <v>-34.55</v>
      </c>
      <c r="P1266" s="241" t="n">
        <v>1.36</v>
      </c>
    </row>
    <row r="1267">
      <c r="A1267" s="282" t="inlineStr">
        <is>
          <t>2011-03-21</t>
        </is>
      </c>
      <c r="B1267" s="240">
        <f>IFERROR(1/P1267-1,B1266)</f>
        <v/>
      </c>
      <c r="C1267" s="240">
        <f>$C$3</f>
        <v/>
      </c>
      <c r="D1267" s="240">
        <f>$D$3</f>
        <v/>
      </c>
      <c r="E1267" s="240">
        <f>$E$3</f>
        <v/>
      </c>
      <c r="F1267" s="241" t="n">
        <v>29.23</v>
      </c>
      <c r="G1267" s="242" t="n">
        <v>45837285</v>
      </c>
      <c r="H1267" s="241" t="n">
        <v>1.21</v>
      </c>
      <c r="I1267" s="241" t="n">
        <v>-15.67</v>
      </c>
      <c r="J1267" s="241" t="n">
        <v>-16.25</v>
      </c>
      <c r="K1267" s="241" t="n">
        <v>22.72</v>
      </c>
      <c r="L1267" s="242" t="n">
        <v>14499020</v>
      </c>
      <c r="M1267" s="241" t="n">
        <v>7.14</v>
      </c>
      <c r="N1267" s="241" t="n">
        <v>-12.9</v>
      </c>
      <c r="O1267" s="241" t="n">
        <v>-29.87</v>
      </c>
      <c r="P1267" s="241" t="n">
        <v>1.29</v>
      </c>
    </row>
    <row r="1268">
      <c r="A1268" s="282" t="inlineStr">
        <is>
          <t>2011-03-22</t>
        </is>
      </c>
      <c r="B1268" s="240">
        <f>IFERROR(1/P1268-1,B1267)</f>
        <v/>
      </c>
      <c r="C1268" s="240">
        <f>$C$3</f>
        <v/>
      </c>
      <c r="D1268" s="240">
        <f>$D$3</f>
        <v/>
      </c>
      <c r="E1268" s="240">
        <f>$E$3</f>
        <v/>
      </c>
      <c r="F1268" s="241" t="n">
        <v>29.08</v>
      </c>
      <c r="G1268" s="242" t="n">
        <v>20123394</v>
      </c>
      <c r="H1268" s="241" t="n">
        <v>-0.51</v>
      </c>
      <c r="I1268" s="241" t="n">
        <v>-17.39</v>
      </c>
      <c r="J1268" s="241" t="n">
        <v>-16.68</v>
      </c>
      <c r="K1268" s="241" t="n">
        <v>23.13</v>
      </c>
      <c r="L1268" s="242" t="n">
        <v>10140340</v>
      </c>
      <c r="M1268" s="241" t="n">
        <v>1.85</v>
      </c>
      <c r="N1268" s="241" t="n">
        <v>-11</v>
      </c>
      <c r="O1268" s="241" t="n">
        <v>-28.57</v>
      </c>
      <c r="P1268" s="241" t="n">
        <v>1.26</v>
      </c>
    </row>
    <row r="1269">
      <c r="A1269" s="282" t="inlineStr">
        <is>
          <t>2011-03-23</t>
        </is>
      </c>
      <c r="B1269" s="240">
        <f>IFERROR(1/P1269-1,B1268)</f>
        <v/>
      </c>
      <c r="C1269" s="240">
        <f>$C$3</f>
        <v/>
      </c>
      <c r="D1269" s="240">
        <f>$D$3</f>
        <v/>
      </c>
      <c r="E1269" s="240">
        <f>$E$3</f>
        <v/>
      </c>
      <c r="F1269" s="241" t="n">
        <v>29.01</v>
      </c>
      <c r="G1269" s="242" t="n">
        <v>27699037</v>
      </c>
      <c r="H1269" s="241" t="n">
        <v>-0.24</v>
      </c>
      <c r="I1269" s="241" t="n">
        <v>-14.83</v>
      </c>
      <c r="J1269" s="241" t="n">
        <v>-16.88</v>
      </c>
      <c r="K1269" s="241" t="n">
        <v>22.85</v>
      </c>
      <c r="L1269" s="242" t="n">
        <v>6479050</v>
      </c>
      <c r="M1269" s="241" t="n">
        <v>-1.27</v>
      </c>
      <c r="N1269" s="241" t="n">
        <v>-8.59</v>
      </c>
      <c r="O1269" s="241" t="n">
        <v>-29.48</v>
      </c>
      <c r="P1269" s="241" t="n">
        <v>1.27</v>
      </c>
    </row>
    <row r="1270">
      <c r="A1270" s="282" t="inlineStr">
        <is>
          <t>2011-03-24</t>
        </is>
      </c>
      <c r="B1270" s="240">
        <f>IFERROR(1/P1270-1,B1269)</f>
        <v/>
      </c>
      <c r="C1270" s="240">
        <f>$C$3</f>
        <v/>
      </c>
      <c r="D1270" s="240">
        <f>$D$3</f>
        <v/>
      </c>
      <c r="E1270" s="240">
        <f>$E$3</f>
        <v/>
      </c>
      <c r="F1270" s="241" t="n">
        <v>28.36</v>
      </c>
      <c r="G1270" s="242" t="n">
        <v>36948570</v>
      </c>
      <c r="H1270" s="241" t="n">
        <v>-2.24</v>
      </c>
      <c r="I1270" s="241" t="n">
        <v>-17.39</v>
      </c>
      <c r="J1270" s="241" t="n">
        <v>-18.74</v>
      </c>
      <c r="K1270" s="241" t="n">
        <v>22.52</v>
      </c>
      <c r="L1270" s="242" t="n">
        <v>8586400</v>
      </c>
      <c r="M1270" s="241" t="n">
        <v>-1.47</v>
      </c>
      <c r="N1270" s="241" t="n">
        <v>-10.68</v>
      </c>
      <c r="O1270" s="241" t="n">
        <v>-30.52</v>
      </c>
      <c r="P1270" s="241" t="n">
        <v>1.26</v>
      </c>
    </row>
    <row r="1271">
      <c r="A1271" s="282" t="inlineStr">
        <is>
          <t>2011-03-25</t>
        </is>
      </c>
      <c r="B1271" s="240">
        <f>IFERROR(1/P1271-1,B1270)</f>
        <v/>
      </c>
      <c r="C1271" s="240">
        <f>$C$3</f>
        <v/>
      </c>
      <c r="D1271" s="240">
        <f>$D$3</f>
        <v/>
      </c>
      <c r="E1271" s="240">
        <f>$E$3</f>
        <v/>
      </c>
      <c r="F1271" s="241" t="n">
        <v>28.56</v>
      </c>
      <c r="G1271" s="242" t="n">
        <v>34329729</v>
      </c>
      <c r="H1271" s="241" t="n">
        <v>0.71</v>
      </c>
      <c r="I1271" s="241" t="n">
        <v>-16.56</v>
      </c>
      <c r="J1271" s="241" t="n">
        <v>-18.17</v>
      </c>
      <c r="K1271" s="241" t="n">
        <v>22.46</v>
      </c>
      <c r="L1271" s="242" t="n">
        <v>5049000</v>
      </c>
      <c r="M1271" s="241" t="n">
        <v>-0.19</v>
      </c>
      <c r="N1271" s="241" t="n">
        <v>-8.4</v>
      </c>
      <c r="O1271" s="241" t="n">
        <v>-30.65</v>
      </c>
      <c r="P1271" s="241" t="n">
        <v>1.27</v>
      </c>
    </row>
    <row r="1272">
      <c r="A1272" s="282" t="inlineStr">
        <is>
          <t>2011-03-28</t>
        </is>
      </c>
      <c r="B1272" s="240">
        <f>IFERROR(1/P1272-1,B1271)</f>
        <v/>
      </c>
      <c r="C1272" s="240">
        <f>$C$3</f>
        <v/>
      </c>
      <c r="D1272" s="240">
        <f>$D$3</f>
        <v/>
      </c>
      <c r="E1272" s="240">
        <f>$E$3</f>
        <v/>
      </c>
      <c r="F1272" s="241" t="n">
        <v>28.06</v>
      </c>
      <c r="G1272" s="242" t="n">
        <v>29966737</v>
      </c>
      <c r="H1272" s="241" t="n">
        <v>-1.75</v>
      </c>
      <c r="I1272" s="241" t="n">
        <v>-17.59</v>
      </c>
      <c r="J1272" s="241" t="n">
        <v>-19.6</v>
      </c>
      <c r="K1272" s="241" t="n">
        <v>21.59</v>
      </c>
      <c r="L1272" s="242" t="n">
        <v>7270700</v>
      </c>
      <c r="M1272" s="241" t="n">
        <v>-3.93</v>
      </c>
      <c r="N1272" s="241" t="n">
        <v>-12.01</v>
      </c>
      <c r="O1272" s="241" t="n">
        <v>-33.38</v>
      </c>
      <c r="P1272" s="241" t="n">
        <v>1.3</v>
      </c>
    </row>
    <row r="1273">
      <c r="A1273" s="282" t="inlineStr">
        <is>
          <t>2011-03-29</t>
        </is>
      </c>
      <c r="B1273" s="240">
        <f>IFERROR(1/P1273-1,B1272)</f>
        <v/>
      </c>
      <c r="C1273" s="240">
        <f>$C$3</f>
        <v/>
      </c>
      <c r="D1273" s="240">
        <f>$D$3</f>
        <v/>
      </c>
      <c r="E1273" s="240">
        <f>$E$3</f>
        <v/>
      </c>
      <c r="F1273" s="241" t="n">
        <v>27.01</v>
      </c>
      <c r="G1273" s="242" t="n">
        <v>38793023</v>
      </c>
      <c r="H1273" s="241" t="n">
        <v>-3.74</v>
      </c>
      <c r="I1273" s="241" t="n">
        <v>-20.68</v>
      </c>
      <c r="J1273" s="241" t="n">
        <v>-22.61</v>
      </c>
      <c r="K1273" s="241" t="n">
        <v>22.55</v>
      </c>
      <c r="L1273" s="242" t="n">
        <v>6111400</v>
      </c>
      <c r="M1273" s="241" t="n">
        <v>4.48</v>
      </c>
      <c r="N1273" s="241" t="n">
        <v>-8.06</v>
      </c>
      <c r="O1273" s="241" t="n">
        <v>-30.39</v>
      </c>
      <c r="P1273" s="241" t="n">
        <v>1.2</v>
      </c>
    </row>
    <row r="1274">
      <c r="A1274" s="282" t="inlineStr">
        <is>
          <t>2011-03-30</t>
        </is>
      </c>
      <c r="B1274" s="240">
        <f>IFERROR(1/P1274-1,B1273)</f>
        <v/>
      </c>
      <c r="C1274" s="240">
        <f>$C$3</f>
        <v/>
      </c>
      <c r="D1274" s="240">
        <f>$D$3</f>
        <v/>
      </c>
      <c r="E1274" s="240">
        <f>$E$3</f>
        <v/>
      </c>
      <c r="F1274" s="241" t="n">
        <v>27.66</v>
      </c>
      <c r="G1274" s="242" t="n">
        <v>19390124</v>
      </c>
      <c r="H1274" s="241" t="n">
        <v>2.41</v>
      </c>
      <c r="I1274" s="241" t="n">
        <v>-18.77</v>
      </c>
      <c r="J1274" s="241" t="n">
        <v>-20.75</v>
      </c>
      <c r="K1274" s="241" t="n">
        <v>22.68</v>
      </c>
      <c r="L1274" s="242" t="n">
        <v>4298600</v>
      </c>
      <c r="M1274" s="241" t="n">
        <v>0.5600000000000001</v>
      </c>
      <c r="N1274" s="241" t="n">
        <v>-7.55</v>
      </c>
      <c r="O1274" s="241" t="n">
        <v>-30</v>
      </c>
      <c r="P1274" s="241" t="n">
        <v>1.22</v>
      </c>
    </row>
    <row r="1275">
      <c r="A1275" s="282" t="inlineStr">
        <is>
          <t>2011-03-31</t>
        </is>
      </c>
      <c r="B1275" s="240">
        <f>IFERROR(1/P1275-1,B1274)</f>
        <v/>
      </c>
      <c r="C1275" s="240">
        <f>$C$3</f>
        <v/>
      </c>
      <c r="D1275" s="240">
        <f>$D$3</f>
        <v/>
      </c>
      <c r="E1275" s="240">
        <f>$E$3</f>
        <v/>
      </c>
      <c r="F1275" s="241" t="n">
        <v>27.22</v>
      </c>
      <c r="G1275" s="242" t="n">
        <v>17607575</v>
      </c>
      <c r="H1275" s="241" t="n">
        <v>-1.59</v>
      </c>
      <c r="I1275" s="241" t="n">
        <v>-20.06</v>
      </c>
      <c r="J1275" s="241" t="n">
        <v>-22.01</v>
      </c>
      <c r="K1275" s="241" t="n">
        <v>22.24</v>
      </c>
      <c r="L1275" s="242" t="n">
        <v>4721800</v>
      </c>
      <c r="M1275" s="241" t="n">
        <v>-2.04</v>
      </c>
      <c r="N1275" s="241" t="n">
        <v>-9.43</v>
      </c>
      <c r="O1275" s="241" t="n">
        <v>-31.43</v>
      </c>
      <c r="P1275" s="241" t="n">
        <v>1.22</v>
      </c>
    </row>
    <row r="1276">
      <c r="A1276" s="282" t="inlineStr">
        <is>
          <t>2011-04-01</t>
        </is>
      </c>
      <c r="B1276" s="240">
        <f>IFERROR(1/P1276-1,B1275)</f>
        <v/>
      </c>
      <c r="C1276" s="240">
        <f>$C$3</f>
        <v/>
      </c>
      <c r="D1276" s="240">
        <f>$D$3</f>
        <v/>
      </c>
      <c r="E1276" s="240">
        <f>$E$3</f>
        <v/>
      </c>
      <c r="F1276" s="241" t="n">
        <v>27.82</v>
      </c>
      <c r="G1276" s="242" t="n">
        <v>19872126</v>
      </c>
      <c r="H1276" s="241" t="n">
        <v>2.2</v>
      </c>
      <c r="I1276" s="241" t="n">
        <v>-21.17</v>
      </c>
      <c r="J1276" s="241" t="n">
        <v>-20.29</v>
      </c>
      <c r="K1276" s="241" t="n">
        <v>22.49</v>
      </c>
      <c r="L1276" s="242" t="n">
        <v>4655161</v>
      </c>
      <c r="M1276" s="241" t="n">
        <v>1.14</v>
      </c>
      <c r="N1276" s="241" t="n">
        <v>-10.7</v>
      </c>
      <c r="O1276" s="241" t="n">
        <v>-30.65</v>
      </c>
      <c r="P1276" s="241" t="n">
        <v>1.24</v>
      </c>
    </row>
    <row r="1277">
      <c r="A1277" s="282" t="inlineStr">
        <is>
          <t>2011-04-06</t>
        </is>
      </c>
      <c r="B1277" s="240">
        <f>IFERROR(1/P1277-1,B1276)</f>
        <v/>
      </c>
      <c r="C1277" s="240">
        <f>$C$3</f>
        <v/>
      </c>
      <c r="D1277" s="240">
        <f>$D$3</f>
        <v/>
      </c>
      <c r="E1277" s="240">
        <f>$E$3</f>
        <v/>
      </c>
      <c r="F1277" s="241" t="n">
        <v>27.37</v>
      </c>
      <c r="G1277" s="242" t="n">
        <v>27120554</v>
      </c>
      <c r="H1277" s="241" t="n">
        <v>-1.62</v>
      </c>
      <c r="I1277" s="241" t="n">
        <v>-20.94</v>
      </c>
      <c r="J1277" s="241" t="n">
        <v>-21.58</v>
      </c>
      <c r="K1277" s="241" t="n">
        <v>23.34</v>
      </c>
      <c r="L1277" s="242" t="n">
        <v>4564400</v>
      </c>
      <c r="M1277" s="241" t="n">
        <v>2.78</v>
      </c>
      <c r="N1277" s="241" t="n">
        <v>-14.64</v>
      </c>
      <c r="O1277" s="241" t="n">
        <v>-28.05</v>
      </c>
      <c r="P1277" s="241" t="n">
        <v>1.17</v>
      </c>
    </row>
    <row r="1278">
      <c r="A1278" s="282" t="inlineStr">
        <is>
          <t>2011-04-07</t>
        </is>
      </c>
      <c r="B1278" s="240">
        <f>IFERROR(1/P1278-1,B1277)</f>
        <v/>
      </c>
      <c r="C1278" s="240">
        <f>$C$3</f>
        <v/>
      </c>
      <c r="D1278" s="240">
        <f>$D$3</f>
        <v/>
      </c>
      <c r="E1278" s="240">
        <f>$E$3</f>
        <v/>
      </c>
      <c r="F1278" s="241" t="n">
        <v>27.83</v>
      </c>
      <c r="G1278" s="242" t="n">
        <v>26646900</v>
      </c>
      <c r="H1278" s="241" t="n">
        <v>1.68</v>
      </c>
      <c r="I1278" s="241" t="n">
        <v>-19.61</v>
      </c>
      <c r="J1278" s="241" t="n">
        <v>-20.26</v>
      </c>
      <c r="K1278" s="241" t="n">
        <v>22.39</v>
      </c>
      <c r="L1278" s="242" t="n">
        <v>6336551</v>
      </c>
      <c r="M1278" s="241" t="n">
        <v>-3.97</v>
      </c>
      <c r="N1278" s="241" t="n">
        <v>-18.03</v>
      </c>
      <c r="O1278" s="241" t="n">
        <v>-30.91</v>
      </c>
      <c r="P1278" s="241" t="n">
        <v>1.24</v>
      </c>
    </row>
    <row r="1279">
      <c r="A1279" s="282" t="inlineStr">
        <is>
          <t>2011-04-08</t>
        </is>
      </c>
      <c r="B1279" s="240">
        <f>IFERROR(1/P1279-1,B1278)</f>
        <v/>
      </c>
      <c r="C1279" s="240">
        <f>$C$3</f>
        <v/>
      </c>
      <c r="D1279" s="240">
        <f>$D$3</f>
        <v/>
      </c>
      <c r="E1279" s="240">
        <f>$E$3</f>
        <v/>
      </c>
      <c r="F1279" s="241" t="n">
        <v>28.15</v>
      </c>
      <c r="G1279" s="242" t="n">
        <v>26742916</v>
      </c>
      <c r="H1279" s="241" t="n">
        <v>1.15</v>
      </c>
      <c r="I1279" s="241" t="n">
        <v>-20.57</v>
      </c>
      <c r="J1279" s="241" t="n">
        <v>-19.34</v>
      </c>
      <c r="K1279" s="241" t="n">
        <v>21.84</v>
      </c>
      <c r="L1279" s="242" t="n">
        <v>5705200</v>
      </c>
      <c r="M1279" s="241" t="n">
        <v>-2.44</v>
      </c>
      <c r="N1279" s="241" t="n">
        <v>-18.27</v>
      </c>
      <c r="O1279" s="241" t="n">
        <v>-32.6</v>
      </c>
      <c r="P1279" s="241" t="n">
        <v>1.29</v>
      </c>
    </row>
    <row r="1280">
      <c r="A1280" s="282" t="inlineStr">
        <is>
          <t>2011-04-11</t>
        </is>
      </c>
      <c r="B1280" s="240">
        <f>IFERROR(1/P1280-1,B1279)</f>
        <v/>
      </c>
      <c r="C1280" s="240">
        <f>$C$3</f>
        <v/>
      </c>
      <c r="D1280" s="240">
        <f>$D$3</f>
        <v/>
      </c>
      <c r="E1280" s="240">
        <f>$E$3</f>
        <v/>
      </c>
      <c r="F1280" s="241" t="n">
        <v>28.05</v>
      </c>
      <c r="G1280" s="242" t="n">
        <v>27397603</v>
      </c>
      <c r="H1280" s="241" t="n">
        <v>-0.36</v>
      </c>
      <c r="I1280" s="241" t="n">
        <v>-18.62</v>
      </c>
      <c r="J1280" s="241" t="n">
        <v>-19.63</v>
      </c>
      <c r="K1280" s="241" t="n">
        <v>22.35</v>
      </c>
      <c r="L1280" s="242" t="n">
        <v>2577100</v>
      </c>
      <c r="M1280" s="241" t="n">
        <v>2.31</v>
      </c>
      <c r="N1280" s="241" t="n">
        <v>-16.25</v>
      </c>
      <c r="O1280" s="241" t="n">
        <v>-31.04</v>
      </c>
      <c r="P1280" s="241" t="n">
        <v>1.25</v>
      </c>
    </row>
    <row r="1281">
      <c r="A1281" s="282" t="inlineStr">
        <is>
          <t>2011-04-12</t>
        </is>
      </c>
      <c r="B1281" s="240">
        <f>IFERROR(1/P1281-1,B1280)</f>
        <v/>
      </c>
      <c r="C1281" s="240">
        <f>$C$3</f>
        <v/>
      </c>
      <c r="D1281" s="240">
        <f>$D$3</f>
        <v/>
      </c>
      <c r="E1281" s="240">
        <f>$E$3</f>
        <v/>
      </c>
      <c r="F1281" s="241" t="n">
        <v>27.61</v>
      </c>
      <c r="G1281" s="242" t="n">
        <v>16347091</v>
      </c>
      <c r="H1281" s="241" t="n">
        <v>-1.57</v>
      </c>
      <c r="I1281" s="241" t="n">
        <v>-18.58</v>
      </c>
      <c r="J1281" s="241" t="n">
        <v>-20.89</v>
      </c>
      <c r="K1281" s="241" t="n">
        <v>22.02</v>
      </c>
      <c r="L1281" s="242" t="n">
        <v>3463300</v>
      </c>
      <c r="M1281" s="241" t="n">
        <v>-1.51</v>
      </c>
      <c r="N1281" s="241" t="n">
        <v>-15.65</v>
      </c>
      <c r="O1281" s="241" t="n">
        <v>-32.08</v>
      </c>
      <c r="P1281" s="241" t="n">
        <v>1.25</v>
      </c>
    </row>
    <row r="1282">
      <c r="A1282" s="282" t="inlineStr">
        <is>
          <t>2011-04-13</t>
        </is>
      </c>
      <c r="B1282" s="240">
        <f>IFERROR(1/P1282-1,B1281)</f>
        <v/>
      </c>
      <c r="C1282" s="240">
        <f>$C$3</f>
        <v/>
      </c>
      <c r="D1282" s="240">
        <f>$D$3</f>
        <v/>
      </c>
      <c r="E1282" s="240">
        <f>$E$3</f>
        <v/>
      </c>
      <c r="F1282" s="241" t="n">
        <v>28.06</v>
      </c>
      <c r="G1282" s="242" t="n">
        <v>14674129</v>
      </c>
      <c r="H1282" s="241" t="n">
        <v>1.63</v>
      </c>
      <c r="I1282" s="241" t="n">
        <v>-17.25</v>
      </c>
      <c r="J1282" s="241" t="n">
        <v>-19.6</v>
      </c>
      <c r="K1282" s="241" t="n">
        <v>22.53</v>
      </c>
      <c r="L1282" s="242" t="n">
        <v>3459000</v>
      </c>
      <c r="M1282" s="241" t="n">
        <v>2.49</v>
      </c>
      <c r="N1282" s="241" t="n">
        <v>-13.55</v>
      </c>
      <c r="O1282" s="241" t="n">
        <v>-30.39</v>
      </c>
      <c r="P1282" s="241" t="n">
        <v>1.25</v>
      </c>
    </row>
    <row r="1283">
      <c r="A1283" s="282" t="inlineStr">
        <is>
          <t>2011-04-14</t>
        </is>
      </c>
      <c r="B1283" s="240">
        <f>IFERROR(1/P1283-1,B1282)</f>
        <v/>
      </c>
      <c r="C1283" s="240">
        <f>$C$3</f>
        <v/>
      </c>
      <c r="D1283" s="240">
        <f>$D$3</f>
        <v/>
      </c>
      <c r="E1283" s="240">
        <f>$E$3</f>
        <v/>
      </c>
      <c r="F1283" s="241" t="n">
        <v>27.89</v>
      </c>
      <c r="G1283" s="242" t="n">
        <v>12126716</v>
      </c>
      <c r="H1283" s="241" t="n">
        <v>-0.61</v>
      </c>
      <c r="I1283" s="241" t="n">
        <v>-17.75</v>
      </c>
      <c r="J1283" s="241" t="n">
        <v>-20.09</v>
      </c>
      <c r="K1283" s="241" t="n">
        <v>22.14</v>
      </c>
      <c r="L1283" s="242" t="n">
        <v>3197654</v>
      </c>
      <c r="M1283" s="241" t="n">
        <v>-1.11</v>
      </c>
      <c r="N1283" s="241" t="n">
        <v>-14.5</v>
      </c>
      <c r="O1283" s="241" t="n">
        <v>-31.16</v>
      </c>
      <c r="P1283" s="241" t="n">
        <v>1.26</v>
      </c>
    </row>
    <row r="1284">
      <c r="A1284" s="282" t="inlineStr">
        <is>
          <t>2011-04-15</t>
        </is>
      </c>
      <c r="B1284" s="240">
        <f>IFERROR(1/P1284-1,B1283)</f>
        <v/>
      </c>
      <c r="C1284" s="240">
        <f>$C$3</f>
        <v/>
      </c>
      <c r="D1284" s="240">
        <f>$D$3</f>
        <v/>
      </c>
      <c r="E1284" s="240">
        <f>$E$3</f>
        <v/>
      </c>
      <c r="F1284" s="241" t="n">
        <v>28.14</v>
      </c>
      <c r="G1284" s="242" t="n">
        <v>12841062</v>
      </c>
      <c r="H1284" s="241" t="n">
        <v>0.9</v>
      </c>
      <c r="I1284" s="241" t="n">
        <v>-11.7</v>
      </c>
      <c r="J1284" s="241" t="n">
        <v>-19.37</v>
      </c>
      <c r="K1284" s="241" t="n">
        <v>22.38</v>
      </c>
      <c r="L1284" s="242" t="n">
        <v>2430600</v>
      </c>
      <c r="M1284" s="241" t="n">
        <v>1.14</v>
      </c>
      <c r="N1284" s="241" t="n">
        <v>-4.1</v>
      </c>
      <c r="O1284" s="241" t="n">
        <v>-30.38</v>
      </c>
      <c r="P1284" s="241" t="n">
        <v>1.26</v>
      </c>
    </row>
    <row r="1285">
      <c r="A1285" s="282" t="inlineStr">
        <is>
          <t>2011-04-18</t>
        </is>
      </c>
      <c r="B1285" s="240">
        <f>IFERROR(1/P1285-1,B1284)</f>
        <v/>
      </c>
      <c r="C1285" s="240">
        <f>$C$3</f>
        <v/>
      </c>
      <c r="D1285" s="240">
        <f>$D$3</f>
        <v/>
      </c>
      <c r="E1285" s="240">
        <f>$E$3</f>
        <v/>
      </c>
      <c r="F1285" s="241" t="n">
        <v>27.67</v>
      </c>
      <c r="G1285" s="242" t="n">
        <v>13751758</v>
      </c>
      <c r="H1285" s="241" t="n">
        <v>-1.67</v>
      </c>
      <c r="I1285" s="241" t="n">
        <v>-2.67</v>
      </c>
      <c r="J1285" s="241" t="n">
        <v>-20.72</v>
      </c>
      <c r="K1285" s="241" t="n">
        <v>22.43</v>
      </c>
      <c r="L1285" s="242" t="n">
        <v>2145900</v>
      </c>
      <c r="M1285" s="241" t="n">
        <v>0.19</v>
      </c>
      <c r="N1285" s="241" t="n">
        <v>6.36</v>
      </c>
      <c r="O1285" s="241" t="n">
        <v>-30.24</v>
      </c>
      <c r="P1285" s="241" t="n">
        <v>1.23</v>
      </c>
    </row>
    <row r="1286">
      <c r="A1286" s="282" t="inlineStr">
        <is>
          <t>2011-04-19</t>
        </is>
      </c>
      <c r="B1286" s="240">
        <f>IFERROR(1/P1286-1,B1285)</f>
        <v/>
      </c>
      <c r="C1286" s="240">
        <f>$C$3</f>
        <v/>
      </c>
      <c r="D1286" s="240">
        <f>$D$3</f>
        <v/>
      </c>
      <c r="E1286" s="240">
        <f>$E$3</f>
        <v/>
      </c>
      <c r="F1286" s="241" t="n">
        <v>27.04</v>
      </c>
      <c r="G1286" s="242" t="n">
        <v>19804133</v>
      </c>
      <c r="H1286" s="241" t="n">
        <v>-2.28</v>
      </c>
      <c r="I1286" s="241" t="n">
        <v>-6.37</v>
      </c>
      <c r="J1286" s="241" t="n">
        <v>-22.52</v>
      </c>
      <c r="K1286" s="241" t="n">
        <v>21.92</v>
      </c>
      <c r="L1286" s="242" t="n">
        <v>1913732</v>
      </c>
      <c r="M1286" s="241" t="n">
        <v>-2.25</v>
      </c>
      <c r="N1286" s="241" t="n">
        <v>4.18</v>
      </c>
      <c r="O1286" s="241" t="n">
        <v>-31.81</v>
      </c>
      <c r="P1286" s="241" t="n">
        <v>1.23</v>
      </c>
    </row>
    <row r="1287">
      <c r="A1287" s="282" t="inlineStr">
        <is>
          <t>2011-04-20</t>
        </is>
      </c>
      <c r="B1287" s="240">
        <f>IFERROR(1/P1287-1,B1286)</f>
        <v/>
      </c>
      <c r="C1287" s="240">
        <f>$C$3</f>
        <v/>
      </c>
      <c r="D1287" s="240">
        <f>$D$3</f>
        <v/>
      </c>
      <c r="E1287" s="240">
        <f>$E$3</f>
        <v/>
      </c>
      <c r="F1287" s="241" t="n">
        <v>27.2</v>
      </c>
      <c r="G1287" s="242" t="n">
        <v>10874002</v>
      </c>
      <c r="H1287" s="241" t="n">
        <v>0.59</v>
      </c>
      <c r="I1287" s="241" t="n">
        <v>-5.82</v>
      </c>
      <c r="J1287" s="241" t="n">
        <v>-22.06</v>
      </c>
      <c r="K1287" s="241" t="n">
        <v>22.08</v>
      </c>
      <c r="L1287" s="242" t="n">
        <v>1058534</v>
      </c>
      <c r="M1287" s="241" t="n">
        <v>0.77</v>
      </c>
      <c r="N1287" s="241" t="n">
        <v>4.97</v>
      </c>
      <c r="O1287" s="241" t="n">
        <v>-31.29</v>
      </c>
      <c r="P1287" s="241" t="n">
        <v>1.23</v>
      </c>
    </row>
    <row r="1288">
      <c r="A1288" s="282" t="inlineStr">
        <is>
          <t>2011-04-21</t>
        </is>
      </c>
      <c r="B1288" s="240">
        <f>IFERROR(1/P1288-1,B1287)</f>
        <v/>
      </c>
      <c r="C1288" s="240">
        <f>$C$3</f>
        <v/>
      </c>
      <c r="D1288" s="240">
        <f>$D$3</f>
        <v/>
      </c>
      <c r="E1288" s="240">
        <f>$E$3</f>
        <v/>
      </c>
      <c r="F1288" s="241" t="n">
        <v>27.29</v>
      </c>
      <c r="G1288" s="242" t="n">
        <v>12179526</v>
      </c>
      <c r="H1288" s="241" t="n">
        <v>0.33</v>
      </c>
      <c r="I1288" s="241" t="n">
        <v>-5.51</v>
      </c>
      <c r="J1288" s="241" t="n">
        <v>-21.81</v>
      </c>
      <c r="K1288" s="241" t="n">
        <v>22.12</v>
      </c>
      <c r="L1288" s="242" t="n">
        <v>1290600</v>
      </c>
      <c r="M1288" s="241" t="n">
        <v>0.19</v>
      </c>
      <c r="N1288" s="241" t="n">
        <v>5.17</v>
      </c>
      <c r="O1288" s="241" t="n">
        <v>-31.16</v>
      </c>
      <c r="P1288" s="241" t="n">
        <v>1.23</v>
      </c>
    </row>
    <row r="1289">
      <c r="A1289" s="282" t="inlineStr">
        <is>
          <t>2011-04-22</t>
        </is>
      </c>
      <c r="B1289" s="240">
        <f>IFERROR(1/P1289-1,B1288)</f>
        <v/>
      </c>
      <c r="C1289" s="240">
        <f>$C$3</f>
        <v/>
      </c>
      <c r="D1289" s="240">
        <f>$D$3</f>
        <v/>
      </c>
      <c r="E1289" s="240">
        <f>$E$3</f>
        <v/>
      </c>
      <c r="F1289" s="241" t="n">
        <v>27.14</v>
      </c>
      <c r="G1289" s="242" t="n">
        <v>12181218</v>
      </c>
      <c r="H1289" s="241" t="n">
        <v>-0.55</v>
      </c>
      <c r="I1289" s="241" t="n">
        <v>-7.15</v>
      </c>
      <c r="J1289" s="241" t="n">
        <v>-22.23</v>
      </c>
      <c r="K1289" s="239" t="inlineStr">
        <is>
          <t>--</t>
        </is>
      </c>
      <c r="L1289" s="239" t="inlineStr">
        <is>
          <t>--</t>
        </is>
      </c>
      <c r="M1289" s="239" t="inlineStr">
        <is>
          <t>--</t>
        </is>
      </c>
      <c r="N1289" s="239" t="inlineStr">
        <is>
          <t>--</t>
        </is>
      </c>
      <c r="O1289" s="239" t="inlineStr">
        <is>
          <t>--</t>
        </is>
      </c>
      <c r="P1289" s="239" t="inlineStr">
        <is>
          <t>--</t>
        </is>
      </c>
    </row>
    <row r="1290">
      <c r="A1290" s="282" t="inlineStr">
        <is>
          <t>2011-04-25</t>
        </is>
      </c>
      <c r="B1290" s="240">
        <f>IFERROR(1/P1290-1,B1289)</f>
        <v/>
      </c>
      <c r="C1290" s="240">
        <f>$C$3</f>
        <v/>
      </c>
      <c r="D1290" s="240">
        <f>$D$3</f>
        <v/>
      </c>
      <c r="E1290" s="240">
        <f>$E$3</f>
        <v/>
      </c>
      <c r="F1290" s="241" t="n">
        <v>26.37</v>
      </c>
      <c r="G1290" s="242" t="n">
        <v>18029795</v>
      </c>
      <c r="H1290" s="241" t="n">
        <v>-2.84</v>
      </c>
      <c r="I1290" s="241" t="n">
        <v>-7.02</v>
      </c>
      <c r="J1290" s="241" t="n">
        <v>-24.44</v>
      </c>
      <c r="K1290" s="239" t="inlineStr">
        <is>
          <t>--</t>
        </is>
      </c>
      <c r="L1290" s="239" t="inlineStr">
        <is>
          <t>--</t>
        </is>
      </c>
      <c r="M1290" s="239" t="inlineStr">
        <is>
          <t>--</t>
        </is>
      </c>
      <c r="N1290" s="239" t="inlineStr">
        <is>
          <t>--</t>
        </is>
      </c>
      <c r="O1290" s="239" t="inlineStr">
        <is>
          <t>--</t>
        </is>
      </c>
      <c r="P1290" s="239" t="inlineStr">
        <is>
          <t>--</t>
        </is>
      </c>
    </row>
    <row r="1291">
      <c r="A1291" s="282" t="inlineStr">
        <is>
          <t>2011-04-26</t>
        </is>
      </c>
      <c r="B1291" s="240">
        <f>IFERROR(1/P1291-1,B1290)</f>
        <v/>
      </c>
      <c r="C1291" s="240">
        <f>$C$3</f>
        <v/>
      </c>
      <c r="D1291" s="240">
        <f>$D$3</f>
        <v/>
      </c>
      <c r="E1291" s="240">
        <f>$E$3</f>
        <v/>
      </c>
      <c r="F1291" s="241" t="n">
        <v>25.87</v>
      </c>
      <c r="G1291" s="242" t="n">
        <v>13765059</v>
      </c>
      <c r="H1291" s="241" t="n">
        <v>-1.9</v>
      </c>
      <c r="I1291" s="241" t="n">
        <v>-9.42</v>
      </c>
      <c r="J1291" s="241" t="n">
        <v>-25.87</v>
      </c>
      <c r="K1291" s="241" t="n">
        <v>21.89</v>
      </c>
      <c r="L1291" s="242" t="n">
        <v>6405000</v>
      </c>
      <c r="M1291" s="241" t="n">
        <v>-0.95</v>
      </c>
      <c r="N1291" s="241" t="n">
        <v>-1.68</v>
      </c>
      <c r="O1291" s="241" t="n">
        <v>-31.81</v>
      </c>
      <c r="P1291" s="241" t="n">
        <v>1.18</v>
      </c>
    </row>
    <row r="1292">
      <c r="A1292" s="282" t="inlineStr">
        <is>
          <t>2011-04-27</t>
        </is>
      </c>
      <c r="B1292" s="240">
        <f>IFERROR(1/P1292-1,B1291)</f>
        <v/>
      </c>
      <c r="C1292" s="240">
        <f>$C$3</f>
        <v/>
      </c>
      <c r="D1292" s="240">
        <f>$D$3</f>
        <v/>
      </c>
      <c r="E1292" s="240">
        <f>$E$3</f>
        <v/>
      </c>
      <c r="F1292" s="241" t="n">
        <v>25.92</v>
      </c>
      <c r="G1292" s="242" t="n">
        <v>10941860</v>
      </c>
      <c r="H1292" s="241" t="n">
        <v>0.19</v>
      </c>
      <c r="I1292" s="241" t="n">
        <v>-9.24</v>
      </c>
      <c r="J1292" s="241" t="n">
        <v>-25.73</v>
      </c>
      <c r="K1292" s="241" t="n">
        <v>22.07</v>
      </c>
      <c r="L1292" s="242" t="n">
        <v>2052537</v>
      </c>
      <c r="M1292" s="241" t="n">
        <v>0.96</v>
      </c>
      <c r="N1292" s="241" t="n">
        <v>-0.74</v>
      </c>
      <c r="O1292" s="241" t="n">
        <v>-31.16</v>
      </c>
      <c r="P1292" s="241" t="n">
        <v>1.17</v>
      </c>
    </row>
    <row r="1293">
      <c r="A1293" s="282" t="inlineStr">
        <is>
          <t>2011-04-28</t>
        </is>
      </c>
      <c r="B1293" s="240">
        <f>IFERROR(1/P1293-1,B1292)</f>
        <v/>
      </c>
      <c r="C1293" s="240">
        <f>$C$3</f>
        <v/>
      </c>
      <c r="D1293" s="240">
        <f>$D$3</f>
        <v/>
      </c>
      <c r="E1293" s="240">
        <f>$E$3</f>
        <v/>
      </c>
      <c r="F1293" s="241" t="n">
        <v>25.05</v>
      </c>
      <c r="G1293" s="242" t="n">
        <v>12262173</v>
      </c>
      <c r="H1293" s="241" t="n">
        <v>-3.36</v>
      </c>
      <c r="I1293" s="241" t="n">
        <v>-12.29</v>
      </c>
      <c r="J1293" s="241" t="n">
        <v>-28.22</v>
      </c>
      <c r="K1293" s="241" t="n">
        <v>21.81</v>
      </c>
      <c r="L1293" s="242" t="n">
        <v>2081345</v>
      </c>
      <c r="M1293" s="241" t="n">
        <v>-1.14</v>
      </c>
      <c r="N1293" s="241" t="n">
        <v>-1.87</v>
      </c>
      <c r="O1293" s="241" t="n">
        <v>-31.94</v>
      </c>
      <c r="P1293" s="241" t="n">
        <v>1.15</v>
      </c>
    </row>
    <row r="1294">
      <c r="A1294" s="282" t="inlineStr">
        <is>
          <t>2011-04-29</t>
        </is>
      </c>
      <c r="B1294" s="240">
        <f>IFERROR(1/P1294-1,B1293)</f>
        <v/>
      </c>
      <c r="C1294" s="240">
        <f>$C$3</f>
        <v/>
      </c>
      <c r="D1294" s="240">
        <f>$D$3</f>
        <v/>
      </c>
      <c r="E1294" s="240">
        <f>$E$3</f>
        <v/>
      </c>
      <c r="F1294" s="241" t="n">
        <v>26.25</v>
      </c>
      <c r="G1294" s="242" t="n">
        <v>13519778</v>
      </c>
      <c r="H1294" s="241" t="n">
        <v>4.79</v>
      </c>
      <c r="I1294" s="241" t="n">
        <v>-6.45</v>
      </c>
      <c r="J1294" s="241" t="n">
        <v>-24.79</v>
      </c>
      <c r="K1294" s="241" t="n">
        <v>21.37</v>
      </c>
      <c r="L1294" s="242" t="n">
        <v>2935600</v>
      </c>
      <c r="M1294" s="241" t="n">
        <v>-1.92</v>
      </c>
      <c r="N1294" s="241" t="n">
        <v>0.19</v>
      </c>
      <c r="O1294" s="241" t="n">
        <v>-33.25</v>
      </c>
      <c r="P1294" s="241" t="n">
        <v>1.23</v>
      </c>
    </row>
    <row r="1295">
      <c r="A1295" s="282" t="inlineStr">
        <is>
          <t>2011-05-03</t>
        </is>
      </c>
      <c r="B1295" s="240">
        <f>IFERROR(1/P1295-1,B1294)</f>
        <v/>
      </c>
      <c r="C1295" s="240">
        <f>$C$3</f>
        <v/>
      </c>
      <c r="D1295" s="240">
        <f>$D$3</f>
        <v/>
      </c>
      <c r="E1295" s="240">
        <f>$E$3</f>
        <v/>
      </c>
      <c r="F1295" s="241" t="n">
        <v>27.61</v>
      </c>
      <c r="G1295" s="242" t="n">
        <v>28781025</v>
      </c>
      <c r="H1295" s="241" t="n">
        <v>5.18</v>
      </c>
      <c r="I1295" s="241" t="n">
        <v>-0.75</v>
      </c>
      <c r="J1295" s="241" t="n">
        <v>-20.89</v>
      </c>
      <c r="K1295" s="241" t="n">
        <v>22.26</v>
      </c>
      <c r="L1295" s="242" t="n">
        <v>4441454</v>
      </c>
      <c r="M1295" s="241" t="n">
        <v>4.11</v>
      </c>
      <c r="N1295" s="241" t="n">
        <v>0.21</v>
      </c>
      <c r="O1295" s="241" t="n">
        <v>-30.51</v>
      </c>
      <c r="P1295" s="241" t="n">
        <v>1.24</v>
      </c>
    </row>
    <row r="1296">
      <c r="A1296" s="282" t="inlineStr">
        <is>
          <t>2011-05-04</t>
        </is>
      </c>
      <c r="B1296" s="240">
        <f>IFERROR(1/P1296-1,B1295)</f>
        <v/>
      </c>
      <c r="C1296" s="240">
        <f>$C$3</f>
        <v/>
      </c>
      <c r="D1296" s="240">
        <f>$D$3</f>
        <v/>
      </c>
      <c r="E1296" s="240">
        <f>$E$3</f>
        <v/>
      </c>
      <c r="F1296" s="241" t="n">
        <v>27.38</v>
      </c>
      <c r="G1296" s="242" t="n">
        <v>27669237</v>
      </c>
      <c r="H1296" s="241" t="n">
        <v>-0.83</v>
      </c>
      <c r="I1296" s="241" t="n">
        <v>-1.58</v>
      </c>
      <c r="J1296" s="241" t="n">
        <v>-21.55</v>
      </c>
      <c r="K1296" s="241" t="n">
        <v>23.69</v>
      </c>
      <c r="L1296" s="242" t="n">
        <v>13424912</v>
      </c>
      <c r="M1296" s="241" t="n">
        <v>6.39</v>
      </c>
      <c r="N1296" s="241" t="n">
        <v>6.61</v>
      </c>
      <c r="O1296" s="241" t="n">
        <v>-26.06</v>
      </c>
      <c r="P1296" s="241" t="n">
        <v>1.16</v>
      </c>
    </row>
    <row r="1297">
      <c r="A1297" s="282" t="inlineStr">
        <is>
          <t>2011-05-05</t>
        </is>
      </c>
      <c r="B1297" s="240">
        <f>IFERROR(1/P1297-1,B1296)</f>
        <v/>
      </c>
      <c r="C1297" s="240">
        <f>$C$3</f>
        <v/>
      </c>
      <c r="D1297" s="240">
        <f>$D$3</f>
        <v/>
      </c>
      <c r="E1297" s="240">
        <f>$E$3</f>
        <v/>
      </c>
      <c r="F1297" s="241" t="n">
        <v>27.18</v>
      </c>
      <c r="G1297" s="242" t="n">
        <v>13358489</v>
      </c>
      <c r="H1297" s="241" t="n">
        <v>-0.73</v>
      </c>
      <c r="I1297" s="241" t="n">
        <v>-2.3</v>
      </c>
      <c r="J1297" s="241" t="n">
        <v>-22.12</v>
      </c>
      <c r="K1297" s="241" t="n">
        <v>24.43</v>
      </c>
      <c r="L1297" s="242" t="n">
        <v>8975012</v>
      </c>
      <c r="M1297" s="241" t="n">
        <v>3.18</v>
      </c>
      <c r="N1297" s="241" t="n">
        <v>8.98</v>
      </c>
      <c r="O1297" s="241" t="n">
        <v>-23.71</v>
      </c>
      <c r="P1297" s="241" t="n">
        <v>1.11</v>
      </c>
    </row>
    <row r="1298">
      <c r="A1298" s="282" t="inlineStr">
        <is>
          <t>2011-05-06</t>
        </is>
      </c>
      <c r="B1298" s="240">
        <f>IFERROR(1/P1298-1,B1297)</f>
        <v/>
      </c>
      <c r="C1298" s="240">
        <f>$C$3</f>
        <v/>
      </c>
      <c r="D1298" s="240">
        <f>$D$3</f>
        <v/>
      </c>
      <c r="E1298" s="240">
        <f>$E$3</f>
        <v/>
      </c>
      <c r="F1298" s="241" t="n">
        <v>27.57</v>
      </c>
      <c r="G1298" s="242" t="n">
        <v>16912525</v>
      </c>
      <c r="H1298" s="241" t="n">
        <v>1.43</v>
      </c>
      <c r="I1298" s="241" t="n">
        <v>-0.9</v>
      </c>
      <c r="J1298" s="241" t="n">
        <v>-21</v>
      </c>
      <c r="K1298" s="241" t="n">
        <v>25.01</v>
      </c>
      <c r="L1298" s="242" t="n">
        <v>7961400</v>
      </c>
      <c r="M1298" s="241" t="n">
        <v>2.4</v>
      </c>
      <c r="N1298" s="241" t="n">
        <v>11.59</v>
      </c>
      <c r="O1298" s="241" t="n">
        <v>-21.88</v>
      </c>
      <c r="P1298" s="241" t="n">
        <v>1.1</v>
      </c>
    </row>
    <row r="1299">
      <c r="A1299" s="282" t="inlineStr">
        <is>
          <t>2011-05-09</t>
        </is>
      </c>
      <c r="B1299" s="240">
        <f>IFERROR(1/P1299-1,B1298)</f>
        <v/>
      </c>
      <c r="C1299" s="240">
        <f>$C$3</f>
        <v/>
      </c>
      <c r="D1299" s="240">
        <f>$D$3</f>
        <v/>
      </c>
      <c r="E1299" s="240">
        <f>$E$3</f>
        <v/>
      </c>
      <c r="F1299" s="241" t="n">
        <v>28.39</v>
      </c>
      <c r="G1299" s="242" t="n">
        <v>31196666</v>
      </c>
      <c r="H1299" s="241" t="n">
        <v>2.97</v>
      </c>
      <c r="I1299" s="241" t="n">
        <v>0.85</v>
      </c>
      <c r="J1299" s="241" t="n">
        <v>-18.65</v>
      </c>
      <c r="K1299" s="241" t="n">
        <v>25.63</v>
      </c>
      <c r="L1299" s="242" t="n">
        <v>7369500</v>
      </c>
      <c r="M1299" s="241" t="n">
        <v>2.51</v>
      </c>
      <c r="N1299" s="241" t="n">
        <v>18.8</v>
      </c>
      <c r="O1299" s="241" t="n">
        <v>-19.93</v>
      </c>
      <c r="P1299" s="241" t="n">
        <v>1.11</v>
      </c>
    </row>
    <row r="1300">
      <c r="A1300" s="282" t="inlineStr">
        <is>
          <t>2011-05-10</t>
        </is>
      </c>
      <c r="B1300" s="240">
        <f>IFERROR(1/P1300-1,B1299)</f>
        <v/>
      </c>
      <c r="C1300" s="240">
        <f>$C$3</f>
        <v/>
      </c>
      <c r="D1300" s="240">
        <f>$D$3</f>
        <v/>
      </c>
      <c r="E1300" s="240">
        <f>$E$3</f>
        <v/>
      </c>
      <c r="F1300" s="241" t="n">
        <v>28.43</v>
      </c>
      <c r="G1300" s="242" t="n">
        <v>16352428</v>
      </c>
      <c r="H1300" s="241" t="n">
        <v>0.14</v>
      </c>
      <c r="I1300" s="241" t="n">
        <v>0.99</v>
      </c>
      <c r="J1300" s="241" t="n">
        <v>-18.54</v>
      </c>
      <c r="K1300" s="239" t="inlineStr">
        <is>
          <t>--</t>
        </is>
      </c>
      <c r="L1300" s="239" t="inlineStr">
        <is>
          <t>--</t>
        </is>
      </c>
      <c r="M1300" s="239" t="inlineStr">
        <is>
          <t>--</t>
        </is>
      </c>
      <c r="N1300" s="239" t="inlineStr">
        <is>
          <t>--</t>
        </is>
      </c>
      <c r="O1300" s="239" t="inlineStr">
        <is>
          <t>--</t>
        </is>
      </c>
      <c r="P1300" s="239" t="inlineStr">
        <is>
          <t>--</t>
        </is>
      </c>
    </row>
    <row r="1301">
      <c r="A1301" s="282" t="inlineStr">
        <is>
          <t>2011-05-11</t>
        </is>
      </c>
      <c r="B1301" s="240">
        <f>IFERROR(1/P1301-1,B1300)</f>
        <v/>
      </c>
      <c r="C1301" s="240">
        <f>$C$3</f>
        <v/>
      </c>
      <c r="D1301" s="240">
        <f>$D$3</f>
        <v/>
      </c>
      <c r="E1301" s="240">
        <f>$E$3</f>
        <v/>
      </c>
      <c r="F1301" s="241" t="n">
        <v>27.97</v>
      </c>
      <c r="G1301" s="242" t="n">
        <v>14297991</v>
      </c>
      <c r="H1301" s="241" t="n">
        <v>-1.62</v>
      </c>
      <c r="I1301" s="241" t="n">
        <v>-0.64</v>
      </c>
      <c r="J1301" s="241" t="n">
        <v>-19.86</v>
      </c>
      <c r="K1301" s="241" t="n">
        <v>24.9</v>
      </c>
      <c r="L1301" s="242" t="n">
        <v>6229991</v>
      </c>
      <c r="M1301" s="241" t="n">
        <v>-2.77</v>
      </c>
      <c r="N1301" s="241" t="n">
        <v>15.51</v>
      </c>
      <c r="O1301" s="241" t="n">
        <v>-22.15</v>
      </c>
      <c r="P1301" s="241" t="n">
        <v>1.12</v>
      </c>
    </row>
    <row r="1302">
      <c r="A1302" s="282" t="inlineStr">
        <is>
          <t>2011-05-12</t>
        </is>
      </c>
      <c r="B1302" s="240">
        <f>IFERROR(1/P1302-1,B1301)</f>
        <v/>
      </c>
      <c r="C1302" s="240">
        <f>$C$3</f>
        <v/>
      </c>
      <c r="D1302" s="240">
        <f>$D$3</f>
        <v/>
      </c>
      <c r="E1302" s="240">
        <f>$E$3</f>
        <v/>
      </c>
      <c r="F1302" s="241" t="n">
        <v>26.98</v>
      </c>
      <c r="G1302" s="242" t="n">
        <v>13498143</v>
      </c>
      <c r="H1302" s="241" t="n">
        <v>-3.54</v>
      </c>
      <c r="I1302" s="241" t="n">
        <v>-3.81</v>
      </c>
      <c r="J1302" s="241" t="n">
        <v>-22.69</v>
      </c>
      <c r="K1302" s="241" t="n">
        <v>23.71</v>
      </c>
      <c r="L1302" s="242" t="n">
        <v>6218308</v>
      </c>
      <c r="M1302" s="241" t="n">
        <v>-4.87</v>
      </c>
      <c r="N1302" s="241" t="n">
        <v>7.4</v>
      </c>
      <c r="O1302" s="241" t="n">
        <v>-25.93</v>
      </c>
      <c r="P1302" s="241" t="n">
        <v>1.14</v>
      </c>
    </row>
    <row r="1303">
      <c r="A1303" s="282" t="inlineStr">
        <is>
          <t>2011-05-13</t>
        </is>
      </c>
      <c r="B1303" s="240">
        <f>IFERROR(1/P1303-1,B1302)</f>
        <v/>
      </c>
      <c r="C1303" s="240">
        <f>$C$3</f>
        <v/>
      </c>
      <c r="D1303" s="240">
        <f>$D$3</f>
        <v/>
      </c>
      <c r="E1303" s="240">
        <f>$E$3</f>
        <v/>
      </c>
      <c r="F1303" s="241" t="n">
        <v>27.49</v>
      </c>
      <c r="G1303" s="242" t="n">
        <v>9914388</v>
      </c>
      <c r="H1303" s="241" t="n">
        <v>1.89</v>
      </c>
      <c r="I1303" s="241" t="n">
        <v>-0.43</v>
      </c>
      <c r="J1303" s="241" t="n">
        <v>-21.23</v>
      </c>
      <c r="K1303" s="241" t="n">
        <v>23.84</v>
      </c>
      <c r="L1303" s="242" t="n">
        <v>4599819</v>
      </c>
      <c r="M1303" s="241" t="n">
        <v>0.53</v>
      </c>
      <c r="N1303" s="241" t="n">
        <v>9.619999999999999</v>
      </c>
      <c r="O1303" s="241" t="n">
        <v>-25.54</v>
      </c>
      <c r="P1303" s="241" t="n">
        <v>1.15</v>
      </c>
    </row>
    <row r="1304">
      <c r="A1304" s="282" t="inlineStr">
        <is>
          <t>2011-05-16</t>
        </is>
      </c>
      <c r="B1304" s="240">
        <f>IFERROR(1/P1304-1,B1303)</f>
        <v/>
      </c>
      <c r="C1304" s="240">
        <f>$C$3</f>
        <v/>
      </c>
      <c r="D1304" s="240">
        <f>$D$3</f>
        <v/>
      </c>
      <c r="E1304" s="240">
        <f>$E$3</f>
        <v/>
      </c>
      <c r="F1304" s="241" t="n">
        <v>27.56</v>
      </c>
      <c r="G1304" s="242" t="n">
        <v>9841299</v>
      </c>
      <c r="H1304" s="241" t="n">
        <v>0.25</v>
      </c>
      <c r="I1304" s="241" t="n">
        <v>-2.06</v>
      </c>
      <c r="J1304" s="241" t="n">
        <v>-21.03</v>
      </c>
      <c r="K1304" s="241" t="n">
        <v>24.28</v>
      </c>
      <c r="L1304" s="242" t="n">
        <v>4573093</v>
      </c>
      <c r="M1304" s="241" t="n">
        <v>1.75</v>
      </c>
      <c r="N1304" s="241" t="n">
        <v>8.82</v>
      </c>
      <c r="O1304" s="241" t="n">
        <v>-24.24</v>
      </c>
      <c r="P1304" s="241" t="n">
        <v>1.13</v>
      </c>
    </row>
    <row r="1305">
      <c r="A1305" s="282" t="inlineStr">
        <is>
          <t>2011-05-17</t>
        </is>
      </c>
      <c r="B1305" s="240">
        <f>IFERROR(1/P1305-1,B1304)</f>
        <v/>
      </c>
      <c r="C1305" s="240">
        <f>$C$3</f>
        <v/>
      </c>
      <c r="D1305" s="240">
        <f>$D$3</f>
        <v/>
      </c>
      <c r="E1305" s="240">
        <f>$E$3</f>
        <v/>
      </c>
      <c r="F1305" s="241" t="n">
        <v>27.56</v>
      </c>
      <c r="G1305" s="242" t="n">
        <v>0</v>
      </c>
      <c r="H1305" s="241" t="n">
        <v>0</v>
      </c>
      <c r="I1305" s="241" t="n">
        <v>-2.06</v>
      </c>
      <c r="J1305" s="241" t="n">
        <v>-21.03</v>
      </c>
      <c r="K1305" s="241" t="n">
        <v>25.66</v>
      </c>
      <c r="L1305" s="242" t="n">
        <v>7603200</v>
      </c>
      <c r="M1305" s="241" t="n">
        <v>5.69</v>
      </c>
      <c r="N1305" s="241" t="n">
        <v>15.01</v>
      </c>
      <c r="O1305" s="241" t="n">
        <v>-19.93</v>
      </c>
      <c r="P1305" s="241" t="n">
        <v>1.07</v>
      </c>
    </row>
    <row r="1306">
      <c r="A1306" s="282" t="inlineStr">
        <is>
          <t>2011-05-18</t>
        </is>
      </c>
      <c r="B1306" s="240">
        <f>IFERROR(1/P1306-1,B1305)</f>
        <v/>
      </c>
      <c r="C1306" s="240">
        <f>$C$3</f>
        <v/>
      </c>
      <c r="D1306" s="240">
        <f>$D$3</f>
        <v/>
      </c>
      <c r="E1306" s="240">
        <f>$E$3</f>
        <v/>
      </c>
      <c r="F1306" s="241" t="n">
        <v>28.09</v>
      </c>
      <c r="G1306" s="242" t="n">
        <v>11847476</v>
      </c>
      <c r="H1306" s="241" t="n">
        <v>1.92</v>
      </c>
      <c r="I1306" s="241" t="n">
        <v>-0.18</v>
      </c>
      <c r="J1306" s="241" t="n">
        <v>-19.51</v>
      </c>
      <c r="K1306" s="241" t="n">
        <v>26.11</v>
      </c>
      <c r="L1306" s="242" t="n">
        <v>7123400</v>
      </c>
      <c r="M1306" s="241" t="n">
        <v>1.79</v>
      </c>
      <c r="N1306" s="241" t="n">
        <v>17.07</v>
      </c>
      <c r="O1306" s="241" t="n">
        <v>-18.49</v>
      </c>
      <c r="P1306" s="241" t="n">
        <v>1.08</v>
      </c>
    </row>
    <row r="1307">
      <c r="A1307" s="282" t="inlineStr">
        <is>
          <t>2011-05-19</t>
        </is>
      </c>
      <c r="B1307" s="240">
        <f>IFERROR(1/P1307-1,B1306)</f>
        <v/>
      </c>
      <c r="C1307" s="240">
        <f>$C$3</f>
        <v/>
      </c>
      <c r="D1307" s="240">
        <f>$D$3</f>
        <v/>
      </c>
      <c r="E1307" s="240">
        <f>$E$3</f>
        <v/>
      </c>
      <c r="F1307" s="241" t="n">
        <v>27.57</v>
      </c>
      <c r="G1307" s="242" t="n">
        <v>9019548</v>
      </c>
      <c r="H1307" s="241" t="n">
        <v>-1.85</v>
      </c>
      <c r="I1307" s="241" t="n">
        <v>-0.36</v>
      </c>
      <c r="J1307" s="241" t="n">
        <v>-21</v>
      </c>
      <c r="K1307" s="241" t="n">
        <v>25.81</v>
      </c>
      <c r="L1307" s="242" t="n">
        <v>3287500</v>
      </c>
      <c r="M1307" s="241" t="n">
        <v>-1.12</v>
      </c>
      <c r="N1307" s="241" t="n">
        <v>15.54</v>
      </c>
      <c r="O1307" s="241" t="n">
        <v>-19.4</v>
      </c>
      <c r="P1307" s="241" t="n">
        <v>1.07</v>
      </c>
    </row>
    <row r="1308">
      <c r="A1308" s="282" t="inlineStr">
        <is>
          <t>2011-05-20</t>
        </is>
      </c>
      <c r="B1308" s="240">
        <f>IFERROR(1/P1308-1,B1307)</f>
        <v/>
      </c>
      <c r="C1308" s="240">
        <f>$C$3</f>
        <v/>
      </c>
      <c r="D1308" s="240">
        <f>$D$3</f>
        <v/>
      </c>
      <c r="E1308" s="240">
        <f>$E$3</f>
        <v/>
      </c>
      <c r="F1308" s="241" t="n">
        <v>27.72</v>
      </c>
      <c r="G1308" s="242" t="n">
        <v>5403068</v>
      </c>
      <c r="H1308" s="241" t="n">
        <v>0.54</v>
      </c>
      <c r="I1308" s="241" t="n">
        <v>2.51</v>
      </c>
      <c r="J1308" s="241" t="n">
        <v>-20.57</v>
      </c>
      <c r="K1308" s="241" t="n">
        <v>25.54</v>
      </c>
      <c r="L1308" s="242" t="n">
        <v>2270800</v>
      </c>
      <c r="M1308" s="241" t="n">
        <v>-0.97</v>
      </c>
      <c r="N1308" s="241" t="n">
        <v>17.05</v>
      </c>
      <c r="O1308" s="241" t="n">
        <v>-20.19</v>
      </c>
      <c r="P1308" s="241" t="n">
        <v>1.09</v>
      </c>
    </row>
    <row r="1309">
      <c r="A1309" s="282" t="inlineStr">
        <is>
          <t>2011-05-23</t>
        </is>
      </c>
      <c r="B1309" s="240">
        <f>IFERROR(1/P1309-1,B1308)</f>
        <v/>
      </c>
      <c r="C1309" s="240">
        <f>$C$3</f>
        <v/>
      </c>
      <c r="D1309" s="240">
        <f>$D$3</f>
        <v/>
      </c>
      <c r="E1309" s="240">
        <f>$E$3</f>
        <v/>
      </c>
      <c r="F1309" s="241" t="n">
        <v>26.56</v>
      </c>
      <c r="G1309" s="242" t="n">
        <v>10532172</v>
      </c>
      <c r="H1309" s="241" t="n">
        <v>-4.18</v>
      </c>
      <c r="I1309" s="241" t="n">
        <v>-2.14</v>
      </c>
      <c r="J1309" s="241" t="n">
        <v>-23.9</v>
      </c>
      <c r="K1309" s="241" t="n">
        <v>25.33</v>
      </c>
      <c r="L1309" s="242" t="n">
        <v>3807600</v>
      </c>
      <c r="M1309" s="241" t="n">
        <v>-0.82</v>
      </c>
      <c r="N1309" s="241" t="n">
        <v>14.99</v>
      </c>
      <c r="O1309" s="241" t="n">
        <v>-20.84</v>
      </c>
      <c r="P1309" s="241" t="n">
        <v>1.05</v>
      </c>
    </row>
    <row r="1310">
      <c r="A1310" s="282" t="inlineStr">
        <is>
          <t>2011-05-24</t>
        </is>
      </c>
      <c r="B1310" s="240">
        <f>IFERROR(1/P1310-1,B1309)</f>
        <v/>
      </c>
      <c r="C1310" s="240">
        <f>$C$3</f>
        <v/>
      </c>
      <c r="D1310" s="240">
        <f>$D$3</f>
        <v/>
      </c>
      <c r="E1310" s="240">
        <f>$E$3</f>
        <v/>
      </c>
      <c r="F1310" s="241" t="n">
        <v>26.77</v>
      </c>
      <c r="G1310" s="242" t="n">
        <v>7365891</v>
      </c>
      <c r="H1310" s="241" t="n">
        <v>0.79</v>
      </c>
      <c r="I1310" s="241" t="n">
        <v>-1.36</v>
      </c>
      <c r="J1310" s="241" t="n">
        <v>-23.3</v>
      </c>
      <c r="K1310" s="241" t="n">
        <v>25.55</v>
      </c>
      <c r="L1310" s="242" t="n">
        <v>2373887</v>
      </c>
      <c r="M1310" s="241" t="n">
        <v>0.83</v>
      </c>
      <c r="N1310" s="241" t="n">
        <v>15.94</v>
      </c>
      <c r="O1310" s="241" t="n">
        <v>-20.19</v>
      </c>
      <c r="P1310" s="241" t="n">
        <v>1.05</v>
      </c>
    </row>
    <row r="1311">
      <c r="A1311" s="282" t="inlineStr">
        <is>
          <t>2011-05-25</t>
        </is>
      </c>
      <c r="B1311" s="240">
        <f>IFERROR(1/P1311-1,B1310)</f>
        <v/>
      </c>
      <c r="C1311" s="240">
        <f>$C$3</f>
        <v/>
      </c>
      <c r="D1311" s="240">
        <f>$D$3</f>
        <v/>
      </c>
      <c r="E1311" s="240">
        <f>$E$3</f>
        <v/>
      </c>
      <c r="F1311" s="241" t="n">
        <v>26.29</v>
      </c>
      <c r="G1311" s="242" t="n">
        <v>6423828</v>
      </c>
      <c r="H1311" s="241" t="n">
        <v>-1.79</v>
      </c>
      <c r="I1311" s="241" t="n">
        <v>-3.13</v>
      </c>
      <c r="J1311" s="241" t="n">
        <v>-24.67</v>
      </c>
      <c r="K1311" s="241" t="n">
        <v>25.05</v>
      </c>
      <c r="L1311" s="242" t="n">
        <v>1341000</v>
      </c>
      <c r="M1311" s="241" t="n">
        <v>-1.8</v>
      </c>
      <c r="N1311" s="241" t="n">
        <v>13.85</v>
      </c>
      <c r="O1311" s="241" t="n">
        <v>-21.62</v>
      </c>
      <c r="P1311" s="241" t="n">
        <v>1.05</v>
      </c>
    </row>
    <row r="1312">
      <c r="A1312" s="282" t="inlineStr">
        <is>
          <t>2011-05-26</t>
        </is>
      </c>
      <c r="B1312" s="240">
        <f>IFERROR(1/P1312-1,B1311)</f>
        <v/>
      </c>
      <c r="C1312" s="240">
        <f>$C$3</f>
        <v/>
      </c>
      <c r="D1312" s="240">
        <f>$D$3</f>
        <v/>
      </c>
      <c r="E1312" s="240">
        <f>$E$3</f>
        <v/>
      </c>
      <c r="F1312" s="241" t="n">
        <v>25.49</v>
      </c>
      <c r="G1312" s="242" t="n">
        <v>8256470</v>
      </c>
      <c r="H1312" s="241" t="n">
        <v>-3.04</v>
      </c>
      <c r="I1312" s="241" t="n">
        <v>-3.34</v>
      </c>
      <c r="J1312" s="241" t="n">
        <v>-26.96</v>
      </c>
      <c r="K1312" s="241" t="n">
        <v>24.82</v>
      </c>
      <c r="L1312" s="242" t="n">
        <v>1454900</v>
      </c>
      <c r="M1312" s="241" t="n">
        <v>-0.83</v>
      </c>
      <c r="N1312" s="241" t="n">
        <v>12.9</v>
      </c>
      <c r="O1312" s="241" t="n">
        <v>-22.28</v>
      </c>
      <c r="P1312" s="241" t="n">
        <v>1.03</v>
      </c>
    </row>
    <row r="1313">
      <c r="A1313" s="282" t="inlineStr">
        <is>
          <t>2011-05-27</t>
        </is>
      </c>
      <c r="B1313" s="240">
        <f>IFERROR(1/P1313-1,B1312)</f>
        <v/>
      </c>
      <c r="C1313" s="240">
        <f>$C$3</f>
        <v/>
      </c>
      <c r="D1313" s="240">
        <f>$D$3</f>
        <v/>
      </c>
      <c r="E1313" s="240">
        <f>$E$3</f>
        <v/>
      </c>
      <c r="F1313" s="241" t="n">
        <v>25.29</v>
      </c>
      <c r="G1313" s="242" t="n">
        <v>8014693</v>
      </c>
      <c r="H1313" s="241" t="n">
        <v>-0.78</v>
      </c>
      <c r="I1313" s="241" t="n">
        <v>-2.24</v>
      </c>
      <c r="J1313" s="241" t="n">
        <v>-27.54</v>
      </c>
      <c r="K1313" s="241" t="n">
        <v>24.39</v>
      </c>
      <c r="L1313" s="242" t="n">
        <v>1899600</v>
      </c>
      <c r="M1313" s="241" t="n">
        <v>-1.68</v>
      </c>
      <c r="N1313" s="241" t="n">
        <v>12.07</v>
      </c>
      <c r="O1313" s="241" t="n">
        <v>-23.58</v>
      </c>
      <c r="P1313" s="241" t="n">
        <v>1.04</v>
      </c>
    </row>
    <row r="1314">
      <c r="A1314" s="282" t="inlineStr">
        <is>
          <t>2011-05-30</t>
        </is>
      </c>
      <c r="B1314" s="240">
        <f>IFERROR(1/P1314-1,B1313)</f>
        <v/>
      </c>
      <c r="C1314" s="240">
        <f>$C$3</f>
        <v/>
      </c>
      <c r="D1314" s="240">
        <f>$D$3</f>
        <v/>
      </c>
      <c r="E1314" s="240">
        <f>$E$3</f>
        <v/>
      </c>
      <c r="F1314" s="241" t="n">
        <v>25.21</v>
      </c>
      <c r="G1314" s="242" t="n">
        <v>6431327</v>
      </c>
      <c r="H1314" s="241" t="n">
        <v>-0.32</v>
      </c>
      <c r="I1314" s="241" t="n">
        <v>-3.96</v>
      </c>
      <c r="J1314" s="241" t="n">
        <v>-27.77</v>
      </c>
      <c r="K1314" s="241" t="n">
        <v>24.17</v>
      </c>
      <c r="L1314" s="242" t="n">
        <v>1470000</v>
      </c>
      <c r="M1314" s="241" t="n">
        <v>-0.85</v>
      </c>
      <c r="N1314" s="241" t="n">
        <v>13.5</v>
      </c>
      <c r="O1314" s="241" t="n">
        <v>-24.24</v>
      </c>
      <c r="P1314" s="241" t="n">
        <v>1.04</v>
      </c>
    </row>
    <row r="1315">
      <c r="A1315" s="282" t="inlineStr">
        <is>
          <t>2011-05-31</t>
        </is>
      </c>
      <c r="B1315" s="240">
        <f>IFERROR(1/P1315-1,B1314)</f>
        <v/>
      </c>
      <c r="C1315" s="240">
        <f>$C$3</f>
        <v/>
      </c>
      <c r="D1315" s="240">
        <f>$D$3</f>
        <v/>
      </c>
      <c r="E1315" s="240">
        <f>$E$3</f>
        <v/>
      </c>
      <c r="F1315" s="241" t="n">
        <v>25.23</v>
      </c>
      <c r="G1315" s="242" t="n">
        <v>10168204</v>
      </c>
      <c r="H1315" s="241" t="n">
        <v>0.08</v>
      </c>
      <c r="I1315" s="241" t="n">
        <v>-3.89</v>
      </c>
      <c r="J1315" s="241" t="n">
        <v>-27.71</v>
      </c>
      <c r="K1315" s="241" t="n">
        <v>23.88</v>
      </c>
      <c r="L1315" s="242" t="n">
        <v>3187200</v>
      </c>
      <c r="M1315" s="241" t="n">
        <v>-1.21</v>
      </c>
      <c r="N1315" s="241" t="n">
        <v>12.13</v>
      </c>
      <c r="O1315" s="241" t="n">
        <v>-25.15</v>
      </c>
      <c r="P1315" s="241" t="n">
        <v>1.06</v>
      </c>
    </row>
    <row r="1316">
      <c r="A1316" s="282" t="inlineStr">
        <is>
          <t>2011-06-01</t>
        </is>
      </c>
      <c r="B1316" s="240">
        <f>IFERROR(1/P1316-1,B1315)</f>
        <v/>
      </c>
      <c r="C1316" s="240">
        <f>$C$3</f>
        <v/>
      </c>
      <c r="D1316" s="240">
        <f>$D$3</f>
        <v/>
      </c>
      <c r="E1316" s="240">
        <f>$E$3</f>
        <v/>
      </c>
      <c r="F1316" s="241" t="n">
        <v>25.19</v>
      </c>
      <c r="G1316" s="242" t="n">
        <v>5112477</v>
      </c>
      <c r="H1316" s="241" t="n">
        <v>-0.16</v>
      </c>
      <c r="I1316" s="241" t="n">
        <v>-4.04</v>
      </c>
      <c r="J1316" s="241" t="n">
        <v>-27.82</v>
      </c>
      <c r="K1316" s="241" t="n">
        <v>24.05</v>
      </c>
      <c r="L1316" s="242" t="n">
        <v>2159883</v>
      </c>
      <c r="M1316" s="241" t="n">
        <v>0.7</v>
      </c>
      <c r="N1316" s="241" t="n">
        <v>12.92</v>
      </c>
      <c r="O1316" s="241" t="n">
        <v>-24.63</v>
      </c>
      <c r="P1316" s="241" t="n">
        <v>1.05</v>
      </c>
    </row>
    <row r="1317">
      <c r="A1317" s="282" t="inlineStr">
        <is>
          <t>2011-06-02</t>
        </is>
      </c>
      <c r="B1317" s="240">
        <f>IFERROR(1/P1317-1,B1316)</f>
        <v/>
      </c>
      <c r="C1317" s="240">
        <f>$C$3</f>
        <v/>
      </c>
      <c r="D1317" s="240">
        <f>$D$3</f>
        <v/>
      </c>
      <c r="E1317" s="240">
        <f>$E$3</f>
        <v/>
      </c>
      <c r="F1317" s="241" t="n">
        <v>24.97</v>
      </c>
      <c r="G1317" s="242" t="n">
        <v>6266516</v>
      </c>
      <c r="H1317" s="241" t="n">
        <v>-0.87</v>
      </c>
      <c r="I1317" s="241" t="n">
        <v>-4.88</v>
      </c>
      <c r="J1317" s="241" t="n">
        <v>-28.45</v>
      </c>
      <c r="K1317" s="241" t="n">
        <v>23.98</v>
      </c>
      <c r="L1317" s="242" t="n">
        <v>2353488</v>
      </c>
      <c r="M1317" s="241" t="n">
        <v>-0.35</v>
      </c>
      <c r="N1317" s="241" t="n">
        <v>12.52</v>
      </c>
      <c r="O1317" s="241" t="n">
        <v>-24.89</v>
      </c>
      <c r="P1317" s="241" t="n">
        <v>1.04</v>
      </c>
    </row>
    <row r="1318">
      <c r="A1318" s="282" t="inlineStr">
        <is>
          <t>2011-06-03</t>
        </is>
      </c>
      <c r="B1318" s="240">
        <f>IFERROR(1/P1318-1,B1317)</f>
        <v/>
      </c>
      <c r="C1318" s="240">
        <f>$C$3</f>
        <v/>
      </c>
      <c r="D1318" s="240">
        <f>$D$3</f>
        <v/>
      </c>
      <c r="E1318" s="240">
        <f>$E$3</f>
        <v/>
      </c>
      <c r="F1318" s="241" t="n">
        <v>25.5</v>
      </c>
      <c r="G1318" s="242" t="n">
        <v>6576823</v>
      </c>
      <c r="H1318" s="241" t="n">
        <v>2.12</v>
      </c>
      <c r="I1318" s="241" t="n">
        <v>-2.86</v>
      </c>
      <c r="J1318" s="241" t="n">
        <v>-26.93</v>
      </c>
      <c r="K1318" s="241" t="n">
        <v>23.76</v>
      </c>
      <c r="L1318" s="242" t="n">
        <v>1443275</v>
      </c>
      <c r="M1318" s="241" t="n">
        <v>-0.87</v>
      </c>
      <c r="N1318" s="241" t="n">
        <v>11.55</v>
      </c>
      <c r="O1318" s="241" t="n">
        <v>-25.54</v>
      </c>
      <c r="P1318" s="241" t="n">
        <v>1.07</v>
      </c>
    </row>
    <row r="1319">
      <c r="A1319" s="282" t="inlineStr">
        <is>
          <t>2011-06-07</t>
        </is>
      </c>
      <c r="B1319" s="240">
        <f>IFERROR(1/P1319-1,B1318)</f>
        <v/>
      </c>
      <c r="C1319" s="240">
        <f>$C$3</f>
        <v/>
      </c>
      <c r="D1319" s="240">
        <f>$D$3</f>
        <v/>
      </c>
      <c r="E1319" s="240">
        <f>$E$3</f>
        <v/>
      </c>
      <c r="F1319" s="241" t="n">
        <v>25.33</v>
      </c>
      <c r="G1319" s="242" t="n">
        <v>5190921</v>
      </c>
      <c r="H1319" s="241" t="n">
        <v>-0.67</v>
      </c>
      <c r="I1319" s="241" t="n">
        <v>-8.119999999999999</v>
      </c>
      <c r="J1319" s="241" t="n">
        <v>-27.42</v>
      </c>
      <c r="K1319" s="241" t="n">
        <v>23.75</v>
      </c>
      <c r="L1319" s="242" t="n">
        <v>1816686</v>
      </c>
      <c r="M1319" s="241" t="n">
        <v>0</v>
      </c>
      <c r="N1319" s="241" t="n">
        <v>-4.68</v>
      </c>
      <c r="O1319" s="241" t="n">
        <v>-25.54</v>
      </c>
      <c r="P1319" s="241" t="n">
        <v>1.07</v>
      </c>
    </row>
    <row r="1320">
      <c r="A1320" s="282" t="inlineStr">
        <is>
          <t>2011-06-08</t>
        </is>
      </c>
      <c r="B1320" s="240">
        <f>IFERROR(1/P1320-1,B1319)</f>
        <v/>
      </c>
      <c r="C1320" s="240">
        <f>$C$3</f>
        <v/>
      </c>
      <c r="D1320" s="240">
        <f>$D$3</f>
        <v/>
      </c>
      <c r="E1320" s="240">
        <f>$E$3</f>
        <v/>
      </c>
      <c r="F1320" s="241" t="n">
        <v>25.2</v>
      </c>
      <c r="G1320" s="242" t="n">
        <v>6298855</v>
      </c>
      <c r="H1320" s="241" t="n">
        <v>-0.51</v>
      </c>
      <c r="I1320" s="241" t="n">
        <v>-8.6</v>
      </c>
      <c r="J1320" s="241" t="n">
        <v>-27.79</v>
      </c>
      <c r="K1320" s="241" t="n">
        <v>22.7</v>
      </c>
      <c r="L1320" s="242" t="n">
        <v>4185600</v>
      </c>
      <c r="M1320" s="241" t="n">
        <v>-4.39</v>
      </c>
      <c r="N1320" s="241" t="n">
        <v>-8.859999999999999</v>
      </c>
      <c r="O1320" s="241" t="n">
        <v>-28.81</v>
      </c>
      <c r="P1320" s="241" t="n">
        <v>1.11</v>
      </c>
    </row>
    <row r="1321">
      <c r="A1321" s="282" t="inlineStr">
        <is>
          <t>2011-06-09</t>
        </is>
      </c>
      <c r="B1321" s="240">
        <f>IFERROR(1/P1321-1,B1320)</f>
        <v/>
      </c>
      <c r="C1321" s="240">
        <f>$C$3</f>
        <v/>
      </c>
      <c r="D1321" s="240">
        <f>$D$3</f>
        <v/>
      </c>
      <c r="E1321" s="240">
        <f>$E$3</f>
        <v/>
      </c>
      <c r="F1321" s="241" t="n">
        <v>24.55</v>
      </c>
      <c r="G1321" s="242" t="n">
        <v>9204706</v>
      </c>
      <c r="H1321" s="241" t="n">
        <v>-2.58</v>
      </c>
      <c r="I1321" s="241" t="n">
        <v>-10.95</v>
      </c>
      <c r="J1321" s="241" t="n">
        <v>-29.66</v>
      </c>
      <c r="K1321" s="241" t="n">
        <v>22.58</v>
      </c>
      <c r="L1321" s="242" t="n">
        <v>2565800</v>
      </c>
      <c r="M1321" s="241" t="n">
        <v>-0.55</v>
      </c>
      <c r="N1321" s="241" t="n">
        <v>-9.359999999999999</v>
      </c>
      <c r="O1321" s="241" t="n">
        <v>-29.2</v>
      </c>
      <c r="P1321" s="241" t="n">
        <v>1.09</v>
      </c>
    </row>
    <row r="1322">
      <c r="A1322" s="282" t="inlineStr">
        <is>
          <t>2011-06-10</t>
        </is>
      </c>
      <c r="B1322" s="240">
        <f>IFERROR(1/P1322-1,B1321)</f>
        <v/>
      </c>
      <c r="C1322" s="240">
        <f>$C$3</f>
        <v/>
      </c>
      <c r="D1322" s="240">
        <f>$D$3</f>
        <v/>
      </c>
      <c r="E1322" s="240">
        <f>$E$3</f>
        <v/>
      </c>
      <c r="F1322" s="241" t="n">
        <v>24.36</v>
      </c>
      <c r="G1322" s="242" t="n">
        <v>6458502</v>
      </c>
      <c r="H1322" s="241" t="n">
        <v>-0.77</v>
      </c>
      <c r="I1322" s="241" t="n">
        <v>-14.2</v>
      </c>
      <c r="J1322" s="241" t="n">
        <v>-30.2</v>
      </c>
      <c r="K1322" s="241" t="n">
        <v>21.67</v>
      </c>
      <c r="L1322" s="242" t="n">
        <v>4275000</v>
      </c>
      <c r="M1322" s="241" t="n">
        <v>-4.06</v>
      </c>
      <c r="N1322" s="241" t="n">
        <v>-15.17</v>
      </c>
      <c r="O1322" s="241" t="n">
        <v>-32.07</v>
      </c>
      <c r="P1322" s="241" t="n">
        <v>1.12</v>
      </c>
    </row>
    <row r="1323">
      <c r="A1323" s="282" t="inlineStr">
        <is>
          <t>2011-06-13</t>
        </is>
      </c>
      <c r="B1323" s="240">
        <f>IFERROR(1/P1323-1,B1322)</f>
        <v/>
      </c>
      <c r="C1323" s="240">
        <f>$C$3</f>
        <v/>
      </c>
      <c r="D1323" s="240">
        <f>$D$3</f>
        <v/>
      </c>
      <c r="E1323" s="240">
        <f>$E$3</f>
        <v/>
      </c>
      <c r="F1323" s="241" t="n">
        <v>24.81</v>
      </c>
      <c r="G1323" s="242" t="n">
        <v>9073412</v>
      </c>
      <c r="H1323" s="241" t="n">
        <v>1.85</v>
      </c>
      <c r="I1323" s="241" t="n">
        <v>-8.039999999999999</v>
      </c>
      <c r="J1323" s="241" t="n">
        <v>-28.91</v>
      </c>
      <c r="K1323" s="241" t="n">
        <v>22.14</v>
      </c>
      <c r="L1323" s="242" t="n">
        <v>5110400</v>
      </c>
      <c r="M1323" s="241" t="n">
        <v>2.12</v>
      </c>
      <c r="N1323" s="241" t="n">
        <v>-6.35</v>
      </c>
      <c r="O1323" s="241" t="n">
        <v>-30.64</v>
      </c>
      <c r="P1323" s="241" t="n">
        <v>1.12</v>
      </c>
    </row>
    <row r="1324">
      <c r="A1324" s="282" t="inlineStr">
        <is>
          <t>2011-06-14</t>
        </is>
      </c>
      <c r="B1324" s="240">
        <f>IFERROR(1/P1324-1,B1323)</f>
        <v/>
      </c>
      <c r="C1324" s="240">
        <f>$C$3</f>
        <v/>
      </c>
      <c r="D1324" s="240">
        <f>$D$3</f>
        <v/>
      </c>
      <c r="E1324" s="240">
        <f>$E$3</f>
        <v/>
      </c>
      <c r="F1324" s="241" t="n">
        <v>25.08</v>
      </c>
      <c r="G1324" s="242" t="n">
        <v>8541020</v>
      </c>
      <c r="H1324" s="241" t="n">
        <v>1.09</v>
      </c>
      <c r="I1324" s="241" t="n">
        <v>-8.77</v>
      </c>
      <c r="J1324" s="241" t="n">
        <v>-28.14</v>
      </c>
      <c r="K1324" s="241" t="n">
        <v>23.02</v>
      </c>
      <c r="L1324" s="242" t="n">
        <v>3646658</v>
      </c>
      <c r="M1324" s="241" t="n">
        <v>4.14</v>
      </c>
      <c r="N1324" s="241" t="n">
        <v>-2.98</v>
      </c>
      <c r="O1324" s="241" t="n">
        <v>-27.76</v>
      </c>
      <c r="P1324" s="241" t="n">
        <v>1.09</v>
      </c>
    </row>
    <row r="1325">
      <c r="A1325" s="282" t="inlineStr">
        <is>
          <t>2011-06-15</t>
        </is>
      </c>
      <c r="B1325" s="240">
        <f>IFERROR(1/P1325-1,B1324)</f>
        <v/>
      </c>
      <c r="C1325" s="240">
        <f>$C$3</f>
        <v/>
      </c>
      <c r="D1325" s="240">
        <f>$D$3</f>
        <v/>
      </c>
      <c r="E1325" s="240">
        <f>$E$3</f>
        <v/>
      </c>
      <c r="F1325" s="241" t="n">
        <v>24.86</v>
      </c>
      <c r="G1325" s="242" t="n">
        <v>5552251</v>
      </c>
      <c r="H1325" s="241" t="n">
        <v>-0.88</v>
      </c>
      <c r="I1325" s="241" t="n">
        <v>-9.57</v>
      </c>
      <c r="J1325" s="241" t="n">
        <v>-28.77</v>
      </c>
      <c r="K1325" s="241" t="n">
        <v>23.18</v>
      </c>
      <c r="L1325" s="242" t="n">
        <v>1903531</v>
      </c>
      <c r="M1325" s="241" t="n">
        <v>0.72</v>
      </c>
      <c r="N1325" s="241" t="n">
        <v>-2.28</v>
      </c>
      <c r="O1325" s="241" t="n">
        <v>-27.24</v>
      </c>
      <c r="P1325" s="241" t="n">
        <v>1.07</v>
      </c>
    </row>
    <row r="1326">
      <c r="A1326" s="282" t="inlineStr">
        <is>
          <t>2011-06-16</t>
        </is>
      </c>
      <c r="B1326" s="240">
        <f>IFERROR(1/P1326-1,B1325)</f>
        <v/>
      </c>
      <c r="C1326" s="240">
        <f>$C$3</f>
        <v/>
      </c>
      <c r="D1326" s="240">
        <f>$D$3</f>
        <v/>
      </c>
      <c r="E1326" s="240">
        <f>$E$3</f>
        <v/>
      </c>
      <c r="F1326" s="241" t="n">
        <v>24.32</v>
      </c>
      <c r="G1326" s="242" t="n">
        <v>4567778</v>
      </c>
      <c r="H1326" s="241" t="n">
        <v>-2.17</v>
      </c>
      <c r="I1326" s="241" t="n">
        <v>-11.53</v>
      </c>
      <c r="J1326" s="241" t="n">
        <v>-30.32</v>
      </c>
      <c r="K1326" s="241" t="n">
        <v>22.38</v>
      </c>
      <c r="L1326" s="242" t="n">
        <v>2299653</v>
      </c>
      <c r="M1326" s="241" t="n">
        <v>-3.41</v>
      </c>
      <c r="N1326" s="241" t="n">
        <v>-5.61</v>
      </c>
      <c r="O1326" s="241" t="n">
        <v>-29.72</v>
      </c>
      <c r="P1326" s="241" t="n">
        <v>1.09</v>
      </c>
    </row>
    <row r="1327">
      <c r="A1327" s="282" t="inlineStr">
        <is>
          <t>2011-06-17</t>
        </is>
      </c>
      <c r="B1327" s="240">
        <f>IFERROR(1/P1327-1,B1326)</f>
        <v/>
      </c>
      <c r="C1327" s="240">
        <f>$C$3</f>
        <v/>
      </c>
      <c r="D1327" s="240">
        <f>$D$3</f>
        <v/>
      </c>
      <c r="E1327" s="240">
        <f>$E$3</f>
        <v/>
      </c>
      <c r="F1327" s="241" t="n">
        <v>24.15</v>
      </c>
      <c r="G1327" s="242" t="n">
        <v>4075052</v>
      </c>
      <c r="H1327" s="241" t="n">
        <v>-0.7</v>
      </c>
      <c r="I1327" s="241" t="n">
        <v>-12.37</v>
      </c>
      <c r="J1327" s="241" t="n">
        <v>-30.8</v>
      </c>
      <c r="K1327" s="241" t="n">
        <v>22.48</v>
      </c>
      <c r="L1327" s="242" t="n">
        <v>1679600</v>
      </c>
      <c r="M1327" s="241" t="n">
        <v>0.74</v>
      </c>
      <c r="N1327" s="241" t="n">
        <v>-6.55</v>
      </c>
      <c r="O1327" s="241" t="n">
        <v>-29.2</v>
      </c>
      <c r="P1327" s="241" t="n">
        <v>1.07</v>
      </c>
    </row>
    <row r="1328">
      <c r="A1328" s="282" t="inlineStr">
        <is>
          <t>2011-06-20</t>
        </is>
      </c>
      <c r="B1328" s="240">
        <f>IFERROR(1/P1328-1,B1327)</f>
        <v/>
      </c>
      <c r="C1328" s="240">
        <f>$C$3</f>
        <v/>
      </c>
      <c r="D1328" s="240">
        <f>$D$3</f>
        <v/>
      </c>
      <c r="E1328" s="240">
        <f>$E$3</f>
        <v/>
      </c>
      <c r="F1328" s="241" t="n">
        <v>23.6</v>
      </c>
      <c r="G1328" s="242" t="n">
        <v>6049695</v>
      </c>
      <c r="H1328" s="241" t="n">
        <v>-2.28</v>
      </c>
      <c r="I1328" s="241" t="n">
        <v>-14.4</v>
      </c>
      <c r="J1328" s="241" t="n">
        <v>-32.38</v>
      </c>
      <c r="K1328" s="241" t="n">
        <v>22.41</v>
      </c>
      <c r="L1328" s="242" t="n">
        <v>1244281</v>
      </c>
      <c r="M1328" s="241" t="n">
        <v>-0.37</v>
      </c>
      <c r="N1328" s="241" t="n">
        <v>-12.48</v>
      </c>
      <c r="O1328" s="241" t="n">
        <v>-29.46</v>
      </c>
      <c r="P1328" s="241" t="n">
        <v>1.05</v>
      </c>
    </row>
    <row r="1329">
      <c r="A1329" s="282" t="inlineStr">
        <is>
          <t>2011-06-21</t>
        </is>
      </c>
      <c r="B1329" s="240">
        <f>IFERROR(1/P1329-1,B1328)</f>
        <v/>
      </c>
      <c r="C1329" s="240">
        <f>$C$3</f>
        <v/>
      </c>
      <c r="D1329" s="240">
        <f>$D$3</f>
        <v/>
      </c>
      <c r="E1329" s="240">
        <f>$E$3</f>
        <v/>
      </c>
      <c r="F1329" s="241" t="n">
        <v>23.65</v>
      </c>
      <c r="G1329" s="242" t="n">
        <v>5585532</v>
      </c>
      <c r="H1329" s="241" t="n">
        <v>0.21</v>
      </c>
      <c r="I1329" s="241" t="n">
        <v>-14.68</v>
      </c>
      <c r="J1329" s="241" t="n">
        <v>-32.23</v>
      </c>
      <c r="K1329" s="241" t="n">
        <v>22.58</v>
      </c>
      <c r="L1329" s="242" t="n">
        <v>947800</v>
      </c>
      <c r="M1329" s="241" t="n">
        <v>0.74</v>
      </c>
      <c r="N1329" s="241" t="n">
        <v>-10.97</v>
      </c>
      <c r="O1329" s="241" t="n">
        <v>-28.94</v>
      </c>
      <c r="P1329" s="241" t="n">
        <v>1.05</v>
      </c>
    </row>
    <row r="1330">
      <c r="A1330" s="282" t="inlineStr">
        <is>
          <t>2011-06-22</t>
        </is>
      </c>
      <c r="B1330" s="240">
        <f>IFERROR(1/P1330-1,B1329)</f>
        <v/>
      </c>
      <c r="C1330" s="240">
        <f>$C$3</f>
        <v/>
      </c>
      <c r="D1330" s="240">
        <f>$D$3</f>
        <v/>
      </c>
      <c r="E1330" s="240">
        <f>$E$3</f>
        <v/>
      </c>
      <c r="F1330" s="241" t="n">
        <v>23.7</v>
      </c>
      <c r="G1330" s="242" t="n">
        <v>8879186</v>
      </c>
      <c r="H1330" s="241" t="n">
        <v>0.21</v>
      </c>
      <c r="I1330" s="241" t="n">
        <v>-14.5</v>
      </c>
      <c r="J1330" s="241" t="n">
        <v>-32.09</v>
      </c>
      <c r="K1330" s="241" t="n">
        <v>22.96</v>
      </c>
      <c r="L1330" s="242" t="n">
        <v>2527400</v>
      </c>
      <c r="M1330" s="241" t="n">
        <v>1.65</v>
      </c>
      <c r="N1330" s="241" t="n">
        <v>-9.49</v>
      </c>
      <c r="O1330" s="241" t="n">
        <v>-27.76</v>
      </c>
      <c r="P1330" s="241" t="n">
        <v>1.03</v>
      </c>
    </row>
    <row r="1331">
      <c r="A1331" s="282" t="inlineStr">
        <is>
          <t>2011-06-23</t>
        </is>
      </c>
      <c r="B1331" s="240">
        <f>IFERROR(1/P1331-1,B1330)</f>
        <v/>
      </c>
      <c r="C1331" s="240">
        <f>$C$3</f>
        <v/>
      </c>
      <c r="D1331" s="240">
        <f>$D$3</f>
        <v/>
      </c>
      <c r="E1331" s="240">
        <f>$E$3</f>
        <v/>
      </c>
      <c r="F1331" s="241" t="n">
        <v>24.73</v>
      </c>
      <c r="G1331" s="242" t="n">
        <v>11417189</v>
      </c>
      <c r="H1331" s="241" t="n">
        <v>4.35</v>
      </c>
      <c r="I1331" s="241" t="n">
        <v>-10.79</v>
      </c>
      <c r="J1331" s="241" t="n">
        <v>-29.14</v>
      </c>
      <c r="K1331" s="241" t="n">
        <v>23.23</v>
      </c>
      <c r="L1331" s="242" t="n">
        <v>2424800</v>
      </c>
      <c r="M1331" s="241" t="n">
        <v>1.08</v>
      </c>
      <c r="N1331" s="241" t="n">
        <v>-8.51</v>
      </c>
      <c r="O1331" s="241" t="n">
        <v>-26.98</v>
      </c>
      <c r="P1331" s="241" t="n">
        <v>1.06</v>
      </c>
    </row>
    <row r="1332">
      <c r="A1332" s="282" t="inlineStr">
        <is>
          <t>2011-06-24</t>
        </is>
      </c>
      <c r="B1332" s="240">
        <f>IFERROR(1/P1332-1,B1331)</f>
        <v/>
      </c>
      <c r="C1332" s="240">
        <f>$C$3</f>
        <v/>
      </c>
      <c r="D1332" s="240">
        <f>$D$3</f>
        <v/>
      </c>
      <c r="E1332" s="240">
        <f>$E$3</f>
        <v/>
      </c>
      <c r="F1332" s="241" t="n">
        <v>25.1</v>
      </c>
      <c r="G1332" s="242" t="n">
        <v>11346688</v>
      </c>
      <c r="H1332" s="241" t="n">
        <v>2.03</v>
      </c>
      <c r="I1332" s="241" t="n">
        <v>-5</v>
      </c>
      <c r="J1332" s="241" t="n">
        <v>-27.7</v>
      </c>
      <c r="K1332" s="241" t="n">
        <v>23.31</v>
      </c>
      <c r="L1332" s="242" t="n">
        <v>1958400</v>
      </c>
      <c r="M1332" s="241" t="n">
        <v>0.36</v>
      </c>
      <c r="N1332" s="241" t="n">
        <v>-7.43</v>
      </c>
      <c r="O1332" s="241" t="n">
        <v>-26.72</v>
      </c>
      <c r="P1332" s="241" t="n">
        <v>1.08</v>
      </c>
    </row>
    <row r="1333">
      <c r="A1333" s="282" t="inlineStr">
        <is>
          <t>2011-06-27</t>
        </is>
      </c>
      <c r="B1333" s="240">
        <f>IFERROR(1/P1333-1,B1332)</f>
        <v/>
      </c>
      <c r="C1333" s="240">
        <f>$C$3</f>
        <v/>
      </c>
      <c r="D1333" s="240">
        <f>$D$3</f>
        <v/>
      </c>
      <c r="E1333" s="240">
        <f>$E$3</f>
        <v/>
      </c>
      <c r="F1333" s="241" t="n">
        <v>25.71</v>
      </c>
      <c r="G1333" s="242" t="n">
        <v>16540627</v>
      </c>
      <c r="H1333" s="241" t="n">
        <v>2.43</v>
      </c>
      <c r="I1333" s="241" t="n">
        <v>1.4</v>
      </c>
      <c r="J1333" s="241" t="n">
        <v>-25.94</v>
      </c>
      <c r="K1333" s="241" t="n">
        <v>23.9</v>
      </c>
      <c r="L1333" s="242" t="n">
        <v>1714100</v>
      </c>
      <c r="M1333" s="241" t="n">
        <v>2.5</v>
      </c>
      <c r="N1333" s="241" t="n">
        <v>-3.36</v>
      </c>
      <c r="O1333" s="241" t="n">
        <v>-24.89</v>
      </c>
      <c r="P1333" s="241" t="n">
        <v>1.08</v>
      </c>
    </row>
    <row r="1334">
      <c r="A1334" s="282" t="inlineStr">
        <is>
          <t>2011-06-28</t>
        </is>
      </c>
      <c r="B1334" s="240">
        <f>IFERROR(1/P1334-1,B1333)</f>
        <v/>
      </c>
      <c r="C1334" s="240">
        <f>$C$3</f>
        <v/>
      </c>
      <c r="D1334" s="240">
        <f>$D$3</f>
        <v/>
      </c>
      <c r="E1334" s="240">
        <f>$E$3</f>
        <v/>
      </c>
      <c r="F1334" s="241" t="n">
        <v>25.7</v>
      </c>
      <c r="G1334" s="242" t="n">
        <v>9030191</v>
      </c>
      <c r="H1334" s="241" t="n">
        <v>-0.04</v>
      </c>
      <c r="I1334" s="241" t="n">
        <v>2.16</v>
      </c>
      <c r="J1334" s="241" t="n">
        <v>-25.97</v>
      </c>
      <c r="K1334" s="241" t="n">
        <v>24.27</v>
      </c>
      <c r="L1334" s="242" t="n">
        <v>2066600</v>
      </c>
      <c r="M1334" s="241" t="n">
        <v>1.57</v>
      </c>
      <c r="N1334" s="241" t="n">
        <v>-0.17</v>
      </c>
      <c r="O1334" s="241" t="n">
        <v>-23.71</v>
      </c>
      <c r="P1334" s="241" t="n">
        <v>1.06</v>
      </c>
    </row>
    <row r="1335">
      <c r="A1335" s="282" t="inlineStr">
        <is>
          <t>2011-06-29</t>
        </is>
      </c>
      <c r="B1335" s="240">
        <f>IFERROR(1/P1335-1,B1334)</f>
        <v/>
      </c>
      <c r="C1335" s="240">
        <f>$C$3</f>
        <v/>
      </c>
      <c r="D1335" s="240">
        <f>$D$3</f>
        <v/>
      </c>
      <c r="E1335" s="240">
        <f>$E$3</f>
        <v/>
      </c>
      <c r="F1335" s="241" t="n">
        <v>25.4</v>
      </c>
      <c r="G1335" s="242" t="n">
        <v>6754022</v>
      </c>
      <c r="H1335" s="241" t="n">
        <v>-1.17</v>
      </c>
      <c r="I1335" s="241" t="n">
        <v>0.97</v>
      </c>
      <c r="J1335" s="241" t="n">
        <v>-26.84</v>
      </c>
      <c r="K1335" s="241" t="n">
        <v>23.94</v>
      </c>
      <c r="L1335" s="242" t="n">
        <v>1616729</v>
      </c>
      <c r="M1335" s="241" t="n">
        <v>-1.37</v>
      </c>
      <c r="N1335" s="241" t="n">
        <v>-1.54</v>
      </c>
      <c r="O1335" s="241" t="n">
        <v>-24.76</v>
      </c>
      <c r="P1335" s="241" t="n">
        <v>1.06</v>
      </c>
    </row>
    <row r="1336">
      <c r="A1336" s="282" t="inlineStr">
        <is>
          <t>2011-06-30</t>
        </is>
      </c>
      <c r="B1336" s="240">
        <f>IFERROR(1/P1336-1,B1335)</f>
        <v/>
      </c>
      <c r="C1336" s="240">
        <f>$C$3</f>
        <v/>
      </c>
      <c r="D1336" s="240">
        <f>$D$3</f>
        <v/>
      </c>
      <c r="E1336" s="240">
        <f>$E$3</f>
        <v/>
      </c>
      <c r="F1336" s="241" t="n">
        <v>25.5</v>
      </c>
      <c r="G1336" s="242" t="n">
        <v>6749822</v>
      </c>
      <c r="H1336" s="241" t="n">
        <v>0.39</v>
      </c>
      <c r="I1336" s="241" t="n">
        <v>1.36</v>
      </c>
      <c r="J1336" s="241" t="n">
        <v>-26.55</v>
      </c>
      <c r="K1336" s="241" t="n">
        <v>23.99</v>
      </c>
      <c r="L1336" s="242" t="n">
        <v>2072559</v>
      </c>
      <c r="M1336" s="241" t="n">
        <v>0.17</v>
      </c>
      <c r="N1336" s="241" t="n">
        <v>-1.37</v>
      </c>
      <c r="O1336" s="241" t="n">
        <v>-24.63</v>
      </c>
      <c r="P1336" s="241" t="n">
        <v>1.06</v>
      </c>
    </row>
    <row r="1337">
      <c r="A1337" s="282" t="inlineStr">
        <is>
          <t>2011-07-01</t>
        </is>
      </c>
      <c r="B1337" s="240">
        <f>IFERROR(1/P1337-1,B1336)</f>
        <v/>
      </c>
      <c r="C1337" s="240">
        <f>$C$3</f>
        <v/>
      </c>
      <c r="D1337" s="240">
        <f>$D$3</f>
        <v/>
      </c>
      <c r="E1337" s="240">
        <f>$E$3</f>
        <v/>
      </c>
      <c r="F1337" s="241" t="n">
        <v>25.67</v>
      </c>
      <c r="G1337" s="242" t="n">
        <v>6023810</v>
      </c>
      <c r="H1337" s="241" t="n">
        <v>0.67</v>
      </c>
      <c r="I1337" s="241" t="n">
        <v>2.28</v>
      </c>
      <c r="J1337" s="241" t="n">
        <v>-26.06</v>
      </c>
      <c r="K1337" s="239" t="inlineStr">
        <is>
          <t>--</t>
        </is>
      </c>
      <c r="L1337" s="239" t="inlineStr">
        <is>
          <t>--</t>
        </is>
      </c>
      <c r="M1337" s="239" t="inlineStr">
        <is>
          <t>--</t>
        </is>
      </c>
      <c r="N1337" s="239" t="inlineStr">
        <is>
          <t>--</t>
        </is>
      </c>
      <c r="O1337" s="239" t="inlineStr">
        <is>
          <t>--</t>
        </is>
      </c>
      <c r="P1337" s="239" t="inlineStr">
        <is>
          <t>--</t>
        </is>
      </c>
    </row>
    <row r="1338">
      <c r="A1338" s="282" t="inlineStr">
        <is>
          <t>2011-07-04</t>
        </is>
      </c>
      <c r="B1338" s="240">
        <f>IFERROR(1/P1338-1,B1337)</f>
        <v/>
      </c>
      <c r="C1338" s="240">
        <f>$C$3</f>
        <v/>
      </c>
      <c r="D1338" s="240">
        <f>$D$3</f>
        <v/>
      </c>
      <c r="E1338" s="240">
        <f>$E$3</f>
        <v/>
      </c>
      <c r="F1338" s="241" t="n">
        <v>26.23</v>
      </c>
      <c r="G1338" s="242" t="n">
        <v>11445187</v>
      </c>
      <c r="H1338" s="241" t="n">
        <v>2.18</v>
      </c>
      <c r="I1338" s="241" t="n">
        <v>3.41</v>
      </c>
      <c r="J1338" s="241" t="n">
        <v>-24.45</v>
      </c>
      <c r="K1338" s="241" t="n">
        <v>24.26</v>
      </c>
      <c r="L1338" s="242" t="n">
        <v>2533500</v>
      </c>
      <c r="M1338" s="241" t="n">
        <v>1.21</v>
      </c>
      <c r="N1338" s="241" t="n">
        <v>2.46</v>
      </c>
      <c r="O1338" s="241" t="n">
        <v>-23.71</v>
      </c>
      <c r="P1338" s="241" t="n">
        <v>1.08</v>
      </c>
    </row>
    <row r="1339">
      <c r="A1339" s="282" t="inlineStr">
        <is>
          <t>2011-07-05</t>
        </is>
      </c>
      <c r="B1339" s="240">
        <f>IFERROR(1/P1339-1,B1338)</f>
        <v/>
      </c>
      <c r="C1339" s="240">
        <f>$C$3</f>
        <v/>
      </c>
      <c r="D1339" s="240">
        <f>$D$3</f>
        <v/>
      </c>
      <c r="E1339" s="240">
        <f>$E$3</f>
        <v/>
      </c>
      <c r="F1339" s="241" t="n">
        <v>26.75</v>
      </c>
      <c r="G1339" s="242" t="n">
        <v>13943942</v>
      </c>
      <c r="H1339" s="241" t="n">
        <v>1.98</v>
      </c>
      <c r="I1339" s="241" t="n">
        <v>5.46</v>
      </c>
      <c r="J1339" s="241" t="n">
        <v>-22.95</v>
      </c>
      <c r="K1339" s="241" t="n">
        <v>24.56</v>
      </c>
      <c r="L1339" s="242" t="n">
        <v>1712200</v>
      </c>
      <c r="M1339" s="241" t="n">
        <v>1.2</v>
      </c>
      <c r="N1339" s="241" t="n">
        <v>3.68</v>
      </c>
      <c r="O1339" s="241" t="n">
        <v>-22.8</v>
      </c>
      <c r="P1339" s="241" t="n">
        <v>1.09</v>
      </c>
    </row>
    <row r="1340">
      <c r="A1340" s="282" t="inlineStr">
        <is>
          <t>2011-07-06</t>
        </is>
      </c>
      <c r="B1340" s="240">
        <f>IFERROR(1/P1340-1,B1339)</f>
        <v/>
      </c>
      <c r="C1340" s="240">
        <f>$C$3</f>
        <v/>
      </c>
      <c r="D1340" s="240">
        <f>$D$3</f>
        <v/>
      </c>
      <c r="E1340" s="240">
        <f>$E$3</f>
        <v/>
      </c>
      <c r="F1340" s="241" t="n">
        <v>26.68</v>
      </c>
      <c r="G1340" s="242" t="n">
        <v>10192435</v>
      </c>
      <c r="H1340" s="241" t="n">
        <v>-0.26</v>
      </c>
      <c r="I1340" s="241" t="n">
        <v>5.18</v>
      </c>
      <c r="J1340" s="241" t="n">
        <v>-23.15</v>
      </c>
      <c r="K1340" s="241" t="n">
        <v>24.78</v>
      </c>
      <c r="L1340" s="242" t="n">
        <v>2420656</v>
      </c>
      <c r="M1340" s="241" t="n">
        <v>0.85</v>
      </c>
      <c r="N1340" s="241" t="n">
        <v>4.56</v>
      </c>
      <c r="O1340" s="241" t="n">
        <v>-22.15</v>
      </c>
      <c r="P1340" s="241" t="n">
        <v>1.08</v>
      </c>
    </row>
    <row r="1341">
      <c r="A1341" s="282" t="inlineStr">
        <is>
          <t>2011-07-07</t>
        </is>
      </c>
      <c r="B1341" s="240">
        <f>IFERROR(1/P1341-1,B1340)</f>
        <v/>
      </c>
      <c r="C1341" s="240">
        <f>$C$3</f>
        <v/>
      </c>
      <c r="D1341" s="240">
        <f>$D$3</f>
        <v/>
      </c>
      <c r="E1341" s="240">
        <f>$E$3</f>
        <v/>
      </c>
      <c r="F1341" s="241" t="n">
        <v>26.53</v>
      </c>
      <c r="G1341" s="242" t="n">
        <v>8177270</v>
      </c>
      <c r="H1341" s="241" t="n">
        <v>-0.5600000000000001</v>
      </c>
      <c r="I1341" s="241" t="n">
        <v>4.59</v>
      </c>
      <c r="J1341" s="241" t="n">
        <v>-23.58</v>
      </c>
      <c r="K1341" s="241" t="n">
        <v>24.62</v>
      </c>
      <c r="L1341" s="242" t="n">
        <v>1534400</v>
      </c>
      <c r="M1341" s="241" t="n">
        <v>-0.67</v>
      </c>
      <c r="N1341" s="241" t="n">
        <v>3.86</v>
      </c>
      <c r="O1341" s="241" t="n">
        <v>-22.67</v>
      </c>
      <c r="P1341" s="241" t="n">
        <v>1.08</v>
      </c>
    </row>
    <row r="1342">
      <c r="A1342" s="282" t="inlineStr">
        <is>
          <t>2011-07-08</t>
        </is>
      </c>
      <c r="B1342" s="240">
        <f>IFERROR(1/P1342-1,B1341)</f>
        <v/>
      </c>
      <c r="C1342" s="240">
        <f>$C$3</f>
        <v/>
      </c>
      <c r="D1342" s="240">
        <f>$D$3</f>
        <v/>
      </c>
      <c r="E1342" s="240">
        <f>$E$3</f>
        <v/>
      </c>
      <c r="F1342" s="241" t="n">
        <v>26.36</v>
      </c>
      <c r="G1342" s="242" t="n">
        <v>7802388</v>
      </c>
      <c r="H1342" s="241" t="n">
        <v>-0.64</v>
      </c>
      <c r="I1342" s="241" t="n">
        <v>4.62</v>
      </c>
      <c r="J1342" s="241" t="n">
        <v>-24.07</v>
      </c>
      <c r="K1342" s="241" t="n">
        <v>24.57</v>
      </c>
      <c r="L1342" s="242" t="n">
        <v>1291978</v>
      </c>
      <c r="M1342" s="241" t="n">
        <v>-0.17</v>
      </c>
      <c r="N1342" s="241" t="n">
        <v>3.68</v>
      </c>
      <c r="O1342" s="241" t="n">
        <v>-22.8</v>
      </c>
      <c r="P1342" s="241" t="n">
        <v>1.07</v>
      </c>
    </row>
    <row r="1343">
      <c r="A1343" s="282" t="inlineStr">
        <is>
          <t>2011-07-11</t>
        </is>
      </c>
      <c r="B1343" s="240">
        <f>IFERROR(1/P1343-1,B1342)</f>
        <v/>
      </c>
      <c r="C1343" s="240">
        <f>$C$3</f>
        <v/>
      </c>
      <c r="D1343" s="240">
        <f>$D$3</f>
        <v/>
      </c>
      <c r="E1343" s="240">
        <f>$E$3</f>
        <v/>
      </c>
      <c r="F1343" s="241" t="n">
        <v>25.93</v>
      </c>
      <c r="G1343" s="242" t="n">
        <v>10149303</v>
      </c>
      <c r="H1343" s="241" t="n">
        <v>-1.63</v>
      </c>
      <c r="I1343" s="241" t="n">
        <v>7.01</v>
      </c>
      <c r="J1343" s="241" t="n">
        <v>-25.31</v>
      </c>
      <c r="K1343" s="241" t="n">
        <v>23.86</v>
      </c>
      <c r="L1343" s="242" t="n">
        <v>870800</v>
      </c>
      <c r="M1343" s="241" t="n">
        <v>-2.88</v>
      </c>
      <c r="N1343" s="241" t="n">
        <v>10.38</v>
      </c>
      <c r="O1343" s="241" t="n">
        <v>-25.02</v>
      </c>
      <c r="P1343" s="241" t="n">
        <v>1.09</v>
      </c>
    </row>
    <row r="1344">
      <c r="A1344" s="282" t="inlineStr">
        <is>
          <t>2011-07-12</t>
        </is>
      </c>
      <c r="B1344" s="240">
        <f>IFERROR(1/P1344-1,B1343)</f>
        <v/>
      </c>
      <c r="C1344" s="240">
        <f>$C$3</f>
        <v/>
      </c>
      <c r="D1344" s="240">
        <f>$D$3</f>
        <v/>
      </c>
      <c r="E1344" s="240">
        <f>$E$3</f>
        <v/>
      </c>
      <c r="F1344" s="241" t="n">
        <v>25.69</v>
      </c>
      <c r="G1344" s="242" t="n">
        <v>6660227</v>
      </c>
      <c r="H1344" s="241" t="n">
        <v>-0.93</v>
      </c>
      <c r="I1344" s="241" t="n">
        <v>6.02</v>
      </c>
      <c r="J1344" s="241" t="n">
        <v>-26</v>
      </c>
      <c r="K1344" s="241" t="n">
        <v>23.07</v>
      </c>
      <c r="L1344" s="242" t="n">
        <v>1852100</v>
      </c>
      <c r="M1344" s="241" t="n">
        <v>-3.31</v>
      </c>
      <c r="N1344" s="241" t="n">
        <v>6.73</v>
      </c>
      <c r="O1344" s="241" t="n">
        <v>-27.5</v>
      </c>
      <c r="P1344" s="241" t="n">
        <v>1.11</v>
      </c>
    </row>
    <row r="1345">
      <c r="A1345" s="282" t="inlineStr">
        <is>
          <t>2011-07-13</t>
        </is>
      </c>
      <c r="B1345" s="240">
        <f>IFERROR(1/P1345-1,B1344)</f>
        <v/>
      </c>
      <c r="C1345" s="240">
        <f>$C$3</f>
        <v/>
      </c>
      <c r="D1345" s="240">
        <f>$D$3</f>
        <v/>
      </c>
      <c r="E1345" s="240">
        <f>$E$3</f>
        <v/>
      </c>
      <c r="F1345" s="241" t="n">
        <v>26.26</v>
      </c>
      <c r="G1345" s="242" t="n">
        <v>8222117</v>
      </c>
      <c r="H1345" s="241" t="n">
        <v>2.22</v>
      </c>
      <c r="I1345" s="241" t="n">
        <v>8.369999999999999</v>
      </c>
      <c r="J1345" s="241" t="n">
        <v>-24.36</v>
      </c>
      <c r="K1345" s="241" t="n">
        <v>22.97</v>
      </c>
      <c r="L1345" s="242" t="n">
        <v>1634600</v>
      </c>
      <c r="M1345" s="241" t="n">
        <v>-0.36</v>
      </c>
      <c r="N1345" s="241" t="n">
        <v>6.35</v>
      </c>
      <c r="O1345" s="241" t="n">
        <v>-27.76</v>
      </c>
      <c r="P1345" s="241" t="n">
        <v>1.14</v>
      </c>
    </row>
    <row r="1346">
      <c r="A1346" s="282" t="inlineStr">
        <is>
          <t>2011-07-14</t>
        </is>
      </c>
      <c r="B1346" s="240">
        <f>IFERROR(1/P1346-1,B1345)</f>
        <v/>
      </c>
      <c r="C1346" s="240">
        <f>$C$3</f>
        <v/>
      </c>
      <c r="D1346" s="240">
        <f>$D$3</f>
        <v/>
      </c>
      <c r="E1346" s="240">
        <f>$E$3</f>
        <v/>
      </c>
      <c r="F1346" s="241" t="n">
        <v>26.28</v>
      </c>
      <c r="G1346" s="242" t="n">
        <v>7763130</v>
      </c>
      <c r="H1346" s="241" t="n">
        <v>0.08</v>
      </c>
      <c r="I1346" s="241" t="n">
        <v>6.48</v>
      </c>
      <c r="J1346" s="241" t="n">
        <v>-24.3</v>
      </c>
      <c r="K1346" s="241" t="n">
        <v>22.53</v>
      </c>
      <c r="L1346" s="242" t="n">
        <v>3928800</v>
      </c>
      <c r="M1346" s="241" t="n">
        <v>-1.81</v>
      </c>
      <c r="N1346" s="241" t="n">
        <v>2.26</v>
      </c>
      <c r="O1346" s="241" t="n">
        <v>-29.07</v>
      </c>
      <c r="P1346" s="241" t="n">
        <v>1.17</v>
      </c>
    </row>
    <row r="1347">
      <c r="A1347" s="282" t="inlineStr">
        <is>
          <t>2011-07-15</t>
        </is>
      </c>
      <c r="B1347" s="240">
        <f>IFERROR(1/P1347-1,B1346)</f>
        <v/>
      </c>
      <c r="C1347" s="240">
        <f>$C$3</f>
        <v/>
      </c>
      <c r="D1347" s="240">
        <f>$D$3</f>
        <v/>
      </c>
      <c r="E1347" s="240">
        <f>$E$3</f>
        <v/>
      </c>
      <c r="F1347" s="241" t="n">
        <v>26.28</v>
      </c>
      <c r="G1347" s="242" t="n">
        <v>6200549</v>
      </c>
      <c r="H1347" s="241" t="n">
        <v>0</v>
      </c>
      <c r="I1347" s="241" t="n">
        <v>5.34</v>
      </c>
      <c r="J1347" s="241" t="n">
        <v>-24.3</v>
      </c>
      <c r="K1347" s="241" t="n">
        <v>22.58</v>
      </c>
      <c r="L1347" s="242" t="n">
        <v>923800</v>
      </c>
      <c r="M1347" s="241" t="n">
        <v>0.18</v>
      </c>
      <c r="N1347" s="241" t="n">
        <v>-1.63</v>
      </c>
      <c r="O1347" s="241" t="n">
        <v>-28.94</v>
      </c>
      <c r="P1347" s="241" t="n">
        <v>1.16</v>
      </c>
    </row>
    <row r="1348">
      <c r="A1348" s="282" t="inlineStr">
        <is>
          <t>2011-07-18</t>
        </is>
      </c>
      <c r="B1348" s="240">
        <f>IFERROR(1/P1348-1,B1347)</f>
        <v/>
      </c>
      <c r="C1348" s="240">
        <f>$C$3</f>
        <v/>
      </c>
      <c r="D1348" s="240">
        <f>$D$3</f>
        <v/>
      </c>
      <c r="E1348" s="240">
        <f>$E$3</f>
        <v/>
      </c>
      <c r="F1348" s="241" t="n">
        <v>26.56</v>
      </c>
      <c r="G1348" s="242" t="n">
        <v>9374988</v>
      </c>
      <c r="H1348" s="241" t="n">
        <v>1.07</v>
      </c>
      <c r="I1348" s="241" t="n">
        <v>10.56</v>
      </c>
      <c r="J1348" s="241" t="n">
        <v>-23.49</v>
      </c>
      <c r="K1348" s="241" t="n">
        <v>22.36</v>
      </c>
      <c r="L1348" s="242" t="n">
        <v>872514</v>
      </c>
      <c r="M1348" s="241" t="n">
        <v>-0.92</v>
      </c>
      <c r="N1348" s="241" t="n">
        <v>-0.55</v>
      </c>
      <c r="O1348" s="241" t="n">
        <v>-29.59</v>
      </c>
      <c r="P1348" s="241" t="n">
        <v>1.19</v>
      </c>
    </row>
    <row r="1349">
      <c r="A1349" s="282" t="inlineStr">
        <is>
          <t>2011-07-19</t>
        </is>
      </c>
      <c r="B1349" s="240">
        <f>IFERROR(1/P1349-1,B1348)</f>
        <v/>
      </c>
      <c r="C1349" s="240">
        <f>$C$3</f>
        <v/>
      </c>
      <c r="D1349" s="240">
        <f>$D$3</f>
        <v/>
      </c>
      <c r="E1349" s="240">
        <f>$E$3</f>
        <v/>
      </c>
      <c r="F1349" s="241" t="n">
        <v>25.88</v>
      </c>
      <c r="G1349" s="242" t="n">
        <v>8612332</v>
      </c>
      <c r="H1349" s="241" t="n">
        <v>-2.56</v>
      </c>
      <c r="I1349" s="241" t="n">
        <v>7.73</v>
      </c>
      <c r="J1349" s="241" t="n">
        <v>-25.45</v>
      </c>
      <c r="K1349" s="241" t="n">
        <v>21.91</v>
      </c>
      <c r="L1349" s="242" t="n">
        <v>1938900</v>
      </c>
      <c r="M1349" s="241" t="n">
        <v>-2.04</v>
      </c>
      <c r="N1349" s="241" t="n">
        <v>-2.58</v>
      </c>
      <c r="O1349" s="241" t="n">
        <v>-31.03</v>
      </c>
      <c r="P1349" s="241" t="n">
        <v>1.18</v>
      </c>
    </row>
    <row r="1350">
      <c r="A1350" s="282" t="inlineStr">
        <is>
          <t>2011-07-20</t>
        </is>
      </c>
      <c r="B1350" s="240">
        <f>IFERROR(1/P1350-1,B1349)</f>
        <v/>
      </c>
      <c r="C1350" s="240">
        <f>$C$3</f>
        <v/>
      </c>
      <c r="D1350" s="240">
        <f>$D$3</f>
        <v/>
      </c>
      <c r="E1350" s="240">
        <f>$E$3</f>
        <v/>
      </c>
      <c r="F1350" s="241" t="n">
        <v>25.73</v>
      </c>
      <c r="G1350" s="242" t="n">
        <v>5043589</v>
      </c>
      <c r="H1350" s="241" t="n">
        <v>-0.58</v>
      </c>
      <c r="I1350" s="241" t="n">
        <v>7.11</v>
      </c>
      <c r="J1350" s="241" t="n">
        <v>-25.89</v>
      </c>
      <c r="K1350" s="241" t="n">
        <v>21.8</v>
      </c>
      <c r="L1350" s="242" t="n">
        <v>1877814</v>
      </c>
      <c r="M1350" s="241" t="n">
        <v>-0.38</v>
      </c>
      <c r="N1350" s="241" t="n">
        <v>-2.95</v>
      </c>
      <c r="O1350" s="241" t="n">
        <v>-31.29</v>
      </c>
      <c r="P1350" s="241" t="n">
        <v>1.18</v>
      </c>
    </row>
    <row r="1351">
      <c r="A1351" s="282" t="inlineStr">
        <is>
          <t>2011-07-21</t>
        </is>
      </c>
      <c r="B1351" s="240">
        <f>IFERROR(1/P1351-1,B1350)</f>
        <v/>
      </c>
      <c r="C1351" s="240">
        <f>$C$3</f>
        <v/>
      </c>
      <c r="D1351" s="240">
        <f>$D$3</f>
        <v/>
      </c>
      <c r="E1351" s="240">
        <f>$E$3</f>
        <v/>
      </c>
      <c r="F1351" s="241" t="n">
        <v>25.17</v>
      </c>
      <c r="G1351" s="242" t="n">
        <v>6875774</v>
      </c>
      <c r="H1351" s="241" t="n">
        <v>-2.18</v>
      </c>
      <c r="I1351" s="241" t="n">
        <v>7.22</v>
      </c>
      <c r="J1351" s="241" t="n">
        <v>-27.5</v>
      </c>
      <c r="K1351" s="241" t="n">
        <v>21.78</v>
      </c>
      <c r="L1351" s="242" t="n">
        <v>1608200</v>
      </c>
      <c r="M1351" s="241" t="n">
        <v>0</v>
      </c>
      <c r="N1351" s="241" t="n">
        <v>-2.59</v>
      </c>
      <c r="O1351" s="241" t="n">
        <v>-31.29</v>
      </c>
      <c r="P1351" s="241" t="n">
        <v>1.16</v>
      </c>
    </row>
    <row r="1352">
      <c r="A1352" s="282" t="inlineStr">
        <is>
          <t>2011-07-22</t>
        </is>
      </c>
      <c r="B1352" s="240">
        <f>IFERROR(1/P1352-1,B1351)</f>
        <v/>
      </c>
      <c r="C1352" s="240">
        <f>$C$3</f>
        <v/>
      </c>
      <c r="D1352" s="240">
        <f>$D$3</f>
        <v/>
      </c>
      <c r="E1352" s="240">
        <f>$E$3</f>
        <v/>
      </c>
      <c r="F1352" s="241" t="n">
        <v>25.56</v>
      </c>
      <c r="G1352" s="242" t="n">
        <v>7811414</v>
      </c>
      <c r="H1352" s="241" t="n">
        <v>1.55</v>
      </c>
      <c r="I1352" s="241" t="n">
        <v>8.65</v>
      </c>
      <c r="J1352" s="241" t="n">
        <v>-26.38</v>
      </c>
      <c r="K1352" s="241" t="n">
        <v>23.05</v>
      </c>
      <c r="L1352" s="242" t="n">
        <v>3365200</v>
      </c>
      <c r="M1352" s="241" t="n">
        <v>5.89</v>
      </c>
      <c r="N1352" s="241" t="n">
        <v>2.39</v>
      </c>
      <c r="O1352" s="241" t="n">
        <v>-27.24</v>
      </c>
      <c r="P1352" s="241" t="n">
        <v>1.11</v>
      </c>
    </row>
    <row r="1353">
      <c r="A1353" s="282" t="inlineStr">
        <is>
          <t>2011-07-25</t>
        </is>
      </c>
      <c r="B1353" s="240">
        <f>IFERROR(1/P1353-1,B1352)</f>
        <v/>
      </c>
      <c r="C1353" s="240">
        <f>$C$3</f>
        <v/>
      </c>
      <c r="D1353" s="240">
        <f>$D$3</f>
        <v/>
      </c>
      <c r="E1353" s="240">
        <f>$E$3</f>
        <v/>
      </c>
      <c r="F1353" s="241" t="n">
        <v>24.61</v>
      </c>
      <c r="G1353" s="242" t="n">
        <v>9408291</v>
      </c>
      <c r="H1353" s="241" t="n">
        <v>-3.72</v>
      </c>
      <c r="I1353" s="241" t="n">
        <v>-1.95</v>
      </c>
      <c r="J1353" s="241" t="n">
        <v>-29.11</v>
      </c>
      <c r="K1353" s="241" t="n">
        <v>22.6</v>
      </c>
      <c r="L1353" s="242" t="n">
        <v>2137527</v>
      </c>
      <c r="M1353" s="241" t="n">
        <v>-1.97</v>
      </c>
      <c r="N1353" s="241" t="n">
        <v>-2.67</v>
      </c>
      <c r="O1353" s="241" t="n">
        <v>-28.68</v>
      </c>
      <c r="P1353" s="241" t="n">
        <v>1.09</v>
      </c>
    </row>
    <row r="1354">
      <c r="A1354" s="282" t="inlineStr">
        <is>
          <t>2011-07-26</t>
        </is>
      </c>
      <c r="B1354" s="240">
        <f>IFERROR(1/P1354-1,B1353)</f>
        <v/>
      </c>
      <c r="C1354" s="240">
        <f>$C$3</f>
        <v/>
      </c>
      <c r="D1354" s="240">
        <f>$D$3</f>
        <v/>
      </c>
      <c r="E1354" s="240">
        <f>$E$3</f>
        <v/>
      </c>
      <c r="F1354" s="241" t="n">
        <v>24.37</v>
      </c>
      <c r="G1354" s="242" t="n">
        <v>6005424</v>
      </c>
      <c r="H1354" s="241" t="n">
        <v>-0.98</v>
      </c>
      <c r="I1354" s="241" t="n">
        <v>-2.91</v>
      </c>
      <c r="J1354" s="241" t="n">
        <v>-29.8</v>
      </c>
      <c r="K1354" s="241" t="n">
        <v>22.88</v>
      </c>
      <c r="L1354" s="242" t="n">
        <v>2247977</v>
      </c>
      <c r="M1354" s="241" t="n">
        <v>1.28</v>
      </c>
      <c r="N1354" s="241" t="n">
        <v>-1.43</v>
      </c>
      <c r="O1354" s="241" t="n">
        <v>-27.76</v>
      </c>
      <c r="P1354" s="241" t="n">
        <v>1.07</v>
      </c>
    </row>
    <row r="1355">
      <c r="A1355" s="282" t="inlineStr">
        <is>
          <t>2011-07-27</t>
        </is>
      </c>
      <c r="B1355" s="240">
        <f>IFERROR(1/P1355-1,B1354)</f>
        <v/>
      </c>
      <c r="C1355" s="240">
        <f>$C$3</f>
        <v/>
      </c>
      <c r="D1355" s="240">
        <f>$D$3</f>
        <v/>
      </c>
      <c r="E1355" s="240">
        <f>$E$3</f>
        <v/>
      </c>
      <c r="F1355" s="241" t="n">
        <v>24.56</v>
      </c>
      <c r="G1355" s="242" t="n">
        <v>5757852</v>
      </c>
      <c r="H1355" s="241" t="n">
        <v>0.78</v>
      </c>
      <c r="I1355" s="241" t="n">
        <v>-2.15</v>
      </c>
      <c r="J1355" s="241" t="n">
        <v>-29.26</v>
      </c>
      <c r="K1355" s="241" t="n">
        <v>23.82</v>
      </c>
      <c r="L1355" s="242" t="n">
        <v>4210400</v>
      </c>
      <c r="M1355" s="241" t="n">
        <v>4.16</v>
      </c>
      <c r="N1355" s="241" t="n">
        <v>2.67</v>
      </c>
      <c r="O1355" s="241" t="n">
        <v>-24.76</v>
      </c>
      <c r="P1355" s="241" t="n">
        <v>1.03</v>
      </c>
    </row>
    <row r="1356">
      <c r="A1356" s="282" t="inlineStr">
        <is>
          <t>2011-07-28</t>
        </is>
      </c>
      <c r="B1356" s="240">
        <f>IFERROR(1/P1356-1,B1355)</f>
        <v/>
      </c>
      <c r="C1356" s="240">
        <f>$C$3</f>
        <v/>
      </c>
      <c r="D1356" s="240">
        <f>$D$3</f>
        <v/>
      </c>
      <c r="E1356" s="240">
        <f>$E$3</f>
        <v/>
      </c>
      <c r="F1356" s="241" t="n">
        <v>24.75</v>
      </c>
      <c r="G1356" s="242" t="n">
        <v>7721901</v>
      </c>
      <c r="H1356" s="241" t="n">
        <v>0.77</v>
      </c>
      <c r="I1356" s="241" t="n">
        <v>-3.73</v>
      </c>
      <c r="J1356" s="241" t="n">
        <v>-28.71</v>
      </c>
      <c r="K1356" s="241" t="n">
        <v>23.98</v>
      </c>
      <c r="L1356" s="242" t="n">
        <v>2375500</v>
      </c>
      <c r="M1356" s="241" t="n">
        <v>0.6899999999999999</v>
      </c>
      <c r="N1356" s="241" t="n">
        <v>0.87</v>
      </c>
      <c r="O1356" s="241" t="n">
        <v>-24.24</v>
      </c>
      <c r="P1356" s="241" t="n">
        <v>1.03</v>
      </c>
    </row>
    <row r="1357">
      <c r="A1357" s="282" t="inlineStr">
        <is>
          <t>2011-07-29</t>
        </is>
      </c>
      <c r="B1357" s="240">
        <f>IFERROR(1/P1357-1,B1356)</f>
        <v/>
      </c>
      <c r="C1357" s="240">
        <f>$C$3</f>
        <v/>
      </c>
      <c r="D1357" s="240">
        <f>$D$3</f>
        <v/>
      </c>
      <c r="E1357" s="240">
        <f>$E$3</f>
        <v/>
      </c>
      <c r="F1357" s="241" t="n">
        <v>24.48</v>
      </c>
      <c r="G1357" s="242" t="n">
        <v>5299445</v>
      </c>
      <c r="H1357" s="241" t="n">
        <v>-1.09</v>
      </c>
      <c r="I1357" s="241" t="n">
        <v>-4.75</v>
      </c>
      <c r="J1357" s="241" t="n">
        <v>-29.49</v>
      </c>
      <c r="K1357" s="241" t="n">
        <v>23.36</v>
      </c>
      <c r="L1357" s="242" t="n">
        <v>1174000</v>
      </c>
      <c r="M1357" s="241" t="n">
        <v>-2.59</v>
      </c>
      <c r="N1357" s="241" t="n">
        <v>-3.25</v>
      </c>
      <c r="O1357" s="241" t="n">
        <v>-26.2</v>
      </c>
      <c r="P1357" s="241" t="n">
        <v>1.05</v>
      </c>
    </row>
    <row r="1358">
      <c r="A1358" s="282" t="inlineStr">
        <is>
          <t>2011-08-01</t>
        </is>
      </c>
      <c r="B1358" s="240">
        <f>IFERROR(1/P1358-1,B1357)</f>
        <v/>
      </c>
      <c r="C1358" s="240">
        <f>$C$3</f>
        <v/>
      </c>
      <c r="D1358" s="240">
        <f>$D$3</f>
        <v/>
      </c>
      <c r="E1358" s="240">
        <f>$E$3</f>
        <v/>
      </c>
      <c r="F1358" s="241" t="n">
        <v>24.92</v>
      </c>
      <c r="G1358" s="242" t="n">
        <v>4901898</v>
      </c>
      <c r="H1358" s="241" t="n">
        <v>1.8</v>
      </c>
      <c r="I1358" s="241" t="n">
        <v>-2.27</v>
      </c>
      <c r="J1358" s="241" t="n">
        <v>-28.22</v>
      </c>
      <c r="K1358" s="241" t="n">
        <v>23.39</v>
      </c>
      <c r="L1358" s="242" t="n">
        <v>1547500</v>
      </c>
      <c r="M1358" s="241" t="n">
        <v>0.18</v>
      </c>
      <c r="N1358" s="241" t="n">
        <v>-1.91</v>
      </c>
      <c r="O1358" s="241" t="n">
        <v>-26.06</v>
      </c>
      <c r="P1358" s="241" t="n">
        <v>1.07</v>
      </c>
    </row>
    <row r="1359">
      <c r="A1359" s="282" t="inlineStr">
        <is>
          <t>2011-08-02</t>
        </is>
      </c>
      <c r="B1359" s="240">
        <f>IFERROR(1/P1359-1,B1358)</f>
        <v/>
      </c>
      <c r="C1359" s="240">
        <f>$C$3</f>
        <v/>
      </c>
      <c r="D1359" s="240">
        <f>$D$3</f>
        <v/>
      </c>
      <c r="E1359" s="240">
        <f>$E$3</f>
        <v/>
      </c>
      <c r="F1359" s="241" t="n">
        <v>24.6</v>
      </c>
      <c r="G1359" s="242" t="n">
        <v>4494711</v>
      </c>
      <c r="H1359" s="241" t="n">
        <v>-1.28</v>
      </c>
      <c r="I1359" s="241" t="n">
        <v>-4.17</v>
      </c>
      <c r="J1359" s="241" t="n">
        <v>-29.14</v>
      </c>
      <c r="K1359" s="241" t="n">
        <v>22.57</v>
      </c>
      <c r="L1359" s="242" t="n">
        <v>1190950</v>
      </c>
      <c r="M1359" s="241" t="n">
        <v>-3.53</v>
      </c>
      <c r="N1359" s="241" t="n">
        <v>-5.37</v>
      </c>
      <c r="O1359" s="241" t="n">
        <v>-28.68</v>
      </c>
      <c r="P1359" s="241" t="n">
        <v>1.09</v>
      </c>
    </row>
    <row r="1360">
      <c r="A1360" s="282" t="inlineStr">
        <is>
          <t>2011-08-03</t>
        </is>
      </c>
      <c r="B1360" s="240">
        <f>IFERROR(1/P1360-1,B1359)</f>
        <v/>
      </c>
      <c r="C1360" s="240">
        <f>$C$3</f>
        <v/>
      </c>
      <c r="D1360" s="240">
        <f>$D$3</f>
        <v/>
      </c>
      <c r="E1360" s="240">
        <f>$E$3</f>
        <v/>
      </c>
      <c r="F1360" s="241" t="n">
        <v>25.02</v>
      </c>
      <c r="G1360" s="242" t="n">
        <v>6631847</v>
      </c>
      <c r="H1360" s="241" t="n">
        <v>1.71</v>
      </c>
      <c r="I1360" s="241" t="n">
        <v>-2.53</v>
      </c>
      <c r="J1360" s="241" t="n">
        <v>-27.93</v>
      </c>
      <c r="K1360" s="241" t="n">
        <v>22.36</v>
      </c>
      <c r="L1360" s="242" t="n">
        <v>1247600</v>
      </c>
      <c r="M1360" s="241" t="n">
        <v>-0.92</v>
      </c>
      <c r="N1360" s="241" t="n">
        <v>-6.24</v>
      </c>
      <c r="O1360" s="241" t="n">
        <v>-29.33</v>
      </c>
      <c r="P1360" s="241" t="n">
        <v>1.12</v>
      </c>
    </row>
    <row r="1361">
      <c r="A1361" s="282" t="inlineStr">
        <is>
          <t>2011-08-04</t>
        </is>
      </c>
      <c r="B1361" s="240">
        <f>IFERROR(1/P1361-1,B1360)</f>
        <v/>
      </c>
      <c r="C1361" s="240">
        <f>$C$3</f>
        <v/>
      </c>
      <c r="D1361" s="240">
        <f>$D$3</f>
        <v/>
      </c>
      <c r="E1361" s="240">
        <f>$E$3</f>
        <v/>
      </c>
      <c r="F1361" s="241" t="n">
        <v>24.97</v>
      </c>
      <c r="G1361" s="242" t="n">
        <v>4733338</v>
      </c>
      <c r="H1361" s="241" t="n">
        <v>-0.2</v>
      </c>
      <c r="I1361" s="241" t="n">
        <v>-2.73</v>
      </c>
      <c r="J1361" s="241" t="n">
        <v>-28.07</v>
      </c>
      <c r="K1361" s="241" t="n">
        <v>22.42</v>
      </c>
      <c r="L1361" s="242" t="n">
        <v>1073000</v>
      </c>
      <c r="M1361" s="241" t="n">
        <v>0.37</v>
      </c>
      <c r="N1361" s="241" t="n">
        <v>-5.89</v>
      </c>
      <c r="O1361" s="241" t="n">
        <v>-29.07</v>
      </c>
      <c r="P1361" s="241" t="n">
        <v>1.11</v>
      </c>
    </row>
    <row r="1362">
      <c r="A1362" s="282" t="inlineStr">
        <is>
          <t>2011-08-05</t>
        </is>
      </c>
      <c r="B1362" s="240">
        <f>IFERROR(1/P1362-1,B1361)</f>
        <v/>
      </c>
      <c r="C1362" s="240">
        <f>$C$3</f>
        <v/>
      </c>
      <c r="D1362" s="240">
        <f>$D$3</f>
        <v/>
      </c>
      <c r="E1362" s="240">
        <f>$E$3</f>
        <v/>
      </c>
      <c r="F1362" s="241" t="n">
        <v>24.4</v>
      </c>
      <c r="G1362" s="242" t="n">
        <v>7311114</v>
      </c>
      <c r="H1362" s="241" t="n">
        <v>-2.28</v>
      </c>
      <c r="I1362" s="241" t="n">
        <v>-6.98</v>
      </c>
      <c r="J1362" s="241" t="n">
        <v>-29.72</v>
      </c>
      <c r="K1362" s="241" t="n">
        <v>21.35</v>
      </c>
      <c r="L1362" s="242" t="n">
        <v>2373600</v>
      </c>
      <c r="M1362" s="241" t="n">
        <v>-4.79</v>
      </c>
      <c r="N1362" s="241" t="n">
        <v>-11.47</v>
      </c>
      <c r="O1362" s="241" t="n">
        <v>-32.47</v>
      </c>
      <c r="P1362" s="241" t="n">
        <v>1.14</v>
      </c>
    </row>
    <row r="1363">
      <c r="A1363" s="282" t="inlineStr">
        <is>
          <t>2011-08-08</t>
        </is>
      </c>
      <c r="B1363" s="240">
        <f>IFERROR(1/P1363-1,B1362)</f>
        <v/>
      </c>
      <c r="C1363" s="240">
        <f>$C$3</f>
        <v/>
      </c>
      <c r="D1363" s="240">
        <f>$D$3</f>
        <v/>
      </c>
      <c r="E1363" s="240">
        <f>$E$3</f>
        <v/>
      </c>
      <c r="F1363" s="241" t="n">
        <v>23.85</v>
      </c>
      <c r="G1363" s="242" t="n">
        <v>13375355</v>
      </c>
      <c r="H1363" s="241" t="n">
        <v>-2.25</v>
      </c>
      <c r="I1363" s="241" t="n">
        <v>-10.1</v>
      </c>
      <c r="J1363" s="241" t="n">
        <v>-31.3</v>
      </c>
      <c r="K1363" s="241" t="n">
        <v>20.51</v>
      </c>
      <c r="L1363" s="242" t="n">
        <v>3194100</v>
      </c>
      <c r="M1363" s="241" t="n">
        <v>-3.67</v>
      </c>
      <c r="N1363" s="241" t="n">
        <v>-15.88</v>
      </c>
      <c r="O1363" s="241" t="n">
        <v>-34.95</v>
      </c>
      <c r="P1363" s="241" t="n">
        <v>1.16</v>
      </c>
    </row>
    <row r="1364">
      <c r="A1364" s="282" t="inlineStr">
        <is>
          <t>2011-08-09</t>
        </is>
      </c>
      <c r="B1364" s="240">
        <f>IFERROR(1/P1364-1,B1363)</f>
        <v/>
      </c>
      <c r="C1364" s="240">
        <f>$C$3</f>
        <v/>
      </c>
      <c r="D1364" s="240">
        <f>$D$3</f>
        <v/>
      </c>
      <c r="E1364" s="240">
        <f>$E$3</f>
        <v/>
      </c>
      <c r="F1364" s="241" t="n">
        <v>23.48</v>
      </c>
      <c r="G1364" s="242" t="n">
        <v>9202673</v>
      </c>
      <c r="H1364" s="241" t="n">
        <v>-1.55</v>
      </c>
      <c r="I1364" s="241" t="n">
        <v>-10.93</v>
      </c>
      <c r="J1364" s="241" t="n">
        <v>-32.37</v>
      </c>
      <c r="K1364" s="241" t="n">
        <v>19.44</v>
      </c>
      <c r="L1364" s="242" t="n">
        <v>2558176</v>
      </c>
      <c r="M1364" s="241" t="n">
        <v>-5.22</v>
      </c>
      <c r="N1364" s="241" t="n">
        <v>-20.14</v>
      </c>
      <c r="O1364" s="241" t="n">
        <v>-38.34</v>
      </c>
      <c r="P1364" s="241" t="n">
        <v>1.21</v>
      </c>
    </row>
    <row r="1365">
      <c r="A1365" s="282" t="inlineStr">
        <is>
          <t>2011-08-10</t>
        </is>
      </c>
      <c r="B1365" s="240">
        <f>IFERROR(1/P1365-1,B1364)</f>
        <v/>
      </c>
      <c r="C1365" s="240">
        <f>$C$3</f>
        <v/>
      </c>
      <c r="D1365" s="240">
        <f>$D$3</f>
        <v/>
      </c>
      <c r="E1365" s="240">
        <f>$E$3</f>
        <v/>
      </c>
      <c r="F1365" s="241" t="n">
        <v>23.83</v>
      </c>
      <c r="G1365" s="242" t="n">
        <v>8125738</v>
      </c>
      <c r="H1365" s="241" t="n">
        <v>1.49</v>
      </c>
      <c r="I1365" s="241" t="n">
        <v>-9.6</v>
      </c>
      <c r="J1365" s="241" t="n">
        <v>-31.36</v>
      </c>
      <c r="K1365" s="241" t="n">
        <v>19.11</v>
      </c>
      <c r="L1365" s="242" t="n">
        <v>2139221</v>
      </c>
      <c r="M1365" s="241" t="n">
        <v>-1.48</v>
      </c>
      <c r="N1365" s="241" t="n">
        <v>-21.32</v>
      </c>
      <c r="O1365" s="241" t="n">
        <v>-39.26</v>
      </c>
      <c r="P1365" s="241" t="n">
        <v>1.25</v>
      </c>
    </row>
    <row r="1366">
      <c r="A1366" s="282" t="inlineStr">
        <is>
          <t>2011-08-11</t>
        </is>
      </c>
      <c r="B1366" s="240">
        <f>IFERROR(1/P1366-1,B1365)</f>
        <v/>
      </c>
      <c r="C1366" s="240">
        <f>$C$3</f>
        <v/>
      </c>
      <c r="D1366" s="240">
        <f>$D$3</f>
        <v/>
      </c>
      <c r="E1366" s="240">
        <f>$E$3</f>
        <v/>
      </c>
      <c r="F1366" s="241" t="n">
        <v>23.82</v>
      </c>
      <c r="G1366" s="242" t="n">
        <v>5664687</v>
      </c>
      <c r="H1366" s="241" t="n">
        <v>-0.04</v>
      </c>
      <c r="I1366" s="241" t="n">
        <v>-9.640000000000001</v>
      </c>
      <c r="J1366" s="241" t="n">
        <v>-31.39</v>
      </c>
      <c r="K1366" s="241" t="n">
        <v>18.31</v>
      </c>
      <c r="L1366" s="242" t="n">
        <v>3242602</v>
      </c>
      <c r="M1366" s="241" t="n">
        <v>-3.87</v>
      </c>
      <c r="N1366" s="241" t="n">
        <v>-24.37</v>
      </c>
      <c r="O1366" s="241" t="n">
        <v>-41.61</v>
      </c>
      <c r="P1366" s="241" t="n">
        <v>1.3</v>
      </c>
    </row>
    <row r="1367">
      <c r="A1367" s="282" t="inlineStr">
        <is>
          <t>2011-08-12</t>
        </is>
      </c>
      <c r="B1367" s="240">
        <f>IFERROR(1/P1367-1,B1366)</f>
        <v/>
      </c>
      <c r="C1367" s="240">
        <f>$C$3</f>
        <v/>
      </c>
      <c r="D1367" s="240">
        <f>$D$3</f>
        <v/>
      </c>
      <c r="E1367" s="240">
        <f>$E$3</f>
        <v/>
      </c>
      <c r="F1367" s="241" t="n">
        <v>23.96</v>
      </c>
      <c r="G1367" s="242" t="n">
        <v>5836266</v>
      </c>
      <c r="H1367" s="241" t="n">
        <v>0.59</v>
      </c>
      <c r="I1367" s="241" t="n">
        <v>-7.6</v>
      </c>
      <c r="J1367" s="241" t="n">
        <v>-30.98</v>
      </c>
      <c r="K1367" s="241" t="n">
        <v>19</v>
      </c>
      <c r="L1367" s="242" t="n">
        <v>4191451</v>
      </c>
      <c r="M1367" s="241" t="n">
        <v>3.58</v>
      </c>
      <c r="N1367" s="241" t="n">
        <v>-19.34</v>
      </c>
      <c r="O1367" s="241" t="n">
        <v>-39.52</v>
      </c>
      <c r="P1367" s="241" t="n">
        <v>1.26</v>
      </c>
    </row>
    <row r="1368">
      <c r="A1368" s="282" t="inlineStr">
        <is>
          <t>2011-08-15</t>
        </is>
      </c>
      <c r="B1368" s="240">
        <f>IFERROR(1/P1368-1,B1367)</f>
        <v/>
      </c>
      <c r="C1368" s="240">
        <f>$C$3</f>
        <v/>
      </c>
      <c r="D1368" s="240">
        <f>$D$3</f>
        <v/>
      </c>
      <c r="E1368" s="240">
        <f>$E$3</f>
        <v/>
      </c>
      <c r="F1368" s="241" t="n">
        <v>24.51</v>
      </c>
      <c r="G1368" s="242" t="n">
        <v>7945976</v>
      </c>
      <c r="H1368" s="241" t="n">
        <v>2.3</v>
      </c>
      <c r="I1368" s="241" t="n">
        <v>-6.74</v>
      </c>
      <c r="J1368" s="241" t="n">
        <v>-29.4</v>
      </c>
      <c r="K1368" s="241" t="n">
        <v>20.47</v>
      </c>
      <c r="L1368" s="242" t="n">
        <v>2006801</v>
      </c>
      <c r="M1368" s="241" t="n">
        <v>7.78</v>
      </c>
      <c r="N1368" s="241" t="n">
        <v>-8.1</v>
      </c>
      <c r="O1368" s="241" t="n">
        <v>-34.82</v>
      </c>
      <c r="P1368" s="241" t="n">
        <v>1.2</v>
      </c>
    </row>
    <row r="1369">
      <c r="A1369" s="282" t="inlineStr">
        <is>
          <t>2011-08-16</t>
        </is>
      </c>
      <c r="B1369" s="240">
        <f>IFERROR(1/P1369-1,B1368)</f>
        <v/>
      </c>
      <c r="C1369" s="240">
        <f>$C$3</f>
        <v/>
      </c>
      <c r="D1369" s="240">
        <f>$D$3</f>
        <v/>
      </c>
      <c r="E1369" s="240">
        <f>$E$3</f>
        <v/>
      </c>
      <c r="F1369" s="241" t="n">
        <v>24.34</v>
      </c>
      <c r="G1369" s="242" t="n">
        <v>5672318</v>
      </c>
      <c r="H1369" s="241" t="n">
        <v>-0.6899999999999999</v>
      </c>
      <c r="I1369" s="241" t="n">
        <v>-7.38</v>
      </c>
      <c r="J1369" s="241" t="n">
        <v>-29.89</v>
      </c>
      <c r="K1369" s="241" t="n">
        <v>21.58</v>
      </c>
      <c r="L1369" s="242" t="n">
        <v>4304800</v>
      </c>
      <c r="M1369" s="241" t="n">
        <v>5.41</v>
      </c>
      <c r="N1369" s="241" t="n">
        <v>-3.31</v>
      </c>
      <c r="O1369" s="241" t="n">
        <v>-31.29</v>
      </c>
      <c r="P1369" s="241" t="n">
        <v>1.13</v>
      </c>
    </row>
    <row r="1370">
      <c r="A1370" s="282" t="inlineStr">
        <is>
          <t>2011-08-17</t>
        </is>
      </c>
      <c r="B1370" s="240">
        <f>IFERROR(1/P1370-1,B1369)</f>
        <v/>
      </c>
      <c r="C1370" s="240">
        <f>$C$3</f>
        <v/>
      </c>
      <c r="D1370" s="240">
        <f>$D$3</f>
        <v/>
      </c>
      <c r="E1370" s="240">
        <f>$E$3</f>
        <v/>
      </c>
      <c r="F1370" s="241" t="n">
        <v>24.11</v>
      </c>
      <c r="G1370" s="242" t="n">
        <v>4149863</v>
      </c>
      <c r="H1370" s="241" t="n">
        <v>-0.9399999999999999</v>
      </c>
      <c r="I1370" s="241" t="n">
        <v>-8.26</v>
      </c>
      <c r="J1370" s="241" t="n">
        <v>-30.55</v>
      </c>
      <c r="K1370" s="241" t="n">
        <v>21.93</v>
      </c>
      <c r="L1370" s="242" t="n">
        <v>2475600</v>
      </c>
      <c r="M1370" s="241" t="n">
        <v>1.52</v>
      </c>
      <c r="N1370" s="241" t="n">
        <v>-1.84</v>
      </c>
      <c r="O1370" s="241" t="n">
        <v>-30.24</v>
      </c>
      <c r="P1370" s="241" t="n">
        <v>1.1</v>
      </c>
    </row>
    <row r="1371">
      <c r="A1371" s="282" t="inlineStr">
        <is>
          <t>2011-08-18</t>
        </is>
      </c>
      <c r="B1371" s="240">
        <f>IFERROR(1/P1371-1,B1370)</f>
        <v/>
      </c>
      <c r="C1371" s="240">
        <f>$C$3</f>
        <v/>
      </c>
      <c r="D1371" s="240">
        <f>$D$3</f>
        <v/>
      </c>
      <c r="E1371" s="240">
        <f>$E$3</f>
        <v/>
      </c>
      <c r="F1371" s="241" t="n">
        <v>23.62</v>
      </c>
      <c r="G1371" s="242" t="n">
        <v>5100533</v>
      </c>
      <c r="H1371" s="241" t="n">
        <v>-2.03</v>
      </c>
      <c r="I1371" s="241" t="n">
        <v>-10.12</v>
      </c>
      <c r="J1371" s="241" t="n">
        <v>-31.96</v>
      </c>
      <c r="K1371" s="241" t="n">
        <v>21.26</v>
      </c>
      <c r="L1371" s="242" t="n">
        <v>2213600</v>
      </c>
      <c r="M1371" s="241" t="n">
        <v>-3</v>
      </c>
      <c r="N1371" s="241" t="n">
        <v>-4.78</v>
      </c>
      <c r="O1371" s="241" t="n">
        <v>-32.33</v>
      </c>
      <c r="P1371" s="241" t="n">
        <v>1.11</v>
      </c>
    </row>
    <row r="1372">
      <c r="A1372" s="282" t="inlineStr">
        <is>
          <t>2011-08-19</t>
        </is>
      </c>
      <c r="B1372" s="240">
        <f>IFERROR(1/P1372-1,B1371)</f>
        <v/>
      </c>
      <c r="C1372" s="240">
        <f>$C$3</f>
        <v/>
      </c>
      <c r="D1372" s="240">
        <f>$D$3</f>
        <v/>
      </c>
      <c r="E1372" s="240">
        <f>$E$3</f>
        <v/>
      </c>
      <c r="F1372" s="241" t="n">
        <v>23.38</v>
      </c>
      <c r="G1372" s="242" t="n">
        <v>5341049</v>
      </c>
      <c r="H1372" s="241" t="n">
        <v>-1.02</v>
      </c>
      <c r="I1372" s="241" t="n">
        <v>-11.97</v>
      </c>
      <c r="J1372" s="241" t="n">
        <v>-32.65</v>
      </c>
      <c r="K1372" s="241" t="n">
        <v>19.91</v>
      </c>
      <c r="L1372" s="242" t="n">
        <v>1502400</v>
      </c>
      <c r="M1372" s="241" t="n">
        <v>-6.37</v>
      </c>
      <c r="N1372" s="241" t="n">
        <v>-10.02</v>
      </c>
      <c r="O1372" s="241" t="n">
        <v>-36.65</v>
      </c>
      <c r="P1372" s="241" t="n">
        <v>1.17</v>
      </c>
    </row>
    <row r="1373">
      <c r="A1373" s="282" t="inlineStr">
        <is>
          <t>2011-08-22</t>
        </is>
      </c>
      <c r="B1373" s="240">
        <f>IFERROR(1/P1373-1,B1372)</f>
        <v/>
      </c>
      <c r="C1373" s="240">
        <f>$C$3</f>
        <v/>
      </c>
      <c r="D1373" s="240">
        <f>$D$3</f>
        <v/>
      </c>
      <c r="E1373" s="240">
        <f>$E$3</f>
        <v/>
      </c>
      <c r="F1373" s="241" t="n">
        <v>23.1</v>
      </c>
      <c r="G1373" s="242" t="n">
        <v>4496965</v>
      </c>
      <c r="H1373" s="241" t="n">
        <v>-1.2</v>
      </c>
      <c r="I1373" s="241" t="n">
        <v>-8.220000000000001</v>
      </c>
      <c r="J1373" s="241" t="n">
        <v>-33.46</v>
      </c>
      <c r="K1373" s="241" t="n">
        <v>19.82</v>
      </c>
      <c r="L1373" s="242" t="n">
        <v>3688600</v>
      </c>
      <c r="M1373" s="241" t="n">
        <v>-0.41</v>
      </c>
      <c r="N1373" s="241" t="n">
        <v>-8.17</v>
      </c>
      <c r="O1373" s="241" t="n">
        <v>-36.91</v>
      </c>
      <c r="P1373" s="241" t="n">
        <v>1.17</v>
      </c>
    </row>
    <row r="1374">
      <c r="A1374" s="282" t="inlineStr">
        <is>
          <t>2011-08-23</t>
        </is>
      </c>
      <c r="B1374" s="240">
        <f>IFERROR(1/P1374-1,B1373)</f>
        <v/>
      </c>
      <c r="C1374" s="240">
        <f>$C$3</f>
        <v/>
      </c>
      <c r="D1374" s="240">
        <f>$D$3</f>
        <v/>
      </c>
      <c r="E1374" s="240">
        <f>$E$3</f>
        <v/>
      </c>
      <c r="F1374" s="241" t="n">
        <v>23.43</v>
      </c>
      <c r="G1374" s="242" t="n">
        <v>4418949</v>
      </c>
      <c r="H1374" s="241" t="n">
        <v>1.43</v>
      </c>
      <c r="I1374" s="241" t="n">
        <v>-8.33</v>
      </c>
      <c r="J1374" s="241" t="n">
        <v>-32.51</v>
      </c>
      <c r="K1374" s="241" t="n">
        <v>20.3</v>
      </c>
      <c r="L1374" s="242" t="n">
        <v>3888300</v>
      </c>
      <c r="M1374" s="241" t="n">
        <v>2.48</v>
      </c>
      <c r="N1374" s="241" t="n">
        <v>-11.13</v>
      </c>
      <c r="O1374" s="241" t="n">
        <v>-35.34</v>
      </c>
      <c r="P1374" s="241" t="n">
        <v>1.15</v>
      </c>
    </row>
    <row r="1375">
      <c r="A1375" s="282" t="inlineStr">
        <is>
          <t>2011-08-24</t>
        </is>
      </c>
      <c r="B1375" s="240">
        <f>IFERROR(1/P1375-1,B1374)</f>
        <v/>
      </c>
      <c r="C1375" s="240">
        <f>$C$3</f>
        <v/>
      </c>
      <c r="D1375" s="240">
        <f>$D$3</f>
        <v/>
      </c>
      <c r="E1375" s="240">
        <f>$E$3</f>
        <v/>
      </c>
      <c r="F1375" s="241" t="n">
        <v>23.93</v>
      </c>
      <c r="G1375" s="242" t="n">
        <v>10917950</v>
      </c>
      <c r="H1375" s="241" t="n">
        <v>2.13</v>
      </c>
      <c r="I1375" s="241" t="n">
        <v>-6.38</v>
      </c>
      <c r="J1375" s="241" t="n">
        <v>-31.07</v>
      </c>
      <c r="K1375" s="241" t="n">
        <v>21.55</v>
      </c>
      <c r="L1375" s="242" t="n">
        <v>8037949</v>
      </c>
      <c r="M1375" s="241" t="n">
        <v>6.26</v>
      </c>
      <c r="N1375" s="241" t="n">
        <v>-5.57</v>
      </c>
      <c r="O1375" s="241" t="n">
        <v>-31.29</v>
      </c>
      <c r="P1375" s="241" t="n">
        <v>1.11</v>
      </c>
    </row>
    <row r="1376">
      <c r="A1376" s="282" t="inlineStr">
        <is>
          <t>2011-08-25</t>
        </is>
      </c>
      <c r="B1376" s="240">
        <f>IFERROR(1/P1376-1,B1375)</f>
        <v/>
      </c>
      <c r="C1376" s="240">
        <f>$C$3</f>
        <v/>
      </c>
      <c r="D1376" s="240">
        <f>$D$3</f>
        <v/>
      </c>
      <c r="E1376" s="240">
        <f>$E$3</f>
        <v/>
      </c>
      <c r="F1376" s="241" t="n">
        <v>24.39</v>
      </c>
      <c r="G1376" s="242" t="n">
        <v>8687231</v>
      </c>
      <c r="H1376" s="241" t="n">
        <v>1.92</v>
      </c>
      <c r="I1376" s="241" t="n">
        <v>-4.58</v>
      </c>
      <c r="J1376" s="241" t="n">
        <v>-29.75</v>
      </c>
      <c r="K1376" s="241" t="n">
        <v>21.61</v>
      </c>
      <c r="L1376" s="242" t="n">
        <v>3448400</v>
      </c>
      <c r="M1376" s="241" t="n">
        <v>0.19</v>
      </c>
      <c r="N1376" s="241" t="n">
        <v>-5.39</v>
      </c>
      <c r="O1376" s="241" t="n">
        <v>-31.16</v>
      </c>
      <c r="P1376" s="241" t="n">
        <v>1.13</v>
      </c>
    </row>
    <row r="1377">
      <c r="A1377" s="282" t="inlineStr">
        <is>
          <t>2011-08-26</t>
        </is>
      </c>
      <c r="B1377" s="240">
        <f>IFERROR(1/P1377-1,B1376)</f>
        <v/>
      </c>
      <c r="C1377" s="240">
        <f>$C$3</f>
        <v/>
      </c>
      <c r="D1377" s="240">
        <f>$D$3</f>
        <v/>
      </c>
      <c r="E1377" s="240">
        <f>$E$3</f>
        <v/>
      </c>
      <c r="F1377" s="241" t="n">
        <v>24.36</v>
      </c>
      <c r="G1377" s="242" t="n">
        <v>4389092</v>
      </c>
      <c r="H1377" s="241" t="n">
        <v>-0.12</v>
      </c>
      <c r="I1377" s="241" t="n">
        <v>-1.02</v>
      </c>
      <c r="J1377" s="241" t="n">
        <v>-29.83</v>
      </c>
      <c r="K1377" s="241" t="n">
        <v>21</v>
      </c>
      <c r="L1377" s="242" t="n">
        <v>1662500</v>
      </c>
      <c r="M1377" s="241" t="n">
        <v>-2.85</v>
      </c>
      <c r="N1377" s="241" t="n">
        <v>-6.23</v>
      </c>
      <c r="O1377" s="241" t="n">
        <v>-33.12</v>
      </c>
      <c r="P1377" s="241" t="n">
        <v>1.16</v>
      </c>
    </row>
    <row r="1378">
      <c r="A1378" s="282" t="inlineStr">
        <is>
          <t>2011-08-29</t>
        </is>
      </c>
      <c r="B1378" s="240">
        <f>IFERROR(1/P1378-1,B1377)</f>
        <v/>
      </c>
      <c r="C1378" s="240">
        <f>$C$3</f>
        <v/>
      </c>
      <c r="D1378" s="240">
        <f>$D$3</f>
        <v/>
      </c>
      <c r="E1378" s="240">
        <f>$E$3</f>
        <v/>
      </c>
      <c r="F1378" s="241" t="n">
        <v>23.71</v>
      </c>
      <c r="G1378" s="242" t="n">
        <v>6287844</v>
      </c>
      <c r="H1378" s="241" t="n">
        <v>-2.67</v>
      </c>
      <c r="I1378" s="241" t="n">
        <v>-4.2</v>
      </c>
      <c r="J1378" s="241" t="n">
        <v>-31.7</v>
      </c>
      <c r="K1378" s="241" t="n">
        <v>20.9</v>
      </c>
      <c r="L1378" s="242" t="n">
        <v>1471000</v>
      </c>
      <c r="M1378" s="241" t="n">
        <v>-0.39</v>
      </c>
      <c r="N1378" s="241" t="n">
        <v>-12.07</v>
      </c>
      <c r="O1378" s="241" t="n">
        <v>-33.38</v>
      </c>
      <c r="P1378" s="241" t="n">
        <v>1.13</v>
      </c>
    </row>
    <row r="1379">
      <c r="A1379" s="282" t="inlineStr">
        <is>
          <t>2011-08-30</t>
        </is>
      </c>
      <c r="B1379" s="240">
        <f>IFERROR(1/P1379-1,B1378)</f>
        <v/>
      </c>
      <c r="C1379" s="240">
        <f>$C$3</f>
        <v/>
      </c>
      <c r="D1379" s="240">
        <f>$D$3</f>
        <v/>
      </c>
      <c r="E1379" s="240">
        <f>$E$3</f>
        <v/>
      </c>
      <c r="F1379" s="241" t="n">
        <v>23.72</v>
      </c>
      <c r="G1379" s="242" t="n">
        <v>6811342</v>
      </c>
      <c r="H1379" s="241" t="n">
        <v>0.04</v>
      </c>
      <c r="I1379" s="241" t="n">
        <v>-3.1</v>
      </c>
      <c r="J1379" s="241" t="n">
        <v>-31.68</v>
      </c>
      <c r="K1379" s="241" t="n">
        <v>21.06</v>
      </c>
      <c r="L1379" s="242" t="n">
        <v>1533854</v>
      </c>
      <c r="M1379" s="241" t="n">
        <v>0.78</v>
      </c>
      <c r="N1379" s="241" t="n">
        <v>-9.029999999999999</v>
      </c>
      <c r="O1379" s="241" t="n">
        <v>-32.86</v>
      </c>
      <c r="P1379" s="241" t="n">
        <v>1.13</v>
      </c>
    </row>
    <row r="1380">
      <c r="A1380" s="282" t="inlineStr">
        <is>
          <t>2011-08-31</t>
        </is>
      </c>
      <c r="B1380" s="240">
        <f>IFERROR(1/P1380-1,B1379)</f>
        <v/>
      </c>
      <c r="C1380" s="240">
        <f>$C$3</f>
        <v/>
      </c>
      <c r="D1380" s="240">
        <f>$D$3</f>
        <v/>
      </c>
      <c r="E1380" s="240">
        <f>$E$3</f>
        <v/>
      </c>
      <c r="F1380" s="241" t="n">
        <v>23.81</v>
      </c>
      <c r="G1380" s="242" t="n">
        <v>2609794</v>
      </c>
      <c r="H1380" s="241" t="n">
        <v>0.38</v>
      </c>
      <c r="I1380" s="241" t="n">
        <v>-2.74</v>
      </c>
      <c r="J1380" s="241" t="n">
        <v>-31.42</v>
      </c>
      <c r="K1380" s="241" t="n">
        <v>21.71</v>
      </c>
      <c r="L1380" s="242" t="n">
        <v>2212697</v>
      </c>
      <c r="M1380" s="241" t="n">
        <v>3.11</v>
      </c>
      <c r="N1380" s="241" t="n">
        <v>-6.19</v>
      </c>
      <c r="O1380" s="241" t="n">
        <v>-30.77</v>
      </c>
      <c r="P1380" s="241" t="n">
        <v>1.1</v>
      </c>
    </row>
    <row r="1381">
      <c r="A1381" s="282" t="inlineStr">
        <is>
          <t>2011-09-01</t>
        </is>
      </c>
      <c r="B1381" s="240">
        <f>IFERROR(1/P1381-1,B1380)</f>
        <v/>
      </c>
      <c r="C1381" s="240">
        <f>$C$3</f>
        <v/>
      </c>
      <c r="D1381" s="240">
        <f>$D$3</f>
        <v/>
      </c>
      <c r="E1381" s="240">
        <f>$E$3</f>
        <v/>
      </c>
      <c r="F1381" s="241" t="n">
        <v>23.85</v>
      </c>
      <c r="G1381" s="242" t="n">
        <v>3674070</v>
      </c>
      <c r="H1381" s="241" t="n">
        <v>0.17</v>
      </c>
      <c r="I1381" s="241" t="n">
        <v>-2.57</v>
      </c>
      <c r="J1381" s="241" t="n">
        <v>-31.3</v>
      </c>
      <c r="K1381" s="241" t="n">
        <v>22.26</v>
      </c>
      <c r="L1381" s="242" t="n">
        <v>3112254</v>
      </c>
      <c r="M1381" s="241" t="n">
        <v>2.45</v>
      </c>
      <c r="N1381" s="241" t="n">
        <v>-3.89</v>
      </c>
      <c r="O1381" s="241" t="n">
        <v>-29.07</v>
      </c>
      <c r="P1381" s="241" t="n">
        <v>1.07</v>
      </c>
    </row>
    <row r="1382">
      <c r="A1382" s="282" t="inlineStr">
        <is>
          <t>2011-09-02</t>
        </is>
      </c>
      <c r="B1382" s="240">
        <f>IFERROR(1/P1382-1,B1381)</f>
        <v/>
      </c>
      <c r="C1382" s="240">
        <f>$C$3</f>
        <v/>
      </c>
      <c r="D1382" s="240">
        <f>$D$3</f>
        <v/>
      </c>
      <c r="E1382" s="240">
        <f>$E$3</f>
        <v/>
      </c>
      <c r="F1382" s="241" t="n">
        <v>23.91</v>
      </c>
      <c r="G1382" s="242" t="n">
        <v>4709366</v>
      </c>
      <c r="H1382" s="241" t="n">
        <v>0.25</v>
      </c>
      <c r="I1382" s="241" t="n">
        <v>-4.05</v>
      </c>
      <c r="J1382" s="241" t="n">
        <v>-31.13</v>
      </c>
      <c r="K1382" s="241" t="n">
        <v>21.21</v>
      </c>
      <c r="L1382" s="242" t="n">
        <v>2097660</v>
      </c>
      <c r="M1382" s="241" t="n">
        <v>-4.79</v>
      </c>
      <c r="N1382" s="241" t="n">
        <v>-8.66</v>
      </c>
      <c r="O1382" s="241" t="n">
        <v>-32.47</v>
      </c>
      <c r="P1382" s="241" t="n">
        <v>1.13</v>
      </c>
    </row>
    <row r="1383">
      <c r="A1383" s="282" t="inlineStr">
        <is>
          <t>2011-09-05</t>
        </is>
      </c>
      <c r="B1383" s="240">
        <f>IFERROR(1/P1383-1,B1382)</f>
        <v/>
      </c>
      <c r="C1383" s="240">
        <f>$C$3</f>
        <v/>
      </c>
      <c r="D1383" s="240">
        <f>$D$3</f>
        <v/>
      </c>
      <c r="E1383" s="240">
        <f>$E$3</f>
        <v/>
      </c>
      <c r="F1383" s="241" t="n">
        <v>23.32</v>
      </c>
      <c r="G1383" s="242" t="n">
        <v>3528914</v>
      </c>
      <c r="H1383" s="241" t="n">
        <v>-2.47</v>
      </c>
      <c r="I1383" s="241" t="n">
        <v>-6.61</v>
      </c>
      <c r="J1383" s="241" t="n">
        <v>-32.83</v>
      </c>
      <c r="K1383" s="241" t="n">
        <v>20.14</v>
      </c>
      <c r="L1383" s="242" t="n">
        <v>1295100</v>
      </c>
      <c r="M1383" s="241" t="n">
        <v>-5.03</v>
      </c>
      <c r="N1383" s="241" t="n">
        <v>-9.58</v>
      </c>
      <c r="O1383" s="241" t="n">
        <v>-35.86</v>
      </c>
      <c r="P1383" s="241" t="n">
        <v>1.16</v>
      </c>
    </row>
    <row r="1384">
      <c r="A1384" s="282" t="inlineStr">
        <is>
          <t>2011-09-06</t>
        </is>
      </c>
      <c r="B1384" s="240">
        <f>IFERROR(1/P1384-1,B1383)</f>
        <v/>
      </c>
      <c r="C1384" s="240">
        <f>$C$3</f>
        <v/>
      </c>
      <c r="D1384" s="240">
        <f>$D$3</f>
        <v/>
      </c>
      <c r="E1384" s="240">
        <f>$E$3</f>
        <v/>
      </c>
      <c r="F1384" s="241" t="n">
        <v>23.01</v>
      </c>
      <c r="G1384" s="242" t="n">
        <v>4175829</v>
      </c>
      <c r="H1384" s="241" t="n">
        <v>-1.33</v>
      </c>
      <c r="I1384" s="241" t="n">
        <v>-5.7</v>
      </c>
      <c r="J1384" s="241" t="n">
        <v>-33.72</v>
      </c>
      <c r="K1384" s="241" t="n">
        <v>19.78</v>
      </c>
      <c r="L1384" s="242" t="n">
        <v>2844241</v>
      </c>
      <c r="M1384" s="241" t="n">
        <v>-1.83</v>
      </c>
      <c r="N1384" s="241" t="n">
        <v>-6.77</v>
      </c>
      <c r="O1384" s="241" t="n">
        <v>-37.04</v>
      </c>
      <c r="P1384" s="241" t="n">
        <v>1.16</v>
      </c>
    </row>
    <row r="1385">
      <c r="A1385" s="282" t="inlineStr">
        <is>
          <t>2011-09-07</t>
        </is>
      </c>
      <c r="B1385" s="240">
        <f>IFERROR(1/P1385-1,B1384)</f>
        <v/>
      </c>
      <c r="C1385" s="240">
        <f>$C$3</f>
        <v/>
      </c>
      <c r="D1385" s="240">
        <f>$D$3</f>
        <v/>
      </c>
      <c r="E1385" s="240">
        <f>$E$3</f>
        <v/>
      </c>
      <c r="F1385" s="241" t="n">
        <v>23.47</v>
      </c>
      <c r="G1385" s="242" t="n">
        <v>2922264</v>
      </c>
      <c r="H1385" s="241" t="n">
        <v>2</v>
      </c>
      <c r="I1385" s="241" t="n">
        <v>-3.81</v>
      </c>
      <c r="J1385" s="241" t="n">
        <v>-32.4</v>
      </c>
      <c r="K1385" s="241" t="n">
        <v>20.19</v>
      </c>
      <c r="L1385" s="242" t="n">
        <v>1110462</v>
      </c>
      <c r="M1385" s="241" t="n">
        <v>2.07</v>
      </c>
      <c r="N1385" s="241" t="n">
        <v>-4.84</v>
      </c>
      <c r="O1385" s="241" t="n">
        <v>-35.73</v>
      </c>
      <c r="P1385" s="241" t="n">
        <v>1.16</v>
      </c>
    </row>
    <row r="1386">
      <c r="A1386" s="282" t="inlineStr">
        <is>
          <t>2011-09-08</t>
        </is>
      </c>
      <c r="B1386" s="240">
        <f>IFERROR(1/P1386-1,B1385)</f>
        <v/>
      </c>
      <c r="C1386" s="240">
        <f>$C$3</f>
        <v/>
      </c>
      <c r="D1386" s="240">
        <f>$D$3</f>
        <v/>
      </c>
      <c r="E1386" s="240">
        <f>$E$3</f>
        <v/>
      </c>
      <c r="F1386" s="241" t="n">
        <v>23.27</v>
      </c>
      <c r="G1386" s="242" t="n">
        <v>3202764</v>
      </c>
      <c r="H1386" s="241" t="n">
        <v>-0.85</v>
      </c>
      <c r="I1386" s="241" t="n">
        <v>-4.63</v>
      </c>
      <c r="J1386" s="241" t="n">
        <v>-32.97</v>
      </c>
      <c r="K1386" s="241" t="n">
        <v>20.12</v>
      </c>
      <c r="L1386" s="242" t="n">
        <v>671819</v>
      </c>
      <c r="M1386" s="241" t="n">
        <v>-0.2</v>
      </c>
      <c r="N1386" s="241" t="n">
        <v>-5.03</v>
      </c>
      <c r="O1386" s="241" t="n">
        <v>-35.86</v>
      </c>
      <c r="P1386" s="241" t="n">
        <v>1.16</v>
      </c>
    </row>
    <row r="1387">
      <c r="A1387" s="282" t="inlineStr">
        <is>
          <t>2011-09-09</t>
        </is>
      </c>
      <c r="B1387" s="240">
        <f>IFERROR(1/P1387-1,B1386)</f>
        <v/>
      </c>
      <c r="C1387" s="240">
        <f>$C$3</f>
        <v/>
      </c>
      <c r="D1387" s="240">
        <f>$D$3</f>
        <v/>
      </c>
      <c r="E1387" s="240">
        <f>$E$3</f>
        <v/>
      </c>
      <c r="F1387" s="241" t="n">
        <v>23.39</v>
      </c>
      <c r="G1387" s="242" t="n">
        <v>2649365</v>
      </c>
      <c r="H1387" s="241" t="n">
        <v>0.52</v>
      </c>
      <c r="I1387" s="241" t="n">
        <v>-1.93</v>
      </c>
      <c r="J1387" s="241" t="n">
        <v>-32.63</v>
      </c>
      <c r="K1387" s="241" t="n">
        <v>19.81</v>
      </c>
      <c r="L1387" s="242" t="n">
        <v>701400</v>
      </c>
      <c r="M1387" s="241" t="n">
        <v>-1.63</v>
      </c>
      <c r="N1387" s="241" t="n">
        <v>-3.01</v>
      </c>
      <c r="O1387" s="241" t="n">
        <v>-36.91</v>
      </c>
      <c r="P1387" s="241" t="n">
        <v>1.18</v>
      </c>
    </row>
    <row r="1388">
      <c r="A1388" s="282" t="inlineStr">
        <is>
          <t>2011-09-13</t>
        </is>
      </c>
      <c r="B1388" s="240">
        <f>IFERROR(1/P1388-1,B1387)</f>
        <v/>
      </c>
      <c r="C1388" s="240">
        <f>$C$3</f>
        <v/>
      </c>
      <c r="D1388" s="240">
        <f>$D$3</f>
        <v/>
      </c>
      <c r="E1388" s="240">
        <f>$E$3</f>
        <v/>
      </c>
      <c r="F1388" s="241" t="n">
        <v>22.35</v>
      </c>
      <c r="G1388" s="242" t="n">
        <v>6681832</v>
      </c>
      <c r="H1388" s="241" t="n">
        <v>-4.45</v>
      </c>
      <c r="I1388" s="241" t="n">
        <v>-6.72</v>
      </c>
      <c r="J1388" s="241" t="n">
        <v>-35.62</v>
      </c>
      <c r="K1388" s="239" t="inlineStr">
        <is>
          <t>--</t>
        </is>
      </c>
      <c r="L1388" s="239" t="inlineStr">
        <is>
          <t>--</t>
        </is>
      </c>
      <c r="M1388" s="239" t="inlineStr">
        <is>
          <t>--</t>
        </is>
      </c>
      <c r="N1388" s="239" t="inlineStr">
        <is>
          <t>--</t>
        </is>
      </c>
      <c r="O1388" s="239" t="inlineStr">
        <is>
          <t>--</t>
        </is>
      </c>
      <c r="P1388" s="239" t="inlineStr">
        <is>
          <t>--</t>
        </is>
      </c>
    </row>
    <row r="1389">
      <c r="A1389" s="282" t="inlineStr">
        <is>
          <t>2011-09-14</t>
        </is>
      </c>
      <c r="B1389" s="240">
        <f>IFERROR(1/P1389-1,B1388)</f>
        <v/>
      </c>
      <c r="C1389" s="240">
        <f>$C$3</f>
        <v/>
      </c>
      <c r="D1389" s="240">
        <f>$D$3</f>
        <v/>
      </c>
      <c r="E1389" s="240">
        <f>$E$3</f>
        <v/>
      </c>
      <c r="F1389" s="241" t="n">
        <v>22.49</v>
      </c>
      <c r="G1389" s="242" t="n">
        <v>3388715</v>
      </c>
      <c r="H1389" s="241" t="n">
        <v>0.63</v>
      </c>
      <c r="I1389" s="241" t="n">
        <v>-6.14</v>
      </c>
      <c r="J1389" s="241" t="n">
        <v>-35.22</v>
      </c>
      <c r="K1389" s="241" t="n">
        <v>18.32</v>
      </c>
      <c r="L1389" s="242" t="n">
        <v>1905100</v>
      </c>
      <c r="M1389" s="241" t="n">
        <v>-1.97</v>
      </c>
      <c r="N1389" s="241" t="n">
        <v>-3.46</v>
      </c>
      <c r="O1389" s="241" t="n">
        <v>-41.61</v>
      </c>
      <c r="P1389" s="241" t="n">
        <v>1.23</v>
      </c>
    </row>
    <row r="1390">
      <c r="A1390" s="282" t="inlineStr">
        <is>
          <t>2011-09-15</t>
        </is>
      </c>
      <c r="B1390" s="240">
        <f>IFERROR(1/P1390-1,B1389)</f>
        <v/>
      </c>
      <c r="C1390" s="240">
        <f>$C$3</f>
        <v/>
      </c>
      <c r="D1390" s="240">
        <f>$D$3</f>
        <v/>
      </c>
      <c r="E1390" s="240">
        <f>$E$3</f>
        <v/>
      </c>
      <c r="F1390" s="241" t="n">
        <v>22.2</v>
      </c>
      <c r="G1390" s="242" t="n">
        <v>4104193</v>
      </c>
      <c r="H1390" s="241" t="n">
        <v>-1.29</v>
      </c>
      <c r="I1390" s="241" t="n">
        <v>-7.35</v>
      </c>
      <c r="J1390" s="241" t="n">
        <v>-36.05</v>
      </c>
      <c r="K1390" s="241" t="n">
        <v>18.19</v>
      </c>
      <c r="L1390" s="242" t="n">
        <v>2604401</v>
      </c>
      <c r="M1390" s="241" t="n">
        <v>-0.67</v>
      </c>
      <c r="N1390" s="241" t="n">
        <v>-4.1</v>
      </c>
      <c r="O1390" s="241" t="n">
        <v>-42</v>
      </c>
      <c r="P1390" s="241" t="n">
        <v>1.22</v>
      </c>
    </row>
    <row r="1391">
      <c r="A1391" s="282" t="inlineStr">
        <is>
          <t>2011-09-16</t>
        </is>
      </c>
      <c r="B1391" s="240">
        <f>IFERROR(1/P1391-1,B1390)</f>
        <v/>
      </c>
      <c r="C1391" s="240">
        <f>$C$3</f>
        <v/>
      </c>
      <c r="D1391" s="240">
        <f>$D$3</f>
        <v/>
      </c>
      <c r="E1391" s="240">
        <f>$E$3</f>
        <v/>
      </c>
      <c r="F1391" s="241" t="n">
        <v>22.11</v>
      </c>
      <c r="G1391" s="242" t="n">
        <v>2985706</v>
      </c>
      <c r="H1391" s="241" t="n">
        <v>-0.41</v>
      </c>
      <c r="I1391" s="241" t="n">
        <v>-9.789999999999999</v>
      </c>
      <c r="J1391" s="241" t="n">
        <v>-36.31</v>
      </c>
      <c r="K1391" s="241" t="n">
        <v>18.71</v>
      </c>
      <c r="L1391" s="242" t="n">
        <v>1759694</v>
      </c>
      <c r="M1391" s="241" t="n">
        <v>2.93</v>
      </c>
      <c r="N1391" s="241" t="n">
        <v>-8.42</v>
      </c>
      <c r="O1391" s="241" t="n">
        <v>-40.3</v>
      </c>
      <c r="P1391" s="241" t="n">
        <v>1.18</v>
      </c>
    </row>
    <row r="1392">
      <c r="A1392" s="282" t="inlineStr">
        <is>
          <t>2011-09-19</t>
        </is>
      </c>
      <c r="B1392" s="240">
        <f>IFERROR(1/P1392-1,B1391)</f>
        <v/>
      </c>
      <c r="C1392" s="240">
        <f>$C$3</f>
        <v/>
      </c>
      <c r="D1392" s="240">
        <f>$D$3</f>
        <v/>
      </c>
      <c r="E1392" s="240">
        <f>$E$3</f>
        <v/>
      </c>
      <c r="F1392" s="241" t="n">
        <v>21.45</v>
      </c>
      <c r="G1392" s="242" t="n">
        <v>5522539</v>
      </c>
      <c r="H1392" s="241" t="n">
        <v>-2.99</v>
      </c>
      <c r="I1392" s="241" t="n">
        <v>-9.19</v>
      </c>
      <c r="J1392" s="241" t="n">
        <v>-38.21</v>
      </c>
      <c r="K1392" s="241" t="n">
        <v>17.61</v>
      </c>
      <c r="L1392" s="242" t="n">
        <v>2096370</v>
      </c>
      <c r="M1392" s="241" t="n">
        <v>-5.91</v>
      </c>
      <c r="N1392" s="241" t="n">
        <v>-16.99</v>
      </c>
      <c r="O1392" s="241" t="n">
        <v>-43.83</v>
      </c>
      <c r="P1392" s="241" t="n">
        <v>1.22</v>
      </c>
    </row>
    <row r="1393">
      <c r="A1393" s="282" t="inlineStr">
        <is>
          <t>2011-09-20</t>
        </is>
      </c>
      <c r="B1393" s="240">
        <f>IFERROR(1/P1393-1,B1392)</f>
        <v/>
      </c>
      <c r="C1393" s="240">
        <f>$C$3</f>
        <v/>
      </c>
      <c r="D1393" s="240">
        <f>$D$3</f>
        <v/>
      </c>
      <c r="E1393" s="240">
        <f>$E$3</f>
        <v/>
      </c>
      <c r="F1393" s="241" t="n">
        <v>21.53</v>
      </c>
      <c r="G1393" s="242" t="n">
        <v>3693904</v>
      </c>
      <c r="H1393" s="241" t="n">
        <v>0.37</v>
      </c>
      <c r="I1393" s="241" t="n">
        <v>-7.91</v>
      </c>
      <c r="J1393" s="241" t="n">
        <v>-37.98</v>
      </c>
      <c r="K1393" s="241" t="n">
        <v>17.25</v>
      </c>
      <c r="L1393" s="242" t="n">
        <v>1552076</v>
      </c>
      <c r="M1393" s="241" t="n">
        <v>-2.09</v>
      </c>
      <c r="N1393" s="241" t="n">
        <v>-13.2</v>
      </c>
      <c r="O1393" s="241" t="n">
        <v>-45.01</v>
      </c>
      <c r="P1393" s="241" t="n">
        <v>1.25</v>
      </c>
    </row>
    <row r="1394">
      <c r="A1394" s="282" t="inlineStr">
        <is>
          <t>2011-09-21</t>
        </is>
      </c>
      <c r="B1394" s="240">
        <f>IFERROR(1/P1394-1,B1393)</f>
        <v/>
      </c>
      <c r="C1394" s="240">
        <f>$C$3</f>
        <v/>
      </c>
      <c r="D1394" s="240">
        <f>$D$3</f>
        <v/>
      </c>
      <c r="E1394" s="240">
        <f>$E$3</f>
        <v/>
      </c>
      <c r="F1394" s="241" t="n">
        <v>23.05</v>
      </c>
      <c r="G1394" s="242" t="n">
        <v>19010825</v>
      </c>
      <c r="H1394" s="241" t="n">
        <v>7.06</v>
      </c>
      <c r="I1394" s="241" t="n">
        <v>-1.41</v>
      </c>
      <c r="J1394" s="241" t="n">
        <v>-33.61</v>
      </c>
      <c r="K1394" s="241" t="n">
        <v>18.71</v>
      </c>
      <c r="L1394" s="242" t="n">
        <v>5345200</v>
      </c>
      <c r="M1394" s="241" t="n">
        <v>8.550000000000001</v>
      </c>
      <c r="N1394" s="241" t="n">
        <v>-5.77</v>
      </c>
      <c r="O1394" s="241" t="n">
        <v>-40.3</v>
      </c>
      <c r="P1394" s="241" t="n">
        <v>1.23</v>
      </c>
    </row>
    <row r="1395">
      <c r="A1395" s="282" t="inlineStr">
        <is>
          <t>2011-09-22</t>
        </is>
      </c>
      <c r="B1395" s="240">
        <f>IFERROR(1/P1395-1,B1394)</f>
        <v/>
      </c>
      <c r="C1395" s="240">
        <f>$C$3</f>
        <v/>
      </c>
      <c r="D1395" s="240">
        <f>$D$3</f>
        <v/>
      </c>
      <c r="E1395" s="240">
        <f>$E$3</f>
        <v/>
      </c>
      <c r="F1395" s="241" t="n">
        <v>22.32</v>
      </c>
      <c r="G1395" s="242" t="n">
        <v>8432880</v>
      </c>
      <c r="H1395" s="241" t="n">
        <v>-3.17</v>
      </c>
      <c r="I1395" s="241" t="n">
        <v>-4.53</v>
      </c>
      <c r="J1395" s="241" t="n">
        <v>-35.71</v>
      </c>
      <c r="K1395" s="241" t="n">
        <v>18.01</v>
      </c>
      <c r="L1395" s="242" t="n">
        <v>3196800</v>
      </c>
      <c r="M1395" s="241" t="n">
        <v>-3.72</v>
      </c>
      <c r="N1395" s="241" t="n">
        <v>-9.279999999999999</v>
      </c>
      <c r="O1395" s="241" t="n">
        <v>-42.52</v>
      </c>
      <c r="P1395" s="241" t="n">
        <v>1.24</v>
      </c>
    </row>
    <row r="1396">
      <c r="A1396" s="282" t="inlineStr">
        <is>
          <t>2011-09-23</t>
        </is>
      </c>
      <c r="B1396" s="240">
        <f>IFERROR(1/P1396-1,B1395)</f>
        <v/>
      </c>
      <c r="C1396" s="240">
        <f>$C$3</f>
        <v/>
      </c>
      <c r="D1396" s="240">
        <f>$D$3</f>
        <v/>
      </c>
      <c r="E1396" s="240">
        <f>$E$3</f>
        <v/>
      </c>
      <c r="F1396" s="241" t="n">
        <v>22.79</v>
      </c>
      <c r="G1396" s="242" t="n">
        <v>8779789</v>
      </c>
      <c r="H1396" s="241" t="n">
        <v>2.11</v>
      </c>
      <c r="I1396" s="241" t="n">
        <v>-1.34</v>
      </c>
      <c r="J1396" s="241" t="n">
        <v>-34.35</v>
      </c>
      <c r="K1396" s="241" t="n">
        <v>18.25</v>
      </c>
      <c r="L1396" s="242" t="n">
        <v>1694200</v>
      </c>
      <c r="M1396" s="241" t="n">
        <v>1.36</v>
      </c>
      <c r="N1396" s="241" t="n">
        <v>-7.66</v>
      </c>
      <c r="O1396" s="241" t="n">
        <v>-41.74</v>
      </c>
      <c r="P1396" s="241" t="n">
        <v>1.25</v>
      </c>
    </row>
    <row r="1397">
      <c r="A1397" s="282" t="inlineStr">
        <is>
          <t>2011-09-26</t>
        </is>
      </c>
      <c r="B1397" s="240">
        <f>IFERROR(1/P1397-1,B1396)</f>
        <v/>
      </c>
      <c r="C1397" s="240">
        <f>$C$3</f>
        <v/>
      </c>
      <c r="D1397" s="240">
        <f>$D$3</f>
        <v/>
      </c>
      <c r="E1397" s="240">
        <f>$E$3</f>
        <v/>
      </c>
      <c r="F1397" s="241" t="n">
        <v>21.91</v>
      </c>
      <c r="G1397" s="242" t="n">
        <v>6377851</v>
      </c>
      <c r="H1397" s="241" t="n">
        <v>-3.86</v>
      </c>
      <c r="I1397" s="241" t="n">
        <v>-10.17</v>
      </c>
      <c r="J1397" s="241" t="n">
        <v>-36.89</v>
      </c>
      <c r="K1397" s="241" t="n">
        <v>16.32</v>
      </c>
      <c r="L1397" s="242" t="n">
        <v>3311400</v>
      </c>
      <c r="M1397" s="241" t="n">
        <v>-10.4</v>
      </c>
      <c r="N1397" s="241" t="n">
        <v>-24.17</v>
      </c>
      <c r="O1397" s="241" t="n">
        <v>-47.8</v>
      </c>
      <c r="P1397" s="241" t="n">
        <v>1.34</v>
      </c>
    </row>
    <row r="1398">
      <c r="A1398" s="282" t="inlineStr">
        <is>
          <t>2011-09-27</t>
        </is>
      </c>
      <c r="B1398" s="240">
        <f>IFERROR(1/P1398-1,B1397)</f>
        <v/>
      </c>
      <c r="C1398" s="240">
        <f>$C$3</f>
        <v/>
      </c>
      <c r="D1398" s="240">
        <f>$D$3</f>
        <v/>
      </c>
      <c r="E1398" s="240">
        <f>$E$3</f>
        <v/>
      </c>
      <c r="F1398" s="241" t="n">
        <v>22.31</v>
      </c>
      <c r="G1398" s="242" t="n">
        <v>5238446</v>
      </c>
      <c r="H1398" s="241" t="n">
        <v>1.83</v>
      </c>
      <c r="I1398" s="241" t="n">
        <v>-8.42</v>
      </c>
      <c r="J1398" s="241" t="n">
        <v>-35.74</v>
      </c>
      <c r="K1398" s="241" t="n">
        <v>16.93</v>
      </c>
      <c r="L1398" s="242" t="n">
        <v>1647600</v>
      </c>
      <c r="M1398" s="241" t="n">
        <v>3.6</v>
      </c>
      <c r="N1398" s="241" t="n">
        <v>-19.14</v>
      </c>
      <c r="O1398" s="241" t="n">
        <v>-45.92</v>
      </c>
      <c r="P1398" s="241" t="n">
        <v>1.32</v>
      </c>
    </row>
    <row r="1399">
      <c r="A1399" s="282" t="inlineStr">
        <is>
          <t>2011-09-28</t>
        </is>
      </c>
      <c r="B1399" s="240">
        <f>IFERROR(1/P1399-1,B1398)</f>
        <v/>
      </c>
      <c r="C1399" s="240">
        <f>$C$3</f>
        <v/>
      </c>
      <c r="D1399" s="240">
        <f>$D$3</f>
        <v/>
      </c>
      <c r="E1399" s="240">
        <f>$E$3</f>
        <v/>
      </c>
      <c r="F1399" s="241" t="n">
        <v>22.39</v>
      </c>
      <c r="G1399" s="242" t="n">
        <v>7786663</v>
      </c>
      <c r="H1399" s="241" t="n">
        <v>0.36</v>
      </c>
      <c r="I1399" s="241" t="n">
        <v>-8.09</v>
      </c>
      <c r="J1399" s="241" t="n">
        <v>-35.51</v>
      </c>
      <c r="K1399" s="241" t="n">
        <v>16.97</v>
      </c>
      <c r="L1399" s="242" t="n">
        <v>2699500</v>
      </c>
      <c r="M1399" s="241" t="n">
        <v>0.48</v>
      </c>
      <c r="N1399" s="241" t="n">
        <v>-18.75</v>
      </c>
      <c r="O1399" s="241" t="n">
        <v>-45.66</v>
      </c>
      <c r="P1399" s="241" t="n">
        <v>1.32</v>
      </c>
    </row>
    <row r="1400">
      <c r="A1400" s="282" t="inlineStr">
        <is>
          <t>2011-09-29</t>
        </is>
      </c>
      <c r="B1400" s="240">
        <f>IFERROR(1/P1400-1,B1399)</f>
        <v/>
      </c>
      <c r="C1400" s="240">
        <f>$C$3</f>
        <v/>
      </c>
      <c r="D1400" s="240">
        <f>$D$3</f>
        <v/>
      </c>
      <c r="E1400" s="240">
        <f>$E$3</f>
        <v/>
      </c>
      <c r="F1400" s="241" t="n">
        <v>22.3</v>
      </c>
      <c r="G1400" s="242" t="n">
        <v>3822416</v>
      </c>
      <c r="H1400" s="241" t="n">
        <v>-0.4</v>
      </c>
      <c r="I1400" s="241" t="n">
        <v>-8.460000000000001</v>
      </c>
      <c r="J1400" s="241" t="n">
        <v>-35.77</v>
      </c>
      <c r="K1400" s="239" t="inlineStr">
        <is>
          <t>--</t>
        </is>
      </c>
      <c r="L1400" s="239" t="inlineStr">
        <is>
          <t>--</t>
        </is>
      </c>
      <c r="M1400" s="239" t="inlineStr">
        <is>
          <t>--</t>
        </is>
      </c>
      <c r="N1400" s="239" t="inlineStr">
        <is>
          <t>--</t>
        </is>
      </c>
      <c r="O1400" s="239" t="inlineStr">
        <is>
          <t>--</t>
        </is>
      </c>
      <c r="P1400" s="239" t="inlineStr">
        <is>
          <t>--</t>
        </is>
      </c>
    </row>
    <row r="1401">
      <c r="A1401" s="282" t="inlineStr">
        <is>
          <t>2011-09-30</t>
        </is>
      </c>
      <c r="B1401" s="240">
        <f>IFERROR(1/P1401-1,B1400)</f>
        <v/>
      </c>
      <c r="C1401" s="240">
        <f>$C$3</f>
        <v/>
      </c>
      <c r="D1401" s="240">
        <f>$D$3</f>
        <v/>
      </c>
      <c r="E1401" s="240">
        <f>$E$3</f>
        <v/>
      </c>
      <c r="F1401" s="241" t="n">
        <v>22.47</v>
      </c>
      <c r="G1401" s="242" t="n">
        <v>4927646</v>
      </c>
      <c r="H1401" s="241" t="n">
        <v>0.76</v>
      </c>
      <c r="I1401" s="241" t="n">
        <v>-5.23</v>
      </c>
      <c r="J1401" s="241" t="n">
        <v>-35.28</v>
      </c>
      <c r="K1401" s="241" t="n">
        <v>16.55</v>
      </c>
      <c r="L1401" s="242" t="n">
        <v>3235800</v>
      </c>
      <c r="M1401" s="241" t="n">
        <v>-2.4</v>
      </c>
      <c r="N1401" s="241" t="n">
        <v>-20.39</v>
      </c>
      <c r="O1401" s="241" t="n">
        <v>-46.97</v>
      </c>
      <c r="P1401" s="241" t="n">
        <v>1.36</v>
      </c>
    </row>
    <row r="1402">
      <c r="A1402" s="282" t="inlineStr">
        <is>
          <t>2011-10-10</t>
        </is>
      </c>
      <c r="B1402" s="240">
        <f>IFERROR(1/P1402-1,B1401)</f>
        <v/>
      </c>
      <c r="C1402" s="240">
        <f>$C$3</f>
        <v/>
      </c>
      <c r="D1402" s="240">
        <f>$D$3</f>
        <v/>
      </c>
      <c r="E1402" s="240">
        <f>$E$3</f>
        <v/>
      </c>
      <c r="F1402" s="241" t="n">
        <v>22.12</v>
      </c>
      <c r="G1402" s="242" t="n">
        <v>4065109</v>
      </c>
      <c r="H1402" s="241" t="n">
        <v>-1.56</v>
      </c>
      <c r="I1402" s="241" t="n">
        <v>-5.43</v>
      </c>
      <c r="J1402" s="241" t="n">
        <v>-36.28</v>
      </c>
      <c r="K1402" s="241" t="n">
        <v>15.75</v>
      </c>
      <c r="L1402" s="242" t="n">
        <v>1026600</v>
      </c>
      <c r="M1402" s="241" t="n">
        <v>-0.72</v>
      </c>
      <c r="N1402" s="241" t="n">
        <v>-20.17</v>
      </c>
      <c r="O1402" s="241" t="n">
        <v>-49.63</v>
      </c>
      <c r="P1402" s="241" t="n">
        <v>1.4</v>
      </c>
    </row>
    <row r="1403">
      <c r="A1403" s="282" t="inlineStr">
        <is>
          <t>2011-10-11</t>
        </is>
      </c>
      <c r="B1403" s="240">
        <f>IFERROR(1/P1403-1,B1402)</f>
        <v/>
      </c>
      <c r="C1403" s="240">
        <f>$C$3</f>
        <v/>
      </c>
      <c r="D1403" s="240">
        <f>$D$3</f>
        <v/>
      </c>
      <c r="E1403" s="240">
        <f>$E$3</f>
        <v/>
      </c>
      <c r="F1403" s="241" t="n">
        <v>22.22</v>
      </c>
      <c r="G1403" s="242" t="n">
        <v>5670482</v>
      </c>
      <c r="H1403" s="241" t="n">
        <v>0.45</v>
      </c>
      <c r="I1403" s="241" t="n">
        <v>-5</v>
      </c>
      <c r="J1403" s="241" t="n">
        <v>-36</v>
      </c>
      <c r="K1403" s="241" t="n">
        <v>16.81</v>
      </c>
      <c r="L1403" s="242" t="n">
        <v>1988400</v>
      </c>
      <c r="M1403" s="241" t="n">
        <v>6.85</v>
      </c>
      <c r="N1403" s="241" t="n">
        <v>-14.7</v>
      </c>
      <c r="O1403" s="241" t="n">
        <v>-46.18</v>
      </c>
      <c r="P1403" s="241" t="n">
        <v>1.32</v>
      </c>
    </row>
    <row r="1404">
      <c r="A1404" s="282" t="inlineStr">
        <is>
          <t>2011-10-12</t>
        </is>
      </c>
      <c r="B1404" s="240">
        <f>IFERROR(1/P1404-1,B1403)</f>
        <v/>
      </c>
      <c r="C1404" s="240">
        <f>$C$3</f>
        <v/>
      </c>
      <c r="D1404" s="240">
        <f>$D$3</f>
        <v/>
      </c>
      <c r="E1404" s="240">
        <f>$E$3</f>
        <v/>
      </c>
      <c r="F1404" s="241" t="n">
        <v>23.17</v>
      </c>
      <c r="G1404" s="242" t="n">
        <v>15541155</v>
      </c>
      <c r="H1404" s="241" t="n">
        <v>4.28</v>
      </c>
      <c r="I1404" s="241" t="n">
        <v>-0.9399999999999999</v>
      </c>
      <c r="J1404" s="241" t="n">
        <v>-33.26</v>
      </c>
      <c r="K1404" s="241" t="n">
        <v>17.29</v>
      </c>
      <c r="L1404" s="242" t="n">
        <v>986800</v>
      </c>
      <c r="M1404" s="241" t="n">
        <v>2.67</v>
      </c>
      <c r="N1404" s="241" t="n">
        <v>-12.42</v>
      </c>
      <c r="O1404" s="241" t="n">
        <v>-44.74</v>
      </c>
      <c r="P1404" s="241" t="n">
        <v>1.34</v>
      </c>
    </row>
    <row r="1405">
      <c r="A1405" s="282" t="inlineStr">
        <is>
          <t>2011-10-13</t>
        </is>
      </c>
      <c r="B1405" s="240">
        <f>IFERROR(1/P1405-1,B1404)</f>
        <v/>
      </c>
      <c r="C1405" s="240">
        <f>$C$3</f>
        <v/>
      </c>
      <c r="D1405" s="240">
        <f>$D$3</f>
        <v/>
      </c>
      <c r="E1405" s="240">
        <f>$E$3</f>
        <v/>
      </c>
      <c r="F1405" s="241" t="n">
        <v>23.51</v>
      </c>
      <c r="G1405" s="242" t="n">
        <v>13398927</v>
      </c>
      <c r="H1405" s="241" t="n">
        <v>1.47</v>
      </c>
      <c r="I1405" s="241" t="n">
        <v>0.51</v>
      </c>
      <c r="J1405" s="241" t="n">
        <v>-32.28</v>
      </c>
      <c r="K1405" s="241" t="n">
        <v>18.35</v>
      </c>
      <c r="L1405" s="242" t="n">
        <v>2746481</v>
      </c>
      <c r="M1405" s="241" t="n">
        <v>5.91</v>
      </c>
      <c r="N1405" s="241" t="n">
        <v>-1.75</v>
      </c>
      <c r="O1405" s="241" t="n">
        <v>-41.48</v>
      </c>
      <c r="P1405" s="241" t="n">
        <v>1.28</v>
      </c>
    </row>
    <row r="1406">
      <c r="A1406" s="282" t="inlineStr">
        <is>
          <t>2011-10-14</t>
        </is>
      </c>
      <c r="B1406" s="240">
        <f>IFERROR(1/P1406-1,B1405)</f>
        <v/>
      </c>
      <c r="C1406" s="240">
        <f>$C$3</f>
        <v/>
      </c>
      <c r="D1406" s="240">
        <f>$D$3</f>
        <v/>
      </c>
      <c r="E1406" s="240">
        <f>$E$3</f>
        <v/>
      </c>
      <c r="F1406" s="241" t="n">
        <v>23.52</v>
      </c>
      <c r="G1406" s="242" t="n">
        <v>6340629</v>
      </c>
      <c r="H1406" s="241" t="n">
        <v>0.04</v>
      </c>
      <c r="I1406" s="241" t="n">
        <v>5.23</v>
      </c>
      <c r="J1406" s="241" t="n">
        <v>-32.25</v>
      </c>
      <c r="K1406" s="241" t="n">
        <v>17.87</v>
      </c>
      <c r="L1406" s="242" t="n">
        <v>821923</v>
      </c>
      <c r="M1406" s="241" t="n">
        <v>-2.68</v>
      </c>
      <c r="N1406" s="241" t="n">
        <v>-4.39</v>
      </c>
      <c r="O1406" s="241" t="n">
        <v>-43.05</v>
      </c>
      <c r="P1406" s="241" t="n">
        <v>1.32</v>
      </c>
    </row>
    <row r="1407">
      <c r="A1407" s="282" t="inlineStr">
        <is>
          <t>2011-10-17</t>
        </is>
      </c>
      <c r="B1407" s="240">
        <f>IFERROR(1/P1407-1,B1406)</f>
        <v/>
      </c>
      <c r="C1407" s="240">
        <f>$C$3</f>
        <v/>
      </c>
      <c r="D1407" s="240">
        <f>$D$3</f>
        <v/>
      </c>
      <c r="E1407" s="240">
        <f>$E$3</f>
        <v/>
      </c>
      <c r="F1407" s="241" t="n">
        <v>23.54</v>
      </c>
      <c r="G1407" s="242" t="n">
        <v>5101779</v>
      </c>
      <c r="H1407" s="241" t="n">
        <v>0.09</v>
      </c>
      <c r="I1407" s="241" t="n">
        <v>6.47</v>
      </c>
      <c r="J1407" s="241" t="n">
        <v>-32.19</v>
      </c>
      <c r="K1407" s="241" t="n">
        <v>19.45</v>
      </c>
      <c r="L1407" s="242" t="n">
        <v>1997100</v>
      </c>
      <c r="M1407" s="241" t="n">
        <v>8.949999999999999</v>
      </c>
      <c r="N1407" s="241" t="n">
        <v>3.94</v>
      </c>
      <c r="O1407" s="241" t="n">
        <v>-37.95</v>
      </c>
      <c r="P1407" s="241" t="n">
        <v>1.21</v>
      </c>
    </row>
    <row r="1408">
      <c r="A1408" s="282" t="inlineStr">
        <is>
          <t>2011-10-18</t>
        </is>
      </c>
      <c r="B1408" s="240">
        <f>IFERROR(1/P1408-1,B1407)</f>
        <v/>
      </c>
      <c r="C1408" s="240">
        <f>$C$3</f>
        <v/>
      </c>
      <c r="D1408" s="240">
        <f>$D$3</f>
        <v/>
      </c>
      <c r="E1408" s="240">
        <f>$E$3</f>
        <v/>
      </c>
      <c r="F1408" s="241" t="n">
        <v>22.74</v>
      </c>
      <c r="G1408" s="242" t="n">
        <v>5434953</v>
      </c>
      <c r="H1408" s="241" t="n">
        <v>-3.4</v>
      </c>
      <c r="I1408" s="241" t="n">
        <v>2.85</v>
      </c>
      <c r="J1408" s="241" t="n">
        <v>-34.5</v>
      </c>
      <c r="K1408" s="241" t="n">
        <v>17.42</v>
      </c>
      <c r="L1408" s="242" t="n">
        <v>2284840</v>
      </c>
      <c r="M1408" s="241" t="n">
        <v>-10.53</v>
      </c>
      <c r="N1408" s="241" t="n">
        <v>-7</v>
      </c>
      <c r="O1408" s="241" t="n">
        <v>-44.48</v>
      </c>
      <c r="P1408" s="241" t="n">
        <v>1.31</v>
      </c>
    </row>
    <row r="1409">
      <c r="A1409" s="282" t="inlineStr">
        <is>
          <t>2011-10-19</t>
        </is>
      </c>
      <c r="B1409" s="240">
        <f>IFERROR(1/P1409-1,B1408)</f>
        <v/>
      </c>
      <c r="C1409" s="240">
        <f>$C$3</f>
        <v/>
      </c>
      <c r="D1409" s="240">
        <f>$D$3</f>
        <v/>
      </c>
      <c r="E1409" s="240">
        <f>$E$3</f>
        <v/>
      </c>
      <c r="F1409" s="241" t="n">
        <v>22.44</v>
      </c>
      <c r="G1409" s="242" t="n">
        <v>5971056</v>
      </c>
      <c r="H1409" s="241" t="n">
        <v>-1.32</v>
      </c>
      <c r="I1409" s="241" t="n">
        <v>1.49</v>
      </c>
      <c r="J1409" s="241" t="n">
        <v>-35.36</v>
      </c>
      <c r="K1409" s="241" t="n">
        <v>17.66</v>
      </c>
      <c r="L1409" s="242" t="n">
        <v>643576</v>
      </c>
      <c r="M1409" s="241" t="n">
        <v>1.41</v>
      </c>
      <c r="N1409" s="241" t="n">
        <v>-5.69</v>
      </c>
      <c r="O1409" s="241" t="n">
        <v>-43.7</v>
      </c>
      <c r="P1409" s="241" t="n">
        <v>1.27</v>
      </c>
    </row>
    <row r="1410">
      <c r="A1410" s="282" t="inlineStr">
        <is>
          <t>2011-10-20</t>
        </is>
      </c>
      <c r="B1410" s="240">
        <f>IFERROR(1/P1410-1,B1409)</f>
        <v/>
      </c>
      <c r="C1410" s="240">
        <f>$C$3</f>
        <v/>
      </c>
      <c r="D1410" s="240">
        <f>$D$3</f>
        <v/>
      </c>
      <c r="E1410" s="240">
        <f>$E$3</f>
        <v/>
      </c>
      <c r="F1410" s="241" t="n">
        <v>21.9</v>
      </c>
      <c r="G1410" s="242" t="n">
        <v>6607731</v>
      </c>
      <c r="H1410" s="241" t="n">
        <v>-2.41</v>
      </c>
      <c r="I1410" s="241" t="n">
        <v>2.1</v>
      </c>
      <c r="J1410" s="241" t="n">
        <v>-36.92</v>
      </c>
      <c r="K1410" s="241" t="n">
        <v>17.23</v>
      </c>
      <c r="L1410" s="242" t="n">
        <v>1180026</v>
      </c>
      <c r="M1410" s="241" t="n">
        <v>-2.32</v>
      </c>
      <c r="N1410" s="241" t="n">
        <v>-2.09</v>
      </c>
      <c r="O1410" s="241" t="n">
        <v>-45.01</v>
      </c>
      <c r="P1410" s="241" t="n">
        <v>1.27</v>
      </c>
    </row>
    <row r="1411">
      <c r="A1411" s="282" t="inlineStr">
        <is>
          <t>2011-10-21</t>
        </is>
      </c>
      <c r="B1411" s="240">
        <f>IFERROR(1/P1411-1,B1410)</f>
        <v/>
      </c>
      <c r="C1411" s="240">
        <f>$C$3</f>
        <v/>
      </c>
      <c r="D1411" s="240">
        <f>$D$3</f>
        <v/>
      </c>
      <c r="E1411" s="240">
        <f>$E$3</f>
        <v/>
      </c>
      <c r="F1411" s="241" t="n">
        <v>21.95</v>
      </c>
      <c r="G1411" s="242" t="n">
        <v>2809554</v>
      </c>
      <c r="H1411" s="241" t="n">
        <v>0.23</v>
      </c>
      <c r="I1411" s="241" t="n">
        <v>1.95</v>
      </c>
      <c r="J1411" s="241" t="n">
        <v>-36.77</v>
      </c>
      <c r="K1411" s="241" t="n">
        <v>17.79</v>
      </c>
      <c r="L1411" s="242" t="n">
        <v>837200</v>
      </c>
      <c r="M1411" s="241" t="n">
        <v>3.33</v>
      </c>
      <c r="N1411" s="241" t="n">
        <v>3.33</v>
      </c>
      <c r="O1411" s="241" t="n">
        <v>-43.18</v>
      </c>
      <c r="P1411" s="241" t="n">
        <v>1.23</v>
      </c>
    </row>
    <row r="1412">
      <c r="A1412" s="282" t="inlineStr">
        <is>
          <t>2011-10-24</t>
        </is>
      </c>
      <c r="B1412" s="240">
        <f>IFERROR(1/P1412-1,B1411)</f>
        <v/>
      </c>
      <c r="C1412" s="240">
        <f>$C$3</f>
        <v/>
      </c>
      <c r="D1412" s="240">
        <f>$D$3</f>
        <v/>
      </c>
      <c r="E1412" s="240">
        <f>$E$3</f>
        <v/>
      </c>
      <c r="F1412" s="241" t="n">
        <v>22.47</v>
      </c>
      <c r="G1412" s="242" t="n">
        <v>4965866</v>
      </c>
      <c r="H1412" s="241" t="n">
        <v>2.37</v>
      </c>
      <c r="I1412" s="241" t="n">
        <v>-1.4</v>
      </c>
      <c r="J1412" s="241" t="n">
        <v>-35.28</v>
      </c>
      <c r="K1412" s="241" t="n">
        <v>18.58</v>
      </c>
      <c r="L1412" s="242" t="n">
        <v>1404000</v>
      </c>
      <c r="M1412" s="241" t="n">
        <v>4.6</v>
      </c>
      <c r="N1412" s="241" t="n">
        <v>2.02</v>
      </c>
      <c r="O1412" s="241" t="n">
        <v>-40.56</v>
      </c>
      <c r="P1412" s="241" t="n">
        <v>1.21</v>
      </c>
    </row>
    <row r="1413">
      <c r="A1413" s="282" t="inlineStr">
        <is>
          <t>2011-10-25</t>
        </is>
      </c>
      <c r="B1413" s="240">
        <f>IFERROR(1/P1413-1,B1412)</f>
        <v/>
      </c>
      <c r="C1413" s="240">
        <f>$C$3</f>
        <v/>
      </c>
      <c r="D1413" s="240">
        <f>$D$3</f>
        <v/>
      </c>
      <c r="E1413" s="240">
        <f>$E$3</f>
        <v/>
      </c>
      <c r="F1413" s="241" t="n">
        <v>23.07</v>
      </c>
      <c r="G1413" s="242" t="n">
        <v>9295777</v>
      </c>
      <c r="H1413" s="241" t="n">
        <v>2.67</v>
      </c>
      <c r="I1413" s="241" t="n">
        <v>1.23</v>
      </c>
      <c r="J1413" s="241" t="n">
        <v>-33.55</v>
      </c>
      <c r="K1413" s="241" t="n">
        <v>19.45</v>
      </c>
      <c r="L1413" s="242" t="n">
        <v>2913210</v>
      </c>
      <c r="M1413" s="241" t="n">
        <v>4.84</v>
      </c>
      <c r="N1413" s="241" t="n">
        <v>6.95</v>
      </c>
      <c r="O1413" s="241" t="n">
        <v>-37.69</v>
      </c>
      <c r="P1413" s="241" t="n">
        <v>1.19</v>
      </c>
    </row>
    <row r="1414">
      <c r="A1414" s="282" t="inlineStr">
        <is>
          <t>2011-10-26</t>
        </is>
      </c>
      <c r="B1414" s="240">
        <f>IFERROR(1/P1414-1,B1413)</f>
        <v/>
      </c>
      <c r="C1414" s="240">
        <f>$C$3</f>
        <v/>
      </c>
      <c r="D1414" s="240">
        <f>$D$3</f>
        <v/>
      </c>
      <c r="E1414" s="240">
        <f>$E$3</f>
        <v/>
      </c>
      <c r="F1414" s="241" t="n">
        <v>23.73</v>
      </c>
      <c r="G1414" s="242" t="n">
        <v>16747758</v>
      </c>
      <c r="H1414" s="241" t="n">
        <v>2.86</v>
      </c>
      <c r="I1414" s="241" t="n">
        <v>4.12</v>
      </c>
      <c r="J1414" s="241" t="n">
        <v>-31.65</v>
      </c>
      <c r="K1414" s="241" t="n">
        <v>20.53</v>
      </c>
      <c r="L1414" s="242" t="n">
        <v>5552444</v>
      </c>
      <c r="M1414" s="241" t="n">
        <v>5.45</v>
      </c>
      <c r="N1414" s="241" t="n">
        <v>12.78</v>
      </c>
      <c r="O1414" s="241" t="n">
        <v>-34.29</v>
      </c>
      <c r="P1414" s="241" t="n">
        <v>1.16</v>
      </c>
    </row>
    <row r="1415">
      <c r="A1415" s="282" t="inlineStr">
        <is>
          <t>2011-10-27</t>
        </is>
      </c>
      <c r="B1415" s="240">
        <f>IFERROR(1/P1415-1,B1414)</f>
        <v/>
      </c>
      <c r="C1415" s="240">
        <f>$C$3</f>
        <v/>
      </c>
      <c r="D1415" s="240">
        <f>$D$3</f>
        <v/>
      </c>
      <c r="E1415" s="240">
        <f>$E$3</f>
        <v/>
      </c>
      <c r="F1415" s="241" t="n">
        <v>23.8</v>
      </c>
      <c r="G1415" s="242" t="n">
        <v>9397516</v>
      </c>
      <c r="H1415" s="241" t="n">
        <v>0.29</v>
      </c>
      <c r="I1415" s="241" t="n">
        <v>8.630000000000001</v>
      </c>
      <c r="J1415" s="241" t="n">
        <v>-31.44</v>
      </c>
      <c r="K1415" s="241" t="n">
        <v>21.93</v>
      </c>
      <c r="L1415" s="242" t="n">
        <v>3675600</v>
      </c>
      <c r="M1415" s="241" t="n">
        <v>6.76</v>
      </c>
      <c r="N1415" s="241" t="n">
        <v>34.38</v>
      </c>
      <c r="O1415" s="241" t="n">
        <v>-29.85</v>
      </c>
      <c r="P1415" s="241" t="n">
        <v>1.09</v>
      </c>
    </row>
    <row r="1416">
      <c r="A1416" s="282" t="inlineStr">
        <is>
          <t>2011-10-28</t>
        </is>
      </c>
      <c r="B1416" s="240">
        <f>IFERROR(1/P1416-1,B1415)</f>
        <v/>
      </c>
      <c r="C1416" s="240">
        <f>$C$3</f>
        <v/>
      </c>
      <c r="D1416" s="240">
        <f>$D$3</f>
        <v/>
      </c>
      <c r="E1416" s="240">
        <f>$E$3</f>
        <v/>
      </c>
      <c r="F1416" s="241" t="n">
        <v>24.13</v>
      </c>
      <c r="G1416" s="242" t="n">
        <v>11542384</v>
      </c>
      <c r="H1416" s="241" t="n">
        <v>1.39</v>
      </c>
      <c r="I1416" s="241" t="n">
        <v>8.16</v>
      </c>
      <c r="J1416" s="241" t="n">
        <v>-30.49</v>
      </c>
      <c r="K1416" s="241" t="n">
        <v>20.17</v>
      </c>
      <c r="L1416" s="242" t="n">
        <v>6594485</v>
      </c>
      <c r="M1416" s="241" t="n">
        <v>-7.82</v>
      </c>
      <c r="N1416" s="241" t="n">
        <v>19.57</v>
      </c>
      <c r="O1416" s="241" t="n">
        <v>-35.34</v>
      </c>
      <c r="P1416" s="241" t="n">
        <v>1.2</v>
      </c>
    </row>
    <row r="1417">
      <c r="A1417" s="282" t="inlineStr">
        <is>
          <t>2011-10-31</t>
        </is>
      </c>
      <c r="B1417" s="240">
        <f>IFERROR(1/P1417-1,B1416)</f>
        <v/>
      </c>
      <c r="C1417" s="240">
        <f>$C$3</f>
        <v/>
      </c>
      <c r="D1417" s="240">
        <f>$D$3</f>
        <v/>
      </c>
      <c r="E1417" s="240">
        <f>$E$3</f>
        <v/>
      </c>
      <c r="F1417" s="241" t="n">
        <v>24.7</v>
      </c>
      <c r="G1417" s="242" t="n">
        <v>15435199</v>
      </c>
      <c r="H1417" s="241" t="n">
        <v>2.36</v>
      </c>
      <c r="I1417" s="241" t="n">
        <v>10.76</v>
      </c>
      <c r="J1417" s="241" t="n">
        <v>-28.85</v>
      </c>
      <c r="K1417" s="241" t="n">
        <v>19.83</v>
      </c>
      <c r="L1417" s="242" t="n">
        <v>3492006</v>
      </c>
      <c r="M1417" s="241" t="n">
        <v>-1.62</v>
      </c>
      <c r="N1417" s="241" t="n">
        <v>17.07</v>
      </c>
      <c r="O1417" s="241" t="n">
        <v>-36.38</v>
      </c>
      <c r="P1417" s="241" t="n">
        <v>1.25</v>
      </c>
    </row>
    <row r="1418">
      <c r="A1418" s="282" t="inlineStr">
        <is>
          <t>2011-11-01</t>
        </is>
      </c>
      <c r="B1418" s="240">
        <f>IFERROR(1/P1418-1,B1417)</f>
        <v/>
      </c>
      <c r="C1418" s="240">
        <f>$C$3</f>
        <v/>
      </c>
      <c r="D1418" s="240">
        <f>$D$3</f>
        <v/>
      </c>
      <c r="E1418" s="240">
        <f>$E$3</f>
        <v/>
      </c>
      <c r="F1418" s="241" t="n">
        <v>24.9</v>
      </c>
      <c r="G1418" s="242" t="n">
        <v>11869507</v>
      </c>
      <c r="H1418" s="241" t="n">
        <v>0.8100000000000001</v>
      </c>
      <c r="I1418" s="241" t="n">
        <v>10.81</v>
      </c>
      <c r="J1418" s="241" t="n">
        <v>-28.28</v>
      </c>
      <c r="K1418" s="241" t="n">
        <v>19.96</v>
      </c>
      <c r="L1418" s="242" t="n">
        <v>2859151</v>
      </c>
      <c r="M1418" s="241" t="n">
        <v>0.62</v>
      </c>
      <c r="N1418" s="241" t="n">
        <v>20.69</v>
      </c>
      <c r="O1418" s="241" t="n">
        <v>-35.99</v>
      </c>
      <c r="P1418" s="241" t="n">
        <v>1.25</v>
      </c>
    </row>
    <row r="1419">
      <c r="A1419" s="282" t="inlineStr">
        <is>
          <t>2011-11-02</t>
        </is>
      </c>
      <c r="B1419" s="240">
        <f>IFERROR(1/P1419-1,B1418)</f>
        <v/>
      </c>
      <c r="C1419" s="240">
        <f>$C$3</f>
        <v/>
      </c>
      <c r="D1419" s="240">
        <f>$D$3</f>
        <v/>
      </c>
      <c r="E1419" s="240">
        <f>$E$3</f>
        <v/>
      </c>
      <c r="F1419" s="241" t="n">
        <v>25.19</v>
      </c>
      <c r="G1419" s="242" t="n">
        <v>13214594</v>
      </c>
      <c r="H1419" s="241" t="n">
        <v>1.16</v>
      </c>
      <c r="I1419" s="241" t="n">
        <v>12.11</v>
      </c>
      <c r="J1419" s="241" t="n">
        <v>-27.44</v>
      </c>
      <c r="K1419" s="241" t="n">
        <v>20.57</v>
      </c>
      <c r="L1419" s="242" t="n">
        <v>3608222</v>
      </c>
      <c r="M1419" s="241" t="n">
        <v>3.06</v>
      </c>
      <c r="N1419" s="241" t="n">
        <v>24.38</v>
      </c>
      <c r="O1419" s="241" t="n">
        <v>-34.03</v>
      </c>
      <c r="P1419" s="241" t="n">
        <v>1.22</v>
      </c>
    </row>
    <row r="1420">
      <c r="A1420" s="282" t="inlineStr">
        <is>
          <t>2011-11-03</t>
        </is>
      </c>
      <c r="B1420" s="240">
        <f>IFERROR(1/P1420-1,B1419)</f>
        <v/>
      </c>
      <c r="C1420" s="240">
        <f>$C$3</f>
        <v/>
      </c>
      <c r="D1420" s="240">
        <f>$D$3</f>
        <v/>
      </c>
      <c r="E1420" s="240">
        <f>$E$3</f>
        <v/>
      </c>
      <c r="F1420" s="241" t="n">
        <v>25.67</v>
      </c>
      <c r="G1420" s="242" t="n">
        <v>26280208</v>
      </c>
      <c r="H1420" s="241" t="n">
        <v>1.91</v>
      </c>
      <c r="I1420" s="241" t="n">
        <v>14.24</v>
      </c>
      <c r="J1420" s="241" t="n">
        <v>-26.06</v>
      </c>
      <c r="K1420" s="241" t="n">
        <v>20.78</v>
      </c>
      <c r="L1420" s="242" t="n">
        <v>3926968</v>
      </c>
      <c r="M1420" s="241" t="n">
        <v>1.19</v>
      </c>
      <c r="N1420" s="241" t="n">
        <v>25.86</v>
      </c>
      <c r="O1420" s="241" t="n">
        <v>-33.25</v>
      </c>
      <c r="P1420" s="241" t="n">
        <v>1.24</v>
      </c>
    </row>
    <row r="1421">
      <c r="A1421" s="282" t="inlineStr">
        <is>
          <t>2011-11-04</t>
        </is>
      </c>
      <c r="B1421" s="240">
        <f>IFERROR(1/P1421-1,B1420)</f>
        <v/>
      </c>
      <c r="C1421" s="240">
        <f>$C$3</f>
        <v/>
      </c>
      <c r="D1421" s="240">
        <f>$D$3</f>
        <v/>
      </c>
      <c r="E1421" s="240">
        <f>$E$3</f>
        <v/>
      </c>
      <c r="F1421" s="241" t="n">
        <v>25.84</v>
      </c>
      <c r="G1421" s="242" t="n">
        <v>12451093</v>
      </c>
      <c r="H1421" s="241" t="n">
        <v>0.66</v>
      </c>
      <c r="I1421" s="241" t="n">
        <v>15</v>
      </c>
      <c r="J1421" s="241" t="n">
        <v>-25.57</v>
      </c>
      <c r="K1421" s="241" t="n">
        <v>22.24</v>
      </c>
      <c r="L1421" s="242" t="n">
        <v>5087660</v>
      </c>
      <c r="M1421" s="241" t="n">
        <v>7.04</v>
      </c>
      <c r="N1421" s="241" t="n">
        <v>61.45</v>
      </c>
      <c r="O1421" s="241" t="n">
        <v>-28.55</v>
      </c>
      <c r="P1421" s="241" t="n">
        <v>1.16</v>
      </c>
    </row>
    <row r="1422">
      <c r="A1422" s="282" t="inlineStr">
        <is>
          <t>2011-11-07</t>
        </is>
      </c>
      <c r="B1422" s="240">
        <f>IFERROR(1/P1422-1,B1421)</f>
        <v/>
      </c>
      <c r="C1422" s="240">
        <f>$C$3</f>
        <v/>
      </c>
      <c r="D1422" s="240">
        <f>$D$3</f>
        <v/>
      </c>
      <c r="E1422" s="240">
        <f>$E$3</f>
        <v/>
      </c>
      <c r="F1422" s="241" t="n">
        <v>25.64</v>
      </c>
      <c r="G1422" s="242" t="n">
        <v>10138930</v>
      </c>
      <c r="H1422" s="241" t="n">
        <v>-0.77</v>
      </c>
      <c r="I1422" s="241" t="n">
        <v>14.11</v>
      </c>
      <c r="J1422" s="241" t="n">
        <v>-26.14</v>
      </c>
      <c r="K1422" s="241" t="n">
        <v>22.54</v>
      </c>
      <c r="L1422" s="242" t="n">
        <v>3318669</v>
      </c>
      <c r="M1422" s="241" t="n">
        <v>1.28</v>
      </c>
      <c r="N1422" s="241" t="n">
        <v>54.4</v>
      </c>
      <c r="O1422" s="241" t="n">
        <v>-27.63</v>
      </c>
      <c r="P1422" s="241" t="n">
        <v>1.14</v>
      </c>
    </row>
    <row r="1423">
      <c r="A1423" s="282" t="inlineStr">
        <is>
          <t>2011-11-08</t>
        </is>
      </c>
      <c r="B1423" s="240">
        <f>IFERROR(1/P1423-1,B1422)</f>
        <v/>
      </c>
      <c r="C1423" s="240">
        <f>$C$3</f>
        <v/>
      </c>
      <c r="D1423" s="240">
        <f>$D$3</f>
        <v/>
      </c>
      <c r="E1423" s="240">
        <f>$E$3</f>
        <v/>
      </c>
      <c r="F1423" s="241" t="n">
        <v>25.41</v>
      </c>
      <c r="G1423" s="242" t="n">
        <v>6748903</v>
      </c>
      <c r="H1423" s="241" t="n">
        <v>-0.9</v>
      </c>
      <c r="I1423" s="241" t="n">
        <v>13.08</v>
      </c>
      <c r="J1423" s="241" t="n">
        <v>-26.81</v>
      </c>
      <c r="K1423" s="241" t="n">
        <v>21.9</v>
      </c>
      <c r="L1423" s="242" t="n">
        <v>2085640</v>
      </c>
      <c r="M1423" s="241" t="n">
        <v>-2.89</v>
      </c>
      <c r="N1423" s="241" t="n">
        <v>38.52</v>
      </c>
      <c r="O1423" s="241" t="n">
        <v>-29.72</v>
      </c>
      <c r="P1423" s="241" t="n">
        <v>1.16</v>
      </c>
    </row>
    <row r="1424">
      <c r="A1424" s="282" t="inlineStr">
        <is>
          <t>2011-11-09</t>
        </is>
      </c>
      <c r="B1424" s="240">
        <f>IFERROR(1/P1424-1,B1423)</f>
        <v/>
      </c>
      <c r="C1424" s="240">
        <f>$C$3</f>
        <v/>
      </c>
      <c r="D1424" s="240">
        <f>$D$3</f>
        <v/>
      </c>
      <c r="E1424" s="240">
        <f>$E$3</f>
        <v/>
      </c>
      <c r="F1424" s="241" t="n">
        <v>25.79</v>
      </c>
      <c r="G1424" s="242" t="n">
        <v>6896979</v>
      </c>
      <c r="H1424" s="241" t="n">
        <v>1.5</v>
      </c>
      <c r="I1424" s="241" t="n">
        <v>14.78</v>
      </c>
      <c r="J1424" s="241" t="n">
        <v>-25.71</v>
      </c>
      <c r="K1424" s="241" t="n">
        <v>22.21</v>
      </c>
      <c r="L1424" s="242" t="n">
        <v>1171100</v>
      </c>
      <c r="M1424" s="241" t="n">
        <v>1.49</v>
      </c>
      <c r="N1424" s="241" t="n">
        <v>40.58</v>
      </c>
      <c r="O1424" s="241" t="n">
        <v>-28.68</v>
      </c>
      <c r="P1424" s="241" t="n">
        <v>1.16</v>
      </c>
    </row>
    <row r="1425">
      <c r="A1425" s="282" t="inlineStr">
        <is>
          <t>2011-11-10</t>
        </is>
      </c>
      <c r="B1425" s="240">
        <f>IFERROR(1/P1425-1,B1424)</f>
        <v/>
      </c>
      <c r="C1425" s="240">
        <f>$C$3</f>
        <v/>
      </c>
      <c r="D1425" s="240">
        <f>$D$3</f>
        <v/>
      </c>
      <c r="E1425" s="240">
        <f>$E$3</f>
        <v/>
      </c>
      <c r="F1425" s="241" t="n">
        <v>25.78</v>
      </c>
      <c r="G1425" s="242" t="n">
        <v>11343409</v>
      </c>
      <c r="H1425" s="241" t="n">
        <v>-0.04</v>
      </c>
      <c r="I1425" s="241" t="n">
        <v>14.73</v>
      </c>
      <c r="J1425" s="241" t="n">
        <v>-25.74</v>
      </c>
      <c r="K1425" s="241" t="n">
        <v>20.2</v>
      </c>
      <c r="L1425" s="242" t="n">
        <v>3715600</v>
      </c>
      <c r="M1425" s="241" t="n">
        <v>-9.16</v>
      </c>
      <c r="N1425" s="241" t="n">
        <v>27.7</v>
      </c>
      <c r="O1425" s="241" t="n">
        <v>-35.21</v>
      </c>
      <c r="P1425" s="241" t="n">
        <v>1.28</v>
      </c>
    </row>
    <row r="1426">
      <c r="A1426" s="282" t="inlineStr">
        <is>
          <t>2011-11-11</t>
        </is>
      </c>
      <c r="B1426" s="240">
        <f>IFERROR(1/P1426-1,B1425)</f>
        <v/>
      </c>
      <c r="C1426" s="240">
        <f>$C$3</f>
        <v/>
      </c>
      <c r="D1426" s="240">
        <f>$D$3</f>
        <v/>
      </c>
      <c r="E1426" s="240">
        <f>$E$3</f>
        <v/>
      </c>
      <c r="F1426" s="241" t="n">
        <v>25.06</v>
      </c>
      <c r="G1426" s="242" t="n">
        <v>8150357</v>
      </c>
      <c r="H1426" s="241" t="n">
        <v>-2.79</v>
      </c>
      <c r="I1426" s="241" t="n">
        <v>13.29</v>
      </c>
      <c r="J1426" s="241" t="n">
        <v>-27.82</v>
      </c>
      <c r="K1426" s="241" t="n">
        <v>20.91</v>
      </c>
      <c r="L1426" s="242" t="n">
        <v>1215200</v>
      </c>
      <c r="M1426" s="241" t="n">
        <v>3.63</v>
      </c>
      <c r="N1426" s="241" t="n">
        <v>33.3</v>
      </c>
      <c r="O1426" s="241" t="n">
        <v>-32.86</v>
      </c>
      <c r="P1426" s="241" t="n">
        <v>1.2</v>
      </c>
    </row>
    <row r="1427">
      <c r="A1427" s="282" t="inlineStr">
        <is>
          <t>2011-11-14</t>
        </is>
      </c>
      <c r="B1427" s="240">
        <f>IFERROR(1/P1427-1,B1426)</f>
        <v/>
      </c>
      <c r="C1427" s="240">
        <f>$C$3</f>
        <v/>
      </c>
      <c r="D1427" s="240">
        <f>$D$3</f>
        <v/>
      </c>
      <c r="E1427" s="240">
        <f>$E$3</f>
        <v/>
      </c>
      <c r="F1427" s="241" t="n">
        <v>25.52</v>
      </c>
      <c r="G1427" s="242" t="n">
        <v>9234122</v>
      </c>
      <c r="H1427" s="241" t="n">
        <v>1.84</v>
      </c>
      <c r="I1427" s="241" t="n">
        <v>8.550000000000001</v>
      </c>
      <c r="J1427" s="241" t="n">
        <v>-26.49</v>
      </c>
      <c r="K1427" s="241" t="n">
        <v>22.26</v>
      </c>
      <c r="L1427" s="242" t="n">
        <v>2212600</v>
      </c>
      <c r="M1427" s="241" t="n">
        <v>6.42</v>
      </c>
      <c r="N1427" s="241" t="n">
        <v>22.1</v>
      </c>
      <c r="O1427" s="241" t="n">
        <v>-28.55</v>
      </c>
      <c r="P1427" s="241" t="n">
        <v>1.15</v>
      </c>
    </row>
    <row r="1428">
      <c r="A1428" s="282" t="inlineStr">
        <is>
          <t>2011-11-15</t>
        </is>
      </c>
      <c r="B1428" s="240">
        <f>IFERROR(1/P1428-1,B1427)</f>
        <v/>
      </c>
      <c r="C1428" s="240">
        <f>$C$3</f>
        <v/>
      </c>
      <c r="D1428" s="240">
        <f>$D$3</f>
        <v/>
      </c>
      <c r="E1428" s="240">
        <f>$E$3</f>
        <v/>
      </c>
      <c r="F1428" s="241" t="n">
        <v>26.18</v>
      </c>
      <c r="G1428" s="242" t="n">
        <v>10288410</v>
      </c>
      <c r="H1428" s="241" t="n">
        <v>2.59</v>
      </c>
      <c r="I1428" s="241" t="n">
        <v>11.31</v>
      </c>
      <c r="J1428" s="241" t="n">
        <v>-24.59</v>
      </c>
      <c r="K1428" s="241" t="n">
        <v>21.64</v>
      </c>
      <c r="L1428" s="242" t="n">
        <v>1371569</v>
      </c>
      <c r="M1428" s="241" t="n">
        <v>-2.92</v>
      </c>
      <c r="N1428" s="241" t="n">
        <v>21.79</v>
      </c>
      <c r="O1428" s="241" t="n">
        <v>-30.64</v>
      </c>
      <c r="P1428" s="241" t="n">
        <v>1.21</v>
      </c>
    </row>
    <row r="1429">
      <c r="A1429" s="282" t="inlineStr">
        <is>
          <t>2011-11-16</t>
        </is>
      </c>
      <c r="B1429" s="240">
        <f>IFERROR(1/P1429-1,B1428)</f>
        <v/>
      </c>
      <c r="C1429" s="240">
        <f>$C$3</f>
        <v/>
      </c>
      <c r="D1429" s="240">
        <f>$D$3</f>
        <v/>
      </c>
      <c r="E1429" s="240">
        <f>$E$3</f>
        <v/>
      </c>
      <c r="F1429" s="241" t="n">
        <v>25.38</v>
      </c>
      <c r="G1429" s="242" t="n">
        <v>8057782</v>
      </c>
      <c r="H1429" s="241" t="n">
        <v>-3.06</v>
      </c>
      <c r="I1429" s="241" t="n">
        <v>7.91</v>
      </c>
      <c r="J1429" s="241" t="n">
        <v>-26.89</v>
      </c>
      <c r="K1429" s="241" t="n">
        <v>21.38</v>
      </c>
      <c r="L1429" s="242" t="n">
        <v>966395</v>
      </c>
      <c r="M1429" s="241" t="n">
        <v>-1.32</v>
      </c>
      <c r="N1429" s="241" t="n">
        <v>20.18</v>
      </c>
      <c r="O1429" s="241" t="n">
        <v>-31.55</v>
      </c>
      <c r="P1429" s="241" t="n">
        <v>1.19</v>
      </c>
    </row>
    <row r="1430">
      <c r="A1430" s="282" t="inlineStr">
        <is>
          <t>2011-11-17</t>
        </is>
      </c>
      <c r="B1430" s="240">
        <f>IFERROR(1/P1430-1,B1429)</f>
        <v/>
      </c>
      <c r="C1430" s="240">
        <f>$C$3</f>
        <v/>
      </c>
      <c r="D1430" s="240">
        <f>$D$3</f>
        <v/>
      </c>
      <c r="E1430" s="240">
        <f>$E$3</f>
        <v/>
      </c>
      <c r="F1430" s="241" t="n">
        <v>25.06</v>
      </c>
      <c r="G1430" s="242" t="n">
        <v>7444833</v>
      </c>
      <c r="H1430" s="241" t="n">
        <v>-1.26</v>
      </c>
      <c r="I1430" s="241" t="n">
        <v>6.55</v>
      </c>
      <c r="J1430" s="241" t="n">
        <v>-27.82</v>
      </c>
      <c r="K1430" s="241" t="n">
        <v>20.94</v>
      </c>
      <c r="L1430" s="242" t="n">
        <v>784253</v>
      </c>
      <c r="M1430" s="241" t="n">
        <v>-2.1</v>
      </c>
      <c r="N1430" s="241" t="n">
        <v>17.66</v>
      </c>
      <c r="O1430" s="241" t="n">
        <v>-32.99</v>
      </c>
      <c r="P1430" s="241" t="n">
        <v>1.2</v>
      </c>
    </row>
    <row r="1431">
      <c r="A1431" s="282" t="inlineStr">
        <is>
          <t>2011-11-18</t>
        </is>
      </c>
      <c r="B1431" s="240">
        <f>IFERROR(1/P1431-1,B1430)</f>
        <v/>
      </c>
      <c r="C1431" s="240">
        <f>$C$3</f>
        <v/>
      </c>
      <c r="D1431" s="240">
        <f>$D$3</f>
        <v/>
      </c>
      <c r="E1431" s="240">
        <f>$E$3</f>
        <v/>
      </c>
      <c r="F1431" s="241" t="n">
        <v>24.47</v>
      </c>
      <c r="G1431" s="242" t="n">
        <v>7494277</v>
      </c>
      <c r="H1431" s="241" t="n">
        <v>-2.35</v>
      </c>
      <c r="I1431" s="241" t="n">
        <v>3.95</v>
      </c>
      <c r="J1431" s="241" t="n">
        <v>-29.51</v>
      </c>
      <c r="K1431" s="241" t="n">
        <v>20.48</v>
      </c>
      <c r="L1431" s="242" t="n">
        <v>1601200</v>
      </c>
      <c r="M1431" s="241" t="n">
        <v>-2.14</v>
      </c>
      <c r="N1431" s="241" t="n">
        <v>5.68</v>
      </c>
      <c r="O1431" s="241" t="n">
        <v>-34.42</v>
      </c>
      <c r="P1431" s="241" t="n">
        <v>1.19</v>
      </c>
    </row>
    <row r="1432">
      <c r="A1432" s="282" t="inlineStr">
        <is>
          <t>2011-11-21</t>
        </is>
      </c>
      <c r="B1432" s="240">
        <f>IFERROR(1/P1432-1,B1431)</f>
        <v/>
      </c>
      <c r="C1432" s="240">
        <f>$C$3</f>
        <v/>
      </c>
      <c r="D1432" s="240">
        <f>$D$3</f>
        <v/>
      </c>
      <c r="E1432" s="240">
        <f>$E$3</f>
        <v/>
      </c>
      <c r="F1432" s="241" t="n">
        <v>24.78</v>
      </c>
      <c r="G1432" s="242" t="n">
        <v>4252556</v>
      </c>
      <c r="H1432" s="241" t="n">
        <v>1.27</v>
      </c>
      <c r="I1432" s="241" t="n">
        <v>13.15</v>
      </c>
      <c r="J1432" s="241" t="n">
        <v>-28.62</v>
      </c>
      <c r="K1432" s="241" t="n">
        <v>19.45</v>
      </c>
      <c r="L1432" s="242" t="n">
        <v>1585558</v>
      </c>
      <c r="M1432" s="241" t="n">
        <v>-4.98</v>
      </c>
      <c r="N1432" s="241" t="n">
        <v>13.3</v>
      </c>
      <c r="O1432" s="241" t="n">
        <v>-37.69</v>
      </c>
      <c r="P1432" s="241" t="n">
        <v>1.27</v>
      </c>
    </row>
    <row r="1433">
      <c r="A1433" s="282" t="inlineStr">
        <is>
          <t>2011-11-22</t>
        </is>
      </c>
      <c r="B1433" s="240">
        <f>IFERROR(1/P1433-1,B1432)</f>
        <v/>
      </c>
      <c r="C1433" s="240">
        <f>$C$3</f>
        <v/>
      </c>
      <c r="D1433" s="240">
        <f>$D$3</f>
        <v/>
      </c>
      <c r="E1433" s="240">
        <f>$E$3</f>
        <v/>
      </c>
      <c r="F1433" s="241" t="n">
        <v>25.06</v>
      </c>
      <c r="G1433" s="242" t="n">
        <v>5767878</v>
      </c>
      <c r="H1433" s="241" t="n">
        <v>1.13</v>
      </c>
      <c r="I1433" s="241" t="n">
        <v>14.17</v>
      </c>
      <c r="J1433" s="241" t="n">
        <v>-27.82</v>
      </c>
      <c r="K1433" s="241" t="n">
        <v>19.79</v>
      </c>
      <c r="L1433" s="242" t="n">
        <v>2625397</v>
      </c>
      <c r="M1433" s="241" t="n">
        <v>1.68</v>
      </c>
      <c r="N1433" s="241" t="n">
        <v>11.49</v>
      </c>
      <c r="O1433" s="241" t="n">
        <v>-36.65</v>
      </c>
      <c r="P1433" s="241" t="n">
        <v>1.27</v>
      </c>
    </row>
    <row r="1434">
      <c r="A1434" s="282" t="inlineStr">
        <is>
          <t>2011-11-23</t>
        </is>
      </c>
      <c r="B1434" s="240">
        <f>IFERROR(1/P1434-1,B1433)</f>
        <v/>
      </c>
      <c r="C1434" s="240">
        <f>$C$3</f>
        <v/>
      </c>
      <c r="D1434" s="240">
        <f>$D$3</f>
        <v/>
      </c>
      <c r="E1434" s="240">
        <f>$E$3</f>
        <v/>
      </c>
      <c r="F1434" s="241" t="n">
        <v>24.83</v>
      </c>
      <c r="G1434" s="242" t="n">
        <v>9896952</v>
      </c>
      <c r="H1434" s="241" t="n">
        <v>-0.92</v>
      </c>
      <c r="I1434" s="241" t="n">
        <v>13.12</v>
      </c>
      <c r="J1434" s="241" t="n">
        <v>-28.48</v>
      </c>
      <c r="K1434" s="241" t="n">
        <v>17.81</v>
      </c>
      <c r="L1434" s="242" t="n">
        <v>6281588</v>
      </c>
      <c r="M1434" s="241" t="n">
        <v>-9.9</v>
      </c>
      <c r="N1434" s="241" t="n">
        <v>0.46</v>
      </c>
      <c r="O1434" s="241" t="n">
        <v>-42.92</v>
      </c>
      <c r="P1434" s="241" t="n">
        <v>1.39</v>
      </c>
    </row>
    <row r="1435">
      <c r="A1435" s="282" t="inlineStr">
        <is>
          <t>2011-11-24</t>
        </is>
      </c>
      <c r="B1435" s="240">
        <f>IFERROR(1/P1435-1,B1434)</f>
        <v/>
      </c>
      <c r="C1435" s="240">
        <f>$C$3</f>
        <v/>
      </c>
      <c r="D1435" s="240">
        <f>$D$3</f>
        <v/>
      </c>
      <c r="E1435" s="240">
        <f>$E$3</f>
        <v/>
      </c>
      <c r="F1435" s="241" t="n">
        <v>24.66</v>
      </c>
      <c r="G1435" s="242" t="n">
        <v>8220290</v>
      </c>
      <c r="H1435" s="241" t="n">
        <v>-0.68</v>
      </c>
      <c r="I1435" s="241" t="n">
        <v>12.35</v>
      </c>
      <c r="J1435" s="241" t="n">
        <v>-28.97</v>
      </c>
      <c r="K1435" s="241" t="n">
        <v>18.27</v>
      </c>
      <c r="L1435" s="242" t="n">
        <v>1872464</v>
      </c>
      <c r="M1435" s="241" t="n">
        <v>2.52</v>
      </c>
      <c r="N1435" s="241" t="n">
        <v>2.99</v>
      </c>
      <c r="O1435" s="241" t="n">
        <v>-41.48</v>
      </c>
      <c r="P1435" s="241" t="n">
        <v>1.35</v>
      </c>
    </row>
    <row r="1436">
      <c r="A1436" s="282" t="inlineStr">
        <is>
          <t>2011-11-25</t>
        </is>
      </c>
      <c r="B1436" s="240">
        <f>IFERROR(1/P1436-1,B1435)</f>
        <v/>
      </c>
      <c r="C1436" s="240">
        <f>$C$3</f>
        <v/>
      </c>
      <c r="D1436" s="240">
        <f>$D$3</f>
        <v/>
      </c>
      <c r="E1436" s="240">
        <f>$E$3</f>
        <v/>
      </c>
      <c r="F1436" s="241" t="n">
        <v>24.81</v>
      </c>
      <c r="G1436" s="242" t="n">
        <v>4503041</v>
      </c>
      <c r="H1436" s="241" t="n">
        <v>0.61</v>
      </c>
      <c r="I1436" s="241" t="n">
        <v>10.41</v>
      </c>
      <c r="J1436" s="241" t="n">
        <v>-28.54</v>
      </c>
      <c r="K1436" s="241" t="n">
        <v>18.51</v>
      </c>
      <c r="L1436" s="242" t="n">
        <v>1832000</v>
      </c>
      <c r="M1436" s="241" t="n">
        <v>1.34</v>
      </c>
      <c r="N1436" s="241" t="n">
        <v>-0.22</v>
      </c>
      <c r="O1436" s="241" t="n">
        <v>-40.7</v>
      </c>
      <c r="P1436" s="241" t="n">
        <v>1.34</v>
      </c>
    </row>
    <row r="1437">
      <c r="A1437" s="282" t="inlineStr">
        <is>
          <t>2011-11-28</t>
        </is>
      </c>
      <c r="B1437" s="240">
        <f>IFERROR(1/P1437-1,B1436)</f>
        <v/>
      </c>
      <c r="C1437" s="240">
        <f>$C$3</f>
        <v/>
      </c>
      <c r="D1437" s="240">
        <f>$D$3</f>
        <v/>
      </c>
      <c r="E1437" s="240">
        <f>$E$3</f>
        <v/>
      </c>
      <c r="F1437" s="241" t="n">
        <v>25.49</v>
      </c>
      <c r="G1437" s="242" t="n">
        <v>11320895</v>
      </c>
      <c r="H1437" s="241" t="n">
        <v>2.74</v>
      </c>
      <c r="I1437" s="241" t="n">
        <v>7.1</v>
      </c>
      <c r="J1437" s="241" t="n">
        <v>-26.58</v>
      </c>
      <c r="K1437" s="241" t="n">
        <v>19.13</v>
      </c>
      <c r="L1437" s="242" t="n">
        <v>2221621</v>
      </c>
      <c r="M1437" s="241" t="n">
        <v>3.3</v>
      </c>
      <c r="N1437" s="241" t="n">
        <v>-12.66</v>
      </c>
      <c r="O1437" s="241" t="n">
        <v>-38.74</v>
      </c>
      <c r="P1437" s="241" t="n">
        <v>1.33</v>
      </c>
    </row>
    <row r="1438">
      <c r="A1438" s="282" t="inlineStr">
        <is>
          <t>2011-11-29</t>
        </is>
      </c>
      <c r="B1438" s="240">
        <f>IFERROR(1/P1438-1,B1437)</f>
        <v/>
      </c>
      <c r="C1438" s="240">
        <f>$C$3</f>
        <v/>
      </c>
      <c r="D1438" s="240">
        <f>$D$3</f>
        <v/>
      </c>
      <c r="E1438" s="240">
        <f>$E$3</f>
        <v/>
      </c>
      <c r="F1438" s="241" t="n">
        <v>25.63</v>
      </c>
      <c r="G1438" s="242" t="n">
        <v>6443072</v>
      </c>
      <c r="H1438" s="241" t="n">
        <v>0.55</v>
      </c>
      <c r="I1438" s="241" t="n">
        <v>6.22</v>
      </c>
      <c r="J1438" s="241" t="n">
        <v>-26.17</v>
      </c>
      <c r="K1438" s="241" t="n">
        <v>20.23</v>
      </c>
      <c r="L1438" s="242" t="n">
        <v>2712677</v>
      </c>
      <c r="M1438" s="241" t="n">
        <v>5.76</v>
      </c>
      <c r="N1438" s="241" t="n">
        <v>0.2</v>
      </c>
      <c r="O1438" s="241" t="n">
        <v>-35.21</v>
      </c>
      <c r="P1438" s="241" t="n">
        <v>1.27</v>
      </c>
    </row>
    <row r="1439">
      <c r="A1439" s="282" t="inlineStr">
        <is>
          <t>2011-11-30</t>
        </is>
      </c>
      <c r="B1439" s="240">
        <f>IFERROR(1/P1439-1,B1438)</f>
        <v/>
      </c>
      <c r="C1439" s="240">
        <f>$C$3</f>
        <v/>
      </c>
      <c r="D1439" s="240">
        <f>$D$3</f>
        <v/>
      </c>
      <c r="E1439" s="240">
        <f>$E$3</f>
        <v/>
      </c>
      <c r="F1439" s="241" t="n">
        <v>24.65</v>
      </c>
      <c r="G1439" s="242" t="n">
        <v>8088533</v>
      </c>
      <c r="H1439" s="241" t="n">
        <v>-3.82</v>
      </c>
      <c r="I1439" s="241" t="n">
        <v>2.15</v>
      </c>
      <c r="J1439" s="241" t="n">
        <v>-29</v>
      </c>
      <c r="K1439" s="241" t="n">
        <v>20.17</v>
      </c>
      <c r="L1439" s="242" t="n">
        <v>1970000</v>
      </c>
      <c r="M1439" s="241" t="n">
        <v>-0.2</v>
      </c>
      <c r="N1439" s="241" t="n">
        <v>0</v>
      </c>
      <c r="O1439" s="241" t="n">
        <v>-35.34</v>
      </c>
      <c r="P1439" s="241" t="n">
        <v>1.22</v>
      </c>
    </row>
    <row r="1440">
      <c r="A1440" s="282" t="inlineStr">
        <is>
          <t>2011-12-01</t>
        </is>
      </c>
      <c r="B1440" s="240">
        <f>IFERROR(1/P1440-1,B1439)</f>
        <v/>
      </c>
      <c r="C1440" s="240">
        <f>$C$3</f>
        <v/>
      </c>
      <c r="D1440" s="240">
        <f>$D$3</f>
        <v/>
      </c>
      <c r="E1440" s="240">
        <f>$E$3</f>
        <v/>
      </c>
      <c r="F1440" s="241" t="n">
        <v>24.97</v>
      </c>
      <c r="G1440" s="242" t="n">
        <v>9239527</v>
      </c>
      <c r="H1440" s="241" t="n">
        <v>1.3</v>
      </c>
      <c r="I1440" s="241" t="n">
        <v>1.09</v>
      </c>
      <c r="J1440" s="241" t="n">
        <v>-28.07</v>
      </c>
      <c r="K1440" s="241" t="n">
        <v>21.43</v>
      </c>
      <c r="L1440" s="242" t="n">
        <v>2698289</v>
      </c>
      <c r="M1440" s="241" t="n">
        <v>6.26</v>
      </c>
      <c r="N1440" s="241" t="n">
        <v>8.01</v>
      </c>
      <c r="O1440" s="241" t="n">
        <v>-31.29</v>
      </c>
      <c r="P1440" s="241" t="n">
        <v>1.16</v>
      </c>
    </row>
    <row r="1441">
      <c r="A1441" s="282" t="inlineStr">
        <is>
          <t>2011-12-02</t>
        </is>
      </c>
      <c r="B1441" s="240">
        <f>IFERROR(1/P1441-1,B1440)</f>
        <v/>
      </c>
      <c r="C1441" s="240">
        <f>$C$3</f>
        <v/>
      </c>
      <c r="D1441" s="240">
        <f>$D$3</f>
        <v/>
      </c>
      <c r="E1441" s="240">
        <f>$E$3</f>
        <v/>
      </c>
      <c r="F1441" s="241" t="n">
        <v>25.09</v>
      </c>
      <c r="G1441" s="242" t="n">
        <v>5971815</v>
      </c>
      <c r="H1441" s="241" t="n">
        <v>0.48</v>
      </c>
      <c r="I1441" s="241" t="n">
        <v>0.76</v>
      </c>
      <c r="J1441" s="241" t="n">
        <v>-27.73</v>
      </c>
      <c r="K1441" s="241" t="n">
        <v>21.15</v>
      </c>
      <c r="L1441" s="242" t="n">
        <v>1532153</v>
      </c>
      <c r="M1441" s="241" t="n">
        <v>-1.33</v>
      </c>
      <c r="N1441" s="241" t="n">
        <v>5.92</v>
      </c>
      <c r="O1441" s="241" t="n">
        <v>-32.2</v>
      </c>
      <c r="P1441" s="241" t="n">
        <v>1.19</v>
      </c>
    </row>
    <row r="1442">
      <c r="A1442" s="282" t="inlineStr">
        <is>
          <t>2011-12-05</t>
        </is>
      </c>
      <c r="B1442" s="240">
        <f>IFERROR(1/P1442-1,B1441)</f>
        <v/>
      </c>
      <c r="C1442" s="240">
        <f>$C$3</f>
        <v/>
      </c>
      <c r="D1442" s="240">
        <f>$D$3</f>
        <v/>
      </c>
      <c r="E1442" s="240">
        <f>$E$3</f>
        <v/>
      </c>
      <c r="F1442" s="241" t="n">
        <v>24.51</v>
      </c>
      <c r="G1442" s="242" t="n">
        <v>4878484</v>
      </c>
      <c r="H1442" s="241" t="n">
        <v>-2.31</v>
      </c>
      <c r="I1442" s="241" t="n">
        <v>-5.15</v>
      </c>
      <c r="J1442" s="241" t="n">
        <v>-29.4</v>
      </c>
      <c r="K1442" s="241" t="n">
        <v>20.83</v>
      </c>
      <c r="L1442" s="242" t="n">
        <v>785400</v>
      </c>
      <c r="M1442" s="241" t="n">
        <v>-1.54</v>
      </c>
      <c r="N1442" s="241" t="n">
        <v>-6.58</v>
      </c>
      <c r="O1442" s="241" t="n">
        <v>-33.25</v>
      </c>
      <c r="P1442" s="241" t="n">
        <v>1.18</v>
      </c>
    </row>
    <row r="1443">
      <c r="A1443" s="282" t="inlineStr">
        <is>
          <t>2011-12-06</t>
        </is>
      </c>
      <c r="B1443" s="240">
        <f>IFERROR(1/P1443-1,B1442)</f>
        <v/>
      </c>
      <c r="C1443" s="240">
        <f>$C$3</f>
        <v/>
      </c>
      <c r="D1443" s="240">
        <f>$D$3</f>
        <v/>
      </c>
      <c r="E1443" s="240">
        <f>$E$3</f>
        <v/>
      </c>
      <c r="F1443" s="241" t="n">
        <v>24.53</v>
      </c>
      <c r="G1443" s="242" t="n">
        <v>2906286</v>
      </c>
      <c r="H1443" s="241" t="n">
        <v>0.08</v>
      </c>
      <c r="I1443" s="241" t="n">
        <v>-5.07</v>
      </c>
      <c r="J1443" s="241" t="n">
        <v>-29.34</v>
      </c>
      <c r="K1443" s="241" t="n">
        <v>20.53</v>
      </c>
      <c r="L1443" s="242" t="n">
        <v>1758194</v>
      </c>
      <c r="M1443" s="241" t="n">
        <v>-1.37</v>
      </c>
      <c r="N1443" s="241" t="n">
        <v>-7.86</v>
      </c>
      <c r="O1443" s="241" t="n">
        <v>-34.16</v>
      </c>
      <c r="P1443" s="241" t="n">
        <v>1.19</v>
      </c>
    </row>
    <row r="1444">
      <c r="A1444" s="282" t="inlineStr">
        <is>
          <t>2011-12-07</t>
        </is>
      </c>
      <c r="B1444" s="240">
        <f>IFERROR(1/P1444-1,B1443)</f>
        <v/>
      </c>
      <c r="C1444" s="240">
        <f>$C$3</f>
        <v/>
      </c>
      <c r="D1444" s="240">
        <f>$D$3</f>
        <v/>
      </c>
      <c r="E1444" s="240">
        <f>$E$3</f>
        <v/>
      </c>
      <c r="F1444" s="241" t="n">
        <v>24.62</v>
      </c>
      <c r="G1444" s="242" t="n">
        <v>2291176</v>
      </c>
      <c r="H1444" s="241" t="n">
        <v>0.37</v>
      </c>
      <c r="I1444" s="241" t="n">
        <v>-4.72</v>
      </c>
      <c r="J1444" s="241" t="n">
        <v>-29.08</v>
      </c>
      <c r="K1444" s="241" t="n">
        <v>20.74</v>
      </c>
      <c r="L1444" s="242" t="n">
        <v>1568627</v>
      </c>
      <c r="M1444" s="241" t="n">
        <v>0.99</v>
      </c>
      <c r="N1444" s="241" t="n">
        <v>-6.95</v>
      </c>
      <c r="O1444" s="241" t="n">
        <v>-33.51</v>
      </c>
      <c r="P1444" s="241" t="n">
        <v>1.19</v>
      </c>
    </row>
    <row r="1445">
      <c r="A1445" s="282" t="inlineStr">
        <is>
          <t>2011-12-08</t>
        </is>
      </c>
      <c r="B1445" s="240">
        <f>IFERROR(1/P1445-1,B1444)</f>
        <v/>
      </c>
      <c r="C1445" s="240">
        <f>$C$3</f>
        <v/>
      </c>
      <c r="D1445" s="240">
        <f>$D$3</f>
        <v/>
      </c>
      <c r="E1445" s="240">
        <f>$E$3</f>
        <v/>
      </c>
      <c r="F1445" s="241" t="n">
        <v>24.71</v>
      </c>
      <c r="G1445" s="242" t="n">
        <v>3465616</v>
      </c>
      <c r="H1445" s="241" t="n">
        <v>0.37</v>
      </c>
      <c r="I1445" s="241" t="n">
        <v>-3.63</v>
      </c>
      <c r="J1445" s="241" t="n">
        <v>-28.82</v>
      </c>
      <c r="K1445" s="241" t="n">
        <v>20.57</v>
      </c>
      <c r="L1445" s="242" t="n">
        <v>995700</v>
      </c>
      <c r="M1445" s="241" t="n">
        <v>-0.79</v>
      </c>
      <c r="N1445" s="241" t="n">
        <v>-8.84</v>
      </c>
      <c r="O1445" s="241" t="n">
        <v>-34.03</v>
      </c>
      <c r="P1445" s="241" t="n">
        <v>1.2</v>
      </c>
    </row>
    <row r="1446">
      <c r="A1446" s="282" t="inlineStr">
        <is>
          <t>2011-12-09</t>
        </is>
      </c>
      <c r="B1446" s="240">
        <f>IFERROR(1/P1446-1,B1445)</f>
        <v/>
      </c>
      <c r="C1446" s="240">
        <f>$C$3</f>
        <v/>
      </c>
      <c r="D1446" s="240">
        <f>$D$3</f>
        <v/>
      </c>
      <c r="E1446" s="240">
        <f>$E$3</f>
        <v/>
      </c>
      <c r="F1446" s="241" t="n">
        <v>24.79</v>
      </c>
      <c r="G1446" s="242" t="n">
        <v>3129893</v>
      </c>
      <c r="H1446" s="241" t="n">
        <v>0.32</v>
      </c>
      <c r="I1446" s="241" t="n">
        <v>-2.44</v>
      </c>
      <c r="J1446" s="241" t="n">
        <v>-28.59</v>
      </c>
      <c r="K1446" s="241" t="n">
        <v>19.55</v>
      </c>
      <c r="L1446" s="242" t="n">
        <v>1996200</v>
      </c>
      <c r="M1446" s="241" t="n">
        <v>-4.95</v>
      </c>
      <c r="N1446" s="241" t="n">
        <v>-10.78</v>
      </c>
      <c r="O1446" s="241" t="n">
        <v>-37.3</v>
      </c>
      <c r="P1446" s="241" t="n">
        <v>1.27</v>
      </c>
    </row>
    <row r="1447">
      <c r="A1447" s="282" t="inlineStr">
        <is>
          <t>2011-12-12</t>
        </is>
      </c>
      <c r="B1447" s="240">
        <f>IFERROR(1/P1447-1,B1446)</f>
        <v/>
      </c>
      <c r="C1447" s="240">
        <f>$C$3</f>
        <v/>
      </c>
      <c r="D1447" s="240">
        <f>$D$3</f>
        <v/>
      </c>
      <c r="E1447" s="240">
        <f>$E$3</f>
        <v/>
      </c>
      <c r="F1447" s="241" t="n">
        <v>24.53</v>
      </c>
      <c r="G1447" s="242" t="n">
        <v>2632717</v>
      </c>
      <c r="H1447" s="241" t="n">
        <v>-1.05</v>
      </c>
      <c r="I1447" s="241" t="n">
        <v>-2.11</v>
      </c>
      <c r="J1447" s="241" t="n">
        <v>-29.34</v>
      </c>
      <c r="K1447" s="241" t="n">
        <v>19.56</v>
      </c>
      <c r="L1447" s="242" t="n">
        <v>3347710</v>
      </c>
      <c r="M1447" s="241" t="n">
        <v>0.21</v>
      </c>
      <c r="N1447" s="241" t="n">
        <v>-6.42</v>
      </c>
      <c r="O1447" s="241" t="n">
        <v>-37.17</v>
      </c>
      <c r="P1447" s="241" t="n">
        <v>1.25</v>
      </c>
    </row>
    <row r="1448">
      <c r="A1448" s="282" t="inlineStr">
        <is>
          <t>2011-12-13</t>
        </is>
      </c>
      <c r="B1448" s="240">
        <f>IFERROR(1/P1448-1,B1447)</f>
        <v/>
      </c>
      <c r="C1448" s="240">
        <f>$C$3</f>
        <v/>
      </c>
      <c r="D1448" s="240">
        <f>$D$3</f>
        <v/>
      </c>
      <c r="E1448" s="240">
        <f>$E$3</f>
        <v/>
      </c>
      <c r="F1448" s="241" t="n">
        <v>22.7</v>
      </c>
      <c r="G1448" s="242" t="n">
        <v>17713314</v>
      </c>
      <c r="H1448" s="241" t="n">
        <v>-7.46</v>
      </c>
      <c r="I1448" s="241" t="n">
        <v>-9.42</v>
      </c>
      <c r="J1448" s="241" t="n">
        <v>-34.61</v>
      </c>
      <c r="K1448" s="241" t="n">
        <v>19.17</v>
      </c>
      <c r="L1448" s="242" t="n">
        <v>2422915</v>
      </c>
      <c r="M1448" s="241" t="n">
        <v>-2.08</v>
      </c>
      <c r="N1448" s="241" t="n">
        <v>-8.369999999999999</v>
      </c>
      <c r="O1448" s="241" t="n">
        <v>-38.47</v>
      </c>
      <c r="P1448" s="241" t="n">
        <v>1.18</v>
      </c>
    </row>
    <row r="1449">
      <c r="A1449" s="282" t="inlineStr">
        <is>
          <t>2011-12-14</t>
        </is>
      </c>
      <c r="B1449" s="240">
        <f>IFERROR(1/P1449-1,B1448)</f>
        <v/>
      </c>
      <c r="C1449" s="240">
        <f>$C$3</f>
        <v/>
      </c>
      <c r="D1449" s="240">
        <f>$D$3</f>
        <v/>
      </c>
      <c r="E1449" s="240">
        <f>$E$3</f>
        <v/>
      </c>
      <c r="F1449" s="241" t="n">
        <v>22.38</v>
      </c>
      <c r="G1449" s="242" t="n">
        <v>7063411</v>
      </c>
      <c r="H1449" s="241" t="n">
        <v>-1.41</v>
      </c>
      <c r="I1449" s="241" t="n">
        <v>-10.69</v>
      </c>
      <c r="J1449" s="241" t="n">
        <v>-35.54</v>
      </c>
      <c r="K1449" s="241" t="n">
        <v>18.5</v>
      </c>
      <c r="L1449" s="242" t="n">
        <v>4827620</v>
      </c>
      <c r="M1449" s="241" t="n">
        <v>-3.61</v>
      </c>
      <c r="N1449" s="241" t="n">
        <v>-11.67</v>
      </c>
      <c r="O1449" s="241" t="n">
        <v>-40.7</v>
      </c>
      <c r="P1449" s="241" t="n">
        <v>1.21</v>
      </c>
    </row>
    <row r="1450">
      <c r="A1450" s="282" t="inlineStr">
        <is>
          <t>2011-12-15</t>
        </is>
      </c>
      <c r="B1450" s="240">
        <f>IFERROR(1/P1450-1,B1449)</f>
        <v/>
      </c>
      <c r="C1450" s="240">
        <f>$C$3</f>
        <v/>
      </c>
      <c r="D1450" s="240">
        <f>$D$3</f>
        <v/>
      </c>
      <c r="E1450" s="240">
        <f>$E$3</f>
        <v/>
      </c>
      <c r="F1450" s="241" t="n">
        <v>22.45</v>
      </c>
      <c r="G1450" s="242" t="n">
        <v>6416076</v>
      </c>
      <c r="H1450" s="241" t="n">
        <v>0.31</v>
      </c>
      <c r="I1450" s="241" t="n">
        <v>-12.03</v>
      </c>
      <c r="J1450" s="241" t="n">
        <v>-35.33</v>
      </c>
      <c r="K1450" s="241" t="n">
        <v>18.25</v>
      </c>
      <c r="L1450" s="242" t="n">
        <v>2806200</v>
      </c>
      <c r="M1450" s="241" t="n">
        <v>-1.32</v>
      </c>
      <c r="N1450" s="241" t="n">
        <v>-18.1</v>
      </c>
      <c r="O1450" s="241" t="n">
        <v>-41.48</v>
      </c>
      <c r="P1450" s="241" t="n">
        <v>1.23</v>
      </c>
    </row>
    <row r="1451">
      <c r="A1451" s="282" t="inlineStr">
        <is>
          <t>2011-12-16</t>
        </is>
      </c>
      <c r="B1451" s="240">
        <f>IFERROR(1/P1451-1,B1450)</f>
        <v/>
      </c>
      <c r="C1451" s="240">
        <f>$C$3</f>
        <v/>
      </c>
      <c r="D1451" s="240">
        <f>$D$3</f>
        <v/>
      </c>
      <c r="E1451" s="240">
        <f>$E$3</f>
        <v/>
      </c>
      <c r="F1451" s="241" t="n">
        <v>23.34</v>
      </c>
      <c r="G1451" s="242" t="n">
        <v>7208786</v>
      </c>
      <c r="H1451" s="241" t="n">
        <v>3.96</v>
      </c>
      <c r="I1451" s="241" t="n">
        <v>-10.85</v>
      </c>
      <c r="J1451" s="241" t="n">
        <v>-32.77</v>
      </c>
      <c r="K1451" s="241" t="n">
        <v>18.65</v>
      </c>
      <c r="L1451" s="242" t="n">
        <v>3243272</v>
      </c>
      <c r="M1451" s="241" t="n">
        <v>2.23</v>
      </c>
      <c r="N1451" s="241" t="n">
        <v>-13.75</v>
      </c>
      <c r="O1451" s="241" t="n">
        <v>-40.17</v>
      </c>
      <c r="P1451" s="241" t="n">
        <v>1.25</v>
      </c>
    </row>
    <row r="1452">
      <c r="A1452" s="282" t="inlineStr">
        <is>
          <t>2011-12-19</t>
        </is>
      </c>
      <c r="B1452" s="240">
        <f>IFERROR(1/P1452-1,B1451)</f>
        <v/>
      </c>
      <c r="C1452" s="240">
        <f>$C$3</f>
        <v/>
      </c>
      <c r="D1452" s="240">
        <f>$D$3</f>
        <v/>
      </c>
      <c r="E1452" s="240">
        <f>$E$3</f>
        <v/>
      </c>
      <c r="F1452" s="241" t="n">
        <v>23.57</v>
      </c>
      <c r="G1452" s="242" t="n">
        <v>7280430</v>
      </c>
      <c r="H1452" s="241" t="n">
        <v>0.99</v>
      </c>
      <c r="I1452" s="241" t="n">
        <v>-3.68</v>
      </c>
      <c r="J1452" s="241" t="n">
        <v>-32.11</v>
      </c>
      <c r="K1452" s="241" t="n">
        <v>17.85</v>
      </c>
      <c r="L1452" s="242" t="n">
        <v>2362100</v>
      </c>
      <c r="M1452" s="241" t="n">
        <v>-4.15</v>
      </c>
      <c r="N1452" s="241" t="n">
        <v>-12.55</v>
      </c>
      <c r="O1452" s="241" t="n">
        <v>-42.65</v>
      </c>
      <c r="P1452" s="241" t="n">
        <v>1.32</v>
      </c>
    </row>
    <row r="1453">
      <c r="A1453" s="282" t="inlineStr">
        <is>
          <t>2011-12-20</t>
        </is>
      </c>
      <c r="B1453" s="240">
        <f>IFERROR(1/P1453-1,B1452)</f>
        <v/>
      </c>
      <c r="C1453" s="240">
        <f>$C$3</f>
        <v/>
      </c>
      <c r="D1453" s="240">
        <f>$D$3</f>
        <v/>
      </c>
      <c r="E1453" s="240">
        <f>$E$3</f>
        <v/>
      </c>
      <c r="F1453" s="241" t="n">
        <v>23.63</v>
      </c>
      <c r="G1453" s="242" t="n">
        <v>4443546</v>
      </c>
      <c r="H1453" s="241" t="n">
        <v>0.25</v>
      </c>
      <c r="I1453" s="241" t="n">
        <v>-3.43</v>
      </c>
      <c r="J1453" s="241" t="n">
        <v>-31.93</v>
      </c>
      <c r="K1453" s="241" t="n">
        <v>17.95</v>
      </c>
      <c r="L1453" s="242" t="n">
        <v>2024089</v>
      </c>
      <c r="M1453" s="241" t="n">
        <v>0.46</v>
      </c>
      <c r="N1453" s="241" t="n">
        <v>-12.15</v>
      </c>
      <c r="O1453" s="241" t="n">
        <v>-42.39</v>
      </c>
      <c r="P1453" s="241" t="n">
        <v>1.32</v>
      </c>
    </row>
    <row r="1454">
      <c r="A1454" s="282" t="inlineStr">
        <is>
          <t>2011-12-21</t>
        </is>
      </c>
      <c r="B1454" s="240">
        <f>IFERROR(1/P1454-1,B1453)</f>
        <v/>
      </c>
      <c r="C1454" s="240">
        <f>$C$3</f>
        <v/>
      </c>
      <c r="D1454" s="240">
        <f>$D$3</f>
        <v/>
      </c>
      <c r="E1454" s="240">
        <f>$E$3</f>
        <v/>
      </c>
      <c r="F1454" s="241" t="n">
        <v>23.23</v>
      </c>
      <c r="G1454" s="242" t="n">
        <v>3950302</v>
      </c>
      <c r="H1454" s="241" t="n">
        <v>-1.69</v>
      </c>
      <c r="I1454" s="241" t="n">
        <v>-5.07</v>
      </c>
      <c r="J1454" s="241" t="n">
        <v>-33.09</v>
      </c>
      <c r="K1454" s="241" t="n">
        <v>18.33</v>
      </c>
      <c r="L1454" s="242" t="n">
        <v>2542582</v>
      </c>
      <c r="M1454" s="241" t="n">
        <v>2.27</v>
      </c>
      <c r="N1454" s="241" t="n">
        <v>-10.16</v>
      </c>
      <c r="O1454" s="241" t="n">
        <v>-41.09</v>
      </c>
      <c r="P1454" s="241" t="n">
        <v>1.27</v>
      </c>
    </row>
    <row r="1455">
      <c r="A1455" s="282" t="inlineStr">
        <is>
          <t>2011-12-22</t>
        </is>
      </c>
      <c r="B1455" s="240">
        <f>IFERROR(1/P1455-1,B1454)</f>
        <v/>
      </c>
      <c r="C1455" s="240">
        <f>$C$3</f>
        <v/>
      </c>
      <c r="D1455" s="240">
        <f>$D$3</f>
        <v/>
      </c>
      <c r="E1455" s="240">
        <f>$E$3</f>
        <v/>
      </c>
      <c r="F1455" s="241" t="n">
        <v>23.23</v>
      </c>
      <c r="G1455" s="242" t="n">
        <v>0</v>
      </c>
      <c r="H1455" s="241" t="n">
        <v>0</v>
      </c>
      <c r="I1455" s="241" t="n">
        <v>-6.25</v>
      </c>
      <c r="J1455" s="241" t="n">
        <v>-33.09</v>
      </c>
      <c r="K1455" s="241" t="n">
        <v>17.93</v>
      </c>
      <c r="L1455" s="242" t="n">
        <v>2973984</v>
      </c>
      <c r="M1455" s="241" t="n">
        <v>-2.22</v>
      </c>
      <c r="N1455" s="241" t="n">
        <v>-7.55</v>
      </c>
      <c r="O1455" s="241" t="n">
        <v>-42.39</v>
      </c>
      <c r="P1455" s="241" t="n">
        <v>1.3</v>
      </c>
    </row>
    <row r="1456">
      <c r="A1456" s="282" t="inlineStr">
        <is>
          <t>2011-12-23</t>
        </is>
      </c>
      <c r="B1456" s="240">
        <f>IFERROR(1/P1456-1,B1455)</f>
        <v/>
      </c>
      <c r="C1456" s="240">
        <f>$C$3</f>
        <v/>
      </c>
      <c r="D1456" s="240">
        <f>$D$3</f>
        <v/>
      </c>
      <c r="E1456" s="240">
        <f>$E$3</f>
        <v/>
      </c>
      <c r="F1456" s="241" t="n">
        <v>23.39</v>
      </c>
      <c r="G1456" s="242" t="n">
        <v>2257658</v>
      </c>
      <c r="H1456" s="241" t="n">
        <v>0.6899999999999999</v>
      </c>
      <c r="I1456" s="241" t="n">
        <v>-6.66</v>
      </c>
      <c r="J1456" s="241" t="n">
        <v>-32.63</v>
      </c>
      <c r="K1456" s="241" t="n">
        <v>18.77</v>
      </c>
      <c r="L1456" s="242" t="n">
        <v>1163665</v>
      </c>
      <c r="M1456" s="241" t="n">
        <v>4.76</v>
      </c>
      <c r="N1456" s="241" t="n">
        <v>-4.74</v>
      </c>
      <c r="O1456" s="241" t="n">
        <v>-39.65</v>
      </c>
      <c r="P1456" s="241" t="n">
        <v>1.25</v>
      </c>
    </row>
    <row r="1457">
      <c r="A1457" s="282" t="inlineStr">
        <is>
          <t>2011-12-26</t>
        </is>
      </c>
      <c r="B1457" s="240">
        <f>IFERROR(1/P1457-1,B1456)</f>
        <v/>
      </c>
      <c r="C1457" s="240">
        <f>$C$3</f>
        <v/>
      </c>
      <c r="D1457" s="240">
        <f>$D$3</f>
        <v/>
      </c>
      <c r="E1457" s="240">
        <f>$E$3</f>
        <v/>
      </c>
      <c r="F1457" s="241" t="n">
        <v>23.24</v>
      </c>
      <c r="G1457" s="242" t="n">
        <v>2175915</v>
      </c>
      <c r="H1457" s="241" t="n">
        <v>-0.64</v>
      </c>
      <c r="I1457" s="241" t="n">
        <v>-6.33</v>
      </c>
      <c r="J1457" s="241" t="n">
        <v>-33.06</v>
      </c>
      <c r="K1457" s="239" t="inlineStr">
        <is>
          <t>--</t>
        </is>
      </c>
      <c r="L1457" s="239" t="inlineStr">
        <is>
          <t>--</t>
        </is>
      </c>
      <c r="M1457" s="239" t="inlineStr">
        <is>
          <t>--</t>
        </is>
      </c>
      <c r="N1457" s="239" t="inlineStr">
        <is>
          <t>--</t>
        </is>
      </c>
      <c r="O1457" s="239" t="inlineStr">
        <is>
          <t>--</t>
        </is>
      </c>
      <c r="P1457" s="239" t="inlineStr">
        <is>
          <t>--</t>
        </is>
      </c>
    </row>
    <row r="1458">
      <c r="A1458" s="282" t="inlineStr">
        <is>
          <t>2011-12-27</t>
        </is>
      </c>
      <c r="B1458" s="240">
        <f>IFERROR(1/P1458-1,B1457)</f>
        <v/>
      </c>
      <c r="C1458" s="240">
        <f>$C$3</f>
        <v/>
      </c>
      <c r="D1458" s="240">
        <f>$D$3</f>
        <v/>
      </c>
      <c r="E1458" s="240">
        <f>$E$3</f>
        <v/>
      </c>
      <c r="F1458" s="241" t="n">
        <v>22.89</v>
      </c>
      <c r="G1458" s="242" t="n">
        <v>4172848</v>
      </c>
      <c r="H1458" s="241" t="n">
        <v>-1.51</v>
      </c>
      <c r="I1458" s="241" t="n">
        <v>-7.74</v>
      </c>
      <c r="J1458" s="241" t="n">
        <v>-34.07</v>
      </c>
      <c r="K1458" s="239" t="inlineStr">
        <is>
          <t>--</t>
        </is>
      </c>
      <c r="L1458" s="239" t="inlineStr">
        <is>
          <t>--</t>
        </is>
      </c>
      <c r="M1458" s="239" t="inlineStr">
        <is>
          <t>--</t>
        </is>
      </c>
      <c r="N1458" s="239" t="inlineStr">
        <is>
          <t>--</t>
        </is>
      </c>
      <c r="O1458" s="239" t="inlineStr">
        <is>
          <t>--</t>
        </is>
      </c>
      <c r="P1458" s="239" t="inlineStr">
        <is>
          <t>--</t>
        </is>
      </c>
    </row>
    <row r="1459">
      <c r="A1459" s="282" t="inlineStr">
        <is>
          <t>2011-12-28</t>
        </is>
      </c>
      <c r="B1459" s="240">
        <f>IFERROR(1/P1459-1,B1458)</f>
        <v/>
      </c>
      <c r="C1459" s="240">
        <f>$C$3</f>
        <v/>
      </c>
      <c r="D1459" s="240">
        <f>$D$3</f>
        <v/>
      </c>
      <c r="E1459" s="240">
        <f>$E$3</f>
        <v/>
      </c>
      <c r="F1459" s="241" t="n">
        <v>22.58</v>
      </c>
      <c r="G1459" s="242" t="n">
        <v>4320176</v>
      </c>
      <c r="H1459" s="241" t="n">
        <v>-1.35</v>
      </c>
      <c r="I1459" s="241" t="n">
        <v>-8.99</v>
      </c>
      <c r="J1459" s="241" t="n">
        <v>-34.96</v>
      </c>
      <c r="K1459" s="241" t="n">
        <v>18.43</v>
      </c>
      <c r="L1459" s="242" t="n">
        <v>1576128</v>
      </c>
      <c r="M1459" s="241" t="n">
        <v>-1.73</v>
      </c>
      <c r="N1459" s="241" t="n">
        <v>0</v>
      </c>
      <c r="O1459" s="241" t="n">
        <v>-40.7</v>
      </c>
      <c r="P1459" s="241" t="n">
        <v>1.23</v>
      </c>
    </row>
    <row r="1460">
      <c r="A1460" s="282" t="inlineStr">
        <is>
          <t>2011-12-29</t>
        </is>
      </c>
      <c r="B1460" s="240">
        <f>IFERROR(1/P1460-1,B1459)</f>
        <v/>
      </c>
      <c r="C1460" s="240">
        <f>$C$3</f>
        <v/>
      </c>
      <c r="D1460" s="240">
        <f>$D$3</f>
        <v/>
      </c>
      <c r="E1460" s="240">
        <f>$E$3</f>
        <v/>
      </c>
      <c r="F1460" s="241" t="n">
        <v>22.43</v>
      </c>
      <c r="G1460" s="242" t="n">
        <v>3488174</v>
      </c>
      <c r="H1460" s="241" t="n">
        <v>-0.66</v>
      </c>
      <c r="I1460" s="241" t="n">
        <v>-12</v>
      </c>
      <c r="J1460" s="241" t="n">
        <v>-35.39</v>
      </c>
      <c r="K1460" s="241" t="n">
        <v>18.4</v>
      </c>
      <c r="L1460" s="242" t="n">
        <v>1472841</v>
      </c>
      <c r="M1460" s="241" t="n">
        <v>-0.22</v>
      </c>
      <c r="N1460" s="241" t="n">
        <v>-3.41</v>
      </c>
      <c r="O1460" s="241" t="n">
        <v>-40.83</v>
      </c>
      <c r="P1460" s="241" t="n">
        <v>1.22</v>
      </c>
    </row>
    <row r="1461">
      <c r="A1461" s="282" t="inlineStr">
        <is>
          <t>2011-12-30</t>
        </is>
      </c>
      <c r="B1461" s="240">
        <f>IFERROR(1/P1461-1,B1460)</f>
        <v/>
      </c>
      <c r="C1461" s="240">
        <f>$C$3</f>
        <v/>
      </c>
      <c r="D1461" s="240">
        <f>$D$3</f>
        <v/>
      </c>
      <c r="E1461" s="240">
        <f>$E$3</f>
        <v/>
      </c>
      <c r="F1461" s="241" t="n">
        <v>23.11</v>
      </c>
      <c r="G1461" s="242" t="n">
        <v>6709659</v>
      </c>
      <c r="H1461" s="241" t="n">
        <v>3.03</v>
      </c>
      <c r="I1461" s="241" t="n">
        <v>-9.83</v>
      </c>
      <c r="J1461" s="241" t="n">
        <v>-33.43</v>
      </c>
      <c r="K1461" s="241" t="n">
        <v>18.65</v>
      </c>
      <c r="L1461" s="242" t="n">
        <v>856993</v>
      </c>
      <c r="M1461" s="241" t="n">
        <v>1.55</v>
      </c>
      <c r="N1461" s="241" t="n">
        <v>-7.26</v>
      </c>
      <c r="O1461" s="241" t="n">
        <v>-39.91</v>
      </c>
      <c r="P1461" s="241" t="n">
        <v>1.24</v>
      </c>
    </row>
    <row r="1462">
      <c r="A1462" s="282" t="inlineStr">
        <is>
          <t>2012-01-04</t>
        </is>
      </c>
      <c r="B1462" s="240">
        <f>IFERROR(1/P1462-1,B1461)</f>
        <v/>
      </c>
      <c r="C1462" s="240">
        <f>$C$3</f>
        <v/>
      </c>
      <c r="D1462" s="240">
        <f>$D$3</f>
        <v/>
      </c>
      <c r="E1462" s="240">
        <f>$E$3</f>
        <v/>
      </c>
      <c r="F1462" s="241" t="n">
        <v>22.28</v>
      </c>
      <c r="G1462" s="242" t="n">
        <v>3541546</v>
      </c>
      <c r="H1462" s="241" t="n">
        <v>-3.59</v>
      </c>
      <c r="I1462" s="241" t="n">
        <v>-11.2</v>
      </c>
      <c r="J1462" s="241" t="n">
        <v>-3.59</v>
      </c>
      <c r="K1462" s="241" t="n">
        <v>18.74</v>
      </c>
      <c r="L1462" s="242" t="n">
        <v>1894318</v>
      </c>
      <c r="M1462" s="241" t="n">
        <v>-0.65</v>
      </c>
      <c r="N1462" s="241" t="n">
        <v>-10.98</v>
      </c>
      <c r="O1462" s="241" t="n">
        <v>0.43</v>
      </c>
      <c r="P1462" s="241" t="n">
        <v>1.19</v>
      </c>
    </row>
    <row r="1463">
      <c r="A1463" s="282" t="inlineStr">
        <is>
          <t>2012-01-05</t>
        </is>
      </c>
      <c r="B1463" s="240">
        <f>IFERROR(1/P1463-1,B1462)</f>
        <v/>
      </c>
      <c r="C1463" s="240">
        <f>$C$3</f>
        <v/>
      </c>
      <c r="D1463" s="240">
        <f>$D$3</f>
        <v/>
      </c>
      <c r="E1463" s="240">
        <f>$E$3</f>
        <v/>
      </c>
      <c r="F1463" s="241" t="n">
        <v>21.36</v>
      </c>
      <c r="G1463" s="242" t="n">
        <v>7314419</v>
      </c>
      <c r="H1463" s="241" t="n">
        <v>-4.13</v>
      </c>
      <c r="I1463" s="241" t="n">
        <v>-14.87</v>
      </c>
      <c r="J1463" s="241" t="n">
        <v>-7.57</v>
      </c>
      <c r="K1463" s="241" t="n">
        <v>18.93</v>
      </c>
      <c r="L1463" s="242" t="n">
        <v>955518</v>
      </c>
      <c r="M1463" s="241" t="n">
        <v>0.87</v>
      </c>
      <c r="N1463" s="241" t="n">
        <v>-10.21</v>
      </c>
      <c r="O1463" s="241" t="n">
        <v>1.3</v>
      </c>
      <c r="P1463" s="241" t="n">
        <v>1.13</v>
      </c>
    </row>
    <row r="1464">
      <c r="A1464" s="282" t="inlineStr">
        <is>
          <t>2012-01-06</t>
        </is>
      </c>
      <c r="B1464" s="240">
        <f>IFERROR(1/P1464-1,B1463)</f>
        <v/>
      </c>
      <c r="C1464" s="240">
        <f>$C$3</f>
        <v/>
      </c>
      <c r="D1464" s="240">
        <f>$D$3</f>
        <v/>
      </c>
      <c r="E1464" s="240">
        <f>$E$3</f>
        <v/>
      </c>
      <c r="F1464" s="241" t="n">
        <v>21.42</v>
      </c>
      <c r="G1464" s="242" t="n">
        <v>3599959</v>
      </c>
      <c r="H1464" s="241" t="n">
        <v>0.28</v>
      </c>
      <c r="I1464" s="241" t="n">
        <v>-12.61</v>
      </c>
      <c r="J1464" s="241" t="n">
        <v>-7.31</v>
      </c>
      <c r="K1464" s="241" t="n">
        <v>18.95</v>
      </c>
      <c r="L1464" s="242" t="n">
        <v>3030400</v>
      </c>
      <c r="M1464" s="241" t="n">
        <v>0</v>
      </c>
      <c r="N1464" s="241" t="n">
        <v>-8.81</v>
      </c>
      <c r="O1464" s="241" t="n">
        <v>1.3</v>
      </c>
      <c r="P1464" s="241" t="n">
        <v>1.13</v>
      </c>
    </row>
    <row r="1465">
      <c r="A1465" s="282" t="inlineStr">
        <is>
          <t>2012-01-09</t>
        </is>
      </c>
      <c r="B1465" s="240">
        <f>IFERROR(1/P1465-1,B1464)</f>
        <v/>
      </c>
      <c r="C1465" s="240">
        <f>$C$3</f>
        <v/>
      </c>
      <c r="D1465" s="240">
        <f>$D$3</f>
        <v/>
      </c>
      <c r="E1465" s="240">
        <f>$E$3</f>
        <v/>
      </c>
      <c r="F1465" s="241" t="n">
        <v>22.3</v>
      </c>
      <c r="G1465" s="242" t="n">
        <v>8263710</v>
      </c>
      <c r="H1465" s="241" t="n">
        <v>4.11</v>
      </c>
      <c r="I1465" s="241" t="n">
        <v>-9.75</v>
      </c>
      <c r="J1465" s="241" t="n">
        <v>-3.5</v>
      </c>
      <c r="K1465" s="241" t="n">
        <v>19.66</v>
      </c>
      <c r="L1465" s="242" t="n">
        <v>3115100</v>
      </c>
      <c r="M1465" s="241" t="n">
        <v>3.65</v>
      </c>
      <c r="N1465" s="241" t="n">
        <v>-4.36</v>
      </c>
      <c r="O1465" s="241" t="n">
        <v>5</v>
      </c>
      <c r="P1465" s="241" t="n">
        <v>1.13</v>
      </c>
    </row>
    <row r="1466">
      <c r="A1466" s="282" t="inlineStr">
        <is>
          <t>2012-01-10</t>
        </is>
      </c>
      <c r="B1466" s="240">
        <f>IFERROR(1/P1466-1,B1465)</f>
        <v/>
      </c>
      <c r="C1466" s="240">
        <f>$C$3</f>
        <v/>
      </c>
      <c r="D1466" s="240">
        <f>$D$3</f>
        <v/>
      </c>
      <c r="E1466" s="240">
        <f>$E$3</f>
        <v/>
      </c>
      <c r="F1466" s="241" t="n">
        <v>23.5</v>
      </c>
      <c r="G1466" s="242" t="n">
        <v>12837549</v>
      </c>
      <c r="H1466" s="241" t="n">
        <v>5.38</v>
      </c>
      <c r="I1466" s="241" t="n">
        <v>-5.2</v>
      </c>
      <c r="J1466" s="241" t="n">
        <v>1.69</v>
      </c>
      <c r="K1466" s="241" t="n">
        <v>19.73</v>
      </c>
      <c r="L1466" s="242" t="n">
        <v>2072392</v>
      </c>
      <c r="M1466" s="241" t="n">
        <v>0.41</v>
      </c>
      <c r="N1466" s="241" t="n">
        <v>1.04</v>
      </c>
      <c r="O1466" s="241" t="n">
        <v>5.43</v>
      </c>
      <c r="P1466" s="241" t="n">
        <v>1.19</v>
      </c>
    </row>
    <row r="1467">
      <c r="A1467" s="282" t="inlineStr">
        <is>
          <t>2012-01-11</t>
        </is>
      </c>
      <c r="B1467" s="240">
        <f>IFERROR(1/P1467-1,B1466)</f>
        <v/>
      </c>
      <c r="C1467" s="240">
        <f>$C$3</f>
        <v/>
      </c>
      <c r="D1467" s="240">
        <f>$D$3</f>
        <v/>
      </c>
      <c r="E1467" s="240">
        <f>$E$3</f>
        <v/>
      </c>
      <c r="F1467" s="241" t="n">
        <v>23.32</v>
      </c>
      <c r="G1467" s="242" t="n">
        <v>6848099</v>
      </c>
      <c r="H1467" s="241" t="n">
        <v>-0.77</v>
      </c>
      <c r="I1467" s="241" t="n">
        <v>-5.93</v>
      </c>
      <c r="J1467" s="241" t="n">
        <v>0.91</v>
      </c>
      <c r="K1467" s="241" t="n">
        <v>19.76</v>
      </c>
      <c r="L1467" s="242" t="n">
        <v>1369108</v>
      </c>
      <c r="M1467" s="241" t="n">
        <v>0.21</v>
      </c>
      <c r="N1467" s="241" t="n">
        <v>1.25</v>
      </c>
      <c r="O1467" s="241" t="n">
        <v>5.65</v>
      </c>
      <c r="P1467" s="241" t="n">
        <v>1.18</v>
      </c>
    </row>
    <row r="1468">
      <c r="A1468" s="282" t="inlineStr">
        <is>
          <t>2012-01-12</t>
        </is>
      </c>
      <c r="B1468" s="240">
        <f>IFERROR(1/P1468-1,B1467)</f>
        <v/>
      </c>
      <c r="C1468" s="240">
        <f>$C$3</f>
        <v/>
      </c>
      <c r="D1468" s="240">
        <f>$D$3</f>
        <v/>
      </c>
      <c r="E1468" s="240">
        <f>$E$3</f>
        <v/>
      </c>
      <c r="F1468" s="241" t="n">
        <v>23.09</v>
      </c>
      <c r="G1468" s="242" t="n">
        <v>5291239</v>
      </c>
      <c r="H1468" s="241" t="n">
        <v>-0.99</v>
      </c>
      <c r="I1468" s="241" t="n">
        <v>-6.86</v>
      </c>
      <c r="J1468" s="241" t="n">
        <v>-0.09</v>
      </c>
      <c r="K1468" s="241" t="n">
        <v>19.37</v>
      </c>
      <c r="L1468" s="242" t="n">
        <v>1726244</v>
      </c>
      <c r="M1468" s="241" t="n">
        <v>-2.06</v>
      </c>
      <c r="N1468" s="241" t="n">
        <v>-0.83</v>
      </c>
      <c r="O1468" s="241" t="n">
        <v>3.48</v>
      </c>
      <c r="P1468" s="241" t="n">
        <v>1.19</v>
      </c>
    </row>
    <row r="1469">
      <c r="A1469" s="282" t="inlineStr">
        <is>
          <t>2012-01-13</t>
        </is>
      </c>
      <c r="B1469" s="240">
        <f>IFERROR(1/P1469-1,B1468)</f>
        <v/>
      </c>
      <c r="C1469" s="240">
        <f>$C$3</f>
        <v/>
      </c>
      <c r="D1469" s="240">
        <f>$D$3</f>
        <v/>
      </c>
      <c r="E1469" s="240">
        <f>$E$3</f>
        <v/>
      </c>
      <c r="F1469" s="241" t="n">
        <v>22.29</v>
      </c>
      <c r="G1469" s="242" t="n">
        <v>6656399</v>
      </c>
      <c r="H1469" s="241" t="n">
        <v>-3.46</v>
      </c>
      <c r="I1469" s="241" t="n">
        <v>-9.130000000000001</v>
      </c>
      <c r="J1469" s="241" t="n">
        <v>-3.55</v>
      </c>
      <c r="K1469" s="241" t="n">
        <v>18.83</v>
      </c>
      <c r="L1469" s="242" t="n">
        <v>2939332</v>
      </c>
      <c r="M1469" s="241" t="n">
        <v>-2.73</v>
      </c>
      <c r="N1469" s="241" t="n">
        <v>-3.74</v>
      </c>
      <c r="O1469" s="241" t="n">
        <v>0.65</v>
      </c>
      <c r="P1469" s="241" t="n">
        <v>1.18</v>
      </c>
    </row>
    <row r="1470">
      <c r="A1470" s="282" t="inlineStr">
        <is>
          <t>2012-01-16</t>
        </is>
      </c>
      <c r="B1470" s="240">
        <f>IFERROR(1/P1470-1,B1469)</f>
        <v/>
      </c>
      <c r="C1470" s="240">
        <f>$C$3</f>
        <v/>
      </c>
      <c r="D1470" s="240">
        <f>$D$3</f>
        <v/>
      </c>
      <c r="E1470" s="240">
        <f>$E$3</f>
        <v/>
      </c>
      <c r="F1470" s="241" t="n">
        <v>21.68</v>
      </c>
      <c r="G1470" s="242" t="n">
        <v>3603172</v>
      </c>
      <c r="H1470" s="241" t="n">
        <v>-2.74</v>
      </c>
      <c r="I1470" s="241" t="n">
        <v>-3.43</v>
      </c>
      <c r="J1470" s="241" t="n">
        <v>-6.19</v>
      </c>
      <c r="K1470" s="241" t="n">
        <v>19.07</v>
      </c>
      <c r="L1470" s="242" t="n">
        <v>1939120</v>
      </c>
      <c r="M1470" s="241" t="n">
        <v>1.08</v>
      </c>
      <c r="N1470" s="241" t="n">
        <v>4.46</v>
      </c>
      <c r="O1470" s="241" t="n">
        <v>1.74</v>
      </c>
      <c r="P1470" s="241" t="n">
        <v>1.14</v>
      </c>
    </row>
    <row r="1471">
      <c r="A1471" s="282" t="inlineStr">
        <is>
          <t>2012-01-17</t>
        </is>
      </c>
      <c r="B1471" s="240">
        <f>IFERROR(1/P1471-1,B1470)</f>
        <v/>
      </c>
      <c r="C1471" s="240">
        <f>$C$3</f>
        <v/>
      </c>
      <c r="D1471" s="240">
        <f>$D$3</f>
        <v/>
      </c>
      <c r="E1471" s="240">
        <f>$E$3</f>
        <v/>
      </c>
      <c r="F1471" s="241" t="n">
        <v>23.05</v>
      </c>
      <c r="G1471" s="242" t="n">
        <v>8340428</v>
      </c>
      <c r="H1471" s="241" t="n">
        <v>6.32</v>
      </c>
      <c r="I1471" s="241" t="n">
        <v>-1.24</v>
      </c>
      <c r="J1471" s="241" t="n">
        <v>-0.26</v>
      </c>
      <c r="K1471" s="241" t="n">
        <v>19.79</v>
      </c>
      <c r="L1471" s="242" t="n">
        <v>1014737</v>
      </c>
      <c r="M1471" s="241" t="n">
        <v>3.85</v>
      </c>
      <c r="N1471" s="241" t="n">
        <v>6.11</v>
      </c>
      <c r="O1471" s="241" t="n">
        <v>5.65</v>
      </c>
      <c r="P1471" s="241" t="n">
        <v>1.16</v>
      </c>
    </row>
    <row r="1472">
      <c r="A1472" s="282" t="inlineStr">
        <is>
          <t>2012-01-18</t>
        </is>
      </c>
      <c r="B1472" s="240">
        <f>IFERROR(1/P1472-1,B1471)</f>
        <v/>
      </c>
      <c r="C1472" s="240">
        <f>$C$3</f>
        <v/>
      </c>
      <c r="D1472" s="240">
        <f>$D$3</f>
        <v/>
      </c>
      <c r="E1472" s="240">
        <f>$E$3</f>
        <v/>
      </c>
      <c r="F1472" s="241" t="n">
        <v>23.23</v>
      </c>
      <c r="G1472" s="242" t="n">
        <v>14893942</v>
      </c>
      <c r="H1472" s="241" t="n">
        <v>0.78</v>
      </c>
      <c r="I1472" s="241" t="n">
        <v>-0.47</v>
      </c>
      <c r="J1472" s="241" t="n">
        <v>0.52</v>
      </c>
      <c r="K1472" s="241" t="n">
        <v>20.1</v>
      </c>
      <c r="L1472" s="242" t="n">
        <v>2730200</v>
      </c>
      <c r="M1472" s="241" t="n">
        <v>1.65</v>
      </c>
      <c r="N1472" s="241" t="n">
        <v>7.86</v>
      </c>
      <c r="O1472" s="241" t="n">
        <v>7.39</v>
      </c>
      <c r="P1472" s="241" t="n">
        <v>1.16</v>
      </c>
    </row>
    <row r="1473">
      <c r="A1473" s="282" t="inlineStr">
        <is>
          <t>2012-01-19</t>
        </is>
      </c>
      <c r="B1473" s="240">
        <f>IFERROR(1/P1473-1,B1472)</f>
        <v/>
      </c>
      <c r="C1473" s="240">
        <f>$C$3</f>
        <v/>
      </c>
      <c r="D1473" s="240">
        <f>$D$3</f>
        <v/>
      </c>
      <c r="E1473" s="240">
        <f>$E$3</f>
        <v/>
      </c>
      <c r="F1473" s="241" t="n">
        <v>23.27</v>
      </c>
      <c r="G1473" s="242" t="n">
        <v>9556452</v>
      </c>
      <c r="H1473" s="241" t="n">
        <v>0.17</v>
      </c>
      <c r="I1473" s="241" t="n">
        <v>-0.3</v>
      </c>
      <c r="J1473" s="241" t="n">
        <v>0.6899999999999999</v>
      </c>
      <c r="K1473" s="241" t="n">
        <v>20.43</v>
      </c>
      <c r="L1473" s="242" t="n">
        <v>2896561</v>
      </c>
      <c r="M1473" s="241" t="n">
        <v>1.62</v>
      </c>
      <c r="N1473" s="241" t="n">
        <v>9.609999999999999</v>
      </c>
      <c r="O1473" s="241" t="n">
        <v>9.130000000000001</v>
      </c>
      <c r="P1473" s="241" t="n">
        <v>1.14</v>
      </c>
    </row>
    <row r="1474">
      <c r="A1474" s="282" t="inlineStr">
        <is>
          <t>2012-01-20</t>
        </is>
      </c>
      <c r="B1474" s="240">
        <f>IFERROR(1/P1474-1,B1473)</f>
        <v/>
      </c>
      <c r="C1474" s="240">
        <f>$C$3</f>
        <v/>
      </c>
      <c r="D1474" s="240">
        <f>$D$3</f>
        <v/>
      </c>
      <c r="E1474" s="240">
        <f>$E$3</f>
        <v/>
      </c>
      <c r="F1474" s="241" t="n">
        <v>23.86</v>
      </c>
      <c r="G1474" s="242" t="n">
        <v>9389162</v>
      </c>
      <c r="H1474" s="241" t="n">
        <v>2.54</v>
      </c>
      <c r="I1474" s="241" t="n">
        <v>1.23</v>
      </c>
      <c r="J1474" s="241" t="n">
        <v>3.25</v>
      </c>
      <c r="K1474" s="241" t="n">
        <v>20.58</v>
      </c>
      <c r="L1474" s="242" t="n">
        <v>1111200</v>
      </c>
      <c r="M1474" s="241" t="n">
        <v>0.8</v>
      </c>
      <c r="N1474" s="241" t="n">
        <v>15.26</v>
      </c>
      <c r="O1474" s="241" t="n">
        <v>10</v>
      </c>
      <c r="P1474" s="241" t="n">
        <v>1.16</v>
      </c>
    </row>
    <row r="1475">
      <c r="A1475" s="282" t="inlineStr">
        <is>
          <t>2012-01-30</t>
        </is>
      </c>
      <c r="B1475" s="240">
        <f>IFERROR(1/P1475-1,B1474)</f>
        <v/>
      </c>
      <c r="C1475" s="240">
        <f>$C$3</f>
        <v/>
      </c>
      <c r="D1475" s="240">
        <f>$D$3</f>
        <v/>
      </c>
      <c r="E1475" s="240">
        <f>$E$3</f>
        <v/>
      </c>
      <c r="F1475" s="241" t="n">
        <v>23.71</v>
      </c>
      <c r="G1475" s="242" t="n">
        <v>9837268</v>
      </c>
      <c r="H1475" s="241" t="n">
        <v>-0.63</v>
      </c>
      <c r="I1475" s="241" t="n">
        <v>5.71</v>
      </c>
      <c r="J1475" s="241" t="n">
        <v>2.6</v>
      </c>
      <c r="K1475" s="241" t="n">
        <v>19.19</v>
      </c>
      <c r="L1475" s="242" t="n">
        <v>2421984</v>
      </c>
      <c r="M1475" s="241" t="n">
        <v>-4.84</v>
      </c>
      <c r="N1475" s="241" t="n">
        <v>4.19</v>
      </c>
      <c r="O1475" s="241" t="n">
        <v>2.61</v>
      </c>
      <c r="P1475" s="241" t="n">
        <v>1.24</v>
      </c>
    </row>
    <row r="1476">
      <c r="A1476" s="282" t="inlineStr">
        <is>
          <t>2012-01-31</t>
        </is>
      </c>
      <c r="B1476" s="240">
        <f>IFERROR(1/P1476-1,B1475)</f>
        <v/>
      </c>
      <c r="C1476" s="240">
        <f>$C$3</f>
        <v/>
      </c>
      <c r="D1476" s="240">
        <f>$D$3</f>
        <v/>
      </c>
      <c r="E1476" s="240">
        <f>$E$3</f>
        <v/>
      </c>
      <c r="F1476" s="241" t="n">
        <v>23.31</v>
      </c>
      <c r="G1476" s="242" t="n">
        <v>4938118</v>
      </c>
      <c r="H1476" s="241" t="n">
        <v>-1.69</v>
      </c>
      <c r="I1476" s="241" t="n">
        <v>0.87</v>
      </c>
      <c r="J1476" s="241" t="n">
        <v>0.87</v>
      </c>
      <c r="K1476" s="241" t="n">
        <v>18.63</v>
      </c>
      <c r="L1476" s="242" t="n">
        <v>4168650</v>
      </c>
      <c r="M1476" s="241" t="n">
        <v>-2.97</v>
      </c>
      <c r="N1476" s="241" t="n">
        <v>-0.43</v>
      </c>
      <c r="O1476" s="241" t="n">
        <v>-0.43</v>
      </c>
      <c r="P1476" s="241" t="n">
        <v>1.25</v>
      </c>
    </row>
    <row r="1477">
      <c r="A1477" s="282" t="inlineStr">
        <is>
          <t>2012-02-01</t>
        </is>
      </c>
      <c r="B1477" s="240">
        <f>IFERROR(1/P1477-1,B1476)</f>
        <v/>
      </c>
      <c r="C1477" s="240">
        <f>$C$3</f>
        <v/>
      </c>
      <c r="D1477" s="240">
        <f>$D$3</f>
        <v/>
      </c>
      <c r="E1477" s="240">
        <f>$E$3</f>
        <v/>
      </c>
      <c r="F1477" s="241" t="n">
        <v>23.43</v>
      </c>
      <c r="G1477" s="242" t="n">
        <v>9497122</v>
      </c>
      <c r="H1477" s="241" t="n">
        <v>0.51</v>
      </c>
      <c r="I1477" s="241" t="n">
        <v>1.38</v>
      </c>
      <c r="J1477" s="241" t="n">
        <v>1.38</v>
      </c>
      <c r="K1477" s="241" t="n">
        <v>18.88</v>
      </c>
      <c r="L1477" s="242" t="n">
        <v>2118251</v>
      </c>
      <c r="M1477" s="241" t="n">
        <v>1.31</v>
      </c>
      <c r="N1477" s="241" t="n">
        <v>0.87</v>
      </c>
      <c r="O1477" s="241" t="n">
        <v>0.87</v>
      </c>
      <c r="P1477" s="241" t="n">
        <v>1.24</v>
      </c>
    </row>
    <row r="1478">
      <c r="A1478" s="282" t="inlineStr">
        <is>
          <t>2012-02-02</t>
        </is>
      </c>
      <c r="B1478" s="240">
        <f>IFERROR(1/P1478-1,B1477)</f>
        <v/>
      </c>
      <c r="C1478" s="240">
        <f>$C$3</f>
        <v/>
      </c>
      <c r="D1478" s="240">
        <f>$D$3</f>
        <v/>
      </c>
      <c r="E1478" s="240">
        <f>$E$3</f>
        <v/>
      </c>
      <c r="F1478" s="241" t="n">
        <v>24.01</v>
      </c>
      <c r="G1478" s="242" t="n">
        <v>6939984</v>
      </c>
      <c r="H1478" s="241" t="n">
        <v>2.48</v>
      </c>
      <c r="I1478" s="241" t="n">
        <v>3.89</v>
      </c>
      <c r="J1478" s="241" t="n">
        <v>3.89</v>
      </c>
      <c r="K1478" s="241" t="n">
        <v>18.95</v>
      </c>
      <c r="L1478" s="242" t="n">
        <v>9755100</v>
      </c>
      <c r="M1478" s="241" t="n">
        <v>0.43</v>
      </c>
      <c r="N1478" s="241" t="n">
        <v>1.3</v>
      </c>
      <c r="O1478" s="241" t="n">
        <v>1.3</v>
      </c>
      <c r="P1478" s="241" t="n">
        <v>1.27</v>
      </c>
    </row>
    <row r="1479">
      <c r="A1479" s="282" t="inlineStr">
        <is>
          <t>2012-02-03</t>
        </is>
      </c>
      <c r="B1479" s="240">
        <f>IFERROR(1/P1479-1,B1478)</f>
        <v/>
      </c>
      <c r="C1479" s="240">
        <f>$C$3</f>
        <v/>
      </c>
      <c r="D1479" s="240">
        <f>$D$3</f>
        <v/>
      </c>
      <c r="E1479" s="240">
        <f>$E$3</f>
        <v/>
      </c>
      <c r="F1479" s="241" t="n">
        <v>23.12</v>
      </c>
      <c r="G1479" s="242" t="n">
        <v>30131077</v>
      </c>
      <c r="H1479" s="241" t="n">
        <v>-3.71</v>
      </c>
      <c r="I1479" s="241" t="n">
        <v>0.04</v>
      </c>
      <c r="J1479" s="241" t="n">
        <v>0.04</v>
      </c>
      <c r="K1479" s="241" t="n">
        <v>18.35</v>
      </c>
      <c r="L1479" s="242" t="n">
        <v>12883742</v>
      </c>
      <c r="M1479" s="241" t="n">
        <v>-3.22</v>
      </c>
      <c r="N1479" s="241" t="n">
        <v>-1.96</v>
      </c>
      <c r="O1479" s="241" t="n">
        <v>-1.96</v>
      </c>
      <c r="P1479" s="241" t="n">
        <v>1.26</v>
      </c>
    </row>
    <row r="1480">
      <c r="A1480" s="282" t="inlineStr">
        <is>
          <t>2012-02-06</t>
        </is>
      </c>
      <c r="B1480" s="240">
        <f>IFERROR(1/P1480-1,B1479)</f>
        <v/>
      </c>
      <c r="C1480" s="240">
        <f>$C$3</f>
        <v/>
      </c>
      <c r="D1480" s="240">
        <f>$D$3</f>
        <v/>
      </c>
      <c r="E1480" s="240">
        <f>$E$3</f>
        <v/>
      </c>
      <c r="F1480" s="241" t="n">
        <v>23.22</v>
      </c>
      <c r="G1480" s="242" t="n">
        <v>16301054</v>
      </c>
      <c r="H1480" s="241" t="n">
        <v>0.43</v>
      </c>
      <c r="I1480" s="241" t="n">
        <v>8.710000000000001</v>
      </c>
      <c r="J1480" s="241" t="n">
        <v>0.48</v>
      </c>
      <c r="K1480" s="241" t="n">
        <v>17.9</v>
      </c>
      <c r="L1480" s="242" t="n">
        <v>9730301</v>
      </c>
      <c r="M1480" s="241" t="n">
        <v>-2.44</v>
      </c>
      <c r="N1480" s="241" t="n">
        <v>-5.58</v>
      </c>
      <c r="O1480" s="241" t="n">
        <v>-4.35</v>
      </c>
      <c r="P1480" s="241" t="n">
        <v>1.3</v>
      </c>
    </row>
    <row r="1481">
      <c r="A1481" s="282" t="inlineStr">
        <is>
          <t>2012-02-07</t>
        </is>
      </c>
      <c r="B1481" s="240">
        <f>IFERROR(1/P1481-1,B1480)</f>
        <v/>
      </c>
      <c r="C1481" s="240">
        <f>$C$3</f>
        <v/>
      </c>
      <c r="D1481" s="240">
        <f>$D$3</f>
        <v/>
      </c>
      <c r="E1481" s="240">
        <f>$E$3</f>
        <v/>
      </c>
      <c r="F1481" s="241" t="n">
        <v>22.89</v>
      </c>
      <c r="G1481" s="242" t="n">
        <v>8160963</v>
      </c>
      <c r="H1481" s="241" t="n">
        <v>-1.42</v>
      </c>
      <c r="I1481" s="241" t="n">
        <v>6.86</v>
      </c>
      <c r="J1481" s="241" t="n">
        <v>-0.95</v>
      </c>
      <c r="K1481" s="241" t="n">
        <v>18.19</v>
      </c>
      <c r="L1481" s="242" t="n">
        <v>6818572</v>
      </c>
      <c r="M1481" s="241" t="n">
        <v>1.59</v>
      </c>
      <c r="N1481" s="241" t="n">
        <v>-4.08</v>
      </c>
      <c r="O1481" s="241" t="n">
        <v>-2.83</v>
      </c>
      <c r="P1481" s="241" t="n">
        <v>1.26</v>
      </c>
    </row>
    <row r="1482">
      <c r="A1482" s="282" t="inlineStr">
        <is>
          <t>2012-02-08</t>
        </is>
      </c>
      <c r="B1482" s="240">
        <f>IFERROR(1/P1482-1,B1481)</f>
        <v/>
      </c>
      <c r="C1482" s="240">
        <f>$C$3</f>
        <v/>
      </c>
      <c r="D1482" s="240">
        <f>$D$3</f>
        <v/>
      </c>
      <c r="E1482" s="240">
        <f>$E$3</f>
        <v/>
      </c>
      <c r="F1482" s="241" t="n">
        <v>23.32</v>
      </c>
      <c r="G1482" s="242" t="n">
        <v>12213415</v>
      </c>
      <c r="H1482" s="241" t="n">
        <v>1.88</v>
      </c>
      <c r="I1482" s="241" t="n">
        <v>8.869999999999999</v>
      </c>
      <c r="J1482" s="241" t="n">
        <v>0.91</v>
      </c>
      <c r="K1482" s="241" t="n">
        <v>18.7</v>
      </c>
      <c r="L1482" s="242" t="n">
        <v>7659200</v>
      </c>
      <c r="M1482" s="241" t="n">
        <v>2.91</v>
      </c>
      <c r="N1482" s="241" t="n">
        <v>-1.29</v>
      </c>
      <c r="O1482" s="241" t="n">
        <v>0</v>
      </c>
      <c r="P1482" s="241" t="n">
        <v>1.25</v>
      </c>
    </row>
    <row r="1483">
      <c r="A1483" s="282" t="inlineStr">
        <is>
          <t>2012-02-09</t>
        </is>
      </c>
      <c r="B1483" s="240">
        <f>IFERROR(1/P1483-1,B1482)</f>
        <v/>
      </c>
      <c r="C1483" s="240">
        <f>$C$3</f>
        <v/>
      </c>
      <c r="D1483" s="240">
        <f>$D$3</f>
        <v/>
      </c>
      <c r="E1483" s="240">
        <f>$E$3</f>
        <v/>
      </c>
      <c r="F1483" s="241" t="n">
        <v>23.22</v>
      </c>
      <c r="G1483" s="242" t="n">
        <v>10421230</v>
      </c>
      <c r="H1483" s="241" t="n">
        <v>-0.43</v>
      </c>
      <c r="I1483" s="241" t="n">
        <v>8.4</v>
      </c>
      <c r="J1483" s="241" t="n">
        <v>0.48</v>
      </c>
      <c r="K1483" s="241" t="n">
        <v>19.05</v>
      </c>
      <c r="L1483" s="242" t="n">
        <v>5257845</v>
      </c>
      <c r="M1483" s="241" t="n">
        <v>1.96</v>
      </c>
      <c r="N1483" s="241" t="n">
        <v>0.64</v>
      </c>
      <c r="O1483" s="241" t="n">
        <v>1.96</v>
      </c>
      <c r="P1483" s="241" t="n">
        <v>1.22</v>
      </c>
    </row>
    <row r="1484">
      <c r="A1484" s="282" t="inlineStr">
        <is>
          <t>2012-02-10</t>
        </is>
      </c>
      <c r="B1484" s="240">
        <f>IFERROR(1/P1484-1,B1483)</f>
        <v/>
      </c>
      <c r="C1484" s="240">
        <f>$C$3</f>
        <v/>
      </c>
      <c r="D1484" s="240">
        <f>$D$3</f>
        <v/>
      </c>
      <c r="E1484" s="240">
        <f>$E$3</f>
        <v/>
      </c>
      <c r="F1484" s="241" t="n">
        <v>23.25</v>
      </c>
      <c r="G1484" s="242" t="n">
        <v>9000204</v>
      </c>
      <c r="H1484" s="241" t="n">
        <v>0.13</v>
      </c>
      <c r="I1484" s="241" t="n">
        <v>4.26</v>
      </c>
      <c r="J1484" s="241" t="n">
        <v>0.61</v>
      </c>
      <c r="K1484" s="241" t="n">
        <v>17.97</v>
      </c>
      <c r="L1484" s="242" t="n">
        <v>8933381</v>
      </c>
      <c r="M1484" s="241" t="n">
        <v>-5.54</v>
      </c>
      <c r="N1484" s="241" t="n">
        <v>-8.279999999999999</v>
      </c>
      <c r="O1484" s="241" t="n">
        <v>-3.7</v>
      </c>
      <c r="P1484" s="241" t="n">
        <v>1.29</v>
      </c>
    </row>
    <row r="1485">
      <c r="A1485" s="282" t="inlineStr">
        <is>
          <t>2012-02-13</t>
        </is>
      </c>
      <c r="B1485" s="240">
        <f>IFERROR(1/P1485-1,B1484)</f>
        <v/>
      </c>
      <c r="C1485" s="240">
        <f>$C$3</f>
        <v/>
      </c>
      <c r="D1485" s="240">
        <f>$D$3</f>
        <v/>
      </c>
      <c r="E1485" s="240">
        <f>$E$3</f>
        <v/>
      </c>
      <c r="F1485" s="241" t="n">
        <v>23.21</v>
      </c>
      <c r="G1485" s="242" t="n">
        <v>10077313</v>
      </c>
      <c r="H1485" s="241" t="n">
        <v>-0.17</v>
      </c>
      <c r="I1485" s="241" t="n">
        <v>0.52</v>
      </c>
      <c r="J1485" s="241" t="n">
        <v>0.43</v>
      </c>
      <c r="K1485" s="241" t="n">
        <v>17.81</v>
      </c>
      <c r="L1485" s="242" t="n">
        <v>5093400</v>
      </c>
      <c r="M1485" s="241" t="n">
        <v>-0.9</v>
      </c>
      <c r="N1485" s="241" t="n">
        <v>-7.77</v>
      </c>
      <c r="O1485" s="241" t="n">
        <v>-4.57</v>
      </c>
      <c r="P1485" s="241" t="n">
        <v>1.3</v>
      </c>
    </row>
    <row r="1486">
      <c r="A1486" s="282" t="inlineStr">
        <is>
          <t>2012-02-14</t>
        </is>
      </c>
      <c r="B1486" s="240">
        <f>IFERROR(1/P1486-1,B1485)</f>
        <v/>
      </c>
      <c r="C1486" s="240">
        <f>$C$3</f>
        <v/>
      </c>
      <c r="D1486" s="240">
        <f>$D$3</f>
        <v/>
      </c>
      <c r="E1486" s="240">
        <f>$E$3</f>
        <v/>
      </c>
      <c r="F1486" s="241" t="n">
        <v>23.38</v>
      </c>
      <c r="G1486" s="242" t="n">
        <v>9933000</v>
      </c>
      <c r="H1486" s="241" t="n">
        <v>0.73</v>
      </c>
      <c r="I1486" s="241" t="n">
        <v>4.89</v>
      </c>
      <c r="J1486" s="241" t="n">
        <v>1.17</v>
      </c>
      <c r="K1486" s="241" t="n">
        <v>17.57</v>
      </c>
      <c r="L1486" s="242" t="n">
        <v>4069700</v>
      </c>
      <c r="M1486" s="241" t="n">
        <v>-1.37</v>
      </c>
      <c r="N1486" s="241" t="n">
        <v>-6.48</v>
      </c>
      <c r="O1486" s="241" t="n">
        <v>-5.87</v>
      </c>
      <c r="P1486" s="241" t="n">
        <v>1.33</v>
      </c>
    </row>
    <row r="1487">
      <c r="A1487" s="282" t="inlineStr">
        <is>
          <t>2012-02-15</t>
        </is>
      </c>
      <c r="B1487" s="240">
        <f>IFERROR(1/P1487-1,B1486)</f>
        <v/>
      </c>
      <c r="C1487" s="240">
        <f>$C$3</f>
        <v/>
      </c>
      <c r="D1487" s="240">
        <f>$D$3</f>
        <v/>
      </c>
      <c r="E1487" s="240">
        <f>$E$3</f>
        <v/>
      </c>
      <c r="F1487" s="241" t="n">
        <v>23.61</v>
      </c>
      <c r="G1487" s="242" t="n">
        <v>9672449</v>
      </c>
      <c r="H1487" s="241" t="n">
        <v>0.98</v>
      </c>
      <c r="I1487" s="241" t="n">
        <v>5.92</v>
      </c>
      <c r="J1487" s="241" t="n">
        <v>2.16</v>
      </c>
      <c r="K1487" s="241" t="n">
        <v>18.27</v>
      </c>
      <c r="L1487" s="242" t="n">
        <v>5435820</v>
      </c>
      <c r="M1487" s="241" t="n">
        <v>3.93</v>
      </c>
      <c r="N1487" s="241" t="n">
        <v>-2.81</v>
      </c>
      <c r="O1487" s="241" t="n">
        <v>-2.17</v>
      </c>
      <c r="P1487" s="241" t="n">
        <v>1.29</v>
      </c>
    </row>
    <row r="1488">
      <c r="A1488" s="282" t="inlineStr">
        <is>
          <t>2012-02-16</t>
        </is>
      </c>
      <c r="B1488" s="240">
        <f>IFERROR(1/P1488-1,B1487)</f>
        <v/>
      </c>
      <c r="C1488" s="240">
        <f>$C$3</f>
        <v/>
      </c>
      <c r="D1488" s="240">
        <f>$D$3</f>
        <v/>
      </c>
      <c r="E1488" s="240">
        <f>$E$3</f>
        <v/>
      </c>
      <c r="F1488" s="241" t="n">
        <v>23.96</v>
      </c>
      <c r="G1488" s="242" t="n">
        <v>17429904</v>
      </c>
      <c r="H1488" s="241" t="n">
        <v>1.48</v>
      </c>
      <c r="I1488" s="241" t="n">
        <v>7.49</v>
      </c>
      <c r="J1488" s="241" t="n">
        <v>3.68</v>
      </c>
      <c r="K1488" s="241" t="n">
        <v>18.36</v>
      </c>
      <c r="L1488" s="242" t="n">
        <v>8262014</v>
      </c>
      <c r="M1488" s="241" t="n">
        <v>0.44</v>
      </c>
      <c r="N1488" s="241" t="n">
        <v>-2.38</v>
      </c>
      <c r="O1488" s="241" t="n">
        <v>-1.74</v>
      </c>
      <c r="P1488" s="241" t="n">
        <v>1.3</v>
      </c>
    </row>
    <row r="1489">
      <c r="A1489" s="282" t="inlineStr">
        <is>
          <t>2012-02-17</t>
        </is>
      </c>
      <c r="B1489" s="240">
        <f>IFERROR(1/P1489-1,B1488)</f>
        <v/>
      </c>
      <c r="C1489" s="240">
        <f>$C$3</f>
        <v/>
      </c>
      <c r="D1489" s="240">
        <f>$D$3</f>
        <v/>
      </c>
      <c r="E1489" s="240">
        <f>$E$3</f>
        <v/>
      </c>
      <c r="F1489" s="241" t="n">
        <v>23.74</v>
      </c>
      <c r="G1489" s="242" t="n">
        <v>5973005</v>
      </c>
      <c r="H1489" s="241" t="n">
        <v>-0.92</v>
      </c>
      <c r="I1489" s="241" t="n">
        <v>9.5</v>
      </c>
      <c r="J1489" s="241" t="n">
        <v>2.73</v>
      </c>
      <c r="K1489" s="241" t="n">
        <v>18.59</v>
      </c>
      <c r="L1489" s="242" t="n">
        <v>4934700</v>
      </c>
      <c r="M1489" s="241" t="n">
        <v>1.33</v>
      </c>
      <c r="N1489" s="241" t="n">
        <v>-2.14</v>
      </c>
      <c r="O1489" s="241" t="n">
        <v>-0.43</v>
      </c>
      <c r="P1489" s="241" t="n">
        <v>1.28</v>
      </c>
    </row>
    <row r="1490">
      <c r="A1490" s="282" t="inlineStr">
        <is>
          <t>2012-02-20</t>
        </is>
      </c>
      <c r="B1490" s="240">
        <f>IFERROR(1/P1490-1,B1489)</f>
        <v/>
      </c>
      <c r="C1490" s="240">
        <f>$C$3</f>
        <v/>
      </c>
      <c r="D1490" s="240">
        <f>$D$3</f>
        <v/>
      </c>
      <c r="E1490" s="240">
        <f>$E$3</f>
        <v/>
      </c>
      <c r="F1490" s="241" t="n">
        <v>23.46</v>
      </c>
      <c r="G1490" s="242" t="n">
        <v>13469342</v>
      </c>
      <c r="H1490" s="241" t="n">
        <v>-1.18</v>
      </c>
      <c r="I1490" s="241" t="n">
        <v>0.82</v>
      </c>
      <c r="J1490" s="241" t="n">
        <v>1.51</v>
      </c>
      <c r="K1490" s="241" t="n">
        <v>17.78</v>
      </c>
      <c r="L1490" s="242" t="n">
        <v>10642212</v>
      </c>
      <c r="M1490" s="241" t="n">
        <v>-4.37</v>
      </c>
      <c r="N1490" s="241" t="n">
        <v>-12.75</v>
      </c>
      <c r="O1490" s="241" t="n">
        <v>-4.78</v>
      </c>
      <c r="P1490" s="241" t="n">
        <v>1.32</v>
      </c>
    </row>
    <row r="1491">
      <c r="A1491" s="282" t="inlineStr">
        <is>
          <t>2012-02-21</t>
        </is>
      </c>
      <c r="B1491" s="240">
        <f>IFERROR(1/P1491-1,B1490)</f>
        <v/>
      </c>
      <c r="C1491" s="240">
        <f>$C$3</f>
        <v/>
      </c>
      <c r="D1491" s="240">
        <f>$D$3</f>
        <v/>
      </c>
      <c r="E1491" s="240">
        <f>$E$3</f>
        <v/>
      </c>
      <c r="F1491" s="241" t="n">
        <v>24.15</v>
      </c>
      <c r="G1491" s="242" t="n">
        <v>17226771</v>
      </c>
      <c r="H1491" s="241" t="n">
        <v>2.94</v>
      </c>
      <c r="I1491" s="241" t="n">
        <v>1.22</v>
      </c>
      <c r="J1491" s="241" t="n">
        <v>4.5</v>
      </c>
      <c r="K1491" s="241" t="n">
        <v>17.54</v>
      </c>
      <c r="L1491" s="242" t="n">
        <v>7025873</v>
      </c>
      <c r="M1491" s="241" t="n">
        <v>-1.37</v>
      </c>
      <c r="N1491" s="241" t="n">
        <v>-14.62</v>
      </c>
      <c r="O1491" s="241" t="n">
        <v>-6.09</v>
      </c>
      <c r="P1491" s="241" t="n">
        <v>1.38</v>
      </c>
    </row>
    <row r="1492">
      <c r="A1492" s="282" t="inlineStr">
        <is>
          <t>2012-02-22</t>
        </is>
      </c>
      <c r="B1492" s="240">
        <f>IFERROR(1/P1492-1,B1491)</f>
        <v/>
      </c>
      <c r="C1492" s="240">
        <f>$C$3</f>
        <v/>
      </c>
      <c r="D1492" s="240">
        <f>$D$3</f>
        <v/>
      </c>
      <c r="E1492" s="240">
        <f>$E$3</f>
        <v/>
      </c>
      <c r="F1492" s="241" t="n">
        <v>24.16</v>
      </c>
      <c r="G1492" s="242" t="n">
        <v>12987868</v>
      </c>
      <c r="H1492" s="241" t="n">
        <v>0.04</v>
      </c>
      <c r="I1492" s="241" t="n">
        <v>1.26</v>
      </c>
      <c r="J1492" s="241" t="n">
        <v>4.54</v>
      </c>
      <c r="K1492" s="241" t="n">
        <v>17.34</v>
      </c>
      <c r="L1492" s="242" t="n">
        <v>6219435</v>
      </c>
      <c r="M1492" s="241" t="n">
        <v>-1.16</v>
      </c>
      <c r="N1492" s="241" t="n">
        <v>-15.61</v>
      </c>
      <c r="O1492" s="241" t="n">
        <v>-7.17</v>
      </c>
      <c r="P1492" s="241" t="n">
        <v>1.39</v>
      </c>
    </row>
    <row r="1493">
      <c r="A1493" s="282" t="inlineStr">
        <is>
          <t>2012-02-23</t>
        </is>
      </c>
      <c r="B1493" s="240">
        <f>IFERROR(1/P1493-1,B1492)</f>
        <v/>
      </c>
      <c r="C1493" s="240">
        <f>$C$3</f>
        <v/>
      </c>
      <c r="D1493" s="240">
        <f>$D$3</f>
        <v/>
      </c>
      <c r="E1493" s="240">
        <f>$E$3</f>
        <v/>
      </c>
      <c r="F1493" s="241" t="n">
        <v>23.99</v>
      </c>
      <c r="G1493" s="242" t="n">
        <v>9271718</v>
      </c>
      <c r="H1493" s="241" t="n">
        <v>-0.7</v>
      </c>
      <c r="I1493" s="241" t="n">
        <v>0.54</v>
      </c>
      <c r="J1493" s="241" t="n">
        <v>3.81</v>
      </c>
      <c r="K1493" s="241" t="n">
        <v>17.27</v>
      </c>
      <c r="L1493" s="242" t="n">
        <v>3801637</v>
      </c>
      <c r="M1493" s="241" t="n">
        <v>-0.47</v>
      </c>
      <c r="N1493" s="241" t="n">
        <v>-16.01</v>
      </c>
      <c r="O1493" s="241" t="n">
        <v>-7.61</v>
      </c>
      <c r="P1493" s="241" t="n">
        <v>1.39</v>
      </c>
    </row>
    <row r="1494">
      <c r="A1494" s="282" t="inlineStr">
        <is>
          <t>2012-02-24</t>
        </is>
      </c>
      <c r="B1494" s="240">
        <f>IFERROR(1/P1494-1,B1493)</f>
        <v/>
      </c>
      <c r="C1494" s="240">
        <f>$C$3</f>
        <v/>
      </c>
      <c r="D1494" s="240">
        <f>$D$3</f>
        <v/>
      </c>
      <c r="E1494" s="240">
        <f>$E$3</f>
        <v/>
      </c>
      <c r="F1494" s="241" t="n">
        <v>24.42</v>
      </c>
      <c r="G1494" s="242" t="n">
        <v>15890768</v>
      </c>
      <c r="H1494" s="241" t="n">
        <v>1.79</v>
      </c>
      <c r="I1494" s="241" t="n">
        <v>2.35</v>
      </c>
      <c r="J1494" s="241" t="n">
        <v>5.67</v>
      </c>
      <c r="K1494" s="241" t="n">
        <v>16.6</v>
      </c>
      <c r="L1494" s="242" t="n">
        <v>12754400</v>
      </c>
      <c r="M1494" s="241" t="n">
        <v>-3.76</v>
      </c>
      <c r="N1494" s="241" t="n">
        <v>-19.17</v>
      </c>
      <c r="O1494" s="241" t="n">
        <v>-11.09</v>
      </c>
      <c r="P1494" s="241" t="n">
        <v>1.47</v>
      </c>
    </row>
    <row r="1495">
      <c r="A1495" s="282" t="inlineStr">
        <is>
          <t>2012-02-27</t>
        </is>
      </c>
      <c r="B1495" s="240">
        <f>IFERROR(1/P1495-1,B1494)</f>
        <v/>
      </c>
      <c r="C1495" s="240">
        <f>$C$3</f>
        <v/>
      </c>
      <c r="D1495" s="240">
        <f>$D$3</f>
        <v/>
      </c>
      <c r="E1495" s="240">
        <f>$E$3</f>
        <v/>
      </c>
      <c r="F1495" s="241" t="n">
        <v>24.25</v>
      </c>
      <c r="G1495" s="242" t="n">
        <v>20066613</v>
      </c>
      <c r="H1495" s="241" t="n">
        <v>-0.7</v>
      </c>
      <c r="I1495" s="241" t="n">
        <v>1.63</v>
      </c>
      <c r="J1495" s="241" t="n">
        <v>4.93</v>
      </c>
      <c r="K1495" s="241" t="n">
        <v>16.73</v>
      </c>
      <c r="L1495" s="242" t="n">
        <v>4650234</v>
      </c>
      <c r="M1495" s="241" t="n">
        <v>0.73</v>
      </c>
      <c r="N1495" s="241" t="n">
        <v>-18.58</v>
      </c>
      <c r="O1495" s="241" t="n">
        <v>-10.43</v>
      </c>
      <c r="P1495" s="241" t="n">
        <v>1.45</v>
      </c>
    </row>
    <row r="1496">
      <c r="A1496" s="282" t="inlineStr">
        <is>
          <t>2012-02-28</t>
        </is>
      </c>
      <c r="B1496" s="240">
        <f>IFERROR(1/P1496-1,B1495)</f>
        <v/>
      </c>
      <c r="C1496" s="240">
        <f>$C$3</f>
        <v/>
      </c>
      <c r="D1496" s="240">
        <f>$D$3</f>
        <v/>
      </c>
      <c r="E1496" s="240">
        <f>$E$3</f>
        <v/>
      </c>
      <c r="F1496" s="241" t="n">
        <v>24.13</v>
      </c>
      <c r="G1496" s="242" t="n">
        <v>10761262</v>
      </c>
      <c r="H1496" s="241" t="n">
        <v>-0.49</v>
      </c>
      <c r="I1496" s="241" t="n">
        <v>1.13</v>
      </c>
      <c r="J1496" s="241" t="n">
        <v>4.41</v>
      </c>
      <c r="K1496" s="241" t="n">
        <v>17.13</v>
      </c>
      <c r="L1496" s="242" t="n">
        <v>2773755</v>
      </c>
      <c r="M1496" s="241" t="n">
        <v>2.43</v>
      </c>
      <c r="N1496" s="241" t="n">
        <v>-14.92</v>
      </c>
      <c r="O1496" s="241" t="n">
        <v>-8.26</v>
      </c>
      <c r="P1496" s="241" t="n">
        <v>1.41</v>
      </c>
    </row>
    <row r="1497">
      <c r="A1497" s="282" t="inlineStr">
        <is>
          <t>2012-02-29</t>
        </is>
      </c>
      <c r="B1497" s="240">
        <f>IFERROR(1/P1497-1,B1496)</f>
        <v/>
      </c>
      <c r="C1497" s="240">
        <f>$C$3</f>
        <v/>
      </c>
      <c r="D1497" s="240">
        <f>$D$3</f>
        <v/>
      </c>
      <c r="E1497" s="240">
        <f>$E$3</f>
        <v/>
      </c>
      <c r="F1497" s="241" t="n">
        <v>23.81</v>
      </c>
      <c r="G1497" s="242" t="n">
        <v>8616727</v>
      </c>
      <c r="H1497" s="241" t="n">
        <v>-1.33</v>
      </c>
      <c r="I1497" s="241" t="n">
        <v>-0.21</v>
      </c>
      <c r="J1497" s="241" t="n">
        <v>3.03</v>
      </c>
      <c r="K1497" s="241" t="n">
        <v>17.04</v>
      </c>
      <c r="L1497" s="242" t="n">
        <v>4293000</v>
      </c>
      <c r="M1497" s="241" t="n">
        <v>-0.47</v>
      </c>
      <c r="N1497" s="241" t="n">
        <v>-15.32</v>
      </c>
      <c r="O1497" s="241" t="n">
        <v>-8.699999999999999</v>
      </c>
      <c r="P1497" s="241" t="n">
        <v>1.4</v>
      </c>
    </row>
    <row r="1498">
      <c r="A1498" s="282" t="inlineStr">
        <is>
          <t>2012-03-01</t>
        </is>
      </c>
      <c r="B1498" s="240">
        <f>IFERROR(1/P1498-1,B1497)</f>
        <v/>
      </c>
      <c r="C1498" s="240">
        <f>$C$3</f>
        <v/>
      </c>
      <c r="D1498" s="240">
        <f>$D$3</f>
        <v/>
      </c>
      <c r="E1498" s="240">
        <f>$E$3</f>
        <v/>
      </c>
      <c r="F1498" s="241" t="n">
        <v>23.68</v>
      </c>
      <c r="G1498" s="242" t="n">
        <v>8782183</v>
      </c>
      <c r="H1498" s="241" t="n">
        <v>-0.55</v>
      </c>
      <c r="I1498" s="241" t="n">
        <v>1.59</v>
      </c>
      <c r="J1498" s="241" t="n">
        <v>2.47</v>
      </c>
      <c r="K1498" s="241" t="n">
        <v>16.62</v>
      </c>
      <c r="L1498" s="242" t="n">
        <v>3080700</v>
      </c>
      <c r="M1498" s="241" t="n">
        <v>-2.62</v>
      </c>
      <c r="N1498" s="241" t="n">
        <v>-10.7</v>
      </c>
      <c r="O1498" s="241" t="n">
        <v>-11.09</v>
      </c>
      <c r="P1498" s="241" t="n">
        <v>1.43</v>
      </c>
    </row>
    <row r="1499">
      <c r="A1499" s="282" t="inlineStr">
        <is>
          <t>2012-03-02</t>
        </is>
      </c>
      <c r="B1499" s="240">
        <f>IFERROR(1/P1499-1,B1498)</f>
        <v/>
      </c>
      <c r="C1499" s="240">
        <f>$C$3</f>
        <v/>
      </c>
      <c r="D1499" s="240">
        <f>$D$3</f>
        <v/>
      </c>
      <c r="E1499" s="240">
        <f>$E$3</f>
        <v/>
      </c>
      <c r="F1499" s="241" t="n">
        <v>24</v>
      </c>
      <c r="G1499" s="242" t="n">
        <v>14464235</v>
      </c>
      <c r="H1499" s="241" t="n">
        <v>1.35</v>
      </c>
      <c r="I1499" s="241" t="n">
        <v>2.43</v>
      </c>
      <c r="J1499" s="241" t="n">
        <v>3.85</v>
      </c>
      <c r="K1499" s="241" t="n">
        <v>17.09</v>
      </c>
      <c r="L1499" s="242" t="n">
        <v>2094896</v>
      </c>
      <c r="M1499" s="241" t="n">
        <v>2.93</v>
      </c>
      <c r="N1499" s="241" t="n">
        <v>-9.27</v>
      </c>
      <c r="O1499" s="241" t="n">
        <v>-8.48</v>
      </c>
      <c r="P1499" s="241" t="n">
        <v>1.4</v>
      </c>
    </row>
    <row r="1500">
      <c r="A1500" s="282" t="inlineStr">
        <is>
          <t>2012-03-05</t>
        </is>
      </c>
      <c r="B1500" s="240">
        <f>IFERROR(1/P1500-1,B1499)</f>
        <v/>
      </c>
      <c r="C1500" s="240">
        <f>$C$3</f>
        <v/>
      </c>
      <c r="D1500" s="240">
        <f>$D$3</f>
        <v/>
      </c>
      <c r="E1500" s="240">
        <f>$E$3</f>
        <v/>
      </c>
      <c r="F1500" s="241" t="n">
        <v>23.8</v>
      </c>
      <c r="G1500" s="242" t="n">
        <v>11820872</v>
      </c>
      <c r="H1500" s="241" t="n">
        <v>-0.83</v>
      </c>
      <c r="I1500" s="241" t="n">
        <v>2.94</v>
      </c>
      <c r="J1500" s="241" t="n">
        <v>2.99</v>
      </c>
      <c r="K1500" s="241" t="n">
        <v>17.17</v>
      </c>
      <c r="L1500" s="242" t="n">
        <v>2348823</v>
      </c>
      <c r="M1500" s="241" t="n">
        <v>0.24</v>
      </c>
      <c r="N1500" s="241" t="n">
        <v>-6.43</v>
      </c>
      <c r="O1500" s="241" t="n">
        <v>-8.26</v>
      </c>
      <c r="P1500" s="241" t="n">
        <v>1.39</v>
      </c>
    </row>
    <row r="1501">
      <c r="A1501" s="282" t="inlineStr">
        <is>
          <t>2012-03-06</t>
        </is>
      </c>
      <c r="B1501" s="240">
        <f>IFERROR(1/P1501-1,B1500)</f>
        <v/>
      </c>
      <c r="C1501" s="240">
        <f>$C$3</f>
        <v/>
      </c>
      <c r="D1501" s="240">
        <f>$D$3</f>
        <v/>
      </c>
      <c r="E1501" s="240">
        <f>$E$3</f>
        <v/>
      </c>
      <c r="F1501" s="241" t="n">
        <v>23.6</v>
      </c>
      <c r="G1501" s="242" t="n">
        <v>8371297</v>
      </c>
      <c r="H1501" s="241" t="n">
        <v>-0.84</v>
      </c>
      <c r="I1501" s="241" t="n">
        <v>2.08</v>
      </c>
      <c r="J1501" s="241" t="n">
        <v>2.12</v>
      </c>
      <c r="K1501" s="241" t="n">
        <v>16.92</v>
      </c>
      <c r="L1501" s="242" t="n">
        <v>4664224</v>
      </c>
      <c r="M1501" s="241" t="n">
        <v>-1.42</v>
      </c>
      <c r="N1501" s="241" t="n">
        <v>-7.76</v>
      </c>
      <c r="O1501" s="241" t="n">
        <v>-9.57</v>
      </c>
      <c r="P1501" s="241" t="n">
        <v>1.4</v>
      </c>
    </row>
    <row r="1502">
      <c r="A1502" s="282" t="inlineStr">
        <is>
          <t>2012-03-07</t>
        </is>
      </c>
      <c r="B1502" s="240">
        <f>IFERROR(1/P1502-1,B1501)</f>
        <v/>
      </c>
      <c r="C1502" s="240">
        <f>$C$3</f>
        <v/>
      </c>
      <c r="D1502" s="240">
        <f>$D$3</f>
        <v/>
      </c>
      <c r="E1502" s="240">
        <f>$E$3</f>
        <v/>
      </c>
      <c r="F1502" s="241" t="n">
        <v>23.68</v>
      </c>
      <c r="G1502" s="242" t="n">
        <v>8664397</v>
      </c>
      <c r="H1502" s="241" t="n">
        <v>0.34</v>
      </c>
      <c r="I1502" s="241" t="n">
        <v>1.98</v>
      </c>
      <c r="J1502" s="241" t="n">
        <v>2.47</v>
      </c>
      <c r="K1502" s="241" t="n">
        <v>17.02</v>
      </c>
      <c r="L1502" s="242" t="n">
        <v>2253808</v>
      </c>
      <c r="M1502" s="241" t="n">
        <v>0.48</v>
      </c>
      <c r="N1502" s="241" t="n">
        <v>-5</v>
      </c>
      <c r="O1502" s="241" t="n">
        <v>-9.130000000000001</v>
      </c>
      <c r="P1502" s="241" t="n">
        <v>1.39</v>
      </c>
    </row>
    <row r="1503">
      <c r="A1503" s="282" t="inlineStr">
        <is>
          <t>2012-03-08</t>
        </is>
      </c>
      <c r="B1503" s="240">
        <f>IFERROR(1/P1503-1,B1502)</f>
        <v/>
      </c>
      <c r="C1503" s="240">
        <f>$C$3</f>
        <v/>
      </c>
      <c r="D1503" s="240">
        <f>$D$3</f>
        <v/>
      </c>
      <c r="E1503" s="240">
        <f>$E$3</f>
        <v/>
      </c>
      <c r="F1503" s="241" t="n">
        <v>23.8</v>
      </c>
      <c r="G1503" s="242" t="n">
        <v>7840745</v>
      </c>
      <c r="H1503" s="241" t="n">
        <v>0.51</v>
      </c>
      <c r="I1503" s="241" t="n">
        <v>3.98</v>
      </c>
      <c r="J1503" s="241" t="n">
        <v>2.99</v>
      </c>
      <c r="K1503" s="241" t="n">
        <v>17.43</v>
      </c>
      <c r="L1503" s="242" t="n">
        <v>3470800</v>
      </c>
      <c r="M1503" s="241" t="n">
        <v>2.39</v>
      </c>
      <c r="N1503" s="241" t="n">
        <v>-4.25</v>
      </c>
      <c r="O1503" s="241" t="n">
        <v>-6.96</v>
      </c>
      <c r="P1503" s="241" t="n">
        <v>1.37</v>
      </c>
    </row>
    <row r="1504">
      <c r="A1504" s="282" t="inlineStr">
        <is>
          <t>2012-03-09</t>
        </is>
      </c>
      <c r="B1504" s="240">
        <f>IFERROR(1/P1504-1,B1503)</f>
        <v/>
      </c>
      <c r="C1504" s="240">
        <f>$C$3</f>
        <v/>
      </c>
      <c r="D1504" s="240">
        <f>$D$3</f>
        <v/>
      </c>
      <c r="E1504" s="240">
        <f>$E$3</f>
        <v/>
      </c>
      <c r="F1504" s="241" t="n">
        <v>24.03</v>
      </c>
      <c r="G1504" s="242" t="n">
        <v>12202207</v>
      </c>
      <c r="H1504" s="241" t="n">
        <v>0.97</v>
      </c>
      <c r="I1504" s="241" t="n">
        <v>3.04</v>
      </c>
      <c r="J1504" s="241" t="n">
        <v>3.98</v>
      </c>
      <c r="K1504" s="241" t="n">
        <v>17.44</v>
      </c>
      <c r="L1504" s="242" t="n">
        <v>2220005</v>
      </c>
      <c r="M1504" s="241" t="n">
        <v>0.23</v>
      </c>
      <c r="N1504" s="241" t="n">
        <v>-6.74</v>
      </c>
      <c r="O1504" s="241" t="n">
        <v>-6.74</v>
      </c>
      <c r="P1504" s="241" t="n">
        <v>1.38</v>
      </c>
    </row>
    <row r="1505">
      <c r="A1505" s="282" t="inlineStr">
        <is>
          <t>2012-03-12</t>
        </is>
      </c>
      <c r="B1505" s="240">
        <f>IFERROR(1/P1505-1,B1504)</f>
        <v/>
      </c>
      <c r="C1505" s="240">
        <f>$C$3</f>
        <v/>
      </c>
      <c r="D1505" s="240">
        <f>$D$3</f>
        <v/>
      </c>
      <c r="E1505" s="240">
        <f>$E$3</f>
        <v/>
      </c>
      <c r="F1505" s="241" t="n">
        <v>24.17</v>
      </c>
      <c r="G1505" s="242" t="n">
        <v>21245989</v>
      </c>
      <c r="H1505" s="241" t="n">
        <v>0.58</v>
      </c>
      <c r="I1505" s="241" t="n">
        <v>3.96</v>
      </c>
      <c r="J1505" s="241" t="n">
        <v>4.59</v>
      </c>
      <c r="K1505" s="241" t="n">
        <v>17.99</v>
      </c>
      <c r="L1505" s="242" t="n">
        <v>6163982</v>
      </c>
      <c r="M1505" s="241" t="n">
        <v>2.8</v>
      </c>
      <c r="N1505" s="241" t="n">
        <v>-0.45</v>
      </c>
      <c r="O1505" s="241" t="n">
        <v>-4.13</v>
      </c>
      <c r="P1505" s="241" t="n">
        <v>1.34</v>
      </c>
    </row>
    <row r="1506">
      <c r="A1506" s="282" t="inlineStr">
        <is>
          <t>2012-03-13</t>
        </is>
      </c>
      <c r="B1506" s="240">
        <f>IFERROR(1/P1506-1,B1505)</f>
        <v/>
      </c>
      <c r="C1506" s="240">
        <f>$C$3</f>
        <v/>
      </c>
      <c r="D1506" s="240">
        <f>$D$3</f>
        <v/>
      </c>
      <c r="E1506" s="240">
        <f>$E$3</f>
        <v/>
      </c>
      <c r="F1506" s="241" t="n">
        <v>24.88</v>
      </c>
      <c r="G1506" s="242" t="n">
        <v>26550216</v>
      </c>
      <c r="H1506" s="241" t="n">
        <v>2.94</v>
      </c>
      <c r="I1506" s="241" t="n">
        <v>7.01</v>
      </c>
      <c r="J1506" s="241" t="n">
        <v>7.66</v>
      </c>
      <c r="K1506" s="241" t="n">
        <v>17.74</v>
      </c>
      <c r="L1506" s="242" t="n">
        <v>3893623</v>
      </c>
      <c r="M1506" s="241" t="n">
        <v>-1.36</v>
      </c>
      <c r="N1506" s="241" t="n">
        <v>-1.81</v>
      </c>
      <c r="O1506" s="241" t="n">
        <v>-5.43</v>
      </c>
      <c r="P1506" s="241" t="n">
        <v>1.4</v>
      </c>
    </row>
    <row r="1507">
      <c r="A1507" s="282" t="inlineStr">
        <is>
          <t>2012-03-14</t>
        </is>
      </c>
      <c r="B1507" s="240">
        <f>IFERROR(1/P1507-1,B1506)</f>
        <v/>
      </c>
      <c r="C1507" s="240">
        <f>$C$3</f>
        <v/>
      </c>
      <c r="D1507" s="240">
        <f>$D$3</f>
        <v/>
      </c>
      <c r="E1507" s="240">
        <f>$E$3</f>
        <v/>
      </c>
      <c r="F1507" s="241" t="n">
        <v>23.82</v>
      </c>
      <c r="G1507" s="242" t="n">
        <v>23090223</v>
      </c>
      <c r="H1507" s="241" t="n">
        <v>-4.26</v>
      </c>
      <c r="I1507" s="241" t="n">
        <v>2.63</v>
      </c>
      <c r="J1507" s="241" t="n">
        <v>3.07</v>
      </c>
      <c r="K1507" s="241" t="n">
        <v>17.05</v>
      </c>
      <c r="L1507" s="242" t="n">
        <v>4089952</v>
      </c>
      <c r="M1507" s="241" t="n">
        <v>-3.91</v>
      </c>
      <c r="N1507" s="241" t="n">
        <v>-4.78</v>
      </c>
      <c r="O1507" s="241" t="n">
        <v>-9.130000000000001</v>
      </c>
      <c r="P1507" s="241" t="n">
        <v>1.4</v>
      </c>
    </row>
    <row r="1508">
      <c r="A1508" s="282" t="inlineStr">
        <is>
          <t>2012-03-15</t>
        </is>
      </c>
      <c r="B1508" s="240">
        <f>IFERROR(1/P1508-1,B1507)</f>
        <v/>
      </c>
      <c r="C1508" s="240">
        <f>$C$3</f>
        <v/>
      </c>
      <c r="D1508" s="240">
        <f>$D$3</f>
        <v/>
      </c>
      <c r="E1508" s="240">
        <f>$E$3</f>
        <v/>
      </c>
      <c r="F1508" s="241" t="n">
        <v>23.66</v>
      </c>
      <c r="G1508" s="242" t="n">
        <v>11969031</v>
      </c>
      <c r="H1508" s="241" t="n">
        <v>-0.67</v>
      </c>
      <c r="I1508" s="241" t="n">
        <v>1.2</v>
      </c>
      <c r="J1508" s="241" t="n">
        <v>2.38</v>
      </c>
      <c r="K1508" s="241" t="n">
        <v>16.61</v>
      </c>
      <c r="L1508" s="242" t="n">
        <v>4048200</v>
      </c>
      <c r="M1508" s="241" t="n">
        <v>-2.63</v>
      </c>
      <c r="N1508" s="241" t="n">
        <v>-6</v>
      </c>
      <c r="O1508" s="241" t="n">
        <v>-11.52</v>
      </c>
      <c r="P1508" s="241" t="n">
        <v>1.42</v>
      </c>
    </row>
    <row r="1509">
      <c r="A1509" s="282" t="inlineStr">
        <is>
          <t>2012-03-16</t>
        </is>
      </c>
      <c r="B1509" s="240">
        <f>IFERROR(1/P1509-1,B1508)</f>
        <v/>
      </c>
      <c r="C1509" s="240">
        <f>$C$3</f>
        <v/>
      </c>
      <c r="D1509" s="240">
        <f>$D$3</f>
        <v/>
      </c>
      <c r="E1509" s="240">
        <f>$E$3</f>
        <v/>
      </c>
      <c r="F1509" s="241" t="n">
        <v>23.96</v>
      </c>
      <c r="G1509" s="242" t="n">
        <v>8120986</v>
      </c>
      <c r="H1509" s="241" t="n">
        <v>1.27</v>
      </c>
      <c r="I1509" s="241" t="n">
        <v>1.48</v>
      </c>
      <c r="J1509" s="241" t="n">
        <v>3.68</v>
      </c>
      <c r="K1509" s="241" t="n">
        <v>16.61</v>
      </c>
      <c r="L1509" s="242" t="n">
        <v>1756973</v>
      </c>
      <c r="M1509" s="241" t="n">
        <v>0.25</v>
      </c>
      <c r="N1509" s="241" t="n">
        <v>-9.33</v>
      </c>
      <c r="O1509" s="241" t="n">
        <v>-11.3</v>
      </c>
      <c r="P1509" s="241" t="n">
        <v>1.44</v>
      </c>
    </row>
    <row r="1510">
      <c r="A1510" s="282" t="inlineStr">
        <is>
          <t>2012-03-19</t>
        </is>
      </c>
      <c r="B1510" s="240">
        <f>IFERROR(1/P1510-1,B1509)</f>
        <v/>
      </c>
      <c r="C1510" s="240">
        <f>$C$3</f>
        <v/>
      </c>
      <c r="D1510" s="240">
        <f>$D$3</f>
        <v/>
      </c>
      <c r="E1510" s="240">
        <f>$E$3</f>
        <v/>
      </c>
      <c r="F1510" s="241" t="n">
        <v>23.97</v>
      </c>
      <c r="G1510" s="242" t="n">
        <v>8225505</v>
      </c>
      <c r="H1510" s="241" t="n">
        <v>0.04</v>
      </c>
      <c r="I1510" s="241" t="n">
        <v>0.97</v>
      </c>
      <c r="J1510" s="241" t="n">
        <v>3.72</v>
      </c>
      <c r="K1510" s="241" t="n">
        <v>16.62</v>
      </c>
      <c r="L1510" s="242" t="n">
        <v>1863200</v>
      </c>
      <c r="M1510" s="241" t="n">
        <v>0.25</v>
      </c>
      <c r="N1510" s="241" t="n">
        <v>-10.7</v>
      </c>
      <c r="O1510" s="241" t="n">
        <v>-11.09</v>
      </c>
      <c r="P1510" s="241" t="n">
        <v>1.44</v>
      </c>
    </row>
    <row r="1511">
      <c r="A1511" s="282" t="inlineStr">
        <is>
          <t>2012-03-20</t>
        </is>
      </c>
      <c r="B1511" s="240">
        <f>IFERROR(1/P1511-1,B1510)</f>
        <v/>
      </c>
      <c r="C1511" s="240">
        <f>$C$3</f>
        <v/>
      </c>
      <c r="D1511" s="240">
        <f>$D$3</f>
        <v/>
      </c>
      <c r="E1511" s="240">
        <f>$E$3</f>
        <v/>
      </c>
      <c r="F1511" s="241" t="n">
        <v>23.45</v>
      </c>
      <c r="G1511" s="242" t="n">
        <v>7925102</v>
      </c>
      <c r="H1511" s="241" t="n">
        <v>-2.17</v>
      </c>
      <c r="I1511" s="241" t="n">
        <v>-1.22</v>
      </c>
      <c r="J1511" s="241" t="n">
        <v>1.47</v>
      </c>
      <c r="K1511" s="241" t="n">
        <v>15.74</v>
      </c>
      <c r="L1511" s="242" t="n">
        <v>3740200</v>
      </c>
      <c r="M1511" s="241" t="n">
        <v>-5.23</v>
      </c>
      <c r="N1511" s="241" t="n">
        <v>-15.37</v>
      </c>
      <c r="O1511" s="241" t="n">
        <v>-15.74</v>
      </c>
      <c r="P1511" s="241" t="n">
        <v>1.49</v>
      </c>
    </row>
    <row r="1512">
      <c r="A1512" s="282" t="inlineStr">
        <is>
          <t>2012-03-21</t>
        </is>
      </c>
      <c r="B1512" s="240">
        <f>IFERROR(1/P1512-1,B1511)</f>
        <v/>
      </c>
      <c r="C1512" s="240">
        <f>$C$3</f>
        <v/>
      </c>
      <c r="D1512" s="240">
        <f>$D$3</f>
        <v/>
      </c>
      <c r="E1512" s="240">
        <f>$E$3</f>
        <v/>
      </c>
      <c r="F1512" s="241" t="n">
        <v>23.28</v>
      </c>
      <c r="G1512" s="242" t="n">
        <v>7481738</v>
      </c>
      <c r="H1512" s="241" t="n">
        <v>-0.72</v>
      </c>
      <c r="I1512" s="241" t="n">
        <v>-0.77</v>
      </c>
      <c r="J1512" s="241" t="n">
        <v>0.74</v>
      </c>
      <c r="K1512" s="241" t="n">
        <v>15.46</v>
      </c>
      <c r="L1512" s="242" t="n">
        <v>6158850</v>
      </c>
      <c r="M1512" s="241" t="n">
        <v>-1.86</v>
      </c>
      <c r="N1512" s="241" t="n">
        <v>-13.15</v>
      </c>
      <c r="O1512" s="241" t="n">
        <v>-17.3</v>
      </c>
      <c r="P1512" s="241" t="n">
        <v>1.51</v>
      </c>
    </row>
    <row r="1513">
      <c r="A1513" s="282" t="inlineStr">
        <is>
          <t>2012-03-22</t>
        </is>
      </c>
      <c r="B1513" s="240">
        <f>IFERROR(1/P1513-1,B1512)</f>
        <v/>
      </c>
      <c r="C1513" s="240">
        <f>$C$3</f>
        <v/>
      </c>
      <c r="D1513" s="240">
        <f>$D$3</f>
        <v/>
      </c>
      <c r="E1513" s="240">
        <f>$E$3</f>
        <v/>
      </c>
      <c r="F1513" s="241" t="n">
        <v>23.26</v>
      </c>
      <c r="G1513" s="242" t="n">
        <v>7837465</v>
      </c>
      <c r="H1513" s="241" t="n">
        <v>-0.09</v>
      </c>
      <c r="I1513" s="241" t="n">
        <v>-3.69</v>
      </c>
      <c r="J1513" s="241" t="n">
        <v>0.65</v>
      </c>
      <c r="K1513" s="241" t="n">
        <v>15.4</v>
      </c>
      <c r="L1513" s="242" t="n">
        <v>2190600</v>
      </c>
      <c r="M1513" s="241" t="n">
        <v>-0.21</v>
      </c>
      <c r="N1513" s="241" t="n">
        <v>-12.13</v>
      </c>
      <c r="O1513" s="241" t="n">
        <v>-17.48</v>
      </c>
      <c r="P1513" s="241" t="n">
        <v>1.51</v>
      </c>
    </row>
    <row r="1514">
      <c r="A1514" s="282" t="inlineStr">
        <is>
          <t>2012-03-23</t>
        </is>
      </c>
      <c r="B1514" s="240">
        <f>IFERROR(1/P1514-1,B1513)</f>
        <v/>
      </c>
      <c r="C1514" s="240">
        <f>$C$3</f>
        <v/>
      </c>
      <c r="D1514" s="240">
        <f>$D$3</f>
        <v/>
      </c>
      <c r="E1514" s="240">
        <f>$E$3</f>
        <v/>
      </c>
      <c r="F1514" s="241" t="n">
        <v>22.75</v>
      </c>
      <c r="G1514" s="242" t="n">
        <v>7376386</v>
      </c>
      <c r="H1514" s="241" t="n">
        <v>-2.19</v>
      </c>
      <c r="I1514" s="241" t="n">
        <v>-5.84</v>
      </c>
      <c r="J1514" s="241" t="n">
        <v>-1.56</v>
      </c>
      <c r="K1514" s="241" t="n">
        <v>15.71</v>
      </c>
      <c r="L1514" s="242" t="n">
        <v>2806119</v>
      </c>
      <c r="M1514" s="241" t="n">
        <v>2.21</v>
      </c>
      <c r="N1514" s="241" t="n">
        <v>-9.130000000000001</v>
      </c>
      <c r="O1514" s="241" t="n">
        <v>-15.65</v>
      </c>
      <c r="P1514" s="241" t="n">
        <v>1.45</v>
      </c>
    </row>
    <row r="1515">
      <c r="A1515" s="282" t="inlineStr">
        <is>
          <t>2012-03-26</t>
        </is>
      </c>
      <c r="B1515" s="240">
        <f>IFERROR(1/P1515-1,B1514)</f>
        <v/>
      </c>
      <c r="C1515" s="240">
        <f>$C$3</f>
        <v/>
      </c>
      <c r="D1515" s="240">
        <f>$D$3</f>
        <v/>
      </c>
      <c r="E1515" s="240">
        <f>$E$3</f>
        <v/>
      </c>
      <c r="F1515" s="241" t="n">
        <v>22.62</v>
      </c>
      <c r="G1515" s="242" t="n">
        <v>5216650</v>
      </c>
      <c r="H1515" s="241" t="n">
        <v>-0.57</v>
      </c>
      <c r="I1515" s="241" t="n">
        <v>-7.37</v>
      </c>
      <c r="J1515" s="241" t="n">
        <v>-2.12</v>
      </c>
      <c r="K1515" s="241" t="n">
        <v>15.26</v>
      </c>
      <c r="L1515" s="242" t="n">
        <v>2573600</v>
      </c>
      <c r="M1515" s="241" t="n">
        <v>-2.78</v>
      </c>
      <c r="N1515" s="241" t="n">
        <v>-7.78</v>
      </c>
      <c r="O1515" s="241" t="n">
        <v>-18</v>
      </c>
      <c r="P1515" s="241" t="n">
        <v>1.48</v>
      </c>
    </row>
    <row r="1516">
      <c r="A1516" s="282" t="inlineStr">
        <is>
          <t>2012-03-27</t>
        </is>
      </c>
      <c r="B1516" s="240">
        <f>IFERROR(1/P1516-1,B1515)</f>
        <v/>
      </c>
      <c r="C1516" s="240">
        <f>$C$3</f>
        <v/>
      </c>
      <c r="D1516" s="240">
        <f>$D$3</f>
        <v/>
      </c>
      <c r="E1516" s="240">
        <f>$E$3</f>
        <v/>
      </c>
      <c r="F1516" s="241" t="n">
        <v>22.4</v>
      </c>
      <c r="G1516" s="242" t="n">
        <v>6945443</v>
      </c>
      <c r="H1516" s="241" t="n">
        <v>-0.97</v>
      </c>
      <c r="I1516" s="241" t="n">
        <v>-8.27</v>
      </c>
      <c r="J1516" s="241" t="n">
        <v>-3.07</v>
      </c>
      <c r="K1516" s="241" t="n">
        <v>15.43</v>
      </c>
      <c r="L1516" s="242" t="n">
        <v>1605800</v>
      </c>
      <c r="M1516" s="241" t="n">
        <v>1.17</v>
      </c>
      <c r="N1516" s="241" t="n">
        <v>-6.7</v>
      </c>
      <c r="O1516" s="241" t="n">
        <v>-17.04</v>
      </c>
      <c r="P1516" s="241" t="n">
        <v>1.45</v>
      </c>
    </row>
    <row r="1517">
      <c r="A1517" s="282" t="inlineStr">
        <is>
          <t>2012-03-28</t>
        </is>
      </c>
      <c r="B1517" s="240">
        <f>IFERROR(1/P1517-1,B1516)</f>
        <v/>
      </c>
      <c r="C1517" s="240">
        <f>$C$3</f>
        <v/>
      </c>
      <c r="D1517" s="240">
        <f>$D$3</f>
        <v/>
      </c>
      <c r="E1517" s="240">
        <f>$E$3</f>
        <v/>
      </c>
      <c r="F1517" s="241" t="n">
        <v>21.8</v>
      </c>
      <c r="G1517" s="242" t="n">
        <v>11873343</v>
      </c>
      <c r="H1517" s="241" t="n">
        <v>-2.68</v>
      </c>
      <c r="I1517" s="241" t="n">
        <v>-10.1</v>
      </c>
      <c r="J1517" s="241" t="n">
        <v>-5.67</v>
      </c>
      <c r="K1517" s="241" t="n">
        <v>14.73</v>
      </c>
      <c r="L1517" s="242" t="n">
        <v>6065315</v>
      </c>
      <c r="M1517" s="241" t="n">
        <v>-4.72</v>
      </c>
      <c r="N1517" s="241" t="n">
        <v>-11.75</v>
      </c>
      <c r="O1517" s="241" t="n">
        <v>-20.96</v>
      </c>
      <c r="P1517" s="241" t="n">
        <v>1.48</v>
      </c>
    </row>
    <row r="1518">
      <c r="A1518" s="282" t="inlineStr">
        <is>
          <t>2012-03-29</t>
        </is>
      </c>
      <c r="B1518" s="240">
        <f>IFERROR(1/P1518-1,B1517)</f>
        <v/>
      </c>
      <c r="C1518" s="240">
        <f>$C$3</f>
        <v/>
      </c>
      <c r="D1518" s="240">
        <f>$D$3</f>
        <v/>
      </c>
      <c r="E1518" s="240">
        <f>$E$3</f>
        <v/>
      </c>
      <c r="F1518" s="241" t="n">
        <v>21.66</v>
      </c>
      <c r="G1518" s="242" t="n">
        <v>7661895</v>
      </c>
      <c r="H1518" s="241" t="n">
        <v>-0.64</v>
      </c>
      <c r="I1518" s="241" t="n">
        <v>-10.24</v>
      </c>
      <c r="J1518" s="241" t="n">
        <v>-6.27</v>
      </c>
      <c r="K1518" s="241" t="n">
        <v>14.72</v>
      </c>
      <c r="L1518" s="242" t="n">
        <v>3880347</v>
      </c>
      <c r="M1518" s="241" t="n">
        <v>-0.11</v>
      </c>
      <c r="N1518" s="241" t="n">
        <v>-13.93</v>
      </c>
      <c r="O1518" s="241" t="n">
        <v>-21.04</v>
      </c>
      <c r="P1518" s="241" t="n">
        <v>1.47</v>
      </c>
    </row>
    <row r="1519">
      <c r="A1519" s="282" t="inlineStr">
        <is>
          <t>2012-03-30</t>
        </is>
      </c>
      <c r="B1519" s="240">
        <f>IFERROR(1/P1519-1,B1518)</f>
        <v/>
      </c>
      <c r="C1519" s="240">
        <f>$C$3</f>
        <v/>
      </c>
      <c r="D1519" s="240">
        <f>$D$3</f>
        <v/>
      </c>
      <c r="E1519" s="240">
        <f>$E$3</f>
        <v/>
      </c>
      <c r="F1519" s="241" t="n">
        <v>21.65</v>
      </c>
      <c r="G1519" s="242" t="n">
        <v>8164043</v>
      </c>
      <c r="H1519" s="241" t="n">
        <v>-0.05</v>
      </c>
      <c r="I1519" s="241" t="n">
        <v>-10.28</v>
      </c>
      <c r="J1519" s="241" t="n">
        <v>-6.32</v>
      </c>
      <c r="K1519" s="241" t="n">
        <v>15.26</v>
      </c>
      <c r="L1519" s="242" t="n">
        <v>6702268</v>
      </c>
      <c r="M1519" s="241" t="n">
        <v>3.63</v>
      </c>
      <c r="N1519" s="241" t="n">
        <v>-10.81</v>
      </c>
      <c r="O1519" s="241" t="n">
        <v>-18.17</v>
      </c>
      <c r="P1519" s="241" t="n">
        <v>1.42</v>
      </c>
    </row>
    <row r="1520">
      <c r="A1520" s="282" t="inlineStr">
        <is>
          <t>2012-04-05</t>
        </is>
      </c>
      <c r="B1520" s="240">
        <f>IFERROR(1/P1520-1,B1519)</f>
        <v/>
      </c>
      <c r="C1520" s="240">
        <f>$C$3</f>
        <v/>
      </c>
      <c r="D1520" s="240">
        <f>$D$3</f>
        <v/>
      </c>
      <c r="E1520" s="240">
        <f>$E$3</f>
        <v/>
      </c>
      <c r="F1520" s="241" t="n">
        <v>22.13</v>
      </c>
      <c r="G1520" s="242" t="n">
        <v>10798641</v>
      </c>
      <c r="H1520" s="241" t="n">
        <v>2.22</v>
      </c>
      <c r="I1520" s="241" t="n">
        <v>-7.79</v>
      </c>
      <c r="J1520" s="241" t="n">
        <v>-4.24</v>
      </c>
      <c r="K1520" s="241" t="n">
        <v>15.91</v>
      </c>
      <c r="L1520" s="242" t="n">
        <v>4019218</v>
      </c>
      <c r="M1520" s="241" t="n">
        <v>0.1</v>
      </c>
      <c r="N1520" s="241" t="n">
        <v>-6.89</v>
      </c>
      <c r="O1520" s="241" t="n">
        <v>-14.78</v>
      </c>
      <c r="P1520" s="241" t="n">
        <v>1.39</v>
      </c>
    </row>
    <row r="1521">
      <c r="A1521" s="282" t="inlineStr">
        <is>
          <t>2012-04-06</t>
        </is>
      </c>
      <c r="B1521" s="240">
        <f>IFERROR(1/P1521-1,B1520)</f>
        <v/>
      </c>
      <c r="C1521" s="240">
        <f>$C$3</f>
        <v/>
      </c>
      <c r="D1521" s="240">
        <f>$D$3</f>
        <v/>
      </c>
      <c r="E1521" s="240">
        <f>$E$3</f>
        <v/>
      </c>
      <c r="F1521" s="241" t="n">
        <v>21.96</v>
      </c>
      <c r="G1521" s="242" t="n">
        <v>7961631</v>
      </c>
      <c r="H1521" s="241" t="n">
        <v>-0.77</v>
      </c>
      <c r="I1521" s="241" t="n">
        <v>-7.73</v>
      </c>
      <c r="J1521" s="241" t="n">
        <v>-4.98</v>
      </c>
      <c r="K1521" s="239" t="inlineStr">
        <is>
          <t>--</t>
        </is>
      </c>
      <c r="L1521" s="239" t="inlineStr">
        <is>
          <t>--</t>
        </is>
      </c>
      <c r="M1521" s="239" t="inlineStr">
        <is>
          <t>--</t>
        </is>
      </c>
      <c r="N1521" s="239" t="inlineStr">
        <is>
          <t>--</t>
        </is>
      </c>
      <c r="O1521" s="239" t="inlineStr">
        <is>
          <t>--</t>
        </is>
      </c>
      <c r="P1521" s="239" t="inlineStr">
        <is>
          <t>--</t>
        </is>
      </c>
    </row>
    <row r="1522">
      <c r="A1522" s="282" t="inlineStr">
        <is>
          <t>2012-04-09</t>
        </is>
      </c>
      <c r="B1522" s="240">
        <f>IFERROR(1/P1522-1,B1521)</f>
        <v/>
      </c>
      <c r="C1522" s="240">
        <f>$C$3</f>
        <v/>
      </c>
      <c r="D1522" s="240">
        <f>$D$3</f>
        <v/>
      </c>
      <c r="E1522" s="240">
        <f>$E$3</f>
        <v/>
      </c>
      <c r="F1522" s="241" t="n">
        <v>21.61</v>
      </c>
      <c r="G1522" s="242" t="n">
        <v>7098775</v>
      </c>
      <c r="H1522" s="241" t="n">
        <v>-1.59</v>
      </c>
      <c r="I1522" s="241" t="n">
        <v>-9.199999999999999</v>
      </c>
      <c r="J1522" s="241" t="n">
        <v>-6.49</v>
      </c>
      <c r="K1522" s="239" t="inlineStr">
        <is>
          <t>--</t>
        </is>
      </c>
      <c r="L1522" s="239" t="inlineStr">
        <is>
          <t>--</t>
        </is>
      </c>
      <c r="M1522" s="239" t="inlineStr">
        <is>
          <t>--</t>
        </is>
      </c>
      <c r="N1522" s="239" t="inlineStr">
        <is>
          <t>--</t>
        </is>
      </c>
      <c r="O1522" s="239" t="inlineStr">
        <is>
          <t>--</t>
        </is>
      </c>
      <c r="P1522" s="239" t="inlineStr">
        <is>
          <t>--</t>
        </is>
      </c>
    </row>
    <row r="1523">
      <c r="A1523" s="282" t="inlineStr">
        <is>
          <t>2012-04-10</t>
        </is>
      </c>
      <c r="B1523" s="240">
        <f>IFERROR(1/P1523-1,B1522)</f>
        <v/>
      </c>
      <c r="C1523" s="240">
        <f>$C$3</f>
        <v/>
      </c>
      <c r="D1523" s="240">
        <f>$D$3</f>
        <v/>
      </c>
      <c r="E1523" s="240">
        <f>$E$3</f>
        <v/>
      </c>
      <c r="F1523" s="241" t="n">
        <v>21.65</v>
      </c>
      <c r="G1523" s="242" t="n">
        <v>7712581</v>
      </c>
      <c r="H1523" s="241" t="n">
        <v>0.19</v>
      </c>
      <c r="I1523" s="241" t="n">
        <v>-9.9</v>
      </c>
      <c r="J1523" s="241" t="n">
        <v>-6.32</v>
      </c>
      <c r="K1523" s="241" t="n">
        <v>15.59</v>
      </c>
      <c r="L1523" s="242" t="n">
        <v>1845508</v>
      </c>
      <c r="M1523" s="241" t="n">
        <v>-2.04</v>
      </c>
      <c r="N1523" s="241" t="n">
        <v>-10.49</v>
      </c>
      <c r="O1523" s="241" t="n">
        <v>-16.52</v>
      </c>
      <c r="P1523" s="241" t="n">
        <v>1.39</v>
      </c>
    </row>
    <row r="1524">
      <c r="A1524" s="282" t="inlineStr">
        <is>
          <t>2012-04-11</t>
        </is>
      </c>
      <c r="B1524" s="240">
        <f>IFERROR(1/P1524-1,B1523)</f>
        <v/>
      </c>
      <c r="C1524" s="240">
        <f>$C$3</f>
        <v/>
      </c>
      <c r="D1524" s="240">
        <f>$D$3</f>
        <v/>
      </c>
      <c r="E1524" s="240">
        <f>$E$3</f>
        <v/>
      </c>
      <c r="F1524" s="241" t="n">
        <v>21.45</v>
      </c>
      <c r="G1524" s="242" t="n">
        <v>6175553</v>
      </c>
      <c r="H1524" s="241" t="n">
        <v>-0.92</v>
      </c>
      <c r="I1524" s="241" t="n">
        <v>-10.74</v>
      </c>
      <c r="J1524" s="241" t="n">
        <v>-7.18</v>
      </c>
      <c r="K1524" s="241" t="n">
        <v>15.26</v>
      </c>
      <c r="L1524" s="242" t="n">
        <v>1769100</v>
      </c>
      <c r="M1524" s="241" t="n">
        <v>-2.08</v>
      </c>
      <c r="N1524" s="241" t="n">
        <v>-12.35</v>
      </c>
      <c r="O1524" s="241" t="n">
        <v>-18.26</v>
      </c>
      <c r="P1524" s="241" t="n">
        <v>1.41</v>
      </c>
    </row>
    <row r="1525">
      <c r="A1525" s="282" t="inlineStr">
        <is>
          <t>2012-04-12</t>
        </is>
      </c>
      <c r="B1525" s="240">
        <f>IFERROR(1/P1525-1,B1524)</f>
        <v/>
      </c>
      <c r="C1525" s="240">
        <f>$C$3</f>
        <v/>
      </c>
      <c r="D1525" s="240">
        <f>$D$3</f>
        <v/>
      </c>
      <c r="E1525" s="240">
        <f>$E$3</f>
        <v/>
      </c>
      <c r="F1525" s="241" t="n">
        <v>21.93</v>
      </c>
      <c r="G1525" s="242" t="n">
        <v>9897950</v>
      </c>
      <c r="H1525" s="241" t="n">
        <v>2.24</v>
      </c>
      <c r="I1525" s="241" t="n">
        <v>-8.74</v>
      </c>
      <c r="J1525" s="241" t="n">
        <v>-5.11</v>
      </c>
      <c r="K1525" s="241" t="n">
        <v>15.7</v>
      </c>
      <c r="L1525" s="242" t="n">
        <v>2271858</v>
      </c>
      <c r="M1525" s="241" t="n">
        <v>2.98</v>
      </c>
      <c r="N1525" s="241" t="n">
        <v>-9.74</v>
      </c>
      <c r="O1525" s="241" t="n">
        <v>-15.83</v>
      </c>
      <c r="P1525" s="241" t="n">
        <v>1.4</v>
      </c>
    </row>
    <row r="1526">
      <c r="A1526" s="282" t="inlineStr">
        <is>
          <t>2012-04-13</t>
        </is>
      </c>
      <c r="B1526" s="240">
        <f>IFERROR(1/P1526-1,B1525)</f>
        <v/>
      </c>
      <c r="C1526" s="240">
        <f>$C$3</f>
        <v/>
      </c>
      <c r="D1526" s="240">
        <f>$D$3</f>
        <v/>
      </c>
      <c r="E1526" s="240">
        <f>$E$3</f>
        <v/>
      </c>
      <c r="F1526" s="241" t="n">
        <v>21.95</v>
      </c>
      <c r="G1526" s="242" t="n">
        <v>8451314</v>
      </c>
      <c r="H1526" s="241" t="n">
        <v>0.09</v>
      </c>
      <c r="I1526" s="241" t="n">
        <v>-9.18</v>
      </c>
      <c r="J1526" s="241" t="n">
        <v>-5.02</v>
      </c>
      <c r="K1526" s="241" t="n">
        <v>15.68</v>
      </c>
      <c r="L1526" s="242" t="n">
        <v>1892216</v>
      </c>
      <c r="M1526" s="241" t="n">
        <v>0</v>
      </c>
      <c r="N1526" s="241" t="n">
        <v>-12.2</v>
      </c>
      <c r="O1526" s="241" t="n">
        <v>-15.83</v>
      </c>
      <c r="P1526" s="241" t="n">
        <v>1.4</v>
      </c>
    </row>
    <row r="1527">
      <c r="A1527" s="282" t="inlineStr">
        <is>
          <t>2012-04-16</t>
        </is>
      </c>
      <c r="B1527" s="240">
        <f>IFERROR(1/P1527-1,B1526)</f>
        <v/>
      </c>
      <c r="C1527" s="240">
        <f>$C$3</f>
        <v/>
      </c>
      <c r="D1527" s="240">
        <f>$D$3</f>
        <v/>
      </c>
      <c r="E1527" s="240">
        <f>$E$3</f>
        <v/>
      </c>
      <c r="F1527" s="241" t="n">
        <v>21.98</v>
      </c>
      <c r="G1527" s="242" t="n">
        <v>5012574</v>
      </c>
      <c r="H1527" s="241" t="n">
        <v>0.14</v>
      </c>
      <c r="I1527" s="241" t="n">
        <v>-7.1</v>
      </c>
      <c r="J1527" s="241" t="n">
        <v>-4.89</v>
      </c>
      <c r="K1527" s="241" t="n">
        <v>15.6</v>
      </c>
      <c r="L1527" s="242" t="n">
        <v>547316</v>
      </c>
      <c r="M1527" s="241" t="n">
        <v>-0.72</v>
      </c>
      <c r="N1527" s="241" t="n">
        <v>-5.55</v>
      </c>
      <c r="O1527" s="241" t="n">
        <v>-16.43</v>
      </c>
      <c r="P1527" s="241" t="n">
        <v>1.41</v>
      </c>
    </row>
    <row r="1528">
      <c r="A1528" s="282" t="inlineStr">
        <is>
          <t>2012-04-17</t>
        </is>
      </c>
      <c r="B1528" s="240">
        <f>IFERROR(1/P1528-1,B1527)</f>
        <v/>
      </c>
      <c r="C1528" s="240">
        <f>$C$3</f>
        <v/>
      </c>
      <c r="D1528" s="240">
        <f>$D$3</f>
        <v/>
      </c>
      <c r="E1528" s="240">
        <f>$E$3</f>
        <v/>
      </c>
      <c r="F1528" s="241" t="n">
        <v>21.7</v>
      </c>
      <c r="G1528" s="242" t="n">
        <v>4250633</v>
      </c>
      <c r="H1528" s="241" t="n">
        <v>-1.27</v>
      </c>
      <c r="I1528" s="241" t="n">
        <v>-9.43</v>
      </c>
      <c r="J1528" s="241" t="n">
        <v>-6.1</v>
      </c>
      <c r="K1528" s="241" t="n">
        <v>15.65</v>
      </c>
      <c r="L1528" s="242" t="n">
        <v>1978643</v>
      </c>
      <c r="M1528" s="241" t="n">
        <v>0.42</v>
      </c>
      <c r="N1528" s="241" t="n">
        <v>-5.39</v>
      </c>
      <c r="O1528" s="241" t="n">
        <v>-16.09</v>
      </c>
      <c r="P1528" s="241" t="n">
        <v>1.39</v>
      </c>
    </row>
    <row r="1529">
      <c r="A1529" s="282" t="inlineStr">
        <is>
          <t>2012-04-18</t>
        </is>
      </c>
      <c r="B1529" s="240">
        <f>IFERROR(1/P1529-1,B1528)</f>
        <v/>
      </c>
      <c r="C1529" s="240">
        <f>$C$3</f>
        <v/>
      </c>
      <c r="D1529" s="240">
        <f>$D$3</f>
        <v/>
      </c>
      <c r="E1529" s="240">
        <f>$E$3</f>
        <v/>
      </c>
      <c r="F1529" s="241" t="n">
        <v>22.14</v>
      </c>
      <c r="G1529" s="242" t="n">
        <v>7566166</v>
      </c>
      <c r="H1529" s="241" t="n">
        <v>2.03</v>
      </c>
      <c r="I1529" s="241" t="n">
        <v>-7.6</v>
      </c>
      <c r="J1529" s="241" t="n">
        <v>-4.2</v>
      </c>
      <c r="K1529" s="241" t="n">
        <v>15.8</v>
      </c>
      <c r="L1529" s="242" t="n">
        <v>1098600</v>
      </c>
      <c r="M1529" s="241" t="n">
        <v>0.93</v>
      </c>
      <c r="N1529" s="241" t="n">
        <v>-4.51</v>
      </c>
      <c r="O1529" s="241" t="n">
        <v>-15.3</v>
      </c>
      <c r="P1529" s="241" t="n">
        <v>1.4</v>
      </c>
    </row>
    <row r="1530">
      <c r="A1530" s="282" t="inlineStr">
        <is>
          <t>2012-04-19</t>
        </is>
      </c>
      <c r="B1530" s="240">
        <f>IFERROR(1/P1530-1,B1529)</f>
        <v/>
      </c>
      <c r="C1530" s="240">
        <f>$C$3</f>
        <v/>
      </c>
      <c r="D1530" s="240">
        <f>$D$3</f>
        <v/>
      </c>
      <c r="E1530" s="240">
        <f>$E$3</f>
        <v/>
      </c>
      <c r="F1530" s="241" t="n">
        <v>22.29</v>
      </c>
      <c r="G1530" s="242" t="n">
        <v>8635180</v>
      </c>
      <c r="H1530" s="241" t="n">
        <v>0.68</v>
      </c>
      <c r="I1530" s="241" t="n">
        <v>-6.97</v>
      </c>
      <c r="J1530" s="241" t="n">
        <v>-3.55</v>
      </c>
      <c r="K1530" s="241" t="n">
        <v>15.47</v>
      </c>
      <c r="L1530" s="242" t="n">
        <v>1961839</v>
      </c>
      <c r="M1530" s="241" t="n">
        <v>-2.16</v>
      </c>
      <c r="N1530" s="241" t="n">
        <v>-6.57</v>
      </c>
      <c r="O1530" s="241" t="n">
        <v>-17.13</v>
      </c>
      <c r="P1530" s="241" t="n">
        <v>1.44</v>
      </c>
    </row>
    <row r="1531">
      <c r="A1531" s="282" t="inlineStr">
        <is>
          <t>2012-04-20</t>
        </is>
      </c>
      <c r="B1531" s="240">
        <f>IFERROR(1/P1531-1,B1530)</f>
        <v/>
      </c>
      <c r="C1531" s="240">
        <f>$C$3</f>
        <v/>
      </c>
      <c r="D1531" s="240">
        <f>$D$3</f>
        <v/>
      </c>
      <c r="E1531" s="240">
        <f>$E$3</f>
        <v/>
      </c>
      <c r="F1531" s="241" t="n">
        <v>22.37</v>
      </c>
      <c r="G1531" s="242" t="n">
        <v>7701426</v>
      </c>
      <c r="H1531" s="241" t="n">
        <v>0.36</v>
      </c>
      <c r="I1531" s="241" t="n">
        <v>-6.67</v>
      </c>
      <c r="J1531" s="241" t="n">
        <v>-3.2</v>
      </c>
      <c r="K1531" s="241" t="n">
        <v>15.95</v>
      </c>
      <c r="L1531" s="242" t="n">
        <v>3108838</v>
      </c>
      <c r="M1531" s="241" t="n">
        <v>3.04</v>
      </c>
      <c r="N1531" s="241" t="n">
        <v>-3.96</v>
      </c>
      <c r="O1531" s="241" t="n">
        <v>-14.61</v>
      </c>
      <c r="P1531" s="241" t="n">
        <v>1.4</v>
      </c>
    </row>
    <row r="1532">
      <c r="A1532" s="282" t="inlineStr">
        <is>
          <t>2012-04-23</t>
        </is>
      </c>
      <c r="B1532" s="240">
        <f>IFERROR(1/P1532-1,B1531)</f>
        <v/>
      </c>
      <c r="C1532" s="240">
        <f>$C$3</f>
        <v/>
      </c>
      <c r="D1532" s="240">
        <f>$D$3</f>
        <v/>
      </c>
      <c r="E1532" s="240">
        <f>$E$3</f>
        <v/>
      </c>
      <c r="F1532" s="241" t="n">
        <v>22.01</v>
      </c>
      <c r="G1532" s="242" t="n">
        <v>8651190</v>
      </c>
      <c r="H1532" s="241" t="n">
        <v>-1.61</v>
      </c>
      <c r="I1532" s="241" t="n">
        <v>-5.37</v>
      </c>
      <c r="J1532" s="241" t="n">
        <v>-4.76</v>
      </c>
      <c r="K1532" s="241" t="n">
        <v>15.72</v>
      </c>
      <c r="L1532" s="242" t="n">
        <v>1126800</v>
      </c>
      <c r="M1532" s="241" t="n">
        <v>-1.32</v>
      </c>
      <c r="N1532" s="241" t="n">
        <v>2.11</v>
      </c>
      <c r="O1532" s="241" t="n">
        <v>-15.74</v>
      </c>
      <c r="P1532" s="241" t="n">
        <v>1.4</v>
      </c>
    </row>
    <row r="1533">
      <c r="A1533" s="282" t="inlineStr">
        <is>
          <t>2012-04-24</t>
        </is>
      </c>
      <c r="B1533" s="240">
        <f>IFERROR(1/P1533-1,B1532)</f>
        <v/>
      </c>
      <c r="C1533" s="240">
        <f>$C$3</f>
        <v/>
      </c>
      <c r="D1533" s="240">
        <f>$D$3</f>
        <v/>
      </c>
      <c r="E1533" s="240">
        <f>$E$3</f>
        <v/>
      </c>
      <c r="F1533" s="241" t="n">
        <v>21.72</v>
      </c>
      <c r="G1533" s="242" t="n">
        <v>8678742</v>
      </c>
      <c r="H1533" s="241" t="n">
        <v>-1.32</v>
      </c>
      <c r="I1533" s="241" t="n">
        <v>-4.53</v>
      </c>
      <c r="J1533" s="241" t="n">
        <v>-6.01</v>
      </c>
      <c r="K1533" s="241" t="n">
        <v>15.6</v>
      </c>
      <c r="L1533" s="242" t="n">
        <v>1442300</v>
      </c>
      <c r="M1533" s="241" t="n">
        <v>-0.83</v>
      </c>
      <c r="N1533" s="241" t="n">
        <v>-0.93</v>
      </c>
      <c r="O1533" s="241" t="n">
        <v>-16.43</v>
      </c>
      <c r="P1533" s="241" t="n">
        <v>1.39</v>
      </c>
    </row>
    <row r="1534">
      <c r="A1534" s="282" t="inlineStr">
        <is>
          <t>2012-04-25</t>
        </is>
      </c>
      <c r="B1534" s="240">
        <f>IFERROR(1/P1534-1,B1533)</f>
        <v/>
      </c>
      <c r="C1534" s="240">
        <f>$C$3</f>
        <v/>
      </c>
      <c r="D1534" s="240">
        <f>$D$3</f>
        <v/>
      </c>
      <c r="E1534" s="240">
        <f>$E$3</f>
        <v/>
      </c>
      <c r="F1534" s="241" t="n">
        <v>22.3</v>
      </c>
      <c r="G1534" s="242" t="n">
        <v>11932140</v>
      </c>
      <c r="H1534" s="241" t="n">
        <v>2.67</v>
      </c>
      <c r="I1534" s="241" t="n">
        <v>-1.98</v>
      </c>
      <c r="J1534" s="241" t="n">
        <v>-3.5</v>
      </c>
      <c r="K1534" s="241" t="n">
        <v>16.38</v>
      </c>
      <c r="L1534" s="242" t="n">
        <v>3048802</v>
      </c>
      <c r="M1534" s="241" t="n">
        <v>5.1</v>
      </c>
      <c r="N1534" s="241" t="n">
        <v>4.12</v>
      </c>
      <c r="O1534" s="241" t="n">
        <v>-12.17</v>
      </c>
      <c r="P1534" s="241" t="n">
        <v>1.36</v>
      </c>
    </row>
    <row r="1535">
      <c r="A1535" s="282" t="inlineStr">
        <is>
          <t>2012-04-26</t>
        </is>
      </c>
      <c r="B1535" s="240">
        <f>IFERROR(1/P1535-1,B1534)</f>
        <v/>
      </c>
      <c r="C1535" s="240">
        <f>$C$3</f>
        <v/>
      </c>
      <c r="D1535" s="240">
        <f>$D$3</f>
        <v/>
      </c>
      <c r="E1535" s="240">
        <f>$E$3</f>
        <v/>
      </c>
      <c r="F1535" s="241" t="n">
        <v>22.35</v>
      </c>
      <c r="G1535" s="242" t="n">
        <v>9486483</v>
      </c>
      <c r="H1535" s="241" t="n">
        <v>0.22</v>
      </c>
      <c r="I1535" s="241" t="n">
        <v>-1.76</v>
      </c>
      <c r="J1535" s="241" t="n">
        <v>-3.29</v>
      </c>
      <c r="K1535" s="241" t="n">
        <v>17.25</v>
      </c>
      <c r="L1535" s="242" t="n">
        <v>7416348</v>
      </c>
      <c r="M1535" s="241" t="n">
        <v>5.45</v>
      </c>
      <c r="N1535" s="241" t="n">
        <v>9.789999999999999</v>
      </c>
      <c r="O1535" s="241" t="n">
        <v>-7.39</v>
      </c>
      <c r="P1535" s="241" t="n">
        <v>1.3</v>
      </c>
    </row>
    <row r="1536">
      <c r="A1536" s="282" t="inlineStr">
        <is>
          <t>2012-04-27</t>
        </is>
      </c>
      <c r="B1536" s="240">
        <f>IFERROR(1/P1536-1,B1535)</f>
        <v/>
      </c>
      <c r="C1536" s="240">
        <f>$C$3</f>
        <v/>
      </c>
      <c r="D1536" s="240">
        <f>$D$3</f>
        <v/>
      </c>
      <c r="E1536" s="240">
        <f>$E$3</f>
        <v/>
      </c>
      <c r="F1536" s="241" t="n">
        <v>22.37</v>
      </c>
      <c r="G1536" s="242" t="n">
        <v>6530135</v>
      </c>
      <c r="H1536" s="241" t="n">
        <v>0.09</v>
      </c>
      <c r="I1536" s="241" t="n">
        <v>-1.11</v>
      </c>
      <c r="J1536" s="241" t="n">
        <v>-3.2</v>
      </c>
      <c r="K1536" s="241" t="n">
        <v>17.48</v>
      </c>
      <c r="L1536" s="242" t="n">
        <v>5778780</v>
      </c>
      <c r="M1536" s="241" t="n">
        <v>1.41</v>
      </c>
      <c r="N1536" s="241" t="n">
        <v>14.53</v>
      </c>
      <c r="O1536" s="241" t="n">
        <v>-6.09</v>
      </c>
      <c r="P1536" s="241" t="n">
        <v>1.28</v>
      </c>
    </row>
    <row r="1537">
      <c r="A1537" s="282" t="inlineStr">
        <is>
          <t>2012-05-02</t>
        </is>
      </c>
      <c r="B1537" s="240">
        <f>IFERROR(1/P1537-1,B1536)</f>
        <v/>
      </c>
      <c r="C1537" s="240">
        <f>$C$3</f>
        <v/>
      </c>
      <c r="D1537" s="240">
        <f>$D$3</f>
        <v/>
      </c>
      <c r="E1537" s="240">
        <f>$E$3</f>
        <v/>
      </c>
      <c r="F1537" s="241" t="n">
        <v>22.87</v>
      </c>
      <c r="G1537" s="242" t="n">
        <v>12687384</v>
      </c>
      <c r="H1537" s="241" t="n">
        <v>2.24</v>
      </c>
      <c r="I1537" s="241" t="n">
        <v>5.64</v>
      </c>
      <c r="J1537" s="241" t="n">
        <v>-1.04</v>
      </c>
      <c r="K1537" s="241" t="n">
        <v>16.64</v>
      </c>
      <c r="L1537" s="242" t="n">
        <v>4294869</v>
      </c>
      <c r="M1537" s="241" t="n">
        <v>-2.6</v>
      </c>
      <c r="N1537" s="241" t="n">
        <v>9.460000000000001</v>
      </c>
      <c r="O1537" s="241" t="n">
        <v>-10.43</v>
      </c>
      <c r="P1537" s="241" t="n">
        <v>1.37</v>
      </c>
    </row>
    <row r="1538">
      <c r="A1538" s="282" t="inlineStr">
        <is>
          <t>2012-05-03</t>
        </is>
      </c>
      <c r="B1538" s="240">
        <f>IFERROR(1/P1538-1,B1537)</f>
        <v/>
      </c>
      <c r="C1538" s="240">
        <f>$C$3</f>
        <v/>
      </c>
      <c r="D1538" s="240">
        <f>$D$3</f>
        <v/>
      </c>
      <c r="E1538" s="240">
        <f>$E$3</f>
        <v/>
      </c>
      <c r="F1538" s="241" t="n">
        <v>22.7</v>
      </c>
      <c r="G1538" s="242" t="n">
        <v>7592618</v>
      </c>
      <c r="H1538" s="241" t="n">
        <v>-0.74</v>
      </c>
      <c r="I1538" s="241" t="n">
        <v>4.85</v>
      </c>
      <c r="J1538" s="241" t="n">
        <v>-1.77</v>
      </c>
      <c r="K1538" s="241" t="n">
        <v>16.73</v>
      </c>
      <c r="L1538" s="242" t="n">
        <v>1654584</v>
      </c>
      <c r="M1538" s="241" t="n">
        <v>0.49</v>
      </c>
      <c r="N1538" s="241" t="n">
        <v>9.18</v>
      </c>
      <c r="O1538" s="241" t="n">
        <v>-10</v>
      </c>
      <c r="P1538" s="241" t="n">
        <v>1.36</v>
      </c>
    </row>
    <row r="1539">
      <c r="A1539" s="282" t="inlineStr">
        <is>
          <t>2012-05-04</t>
        </is>
      </c>
      <c r="B1539" s="240">
        <f>IFERROR(1/P1539-1,B1538)</f>
        <v/>
      </c>
      <c r="C1539" s="240">
        <f>$C$3</f>
        <v/>
      </c>
      <c r="D1539" s="240">
        <f>$D$3</f>
        <v/>
      </c>
      <c r="E1539" s="240">
        <f>$E$3</f>
        <v/>
      </c>
      <c r="F1539" s="241" t="n">
        <v>22.75</v>
      </c>
      <c r="G1539" s="242" t="n">
        <v>6622228</v>
      </c>
      <c r="H1539" s="241" t="n">
        <v>0.22</v>
      </c>
      <c r="I1539" s="241" t="n">
        <v>5.08</v>
      </c>
      <c r="J1539" s="241" t="n">
        <v>-1.56</v>
      </c>
      <c r="K1539" s="241" t="n">
        <v>16.77</v>
      </c>
      <c r="L1539" s="242" t="n">
        <v>2447243</v>
      </c>
      <c r="M1539" s="241" t="n">
        <v>0.24</v>
      </c>
      <c r="N1539" s="241" t="n">
        <v>5.98</v>
      </c>
      <c r="O1539" s="241" t="n">
        <v>-9.779999999999999</v>
      </c>
      <c r="P1539" s="241" t="n">
        <v>1.36</v>
      </c>
    </row>
    <row r="1540">
      <c r="A1540" s="282" t="inlineStr">
        <is>
          <t>2012-05-07</t>
        </is>
      </c>
      <c r="B1540" s="240">
        <f>IFERROR(1/P1540-1,B1539)</f>
        <v/>
      </c>
      <c r="C1540" s="240">
        <f>$C$3</f>
        <v/>
      </c>
      <c r="D1540" s="240">
        <f>$D$3</f>
        <v/>
      </c>
      <c r="E1540" s="240">
        <f>$E$3</f>
        <v/>
      </c>
      <c r="F1540" s="241" t="n">
        <v>22.51</v>
      </c>
      <c r="G1540" s="242" t="n">
        <v>9928990</v>
      </c>
      <c r="H1540" s="241" t="n">
        <v>-1.05</v>
      </c>
      <c r="I1540" s="241" t="n">
        <v>2.5</v>
      </c>
      <c r="J1540" s="241" t="n">
        <v>-2.6</v>
      </c>
      <c r="K1540" s="241" t="n">
        <v>16.32</v>
      </c>
      <c r="L1540" s="242" t="n">
        <v>3464134</v>
      </c>
      <c r="M1540" s="241" t="n">
        <v>-2.89</v>
      </c>
      <c r="N1540" s="241" t="n">
        <v>2.81</v>
      </c>
      <c r="O1540" s="241" t="n">
        <v>-12.39</v>
      </c>
      <c r="P1540" s="241" t="n">
        <v>1.38</v>
      </c>
    </row>
    <row r="1541">
      <c r="A1541" s="282" t="inlineStr">
        <is>
          <t>2012-05-08</t>
        </is>
      </c>
      <c r="B1541" s="240">
        <f>IFERROR(1/P1541-1,B1540)</f>
        <v/>
      </c>
      <c r="C1541" s="240">
        <f>$C$3</f>
        <v/>
      </c>
      <c r="D1541" s="240">
        <f>$D$3</f>
        <v/>
      </c>
      <c r="E1541" s="240">
        <f>$E$3</f>
        <v/>
      </c>
      <c r="F1541" s="241" t="n">
        <v>22.32</v>
      </c>
      <c r="G1541" s="242" t="n">
        <v>7922448</v>
      </c>
      <c r="H1541" s="241" t="n">
        <v>-0.84</v>
      </c>
      <c r="I1541" s="241" t="n">
        <v>1.64</v>
      </c>
      <c r="J1541" s="241" t="n">
        <v>-3.42</v>
      </c>
      <c r="K1541" s="241" t="n">
        <v>16.07</v>
      </c>
      <c r="L1541" s="242" t="n">
        <v>1763419</v>
      </c>
      <c r="M1541" s="241" t="n">
        <v>-1.44</v>
      </c>
      <c r="N1541" s="241" t="n">
        <v>1.33</v>
      </c>
      <c r="O1541" s="241" t="n">
        <v>-13.65</v>
      </c>
      <c r="P1541" s="241" t="n">
        <v>1.39</v>
      </c>
    </row>
    <row r="1542">
      <c r="A1542" s="282" t="inlineStr">
        <is>
          <t>2012-05-09</t>
        </is>
      </c>
      <c r="B1542" s="240">
        <f>IFERROR(1/P1542-1,B1541)</f>
        <v/>
      </c>
      <c r="C1542" s="240">
        <f>$C$3</f>
        <v/>
      </c>
      <c r="D1542" s="240">
        <f>$D$3</f>
        <v/>
      </c>
      <c r="E1542" s="240">
        <f>$E$3</f>
        <v/>
      </c>
      <c r="F1542" s="241" t="n">
        <v>21.67</v>
      </c>
      <c r="G1542" s="242" t="n">
        <v>11833197</v>
      </c>
      <c r="H1542" s="241" t="n">
        <v>-2.91</v>
      </c>
      <c r="I1542" s="241" t="n">
        <v>-1.32</v>
      </c>
      <c r="J1542" s="241" t="n">
        <v>-6.23</v>
      </c>
      <c r="K1542" s="241" t="n">
        <v>15.7</v>
      </c>
      <c r="L1542" s="242" t="n">
        <v>2074662</v>
      </c>
      <c r="M1542" s="241" t="n">
        <v>-2.42</v>
      </c>
      <c r="N1542" s="241" t="n">
        <v>-1.12</v>
      </c>
      <c r="O1542" s="241" t="n">
        <v>-15.74</v>
      </c>
      <c r="P1542" s="241" t="n">
        <v>1.38</v>
      </c>
    </row>
    <row r="1543">
      <c r="A1543" s="282" t="inlineStr">
        <is>
          <t>2012-05-10</t>
        </is>
      </c>
      <c r="B1543" s="240">
        <f>IFERROR(1/P1543-1,B1542)</f>
        <v/>
      </c>
      <c r="C1543" s="240">
        <f>$C$3</f>
        <v/>
      </c>
      <c r="D1543" s="240">
        <f>$D$3</f>
        <v/>
      </c>
      <c r="E1543" s="240">
        <f>$E$3</f>
        <v/>
      </c>
      <c r="F1543" s="241" t="n">
        <v>21.98</v>
      </c>
      <c r="G1543" s="242" t="n">
        <v>9167741</v>
      </c>
      <c r="H1543" s="241" t="n">
        <v>1.43</v>
      </c>
      <c r="I1543" s="241" t="n">
        <v>1.71</v>
      </c>
      <c r="J1543" s="241" t="n">
        <v>-4.89</v>
      </c>
      <c r="K1543" s="241" t="n">
        <v>15.42</v>
      </c>
      <c r="L1543" s="242" t="n">
        <v>2682900</v>
      </c>
      <c r="M1543" s="241" t="n">
        <v>-1.86</v>
      </c>
      <c r="N1543" s="241" t="n">
        <v>-2.96</v>
      </c>
      <c r="O1543" s="241" t="n">
        <v>-17.3</v>
      </c>
      <c r="P1543" s="241" t="n">
        <v>1.43</v>
      </c>
    </row>
    <row r="1544">
      <c r="A1544" s="282" t="inlineStr">
        <is>
          <t>2012-05-11</t>
        </is>
      </c>
      <c r="B1544" s="240">
        <f>IFERROR(1/P1544-1,B1543)</f>
        <v/>
      </c>
      <c r="C1544" s="240">
        <f>$C$3</f>
        <v/>
      </c>
      <c r="D1544" s="240">
        <f>$D$3</f>
        <v/>
      </c>
      <c r="E1544" s="240">
        <f>$E$3</f>
        <v/>
      </c>
      <c r="F1544" s="241" t="n">
        <v>21.94</v>
      </c>
      <c r="G1544" s="242" t="n">
        <v>6926596</v>
      </c>
      <c r="H1544" s="241" t="n">
        <v>-0.18</v>
      </c>
      <c r="I1544" s="241" t="n">
        <v>1.34</v>
      </c>
      <c r="J1544" s="241" t="n">
        <v>-5.06</v>
      </c>
      <c r="K1544" s="241" t="n">
        <v>15.07</v>
      </c>
      <c r="L1544" s="242" t="n">
        <v>2271385</v>
      </c>
      <c r="M1544" s="241" t="n">
        <v>-2.31</v>
      </c>
      <c r="N1544" s="241" t="n">
        <v>-3.23</v>
      </c>
      <c r="O1544" s="241" t="n">
        <v>-19.22</v>
      </c>
      <c r="P1544" s="241" t="n">
        <v>1.46</v>
      </c>
    </row>
    <row r="1545">
      <c r="A1545" s="282" t="inlineStr">
        <is>
          <t>2012-05-14</t>
        </is>
      </c>
      <c r="B1545" s="240">
        <f>IFERROR(1/P1545-1,B1544)</f>
        <v/>
      </c>
      <c r="C1545" s="240">
        <f>$C$3</f>
        <v/>
      </c>
      <c r="D1545" s="240">
        <f>$D$3</f>
        <v/>
      </c>
      <c r="E1545" s="240">
        <f>$E$3</f>
        <v/>
      </c>
      <c r="F1545" s="241" t="n">
        <v>22.02</v>
      </c>
      <c r="G1545" s="242" t="n">
        <v>11952741</v>
      </c>
      <c r="H1545" s="241" t="n">
        <v>0.36</v>
      </c>
      <c r="I1545" s="241" t="n">
        <v>0.32</v>
      </c>
      <c r="J1545" s="241" t="n">
        <v>-4.72</v>
      </c>
      <c r="K1545" s="241" t="n">
        <v>15.1</v>
      </c>
      <c r="L1545" s="242" t="n">
        <v>1327092</v>
      </c>
      <c r="M1545" s="241" t="n">
        <v>0.11</v>
      </c>
      <c r="N1545" s="241" t="n">
        <v>-3.93</v>
      </c>
      <c r="O1545" s="241" t="n">
        <v>-19.13</v>
      </c>
      <c r="P1545" s="241" t="n">
        <v>1.46</v>
      </c>
    </row>
    <row r="1546">
      <c r="A1546" s="282" t="inlineStr">
        <is>
          <t>2012-05-15</t>
        </is>
      </c>
      <c r="B1546" s="240">
        <f>IFERROR(1/P1546-1,B1545)</f>
        <v/>
      </c>
      <c r="C1546" s="240">
        <f>$C$3</f>
        <v/>
      </c>
      <c r="D1546" s="240">
        <f>$D$3</f>
        <v/>
      </c>
      <c r="E1546" s="240">
        <f>$E$3</f>
        <v/>
      </c>
      <c r="F1546" s="241" t="n">
        <v>22.17</v>
      </c>
      <c r="G1546" s="242" t="n">
        <v>6482148</v>
      </c>
      <c r="H1546" s="241" t="n">
        <v>0.68</v>
      </c>
      <c r="I1546" s="241" t="n">
        <v>1</v>
      </c>
      <c r="J1546" s="241" t="n">
        <v>-4.07</v>
      </c>
      <c r="K1546" s="241" t="n">
        <v>15.7</v>
      </c>
      <c r="L1546" s="242" t="n">
        <v>2356952</v>
      </c>
      <c r="M1546" s="241" t="n">
        <v>3.87</v>
      </c>
      <c r="N1546" s="241" t="n">
        <v>-0.21</v>
      </c>
      <c r="O1546" s="241" t="n">
        <v>-16</v>
      </c>
      <c r="P1546" s="241" t="n">
        <v>1.41</v>
      </c>
    </row>
    <row r="1547">
      <c r="A1547" s="282" t="inlineStr">
        <is>
          <t>2012-05-16</t>
        </is>
      </c>
      <c r="B1547" s="240">
        <f>IFERROR(1/P1547-1,B1546)</f>
        <v/>
      </c>
      <c r="C1547" s="240">
        <f>$C$3</f>
        <v/>
      </c>
      <c r="D1547" s="240">
        <f>$D$3</f>
        <v/>
      </c>
      <c r="E1547" s="240">
        <f>$E$3</f>
        <v/>
      </c>
      <c r="F1547" s="241" t="n">
        <v>21.61</v>
      </c>
      <c r="G1547" s="242" t="n">
        <v>9536434</v>
      </c>
      <c r="H1547" s="241" t="n">
        <v>-2.53</v>
      </c>
      <c r="I1547" s="241" t="n">
        <v>-1.55</v>
      </c>
      <c r="J1547" s="241" t="n">
        <v>-6.49</v>
      </c>
      <c r="K1547" s="241" t="n">
        <v>14.94</v>
      </c>
      <c r="L1547" s="242" t="n">
        <v>1891418</v>
      </c>
      <c r="M1547" s="241" t="n">
        <v>-4.97</v>
      </c>
      <c r="N1547" s="241" t="n">
        <v>-5.17</v>
      </c>
      <c r="O1547" s="241" t="n">
        <v>-20.17</v>
      </c>
      <c r="P1547" s="241" t="n">
        <v>1.45</v>
      </c>
    </row>
    <row r="1548">
      <c r="A1548" s="282" t="inlineStr">
        <is>
          <t>2012-05-17</t>
        </is>
      </c>
      <c r="B1548" s="240">
        <f>IFERROR(1/P1548-1,B1547)</f>
        <v/>
      </c>
      <c r="C1548" s="240">
        <f>$C$3</f>
        <v/>
      </c>
      <c r="D1548" s="240">
        <f>$D$3</f>
        <v/>
      </c>
      <c r="E1548" s="240">
        <f>$E$3</f>
        <v/>
      </c>
      <c r="F1548" s="241" t="n">
        <v>21.61</v>
      </c>
      <c r="G1548" s="242" t="n">
        <v>0</v>
      </c>
      <c r="H1548" s="241" t="n">
        <v>0</v>
      </c>
      <c r="I1548" s="241" t="n">
        <v>-1.68</v>
      </c>
      <c r="J1548" s="241" t="n">
        <v>-6.49</v>
      </c>
      <c r="K1548" s="241" t="n">
        <v>15.04</v>
      </c>
      <c r="L1548" s="242" t="n">
        <v>1129800</v>
      </c>
      <c r="M1548" s="241" t="n">
        <v>0.65</v>
      </c>
      <c r="N1548" s="241" t="n">
        <v>-3.85</v>
      </c>
      <c r="O1548" s="241" t="n">
        <v>-19.65</v>
      </c>
      <c r="P1548" s="241" t="n">
        <v>1.44</v>
      </c>
    </row>
    <row r="1549">
      <c r="A1549" s="282" t="inlineStr">
        <is>
          <t>2012-05-18</t>
        </is>
      </c>
      <c r="B1549" s="240">
        <f>IFERROR(1/P1549-1,B1548)</f>
        <v/>
      </c>
      <c r="C1549" s="240">
        <f>$C$3</f>
        <v/>
      </c>
      <c r="D1549" s="240">
        <f>$D$3</f>
        <v/>
      </c>
      <c r="E1549" s="240">
        <f>$E$3</f>
        <v/>
      </c>
      <c r="F1549" s="241" t="n">
        <v>21.43</v>
      </c>
      <c r="G1549" s="242" t="n">
        <v>8073512</v>
      </c>
      <c r="H1549" s="241" t="n">
        <v>-0.83</v>
      </c>
      <c r="I1549" s="241" t="n">
        <v>-1.24</v>
      </c>
      <c r="J1549" s="241" t="n">
        <v>-7.27</v>
      </c>
      <c r="K1549" s="241" t="n">
        <v>14.41</v>
      </c>
      <c r="L1549" s="242" t="n">
        <v>3493000</v>
      </c>
      <c r="M1549" s="241" t="n">
        <v>-4.11</v>
      </c>
      <c r="N1549" s="241" t="n">
        <v>-8.19</v>
      </c>
      <c r="O1549" s="241" t="n">
        <v>-22.96</v>
      </c>
      <c r="P1549" s="241" t="n">
        <v>1.49</v>
      </c>
    </row>
    <row r="1550">
      <c r="A1550" s="282" t="inlineStr">
        <is>
          <t>2012-05-21</t>
        </is>
      </c>
      <c r="B1550" s="240">
        <f>IFERROR(1/P1550-1,B1549)</f>
        <v/>
      </c>
      <c r="C1550" s="240">
        <f>$C$3</f>
        <v/>
      </c>
      <c r="D1550" s="240">
        <f>$D$3</f>
        <v/>
      </c>
      <c r="E1550" s="240">
        <f>$E$3</f>
        <v/>
      </c>
      <c r="F1550" s="241" t="n">
        <v>21.52</v>
      </c>
      <c r="G1550" s="242" t="n">
        <v>3804885</v>
      </c>
      <c r="H1550" s="241" t="n">
        <v>0.42</v>
      </c>
      <c r="I1550" s="241" t="n">
        <v>-3.8</v>
      </c>
      <c r="J1550" s="241" t="n">
        <v>-6.88</v>
      </c>
      <c r="K1550" s="241" t="n">
        <v>13.88</v>
      </c>
      <c r="L1550" s="242" t="n">
        <v>1804127</v>
      </c>
      <c r="M1550" s="241" t="n">
        <v>-2.53</v>
      </c>
      <c r="N1550" s="241" t="n">
        <v>-12.06</v>
      </c>
      <c r="O1550" s="241" t="n">
        <v>-24.9</v>
      </c>
      <c r="P1550" s="241" t="n">
        <v>1.55</v>
      </c>
    </row>
    <row r="1551">
      <c r="A1551" s="282" t="inlineStr">
        <is>
          <t>2012-05-22</t>
        </is>
      </c>
      <c r="B1551" s="240">
        <f>IFERROR(1/P1551-1,B1550)</f>
        <v/>
      </c>
      <c r="C1551" s="240">
        <f>$C$3</f>
        <v/>
      </c>
      <c r="D1551" s="240">
        <f>$D$3</f>
        <v/>
      </c>
      <c r="E1551" s="240">
        <f>$E$3</f>
        <v/>
      </c>
      <c r="F1551" s="241" t="n">
        <v>21.93</v>
      </c>
      <c r="G1551" s="242" t="n">
        <v>6083511</v>
      </c>
      <c r="H1551" s="241" t="n">
        <v>1.91</v>
      </c>
      <c r="I1551" s="241" t="n">
        <v>-1.97</v>
      </c>
      <c r="J1551" s="241" t="n">
        <v>-5.11</v>
      </c>
      <c r="K1551" s="241" t="n">
        <v>14.25</v>
      </c>
      <c r="L1551" s="242" t="n">
        <v>2128964</v>
      </c>
      <c r="M1551" s="241" t="n">
        <v>2.69</v>
      </c>
      <c r="N1551" s="241" t="n">
        <v>-9.69</v>
      </c>
      <c r="O1551" s="241" t="n">
        <v>-22.88</v>
      </c>
      <c r="P1551" s="241" t="n">
        <v>1.54</v>
      </c>
    </row>
    <row r="1552">
      <c r="A1552" s="282" t="inlineStr">
        <is>
          <t>2012-05-23</t>
        </is>
      </c>
      <c r="B1552" s="240">
        <f>IFERROR(1/P1552-1,B1551)</f>
        <v/>
      </c>
      <c r="C1552" s="240">
        <f>$C$3</f>
        <v/>
      </c>
      <c r="D1552" s="240">
        <f>$D$3</f>
        <v/>
      </c>
      <c r="E1552" s="240">
        <f>$E$3</f>
        <v/>
      </c>
      <c r="F1552" s="241" t="n">
        <v>21.61</v>
      </c>
      <c r="G1552" s="242" t="n">
        <v>5249296</v>
      </c>
      <c r="H1552" s="241" t="n">
        <v>-1.46</v>
      </c>
      <c r="I1552" s="241" t="n">
        <v>-3.4</v>
      </c>
      <c r="J1552" s="241" t="n">
        <v>-6.49</v>
      </c>
      <c r="K1552" s="241" t="n">
        <v>14.05</v>
      </c>
      <c r="L1552" s="242" t="n">
        <v>1277587</v>
      </c>
      <c r="M1552" s="241" t="n">
        <v>-1.6</v>
      </c>
      <c r="N1552" s="241" t="n">
        <v>-11.13</v>
      </c>
      <c r="O1552" s="241" t="n">
        <v>-24.11</v>
      </c>
      <c r="P1552" s="241" t="n">
        <v>1.54</v>
      </c>
    </row>
    <row r="1553">
      <c r="A1553" s="282" t="inlineStr">
        <is>
          <t>2012-05-24</t>
        </is>
      </c>
      <c r="B1553" s="240">
        <f>IFERROR(1/P1553-1,B1552)</f>
        <v/>
      </c>
      <c r="C1553" s="240">
        <f>$C$3</f>
        <v/>
      </c>
      <c r="D1553" s="240">
        <f>$D$3</f>
        <v/>
      </c>
      <c r="E1553" s="240">
        <f>$E$3</f>
        <v/>
      </c>
      <c r="F1553" s="241" t="n">
        <v>21.43</v>
      </c>
      <c r="G1553" s="242" t="n">
        <v>8078980</v>
      </c>
      <c r="H1553" s="241" t="n">
        <v>-0.83</v>
      </c>
      <c r="I1553" s="241" t="n">
        <v>-2.64</v>
      </c>
      <c r="J1553" s="241" t="n">
        <v>-7.27</v>
      </c>
      <c r="K1553" s="241" t="n">
        <v>13.9</v>
      </c>
      <c r="L1553" s="242" t="n">
        <v>2222004</v>
      </c>
      <c r="M1553" s="241" t="n">
        <v>-1.16</v>
      </c>
      <c r="N1553" s="241" t="n">
        <v>-10.98</v>
      </c>
      <c r="O1553" s="241" t="n">
        <v>-24.99</v>
      </c>
      <c r="P1553" s="241" t="n">
        <v>1.54</v>
      </c>
    </row>
    <row r="1554">
      <c r="A1554" s="282" t="inlineStr">
        <is>
          <t>2012-05-25</t>
        </is>
      </c>
      <c r="B1554" s="240">
        <f>IFERROR(1/P1554-1,B1553)</f>
        <v/>
      </c>
      <c r="C1554" s="240">
        <f>$C$3</f>
        <v/>
      </c>
      <c r="D1554" s="240">
        <f>$D$3</f>
        <v/>
      </c>
      <c r="E1554" s="240">
        <f>$E$3</f>
        <v/>
      </c>
      <c r="F1554" s="241" t="n">
        <v>21.27</v>
      </c>
      <c r="G1554" s="242" t="n">
        <v>5541125</v>
      </c>
      <c r="H1554" s="241" t="n">
        <v>-0.75</v>
      </c>
      <c r="I1554" s="241" t="n">
        <v>-2.07</v>
      </c>
      <c r="J1554" s="241" t="n">
        <v>-7.96</v>
      </c>
      <c r="K1554" s="241" t="n">
        <v>13.49</v>
      </c>
      <c r="L1554" s="242" t="n">
        <v>2741093</v>
      </c>
      <c r="M1554" s="241" t="n">
        <v>-2.93</v>
      </c>
      <c r="N1554" s="241" t="n">
        <v>-12.87</v>
      </c>
      <c r="O1554" s="241" t="n">
        <v>-27.19</v>
      </c>
      <c r="P1554" s="241" t="n">
        <v>1.58</v>
      </c>
    </row>
    <row r="1555">
      <c r="A1555" s="282" t="inlineStr">
        <is>
          <t>2012-05-28</t>
        </is>
      </c>
      <c r="B1555" s="240">
        <f>IFERROR(1/P1555-1,B1554)</f>
        <v/>
      </c>
      <c r="C1555" s="240">
        <f>$C$3</f>
        <v/>
      </c>
      <c r="D1555" s="240">
        <f>$D$3</f>
        <v/>
      </c>
      <c r="E1555" s="240">
        <f>$E$3</f>
        <v/>
      </c>
      <c r="F1555" s="241" t="n">
        <v>21.75</v>
      </c>
      <c r="G1555" s="242" t="n">
        <v>6989567</v>
      </c>
      <c r="H1555" s="241" t="n">
        <v>2.26</v>
      </c>
      <c r="I1555" s="241" t="n">
        <v>-2.77</v>
      </c>
      <c r="J1555" s="241" t="n">
        <v>-5.88</v>
      </c>
      <c r="K1555" s="241" t="n">
        <v>13.74</v>
      </c>
      <c r="L1555" s="242" t="n">
        <v>1107200</v>
      </c>
      <c r="M1555" s="241" t="n">
        <v>1.81</v>
      </c>
      <c r="N1555" s="241" t="n">
        <v>-21.07</v>
      </c>
      <c r="O1555" s="241" t="n">
        <v>-25.87</v>
      </c>
      <c r="P1555" s="241" t="n">
        <v>1.58</v>
      </c>
    </row>
    <row r="1556">
      <c r="A1556" s="282" t="inlineStr">
        <is>
          <t>2012-05-29</t>
        </is>
      </c>
      <c r="B1556" s="240">
        <f>IFERROR(1/P1556-1,B1555)</f>
        <v/>
      </c>
      <c r="C1556" s="240">
        <f>$C$3</f>
        <v/>
      </c>
      <c r="D1556" s="240">
        <f>$D$3</f>
        <v/>
      </c>
      <c r="E1556" s="240">
        <f>$E$3</f>
        <v/>
      </c>
      <c r="F1556" s="241" t="n">
        <v>22.29</v>
      </c>
      <c r="G1556" s="242" t="n">
        <v>21594757</v>
      </c>
      <c r="H1556" s="241" t="n">
        <v>2.48</v>
      </c>
      <c r="I1556" s="241" t="n">
        <v>-0.36</v>
      </c>
      <c r="J1556" s="241" t="n">
        <v>-3.55</v>
      </c>
      <c r="K1556" s="241" t="n">
        <v>14.86</v>
      </c>
      <c r="L1556" s="242" t="n">
        <v>2508800</v>
      </c>
      <c r="M1556" s="241" t="n">
        <v>8.19</v>
      </c>
      <c r="N1556" s="241" t="n">
        <v>-14.61</v>
      </c>
      <c r="O1556" s="241" t="n">
        <v>-19.8</v>
      </c>
      <c r="P1556" s="241" t="n">
        <v>1.5</v>
      </c>
    </row>
    <row r="1557">
      <c r="A1557" s="282" t="inlineStr">
        <is>
          <t>2012-05-30</t>
        </is>
      </c>
      <c r="B1557" s="240">
        <f>IFERROR(1/P1557-1,B1556)</f>
        <v/>
      </c>
      <c r="C1557" s="240">
        <f>$C$3</f>
        <v/>
      </c>
      <c r="D1557" s="240">
        <f>$D$3</f>
        <v/>
      </c>
      <c r="E1557" s="240">
        <f>$E$3</f>
        <v/>
      </c>
      <c r="F1557" s="241" t="n">
        <v>22.31</v>
      </c>
      <c r="G1557" s="242" t="n">
        <v>12957763</v>
      </c>
      <c r="H1557" s="241" t="n">
        <v>0.09</v>
      </c>
      <c r="I1557" s="241" t="n">
        <v>-0.27</v>
      </c>
      <c r="J1557" s="241" t="n">
        <v>-3.46</v>
      </c>
      <c r="K1557" s="241" t="n">
        <v>14.92</v>
      </c>
      <c r="L1557" s="242" t="n">
        <v>2990241</v>
      </c>
      <c r="M1557" s="241" t="n">
        <v>0.33</v>
      </c>
      <c r="N1557" s="241" t="n">
        <v>-14.33</v>
      </c>
      <c r="O1557" s="241" t="n">
        <v>-19.54</v>
      </c>
      <c r="P1557" s="241" t="n">
        <v>1.5</v>
      </c>
    </row>
    <row r="1558">
      <c r="A1558" s="282" t="inlineStr">
        <is>
          <t>2012-05-31</t>
        </is>
      </c>
      <c r="B1558" s="240">
        <f>IFERROR(1/P1558-1,B1557)</f>
        <v/>
      </c>
      <c r="C1558" s="240">
        <f>$C$3</f>
        <v/>
      </c>
      <c r="D1558" s="240">
        <f>$D$3</f>
        <v/>
      </c>
      <c r="E1558" s="240">
        <f>$E$3</f>
        <v/>
      </c>
      <c r="F1558" s="241" t="n">
        <v>22.24</v>
      </c>
      <c r="G1558" s="242" t="n">
        <v>7610177</v>
      </c>
      <c r="H1558" s="241" t="n">
        <v>-0.31</v>
      </c>
      <c r="I1558" s="241" t="n">
        <v>-0.58</v>
      </c>
      <c r="J1558" s="241" t="n">
        <v>-3.76</v>
      </c>
      <c r="K1558" s="241" t="n">
        <v>14.78</v>
      </c>
      <c r="L1558" s="242" t="n">
        <v>3876477</v>
      </c>
      <c r="M1558" s="241" t="n">
        <v>-0.98</v>
      </c>
      <c r="N1558" s="241" t="n">
        <v>-15.17</v>
      </c>
      <c r="O1558" s="241" t="n">
        <v>-20.33</v>
      </c>
      <c r="P1558" s="241" t="n">
        <v>1.5</v>
      </c>
    </row>
    <row r="1559">
      <c r="A1559" s="282" t="inlineStr">
        <is>
          <t>2012-06-01</t>
        </is>
      </c>
      <c r="B1559" s="240">
        <f>IFERROR(1/P1559-1,B1558)</f>
        <v/>
      </c>
      <c r="C1559" s="240">
        <f>$C$3</f>
        <v/>
      </c>
      <c r="D1559" s="240">
        <f>$D$3</f>
        <v/>
      </c>
      <c r="E1559" s="240">
        <f>$E$3</f>
        <v/>
      </c>
      <c r="F1559" s="241" t="n">
        <v>22.02</v>
      </c>
      <c r="G1559" s="242" t="n">
        <v>14767044</v>
      </c>
      <c r="H1559" s="241" t="n">
        <v>-0.99</v>
      </c>
      <c r="I1559" s="241" t="n">
        <v>-1.56</v>
      </c>
      <c r="J1559" s="241" t="n">
        <v>-4.72</v>
      </c>
      <c r="K1559" s="241" t="n">
        <v>15.09</v>
      </c>
      <c r="L1559" s="242" t="n">
        <v>4879437</v>
      </c>
      <c r="M1559" s="241" t="n">
        <v>2.1</v>
      </c>
      <c r="N1559" s="241" t="n">
        <v>-11.55</v>
      </c>
      <c r="O1559" s="241" t="n">
        <v>-18.66</v>
      </c>
      <c r="P1559" s="241" t="n">
        <v>1.46</v>
      </c>
    </row>
    <row r="1560">
      <c r="A1560" s="282" t="inlineStr">
        <is>
          <t>2012-06-04</t>
        </is>
      </c>
      <c r="B1560" s="240">
        <f>IFERROR(1/P1560-1,B1559)</f>
        <v/>
      </c>
      <c r="C1560" s="240">
        <f>$C$3</f>
        <v/>
      </c>
      <c r="D1560" s="240">
        <f>$D$3</f>
        <v/>
      </c>
      <c r="E1560" s="240">
        <f>$E$3</f>
        <v/>
      </c>
      <c r="F1560" s="241" t="n">
        <v>21.31</v>
      </c>
      <c r="G1560" s="242" t="n">
        <v>11024688</v>
      </c>
      <c r="H1560" s="241" t="n">
        <v>-3.22</v>
      </c>
      <c r="I1560" s="241" t="n">
        <v>-6.12</v>
      </c>
      <c r="J1560" s="241" t="n">
        <v>-7.79</v>
      </c>
      <c r="K1560" s="241" t="n">
        <v>14.01</v>
      </c>
      <c r="L1560" s="242" t="n">
        <v>1839338</v>
      </c>
      <c r="M1560" s="241" t="n">
        <v>-7.14</v>
      </c>
      <c r="N1560" s="241" t="n">
        <v>-16.07</v>
      </c>
      <c r="O1560" s="241" t="n">
        <v>-24.46</v>
      </c>
      <c r="P1560" s="241" t="n">
        <v>1.52</v>
      </c>
    </row>
    <row r="1561">
      <c r="A1561" s="282" t="inlineStr">
        <is>
          <t>2012-06-05</t>
        </is>
      </c>
      <c r="B1561" s="240">
        <f>IFERROR(1/P1561-1,B1560)</f>
        <v/>
      </c>
      <c r="C1561" s="240">
        <f>$C$3</f>
        <v/>
      </c>
      <c r="D1561" s="240">
        <f>$D$3</f>
        <v/>
      </c>
      <c r="E1561" s="240">
        <f>$E$3</f>
        <v/>
      </c>
      <c r="F1561" s="241" t="n">
        <v>21.35</v>
      </c>
      <c r="G1561" s="242" t="n">
        <v>5739760</v>
      </c>
      <c r="H1561" s="241" t="n">
        <v>0.19</v>
      </c>
      <c r="I1561" s="241" t="n">
        <v>-6.15</v>
      </c>
      <c r="J1561" s="241" t="n">
        <v>-7.62</v>
      </c>
      <c r="K1561" s="241" t="n">
        <v>13.76</v>
      </c>
      <c r="L1561" s="242" t="n">
        <v>2372787</v>
      </c>
      <c r="M1561" s="241" t="n">
        <v>-1.75</v>
      </c>
      <c r="N1561" s="241" t="n">
        <v>-17.74</v>
      </c>
      <c r="O1561" s="241" t="n">
        <v>-25.78</v>
      </c>
      <c r="P1561" s="241" t="n">
        <v>1.55</v>
      </c>
    </row>
    <row r="1562">
      <c r="A1562" s="282" t="inlineStr">
        <is>
          <t>2012-06-06</t>
        </is>
      </c>
      <c r="B1562" s="240">
        <f>IFERROR(1/P1562-1,B1561)</f>
        <v/>
      </c>
      <c r="C1562" s="240">
        <f>$C$3</f>
        <v/>
      </c>
      <c r="D1562" s="240">
        <f>$D$3</f>
        <v/>
      </c>
      <c r="E1562" s="240">
        <f>$E$3</f>
        <v/>
      </c>
      <c r="F1562" s="241" t="n">
        <v>21.48</v>
      </c>
      <c r="G1562" s="242" t="n">
        <v>3462063</v>
      </c>
      <c r="H1562" s="241" t="n">
        <v>0.61</v>
      </c>
      <c r="I1562" s="241" t="n">
        <v>-5.58</v>
      </c>
      <c r="J1562" s="241" t="n">
        <v>-7.05</v>
      </c>
      <c r="K1562" s="241" t="n">
        <v>13.78</v>
      </c>
      <c r="L1562" s="242" t="n">
        <v>2244590</v>
      </c>
      <c r="M1562" s="241" t="n">
        <v>0.12</v>
      </c>
      <c r="N1562" s="241" t="n">
        <v>-17.64</v>
      </c>
      <c r="O1562" s="241" t="n">
        <v>-25.7</v>
      </c>
      <c r="P1562" s="241" t="n">
        <v>1.56</v>
      </c>
    </row>
    <row r="1563">
      <c r="A1563" s="282" t="inlineStr">
        <is>
          <t>2012-06-07</t>
        </is>
      </c>
      <c r="B1563" s="240">
        <f>IFERROR(1/P1563-1,B1562)</f>
        <v/>
      </c>
      <c r="C1563" s="240">
        <f>$C$3</f>
        <v/>
      </c>
      <c r="D1563" s="240">
        <f>$D$3</f>
        <v/>
      </c>
      <c r="E1563" s="240">
        <f>$E$3</f>
        <v/>
      </c>
      <c r="F1563" s="241" t="n">
        <v>21.23</v>
      </c>
      <c r="G1563" s="242" t="n">
        <v>6876958</v>
      </c>
      <c r="H1563" s="241" t="n">
        <v>-1.16</v>
      </c>
      <c r="I1563" s="241" t="n">
        <v>-6.68</v>
      </c>
      <c r="J1563" s="241" t="n">
        <v>-8.130000000000001</v>
      </c>
      <c r="K1563" s="241" t="n">
        <v>14.3</v>
      </c>
      <c r="L1563" s="242" t="n">
        <v>1689035</v>
      </c>
      <c r="M1563" s="241" t="n">
        <v>3.91</v>
      </c>
      <c r="N1563" s="241" t="n">
        <v>-14.42</v>
      </c>
      <c r="O1563" s="241" t="n">
        <v>-22.79</v>
      </c>
      <c r="P1563" s="241" t="n">
        <v>1.48</v>
      </c>
    </row>
    <row r="1564">
      <c r="A1564" s="282" t="inlineStr">
        <is>
          <t>2012-06-08</t>
        </is>
      </c>
      <c r="B1564" s="240">
        <f>IFERROR(1/P1564-1,B1563)</f>
        <v/>
      </c>
      <c r="C1564" s="240">
        <f>$C$3</f>
        <v/>
      </c>
      <c r="D1564" s="240">
        <f>$D$3</f>
        <v/>
      </c>
      <c r="E1564" s="240">
        <f>$E$3</f>
        <v/>
      </c>
      <c r="F1564" s="241" t="n">
        <v>21.23</v>
      </c>
      <c r="G1564" s="242" t="n">
        <v>4817661</v>
      </c>
      <c r="H1564" s="241" t="n">
        <v>0</v>
      </c>
      <c r="I1564" s="241" t="n">
        <v>-5.69</v>
      </c>
      <c r="J1564" s="241" t="n">
        <v>-8.130000000000001</v>
      </c>
      <c r="K1564" s="241" t="n">
        <v>14.56</v>
      </c>
      <c r="L1564" s="242" t="n">
        <v>1866600</v>
      </c>
      <c r="M1564" s="241" t="n">
        <v>1.82</v>
      </c>
      <c r="N1564" s="241" t="n">
        <v>-10.27</v>
      </c>
      <c r="O1564" s="241" t="n">
        <v>-21.39</v>
      </c>
      <c r="P1564" s="241" t="n">
        <v>1.46</v>
      </c>
    </row>
    <row r="1565">
      <c r="A1565" s="282" t="inlineStr">
        <is>
          <t>2012-06-11</t>
        </is>
      </c>
      <c r="B1565" s="240">
        <f>IFERROR(1/P1565-1,B1564)</f>
        <v/>
      </c>
      <c r="C1565" s="240">
        <f>$C$3</f>
        <v/>
      </c>
      <c r="D1565" s="240">
        <f>$D$3</f>
        <v/>
      </c>
      <c r="E1565" s="240">
        <f>$E$3</f>
        <v/>
      </c>
      <c r="F1565" s="241" t="n">
        <v>21.45</v>
      </c>
      <c r="G1565" s="242" t="n">
        <v>5374294</v>
      </c>
      <c r="H1565" s="241" t="n">
        <v>1.04</v>
      </c>
      <c r="I1565" s="241" t="n">
        <v>-2.41</v>
      </c>
      <c r="J1565" s="241" t="n">
        <v>-7.18</v>
      </c>
      <c r="K1565" s="241" t="n">
        <v>14.84</v>
      </c>
      <c r="L1565" s="242" t="n">
        <v>1590116</v>
      </c>
      <c r="M1565" s="241" t="n">
        <v>1.9</v>
      </c>
      <c r="N1565" s="241" t="n">
        <v>-3.13</v>
      </c>
      <c r="O1565" s="241" t="n">
        <v>-19.89</v>
      </c>
      <c r="P1565" s="241" t="n">
        <v>1.45</v>
      </c>
    </row>
    <row r="1566">
      <c r="A1566" s="282" t="inlineStr">
        <is>
          <t>2012-06-12</t>
        </is>
      </c>
      <c r="B1566" s="240">
        <f>IFERROR(1/P1566-1,B1565)</f>
        <v/>
      </c>
      <c r="C1566" s="240">
        <f>$C$3</f>
        <v/>
      </c>
      <c r="D1566" s="240">
        <f>$D$3</f>
        <v/>
      </c>
      <c r="E1566" s="240">
        <f>$E$3</f>
        <v/>
      </c>
      <c r="F1566" s="241" t="n">
        <v>21.2</v>
      </c>
      <c r="G1566" s="242" t="n">
        <v>5834325</v>
      </c>
      <c r="H1566" s="241" t="n">
        <v>-1.17</v>
      </c>
      <c r="I1566" s="241" t="n">
        <v>-3.37</v>
      </c>
      <c r="J1566" s="241" t="n">
        <v>-8.26</v>
      </c>
      <c r="K1566" s="241" t="n">
        <v>14.62</v>
      </c>
      <c r="L1566" s="242" t="n">
        <v>1303175</v>
      </c>
      <c r="M1566" s="241" t="n">
        <v>-1.65</v>
      </c>
      <c r="N1566" s="241" t="n">
        <v>-2.47</v>
      </c>
      <c r="O1566" s="241" t="n">
        <v>-21.21</v>
      </c>
      <c r="P1566" s="241" t="n">
        <v>1.45</v>
      </c>
    </row>
    <row r="1567">
      <c r="A1567" s="282" t="inlineStr">
        <is>
          <t>2012-06-13</t>
        </is>
      </c>
      <c r="B1567" s="240">
        <f>IFERROR(1/P1567-1,B1566)</f>
        <v/>
      </c>
      <c r="C1567" s="240">
        <f>$C$3</f>
        <v/>
      </c>
      <c r="D1567" s="240">
        <f>$D$3</f>
        <v/>
      </c>
      <c r="E1567" s="240">
        <f>$E$3</f>
        <v/>
      </c>
      <c r="F1567" s="241" t="n">
        <v>21.45</v>
      </c>
      <c r="G1567" s="242" t="n">
        <v>6151350</v>
      </c>
      <c r="H1567" s="241" t="n">
        <v>1.18</v>
      </c>
      <c r="I1567" s="241" t="n">
        <v>-2.23</v>
      </c>
      <c r="J1567" s="241" t="n">
        <v>-7.18</v>
      </c>
      <c r="K1567" s="241" t="n">
        <v>14.63</v>
      </c>
      <c r="L1567" s="242" t="n">
        <v>1375298</v>
      </c>
      <c r="M1567" s="241" t="n">
        <v>0.11</v>
      </c>
      <c r="N1567" s="241" t="n">
        <v>-2.36</v>
      </c>
      <c r="O1567" s="241" t="n">
        <v>-21.12</v>
      </c>
      <c r="P1567" s="241" t="n">
        <v>1.47</v>
      </c>
    </row>
    <row r="1568">
      <c r="A1568" s="282" t="inlineStr">
        <is>
          <t>2012-06-14</t>
        </is>
      </c>
      <c r="B1568" s="240">
        <f>IFERROR(1/P1568-1,B1567)</f>
        <v/>
      </c>
      <c r="C1568" s="240">
        <f>$C$3</f>
        <v/>
      </c>
      <c r="D1568" s="240">
        <f>$D$3</f>
        <v/>
      </c>
      <c r="E1568" s="240">
        <f>$E$3</f>
        <v/>
      </c>
      <c r="F1568" s="241" t="n">
        <v>21.23</v>
      </c>
      <c r="G1568" s="242" t="n">
        <v>5128798</v>
      </c>
      <c r="H1568" s="241" t="n">
        <v>-1.03</v>
      </c>
      <c r="I1568" s="241" t="n">
        <v>-3.24</v>
      </c>
      <c r="J1568" s="241" t="n">
        <v>-8.130000000000001</v>
      </c>
      <c r="K1568" s="241" t="n">
        <v>14.45</v>
      </c>
      <c r="L1568" s="242" t="n">
        <v>1012190</v>
      </c>
      <c r="M1568" s="241" t="n">
        <v>-1.11</v>
      </c>
      <c r="N1568" s="241" t="n">
        <v>-3.45</v>
      </c>
      <c r="O1568" s="241" t="n">
        <v>-22</v>
      </c>
      <c r="P1568" s="241" t="n">
        <v>1.47</v>
      </c>
    </row>
    <row r="1569">
      <c r="A1569" s="282" t="inlineStr">
        <is>
          <t>2012-06-15</t>
        </is>
      </c>
      <c r="B1569" s="240">
        <f>IFERROR(1/P1569-1,B1568)</f>
        <v/>
      </c>
      <c r="C1569" s="240">
        <f>$C$3</f>
        <v/>
      </c>
      <c r="D1569" s="240">
        <f>$D$3</f>
        <v/>
      </c>
      <c r="E1569" s="240">
        <f>$E$3</f>
        <v/>
      </c>
      <c r="F1569" s="241" t="n">
        <v>21.33</v>
      </c>
      <c r="G1569" s="242" t="n">
        <v>5457007</v>
      </c>
      <c r="H1569" s="241" t="n">
        <v>0.47</v>
      </c>
      <c r="I1569" s="241" t="n">
        <v>-3.13</v>
      </c>
      <c r="J1569" s="241" t="n">
        <v>-7.7</v>
      </c>
      <c r="K1569" s="241" t="n">
        <v>14.49</v>
      </c>
      <c r="L1569" s="242" t="n">
        <v>1391673</v>
      </c>
      <c r="M1569" s="241" t="n">
        <v>0.45</v>
      </c>
      <c r="N1569" s="241" t="n">
        <v>-3.12</v>
      </c>
      <c r="O1569" s="241" t="n">
        <v>-21.65</v>
      </c>
      <c r="P1569" s="241" t="n">
        <v>1.47</v>
      </c>
    </row>
    <row r="1570">
      <c r="A1570" s="282" t="inlineStr">
        <is>
          <t>2012-06-18</t>
        </is>
      </c>
      <c r="B1570" s="240">
        <f>IFERROR(1/P1570-1,B1569)</f>
        <v/>
      </c>
      <c r="C1570" s="240">
        <f>$C$3</f>
        <v/>
      </c>
      <c r="D1570" s="240">
        <f>$D$3</f>
        <v/>
      </c>
      <c r="E1570" s="240">
        <f>$E$3</f>
        <v/>
      </c>
      <c r="F1570" s="241" t="n">
        <v>21.47</v>
      </c>
      <c r="G1570" s="242" t="n">
        <v>5992762</v>
      </c>
      <c r="H1570" s="241" t="n">
        <v>0.66</v>
      </c>
      <c r="I1570" s="241" t="n">
        <v>-0.65</v>
      </c>
      <c r="J1570" s="241" t="n">
        <v>-7.1</v>
      </c>
      <c r="K1570" s="241" t="n">
        <v>14.6</v>
      </c>
      <c r="L1570" s="242" t="n">
        <v>1553460</v>
      </c>
      <c r="M1570" s="241" t="n">
        <v>0.9</v>
      </c>
      <c r="N1570" s="241" t="n">
        <v>-1.61</v>
      </c>
      <c r="O1570" s="241" t="n">
        <v>-20.95</v>
      </c>
      <c r="P1570" s="241" t="n">
        <v>1.47</v>
      </c>
    </row>
    <row r="1571">
      <c r="A1571" s="282" t="inlineStr">
        <is>
          <t>2012-06-19</t>
        </is>
      </c>
      <c r="B1571" s="240">
        <f>IFERROR(1/P1571-1,B1570)</f>
        <v/>
      </c>
      <c r="C1571" s="240">
        <f>$C$3</f>
        <v/>
      </c>
      <c r="D1571" s="240">
        <f>$D$3</f>
        <v/>
      </c>
      <c r="E1571" s="240">
        <f>$E$3</f>
        <v/>
      </c>
      <c r="F1571" s="241" t="n">
        <v>21.36</v>
      </c>
      <c r="G1571" s="242" t="n">
        <v>3969151</v>
      </c>
      <c r="H1571" s="241" t="n">
        <v>-0.51</v>
      </c>
      <c r="I1571" s="241" t="n">
        <v>-0.33</v>
      </c>
      <c r="J1571" s="241" t="n">
        <v>-7.57</v>
      </c>
      <c r="K1571" s="241" t="n">
        <v>14.62</v>
      </c>
      <c r="L1571" s="242" t="n">
        <v>1243870</v>
      </c>
      <c r="M1571" s="241" t="n">
        <v>0.11</v>
      </c>
      <c r="N1571" s="241" t="n">
        <v>2.72</v>
      </c>
      <c r="O1571" s="241" t="n">
        <v>-20.86</v>
      </c>
      <c r="P1571" s="241" t="n">
        <v>1.46</v>
      </c>
    </row>
    <row r="1572">
      <c r="A1572" s="282" t="inlineStr">
        <is>
          <t>2012-06-20</t>
        </is>
      </c>
      <c r="B1572" s="240">
        <f>IFERROR(1/P1572-1,B1571)</f>
        <v/>
      </c>
      <c r="C1572" s="240">
        <f>$C$3</f>
        <v/>
      </c>
      <c r="D1572" s="240">
        <f>$D$3</f>
        <v/>
      </c>
      <c r="E1572" s="240">
        <f>$E$3</f>
        <v/>
      </c>
      <c r="F1572" s="241" t="n">
        <v>21.39</v>
      </c>
      <c r="G1572" s="242" t="n">
        <v>3559822</v>
      </c>
      <c r="H1572" s="241" t="n">
        <v>0.14</v>
      </c>
      <c r="I1572" s="241" t="n">
        <v>-0.19</v>
      </c>
      <c r="J1572" s="241" t="n">
        <v>-7.44</v>
      </c>
      <c r="K1572" s="241" t="n">
        <v>14.86</v>
      </c>
      <c r="L1572" s="242" t="n">
        <v>1148847</v>
      </c>
      <c r="M1572" s="241" t="n">
        <v>1.67</v>
      </c>
      <c r="N1572" s="241" t="n">
        <v>4.43</v>
      </c>
      <c r="O1572" s="241" t="n">
        <v>-19.54</v>
      </c>
      <c r="P1572" s="241" t="n">
        <v>1.44</v>
      </c>
    </row>
    <row r="1573">
      <c r="A1573" s="282" t="inlineStr">
        <is>
          <t>2012-06-21</t>
        </is>
      </c>
      <c r="B1573" s="240">
        <f>IFERROR(1/P1573-1,B1572)</f>
        <v/>
      </c>
      <c r="C1573" s="240">
        <f>$C$3</f>
        <v/>
      </c>
      <c r="D1573" s="240">
        <f>$D$3</f>
        <v/>
      </c>
      <c r="E1573" s="240">
        <f>$E$3</f>
        <v/>
      </c>
      <c r="F1573" s="241" t="n">
        <v>20.6</v>
      </c>
      <c r="G1573" s="242" t="n">
        <v>10095116</v>
      </c>
      <c r="H1573" s="241" t="n">
        <v>-3.69</v>
      </c>
      <c r="I1573" s="241" t="n">
        <v>-3.87</v>
      </c>
      <c r="J1573" s="241" t="n">
        <v>-10.86</v>
      </c>
      <c r="K1573" s="241" t="n">
        <v>14.27</v>
      </c>
      <c r="L1573" s="242" t="n">
        <v>1715108</v>
      </c>
      <c r="M1573" s="241" t="n">
        <v>-4.04</v>
      </c>
      <c r="N1573" s="241" t="n">
        <v>0.21</v>
      </c>
      <c r="O1573" s="241" t="n">
        <v>-22.79</v>
      </c>
      <c r="P1573" s="241" t="n">
        <v>1.44</v>
      </c>
    </row>
    <row r="1574">
      <c r="A1574" s="282" t="inlineStr">
        <is>
          <t>2012-06-25</t>
        </is>
      </c>
      <c r="B1574" s="240">
        <f>IFERROR(1/P1574-1,B1573)</f>
        <v/>
      </c>
      <c r="C1574" s="240">
        <f>$C$3</f>
        <v/>
      </c>
      <c r="D1574" s="240">
        <f>$D$3</f>
        <v/>
      </c>
      <c r="E1574" s="240">
        <f>$E$3</f>
        <v/>
      </c>
      <c r="F1574" s="241" t="n">
        <v>19.84</v>
      </c>
      <c r="G1574" s="242" t="n">
        <v>7986378</v>
      </c>
      <c r="H1574" s="241" t="n">
        <v>-3.69</v>
      </c>
      <c r="I1574" s="241" t="n">
        <v>-7.42</v>
      </c>
      <c r="J1574" s="241" t="n">
        <v>-14.15</v>
      </c>
      <c r="K1574" s="241" t="n">
        <v>13.88</v>
      </c>
      <c r="L1574" s="242" t="n">
        <v>1617366</v>
      </c>
      <c r="M1574" s="241" t="n">
        <v>-0.23</v>
      </c>
      <c r="N1574" s="241" t="n">
        <v>-0.12</v>
      </c>
      <c r="O1574" s="241" t="n">
        <v>-25.08</v>
      </c>
      <c r="P1574" s="241" t="n">
        <v>1.43</v>
      </c>
    </row>
    <row r="1575">
      <c r="A1575" s="282" t="inlineStr">
        <is>
          <t>2012-06-26</t>
        </is>
      </c>
      <c r="B1575" s="240">
        <f>IFERROR(1/P1575-1,B1574)</f>
        <v/>
      </c>
      <c r="C1575" s="240">
        <f>$C$3</f>
        <v/>
      </c>
      <c r="D1575" s="240">
        <f>$D$3</f>
        <v/>
      </c>
      <c r="E1575" s="240">
        <f>$E$3</f>
        <v/>
      </c>
      <c r="F1575" s="241" t="n">
        <v>19.7</v>
      </c>
      <c r="G1575" s="242" t="n">
        <v>5282374</v>
      </c>
      <c r="H1575" s="241" t="n">
        <v>-0.71</v>
      </c>
      <c r="I1575" s="241" t="n">
        <v>-7.38</v>
      </c>
      <c r="J1575" s="241" t="n">
        <v>-14.76</v>
      </c>
      <c r="K1575" s="241" t="n">
        <v>13.72</v>
      </c>
      <c r="L1575" s="242" t="n">
        <v>1242645</v>
      </c>
      <c r="M1575" s="241" t="n">
        <v>-1.17</v>
      </c>
      <c r="N1575" s="241" t="n">
        <v>1.69</v>
      </c>
      <c r="O1575" s="241" t="n">
        <v>-25.96</v>
      </c>
      <c r="P1575" s="241" t="n">
        <v>1.44</v>
      </c>
    </row>
    <row r="1576">
      <c r="A1576" s="282" t="inlineStr">
        <is>
          <t>2012-06-27</t>
        </is>
      </c>
      <c r="B1576" s="240">
        <f>IFERROR(1/P1576-1,B1575)</f>
        <v/>
      </c>
      <c r="C1576" s="240">
        <f>$C$3</f>
        <v/>
      </c>
      <c r="D1576" s="240">
        <f>$D$3</f>
        <v/>
      </c>
      <c r="E1576" s="240">
        <f>$E$3</f>
        <v/>
      </c>
      <c r="F1576" s="241" t="n">
        <v>19.44</v>
      </c>
      <c r="G1576" s="242" t="n">
        <v>6910990</v>
      </c>
      <c r="H1576" s="241" t="n">
        <v>-1.32</v>
      </c>
      <c r="I1576" s="241" t="n">
        <v>-8.6</v>
      </c>
      <c r="J1576" s="241" t="n">
        <v>-15.88</v>
      </c>
      <c r="K1576" s="241" t="n">
        <v>13.76</v>
      </c>
      <c r="L1576" s="242" t="n">
        <v>1332898</v>
      </c>
      <c r="M1576" s="241" t="n">
        <v>0.36</v>
      </c>
      <c r="N1576" s="241" t="n">
        <v>2.05</v>
      </c>
      <c r="O1576" s="241" t="n">
        <v>-25.7</v>
      </c>
      <c r="P1576" s="241" t="n">
        <v>1.41</v>
      </c>
    </row>
    <row r="1577">
      <c r="A1577" s="282" t="inlineStr">
        <is>
          <t>2012-06-28</t>
        </is>
      </c>
      <c r="B1577" s="240">
        <f>IFERROR(1/P1577-1,B1576)</f>
        <v/>
      </c>
      <c r="C1577" s="240">
        <f>$C$3</f>
        <v/>
      </c>
      <c r="D1577" s="240">
        <f>$D$3</f>
        <v/>
      </c>
      <c r="E1577" s="240">
        <f>$E$3</f>
        <v/>
      </c>
      <c r="F1577" s="241" t="n">
        <v>17.63</v>
      </c>
      <c r="G1577" s="242" t="n">
        <v>36028017</v>
      </c>
      <c r="H1577" s="241" t="n">
        <v>-9.31</v>
      </c>
      <c r="I1577" s="241" t="n">
        <v>-17.11</v>
      </c>
      <c r="J1577" s="241" t="n">
        <v>-23.71</v>
      </c>
      <c r="K1577" s="241" t="n">
        <v>12.61</v>
      </c>
      <c r="L1577" s="242" t="n">
        <v>5965600</v>
      </c>
      <c r="M1577" s="241" t="n">
        <v>-8.4</v>
      </c>
      <c r="N1577" s="241" t="n">
        <v>-6.52</v>
      </c>
      <c r="O1577" s="241" t="n">
        <v>-31.94</v>
      </c>
      <c r="P1577" s="241" t="n">
        <v>1.4</v>
      </c>
    </row>
    <row r="1578">
      <c r="A1578" s="282" t="inlineStr">
        <is>
          <t>2012-06-29</t>
        </is>
      </c>
      <c r="B1578" s="240">
        <f>IFERROR(1/P1578-1,B1577)</f>
        <v/>
      </c>
      <c r="C1578" s="240">
        <f>$C$3</f>
        <v/>
      </c>
      <c r="D1578" s="240">
        <f>$D$3</f>
        <v/>
      </c>
      <c r="E1578" s="240">
        <f>$E$3</f>
        <v/>
      </c>
      <c r="F1578" s="241" t="n">
        <v>17.92</v>
      </c>
      <c r="G1578" s="242" t="n">
        <v>13815416</v>
      </c>
      <c r="H1578" s="241" t="n">
        <v>1.64</v>
      </c>
      <c r="I1578" s="241" t="n">
        <v>-17.61</v>
      </c>
      <c r="J1578" s="241" t="n">
        <v>-22.46</v>
      </c>
      <c r="K1578" s="241" t="n">
        <v>12.78</v>
      </c>
      <c r="L1578" s="242" t="n">
        <v>2256041</v>
      </c>
      <c r="M1578" s="241" t="n">
        <v>1.29</v>
      </c>
      <c r="N1578" s="241" t="n">
        <v>-7</v>
      </c>
      <c r="O1578" s="241" t="n">
        <v>-31.06</v>
      </c>
      <c r="P1578" s="241" t="n">
        <v>1.4</v>
      </c>
    </row>
    <row r="1579">
      <c r="A1579" s="282" t="inlineStr">
        <is>
          <t>2012-07-02</t>
        </is>
      </c>
      <c r="B1579" s="240">
        <f>IFERROR(1/P1579-1,B1578)</f>
        <v/>
      </c>
      <c r="C1579" s="240">
        <f>$C$3</f>
        <v/>
      </c>
      <c r="D1579" s="240">
        <f>$D$3</f>
        <v/>
      </c>
      <c r="E1579" s="240">
        <f>$E$3</f>
        <v/>
      </c>
      <c r="F1579" s="241" t="n">
        <v>17.98</v>
      </c>
      <c r="G1579" s="242" t="n">
        <v>10689503</v>
      </c>
      <c r="H1579" s="241" t="n">
        <v>0.33</v>
      </c>
      <c r="I1579" s="241" t="n">
        <v>-18.35</v>
      </c>
      <c r="J1579" s="241" t="n">
        <v>-22.2</v>
      </c>
      <c r="K1579" s="239" t="inlineStr">
        <is>
          <t>--</t>
        </is>
      </c>
      <c r="L1579" s="239" t="inlineStr">
        <is>
          <t>--</t>
        </is>
      </c>
      <c r="M1579" s="239" t="inlineStr">
        <is>
          <t>--</t>
        </is>
      </c>
      <c r="N1579" s="239" t="inlineStr">
        <is>
          <t>--</t>
        </is>
      </c>
      <c r="O1579" s="239" t="inlineStr">
        <is>
          <t>--</t>
        </is>
      </c>
      <c r="P1579" s="239" t="inlineStr">
        <is>
          <t>--</t>
        </is>
      </c>
    </row>
    <row r="1580">
      <c r="A1580" s="282" t="inlineStr">
        <is>
          <t>2012-07-03</t>
        </is>
      </c>
      <c r="B1580" s="240">
        <f>IFERROR(1/P1580-1,B1579)</f>
        <v/>
      </c>
      <c r="C1580" s="240">
        <f>$C$3</f>
        <v/>
      </c>
      <c r="D1580" s="240">
        <f>$D$3</f>
        <v/>
      </c>
      <c r="E1580" s="240">
        <f>$E$3</f>
        <v/>
      </c>
      <c r="F1580" s="241" t="n">
        <v>17.33</v>
      </c>
      <c r="G1580" s="242" t="n">
        <v>24170514</v>
      </c>
      <c r="H1580" s="241" t="n">
        <v>-3.62</v>
      </c>
      <c r="I1580" s="241" t="n">
        <v>-21.3</v>
      </c>
      <c r="J1580" s="241" t="n">
        <v>-25.01</v>
      </c>
      <c r="K1580" s="241" t="n">
        <v>12.74</v>
      </c>
      <c r="L1580" s="242" t="n">
        <v>2341000</v>
      </c>
      <c r="M1580" s="241" t="n">
        <v>-0.26</v>
      </c>
      <c r="N1580" s="241" t="n">
        <v>-15.46</v>
      </c>
      <c r="O1580" s="241" t="n">
        <v>-31.24</v>
      </c>
      <c r="P1580" s="241" t="n">
        <v>1.36</v>
      </c>
    </row>
    <row r="1581">
      <c r="A1581" s="282" t="inlineStr">
        <is>
          <t>2012-07-04</t>
        </is>
      </c>
      <c r="B1581" s="240">
        <f>IFERROR(1/P1581-1,B1580)</f>
        <v/>
      </c>
      <c r="C1581" s="240">
        <f>$C$3</f>
        <v/>
      </c>
      <c r="D1581" s="240">
        <f>$D$3</f>
        <v/>
      </c>
      <c r="E1581" s="240">
        <f>$E$3</f>
        <v/>
      </c>
      <c r="F1581" s="241" t="n">
        <v>17.68</v>
      </c>
      <c r="G1581" s="242" t="n">
        <v>16779998</v>
      </c>
      <c r="H1581" s="241" t="n">
        <v>2.02</v>
      </c>
      <c r="I1581" s="241" t="n">
        <v>-19.71</v>
      </c>
      <c r="J1581" s="241" t="n">
        <v>-23.5</v>
      </c>
      <c r="K1581" s="241" t="n">
        <v>13.09</v>
      </c>
      <c r="L1581" s="242" t="n">
        <v>1554100</v>
      </c>
      <c r="M1581" s="241" t="n">
        <v>2.81</v>
      </c>
      <c r="N1581" s="241" t="n">
        <v>-13.08</v>
      </c>
      <c r="O1581" s="241" t="n">
        <v>-29.3</v>
      </c>
      <c r="P1581" s="241" t="n">
        <v>1.35</v>
      </c>
    </row>
    <row r="1582">
      <c r="A1582" s="282" t="inlineStr">
        <is>
          <t>2012-07-05</t>
        </is>
      </c>
      <c r="B1582" s="240">
        <f>IFERROR(1/P1582-1,B1581)</f>
        <v/>
      </c>
      <c r="C1582" s="240">
        <f>$C$3</f>
        <v/>
      </c>
      <c r="D1582" s="240">
        <f>$D$3</f>
        <v/>
      </c>
      <c r="E1582" s="240">
        <f>$E$3</f>
        <v/>
      </c>
      <c r="F1582" s="241" t="n">
        <v>17.08</v>
      </c>
      <c r="G1582" s="242" t="n">
        <v>11304979</v>
      </c>
      <c r="H1582" s="241" t="n">
        <v>-3.39</v>
      </c>
      <c r="I1582" s="241" t="n">
        <v>-19.85</v>
      </c>
      <c r="J1582" s="241" t="n">
        <v>-26.09</v>
      </c>
      <c r="K1582" s="241" t="n">
        <v>12.84</v>
      </c>
      <c r="L1582" s="242" t="n">
        <v>1383000</v>
      </c>
      <c r="M1582" s="241" t="n">
        <v>-1.99</v>
      </c>
      <c r="N1582" s="241" t="n">
        <v>-8.27</v>
      </c>
      <c r="O1582" s="241" t="n">
        <v>-30.71</v>
      </c>
      <c r="P1582" s="241" t="n">
        <v>1.33</v>
      </c>
    </row>
    <row r="1583">
      <c r="A1583" s="282" t="inlineStr">
        <is>
          <t>2012-07-06</t>
        </is>
      </c>
      <c r="B1583" s="240">
        <f>IFERROR(1/P1583-1,B1582)</f>
        <v/>
      </c>
      <c r="C1583" s="240">
        <f>$C$3</f>
        <v/>
      </c>
      <c r="D1583" s="240">
        <f>$D$3</f>
        <v/>
      </c>
      <c r="E1583" s="240">
        <f>$E$3</f>
        <v/>
      </c>
      <c r="F1583" s="241" t="n">
        <v>17.08</v>
      </c>
      <c r="G1583" s="242" t="n">
        <v>13760840</v>
      </c>
      <c r="H1583" s="241" t="n">
        <v>0</v>
      </c>
      <c r="I1583" s="241" t="n">
        <v>-20</v>
      </c>
      <c r="J1583" s="241" t="n">
        <v>-26.09</v>
      </c>
      <c r="K1583" s="241" t="n">
        <v>12.97</v>
      </c>
      <c r="L1583" s="242" t="n">
        <v>1486927</v>
      </c>
      <c r="M1583" s="241" t="n">
        <v>0.89</v>
      </c>
      <c r="N1583" s="241" t="n">
        <v>-5.81</v>
      </c>
      <c r="O1583" s="241" t="n">
        <v>-30.09</v>
      </c>
      <c r="P1583" s="241" t="n">
        <v>1.32</v>
      </c>
    </row>
    <row r="1584">
      <c r="A1584" s="282" t="inlineStr">
        <is>
          <t>2012-07-09</t>
        </is>
      </c>
      <c r="B1584" s="240">
        <f>IFERROR(1/P1584-1,B1583)</f>
        <v/>
      </c>
      <c r="C1584" s="240">
        <f>$C$3</f>
        <v/>
      </c>
      <c r="D1584" s="240">
        <f>$D$3</f>
        <v/>
      </c>
      <c r="E1584" s="240">
        <f>$E$3</f>
        <v/>
      </c>
      <c r="F1584" s="241" t="n">
        <v>16.5</v>
      </c>
      <c r="G1584" s="242" t="n">
        <v>10472641</v>
      </c>
      <c r="H1584" s="241" t="n">
        <v>-3.4</v>
      </c>
      <c r="I1584" s="241" t="n">
        <v>-22.28</v>
      </c>
      <c r="J1584" s="241" t="n">
        <v>-28.6</v>
      </c>
      <c r="K1584" s="241" t="n">
        <v>12.41</v>
      </c>
      <c r="L1584" s="242" t="n">
        <v>2575810</v>
      </c>
      <c r="M1584" s="241" t="n">
        <v>-4.4</v>
      </c>
      <c r="N1584" s="241" t="n">
        <v>-14.99</v>
      </c>
      <c r="O1584" s="241" t="n">
        <v>-33.17</v>
      </c>
      <c r="P1584" s="241" t="n">
        <v>1.33</v>
      </c>
    </row>
    <row r="1585">
      <c r="A1585" s="282" t="inlineStr">
        <is>
          <t>2012-07-10</t>
        </is>
      </c>
      <c r="B1585" s="240">
        <f>IFERROR(1/P1585-1,B1584)</f>
        <v/>
      </c>
      <c r="C1585" s="240">
        <f>$C$3</f>
        <v/>
      </c>
      <c r="D1585" s="240">
        <f>$D$3</f>
        <v/>
      </c>
      <c r="E1585" s="240">
        <f>$E$3</f>
        <v/>
      </c>
      <c r="F1585" s="241" t="n">
        <v>16.14</v>
      </c>
      <c r="G1585" s="242" t="n">
        <v>7563414</v>
      </c>
      <c r="H1585" s="241" t="n">
        <v>-1.22</v>
      </c>
      <c r="I1585" s="241" t="n">
        <v>-23.23</v>
      </c>
      <c r="J1585" s="241" t="n">
        <v>-29.48</v>
      </c>
      <c r="K1585" s="241" t="n">
        <v>11.93</v>
      </c>
      <c r="L1585" s="242" t="n">
        <v>2834000</v>
      </c>
      <c r="M1585" s="241" t="n">
        <v>-3.68</v>
      </c>
      <c r="N1585" s="241" t="n">
        <v>-18.12</v>
      </c>
      <c r="O1585" s="241" t="n">
        <v>-35.63</v>
      </c>
      <c r="P1585" s="241" t="n">
        <v>1.35</v>
      </c>
    </row>
    <row r="1586">
      <c r="A1586" s="282" t="inlineStr">
        <is>
          <t>2012-07-11</t>
        </is>
      </c>
      <c r="B1586" s="240">
        <f>IFERROR(1/P1586-1,B1585)</f>
        <v/>
      </c>
      <c r="C1586" s="240">
        <f>$C$3</f>
        <v/>
      </c>
      <c r="D1586" s="240">
        <f>$D$3</f>
        <v/>
      </c>
      <c r="E1586" s="240">
        <f>$E$3</f>
        <v/>
      </c>
      <c r="F1586" s="241" t="n">
        <v>16.26</v>
      </c>
      <c r="G1586" s="242" t="n">
        <v>5227261</v>
      </c>
      <c r="H1586" s="241" t="n">
        <v>0.74</v>
      </c>
      <c r="I1586" s="241" t="n">
        <v>-22.66</v>
      </c>
      <c r="J1586" s="241" t="n">
        <v>-28.95</v>
      </c>
      <c r="K1586" s="241" t="n">
        <v>11.9</v>
      </c>
      <c r="L1586" s="242" t="n">
        <v>2303200</v>
      </c>
      <c r="M1586" s="241" t="n">
        <v>-0.27</v>
      </c>
      <c r="N1586" s="241" t="n">
        <v>-18.34</v>
      </c>
      <c r="O1586" s="241" t="n">
        <v>-35.81</v>
      </c>
      <c r="P1586" s="241" t="n">
        <v>1.37</v>
      </c>
    </row>
    <row r="1587">
      <c r="A1587" s="282" t="inlineStr">
        <is>
          <t>2012-07-12</t>
        </is>
      </c>
      <c r="B1587" s="240">
        <f>IFERROR(1/P1587-1,B1586)</f>
        <v/>
      </c>
      <c r="C1587" s="240">
        <f>$C$3</f>
        <v/>
      </c>
      <c r="D1587" s="240">
        <f>$D$3</f>
        <v/>
      </c>
      <c r="E1587" s="240">
        <f>$E$3</f>
        <v/>
      </c>
      <c r="F1587" s="241" t="n">
        <v>16.71</v>
      </c>
      <c r="G1587" s="242" t="n">
        <v>12479014</v>
      </c>
      <c r="H1587" s="241" t="n">
        <v>2.77</v>
      </c>
      <c r="I1587" s="241" t="n">
        <v>-21.34</v>
      </c>
      <c r="J1587" s="241" t="n">
        <v>-26.99</v>
      </c>
      <c r="K1587" s="241" t="n">
        <v>11.9</v>
      </c>
      <c r="L1587" s="242" t="n">
        <v>2468400</v>
      </c>
      <c r="M1587" s="241" t="n">
        <v>0</v>
      </c>
      <c r="N1587" s="241" t="n">
        <v>-19.87</v>
      </c>
      <c r="O1587" s="241" t="n">
        <v>-35.81</v>
      </c>
      <c r="P1587" s="241" t="n">
        <v>1.4</v>
      </c>
    </row>
    <row r="1588">
      <c r="A1588" s="282" t="inlineStr">
        <is>
          <t>2012-07-13</t>
        </is>
      </c>
      <c r="B1588" s="240">
        <f>IFERROR(1/P1588-1,B1587)</f>
        <v/>
      </c>
      <c r="C1588" s="240">
        <f>$C$3</f>
        <v/>
      </c>
      <c r="D1588" s="240">
        <f>$D$3</f>
        <v/>
      </c>
      <c r="E1588" s="240">
        <f>$E$3</f>
        <v/>
      </c>
      <c r="F1588" s="241" t="n">
        <v>16.31</v>
      </c>
      <c r="G1588" s="242" t="n">
        <v>11758629</v>
      </c>
      <c r="H1588" s="241" t="n">
        <v>-2.39</v>
      </c>
      <c r="I1588" s="241" t="n">
        <v>-22.31</v>
      </c>
      <c r="J1588" s="241" t="n">
        <v>-28.73</v>
      </c>
      <c r="K1588" s="241" t="n">
        <v>11.17</v>
      </c>
      <c r="L1588" s="242" t="n">
        <v>3091466</v>
      </c>
      <c r="M1588" s="241" t="n">
        <v>-6.16</v>
      </c>
      <c r="N1588" s="241" t="n">
        <v>-23.55</v>
      </c>
      <c r="O1588" s="241" t="n">
        <v>-39.77</v>
      </c>
      <c r="P1588" s="241" t="n">
        <v>1.46</v>
      </c>
    </row>
    <row r="1589">
      <c r="A1589" s="282" t="inlineStr">
        <is>
          <t>2012-07-16</t>
        </is>
      </c>
      <c r="B1589" s="240">
        <f>IFERROR(1/P1589-1,B1588)</f>
        <v/>
      </c>
      <c r="C1589" s="240">
        <f>$C$3</f>
        <v/>
      </c>
      <c r="D1589" s="240">
        <f>$D$3</f>
        <v/>
      </c>
      <c r="E1589" s="240">
        <f>$E$3</f>
        <v/>
      </c>
      <c r="F1589" s="241" t="n">
        <v>15.78</v>
      </c>
      <c r="G1589" s="242" t="n">
        <v>8621442</v>
      </c>
      <c r="H1589" s="241" t="n">
        <v>-3.25</v>
      </c>
      <c r="I1589" s="241" t="n">
        <v>-25.3</v>
      </c>
      <c r="J1589" s="241" t="n">
        <v>-31.05</v>
      </c>
      <c r="K1589" s="241" t="n">
        <v>10.92</v>
      </c>
      <c r="L1589" s="242" t="n">
        <v>3109865</v>
      </c>
      <c r="M1589" s="241" t="n">
        <v>-2.19</v>
      </c>
      <c r="N1589" s="241" t="n">
        <v>-24.8</v>
      </c>
      <c r="O1589" s="241" t="n">
        <v>-41.08</v>
      </c>
      <c r="P1589" s="241" t="n">
        <v>1.45</v>
      </c>
    </row>
    <row r="1590">
      <c r="A1590" s="282" t="inlineStr">
        <is>
          <t>2012-07-17</t>
        </is>
      </c>
      <c r="B1590" s="240">
        <f>IFERROR(1/P1590-1,B1589)</f>
        <v/>
      </c>
      <c r="C1590" s="240">
        <f>$C$3</f>
        <v/>
      </c>
      <c r="D1590" s="240">
        <f>$D$3</f>
        <v/>
      </c>
      <c r="E1590" s="240">
        <f>$E$3</f>
        <v/>
      </c>
      <c r="F1590" s="241" t="n">
        <v>15.86</v>
      </c>
      <c r="G1590" s="242" t="n">
        <v>4830559</v>
      </c>
      <c r="H1590" s="241" t="n">
        <v>0.51</v>
      </c>
      <c r="I1590" s="241" t="n">
        <v>-24.92</v>
      </c>
      <c r="J1590" s="241" t="n">
        <v>-30.7</v>
      </c>
      <c r="K1590" s="241" t="n">
        <v>10.62</v>
      </c>
      <c r="L1590" s="242" t="n">
        <v>3313320</v>
      </c>
      <c r="M1590" s="241" t="n">
        <v>-2.69</v>
      </c>
      <c r="N1590" s="241" t="n">
        <v>-26.82</v>
      </c>
      <c r="O1590" s="241" t="n">
        <v>-42.67</v>
      </c>
      <c r="P1590" s="241" t="n">
        <v>1.49</v>
      </c>
    </row>
    <row r="1591">
      <c r="A1591" s="282" t="inlineStr">
        <is>
          <t>2012-07-18</t>
        </is>
      </c>
      <c r="B1591" s="240">
        <f>IFERROR(1/P1591-1,B1590)</f>
        <v/>
      </c>
      <c r="C1591" s="240">
        <f>$C$3</f>
        <v/>
      </c>
      <c r="D1591" s="240">
        <f>$D$3</f>
        <v/>
      </c>
      <c r="E1591" s="240">
        <f>$E$3</f>
        <v/>
      </c>
      <c r="F1591" s="241" t="n">
        <v>16.06</v>
      </c>
      <c r="G1591" s="242" t="n">
        <v>7076679</v>
      </c>
      <c r="H1591" s="241" t="n">
        <v>1.26</v>
      </c>
      <c r="I1591" s="241" t="n">
        <v>-23.97</v>
      </c>
      <c r="J1591" s="241" t="n">
        <v>-29.83</v>
      </c>
      <c r="K1591" s="241" t="n">
        <v>10.84</v>
      </c>
      <c r="L1591" s="242" t="n">
        <v>4041677</v>
      </c>
      <c r="M1591" s="241" t="n">
        <v>2.15</v>
      </c>
      <c r="N1591" s="241" t="n">
        <v>-25.25</v>
      </c>
      <c r="O1591" s="241" t="n">
        <v>-41.44</v>
      </c>
      <c r="P1591" s="241" t="n">
        <v>1.48</v>
      </c>
    </row>
    <row r="1592">
      <c r="A1592" s="282" t="inlineStr">
        <is>
          <t>2012-07-19</t>
        </is>
      </c>
      <c r="B1592" s="240">
        <f>IFERROR(1/P1592-1,B1591)</f>
        <v/>
      </c>
      <c r="C1592" s="240">
        <f>$C$3</f>
        <v/>
      </c>
      <c r="D1592" s="240">
        <f>$D$3</f>
        <v/>
      </c>
      <c r="E1592" s="240">
        <f>$E$3</f>
        <v/>
      </c>
      <c r="F1592" s="241" t="n">
        <v>16.17</v>
      </c>
      <c r="G1592" s="242" t="n">
        <v>8191055</v>
      </c>
      <c r="H1592" s="241" t="n">
        <v>0.68</v>
      </c>
      <c r="I1592" s="241" t="n">
        <v>-23.95</v>
      </c>
      <c r="J1592" s="241" t="n">
        <v>-29.35</v>
      </c>
      <c r="K1592" s="241" t="n">
        <v>10.86</v>
      </c>
      <c r="L1592" s="242" t="n">
        <v>1702200</v>
      </c>
      <c r="M1592" s="241" t="n">
        <v>0.15</v>
      </c>
      <c r="N1592" s="241" t="n">
        <v>-25.81</v>
      </c>
      <c r="O1592" s="241" t="n">
        <v>-41.35</v>
      </c>
      <c r="P1592" s="241" t="n">
        <v>1.49</v>
      </c>
    </row>
    <row r="1593">
      <c r="A1593" s="282" t="inlineStr">
        <is>
          <t>2012-07-20</t>
        </is>
      </c>
      <c r="B1593" s="240">
        <f>IFERROR(1/P1593-1,B1592)</f>
        <v/>
      </c>
      <c r="C1593" s="240">
        <f>$C$3</f>
        <v/>
      </c>
      <c r="D1593" s="240">
        <f>$D$3</f>
        <v/>
      </c>
      <c r="E1593" s="240">
        <f>$E$3</f>
        <v/>
      </c>
      <c r="F1593" s="241" t="n">
        <v>16.29</v>
      </c>
      <c r="G1593" s="242" t="n">
        <v>7581214</v>
      </c>
      <c r="H1593" s="241" t="n">
        <v>0.74</v>
      </c>
      <c r="I1593" s="241" t="n">
        <v>-22.99</v>
      </c>
      <c r="J1593" s="241" t="n">
        <v>-28.82</v>
      </c>
      <c r="K1593" s="241" t="n">
        <v>10.56</v>
      </c>
      <c r="L1593" s="242" t="n">
        <v>2789940</v>
      </c>
      <c r="M1593" s="241" t="n">
        <v>-2.7</v>
      </c>
      <c r="N1593" s="241" t="n">
        <v>-27.89</v>
      </c>
      <c r="O1593" s="241" t="n">
        <v>-42.93</v>
      </c>
      <c r="P1593" s="241" t="n">
        <v>1.54</v>
      </c>
    </row>
    <row r="1594">
      <c r="A1594" s="282" t="inlineStr">
        <is>
          <t>2012-07-23</t>
        </is>
      </c>
      <c r="B1594" s="240">
        <f>IFERROR(1/P1594-1,B1593)</f>
        <v/>
      </c>
      <c r="C1594" s="240">
        <f>$C$3</f>
        <v/>
      </c>
      <c r="D1594" s="240">
        <f>$D$3</f>
        <v/>
      </c>
      <c r="E1594" s="240">
        <f>$E$3</f>
        <v/>
      </c>
      <c r="F1594" s="241" t="n">
        <v>16.15</v>
      </c>
      <c r="G1594" s="242" t="n">
        <v>7107536</v>
      </c>
      <c r="H1594" s="241" t="n">
        <v>-0.86</v>
      </c>
      <c r="I1594" s="241" t="n">
        <v>-20.83</v>
      </c>
      <c r="J1594" s="241" t="n">
        <v>-29.43</v>
      </c>
      <c r="K1594" s="241" t="n">
        <v>10</v>
      </c>
      <c r="L1594" s="242" t="n">
        <v>3019595</v>
      </c>
      <c r="M1594" s="241" t="n">
        <v>-5.55</v>
      </c>
      <c r="N1594" s="241" t="n">
        <v>-28.22</v>
      </c>
      <c r="O1594" s="241" t="n">
        <v>-46.1</v>
      </c>
      <c r="P1594" s="241" t="n">
        <v>1.61</v>
      </c>
    </row>
    <row r="1595">
      <c r="A1595" s="282" t="inlineStr">
        <is>
          <t>2012-07-24</t>
        </is>
      </c>
      <c r="B1595" s="240">
        <f>IFERROR(1/P1595-1,B1594)</f>
        <v/>
      </c>
      <c r="C1595" s="240">
        <f>$C$3</f>
        <v/>
      </c>
      <c r="D1595" s="240">
        <f>$D$3</f>
        <v/>
      </c>
      <c r="E1595" s="240">
        <f>$E$3</f>
        <v/>
      </c>
      <c r="F1595" s="241" t="n">
        <v>16.16</v>
      </c>
      <c r="G1595" s="242" t="n">
        <v>4394643</v>
      </c>
      <c r="H1595" s="241" t="n">
        <v>0.06</v>
      </c>
      <c r="I1595" s="241" t="n">
        <v>-20.79</v>
      </c>
      <c r="J1595" s="241" t="n">
        <v>-29.39</v>
      </c>
      <c r="K1595" s="241" t="n">
        <v>9.42</v>
      </c>
      <c r="L1595" s="242" t="n">
        <v>3589642</v>
      </c>
      <c r="M1595" s="241" t="n">
        <v>-5.87</v>
      </c>
      <c r="N1595" s="241" t="n">
        <v>-32.44</v>
      </c>
      <c r="O1595" s="241" t="n">
        <v>-49.26</v>
      </c>
      <c r="P1595" s="241" t="n">
        <v>1.72</v>
      </c>
    </row>
    <row r="1596">
      <c r="A1596" s="282" t="inlineStr">
        <is>
          <t>2012-07-25</t>
        </is>
      </c>
      <c r="B1596" s="240">
        <f>IFERROR(1/P1596-1,B1595)</f>
        <v/>
      </c>
      <c r="C1596" s="240">
        <f>$C$3</f>
        <v/>
      </c>
      <c r="D1596" s="240">
        <f>$D$3</f>
        <v/>
      </c>
      <c r="E1596" s="240">
        <f>$E$3</f>
        <v/>
      </c>
      <c r="F1596" s="241" t="n">
        <v>16.46</v>
      </c>
      <c r="G1596" s="242" t="n">
        <v>12910746</v>
      </c>
      <c r="H1596" s="241" t="n">
        <v>1.86</v>
      </c>
      <c r="I1596" s="241" t="n">
        <v>-19.31</v>
      </c>
      <c r="J1596" s="241" t="n">
        <v>-28.08</v>
      </c>
      <c r="K1596" s="241" t="n">
        <v>9.140000000000001</v>
      </c>
      <c r="L1596" s="242" t="n">
        <v>3985627</v>
      </c>
      <c r="M1596" s="241" t="n">
        <v>-3.12</v>
      </c>
      <c r="N1596" s="241" t="n">
        <v>-34.54</v>
      </c>
      <c r="O1596" s="241" t="n">
        <v>-50.84</v>
      </c>
      <c r="P1596" s="241" t="n">
        <v>1.8</v>
      </c>
    </row>
    <row r="1597">
      <c r="A1597" s="282" t="inlineStr">
        <is>
          <t>2012-07-26</t>
        </is>
      </c>
      <c r="B1597" s="240">
        <f>IFERROR(1/P1597-1,B1596)</f>
        <v/>
      </c>
      <c r="C1597" s="240">
        <f>$C$3</f>
        <v/>
      </c>
      <c r="D1597" s="240">
        <f>$D$3</f>
        <v/>
      </c>
      <c r="E1597" s="240">
        <f>$E$3</f>
        <v/>
      </c>
      <c r="F1597" s="241" t="n">
        <v>15.88</v>
      </c>
      <c r="G1597" s="242" t="n">
        <v>12412348</v>
      </c>
      <c r="H1597" s="241" t="n">
        <v>-3.52</v>
      </c>
      <c r="I1597" s="241" t="n">
        <v>-19.18</v>
      </c>
      <c r="J1597" s="241" t="n">
        <v>-30.61</v>
      </c>
      <c r="K1597" s="241" t="n">
        <v>8.74</v>
      </c>
      <c r="L1597" s="242" t="n">
        <v>4173396</v>
      </c>
      <c r="M1597" s="241" t="n">
        <v>-4.29</v>
      </c>
      <c r="N1597" s="241" t="n">
        <v>-37.21</v>
      </c>
      <c r="O1597" s="241" t="n">
        <v>-52.96</v>
      </c>
      <c r="P1597" s="241" t="n">
        <v>1.82</v>
      </c>
    </row>
    <row r="1598">
      <c r="A1598" s="282" t="inlineStr">
        <is>
          <t>2012-07-27</t>
        </is>
      </c>
      <c r="B1598" s="240">
        <f>IFERROR(1/P1598-1,B1597)</f>
        <v/>
      </c>
      <c r="C1598" s="240">
        <f>$C$3</f>
        <v/>
      </c>
      <c r="D1598" s="240">
        <f>$D$3</f>
        <v/>
      </c>
      <c r="E1598" s="240">
        <f>$E$3</f>
        <v/>
      </c>
      <c r="F1598" s="241" t="n">
        <v>16</v>
      </c>
      <c r="G1598" s="242" t="n">
        <v>5130061</v>
      </c>
      <c r="H1598" s="241" t="n">
        <v>0.76</v>
      </c>
      <c r="I1598" s="241" t="n">
        <v>-17.99</v>
      </c>
      <c r="J1598" s="241" t="n">
        <v>-30.09</v>
      </c>
      <c r="K1598" s="241" t="n">
        <v>9.31</v>
      </c>
      <c r="L1598" s="242" t="n">
        <v>6125400</v>
      </c>
      <c r="M1598" s="241" t="n">
        <v>6.54</v>
      </c>
      <c r="N1598" s="241" t="n">
        <v>-32.3</v>
      </c>
      <c r="O1598" s="241" t="n">
        <v>-49.88</v>
      </c>
      <c r="P1598" s="241" t="n">
        <v>1.72</v>
      </c>
    </row>
    <row r="1599">
      <c r="A1599" s="282" t="inlineStr">
        <is>
          <t>2012-07-30</t>
        </is>
      </c>
      <c r="B1599" s="240">
        <f>IFERROR(1/P1599-1,B1598)</f>
        <v/>
      </c>
      <c r="C1599" s="240">
        <f>$C$3</f>
        <v/>
      </c>
      <c r="D1599" s="240">
        <f>$D$3</f>
        <v/>
      </c>
      <c r="E1599" s="240">
        <f>$E$3</f>
        <v/>
      </c>
      <c r="F1599" s="241" t="n">
        <v>15.69</v>
      </c>
      <c r="G1599" s="242" t="n">
        <v>4935768</v>
      </c>
      <c r="H1599" s="241" t="n">
        <v>-1.94</v>
      </c>
      <c r="I1599" s="241" t="n">
        <v>-11.59</v>
      </c>
      <c r="J1599" s="241" t="n">
        <v>-31.44</v>
      </c>
      <c r="K1599" s="241" t="n">
        <v>8.99</v>
      </c>
      <c r="L1599" s="242" t="n">
        <v>4620285</v>
      </c>
      <c r="M1599" s="241" t="n">
        <v>-3.33</v>
      </c>
      <c r="N1599" s="241" t="n">
        <v>-29.72</v>
      </c>
      <c r="O1599" s="241" t="n">
        <v>-51.55</v>
      </c>
      <c r="P1599" s="241" t="n">
        <v>1.74</v>
      </c>
    </row>
    <row r="1600">
      <c r="A1600" s="282" t="inlineStr">
        <is>
          <t>2012-07-31</t>
        </is>
      </c>
      <c r="B1600" s="240">
        <f>IFERROR(1/P1600-1,B1599)</f>
        <v/>
      </c>
      <c r="C1600" s="240">
        <f>$C$3</f>
        <v/>
      </c>
      <c r="D1600" s="240">
        <f>$D$3</f>
        <v/>
      </c>
      <c r="E1600" s="240">
        <f>$E$3</f>
        <v/>
      </c>
      <c r="F1600" s="241" t="n">
        <v>15.23</v>
      </c>
      <c r="G1600" s="242" t="n">
        <v>7202657</v>
      </c>
      <c r="H1600" s="241" t="n">
        <v>-2.93</v>
      </c>
      <c r="I1600" s="241" t="n">
        <v>-14.18</v>
      </c>
      <c r="J1600" s="241" t="n">
        <v>-33.45</v>
      </c>
      <c r="K1600" s="241" t="n">
        <v>9.23</v>
      </c>
      <c r="L1600" s="242" t="n">
        <v>3898713</v>
      </c>
      <c r="M1600" s="241" t="n">
        <v>2.54</v>
      </c>
      <c r="N1600" s="241" t="n">
        <v>-27.93</v>
      </c>
      <c r="O1600" s="241" t="n">
        <v>-50.32</v>
      </c>
      <c r="P1600" s="241" t="n">
        <v>1.65</v>
      </c>
    </row>
    <row r="1601">
      <c r="A1601" s="282" t="inlineStr">
        <is>
          <t>2012-08-01</t>
        </is>
      </c>
      <c r="B1601" s="240">
        <f>IFERROR(1/P1601-1,B1600)</f>
        <v/>
      </c>
      <c r="C1601" s="240">
        <f>$C$3</f>
        <v/>
      </c>
      <c r="D1601" s="240">
        <f>$D$3</f>
        <v/>
      </c>
      <c r="E1601" s="240">
        <f>$E$3</f>
        <v/>
      </c>
      <c r="F1601" s="241" t="n">
        <v>15.36</v>
      </c>
      <c r="G1601" s="242" t="n">
        <v>5574941</v>
      </c>
      <c r="H1601" s="241" t="n">
        <v>0.85</v>
      </c>
      <c r="I1601" s="241" t="n">
        <v>-13.45</v>
      </c>
      <c r="J1601" s="241" t="n">
        <v>-32.88</v>
      </c>
      <c r="K1601" s="241" t="n">
        <v>9.630000000000001</v>
      </c>
      <c r="L1601" s="242" t="n">
        <v>7573600</v>
      </c>
      <c r="M1601" s="241" t="n">
        <v>4.42</v>
      </c>
      <c r="N1601" s="241" t="n">
        <v>-24.74</v>
      </c>
      <c r="O1601" s="241" t="n">
        <v>-48.12</v>
      </c>
      <c r="P1601" s="241" t="n">
        <v>1.59</v>
      </c>
    </row>
    <row r="1602">
      <c r="A1602" s="282" t="inlineStr">
        <is>
          <t>2012-08-02</t>
        </is>
      </c>
      <c r="B1602" s="240">
        <f>IFERROR(1/P1602-1,B1601)</f>
        <v/>
      </c>
      <c r="C1602" s="240">
        <f>$C$3</f>
        <v/>
      </c>
      <c r="D1602" s="240">
        <f>$D$3</f>
        <v/>
      </c>
      <c r="E1602" s="240">
        <f>$E$3</f>
        <v/>
      </c>
      <c r="F1602" s="241" t="n">
        <v>15.09</v>
      </c>
      <c r="G1602" s="242" t="n">
        <v>6600394</v>
      </c>
      <c r="H1602" s="241" t="n">
        <v>-1.76</v>
      </c>
      <c r="I1602" s="241" t="n">
        <v>-14.97</v>
      </c>
      <c r="J1602" s="241" t="n">
        <v>-34.06</v>
      </c>
      <c r="K1602" s="241" t="n">
        <v>9.4</v>
      </c>
      <c r="L1602" s="242" t="n">
        <v>4663000</v>
      </c>
      <c r="M1602" s="241" t="n">
        <v>-2.54</v>
      </c>
      <c r="N1602" s="241" t="n">
        <v>-26.66</v>
      </c>
      <c r="O1602" s="241" t="n">
        <v>-49.44</v>
      </c>
      <c r="P1602" s="241" t="n">
        <v>1.61</v>
      </c>
    </row>
    <row r="1603">
      <c r="A1603" s="282" t="inlineStr">
        <is>
          <t>2012-08-03</t>
        </is>
      </c>
      <c r="B1603" s="240">
        <f>IFERROR(1/P1603-1,B1602)</f>
        <v/>
      </c>
      <c r="C1603" s="240">
        <f>$C$3</f>
        <v/>
      </c>
      <c r="D1603" s="240">
        <f>$D$3</f>
        <v/>
      </c>
      <c r="E1603" s="240">
        <f>$E$3</f>
        <v/>
      </c>
      <c r="F1603" s="241" t="n">
        <v>15.44</v>
      </c>
      <c r="G1603" s="242" t="n">
        <v>5967133</v>
      </c>
      <c r="H1603" s="241" t="n">
        <v>2.32</v>
      </c>
      <c r="I1603" s="241" t="n">
        <v>-13.29</v>
      </c>
      <c r="J1603" s="241" t="n">
        <v>-32.53</v>
      </c>
      <c r="K1603" s="241" t="n">
        <v>9.67</v>
      </c>
      <c r="L1603" s="242" t="n">
        <v>1954800</v>
      </c>
      <c r="M1603" s="241" t="n">
        <v>2.78</v>
      </c>
      <c r="N1603" s="241" t="n">
        <v>-24.62</v>
      </c>
      <c r="O1603" s="241" t="n">
        <v>-48.03</v>
      </c>
      <c r="P1603" s="241" t="n">
        <v>1.6</v>
      </c>
    </row>
    <row r="1604">
      <c r="A1604" s="282" t="inlineStr">
        <is>
          <t>2012-08-06</t>
        </is>
      </c>
      <c r="B1604" s="240">
        <f>IFERROR(1/P1604-1,B1603)</f>
        <v/>
      </c>
      <c r="C1604" s="240">
        <f>$C$3</f>
        <v/>
      </c>
      <c r="D1604" s="240">
        <f>$D$3</f>
        <v/>
      </c>
      <c r="E1604" s="240">
        <f>$E$3</f>
        <v/>
      </c>
      <c r="F1604" s="241" t="n">
        <v>16.02</v>
      </c>
      <c r="G1604" s="242" t="n">
        <v>13547316</v>
      </c>
      <c r="H1604" s="241" t="n">
        <v>3.76</v>
      </c>
      <c r="I1604" s="241" t="n">
        <v>-5.29</v>
      </c>
      <c r="J1604" s="241" t="n">
        <v>-30</v>
      </c>
      <c r="K1604" s="241" t="n">
        <v>10.16</v>
      </c>
      <c r="L1604" s="242" t="n">
        <v>6270400</v>
      </c>
      <c r="M1604" s="241" t="n">
        <v>5.25</v>
      </c>
      <c r="N1604" s="241" t="n">
        <v>-21.07</v>
      </c>
      <c r="O1604" s="241" t="n">
        <v>-45.3</v>
      </c>
      <c r="P1604" s="241" t="n">
        <v>1.58</v>
      </c>
    </row>
    <row r="1605">
      <c r="A1605" s="282" t="inlineStr">
        <is>
          <t>2012-08-07</t>
        </is>
      </c>
      <c r="B1605" s="240">
        <f>IFERROR(1/P1605-1,B1604)</f>
        <v/>
      </c>
      <c r="C1605" s="240">
        <f>$C$3</f>
        <v/>
      </c>
      <c r="D1605" s="240">
        <f>$D$3</f>
        <v/>
      </c>
      <c r="E1605" s="240">
        <f>$E$3</f>
        <v/>
      </c>
      <c r="F1605" s="241" t="n">
        <v>16.33</v>
      </c>
      <c r="G1605" s="242" t="n">
        <v>11611210</v>
      </c>
      <c r="H1605" s="241" t="n">
        <v>1.94</v>
      </c>
      <c r="I1605" s="241" t="n">
        <v>-3.45</v>
      </c>
      <c r="J1605" s="241" t="n">
        <v>-28.65</v>
      </c>
      <c r="K1605" s="241" t="n">
        <v>11.07</v>
      </c>
      <c r="L1605" s="242" t="n">
        <v>9237800</v>
      </c>
      <c r="M1605" s="241" t="n">
        <v>9</v>
      </c>
      <c r="N1605" s="241" t="n">
        <v>-14.72</v>
      </c>
      <c r="O1605" s="241" t="n">
        <v>-40.38</v>
      </c>
      <c r="P1605" s="241" t="n">
        <v>1.47</v>
      </c>
    </row>
    <row r="1606">
      <c r="A1606" s="282" t="inlineStr">
        <is>
          <t>2012-08-08</t>
        </is>
      </c>
      <c r="B1606" s="240">
        <f>IFERROR(1/P1606-1,B1605)</f>
        <v/>
      </c>
      <c r="C1606" s="240">
        <f>$C$3</f>
        <v/>
      </c>
      <c r="D1606" s="240">
        <f>$D$3</f>
        <v/>
      </c>
      <c r="E1606" s="240">
        <f>$E$3</f>
        <v/>
      </c>
      <c r="F1606" s="241" t="n">
        <v>16.34</v>
      </c>
      <c r="G1606" s="242" t="n">
        <v>11642485</v>
      </c>
      <c r="H1606" s="241" t="n">
        <v>0.06</v>
      </c>
      <c r="I1606" s="241" t="n">
        <v>-3.4</v>
      </c>
      <c r="J1606" s="241" t="n">
        <v>-28.6</v>
      </c>
      <c r="K1606" s="241" t="n">
        <v>11.64</v>
      </c>
      <c r="L1606" s="242" t="n">
        <v>9301400</v>
      </c>
      <c r="M1606" s="241" t="n">
        <v>5.01</v>
      </c>
      <c r="N1606" s="241" t="n">
        <v>-10.44</v>
      </c>
      <c r="O1606" s="241" t="n">
        <v>-37.39</v>
      </c>
      <c r="P1606" s="241" t="n">
        <v>1.4</v>
      </c>
    </row>
    <row r="1607">
      <c r="A1607" s="282" t="inlineStr">
        <is>
          <t>2012-08-09</t>
        </is>
      </c>
      <c r="B1607" s="240">
        <f>IFERROR(1/P1607-1,B1606)</f>
        <v/>
      </c>
      <c r="C1607" s="240">
        <f>$C$3</f>
        <v/>
      </c>
      <c r="D1607" s="240">
        <f>$D$3</f>
        <v/>
      </c>
      <c r="E1607" s="240">
        <f>$E$3</f>
        <v/>
      </c>
      <c r="F1607" s="241" t="n">
        <v>16.66</v>
      </c>
      <c r="G1607" s="242" t="n">
        <v>11309844</v>
      </c>
      <c r="H1607" s="241" t="n">
        <v>1.96</v>
      </c>
      <c r="I1607" s="241" t="n">
        <v>-1.5</v>
      </c>
      <c r="J1607" s="241" t="n">
        <v>-27.2</v>
      </c>
      <c r="K1607" s="241" t="n">
        <v>11.52</v>
      </c>
      <c r="L1607" s="242" t="n">
        <v>4560600</v>
      </c>
      <c r="M1607" s="241" t="n">
        <v>-0.98</v>
      </c>
      <c r="N1607" s="241" t="n">
        <v>-11.32</v>
      </c>
      <c r="O1607" s="241" t="n">
        <v>-38.01</v>
      </c>
      <c r="P1607" s="241" t="n">
        <v>1.45</v>
      </c>
    </row>
    <row r="1608">
      <c r="A1608" s="282" t="inlineStr">
        <is>
          <t>2012-08-10</t>
        </is>
      </c>
      <c r="B1608" s="240">
        <f>IFERROR(1/P1608-1,B1607)</f>
        <v/>
      </c>
      <c r="C1608" s="240">
        <f>$C$3</f>
        <v/>
      </c>
      <c r="D1608" s="240">
        <f>$D$3</f>
        <v/>
      </c>
      <c r="E1608" s="240">
        <f>$E$3</f>
        <v/>
      </c>
      <c r="F1608" s="241" t="n">
        <v>16.4</v>
      </c>
      <c r="G1608" s="242" t="n">
        <v>16419815</v>
      </c>
      <c r="H1608" s="241" t="n">
        <v>-1.56</v>
      </c>
      <c r="I1608" s="241" t="n">
        <v>0.37</v>
      </c>
      <c r="J1608" s="241" t="n">
        <v>-28.34</v>
      </c>
      <c r="K1608" s="241" t="n">
        <v>11.21</v>
      </c>
      <c r="L1608" s="242" t="n">
        <v>3595200</v>
      </c>
      <c r="M1608" s="241" t="n">
        <v>-2.84</v>
      </c>
      <c r="N1608" s="241" t="n">
        <v>-9.869999999999999</v>
      </c>
      <c r="O1608" s="241" t="n">
        <v>-39.77</v>
      </c>
      <c r="P1608" s="241" t="n">
        <v>1.46</v>
      </c>
    </row>
    <row r="1609">
      <c r="A1609" s="282" t="inlineStr">
        <is>
          <t>2012-08-13</t>
        </is>
      </c>
      <c r="B1609" s="240">
        <f>IFERROR(1/P1609-1,B1608)</f>
        <v/>
      </c>
      <c r="C1609" s="240">
        <f>$C$3</f>
        <v/>
      </c>
      <c r="D1609" s="240">
        <f>$D$3</f>
        <v/>
      </c>
      <c r="E1609" s="240">
        <f>$E$3</f>
        <v/>
      </c>
      <c r="F1609" s="241" t="n">
        <v>15.87</v>
      </c>
      <c r="G1609" s="242" t="n">
        <v>8137337</v>
      </c>
      <c r="H1609" s="241" t="n">
        <v>-3.23</v>
      </c>
      <c r="I1609" s="241" t="n">
        <v>-5.03</v>
      </c>
      <c r="J1609" s="241" t="n">
        <v>-30.66</v>
      </c>
      <c r="K1609" s="241" t="n">
        <v>11.21</v>
      </c>
      <c r="L1609" s="242" t="n">
        <v>1550000</v>
      </c>
      <c r="M1609" s="241" t="n">
        <v>0</v>
      </c>
      <c r="N1609" s="241" t="n">
        <v>-6.16</v>
      </c>
      <c r="O1609" s="241" t="n">
        <v>-39.77</v>
      </c>
      <c r="P1609" s="241" t="n">
        <v>1.42</v>
      </c>
    </row>
    <row r="1610">
      <c r="A1610" s="282" t="inlineStr">
        <is>
          <t>2012-08-14</t>
        </is>
      </c>
      <c r="B1610" s="240">
        <f>IFERROR(1/P1610-1,B1609)</f>
        <v/>
      </c>
      <c r="C1610" s="240">
        <f>$C$3</f>
        <v/>
      </c>
      <c r="D1610" s="240">
        <f>$D$3</f>
        <v/>
      </c>
      <c r="E1610" s="240">
        <f>$E$3</f>
        <v/>
      </c>
      <c r="F1610" s="241" t="n">
        <v>15.76</v>
      </c>
      <c r="G1610" s="242" t="n">
        <v>6572348</v>
      </c>
      <c r="H1610" s="241" t="n">
        <v>-0.6899999999999999</v>
      </c>
      <c r="I1610" s="241" t="n">
        <v>-3.37</v>
      </c>
      <c r="J1610" s="241" t="n">
        <v>-31.14</v>
      </c>
      <c r="K1610" s="241" t="n">
        <v>11.09</v>
      </c>
      <c r="L1610" s="242" t="n">
        <v>2200000</v>
      </c>
      <c r="M1610" s="241" t="n">
        <v>-1.02</v>
      </c>
      <c r="N1610" s="241" t="n">
        <v>-1.02</v>
      </c>
      <c r="O1610" s="241" t="n">
        <v>-40.38</v>
      </c>
      <c r="P1610" s="241" t="n">
        <v>1.42</v>
      </c>
    </row>
    <row r="1611">
      <c r="A1611" s="282" t="inlineStr">
        <is>
          <t>2012-08-15</t>
        </is>
      </c>
      <c r="B1611" s="240">
        <f>IFERROR(1/P1611-1,B1610)</f>
        <v/>
      </c>
      <c r="C1611" s="240">
        <f>$C$3</f>
        <v/>
      </c>
      <c r="D1611" s="240">
        <f>$D$3</f>
        <v/>
      </c>
      <c r="E1611" s="240">
        <f>$E$3</f>
        <v/>
      </c>
      <c r="F1611" s="241" t="n">
        <v>15.49</v>
      </c>
      <c r="G1611" s="242" t="n">
        <v>4351104</v>
      </c>
      <c r="H1611" s="241" t="n">
        <v>-1.71</v>
      </c>
      <c r="I1611" s="241" t="n">
        <v>-5.03</v>
      </c>
      <c r="J1611" s="241" t="n">
        <v>-32.32</v>
      </c>
      <c r="K1611" s="241" t="n">
        <v>10.93</v>
      </c>
      <c r="L1611" s="242" t="n">
        <v>1285120</v>
      </c>
      <c r="M1611" s="241" t="n">
        <v>-1.47</v>
      </c>
      <c r="N1611" s="241" t="n">
        <v>-2.48</v>
      </c>
      <c r="O1611" s="241" t="n">
        <v>-41.26</v>
      </c>
      <c r="P1611" s="241" t="n">
        <v>1.42</v>
      </c>
    </row>
    <row r="1612">
      <c r="A1612" s="282" t="inlineStr">
        <is>
          <t>2012-08-16</t>
        </is>
      </c>
      <c r="B1612" s="240">
        <f>IFERROR(1/P1612-1,B1611)</f>
        <v/>
      </c>
      <c r="C1612" s="240">
        <f>$C$3</f>
        <v/>
      </c>
      <c r="D1612" s="240">
        <f>$D$3</f>
        <v/>
      </c>
      <c r="E1612" s="240">
        <f>$E$3</f>
        <v/>
      </c>
      <c r="F1612" s="241" t="n">
        <v>16.09</v>
      </c>
      <c r="G1612" s="242" t="n">
        <v>13129147</v>
      </c>
      <c r="H1612" s="241" t="n">
        <v>3.87</v>
      </c>
      <c r="I1612" s="241" t="n">
        <v>-1.35</v>
      </c>
      <c r="J1612" s="241" t="n">
        <v>-29.69</v>
      </c>
      <c r="K1612" s="241" t="n">
        <v>10.95</v>
      </c>
      <c r="L1612" s="242" t="n">
        <v>1165000</v>
      </c>
      <c r="M1612" s="241" t="n">
        <v>0.15</v>
      </c>
      <c r="N1612" s="241" t="n">
        <v>-2.34</v>
      </c>
      <c r="O1612" s="241" t="n">
        <v>-41.17</v>
      </c>
      <c r="P1612" s="241" t="n">
        <v>1.47</v>
      </c>
    </row>
    <row r="1613">
      <c r="A1613" s="282" t="inlineStr">
        <is>
          <t>2012-08-17</t>
        </is>
      </c>
      <c r="B1613" s="240">
        <f>IFERROR(1/P1613-1,B1612)</f>
        <v/>
      </c>
      <c r="C1613" s="240">
        <f>$C$3</f>
        <v/>
      </c>
      <c r="D1613" s="240">
        <f>$D$3</f>
        <v/>
      </c>
      <c r="E1613" s="240">
        <f>$E$3</f>
        <v/>
      </c>
      <c r="F1613" s="241" t="n">
        <v>16</v>
      </c>
      <c r="G1613" s="242" t="n">
        <v>10215528</v>
      </c>
      <c r="H1613" s="241" t="n">
        <v>-0.5600000000000001</v>
      </c>
      <c r="I1613" s="241" t="n">
        <v>1.39</v>
      </c>
      <c r="J1613" s="241" t="n">
        <v>-30.09</v>
      </c>
      <c r="K1613" s="241" t="n">
        <v>10.96</v>
      </c>
      <c r="L1613" s="242" t="n">
        <v>1632000</v>
      </c>
      <c r="M1613" s="241" t="n">
        <v>0.15</v>
      </c>
      <c r="N1613" s="241" t="n">
        <v>0</v>
      </c>
      <c r="O1613" s="241" t="n">
        <v>-41.08</v>
      </c>
      <c r="P1613" s="241" t="n">
        <v>1.46</v>
      </c>
    </row>
    <row r="1614">
      <c r="A1614" s="282" t="inlineStr">
        <is>
          <t>2012-08-20</t>
        </is>
      </c>
      <c r="B1614" s="240">
        <f>IFERROR(1/P1614-1,B1613)</f>
        <v/>
      </c>
      <c r="C1614" s="240">
        <f>$C$3</f>
        <v/>
      </c>
      <c r="D1614" s="240">
        <f>$D$3</f>
        <v/>
      </c>
      <c r="E1614" s="240">
        <f>$E$3</f>
        <v/>
      </c>
      <c r="F1614" s="241" t="n">
        <v>15.7</v>
      </c>
      <c r="G1614" s="242" t="n">
        <v>5960077</v>
      </c>
      <c r="H1614" s="241" t="n">
        <v>-1.88</v>
      </c>
      <c r="I1614" s="241" t="n">
        <v>-2.91</v>
      </c>
      <c r="J1614" s="241" t="n">
        <v>-31.4</v>
      </c>
      <c r="K1614" s="241" t="n">
        <v>10.64</v>
      </c>
      <c r="L1614" s="242" t="n">
        <v>2683400</v>
      </c>
      <c r="M1614" s="241" t="n">
        <v>-2.99</v>
      </c>
      <c r="N1614" s="241" t="n">
        <v>-2.55</v>
      </c>
      <c r="O1614" s="241" t="n">
        <v>-42.84</v>
      </c>
      <c r="P1614" s="241" t="n">
        <v>1.48</v>
      </c>
    </row>
    <row r="1615">
      <c r="A1615" s="282" t="inlineStr">
        <is>
          <t>2012-08-21</t>
        </is>
      </c>
      <c r="B1615" s="240">
        <f>IFERROR(1/P1615-1,B1614)</f>
        <v/>
      </c>
      <c r="C1615" s="240">
        <f>$C$3</f>
        <v/>
      </c>
      <c r="D1615" s="240">
        <f>$D$3</f>
        <v/>
      </c>
      <c r="E1615" s="240">
        <f>$E$3</f>
        <v/>
      </c>
      <c r="F1615" s="241" t="n">
        <v>16.03</v>
      </c>
      <c r="G1615" s="242" t="n">
        <v>9471374</v>
      </c>
      <c r="H1615" s="241" t="n">
        <v>2.1</v>
      </c>
      <c r="I1615" s="241" t="n">
        <v>-1.6</v>
      </c>
      <c r="J1615" s="241" t="n">
        <v>-29.96</v>
      </c>
      <c r="K1615" s="241" t="n">
        <v>10.91</v>
      </c>
      <c r="L1615" s="242" t="n">
        <v>1359283</v>
      </c>
      <c r="M1615" s="241" t="n">
        <v>2.62</v>
      </c>
      <c r="N1615" s="241" t="n">
        <v>2.77</v>
      </c>
      <c r="O1615" s="241" t="n">
        <v>-41.35</v>
      </c>
      <c r="P1615" s="241" t="n">
        <v>1.47</v>
      </c>
    </row>
    <row r="1616">
      <c r="A1616" s="282" t="inlineStr">
        <is>
          <t>2012-08-22</t>
        </is>
      </c>
      <c r="B1616" s="240">
        <f>IFERROR(1/P1616-1,B1615)</f>
        <v/>
      </c>
      <c r="C1616" s="240">
        <f>$C$3</f>
        <v/>
      </c>
      <c r="D1616" s="240">
        <f>$D$3</f>
        <v/>
      </c>
      <c r="E1616" s="240">
        <f>$E$3</f>
        <v/>
      </c>
      <c r="F1616" s="241" t="n">
        <v>15.77</v>
      </c>
      <c r="G1616" s="242" t="n">
        <v>7203651</v>
      </c>
      <c r="H1616" s="241" t="n">
        <v>-1.62</v>
      </c>
      <c r="I1616" s="241" t="n">
        <v>-3.19</v>
      </c>
      <c r="J1616" s="241" t="n">
        <v>-31.09</v>
      </c>
      <c r="K1616" s="241" t="n">
        <v>10.37</v>
      </c>
      <c r="L1616" s="242" t="n">
        <v>2825450</v>
      </c>
      <c r="M1616" s="241" t="n">
        <v>-4.8</v>
      </c>
      <c r="N1616" s="241" t="n">
        <v>-2.16</v>
      </c>
      <c r="O1616" s="241" t="n">
        <v>-44.16</v>
      </c>
      <c r="P1616" s="241" t="n">
        <v>1.52</v>
      </c>
    </row>
    <row r="1617">
      <c r="A1617" s="282" t="inlineStr">
        <is>
          <t>2012-08-23</t>
        </is>
      </c>
      <c r="B1617" s="240">
        <f>IFERROR(1/P1617-1,B1616)</f>
        <v/>
      </c>
      <c r="C1617" s="240">
        <f>$C$3</f>
        <v/>
      </c>
      <c r="D1617" s="240">
        <f>$D$3</f>
        <v/>
      </c>
      <c r="E1617" s="240">
        <f>$E$3</f>
        <v/>
      </c>
      <c r="F1617" s="241" t="n">
        <v>15.74</v>
      </c>
      <c r="G1617" s="242" t="n">
        <v>5480536</v>
      </c>
      <c r="H1617" s="241" t="n">
        <v>-0.19</v>
      </c>
      <c r="I1617" s="241" t="n">
        <v>-3.38</v>
      </c>
      <c r="J1617" s="241" t="n">
        <v>-31.22</v>
      </c>
      <c r="K1617" s="241" t="n">
        <v>9.699999999999999</v>
      </c>
      <c r="L1617" s="242" t="n">
        <v>7328990</v>
      </c>
      <c r="M1617" s="241" t="n">
        <v>-6.46</v>
      </c>
      <c r="N1617" s="241" t="n">
        <v>-8.470000000000001</v>
      </c>
      <c r="O1617" s="241" t="n">
        <v>-47.77</v>
      </c>
      <c r="P1617" s="241" t="n">
        <v>1.62</v>
      </c>
    </row>
    <row r="1618">
      <c r="A1618" s="282" t="inlineStr">
        <is>
          <t>2012-08-24</t>
        </is>
      </c>
      <c r="B1618" s="240">
        <f>IFERROR(1/P1618-1,B1617)</f>
        <v/>
      </c>
      <c r="C1618" s="240">
        <f>$C$3</f>
        <v/>
      </c>
      <c r="D1618" s="240">
        <f>$D$3</f>
        <v/>
      </c>
      <c r="E1618" s="240">
        <f>$E$3</f>
        <v/>
      </c>
      <c r="F1618" s="241" t="n">
        <v>15.89</v>
      </c>
      <c r="G1618" s="242" t="n">
        <v>9797688</v>
      </c>
      <c r="H1618" s="241" t="n">
        <v>0.95</v>
      </c>
      <c r="I1618" s="241" t="n">
        <v>-1.61</v>
      </c>
      <c r="J1618" s="241" t="n">
        <v>-30.57</v>
      </c>
      <c r="K1618" s="241" t="n">
        <v>9.66</v>
      </c>
      <c r="L1618" s="242" t="n">
        <v>3783000</v>
      </c>
      <c r="M1618" s="241" t="n">
        <v>-0.34</v>
      </c>
      <c r="N1618" s="241" t="n">
        <v>-3.43</v>
      </c>
      <c r="O1618" s="241" t="n">
        <v>-47.94</v>
      </c>
      <c r="P1618" s="241" t="n">
        <v>1.64</v>
      </c>
    </row>
    <row r="1619">
      <c r="A1619" s="282" t="inlineStr">
        <is>
          <t>2012-08-27</t>
        </is>
      </c>
      <c r="B1619" s="240">
        <f>IFERROR(1/P1619-1,B1618)</f>
        <v/>
      </c>
      <c r="C1619" s="240">
        <f>$C$3</f>
        <v/>
      </c>
      <c r="D1619" s="240">
        <f>$D$3</f>
        <v/>
      </c>
      <c r="E1619" s="240">
        <f>$E$3</f>
        <v/>
      </c>
      <c r="F1619" s="241" t="n">
        <v>14.81</v>
      </c>
      <c r="G1619" s="242" t="n">
        <v>13823295</v>
      </c>
      <c r="H1619" s="241" t="n">
        <v>-6.8</v>
      </c>
      <c r="I1619" s="241" t="n">
        <v>-6.74</v>
      </c>
      <c r="J1619" s="241" t="n">
        <v>-35.29</v>
      </c>
      <c r="K1619" s="241" t="n">
        <v>9.199999999999999</v>
      </c>
      <c r="L1619" s="242" t="n">
        <v>2978400</v>
      </c>
      <c r="M1619" s="241" t="n">
        <v>-4.9</v>
      </c>
      <c r="N1619" s="241" t="n">
        <v>5.23</v>
      </c>
      <c r="O1619" s="241" t="n">
        <v>-50.49</v>
      </c>
      <c r="P1619" s="241" t="n">
        <v>1.61</v>
      </c>
    </row>
    <row r="1620">
      <c r="A1620" s="282" t="inlineStr">
        <is>
          <t>2012-08-28</t>
        </is>
      </c>
      <c r="B1620" s="240">
        <f>IFERROR(1/P1620-1,B1619)</f>
        <v/>
      </c>
      <c r="C1620" s="240">
        <f>$C$3</f>
        <v/>
      </c>
      <c r="D1620" s="240">
        <f>$D$3</f>
        <v/>
      </c>
      <c r="E1620" s="240">
        <f>$E$3</f>
        <v/>
      </c>
      <c r="F1620" s="241" t="n">
        <v>14.59</v>
      </c>
      <c r="G1620" s="242" t="n">
        <v>8897467</v>
      </c>
      <c r="H1620" s="241" t="n">
        <v>-1.49</v>
      </c>
      <c r="I1620" s="241" t="n">
        <v>-8.81</v>
      </c>
      <c r="J1620" s="241" t="n">
        <v>-36.25</v>
      </c>
      <c r="K1620" s="241" t="n">
        <v>9.32</v>
      </c>
      <c r="L1620" s="242" t="n">
        <v>1360700</v>
      </c>
      <c r="M1620" s="241" t="n">
        <v>1.24</v>
      </c>
      <c r="N1620" s="241" t="n">
        <v>0</v>
      </c>
      <c r="O1620" s="241" t="n">
        <v>-49.88</v>
      </c>
      <c r="P1620" s="241" t="n">
        <v>1.57</v>
      </c>
    </row>
    <row r="1621">
      <c r="A1621" s="282" t="inlineStr">
        <is>
          <t>2012-08-29</t>
        </is>
      </c>
      <c r="B1621" s="240">
        <f>IFERROR(1/P1621-1,B1620)</f>
        <v/>
      </c>
      <c r="C1621" s="240">
        <f>$C$3</f>
        <v/>
      </c>
      <c r="D1621" s="240">
        <f>$D$3</f>
        <v/>
      </c>
      <c r="E1621" s="240">
        <f>$E$3</f>
        <v/>
      </c>
      <c r="F1621" s="241" t="n">
        <v>14.3</v>
      </c>
      <c r="G1621" s="242" t="n">
        <v>4975630</v>
      </c>
      <c r="H1621" s="241" t="n">
        <v>-1.99</v>
      </c>
      <c r="I1621" s="241" t="n">
        <v>-10.63</v>
      </c>
      <c r="J1621" s="241" t="n">
        <v>-37.52</v>
      </c>
      <c r="K1621" s="241" t="n">
        <v>8.91</v>
      </c>
      <c r="L1621" s="242" t="n">
        <v>4524348</v>
      </c>
      <c r="M1621" s="241" t="n">
        <v>-4.39</v>
      </c>
      <c r="N1621" s="241" t="n">
        <v>-4.39</v>
      </c>
      <c r="O1621" s="241" t="n">
        <v>-52.08</v>
      </c>
      <c r="P1621" s="241" t="n">
        <v>1.61</v>
      </c>
    </row>
    <row r="1622">
      <c r="A1622" s="282" t="inlineStr">
        <is>
          <t>2012-08-30</t>
        </is>
      </c>
      <c r="B1622" s="240">
        <f>IFERROR(1/P1622-1,B1621)</f>
        <v/>
      </c>
      <c r="C1622" s="240">
        <f>$C$3</f>
        <v/>
      </c>
      <c r="D1622" s="240">
        <f>$D$3</f>
        <v/>
      </c>
      <c r="E1622" s="240">
        <f>$E$3</f>
        <v/>
      </c>
      <c r="F1622" s="241" t="n">
        <v>14.38</v>
      </c>
      <c r="G1622" s="242" t="n">
        <v>5314310</v>
      </c>
      <c r="H1622" s="241" t="n">
        <v>0.5600000000000001</v>
      </c>
      <c r="I1622" s="241" t="n">
        <v>-10.13</v>
      </c>
      <c r="J1622" s="241" t="n">
        <v>-37.17</v>
      </c>
      <c r="K1622" s="241" t="n">
        <v>8.800000000000001</v>
      </c>
      <c r="L1622" s="242" t="n">
        <v>2512900</v>
      </c>
      <c r="M1622" s="241" t="n">
        <v>-1.28</v>
      </c>
      <c r="N1622" s="241" t="n">
        <v>-5.61</v>
      </c>
      <c r="O1622" s="241" t="n">
        <v>-52.69</v>
      </c>
      <c r="P1622" s="241" t="n">
        <v>1.63</v>
      </c>
    </row>
    <row r="1623">
      <c r="A1623" s="282" t="inlineStr">
        <is>
          <t>2012-08-31</t>
        </is>
      </c>
      <c r="B1623" s="240">
        <f>IFERROR(1/P1623-1,B1622)</f>
        <v/>
      </c>
      <c r="C1623" s="240">
        <f>$C$3</f>
        <v/>
      </c>
      <c r="D1623" s="240">
        <f>$D$3</f>
        <v/>
      </c>
      <c r="E1623" s="240">
        <f>$E$3</f>
        <v/>
      </c>
      <c r="F1623" s="241" t="n">
        <v>14.12</v>
      </c>
      <c r="G1623" s="242" t="n">
        <v>7180935</v>
      </c>
      <c r="H1623" s="241" t="n">
        <v>-1.81</v>
      </c>
      <c r="I1623" s="241" t="n">
        <v>-10.01</v>
      </c>
      <c r="J1623" s="241" t="n">
        <v>-38.3</v>
      </c>
      <c r="K1623" s="241" t="n">
        <v>8.65</v>
      </c>
      <c r="L1623" s="242" t="n">
        <v>2498000</v>
      </c>
      <c r="M1623" s="241" t="n">
        <v>-1.67</v>
      </c>
      <c r="N1623" s="241" t="n">
        <v>-3.99</v>
      </c>
      <c r="O1623" s="241" t="n">
        <v>-53.48</v>
      </c>
      <c r="P1623" s="241" t="n">
        <v>1.63</v>
      </c>
    </row>
    <row r="1624">
      <c r="A1624" s="282" t="inlineStr">
        <is>
          <t>2012-09-03</t>
        </is>
      </c>
      <c r="B1624" s="240">
        <f>IFERROR(1/P1624-1,B1623)</f>
        <v/>
      </c>
      <c r="C1624" s="240">
        <f>$C$3</f>
        <v/>
      </c>
      <c r="D1624" s="240">
        <f>$D$3</f>
        <v/>
      </c>
      <c r="E1624" s="240">
        <f>$E$3</f>
        <v/>
      </c>
      <c r="F1624" s="241" t="n">
        <v>14.28</v>
      </c>
      <c r="G1624" s="242" t="n">
        <v>6746825</v>
      </c>
      <c r="H1624" s="241" t="n">
        <v>1.13</v>
      </c>
      <c r="I1624" s="241" t="n">
        <v>-5.37</v>
      </c>
      <c r="J1624" s="241" t="n">
        <v>-37.6</v>
      </c>
      <c r="K1624" s="241" t="n">
        <v>9.029999999999999</v>
      </c>
      <c r="L1624" s="242" t="n">
        <v>1780600</v>
      </c>
      <c r="M1624" s="241" t="n">
        <v>4.35</v>
      </c>
      <c r="N1624" s="241" t="n">
        <v>-4</v>
      </c>
      <c r="O1624" s="241" t="n">
        <v>-51.46</v>
      </c>
      <c r="P1624" s="241" t="n">
        <v>1.58</v>
      </c>
    </row>
    <row r="1625">
      <c r="A1625" s="282" t="inlineStr">
        <is>
          <t>2012-09-04</t>
        </is>
      </c>
      <c r="B1625" s="240">
        <f>IFERROR(1/P1625-1,B1624)</f>
        <v/>
      </c>
      <c r="C1625" s="240">
        <f>$C$3</f>
        <v/>
      </c>
      <c r="D1625" s="240">
        <f>$D$3</f>
        <v/>
      </c>
      <c r="E1625" s="240">
        <f>$E$3</f>
        <v/>
      </c>
      <c r="F1625" s="241" t="n">
        <v>14.13</v>
      </c>
      <c r="G1625" s="242" t="n">
        <v>8134757</v>
      </c>
      <c r="H1625" s="241" t="n">
        <v>-1.05</v>
      </c>
      <c r="I1625" s="241" t="n">
        <v>-8.48</v>
      </c>
      <c r="J1625" s="241" t="n">
        <v>-38.26</v>
      </c>
      <c r="K1625" s="241" t="n">
        <v>9.039999999999999</v>
      </c>
      <c r="L1625" s="242" t="n">
        <v>2233240</v>
      </c>
      <c r="M1625" s="241" t="n">
        <v>0.18</v>
      </c>
      <c r="N1625" s="241" t="n">
        <v>-6.43</v>
      </c>
      <c r="O1625" s="241" t="n">
        <v>-51.37</v>
      </c>
      <c r="P1625" s="241" t="n">
        <v>1.56</v>
      </c>
    </row>
    <row r="1626">
      <c r="A1626" s="282" t="inlineStr">
        <is>
          <t>2012-09-05</t>
        </is>
      </c>
      <c r="B1626" s="240">
        <f>IFERROR(1/P1626-1,B1625)</f>
        <v/>
      </c>
      <c r="C1626" s="240">
        <f>$C$3</f>
        <v/>
      </c>
      <c r="D1626" s="240">
        <f>$D$3</f>
        <v/>
      </c>
      <c r="E1626" s="240">
        <f>$E$3</f>
        <v/>
      </c>
      <c r="F1626" s="241" t="n">
        <v>14.05</v>
      </c>
      <c r="G1626" s="242" t="n">
        <v>4836349</v>
      </c>
      <c r="H1626" s="241" t="n">
        <v>-0.57</v>
      </c>
      <c r="I1626" s="241" t="n">
        <v>-9</v>
      </c>
      <c r="J1626" s="241" t="n">
        <v>-38.61</v>
      </c>
      <c r="K1626" s="241" t="n">
        <v>8.720000000000001</v>
      </c>
      <c r="L1626" s="242" t="n">
        <v>2276820</v>
      </c>
      <c r="M1626" s="241" t="n">
        <v>-3.62</v>
      </c>
      <c r="N1626" s="241" t="n">
        <v>-9.81</v>
      </c>
      <c r="O1626" s="241" t="n">
        <v>-53.13</v>
      </c>
      <c r="P1626" s="241" t="n">
        <v>1.61</v>
      </c>
    </row>
    <row r="1627">
      <c r="A1627" s="282" t="inlineStr">
        <is>
          <t>2012-09-06</t>
        </is>
      </c>
      <c r="B1627" s="240">
        <f>IFERROR(1/P1627-1,B1626)</f>
        <v/>
      </c>
      <c r="C1627" s="240">
        <f>$C$3</f>
        <v/>
      </c>
      <c r="D1627" s="240">
        <f>$D$3</f>
        <v/>
      </c>
      <c r="E1627" s="240">
        <f>$E$3</f>
        <v/>
      </c>
      <c r="F1627" s="241" t="n">
        <v>14.29</v>
      </c>
      <c r="G1627" s="242" t="n">
        <v>5533836</v>
      </c>
      <c r="H1627" s="241" t="n">
        <v>1.71</v>
      </c>
      <c r="I1627" s="241" t="n">
        <v>-7.45</v>
      </c>
      <c r="J1627" s="241" t="n">
        <v>-37.56</v>
      </c>
      <c r="K1627" s="241" t="n">
        <v>8.77</v>
      </c>
      <c r="L1627" s="242" t="n">
        <v>1755320</v>
      </c>
      <c r="M1627" s="241" t="n">
        <v>0.5600000000000001</v>
      </c>
      <c r="N1627" s="241" t="n">
        <v>-9.31</v>
      </c>
      <c r="O1627" s="241" t="n">
        <v>-52.87</v>
      </c>
      <c r="P1627" s="241" t="n">
        <v>1.63</v>
      </c>
    </row>
    <row r="1628">
      <c r="A1628" s="282" t="inlineStr">
        <is>
          <t>2012-09-07</t>
        </is>
      </c>
      <c r="B1628" s="240">
        <f>IFERROR(1/P1628-1,B1627)</f>
        <v/>
      </c>
      <c r="C1628" s="240">
        <f>$C$3</f>
        <v/>
      </c>
      <c r="D1628" s="240">
        <f>$D$3</f>
        <v/>
      </c>
      <c r="E1628" s="240">
        <f>$E$3</f>
        <v/>
      </c>
      <c r="F1628" s="241" t="n">
        <v>14.94</v>
      </c>
      <c r="G1628" s="242" t="n">
        <v>18974388</v>
      </c>
      <c r="H1628" s="241" t="n">
        <v>4.55</v>
      </c>
      <c r="I1628" s="241" t="n">
        <v>-6.74</v>
      </c>
      <c r="J1628" s="241" t="n">
        <v>-34.72</v>
      </c>
      <c r="K1628" s="241" t="n">
        <v>9.289999999999999</v>
      </c>
      <c r="L1628" s="242" t="n">
        <v>4023465</v>
      </c>
      <c r="M1628" s="241" t="n">
        <v>5.97</v>
      </c>
      <c r="N1628" s="241" t="n">
        <v>-8.68</v>
      </c>
      <c r="O1628" s="241" t="n">
        <v>-50.05</v>
      </c>
      <c r="P1628" s="241" t="n">
        <v>1.61</v>
      </c>
    </row>
    <row r="1629">
      <c r="A1629" s="282" t="inlineStr">
        <is>
          <t>2012-09-10</t>
        </is>
      </c>
      <c r="B1629" s="240">
        <f>IFERROR(1/P1629-1,B1628)</f>
        <v/>
      </c>
      <c r="C1629" s="240">
        <f>$C$3</f>
        <v/>
      </c>
      <c r="D1629" s="240">
        <f>$D$3</f>
        <v/>
      </c>
      <c r="E1629" s="240">
        <f>$E$3</f>
        <v/>
      </c>
      <c r="F1629" s="241" t="n">
        <v>15.04</v>
      </c>
      <c r="G1629" s="242" t="n">
        <v>11440608</v>
      </c>
      <c r="H1629" s="241" t="n">
        <v>0.67</v>
      </c>
      <c r="I1629" s="241" t="n">
        <v>-9.720000000000001</v>
      </c>
      <c r="J1629" s="241" t="n">
        <v>-34.28</v>
      </c>
      <c r="K1629" s="241" t="n">
        <v>9.33</v>
      </c>
      <c r="L1629" s="242" t="n">
        <v>1638900</v>
      </c>
      <c r="M1629" s="241" t="n">
        <v>0.53</v>
      </c>
      <c r="N1629" s="241" t="n">
        <v>-19.01</v>
      </c>
      <c r="O1629" s="241" t="n">
        <v>-49.79</v>
      </c>
      <c r="P1629" s="241" t="n">
        <v>1.61</v>
      </c>
    </row>
    <row r="1630">
      <c r="A1630" s="282" t="inlineStr">
        <is>
          <t>2012-09-11</t>
        </is>
      </c>
      <c r="B1630" s="240">
        <f>IFERROR(1/P1630-1,B1629)</f>
        <v/>
      </c>
      <c r="C1630" s="240">
        <f>$C$3</f>
        <v/>
      </c>
      <c r="D1630" s="240">
        <f>$D$3</f>
        <v/>
      </c>
      <c r="E1630" s="240">
        <f>$E$3</f>
        <v/>
      </c>
      <c r="F1630" s="241" t="n">
        <v>14.84</v>
      </c>
      <c r="G1630" s="242" t="n">
        <v>6063080</v>
      </c>
      <c r="H1630" s="241" t="n">
        <v>-1.33</v>
      </c>
      <c r="I1630" s="241" t="n">
        <v>-9.51</v>
      </c>
      <c r="J1630" s="241" t="n">
        <v>-35.16</v>
      </c>
      <c r="K1630" s="241" t="n">
        <v>8.94</v>
      </c>
      <c r="L1630" s="242" t="n">
        <v>4199400</v>
      </c>
      <c r="M1630" s="241" t="n">
        <v>-4.2</v>
      </c>
      <c r="N1630" s="241" t="n">
        <v>-20.15</v>
      </c>
      <c r="O1630" s="241" t="n">
        <v>-51.9</v>
      </c>
      <c r="P1630" s="241" t="n">
        <v>1.66</v>
      </c>
    </row>
    <row r="1631">
      <c r="A1631" s="282" t="inlineStr">
        <is>
          <t>2012-09-12</t>
        </is>
      </c>
      <c r="B1631" s="240">
        <f>IFERROR(1/P1631-1,B1630)</f>
        <v/>
      </c>
      <c r="C1631" s="240">
        <f>$C$3</f>
        <v/>
      </c>
      <c r="D1631" s="240">
        <f>$D$3</f>
        <v/>
      </c>
      <c r="E1631" s="240">
        <f>$E$3</f>
        <v/>
      </c>
      <c r="F1631" s="241" t="n">
        <v>14.93</v>
      </c>
      <c r="G1631" s="242" t="n">
        <v>6096702</v>
      </c>
      <c r="H1631" s="241" t="n">
        <v>0.61</v>
      </c>
      <c r="I1631" s="241" t="n">
        <v>-8.960000000000001</v>
      </c>
      <c r="J1631" s="241" t="n">
        <v>-34.76</v>
      </c>
      <c r="K1631" s="241" t="n">
        <v>8.99</v>
      </c>
      <c r="L1631" s="242" t="n">
        <v>2865800</v>
      </c>
      <c r="M1631" s="241" t="n">
        <v>0.55</v>
      </c>
      <c r="N1631" s="241" t="n">
        <v>-19.71</v>
      </c>
      <c r="O1631" s="241" t="n">
        <v>-51.64</v>
      </c>
      <c r="P1631" s="241" t="n">
        <v>1.66</v>
      </c>
    </row>
    <row r="1632">
      <c r="A1632" s="282" t="inlineStr">
        <is>
          <t>2012-09-13</t>
        </is>
      </c>
      <c r="B1632" s="240">
        <f>IFERROR(1/P1632-1,B1631)</f>
        <v/>
      </c>
      <c r="C1632" s="240">
        <f>$C$3</f>
        <v/>
      </c>
      <c r="D1632" s="240">
        <f>$D$3</f>
        <v/>
      </c>
      <c r="E1632" s="240">
        <f>$E$3</f>
        <v/>
      </c>
      <c r="F1632" s="241" t="n">
        <v>14.87</v>
      </c>
      <c r="G1632" s="242" t="n">
        <v>7696943</v>
      </c>
      <c r="H1632" s="241" t="n">
        <v>-0.4</v>
      </c>
      <c r="I1632" s="241" t="n">
        <v>-9.33</v>
      </c>
      <c r="J1632" s="241" t="n">
        <v>-35.03</v>
      </c>
      <c r="K1632" s="241" t="n">
        <v>9.08</v>
      </c>
      <c r="L1632" s="242" t="n">
        <v>2373891</v>
      </c>
      <c r="M1632" s="241" t="n">
        <v>1.09</v>
      </c>
      <c r="N1632" s="241" t="n">
        <v>-18.83</v>
      </c>
      <c r="O1632" s="241" t="n">
        <v>-51.11</v>
      </c>
      <c r="P1632" s="241" t="n">
        <v>1.64</v>
      </c>
    </row>
    <row r="1633">
      <c r="A1633" s="282" t="inlineStr">
        <is>
          <t>2012-09-14</t>
        </is>
      </c>
      <c r="B1633" s="240">
        <f>IFERROR(1/P1633-1,B1632)</f>
        <v/>
      </c>
      <c r="C1633" s="240">
        <f>$C$3</f>
        <v/>
      </c>
      <c r="D1633" s="240">
        <f>$D$3</f>
        <v/>
      </c>
      <c r="E1633" s="240">
        <f>$E$3</f>
        <v/>
      </c>
      <c r="F1633" s="241" t="n">
        <v>14.83</v>
      </c>
      <c r="G1633" s="242" t="n">
        <v>8184743</v>
      </c>
      <c r="H1633" s="241" t="n">
        <v>-0.27</v>
      </c>
      <c r="I1633" s="241" t="n">
        <v>-6.55</v>
      </c>
      <c r="J1633" s="241" t="n">
        <v>-35.2</v>
      </c>
      <c r="K1633" s="241" t="n">
        <v>9.57</v>
      </c>
      <c r="L1633" s="242" t="n">
        <v>4933201</v>
      </c>
      <c r="M1633" s="241" t="n">
        <v>5.4</v>
      </c>
      <c r="N1633" s="241" t="n">
        <v>-14.45</v>
      </c>
      <c r="O1633" s="241" t="n">
        <v>-48.47</v>
      </c>
      <c r="P1633" s="241" t="n">
        <v>1.55</v>
      </c>
    </row>
    <row r="1634">
      <c r="A1634" s="282" t="inlineStr">
        <is>
          <t>2012-09-17</t>
        </is>
      </c>
      <c r="B1634" s="240">
        <f>IFERROR(1/P1634-1,B1633)</f>
        <v/>
      </c>
      <c r="C1634" s="240">
        <f>$C$3</f>
        <v/>
      </c>
      <c r="D1634" s="240">
        <f>$D$3</f>
        <v/>
      </c>
      <c r="E1634" s="240">
        <f>$E$3</f>
        <v/>
      </c>
      <c r="F1634" s="241" t="n">
        <v>14.19</v>
      </c>
      <c r="G1634" s="242" t="n">
        <v>10355315</v>
      </c>
      <c r="H1634" s="241" t="n">
        <v>-4.32</v>
      </c>
      <c r="I1634" s="241" t="n">
        <v>-11.81</v>
      </c>
      <c r="J1634" s="241" t="n">
        <v>-38</v>
      </c>
      <c r="K1634" s="241" t="n">
        <v>9.49</v>
      </c>
      <c r="L1634" s="242" t="n">
        <v>3313680</v>
      </c>
      <c r="M1634" s="241" t="n">
        <v>-0.85</v>
      </c>
      <c r="N1634" s="241" t="n">
        <v>-13.15</v>
      </c>
      <c r="O1634" s="241" t="n">
        <v>-48.91</v>
      </c>
      <c r="P1634" s="241" t="n">
        <v>1.5</v>
      </c>
    </row>
    <row r="1635">
      <c r="A1635" s="282" t="inlineStr">
        <is>
          <t>2012-09-18</t>
        </is>
      </c>
      <c r="B1635" s="240">
        <f>IFERROR(1/P1635-1,B1634)</f>
        <v/>
      </c>
      <c r="C1635" s="240">
        <f>$C$3</f>
        <v/>
      </c>
      <c r="D1635" s="240">
        <f>$D$3</f>
        <v/>
      </c>
      <c r="E1635" s="240">
        <f>$E$3</f>
        <v/>
      </c>
      <c r="F1635" s="241" t="n">
        <v>14.12</v>
      </c>
      <c r="G1635" s="242" t="n">
        <v>5292728</v>
      </c>
      <c r="H1635" s="241" t="n">
        <v>-0.49</v>
      </c>
      <c r="I1635" s="241" t="n">
        <v>-11.75</v>
      </c>
      <c r="J1635" s="241" t="n">
        <v>-38.3</v>
      </c>
      <c r="K1635" s="241" t="n">
        <v>9.17</v>
      </c>
      <c r="L1635" s="242" t="n">
        <v>2649097</v>
      </c>
      <c r="M1635" s="241" t="n">
        <v>-3.44</v>
      </c>
      <c r="N1635" s="241" t="n">
        <v>-16.27</v>
      </c>
      <c r="O1635" s="241" t="n">
        <v>-50.67</v>
      </c>
      <c r="P1635" s="241" t="n">
        <v>1.54</v>
      </c>
    </row>
    <row r="1636">
      <c r="A1636" s="282" t="inlineStr">
        <is>
          <t>2012-09-19</t>
        </is>
      </c>
      <c r="B1636" s="240">
        <f>IFERROR(1/P1636-1,B1635)</f>
        <v/>
      </c>
      <c r="C1636" s="240">
        <f>$C$3</f>
        <v/>
      </c>
      <c r="D1636" s="240">
        <f>$D$3</f>
        <v/>
      </c>
      <c r="E1636" s="240">
        <f>$E$3</f>
        <v/>
      </c>
      <c r="F1636" s="241" t="n">
        <v>14.14</v>
      </c>
      <c r="G1636" s="242" t="n">
        <v>3816248</v>
      </c>
      <c r="H1636" s="241" t="n">
        <v>0.14</v>
      </c>
      <c r="I1636" s="241" t="n">
        <v>-11.63</v>
      </c>
      <c r="J1636" s="241" t="n">
        <v>-38.22</v>
      </c>
      <c r="K1636" s="241" t="n">
        <v>9.32</v>
      </c>
      <c r="L1636" s="242" t="n">
        <v>4158459</v>
      </c>
      <c r="M1636" s="241" t="n">
        <v>1.6</v>
      </c>
      <c r="N1636" s="241" t="n">
        <v>-14.93</v>
      </c>
      <c r="O1636" s="241" t="n">
        <v>-49.88</v>
      </c>
      <c r="P1636" s="241" t="n">
        <v>1.52</v>
      </c>
    </row>
    <row r="1637">
      <c r="A1637" s="282" t="inlineStr">
        <is>
          <t>2012-09-20</t>
        </is>
      </c>
      <c r="B1637" s="240">
        <f>IFERROR(1/P1637-1,B1636)</f>
        <v/>
      </c>
      <c r="C1637" s="240">
        <f>$C$3</f>
        <v/>
      </c>
      <c r="D1637" s="240">
        <f>$D$3</f>
        <v/>
      </c>
      <c r="E1637" s="240">
        <f>$E$3</f>
        <v/>
      </c>
      <c r="F1637" s="241" t="n">
        <v>13.48</v>
      </c>
      <c r="G1637" s="242" t="n">
        <v>8407437</v>
      </c>
      <c r="H1637" s="241" t="n">
        <v>-4.67</v>
      </c>
      <c r="I1637" s="241" t="n">
        <v>-15.75</v>
      </c>
      <c r="J1637" s="241" t="n">
        <v>-41.1</v>
      </c>
      <c r="K1637" s="241" t="n">
        <v>9.109999999999999</v>
      </c>
      <c r="L1637" s="242" t="n">
        <v>2371600</v>
      </c>
      <c r="M1637" s="241" t="n">
        <v>-2.28</v>
      </c>
      <c r="N1637" s="241" t="n">
        <v>-16.87</v>
      </c>
      <c r="O1637" s="241" t="n">
        <v>-51.02</v>
      </c>
      <c r="P1637" s="241" t="n">
        <v>1.48</v>
      </c>
    </row>
    <row r="1638">
      <c r="A1638" s="282" t="inlineStr">
        <is>
          <t>2012-09-21</t>
        </is>
      </c>
      <c r="B1638" s="240">
        <f>IFERROR(1/P1638-1,B1637)</f>
        <v/>
      </c>
      <c r="C1638" s="240">
        <f>$C$3</f>
        <v/>
      </c>
      <c r="D1638" s="240">
        <f>$D$3</f>
        <v/>
      </c>
      <c r="E1638" s="240">
        <f>$E$3</f>
        <v/>
      </c>
      <c r="F1638" s="241" t="n">
        <v>13.32</v>
      </c>
      <c r="G1638" s="242" t="n">
        <v>5679219</v>
      </c>
      <c r="H1638" s="241" t="n">
        <v>-1.19</v>
      </c>
      <c r="I1638" s="241" t="n">
        <v>-15.16</v>
      </c>
      <c r="J1638" s="241" t="n">
        <v>-41.8</v>
      </c>
      <c r="K1638" s="241" t="n">
        <v>9.109999999999999</v>
      </c>
      <c r="L1638" s="242" t="n">
        <v>1945100</v>
      </c>
      <c r="M1638" s="241" t="n">
        <v>0</v>
      </c>
      <c r="N1638" s="241" t="n">
        <v>-14.31</v>
      </c>
      <c r="O1638" s="241" t="n">
        <v>-51.02</v>
      </c>
      <c r="P1638" s="241" t="n">
        <v>1.46</v>
      </c>
    </row>
    <row r="1639">
      <c r="A1639" s="282" t="inlineStr">
        <is>
          <t>2012-09-24</t>
        </is>
      </c>
      <c r="B1639" s="240">
        <f>IFERROR(1/P1639-1,B1638)</f>
        <v/>
      </c>
      <c r="C1639" s="240">
        <f>$C$3</f>
        <v/>
      </c>
      <c r="D1639" s="240">
        <f>$D$3</f>
        <v/>
      </c>
      <c r="E1639" s="240">
        <f>$E$3</f>
        <v/>
      </c>
      <c r="F1639" s="241" t="n">
        <v>13.31</v>
      </c>
      <c r="G1639" s="242" t="n">
        <v>5748887</v>
      </c>
      <c r="H1639" s="241" t="n">
        <v>-0.08</v>
      </c>
      <c r="I1639" s="241" t="n">
        <v>-15.44</v>
      </c>
      <c r="J1639" s="241" t="n">
        <v>-41.84</v>
      </c>
      <c r="K1639" s="241" t="n">
        <v>9.09</v>
      </c>
      <c r="L1639" s="242" t="n">
        <v>1821200</v>
      </c>
      <c r="M1639" s="241" t="n">
        <v>-0.18</v>
      </c>
      <c r="N1639" s="241" t="n">
        <v>-6.4</v>
      </c>
      <c r="O1639" s="241" t="n">
        <v>-51.11</v>
      </c>
      <c r="P1639" s="241" t="n">
        <v>1.46</v>
      </c>
    </row>
    <row r="1640">
      <c r="A1640" s="282" t="inlineStr">
        <is>
          <t>2012-09-25</t>
        </is>
      </c>
      <c r="B1640" s="240">
        <f>IFERROR(1/P1640-1,B1639)</f>
        <v/>
      </c>
      <c r="C1640" s="240">
        <f>$C$3</f>
        <v/>
      </c>
      <c r="D1640" s="240">
        <f>$D$3</f>
        <v/>
      </c>
      <c r="E1640" s="240">
        <f>$E$3</f>
        <v/>
      </c>
      <c r="F1640" s="241" t="n">
        <v>13.19</v>
      </c>
      <c r="G1640" s="242" t="n">
        <v>5813176</v>
      </c>
      <c r="H1640" s="241" t="n">
        <v>-0.9</v>
      </c>
      <c r="I1640" s="241" t="n">
        <v>-16.99</v>
      </c>
      <c r="J1640" s="241" t="n">
        <v>-42.37</v>
      </c>
      <c r="K1640" s="241" t="n">
        <v>9.130000000000001</v>
      </c>
      <c r="L1640" s="242" t="n">
        <v>6260396</v>
      </c>
      <c r="M1640" s="241" t="n">
        <v>0.36</v>
      </c>
      <c r="N1640" s="241" t="n">
        <v>-5.74</v>
      </c>
      <c r="O1640" s="241" t="n">
        <v>-50.93</v>
      </c>
      <c r="P1640" s="241" t="n">
        <v>1.44</v>
      </c>
    </row>
    <row r="1641">
      <c r="A1641" s="282" t="inlineStr">
        <is>
          <t>2012-09-26</t>
        </is>
      </c>
      <c r="B1641" s="240">
        <f>IFERROR(1/P1641-1,B1640)</f>
        <v/>
      </c>
      <c r="C1641" s="240">
        <f>$C$3</f>
        <v/>
      </c>
      <c r="D1641" s="240">
        <f>$D$3</f>
        <v/>
      </c>
      <c r="E1641" s="240">
        <f>$E$3</f>
        <v/>
      </c>
      <c r="F1641" s="241" t="n">
        <v>13.06</v>
      </c>
      <c r="G1641" s="242" t="n">
        <v>9039718</v>
      </c>
      <c r="H1641" s="241" t="n">
        <v>-0.99</v>
      </c>
      <c r="I1641" s="241" t="n">
        <v>-17.81</v>
      </c>
      <c r="J1641" s="241" t="n">
        <v>-42.93</v>
      </c>
      <c r="K1641" s="241" t="n">
        <v>8.720000000000001</v>
      </c>
      <c r="L1641" s="242" t="n">
        <v>7057174</v>
      </c>
      <c r="M1641" s="241" t="n">
        <v>-4.48</v>
      </c>
      <c r="N1641" s="241" t="n">
        <v>-9.970000000000001</v>
      </c>
      <c r="O1641" s="241" t="n">
        <v>-53.13</v>
      </c>
      <c r="P1641" s="241" t="n">
        <v>1.5</v>
      </c>
    </row>
    <row r="1642">
      <c r="A1642" s="282" t="inlineStr">
        <is>
          <t>2012-09-27</t>
        </is>
      </c>
      <c r="B1642" s="240">
        <f>IFERROR(1/P1642-1,B1641)</f>
        <v/>
      </c>
      <c r="C1642" s="240">
        <f>$C$3</f>
        <v/>
      </c>
      <c r="D1642" s="240">
        <f>$D$3</f>
        <v/>
      </c>
      <c r="E1642" s="240">
        <f>$E$3</f>
        <v/>
      </c>
      <c r="F1642" s="241" t="n">
        <v>13.37</v>
      </c>
      <c r="G1642" s="242" t="n">
        <v>9373193</v>
      </c>
      <c r="H1642" s="241" t="n">
        <v>2.37</v>
      </c>
      <c r="I1642" s="241" t="n">
        <v>-15.86</v>
      </c>
      <c r="J1642" s="241" t="n">
        <v>-41.58</v>
      </c>
      <c r="K1642" s="241" t="n">
        <v>8.56</v>
      </c>
      <c r="L1642" s="242" t="n">
        <v>8500335</v>
      </c>
      <c r="M1642" s="241" t="n">
        <v>-1.88</v>
      </c>
      <c r="N1642" s="241" t="n">
        <v>-11.66</v>
      </c>
      <c r="O1642" s="241" t="n">
        <v>-54.01</v>
      </c>
      <c r="P1642" s="241" t="n">
        <v>1.56</v>
      </c>
    </row>
    <row r="1643">
      <c r="A1643" s="282" t="inlineStr">
        <is>
          <t>2012-09-28</t>
        </is>
      </c>
      <c r="B1643" s="240">
        <f>IFERROR(1/P1643-1,B1642)</f>
        <v/>
      </c>
      <c r="C1643" s="240">
        <f>$C$3</f>
        <v/>
      </c>
      <c r="D1643" s="240">
        <f>$D$3</f>
        <v/>
      </c>
      <c r="E1643" s="240">
        <f>$E$3</f>
        <v/>
      </c>
      <c r="F1643" s="241" t="n">
        <v>13.65</v>
      </c>
      <c r="G1643" s="242" t="n">
        <v>9066390</v>
      </c>
      <c r="H1643" s="241" t="n">
        <v>2.09</v>
      </c>
      <c r="I1643" s="241" t="n">
        <v>-7.83</v>
      </c>
      <c r="J1643" s="241" t="n">
        <v>-40.36</v>
      </c>
      <c r="K1643" s="241" t="n">
        <v>8.640000000000001</v>
      </c>
      <c r="L1643" s="242" t="n">
        <v>3439630</v>
      </c>
      <c r="M1643" s="241" t="n">
        <v>0.96</v>
      </c>
      <c r="N1643" s="241" t="n">
        <v>-6.22</v>
      </c>
      <c r="O1643" s="241" t="n">
        <v>-53.57</v>
      </c>
      <c r="P1643" s="241" t="n">
        <v>1.58</v>
      </c>
    </row>
    <row r="1644">
      <c r="A1644" s="282" t="inlineStr">
        <is>
          <t>2012-10-08</t>
        </is>
      </c>
      <c r="B1644" s="240">
        <f>IFERROR(1/P1644-1,B1643)</f>
        <v/>
      </c>
      <c r="C1644" s="240">
        <f>$C$3</f>
        <v/>
      </c>
      <c r="D1644" s="240">
        <f>$D$3</f>
        <v/>
      </c>
      <c r="E1644" s="240">
        <f>$E$3</f>
        <v/>
      </c>
      <c r="F1644" s="241" t="n">
        <v>13.44</v>
      </c>
      <c r="G1644" s="242" t="n">
        <v>6374079</v>
      </c>
      <c r="H1644" s="241" t="n">
        <v>-1.54</v>
      </c>
      <c r="I1644" s="241" t="n">
        <v>-10.04</v>
      </c>
      <c r="J1644" s="241" t="n">
        <v>-41.27</v>
      </c>
      <c r="K1644" s="241" t="n">
        <v>8.93</v>
      </c>
      <c r="L1644" s="242" t="n">
        <v>8865200</v>
      </c>
      <c r="M1644" s="241" t="n">
        <v>-1.27</v>
      </c>
      <c r="N1644" s="241" t="n">
        <v>-3.87</v>
      </c>
      <c r="O1644" s="241" t="n">
        <v>-51.99</v>
      </c>
      <c r="P1644" s="241" t="n">
        <v>1.5</v>
      </c>
    </row>
    <row r="1645">
      <c r="A1645" s="282" t="inlineStr">
        <is>
          <t>2012-10-09</t>
        </is>
      </c>
      <c r="B1645" s="240">
        <f>IFERROR(1/P1645-1,B1644)</f>
        <v/>
      </c>
      <c r="C1645" s="240">
        <f>$C$3</f>
        <v/>
      </c>
      <c r="D1645" s="240">
        <f>$D$3</f>
        <v/>
      </c>
      <c r="E1645" s="240">
        <f>$E$3</f>
        <v/>
      </c>
      <c r="F1645" s="241" t="n">
        <v>13.95</v>
      </c>
      <c r="G1645" s="242" t="n">
        <v>11205847</v>
      </c>
      <c r="H1645" s="241" t="n">
        <v>3.79</v>
      </c>
      <c r="I1645" s="241" t="n">
        <v>-6.63</v>
      </c>
      <c r="J1645" s="241" t="n">
        <v>-39.05</v>
      </c>
      <c r="K1645" s="241" t="n">
        <v>9.07</v>
      </c>
      <c r="L1645" s="242" t="n">
        <v>5565134</v>
      </c>
      <c r="M1645" s="241" t="n">
        <v>1.47</v>
      </c>
      <c r="N1645" s="241" t="n">
        <v>-2.46</v>
      </c>
      <c r="O1645" s="241" t="n">
        <v>-51.28</v>
      </c>
      <c r="P1645" s="241" t="n">
        <v>1.54</v>
      </c>
    </row>
    <row r="1646">
      <c r="A1646" s="282" t="inlineStr">
        <is>
          <t>2012-10-10</t>
        </is>
      </c>
      <c r="B1646" s="240">
        <f>IFERROR(1/P1646-1,B1645)</f>
        <v/>
      </c>
      <c r="C1646" s="240">
        <f>$C$3</f>
        <v/>
      </c>
      <c r="D1646" s="240">
        <f>$D$3</f>
        <v/>
      </c>
      <c r="E1646" s="240">
        <f>$E$3</f>
        <v/>
      </c>
      <c r="F1646" s="241" t="n">
        <v>14.04</v>
      </c>
      <c r="G1646" s="242" t="n">
        <v>7947127</v>
      </c>
      <c r="H1646" s="241" t="n">
        <v>0.65</v>
      </c>
      <c r="I1646" s="241" t="n">
        <v>-6.02</v>
      </c>
      <c r="J1646" s="241" t="n">
        <v>-38.65</v>
      </c>
      <c r="K1646" s="241" t="n">
        <v>9.33</v>
      </c>
      <c r="L1646" s="242" t="n">
        <v>7250800</v>
      </c>
      <c r="M1646" s="241" t="n">
        <v>2.89</v>
      </c>
      <c r="N1646" s="241" t="n">
        <v>0.35</v>
      </c>
      <c r="O1646" s="241" t="n">
        <v>-49.88</v>
      </c>
      <c r="P1646" s="241" t="n">
        <v>1.5</v>
      </c>
    </row>
    <row r="1647">
      <c r="A1647" s="282" t="inlineStr">
        <is>
          <t>2012-10-11</t>
        </is>
      </c>
      <c r="B1647" s="240">
        <f>IFERROR(1/P1647-1,B1646)</f>
        <v/>
      </c>
      <c r="C1647" s="240">
        <f>$C$3</f>
        <v/>
      </c>
      <c r="D1647" s="240">
        <f>$D$3</f>
        <v/>
      </c>
      <c r="E1647" s="240">
        <f>$E$3</f>
        <v/>
      </c>
      <c r="F1647" s="241" t="n">
        <v>13.7</v>
      </c>
      <c r="G1647" s="242" t="n">
        <v>6691897</v>
      </c>
      <c r="H1647" s="241" t="n">
        <v>-2.42</v>
      </c>
      <c r="I1647" s="241" t="n">
        <v>-8.91</v>
      </c>
      <c r="J1647" s="241" t="n">
        <v>-40.14</v>
      </c>
      <c r="K1647" s="241" t="n">
        <v>9.09</v>
      </c>
      <c r="L1647" s="242" t="n">
        <v>11236949</v>
      </c>
      <c r="M1647" s="241" t="n">
        <v>-2.46</v>
      </c>
      <c r="N1647" s="241" t="n">
        <v>-2.63</v>
      </c>
      <c r="O1647" s="241" t="n">
        <v>-51.11</v>
      </c>
      <c r="P1647" s="241" t="n">
        <v>1.51</v>
      </c>
    </row>
    <row r="1648">
      <c r="A1648" s="282" t="inlineStr">
        <is>
          <t>2012-10-12</t>
        </is>
      </c>
      <c r="B1648" s="240">
        <f>IFERROR(1/P1648-1,B1647)</f>
        <v/>
      </c>
      <c r="C1648" s="240">
        <f>$C$3</f>
        <v/>
      </c>
      <c r="D1648" s="240">
        <f>$D$3</f>
        <v/>
      </c>
      <c r="E1648" s="240">
        <f>$E$3</f>
        <v/>
      </c>
      <c r="F1648" s="241" t="n">
        <v>13.72</v>
      </c>
      <c r="G1648" s="242" t="n">
        <v>5181628</v>
      </c>
      <c r="H1648" s="241" t="n">
        <v>0.15</v>
      </c>
      <c r="I1648" s="241" t="n">
        <v>-7.55</v>
      </c>
      <c r="J1648" s="241" t="n">
        <v>-40.05</v>
      </c>
      <c r="K1648" s="241" t="n">
        <v>9.119999999999999</v>
      </c>
      <c r="L1648" s="242" t="n">
        <v>6334800</v>
      </c>
      <c r="M1648" s="241" t="n">
        <v>0.54</v>
      </c>
      <c r="N1648" s="241" t="n">
        <v>2.19</v>
      </c>
      <c r="O1648" s="241" t="n">
        <v>-50.84</v>
      </c>
      <c r="P1648" s="241" t="n">
        <v>1.5</v>
      </c>
    </row>
    <row r="1649">
      <c r="A1649" s="282" t="inlineStr">
        <is>
          <t>2012-10-15</t>
        </is>
      </c>
      <c r="B1649" s="240">
        <f>IFERROR(1/P1649-1,B1648)</f>
        <v/>
      </c>
      <c r="C1649" s="240">
        <f>$C$3</f>
        <v/>
      </c>
      <c r="D1649" s="240">
        <f>$D$3</f>
        <v/>
      </c>
      <c r="E1649" s="240">
        <f>$E$3</f>
        <v/>
      </c>
      <c r="F1649" s="241" t="n">
        <v>13.61</v>
      </c>
      <c r="G1649" s="242" t="n">
        <v>4608002</v>
      </c>
      <c r="H1649" s="241" t="n">
        <v>-0.8</v>
      </c>
      <c r="I1649" s="241" t="n">
        <v>-8.23</v>
      </c>
      <c r="J1649" s="241" t="n">
        <v>-40.53</v>
      </c>
      <c r="K1649" s="241" t="n">
        <v>9.789999999999999</v>
      </c>
      <c r="L1649" s="242" t="n">
        <v>16524800</v>
      </c>
      <c r="M1649" s="241" t="n">
        <v>7.51</v>
      </c>
      <c r="N1649" s="241" t="n">
        <v>2.56</v>
      </c>
      <c r="O1649" s="241" t="n">
        <v>-47.15</v>
      </c>
      <c r="P1649" s="241" t="n">
        <v>1.39</v>
      </c>
    </row>
    <row r="1650">
      <c r="A1650" s="282" t="inlineStr">
        <is>
          <t>2012-10-16</t>
        </is>
      </c>
      <c r="B1650" s="240">
        <f>IFERROR(1/P1650-1,B1649)</f>
        <v/>
      </c>
      <c r="C1650" s="240">
        <f>$C$3</f>
        <v/>
      </c>
      <c r="D1650" s="240">
        <f>$D$3</f>
        <v/>
      </c>
      <c r="E1650" s="240">
        <f>$E$3</f>
        <v/>
      </c>
      <c r="F1650" s="241" t="n">
        <v>13.71</v>
      </c>
      <c r="G1650" s="242" t="n">
        <v>7016079</v>
      </c>
      <c r="H1650" s="241" t="n">
        <v>0.73</v>
      </c>
      <c r="I1650" s="241" t="n">
        <v>-7.55</v>
      </c>
      <c r="J1650" s="241" t="n">
        <v>-40.09</v>
      </c>
      <c r="K1650" s="241" t="n">
        <v>10.03</v>
      </c>
      <c r="L1650" s="242" t="n">
        <v>17949820</v>
      </c>
      <c r="M1650" s="241" t="n">
        <v>2.5</v>
      </c>
      <c r="N1650" s="241" t="n">
        <v>5.12</v>
      </c>
      <c r="O1650" s="241" t="n">
        <v>-45.83</v>
      </c>
      <c r="P1650" s="241" t="n">
        <v>1.37</v>
      </c>
    </row>
    <row r="1651">
      <c r="A1651" s="282" t="inlineStr">
        <is>
          <t>2012-10-17</t>
        </is>
      </c>
      <c r="B1651" s="240">
        <f>IFERROR(1/P1651-1,B1650)</f>
        <v/>
      </c>
      <c r="C1651" s="240">
        <f>$C$3</f>
        <v/>
      </c>
      <c r="D1651" s="240">
        <f>$D$3</f>
        <v/>
      </c>
      <c r="E1651" s="240">
        <f>$E$3</f>
        <v/>
      </c>
      <c r="F1651" s="241" t="n">
        <v>13.88</v>
      </c>
      <c r="G1651" s="242" t="n">
        <v>8222898</v>
      </c>
      <c r="H1651" s="241" t="n">
        <v>1.24</v>
      </c>
      <c r="I1651" s="241" t="n">
        <v>-6.41</v>
      </c>
      <c r="J1651" s="241" t="n">
        <v>-39.35</v>
      </c>
      <c r="K1651" s="241" t="n">
        <v>9.9</v>
      </c>
      <c r="L1651" s="242" t="n">
        <v>10016230</v>
      </c>
      <c r="M1651" s="241" t="n">
        <v>-1.14</v>
      </c>
      <c r="N1651" s="241" t="n">
        <v>3.92</v>
      </c>
      <c r="O1651" s="241" t="n">
        <v>-46.45</v>
      </c>
      <c r="P1651" s="241" t="n">
        <v>1.4</v>
      </c>
    </row>
    <row r="1652">
      <c r="A1652" s="282" t="inlineStr">
        <is>
          <t>2012-10-18</t>
        </is>
      </c>
      <c r="B1652" s="240">
        <f>IFERROR(1/P1652-1,B1651)</f>
        <v/>
      </c>
      <c r="C1652" s="240">
        <f>$C$3</f>
        <v/>
      </c>
      <c r="D1652" s="240">
        <f>$D$3</f>
        <v/>
      </c>
      <c r="E1652" s="240">
        <f>$E$3</f>
        <v/>
      </c>
      <c r="F1652" s="241" t="n">
        <v>14.05</v>
      </c>
      <c r="G1652" s="242" t="n">
        <v>9037772</v>
      </c>
      <c r="H1652" s="241" t="n">
        <v>1.22</v>
      </c>
      <c r="I1652" s="241" t="n">
        <v>-0.99</v>
      </c>
      <c r="J1652" s="241" t="n">
        <v>-38.61</v>
      </c>
      <c r="K1652" s="241" t="n">
        <v>10.65</v>
      </c>
      <c r="L1652" s="242" t="n">
        <v>17603026</v>
      </c>
      <c r="M1652" s="241" t="n">
        <v>7.55</v>
      </c>
      <c r="N1652" s="241" t="n">
        <v>12.74</v>
      </c>
      <c r="O1652" s="241" t="n">
        <v>-42.4</v>
      </c>
      <c r="P1652" s="241" t="n">
        <v>1.32</v>
      </c>
    </row>
    <row r="1653">
      <c r="A1653" s="282" t="inlineStr">
        <is>
          <t>2012-10-19</t>
        </is>
      </c>
      <c r="B1653" s="240">
        <f>IFERROR(1/P1653-1,B1652)</f>
        <v/>
      </c>
      <c r="C1653" s="240">
        <f>$C$3</f>
        <v/>
      </c>
      <c r="D1653" s="240">
        <f>$D$3</f>
        <v/>
      </c>
      <c r="E1653" s="240">
        <f>$E$3</f>
        <v/>
      </c>
      <c r="F1653" s="241" t="n">
        <v>14.34</v>
      </c>
      <c r="G1653" s="242" t="n">
        <v>14394744</v>
      </c>
      <c r="H1653" s="241" t="n">
        <v>2.06</v>
      </c>
      <c r="I1653" s="241" t="n">
        <v>1.56</v>
      </c>
      <c r="J1653" s="241" t="n">
        <v>-37.34</v>
      </c>
      <c r="K1653" s="241" t="n">
        <v>11.21</v>
      </c>
      <c r="L1653" s="242" t="n">
        <v>21563800</v>
      </c>
      <c r="M1653" s="241" t="n">
        <v>5.19</v>
      </c>
      <c r="N1653" s="241" t="n">
        <v>22.82</v>
      </c>
      <c r="O1653" s="241" t="n">
        <v>-39.41</v>
      </c>
      <c r="P1653" s="241" t="n">
        <v>1.28</v>
      </c>
    </row>
    <row r="1654">
      <c r="A1654" s="282" t="inlineStr">
        <is>
          <t>2012-10-22</t>
        </is>
      </c>
      <c r="B1654" s="240">
        <f>IFERROR(1/P1654-1,B1653)</f>
        <v/>
      </c>
      <c r="C1654" s="240">
        <f>$C$3</f>
        <v/>
      </c>
      <c r="D1654" s="240">
        <f>$D$3</f>
        <v/>
      </c>
      <c r="E1654" s="240">
        <f>$E$3</f>
        <v/>
      </c>
      <c r="F1654" s="241" t="n">
        <v>14.37</v>
      </c>
      <c r="G1654" s="242" t="n">
        <v>5815359</v>
      </c>
      <c r="H1654" s="241" t="n">
        <v>0.21</v>
      </c>
      <c r="I1654" s="241" t="n">
        <v>7.88</v>
      </c>
      <c r="J1654" s="241" t="n">
        <v>-37.21</v>
      </c>
      <c r="K1654" s="241" t="n">
        <v>11.12</v>
      </c>
      <c r="L1654" s="242" t="n">
        <v>7958800</v>
      </c>
      <c r="M1654" s="241" t="n">
        <v>-0.87</v>
      </c>
      <c r="N1654" s="241" t="n">
        <v>22.62</v>
      </c>
      <c r="O1654" s="241" t="n">
        <v>-39.94</v>
      </c>
      <c r="P1654" s="241" t="n">
        <v>1.29</v>
      </c>
    </row>
    <row r="1655">
      <c r="A1655" s="282" t="inlineStr">
        <is>
          <t>2012-10-23</t>
        </is>
      </c>
      <c r="B1655" s="240">
        <f>IFERROR(1/P1655-1,B1654)</f>
        <v/>
      </c>
      <c r="C1655" s="240">
        <f>$C$3</f>
        <v/>
      </c>
      <c r="D1655" s="240">
        <f>$D$3</f>
        <v/>
      </c>
      <c r="E1655" s="240">
        <f>$E$3</f>
        <v/>
      </c>
      <c r="F1655" s="241" t="n">
        <v>14.34</v>
      </c>
      <c r="G1655" s="242" t="n">
        <v>9978866</v>
      </c>
      <c r="H1655" s="241" t="n">
        <v>-0.21</v>
      </c>
      <c r="I1655" s="241" t="n">
        <v>7.66</v>
      </c>
      <c r="J1655" s="241" t="n">
        <v>-37.34</v>
      </c>
      <c r="K1655" s="239" t="inlineStr">
        <is>
          <t>--</t>
        </is>
      </c>
      <c r="L1655" s="239" t="inlineStr">
        <is>
          <t>--</t>
        </is>
      </c>
      <c r="M1655" s="239" t="inlineStr">
        <is>
          <t>--</t>
        </is>
      </c>
      <c r="N1655" s="239" t="inlineStr">
        <is>
          <t>--</t>
        </is>
      </c>
      <c r="O1655" s="239" t="inlineStr">
        <is>
          <t>--</t>
        </is>
      </c>
      <c r="P1655" s="239" t="inlineStr">
        <is>
          <t>--</t>
        </is>
      </c>
    </row>
    <row r="1656">
      <c r="A1656" s="282" t="inlineStr">
        <is>
          <t>2012-10-24</t>
        </is>
      </c>
      <c r="B1656" s="240">
        <f>IFERROR(1/P1656-1,B1655)</f>
        <v/>
      </c>
      <c r="C1656" s="240">
        <f>$C$3</f>
        <v/>
      </c>
      <c r="D1656" s="240">
        <f>$D$3</f>
        <v/>
      </c>
      <c r="E1656" s="240">
        <f>$E$3</f>
        <v/>
      </c>
      <c r="F1656" s="241" t="n">
        <v>14.3</v>
      </c>
      <c r="G1656" s="242" t="n">
        <v>6336712</v>
      </c>
      <c r="H1656" s="241" t="n">
        <v>-0.28</v>
      </c>
      <c r="I1656" s="241" t="n">
        <v>7.36</v>
      </c>
      <c r="J1656" s="241" t="n">
        <v>-37.52</v>
      </c>
      <c r="K1656" s="241" t="n">
        <v>10.96</v>
      </c>
      <c r="L1656" s="242" t="n">
        <v>11788611</v>
      </c>
      <c r="M1656" s="241" t="n">
        <v>-1.46</v>
      </c>
      <c r="N1656" s="241" t="n">
        <v>20.83</v>
      </c>
      <c r="O1656" s="241" t="n">
        <v>-40.82</v>
      </c>
      <c r="P1656" s="241" t="n">
        <v>1.31</v>
      </c>
    </row>
    <row r="1657">
      <c r="A1657" s="282" t="inlineStr">
        <is>
          <t>2012-10-25</t>
        </is>
      </c>
      <c r="B1657" s="240">
        <f>IFERROR(1/P1657-1,B1656)</f>
        <v/>
      </c>
      <c r="C1657" s="240">
        <f>$C$3</f>
        <v/>
      </c>
      <c r="D1657" s="240">
        <f>$D$3</f>
        <v/>
      </c>
      <c r="E1657" s="240">
        <f>$E$3</f>
        <v/>
      </c>
      <c r="F1657" s="241" t="n">
        <v>14.15</v>
      </c>
      <c r="G1657" s="242" t="n">
        <v>28571059</v>
      </c>
      <c r="H1657" s="241" t="n">
        <v>-1.05</v>
      </c>
      <c r="I1657" s="241" t="n">
        <v>6.31</v>
      </c>
      <c r="J1657" s="241" t="n">
        <v>-38.17</v>
      </c>
      <c r="K1657" s="241" t="n">
        <v>10.75</v>
      </c>
      <c r="L1657" s="242" t="n">
        <v>30163317</v>
      </c>
      <c r="M1657" s="241" t="n">
        <v>-1.78</v>
      </c>
      <c r="N1657" s="241" t="n">
        <v>18.88</v>
      </c>
      <c r="O1657" s="241" t="n">
        <v>-41.88</v>
      </c>
      <c r="P1657" s="241" t="n">
        <v>1.32</v>
      </c>
    </row>
    <row r="1658">
      <c r="A1658" s="282" t="inlineStr">
        <is>
          <t>2012-10-26</t>
        </is>
      </c>
      <c r="B1658" s="240">
        <f>IFERROR(1/P1658-1,B1657)</f>
        <v/>
      </c>
      <c r="C1658" s="240">
        <f>$C$3</f>
        <v/>
      </c>
      <c r="D1658" s="240">
        <f>$D$3</f>
        <v/>
      </c>
      <c r="E1658" s="240">
        <f>$E$3</f>
        <v/>
      </c>
      <c r="F1658" s="241" t="n">
        <v>13.41</v>
      </c>
      <c r="G1658" s="242" t="n">
        <v>13766727</v>
      </c>
      <c r="H1658" s="241" t="n">
        <v>-5.23</v>
      </c>
      <c r="I1658" s="241" t="n">
        <v>1.67</v>
      </c>
      <c r="J1658" s="241" t="n">
        <v>-41.41</v>
      </c>
      <c r="K1658" s="241" t="n">
        <v>10.21</v>
      </c>
      <c r="L1658" s="242" t="n">
        <v>18298149</v>
      </c>
      <c r="M1658" s="241" t="n">
        <v>-4.99</v>
      </c>
      <c r="N1658" s="241" t="n">
        <v>12.54</v>
      </c>
      <c r="O1658" s="241" t="n">
        <v>-44.78</v>
      </c>
      <c r="P1658" s="241" t="n">
        <v>1.31</v>
      </c>
    </row>
    <row r="1659">
      <c r="A1659" s="282" t="inlineStr">
        <is>
          <t>2012-10-29</t>
        </is>
      </c>
      <c r="B1659" s="240">
        <f>IFERROR(1/P1659-1,B1658)</f>
        <v/>
      </c>
      <c r="C1659" s="240">
        <f>$C$3</f>
        <v/>
      </c>
      <c r="D1659" s="240">
        <f>$D$3</f>
        <v/>
      </c>
      <c r="E1659" s="240">
        <f>$E$3</f>
        <v/>
      </c>
      <c r="F1659" s="241" t="n">
        <v>13.31</v>
      </c>
      <c r="G1659" s="242" t="n">
        <v>5324805</v>
      </c>
      <c r="H1659" s="241" t="n">
        <v>-0.75</v>
      </c>
      <c r="I1659" s="241" t="n">
        <v>-2.49</v>
      </c>
      <c r="J1659" s="241" t="n">
        <v>-41.84</v>
      </c>
      <c r="K1659" s="241" t="n">
        <v>10.19</v>
      </c>
      <c r="L1659" s="242" t="n">
        <v>5905200</v>
      </c>
      <c r="M1659" s="241" t="n">
        <v>-0.16</v>
      </c>
      <c r="N1659" s="241" t="n">
        <v>18.75</v>
      </c>
      <c r="O1659" s="241" t="n">
        <v>-44.87</v>
      </c>
      <c r="P1659" s="241" t="n">
        <v>1.31</v>
      </c>
    </row>
    <row r="1660">
      <c r="A1660" s="282" t="inlineStr">
        <is>
          <t>2012-10-30</t>
        </is>
      </c>
      <c r="B1660" s="240">
        <f>IFERROR(1/P1660-1,B1659)</f>
        <v/>
      </c>
      <c r="C1660" s="240">
        <f>$C$3</f>
        <v/>
      </c>
      <c r="D1660" s="240">
        <f>$D$3</f>
        <v/>
      </c>
      <c r="E1660" s="240">
        <f>$E$3</f>
        <v/>
      </c>
      <c r="F1660" s="241" t="n">
        <v>13.29</v>
      </c>
      <c r="G1660" s="242" t="n">
        <v>4605193</v>
      </c>
      <c r="H1660" s="241" t="n">
        <v>-0.15</v>
      </c>
      <c r="I1660" s="241" t="n">
        <v>-2.64</v>
      </c>
      <c r="J1660" s="241" t="n">
        <v>-41.93</v>
      </c>
      <c r="K1660" s="241" t="n">
        <v>10.26</v>
      </c>
      <c r="L1660" s="242" t="n">
        <v>6029688</v>
      </c>
      <c r="M1660" s="241" t="n">
        <v>0.64</v>
      </c>
      <c r="N1660" s="241" t="n">
        <v>19.51</v>
      </c>
      <c r="O1660" s="241" t="n">
        <v>-44.51</v>
      </c>
      <c r="P1660" s="241" t="n">
        <v>1.29</v>
      </c>
    </row>
    <row r="1661">
      <c r="A1661" s="282" t="inlineStr">
        <is>
          <t>2012-10-31</t>
        </is>
      </c>
      <c r="B1661" s="240">
        <f>IFERROR(1/P1661-1,B1660)</f>
        <v/>
      </c>
      <c r="C1661" s="240">
        <f>$C$3</f>
        <v/>
      </c>
      <c r="D1661" s="240">
        <f>$D$3</f>
        <v/>
      </c>
      <c r="E1661" s="240">
        <f>$E$3</f>
        <v/>
      </c>
      <c r="F1661" s="241" t="n">
        <v>13.3</v>
      </c>
      <c r="G1661" s="242" t="n">
        <v>4521803</v>
      </c>
      <c r="H1661" s="241" t="n">
        <v>0.08</v>
      </c>
      <c r="I1661" s="241" t="n">
        <v>-2.56</v>
      </c>
      <c r="J1661" s="241" t="n">
        <v>-41.89</v>
      </c>
      <c r="K1661" s="241" t="n">
        <v>10.55</v>
      </c>
      <c r="L1661" s="242" t="n">
        <v>9598448</v>
      </c>
      <c r="M1661" s="241" t="n">
        <v>2.85</v>
      </c>
      <c r="N1661" s="241" t="n">
        <v>22.92</v>
      </c>
      <c r="O1661" s="241" t="n">
        <v>-42.93</v>
      </c>
      <c r="P1661" s="241" t="n">
        <v>1.26</v>
      </c>
    </row>
    <row r="1662">
      <c r="A1662" s="282" t="inlineStr">
        <is>
          <t>2012-11-01</t>
        </is>
      </c>
      <c r="B1662" s="240">
        <f>IFERROR(1/P1662-1,B1661)</f>
        <v/>
      </c>
      <c r="C1662" s="240">
        <f>$C$3</f>
        <v/>
      </c>
      <c r="D1662" s="240">
        <f>$D$3</f>
        <v/>
      </c>
      <c r="E1662" s="240">
        <f>$E$3</f>
        <v/>
      </c>
      <c r="F1662" s="241" t="n">
        <v>13.69</v>
      </c>
      <c r="G1662" s="242" t="n">
        <v>7696898</v>
      </c>
      <c r="H1662" s="241" t="n">
        <v>2.93</v>
      </c>
      <c r="I1662" s="241" t="n">
        <v>0.29</v>
      </c>
      <c r="J1662" s="241" t="n">
        <v>-40.18</v>
      </c>
      <c r="K1662" s="241" t="n">
        <v>11.2</v>
      </c>
      <c r="L1662" s="242" t="n">
        <v>9687205</v>
      </c>
      <c r="M1662" s="241" t="n">
        <v>6.16</v>
      </c>
      <c r="N1662" s="241" t="n">
        <v>30.49</v>
      </c>
      <c r="O1662" s="241" t="n">
        <v>-39.41</v>
      </c>
      <c r="P1662" s="241" t="n">
        <v>1.22</v>
      </c>
    </row>
    <row r="1663">
      <c r="A1663" s="282" t="inlineStr">
        <is>
          <t>2012-11-02</t>
        </is>
      </c>
      <c r="B1663" s="240">
        <f>IFERROR(1/P1663-1,B1662)</f>
        <v/>
      </c>
      <c r="C1663" s="240">
        <f>$C$3</f>
        <v/>
      </c>
      <c r="D1663" s="240">
        <f>$D$3</f>
        <v/>
      </c>
      <c r="E1663" s="240">
        <f>$E$3</f>
        <v/>
      </c>
      <c r="F1663" s="241" t="n">
        <v>13.66</v>
      </c>
      <c r="G1663" s="242" t="n">
        <v>4472112</v>
      </c>
      <c r="H1663" s="241" t="n">
        <v>-0.22</v>
      </c>
      <c r="I1663" s="241" t="n">
        <v>0.07000000000000001</v>
      </c>
      <c r="J1663" s="241" t="n">
        <v>-40.31</v>
      </c>
      <c r="K1663" s="241" t="n">
        <v>11.26</v>
      </c>
      <c r="L1663" s="242" t="n">
        <v>7413220</v>
      </c>
      <c r="M1663" s="241" t="n">
        <v>0.44</v>
      </c>
      <c r="N1663" s="241" t="n">
        <v>31.06</v>
      </c>
      <c r="O1663" s="241" t="n">
        <v>-39.15</v>
      </c>
      <c r="P1663" s="241" t="n">
        <v>1.21</v>
      </c>
    </row>
    <row r="1664">
      <c r="A1664" s="282" t="inlineStr">
        <is>
          <t>2012-11-05</t>
        </is>
      </c>
      <c r="B1664" s="240">
        <f>IFERROR(1/P1664-1,B1663)</f>
        <v/>
      </c>
      <c r="C1664" s="240">
        <f>$C$3</f>
        <v/>
      </c>
      <c r="D1664" s="240">
        <f>$D$3</f>
        <v/>
      </c>
      <c r="E1664" s="240">
        <f>$E$3</f>
        <v/>
      </c>
      <c r="F1664" s="241" t="n">
        <v>13.73</v>
      </c>
      <c r="G1664" s="242" t="n">
        <v>4532123</v>
      </c>
      <c r="H1664" s="241" t="n">
        <v>0.51</v>
      </c>
      <c r="I1664" s="241" t="n">
        <v>0.59</v>
      </c>
      <c r="J1664" s="241" t="n">
        <v>-40.01</v>
      </c>
      <c r="K1664" s="241" t="n">
        <v>11.15</v>
      </c>
      <c r="L1664" s="242" t="n">
        <v>3452100</v>
      </c>
      <c r="M1664" s="241" t="n">
        <v>-1.01</v>
      </c>
      <c r="N1664" s="241" t="n">
        <v>29</v>
      </c>
      <c r="O1664" s="241" t="n">
        <v>-39.77</v>
      </c>
      <c r="P1664" s="241" t="n">
        <v>1.23</v>
      </c>
    </row>
    <row r="1665">
      <c r="A1665" s="282" t="inlineStr">
        <is>
          <t>2012-11-06</t>
        </is>
      </c>
      <c r="B1665" s="240">
        <f>IFERROR(1/P1665-1,B1664)</f>
        <v/>
      </c>
      <c r="C1665" s="240">
        <f>$C$3</f>
        <v/>
      </c>
      <c r="D1665" s="240">
        <f>$D$3</f>
        <v/>
      </c>
      <c r="E1665" s="240">
        <f>$E$3</f>
        <v/>
      </c>
      <c r="F1665" s="241" t="n">
        <v>13.6</v>
      </c>
      <c r="G1665" s="242" t="n">
        <v>4316379</v>
      </c>
      <c r="H1665" s="241" t="n">
        <v>-0.95</v>
      </c>
      <c r="I1665" s="241" t="n">
        <v>-0.37</v>
      </c>
      <c r="J1665" s="241" t="n">
        <v>-40.57</v>
      </c>
      <c r="K1665" s="241" t="n">
        <v>10.79</v>
      </c>
      <c r="L1665" s="242" t="n">
        <v>7527200</v>
      </c>
      <c r="M1665" s="241" t="n">
        <v>-3.21</v>
      </c>
      <c r="N1665" s="241" t="n">
        <v>19.89</v>
      </c>
      <c r="O1665" s="241" t="n">
        <v>-41.7</v>
      </c>
      <c r="P1665" s="241" t="n">
        <v>1.26</v>
      </c>
    </row>
    <row r="1666">
      <c r="A1666" s="282" t="inlineStr">
        <is>
          <t>2012-11-07</t>
        </is>
      </c>
      <c r="B1666" s="240">
        <f>IFERROR(1/P1666-1,B1665)</f>
        <v/>
      </c>
      <c r="C1666" s="240">
        <f>$C$3</f>
        <v/>
      </c>
      <c r="D1666" s="240">
        <f>$D$3</f>
        <v/>
      </c>
      <c r="E1666" s="240">
        <f>$E$3</f>
        <v/>
      </c>
      <c r="F1666" s="241" t="n">
        <v>13.51</v>
      </c>
      <c r="G1666" s="242" t="n">
        <v>4082527</v>
      </c>
      <c r="H1666" s="241" t="n">
        <v>-0.66</v>
      </c>
      <c r="I1666" s="241" t="n">
        <v>-1.03</v>
      </c>
      <c r="J1666" s="241" t="n">
        <v>-40.97</v>
      </c>
      <c r="K1666" s="241" t="n">
        <v>11.02</v>
      </c>
      <c r="L1666" s="242" t="n">
        <v>5112000</v>
      </c>
      <c r="M1666" s="241" t="n">
        <v>2.11</v>
      </c>
      <c r="N1666" s="241" t="n">
        <v>22.42</v>
      </c>
      <c r="O1666" s="241" t="n">
        <v>-40.47</v>
      </c>
      <c r="P1666" s="241" t="n">
        <v>1.23</v>
      </c>
    </row>
    <row r="1667">
      <c r="A1667" s="282" t="inlineStr">
        <is>
          <t>2012-11-08</t>
        </is>
      </c>
      <c r="B1667" s="240">
        <f>IFERROR(1/P1667-1,B1666)</f>
        <v/>
      </c>
      <c r="C1667" s="240">
        <f>$C$3</f>
        <v/>
      </c>
      <c r="D1667" s="240">
        <f>$D$3</f>
        <v/>
      </c>
      <c r="E1667" s="240">
        <f>$E$3</f>
        <v/>
      </c>
      <c r="F1667" s="241" t="n">
        <v>13.11</v>
      </c>
      <c r="G1667" s="242" t="n">
        <v>7220602</v>
      </c>
      <c r="H1667" s="241" t="n">
        <v>-2.96</v>
      </c>
      <c r="I1667" s="241" t="n">
        <v>-3.96</v>
      </c>
      <c r="J1667" s="241" t="n">
        <v>-42.72</v>
      </c>
      <c r="K1667" s="241" t="n">
        <v>10.89</v>
      </c>
      <c r="L1667" s="242" t="n">
        <v>5091400</v>
      </c>
      <c r="M1667" s="241" t="n">
        <v>-1.18</v>
      </c>
      <c r="N1667" s="241" t="n">
        <v>20.98</v>
      </c>
      <c r="O1667" s="241" t="n">
        <v>-41.17</v>
      </c>
      <c r="P1667" s="241" t="n">
        <v>1.2</v>
      </c>
    </row>
    <row r="1668">
      <c r="A1668" s="282" t="inlineStr">
        <is>
          <t>2012-11-09</t>
        </is>
      </c>
      <c r="B1668" s="240">
        <f>IFERROR(1/P1668-1,B1667)</f>
        <v/>
      </c>
      <c r="C1668" s="240">
        <f>$C$3</f>
        <v/>
      </c>
      <c r="D1668" s="240">
        <f>$D$3</f>
        <v/>
      </c>
      <c r="E1668" s="240">
        <f>$E$3</f>
        <v/>
      </c>
      <c r="F1668" s="241" t="n">
        <v>13.12</v>
      </c>
      <c r="G1668" s="242" t="n">
        <v>2567074</v>
      </c>
      <c r="H1668" s="241" t="n">
        <v>0.08</v>
      </c>
      <c r="I1668" s="241" t="n">
        <v>-2.38</v>
      </c>
      <c r="J1668" s="241" t="n">
        <v>-42.67</v>
      </c>
      <c r="K1668" s="241" t="n">
        <v>10.84</v>
      </c>
      <c r="L1668" s="242" t="n">
        <v>3137200</v>
      </c>
      <c r="M1668" s="241" t="n">
        <v>-0.3</v>
      </c>
      <c r="N1668" s="241" t="n">
        <v>22.16</v>
      </c>
      <c r="O1668" s="241" t="n">
        <v>-41.35</v>
      </c>
      <c r="P1668" s="241" t="n">
        <v>1.21</v>
      </c>
    </row>
    <row r="1669">
      <c r="A1669" s="282" t="inlineStr">
        <is>
          <t>2012-11-12</t>
        </is>
      </c>
      <c r="B1669" s="240">
        <f>IFERROR(1/P1669-1,B1668)</f>
        <v/>
      </c>
      <c r="C1669" s="240">
        <f>$C$3</f>
        <v/>
      </c>
      <c r="D1669" s="240">
        <f>$D$3</f>
        <v/>
      </c>
      <c r="E1669" s="240">
        <f>$E$3</f>
        <v/>
      </c>
      <c r="F1669" s="241" t="n">
        <v>13.24</v>
      </c>
      <c r="G1669" s="242" t="n">
        <v>3131619</v>
      </c>
      <c r="H1669" s="241" t="n">
        <v>0.91</v>
      </c>
      <c r="I1669" s="241" t="n">
        <v>-3.36</v>
      </c>
      <c r="J1669" s="241" t="n">
        <v>-42.15</v>
      </c>
      <c r="K1669" s="241" t="n">
        <v>10.68</v>
      </c>
      <c r="L1669" s="242" t="n">
        <v>2454200</v>
      </c>
      <c r="M1669" s="241" t="n">
        <v>-1.35</v>
      </c>
      <c r="N1669" s="241" t="n">
        <v>18.35</v>
      </c>
      <c r="O1669" s="241" t="n">
        <v>-42.14</v>
      </c>
      <c r="P1669" s="241" t="n">
        <v>1.24</v>
      </c>
    </row>
    <row r="1670">
      <c r="A1670" s="282" t="inlineStr">
        <is>
          <t>2012-11-13</t>
        </is>
      </c>
      <c r="B1670" s="240">
        <f>IFERROR(1/P1670-1,B1669)</f>
        <v/>
      </c>
      <c r="C1670" s="240">
        <f>$C$3</f>
        <v/>
      </c>
      <c r="D1670" s="240">
        <f>$D$3</f>
        <v/>
      </c>
      <c r="E1670" s="240">
        <f>$E$3</f>
        <v/>
      </c>
      <c r="F1670" s="241" t="n">
        <v>12.88</v>
      </c>
      <c r="G1670" s="242" t="n">
        <v>5729515</v>
      </c>
      <c r="H1670" s="241" t="n">
        <v>-2.72</v>
      </c>
      <c r="I1670" s="241" t="n">
        <v>-6.12</v>
      </c>
      <c r="J1670" s="241" t="n">
        <v>-43.72</v>
      </c>
      <c r="K1670" s="241" t="n">
        <v>10.55</v>
      </c>
      <c r="L1670" s="242" t="n">
        <v>3780700</v>
      </c>
      <c r="M1670" s="241" t="n">
        <v>-1.22</v>
      </c>
      <c r="N1670" s="241" t="n">
        <v>16.28</v>
      </c>
      <c r="O1670" s="241" t="n">
        <v>-42.84</v>
      </c>
      <c r="P1670" s="241" t="n">
        <v>1.22</v>
      </c>
    </row>
    <row r="1671">
      <c r="A1671" s="282" t="inlineStr">
        <is>
          <t>2012-11-14</t>
        </is>
      </c>
      <c r="B1671" s="240">
        <f>IFERROR(1/P1671-1,B1670)</f>
        <v/>
      </c>
      <c r="C1671" s="240">
        <f>$C$3</f>
        <v/>
      </c>
      <c r="D1671" s="240">
        <f>$D$3</f>
        <v/>
      </c>
      <c r="E1671" s="240">
        <f>$E$3</f>
        <v/>
      </c>
      <c r="F1671" s="241" t="n">
        <v>12.66</v>
      </c>
      <c r="G1671" s="242" t="n">
        <v>4857876</v>
      </c>
      <c r="H1671" s="241" t="n">
        <v>-1.71</v>
      </c>
      <c r="I1671" s="241" t="n">
        <v>-7.73</v>
      </c>
      <c r="J1671" s="241" t="n">
        <v>-44.68</v>
      </c>
      <c r="K1671" s="241" t="n">
        <v>10.56</v>
      </c>
      <c r="L1671" s="242" t="n">
        <v>3906200</v>
      </c>
      <c r="M1671" s="241" t="n">
        <v>0.15</v>
      </c>
      <c r="N1671" s="241" t="n">
        <v>16.46</v>
      </c>
      <c r="O1671" s="241" t="n">
        <v>-42.75</v>
      </c>
      <c r="P1671" s="241" t="n">
        <v>1.2</v>
      </c>
    </row>
    <row r="1672">
      <c r="A1672" s="282" t="inlineStr">
        <is>
          <t>2012-11-15</t>
        </is>
      </c>
      <c r="B1672" s="240">
        <f>IFERROR(1/P1672-1,B1671)</f>
        <v/>
      </c>
      <c r="C1672" s="240">
        <f>$C$3</f>
        <v/>
      </c>
      <c r="D1672" s="240">
        <f>$D$3</f>
        <v/>
      </c>
      <c r="E1672" s="240">
        <f>$E$3</f>
        <v/>
      </c>
      <c r="F1672" s="241" t="n">
        <v>12.22</v>
      </c>
      <c r="G1672" s="242" t="n">
        <v>5782065</v>
      </c>
      <c r="H1672" s="241" t="n">
        <v>-3.48</v>
      </c>
      <c r="I1672" s="241" t="n">
        <v>-10.93</v>
      </c>
      <c r="J1672" s="241" t="n">
        <v>-46.6</v>
      </c>
      <c r="K1672" s="241" t="n">
        <v>10.78</v>
      </c>
      <c r="L1672" s="242" t="n">
        <v>5377000</v>
      </c>
      <c r="M1672" s="241" t="n">
        <v>2</v>
      </c>
      <c r="N1672" s="241" t="n">
        <v>18.78</v>
      </c>
      <c r="O1672" s="241" t="n">
        <v>-41.61</v>
      </c>
      <c r="P1672" s="241" t="n">
        <v>1.13</v>
      </c>
    </row>
    <row r="1673">
      <c r="A1673" s="282" t="inlineStr">
        <is>
          <t>2012-11-16</t>
        </is>
      </c>
      <c r="B1673" s="240">
        <f>IFERROR(1/P1673-1,B1672)</f>
        <v/>
      </c>
      <c r="C1673" s="240">
        <f>$C$3</f>
        <v/>
      </c>
      <c r="D1673" s="240">
        <f>$D$3</f>
        <v/>
      </c>
      <c r="E1673" s="240">
        <f>$E$3</f>
        <v/>
      </c>
      <c r="F1673" s="241" t="n">
        <v>12.28</v>
      </c>
      <c r="G1673" s="242" t="n">
        <v>5524857</v>
      </c>
      <c r="H1673" s="241" t="n">
        <v>0.49</v>
      </c>
      <c r="I1673" s="241" t="n">
        <v>-9.77</v>
      </c>
      <c r="J1673" s="241" t="n">
        <v>-46.34</v>
      </c>
      <c r="K1673" s="241" t="n">
        <v>10.77</v>
      </c>
      <c r="L1673" s="242" t="n">
        <v>3398400</v>
      </c>
      <c r="M1673" s="241" t="n">
        <v>-0.15</v>
      </c>
      <c r="N1673" s="241" t="n">
        <v>10.32</v>
      </c>
      <c r="O1673" s="241" t="n">
        <v>-41.7</v>
      </c>
      <c r="P1673" s="241" t="n">
        <v>1.14</v>
      </c>
    </row>
    <row r="1674">
      <c r="A1674" s="282" t="inlineStr">
        <is>
          <t>2012-11-19</t>
        </is>
      </c>
      <c r="B1674" s="240">
        <f>IFERROR(1/P1674-1,B1673)</f>
        <v/>
      </c>
      <c r="C1674" s="240">
        <f>$C$3</f>
        <v/>
      </c>
      <c r="D1674" s="240">
        <f>$D$3</f>
        <v/>
      </c>
      <c r="E1674" s="240">
        <f>$E$3</f>
        <v/>
      </c>
      <c r="F1674" s="241" t="n">
        <v>12.24</v>
      </c>
      <c r="G1674" s="242" t="n">
        <v>3058817</v>
      </c>
      <c r="H1674" s="241" t="n">
        <v>-0.33</v>
      </c>
      <c r="I1674" s="241" t="n">
        <v>-12.88</v>
      </c>
      <c r="J1674" s="241" t="n">
        <v>-46.52</v>
      </c>
      <c r="K1674" s="241" t="n">
        <v>10.71</v>
      </c>
      <c r="L1674" s="242" t="n">
        <v>1102600</v>
      </c>
      <c r="M1674" s="241" t="n">
        <v>-0.6</v>
      </c>
      <c r="N1674" s="241" t="n">
        <v>0.61</v>
      </c>
      <c r="O1674" s="241" t="n">
        <v>-42.05</v>
      </c>
      <c r="P1674" s="241" t="n">
        <v>1.14</v>
      </c>
    </row>
    <row r="1675">
      <c r="A1675" s="282" t="inlineStr">
        <is>
          <t>2012-11-20</t>
        </is>
      </c>
      <c r="B1675" s="240">
        <f>IFERROR(1/P1675-1,B1674)</f>
        <v/>
      </c>
      <c r="C1675" s="240">
        <f>$C$3</f>
        <v/>
      </c>
      <c r="D1675" s="240">
        <f>$D$3</f>
        <v/>
      </c>
      <c r="E1675" s="240">
        <f>$E$3</f>
        <v/>
      </c>
      <c r="F1675" s="241" t="n">
        <v>12.26</v>
      </c>
      <c r="G1675" s="242" t="n">
        <v>3511097</v>
      </c>
      <c r="H1675" s="241" t="n">
        <v>0.16</v>
      </c>
      <c r="I1675" s="241" t="n">
        <v>-14.5</v>
      </c>
      <c r="J1675" s="241" t="n">
        <v>-46.43</v>
      </c>
      <c r="K1675" s="241" t="n">
        <v>10.68</v>
      </c>
      <c r="L1675" s="242" t="n">
        <v>1436800</v>
      </c>
      <c r="M1675" s="241" t="n">
        <v>-0.15</v>
      </c>
      <c r="N1675" s="241" t="n">
        <v>-4.5</v>
      </c>
      <c r="O1675" s="241" t="n">
        <v>-42.14</v>
      </c>
      <c r="P1675" s="241" t="n">
        <v>1.15</v>
      </c>
    </row>
    <row r="1676">
      <c r="A1676" s="282" t="inlineStr">
        <is>
          <t>2012-11-21</t>
        </is>
      </c>
      <c r="B1676" s="240">
        <f>IFERROR(1/P1676-1,B1675)</f>
        <v/>
      </c>
      <c r="C1676" s="240">
        <f>$C$3</f>
        <v/>
      </c>
      <c r="D1676" s="240">
        <f>$D$3</f>
        <v/>
      </c>
      <c r="E1676" s="240">
        <f>$E$3</f>
        <v/>
      </c>
      <c r="F1676" s="241" t="n">
        <v>12.48</v>
      </c>
      <c r="G1676" s="242" t="n">
        <v>3609277</v>
      </c>
      <c r="H1676" s="241" t="n">
        <v>1.79</v>
      </c>
      <c r="I1676" s="241" t="n">
        <v>-12.97</v>
      </c>
      <c r="J1676" s="241" t="n">
        <v>-45.47</v>
      </c>
      <c r="K1676" s="241" t="n">
        <v>10.68</v>
      </c>
      <c r="L1676" s="242" t="n">
        <v>3278020</v>
      </c>
      <c r="M1676" s="241" t="n">
        <v>0</v>
      </c>
      <c r="N1676" s="241" t="n">
        <v>-4.5</v>
      </c>
      <c r="O1676" s="241" t="n">
        <v>-42.14</v>
      </c>
      <c r="P1676" s="241" t="n">
        <v>1.17</v>
      </c>
    </row>
    <row r="1677">
      <c r="A1677" s="282" t="inlineStr">
        <is>
          <t>2012-11-22</t>
        </is>
      </c>
      <c r="B1677" s="240">
        <f>IFERROR(1/P1677-1,B1676)</f>
        <v/>
      </c>
      <c r="C1677" s="240">
        <f>$C$3</f>
        <v/>
      </c>
      <c r="D1677" s="240">
        <f>$D$3</f>
        <v/>
      </c>
      <c r="E1677" s="240">
        <f>$E$3</f>
        <v/>
      </c>
      <c r="F1677" s="241" t="n">
        <v>12.25</v>
      </c>
      <c r="G1677" s="242" t="n">
        <v>2357464</v>
      </c>
      <c r="H1677" s="241" t="n">
        <v>-1.84</v>
      </c>
      <c r="I1677" s="241" t="n">
        <v>-14.57</v>
      </c>
      <c r="J1677" s="241" t="n">
        <v>-46.47</v>
      </c>
      <c r="K1677" s="241" t="n">
        <v>10.65</v>
      </c>
      <c r="L1677" s="242" t="n">
        <v>1770000</v>
      </c>
      <c r="M1677" s="241" t="n">
        <v>-0.3</v>
      </c>
      <c r="N1677" s="241" t="n">
        <v>-4.79</v>
      </c>
      <c r="O1677" s="241" t="n">
        <v>-42.32</v>
      </c>
      <c r="P1677" s="241" t="n">
        <v>1.15</v>
      </c>
    </row>
    <row r="1678">
      <c r="A1678" s="282" t="inlineStr">
        <is>
          <t>2012-11-23</t>
        </is>
      </c>
      <c r="B1678" s="240">
        <f>IFERROR(1/P1678-1,B1677)</f>
        <v/>
      </c>
      <c r="C1678" s="240">
        <f>$C$3</f>
        <v/>
      </c>
      <c r="D1678" s="240">
        <f>$D$3</f>
        <v/>
      </c>
      <c r="E1678" s="240">
        <f>$E$3</f>
        <v/>
      </c>
      <c r="F1678" s="241" t="n">
        <v>12.28</v>
      </c>
      <c r="G1678" s="242" t="n">
        <v>2529569</v>
      </c>
      <c r="H1678" s="241" t="n">
        <v>0.24</v>
      </c>
      <c r="I1678" s="241" t="n">
        <v>-14.54</v>
      </c>
      <c r="J1678" s="241" t="n">
        <v>-46.34</v>
      </c>
      <c r="K1678" s="241" t="n">
        <v>11.01</v>
      </c>
      <c r="L1678" s="242" t="n">
        <v>3381470</v>
      </c>
      <c r="M1678" s="241" t="n">
        <v>3.35</v>
      </c>
      <c r="N1678" s="241" t="n">
        <v>-0.73</v>
      </c>
      <c r="O1678" s="241" t="n">
        <v>-40.38</v>
      </c>
      <c r="P1678" s="241" t="n">
        <v>1.12</v>
      </c>
    </row>
    <row r="1679">
      <c r="A1679" s="282" t="inlineStr">
        <is>
          <t>2012-11-26</t>
        </is>
      </c>
      <c r="B1679" s="240">
        <f>IFERROR(1/P1679-1,B1678)</f>
        <v/>
      </c>
      <c r="C1679" s="240">
        <f>$C$3</f>
        <v/>
      </c>
      <c r="D1679" s="240">
        <f>$D$3</f>
        <v/>
      </c>
      <c r="E1679" s="240">
        <f>$E$3</f>
        <v/>
      </c>
      <c r="F1679" s="241" t="n">
        <v>12.11</v>
      </c>
      <c r="G1679" s="242" t="n">
        <v>2577051</v>
      </c>
      <c r="H1679" s="241" t="n">
        <v>-1.38</v>
      </c>
      <c r="I1679" s="241" t="n">
        <v>-14.42</v>
      </c>
      <c r="J1679" s="241" t="n">
        <v>-47.09</v>
      </c>
      <c r="K1679" s="241" t="n">
        <v>10.78</v>
      </c>
      <c r="L1679" s="242" t="n">
        <v>1375400</v>
      </c>
      <c r="M1679" s="241" t="n">
        <v>-2.06</v>
      </c>
      <c r="N1679" s="241" t="n">
        <v>0.45</v>
      </c>
      <c r="O1679" s="241" t="n">
        <v>-41.61</v>
      </c>
      <c r="P1679" s="241" t="n">
        <v>1.12</v>
      </c>
    </row>
    <row r="1680">
      <c r="A1680" s="282" t="inlineStr">
        <is>
          <t>2012-11-27</t>
        </is>
      </c>
      <c r="B1680" s="240">
        <f>IFERROR(1/P1680-1,B1679)</f>
        <v/>
      </c>
      <c r="C1680" s="240">
        <f>$C$3</f>
        <v/>
      </c>
      <c r="D1680" s="240">
        <f>$D$3</f>
        <v/>
      </c>
      <c r="E1680" s="240">
        <f>$E$3</f>
        <v/>
      </c>
      <c r="F1680" s="241" t="n">
        <v>11.72</v>
      </c>
      <c r="G1680" s="242" t="n">
        <v>5596774</v>
      </c>
      <c r="H1680" s="241" t="n">
        <v>-3.22</v>
      </c>
      <c r="I1680" s="241" t="n">
        <v>-12.6</v>
      </c>
      <c r="J1680" s="241" t="n">
        <v>-48.79</v>
      </c>
      <c r="K1680" s="241" t="n">
        <v>10.58</v>
      </c>
      <c r="L1680" s="242" t="n">
        <v>4620900</v>
      </c>
      <c r="M1680" s="241" t="n">
        <v>-1.81</v>
      </c>
      <c r="N1680" s="241" t="n">
        <v>3.82</v>
      </c>
      <c r="O1680" s="241" t="n">
        <v>-42.67</v>
      </c>
      <c r="P1680" s="241" t="n">
        <v>1.11</v>
      </c>
    </row>
    <row r="1681">
      <c r="A1681" s="282" t="inlineStr">
        <is>
          <t>2012-11-28</t>
        </is>
      </c>
      <c r="B1681" s="240">
        <f>IFERROR(1/P1681-1,B1680)</f>
        <v/>
      </c>
      <c r="C1681" s="240">
        <f>$C$3</f>
        <v/>
      </c>
      <c r="D1681" s="240">
        <f>$D$3</f>
        <v/>
      </c>
      <c r="E1681" s="240">
        <f>$E$3</f>
        <v/>
      </c>
      <c r="F1681" s="241" t="n">
        <v>11.4</v>
      </c>
      <c r="G1681" s="242" t="n">
        <v>4733085</v>
      </c>
      <c r="H1681" s="241" t="n">
        <v>-2.73</v>
      </c>
      <c r="I1681" s="241" t="n">
        <v>-14.99</v>
      </c>
      <c r="J1681" s="241" t="n">
        <v>-50.19</v>
      </c>
      <c r="K1681" s="241" t="n">
        <v>10.57</v>
      </c>
      <c r="L1681" s="242" t="n">
        <v>1812600</v>
      </c>
      <c r="M1681" s="241" t="n">
        <v>-0.15</v>
      </c>
      <c r="N1681" s="241" t="n">
        <v>3.66</v>
      </c>
      <c r="O1681" s="241" t="n">
        <v>-42.75</v>
      </c>
      <c r="P1681" s="241" t="n">
        <v>1.08</v>
      </c>
    </row>
    <row r="1682">
      <c r="A1682" s="282" t="inlineStr">
        <is>
          <t>2012-11-29</t>
        </is>
      </c>
      <c r="B1682" s="240">
        <f>IFERROR(1/P1682-1,B1681)</f>
        <v/>
      </c>
      <c r="C1682" s="240">
        <f>$C$3</f>
        <v/>
      </c>
      <c r="D1682" s="240">
        <f>$D$3</f>
        <v/>
      </c>
      <c r="E1682" s="240">
        <f>$E$3</f>
        <v/>
      </c>
      <c r="F1682" s="241" t="n">
        <v>11.33</v>
      </c>
      <c r="G1682" s="242" t="n">
        <v>3259392</v>
      </c>
      <c r="H1682" s="241" t="n">
        <v>-0.61</v>
      </c>
      <c r="I1682" s="241" t="n">
        <v>-15.51</v>
      </c>
      <c r="J1682" s="241" t="n">
        <v>-50.49</v>
      </c>
      <c r="K1682" s="241" t="n">
        <v>10.57</v>
      </c>
      <c r="L1682" s="242" t="n">
        <v>1146211</v>
      </c>
      <c r="M1682" s="241" t="n">
        <v>0</v>
      </c>
      <c r="N1682" s="241" t="n">
        <v>3.66</v>
      </c>
      <c r="O1682" s="241" t="n">
        <v>-42.75</v>
      </c>
      <c r="P1682" s="241" t="n">
        <v>1.07</v>
      </c>
    </row>
    <row r="1683">
      <c r="A1683" s="282" t="inlineStr">
        <is>
          <t>2012-11-30</t>
        </is>
      </c>
      <c r="B1683" s="240">
        <f>IFERROR(1/P1683-1,B1682)</f>
        <v/>
      </c>
      <c r="C1683" s="240">
        <f>$C$3</f>
        <v/>
      </c>
      <c r="D1683" s="240">
        <f>$D$3</f>
        <v/>
      </c>
      <c r="E1683" s="240">
        <f>$E$3</f>
        <v/>
      </c>
      <c r="F1683" s="241" t="n">
        <v>11.41</v>
      </c>
      <c r="G1683" s="242" t="n">
        <v>3644687</v>
      </c>
      <c r="H1683" s="241" t="n">
        <v>0.71</v>
      </c>
      <c r="I1683" s="241" t="n">
        <v>-14.28</v>
      </c>
      <c r="J1683" s="241" t="n">
        <v>-50.14</v>
      </c>
      <c r="K1683" s="241" t="n">
        <v>10.71</v>
      </c>
      <c r="L1683" s="242" t="n">
        <v>4644404</v>
      </c>
      <c r="M1683" s="241" t="n">
        <v>1.38</v>
      </c>
      <c r="N1683" s="241" t="n">
        <v>5.26</v>
      </c>
      <c r="O1683" s="241" t="n">
        <v>-41.96</v>
      </c>
      <c r="P1683" s="241" t="n">
        <v>1.07</v>
      </c>
    </row>
    <row r="1684">
      <c r="A1684" s="282" t="inlineStr">
        <is>
          <t>2012-12-03</t>
        </is>
      </c>
      <c r="B1684" s="240">
        <f>IFERROR(1/P1684-1,B1683)</f>
        <v/>
      </c>
      <c r="C1684" s="240">
        <f>$C$3</f>
        <v/>
      </c>
      <c r="D1684" s="240">
        <f>$D$3</f>
        <v/>
      </c>
      <c r="E1684" s="240">
        <f>$E$3</f>
        <v/>
      </c>
      <c r="F1684" s="241" t="n">
        <v>11.22</v>
      </c>
      <c r="G1684" s="242" t="n">
        <v>3460467</v>
      </c>
      <c r="H1684" s="241" t="n">
        <v>-1.67</v>
      </c>
      <c r="I1684" s="241" t="n">
        <v>-17.86</v>
      </c>
      <c r="J1684" s="241" t="n">
        <v>-50.97</v>
      </c>
      <c r="K1684" s="241" t="n">
        <v>10.54</v>
      </c>
      <c r="L1684" s="242" t="n">
        <v>2459135</v>
      </c>
      <c r="M1684" s="241" t="n">
        <v>-1.67</v>
      </c>
      <c r="N1684" s="241" t="n">
        <v>-6.21</v>
      </c>
      <c r="O1684" s="241" t="n">
        <v>-42.93</v>
      </c>
      <c r="P1684" s="241" t="n">
        <v>1.06</v>
      </c>
    </row>
    <row r="1685">
      <c r="A1685" s="282" t="inlineStr">
        <is>
          <t>2012-12-04</t>
        </is>
      </c>
      <c r="B1685" s="240">
        <f>IFERROR(1/P1685-1,B1684)</f>
        <v/>
      </c>
      <c r="C1685" s="240">
        <f>$C$3</f>
        <v/>
      </c>
      <c r="D1685" s="240">
        <f>$D$3</f>
        <v/>
      </c>
      <c r="E1685" s="240">
        <f>$E$3</f>
        <v/>
      </c>
      <c r="F1685" s="241" t="n">
        <v>11.34</v>
      </c>
      <c r="G1685" s="242" t="n">
        <v>5189059</v>
      </c>
      <c r="H1685" s="241" t="n">
        <v>1.07</v>
      </c>
      <c r="I1685" s="241" t="n">
        <v>-16.98</v>
      </c>
      <c r="J1685" s="241" t="n">
        <v>-50.45</v>
      </c>
      <c r="K1685" s="241" t="n">
        <v>10.5</v>
      </c>
      <c r="L1685" s="242" t="n">
        <v>1768000</v>
      </c>
      <c r="M1685" s="241" t="n">
        <v>0.77</v>
      </c>
      <c r="N1685" s="241" t="n">
        <v>-5.49</v>
      </c>
      <c r="O1685" s="241" t="n">
        <v>-42.49</v>
      </c>
      <c r="P1685" s="241" t="n">
        <v>1.08</v>
      </c>
    </row>
    <row r="1686">
      <c r="A1686" s="282" t="inlineStr">
        <is>
          <t>2012-12-05</t>
        </is>
      </c>
      <c r="B1686" s="240">
        <f>IFERROR(1/P1686-1,B1685)</f>
        <v/>
      </c>
      <c r="C1686" s="240">
        <f>$C$3</f>
        <v/>
      </c>
      <c r="D1686" s="240">
        <f>$D$3</f>
        <v/>
      </c>
      <c r="E1686" s="240">
        <f>$E$3</f>
        <v/>
      </c>
      <c r="F1686" s="241" t="n">
        <v>11.8</v>
      </c>
      <c r="G1686" s="242" t="n">
        <v>7889704</v>
      </c>
      <c r="H1686" s="241" t="n">
        <v>4.06</v>
      </c>
      <c r="I1686" s="241" t="n">
        <v>-13.62</v>
      </c>
      <c r="J1686" s="241" t="n">
        <v>-48.44</v>
      </c>
      <c r="K1686" s="241" t="n">
        <v>10.77</v>
      </c>
      <c r="L1686" s="242" t="n">
        <v>1611000</v>
      </c>
      <c r="M1686" s="241" t="n">
        <v>1.53</v>
      </c>
      <c r="N1686" s="241" t="n">
        <v>-4.05</v>
      </c>
      <c r="O1686" s="241" t="n">
        <v>-41.61</v>
      </c>
      <c r="P1686" s="241" t="n">
        <v>1.1</v>
      </c>
    </row>
    <row r="1687">
      <c r="A1687" s="282" t="inlineStr">
        <is>
          <t>2012-12-06</t>
        </is>
      </c>
      <c r="B1687" s="240">
        <f>IFERROR(1/P1687-1,B1686)</f>
        <v/>
      </c>
      <c r="C1687" s="240">
        <f>$C$3</f>
        <v/>
      </c>
      <c r="D1687" s="240">
        <f>$D$3</f>
        <v/>
      </c>
      <c r="E1687" s="240">
        <f>$E$3</f>
        <v/>
      </c>
      <c r="F1687" s="241" t="n">
        <v>11.75</v>
      </c>
      <c r="G1687" s="242" t="n">
        <v>5209306</v>
      </c>
      <c r="H1687" s="241" t="n">
        <v>-0.42</v>
      </c>
      <c r="I1687" s="241" t="n">
        <v>-14.42</v>
      </c>
      <c r="J1687" s="241" t="n">
        <v>-48.66</v>
      </c>
      <c r="K1687" s="241" t="n">
        <v>10.67</v>
      </c>
      <c r="L1687" s="242" t="n">
        <v>2234800</v>
      </c>
      <c r="M1687" s="241" t="n">
        <v>-1.05</v>
      </c>
      <c r="N1687" s="241" t="n">
        <v>-4.09</v>
      </c>
      <c r="O1687" s="241" t="n">
        <v>-42.23</v>
      </c>
      <c r="P1687" s="241" t="n">
        <v>1.1</v>
      </c>
    </row>
    <row r="1688">
      <c r="A1688" s="282" t="inlineStr">
        <is>
          <t>2012-12-07</t>
        </is>
      </c>
      <c r="B1688" s="240">
        <f>IFERROR(1/P1688-1,B1687)</f>
        <v/>
      </c>
      <c r="C1688" s="240">
        <f>$C$3</f>
        <v/>
      </c>
      <c r="D1688" s="240">
        <f>$D$3</f>
        <v/>
      </c>
      <c r="E1688" s="240">
        <f>$E$3</f>
        <v/>
      </c>
      <c r="F1688" s="241" t="n">
        <v>12.09</v>
      </c>
      <c r="G1688" s="242" t="n">
        <v>10454360</v>
      </c>
      <c r="H1688" s="241" t="n">
        <v>2.89</v>
      </c>
      <c r="I1688" s="241" t="n">
        <v>-11.1</v>
      </c>
      <c r="J1688" s="241" t="n">
        <v>-47.17</v>
      </c>
      <c r="K1688" s="241" t="n">
        <v>10.9</v>
      </c>
      <c r="L1688" s="242" t="n">
        <v>4649600</v>
      </c>
      <c r="M1688" s="241" t="n">
        <v>2.13</v>
      </c>
      <c r="N1688" s="241" t="n">
        <v>1.21</v>
      </c>
      <c r="O1688" s="241" t="n">
        <v>-41</v>
      </c>
      <c r="P1688" s="241" t="n">
        <v>1.11</v>
      </c>
    </row>
    <row r="1689">
      <c r="A1689" s="282" t="inlineStr">
        <is>
          <t>2012-12-10</t>
        </is>
      </c>
      <c r="B1689" s="240">
        <f>IFERROR(1/P1689-1,B1688)</f>
        <v/>
      </c>
      <c r="C1689" s="240">
        <f>$C$3</f>
        <v/>
      </c>
      <c r="D1689" s="240">
        <f>$D$3</f>
        <v/>
      </c>
      <c r="E1689" s="240">
        <f>$E$3</f>
        <v/>
      </c>
      <c r="F1689" s="241" t="n">
        <v>12.59</v>
      </c>
      <c r="G1689" s="242" t="n">
        <v>15913786</v>
      </c>
      <c r="H1689" s="241" t="n">
        <v>4.14</v>
      </c>
      <c r="I1689" s="241" t="n">
        <v>-4.04</v>
      </c>
      <c r="J1689" s="241" t="n">
        <v>-44.99</v>
      </c>
      <c r="K1689" s="241" t="n">
        <v>12</v>
      </c>
      <c r="L1689" s="242" t="n">
        <v>16768233</v>
      </c>
      <c r="M1689" s="241" t="n">
        <v>10.13</v>
      </c>
      <c r="N1689" s="241" t="n">
        <v>10.79</v>
      </c>
      <c r="O1689" s="241" t="n">
        <v>-35.02</v>
      </c>
      <c r="P1689" s="241" t="n">
        <v>1.05</v>
      </c>
    </row>
    <row r="1690">
      <c r="A1690" s="282" t="inlineStr">
        <is>
          <t>2012-12-11</t>
        </is>
      </c>
      <c r="B1690" s="240">
        <f>IFERROR(1/P1690-1,B1689)</f>
        <v/>
      </c>
      <c r="C1690" s="240">
        <f>$C$3</f>
        <v/>
      </c>
      <c r="D1690" s="240">
        <f>$D$3</f>
        <v/>
      </c>
      <c r="E1690" s="240">
        <f>$E$3</f>
        <v/>
      </c>
      <c r="F1690" s="241" t="n">
        <v>12.36</v>
      </c>
      <c r="G1690" s="242" t="n">
        <v>10262042</v>
      </c>
      <c r="H1690" s="241" t="n">
        <v>-1.83</v>
      </c>
      <c r="I1690" s="241" t="n">
        <v>-5.79</v>
      </c>
      <c r="J1690" s="241" t="n">
        <v>-45.99</v>
      </c>
      <c r="K1690" s="241" t="n">
        <v>11.9</v>
      </c>
      <c r="L1690" s="242" t="n">
        <v>6340900</v>
      </c>
      <c r="M1690" s="241" t="n">
        <v>-0.8100000000000001</v>
      </c>
      <c r="N1690" s="241" t="n">
        <v>9.9</v>
      </c>
      <c r="O1690" s="241" t="n">
        <v>-35.54</v>
      </c>
      <c r="P1690" s="241" t="n">
        <v>1.04</v>
      </c>
    </row>
    <row r="1691">
      <c r="A1691" s="282" t="inlineStr">
        <is>
          <t>2012-12-12</t>
        </is>
      </c>
      <c r="B1691" s="240">
        <f>IFERROR(1/P1691-1,B1690)</f>
        <v/>
      </c>
      <c r="C1691" s="240">
        <f>$C$3</f>
        <v/>
      </c>
      <c r="D1691" s="240">
        <f>$D$3</f>
        <v/>
      </c>
      <c r="E1691" s="240">
        <f>$E$3</f>
        <v/>
      </c>
      <c r="F1691" s="241" t="n">
        <v>12.73</v>
      </c>
      <c r="G1691" s="242" t="n">
        <v>10481474</v>
      </c>
      <c r="H1691" s="241" t="n">
        <v>2.99</v>
      </c>
      <c r="I1691" s="241" t="n">
        <v>-2.97</v>
      </c>
      <c r="J1691" s="241" t="n">
        <v>-44.38</v>
      </c>
      <c r="K1691" s="241" t="n">
        <v>12.5</v>
      </c>
      <c r="L1691" s="242" t="n">
        <v>11496800</v>
      </c>
      <c r="M1691" s="241" t="n">
        <v>5.05</v>
      </c>
      <c r="N1691" s="241" t="n">
        <v>15.44</v>
      </c>
      <c r="O1691" s="241" t="n">
        <v>-32.29</v>
      </c>
      <c r="P1691" s="241" t="n">
        <v>1.02</v>
      </c>
    </row>
    <row r="1692">
      <c r="A1692" s="282" t="inlineStr">
        <is>
          <t>2012-12-13</t>
        </is>
      </c>
      <c r="B1692" s="240">
        <f>IFERROR(1/P1692-1,B1691)</f>
        <v/>
      </c>
      <c r="C1692" s="240">
        <f>$C$3</f>
        <v/>
      </c>
      <c r="D1692" s="240">
        <f>$D$3</f>
        <v/>
      </c>
      <c r="E1692" s="240">
        <f>$E$3</f>
        <v/>
      </c>
      <c r="F1692" s="241" t="n">
        <v>12.42</v>
      </c>
      <c r="G1692" s="242" t="n">
        <v>6457803</v>
      </c>
      <c r="H1692" s="241" t="n">
        <v>-2.44</v>
      </c>
      <c r="I1692" s="241" t="n">
        <v>-6.19</v>
      </c>
      <c r="J1692" s="241" t="n">
        <v>-45.73</v>
      </c>
      <c r="K1692" s="241" t="n">
        <v>12.09</v>
      </c>
      <c r="L1692" s="242" t="n">
        <v>3781100</v>
      </c>
      <c r="M1692" s="241" t="n">
        <v>-3.25</v>
      </c>
      <c r="N1692" s="241" t="n">
        <v>13.22</v>
      </c>
      <c r="O1692" s="241" t="n">
        <v>-34.49</v>
      </c>
      <c r="P1692" s="241" t="n">
        <v>1.03</v>
      </c>
    </row>
    <row r="1693">
      <c r="A1693" s="282" t="inlineStr">
        <is>
          <t>2012-12-14</t>
        </is>
      </c>
      <c r="B1693" s="240">
        <f>IFERROR(1/P1693-1,B1692)</f>
        <v/>
      </c>
      <c r="C1693" s="240">
        <f>$C$3</f>
        <v/>
      </c>
      <c r="D1693" s="240">
        <f>$D$3</f>
        <v/>
      </c>
      <c r="E1693" s="240">
        <f>$E$3</f>
        <v/>
      </c>
      <c r="F1693" s="241" t="n">
        <v>13.01</v>
      </c>
      <c r="G1693" s="242" t="n">
        <v>16460239</v>
      </c>
      <c r="H1693" s="241" t="n">
        <v>4.75</v>
      </c>
      <c r="I1693" s="241" t="n">
        <v>1.01</v>
      </c>
      <c r="J1693" s="241" t="n">
        <v>-43.15</v>
      </c>
      <c r="K1693" s="241" t="n">
        <v>12.29</v>
      </c>
      <c r="L1693" s="242" t="n">
        <v>3399858</v>
      </c>
      <c r="M1693" s="241" t="n">
        <v>1.61</v>
      </c>
      <c r="N1693" s="241" t="n">
        <v>16.46</v>
      </c>
      <c r="O1693" s="241" t="n">
        <v>-33.43</v>
      </c>
      <c r="P1693" s="241" t="n">
        <v>1.06</v>
      </c>
    </row>
    <row r="1694">
      <c r="A1694" s="282" t="inlineStr">
        <is>
          <t>2012-12-17</t>
        </is>
      </c>
      <c r="B1694" s="240">
        <f>IFERROR(1/P1694-1,B1693)</f>
        <v/>
      </c>
      <c r="C1694" s="240">
        <f>$C$3</f>
        <v/>
      </c>
      <c r="D1694" s="240">
        <f>$D$3</f>
        <v/>
      </c>
      <c r="E1694" s="240">
        <f>$E$3</f>
        <v/>
      </c>
      <c r="F1694" s="241" t="n">
        <v>13.16</v>
      </c>
      <c r="G1694" s="242" t="n">
        <v>19175863</v>
      </c>
      <c r="H1694" s="241" t="n">
        <v>1.15</v>
      </c>
      <c r="I1694" s="241" t="n">
        <v>7.17</v>
      </c>
      <c r="J1694" s="241" t="n">
        <v>-42.5</v>
      </c>
      <c r="K1694" s="241" t="n">
        <v>12.19</v>
      </c>
      <c r="L1694" s="242" t="n">
        <v>3200258</v>
      </c>
      <c r="M1694" s="241" t="n">
        <v>-0.79</v>
      </c>
      <c r="N1694" s="241" t="n">
        <v>13.27</v>
      </c>
      <c r="O1694" s="241" t="n">
        <v>-33.96</v>
      </c>
      <c r="P1694" s="241" t="n">
        <v>1.08</v>
      </c>
    </row>
    <row r="1695">
      <c r="A1695" s="282" t="inlineStr">
        <is>
          <t>2012-12-18</t>
        </is>
      </c>
      <c r="B1695" s="240">
        <f>IFERROR(1/P1695-1,B1694)</f>
        <v/>
      </c>
      <c r="C1695" s="240">
        <f>$C$3</f>
        <v/>
      </c>
      <c r="D1695" s="240">
        <f>$D$3</f>
        <v/>
      </c>
      <c r="E1695" s="240">
        <f>$E$3</f>
        <v/>
      </c>
      <c r="F1695" s="241" t="n">
        <v>12.97</v>
      </c>
      <c r="G1695" s="242" t="n">
        <v>13854246</v>
      </c>
      <c r="H1695" s="241" t="n">
        <v>-1.44</v>
      </c>
      <c r="I1695" s="241" t="n">
        <v>5.62</v>
      </c>
      <c r="J1695" s="241" t="n">
        <v>-43.33</v>
      </c>
      <c r="K1695" s="241" t="n">
        <v>12.54</v>
      </c>
      <c r="L1695" s="242" t="n">
        <v>3385852</v>
      </c>
      <c r="M1695" s="241" t="n">
        <v>2.93</v>
      </c>
      <c r="N1695" s="241" t="n">
        <v>16.59</v>
      </c>
      <c r="O1695" s="241" t="n">
        <v>-32.03</v>
      </c>
      <c r="P1695" s="241" t="n">
        <v>1.03</v>
      </c>
    </row>
    <row r="1696">
      <c r="A1696" s="282" t="inlineStr">
        <is>
          <t>2012-12-19</t>
        </is>
      </c>
      <c r="B1696" s="240">
        <f>IFERROR(1/P1696-1,B1695)</f>
        <v/>
      </c>
      <c r="C1696" s="240">
        <f>$C$3</f>
        <v/>
      </c>
      <c r="D1696" s="240">
        <f>$D$3</f>
        <v/>
      </c>
      <c r="E1696" s="240">
        <f>$E$3</f>
        <v/>
      </c>
      <c r="F1696" s="241" t="n">
        <v>13.18</v>
      </c>
      <c r="G1696" s="242" t="n">
        <v>16526300</v>
      </c>
      <c r="H1696" s="241" t="n">
        <v>1.62</v>
      </c>
      <c r="I1696" s="241" t="n">
        <v>7.33</v>
      </c>
      <c r="J1696" s="241" t="n">
        <v>-42.41</v>
      </c>
      <c r="K1696" s="241" t="n">
        <v>13.21</v>
      </c>
      <c r="L1696" s="242" t="n">
        <v>8942340</v>
      </c>
      <c r="M1696" s="241" t="n">
        <v>5.3</v>
      </c>
      <c r="N1696" s="241" t="n">
        <v>22.78</v>
      </c>
      <c r="O1696" s="241" t="n">
        <v>-28.42</v>
      </c>
      <c r="P1696" s="241" t="n">
        <v>1</v>
      </c>
    </row>
    <row r="1697">
      <c r="A1697" s="282" t="inlineStr">
        <is>
          <t>2012-12-20</t>
        </is>
      </c>
      <c r="B1697" s="240">
        <f>IFERROR(1/P1697-1,B1696)</f>
        <v/>
      </c>
      <c r="C1697" s="240">
        <f>$C$3</f>
        <v/>
      </c>
      <c r="D1697" s="240">
        <f>$D$3</f>
        <v/>
      </c>
      <c r="E1697" s="240">
        <f>$E$3</f>
        <v/>
      </c>
      <c r="F1697" s="241" t="n">
        <v>13.26</v>
      </c>
      <c r="G1697" s="242" t="n">
        <v>10102316</v>
      </c>
      <c r="H1697" s="241" t="n">
        <v>0.61</v>
      </c>
      <c r="I1697" s="241" t="n">
        <v>8.33</v>
      </c>
      <c r="J1697" s="241" t="n">
        <v>-42.06</v>
      </c>
      <c r="K1697" s="241" t="n">
        <v>13.06</v>
      </c>
      <c r="L1697" s="242" t="n">
        <v>3336451</v>
      </c>
      <c r="M1697" s="241" t="n">
        <v>-1.11</v>
      </c>
      <c r="N1697" s="241" t="n">
        <v>22.15</v>
      </c>
      <c r="O1697" s="241" t="n">
        <v>-29.21</v>
      </c>
      <c r="P1697" s="241" t="n">
        <v>1.02</v>
      </c>
    </row>
    <row r="1698">
      <c r="A1698" s="282" t="inlineStr">
        <is>
          <t>2012-12-21</t>
        </is>
      </c>
      <c r="B1698" s="240">
        <f>IFERROR(1/P1698-1,B1697)</f>
        <v/>
      </c>
      <c r="C1698" s="240">
        <f>$C$3</f>
        <v/>
      </c>
      <c r="D1698" s="240">
        <f>$D$3</f>
        <v/>
      </c>
      <c r="E1698" s="240">
        <f>$E$3</f>
        <v/>
      </c>
      <c r="F1698" s="241" t="n">
        <v>13.1</v>
      </c>
      <c r="G1698" s="242" t="n">
        <v>11765617</v>
      </c>
      <c r="H1698" s="241" t="n">
        <v>-1.21</v>
      </c>
      <c r="I1698" s="241" t="n">
        <v>6.85</v>
      </c>
      <c r="J1698" s="241" t="n">
        <v>-42.76</v>
      </c>
      <c r="K1698" s="241" t="n">
        <v>12.71</v>
      </c>
      <c r="L1698" s="242" t="n">
        <v>4035800</v>
      </c>
      <c r="M1698" s="241" t="n">
        <v>-2.73</v>
      </c>
      <c r="N1698" s="241" t="n">
        <v>19</v>
      </c>
      <c r="O1698" s="241" t="n">
        <v>-31.15</v>
      </c>
      <c r="P1698" s="241" t="n">
        <v>1.03</v>
      </c>
    </row>
    <row r="1699">
      <c r="A1699" s="282" t="inlineStr">
        <is>
          <t>2012-12-24</t>
        </is>
      </c>
      <c r="B1699" s="240">
        <f>IFERROR(1/P1699-1,B1698)</f>
        <v/>
      </c>
      <c r="C1699" s="240">
        <f>$C$3</f>
        <v/>
      </c>
      <c r="D1699" s="240">
        <f>$D$3</f>
        <v/>
      </c>
      <c r="E1699" s="240">
        <f>$E$3</f>
        <v/>
      </c>
      <c r="F1699" s="241" t="n">
        <v>13.1</v>
      </c>
      <c r="G1699" s="242" t="n">
        <v>5879372</v>
      </c>
      <c r="H1699" s="241" t="n">
        <v>0</v>
      </c>
      <c r="I1699" s="241" t="n">
        <v>6.68</v>
      </c>
      <c r="J1699" s="241" t="n">
        <v>-42.76</v>
      </c>
      <c r="K1699" s="241" t="n">
        <v>12.79</v>
      </c>
      <c r="L1699" s="242" t="n">
        <v>596400</v>
      </c>
      <c r="M1699" s="241" t="n">
        <v>0.64</v>
      </c>
      <c r="N1699" s="241" t="n">
        <v>16.22</v>
      </c>
      <c r="O1699" s="241" t="n">
        <v>-30.71</v>
      </c>
      <c r="P1699" s="241" t="n">
        <v>1.02</v>
      </c>
    </row>
    <row r="1700">
      <c r="A1700" s="282" t="inlineStr">
        <is>
          <t>2012-12-25</t>
        </is>
      </c>
      <c r="B1700" s="240">
        <f>IFERROR(1/P1700-1,B1699)</f>
        <v/>
      </c>
      <c r="C1700" s="240">
        <f>$C$3</f>
        <v/>
      </c>
      <c r="D1700" s="240">
        <f>$D$3</f>
        <v/>
      </c>
      <c r="E1700" s="240">
        <f>$E$3</f>
        <v/>
      </c>
      <c r="F1700" s="241" t="n">
        <v>13.39</v>
      </c>
      <c r="G1700" s="242" t="n">
        <v>13667005</v>
      </c>
      <c r="H1700" s="241" t="n">
        <v>2.21</v>
      </c>
      <c r="I1700" s="241" t="n">
        <v>9.039999999999999</v>
      </c>
      <c r="J1700" s="241" t="n">
        <v>-41.49</v>
      </c>
      <c r="K1700" s="239" t="inlineStr">
        <is>
          <t>--</t>
        </is>
      </c>
      <c r="L1700" s="239" t="inlineStr">
        <is>
          <t>--</t>
        </is>
      </c>
      <c r="M1700" s="239" t="inlineStr">
        <is>
          <t>--</t>
        </is>
      </c>
      <c r="N1700" s="239" t="inlineStr">
        <is>
          <t>--</t>
        </is>
      </c>
      <c r="O1700" s="239" t="inlineStr">
        <is>
          <t>--</t>
        </is>
      </c>
      <c r="P1700" s="239" t="inlineStr">
        <is>
          <t>--</t>
        </is>
      </c>
    </row>
    <row r="1701">
      <c r="A1701" s="282" t="inlineStr">
        <is>
          <t>2012-12-26</t>
        </is>
      </c>
      <c r="B1701" s="240">
        <f>IFERROR(1/P1701-1,B1700)</f>
        <v/>
      </c>
      <c r="C1701" s="240">
        <f>$C$3</f>
        <v/>
      </c>
      <c r="D1701" s="240">
        <f>$D$3</f>
        <v/>
      </c>
      <c r="E1701" s="240">
        <f>$E$3</f>
        <v/>
      </c>
      <c r="F1701" s="241" t="n">
        <v>13.42</v>
      </c>
      <c r="G1701" s="242" t="n">
        <v>9855661</v>
      </c>
      <c r="H1701" s="241" t="n">
        <v>0.22</v>
      </c>
      <c r="I1701" s="241" t="n">
        <v>9.279999999999999</v>
      </c>
      <c r="J1701" s="241" t="n">
        <v>-41.36</v>
      </c>
      <c r="K1701" s="239" t="inlineStr">
        <is>
          <t>--</t>
        </is>
      </c>
      <c r="L1701" s="239" t="inlineStr">
        <is>
          <t>--</t>
        </is>
      </c>
      <c r="M1701" s="239" t="inlineStr">
        <is>
          <t>--</t>
        </is>
      </c>
      <c r="N1701" s="239" t="inlineStr">
        <is>
          <t>--</t>
        </is>
      </c>
      <c r="O1701" s="239" t="inlineStr">
        <is>
          <t>--</t>
        </is>
      </c>
      <c r="P1701" s="239" t="inlineStr">
        <is>
          <t>--</t>
        </is>
      </c>
    </row>
    <row r="1702">
      <c r="A1702" s="282" t="inlineStr">
        <is>
          <t>2012-12-27</t>
        </is>
      </c>
      <c r="B1702" s="240">
        <f>IFERROR(1/P1702-1,B1701)</f>
        <v/>
      </c>
      <c r="C1702" s="240">
        <f>$C$3</f>
        <v/>
      </c>
      <c r="D1702" s="240">
        <f>$D$3</f>
        <v/>
      </c>
      <c r="E1702" s="240">
        <f>$E$3</f>
        <v/>
      </c>
      <c r="F1702" s="241" t="n">
        <v>13.88</v>
      </c>
      <c r="G1702" s="242" t="n">
        <v>27891890</v>
      </c>
      <c r="H1702" s="241" t="n">
        <v>3.43</v>
      </c>
      <c r="I1702" s="241" t="n">
        <v>14.62</v>
      </c>
      <c r="J1702" s="241" t="n">
        <v>-39.35</v>
      </c>
      <c r="K1702" s="241" t="n">
        <v>12.91</v>
      </c>
      <c r="L1702" s="242" t="n">
        <v>1892157</v>
      </c>
      <c r="M1702" s="241" t="n">
        <v>0.89</v>
      </c>
      <c r="N1702" s="241" t="n">
        <v>19.73</v>
      </c>
      <c r="O1702" s="241" t="n">
        <v>-30.09</v>
      </c>
      <c r="P1702" s="241" t="n">
        <v>1.07</v>
      </c>
    </row>
    <row r="1703">
      <c r="A1703" s="282" t="inlineStr">
        <is>
          <t>2012-12-28</t>
        </is>
      </c>
      <c r="B1703" s="240">
        <f>IFERROR(1/P1703-1,B1702)</f>
        <v/>
      </c>
      <c r="C1703" s="240">
        <f>$C$3</f>
        <v/>
      </c>
      <c r="D1703" s="240">
        <f>$D$3</f>
        <v/>
      </c>
      <c r="E1703" s="240">
        <f>$E$3</f>
        <v/>
      </c>
      <c r="F1703" s="241" t="n">
        <v>13.89</v>
      </c>
      <c r="G1703" s="242" t="n">
        <v>12043516</v>
      </c>
      <c r="H1703" s="241" t="n">
        <v>0.07000000000000001</v>
      </c>
      <c r="I1703" s="241" t="n">
        <v>18.52</v>
      </c>
      <c r="J1703" s="241" t="n">
        <v>-39.31</v>
      </c>
      <c r="K1703" s="241" t="n">
        <v>12.87</v>
      </c>
      <c r="L1703" s="242" t="n">
        <v>1676600</v>
      </c>
      <c r="M1703" s="241" t="n">
        <v>-0.25</v>
      </c>
      <c r="N1703" s="241" t="n">
        <v>21.63</v>
      </c>
      <c r="O1703" s="241" t="n">
        <v>-30.27</v>
      </c>
      <c r="P1703" s="241" t="n">
        <v>1.08</v>
      </c>
    </row>
    <row r="1704">
      <c r="A1704" s="282" t="inlineStr">
        <is>
          <t>2012-12-31</t>
        </is>
      </c>
      <c r="B1704" s="240">
        <f>IFERROR(1/P1704-1,B1703)</f>
        <v/>
      </c>
      <c r="C1704" s="240">
        <f>$C$3</f>
        <v/>
      </c>
      <c r="D1704" s="240">
        <f>$D$3</f>
        <v/>
      </c>
      <c r="E1704" s="240">
        <f>$E$3</f>
        <v/>
      </c>
      <c r="F1704" s="241" t="n">
        <v>13.89</v>
      </c>
      <c r="G1704" s="242" t="n">
        <v>15770379</v>
      </c>
      <c r="H1704" s="241" t="n">
        <v>0</v>
      </c>
      <c r="I1704" s="241" t="n">
        <v>22.59</v>
      </c>
      <c r="J1704" s="241" t="n">
        <v>-39.31</v>
      </c>
      <c r="K1704" s="241" t="n">
        <v>12.68</v>
      </c>
      <c r="L1704" s="242" t="n">
        <v>1864200</v>
      </c>
      <c r="M1704" s="241" t="n">
        <v>-1.39</v>
      </c>
      <c r="N1704" s="241" t="n">
        <v>20.12</v>
      </c>
      <c r="O1704" s="241" t="n">
        <v>-31.24</v>
      </c>
      <c r="P1704" s="241" t="n">
        <v>1.1</v>
      </c>
    </row>
    <row r="1705">
      <c r="A1705" s="282" t="inlineStr">
        <is>
          <t>2013-01-04</t>
        </is>
      </c>
      <c r="B1705" s="240">
        <f>IFERROR(1/P1705-1,B1704)</f>
        <v/>
      </c>
      <c r="C1705" s="240">
        <f>$C$3</f>
        <v/>
      </c>
      <c r="D1705" s="240">
        <f>$D$3</f>
        <v/>
      </c>
      <c r="E1705" s="240">
        <f>$E$3</f>
        <v/>
      </c>
      <c r="F1705" s="241" t="n">
        <v>13.66</v>
      </c>
      <c r="G1705" s="242" t="n">
        <v>14755279</v>
      </c>
      <c r="H1705" s="241" t="n">
        <v>-1.66</v>
      </c>
      <c r="I1705" s="241" t="n">
        <v>21.75</v>
      </c>
      <c r="J1705" s="241" t="n">
        <v>-1.66</v>
      </c>
      <c r="K1705" s="241" t="n">
        <v>13.47</v>
      </c>
      <c r="L1705" s="242" t="n">
        <v>3498658</v>
      </c>
      <c r="M1705" s="241" t="n">
        <v>-2.24</v>
      </c>
      <c r="N1705" s="241" t="n">
        <v>27.89</v>
      </c>
      <c r="O1705" s="241" t="n">
        <v>6.14</v>
      </c>
      <c r="P1705" s="241" t="n">
        <v>1.01</v>
      </c>
    </row>
    <row r="1706">
      <c r="A1706" s="282" t="inlineStr">
        <is>
          <t>2013-01-07</t>
        </is>
      </c>
      <c r="B1706" s="240">
        <f>IFERROR(1/P1706-1,B1705)</f>
        <v/>
      </c>
      <c r="C1706" s="240">
        <f>$C$3</f>
        <v/>
      </c>
      <c r="D1706" s="240">
        <f>$D$3</f>
        <v/>
      </c>
      <c r="E1706" s="240">
        <f>$E$3</f>
        <v/>
      </c>
      <c r="F1706" s="241" t="n">
        <v>13.92</v>
      </c>
      <c r="G1706" s="242" t="n">
        <v>11211103</v>
      </c>
      <c r="H1706" s="241" t="n">
        <v>1.9</v>
      </c>
      <c r="I1706" s="241" t="n">
        <v>18.47</v>
      </c>
      <c r="J1706" s="241" t="n">
        <v>0.22</v>
      </c>
      <c r="K1706" s="241" t="n">
        <v>13.79</v>
      </c>
      <c r="L1706" s="242" t="n">
        <v>2651858</v>
      </c>
      <c r="M1706" s="241" t="n">
        <v>2.41</v>
      </c>
      <c r="N1706" s="241" t="n">
        <v>29.38</v>
      </c>
      <c r="O1706" s="241" t="n">
        <v>8.699999999999999</v>
      </c>
      <c r="P1706" s="241" t="n">
        <v>1.01</v>
      </c>
    </row>
    <row r="1707">
      <c r="A1707" s="282" t="inlineStr">
        <is>
          <t>2013-01-08</t>
        </is>
      </c>
      <c r="B1707" s="240">
        <f>IFERROR(1/P1707-1,B1706)</f>
        <v/>
      </c>
      <c r="C1707" s="240">
        <f>$C$3</f>
        <v/>
      </c>
      <c r="D1707" s="240">
        <f>$D$3</f>
        <v/>
      </c>
      <c r="E1707" s="240">
        <f>$E$3</f>
        <v/>
      </c>
      <c r="F1707" s="241" t="n">
        <v>13.73</v>
      </c>
      <c r="G1707" s="242" t="n">
        <v>26229908</v>
      </c>
      <c r="H1707" s="241" t="n">
        <v>-1.36</v>
      </c>
      <c r="I1707" s="241" t="n">
        <v>13.56</v>
      </c>
      <c r="J1707" s="241" t="n">
        <v>-1.15</v>
      </c>
      <c r="K1707" s="241" t="n">
        <v>13.11</v>
      </c>
      <c r="L1707" s="242" t="n">
        <v>6632200</v>
      </c>
      <c r="M1707" s="241" t="n">
        <v>-4.82</v>
      </c>
      <c r="N1707" s="241" t="n">
        <v>20.57</v>
      </c>
      <c r="O1707" s="241" t="n">
        <v>3.45</v>
      </c>
      <c r="P1707" s="241" t="n">
        <v>1.05</v>
      </c>
    </row>
    <row r="1708">
      <c r="A1708" s="282" t="inlineStr">
        <is>
          <t>2013-01-09</t>
        </is>
      </c>
      <c r="B1708" s="240">
        <f>IFERROR(1/P1708-1,B1707)</f>
        <v/>
      </c>
      <c r="C1708" s="240">
        <f>$C$3</f>
        <v/>
      </c>
      <c r="D1708" s="240">
        <f>$D$3</f>
        <v/>
      </c>
      <c r="E1708" s="240">
        <f>$E$3</f>
        <v/>
      </c>
      <c r="F1708" s="241" t="n">
        <v>13.81</v>
      </c>
      <c r="G1708" s="242" t="n">
        <v>13285935</v>
      </c>
      <c r="H1708" s="241" t="n">
        <v>0.58</v>
      </c>
      <c r="I1708" s="241" t="n">
        <v>14.23</v>
      </c>
      <c r="J1708" s="241" t="n">
        <v>-0.58</v>
      </c>
      <c r="K1708" s="241" t="n">
        <v>13.06</v>
      </c>
      <c r="L1708" s="242" t="n">
        <v>5620434</v>
      </c>
      <c r="M1708" s="241" t="n">
        <v>-0.37</v>
      </c>
      <c r="N1708" s="241" t="n">
        <v>20.12</v>
      </c>
      <c r="O1708" s="241" t="n">
        <v>3.07</v>
      </c>
      <c r="P1708" s="241" t="n">
        <v>1.06</v>
      </c>
    </row>
    <row r="1709">
      <c r="A1709" s="282" t="inlineStr">
        <is>
          <t>2013-01-10</t>
        </is>
      </c>
      <c r="B1709" s="240">
        <f>IFERROR(1/P1709-1,B1708)</f>
        <v/>
      </c>
      <c r="C1709" s="240">
        <f>$C$3</f>
        <v/>
      </c>
      <c r="D1709" s="240">
        <f>$D$3</f>
        <v/>
      </c>
      <c r="E1709" s="240">
        <f>$E$3</f>
        <v/>
      </c>
      <c r="F1709" s="241" t="n">
        <v>14.79</v>
      </c>
      <c r="G1709" s="242" t="n">
        <v>45283732</v>
      </c>
      <c r="H1709" s="241" t="n">
        <v>7.1</v>
      </c>
      <c r="I1709" s="241" t="n">
        <v>22.33</v>
      </c>
      <c r="J1709" s="241" t="n">
        <v>6.48</v>
      </c>
      <c r="K1709" s="241" t="n">
        <v>13.62</v>
      </c>
      <c r="L1709" s="242" t="n">
        <v>11167400</v>
      </c>
      <c r="M1709" s="241" t="n">
        <v>4.34</v>
      </c>
      <c r="N1709" s="241" t="n">
        <v>25.34</v>
      </c>
      <c r="O1709" s="241" t="n">
        <v>7.54</v>
      </c>
      <c r="P1709" s="241" t="n">
        <v>1.09</v>
      </c>
    </row>
    <row r="1710">
      <c r="A1710" s="282" t="inlineStr">
        <is>
          <t>2013-01-11</t>
        </is>
      </c>
      <c r="B1710" s="240">
        <f>IFERROR(1/P1710-1,B1709)</f>
        <v/>
      </c>
      <c r="C1710" s="240">
        <f>$C$3</f>
        <v/>
      </c>
      <c r="D1710" s="240">
        <f>$D$3</f>
        <v/>
      </c>
      <c r="E1710" s="240">
        <f>$E$3</f>
        <v/>
      </c>
      <c r="F1710" s="241" t="n">
        <v>14.34</v>
      </c>
      <c r="G1710" s="242" t="n">
        <v>23449703</v>
      </c>
      <c r="H1710" s="241" t="n">
        <v>-3.04</v>
      </c>
      <c r="I1710" s="241" t="n">
        <v>13.9</v>
      </c>
      <c r="J1710" s="241" t="n">
        <v>3.24</v>
      </c>
      <c r="K1710" s="241" t="n">
        <v>13.3</v>
      </c>
      <c r="L1710" s="242" t="n">
        <v>4026144</v>
      </c>
      <c r="M1710" s="241" t="n">
        <v>-2.26</v>
      </c>
      <c r="N1710" s="241" t="n">
        <v>11.23</v>
      </c>
      <c r="O1710" s="241" t="n">
        <v>5.12</v>
      </c>
      <c r="P1710" s="241" t="n">
        <v>1.08</v>
      </c>
    </row>
    <row r="1711">
      <c r="A1711" s="282" t="inlineStr">
        <is>
          <t>2013-01-14</t>
        </is>
      </c>
      <c r="B1711" s="240">
        <f>IFERROR(1/P1711-1,B1710)</f>
        <v/>
      </c>
      <c r="C1711" s="240">
        <f>$C$3</f>
        <v/>
      </c>
      <c r="D1711" s="240">
        <f>$D$3</f>
        <v/>
      </c>
      <c r="E1711" s="240">
        <f>$E$3</f>
        <v/>
      </c>
      <c r="F1711" s="241" t="n">
        <v>14.79</v>
      </c>
      <c r="G1711" s="242" t="n">
        <v>21974441</v>
      </c>
      <c r="H1711" s="241" t="n">
        <v>3.14</v>
      </c>
      <c r="I1711" s="241" t="n">
        <v>19.08</v>
      </c>
      <c r="J1711" s="241" t="n">
        <v>6.48</v>
      </c>
      <c r="K1711" s="241" t="n">
        <v>13.02</v>
      </c>
      <c r="L1711" s="242" t="n">
        <v>7370605</v>
      </c>
      <c r="M1711" s="241" t="n">
        <v>-2.07</v>
      </c>
      <c r="N1711" s="241" t="n">
        <v>8.050000000000001</v>
      </c>
      <c r="O1711" s="241" t="n">
        <v>2.94</v>
      </c>
      <c r="P1711" s="241" t="n">
        <v>1.14</v>
      </c>
    </row>
    <row r="1712">
      <c r="A1712" s="282" t="inlineStr">
        <is>
          <t>2013-01-15</t>
        </is>
      </c>
      <c r="B1712" s="240">
        <f>IFERROR(1/P1712-1,B1711)</f>
        <v/>
      </c>
      <c r="C1712" s="240">
        <f>$C$3</f>
        <v/>
      </c>
      <c r="D1712" s="240">
        <f>$D$3</f>
        <v/>
      </c>
      <c r="E1712" s="240">
        <f>$E$3</f>
        <v/>
      </c>
      <c r="F1712" s="241" t="n">
        <v>14.96</v>
      </c>
      <c r="G1712" s="242" t="n">
        <v>20985267</v>
      </c>
      <c r="H1712" s="241" t="n">
        <v>1.15</v>
      </c>
      <c r="I1712" s="241" t="n">
        <v>14.99</v>
      </c>
      <c r="J1712" s="241" t="n">
        <v>7.7</v>
      </c>
      <c r="K1712" s="241" t="n">
        <v>12.97</v>
      </c>
      <c r="L1712" s="242" t="n">
        <v>7011518</v>
      </c>
      <c r="M1712" s="241" t="n">
        <v>-0.37</v>
      </c>
      <c r="N1712" s="241" t="n">
        <v>5.94</v>
      </c>
      <c r="O1712" s="241" t="n">
        <v>2.56</v>
      </c>
      <c r="P1712" s="241" t="n">
        <v>1.15</v>
      </c>
    </row>
    <row r="1713">
      <c r="A1713" s="282" t="inlineStr">
        <is>
          <t>2013-01-16</t>
        </is>
      </c>
      <c r="B1713" s="240">
        <f>IFERROR(1/P1713-1,B1712)</f>
        <v/>
      </c>
      <c r="C1713" s="240">
        <f>$C$3</f>
        <v/>
      </c>
      <c r="D1713" s="240">
        <f>$D$3</f>
        <v/>
      </c>
      <c r="E1713" s="240">
        <f>$E$3</f>
        <v/>
      </c>
      <c r="F1713" s="241" t="n">
        <v>14.96</v>
      </c>
      <c r="G1713" s="242" t="n">
        <v>18670326</v>
      </c>
      <c r="H1713" s="241" t="n">
        <v>0</v>
      </c>
      <c r="I1713" s="241" t="n">
        <v>14.99</v>
      </c>
      <c r="J1713" s="241" t="n">
        <v>7.7</v>
      </c>
      <c r="K1713" s="241" t="n">
        <v>12.56</v>
      </c>
      <c r="L1713" s="242" t="n">
        <v>8768912</v>
      </c>
      <c r="M1713" s="241" t="n">
        <v>-3.24</v>
      </c>
      <c r="N1713" s="241" t="n">
        <v>2.51</v>
      </c>
      <c r="O1713" s="241" t="n">
        <v>-0.77</v>
      </c>
      <c r="P1713" s="241" t="n">
        <v>1.19</v>
      </c>
    </row>
    <row r="1714">
      <c r="A1714" s="282" t="inlineStr">
        <is>
          <t>2013-01-17</t>
        </is>
      </c>
      <c r="B1714" s="240">
        <f>IFERROR(1/P1714-1,B1713)</f>
        <v/>
      </c>
      <c r="C1714" s="240">
        <f>$C$3</f>
        <v/>
      </c>
      <c r="D1714" s="240">
        <f>$D$3</f>
        <v/>
      </c>
      <c r="E1714" s="240">
        <f>$E$3</f>
        <v/>
      </c>
      <c r="F1714" s="241" t="n">
        <v>14.54</v>
      </c>
      <c r="G1714" s="242" t="n">
        <v>14575689</v>
      </c>
      <c r="H1714" s="241" t="n">
        <v>-2.81</v>
      </c>
      <c r="I1714" s="241" t="n">
        <v>11.76</v>
      </c>
      <c r="J1714" s="241" t="n">
        <v>4.68</v>
      </c>
      <c r="K1714" s="241" t="n">
        <v>12.34</v>
      </c>
      <c r="L1714" s="242" t="n">
        <v>6167800</v>
      </c>
      <c r="M1714" s="241" t="n">
        <v>-1.8</v>
      </c>
      <c r="N1714" s="241" t="n">
        <v>0.66</v>
      </c>
      <c r="O1714" s="241" t="n">
        <v>-2.56</v>
      </c>
      <c r="P1714" s="241" t="n">
        <v>1.18</v>
      </c>
    </row>
    <row r="1715">
      <c r="A1715" s="282" t="inlineStr">
        <is>
          <t>2013-01-18</t>
        </is>
      </c>
      <c r="B1715" s="240">
        <f>IFERROR(1/P1715-1,B1714)</f>
        <v/>
      </c>
      <c r="C1715" s="240">
        <f>$C$3</f>
        <v/>
      </c>
      <c r="D1715" s="240">
        <f>$D$3</f>
        <v/>
      </c>
      <c r="E1715" s="240">
        <f>$E$3</f>
        <v/>
      </c>
      <c r="F1715" s="241" t="n">
        <v>14.68</v>
      </c>
      <c r="G1715" s="242" t="n">
        <v>14958803</v>
      </c>
      <c r="H1715" s="241" t="n">
        <v>0.96</v>
      </c>
      <c r="I1715" s="241" t="n">
        <v>11.55</v>
      </c>
      <c r="J1715" s="241" t="n">
        <v>5.69</v>
      </c>
      <c r="K1715" s="241" t="n">
        <v>12.68</v>
      </c>
      <c r="L1715" s="242" t="n">
        <v>5212775</v>
      </c>
      <c r="M1715" s="241" t="n">
        <v>2.76</v>
      </c>
      <c r="N1715" s="241" t="n">
        <v>4.26</v>
      </c>
      <c r="O1715" s="241" t="n">
        <v>0.13</v>
      </c>
      <c r="P1715" s="241" t="n">
        <v>1.16</v>
      </c>
    </row>
    <row r="1716">
      <c r="A1716" s="282" t="inlineStr">
        <is>
          <t>2013-01-21</t>
        </is>
      </c>
      <c r="B1716" s="240">
        <f>IFERROR(1/P1716-1,B1715)</f>
        <v/>
      </c>
      <c r="C1716" s="240">
        <f>$C$3</f>
        <v/>
      </c>
      <c r="D1716" s="240">
        <f>$D$3</f>
        <v/>
      </c>
      <c r="E1716" s="240">
        <f>$E$3</f>
        <v/>
      </c>
      <c r="F1716" s="241" t="n">
        <v>14.77</v>
      </c>
      <c r="G1716" s="242" t="n">
        <v>12429988</v>
      </c>
      <c r="H1716" s="241" t="n">
        <v>0.61</v>
      </c>
      <c r="I1716" s="241" t="n">
        <v>11.39</v>
      </c>
      <c r="J1716" s="241" t="n">
        <v>6.34</v>
      </c>
      <c r="K1716" s="241" t="n">
        <v>12.49</v>
      </c>
      <c r="L1716" s="242" t="n">
        <v>3642100</v>
      </c>
      <c r="M1716" s="241" t="n">
        <v>-1.53</v>
      </c>
      <c r="N1716" s="241" t="n">
        <v>-4.22</v>
      </c>
      <c r="O1716" s="241" t="n">
        <v>-1.41</v>
      </c>
      <c r="P1716" s="241" t="n">
        <v>1.18</v>
      </c>
    </row>
    <row r="1717">
      <c r="A1717" s="282" t="inlineStr">
        <is>
          <t>2013-01-22</t>
        </is>
      </c>
      <c r="B1717" s="240">
        <f>IFERROR(1/P1717-1,B1716)</f>
        <v/>
      </c>
      <c r="C1717" s="240">
        <f>$C$3</f>
        <v/>
      </c>
      <c r="D1717" s="240">
        <f>$D$3</f>
        <v/>
      </c>
      <c r="E1717" s="240">
        <f>$E$3</f>
        <v/>
      </c>
      <c r="F1717" s="241" t="n">
        <v>14.29</v>
      </c>
      <c r="G1717" s="242" t="n">
        <v>16696911</v>
      </c>
      <c r="H1717" s="241" t="n">
        <v>-3.25</v>
      </c>
      <c r="I1717" s="241" t="n">
        <v>9.08</v>
      </c>
      <c r="J1717" s="241" t="n">
        <v>2.88</v>
      </c>
      <c r="K1717" s="241" t="n">
        <v>12.51</v>
      </c>
      <c r="L1717" s="242" t="n">
        <v>2929000</v>
      </c>
      <c r="M1717" s="241" t="n">
        <v>0.13</v>
      </c>
      <c r="N1717" s="241" t="n">
        <v>-1.4</v>
      </c>
      <c r="O1717" s="241" t="n">
        <v>-1.28</v>
      </c>
      <c r="P1717" s="241" t="n">
        <v>1.14</v>
      </c>
    </row>
    <row r="1718">
      <c r="A1718" s="282" t="inlineStr">
        <is>
          <t>2013-01-23</t>
        </is>
      </c>
      <c r="B1718" s="240">
        <f>IFERROR(1/P1718-1,B1717)</f>
        <v/>
      </c>
      <c r="C1718" s="240">
        <f>$C$3</f>
        <v/>
      </c>
      <c r="D1718" s="240">
        <f>$D$3</f>
        <v/>
      </c>
      <c r="E1718" s="240">
        <f>$E$3</f>
        <v/>
      </c>
      <c r="F1718" s="241" t="n">
        <v>14.3</v>
      </c>
      <c r="G1718" s="242" t="n">
        <v>7843305</v>
      </c>
      <c r="H1718" s="241" t="n">
        <v>0.07000000000000001</v>
      </c>
      <c r="I1718" s="241" t="n">
        <v>9.16</v>
      </c>
      <c r="J1718" s="241" t="n">
        <v>2.95</v>
      </c>
      <c r="K1718" s="241" t="n">
        <v>12.42</v>
      </c>
      <c r="L1718" s="242" t="n">
        <v>3782141</v>
      </c>
      <c r="M1718" s="241" t="n">
        <v>-0.65</v>
      </c>
      <c r="N1718" s="241" t="n">
        <v>-2.04</v>
      </c>
      <c r="O1718" s="241" t="n">
        <v>-1.92</v>
      </c>
      <c r="P1718" s="241" t="n">
        <v>1.15</v>
      </c>
    </row>
    <row r="1719">
      <c r="A1719" s="282" t="inlineStr">
        <is>
          <t>2013-01-24</t>
        </is>
      </c>
      <c r="B1719" s="240">
        <f>IFERROR(1/P1719-1,B1718)</f>
        <v/>
      </c>
      <c r="C1719" s="240">
        <f>$C$3</f>
        <v/>
      </c>
      <c r="D1719" s="240">
        <f>$D$3</f>
        <v/>
      </c>
      <c r="E1719" s="240">
        <f>$E$3</f>
        <v/>
      </c>
      <c r="F1719" s="241" t="n">
        <v>13.98</v>
      </c>
      <c r="G1719" s="242" t="n">
        <v>14472312</v>
      </c>
      <c r="H1719" s="241" t="n">
        <v>-2.24</v>
      </c>
      <c r="I1719" s="241" t="n">
        <v>6.72</v>
      </c>
      <c r="J1719" s="241" t="n">
        <v>0.65</v>
      </c>
      <c r="K1719" s="241" t="n">
        <v>12.42</v>
      </c>
      <c r="L1719" s="242" t="n">
        <v>2886879</v>
      </c>
      <c r="M1719" s="241" t="n">
        <v>0</v>
      </c>
      <c r="N1719" s="241" t="n">
        <v>-2.04</v>
      </c>
      <c r="O1719" s="241" t="n">
        <v>-1.92</v>
      </c>
      <c r="P1719" s="241" t="n">
        <v>1.13</v>
      </c>
    </row>
    <row r="1720">
      <c r="A1720" s="282" t="inlineStr">
        <is>
          <t>2013-01-25</t>
        </is>
      </c>
      <c r="B1720" s="240">
        <f>IFERROR(1/P1720-1,B1719)</f>
        <v/>
      </c>
      <c r="C1720" s="240">
        <f>$C$3</f>
        <v/>
      </c>
      <c r="D1720" s="240">
        <f>$D$3</f>
        <v/>
      </c>
      <c r="E1720" s="240">
        <f>$E$3</f>
        <v/>
      </c>
      <c r="F1720" s="241" t="n">
        <v>13.75</v>
      </c>
      <c r="G1720" s="242" t="n">
        <v>8584984</v>
      </c>
      <c r="H1720" s="241" t="n">
        <v>-1.65</v>
      </c>
      <c r="I1720" s="241" t="n">
        <v>4.96</v>
      </c>
      <c r="J1720" s="241" t="n">
        <v>-1.01</v>
      </c>
      <c r="K1720" s="241" t="n">
        <v>11.91</v>
      </c>
      <c r="L1720" s="242" t="n">
        <v>5368600</v>
      </c>
      <c r="M1720" s="241" t="n">
        <v>-4.17</v>
      </c>
      <c r="N1720" s="241" t="n">
        <v>-6.73</v>
      </c>
      <c r="O1720" s="241" t="n">
        <v>-6.01</v>
      </c>
      <c r="P1720" s="241" t="n">
        <v>1.15</v>
      </c>
    </row>
    <row r="1721">
      <c r="A1721" s="282" t="inlineStr">
        <is>
          <t>2013-01-28</t>
        </is>
      </c>
      <c r="B1721" s="240">
        <f>IFERROR(1/P1721-1,B1720)</f>
        <v/>
      </c>
      <c r="C1721" s="240">
        <f>$C$3</f>
        <v/>
      </c>
      <c r="D1721" s="240">
        <f>$D$3</f>
        <v/>
      </c>
      <c r="E1721" s="240">
        <f>$E$3</f>
        <v/>
      </c>
      <c r="F1721" s="241" t="n">
        <v>14.07</v>
      </c>
      <c r="G1721" s="242" t="n">
        <v>10735576</v>
      </c>
      <c r="H1721" s="241" t="n">
        <v>2.33</v>
      </c>
      <c r="I1721" s="241" t="n">
        <v>1.37</v>
      </c>
      <c r="J1721" s="241" t="n">
        <v>1.3</v>
      </c>
      <c r="K1721" s="241" t="n">
        <v>11.83</v>
      </c>
      <c r="L1721" s="242" t="n">
        <v>4781600</v>
      </c>
      <c r="M1721" s="241" t="n">
        <v>-0.68</v>
      </c>
      <c r="N1721" s="241" t="n">
        <v>-8.18</v>
      </c>
      <c r="O1721" s="241" t="n">
        <v>-6.65</v>
      </c>
      <c r="P1721" s="241" t="n">
        <v>1.19</v>
      </c>
    </row>
    <row r="1722">
      <c r="A1722" s="282" t="inlineStr">
        <is>
          <t>2013-01-29</t>
        </is>
      </c>
      <c r="B1722" s="240">
        <f>IFERROR(1/P1722-1,B1721)</f>
        <v/>
      </c>
      <c r="C1722" s="240">
        <f>$C$3</f>
        <v/>
      </c>
      <c r="D1722" s="240">
        <f>$D$3</f>
        <v/>
      </c>
      <c r="E1722" s="240">
        <f>$E$3</f>
        <v/>
      </c>
      <c r="F1722" s="241" t="n">
        <v>14.15</v>
      </c>
      <c r="G1722" s="242" t="n">
        <v>10329327</v>
      </c>
      <c r="H1722" s="241" t="n">
        <v>0.57</v>
      </c>
      <c r="I1722" s="241" t="n">
        <v>1.87</v>
      </c>
      <c r="J1722" s="241" t="n">
        <v>1.87</v>
      </c>
      <c r="K1722" s="241" t="n">
        <v>11.99</v>
      </c>
      <c r="L1722" s="242" t="n">
        <v>1723640</v>
      </c>
      <c r="M1722" s="241" t="n">
        <v>1.37</v>
      </c>
      <c r="N1722" s="241" t="n">
        <v>-6.68</v>
      </c>
      <c r="O1722" s="241" t="n">
        <v>-5.37</v>
      </c>
      <c r="P1722" s="241" t="n">
        <v>1.18</v>
      </c>
    </row>
    <row r="1723">
      <c r="A1723" s="282" t="inlineStr">
        <is>
          <t>2013-01-30</t>
        </is>
      </c>
      <c r="B1723" s="240">
        <f>IFERROR(1/P1723-1,B1722)</f>
        <v/>
      </c>
      <c r="C1723" s="240">
        <f>$C$3</f>
        <v/>
      </c>
      <c r="D1723" s="240">
        <f>$D$3</f>
        <v/>
      </c>
      <c r="E1723" s="240">
        <f>$E$3</f>
        <v/>
      </c>
      <c r="F1723" s="241" t="n">
        <v>14.14</v>
      </c>
      <c r="G1723" s="242" t="n">
        <v>10086660</v>
      </c>
      <c r="H1723" s="241" t="n">
        <v>-0.07000000000000001</v>
      </c>
      <c r="I1723" s="241" t="n">
        <v>1.8</v>
      </c>
      <c r="J1723" s="241" t="n">
        <v>1.8</v>
      </c>
      <c r="K1723" s="241" t="n">
        <v>12.13</v>
      </c>
      <c r="L1723" s="242" t="n">
        <v>1976400</v>
      </c>
      <c r="M1723" s="241" t="n">
        <v>1.22</v>
      </c>
      <c r="N1723" s="241" t="n">
        <v>-5.55</v>
      </c>
      <c r="O1723" s="241" t="n">
        <v>-4.22</v>
      </c>
      <c r="P1723" s="241" t="n">
        <v>1.17</v>
      </c>
    </row>
    <row r="1724">
      <c r="A1724" s="282" t="inlineStr">
        <is>
          <t>2013-01-31</t>
        </is>
      </c>
      <c r="B1724" s="240">
        <f>IFERROR(1/P1724-1,B1723)</f>
        <v/>
      </c>
      <c r="C1724" s="240">
        <f>$C$3</f>
        <v/>
      </c>
      <c r="D1724" s="240">
        <f>$D$3</f>
        <v/>
      </c>
      <c r="E1724" s="240">
        <f>$E$3</f>
        <v/>
      </c>
      <c r="F1724" s="241" t="n">
        <v>14.55</v>
      </c>
      <c r="G1724" s="242" t="n">
        <v>17997288</v>
      </c>
      <c r="H1724" s="241" t="n">
        <v>2.9</v>
      </c>
      <c r="I1724" s="241" t="n">
        <v>4.75</v>
      </c>
      <c r="J1724" s="241" t="n">
        <v>4.75</v>
      </c>
      <c r="K1724" s="241" t="n">
        <v>12.16</v>
      </c>
      <c r="L1724" s="242" t="n">
        <v>3056000</v>
      </c>
      <c r="M1724" s="241" t="n">
        <v>0.27</v>
      </c>
      <c r="N1724" s="241" t="n">
        <v>-5.3</v>
      </c>
      <c r="O1724" s="241" t="n">
        <v>-3.96</v>
      </c>
      <c r="P1724" s="241" t="n">
        <v>1.2</v>
      </c>
    </row>
    <row r="1725">
      <c r="A1725" s="282" t="inlineStr">
        <is>
          <t>2013-02-01</t>
        </is>
      </c>
      <c r="B1725" s="240">
        <f>IFERROR(1/P1725-1,B1724)</f>
        <v/>
      </c>
      <c r="C1725" s="240">
        <f>$C$3</f>
        <v/>
      </c>
      <c r="D1725" s="240">
        <f>$D$3</f>
        <v/>
      </c>
      <c r="E1725" s="240">
        <f>$E$3</f>
        <v/>
      </c>
      <c r="F1725" s="241" t="n">
        <v>14.52</v>
      </c>
      <c r="G1725" s="242" t="n">
        <v>10146233</v>
      </c>
      <c r="H1725" s="241" t="n">
        <v>-0.21</v>
      </c>
      <c r="I1725" s="241" t="n">
        <v>4.54</v>
      </c>
      <c r="J1725" s="241" t="n">
        <v>4.54</v>
      </c>
      <c r="K1725" s="241" t="n">
        <v>12.07</v>
      </c>
      <c r="L1725" s="242" t="n">
        <v>2382800</v>
      </c>
      <c r="M1725" s="241" t="n">
        <v>-0.8</v>
      </c>
      <c r="N1725" s="241" t="n">
        <v>-4.73</v>
      </c>
      <c r="O1725" s="241" t="n">
        <v>-4.73</v>
      </c>
      <c r="P1725" s="241" t="n">
        <v>1.2</v>
      </c>
    </row>
    <row r="1726">
      <c r="A1726" s="282" t="inlineStr">
        <is>
          <t>2013-02-04</t>
        </is>
      </c>
      <c r="B1726" s="240">
        <f>IFERROR(1/P1726-1,B1725)</f>
        <v/>
      </c>
      <c r="C1726" s="240">
        <f>$C$3</f>
        <v/>
      </c>
      <c r="D1726" s="240">
        <f>$D$3</f>
        <v/>
      </c>
      <c r="E1726" s="240">
        <f>$E$3</f>
        <v/>
      </c>
      <c r="F1726" s="241" t="n">
        <v>14.19</v>
      </c>
      <c r="G1726" s="242" t="n">
        <v>14944701</v>
      </c>
      <c r="H1726" s="241" t="n">
        <v>-2.27</v>
      </c>
      <c r="I1726" s="241" t="n">
        <v>2.16</v>
      </c>
      <c r="J1726" s="241" t="n">
        <v>2.16</v>
      </c>
      <c r="K1726" s="241" t="n">
        <v>12.04</v>
      </c>
      <c r="L1726" s="242" t="n">
        <v>2272980</v>
      </c>
      <c r="M1726" s="241" t="n">
        <v>-0.27</v>
      </c>
      <c r="N1726" s="241" t="n">
        <v>-12.49</v>
      </c>
      <c r="O1726" s="241" t="n">
        <v>-4.99</v>
      </c>
      <c r="P1726" s="241" t="n">
        <v>1.18</v>
      </c>
    </row>
    <row r="1727">
      <c r="A1727" s="282" t="inlineStr">
        <is>
          <t>2013-02-05</t>
        </is>
      </c>
      <c r="B1727" s="240">
        <f>IFERROR(1/P1727-1,B1726)</f>
        <v/>
      </c>
      <c r="C1727" s="240">
        <f>$C$3</f>
        <v/>
      </c>
      <c r="D1727" s="240">
        <f>$D$3</f>
        <v/>
      </c>
      <c r="E1727" s="240">
        <f>$E$3</f>
        <v/>
      </c>
      <c r="F1727" s="241" t="n">
        <v>14.3</v>
      </c>
      <c r="G1727" s="242" t="n">
        <v>10904492</v>
      </c>
      <c r="H1727" s="241" t="n">
        <v>0.78</v>
      </c>
      <c r="I1727" s="241" t="n">
        <v>4.69</v>
      </c>
      <c r="J1727" s="241" t="n">
        <v>2.95</v>
      </c>
      <c r="K1727" s="241" t="n">
        <v>11.82</v>
      </c>
      <c r="L1727" s="242" t="n">
        <v>966923</v>
      </c>
      <c r="M1727" s="241" t="n">
        <v>-1.88</v>
      </c>
      <c r="N1727" s="241" t="n">
        <v>-12.17</v>
      </c>
      <c r="O1727" s="241" t="n">
        <v>-6.78</v>
      </c>
      <c r="P1727" s="241" t="n">
        <v>1.21</v>
      </c>
    </row>
    <row r="1728">
      <c r="A1728" s="282" t="inlineStr">
        <is>
          <t>2013-02-06</t>
        </is>
      </c>
      <c r="B1728" s="240">
        <f>IFERROR(1/P1728-1,B1727)</f>
        <v/>
      </c>
      <c r="C1728" s="240">
        <f>$C$3</f>
        <v/>
      </c>
      <c r="D1728" s="240">
        <f>$D$3</f>
        <v/>
      </c>
      <c r="E1728" s="240">
        <f>$E$3</f>
        <v/>
      </c>
      <c r="F1728" s="241" t="n">
        <v>14.64</v>
      </c>
      <c r="G1728" s="242" t="n">
        <v>16568911</v>
      </c>
      <c r="H1728" s="241" t="n">
        <v>2.38</v>
      </c>
      <c r="I1728" s="241" t="n">
        <v>7.17</v>
      </c>
      <c r="J1728" s="241" t="n">
        <v>5.4</v>
      </c>
      <c r="K1728" s="241" t="n">
        <v>12.15</v>
      </c>
      <c r="L1728" s="242" t="n">
        <v>1900100</v>
      </c>
      <c r="M1728" s="241" t="n">
        <v>2.74</v>
      </c>
      <c r="N1728" s="241" t="n">
        <v>-9.76</v>
      </c>
      <c r="O1728" s="241" t="n">
        <v>-4.22</v>
      </c>
      <c r="P1728" s="241" t="n">
        <v>1.21</v>
      </c>
    </row>
    <row r="1729">
      <c r="A1729" s="282" t="inlineStr">
        <is>
          <t>2013-02-07</t>
        </is>
      </c>
      <c r="B1729" s="240">
        <f>IFERROR(1/P1729-1,B1728)</f>
        <v/>
      </c>
      <c r="C1729" s="240">
        <f>$C$3</f>
        <v/>
      </c>
      <c r="D1729" s="240">
        <f>$D$3</f>
        <v/>
      </c>
      <c r="E1729" s="240">
        <f>$E$3</f>
        <v/>
      </c>
      <c r="F1729" s="241" t="n">
        <v>14.6</v>
      </c>
      <c r="G1729" s="242" t="n">
        <v>11412015</v>
      </c>
      <c r="H1729" s="241" t="n">
        <v>-0.27</v>
      </c>
      <c r="I1729" s="241" t="n">
        <v>6.88</v>
      </c>
      <c r="J1729" s="241" t="n">
        <v>5.11</v>
      </c>
      <c r="K1729" s="241" t="n">
        <v>12.04</v>
      </c>
      <c r="L1729" s="242" t="n">
        <v>595200</v>
      </c>
      <c r="M1729" s="241" t="n">
        <v>-0.93</v>
      </c>
      <c r="N1729" s="241" t="n">
        <v>-10.6</v>
      </c>
      <c r="O1729" s="241" t="n">
        <v>-5.12</v>
      </c>
      <c r="P1729" s="241" t="n">
        <v>1.21</v>
      </c>
    </row>
    <row r="1730">
      <c r="A1730" s="282" t="inlineStr">
        <is>
          <t>2013-02-08</t>
        </is>
      </c>
      <c r="B1730" s="240">
        <f>IFERROR(1/P1730-1,B1729)</f>
        <v/>
      </c>
      <c r="C1730" s="240">
        <f>$C$3</f>
        <v/>
      </c>
      <c r="D1730" s="240">
        <f>$D$3</f>
        <v/>
      </c>
      <c r="E1730" s="240">
        <f>$E$3</f>
        <v/>
      </c>
      <c r="F1730" s="241" t="n">
        <v>14.7</v>
      </c>
      <c r="G1730" s="242" t="n">
        <v>13291691</v>
      </c>
      <c r="H1730" s="241" t="n">
        <v>0.68</v>
      </c>
      <c r="I1730" s="241" t="n">
        <v>5.6</v>
      </c>
      <c r="J1730" s="241" t="n">
        <v>5.83</v>
      </c>
      <c r="K1730" s="241" t="n">
        <v>12</v>
      </c>
      <c r="L1730" s="242" t="n">
        <v>464600</v>
      </c>
      <c r="M1730" s="241" t="n">
        <v>-0.13</v>
      </c>
      <c r="N1730" s="241" t="n">
        <v>-12.82</v>
      </c>
      <c r="O1730" s="241" t="n">
        <v>-5.24</v>
      </c>
      <c r="P1730" s="241" t="n">
        <v>1.23</v>
      </c>
    </row>
    <row r="1731">
      <c r="A1731" s="282" t="inlineStr">
        <is>
          <t>2013-02-18</t>
        </is>
      </c>
      <c r="B1731" s="240">
        <f>IFERROR(1/P1731-1,B1730)</f>
        <v/>
      </c>
      <c r="C1731" s="240">
        <f>$C$3</f>
        <v/>
      </c>
      <c r="D1731" s="240">
        <f>$D$3</f>
        <v/>
      </c>
      <c r="E1731" s="240">
        <f>$E$3</f>
        <v/>
      </c>
      <c r="F1731" s="241" t="n">
        <v>15.02</v>
      </c>
      <c r="G1731" s="242" t="n">
        <v>17767572</v>
      </c>
      <c r="H1731" s="241" t="n">
        <v>2.18</v>
      </c>
      <c r="I1731" s="241" t="n">
        <v>3.3</v>
      </c>
      <c r="J1731" s="241" t="n">
        <v>8.140000000000001</v>
      </c>
      <c r="K1731" s="241" t="n">
        <v>12.39</v>
      </c>
      <c r="L1731" s="242" t="n">
        <v>1556400</v>
      </c>
      <c r="M1731" s="241" t="n">
        <v>0</v>
      </c>
      <c r="N1731" s="241" t="n">
        <v>0.39</v>
      </c>
      <c r="O1731" s="241" t="n">
        <v>-2.17</v>
      </c>
      <c r="P1731" s="241" t="n">
        <v>1.21</v>
      </c>
    </row>
    <row r="1732">
      <c r="A1732" s="282" t="inlineStr">
        <is>
          <t>2013-02-19</t>
        </is>
      </c>
      <c r="B1732" s="240">
        <f>IFERROR(1/P1732-1,B1731)</f>
        <v/>
      </c>
      <c r="C1732" s="240">
        <f>$C$3</f>
        <v/>
      </c>
      <c r="D1732" s="240">
        <f>$D$3</f>
        <v/>
      </c>
      <c r="E1732" s="240">
        <f>$E$3</f>
        <v/>
      </c>
      <c r="F1732" s="241" t="n">
        <v>15.12</v>
      </c>
      <c r="G1732" s="242" t="n">
        <v>24301347</v>
      </c>
      <c r="H1732" s="241" t="n">
        <v>0.67</v>
      </c>
      <c r="I1732" s="241" t="n">
        <v>3</v>
      </c>
      <c r="J1732" s="241" t="n">
        <v>8.859999999999999</v>
      </c>
      <c r="K1732" s="241" t="n">
        <v>12.15</v>
      </c>
      <c r="L1732" s="242" t="n">
        <v>2147600</v>
      </c>
      <c r="M1732" s="241" t="n">
        <v>-1.96</v>
      </c>
      <c r="N1732" s="241" t="n">
        <v>-4.21</v>
      </c>
      <c r="O1732" s="241" t="n">
        <v>-4.09</v>
      </c>
      <c r="P1732" s="241" t="n">
        <v>1.24</v>
      </c>
    </row>
    <row r="1733">
      <c r="A1733" s="282" t="inlineStr">
        <is>
          <t>2013-02-20</t>
        </is>
      </c>
      <c r="B1733" s="240">
        <f>IFERROR(1/P1733-1,B1732)</f>
        <v/>
      </c>
      <c r="C1733" s="240">
        <f>$C$3</f>
        <v/>
      </c>
      <c r="D1733" s="240">
        <f>$D$3</f>
        <v/>
      </c>
      <c r="E1733" s="240">
        <f>$E$3</f>
        <v/>
      </c>
      <c r="F1733" s="241" t="n">
        <v>15.1</v>
      </c>
      <c r="G1733" s="242" t="n">
        <v>11066379</v>
      </c>
      <c r="H1733" s="241" t="n">
        <v>-0.13</v>
      </c>
      <c r="I1733" s="241" t="n">
        <v>2.86</v>
      </c>
      <c r="J1733" s="241" t="n">
        <v>8.710000000000001</v>
      </c>
      <c r="K1733" s="241" t="n">
        <v>12.26</v>
      </c>
      <c r="L1733" s="242" t="n">
        <v>2066600</v>
      </c>
      <c r="M1733" s="241" t="n">
        <v>0.93</v>
      </c>
      <c r="N1733" s="241" t="n">
        <v>-3.32</v>
      </c>
      <c r="O1733" s="241" t="n">
        <v>-3.2</v>
      </c>
      <c r="P1733" s="241" t="n">
        <v>1.23</v>
      </c>
    </row>
    <row r="1734">
      <c r="A1734" s="282" t="inlineStr">
        <is>
          <t>2013-02-21</t>
        </is>
      </c>
      <c r="B1734" s="240">
        <f>IFERROR(1/P1734-1,B1733)</f>
        <v/>
      </c>
      <c r="C1734" s="240">
        <f>$C$3</f>
        <v/>
      </c>
      <c r="D1734" s="240">
        <f>$D$3</f>
        <v/>
      </c>
      <c r="E1734" s="240">
        <f>$E$3</f>
        <v/>
      </c>
      <c r="F1734" s="241" t="n">
        <v>14.35</v>
      </c>
      <c r="G1734" s="242" t="n">
        <v>16750317</v>
      </c>
      <c r="H1734" s="241" t="n">
        <v>-4.97</v>
      </c>
      <c r="I1734" s="241" t="n">
        <v>-2.25</v>
      </c>
      <c r="J1734" s="241" t="n">
        <v>3.31</v>
      </c>
      <c r="K1734" s="241" t="n">
        <v>11.95</v>
      </c>
      <c r="L1734" s="242" t="n">
        <v>3570000</v>
      </c>
      <c r="M1734" s="241" t="n">
        <v>-2.64</v>
      </c>
      <c r="N1734" s="241" t="n">
        <v>-5.87</v>
      </c>
      <c r="O1734" s="241" t="n">
        <v>-5.75</v>
      </c>
      <c r="P1734" s="241" t="n">
        <v>1.2</v>
      </c>
    </row>
    <row r="1735">
      <c r="A1735" s="282" t="inlineStr">
        <is>
          <t>2013-02-22</t>
        </is>
      </c>
      <c r="B1735" s="240">
        <f>IFERROR(1/P1735-1,B1734)</f>
        <v/>
      </c>
      <c r="C1735" s="240">
        <f>$C$3</f>
        <v/>
      </c>
      <c r="D1735" s="240">
        <f>$D$3</f>
        <v/>
      </c>
      <c r="E1735" s="240">
        <f>$E$3</f>
        <v/>
      </c>
      <c r="F1735" s="241" t="n">
        <v>14.14</v>
      </c>
      <c r="G1735" s="242" t="n">
        <v>10355667</v>
      </c>
      <c r="H1735" s="241" t="n">
        <v>-1.46</v>
      </c>
      <c r="I1735" s="241" t="n">
        <v>-4.27</v>
      </c>
      <c r="J1735" s="241" t="n">
        <v>1.8</v>
      </c>
      <c r="K1735" s="241" t="n">
        <v>12.05</v>
      </c>
      <c r="L1735" s="242" t="n">
        <v>2286000</v>
      </c>
      <c r="M1735" s="241" t="n">
        <v>0.8100000000000001</v>
      </c>
      <c r="N1735" s="241" t="n">
        <v>-3.63</v>
      </c>
      <c r="O1735" s="241" t="n">
        <v>-4.99</v>
      </c>
      <c r="P1735" s="241" t="n">
        <v>1.17</v>
      </c>
    </row>
    <row r="1736">
      <c r="A1736" s="282" t="inlineStr">
        <is>
          <t>2013-02-25</t>
        </is>
      </c>
      <c r="B1736" s="240">
        <f>IFERROR(1/P1736-1,B1735)</f>
        <v/>
      </c>
      <c r="C1736" s="240">
        <f>$C$3</f>
        <v/>
      </c>
      <c r="D1736" s="240">
        <f>$D$3</f>
        <v/>
      </c>
      <c r="E1736" s="240">
        <f>$E$3</f>
        <v/>
      </c>
      <c r="F1736" s="241" t="n">
        <v>14.29</v>
      </c>
      <c r="G1736" s="242" t="n">
        <v>6977483</v>
      </c>
      <c r="H1736" s="241" t="n">
        <v>1.06</v>
      </c>
      <c r="I1736" s="241" t="n">
        <v>2.22</v>
      </c>
      <c r="J1736" s="241" t="n">
        <v>2.88</v>
      </c>
      <c r="K1736" s="241" t="n">
        <v>12.02</v>
      </c>
      <c r="L1736" s="242" t="n">
        <v>2087800</v>
      </c>
      <c r="M1736" s="241" t="n">
        <v>-0.27</v>
      </c>
      <c r="N1736" s="241" t="n">
        <v>-3.39</v>
      </c>
      <c r="O1736" s="241" t="n">
        <v>-5.24</v>
      </c>
      <c r="P1736" s="241" t="n">
        <v>1.19</v>
      </c>
    </row>
    <row r="1737">
      <c r="A1737" s="282" t="inlineStr">
        <is>
          <t>2013-02-26</t>
        </is>
      </c>
      <c r="B1737" s="240">
        <f>IFERROR(1/P1737-1,B1736)</f>
        <v/>
      </c>
      <c r="C1737" s="240">
        <f>$C$3</f>
        <v/>
      </c>
      <c r="D1737" s="240">
        <f>$D$3</f>
        <v/>
      </c>
      <c r="E1737" s="240">
        <f>$E$3</f>
        <v/>
      </c>
      <c r="F1737" s="241" t="n">
        <v>13.97</v>
      </c>
      <c r="G1737" s="242" t="n">
        <v>9944862</v>
      </c>
      <c r="H1737" s="241" t="n">
        <v>-2.24</v>
      </c>
      <c r="I1737" s="241" t="n">
        <v>1.6</v>
      </c>
      <c r="J1737" s="241" t="n">
        <v>0.58</v>
      </c>
      <c r="K1737" s="241" t="n">
        <v>11.75</v>
      </c>
      <c r="L1737" s="242" t="n">
        <v>3051500</v>
      </c>
      <c r="M1737" s="241" t="n">
        <v>-2.16</v>
      </c>
      <c r="N1737" s="241" t="n">
        <v>-1.36</v>
      </c>
      <c r="O1737" s="241" t="n">
        <v>-7.29</v>
      </c>
      <c r="P1737" s="241" t="n">
        <v>1.19</v>
      </c>
    </row>
    <row r="1738">
      <c r="A1738" s="282" t="inlineStr">
        <is>
          <t>2013-02-27</t>
        </is>
      </c>
      <c r="B1738" s="240">
        <f>IFERROR(1/P1738-1,B1737)</f>
        <v/>
      </c>
      <c r="C1738" s="240">
        <f>$C$3</f>
        <v/>
      </c>
      <c r="D1738" s="240">
        <f>$D$3</f>
        <v/>
      </c>
      <c r="E1738" s="240">
        <f>$E$3</f>
        <v/>
      </c>
      <c r="F1738" s="241" t="n">
        <v>14.03</v>
      </c>
      <c r="G1738" s="242" t="n">
        <v>6497116</v>
      </c>
      <c r="H1738" s="241" t="n">
        <v>0.43</v>
      </c>
      <c r="I1738" s="241" t="n">
        <v>2.04</v>
      </c>
      <c r="J1738" s="241" t="n">
        <v>1.01</v>
      </c>
      <c r="K1738" s="241" t="n">
        <v>11.53</v>
      </c>
      <c r="L1738" s="242" t="n">
        <v>3815100</v>
      </c>
      <c r="M1738" s="241" t="n">
        <v>-1.79</v>
      </c>
      <c r="N1738" s="241" t="n">
        <v>-3.13</v>
      </c>
      <c r="O1738" s="241" t="n">
        <v>-8.949999999999999</v>
      </c>
      <c r="P1738" s="241" t="n">
        <v>1.22</v>
      </c>
    </row>
    <row r="1739">
      <c r="A1739" s="282" t="inlineStr">
        <is>
          <t>2013-02-28</t>
        </is>
      </c>
      <c r="B1739" s="240">
        <f>IFERROR(1/P1739-1,B1738)</f>
        <v/>
      </c>
      <c r="C1739" s="240">
        <f>$C$3</f>
        <v/>
      </c>
      <c r="D1739" s="240">
        <f>$D$3</f>
        <v/>
      </c>
      <c r="E1739" s="240">
        <f>$E$3</f>
        <v/>
      </c>
      <c r="F1739" s="241" t="n">
        <v>14.37</v>
      </c>
      <c r="G1739" s="242" t="n">
        <v>10167315</v>
      </c>
      <c r="H1739" s="241" t="n">
        <v>2.42</v>
      </c>
      <c r="I1739" s="241" t="n">
        <v>4.51</v>
      </c>
      <c r="J1739" s="241" t="n">
        <v>3.46</v>
      </c>
      <c r="K1739" s="241" t="n">
        <v>11.8</v>
      </c>
      <c r="L1739" s="242" t="n">
        <v>2812351</v>
      </c>
      <c r="M1739" s="241" t="n">
        <v>2.39</v>
      </c>
      <c r="N1739" s="241" t="n">
        <v>-0.82</v>
      </c>
      <c r="O1739" s="241" t="n">
        <v>-6.78</v>
      </c>
      <c r="P1739" s="241" t="n">
        <v>1.22</v>
      </c>
    </row>
    <row r="1740">
      <c r="A1740" s="282" t="inlineStr">
        <is>
          <t>2013-03-01</t>
        </is>
      </c>
      <c r="B1740" s="240">
        <f>IFERROR(1/P1740-1,B1739)</f>
        <v/>
      </c>
      <c r="C1740" s="240">
        <f>$C$3</f>
        <v/>
      </c>
      <c r="D1740" s="240">
        <f>$D$3</f>
        <v/>
      </c>
      <c r="E1740" s="240">
        <f>$E$3</f>
        <v/>
      </c>
      <c r="F1740" s="241" t="n">
        <v>14.76</v>
      </c>
      <c r="G1740" s="242" t="n">
        <v>13397321</v>
      </c>
      <c r="H1740" s="241" t="n">
        <v>2.71</v>
      </c>
      <c r="I1740" s="241" t="n">
        <v>1.44</v>
      </c>
      <c r="J1740" s="241" t="n">
        <v>6.26</v>
      </c>
      <c r="K1740" s="241" t="n">
        <v>12.13</v>
      </c>
      <c r="L1740" s="242" t="n">
        <v>4053400</v>
      </c>
      <c r="M1740" s="241" t="n">
        <v>2.74</v>
      </c>
      <c r="N1740" s="241" t="n">
        <v>-0.27</v>
      </c>
      <c r="O1740" s="241" t="n">
        <v>-4.22</v>
      </c>
      <c r="P1740" s="241" t="n">
        <v>1.22</v>
      </c>
    </row>
    <row r="1741">
      <c r="A1741" s="282" t="inlineStr">
        <is>
          <t>2013-03-04</t>
        </is>
      </c>
      <c r="B1741" s="240">
        <f>IFERROR(1/P1741-1,B1740)</f>
        <v/>
      </c>
      <c r="C1741" s="240">
        <f>$C$3</f>
        <v/>
      </c>
      <c r="D1741" s="240">
        <f>$D$3</f>
        <v/>
      </c>
      <c r="E1741" s="240">
        <f>$E$3</f>
        <v/>
      </c>
      <c r="F1741" s="241" t="n">
        <v>14.48</v>
      </c>
      <c r="G1741" s="242" t="n">
        <v>21519647</v>
      </c>
      <c r="H1741" s="241" t="n">
        <v>-1.9</v>
      </c>
      <c r="I1741" s="241" t="n">
        <v>-0.28</v>
      </c>
      <c r="J1741" s="241" t="n">
        <v>4.25</v>
      </c>
      <c r="K1741" s="241" t="n">
        <v>11.94</v>
      </c>
      <c r="L1741" s="242" t="n">
        <v>3122400</v>
      </c>
      <c r="M1741" s="241" t="n">
        <v>-1.6</v>
      </c>
      <c r="N1741" s="241" t="n">
        <v>-1.07</v>
      </c>
      <c r="O1741" s="241" t="n">
        <v>-5.75</v>
      </c>
      <c r="P1741" s="241" t="n">
        <v>1.21</v>
      </c>
    </row>
    <row r="1742">
      <c r="A1742" s="282" t="inlineStr">
        <is>
          <t>2013-03-05</t>
        </is>
      </c>
      <c r="B1742" s="240">
        <f>IFERROR(1/P1742-1,B1741)</f>
        <v/>
      </c>
      <c r="C1742" s="240">
        <f>$C$3</f>
        <v/>
      </c>
      <c r="D1742" s="240">
        <f>$D$3</f>
        <v/>
      </c>
      <c r="E1742" s="240">
        <f>$E$3</f>
        <v/>
      </c>
      <c r="F1742" s="241" t="n">
        <v>14.87</v>
      </c>
      <c r="G1742" s="242" t="n">
        <v>13008650</v>
      </c>
      <c r="H1742" s="241" t="n">
        <v>2.69</v>
      </c>
      <c r="I1742" s="241" t="n">
        <v>4.79</v>
      </c>
      <c r="J1742" s="241" t="n">
        <v>7.06</v>
      </c>
      <c r="K1742" s="241" t="n">
        <v>11.98</v>
      </c>
      <c r="L1742" s="242" t="n">
        <v>1933870</v>
      </c>
      <c r="M1742" s="241" t="n">
        <v>0.41</v>
      </c>
      <c r="N1742" s="241" t="n">
        <v>-0.4</v>
      </c>
      <c r="O1742" s="241" t="n">
        <v>-5.37</v>
      </c>
      <c r="P1742" s="241" t="n">
        <v>1.24</v>
      </c>
    </row>
    <row r="1743">
      <c r="A1743" s="282" t="inlineStr">
        <is>
          <t>2013-03-06</t>
        </is>
      </c>
      <c r="B1743" s="240">
        <f>IFERROR(1/P1743-1,B1742)</f>
        <v/>
      </c>
      <c r="C1743" s="240">
        <f>$C$3</f>
        <v/>
      </c>
      <c r="D1743" s="240">
        <f>$D$3</f>
        <v/>
      </c>
      <c r="E1743" s="240">
        <f>$E$3</f>
        <v/>
      </c>
      <c r="F1743" s="241" t="n">
        <v>15.35</v>
      </c>
      <c r="G1743" s="242" t="n">
        <v>26862897</v>
      </c>
      <c r="H1743" s="241" t="n">
        <v>3.23</v>
      </c>
      <c r="I1743" s="241" t="n">
        <v>7.34</v>
      </c>
      <c r="J1743" s="241" t="n">
        <v>10.51</v>
      </c>
      <c r="K1743" s="241" t="n">
        <v>12.73</v>
      </c>
      <c r="L1743" s="242" t="n">
        <v>5436974</v>
      </c>
      <c r="M1743" s="241" t="n">
        <v>6.35</v>
      </c>
      <c r="N1743" s="241" t="n">
        <v>7.96</v>
      </c>
      <c r="O1743" s="241" t="n">
        <v>0.64</v>
      </c>
      <c r="P1743" s="241" t="n">
        <v>1.21</v>
      </c>
    </row>
    <row r="1744">
      <c r="A1744" s="282" t="inlineStr">
        <is>
          <t>2013-03-07</t>
        </is>
      </c>
      <c r="B1744" s="240">
        <f>IFERROR(1/P1744-1,B1743)</f>
        <v/>
      </c>
      <c r="C1744" s="240">
        <f>$C$3</f>
        <v/>
      </c>
      <c r="D1744" s="240">
        <f>$D$3</f>
        <v/>
      </c>
      <c r="E1744" s="240">
        <f>$E$3</f>
        <v/>
      </c>
      <c r="F1744" s="241" t="n">
        <v>15.43</v>
      </c>
      <c r="G1744" s="242" t="n">
        <v>37532414</v>
      </c>
      <c r="H1744" s="241" t="n">
        <v>0.52</v>
      </c>
      <c r="I1744" s="241" t="n">
        <v>5.4</v>
      </c>
      <c r="J1744" s="241" t="n">
        <v>11.09</v>
      </c>
      <c r="K1744" s="241" t="n">
        <v>12.81</v>
      </c>
      <c r="L1744" s="242" t="n">
        <v>6680800</v>
      </c>
      <c r="M1744" s="241" t="n">
        <v>0.51</v>
      </c>
      <c r="N1744" s="241" t="n">
        <v>5.61</v>
      </c>
      <c r="O1744" s="241" t="n">
        <v>1.15</v>
      </c>
      <c r="P1744" s="241" t="n">
        <v>1.2</v>
      </c>
    </row>
    <row r="1745">
      <c r="A1745" s="282" t="inlineStr">
        <is>
          <t>2013-03-08</t>
        </is>
      </c>
      <c r="B1745" s="240">
        <f>IFERROR(1/P1745-1,B1744)</f>
        <v/>
      </c>
      <c r="C1745" s="240">
        <f>$C$3</f>
        <v/>
      </c>
      <c r="D1745" s="240">
        <f>$D$3</f>
        <v/>
      </c>
      <c r="E1745" s="240">
        <f>$E$3</f>
        <v/>
      </c>
      <c r="F1745" s="241" t="n">
        <v>15.1</v>
      </c>
      <c r="G1745" s="242" t="n">
        <v>14132993</v>
      </c>
      <c r="H1745" s="241" t="n">
        <v>-2.14</v>
      </c>
      <c r="I1745" s="241" t="n">
        <v>3.42</v>
      </c>
      <c r="J1745" s="241" t="n">
        <v>8.710000000000001</v>
      </c>
      <c r="K1745" s="241" t="n">
        <v>12.61</v>
      </c>
      <c r="L1745" s="242" t="n">
        <v>3013300</v>
      </c>
      <c r="M1745" s="241" t="n">
        <v>-1.39</v>
      </c>
      <c r="N1745" s="241" t="n">
        <v>5.12</v>
      </c>
      <c r="O1745" s="241" t="n">
        <v>-0.26</v>
      </c>
      <c r="P1745" s="241" t="n">
        <v>1.2</v>
      </c>
    </row>
    <row r="1746">
      <c r="A1746" s="282" t="inlineStr">
        <is>
          <t>2013-03-11</t>
        </is>
      </c>
      <c r="B1746" s="240">
        <f>IFERROR(1/P1746-1,B1745)</f>
        <v/>
      </c>
      <c r="C1746" s="240">
        <f>$C$3</f>
        <v/>
      </c>
      <c r="D1746" s="240">
        <f>$D$3</f>
        <v/>
      </c>
      <c r="E1746" s="240">
        <f>$E$3</f>
        <v/>
      </c>
      <c r="F1746" s="241" t="n">
        <v>15.34</v>
      </c>
      <c r="G1746" s="242" t="n">
        <v>12071872</v>
      </c>
      <c r="H1746" s="241" t="n">
        <v>1.59</v>
      </c>
      <c r="I1746" s="241" t="n">
        <v>4.35</v>
      </c>
      <c r="J1746" s="241" t="n">
        <v>10.44</v>
      </c>
      <c r="K1746" s="241" t="n">
        <v>12.2</v>
      </c>
      <c r="L1746" s="242" t="n">
        <v>2811000</v>
      </c>
      <c r="M1746" s="241" t="n">
        <v>-3.33</v>
      </c>
      <c r="N1746" s="241" t="n">
        <v>1.75</v>
      </c>
      <c r="O1746" s="241" t="n">
        <v>-3.58</v>
      </c>
      <c r="P1746" s="241" t="n">
        <v>1.26</v>
      </c>
    </row>
    <row r="1747">
      <c r="A1747" s="282" t="inlineStr">
        <is>
          <t>2013-03-12</t>
        </is>
      </c>
      <c r="B1747" s="240">
        <f>IFERROR(1/P1747-1,B1746)</f>
        <v/>
      </c>
      <c r="C1747" s="240">
        <f>$C$3</f>
        <v/>
      </c>
      <c r="D1747" s="240">
        <f>$D$3</f>
        <v/>
      </c>
      <c r="E1747" s="240">
        <f>$E$3</f>
        <v/>
      </c>
      <c r="F1747" s="241" t="n">
        <v>15.09</v>
      </c>
      <c r="G1747" s="242" t="n">
        <v>16665062</v>
      </c>
      <c r="H1747" s="241" t="n">
        <v>-1.63</v>
      </c>
      <c r="I1747" s="241" t="n">
        <v>2.65</v>
      </c>
      <c r="J1747" s="241" t="n">
        <v>8.640000000000001</v>
      </c>
      <c r="K1747" s="241" t="n">
        <v>12.17</v>
      </c>
      <c r="L1747" s="242" t="n">
        <v>3806015</v>
      </c>
      <c r="M1747" s="241" t="n">
        <v>-0.27</v>
      </c>
      <c r="N1747" s="241" t="n">
        <v>1.48</v>
      </c>
      <c r="O1747" s="241" t="n">
        <v>-3.84</v>
      </c>
      <c r="P1747" s="241" t="n">
        <v>1.24</v>
      </c>
    </row>
    <row r="1748">
      <c r="A1748" s="282" t="inlineStr">
        <is>
          <t>2013-03-13</t>
        </is>
      </c>
      <c r="B1748" s="240">
        <f>IFERROR(1/P1748-1,B1747)</f>
        <v/>
      </c>
      <c r="C1748" s="240">
        <f>$C$3</f>
        <v/>
      </c>
      <c r="D1748" s="240">
        <f>$D$3</f>
        <v/>
      </c>
      <c r="E1748" s="240">
        <f>$E$3</f>
        <v/>
      </c>
      <c r="F1748" s="241" t="n">
        <v>14.53</v>
      </c>
      <c r="G1748" s="242" t="n">
        <v>9446038</v>
      </c>
      <c r="H1748" s="241" t="n">
        <v>-3.71</v>
      </c>
      <c r="I1748" s="241" t="n">
        <v>-1.16</v>
      </c>
      <c r="J1748" s="241" t="n">
        <v>4.61</v>
      </c>
      <c r="K1748" s="241" t="n">
        <v>12.08</v>
      </c>
      <c r="L1748" s="242" t="n">
        <v>4864199</v>
      </c>
      <c r="M1748" s="241" t="n">
        <v>-0.66</v>
      </c>
      <c r="N1748" s="241" t="n">
        <v>0.8100000000000001</v>
      </c>
      <c r="O1748" s="241" t="n">
        <v>-4.48</v>
      </c>
      <c r="P1748" s="241" t="n">
        <v>1.2</v>
      </c>
    </row>
    <row r="1749">
      <c r="A1749" s="282" t="inlineStr">
        <is>
          <t>2013-03-14</t>
        </is>
      </c>
      <c r="B1749" s="240">
        <f>IFERROR(1/P1749-1,B1748)</f>
        <v/>
      </c>
      <c r="C1749" s="240">
        <f>$C$3</f>
        <v/>
      </c>
      <c r="D1749" s="240">
        <f>$D$3</f>
        <v/>
      </c>
      <c r="E1749" s="240">
        <f>$E$3</f>
        <v/>
      </c>
      <c r="F1749" s="241" t="n">
        <v>14.43</v>
      </c>
      <c r="G1749" s="242" t="n">
        <v>8342050</v>
      </c>
      <c r="H1749" s="241" t="n">
        <v>-0.6899999999999999</v>
      </c>
      <c r="I1749" s="241" t="n">
        <v>-1.84</v>
      </c>
      <c r="J1749" s="241" t="n">
        <v>3.89</v>
      </c>
      <c r="K1749" s="241" t="n">
        <v>11.95</v>
      </c>
      <c r="L1749" s="242" t="n">
        <v>3694436</v>
      </c>
      <c r="M1749" s="241" t="n">
        <v>-1.07</v>
      </c>
      <c r="N1749" s="241" t="n">
        <v>-0.27</v>
      </c>
      <c r="O1749" s="241" t="n">
        <v>-5.5</v>
      </c>
      <c r="P1749" s="241" t="n">
        <v>1.21</v>
      </c>
    </row>
    <row r="1750">
      <c r="A1750" s="282" t="inlineStr">
        <is>
          <t>2013-03-15</t>
        </is>
      </c>
      <c r="B1750" s="240">
        <f>IFERROR(1/P1750-1,B1749)</f>
        <v/>
      </c>
      <c r="C1750" s="240">
        <f>$C$3</f>
        <v/>
      </c>
      <c r="D1750" s="240">
        <f>$D$3</f>
        <v/>
      </c>
      <c r="E1750" s="240">
        <f>$E$3</f>
        <v/>
      </c>
      <c r="F1750" s="241" t="n">
        <v>14.92</v>
      </c>
      <c r="G1750" s="242" t="n">
        <v>17960303</v>
      </c>
      <c r="H1750" s="241" t="n">
        <v>3.4</v>
      </c>
      <c r="I1750" s="241" t="n">
        <v>1.5</v>
      </c>
      <c r="J1750" s="241" t="n">
        <v>7.42</v>
      </c>
      <c r="K1750" s="241" t="n">
        <v>12.18</v>
      </c>
      <c r="L1750" s="242" t="n">
        <v>1913200</v>
      </c>
      <c r="M1750" s="241" t="n">
        <v>1.89</v>
      </c>
      <c r="N1750" s="241" t="n">
        <v>-0.26</v>
      </c>
      <c r="O1750" s="241" t="n">
        <v>-3.71</v>
      </c>
      <c r="P1750" s="241" t="n">
        <v>1.23</v>
      </c>
    </row>
    <row r="1751">
      <c r="A1751" s="282" t="inlineStr">
        <is>
          <t>2013-03-18</t>
        </is>
      </c>
      <c r="B1751" s="240">
        <f>IFERROR(1/P1751-1,B1750)</f>
        <v/>
      </c>
      <c r="C1751" s="240">
        <f>$C$3</f>
        <v/>
      </c>
      <c r="D1751" s="240">
        <f>$D$3</f>
        <v/>
      </c>
      <c r="E1751" s="240">
        <f>$E$3</f>
        <v/>
      </c>
      <c r="F1751" s="241" t="n">
        <v>14.61</v>
      </c>
      <c r="G1751" s="242" t="n">
        <v>10735057</v>
      </c>
      <c r="H1751" s="241" t="n">
        <v>-2.08</v>
      </c>
      <c r="I1751" s="241" t="n">
        <v>-0.61</v>
      </c>
      <c r="J1751" s="241" t="n">
        <v>5.18</v>
      </c>
      <c r="K1751" s="241" t="n">
        <v>11.72</v>
      </c>
      <c r="L1751" s="242" t="n">
        <v>4076000</v>
      </c>
      <c r="M1751" s="241" t="n">
        <v>-3.72</v>
      </c>
      <c r="N1751" s="241" t="n">
        <v>-5.23</v>
      </c>
      <c r="O1751" s="241" t="n">
        <v>-7.29</v>
      </c>
      <c r="P1751" s="241" t="n">
        <v>1.25</v>
      </c>
    </row>
    <row r="1752">
      <c r="A1752" s="282" t="inlineStr">
        <is>
          <t>2013-03-19</t>
        </is>
      </c>
      <c r="B1752" s="240">
        <f>IFERROR(1/P1752-1,B1751)</f>
        <v/>
      </c>
      <c r="C1752" s="240">
        <f>$C$3</f>
        <v/>
      </c>
      <c r="D1752" s="240">
        <f>$D$3</f>
        <v/>
      </c>
      <c r="E1752" s="240">
        <f>$E$3</f>
        <v/>
      </c>
      <c r="F1752" s="241" t="n">
        <v>14.49</v>
      </c>
      <c r="G1752" s="242" t="n">
        <v>8171723</v>
      </c>
      <c r="H1752" s="241" t="n">
        <v>-0.82</v>
      </c>
      <c r="I1752" s="241" t="n">
        <v>-3.53</v>
      </c>
      <c r="J1752" s="241" t="n">
        <v>4.32</v>
      </c>
      <c r="K1752" s="241" t="n">
        <v>11.66</v>
      </c>
      <c r="L1752" s="242" t="n">
        <v>1278439</v>
      </c>
      <c r="M1752" s="241" t="n">
        <v>-0.55</v>
      </c>
      <c r="N1752" s="241" t="n">
        <v>-5.75</v>
      </c>
      <c r="O1752" s="241" t="n">
        <v>-7.8</v>
      </c>
      <c r="P1752" s="241" t="n">
        <v>1.24</v>
      </c>
    </row>
    <row r="1753">
      <c r="A1753" s="282" t="inlineStr">
        <is>
          <t>2013-03-20</t>
        </is>
      </c>
      <c r="B1753" s="240">
        <f>IFERROR(1/P1753-1,B1752)</f>
        <v/>
      </c>
      <c r="C1753" s="240">
        <f>$C$3</f>
        <v/>
      </c>
      <c r="D1753" s="240">
        <f>$D$3</f>
        <v/>
      </c>
      <c r="E1753" s="240">
        <f>$E$3</f>
        <v/>
      </c>
      <c r="F1753" s="241" t="n">
        <v>15.05</v>
      </c>
      <c r="G1753" s="242" t="n">
        <v>13534871</v>
      </c>
      <c r="H1753" s="241" t="n">
        <v>3.86</v>
      </c>
      <c r="I1753" s="241" t="n">
        <v>-0.46</v>
      </c>
      <c r="J1753" s="241" t="n">
        <v>8.35</v>
      </c>
      <c r="K1753" s="241" t="n">
        <v>11.75</v>
      </c>
      <c r="L1753" s="242" t="n">
        <v>1986200</v>
      </c>
      <c r="M1753" s="241" t="n">
        <v>0.83</v>
      </c>
      <c r="N1753" s="241" t="n">
        <v>-3.07</v>
      </c>
      <c r="O1753" s="241" t="n">
        <v>-7.03</v>
      </c>
      <c r="P1753" s="241" t="n">
        <v>1.28</v>
      </c>
    </row>
    <row r="1754">
      <c r="A1754" s="282" t="inlineStr">
        <is>
          <t>2013-03-21</t>
        </is>
      </c>
      <c r="B1754" s="240">
        <f>IFERROR(1/P1754-1,B1753)</f>
        <v/>
      </c>
      <c r="C1754" s="240">
        <f>$C$3</f>
        <v/>
      </c>
      <c r="D1754" s="240">
        <f>$D$3</f>
        <v/>
      </c>
      <c r="E1754" s="240">
        <f>$E$3</f>
        <v/>
      </c>
      <c r="F1754" s="241" t="n">
        <v>15.21</v>
      </c>
      <c r="G1754" s="242" t="n">
        <v>14683550</v>
      </c>
      <c r="H1754" s="241" t="n">
        <v>1.06</v>
      </c>
      <c r="I1754" s="241" t="n">
        <v>0.73</v>
      </c>
      <c r="J1754" s="241" t="n">
        <v>9.5</v>
      </c>
      <c r="K1754" s="241" t="n">
        <v>11.98</v>
      </c>
      <c r="L1754" s="242" t="n">
        <v>2373800</v>
      </c>
      <c r="M1754" s="241" t="n">
        <v>1.93</v>
      </c>
      <c r="N1754" s="241" t="n">
        <v>-2.11</v>
      </c>
      <c r="O1754" s="241" t="n">
        <v>-5.24</v>
      </c>
      <c r="P1754" s="241" t="n">
        <v>1.27</v>
      </c>
    </row>
    <row r="1755">
      <c r="A1755" s="282" t="inlineStr">
        <is>
          <t>2013-03-22</t>
        </is>
      </c>
      <c r="B1755" s="240">
        <f>IFERROR(1/P1755-1,B1754)</f>
        <v/>
      </c>
      <c r="C1755" s="240">
        <f>$C$3</f>
        <v/>
      </c>
      <c r="D1755" s="240">
        <f>$D$3</f>
        <v/>
      </c>
      <c r="E1755" s="240">
        <f>$E$3</f>
        <v/>
      </c>
      <c r="F1755" s="241" t="n">
        <v>15.1</v>
      </c>
      <c r="G1755" s="242" t="n">
        <v>9255975</v>
      </c>
      <c r="H1755" s="241" t="n">
        <v>-0.72</v>
      </c>
      <c r="I1755" s="241" t="n">
        <v>5.23</v>
      </c>
      <c r="J1755" s="241" t="n">
        <v>8.710000000000001</v>
      </c>
      <c r="K1755" s="241" t="n">
        <v>11.79</v>
      </c>
      <c r="L1755" s="242" t="n">
        <v>2194462</v>
      </c>
      <c r="M1755" s="241" t="n">
        <v>-1.48</v>
      </c>
      <c r="N1755" s="241" t="n">
        <v>-0.95</v>
      </c>
      <c r="O1755" s="241" t="n">
        <v>-6.65</v>
      </c>
      <c r="P1755" s="241" t="n">
        <v>1.28</v>
      </c>
    </row>
    <row r="1756">
      <c r="A1756" s="282" t="inlineStr">
        <is>
          <t>2013-03-25</t>
        </is>
      </c>
      <c r="B1756" s="240">
        <f>IFERROR(1/P1756-1,B1755)</f>
        <v/>
      </c>
      <c r="C1756" s="240">
        <f>$C$3</f>
        <v/>
      </c>
      <c r="D1756" s="240">
        <f>$D$3</f>
        <v/>
      </c>
      <c r="E1756" s="240">
        <f>$E$3</f>
        <v/>
      </c>
      <c r="F1756" s="241" t="n">
        <v>14.84</v>
      </c>
      <c r="G1756" s="242" t="n">
        <v>10044644</v>
      </c>
      <c r="H1756" s="241" t="n">
        <v>-1.72</v>
      </c>
      <c r="I1756" s="241" t="n">
        <v>4.95</v>
      </c>
      <c r="J1756" s="241" t="n">
        <v>6.84</v>
      </c>
      <c r="K1756" s="241" t="n">
        <v>11.63</v>
      </c>
      <c r="L1756" s="242" t="n">
        <v>1818000</v>
      </c>
      <c r="M1756" s="241" t="n">
        <v>-1.37</v>
      </c>
      <c r="N1756" s="241" t="n">
        <v>-3.1</v>
      </c>
      <c r="O1756" s="241" t="n">
        <v>-7.93</v>
      </c>
      <c r="P1756" s="241" t="n">
        <v>1.28</v>
      </c>
    </row>
    <row r="1757">
      <c r="A1757" s="282" t="inlineStr">
        <is>
          <t>2013-03-26</t>
        </is>
      </c>
      <c r="B1757" s="240">
        <f>IFERROR(1/P1757-1,B1756)</f>
        <v/>
      </c>
      <c r="C1757" s="240">
        <f>$C$3</f>
        <v/>
      </c>
      <c r="D1757" s="240">
        <f>$D$3</f>
        <v/>
      </c>
      <c r="E1757" s="240">
        <f>$E$3</f>
        <v/>
      </c>
      <c r="F1757" s="241" t="n">
        <v>14.56</v>
      </c>
      <c r="G1757" s="242" t="n">
        <v>9196968</v>
      </c>
      <c r="H1757" s="241" t="n">
        <v>-1.89</v>
      </c>
      <c r="I1757" s="241" t="n">
        <v>1.89</v>
      </c>
      <c r="J1757" s="241" t="n">
        <v>4.82</v>
      </c>
      <c r="K1757" s="241" t="n">
        <v>11.43</v>
      </c>
      <c r="L1757" s="242" t="n">
        <v>2851843</v>
      </c>
      <c r="M1757" s="241" t="n">
        <v>-1.81</v>
      </c>
      <c r="N1757" s="241" t="n">
        <v>-4.59</v>
      </c>
      <c r="O1757" s="241" t="n">
        <v>-9.59</v>
      </c>
      <c r="P1757" s="241" t="n">
        <v>1.27</v>
      </c>
    </row>
    <row r="1758">
      <c r="A1758" s="282" t="inlineStr">
        <is>
          <t>2013-03-27</t>
        </is>
      </c>
      <c r="B1758" s="240">
        <f>IFERROR(1/P1758-1,B1757)</f>
        <v/>
      </c>
      <c r="C1758" s="240">
        <f>$C$3</f>
        <v/>
      </c>
      <c r="D1758" s="240">
        <f>$D$3</f>
        <v/>
      </c>
      <c r="E1758" s="240">
        <f>$E$3</f>
        <v/>
      </c>
      <c r="F1758" s="241" t="n">
        <v>14.5</v>
      </c>
      <c r="G1758" s="242" t="n">
        <v>8575536</v>
      </c>
      <c r="H1758" s="241" t="n">
        <v>-0.41</v>
      </c>
      <c r="I1758" s="241" t="n">
        <v>3.79</v>
      </c>
      <c r="J1758" s="241" t="n">
        <v>4.39</v>
      </c>
      <c r="K1758" s="241" t="n">
        <v>10.99</v>
      </c>
      <c r="L1758" s="242" t="n">
        <v>5849600</v>
      </c>
      <c r="M1758" s="241" t="n">
        <v>-3.82</v>
      </c>
      <c r="N1758" s="241" t="n">
        <v>-6.21</v>
      </c>
      <c r="O1758" s="241" t="n">
        <v>-13.04</v>
      </c>
      <c r="P1758" s="241" t="n">
        <v>1.32</v>
      </c>
    </row>
    <row r="1759">
      <c r="A1759" s="282" t="inlineStr">
        <is>
          <t>2013-03-28</t>
        </is>
      </c>
      <c r="B1759" s="240">
        <f>IFERROR(1/P1759-1,B1758)</f>
        <v/>
      </c>
      <c r="C1759" s="240">
        <f>$C$3</f>
        <v/>
      </c>
      <c r="D1759" s="240">
        <f>$D$3</f>
        <v/>
      </c>
      <c r="E1759" s="240">
        <f>$E$3</f>
        <v/>
      </c>
      <c r="F1759" s="241" t="n">
        <v>13.63</v>
      </c>
      <c r="G1759" s="242" t="n">
        <v>18591209</v>
      </c>
      <c r="H1759" s="241" t="n">
        <v>-6</v>
      </c>
      <c r="I1759" s="241" t="n">
        <v>-2.85</v>
      </c>
      <c r="J1759" s="241" t="n">
        <v>-1.87</v>
      </c>
      <c r="K1759" s="241" t="n">
        <v>10.39</v>
      </c>
      <c r="L1759" s="242" t="n">
        <v>9312512</v>
      </c>
      <c r="M1759" s="241" t="n">
        <v>-5.44</v>
      </c>
      <c r="N1759" s="241" t="n">
        <v>-9.69</v>
      </c>
      <c r="O1759" s="241" t="n">
        <v>-17.77</v>
      </c>
      <c r="P1759" s="241" t="n">
        <v>1.31</v>
      </c>
    </row>
    <row r="1760">
      <c r="A1760" s="282" t="inlineStr">
        <is>
          <t>2013-03-29</t>
        </is>
      </c>
      <c r="B1760" s="240">
        <f>IFERROR(1/P1760-1,B1759)</f>
        <v/>
      </c>
      <c r="C1760" s="240">
        <f>$C$3</f>
        <v/>
      </c>
      <c r="D1760" s="240">
        <f>$D$3</f>
        <v/>
      </c>
      <c r="E1760" s="240">
        <f>$E$3</f>
        <v/>
      </c>
      <c r="F1760" s="241" t="n">
        <v>13.14</v>
      </c>
      <c r="G1760" s="242" t="n">
        <v>15124450</v>
      </c>
      <c r="H1760" s="241" t="n">
        <v>-3.6</v>
      </c>
      <c r="I1760" s="241" t="n">
        <v>-6.34</v>
      </c>
      <c r="J1760" s="241" t="n">
        <v>-5.4</v>
      </c>
      <c r="K1760" s="239" t="inlineStr">
        <is>
          <t>--</t>
        </is>
      </c>
      <c r="L1760" s="239" t="inlineStr">
        <is>
          <t>--</t>
        </is>
      </c>
      <c r="M1760" s="239" t="inlineStr">
        <is>
          <t>--</t>
        </is>
      </c>
      <c r="N1760" s="239" t="inlineStr">
        <is>
          <t>--</t>
        </is>
      </c>
      <c r="O1760" s="239" t="inlineStr">
        <is>
          <t>--</t>
        </is>
      </c>
      <c r="P1760" s="239" t="inlineStr">
        <is>
          <t>--</t>
        </is>
      </c>
    </row>
    <row r="1761">
      <c r="A1761" s="282" t="inlineStr">
        <is>
          <t>2013-04-01</t>
        </is>
      </c>
      <c r="B1761" s="240">
        <f>IFERROR(1/P1761-1,B1760)</f>
        <v/>
      </c>
      <c r="C1761" s="240">
        <f>$C$3</f>
        <v/>
      </c>
      <c r="D1761" s="240">
        <f>$D$3</f>
        <v/>
      </c>
      <c r="E1761" s="240">
        <f>$E$3</f>
        <v/>
      </c>
      <c r="F1761" s="241" t="n">
        <v>13</v>
      </c>
      <c r="G1761" s="242" t="n">
        <v>8898457</v>
      </c>
      <c r="H1761" s="241" t="n">
        <v>-1.07</v>
      </c>
      <c r="I1761" s="241" t="n">
        <v>-9.529999999999999</v>
      </c>
      <c r="J1761" s="241" t="n">
        <v>-6.41</v>
      </c>
      <c r="K1761" s="239" t="inlineStr">
        <is>
          <t>--</t>
        </is>
      </c>
      <c r="L1761" s="239" t="inlineStr">
        <is>
          <t>--</t>
        </is>
      </c>
      <c r="M1761" s="239" t="inlineStr">
        <is>
          <t>--</t>
        </is>
      </c>
      <c r="N1761" s="239" t="inlineStr">
        <is>
          <t>--</t>
        </is>
      </c>
      <c r="O1761" s="239" t="inlineStr">
        <is>
          <t>--</t>
        </is>
      </c>
      <c r="P1761" s="239" t="inlineStr">
        <is>
          <t>--</t>
        </is>
      </c>
    </row>
    <row r="1762">
      <c r="A1762" s="282" t="inlineStr">
        <is>
          <t>2013-04-02</t>
        </is>
      </c>
      <c r="B1762" s="240">
        <f>IFERROR(1/P1762-1,B1761)</f>
        <v/>
      </c>
      <c r="C1762" s="240">
        <f>$C$3</f>
        <v/>
      </c>
      <c r="D1762" s="240">
        <f>$D$3</f>
        <v/>
      </c>
      <c r="E1762" s="240">
        <f>$E$3</f>
        <v/>
      </c>
      <c r="F1762" s="241" t="n">
        <v>12.95</v>
      </c>
      <c r="G1762" s="242" t="n">
        <v>7713915</v>
      </c>
      <c r="H1762" s="241" t="n">
        <v>-0.38</v>
      </c>
      <c r="I1762" s="241" t="n">
        <v>-12.26</v>
      </c>
      <c r="J1762" s="241" t="n">
        <v>-6.77</v>
      </c>
      <c r="K1762" s="241" t="n">
        <v>9.869999999999999</v>
      </c>
      <c r="L1762" s="242" t="n">
        <v>5574600</v>
      </c>
      <c r="M1762" s="241" t="n">
        <v>-4.82</v>
      </c>
      <c r="N1762" s="241" t="n">
        <v>-18.29</v>
      </c>
      <c r="O1762" s="241" t="n">
        <v>-21.74</v>
      </c>
      <c r="P1762" s="241" t="n">
        <v>1.31</v>
      </c>
    </row>
    <row r="1763">
      <c r="A1763" s="282" t="inlineStr">
        <is>
          <t>2013-04-03</t>
        </is>
      </c>
      <c r="B1763" s="240">
        <f>IFERROR(1/P1763-1,B1762)</f>
        <v/>
      </c>
      <c r="C1763" s="240">
        <f>$C$3</f>
        <v/>
      </c>
      <c r="D1763" s="240">
        <f>$D$3</f>
        <v/>
      </c>
      <c r="E1763" s="240">
        <f>$E$3</f>
        <v/>
      </c>
      <c r="F1763" s="241" t="n">
        <v>12.88</v>
      </c>
      <c r="G1763" s="242" t="n">
        <v>7575397</v>
      </c>
      <c r="H1763" s="241" t="n">
        <v>-0.54</v>
      </c>
      <c r="I1763" s="241" t="n">
        <v>-12.74</v>
      </c>
      <c r="J1763" s="241" t="n">
        <v>-7.27</v>
      </c>
      <c r="K1763" s="241" t="n">
        <v>9.529999999999999</v>
      </c>
      <c r="L1763" s="242" t="n">
        <v>9373829</v>
      </c>
      <c r="M1763" s="241" t="n">
        <v>-3.43</v>
      </c>
      <c r="N1763" s="241" t="n">
        <v>-21.09</v>
      </c>
      <c r="O1763" s="241" t="n">
        <v>-24.42</v>
      </c>
      <c r="P1763" s="241" t="n">
        <v>1.35</v>
      </c>
    </row>
    <row r="1764">
      <c r="A1764" s="282" t="inlineStr">
        <is>
          <t>2013-04-08</t>
        </is>
      </c>
      <c r="B1764" s="240">
        <f>IFERROR(1/P1764-1,B1763)</f>
        <v/>
      </c>
      <c r="C1764" s="240">
        <f>$C$3</f>
        <v/>
      </c>
      <c r="D1764" s="240">
        <f>$D$3</f>
        <v/>
      </c>
      <c r="E1764" s="240">
        <f>$E$3</f>
        <v/>
      </c>
      <c r="F1764" s="241" t="n">
        <v>12.73</v>
      </c>
      <c r="G1764" s="242" t="n">
        <v>8468560</v>
      </c>
      <c r="H1764" s="241" t="n">
        <v>-1.16</v>
      </c>
      <c r="I1764" s="241" t="n">
        <v>-17.5</v>
      </c>
      <c r="J1764" s="241" t="n">
        <v>-8.35</v>
      </c>
      <c r="K1764" s="241" t="n">
        <v>8.880000000000001</v>
      </c>
      <c r="L1764" s="242" t="n">
        <v>8410583</v>
      </c>
      <c r="M1764" s="241" t="n">
        <v>-1.43</v>
      </c>
      <c r="N1764" s="241" t="n">
        <v>-30.47</v>
      </c>
      <c r="O1764" s="241" t="n">
        <v>-29.67</v>
      </c>
      <c r="P1764" s="241" t="n">
        <v>1.43</v>
      </c>
    </row>
    <row r="1765">
      <c r="A1765" s="282" t="inlineStr">
        <is>
          <t>2013-04-09</t>
        </is>
      </c>
      <c r="B1765" s="240">
        <f>IFERROR(1/P1765-1,B1764)</f>
        <v/>
      </c>
      <c r="C1765" s="240">
        <f>$C$3</f>
        <v/>
      </c>
      <c r="D1765" s="240">
        <f>$D$3</f>
        <v/>
      </c>
      <c r="E1765" s="240">
        <f>$E$3</f>
        <v/>
      </c>
      <c r="F1765" s="241" t="n">
        <v>12.87</v>
      </c>
      <c r="G1765" s="242" t="n">
        <v>7598479</v>
      </c>
      <c r="H1765" s="241" t="n">
        <v>1.1</v>
      </c>
      <c r="I1765" s="241" t="n">
        <v>-14.77</v>
      </c>
      <c r="J1765" s="241" t="n">
        <v>-7.34</v>
      </c>
      <c r="K1765" s="241" t="n">
        <v>9.18</v>
      </c>
      <c r="L1765" s="242" t="n">
        <v>9238400</v>
      </c>
      <c r="M1765" s="241" t="n">
        <v>3.45</v>
      </c>
      <c r="N1765" s="241" t="n">
        <v>-27.05</v>
      </c>
      <c r="O1765" s="241" t="n">
        <v>-27.24</v>
      </c>
      <c r="P1765" s="241" t="n">
        <v>1.4</v>
      </c>
    </row>
    <row r="1766">
      <c r="A1766" s="282" t="inlineStr">
        <is>
          <t>2013-04-10</t>
        </is>
      </c>
      <c r="B1766" s="240">
        <f>IFERROR(1/P1766-1,B1765)</f>
        <v/>
      </c>
      <c r="C1766" s="240">
        <f>$C$3</f>
        <v/>
      </c>
      <c r="D1766" s="240">
        <f>$D$3</f>
        <v/>
      </c>
      <c r="E1766" s="240">
        <f>$E$3</f>
        <v/>
      </c>
      <c r="F1766" s="241" t="n">
        <v>12.74</v>
      </c>
      <c r="G1766" s="242" t="n">
        <v>5242747</v>
      </c>
      <c r="H1766" s="241" t="n">
        <v>-1.01</v>
      </c>
      <c r="I1766" s="241" t="n">
        <v>-15.63</v>
      </c>
      <c r="J1766" s="241" t="n">
        <v>-8.279999999999999</v>
      </c>
      <c r="K1766" s="241" t="n">
        <v>9.17</v>
      </c>
      <c r="L1766" s="242" t="n">
        <v>2853800</v>
      </c>
      <c r="M1766" s="241" t="n">
        <v>0</v>
      </c>
      <c r="N1766" s="241" t="n">
        <v>-27.05</v>
      </c>
      <c r="O1766" s="241" t="n">
        <v>-27.24</v>
      </c>
      <c r="P1766" s="241" t="n">
        <v>1.39</v>
      </c>
    </row>
    <row r="1767">
      <c r="A1767" s="282" t="inlineStr">
        <is>
          <t>2013-04-11</t>
        </is>
      </c>
      <c r="B1767" s="240">
        <f>IFERROR(1/P1767-1,B1766)</f>
        <v/>
      </c>
      <c r="C1767" s="240">
        <f>$C$3</f>
        <v/>
      </c>
      <c r="D1767" s="240">
        <f>$D$3</f>
        <v/>
      </c>
      <c r="E1767" s="240">
        <f>$E$3</f>
        <v/>
      </c>
      <c r="F1767" s="241" t="n">
        <v>12.68</v>
      </c>
      <c r="G1767" s="242" t="n">
        <v>4116523</v>
      </c>
      <c r="H1767" s="241" t="n">
        <v>-0.47</v>
      </c>
      <c r="I1767" s="241" t="n">
        <v>-16.03</v>
      </c>
      <c r="J1767" s="241" t="n">
        <v>-8.710000000000001</v>
      </c>
      <c r="K1767" s="241" t="n">
        <v>9.08</v>
      </c>
      <c r="L1767" s="242" t="n">
        <v>2577900</v>
      </c>
      <c r="M1767" s="241" t="n">
        <v>-1.05</v>
      </c>
      <c r="N1767" s="241" t="n">
        <v>-27.82</v>
      </c>
      <c r="O1767" s="241" t="n">
        <v>-28.01</v>
      </c>
      <c r="P1767" s="241" t="n">
        <v>1.4</v>
      </c>
    </row>
    <row r="1768">
      <c r="A1768" s="282" t="inlineStr">
        <is>
          <t>2013-04-12</t>
        </is>
      </c>
      <c r="B1768" s="240">
        <f>IFERROR(1/P1768-1,B1767)</f>
        <v/>
      </c>
      <c r="C1768" s="240">
        <f>$C$3</f>
        <v/>
      </c>
      <c r="D1768" s="240">
        <f>$D$3</f>
        <v/>
      </c>
      <c r="E1768" s="240">
        <f>$E$3</f>
        <v/>
      </c>
      <c r="F1768" s="241" t="n">
        <v>12.65</v>
      </c>
      <c r="G1768" s="242" t="n">
        <v>4642223</v>
      </c>
      <c r="H1768" s="241" t="n">
        <v>-0.24</v>
      </c>
      <c r="I1768" s="241" t="n">
        <v>-17.54</v>
      </c>
      <c r="J1768" s="241" t="n">
        <v>-8.93</v>
      </c>
      <c r="K1768" s="241" t="n">
        <v>9.02</v>
      </c>
      <c r="L1768" s="242" t="n">
        <v>1940156</v>
      </c>
      <c r="M1768" s="241" t="n">
        <v>-0.53</v>
      </c>
      <c r="N1768" s="241" t="n">
        <v>-25.73</v>
      </c>
      <c r="O1768" s="241" t="n">
        <v>-28.39</v>
      </c>
      <c r="P1768" s="241" t="n">
        <v>1.4</v>
      </c>
    </row>
    <row r="1769">
      <c r="A1769" s="282" t="inlineStr">
        <is>
          <t>2013-04-15</t>
        </is>
      </c>
      <c r="B1769" s="240">
        <f>IFERROR(1/P1769-1,B1768)</f>
        <v/>
      </c>
      <c r="C1769" s="240">
        <f>$C$3</f>
        <v/>
      </c>
      <c r="D1769" s="240">
        <f>$D$3</f>
        <v/>
      </c>
      <c r="E1769" s="240">
        <f>$E$3</f>
        <v/>
      </c>
      <c r="F1769" s="241" t="n">
        <v>12.02</v>
      </c>
      <c r="G1769" s="242" t="n">
        <v>10811176</v>
      </c>
      <c r="H1769" s="241" t="n">
        <v>-4.98</v>
      </c>
      <c r="I1769" s="241" t="n">
        <v>-16.7</v>
      </c>
      <c r="J1769" s="241" t="n">
        <v>-13.46</v>
      </c>
      <c r="K1769" s="241" t="n">
        <v>8.82</v>
      </c>
      <c r="L1769" s="242" t="n">
        <v>2410400</v>
      </c>
      <c r="M1769" s="241" t="n">
        <v>-2.14</v>
      </c>
      <c r="N1769" s="241" t="n">
        <v>-25.85</v>
      </c>
      <c r="O1769" s="241" t="n">
        <v>-29.92</v>
      </c>
      <c r="P1769" s="241" t="n">
        <v>1.36</v>
      </c>
    </row>
    <row r="1770">
      <c r="A1770" s="282" t="inlineStr">
        <is>
          <t>2013-04-16</t>
        </is>
      </c>
      <c r="B1770" s="240">
        <f>IFERROR(1/P1770-1,B1769)</f>
        <v/>
      </c>
      <c r="C1770" s="240">
        <f>$C$3</f>
        <v/>
      </c>
      <c r="D1770" s="240">
        <f>$D$3</f>
        <v/>
      </c>
      <c r="E1770" s="240">
        <f>$E$3</f>
        <v/>
      </c>
      <c r="F1770" s="241" t="n">
        <v>12.02</v>
      </c>
      <c r="G1770" s="242" t="n">
        <v>10777652</v>
      </c>
      <c r="H1770" s="241" t="n">
        <v>0</v>
      </c>
      <c r="I1770" s="241" t="n">
        <v>-19.44</v>
      </c>
      <c r="J1770" s="241" t="n">
        <v>-13.46</v>
      </c>
      <c r="K1770" s="241" t="n">
        <v>8.67</v>
      </c>
      <c r="L1770" s="242" t="n">
        <v>3158092</v>
      </c>
      <c r="M1770" s="241" t="n">
        <v>-1.64</v>
      </c>
      <c r="N1770" s="241" t="n">
        <v>-28.42</v>
      </c>
      <c r="O1770" s="241" t="n">
        <v>-31.07</v>
      </c>
      <c r="P1770" s="241" t="n">
        <v>1.39</v>
      </c>
    </row>
    <row r="1771">
      <c r="A1771" s="282" t="inlineStr">
        <is>
          <t>2013-04-17</t>
        </is>
      </c>
      <c r="B1771" s="240">
        <f>IFERROR(1/P1771-1,B1770)</f>
        <v/>
      </c>
      <c r="C1771" s="240">
        <f>$C$3</f>
        <v/>
      </c>
      <c r="D1771" s="240">
        <f>$D$3</f>
        <v/>
      </c>
      <c r="E1771" s="240">
        <f>$E$3</f>
        <v/>
      </c>
      <c r="F1771" s="241" t="n">
        <v>11.98</v>
      </c>
      <c r="G1771" s="242" t="n">
        <v>6543473</v>
      </c>
      <c r="H1771" s="241" t="n">
        <v>-0.33</v>
      </c>
      <c r="I1771" s="241" t="n">
        <v>-19.71</v>
      </c>
      <c r="J1771" s="241" t="n">
        <v>-13.75</v>
      </c>
      <c r="K1771" s="241" t="n">
        <v>8.710000000000001</v>
      </c>
      <c r="L1771" s="242" t="n">
        <v>3163731</v>
      </c>
      <c r="M1771" s="241" t="n">
        <v>0.5600000000000001</v>
      </c>
      <c r="N1771" s="241" t="n">
        <v>-28.02</v>
      </c>
      <c r="O1771" s="241" t="n">
        <v>-30.69</v>
      </c>
      <c r="P1771" s="241" t="n">
        <v>1.38</v>
      </c>
    </row>
    <row r="1772">
      <c r="A1772" s="282" t="inlineStr">
        <is>
          <t>2013-04-18</t>
        </is>
      </c>
      <c r="B1772" s="240">
        <f>IFERROR(1/P1772-1,B1771)</f>
        <v/>
      </c>
      <c r="C1772" s="240">
        <f>$C$3</f>
        <v/>
      </c>
      <c r="D1772" s="240">
        <f>$D$3</f>
        <v/>
      </c>
      <c r="E1772" s="240">
        <f>$E$3</f>
        <v/>
      </c>
      <c r="F1772" s="241" t="n">
        <v>11.98</v>
      </c>
      <c r="G1772" s="242" t="n">
        <v>6885302</v>
      </c>
      <c r="H1772" s="241" t="n">
        <v>0</v>
      </c>
      <c r="I1772" s="241" t="n">
        <v>-19.71</v>
      </c>
      <c r="J1772" s="241" t="n">
        <v>-13.75</v>
      </c>
      <c r="K1772" s="241" t="n">
        <v>8.6</v>
      </c>
      <c r="L1772" s="242" t="n">
        <v>3143504</v>
      </c>
      <c r="M1772" s="241" t="n">
        <v>-1.29</v>
      </c>
      <c r="N1772" s="241" t="n">
        <v>-28.95</v>
      </c>
      <c r="O1772" s="241" t="n">
        <v>-31.59</v>
      </c>
      <c r="P1772" s="241" t="n">
        <v>1.39</v>
      </c>
    </row>
    <row r="1773">
      <c r="A1773" s="282" t="inlineStr">
        <is>
          <t>2013-04-19</t>
        </is>
      </c>
      <c r="B1773" s="240">
        <f>IFERROR(1/P1773-1,B1772)</f>
        <v/>
      </c>
      <c r="C1773" s="240">
        <f>$C$3</f>
        <v/>
      </c>
      <c r="D1773" s="240">
        <f>$D$3</f>
        <v/>
      </c>
      <c r="E1773" s="240">
        <f>$E$3</f>
        <v/>
      </c>
      <c r="F1773" s="241" t="n">
        <v>12.29</v>
      </c>
      <c r="G1773" s="242" t="n">
        <v>12155586</v>
      </c>
      <c r="H1773" s="241" t="n">
        <v>2.59</v>
      </c>
      <c r="I1773" s="241" t="n">
        <v>-15.88</v>
      </c>
      <c r="J1773" s="241" t="n">
        <v>-11.52</v>
      </c>
      <c r="K1773" s="241" t="n">
        <v>8.76</v>
      </c>
      <c r="L1773" s="242" t="n">
        <v>2686000</v>
      </c>
      <c r="M1773" s="241" t="n">
        <v>1.87</v>
      </c>
      <c r="N1773" s="241" t="n">
        <v>-24.83</v>
      </c>
      <c r="O1773" s="241" t="n">
        <v>-30.31</v>
      </c>
      <c r="P1773" s="241" t="n">
        <v>1.4</v>
      </c>
    </row>
    <row r="1774">
      <c r="A1774" s="282" t="inlineStr">
        <is>
          <t>2013-04-22</t>
        </is>
      </c>
      <c r="B1774" s="240">
        <f>IFERROR(1/P1774-1,B1773)</f>
        <v/>
      </c>
      <c r="C1774" s="240">
        <f>$C$3</f>
        <v/>
      </c>
      <c r="D1774" s="240">
        <f>$D$3</f>
        <v/>
      </c>
      <c r="E1774" s="240">
        <f>$E$3</f>
        <v/>
      </c>
      <c r="F1774" s="241" t="n">
        <v>12.32</v>
      </c>
      <c r="G1774" s="242" t="n">
        <v>9061427</v>
      </c>
      <c r="H1774" s="241" t="n">
        <v>0.24</v>
      </c>
      <c r="I1774" s="241" t="n">
        <v>-19</v>
      </c>
      <c r="J1774" s="241" t="n">
        <v>-11.3</v>
      </c>
      <c r="K1774" s="241" t="n">
        <v>8.75</v>
      </c>
      <c r="L1774" s="242" t="n">
        <v>3336400</v>
      </c>
      <c r="M1774" s="241" t="n">
        <v>-0.18</v>
      </c>
      <c r="N1774" s="241" t="n">
        <v>-26.59</v>
      </c>
      <c r="O1774" s="241" t="n">
        <v>-30.43</v>
      </c>
      <c r="P1774" s="241" t="n">
        <v>1.41</v>
      </c>
    </row>
    <row r="1775">
      <c r="A1775" s="282" t="inlineStr">
        <is>
          <t>2013-04-23</t>
        </is>
      </c>
      <c r="B1775" s="240">
        <f>IFERROR(1/P1775-1,B1774)</f>
        <v/>
      </c>
      <c r="C1775" s="240">
        <f>$C$3</f>
        <v/>
      </c>
      <c r="D1775" s="240">
        <f>$D$3</f>
        <v/>
      </c>
      <c r="E1775" s="240">
        <f>$E$3</f>
        <v/>
      </c>
      <c r="F1775" s="241" t="n">
        <v>12.03</v>
      </c>
      <c r="G1775" s="242" t="n">
        <v>10840499</v>
      </c>
      <c r="H1775" s="241" t="n">
        <v>-2.35</v>
      </c>
      <c r="I1775" s="241" t="n">
        <v>-20.33</v>
      </c>
      <c r="J1775" s="241" t="n">
        <v>-13.39</v>
      </c>
      <c r="K1775" s="241" t="n">
        <v>8.630000000000001</v>
      </c>
      <c r="L1775" s="242" t="n">
        <v>3051800</v>
      </c>
      <c r="M1775" s="241" t="n">
        <v>-1.29</v>
      </c>
      <c r="N1775" s="241" t="n">
        <v>-26.44</v>
      </c>
      <c r="O1775" s="241" t="n">
        <v>-31.33</v>
      </c>
      <c r="P1775" s="241" t="n">
        <v>1.39</v>
      </c>
    </row>
    <row r="1776">
      <c r="A1776" s="282" t="inlineStr">
        <is>
          <t>2013-04-24</t>
        </is>
      </c>
      <c r="B1776" s="240">
        <f>IFERROR(1/P1776-1,B1775)</f>
        <v/>
      </c>
      <c r="C1776" s="240">
        <f>$C$3</f>
        <v/>
      </c>
      <c r="D1776" s="240">
        <f>$D$3</f>
        <v/>
      </c>
      <c r="E1776" s="240">
        <f>$E$3</f>
        <v/>
      </c>
      <c r="F1776" s="241" t="n">
        <v>12.36</v>
      </c>
      <c r="G1776" s="242" t="n">
        <v>8688254</v>
      </c>
      <c r="H1776" s="241" t="n">
        <v>2.74</v>
      </c>
      <c r="I1776" s="241" t="n">
        <v>-18.15</v>
      </c>
      <c r="J1776" s="241" t="n">
        <v>-11.02</v>
      </c>
      <c r="K1776" s="241" t="n">
        <v>9.35</v>
      </c>
      <c r="L1776" s="242" t="n">
        <v>9145200</v>
      </c>
      <c r="M1776" s="241" t="n">
        <v>8.380000000000001</v>
      </c>
      <c r="N1776" s="241" t="n">
        <v>-20.27</v>
      </c>
      <c r="O1776" s="241" t="n">
        <v>-25.58</v>
      </c>
      <c r="P1776" s="241" t="n">
        <v>1.32</v>
      </c>
    </row>
    <row r="1777">
      <c r="A1777" s="282" t="inlineStr">
        <is>
          <t>2013-04-25</t>
        </is>
      </c>
      <c r="B1777" s="240">
        <f>IFERROR(1/P1777-1,B1776)</f>
        <v/>
      </c>
      <c r="C1777" s="240">
        <f>$C$3</f>
        <v/>
      </c>
      <c r="D1777" s="240">
        <f>$D$3</f>
        <v/>
      </c>
      <c r="E1777" s="240">
        <f>$E$3</f>
        <v/>
      </c>
      <c r="F1777" s="241" t="n">
        <v>12.11</v>
      </c>
      <c r="G1777" s="242" t="n">
        <v>7144793</v>
      </c>
      <c r="H1777" s="241" t="n">
        <v>-2.02</v>
      </c>
      <c r="I1777" s="241" t="n">
        <v>-19.8</v>
      </c>
      <c r="J1777" s="241" t="n">
        <v>-12.81</v>
      </c>
      <c r="K1777" s="241" t="n">
        <v>9.119999999999999</v>
      </c>
      <c r="L1777" s="242" t="n">
        <v>5285000</v>
      </c>
      <c r="M1777" s="241" t="n">
        <v>-2.41</v>
      </c>
      <c r="N1777" s="241" t="n">
        <v>-22.19</v>
      </c>
      <c r="O1777" s="241" t="n">
        <v>-27.37</v>
      </c>
      <c r="P1777" s="241" t="n">
        <v>1.33</v>
      </c>
    </row>
    <row r="1778">
      <c r="A1778" s="282" t="inlineStr">
        <is>
          <t>2013-04-26</t>
        </is>
      </c>
      <c r="B1778" s="240">
        <f>IFERROR(1/P1778-1,B1777)</f>
        <v/>
      </c>
      <c r="C1778" s="240">
        <f>$C$3</f>
        <v/>
      </c>
      <c r="D1778" s="240">
        <f>$D$3</f>
        <v/>
      </c>
      <c r="E1778" s="240">
        <f>$E$3</f>
        <v/>
      </c>
      <c r="F1778" s="241" t="n">
        <v>11.73</v>
      </c>
      <c r="G1778" s="242" t="n">
        <v>9581349</v>
      </c>
      <c r="H1778" s="241" t="n">
        <v>-3.14</v>
      </c>
      <c r="I1778" s="241" t="n">
        <v>-20.96</v>
      </c>
      <c r="J1778" s="241" t="n">
        <v>-15.55</v>
      </c>
      <c r="K1778" s="241" t="n">
        <v>8.81</v>
      </c>
      <c r="L1778" s="242" t="n">
        <v>5265090</v>
      </c>
      <c r="M1778" s="241" t="n">
        <v>-3.17</v>
      </c>
      <c r="N1778" s="241" t="n">
        <v>-23.61</v>
      </c>
      <c r="O1778" s="241" t="n">
        <v>-29.67</v>
      </c>
      <c r="P1778" s="241" t="n">
        <v>1.33</v>
      </c>
    </row>
    <row r="1779">
      <c r="A1779" s="282" t="inlineStr">
        <is>
          <t>2013-05-02</t>
        </is>
      </c>
      <c r="B1779" s="240">
        <f>IFERROR(1/P1779-1,B1778)</f>
        <v/>
      </c>
      <c r="C1779" s="240">
        <f>$C$3</f>
        <v/>
      </c>
      <c r="D1779" s="240">
        <f>$D$3</f>
        <v/>
      </c>
      <c r="E1779" s="240">
        <f>$E$3</f>
        <v/>
      </c>
      <c r="F1779" s="241" t="n">
        <v>11.64</v>
      </c>
      <c r="G1779" s="242" t="n">
        <v>6262433</v>
      </c>
      <c r="H1779" s="241" t="n">
        <v>-0.77</v>
      </c>
      <c r="I1779" s="241" t="n">
        <v>-10.46</v>
      </c>
      <c r="J1779" s="241" t="n">
        <v>-16.2</v>
      </c>
      <c r="K1779" s="241" t="n">
        <v>8.98</v>
      </c>
      <c r="L1779" s="242" t="n">
        <v>3189500</v>
      </c>
      <c r="M1779" s="241" t="n">
        <v>2.94</v>
      </c>
      <c r="N1779" s="241" t="n">
        <v>-12.75</v>
      </c>
      <c r="O1779" s="241" t="n">
        <v>-28.26</v>
      </c>
      <c r="P1779" s="241" t="n">
        <v>1.3</v>
      </c>
    </row>
    <row r="1780">
      <c r="A1780" s="282" t="inlineStr">
        <is>
          <t>2013-05-03</t>
        </is>
      </c>
      <c r="B1780" s="240">
        <f>IFERROR(1/P1780-1,B1779)</f>
        <v/>
      </c>
      <c r="C1780" s="240">
        <f>$C$3</f>
        <v/>
      </c>
      <c r="D1780" s="240">
        <f>$D$3</f>
        <v/>
      </c>
      <c r="E1780" s="240">
        <f>$E$3</f>
        <v/>
      </c>
      <c r="F1780" s="241" t="n">
        <v>11.96</v>
      </c>
      <c r="G1780" s="242" t="n">
        <v>6524927</v>
      </c>
      <c r="H1780" s="241" t="n">
        <v>2.75</v>
      </c>
      <c r="I1780" s="241" t="n">
        <v>-7.64</v>
      </c>
      <c r="J1780" s="241" t="n">
        <v>-13.89</v>
      </c>
      <c r="K1780" s="241" t="n">
        <v>9.48</v>
      </c>
      <c r="L1780" s="242" t="n">
        <v>10579200</v>
      </c>
      <c r="M1780" s="241" t="n">
        <v>5.53</v>
      </c>
      <c r="N1780" s="241" t="n">
        <v>-3.27</v>
      </c>
      <c r="O1780" s="241" t="n">
        <v>-24.3</v>
      </c>
      <c r="P1780" s="241" t="n">
        <v>1.26</v>
      </c>
    </row>
    <row r="1781">
      <c r="A1781" s="282" t="inlineStr">
        <is>
          <t>2013-05-06</t>
        </is>
      </c>
      <c r="B1781" s="240">
        <f>IFERROR(1/P1781-1,B1780)</f>
        <v/>
      </c>
      <c r="C1781" s="240">
        <f>$C$3</f>
        <v/>
      </c>
      <c r="D1781" s="240">
        <f>$D$3</f>
        <v/>
      </c>
      <c r="E1781" s="240">
        <f>$E$3</f>
        <v/>
      </c>
      <c r="F1781" s="241" t="n">
        <v>12.3</v>
      </c>
      <c r="G1781" s="242" t="n">
        <v>8792083</v>
      </c>
      <c r="H1781" s="241" t="n">
        <v>2.84</v>
      </c>
      <c r="I1781" s="241" t="n">
        <v>-4.5</v>
      </c>
      <c r="J1781" s="241" t="n">
        <v>-11.45</v>
      </c>
      <c r="K1781" s="241" t="n">
        <v>9.720000000000001</v>
      </c>
      <c r="L1781" s="242" t="n">
        <v>5754000</v>
      </c>
      <c r="M1781" s="241" t="n">
        <v>2.53</v>
      </c>
      <c r="N1781" s="241" t="n">
        <v>8.779999999999999</v>
      </c>
      <c r="O1781" s="241" t="n">
        <v>-22.38</v>
      </c>
      <c r="P1781" s="241" t="n">
        <v>1.27</v>
      </c>
    </row>
    <row r="1782">
      <c r="A1782" s="282" t="inlineStr">
        <is>
          <t>2013-05-07</t>
        </is>
      </c>
      <c r="B1782" s="240">
        <f>IFERROR(1/P1782-1,B1781)</f>
        <v/>
      </c>
      <c r="C1782" s="240">
        <f>$C$3</f>
        <v/>
      </c>
      <c r="D1782" s="240">
        <f>$D$3</f>
        <v/>
      </c>
      <c r="E1782" s="240">
        <f>$E$3</f>
        <v/>
      </c>
      <c r="F1782" s="241" t="n">
        <v>12.4</v>
      </c>
      <c r="G1782" s="242" t="n">
        <v>7695465</v>
      </c>
      <c r="H1782" s="241" t="n">
        <v>0.8100000000000001</v>
      </c>
      <c r="I1782" s="241" t="n">
        <v>-3.73</v>
      </c>
      <c r="J1782" s="241" t="n">
        <v>-10.73</v>
      </c>
      <c r="K1782" s="241" t="n">
        <v>10.51</v>
      </c>
      <c r="L1782" s="242" t="n">
        <v>12564800</v>
      </c>
      <c r="M1782" s="241" t="n">
        <v>8.24</v>
      </c>
      <c r="N1782" s="241" t="n">
        <v>17.74</v>
      </c>
      <c r="O1782" s="241" t="n">
        <v>-15.98</v>
      </c>
      <c r="P1782" s="241" t="n">
        <v>1.18</v>
      </c>
    </row>
    <row r="1783">
      <c r="A1783" s="282" t="inlineStr">
        <is>
          <t>2013-05-08</t>
        </is>
      </c>
      <c r="B1783" s="240">
        <f>IFERROR(1/P1783-1,B1782)</f>
        <v/>
      </c>
      <c r="C1783" s="240">
        <f>$C$3</f>
        <v/>
      </c>
      <c r="D1783" s="240">
        <f>$D$3</f>
        <v/>
      </c>
      <c r="E1783" s="240">
        <f>$E$3</f>
        <v/>
      </c>
      <c r="F1783" s="241" t="n">
        <v>12.44</v>
      </c>
      <c r="G1783" s="242" t="n">
        <v>9713913</v>
      </c>
      <c r="H1783" s="241" t="n">
        <v>0.32</v>
      </c>
      <c r="I1783" s="241" t="n">
        <v>-3.42</v>
      </c>
      <c r="J1783" s="241" t="n">
        <v>-10.44</v>
      </c>
      <c r="K1783" s="241" t="n">
        <v>10.33</v>
      </c>
      <c r="L1783" s="242" t="n">
        <v>5534000</v>
      </c>
      <c r="M1783" s="241" t="n">
        <v>-1.52</v>
      </c>
      <c r="N1783" s="241" t="n">
        <v>15.95</v>
      </c>
      <c r="O1783" s="241" t="n">
        <v>-17.26</v>
      </c>
      <c r="P1783" s="241" t="n">
        <v>1.2</v>
      </c>
    </row>
    <row r="1784">
      <c r="A1784" s="282" t="inlineStr">
        <is>
          <t>2013-05-09</t>
        </is>
      </c>
      <c r="B1784" s="240">
        <f>IFERROR(1/P1784-1,B1783)</f>
        <v/>
      </c>
      <c r="C1784" s="240">
        <f>$C$3</f>
        <v/>
      </c>
      <c r="D1784" s="240">
        <f>$D$3</f>
        <v/>
      </c>
      <c r="E1784" s="240">
        <f>$E$3</f>
        <v/>
      </c>
      <c r="F1784" s="241" t="n">
        <v>12.36</v>
      </c>
      <c r="G1784" s="242" t="n">
        <v>7783009</v>
      </c>
      <c r="H1784" s="241" t="n">
        <v>-0.64</v>
      </c>
      <c r="I1784" s="241" t="n">
        <v>-2.91</v>
      </c>
      <c r="J1784" s="241" t="n">
        <v>-11.02</v>
      </c>
      <c r="K1784" s="241" t="n">
        <v>10.17</v>
      </c>
      <c r="L1784" s="242" t="n">
        <v>5595800</v>
      </c>
      <c r="M1784" s="241" t="n">
        <v>-1.55</v>
      </c>
      <c r="N1784" s="241" t="n">
        <v>15.82</v>
      </c>
      <c r="O1784" s="241" t="n">
        <v>-18.54</v>
      </c>
      <c r="P1784" s="241" t="n">
        <v>1.22</v>
      </c>
    </row>
    <row r="1785">
      <c r="A1785" s="282" t="inlineStr">
        <is>
          <t>2013-05-10</t>
        </is>
      </c>
      <c r="B1785" s="240">
        <f>IFERROR(1/P1785-1,B1784)</f>
        <v/>
      </c>
      <c r="C1785" s="240">
        <f>$C$3</f>
        <v/>
      </c>
      <c r="D1785" s="240">
        <f>$D$3</f>
        <v/>
      </c>
      <c r="E1785" s="240">
        <f>$E$3</f>
        <v/>
      </c>
      <c r="F1785" s="241" t="n">
        <v>12.98</v>
      </c>
      <c r="G1785" s="242" t="n">
        <v>19162245</v>
      </c>
      <c r="H1785" s="241" t="n">
        <v>5.02</v>
      </c>
      <c r="I1785" s="241" t="n">
        <v>0.85</v>
      </c>
      <c r="J1785" s="241" t="n">
        <v>-6.55</v>
      </c>
      <c r="K1785" s="241" t="n">
        <v>10.61</v>
      </c>
      <c r="L1785" s="242" t="n">
        <v>4290800</v>
      </c>
      <c r="M1785" s="241" t="n">
        <v>4.24</v>
      </c>
      <c r="N1785" s="241" t="n">
        <v>16.7</v>
      </c>
      <c r="O1785" s="241" t="n">
        <v>-15.09</v>
      </c>
      <c r="P1785" s="241" t="n">
        <v>1.22</v>
      </c>
    </row>
    <row r="1786">
      <c r="A1786" s="282" t="inlineStr">
        <is>
          <t>2013-05-13</t>
        </is>
      </c>
      <c r="B1786" s="240">
        <f>IFERROR(1/P1786-1,B1785)</f>
        <v/>
      </c>
      <c r="C1786" s="240">
        <f>$C$3</f>
        <v/>
      </c>
      <c r="D1786" s="240">
        <f>$D$3</f>
        <v/>
      </c>
      <c r="E1786" s="240">
        <f>$E$3</f>
        <v/>
      </c>
      <c r="F1786" s="241" t="n">
        <v>12.84</v>
      </c>
      <c r="G1786" s="242" t="n">
        <v>7837958</v>
      </c>
      <c r="H1786" s="241" t="n">
        <v>-1.08</v>
      </c>
      <c r="I1786" s="241" t="n">
        <v>1.5</v>
      </c>
      <c r="J1786" s="241" t="n">
        <v>-7.56</v>
      </c>
      <c r="K1786" s="241" t="n">
        <v>10.45</v>
      </c>
      <c r="L1786" s="242" t="n">
        <v>2205000</v>
      </c>
      <c r="M1786" s="241" t="n">
        <v>-1.66</v>
      </c>
      <c r="N1786" s="241" t="n">
        <v>16.61</v>
      </c>
      <c r="O1786" s="241" t="n">
        <v>-16.5</v>
      </c>
      <c r="P1786" s="241" t="n">
        <v>1.23</v>
      </c>
    </row>
    <row r="1787">
      <c r="A1787" s="282" t="inlineStr">
        <is>
          <t>2013-05-14</t>
        </is>
      </c>
      <c r="B1787" s="240">
        <f>IFERROR(1/P1787-1,B1786)</f>
        <v/>
      </c>
      <c r="C1787" s="240">
        <f>$C$3</f>
        <v/>
      </c>
      <c r="D1787" s="240">
        <f>$D$3</f>
        <v/>
      </c>
      <c r="E1787" s="240">
        <f>$E$3</f>
        <v/>
      </c>
      <c r="F1787" s="241" t="n">
        <v>12.6</v>
      </c>
      <c r="G1787" s="242" t="n">
        <v>6512877</v>
      </c>
      <c r="H1787" s="241" t="n">
        <v>-1.87</v>
      </c>
      <c r="I1787" s="241" t="n">
        <v>-0.4</v>
      </c>
      <c r="J1787" s="241" t="n">
        <v>-9.289999999999999</v>
      </c>
      <c r="K1787" s="241" t="n">
        <v>10.58</v>
      </c>
      <c r="L1787" s="242" t="n">
        <v>4136829</v>
      </c>
      <c r="M1787" s="241" t="n">
        <v>1.38</v>
      </c>
      <c r="N1787" s="241" t="n">
        <v>18.21</v>
      </c>
      <c r="O1787" s="241" t="n">
        <v>-15.35</v>
      </c>
      <c r="P1787" s="241" t="n">
        <v>1.19</v>
      </c>
    </row>
    <row r="1788">
      <c r="A1788" s="282" t="inlineStr">
        <is>
          <t>2013-05-15</t>
        </is>
      </c>
      <c r="B1788" s="240">
        <f>IFERROR(1/P1788-1,B1787)</f>
        <v/>
      </c>
      <c r="C1788" s="240">
        <f>$C$3</f>
        <v/>
      </c>
      <c r="D1788" s="240">
        <f>$D$3</f>
        <v/>
      </c>
      <c r="E1788" s="240">
        <f>$E$3</f>
        <v/>
      </c>
      <c r="F1788" s="241" t="n">
        <v>12.85</v>
      </c>
      <c r="G1788" s="242" t="n">
        <v>5996880</v>
      </c>
      <c r="H1788" s="241" t="n">
        <v>1.98</v>
      </c>
      <c r="I1788" s="241" t="n">
        <v>1.58</v>
      </c>
      <c r="J1788" s="241" t="n">
        <v>-7.49</v>
      </c>
      <c r="K1788" s="241" t="n">
        <v>10.51</v>
      </c>
      <c r="L1788" s="242" t="n">
        <v>1245360</v>
      </c>
      <c r="M1788" s="241" t="n">
        <v>-0.76</v>
      </c>
      <c r="N1788" s="241" t="n">
        <v>17.32</v>
      </c>
      <c r="O1788" s="241" t="n">
        <v>-15.98</v>
      </c>
      <c r="P1788" s="241" t="n">
        <v>1.22</v>
      </c>
    </row>
    <row r="1789">
      <c r="A1789" s="282" t="inlineStr">
        <is>
          <t>2013-05-16</t>
        </is>
      </c>
      <c r="B1789" s="240">
        <f>IFERROR(1/P1789-1,B1788)</f>
        <v/>
      </c>
      <c r="C1789" s="240">
        <f>$C$3</f>
        <v/>
      </c>
      <c r="D1789" s="240">
        <f>$D$3</f>
        <v/>
      </c>
      <c r="E1789" s="240">
        <f>$E$3</f>
        <v/>
      </c>
      <c r="F1789" s="241" t="n">
        <v>12.94</v>
      </c>
      <c r="G1789" s="242" t="n">
        <v>8264340</v>
      </c>
      <c r="H1789" s="241" t="n">
        <v>0.7</v>
      </c>
      <c r="I1789" s="241" t="n">
        <v>7.65</v>
      </c>
      <c r="J1789" s="241" t="n">
        <v>-6.84</v>
      </c>
      <c r="K1789" s="241" t="n">
        <v>10.43</v>
      </c>
      <c r="L1789" s="242" t="n">
        <v>2698600</v>
      </c>
      <c r="M1789" s="241" t="n">
        <v>-0.76</v>
      </c>
      <c r="N1789" s="241" t="n">
        <v>18.98</v>
      </c>
      <c r="O1789" s="241" t="n">
        <v>-16.62</v>
      </c>
      <c r="P1789" s="241" t="n">
        <v>1.24</v>
      </c>
    </row>
    <row r="1790">
      <c r="A1790" s="282" t="inlineStr">
        <is>
          <t>2013-05-17</t>
        </is>
      </c>
      <c r="B1790" s="240">
        <f>IFERROR(1/P1790-1,B1789)</f>
        <v/>
      </c>
      <c r="C1790" s="240">
        <f>$C$3</f>
        <v/>
      </c>
      <c r="D1790" s="240">
        <f>$D$3</f>
        <v/>
      </c>
      <c r="E1790" s="240">
        <f>$E$3</f>
        <v/>
      </c>
      <c r="F1790" s="241" t="n">
        <v>13.08</v>
      </c>
      <c r="G1790" s="242" t="n">
        <v>11831893</v>
      </c>
      <c r="H1790" s="241" t="n">
        <v>1.08</v>
      </c>
      <c r="I1790" s="241" t="n">
        <v>8.82</v>
      </c>
      <c r="J1790" s="241" t="n">
        <v>-5.83</v>
      </c>
      <c r="K1790" s="239" t="inlineStr">
        <is>
          <t>--</t>
        </is>
      </c>
      <c r="L1790" s="239" t="inlineStr">
        <is>
          <t>--</t>
        </is>
      </c>
      <c r="M1790" s="239" t="inlineStr">
        <is>
          <t>--</t>
        </is>
      </c>
      <c r="N1790" s="239" t="inlineStr">
        <is>
          <t>--</t>
        </is>
      </c>
      <c r="O1790" s="239" t="inlineStr">
        <is>
          <t>--</t>
        </is>
      </c>
      <c r="P1790" s="239" t="inlineStr">
        <is>
          <t>--</t>
        </is>
      </c>
    </row>
    <row r="1791">
      <c r="A1791" s="282" t="inlineStr">
        <is>
          <t>2013-05-20</t>
        </is>
      </c>
      <c r="B1791" s="240">
        <f>IFERROR(1/P1791-1,B1790)</f>
        <v/>
      </c>
      <c r="C1791" s="240">
        <f>$C$3</f>
        <v/>
      </c>
      <c r="D1791" s="240">
        <f>$D$3</f>
        <v/>
      </c>
      <c r="E1791" s="240">
        <f>$E$3</f>
        <v/>
      </c>
      <c r="F1791" s="241" t="n">
        <v>13.17</v>
      </c>
      <c r="G1791" s="242" t="n">
        <v>10538351</v>
      </c>
      <c r="H1791" s="241" t="n">
        <v>0.6899999999999999</v>
      </c>
      <c r="I1791" s="241" t="n">
        <v>7.16</v>
      </c>
      <c r="J1791" s="241" t="n">
        <v>-5.18</v>
      </c>
      <c r="K1791" s="241" t="n">
        <v>10.48</v>
      </c>
      <c r="L1791" s="242" t="n">
        <v>2904700</v>
      </c>
      <c r="M1791" s="241" t="n">
        <v>0.61</v>
      </c>
      <c r="N1791" s="241" t="n">
        <v>20.37</v>
      </c>
      <c r="O1791" s="241" t="n">
        <v>-16.11</v>
      </c>
      <c r="P1791" s="241" t="n">
        <v>1.26</v>
      </c>
    </row>
    <row r="1792">
      <c r="A1792" s="282" t="inlineStr">
        <is>
          <t>2013-05-21</t>
        </is>
      </c>
      <c r="B1792" s="240">
        <f>IFERROR(1/P1792-1,B1791)</f>
        <v/>
      </c>
      <c r="C1792" s="240">
        <f>$C$3</f>
        <v/>
      </c>
      <c r="D1792" s="240">
        <f>$D$3</f>
        <v/>
      </c>
      <c r="E1792" s="240">
        <f>$E$3</f>
        <v/>
      </c>
      <c r="F1792" s="241" t="n">
        <v>13.33</v>
      </c>
      <c r="G1792" s="242" t="n">
        <v>10522466</v>
      </c>
      <c r="H1792" s="241" t="n">
        <v>1.21</v>
      </c>
      <c r="I1792" s="241" t="n">
        <v>8.460000000000001</v>
      </c>
      <c r="J1792" s="241" t="n">
        <v>-4.03</v>
      </c>
      <c r="K1792" s="241" t="n">
        <v>11.01</v>
      </c>
      <c r="L1792" s="242" t="n">
        <v>7809500</v>
      </c>
      <c r="M1792" s="241" t="n">
        <v>5.18</v>
      </c>
      <c r="N1792" s="241" t="n">
        <v>26.61</v>
      </c>
      <c r="O1792" s="241" t="n">
        <v>-11.76</v>
      </c>
      <c r="P1792" s="241" t="n">
        <v>1.21</v>
      </c>
    </row>
    <row r="1793">
      <c r="A1793" s="282" t="inlineStr">
        <is>
          <t>2013-05-22</t>
        </is>
      </c>
      <c r="B1793" s="240">
        <f>IFERROR(1/P1793-1,B1792)</f>
        <v/>
      </c>
      <c r="C1793" s="240">
        <f>$C$3</f>
        <v/>
      </c>
      <c r="D1793" s="240">
        <f>$D$3</f>
        <v/>
      </c>
      <c r="E1793" s="240">
        <f>$E$3</f>
        <v/>
      </c>
      <c r="F1793" s="241" t="n">
        <v>13.2</v>
      </c>
      <c r="G1793" s="242" t="n">
        <v>9852667</v>
      </c>
      <c r="H1793" s="241" t="n">
        <v>-0.98</v>
      </c>
      <c r="I1793" s="241" t="n">
        <v>7.4</v>
      </c>
      <c r="J1793" s="241" t="n">
        <v>-4.97</v>
      </c>
      <c r="K1793" s="241" t="n">
        <v>10.64</v>
      </c>
      <c r="L1793" s="242" t="n">
        <v>3219535</v>
      </c>
      <c r="M1793" s="241" t="n">
        <v>-3.33</v>
      </c>
      <c r="N1793" s="241" t="n">
        <v>22.39</v>
      </c>
      <c r="O1793" s="241" t="n">
        <v>-14.71</v>
      </c>
      <c r="P1793" s="241" t="n">
        <v>1.24</v>
      </c>
    </row>
    <row r="1794">
      <c r="A1794" s="282" t="inlineStr">
        <is>
          <t>2013-05-23</t>
        </is>
      </c>
      <c r="B1794" s="240">
        <f>IFERROR(1/P1794-1,B1793)</f>
        <v/>
      </c>
      <c r="C1794" s="240">
        <f>$C$3</f>
        <v/>
      </c>
      <c r="D1794" s="240">
        <f>$D$3</f>
        <v/>
      </c>
      <c r="E1794" s="240">
        <f>$E$3</f>
        <v/>
      </c>
      <c r="F1794" s="241" t="n">
        <v>12.81</v>
      </c>
      <c r="G1794" s="242" t="n">
        <v>11881010</v>
      </c>
      <c r="H1794" s="241" t="n">
        <v>-2.95</v>
      </c>
      <c r="I1794" s="241" t="n">
        <v>3.98</v>
      </c>
      <c r="J1794" s="241" t="n">
        <v>-7.78</v>
      </c>
      <c r="K1794" s="241" t="n">
        <v>10.36</v>
      </c>
      <c r="L1794" s="242" t="n">
        <v>4795500</v>
      </c>
      <c r="M1794" s="241" t="n">
        <v>-2.7</v>
      </c>
      <c r="N1794" s="241" t="n">
        <v>19.3</v>
      </c>
      <c r="O1794" s="241" t="n">
        <v>-17.01</v>
      </c>
      <c r="P1794" s="241" t="n">
        <v>1.24</v>
      </c>
    </row>
    <row r="1795">
      <c r="A1795" s="282" t="inlineStr">
        <is>
          <t>2013-05-24</t>
        </is>
      </c>
      <c r="B1795" s="240">
        <f>IFERROR(1/P1795-1,B1794)</f>
        <v/>
      </c>
      <c r="C1795" s="240">
        <f>$C$3</f>
        <v/>
      </c>
      <c r="D1795" s="240">
        <f>$D$3</f>
        <v/>
      </c>
      <c r="E1795" s="240">
        <f>$E$3</f>
        <v/>
      </c>
      <c r="F1795" s="241" t="n">
        <v>12.99</v>
      </c>
      <c r="G1795" s="242" t="n">
        <v>9604800</v>
      </c>
      <c r="H1795" s="241" t="n">
        <v>1.41</v>
      </c>
      <c r="I1795" s="241" t="n">
        <v>7.98</v>
      </c>
      <c r="J1795" s="241" t="n">
        <v>-6.48</v>
      </c>
      <c r="K1795" s="241" t="n">
        <v>10.17</v>
      </c>
      <c r="L1795" s="242" t="n">
        <v>3088258</v>
      </c>
      <c r="M1795" s="241" t="n">
        <v>-1.69</v>
      </c>
      <c r="N1795" s="241" t="n">
        <v>18.81</v>
      </c>
      <c r="O1795" s="241" t="n">
        <v>-18.41</v>
      </c>
      <c r="P1795" s="241" t="n">
        <v>1.28</v>
      </c>
    </row>
    <row r="1796">
      <c r="A1796" s="282" t="inlineStr">
        <is>
          <t>2013-05-27</t>
        </is>
      </c>
      <c r="B1796" s="240">
        <f>IFERROR(1/P1796-1,B1795)</f>
        <v/>
      </c>
      <c r="C1796" s="240">
        <f>$C$3</f>
        <v/>
      </c>
      <c r="D1796" s="240">
        <f>$D$3</f>
        <v/>
      </c>
      <c r="E1796" s="240">
        <f>$E$3</f>
        <v/>
      </c>
      <c r="F1796" s="241" t="n">
        <v>13.04</v>
      </c>
      <c r="G1796" s="242" t="n">
        <v>9561363</v>
      </c>
      <c r="H1796" s="241" t="n">
        <v>0.38</v>
      </c>
      <c r="I1796" s="241" t="n">
        <v>11.17</v>
      </c>
      <c r="J1796" s="241" t="n">
        <v>-6.12</v>
      </c>
      <c r="K1796" s="241" t="n">
        <v>10.24</v>
      </c>
      <c r="L1796" s="242" t="n">
        <v>3087608</v>
      </c>
      <c r="M1796" s="241" t="n">
        <v>0.78</v>
      </c>
      <c r="N1796" s="241" t="n">
        <v>16.91</v>
      </c>
      <c r="O1796" s="241" t="n">
        <v>-17.77</v>
      </c>
      <c r="P1796" s="241" t="n">
        <v>1.27</v>
      </c>
    </row>
    <row r="1797">
      <c r="A1797" s="282" t="inlineStr">
        <is>
          <t>2013-05-28</t>
        </is>
      </c>
      <c r="B1797" s="240">
        <f>IFERROR(1/P1797-1,B1796)</f>
        <v/>
      </c>
      <c r="C1797" s="240">
        <f>$C$3</f>
        <v/>
      </c>
      <c r="D1797" s="240">
        <f>$D$3</f>
        <v/>
      </c>
      <c r="E1797" s="240">
        <f>$E$3</f>
        <v/>
      </c>
      <c r="F1797" s="241" t="n">
        <v>13.3</v>
      </c>
      <c r="G1797" s="242" t="n">
        <v>9817291</v>
      </c>
      <c r="H1797" s="241" t="n">
        <v>1.99</v>
      </c>
      <c r="I1797" s="241" t="n">
        <v>13.38</v>
      </c>
      <c r="J1797" s="241" t="n">
        <v>-4.25</v>
      </c>
      <c r="K1797" s="241" t="n">
        <v>10.29</v>
      </c>
      <c r="L1797" s="242" t="n">
        <v>2676400</v>
      </c>
      <c r="M1797" s="241" t="n">
        <v>1.55</v>
      </c>
      <c r="N1797" s="241" t="n">
        <v>18.73</v>
      </c>
      <c r="O1797" s="241" t="n">
        <v>-16.5</v>
      </c>
      <c r="P1797" s="241" t="n">
        <v>1.29</v>
      </c>
    </row>
    <row r="1798">
      <c r="A1798" s="282" t="inlineStr">
        <is>
          <t>2013-05-29</t>
        </is>
      </c>
      <c r="B1798" s="240">
        <f>IFERROR(1/P1798-1,B1797)</f>
        <v/>
      </c>
      <c r="C1798" s="240">
        <f>$C$3</f>
        <v/>
      </c>
      <c r="D1798" s="240">
        <f>$D$3</f>
        <v/>
      </c>
      <c r="E1798" s="240">
        <f>$E$3</f>
        <v/>
      </c>
      <c r="F1798" s="241" t="n">
        <v>13.24</v>
      </c>
      <c r="G1798" s="242" t="n">
        <v>12272323</v>
      </c>
      <c r="H1798" s="241" t="n">
        <v>-0.45</v>
      </c>
      <c r="I1798" s="241" t="n">
        <v>12.87</v>
      </c>
      <c r="J1798" s="241" t="n">
        <v>-4.68</v>
      </c>
      <c r="K1798" s="241" t="n">
        <v>10.12</v>
      </c>
      <c r="L1798" s="242" t="n">
        <v>4068400</v>
      </c>
      <c r="M1798" s="241" t="n">
        <v>-1.7</v>
      </c>
      <c r="N1798" s="241" t="n">
        <v>16.71</v>
      </c>
      <c r="O1798" s="241" t="n">
        <v>-17.92</v>
      </c>
      <c r="P1798" s="241" t="n">
        <v>1.31</v>
      </c>
    </row>
    <row r="1799">
      <c r="A1799" s="282" t="inlineStr">
        <is>
          <t>2013-05-30</t>
        </is>
      </c>
      <c r="B1799" s="240">
        <f>IFERROR(1/P1799-1,B1798)</f>
        <v/>
      </c>
      <c r="C1799" s="240">
        <f>$C$3</f>
        <v/>
      </c>
      <c r="D1799" s="240">
        <f>$D$3</f>
        <v/>
      </c>
      <c r="E1799" s="240">
        <f>$E$3</f>
        <v/>
      </c>
      <c r="F1799" s="241" t="n">
        <v>13.02</v>
      </c>
      <c r="G1799" s="242" t="n">
        <v>12005863</v>
      </c>
      <c r="H1799" s="241" t="n">
        <v>-1.66</v>
      </c>
      <c r="I1799" s="241" t="n">
        <v>11</v>
      </c>
      <c r="J1799" s="241" t="n">
        <v>-6.26</v>
      </c>
      <c r="K1799" s="241" t="n">
        <v>10.1</v>
      </c>
      <c r="L1799" s="242" t="n">
        <v>4181315</v>
      </c>
      <c r="M1799" s="241" t="n">
        <v>-0.16</v>
      </c>
      <c r="N1799" s="241" t="n">
        <v>20.01</v>
      </c>
      <c r="O1799" s="241" t="n">
        <v>-18.05</v>
      </c>
      <c r="P1799" s="241" t="n">
        <v>1.29</v>
      </c>
    </row>
    <row r="1800">
      <c r="A1800" s="282" t="inlineStr">
        <is>
          <t>2013-05-31</t>
        </is>
      </c>
      <c r="B1800" s="240">
        <f>IFERROR(1/P1800-1,B1799)</f>
        <v/>
      </c>
      <c r="C1800" s="240">
        <f>$C$3</f>
        <v/>
      </c>
      <c r="D1800" s="240">
        <f>$D$3</f>
        <v/>
      </c>
      <c r="E1800" s="240">
        <f>$E$3</f>
        <v/>
      </c>
      <c r="F1800" s="241" t="n">
        <v>12.99</v>
      </c>
      <c r="G1800" s="242" t="n">
        <v>7622270</v>
      </c>
      <c r="H1800" s="241" t="n">
        <v>-0.23</v>
      </c>
      <c r="I1800" s="241" t="n">
        <v>10.74</v>
      </c>
      <c r="J1800" s="241" t="n">
        <v>-6.48</v>
      </c>
      <c r="K1800" s="241" t="n">
        <v>9.58</v>
      </c>
      <c r="L1800" s="242" t="n">
        <v>22999885</v>
      </c>
      <c r="M1800" s="241" t="n">
        <v>-5.05</v>
      </c>
      <c r="N1800" s="241" t="n">
        <v>13.96</v>
      </c>
      <c r="O1800" s="241" t="n">
        <v>-22.18</v>
      </c>
      <c r="P1800" s="241" t="n">
        <v>1.36</v>
      </c>
    </row>
    <row r="1801">
      <c r="A1801" s="282" t="inlineStr">
        <is>
          <t>2013-06-03</t>
        </is>
      </c>
      <c r="B1801" s="240">
        <f>IFERROR(1/P1801-1,B1800)</f>
        <v/>
      </c>
      <c r="C1801" s="240">
        <f>$C$3</f>
        <v/>
      </c>
      <c r="D1801" s="240">
        <f>$D$3</f>
        <v/>
      </c>
      <c r="E1801" s="240">
        <f>$E$3</f>
        <v/>
      </c>
      <c r="F1801" s="241" t="n">
        <v>12.78</v>
      </c>
      <c r="G1801" s="242" t="n">
        <v>8268438</v>
      </c>
      <c r="H1801" s="241" t="n">
        <v>-1.62</v>
      </c>
      <c r="I1801" s="241" t="n">
        <v>9.789999999999999</v>
      </c>
      <c r="J1801" s="241" t="n">
        <v>-7.99</v>
      </c>
      <c r="K1801" s="241" t="n">
        <v>9.51</v>
      </c>
      <c r="L1801" s="242" t="n">
        <v>7913914</v>
      </c>
      <c r="M1801" s="241" t="n">
        <v>-0.83</v>
      </c>
      <c r="N1801" s="241" t="n">
        <v>7.57</v>
      </c>
      <c r="O1801" s="241" t="n">
        <v>-22.83</v>
      </c>
      <c r="P1801" s="241" t="n">
        <v>1.34</v>
      </c>
    </row>
    <row r="1802">
      <c r="A1802" s="282" t="inlineStr">
        <is>
          <t>2013-06-04</t>
        </is>
      </c>
      <c r="B1802" s="240">
        <f>IFERROR(1/P1802-1,B1801)</f>
        <v/>
      </c>
      <c r="C1802" s="240">
        <f>$C$3</f>
        <v/>
      </c>
      <c r="D1802" s="240">
        <f>$D$3</f>
        <v/>
      </c>
      <c r="E1802" s="240">
        <f>$E$3</f>
        <v/>
      </c>
      <c r="F1802" s="241" t="n">
        <v>12.48</v>
      </c>
      <c r="G1802" s="242" t="n">
        <v>7974072</v>
      </c>
      <c r="H1802" s="241" t="n">
        <v>-2.35</v>
      </c>
      <c r="I1802" s="241" t="n">
        <v>4.35</v>
      </c>
      <c r="J1802" s="241" t="n">
        <v>-10.15</v>
      </c>
      <c r="K1802" s="241" t="n">
        <v>9.15</v>
      </c>
      <c r="L1802" s="242" t="n">
        <v>6412700</v>
      </c>
      <c r="M1802" s="241" t="n">
        <v>-3.69</v>
      </c>
      <c r="N1802" s="241" t="n">
        <v>-1.82</v>
      </c>
      <c r="O1802" s="241" t="n">
        <v>-25.67</v>
      </c>
      <c r="P1802" s="241" t="n">
        <v>1.36</v>
      </c>
    </row>
    <row r="1803">
      <c r="A1803" s="282" t="inlineStr">
        <is>
          <t>2013-06-05</t>
        </is>
      </c>
      <c r="B1803" s="240">
        <f>IFERROR(1/P1803-1,B1802)</f>
        <v/>
      </c>
      <c r="C1803" s="240">
        <f>$C$3</f>
        <v/>
      </c>
      <c r="D1803" s="240">
        <f>$D$3</f>
        <v/>
      </c>
      <c r="E1803" s="240">
        <f>$E$3</f>
        <v/>
      </c>
      <c r="F1803" s="241" t="n">
        <v>13.03</v>
      </c>
      <c r="G1803" s="242" t="n">
        <v>15312415</v>
      </c>
      <c r="H1803" s="241" t="n">
        <v>4.41</v>
      </c>
      <c r="I1803" s="241" t="n">
        <v>8.949999999999999</v>
      </c>
      <c r="J1803" s="241" t="n">
        <v>-6.19</v>
      </c>
      <c r="K1803" s="241" t="n">
        <v>9.6</v>
      </c>
      <c r="L1803" s="242" t="n">
        <v>5793151</v>
      </c>
      <c r="M1803" s="241" t="n">
        <v>4.87</v>
      </c>
      <c r="N1803" s="241" t="n">
        <v>2.96</v>
      </c>
      <c r="O1803" s="241" t="n">
        <v>-22.05</v>
      </c>
      <c r="P1803" s="241" t="n">
        <v>1.36</v>
      </c>
    </row>
    <row r="1804">
      <c r="A1804" s="282" t="inlineStr">
        <is>
          <t>2013-06-06</t>
        </is>
      </c>
      <c r="B1804" s="240">
        <f>IFERROR(1/P1804-1,B1803)</f>
        <v/>
      </c>
      <c r="C1804" s="240">
        <f>$C$3</f>
        <v/>
      </c>
      <c r="D1804" s="240">
        <f>$D$3</f>
        <v/>
      </c>
      <c r="E1804" s="240">
        <f>$E$3</f>
        <v/>
      </c>
      <c r="F1804" s="241" t="n">
        <v>12.7</v>
      </c>
      <c r="G1804" s="242" t="n">
        <v>8360766</v>
      </c>
      <c r="H1804" s="241" t="n">
        <v>-2.53</v>
      </c>
      <c r="I1804" s="241" t="n">
        <v>6.19</v>
      </c>
      <c r="J1804" s="241" t="n">
        <v>-8.57</v>
      </c>
      <c r="K1804" s="241" t="n">
        <v>9.279999999999999</v>
      </c>
      <c r="L1804" s="242" t="n">
        <v>2215000</v>
      </c>
      <c r="M1804" s="241" t="n">
        <v>-3.32</v>
      </c>
      <c r="N1804" s="241" t="n">
        <v>-0.45</v>
      </c>
      <c r="O1804" s="241" t="n">
        <v>-24.64</v>
      </c>
      <c r="P1804" s="241" t="n">
        <v>1.37</v>
      </c>
    </row>
    <row r="1805">
      <c r="A1805" s="282" t="inlineStr">
        <is>
          <t>2013-06-07</t>
        </is>
      </c>
      <c r="B1805" s="240">
        <f>IFERROR(1/P1805-1,B1804)</f>
        <v/>
      </c>
      <c r="C1805" s="240">
        <f>$C$3</f>
        <v/>
      </c>
      <c r="D1805" s="240">
        <f>$D$3</f>
        <v/>
      </c>
      <c r="E1805" s="240">
        <f>$E$3</f>
        <v/>
      </c>
      <c r="F1805" s="241" t="n">
        <v>12.33</v>
      </c>
      <c r="G1805" s="242" t="n">
        <v>7313565</v>
      </c>
      <c r="H1805" s="241" t="n">
        <v>-2.91</v>
      </c>
      <c r="I1805" s="241" t="n">
        <v>0.24</v>
      </c>
      <c r="J1805" s="241" t="n">
        <v>-11.23</v>
      </c>
      <c r="K1805" s="241" t="n">
        <v>9.449999999999999</v>
      </c>
      <c r="L1805" s="242" t="n">
        <v>1839600</v>
      </c>
      <c r="M1805" s="241" t="n">
        <v>2.06</v>
      </c>
      <c r="N1805" s="241" t="n">
        <v>-0.92</v>
      </c>
      <c r="O1805" s="241" t="n">
        <v>-23.09</v>
      </c>
      <c r="P1805" s="241" t="n">
        <v>1.31</v>
      </c>
    </row>
    <row r="1806">
      <c r="A1806" s="282" t="inlineStr">
        <is>
          <t>2013-06-13</t>
        </is>
      </c>
      <c r="B1806" s="240">
        <f>IFERROR(1/P1806-1,B1805)</f>
        <v/>
      </c>
      <c r="C1806" s="240">
        <f>$C$3</f>
        <v/>
      </c>
      <c r="D1806" s="240">
        <f>$D$3</f>
        <v/>
      </c>
      <c r="E1806" s="240">
        <f>$E$3</f>
        <v/>
      </c>
      <c r="F1806" s="241" t="n">
        <v>11.82</v>
      </c>
      <c r="G1806" s="242" t="n">
        <v>7207034</v>
      </c>
      <c r="H1806" s="241" t="n">
        <v>-4.14</v>
      </c>
      <c r="I1806" s="241" t="n">
        <v>-8.94</v>
      </c>
      <c r="J1806" s="241" t="n">
        <v>-14.9</v>
      </c>
      <c r="K1806" s="241" t="n">
        <v>9.01</v>
      </c>
      <c r="L1806" s="242" t="n">
        <v>2584721</v>
      </c>
      <c r="M1806" s="241" t="n">
        <v>-0.18</v>
      </c>
      <c r="N1806" s="241" t="n">
        <v>-13.53</v>
      </c>
      <c r="O1806" s="241" t="n">
        <v>-26.58</v>
      </c>
      <c r="P1806" s="241" t="n">
        <v>1.31</v>
      </c>
    </row>
    <row r="1807">
      <c r="A1807" s="282" t="inlineStr">
        <is>
          <t>2013-06-14</t>
        </is>
      </c>
      <c r="B1807" s="240">
        <f>IFERROR(1/P1807-1,B1806)</f>
        <v/>
      </c>
      <c r="C1807" s="240">
        <f>$C$3</f>
        <v/>
      </c>
      <c r="D1807" s="240">
        <f>$D$3</f>
        <v/>
      </c>
      <c r="E1807" s="240">
        <f>$E$3</f>
        <v/>
      </c>
      <c r="F1807" s="241" t="n">
        <v>11.81</v>
      </c>
      <c r="G1807" s="242" t="n">
        <v>5553764</v>
      </c>
      <c r="H1807" s="241" t="n">
        <v>-0.08</v>
      </c>
      <c r="I1807" s="241" t="n">
        <v>-8.02</v>
      </c>
      <c r="J1807" s="241" t="n">
        <v>-14.97</v>
      </c>
      <c r="K1807" s="241" t="n">
        <v>9.050000000000001</v>
      </c>
      <c r="L1807" s="242" t="n">
        <v>1946400</v>
      </c>
      <c r="M1807" s="241" t="n">
        <v>0.35</v>
      </c>
      <c r="N1807" s="241" t="n">
        <v>-11.77</v>
      </c>
      <c r="O1807" s="241" t="n">
        <v>-26.32</v>
      </c>
      <c r="P1807" s="241" t="n">
        <v>1.31</v>
      </c>
    </row>
    <row r="1808">
      <c r="A1808" s="282" t="inlineStr">
        <is>
          <t>2013-06-17</t>
        </is>
      </c>
      <c r="B1808" s="240">
        <f>IFERROR(1/P1808-1,B1807)</f>
        <v/>
      </c>
      <c r="C1808" s="240">
        <f>$C$3</f>
        <v/>
      </c>
      <c r="D1808" s="240">
        <f>$D$3</f>
        <v/>
      </c>
      <c r="E1808" s="240">
        <f>$E$3</f>
        <v/>
      </c>
      <c r="F1808" s="241" t="n">
        <v>12</v>
      </c>
      <c r="G1808" s="242" t="n">
        <v>5895823</v>
      </c>
      <c r="H1808" s="241" t="n">
        <v>1.61</v>
      </c>
      <c r="I1808" s="241" t="n">
        <v>-7.26</v>
      </c>
      <c r="J1808" s="241" t="n">
        <v>-13.61</v>
      </c>
      <c r="K1808" s="241" t="n">
        <v>9.06</v>
      </c>
      <c r="L1808" s="242" t="n">
        <v>1027800</v>
      </c>
      <c r="M1808" s="241" t="n">
        <v>0.18</v>
      </c>
      <c r="N1808" s="241" t="n">
        <v>-11.47</v>
      </c>
      <c r="O1808" s="241" t="n">
        <v>-26.19</v>
      </c>
      <c r="P1808" s="241" t="n">
        <v>1.32</v>
      </c>
    </row>
    <row r="1809">
      <c r="A1809" s="282" t="inlineStr">
        <is>
          <t>2013-06-18</t>
        </is>
      </c>
      <c r="B1809" s="240">
        <f>IFERROR(1/P1809-1,B1808)</f>
        <v/>
      </c>
      <c r="C1809" s="240">
        <f>$C$3</f>
        <v/>
      </c>
      <c r="D1809" s="240">
        <f>$D$3</f>
        <v/>
      </c>
      <c r="E1809" s="240">
        <f>$E$3</f>
        <v/>
      </c>
      <c r="F1809" s="241" t="n">
        <v>11.93</v>
      </c>
      <c r="G1809" s="242" t="n">
        <v>3987556</v>
      </c>
      <c r="H1809" s="241" t="n">
        <v>-0.58</v>
      </c>
      <c r="I1809" s="241" t="n">
        <v>-8.789999999999999</v>
      </c>
      <c r="J1809" s="241" t="n">
        <v>-14.11</v>
      </c>
      <c r="K1809" s="241" t="n">
        <v>9.07</v>
      </c>
      <c r="L1809" s="242" t="n">
        <v>1511042</v>
      </c>
      <c r="M1809" s="241" t="n">
        <v>0</v>
      </c>
      <c r="N1809" s="241" t="n">
        <v>-11.47</v>
      </c>
      <c r="O1809" s="241" t="n">
        <v>-26.19</v>
      </c>
      <c r="P1809" s="241" t="n">
        <v>1.31</v>
      </c>
    </row>
    <row r="1810">
      <c r="A1810" s="282" t="inlineStr">
        <is>
          <t>2013-06-19</t>
        </is>
      </c>
      <c r="B1810" s="240">
        <f>IFERROR(1/P1810-1,B1809)</f>
        <v/>
      </c>
      <c r="C1810" s="240">
        <f>$C$3</f>
        <v/>
      </c>
      <c r="D1810" s="240">
        <f>$D$3</f>
        <v/>
      </c>
      <c r="E1810" s="240">
        <f>$E$3</f>
        <v/>
      </c>
      <c r="F1810" s="241" t="n">
        <v>11.79</v>
      </c>
      <c r="G1810" s="242" t="n">
        <v>5031432</v>
      </c>
      <c r="H1810" s="241" t="n">
        <v>-1.17</v>
      </c>
      <c r="I1810" s="241" t="n">
        <v>-9.859999999999999</v>
      </c>
      <c r="J1810" s="241" t="n">
        <v>-15.12</v>
      </c>
      <c r="K1810" s="241" t="n">
        <v>8.94</v>
      </c>
      <c r="L1810" s="242" t="n">
        <v>2816257</v>
      </c>
      <c r="M1810" s="241" t="n">
        <v>-1.58</v>
      </c>
      <c r="N1810" s="241" t="n">
        <v>-12.87</v>
      </c>
      <c r="O1810" s="241" t="n">
        <v>-27.35</v>
      </c>
      <c r="P1810" s="241" t="n">
        <v>1.32</v>
      </c>
    </row>
    <row r="1811">
      <c r="A1811" s="282" t="inlineStr">
        <is>
          <t>2013-06-20</t>
        </is>
      </c>
      <c r="B1811" s="240">
        <f>IFERROR(1/P1811-1,B1810)</f>
        <v/>
      </c>
      <c r="C1811" s="240">
        <f>$C$3</f>
        <v/>
      </c>
      <c r="D1811" s="240">
        <f>$D$3</f>
        <v/>
      </c>
      <c r="E1811" s="240">
        <f>$E$3</f>
        <v/>
      </c>
      <c r="F1811" s="241" t="n">
        <v>11.37</v>
      </c>
      <c r="G1811" s="242" t="n">
        <v>6167493</v>
      </c>
      <c r="H1811" s="241" t="n">
        <v>-3.56</v>
      </c>
      <c r="I1811" s="241" t="n">
        <v>-13.07</v>
      </c>
      <c r="J1811" s="241" t="n">
        <v>-18.14</v>
      </c>
      <c r="K1811" s="241" t="n">
        <v>8.75</v>
      </c>
      <c r="L1811" s="242" t="n">
        <v>2635800</v>
      </c>
      <c r="M1811" s="241" t="n">
        <v>-2.14</v>
      </c>
      <c r="N1811" s="241" t="n">
        <v>-14.73</v>
      </c>
      <c r="O1811" s="241" t="n">
        <v>-28.91</v>
      </c>
      <c r="P1811" s="241" t="n">
        <v>1.3</v>
      </c>
    </row>
    <row r="1812">
      <c r="A1812" s="282" t="inlineStr">
        <is>
          <t>2013-06-21</t>
        </is>
      </c>
      <c r="B1812" s="240">
        <f>IFERROR(1/P1812-1,B1811)</f>
        <v/>
      </c>
      <c r="C1812" s="240">
        <f>$C$3</f>
        <v/>
      </c>
      <c r="D1812" s="240">
        <f>$D$3</f>
        <v/>
      </c>
      <c r="E1812" s="240">
        <f>$E$3</f>
        <v/>
      </c>
      <c r="F1812" s="241" t="n">
        <v>11.58</v>
      </c>
      <c r="G1812" s="242" t="n">
        <v>7597002</v>
      </c>
      <c r="H1812" s="241" t="n">
        <v>1.85</v>
      </c>
      <c r="I1812" s="241" t="n">
        <v>-12.07</v>
      </c>
      <c r="J1812" s="241" t="n">
        <v>-16.63</v>
      </c>
      <c r="K1812" s="241" t="n">
        <v>8.779999999999999</v>
      </c>
      <c r="L1812" s="242" t="n">
        <v>2081600</v>
      </c>
      <c r="M1812" s="241" t="n">
        <v>0.18</v>
      </c>
      <c r="N1812" s="241" t="n">
        <v>-15.1</v>
      </c>
      <c r="O1812" s="241" t="n">
        <v>-28.78</v>
      </c>
      <c r="P1812" s="241" t="n">
        <v>1.32</v>
      </c>
    </row>
    <row r="1813">
      <c r="A1813" s="282" t="inlineStr">
        <is>
          <t>2013-06-24</t>
        </is>
      </c>
      <c r="B1813" s="240">
        <f>IFERROR(1/P1813-1,B1812)</f>
        <v/>
      </c>
      <c r="C1813" s="240">
        <f>$C$3</f>
        <v/>
      </c>
      <c r="D1813" s="240">
        <f>$D$3</f>
        <v/>
      </c>
      <c r="E1813" s="240">
        <f>$E$3</f>
        <v/>
      </c>
      <c r="F1813" s="241" t="n">
        <v>10.96</v>
      </c>
      <c r="G1813" s="242" t="n">
        <v>6194114</v>
      </c>
      <c r="H1813" s="241" t="n">
        <v>-5.35</v>
      </c>
      <c r="I1813" s="241" t="n">
        <v>-14.44</v>
      </c>
      <c r="J1813" s="241" t="n">
        <v>-21.09</v>
      </c>
      <c r="K1813" s="241" t="n">
        <v>8.460000000000001</v>
      </c>
      <c r="L1813" s="242" t="n">
        <v>2032766</v>
      </c>
      <c r="M1813" s="241" t="n">
        <v>-3.63</v>
      </c>
      <c r="N1813" s="241" t="n">
        <v>-17.3</v>
      </c>
      <c r="O1813" s="241" t="n">
        <v>-31.36</v>
      </c>
      <c r="P1813" s="241" t="n">
        <v>1.3</v>
      </c>
    </row>
    <row r="1814">
      <c r="A1814" s="282" t="inlineStr">
        <is>
          <t>2013-06-25</t>
        </is>
      </c>
      <c r="B1814" s="240">
        <f>IFERROR(1/P1814-1,B1813)</f>
        <v/>
      </c>
      <c r="C1814" s="240">
        <f>$C$3</f>
        <v/>
      </c>
      <c r="D1814" s="240">
        <f>$D$3</f>
        <v/>
      </c>
      <c r="E1814" s="240">
        <f>$E$3</f>
        <v/>
      </c>
      <c r="F1814" s="241" t="n">
        <v>10.59</v>
      </c>
      <c r="G1814" s="242" t="n">
        <v>9063210</v>
      </c>
      <c r="H1814" s="241" t="n">
        <v>-3.38</v>
      </c>
      <c r="I1814" s="241" t="n">
        <v>-18.48</v>
      </c>
      <c r="J1814" s="241" t="n">
        <v>-23.76</v>
      </c>
      <c r="K1814" s="241" t="n">
        <v>8.17</v>
      </c>
      <c r="L1814" s="242" t="n">
        <v>2541582</v>
      </c>
      <c r="M1814" s="241" t="n">
        <v>-3.39</v>
      </c>
      <c r="N1814" s="241" t="n">
        <v>-18.72</v>
      </c>
      <c r="O1814" s="241" t="n">
        <v>-33.69</v>
      </c>
      <c r="P1814" s="241" t="n">
        <v>1.3</v>
      </c>
    </row>
    <row r="1815">
      <c r="A1815" s="282" t="inlineStr">
        <is>
          <t>2013-06-26</t>
        </is>
      </c>
      <c r="B1815" s="240">
        <f>IFERROR(1/P1815-1,B1814)</f>
        <v/>
      </c>
      <c r="C1815" s="240">
        <f>$C$3</f>
        <v/>
      </c>
      <c r="D1815" s="240">
        <f>$D$3</f>
        <v/>
      </c>
      <c r="E1815" s="240">
        <f>$E$3</f>
        <v/>
      </c>
      <c r="F1815" s="241" t="n">
        <v>10.49</v>
      </c>
      <c r="G1815" s="242" t="n">
        <v>6860736</v>
      </c>
      <c r="H1815" s="241" t="n">
        <v>-0.9399999999999999</v>
      </c>
      <c r="I1815" s="241" t="n">
        <v>-19.25</v>
      </c>
      <c r="J1815" s="241" t="n">
        <v>-24.48</v>
      </c>
      <c r="K1815" s="241" t="n">
        <v>8.550000000000001</v>
      </c>
      <c r="L1815" s="242" t="n">
        <v>3278867</v>
      </c>
      <c r="M1815" s="241" t="n">
        <v>4.68</v>
      </c>
      <c r="N1815" s="241" t="n">
        <v>-14.92</v>
      </c>
      <c r="O1815" s="241" t="n">
        <v>-30.59</v>
      </c>
      <c r="P1815" s="241" t="n">
        <v>1.23</v>
      </c>
    </row>
    <row r="1816">
      <c r="A1816" s="282" t="inlineStr">
        <is>
          <t>2013-06-27</t>
        </is>
      </c>
      <c r="B1816" s="240">
        <f>IFERROR(1/P1816-1,B1815)</f>
        <v/>
      </c>
      <c r="C1816" s="240">
        <f>$C$3</f>
        <v/>
      </c>
      <c r="D1816" s="240">
        <f>$D$3</f>
        <v/>
      </c>
      <c r="E1816" s="240">
        <f>$E$3</f>
        <v/>
      </c>
      <c r="F1816" s="241" t="n">
        <v>10.24</v>
      </c>
      <c r="G1816" s="242" t="n">
        <v>6452635</v>
      </c>
      <c r="H1816" s="241" t="n">
        <v>-2.38</v>
      </c>
      <c r="I1816" s="241" t="n">
        <v>-21.17</v>
      </c>
      <c r="J1816" s="241" t="n">
        <v>-26.28</v>
      </c>
      <c r="K1816" s="241" t="n">
        <v>8.199999999999999</v>
      </c>
      <c r="L1816" s="242" t="n">
        <v>4585818</v>
      </c>
      <c r="M1816" s="241" t="n">
        <v>-4.1</v>
      </c>
      <c r="N1816" s="241" t="n">
        <v>-18.4</v>
      </c>
      <c r="O1816" s="241" t="n">
        <v>-33.43</v>
      </c>
      <c r="P1816" s="241" t="n">
        <v>1.25</v>
      </c>
    </row>
    <row r="1817">
      <c r="A1817" s="282" t="inlineStr">
        <is>
          <t>2013-06-28</t>
        </is>
      </c>
      <c r="B1817" s="240">
        <f>IFERROR(1/P1817-1,B1816)</f>
        <v/>
      </c>
      <c r="C1817" s="240">
        <f>$C$3</f>
        <v/>
      </c>
      <c r="D1817" s="240">
        <f>$D$3</f>
        <v/>
      </c>
      <c r="E1817" s="240">
        <f>$E$3</f>
        <v/>
      </c>
      <c r="F1817" s="241" t="n">
        <v>10.32</v>
      </c>
      <c r="G1817" s="242" t="n">
        <v>5526779</v>
      </c>
      <c r="H1817" s="241" t="n">
        <v>0.78</v>
      </c>
      <c r="I1817" s="241" t="n">
        <v>-20.86</v>
      </c>
      <c r="J1817" s="241" t="n">
        <v>-25.7</v>
      </c>
      <c r="K1817" s="241" t="n">
        <v>8.300000000000001</v>
      </c>
      <c r="L1817" s="242" t="n">
        <v>1283600</v>
      </c>
      <c r="M1817" s="241" t="n">
        <v>1.17</v>
      </c>
      <c r="N1817" s="241" t="n">
        <v>-18.1</v>
      </c>
      <c r="O1817" s="241" t="n">
        <v>-32.65</v>
      </c>
      <c r="P1817" s="241" t="n">
        <v>1.24</v>
      </c>
    </row>
    <row r="1818">
      <c r="A1818" s="282" t="inlineStr">
        <is>
          <t>2013-07-01</t>
        </is>
      </c>
      <c r="B1818" s="240">
        <f>IFERROR(1/P1818-1,B1817)</f>
        <v/>
      </c>
      <c r="C1818" s="240">
        <f>$C$3</f>
        <v/>
      </c>
      <c r="D1818" s="240">
        <f>$D$3</f>
        <v/>
      </c>
      <c r="E1818" s="240">
        <f>$E$3</f>
        <v/>
      </c>
      <c r="F1818" s="241" t="n">
        <v>10.33</v>
      </c>
      <c r="G1818" s="242" t="n">
        <v>3363577</v>
      </c>
      <c r="H1818" s="241" t="n">
        <v>0.1</v>
      </c>
      <c r="I1818" s="241" t="n">
        <v>-20.48</v>
      </c>
      <c r="J1818" s="241" t="n">
        <v>-25.63</v>
      </c>
      <c r="K1818" s="239" t="inlineStr">
        <is>
          <t>--</t>
        </is>
      </c>
      <c r="L1818" s="239" t="inlineStr">
        <is>
          <t>--</t>
        </is>
      </c>
      <c r="M1818" s="239" t="inlineStr">
        <is>
          <t>--</t>
        </is>
      </c>
      <c r="N1818" s="239" t="inlineStr">
        <is>
          <t>--</t>
        </is>
      </c>
      <c r="O1818" s="239" t="inlineStr">
        <is>
          <t>--</t>
        </is>
      </c>
      <c r="P1818" s="239" t="inlineStr">
        <is>
          <t>--</t>
        </is>
      </c>
    </row>
    <row r="1819">
      <c r="A1819" s="282" t="inlineStr">
        <is>
          <t>2013-07-02</t>
        </is>
      </c>
      <c r="B1819" s="240">
        <f>IFERROR(1/P1819-1,B1818)</f>
        <v/>
      </c>
      <c r="C1819" s="240">
        <f>$C$3</f>
        <v/>
      </c>
      <c r="D1819" s="240">
        <f>$D$3</f>
        <v/>
      </c>
      <c r="E1819" s="240">
        <f>$E$3</f>
        <v/>
      </c>
      <c r="F1819" s="241" t="n">
        <v>10.38</v>
      </c>
      <c r="G1819" s="242" t="n">
        <v>4530259</v>
      </c>
      <c r="H1819" s="241" t="n">
        <v>0.48</v>
      </c>
      <c r="I1819" s="241" t="n">
        <v>-20.09</v>
      </c>
      <c r="J1819" s="241" t="n">
        <v>-25.27</v>
      </c>
      <c r="K1819" s="241" t="n">
        <v>8.52</v>
      </c>
      <c r="L1819" s="242" t="n">
        <v>3799700</v>
      </c>
      <c r="M1819" s="241" t="n">
        <v>2.69</v>
      </c>
      <c r="N1819" s="241" t="n">
        <v>-11.13</v>
      </c>
      <c r="O1819" s="241" t="n">
        <v>-30.84</v>
      </c>
      <c r="P1819" s="241" t="n">
        <v>1.22</v>
      </c>
    </row>
    <row r="1820">
      <c r="A1820" s="282" t="inlineStr">
        <is>
          <t>2013-07-03</t>
        </is>
      </c>
      <c r="B1820" s="240">
        <f>IFERROR(1/P1820-1,B1819)</f>
        <v/>
      </c>
      <c r="C1820" s="240">
        <f>$C$3</f>
        <v/>
      </c>
      <c r="D1820" s="240">
        <f>$D$3</f>
        <v/>
      </c>
      <c r="E1820" s="240">
        <f>$E$3</f>
        <v/>
      </c>
      <c r="F1820" s="241" t="n">
        <v>10.28</v>
      </c>
      <c r="G1820" s="242" t="n">
        <v>5539352</v>
      </c>
      <c r="H1820" s="241" t="n">
        <v>-0.96</v>
      </c>
      <c r="I1820" s="241" t="n">
        <v>-20.86</v>
      </c>
      <c r="J1820" s="241" t="n">
        <v>-25.99</v>
      </c>
      <c r="K1820" s="241" t="n">
        <v>8.619999999999999</v>
      </c>
      <c r="L1820" s="242" t="n">
        <v>2329530</v>
      </c>
      <c r="M1820" s="241" t="n">
        <v>1.12</v>
      </c>
      <c r="N1820" s="241" t="n">
        <v>-10.13</v>
      </c>
      <c r="O1820" s="241" t="n">
        <v>-30.07</v>
      </c>
      <c r="P1820" s="241" t="n">
        <v>1.19</v>
      </c>
    </row>
    <row r="1821">
      <c r="A1821" s="282" t="inlineStr">
        <is>
          <t>2013-07-04</t>
        </is>
      </c>
      <c r="B1821" s="240">
        <f>IFERROR(1/P1821-1,B1820)</f>
        <v/>
      </c>
      <c r="C1821" s="240">
        <f>$C$3</f>
        <v/>
      </c>
      <c r="D1821" s="240">
        <f>$D$3</f>
        <v/>
      </c>
      <c r="E1821" s="240">
        <f>$E$3</f>
        <v/>
      </c>
      <c r="F1821" s="241" t="n">
        <v>10.4</v>
      </c>
      <c r="G1821" s="242" t="n">
        <v>8150261</v>
      </c>
      <c r="H1821" s="241" t="n">
        <v>1.17</v>
      </c>
      <c r="I1821" s="241" t="n">
        <v>-18.62</v>
      </c>
      <c r="J1821" s="241" t="n">
        <v>-25.13</v>
      </c>
      <c r="K1821" s="241" t="n">
        <v>8.380000000000001</v>
      </c>
      <c r="L1821" s="242" t="n">
        <v>2556600</v>
      </c>
      <c r="M1821" s="241" t="n">
        <v>-2.77</v>
      </c>
      <c r="N1821" s="241" t="n">
        <v>-11.89</v>
      </c>
      <c r="O1821" s="241" t="n">
        <v>-32.01</v>
      </c>
      <c r="P1821" s="241" t="n">
        <v>1.24</v>
      </c>
    </row>
    <row r="1822">
      <c r="A1822" s="282" t="inlineStr">
        <is>
          <t>2013-07-05</t>
        </is>
      </c>
      <c r="B1822" s="240">
        <f>IFERROR(1/P1822-1,B1821)</f>
        <v/>
      </c>
      <c r="C1822" s="240">
        <f>$C$3</f>
        <v/>
      </c>
      <c r="D1822" s="240">
        <f>$D$3</f>
        <v/>
      </c>
      <c r="E1822" s="240">
        <f>$E$3</f>
        <v/>
      </c>
      <c r="F1822" s="241" t="n">
        <v>10.5</v>
      </c>
      <c r="G1822" s="242" t="n">
        <v>8308386</v>
      </c>
      <c r="H1822" s="241" t="n">
        <v>0.96</v>
      </c>
      <c r="I1822" s="241" t="n">
        <v>-15.87</v>
      </c>
      <c r="J1822" s="241" t="n">
        <v>-24.41</v>
      </c>
      <c r="K1822" s="241" t="n">
        <v>8.4</v>
      </c>
      <c r="L1822" s="242" t="n">
        <v>822001</v>
      </c>
      <c r="M1822" s="241" t="n">
        <v>0.19</v>
      </c>
      <c r="N1822" s="241" t="n">
        <v>-8.35</v>
      </c>
      <c r="O1822" s="241" t="n">
        <v>-31.88</v>
      </c>
      <c r="P1822" s="241" t="n">
        <v>1.25</v>
      </c>
    </row>
    <row r="1823">
      <c r="A1823" s="282" t="inlineStr">
        <is>
          <t>2013-07-08</t>
        </is>
      </c>
      <c r="B1823" s="240">
        <f>IFERROR(1/P1823-1,B1822)</f>
        <v/>
      </c>
      <c r="C1823" s="240">
        <f>$C$3</f>
        <v/>
      </c>
      <c r="D1823" s="240">
        <f>$D$3</f>
        <v/>
      </c>
      <c r="E1823" s="240">
        <f>$E$3</f>
        <v/>
      </c>
      <c r="F1823" s="241" t="n">
        <v>10.01</v>
      </c>
      <c r="G1823" s="242" t="n">
        <v>7011115</v>
      </c>
      <c r="H1823" s="241" t="n">
        <v>-4.67</v>
      </c>
      <c r="I1823" s="241" t="n">
        <v>-18.82</v>
      </c>
      <c r="J1823" s="241" t="n">
        <v>-27.93</v>
      </c>
      <c r="K1823" s="241" t="n">
        <v>8.15</v>
      </c>
      <c r="L1823" s="242" t="n">
        <v>1680800</v>
      </c>
      <c r="M1823" s="241" t="n">
        <v>-3.04</v>
      </c>
      <c r="N1823" s="241" t="n">
        <v>-14.12</v>
      </c>
      <c r="O1823" s="241" t="n">
        <v>-33.95</v>
      </c>
      <c r="P1823" s="241" t="n">
        <v>1.23</v>
      </c>
    </row>
    <row r="1824">
      <c r="A1824" s="282" t="inlineStr">
        <is>
          <t>2013-07-09</t>
        </is>
      </c>
      <c r="B1824" s="240">
        <f>IFERROR(1/P1824-1,B1823)</f>
        <v/>
      </c>
      <c r="C1824" s="240">
        <f>$C$3</f>
        <v/>
      </c>
      <c r="D1824" s="240">
        <f>$D$3</f>
        <v/>
      </c>
      <c r="E1824" s="240">
        <f>$E$3</f>
        <v/>
      </c>
      <c r="F1824" s="241" t="n">
        <v>9.890000000000001</v>
      </c>
      <c r="G1824" s="242" t="n">
        <v>6409929</v>
      </c>
      <c r="H1824" s="241" t="n">
        <v>-1.2</v>
      </c>
      <c r="I1824" s="241" t="n">
        <v>-19.79</v>
      </c>
      <c r="J1824" s="241" t="n">
        <v>-28.8</v>
      </c>
      <c r="K1824" s="241" t="n">
        <v>8.18</v>
      </c>
      <c r="L1824" s="242" t="n">
        <v>1378600</v>
      </c>
      <c r="M1824" s="241" t="n">
        <v>0.59</v>
      </c>
      <c r="N1824" s="241" t="n">
        <v>-13.61</v>
      </c>
      <c r="O1824" s="241" t="n">
        <v>-33.56</v>
      </c>
      <c r="P1824" s="241" t="n">
        <v>1.21</v>
      </c>
    </row>
    <row r="1825">
      <c r="A1825" s="282" t="inlineStr">
        <is>
          <t>2013-07-10</t>
        </is>
      </c>
      <c r="B1825" s="240">
        <f>IFERROR(1/P1825-1,B1824)</f>
        <v/>
      </c>
      <c r="C1825" s="240">
        <f>$C$3</f>
        <v/>
      </c>
      <c r="D1825" s="240">
        <f>$D$3</f>
        <v/>
      </c>
      <c r="E1825" s="240">
        <f>$E$3</f>
        <v/>
      </c>
      <c r="F1825" s="241" t="n">
        <v>10.18</v>
      </c>
      <c r="G1825" s="242" t="n">
        <v>6046572</v>
      </c>
      <c r="H1825" s="241" t="n">
        <v>2.93</v>
      </c>
      <c r="I1825" s="241" t="n">
        <v>-17.44</v>
      </c>
      <c r="J1825" s="241" t="n">
        <v>-26.71</v>
      </c>
      <c r="K1825" s="241" t="n">
        <v>7.98</v>
      </c>
      <c r="L1825" s="242" t="n">
        <v>2772000</v>
      </c>
      <c r="M1825" s="241" t="n">
        <v>-2.33</v>
      </c>
      <c r="N1825" s="241" t="n">
        <v>-15.63</v>
      </c>
      <c r="O1825" s="241" t="n">
        <v>-35.11</v>
      </c>
      <c r="P1825" s="241" t="n">
        <v>1.28</v>
      </c>
    </row>
    <row r="1826">
      <c r="A1826" s="282" t="inlineStr">
        <is>
          <t>2013-07-11</t>
        </is>
      </c>
      <c r="B1826" s="240">
        <f>IFERROR(1/P1826-1,B1825)</f>
        <v/>
      </c>
      <c r="C1826" s="240">
        <f>$C$3</f>
        <v/>
      </c>
      <c r="D1826" s="240">
        <f>$D$3</f>
        <v/>
      </c>
      <c r="E1826" s="240">
        <f>$E$3</f>
        <v/>
      </c>
      <c r="F1826" s="241" t="n">
        <v>10.69</v>
      </c>
      <c r="G1826" s="242" t="n">
        <v>11795402</v>
      </c>
      <c r="H1826" s="241" t="n">
        <v>5.01</v>
      </c>
      <c r="I1826" s="241" t="n">
        <v>-13.3</v>
      </c>
      <c r="J1826" s="241" t="n">
        <v>-23.04</v>
      </c>
      <c r="K1826" s="241" t="n">
        <v>8.35</v>
      </c>
      <c r="L1826" s="242" t="n">
        <v>2299781</v>
      </c>
      <c r="M1826" s="241" t="n">
        <v>4.78</v>
      </c>
      <c r="N1826" s="241" t="n">
        <v>-9.93</v>
      </c>
      <c r="O1826" s="241" t="n">
        <v>-32.01</v>
      </c>
      <c r="P1826" s="241" t="n">
        <v>1.28</v>
      </c>
    </row>
    <row r="1827">
      <c r="A1827" s="282" t="inlineStr">
        <is>
          <t>2013-07-12</t>
        </is>
      </c>
      <c r="B1827" s="240">
        <f>IFERROR(1/P1827-1,B1826)</f>
        <v/>
      </c>
      <c r="C1827" s="240">
        <f>$C$3</f>
        <v/>
      </c>
      <c r="D1827" s="240">
        <f>$D$3</f>
        <v/>
      </c>
      <c r="E1827" s="240">
        <f>$E$3</f>
        <v/>
      </c>
      <c r="F1827" s="241" t="n">
        <v>10.39</v>
      </c>
      <c r="G1827" s="242" t="n">
        <v>8975217</v>
      </c>
      <c r="H1827" s="241" t="n">
        <v>-2.81</v>
      </c>
      <c r="I1827" s="241" t="n">
        <v>-15.73</v>
      </c>
      <c r="J1827" s="241" t="n">
        <v>-25.2</v>
      </c>
      <c r="K1827" s="241" t="n">
        <v>8.6</v>
      </c>
      <c r="L1827" s="242" t="n">
        <v>2301434</v>
      </c>
      <c r="M1827" s="241" t="n">
        <v>2.85</v>
      </c>
      <c r="N1827" s="241" t="n">
        <v>-4.92</v>
      </c>
      <c r="O1827" s="241" t="n">
        <v>-30.07</v>
      </c>
      <c r="P1827" s="241" t="n">
        <v>1.21</v>
      </c>
    </row>
    <row r="1828">
      <c r="A1828" s="282" t="inlineStr">
        <is>
          <t>2013-07-15</t>
        </is>
      </c>
      <c r="B1828" s="240">
        <f>IFERROR(1/P1828-1,B1827)</f>
        <v/>
      </c>
      <c r="C1828" s="240">
        <f>$C$3</f>
        <v/>
      </c>
      <c r="D1828" s="240">
        <f>$D$3</f>
        <v/>
      </c>
      <c r="E1828" s="240">
        <f>$E$3</f>
        <v/>
      </c>
      <c r="F1828" s="241" t="n">
        <v>10.55</v>
      </c>
      <c r="G1828" s="242" t="n">
        <v>7040935</v>
      </c>
      <c r="H1828" s="241" t="n">
        <v>1.54</v>
      </c>
      <c r="I1828" s="241" t="n">
        <v>-10.67</v>
      </c>
      <c r="J1828" s="241" t="n">
        <v>-24.05</v>
      </c>
      <c r="K1828" s="241" t="n">
        <v>8.460000000000001</v>
      </c>
      <c r="L1828" s="242" t="n">
        <v>1189141</v>
      </c>
      <c r="M1828" s="241" t="n">
        <v>-1.66</v>
      </c>
      <c r="N1828" s="241" t="n">
        <v>-6.67</v>
      </c>
      <c r="O1828" s="241" t="n">
        <v>-31.23</v>
      </c>
      <c r="P1828" s="241" t="n">
        <v>1.25</v>
      </c>
    </row>
    <row r="1829">
      <c r="A1829" s="282" t="inlineStr">
        <is>
          <t>2013-07-16</t>
        </is>
      </c>
      <c r="B1829" s="240">
        <f>IFERROR(1/P1829-1,B1828)</f>
        <v/>
      </c>
      <c r="C1829" s="240">
        <f>$C$3</f>
        <v/>
      </c>
      <c r="D1829" s="240">
        <f>$D$3</f>
        <v/>
      </c>
      <c r="E1829" s="240">
        <f>$E$3</f>
        <v/>
      </c>
      <c r="F1829" s="241" t="n">
        <v>10.68</v>
      </c>
      <c r="G1829" s="242" t="n">
        <v>7951300</v>
      </c>
      <c r="H1829" s="241" t="n">
        <v>1.23</v>
      </c>
      <c r="I1829" s="241" t="n">
        <v>-9.57</v>
      </c>
      <c r="J1829" s="241" t="n">
        <v>-23.11</v>
      </c>
      <c r="K1829" s="241" t="n">
        <v>8.68</v>
      </c>
      <c r="L1829" s="242" t="n">
        <v>881400</v>
      </c>
      <c r="M1829" s="241" t="n">
        <v>2.63</v>
      </c>
      <c r="N1829" s="241" t="n">
        <v>-4.21</v>
      </c>
      <c r="O1829" s="241" t="n">
        <v>-29.42</v>
      </c>
      <c r="P1829" s="241" t="n">
        <v>1.23</v>
      </c>
    </row>
    <row r="1830">
      <c r="A1830" s="282" t="inlineStr">
        <is>
          <t>2013-07-17</t>
        </is>
      </c>
      <c r="B1830" s="240">
        <f>IFERROR(1/P1830-1,B1829)</f>
        <v/>
      </c>
      <c r="C1830" s="240">
        <f>$C$3</f>
        <v/>
      </c>
      <c r="D1830" s="240">
        <f>$D$3</f>
        <v/>
      </c>
      <c r="E1830" s="240">
        <f>$E$3</f>
        <v/>
      </c>
      <c r="F1830" s="241" t="n">
        <v>10.37</v>
      </c>
      <c r="G1830" s="242" t="n">
        <v>6529830</v>
      </c>
      <c r="H1830" s="241" t="n">
        <v>-1.89</v>
      </c>
      <c r="I1830" s="241" t="n">
        <v>-11.28</v>
      </c>
      <c r="J1830" s="241" t="n">
        <v>-24.57</v>
      </c>
      <c r="K1830" s="241" t="n">
        <v>8.41</v>
      </c>
      <c r="L1830" s="242" t="n">
        <v>1164800</v>
      </c>
      <c r="M1830" s="241" t="n">
        <v>-3.11</v>
      </c>
      <c r="N1830" s="241" t="n">
        <v>-7.19</v>
      </c>
      <c r="O1830" s="241" t="n">
        <v>-31.62</v>
      </c>
      <c r="P1830" s="241" t="n">
        <v>1.23</v>
      </c>
    </row>
    <row r="1831">
      <c r="A1831" s="282" t="inlineStr">
        <is>
          <t>2013-07-18</t>
        </is>
      </c>
      <c r="B1831" s="240">
        <f>IFERROR(1/P1831-1,B1830)</f>
        <v/>
      </c>
      <c r="C1831" s="240">
        <f>$C$3</f>
        <v/>
      </c>
      <c r="D1831" s="240">
        <f>$D$3</f>
        <v/>
      </c>
      <c r="E1831" s="240">
        <f>$E$3</f>
        <v/>
      </c>
      <c r="F1831" s="241" t="n">
        <v>10.12</v>
      </c>
      <c r="G1831" s="242" t="n">
        <v>6430813</v>
      </c>
      <c r="H1831" s="241" t="n">
        <v>-2.41</v>
      </c>
      <c r="I1831" s="241" t="n">
        <v>-14.79</v>
      </c>
      <c r="J1831" s="241" t="n">
        <v>-26.38</v>
      </c>
      <c r="K1831" s="241" t="n">
        <v>8.4</v>
      </c>
      <c r="L1831" s="242" t="n">
        <v>1931532</v>
      </c>
      <c r="M1831" s="241" t="n">
        <v>-0.19</v>
      </c>
      <c r="N1831" s="241" t="n">
        <v>-7.53</v>
      </c>
      <c r="O1831" s="241" t="n">
        <v>-31.75</v>
      </c>
      <c r="P1831" s="241" t="n">
        <v>1.2</v>
      </c>
    </row>
    <row r="1832">
      <c r="A1832" s="282" t="inlineStr">
        <is>
          <t>2013-07-19</t>
        </is>
      </c>
      <c r="B1832" s="240">
        <f>IFERROR(1/P1832-1,B1831)</f>
        <v/>
      </c>
      <c r="C1832" s="240">
        <f>$C$3</f>
        <v/>
      </c>
      <c r="D1832" s="240">
        <f>$D$3</f>
        <v/>
      </c>
      <c r="E1832" s="240">
        <f>$E$3</f>
        <v/>
      </c>
      <c r="F1832" s="241" t="n">
        <v>9.869999999999999</v>
      </c>
      <c r="G1832" s="242" t="n">
        <v>7669576</v>
      </c>
      <c r="H1832" s="241" t="n">
        <v>-2.47</v>
      </c>
      <c r="I1832" s="241" t="n">
        <v>-16.41</v>
      </c>
      <c r="J1832" s="241" t="n">
        <v>-28.2</v>
      </c>
      <c r="K1832" s="241" t="n">
        <v>8.5</v>
      </c>
      <c r="L1832" s="242" t="n">
        <v>790912</v>
      </c>
      <c r="M1832" s="241" t="n">
        <v>1.14</v>
      </c>
      <c r="N1832" s="241" t="n">
        <v>-6.48</v>
      </c>
      <c r="O1832" s="241" t="n">
        <v>-30.97</v>
      </c>
      <c r="P1832" s="241" t="n">
        <v>1.16</v>
      </c>
    </row>
    <row r="1833">
      <c r="A1833" s="282" t="inlineStr">
        <is>
          <t>2013-07-22</t>
        </is>
      </c>
      <c r="B1833" s="240">
        <f>IFERROR(1/P1833-1,B1832)</f>
        <v/>
      </c>
      <c r="C1833" s="240">
        <f>$C$3</f>
        <v/>
      </c>
      <c r="D1833" s="240">
        <f>$D$3</f>
        <v/>
      </c>
      <c r="E1833" s="240">
        <f>$E$3</f>
        <v/>
      </c>
      <c r="F1833" s="241" t="n">
        <v>9.960000000000001</v>
      </c>
      <c r="G1833" s="242" t="n">
        <v>5480980</v>
      </c>
      <c r="H1833" s="241" t="n">
        <v>0.91</v>
      </c>
      <c r="I1833" s="241" t="n">
        <v>-13.09</v>
      </c>
      <c r="J1833" s="241" t="n">
        <v>-27.55</v>
      </c>
      <c r="K1833" s="241" t="n">
        <v>8.390000000000001</v>
      </c>
      <c r="L1833" s="242" t="n">
        <v>729600</v>
      </c>
      <c r="M1833" s="241" t="n">
        <v>-1.31</v>
      </c>
      <c r="N1833" s="241" t="n">
        <v>-4.36</v>
      </c>
      <c r="O1833" s="241" t="n">
        <v>-31.88</v>
      </c>
      <c r="P1833" s="241" t="n">
        <v>1.19</v>
      </c>
    </row>
    <row r="1834">
      <c r="A1834" s="282" t="inlineStr">
        <is>
          <t>2013-07-23</t>
        </is>
      </c>
      <c r="B1834" s="240">
        <f>IFERROR(1/P1834-1,B1833)</f>
        <v/>
      </c>
      <c r="C1834" s="240">
        <f>$C$3</f>
        <v/>
      </c>
      <c r="D1834" s="240">
        <f>$D$3</f>
        <v/>
      </c>
      <c r="E1834" s="240">
        <f>$E$3</f>
        <v/>
      </c>
      <c r="F1834" s="241" t="n">
        <v>10.25</v>
      </c>
      <c r="G1834" s="242" t="n">
        <v>7578238</v>
      </c>
      <c r="H1834" s="241" t="n">
        <v>2.91</v>
      </c>
      <c r="I1834" s="241" t="n">
        <v>-10.56</v>
      </c>
      <c r="J1834" s="241" t="n">
        <v>-25.44</v>
      </c>
      <c r="K1834" s="241" t="n">
        <v>8.57</v>
      </c>
      <c r="L1834" s="242" t="n">
        <v>2037000</v>
      </c>
      <c r="M1834" s="241" t="n">
        <v>2.28</v>
      </c>
      <c r="N1834" s="241" t="n">
        <v>-2.18</v>
      </c>
      <c r="O1834" s="241" t="n">
        <v>-30.33</v>
      </c>
      <c r="P1834" s="241" t="n">
        <v>1.2</v>
      </c>
    </row>
    <row r="1835">
      <c r="A1835" s="282" t="inlineStr">
        <is>
          <t>2013-07-24</t>
        </is>
      </c>
      <c r="B1835" s="240">
        <f>IFERROR(1/P1835-1,B1834)</f>
        <v/>
      </c>
      <c r="C1835" s="240">
        <f>$C$3</f>
        <v/>
      </c>
      <c r="D1835" s="240">
        <f>$D$3</f>
        <v/>
      </c>
      <c r="E1835" s="240">
        <f>$E$3</f>
        <v/>
      </c>
      <c r="F1835" s="241" t="n">
        <v>10.1</v>
      </c>
      <c r="G1835" s="242" t="n">
        <v>6697851</v>
      </c>
      <c r="H1835" s="241" t="n">
        <v>-1.46</v>
      </c>
      <c r="I1835" s="241" t="n">
        <v>-11.87</v>
      </c>
      <c r="J1835" s="241" t="n">
        <v>-26.53</v>
      </c>
      <c r="K1835" s="241" t="n">
        <v>8.779999999999999</v>
      </c>
      <c r="L1835" s="242" t="n">
        <v>2286246</v>
      </c>
      <c r="M1835" s="241" t="n">
        <v>2.41</v>
      </c>
      <c r="N1835" s="241" t="n">
        <v>0.18</v>
      </c>
      <c r="O1835" s="241" t="n">
        <v>-28.65</v>
      </c>
      <c r="P1835" s="241" t="n">
        <v>1.15</v>
      </c>
    </row>
    <row r="1836">
      <c r="A1836" s="282" t="inlineStr">
        <is>
          <t>2013-07-25</t>
        </is>
      </c>
      <c r="B1836" s="240">
        <f>IFERROR(1/P1836-1,B1835)</f>
        <v/>
      </c>
      <c r="C1836" s="240">
        <f>$C$3</f>
        <v/>
      </c>
      <c r="D1836" s="240">
        <f>$D$3</f>
        <v/>
      </c>
      <c r="E1836" s="240">
        <f>$E$3</f>
        <v/>
      </c>
      <c r="F1836" s="241" t="n">
        <v>10.08</v>
      </c>
      <c r="G1836" s="242" t="n">
        <v>5906283</v>
      </c>
      <c r="H1836" s="241" t="n">
        <v>-0.2</v>
      </c>
      <c r="I1836" s="241" t="n">
        <v>-7.07</v>
      </c>
      <c r="J1836" s="241" t="n">
        <v>-26.67</v>
      </c>
      <c r="K1836" s="241" t="n">
        <v>8.92</v>
      </c>
      <c r="L1836" s="242" t="n">
        <v>1906400</v>
      </c>
      <c r="M1836" s="241" t="n">
        <v>1.45</v>
      </c>
      <c r="N1836" s="241" t="n">
        <v>5.46</v>
      </c>
      <c r="O1836" s="241" t="n">
        <v>-27.61</v>
      </c>
      <c r="P1836" s="241" t="n">
        <v>1.13</v>
      </c>
    </row>
    <row r="1837">
      <c r="A1837" s="282" t="inlineStr">
        <is>
          <t>2013-07-26</t>
        </is>
      </c>
      <c r="B1837" s="240">
        <f>IFERROR(1/P1837-1,B1836)</f>
        <v/>
      </c>
      <c r="C1837" s="240">
        <f>$C$3</f>
        <v/>
      </c>
      <c r="D1837" s="240">
        <f>$D$3</f>
        <v/>
      </c>
      <c r="E1837" s="240">
        <f>$E$3</f>
        <v/>
      </c>
      <c r="F1837" s="241" t="n">
        <v>9.949999999999999</v>
      </c>
      <c r="G1837" s="242" t="n">
        <v>4660682</v>
      </c>
      <c r="H1837" s="241" t="n">
        <v>-1.29</v>
      </c>
      <c r="I1837" s="241" t="n">
        <v>-5.07</v>
      </c>
      <c r="J1837" s="241" t="n">
        <v>-27.62</v>
      </c>
      <c r="K1837" s="241" t="n">
        <v>8.77</v>
      </c>
      <c r="L1837" s="242" t="n">
        <v>1354600</v>
      </c>
      <c r="M1837" s="241" t="n">
        <v>-1.61</v>
      </c>
      <c r="N1837" s="241" t="n">
        <v>7.41</v>
      </c>
      <c r="O1837" s="241" t="n">
        <v>-28.78</v>
      </c>
      <c r="P1837" s="241" t="n">
        <v>1.13</v>
      </c>
    </row>
    <row r="1838">
      <c r="A1838" s="282" t="inlineStr">
        <is>
          <t>2013-07-29</t>
        </is>
      </c>
      <c r="B1838" s="240">
        <f>IFERROR(1/P1838-1,B1837)</f>
        <v/>
      </c>
      <c r="C1838" s="240">
        <f>$C$3</f>
        <v/>
      </c>
      <c r="D1838" s="240">
        <f>$D$3</f>
        <v/>
      </c>
      <c r="E1838" s="240">
        <f>$E$3</f>
        <v/>
      </c>
      <c r="F1838" s="241" t="n">
        <v>9.789999999999999</v>
      </c>
      <c r="G1838" s="242" t="n">
        <v>5036116</v>
      </c>
      <c r="H1838" s="241" t="n">
        <v>-1.61</v>
      </c>
      <c r="I1838" s="241" t="n">
        <v>-4.15</v>
      </c>
      <c r="J1838" s="241" t="n">
        <v>-28.78</v>
      </c>
      <c r="K1838" s="241" t="n">
        <v>8.73</v>
      </c>
      <c r="L1838" s="242" t="n">
        <v>831200</v>
      </c>
      <c r="M1838" s="241" t="n">
        <v>-0.36</v>
      </c>
      <c r="N1838" s="241" t="n">
        <v>5.37</v>
      </c>
      <c r="O1838" s="241" t="n">
        <v>-29.04</v>
      </c>
      <c r="P1838" s="241" t="n">
        <v>1.12</v>
      </c>
    </row>
    <row r="1839">
      <c r="A1839" s="282" t="inlineStr">
        <is>
          <t>2013-07-30</t>
        </is>
      </c>
      <c r="B1839" s="240">
        <f>IFERROR(1/P1839-1,B1838)</f>
        <v/>
      </c>
      <c r="C1839" s="240">
        <f>$C$3</f>
        <v/>
      </c>
      <c r="D1839" s="240">
        <f>$D$3</f>
        <v/>
      </c>
      <c r="E1839" s="240">
        <f>$E$3</f>
        <v/>
      </c>
      <c r="F1839" s="241" t="n">
        <v>9.859999999999999</v>
      </c>
      <c r="G1839" s="242" t="n">
        <v>4084191</v>
      </c>
      <c r="H1839" s="241" t="n">
        <v>0.71</v>
      </c>
      <c r="I1839" s="241" t="n">
        <v>-3.46</v>
      </c>
      <c r="J1839" s="241" t="n">
        <v>-28.27</v>
      </c>
      <c r="K1839" s="241" t="n">
        <v>8.57</v>
      </c>
      <c r="L1839" s="242" t="n">
        <v>688770</v>
      </c>
      <c r="M1839" s="241" t="n">
        <v>-2</v>
      </c>
      <c r="N1839" s="241" t="n">
        <v>3.26</v>
      </c>
      <c r="O1839" s="241" t="n">
        <v>-30.46</v>
      </c>
      <c r="P1839" s="241" t="n">
        <v>1.15</v>
      </c>
    </row>
    <row r="1840">
      <c r="A1840" s="282" t="inlineStr">
        <is>
          <t>2013-07-31</t>
        </is>
      </c>
      <c r="B1840" s="240">
        <f>IFERROR(1/P1840-1,B1839)</f>
        <v/>
      </c>
      <c r="C1840" s="240">
        <f>$C$3</f>
        <v/>
      </c>
      <c r="D1840" s="240">
        <f>$D$3</f>
        <v/>
      </c>
      <c r="E1840" s="240">
        <f>$E$3</f>
        <v/>
      </c>
      <c r="F1840" s="241" t="n">
        <v>9.82</v>
      </c>
      <c r="G1840" s="242" t="n">
        <v>4376236</v>
      </c>
      <c r="H1840" s="241" t="n">
        <v>-0.41</v>
      </c>
      <c r="I1840" s="241" t="n">
        <v>-3.85</v>
      </c>
      <c r="J1840" s="241" t="n">
        <v>-28.57</v>
      </c>
      <c r="K1840" s="241" t="n">
        <v>8.59</v>
      </c>
      <c r="L1840" s="242" t="n">
        <v>921621</v>
      </c>
      <c r="M1840" s="241" t="n">
        <v>0.19</v>
      </c>
      <c r="N1840" s="241" t="n">
        <v>3.45</v>
      </c>
      <c r="O1840" s="241" t="n">
        <v>-30.33</v>
      </c>
      <c r="P1840" s="241" t="n">
        <v>1.14</v>
      </c>
    </row>
    <row r="1841">
      <c r="A1841" s="282" t="inlineStr">
        <is>
          <t>2013-08-01</t>
        </is>
      </c>
      <c r="B1841" s="240">
        <f>IFERROR(1/P1841-1,B1840)</f>
        <v/>
      </c>
      <c r="C1841" s="240">
        <f>$C$3</f>
        <v/>
      </c>
      <c r="D1841" s="240">
        <f>$D$3</f>
        <v/>
      </c>
      <c r="E1841" s="240">
        <f>$E$3</f>
        <v/>
      </c>
      <c r="F1841" s="241" t="n">
        <v>10.04</v>
      </c>
      <c r="G1841" s="242" t="n">
        <v>7784809</v>
      </c>
      <c r="H1841" s="241" t="n">
        <v>2.24</v>
      </c>
      <c r="I1841" s="241" t="n">
        <v>-1.7</v>
      </c>
      <c r="J1841" s="241" t="n">
        <v>-26.97</v>
      </c>
      <c r="K1841" s="241" t="n">
        <v>8.73</v>
      </c>
      <c r="L1841" s="242" t="n">
        <v>626915</v>
      </c>
      <c r="M1841" s="241" t="n">
        <v>1.67</v>
      </c>
      <c r="N1841" s="241" t="n">
        <v>5.18</v>
      </c>
      <c r="O1841" s="241" t="n">
        <v>-29.16</v>
      </c>
      <c r="P1841" s="241" t="n">
        <v>1.15</v>
      </c>
    </row>
    <row r="1842">
      <c r="A1842" s="282" t="inlineStr">
        <is>
          <t>2013-08-02</t>
        </is>
      </c>
      <c r="B1842" s="240">
        <f>IFERROR(1/P1842-1,B1841)</f>
        <v/>
      </c>
      <c r="C1842" s="240">
        <f>$C$3</f>
        <v/>
      </c>
      <c r="D1842" s="240">
        <f>$D$3</f>
        <v/>
      </c>
      <c r="E1842" s="240">
        <f>$E$3</f>
        <v/>
      </c>
      <c r="F1842" s="241" t="n">
        <v>10.04</v>
      </c>
      <c r="G1842" s="242" t="n">
        <v>5515979</v>
      </c>
      <c r="H1842" s="241" t="n">
        <v>0</v>
      </c>
      <c r="I1842" s="241" t="n">
        <v>-1.8</v>
      </c>
      <c r="J1842" s="241" t="n">
        <v>-26.97</v>
      </c>
      <c r="K1842" s="241" t="n">
        <v>8.69</v>
      </c>
      <c r="L1842" s="242" t="n">
        <v>1174300</v>
      </c>
      <c r="M1842" s="241" t="n">
        <v>-0.55</v>
      </c>
      <c r="N1842" s="241" t="n">
        <v>4.61</v>
      </c>
      <c r="O1842" s="241" t="n">
        <v>-29.55</v>
      </c>
      <c r="P1842" s="241" t="n">
        <v>1.16</v>
      </c>
    </row>
    <row r="1843">
      <c r="A1843" s="282" t="inlineStr">
        <is>
          <t>2013-08-05</t>
        </is>
      </c>
      <c r="B1843" s="240">
        <f>IFERROR(1/P1843-1,B1842)</f>
        <v/>
      </c>
      <c r="C1843" s="240">
        <f>$C$3</f>
        <v/>
      </c>
      <c r="D1843" s="240">
        <f>$D$3</f>
        <v/>
      </c>
      <c r="E1843" s="240">
        <f>$E$3</f>
        <v/>
      </c>
      <c r="F1843" s="241" t="n">
        <v>10.41</v>
      </c>
      <c r="G1843" s="242" t="n">
        <v>11165343</v>
      </c>
      <c r="H1843" s="241" t="n">
        <v>3.69</v>
      </c>
      <c r="I1843" s="241" t="n">
        <v>1.14</v>
      </c>
      <c r="J1843" s="241" t="n">
        <v>-24.27</v>
      </c>
      <c r="K1843" s="241" t="n">
        <v>9</v>
      </c>
      <c r="L1843" s="242" t="n">
        <v>1167400</v>
      </c>
      <c r="M1843" s="241" t="n">
        <v>3.67</v>
      </c>
      <c r="N1843" s="241" t="n">
        <v>7.41</v>
      </c>
      <c r="O1843" s="241" t="n">
        <v>-26.97</v>
      </c>
      <c r="P1843" s="241" t="n">
        <v>1.16</v>
      </c>
    </row>
    <row r="1844">
      <c r="A1844" s="282" t="inlineStr">
        <is>
          <t>2013-08-06</t>
        </is>
      </c>
      <c r="B1844" s="240">
        <f>IFERROR(1/P1844-1,B1843)</f>
        <v/>
      </c>
      <c r="C1844" s="240">
        <f>$C$3</f>
        <v/>
      </c>
      <c r="D1844" s="240">
        <f>$D$3</f>
        <v/>
      </c>
      <c r="E1844" s="240">
        <f>$E$3</f>
        <v/>
      </c>
      <c r="F1844" s="241" t="n">
        <v>10.42</v>
      </c>
      <c r="G1844" s="242" t="n">
        <v>9608785</v>
      </c>
      <c r="H1844" s="241" t="n">
        <v>0.1</v>
      </c>
      <c r="I1844" s="241" t="n">
        <v>0.27</v>
      </c>
      <c r="J1844" s="241" t="n">
        <v>-24.2</v>
      </c>
      <c r="K1844" s="241" t="n">
        <v>8.9</v>
      </c>
      <c r="L1844" s="242" t="n">
        <v>1031400</v>
      </c>
      <c r="M1844" s="241" t="n">
        <v>-1.06</v>
      </c>
      <c r="N1844" s="241" t="n">
        <v>6.07</v>
      </c>
      <c r="O1844" s="241" t="n">
        <v>-27.74</v>
      </c>
      <c r="P1844" s="241" t="n">
        <v>1.17</v>
      </c>
    </row>
    <row r="1845">
      <c r="A1845" s="282" t="inlineStr">
        <is>
          <t>2013-08-07</t>
        </is>
      </c>
      <c r="B1845" s="240">
        <f>IFERROR(1/P1845-1,B1844)</f>
        <v/>
      </c>
      <c r="C1845" s="240">
        <f>$C$3</f>
        <v/>
      </c>
      <c r="D1845" s="240">
        <f>$D$3</f>
        <v/>
      </c>
      <c r="E1845" s="240">
        <f>$E$3</f>
        <v/>
      </c>
      <c r="F1845" s="241" t="n">
        <v>10.29</v>
      </c>
      <c r="G1845" s="242" t="n">
        <v>8025871</v>
      </c>
      <c r="H1845" s="241" t="n">
        <v>-1.25</v>
      </c>
      <c r="I1845" s="241" t="n">
        <v>-0.98</v>
      </c>
      <c r="J1845" s="241" t="n">
        <v>-25.15</v>
      </c>
      <c r="K1845" s="241" t="n">
        <v>8.69</v>
      </c>
      <c r="L1845" s="242" t="n">
        <v>1411681</v>
      </c>
      <c r="M1845" s="241" t="n">
        <v>-2.33</v>
      </c>
      <c r="N1845" s="241" t="n">
        <v>3.61</v>
      </c>
      <c r="O1845" s="241" t="n">
        <v>-29.42</v>
      </c>
      <c r="P1845" s="241" t="n">
        <v>1.18</v>
      </c>
    </row>
    <row r="1846">
      <c r="A1846" s="282" t="inlineStr">
        <is>
          <t>2013-08-08</t>
        </is>
      </c>
      <c r="B1846" s="240">
        <f>IFERROR(1/P1846-1,B1845)</f>
        <v/>
      </c>
      <c r="C1846" s="240">
        <f>$C$3</f>
        <v/>
      </c>
      <c r="D1846" s="240">
        <f>$D$3</f>
        <v/>
      </c>
      <c r="E1846" s="240">
        <f>$E$3</f>
        <v/>
      </c>
      <c r="F1846" s="241" t="n">
        <v>10.19</v>
      </c>
      <c r="G1846" s="242" t="n">
        <v>5467657</v>
      </c>
      <c r="H1846" s="241" t="n">
        <v>-0.97</v>
      </c>
      <c r="I1846" s="241" t="n">
        <v>-1.94</v>
      </c>
      <c r="J1846" s="241" t="n">
        <v>-25.87</v>
      </c>
      <c r="K1846" s="241" t="n">
        <v>8.73</v>
      </c>
      <c r="L1846" s="242" t="n">
        <v>643435</v>
      </c>
      <c r="M1846" s="241" t="n">
        <v>0.55</v>
      </c>
      <c r="N1846" s="241" t="n">
        <v>4.17</v>
      </c>
      <c r="O1846" s="241" t="n">
        <v>-29.04</v>
      </c>
      <c r="P1846" s="241" t="n">
        <v>1.17</v>
      </c>
    </row>
    <row r="1847">
      <c r="A1847" s="282" t="inlineStr">
        <is>
          <t>2013-08-09</t>
        </is>
      </c>
      <c r="B1847" s="240">
        <f>IFERROR(1/P1847-1,B1846)</f>
        <v/>
      </c>
      <c r="C1847" s="240">
        <f>$C$3</f>
        <v/>
      </c>
      <c r="D1847" s="240">
        <f>$D$3</f>
        <v/>
      </c>
      <c r="E1847" s="240">
        <f>$E$3</f>
        <v/>
      </c>
      <c r="F1847" s="241" t="n">
        <v>10.35</v>
      </c>
      <c r="G1847" s="242" t="n">
        <v>6527996</v>
      </c>
      <c r="H1847" s="241" t="n">
        <v>1.57</v>
      </c>
      <c r="I1847" s="241" t="n">
        <v>4.47</v>
      </c>
      <c r="J1847" s="241" t="n">
        <v>-24.71</v>
      </c>
      <c r="K1847" s="241" t="n">
        <v>8.75</v>
      </c>
      <c r="L1847" s="242" t="n">
        <v>882000</v>
      </c>
      <c r="M1847" s="241" t="n">
        <v>0.18</v>
      </c>
      <c r="N1847" s="241" t="n">
        <v>7.63</v>
      </c>
      <c r="O1847" s="241" t="n">
        <v>-28.91</v>
      </c>
      <c r="P1847" s="241" t="n">
        <v>1.18</v>
      </c>
    </row>
    <row r="1848">
      <c r="A1848" s="282" t="inlineStr">
        <is>
          <t>2013-08-12</t>
        </is>
      </c>
      <c r="B1848" s="240">
        <f>IFERROR(1/P1848-1,B1847)</f>
        <v/>
      </c>
      <c r="C1848" s="240">
        <f>$C$3</f>
        <v/>
      </c>
      <c r="D1848" s="240">
        <f>$D$3</f>
        <v/>
      </c>
      <c r="E1848" s="240">
        <f>$E$3</f>
        <v/>
      </c>
      <c r="F1848" s="241" t="n">
        <v>10.6</v>
      </c>
      <c r="G1848" s="242" t="n">
        <v>13992341</v>
      </c>
      <c r="H1848" s="241" t="n">
        <v>2.42</v>
      </c>
      <c r="I1848" s="241" t="n">
        <v>0.19</v>
      </c>
      <c r="J1848" s="241" t="n">
        <v>-22.89</v>
      </c>
      <c r="K1848" s="241" t="n">
        <v>8.869999999999999</v>
      </c>
      <c r="L1848" s="242" t="n">
        <v>2502600</v>
      </c>
      <c r="M1848" s="241" t="n">
        <v>1.45</v>
      </c>
      <c r="N1848" s="241" t="n">
        <v>6.08</v>
      </c>
      <c r="O1848" s="241" t="n">
        <v>-27.87</v>
      </c>
      <c r="P1848" s="241" t="n">
        <v>1.19</v>
      </c>
    </row>
    <row r="1849">
      <c r="A1849" s="282" t="inlineStr">
        <is>
          <t>2013-08-13</t>
        </is>
      </c>
      <c r="B1849" s="240">
        <f>IFERROR(1/P1849-1,B1848)</f>
        <v/>
      </c>
      <c r="C1849" s="240">
        <f>$C$3</f>
        <v/>
      </c>
      <c r="D1849" s="240">
        <f>$D$3</f>
        <v/>
      </c>
      <c r="E1849" s="240">
        <f>$E$3</f>
        <v/>
      </c>
      <c r="F1849" s="241" t="n">
        <v>10.65</v>
      </c>
      <c r="G1849" s="242" t="n">
        <v>11464760</v>
      </c>
      <c r="H1849" s="241" t="n">
        <v>0.47</v>
      </c>
      <c r="I1849" s="241" t="n">
        <v>3.57</v>
      </c>
      <c r="J1849" s="241" t="n">
        <v>-22.53</v>
      </c>
      <c r="K1849" s="241" t="n">
        <v>9.199999999999999</v>
      </c>
      <c r="L1849" s="242" t="n">
        <v>3528706</v>
      </c>
      <c r="M1849" s="241" t="n">
        <v>3.58</v>
      </c>
      <c r="N1849" s="241" t="n">
        <v>6.84</v>
      </c>
      <c r="O1849" s="241" t="n">
        <v>-25.29</v>
      </c>
      <c r="P1849" s="241" t="n">
        <v>1.16</v>
      </c>
    </row>
    <row r="1850">
      <c r="A1850" s="282" t="inlineStr">
        <is>
          <t>2013-08-14</t>
        </is>
      </c>
      <c r="B1850" s="240">
        <f>IFERROR(1/P1850-1,B1849)</f>
        <v/>
      </c>
      <c r="C1850" s="240">
        <f>$C$3</f>
        <v/>
      </c>
      <c r="D1850" s="240">
        <f>$D$3</f>
        <v/>
      </c>
      <c r="E1850" s="240">
        <f>$E$3</f>
        <v/>
      </c>
      <c r="F1850" s="241" t="n">
        <v>10.51</v>
      </c>
      <c r="G1850" s="242" t="n">
        <v>10029426</v>
      </c>
      <c r="H1850" s="241" t="n">
        <v>-1.31</v>
      </c>
      <c r="I1850" s="241" t="n">
        <v>2.21</v>
      </c>
      <c r="J1850" s="241" t="n">
        <v>-23.55</v>
      </c>
      <c r="K1850" s="239" t="inlineStr">
        <is>
          <t>--</t>
        </is>
      </c>
      <c r="L1850" s="239" t="inlineStr">
        <is>
          <t>--</t>
        </is>
      </c>
      <c r="M1850" s="239" t="inlineStr">
        <is>
          <t>--</t>
        </is>
      </c>
      <c r="N1850" s="239" t="inlineStr">
        <is>
          <t>--</t>
        </is>
      </c>
      <c r="O1850" s="239" t="inlineStr">
        <is>
          <t>--</t>
        </is>
      </c>
      <c r="P1850" s="239" t="inlineStr">
        <is>
          <t>--</t>
        </is>
      </c>
    </row>
    <row r="1851">
      <c r="A1851" s="282" t="inlineStr">
        <is>
          <t>2013-08-15</t>
        </is>
      </c>
      <c r="B1851" s="240">
        <f>IFERROR(1/P1851-1,B1850)</f>
        <v/>
      </c>
      <c r="C1851" s="240">
        <f>$C$3</f>
        <v/>
      </c>
      <c r="D1851" s="240">
        <f>$D$3</f>
        <v/>
      </c>
      <c r="E1851" s="240">
        <f>$E$3</f>
        <v/>
      </c>
      <c r="F1851" s="241" t="n">
        <v>10.39</v>
      </c>
      <c r="G1851" s="242" t="n">
        <v>6992395</v>
      </c>
      <c r="H1851" s="241" t="n">
        <v>-1.14</v>
      </c>
      <c r="I1851" s="241" t="n">
        <v>1.04</v>
      </c>
      <c r="J1851" s="241" t="n">
        <v>-24.42</v>
      </c>
      <c r="K1851" s="241" t="n">
        <v>9</v>
      </c>
      <c r="L1851" s="242" t="n">
        <v>1275600</v>
      </c>
      <c r="M1851" s="241" t="n">
        <v>-2.08</v>
      </c>
      <c r="N1851" s="241" t="n">
        <v>4.62</v>
      </c>
      <c r="O1851" s="241" t="n">
        <v>-26.84</v>
      </c>
      <c r="P1851" s="241" t="n">
        <v>1.15</v>
      </c>
    </row>
    <row r="1852">
      <c r="A1852" s="282" t="inlineStr">
        <is>
          <t>2013-08-16</t>
        </is>
      </c>
      <c r="B1852" s="240">
        <f>IFERROR(1/P1852-1,B1851)</f>
        <v/>
      </c>
      <c r="C1852" s="240">
        <f>$C$3</f>
        <v/>
      </c>
      <c r="D1852" s="240">
        <f>$D$3</f>
        <v/>
      </c>
      <c r="E1852" s="240">
        <f>$E$3</f>
        <v/>
      </c>
      <c r="F1852" s="241" t="n">
        <v>10.26</v>
      </c>
      <c r="G1852" s="242" t="n">
        <v>12294407</v>
      </c>
      <c r="H1852" s="241" t="n">
        <v>-1.25</v>
      </c>
      <c r="I1852" s="241" t="n">
        <v>-1.74</v>
      </c>
      <c r="J1852" s="241" t="n">
        <v>-25.37</v>
      </c>
      <c r="K1852" s="241" t="n">
        <v>9.1</v>
      </c>
      <c r="L1852" s="242" t="n">
        <v>1311400</v>
      </c>
      <c r="M1852" s="241" t="n">
        <v>1.06</v>
      </c>
      <c r="N1852" s="241" t="n">
        <v>7.52</v>
      </c>
      <c r="O1852" s="241" t="n">
        <v>-26.06</v>
      </c>
      <c r="P1852" s="241" t="n">
        <v>1.13</v>
      </c>
    </row>
    <row r="1853">
      <c r="A1853" s="282" t="inlineStr">
        <is>
          <t>2013-08-19</t>
        </is>
      </c>
      <c r="B1853" s="240">
        <f>IFERROR(1/P1853-1,B1852)</f>
        <v/>
      </c>
      <c r="C1853" s="240">
        <f>$C$3</f>
        <v/>
      </c>
      <c r="D1853" s="240">
        <f>$D$3</f>
        <v/>
      </c>
      <c r="E1853" s="240">
        <f>$E$3</f>
        <v/>
      </c>
      <c r="F1853" s="241" t="n">
        <v>10.36</v>
      </c>
      <c r="G1853" s="242" t="n">
        <v>4920084</v>
      </c>
      <c r="H1853" s="241" t="n">
        <v>0.97</v>
      </c>
      <c r="I1853" s="241" t="n">
        <v>2.37</v>
      </c>
      <c r="J1853" s="241" t="n">
        <v>-24.64</v>
      </c>
      <c r="K1853" s="241" t="n">
        <v>9.07</v>
      </c>
      <c r="L1853" s="242" t="n">
        <v>507200</v>
      </c>
      <c r="M1853" s="241" t="n">
        <v>-0.35</v>
      </c>
      <c r="N1853" s="241" t="n">
        <v>7.95</v>
      </c>
      <c r="O1853" s="241" t="n">
        <v>-26.32</v>
      </c>
      <c r="P1853" s="241" t="n">
        <v>1.14</v>
      </c>
    </row>
    <row r="1854">
      <c r="A1854" s="282" t="inlineStr">
        <is>
          <t>2013-08-20</t>
        </is>
      </c>
      <c r="B1854" s="240">
        <f>IFERROR(1/P1854-1,B1853)</f>
        <v/>
      </c>
      <c r="C1854" s="240">
        <f>$C$3</f>
        <v/>
      </c>
      <c r="D1854" s="240">
        <f>$D$3</f>
        <v/>
      </c>
      <c r="E1854" s="240">
        <f>$E$3</f>
        <v/>
      </c>
      <c r="F1854" s="241" t="n">
        <v>10.2</v>
      </c>
      <c r="G1854" s="242" t="n">
        <v>7155869</v>
      </c>
      <c r="H1854" s="241" t="n">
        <v>-1.54</v>
      </c>
      <c r="I1854" s="241" t="n">
        <v>3.34</v>
      </c>
      <c r="J1854" s="241" t="n">
        <v>-25.8</v>
      </c>
      <c r="K1854" s="241" t="n">
        <v>8.720000000000001</v>
      </c>
      <c r="L1854" s="242" t="n">
        <v>1725800</v>
      </c>
      <c r="M1854" s="241" t="n">
        <v>-3.86</v>
      </c>
      <c r="N1854" s="241" t="n">
        <v>2.62</v>
      </c>
      <c r="O1854" s="241" t="n">
        <v>-29.16</v>
      </c>
      <c r="P1854" s="241" t="n">
        <v>1.17</v>
      </c>
    </row>
    <row r="1855">
      <c r="A1855" s="282" t="inlineStr">
        <is>
          <t>2013-08-21</t>
        </is>
      </c>
      <c r="B1855" s="240">
        <f>IFERROR(1/P1855-1,B1854)</f>
        <v/>
      </c>
      <c r="C1855" s="240">
        <f>$C$3</f>
        <v/>
      </c>
      <c r="D1855" s="240">
        <f>$D$3</f>
        <v/>
      </c>
      <c r="E1855" s="240">
        <f>$E$3</f>
        <v/>
      </c>
      <c r="F1855" s="241" t="n">
        <v>10.27</v>
      </c>
      <c r="G1855" s="242" t="n">
        <v>4510849</v>
      </c>
      <c r="H1855" s="241" t="n">
        <v>0.6899999999999999</v>
      </c>
      <c r="I1855" s="241" t="n">
        <v>4.05</v>
      </c>
      <c r="J1855" s="241" t="n">
        <v>-25.29</v>
      </c>
      <c r="K1855" s="241" t="n">
        <v>8.779999999999999</v>
      </c>
      <c r="L1855" s="242" t="n">
        <v>1392200</v>
      </c>
      <c r="M1855" s="241" t="n">
        <v>0.73</v>
      </c>
      <c r="N1855" s="241" t="n">
        <v>3.37</v>
      </c>
      <c r="O1855" s="241" t="n">
        <v>-28.65</v>
      </c>
      <c r="P1855" s="241" t="n">
        <v>1.17</v>
      </c>
    </row>
    <row r="1856">
      <c r="A1856" s="282" t="inlineStr">
        <is>
          <t>2013-08-22</t>
        </is>
      </c>
      <c r="B1856" s="240">
        <f>IFERROR(1/P1856-1,B1855)</f>
        <v/>
      </c>
      <c r="C1856" s="240">
        <f>$C$3</f>
        <v/>
      </c>
      <c r="D1856" s="240">
        <f>$D$3</f>
        <v/>
      </c>
      <c r="E1856" s="240">
        <f>$E$3</f>
        <v/>
      </c>
      <c r="F1856" s="241" t="n">
        <v>10.3</v>
      </c>
      <c r="G1856" s="242" t="n">
        <v>6952138</v>
      </c>
      <c r="H1856" s="241" t="n">
        <v>0.29</v>
      </c>
      <c r="I1856" s="241" t="n">
        <v>4.36</v>
      </c>
      <c r="J1856" s="241" t="n">
        <v>-25.07</v>
      </c>
      <c r="K1856" s="241" t="n">
        <v>8.77</v>
      </c>
      <c r="L1856" s="242" t="n">
        <v>584200</v>
      </c>
      <c r="M1856" s="241" t="n">
        <v>-0.18</v>
      </c>
      <c r="N1856" s="241" t="n">
        <v>3.18</v>
      </c>
      <c r="O1856" s="241" t="n">
        <v>-28.78</v>
      </c>
      <c r="P1856" s="241" t="n">
        <v>1.17</v>
      </c>
    </row>
    <row r="1857">
      <c r="A1857" s="282" t="inlineStr">
        <is>
          <t>2013-08-23</t>
        </is>
      </c>
      <c r="B1857" s="240">
        <f>IFERROR(1/P1857-1,B1856)</f>
        <v/>
      </c>
      <c r="C1857" s="240">
        <f>$C$3</f>
        <v/>
      </c>
      <c r="D1857" s="240">
        <f>$D$3</f>
        <v/>
      </c>
      <c r="E1857" s="240">
        <f>$E$3</f>
        <v/>
      </c>
      <c r="F1857" s="241" t="n">
        <v>10.11</v>
      </c>
      <c r="G1857" s="242" t="n">
        <v>7970686</v>
      </c>
      <c r="H1857" s="241" t="n">
        <v>-1.84</v>
      </c>
      <c r="I1857" s="241" t="n">
        <v>1.51</v>
      </c>
      <c r="J1857" s="241" t="n">
        <v>-26.46</v>
      </c>
      <c r="K1857" s="241" t="n">
        <v>8.609999999999999</v>
      </c>
      <c r="L1857" s="242" t="n">
        <v>1161385</v>
      </c>
      <c r="M1857" s="241" t="n">
        <v>-1.81</v>
      </c>
      <c r="N1857" s="241" t="n">
        <v>2.66</v>
      </c>
      <c r="O1857" s="241" t="n">
        <v>-30.07</v>
      </c>
      <c r="P1857" s="241" t="n">
        <v>1.17</v>
      </c>
    </row>
    <row r="1858">
      <c r="A1858" s="282" t="inlineStr">
        <is>
          <t>2013-08-26</t>
        </is>
      </c>
      <c r="B1858" s="240">
        <f>IFERROR(1/P1858-1,B1857)</f>
        <v/>
      </c>
      <c r="C1858" s="240">
        <f>$C$3</f>
        <v/>
      </c>
      <c r="D1858" s="240">
        <f>$D$3</f>
        <v/>
      </c>
      <c r="E1858" s="240">
        <f>$E$3</f>
        <v/>
      </c>
      <c r="F1858" s="241" t="n">
        <v>10.41</v>
      </c>
      <c r="G1858" s="242" t="n">
        <v>8981483</v>
      </c>
      <c r="H1858" s="241" t="n">
        <v>2.97</v>
      </c>
      <c r="I1858" s="241" t="n">
        <v>3.27</v>
      </c>
      <c r="J1858" s="241" t="n">
        <v>-24.27</v>
      </c>
      <c r="K1858" s="241" t="n">
        <v>8.609999999999999</v>
      </c>
      <c r="L1858" s="242" t="n">
        <v>1276000</v>
      </c>
      <c r="M1858" s="241" t="n">
        <v>0</v>
      </c>
      <c r="N1858" s="241" t="n">
        <v>-3.39</v>
      </c>
      <c r="O1858" s="241" t="n">
        <v>-30.07</v>
      </c>
      <c r="P1858" s="241" t="n">
        <v>1.21</v>
      </c>
    </row>
    <row r="1859">
      <c r="A1859" s="282" t="inlineStr">
        <is>
          <t>2013-08-27</t>
        </is>
      </c>
      <c r="B1859" s="240">
        <f>IFERROR(1/P1859-1,B1858)</f>
        <v/>
      </c>
      <c r="C1859" s="240">
        <f>$C$3</f>
        <v/>
      </c>
      <c r="D1859" s="240">
        <f>$D$3</f>
        <v/>
      </c>
      <c r="E1859" s="240">
        <f>$E$3</f>
        <v/>
      </c>
      <c r="F1859" s="241" t="n">
        <v>10.49</v>
      </c>
      <c r="G1859" s="242" t="n">
        <v>7724163</v>
      </c>
      <c r="H1859" s="241" t="n">
        <v>0.77</v>
      </c>
      <c r="I1859" s="241" t="n">
        <v>5.43</v>
      </c>
      <c r="J1859" s="241" t="n">
        <v>-23.69</v>
      </c>
      <c r="K1859" s="241" t="n">
        <v>8.609999999999999</v>
      </c>
      <c r="L1859" s="242" t="n">
        <v>577800</v>
      </c>
      <c r="M1859" s="241" t="n">
        <v>0</v>
      </c>
      <c r="N1859" s="241" t="n">
        <v>-1.81</v>
      </c>
      <c r="O1859" s="241" t="n">
        <v>-30.07</v>
      </c>
      <c r="P1859" s="241" t="n">
        <v>1.22</v>
      </c>
    </row>
    <row r="1860">
      <c r="A1860" s="282" t="inlineStr">
        <is>
          <t>2013-08-28</t>
        </is>
      </c>
      <c r="B1860" s="240">
        <f>IFERROR(1/P1860-1,B1859)</f>
        <v/>
      </c>
      <c r="C1860" s="240">
        <f>$C$3</f>
        <v/>
      </c>
      <c r="D1860" s="240">
        <f>$D$3</f>
        <v/>
      </c>
      <c r="E1860" s="240">
        <f>$E$3</f>
        <v/>
      </c>
      <c r="F1860" s="241" t="n">
        <v>10.56</v>
      </c>
      <c r="G1860" s="242" t="n">
        <v>11287897</v>
      </c>
      <c r="H1860" s="241" t="n">
        <v>0.67</v>
      </c>
      <c r="I1860" s="241" t="n">
        <v>6.13</v>
      </c>
      <c r="J1860" s="241" t="n">
        <v>-23.18</v>
      </c>
      <c r="K1860" s="241" t="n">
        <v>8.41</v>
      </c>
      <c r="L1860" s="242" t="n">
        <v>741000</v>
      </c>
      <c r="M1860" s="241" t="n">
        <v>-2.22</v>
      </c>
      <c r="N1860" s="241" t="n">
        <v>-3.99</v>
      </c>
      <c r="O1860" s="241" t="n">
        <v>-31.62</v>
      </c>
      <c r="P1860" s="241" t="n">
        <v>1.26</v>
      </c>
    </row>
    <row r="1861">
      <c r="A1861" s="282" t="inlineStr">
        <is>
          <t>2013-08-29</t>
        </is>
      </c>
      <c r="B1861" s="240">
        <f>IFERROR(1/P1861-1,B1860)</f>
        <v/>
      </c>
      <c r="C1861" s="240">
        <f>$C$3</f>
        <v/>
      </c>
      <c r="D1861" s="240">
        <f>$D$3</f>
        <v/>
      </c>
      <c r="E1861" s="240">
        <f>$E$3</f>
        <v/>
      </c>
      <c r="F1861" s="241" t="n">
        <v>10.7</v>
      </c>
      <c r="G1861" s="242" t="n">
        <v>16588476</v>
      </c>
      <c r="H1861" s="241" t="n">
        <v>1.33</v>
      </c>
      <c r="I1861" s="241" t="n">
        <v>7.54</v>
      </c>
      <c r="J1861" s="241" t="n">
        <v>-22.16</v>
      </c>
      <c r="K1861" s="241" t="n">
        <v>8.539999999999999</v>
      </c>
      <c r="L1861" s="242" t="n">
        <v>1227400</v>
      </c>
      <c r="M1861" s="241" t="n">
        <v>1.51</v>
      </c>
      <c r="N1861" s="241" t="n">
        <v>-2.54</v>
      </c>
      <c r="O1861" s="241" t="n">
        <v>-30.59</v>
      </c>
      <c r="P1861" s="241" t="n">
        <v>1.25</v>
      </c>
    </row>
    <row r="1862">
      <c r="A1862" s="282" t="inlineStr">
        <is>
          <t>2013-08-30</t>
        </is>
      </c>
      <c r="B1862" s="240">
        <f>IFERROR(1/P1862-1,B1861)</f>
        <v/>
      </c>
      <c r="C1862" s="240">
        <f>$C$3</f>
        <v/>
      </c>
      <c r="D1862" s="240">
        <f>$D$3</f>
        <v/>
      </c>
      <c r="E1862" s="240">
        <f>$E$3</f>
        <v/>
      </c>
      <c r="F1862" s="241" t="n">
        <v>11.05</v>
      </c>
      <c r="G1862" s="242" t="n">
        <v>19542007</v>
      </c>
      <c r="H1862" s="241" t="n">
        <v>3.27</v>
      </c>
      <c r="I1862" s="241" t="n">
        <v>12.87</v>
      </c>
      <c r="J1862" s="241" t="n">
        <v>-19.62</v>
      </c>
      <c r="K1862" s="241" t="n">
        <v>8.630000000000001</v>
      </c>
      <c r="L1862" s="242" t="n">
        <v>1137800</v>
      </c>
      <c r="M1862" s="241" t="n">
        <v>0.93</v>
      </c>
      <c r="N1862" s="241" t="n">
        <v>-1.27</v>
      </c>
      <c r="O1862" s="241" t="n">
        <v>-29.94</v>
      </c>
      <c r="P1862" s="241" t="n">
        <v>1.28</v>
      </c>
    </row>
    <row r="1863">
      <c r="A1863" s="282" t="inlineStr">
        <is>
          <t>2013-09-02</t>
        </is>
      </c>
      <c r="B1863" s="240">
        <f>IFERROR(1/P1863-1,B1862)</f>
        <v/>
      </c>
      <c r="C1863" s="240">
        <f>$C$3</f>
        <v/>
      </c>
      <c r="D1863" s="240">
        <f>$D$3</f>
        <v/>
      </c>
      <c r="E1863" s="240">
        <f>$E$3</f>
        <v/>
      </c>
      <c r="F1863" s="241" t="n">
        <v>10.96</v>
      </c>
      <c r="G1863" s="242" t="n">
        <v>12279850</v>
      </c>
      <c r="H1863" s="241" t="n">
        <v>-0.8100000000000001</v>
      </c>
      <c r="I1863" s="241" t="n">
        <v>9.16</v>
      </c>
      <c r="J1863" s="241" t="n">
        <v>-20.27</v>
      </c>
      <c r="K1863" s="241" t="n">
        <v>8.51</v>
      </c>
      <c r="L1863" s="242" t="n">
        <v>997600</v>
      </c>
      <c r="M1863" s="241" t="n">
        <v>-1.29</v>
      </c>
      <c r="N1863" s="241" t="n">
        <v>-2.37</v>
      </c>
      <c r="O1863" s="241" t="n">
        <v>-30.84</v>
      </c>
      <c r="P1863" s="241" t="n">
        <v>1.29</v>
      </c>
    </row>
    <row r="1864">
      <c r="A1864" s="282" t="inlineStr">
        <is>
          <t>2013-09-03</t>
        </is>
      </c>
      <c r="B1864" s="240">
        <f>IFERROR(1/P1864-1,B1863)</f>
        <v/>
      </c>
      <c r="C1864" s="240">
        <f>$C$3</f>
        <v/>
      </c>
      <c r="D1864" s="240">
        <f>$D$3</f>
        <v/>
      </c>
      <c r="E1864" s="240">
        <f>$E$3</f>
        <v/>
      </c>
      <c r="F1864" s="241" t="n">
        <v>11.09</v>
      </c>
      <c r="G1864" s="242" t="n">
        <v>14391495</v>
      </c>
      <c r="H1864" s="241" t="n">
        <v>1.19</v>
      </c>
      <c r="I1864" s="241" t="n">
        <v>10.46</v>
      </c>
      <c r="J1864" s="241" t="n">
        <v>-19.33</v>
      </c>
      <c r="K1864" s="241" t="n">
        <v>8.720000000000001</v>
      </c>
      <c r="L1864" s="242" t="n">
        <v>1336153</v>
      </c>
      <c r="M1864" s="241" t="n">
        <v>2.43</v>
      </c>
      <c r="N1864" s="241" t="n">
        <v>0.55</v>
      </c>
      <c r="O1864" s="241" t="n">
        <v>-29.16</v>
      </c>
      <c r="P1864" s="241" t="n">
        <v>1.27</v>
      </c>
    </row>
    <row r="1865">
      <c r="A1865" s="282" t="inlineStr">
        <is>
          <t>2013-09-04</t>
        </is>
      </c>
      <c r="B1865" s="240">
        <f>IFERROR(1/P1865-1,B1864)</f>
        <v/>
      </c>
      <c r="C1865" s="240">
        <f>$C$3</f>
        <v/>
      </c>
      <c r="D1865" s="240">
        <f>$D$3</f>
        <v/>
      </c>
      <c r="E1865" s="240">
        <f>$E$3</f>
        <v/>
      </c>
      <c r="F1865" s="241" t="n">
        <v>10.92</v>
      </c>
      <c r="G1865" s="242" t="n">
        <v>11871203</v>
      </c>
      <c r="H1865" s="241" t="n">
        <v>-1.53</v>
      </c>
      <c r="I1865" s="241" t="n">
        <v>8.76</v>
      </c>
      <c r="J1865" s="241" t="n">
        <v>-20.56</v>
      </c>
      <c r="K1865" s="241" t="n">
        <v>8.609999999999999</v>
      </c>
      <c r="L1865" s="242" t="n">
        <v>1153800</v>
      </c>
      <c r="M1865" s="241" t="n">
        <v>-1.28</v>
      </c>
      <c r="N1865" s="241" t="n">
        <v>-0.73</v>
      </c>
      <c r="O1865" s="241" t="n">
        <v>-30.07</v>
      </c>
      <c r="P1865" s="241" t="n">
        <v>1.27</v>
      </c>
    </row>
    <row r="1866">
      <c r="A1866" s="282" t="inlineStr">
        <is>
          <t>2013-09-05</t>
        </is>
      </c>
      <c r="B1866" s="240">
        <f>IFERROR(1/P1866-1,B1865)</f>
        <v/>
      </c>
      <c r="C1866" s="240">
        <f>$C$3</f>
        <v/>
      </c>
      <c r="D1866" s="240">
        <f>$D$3</f>
        <v/>
      </c>
      <c r="E1866" s="240">
        <f>$E$3</f>
        <v/>
      </c>
      <c r="F1866" s="241" t="n">
        <v>10.93</v>
      </c>
      <c r="G1866" s="242" t="n">
        <v>8091725</v>
      </c>
      <c r="H1866" s="241" t="n">
        <v>0.09</v>
      </c>
      <c r="I1866" s="241" t="n">
        <v>8.859999999999999</v>
      </c>
      <c r="J1866" s="241" t="n">
        <v>-20.49</v>
      </c>
      <c r="K1866" s="241" t="n">
        <v>8.99</v>
      </c>
      <c r="L1866" s="242" t="n">
        <v>2702000</v>
      </c>
      <c r="M1866" s="241" t="n">
        <v>4.44</v>
      </c>
      <c r="N1866" s="241" t="n">
        <v>3.67</v>
      </c>
      <c r="O1866" s="241" t="n">
        <v>-26.97</v>
      </c>
      <c r="P1866" s="241" t="n">
        <v>1.22</v>
      </c>
    </row>
    <row r="1867">
      <c r="A1867" s="282" t="inlineStr">
        <is>
          <t>2013-09-06</t>
        </is>
      </c>
      <c r="B1867" s="240">
        <f>IFERROR(1/P1867-1,B1866)</f>
        <v/>
      </c>
      <c r="C1867" s="240">
        <f>$C$3</f>
        <v/>
      </c>
      <c r="D1867" s="240">
        <f>$D$3</f>
        <v/>
      </c>
      <c r="E1867" s="240">
        <f>$E$3</f>
        <v/>
      </c>
      <c r="F1867" s="241" t="n">
        <v>11.08</v>
      </c>
      <c r="G1867" s="242" t="n">
        <v>11219957</v>
      </c>
      <c r="H1867" s="241" t="n">
        <v>1.37</v>
      </c>
      <c r="I1867" s="241" t="n">
        <v>6.44</v>
      </c>
      <c r="J1867" s="241" t="n">
        <v>-19.4</v>
      </c>
      <c r="K1867" s="241" t="n">
        <v>8.949999999999999</v>
      </c>
      <c r="L1867" s="242" t="n">
        <v>1752000</v>
      </c>
      <c r="M1867" s="241" t="n">
        <v>-0.53</v>
      </c>
      <c r="N1867" s="241" t="n">
        <v>-0.53</v>
      </c>
      <c r="O1867" s="241" t="n">
        <v>-27.35</v>
      </c>
      <c r="P1867" s="241" t="n">
        <v>1.24</v>
      </c>
    </row>
    <row r="1868">
      <c r="A1868" s="282" t="inlineStr">
        <is>
          <t>2013-09-09</t>
        </is>
      </c>
      <c r="B1868" s="240">
        <f>IFERROR(1/P1868-1,B1867)</f>
        <v/>
      </c>
      <c r="C1868" s="240">
        <f>$C$3</f>
        <v/>
      </c>
      <c r="D1868" s="240">
        <f>$D$3</f>
        <v/>
      </c>
      <c r="E1868" s="240">
        <f>$E$3</f>
        <v/>
      </c>
      <c r="F1868" s="241" t="n">
        <v>11.45</v>
      </c>
      <c r="G1868" s="242" t="n">
        <v>21291134</v>
      </c>
      <c r="H1868" s="241" t="n">
        <v>3.34</v>
      </c>
      <c r="I1868" s="241" t="n">
        <v>12.37</v>
      </c>
      <c r="J1868" s="241" t="n">
        <v>-16.71</v>
      </c>
      <c r="K1868" s="241" t="n">
        <v>9.039999999999999</v>
      </c>
      <c r="L1868" s="242" t="n">
        <v>2944600</v>
      </c>
      <c r="M1868" s="241" t="n">
        <v>1.25</v>
      </c>
      <c r="N1868" s="241" t="n">
        <v>3.64</v>
      </c>
      <c r="O1868" s="241" t="n">
        <v>-26.45</v>
      </c>
      <c r="P1868" s="241" t="n">
        <v>1.27</v>
      </c>
    </row>
    <row r="1869">
      <c r="A1869" s="282" t="inlineStr">
        <is>
          <t>2013-09-10</t>
        </is>
      </c>
      <c r="B1869" s="240">
        <f>IFERROR(1/P1869-1,B1868)</f>
        <v/>
      </c>
      <c r="C1869" s="240">
        <f>$C$3</f>
        <v/>
      </c>
      <c r="D1869" s="240">
        <f>$D$3</f>
        <v/>
      </c>
      <c r="E1869" s="240">
        <f>$E$3</f>
        <v/>
      </c>
      <c r="F1869" s="241" t="n">
        <v>11.68</v>
      </c>
      <c r="G1869" s="242" t="n">
        <v>19743510</v>
      </c>
      <c r="H1869" s="241" t="n">
        <v>2.01</v>
      </c>
      <c r="I1869" s="241" t="n">
        <v>12.85</v>
      </c>
      <c r="J1869" s="241" t="n">
        <v>-15.04</v>
      </c>
      <c r="K1869" s="241" t="n">
        <v>9.5</v>
      </c>
      <c r="L1869" s="242" t="n">
        <v>4693200</v>
      </c>
      <c r="M1869" s="241" t="n">
        <v>5.1</v>
      </c>
      <c r="N1869" s="241" t="n">
        <v>8.73</v>
      </c>
      <c r="O1869" s="241" t="n">
        <v>-22.7</v>
      </c>
      <c r="P1869" s="241" t="n">
        <v>1.23</v>
      </c>
    </row>
    <row r="1870">
      <c r="A1870" s="282" t="inlineStr">
        <is>
          <t>2013-09-11</t>
        </is>
      </c>
      <c r="B1870" s="240">
        <f>IFERROR(1/P1870-1,B1869)</f>
        <v/>
      </c>
      <c r="C1870" s="240">
        <f>$C$3</f>
        <v/>
      </c>
      <c r="D1870" s="240">
        <f>$D$3</f>
        <v/>
      </c>
      <c r="E1870" s="240">
        <f>$E$3</f>
        <v/>
      </c>
      <c r="F1870" s="241" t="n">
        <v>11.58</v>
      </c>
      <c r="G1870" s="242" t="n">
        <v>18726358</v>
      </c>
      <c r="H1870" s="241" t="n">
        <v>-0.86</v>
      </c>
      <c r="I1870" s="241" t="n">
        <v>11.88</v>
      </c>
      <c r="J1870" s="241" t="n">
        <v>-15.76</v>
      </c>
      <c r="K1870" s="241" t="n">
        <v>9.41</v>
      </c>
      <c r="L1870" s="242" t="n">
        <v>3136353</v>
      </c>
      <c r="M1870" s="241" t="n">
        <v>-1</v>
      </c>
      <c r="N1870" s="241" t="n">
        <v>7.64</v>
      </c>
      <c r="O1870" s="241" t="n">
        <v>-23.48</v>
      </c>
      <c r="P1870" s="241" t="n">
        <v>1.23</v>
      </c>
    </row>
    <row r="1871">
      <c r="A1871" s="282" t="inlineStr">
        <is>
          <t>2013-09-12</t>
        </is>
      </c>
      <c r="B1871" s="240">
        <f>IFERROR(1/P1871-1,B1870)</f>
        <v/>
      </c>
      <c r="C1871" s="240">
        <f>$C$3</f>
        <v/>
      </c>
      <c r="D1871" s="240">
        <f>$D$3</f>
        <v/>
      </c>
      <c r="E1871" s="240">
        <f>$E$3</f>
        <v/>
      </c>
      <c r="F1871" s="241" t="n">
        <v>11.82</v>
      </c>
      <c r="G1871" s="242" t="n">
        <v>16454965</v>
      </c>
      <c r="H1871" s="241" t="n">
        <v>2.07</v>
      </c>
      <c r="I1871" s="241" t="n">
        <v>14.2</v>
      </c>
      <c r="J1871" s="241" t="n">
        <v>-14.02</v>
      </c>
      <c r="K1871" s="241" t="n">
        <v>9.31</v>
      </c>
      <c r="L1871" s="242" t="n">
        <v>2356484</v>
      </c>
      <c r="M1871" s="241" t="n">
        <v>-1.01</v>
      </c>
      <c r="N1871" s="241" t="n">
        <v>6.55</v>
      </c>
      <c r="O1871" s="241" t="n">
        <v>-24.25</v>
      </c>
      <c r="P1871" s="241" t="n">
        <v>1.27</v>
      </c>
    </row>
    <row r="1872">
      <c r="A1872" s="282" t="inlineStr">
        <is>
          <t>2013-09-13</t>
        </is>
      </c>
      <c r="B1872" s="240">
        <f>IFERROR(1/P1872-1,B1871)</f>
        <v/>
      </c>
      <c r="C1872" s="240">
        <f>$C$3</f>
        <v/>
      </c>
      <c r="D1872" s="240">
        <f>$D$3</f>
        <v/>
      </c>
      <c r="E1872" s="240">
        <f>$E$3</f>
        <v/>
      </c>
      <c r="F1872" s="241" t="n">
        <v>11.76</v>
      </c>
      <c r="G1872" s="242" t="n">
        <v>11151517</v>
      </c>
      <c r="H1872" s="241" t="n">
        <v>-0.51</v>
      </c>
      <c r="I1872" s="241" t="n">
        <v>10.94</v>
      </c>
      <c r="J1872" s="241" t="n">
        <v>-14.45</v>
      </c>
      <c r="K1872" s="241" t="n">
        <v>9.199999999999999</v>
      </c>
      <c r="L1872" s="242" t="n">
        <v>1066059</v>
      </c>
      <c r="M1872" s="241" t="n">
        <v>-1.19</v>
      </c>
      <c r="N1872" s="241" t="n">
        <v>3.76</v>
      </c>
      <c r="O1872" s="241" t="n">
        <v>-25.16</v>
      </c>
      <c r="P1872" s="241" t="n">
        <v>1.28</v>
      </c>
    </row>
    <row r="1873">
      <c r="A1873" s="282" t="inlineStr">
        <is>
          <t>2013-09-16</t>
        </is>
      </c>
      <c r="B1873" s="240">
        <f>IFERROR(1/P1873-1,B1872)</f>
        <v/>
      </c>
      <c r="C1873" s="240">
        <f>$C$3</f>
        <v/>
      </c>
      <c r="D1873" s="240">
        <f>$D$3</f>
        <v/>
      </c>
      <c r="E1873" s="240">
        <f>$E$3</f>
        <v/>
      </c>
      <c r="F1873" s="241" t="n">
        <v>11.53</v>
      </c>
      <c r="G1873" s="242" t="n">
        <v>9786545</v>
      </c>
      <c r="H1873" s="241" t="n">
        <v>-1.96</v>
      </c>
      <c r="I1873" s="241" t="n">
        <v>10.97</v>
      </c>
      <c r="J1873" s="241" t="n">
        <v>-16.13</v>
      </c>
      <c r="K1873" s="241" t="n">
        <v>9.210000000000001</v>
      </c>
      <c r="L1873" s="242" t="n">
        <v>1007400</v>
      </c>
      <c r="M1873" s="241" t="n">
        <v>0.17</v>
      </c>
      <c r="N1873" s="241" t="n">
        <v>2.47</v>
      </c>
      <c r="O1873" s="241" t="n">
        <v>-25.03</v>
      </c>
      <c r="P1873" s="241" t="n">
        <v>1.25</v>
      </c>
    </row>
    <row r="1874">
      <c r="A1874" s="282" t="inlineStr">
        <is>
          <t>2013-09-17</t>
        </is>
      </c>
      <c r="B1874" s="240">
        <f>IFERROR(1/P1874-1,B1873)</f>
        <v/>
      </c>
      <c r="C1874" s="240">
        <f>$C$3</f>
        <v/>
      </c>
      <c r="D1874" s="240">
        <f>$D$3</f>
        <v/>
      </c>
      <c r="E1874" s="240">
        <f>$E$3</f>
        <v/>
      </c>
      <c r="F1874" s="241" t="n">
        <v>11.27</v>
      </c>
      <c r="G1874" s="242" t="n">
        <v>8843635</v>
      </c>
      <c r="H1874" s="241" t="n">
        <v>-2.25</v>
      </c>
      <c r="I1874" s="241" t="n">
        <v>9.84</v>
      </c>
      <c r="J1874" s="241" t="n">
        <v>-18.02</v>
      </c>
      <c r="K1874" s="241" t="n">
        <v>9.050000000000001</v>
      </c>
      <c r="L1874" s="242" t="n">
        <v>1014200</v>
      </c>
      <c r="M1874" s="241" t="n">
        <v>-1.72</v>
      </c>
      <c r="N1874" s="241" t="n">
        <v>-0.35</v>
      </c>
      <c r="O1874" s="241" t="n">
        <v>-26.32</v>
      </c>
      <c r="P1874" s="241" t="n">
        <v>1.25</v>
      </c>
    </row>
    <row r="1875">
      <c r="A1875" s="282" t="inlineStr">
        <is>
          <t>2013-09-18</t>
        </is>
      </c>
      <c r="B1875" s="240">
        <f>IFERROR(1/P1875-1,B1874)</f>
        <v/>
      </c>
      <c r="C1875" s="240">
        <f>$C$3</f>
        <v/>
      </c>
      <c r="D1875" s="240">
        <f>$D$3</f>
        <v/>
      </c>
      <c r="E1875" s="240">
        <f>$E$3</f>
        <v/>
      </c>
      <c r="F1875" s="241" t="n">
        <v>11.38</v>
      </c>
      <c r="G1875" s="242" t="n">
        <v>5262861</v>
      </c>
      <c r="H1875" s="241" t="n">
        <v>0.98</v>
      </c>
      <c r="I1875" s="241" t="n">
        <v>10.92</v>
      </c>
      <c r="J1875" s="241" t="n">
        <v>-17.22</v>
      </c>
      <c r="K1875" s="241" t="n">
        <v>9.1</v>
      </c>
      <c r="L1875" s="242" t="n">
        <v>568000</v>
      </c>
      <c r="M1875" s="241" t="n">
        <v>0.53</v>
      </c>
      <c r="N1875" s="241" t="n">
        <v>0.17</v>
      </c>
      <c r="O1875" s="241" t="n">
        <v>-25.93</v>
      </c>
      <c r="P1875" s="241" t="n">
        <v>1.25</v>
      </c>
    </row>
    <row r="1876">
      <c r="A1876" s="282" t="inlineStr">
        <is>
          <t>2013-09-23</t>
        </is>
      </c>
      <c r="B1876" s="240">
        <f>IFERROR(1/P1876-1,B1875)</f>
        <v/>
      </c>
      <c r="C1876" s="240">
        <f>$C$3</f>
        <v/>
      </c>
      <c r="D1876" s="240">
        <f>$D$3</f>
        <v/>
      </c>
      <c r="E1876" s="240">
        <f>$E$3</f>
        <v/>
      </c>
      <c r="F1876" s="241" t="n">
        <v>12.18</v>
      </c>
      <c r="G1876" s="242" t="n">
        <v>23412100</v>
      </c>
      <c r="H1876" s="241" t="n">
        <v>7.03</v>
      </c>
      <c r="I1876" s="241" t="n">
        <v>18.25</v>
      </c>
      <c r="J1876" s="241" t="n">
        <v>-11.4</v>
      </c>
      <c r="K1876" s="241" t="n">
        <v>9.279999999999999</v>
      </c>
      <c r="L1876" s="242" t="n">
        <v>2069200</v>
      </c>
      <c r="M1876" s="241" t="n">
        <v>2.27</v>
      </c>
      <c r="N1876" s="241" t="n">
        <v>6.17</v>
      </c>
      <c r="O1876" s="241" t="n">
        <v>-24.38</v>
      </c>
      <c r="P1876" s="241" t="n">
        <v>1.31</v>
      </c>
    </row>
    <row r="1877">
      <c r="A1877" s="282" t="inlineStr">
        <is>
          <t>2013-09-24</t>
        </is>
      </c>
      <c r="B1877" s="240">
        <f>IFERROR(1/P1877-1,B1876)</f>
        <v/>
      </c>
      <c r="C1877" s="240">
        <f>$C$3</f>
        <v/>
      </c>
      <c r="D1877" s="240">
        <f>$D$3</f>
        <v/>
      </c>
      <c r="E1877" s="240">
        <f>$E$3</f>
        <v/>
      </c>
      <c r="F1877" s="241" t="n">
        <v>11.82</v>
      </c>
      <c r="G1877" s="242" t="n">
        <v>15080120</v>
      </c>
      <c r="H1877" s="241" t="n">
        <v>-2.96</v>
      </c>
      <c r="I1877" s="241" t="n">
        <v>16.91</v>
      </c>
      <c r="J1877" s="241" t="n">
        <v>-14.02</v>
      </c>
      <c r="K1877" s="241" t="n">
        <v>8.880000000000001</v>
      </c>
      <c r="L1877" s="242" t="n">
        <v>3849408</v>
      </c>
      <c r="M1877" s="241" t="n">
        <v>-4.27</v>
      </c>
      <c r="N1877" s="241" t="n">
        <v>3.51</v>
      </c>
      <c r="O1877" s="241" t="n">
        <v>-27.61</v>
      </c>
      <c r="P1877" s="241" t="n">
        <v>1.33</v>
      </c>
    </row>
    <row r="1878">
      <c r="A1878" s="282" t="inlineStr">
        <is>
          <t>2013-09-25</t>
        </is>
      </c>
      <c r="B1878" s="240">
        <f>IFERROR(1/P1878-1,B1877)</f>
        <v/>
      </c>
      <c r="C1878" s="240">
        <f>$C$3</f>
        <v/>
      </c>
      <c r="D1878" s="240">
        <f>$D$3</f>
        <v/>
      </c>
      <c r="E1878" s="240">
        <f>$E$3</f>
        <v/>
      </c>
      <c r="F1878" s="241" t="n">
        <v>11.76</v>
      </c>
      <c r="G1878" s="242" t="n">
        <v>8690326</v>
      </c>
      <c r="H1878" s="241" t="n">
        <v>-0.51</v>
      </c>
      <c r="I1878" s="241" t="n">
        <v>16.32</v>
      </c>
      <c r="J1878" s="241" t="n">
        <v>-14.45</v>
      </c>
      <c r="K1878" s="241" t="n">
        <v>8.869999999999999</v>
      </c>
      <c r="L1878" s="242" t="n">
        <v>1382852</v>
      </c>
      <c r="M1878" s="241" t="n">
        <v>-0.18</v>
      </c>
      <c r="N1878" s="241" t="n">
        <v>3.33</v>
      </c>
      <c r="O1878" s="241" t="n">
        <v>-27.74</v>
      </c>
      <c r="P1878" s="241" t="n">
        <v>1.33</v>
      </c>
    </row>
    <row r="1879">
      <c r="A1879" s="282" t="inlineStr">
        <is>
          <t>2013-09-26</t>
        </is>
      </c>
      <c r="B1879" s="240">
        <f>IFERROR(1/P1879-1,B1878)</f>
        <v/>
      </c>
      <c r="C1879" s="240">
        <f>$C$3</f>
        <v/>
      </c>
      <c r="D1879" s="240">
        <f>$D$3</f>
        <v/>
      </c>
      <c r="E1879" s="240">
        <f>$E$3</f>
        <v/>
      </c>
      <c r="F1879" s="241" t="n">
        <v>11.45</v>
      </c>
      <c r="G1879" s="242" t="n">
        <v>9291611</v>
      </c>
      <c r="H1879" s="241" t="n">
        <v>-2.64</v>
      </c>
      <c r="I1879" s="241" t="n">
        <v>13.25</v>
      </c>
      <c r="J1879" s="241" t="n">
        <v>-16.71</v>
      </c>
      <c r="K1879" s="241" t="n">
        <v>8.960000000000001</v>
      </c>
      <c r="L1879" s="242" t="n">
        <v>1176200</v>
      </c>
      <c r="M1879" s="241" t="n">
        <v>1.07</v>
      </c>
      <c r="N1879" s="241" t="n">
        <v>4.44</v>
      </c>
      <c r="O1879" s="241" t="n">
        <v>-26.97</v>
      </c>
      <c r="P1879" s="241" t="n">
        <v>1.28</v>
      </c>
    </row>
    <row r="1880">
      <c r="A1880" s="282" t="inlineStr">
        <is>
          <t>2013-09-27</t>
        </is>
      </c>
      <c r="B1880" s="240">
        <f>IFERROR(1/P1880-1,B1879)</f>
        <v/>
      </c>
      <c r="C1880" s="240">
        <f>$C$3</f>
        <v/>
      </c>
      <c r="D1880" s="240">
        <f>$D$3</f>
        <v/>
      </c>
      <c r="E1880" s="240">
        <f>$E$3</f>
        <v/>
      </c>
      <c r="F1880" s="241" t="n">
        <v>11.49</v>
      </c>
      <c r="G1880" s="242" t="n">
        <v>4282223</v>
      </c>
      <c r="H1880" s="241" t="n">
        <v>0.35</v>
      </c>
      <c r="I1880" s="241" t="n">
        <v>10.37</v>
      </c>
      <c r="J1880" s="241" t="n">
        <v>-16.42</v>
      </c>
      <c r="K1880" s="241" t="n">
        <v>8.960000000000001</v>
      </c>
      <c r="L1880" s="242" t="n">
        <v>1105076</v>
      </c>
      <c r="M1880" s="241" t="n">
        <v>0</v>
      </c>
      <c r="N1880" s="241" t="n">
        <v>4.44</v>
      </c>
      <c r="O1880" s="241" t="n">
        <v>-26.97</v>
      </c>
      <c r="P1880" s="241" t="n">
        <v>1.28</v>
      </c>
    </row>
    <row r="1881">
      <c r="A1881" s="282" t="inlineStr">
        <is>
          <t>2013-09-30</t>
        </is>
      </c>
      <c r="B1881" s="240">
        <f>IFERROR(1/P1881-1,B1880)</f>
        <v/>
      </c>
      <c r="C1881" s="240">
        <f>$C$3</f>
        <v/>
      </c>
      <c r="D1881" s="240">
        <f>$D$3</f>
        <v/>
      </c>
      <c r="E1881" s="240">
        <f>$E$3</f>
        <v/>
      </c>
      <c r="F1881" s="241" t="n">
        <v>11.77</v>
      </c>
      <c r="G1881" s="242" t="n">
        <v>8149946</v>
      </c>
      <c r="H1881" s="241" t="n">
        <v>2.44</v>
      </c>
      <c r="I1881" s="241" t="n">
        <v>10</v>
      </c>
      <c r="J1881" s="241" t="n">
        <v>-14.38</v>
      </c>
      <c r="K1881" s="241" t="n">
        <v>8.960000000000001</v>
      </c>
      <c r="L1881" s="242" t="n">
        <v>722400</v>
      </c>
      <c r="M1881" s="241" t="n">
        <v>0</v>
      </c>
      <c r="N1881" s="241" t="n">
        <v>5.21</v>
      </c>
      <c r="O1881" s="241" t="n">
        <v>-26.97</v>
      </c>
      <c r="P1881" s="241" t="n">
        <v>1.31</v>
      </c>
    </row>
    <row r="1882">
      <c r="A1882" s="282" t="inlineStr">
        <is>
          <t>2013-10-08</t>
        </is>
      </c>
      <c r="B1882" s="240">
        <f>IFERROR(1/P1882-1,B1881)</f>
        <v/>
      </c>
      <c r="C1882" s="240">
        <f>$C$3</f>
        <v/>
      </c>
      <c r="D1882" s="240">
        <f>$D$3</f>
        <v/>
      </c>
      <c r="E1882" s="240">
        <f>$E$3</f>
        <v/>
      </c>
      <c r="F1882" s="241" t="n">
        <v>11.96</v>
      </c>
      <c r="G1882" s="242" t="n">
        <v>10194927</v>
      </c>
      <c r="H1882" s="241" t="n">
        <v>1.61</v>
      </c>
      <c r="I1882" s="241" t="n">
        <v>7.94</v>
      </c>
      <c r="J1882" s="241" t="n">
        <v>-13</v>
      </c>
      <c r="K1882" s="241" t="n">
        <v>9.16</v>
      </c>
      <c r="L1882" s="242" t="n">
        <v>2475208</v>
      </c>
      <c r="M1882" s="241" t="n">
        <v>0.7</v>
      </c>
      <c r="N1882" s="241" t="n">
        <v>2.85</v>
      </c>
      <c r="O1882" s="241" t="n">
        <v>-25.29</v>
      </c>
      <c r="P1882" s="241" t="n">
        <v>1.31</v>
      </c>
    </row>
    <row r="1883">
      <c r="A1883" s="282" t="inlineStr">
        <is>
          <t>2013-10-09</t>
        </is>
      </c>
      <c r="B1883" s="240">
        <f>IFERROR(1/P1883-1,B1882)</f>
        <v/>
      </c>
      <c r="C1883" s="240">
        <f>$C$3</f>
        <v/>
      </c>
      <c r="D1883" s="240">
        <f>$D$3</f>
        <v/>
      </c>
      <c r="E1883" s="240">
        <f>$E$3</f>
        <v/>
      </c>
      <c r="F1883" s="241" t="n">
        <v>11.89</v>
      </c>
      <c r="G1883" s="242" t="n">
        <v>9998741</v>
      </c>
      <c r="H1883" s="241" t="n">
        <v>-0.59</v>
      </c>
      <c r="I1883" s="241" t="n">
        <v>7.31</v>
      </c>
      <c r="J1883" s="241" t="n">
        <v>-13.51</v>
      </c>
      <c r="K1883" s="241" t="n">
        <v>9.029999999999999</v>
      </c>
      <c r="L1883" s="242" t="n">
        <v>1262004</v>
      </c>
      <c r="M1883" s="241" t="n">
        <v>-1.38</v>
      </c>
      <c r="N1883" s="241" t="n">
        <v>1.42</v>
      </c>
      <c r="O1883" s="241" t="n">
        <v>-26.32</v>
      </c>
      <c r="P1883" s="241" t="n">
        <v>1.32</v>
      </c>
    </row>
    <row r="1884">
      <c r="A1884" s="282" t="inlineStr">
        <is>
          <t>2013-10-10</t>
        </is>
      </c>
      <c r="B1884" s="240">
        <f>IFERROR(1/P1884-1,B1883)</f>
        <v/>
      </c>
      <c r="C1884" s="240">
        <f>$C$3</f>
        <v/>
      </c>
      <c r="D1884" s="240">
        <f>$D$3</f>
        <v/>
      </c>
      <c r="E1884" s="240">
        <f>$E$3</f>
        <v/>
      </c>
      <c r="F1884" s="241" t="n">
        <v>11.73</v>
      </c>
      <c r="G1884" s="242" t="n">
        <v>9074404</v>
      </c>
      <c r="H1884" s="241" t="n">
        <v>-1.35</v>
      </c>
      <c r="I1884" s="241" t="n">
        <v>2.45</v>
      </c>
      <c r="J1884" s="241" t="n">
        <v>-14.67</v>
      </c>
      <c r="K1884" s="241" t="n">
        <v>9.029999999999999</v>
      </c>
      <c r="L1884" s="242" t="n">
        <v>911000</v>
      </c>
      <c r="M1884" s="241" t="n">
        <v>0</v>
      </c>
      <c r="N1884" s="241" t="n">
        <v>0.18</v>
      </c>
      <c r="O1884" s="241" t="n">
        <v>-26.32</v>
      </c>
      <c r="P1884" s="241" t="n">
        <v>1.3</v>
      </c>
    </row>
    <row r="1885">
      <c r="A1885" s="282" t="inlineStr">
        <is>
          <t>2013-10-11</t>
        </is>
      </c>
      <c r="B1885" s="240">
        <f>IFERROR(1/P1885-1,B1884)</f>
        <v/>
      </c>
      <c r="C1885" s="240">
        <f>$C$3</f>
        <v/>
      </c>
      <c r="D1885" s="240">
        <f>$D$3</f>
        <v/>
      </c>
      <c r="E1885" s="240">
        <f>$E$3</f>
        <v/>
      </c>
      <c r="F1885" s="241" t="n">
        <v>12.07</v>
      </c>
      <c r="G1885" s="242" t="n">
        <v>14593944</v>
      </c>
      <c r="H1885" s="241" t="n">
        <v>2.9</v>
      </c>
      <c r="I1885" s="241" t="n">
        <v>3.34</v>
      </c>
      <c r="J1885" s="241" t="n">
        <v>-12.2</v>
      </c>
      <c r="K1885" s="241" t="n">
        <v>9.1</v>
      </c>
      <c r="L1885" s="242" t="n">
        <v>1887445</v>
      </c>
      <c r="M1885" s="241" t="n">
        <v>0.7</v>
      </c>
      <c r="N1885" s="241" t="n">
        <v>-4.01</v>
      </c>
      <c r="O1885" s="241" t="n">
        <v>-25.8</v>
      </c>
      <c r="P1885" s="241" t="n">
        <v>1.33</v>
      </c>
    </row>
    <row r="1886">
      <c r="A1886" s="282" t="inlineStr">
        <is>
          <t>2013-10-14</t>
        </is>
      </c>
      <c r="B1886" s="240">
        <f>IFERROR(1/P1886-1,B1885)</f>
        <v/>
      </c>
      <c r="C1886" s="240">
        <f>$C$3</f>
        <v/>
      </c>
      <c r="D1886" s="240">
        <f>$D$3</f>
        <v/>
      </c>
      <c r="E1886" s="240">
        <f>$E$3</f>
        <v/>
      </c>
      <c r="F1886" s="241" t="n">
        <v>12.29</v>
      </c>
      <c r="G1886" s="242" t="n">
        <v>16778961</v>
      </c>
      <c r="H1886" s="241" t="n">
        <v>1.82</v>
      </c>
      <c r="I1886" s="241" t="n">
        <v>4.51</v>
      </c>
      <c r="J1886" s="241" t="n">
        <v>-10.6</v>
      </c>
      <c r="K1886" s="239" t="inlineStr">
        <is>
          <t>--</t>
        </is>
      </c>
      <c r="L1886" s="239" t="inlineStr">
        <is>
          <t>--</t>
        </is>
      </c>
      <c r="M1886" s="239" t="inlineStr">
        <is>
          <t>--</t>
        </is>
      </c>
      <c r="N1886" s="239" t="inlineStr">
        <is>
          <t>--</t>
        </is>
      </c>
      <c r="O1886" s="239" t="inlineStr">
        <is>
          <t>--</t>
        </is>
      </c>
      <c r="P1886" s="239" t="inlineStr">
        <is>
          <t>--</t>
        </is>
      </c>
    </row>
    <row r="1887">
      <c r="A1887" s="282" t="inlineStr">
        <is>
          <t>2013-10-15</t>
        </is>
      </c>
      <c r="B1887" s="240">
        <f>IFERROR(1/P1887-1,B1886)</f>
        <v/>
      </c>
      <c r="C1887" s="240">
        <f>$C$3</f>
        <v/>
      </c>
      <c r="D1887" s="240">
        <f>$D$3</f>
        <v/>
      </c>
      <c r="E1887" s="240">
        <f>$E$3</f>
        <v/>
      </c>
      <c r="F1887" s="241" t="n">
        <v>12.33</v>
      </c>
      <c r="G1887" s="242" t="n">
        <v>12824876</v>
      </c>
      <c r="H1887" s="241" t="n">
        <v>0.33</v>
      </c>
      <c r="I1887" s="241" t="n">
        <v>4.85</v>
      </c>
      <c r="J1887" s="241" t="n">
        <v>-10.31</v>
      </c>
      <c r="K1887" s="241" t="n">
        <v>9.390000000000001</v>
      </c>
      <c r="L1887" s="242" t="n">
        <v>4165800</v>
      </c>
      <c r="M1887" s="241" t="n">
        <v>3.31</v>
      </c>
      <c r="N1887" s="241" t="n">
        <v>2.42</v>
      </c>
      <c r="O1887" s="241" t="n">
        <v>-23.35</v>
      </c>
      <c r="P1887" s="241" t="n">
        <v>1.31</v>
      </c>
    </row>
    <row r="1888">
      <c r="A1888" s="282" t="inlineStr">
        <is>
          <t>2013-10-16</t>
        </is>
      </c>
      <c r="B1888" s="240">
        <f>IFERROR(1/P1888-1,B1887)</f>
        <v/>
      </c>
      <c r="C1888" s="240">
        <f>$C$3</f>
        <v/>
      </c>
      <c r="D1888" s="240">
        <f>$D$3</f>
        <v/>
      </c>
      <c r="E1888" s="240">
        <f>$E$3</f>
        <v/>
      </c>
      <c r="F1888" s="241" t="n">
        <v>11.99</v>
      </c>
      <c r="G1888" s="242" t="n">
        <v>12941713</v>
      </c>
      <c r="H1888" s="241" t="n">
        <v>-2.76</v>
      </c>
      <c r="I1888" s="241" t="n">
        <v>1.96</v>
      </c>
      <c r="J1888" s="241" t="n">
        <v>-12.78</v>
      </c>
      <c r="K1888" s="241" t="n">
        <v>9.220000000000001</v>
      </c>
      <c r="L1888" s="242" t="n">
        <v>2048822</v>
      </c>
      <c r="M1888" s="241" t="n">
        <v>-1.85</v>
      </c>
      <c r="N1888" s="241" t="n">
        <v>0.52</v>
      </c>
      <c r="O1888" s="241" t="n">
        <v>-24.77</v>
      </c>
      <c r="P1888" s="241" t="n">
        <v>1.3</v>
      </c>
    </row>
    <row r="1889">
      <c r="A1889" s="282" t="inlineStr">
        <is>
          <t>2013-10-17</t>
        </is>
      </c>
      <c r="B1889" s="240">
        <f>IFERROR(1/P1889-1,B1888)</f>
        <v/>
      </c>
      <c r="C1889" s="240">
        <f>$C$3</f>
        <v/>
      </c>
      <c r="D1889" s="240">
        <f>$D$3</f>
        <v/>
      </c>
      <c r="E1889" s="240">
        <f>$E$3</f>
        <v/>
      </c>
      <c r="F1889" s="241" t="n">
        <v>11.92</v>
      </c>
      <c r="G1889" s="242" t="n">
        <v>10183013</v>
      </c>
      <c r="H1889" s="241" t="n">
        <v>-0.58</v>
      </c>
      <c r="I1889" s="241" t="n">
        <v>3.38</v>
      </c>
      <c r="J1889" s="241" t="n">
        <v>-13.29</v>
      </c>
      <c r="K1889" s="241" t="n">
        <v>9.35</v>
      </c>
      <c r="L1889" s="242" t="n">
        <v>1696977</v>
      </c>
      <c r="M1889" s="241" t="n">
        <v>1.37</v>
      </c>
      <c r="N1889" s="241" t="n">
        <v>1.72</v>
      </c>
      <c r="O1889" s="241" t="n">
        <v>-23.74</v>
      </c>
      <c r="P1889" s="241" t="n">
        <v>1.28</v>
      </c>
    </row>
    <row r="1890">
      <c r="A1890" s="282" t="inlineStr">
        <is>
          <t>2013-10-18</t>
        </is>
      </c>
      <c r="B1890" s="240">
        <f>IFERROR(1/P1890-1,B1889)</f>
        <v/>
      </c>
      <c r="C1890" s="240">
        <f>$C$3</f>
        <v/>
      </c>
      <c r="D1890" s="240">
        <f>$D$3</f>
        <v/>
      </c>
      <c r="E1890" s="240">
        <f>$E$3</f>
        <v/>
      </c>
      <c r="F1890" s="241" t="n">
        <v>11.76</v>
      </c>
      <c r="G1890" s="242" t="n">
        <v>9263006</v>
      </c>
      <c r="H1890" s="241" t="n">
        <v>-1.34</v>
      </c>
      <c r="I1890" s="241" t="n">
        <v>4.35</v>
      </c>
      <c r="J1890" s="241" t="n">
        <v>-14.45</v>
      </c>
      <c r="K1890" s="241" t="n">
        <v>9.26</v>
      </c>
      <c r="L1890" s="242" t="n">
        <v>1868800</v>
      </c>
      <c r="M1890" s="241" t="n">
        <v>-0.85</v>
      </c>
      <c r="N1890" s="241" t="n">
        <v>2.63</v>
      </c>
      <c r="O1890" s="241" t="n">
        <v>-24.38</v>
      </c>
      <c r="P1890" s="241" t="n">
        <v>1.27</v>
      </c>
    </row>
    <row r="1891">
      <c r="A1891" s="282" t="inlineStr">
        <is>
          <t>2013-10-21</t>
        </is>
      </c>
      <c r="B1891" s="240">
        <f>IFERROR(1/P1891-1,B1890)</f>
        <v/>
      </c>
      <c r="C1891" s="240">
        <f>$C$3</f>
        <v/>
      </c>
      <c r="D1891" s="240">
        <f>$D$3</f>
        <v/>
      </c>
      <c r="E1891" s="240">
        <f>$E$3</f>
        <v/>
      </c>
      <c r="F1891" s="241" t="n">
        <v>12.06</v>
      </c>
      <c r="G1891" s="242" t="n">
        <v>9915062</v>
      </c>
      <c r="H1891" s="241" t="n">
        <v>2.55</v>
      </c>
      <c r="I1891" s="241" t="n">
        <v>5.98</v>
      </c>
      <c r="J1891" s="241" t="n">
        <v>-12.27</v>
      </c>
      <c r="K1891" s="241" t="n">
        <v>9.32</v>
      </c>
      <c r="L1891" s="242" t="n">
        <v>1295200</v>
      </c>
      <c r="M1891" s="241" t="n">
        <v>0.68</v>
      </c>
      <c r="N1891" s="241" t="n">
        <v>2.97</v>
      </c>
      <c r="O1891" s="241" t="n">
        <v>-23.86</v>
      </c>
      <c r="P1891" s="241" t="n">
        <v>1.29</v>
      </c>
    </row>
    <row r="1892">
      <c r="A1892" s="282" t="inlineStr">
        <is>
          <t>2013-10-22</t>
        </is>
      </c>
      <c r="B1892" s="240">
        <f>IFERROR(1/P1892-1,B1891)</f>
        <v/>
      </c>
      <c r="C1892" s="240">
        <f>$C$3</f>
        <v/>
      </c>
      <c r="D1892" s="240">
        <f>$D$3</f>
        <v/>
      </c>
      <c r="E1892" s="240">
        <f>$E$3</f>
        <v/>
      </c>
      <c r="F1892" s="241" t="n">
        <v>12.12</v>
      </c>
      <c r="G1892" s="242" t="n">
        <v>15121233</v>
      </c>
      <c r="H1892" s="241" t="n">
        <v>0.5</v>
      </c>
      <c r="I1892" s="241" t="n">
        <v>6.5</v>
      </c>
      <c r="J1892" s="241" t="n">
        <v>-11.83</v>
      </c>
      <c r="K1892" s="241" t="n">
        <v>9.460000000000001</v>
      </c>
      <c r="L1892" s="242" t="n">
        <v>1799840</v>
      </c>
      <c r="M1892" s="241" t="n">
        <v>1.36</v>
      </c>
      <c r="N1892" s="241" t="n">
        <v>4.37</v>
      </c>
      <c r="O1892" s="241" t="n">
        <v>-22.83</v>
      </c>
      <c r="P1892" s="241" t="n">
        <v>1.28</v>
      </c>
    </row>
    <row r="1893">
      <c r="A1893" s="282" t="inlineStr">
        <is>
          <t>2013-10-23</t>
        </is>
      </c>
      <c r="B1893" s="240">
        <f>IFERROR(1/P1893-1,B1892)</f>
        <v/>
      </c>
      <c r="C1893" s="240">
        <f>$C$3</f>
        <v/>
      </c>
      <c r="D1893" s="240">
        <f>$D$3</f>
        <v/>
      </c>
      <c r="E1893" s="240">
        <f>$E$3</f>
        <v/>
      </c>
      <c r="F1893" s="241" t="n">
        <v>11.87</v>
      </c>
      <c r="G1893" s="242" t="n">
        <v>13408159</v>
      </c>
      <c r="H1893" s="241" t="n">
        <v>-2.06</v>
      </c>
      <c r="I1893" s="241" t="n">
        <v>4.31</v>
      </c>
      <c r="J1893" s="241" t="n">
        <v>-13.65</v>
      </c>
      <c r="K1893" s="241" t="n">
        <v>9.41</v>
      </c>
      <c r="L1893" s="242" t="n">
        <v>4860000</v>
      </c>
      <c r="M1893" s="241" t="n">
        <v>-0.34</v>
      </c>
      <c r="N1893" s="241" t="n">
        <v>4.02</v>
      </c>
      <c r="O1893" s="241" t="n">
        <v>-23.09</v>
      </c>
      <c r="P1893" s="241" t="n">
        <v>1.26</v>
      </c>
    </row>
    <row r="1894">
      <c r="A1894" s="282" t="inlineStr">
        <is>
          <t>2013-10-24</t>
        </is>
      </c>
      <c r="B1894" s="240">
        <f>IFERROR(1/P1894-1,B1893)</f>
        <v/>
      </c>
      <c r="C1894" s="240">
        <f>$C$3</f>
        <v/>
      </c>
      <c r="D1894" s="240">
        <f>$D$3</f>
        <v/>
      </c>
      <c r="E1894" s="240">
        <f>$E$3</f>
        <v/>
      </c>
      <c r="F1894" s="241" t="n">
        <v>11.61</v>
      </c>
      <c r="G1894" s="242" t="n">
        <v>8465379</v>
      </c>
      <c r="H1894" s="241" t="n">
        <v>-2.19</v>
      </c>
      <c r="I1894" s="241" t="n">
        <v>-4.68</v>
      </c>
      <c r="J1894" s="241" t="n">
        <v>-15.54</v>
      </c>
      <c r="K1894" s="241" t="n">
        <v>9.460000000000001</v>
      </c>
      <c r="L1894" s="242" t="n">
        <v>2477816</v>
      </c>
      <c r="M1894" s="241" t="n">
        <v>0.5</v>
      </c>
      <c r="N1894" s="241" t="n">
        <v>2.22</v>
      </c>
      <c r="O1894" s="241" t="n">
        <v>-22.7</v>
      </c>
      <c r="P1894" s="241" t="n">
        <v>1.23</v>
      </c>
    </row>
    <row r="1895">
      <c r="A1895" s="282" t="inlineStr">
        <is>
          <t>2013-10-25</t>
        </is>
      </c>
      <c r="B1895" s="240">
        <f>IFERROR(1/P1895-1,B1894)</f>
        <v/>
      </c>
      <c r="C1895" s="240">
        <f>$C$3</f>
        <v/>
      </c>
      <c r="D1895" s="240">
        <f>$D$3</f>
        <v/>
      </c>
      <c r="E1895" s="240">
        <f>$E$3</f>
        <v/>
      </c>
      <c r="F1895" s="241" t="n">
        <v>11.44</v>
      </c>
      <c r="G1895" s="242" t="n">
        <v>8989478</v>
      </c>
      <c r="H1895" s="241" t="n">
        <v>-1.46</v>
      </c>
      <c r="I1895" s="241" t="n">
        <v>-3.21</v>
      </c>
      <c r="J1895" s="241" t="n">
        <v>-16.78</v>
      </c>
      <c r="K1895" s="241" t="n">
        <v>9.35</v>
      </c>
      <c r="L1895" s="242" t="n">
        <v>2916607</v>
      </c>
      <c r="M1895" s="241" t="n">
        <v>-1.17</v>
      </c>
      <c r="N1895" s="241" t="n">
        <v>5.54</v>
      </c>
      <c r="O1895" s="241" t="n">
        <v>-23.61</v>
      </c>
      <c r="P1895" s="241" t="n">
        <v>1.22</v>
      </c>
    </row>
    <row r="1896">
      <c r="A1896" s="282" t="inlineStr">
        <is>
          <t>2013-10-28</t>
        </is>
      </c>
      <c r="B1896" s="240">
        <f>IFERROR(1/P1896-1,B1895)</f>
        <v/>
      </c>
      <c r="C1896" s="240">
        <f>$C$3</f>
        <v/>
      </c>
      <c r="D1896" s="240">
        <f>$D$3</f>
        <v/>
      </c>
      <c r="E1896" s="240">
        <f>$E$3</f>
        <v/>
      </c>
      <c r="F1896" s="241" t="n">
        <v>11.41</v>
      </c>
      <c r="G1896" s="242" t="n">
        <v>5780328</v>
      </c>
      <c r="H1896" s="241" t="n">
        <v>-0.26</v>
      </c>
      <c r="I1896" s="241" t="n">
        <v>-0.7</v>
      </c>
      <c r="J1896" s="241" t="n">
        <v>-17</v>
      </c>
      <c r="K1896" s="241" t="n">
        <v>9.48</v>
      </c>
      <c r="L1896" s="242" t="n">
        <v>1224800</v>
      </c>
      <c r="M1896" s="241" t="n">
        <v>1.35</v>
      </c>
      <c r="N1896" s="241" t="n">
        <v>6.02</v>
      </c>
      <c r="O1896" s="241" t="n">
        <v>-22.57</v>
      </c>
      <c r="P1896" s="241" t="n">
        <v>1.2</v>
      </c>
    </row>
    <row r="1897">
      <c r="A1897" s="282" t="inlineStr">
        <is>
          <t>2013-10-29</t>
        </is>
      </c>
      <c r="B1897" s="240">
        <f>IFERROR(1/P1897-1,B1896)</f>
        <v/>
      </c>
      <c r="C1897" s="240">
        <f>$C$3</f>
        <v/>
      </c>
      <c r="D1897" s="240">
        <f>$D$3</f>
        <v/>
      </c>
      <c r="E1897" s="240">
        <f>$E$3</f>
        <v/>
      </c>
      <c r="F1897" s="241" t="n">
        <v>11.14</v>
      </c>
      <c r="G1897" s="242" t="n">
        <v>10052503</v>
      </c>
      <c r="H1897" s="241" t="n">
        <v>-2.37</v>
      </c>
      <c r="I1897" s="241" t="n">
        <v>-3.05</v>
      </c>
      <c r="J1897" s="241" t="n">
        <v>-18.96</v>
      </c>
      <c r="K1897" s="241" t="n">
        <v>9.390000000000001</v>
      </c>
      <c r="L1897" s="242" t="n">
        <v>1097000</v>
      </c>
      <c r="M1897" s="241" t="n">
        <v>-1</v>
      </c>
      <c r="N1897" s="241" t="n">
        <v>4.96</v>
      </c>
      <c r="O1897" s="241" t="n">
        <v>-23.35</v>
      </c>
      <c r="P1897" s="241" t="n">
        <v>1.19</v>
      </c>
    </row>
    <row r="1898">
      <c r="A1898" s="282" t="inlineStr">
        <is>
          <t>2013-10-30</t>
        </is>
      </c>
      <c r="B1898" s="240">
        <f>IFERROR(1/P1898-1,B1897)</f>
        <v/>
      </c>
      <c r="C1898" s="240">
        <f>$C$3</f>
        <v/>
      </c>
      <c r="D1898" s="240">
        <f>$D$3</f>
        <v/>
      </c>
      <c r="E1898" s="240">
        <f>$E$3</f>
        <v/>
      </c>
      <c r="F1898" s="241" t="n">
        <v>11.32</v>
      </c>
      <c r="G1898" s="242" t="n">
        <v>6701600</v>
      </c>
      <c r="H1898" s="241" t="n">
        <v>1.62</v>
      </c>
      <c r="I1898" s="241" t="n">
        <v>-1.48</v>
      </c>
      <c r="J1898" s="241" t="n">
        <v>-17.65</v>
      </c>
      <c r="K1898" s="241" t="n">
        <v>9.41</v>
      </c>
      <c r="L1898" s="242" t="n">
        <v>1437000</v>
      </c>
      <c r="M1898" s="241" t="n">
        <v>0.17</v>
      </c>
      <c r="N1898" s="241" t="n">
        <v>5.13</v>
      </c>
      <c r="O1898" s="241" t="n">
        <v>-23.22</v>
      </c>
      <c r="P1898" s="241" t="n">
        <v>1.2</v>
      </c>
    </row>
    <row r="1899">
      <c r="A1899" s="282" t="inlineStr">
        <is>
          <t>2013-10-31</t>
        </is>
      </c>
      <c r="B1899" s="240">
        <f>IFERROR(1/P1899-1,B1898)</f>
        <v/>
      </c>
      <c r="C1899" s="240">
        <f>$C$3</f>
        <v/>
      </c>
      <c r="D1899" s="240">
        <f>$D$3</f>
        <v/>
      </c>
      <c r="E1899" s="240">
        <f>$E$3</f>
        <v/>
      </c>
      <c r="F1899" s="241" t="n">
        <v>11.56</v>
      </c>
      <c r="G1899" s="242" t="n">
        <v>14362511</v>
      </c>
      <c r="H1899" s="241" t="n">
        <v>2.12</v>
      </c>
      <c r="I1899" s="241" t="n">
        <v>0.61</v>
      </c>
      <c r="J1899" s="241" t="n">
        <v>-15.91</v>
      </c>
      <c r="K1899" s="241" t="n">
        <v>9.890000000000001</v>
      </c>
      <c r="L1899" s="242" t="n">
        <v>4259300</v>
      </c>
      <c r="M1899" s="241" t="n">
        <v>5.05</v>
      </c>
      <c r="N1899" s="241" t="n">
        <v>10.44</v>
      </c>
      <c r="O1899" s="241" t="n">
        <v>-19.34</v>
      </c>
      <c r="P1899" s="241" t="n">
        <v>1.17</v>
      </c>
    </row>
    <row r="1900">
      <c r="A1900" s="282" t="inlineStr">
        <is>
          <t>2013-11-01</t>
        </is>
      </c>
      <c r="B1900" s="240">
        <f>IFERROR(1/P1900-1,B1899)</f>
        <v/>
      </c>
      <c r="C1900" s="240">
        <f>$C$3</f>
        <v/>
      </c>
      <c r="D1900" s="240">
        <f>$D$3</f>
        <v/>
      </c>
      <c r="E1900" s="240">
        <f>$E$3</f>
        <v/>
      </c>
      <c r="F1900" s="241" t="n">
        <v>11.58</v>
      </c>
      <c r="G1900" s="242" t="n">
        <v>8060797</v>
      </c>
      <c r="H1900" s="241" t="n">
        <v>0.17</v>
      </c>
      <c r="I1900" s="241" t="n">
        <v>-1.61</v>
      </c>
      <c r="J1900" s="241" t="n">
        <v>-15.76</v>
      </c>
      <c r="K1900" s="241" t="n">
        <v>10.18</v>
      </c>
      <c r="L1900" s="242" t="n">
        <v>5102200</v>
      </c>
      <c r="M1900" s="241" t="n">
        <v>2.88</v>
      </c>
      <c r="N1900" s="241" t="n">
        <v>13.63</v>
      </c>
      <c r="O1900" s="241" t="n">
        <v>-17.01</v>
      </c>
      <c r="P1900" s="241" t="n">
        <v>1.14</v>
      </c>
    </row>
    <row r="1901">
      <c r="A1901" s="282" t="inlineStr">
        <is>
          <t>2013-11-04</t>
        </is>
      </c>
      <c r="B1901" s="240">
        <f>IFERROR(1/P1901-1,B1900)</f>
        <v/>
      </c>
      <c r="C1901" s="240">
        <f>$C$3</f>
        <v/>
      </c>
      <c r="D1901" s="240">
        <f>$D$3</f>
        <v/>
      </c>
      <c r="E1901" s="240">
        <f>$E$3</f>
        <v/>
      </c>
      <c r="F1901" s="241" t="n">
        <v>11.53</v>
      </c>
      <c r="G1901" s="242" t="n">
        <v>6376176</v>
      </c>
      <c r="H1901" s="241" t="n">
        <v>-0.43</v>
      </c>
      <c r="I1901" s="241" t="n">
        <v>-2.04</v>
      </c>
      <c r="J1901" s="241" t="n">
        <v>-16.13</v>
      </c>
      <c r="K1901" s="241" t="n">
        <v>9.99</v>
      </c>
      <c r="L1901" s="242" t="n">
        <v>2382900</v>
      </c>
      <c r="M1901" s="241" t="n">
        <v>-1.87</v>
      </c>
      <c r="N1901" s="241" t="n">
        <v>11.5</v>
      </c>
      <c r="O1901" s="241" t="n">
        <v>-18.56</v>
      </c>
      <c r="P1901" s="241" t="n">
        <v>1.15</v>
      </c>
    </row>
    <row r="1902">
      <c r="A1902" s="282" t="inlineStr">
        <is>
          <t>2013-11-05</t>
        </is>
      </c>
      <c r="B1902" s="240">
        <f>IFERROR(1/P1902-1,B1901)</f>
        <v/>
      </c>
      <c r="C1902" s="240">
        <f>$C$3</f>
        <v/>
      </c>
      <c r="D1902" s="240">
        <f>$D$3</f>
        <v/>
      </c>
      <c r="E1902" s="240">
        <f>$E$3</f>
        <v/>
      </c>
      <c r="F1902" s="241" t="n">
        <v>11.64</v>
      </c>
      <c r="G1902" s="242" t="n">
        <v>9252989</v>
      </c>
      <c r="H1902" s="241" t="n">
        <v>0.95</v>
      </c>
      <c r="I1902" s="241" t="n">
        <v>-1.1</v>
      </c>
      <c r="J1902" s="241" t="n">
        <v>-15.33</v>
      </c>
      <c r="K1902" s="241" t="n">
        <v>10.54</v>
      </c>
      <c r="L1902" s="242" t="n">
        <v>4948000</v>
      </c>
      <c r="M1902" s="241" t="n">
        <v>5.56</v>
      </c>
      <c r="N1902" s="241" t="n">
        <v>16.67</v>
      </c>
      <c r="O1902" s="241" t="n">
        <v>-14.04</v>
      </c>
      <c r="P1902" s="241" t="n">
        <v>1.1</v>
      </c>
    </row>
    <row r="1903">
      <c r="A1903" s="282" t="inlineStr">
        <is>
          <t>2013-11-06</t>
        </is>
      </c>
      <c r="B1903" s="240">
        <f>IFERROR(1/P1903-1,B1902)</f>
        <v/>
      </c>
      <c r="C1903" s="240">
        <f>$C$3</f>
        <v/>
      </c>
      <c r="D1903" s="240">
        <f>$D$3</f>
        <v/>
      </c>
      <c r="E1903" s="240">
        <f>$E$3</f>
        <v/>
      </c>
      <c r="F1903" s="241" t="n">
        <v>11.35</v>
      </c>
      <c r="G1903" s="242" t="n">
        <v>6462202</v>
      </c>
      <c r="H1903" s="241" t="n">
        <v>-2.49</v>
      </c>
      <c r="I1903" s="241" t="n">
        <v>-3.57</v>
      </c>
      <c r="J1903" s="241" t="n">
        <v>-17.44</v>
      </c>
      <c r="K1903" s="241" t="n">
        <v>10.37</v>
      </c>
      <c r="L1903" s="242" t="n">
        <v>3173900</v>
      </c>
      <c r="M1903" s="241" t="n">
        <v>-1.65</v>
      </c>
      <c r="N1903" s="241" t="n">
        <v>14.74</v>
      </c>
      <c r="O1903" s="241" t="n">
        <v>-15.46</v>
      </c>
      <c r="P1903" s="241" t="n">
        <v>1.09</v>
      </c>
    </row>
    <row r="1904">
      <c r="A1904" s="282" t="inlineStr">
        <is>
          <t>2013-11-07</t>
        </is>
      </c>
      <c r="B1904" s="240">
        <f>IFERROR(1/P1904-1,B1903)</f>
        <v/>
      </c>
      <c r="C1904" s="240">
        <f>$C$3</f>
        <v/>
      </c>
      <c r="D1904" s="240">
        <f>$D$3</f>
        <v/>
      </c>
      <c r="E1904" s="240">
        <f>$E$3</f>
        <v/>
      </c>
      <c r="F1904" s="241" t="n">
        <v>11.11</v>
      </c>
      <c r="G1904" s="242" t="n">
        <v>6531119</v>
      </c>
      <c r="H1904" s="241" t="n">
        <v>-2.11</v>
      </c>
      <c r="I1904" s="241" t="n">
        <v>-5.61</v>
      </c>
      <c r="J1904" s="241" t="n">
        <v>-19.18</v>
      </c>
      <c r="K1904" s="241" t="n">
        <v>10.19</v>
      </c>
      <c r="L1904" s="242" t="n">
        <v>1933300</v>
      </c>
      <c r="M1904" s="241" t="n">
        <v>-1.68</v>
      </c>
      <c r="N1904" s="241" t="n">
        <v>12.81</v>
      </c>
      <c r="O1904" s="241" t="n">
        <v>-16.88</v>
      </c>
      <c r="P1904" s="241" t="n">
        <v>1.09</v>
      </c>
    </row>
    <row r="1905">
      <c r="A1905" s="282" t="inlineStr">
        <is>
          <t>2013-11-08</t>
        </is>
      </c>
      <c r="B1905" s="240">
        <f>IFERROR(1/P1905-1,B1904)</f>
        <v/>
      </c>
      <c r="C1905" s="240">
        <f>$C$3</f>
        <v/>
      </c>
      <c r="D1905" s="240">
        <f>$D$3</f>
        <v/>
      </c>
      <c r="E1905" s="240">
        <f>$E$3</f>
        <v/>
      </c>
      <c r="F1905" s="241" t="n">
        <v>10.97</v>
      </c>
      <c r="G1905" s="242" t="n">
        <v>7356073</v>
      </c>
      <c r="H1905" s="241" t="n">
        <v>-1.26</v>
      </c>
      <c r="I1905" s="241" t="n">
        <v>-6.8</v>
      </c>
      <c r="J1905" s="241" t="n">
        <v>-20.2</v>
      </c>
      <c r="K1905" s="241" t="n">
        <v>9.93</v>
      </c>
      <c r="L1905" s="242" t="n">
        <v>3250539</v>
      </c>
      <c r="M1905" s="241" t="n">
        <v>-2.49</v>
      </c>
      <c r="N1905" s="241" t="n">
        <v>9.23</v>
      </c>
      <c r="O1905" s="241" t="n">
        <v>-18.95</v>
      </c>
      <c r="P1905" s="241" t="n">
        <v>1.11</v>
      </c>
    </row>
    <row r="1906">
      <c r="A1906" s="282" t="inlineStr">
        <is>
          <t>2013-11-11</t>
        </is>
      </c>
      <c r="B1906" s="240">
        <f>IFERROR(1/P1906-1,B1905)</f>
        <v/>
      </c>
      <c r="C1906" s="240">
        <f>$C$3</f>
        <v/>
      </c>
      <c r="D1906" s="240">
        <f>$D$3</f>
        <v/>
      </c>
      <c r="E1906" s="240">
        <f>$E$3</f>
        <v/>
      </c>
      <c r="F1906" s="241" t="n">
        <v>10.95</v>
      </c>
      <c r="G1906" s="242" t="n">
        <v>5259760</v>
      </c>
      <c r="H1906" s="241" t="n">
        <v>-0.18</v>
      </c>
      <c r="I1906" s="241" t="n">
        <v>-6.65</v>
      </c>
      <c r="J1906" s="241" t="n">
        <v>-20.35</v>
      </c>
      <c r="K1906" s="241" t="n">
        <v>10.14</v>
      </c>
      <c r="L1906" s="242" t="n">
        <v>1023000</v>
      </c>
      <c r="M1906" s="241" t="n">
        <v>2.07</v>
      </c>
      <c r="N1906" s="241" t="n">
        <v>12.28</v>
      </c>
      <c r="O1906" s="241" t="n">
        <v>-17.27</v>
      </c>
      <c r="P1906" s="241" t="n">
        <v>1.08</v>
      </c>
    </row>
    <row r="1907">
      <c r="A1907" s="282" t="inlineStr">
        <is>
          <t>2013-11-12</t>
        </is>
      </c>
      <c r="B1907" s="240">
        <f>IFERROR(1/P1907-1,B1906)</f>
        <v/>
      </c>
      <c r="C1907" s="240">
        <f>$C$3</f>
        <v/>
      </c>
      <c r="D1907" s="240">
        <f>$D$3</f>
        <v/>
      </c>
      <c r="E1907" s="240">
        <f>$E$3</f>
        <v/>
      </c>
      <c r="F1907" s="241" t="n">
        <v>11.15</v>
      </c>
      <c r="G1907" s="242" t="n">
        <v>7051217</v>
      </c>
      <c r="H1907" s="241" t="n">
        <v>1.83</v>
      </c>
      <c r="I1907" s="241" t="n">
        <v>-7.62</v>
      </c>
      <c r="J1907" s="241" t="n">
        <v>-18.89</v>
      </c>
      <c r="K1907" s="241" t="n">
        <v>10.43</v>
      </c>
      <c r="L1907" s="242" t="n">
        <v>2108562</v>
      </c>
      <c r="M1907" s="241" t="n">
        <v>2.97</v>
      </c>
      <c r="N1907" s="241" t="n">
        <v>14.81</v>
      </c>
      <c r="O1907" s="241" t="n">
        <v>-14.82</v>
      </c>
      <c r="P1907" s="241" t="n">
        <v>1.07</v>
      </c>
    </row>
    <row r="1908">
      <c r="A1908" s="282" t="inlineStr">
        <is>
          <t>2013-11-13</t>
        </is>
      </c>
      <c r="B1908" s="240">
        <f>IFERROR(1/P1908-1,B1907)</f>
        <v/>
      </c>
      <c r="C1908" s="240">
        <f>$C$3</f>
        <v/>
      </c>
      <c r="D1908" s="240">
        <f>$D$3</f>
        <v/>
      </c>
      <c r="E1908" s="240">
        <f>$E$3</f>
        <v/>
      </c>
      <c r="F1908" s="241" t="n">
        <v>11.01</v>
      </c>
      <c r="G1908" s="242" t="n">
        <v>7490806</v>
      </c>
      <c r="H1908" s="241" t="n">
        <v>-1.26</v>
      </c>
      <c r="I1908" s="241" t="n">
        <v>-8.779999999999999</v>
      </c>
      <c r="J1908" s="241" t="n">
        <v>-19.91</v>
      </c>
      <c r="K1908" s="241" t="n">
        <v>10.13</v>
      </c>
      <c r="L1908" s="242" t="n">
        <v>2295811</v>
      </c>
      <c r="M1908" s="241" t="n">
        <v>-2.88</v>
      </c>
      <c r="N1908" s="241" t="n">
        <v>11.5</v>
      </c>
      <c r="O1908" s="241" t="n">
        <v>-17.27</v>
      </c>
      <c r="P1908" s="241" t="n">
        <v>1.09</v>
      </c>
    </row>
    <row r="1909">
      <c r="A1909" s="282" t="inlineStr">
        <is>
          <t>2013-11-14</t>
        </is>
      </c>
      <c r="B1909" s="240">
        <f>IFERROR(1/P1909-1,B1908)</f>
        <v/>
      </c>
      <c r="C1909" s="240">
        <f>$C$3</f>
        <v/>
      </c>
      <c r="D1909" s="240">
        <f>$D$3</f>
        <v/>
      </c>
      <c r="E1909" s="240">
        <f>$E$3</f>
        <v/>
      </c>
      <c r="F1909" s="241" t="n">
        <v>11.12</v>
      </c>
      <c r="G1909" s="242" t="n">
        <v>4810802</v>
      </c>
      <c r="H1909" s="241" t="n">
        <v>1</v>
      </c>
      <c r="I1909" s="241" t="n">
        <v>-7.87</v>
      </c>
      <c r="J1909" s="241" t="n">
        <v>-19.11</v>
      </c>
      <c r="K1909" s="241" t="n">
        <v>10.09</v>
      </c>
      <c r="L1909" s="242" t="n">
        <v>1372400</v>
      </c>
      <c r="M1909" s="241" t="n">
        <v>-0.31</v>
      </c>
      <c r="N1909" s="241" t="n">
        <v>11.15</v>
      </c>
      <c r="O1909" s="241" t="n">
        <v>-17.53</v>
      </c>
      <c r="P1909" s="241" t="n">
        <v>1.1</v>
      </c>
    </row>
    <row r="1910">
      <c r="A1910" s="282" t="inlineStr">
        <is>
          <t>2013-11-15</t>
        </is>
      </c>
      <c r="B1910" s="240">
        <f>IFERROR(1/P1910-1,B1909)</f>
        <v/>
      </c>
      <c r="C1910" s="240">
        <f>$C$3</f>
        <v/>
      </c>
      <c r="D1910" s="240">
        <f>$D$3</f>
        <v/>
      </c>
      <c r="E1910" s="240">
        <f>$E$3</f>
        <v/>
      </c>
      <c r="F1910" s="241" t="n">
        <v>11.3</v>
      </c>
      <c r="G1910" s="242" t="n">
        <v>8718363</v>
      </c>
      <c r="H1910" s="241" t="n">
        <v>1.62</v>
      </c>
      <c r="I1910" s="241" t="n">
        <v>-8.06</v>
      </c>
      <c r="J1910" s="241" t="n">
        <v>-17.8</v>
      </c>
      <c r="K1910" s="241" t="n">
        <v>10.29</v>
      </c>
      <c r="L1910" s="242" t="n">
        <v>2540000</v>
      </c>
      <c r="M1910" s="241" t="n">
        <v>1.88</v>
      </c>
      <c r="N1910" s="241" t="n">
        <v>13.24</v>
      </c>
      <c r="O1910" s="241" t="n">
        <v>-15.98</v>
      </c>
      <c r="P1910" s="241" t="n">
        <v>1.1</v>
      </c>
    </row>
    <row r="1911">
      <c r="A1911" s="282" t="inlineStr">
        <is>
          <t>2013-11-18</t>
        </is>
      </c>
      <c r="B1911" s="240">
        <f>IFERROR(1/P1911-1,B1910)</f>
        <v/>
      </c>
      <c r="C1911" s="240">
        <f>$C$3</f>
        <v/>
      </c>
      <c r="D1911" s="240">
        <f>$D$3</f>
        <v/>
      </c>
      <c r="E1911" s="240">
        <f>$E$3</f>
        <v/>
      </c>
      <c r="F1911" s="241" t="n">
        <v>11.57</v>
      </c>
      <c r="G1911" s="242" t="n">
        <v>10372719</v>
      </c>
      <c r="H1911" s="241" t="n">
        <v>2.39</v>
      </c>
      <c r="I1911" s="241" t="n">
        <v>-2.94</v>
      </c>
      <c r="J1911" s="241" t="n">
        <v>-15.84</v>
      </c>
      <c r="K1911" s="241" t="n">
        <v>10.41</v>
      </c>
      <c r="L1911" s="242" t="n">
        <v>3935400</v>
      </c>
      <c r="M1911" s="241" t="n">
        <v>1.23</v>
      </c>
      <c r="N1911" s="241" t="n">
        <v>11.53</v>
      </c>
      <c r="O1911" s="241" t="n">
        <v>-14.95</v>
      </c>
      <c r="P1911" s="241" t="n">
        <v>1.11</v>
      </c>
    </row>
    <row r="1912">
      <c r="A1912" s="282" t="inlineStr">
        <is>
          <t>2013-11-19</t>
        </is>
      </c>
      <c r="B1912" s="240">
        <f>IFERROR(1/P1912-1,B1911)</f>
        <v/>
      </c>
      <c r="C1912" s="240">
        <f>$C$3</f>
        <v/>
      </c>
      <c r="D1912" s="240">
        <f>$D$3</f>
        <v/>
      </c>
      <c r="E1912" s="240">
        <f>$E$3</f>
        <v/>
      </c>
      <c r="F1912" s="241" t="n">
        <v>11.55</v>
      </c>
      <c r="G1912" s="242" t="n">
        <v>8011349</v>
      </c>
      <c r="H1912" s="241" t="n">
        <v>-0.17</v>
      </c>
      <c r="I1912" s="241" t="n">
        <v>-1.79</v>
      </c>
      <c r="J1912" s="241" t="n">
        <v>-15.98</v>
      </c>
      <c r="K1912" s="241" t="n">
        <v>10.6</v>
      </c>
      <c r="L1912" s="242" t="n">
        <v>2849200</v>
      </c>
      <c r="M1912" s="241" t="n">
        <v>1.82</v>
      </c>
      <c r="N1912" s="241" t="n">
        <v>14.53</v>
      </c>
      <c r="O1912" s="241" t="n">
        <v>-13.39</v>
      </c>
      <c r="P1912" s="241" t="n">
        <v>1.09</v>
      </c>
    </row>
    <row r="1913">
      <c r="A1913" s="282" t="inlineStr">
        <is>
          <t>2013-11-20</t>
        </is>
      </c>
      <c r="B1913" s="240">
        <f>IFERROR(1/P1913-1,B1912)</f>
        <v/>
      </c>
      <c r="C1913" s="240">
        <f>$C$3</f>
        <v/>
      </c>
      <c r="D1913" s="240">
        <f>$D$3</f>
        <v/>
      </c>
      <c r="E1913" s="240">
        <f>$E$3</f>
        <v/>
      </c>
      <c r="F1913" s="241" t="n">
        <v>11.73</v>
      </c>
      <c r="G1913" s="242" t="n">
        <v>11582427</v>
      </c>
      <c r="H1913" s="241" t="n">
        <v>1.56</v>
      </c>
      <c r="I1913" s="241" t="n">
        <v>-0.26</v>
      </c>
      <c r="J1913" s="241" t="n">
        <v>-14.67</v>
      </c>
      <c r="K1913" s="241" t="n">
        <v>10.72</v>
      </c>
      <c r="L1913" s="242" t="n">
        <v>2548800</v>
      </c>
      <c r="M1913" s="241" t="n">
        <v>1.19</v>
      </c>
      <c r="N1913" s="241" t="n">
        <v>15.9</v>
      </c>
      <c r="O1913" s="241" t="n">
        <v>-12.36</v>
      </c>
      <c r="P1913" s="241" t="n">
        <v>1.09</v>
      </c>
    </row>
    <row r="1914">
      <c r="A1914" s="282" t="inlineStr">
        <is>
          <t>2013-11-21</t>
        </is>
      </c>
      <c r="B1914" s="240">
        <f>IFERROR(1/P1914-1,B1913)</f>
        <v/>
      </c>
      <c r="C1914" s="240">
        <f>$C$3</f>
        <v/>
      </c>
      <c r="D1914" s="240">
        <f>$D$3</f>
        <v/>
      </c>
      <c r="E1914" s="240">
        <f>$E$3</f>
        <v/>
      </c>
      <c r="F1914" s="241" t="n">
        <v>11.57</v>
      </c>
      <c r="G1914" s="242" t="n">
        <v>9118681</v>
      </c>
      <c r="H1914" s="241" t="n">
        <v>-1.36</v>
      </c>
      <c r="I1914" s="241" t="n">
        <v>-1.62</v>
      </c>
      <c r="J1914" s="241" t="n">
        <v>-15.84</v>
      </c>
      <c r="K1914" s="241" t="n">
        <v>10.39</v>
      </c>
      <c r="L1914" s="242" t="n">
        <v>1590600</v>
      </c>
      <c r="M1914" s="241" t="n">
        <v>-3.24</v>
      </c>
      <c r="N1914" s="241" t="n">
        <v>12.14</v>
      </c>
      <c r="O1914" s="241" t="n">
        <v>-15.2</v>
      </c>
      <c r="P1914" s="241" t="n">
        <v>1.11</v>
      </c>
    </row>
    <row r="1915">
      <c r="A1915" s="282" t="inlineStr">
        <is>
          <t>2013-11-22</t>
        </is>
      </c>
      <c r="B1915" s="240">
        <f>IFERROR(1/P1915-1,B1914)</f>
        <v/>
      </c>
      <c r="C1915" s="240">
        <f>$C$3</f>
        <v/>
      </c>
      <c r="D1915" s="240">
        <f>$D$3</f>
        <v/>
      </c>
      <c r="E1915" s="240">
        <f>$E$3</f>
        <v/>
      </c>
      <c r="F1915" s="241" t="n">
        <v>11.61</v>
      </c>
      <c r="G1915" s="242" t="n">
        <v>8183576</v>
      </c>
      <c r="H1915" s="241" t="n">
        <v>0.35</v>
      </c>
      <c r="I1915" s="241" t="n">
        <v>-3.73</v>
      </c>
      <c r="J1915" s="241" t="n">
        <v>-15.54</v>
      </c>
      <c r="K1915" s="241" t="n">
        <v>10.42</v>
      </c>
      <c r="L1915" s="242" t="n">
        <v>1597321</v>
      </c>
      <c r="M1915" s="241" t="n">
        <v>0.3</v>
      </c>
      <c r="N1915" s="241" t="n">
        <v>11.71</v>
      </c>
      <c r="O1915" s="241" t="n">
        <v>-14.95</v>
      </c>
      <c r="P1915" s="241" t="n">
        <v>1.11</v>
      </c>
    </row>
    <row r="1916">
      <c r="A1916" s="282" t="inlineStr">
        <is>
          <t>2013-11-25</t>
        </is>
      </c>
      <c r="B1916" s="240">
        <f>IFERROR(1/P1916-1,B1915)</f>
        <v/>
      </c>
      <c r="C1916" s="240">
        <f>$C$3</f>
        <v/>
      </c>
      <c r="D1916" s="240">
        <f>$D$3</f>
        <v/>
      </c>
      <c r="E1916" s="240">
        <f>$E$3</f>
        <v/>
      </c>
      <c r="F1916" s="241" t="n">
        <v>11.61</v>
      </c>
      <c r="G1916" s="242" t="n">
        <v>7813498</v>
      </c>
      <c r="H1916" s="241" t="n">
        <v>0</v>
      </c>
      <c r="I1916" s="241" t="n">
        <v>0</v>
      </c>
      <c r="J1916" s="241" t="n">
        <v>-15.54</v>
      </c>
      <c r="K1916" s="241" t="n">
        <v>10.52</v>
      </c>
      <c r="L1916" s="242" t="n">
        <v>1909000</v>
      </c>
      <c r="M1916" s="241" t="n">
        <v>1.06</v>
      </c>
      <c r="N1916" s="241" t="n">
        <v>11.2</v>
      </c>
      <c r="O1916" s="241" t="n">
        <v>-14.04</v>
      </c>
      <c r="P1916" s="241" t="n">
        <v>1.1</v>
      </c>
    </row>
    <row r="1917">
      <c r="A1917" s="282" t="inlineStr">
        <is>
          <t>2013-11-26</t>
        </is>
      </c>
      <c r="B1917" s="240">
        <f>IFERROR(1/P1917-1,B1916)</f>
        <v/>
      </c>
      <c r="C1917" s="240">
        <f>$C$3</f>
        <v/>
      </c>
      <c r="D1917" s="240">
        <f>$D$3</f>
        <v/>
      </c>
      <c r="E1917" s="240">
        <f>$E$3</f>
        <v/>
      </c>
      <c r="F1917" s="241" t="n">
        <v>11.62</v>
      </c>
      <c r="G1917" s="242" t="n">
        <v>5708600</v>
      </c>
      <c r="H1917" s="241" t="n">
        <v>0.09</v>
      </c>
      <c r="I1917" s="241" t="n">
        <v>1.57</v>
      </c>
      <c r="J1917" s="241" t="n">
        <v>-15.47</v>
      </c>
      <c r="K1917" s="241" t="n">
        <v>10.34</v>
      </c>
      <c r="L1917" s="242" t="n">
        <v>1828600</v>
      </c>
      <c r="M1917" s="241" t="n">
        <v>-1.8</v>
      </c>
      <c r="N1917" s="241" t="n">
        <v>10.49</v>
      </c>
      <c r="O1917" s="241" t="n">
        <v>-15.59</v>
      </c>
      <c r="P1917" s="241" t="n">
        <v>1.12</v>
      </c>
    </row>
    <row r="1918">
      <c r="A1918" s="282" t="inlineStr">
        <is>
          <t>2013-11-27</t>
        </is>
      </c>
      <c r="B1918" s="240">
        <f>IFERROR(1/P1918-1,B1917)</f>
        <v/>
      </c>
      <c r="C1918" s="240">
        <f>$C$3</f>
        <v/>
      </c>
      <c r="D1918" s="240">
        <f>$D$3</f>
        <v/>
      </c>
      <c r="E1918" s="240">
        <f>$E$3</f>
        <v/>
      </c>
      <c r="F1918" s="241" t="n">
        <v>11.9</v>
      </c>
      <c r="G1918" s="242" t="n">
        <v>12795134</v>
      </c>
      <c r="H1918" s="241" t="n">
        <v>2.41</v>
      </c>
      <c r="I1918" s="241" t="n">
        <v>4.02</v>
      </c>
      <c r="J1918" s="241" t="n">
        <v>-13.44</v>
      </c>
      <c r="K1918" s="241" t="n">
        <v>10.33</v>
      </c>
      <c r="L1918" s="242" t="n">
        <v>1557600</v>
      </c>
      <c r="M1918" s="241" t="n">
        <v>0</v>
      </c>
      <c r="N1918" s="241" t="n">
        <v>10.49</v>
      </c>
      <c r="O1918" s="241" t="n">
        <v>-15.59</v>
      </c>
      <c r="P1918" s="241" t="n">
        <v>1.15</v>
      </c>
    </row>
    <row r="1919">
      <c r="A1919" s="282" t="inlineStr">
        <is>
          <t>2013-11-28</t>
        </is>
      </c>
      <c r="B1919" s="240">
        <f>IFERROR(1/P1919-1,B1918)</f>
        <v/>
      </c>
      <c r="C1919" s="240">
        <f>$C$3</f>
        <v/>
      </c>
      <c r="D1919" s="240">
        <f>$D$3</f>
        <v/>
      </c>
      <c r="E1919" s="240">
        <f>$E$3</f>
        <v/>
      </c>
      <c r="F1919" s="241" t="n">
        <v>11.8</v>
      </c>
      <c r="G1919" s="242" t="n">
        <v>12721463</v>
      </c>
      <c r="H1919" s="241" t="n">
        <v>-0.84</v>
      </c>
      <c r="I1919" s="241" t="n">
        <v>3.15</v>
      </c>
      <c r="J1919" s="241" t="n">
        <v>-14.16</v>
      </c>
      <c r="K1919" s="241" t="n">
        <v>10.32</v>
      </c>
      <c r="L1919" s="242" t="n">
        <v>1003627</v>
      </c>
      <c r="M1919" s="241" t="n">
        <v>-0.15</v>
      </c>
      <c r="N1919" s="241" t="n">
        <v>10.32</v>
      </c>
      <c r="O1919" s="241" t="n">
        <v>-15.72</v>
      </c>
      <c r="P1919" s="241" t="n">
        <v>1.14</v>
      </c>
    </row>
    <row r="1920">
      <c r="A1920" s="282" t="inlineStr">
        <is>
          <t>2013-11-29</t>
        </is>
      </c>
      <c r="B1920" s="240">
        <f>IFERROR(1/P1920-1,B1919)</f>
        <v/>
      </c>
      <c r="C1920" s="240">
        <f>$C$3</f>
        <v/>
      </c>
      <c r="D1920" s="240">
        <f>$D$3</f>
        <v/>
      </c>
      <c r="E1920" s="240">
        <f>$E$3</f>
        <v/>
      </c>
      <c r="F1920" s="241" t="n">
        <v>11.86</v>
      </c>
      <c r="G1920" s="242" t="n">
        <v>7379907</v>
      </c>
      <c r="H1920" s="241" t="n">
        <v>0.51</v>
      </c>
      <c r="I1920" s="241" t="n">
        <v>3.94</v>
      </c>
      <c r="J1920" s="241" t="n">
        <v>-13.73</v>
      </c>
      <c r="K1920" s="241" t="n">
        <v>10.36</v>
      </c>
      <c r="L1920" s="242" t="n">
        <v>1173200</v>
      </c>
      <c r="M1920" s="241" t="n">
        <v>0.46</v>
      </c>
      <c r="N1920" s="241" t="n">
        <v>9.35</v>
      </c>
      <c r="O1920" s="241" t="n">
        <v>-15.33</v>
      </c>
      <c r="P1920" s="241" t="n">
        <v>1.14</v>
      </c>
    </row>
    <row r="1921">
      <c r="A1921" s="282" t="inlineStr">
        <is>
          <t>2013-12-02</t>
        </is>
      </c>
      <c r="B1921" s="240">
        <f>IFERROR(1/P1921-1,B1920)</f>
        <v/>
      </c>
      <c r="C1921" s="240">
        <f>$C$3</f>
        <v/>
      </c>
      <c r="D1921" s="240">
        <f>$D$3</f>
        <v/>
      </c>
      <c r="E1921" s="240">
        <f>$E$3</f>
        <v/>
      </c>
      <c r="F1921" s="241" t="n">
        <v>11.5</v>
      </c>
      <c r="G1921" s="242" t="n">
        <v>12329242</v>
      </c>
      <c r="H1921" s="241" t="n">
        <v>-3.04</v>
      </c>
      <c r="I1921" s="241" t="n">
        <v>-0.6899999999999999</v>
      </c>
      <c r="J1921" s="241" t="n">
        <v>-16.34</v>
      </c>
      <c r="K1921" s="241" t="n">
        <v>10.47</v>
      </c>
      <c r="L1921" s="242" t="n">
        <v>1749400</v>
      </c>
      <c r="M1921" s="241" t="n">
        <v>1.07</v>
      </c>
      <c r="N1921" s="241" t="n">
        <v>3.12</v>
      </c>
      <c r="O1921" s="241" t="n">
        <v>-14.43</v>
      </c>
      <c r="P1921" s="241" t="n">
        <v>1.1</v>
      </c>
    </row>
    <row r="1922">
      <c r="A1922" s="282" t="inlineStr">
        <is>
          <t>2013-12-03</t>
        </is>
      </c>
      <c r="B1922" s="240">
        <f>IFERROR(1/P1922-1,B1921)</f>
        <v/>
      </c>
      <c r="C1922" s="240">
        <f>$C$3</f>
        <v/>
      </c>
      <c r="D1922" s="240">
        <f>$D$3</f>
        <v/>
      </c>
      <c r="E1922" s="240">
        <f>$E$3</f>
        <v/>
      </c>
      <c r="F1922" s="241" t="n">
        <v>12.52</v>
      </c>
      <c r="G1922" s="242" t="n">
        <v>40717096</v>
      </c>
      <c r="H1922" s="241" t="n">
        <v>8.869999999999999</v>
      </c>
      <c r="I1922" s="241" t="n">
        <v>8.119999999999999</v>
      </c>
      <c r="J1922" s="241" t="n">
        <v>-8.93</v>
      </c>
      <c r="K1922" s="241" t="n">
        <v>11.63</v>
      </c>
      <c r="L1922" s="242" t="n">
        <v>11600700</v>
      </c>
      <c r="M1922" s="241" t="n">
        <v>11.03</v>
      </c>
      <c r="N1922" s="241" t="n">
        <v>14.49</v>
      </c>
      <c r="O1922" s="241" t="n">
        <v>-4.99</v>
      </c>
      <c r="P1922" s="241" t="n">
        <v>1.08</v>
      </c>
    </row>
    <row r="1923">
      <c r="A1923" s="282" t="inlineStr">
        <is>
          <t>2013-12-04</t>
        </is>
      </c>
      <c r="B1923" s="240">
        <f>IFERROR(1/P1923-1,B1922)</f>
        <v/>
      </c>
      <c r="C1923" s="240">
        <f>$C$3</f>
        <v/>
      </c>
      <c r="D1923" s="240">
        <f>$D$3</f>
        <v/>
      </c>
      <c r="E1923" s="240">
        <f>$E$3</f>
        <v/>
      </c>
      <c r="F1923" s="241" t="n">
        <v>12.73</v>
      </c>
      <c r="G1923" s="242" t="n">
        <v>35759277</v>
      </c>
      <c r="H1923" s="241" t="n">
        <v>1.68</v>
      </c>
      <c r="I1923" s="241" t="n">
        <v>9.93</v>
      </c>
      <c r="J1923" s="241" t="n">
        <v>-7.4</v>
      </c>
      <c r="K1923" s="241" t="n">
        <v>11.32</v>
      </c>
      <c r="L1923" s="242" t="n">
        <v>9147800</v>
      </c>
      <c r="M1923" s="241" t="n">
        <v>-2.58</v>
      </c>
      <c r="N1923" s="241" t="n">
        <v>11.53</v>
      </c>
      <c r="O1923" s="241" t="n">
        <v>-7.45</v>
      </c>
      <c r="P1923" s="241" t="n">
        <v>1.12</v>
      </c>
    </row>
    <row r="1924">
      <c r="A1924" s="282" t="inlineStr">
        <is>
          <t>2013-12-05</t>
        </is>
      </c>
      <c r="B1924" s="240">
        <f>IFERROR(1/P1924-1,B1923)</f>
        <v/>
      </c>
      <c r="C1924" s="240">
        <f>$C$3</f>
        <v/>
      </c>
      <c r="D1924" s="240">
        <f>$D$3</f>
        <v/>
      </c>
      <c r="E1924" s="240">
        <f>$E$3</f>
        <v/>
      </c>
      <c r="F1924" s="241" t="n">
        <v>12.61</v>
      </c>
      <c r="G1924" s="242" t="n">
        <v>17289057</v>
      </c>
      <c r="H1924" s="241" t="n">
        <v>-0.9399999999999999</v>
      </c>
      <c r="I1924" s="241" t="n">
        <v>9.369999999999999</v>
      </c>
      <c r="J1924" s="241" t="n">
        <v>-8.27</v>
      </c>
      <c r="K1924" s="241" t="n">
        <v>11.23</v>
      </c>
      <c r="L1924" s="242" t="n">
        <v>1965200</v>
      </c>
      <c r="M1924" s="241" t="n">
        <v>-0.84</v>
      </c>
      <c r="N1924" s="241" t="n">
        <v>12.7</v>
      </c>
      <c r="O1924" s="241" t="n">
        <v>-8.220000000000001</v>
      </c>
      <c r="P1924" s="241" t="n">
        <v>1.12</v>
      </c>
    </row>
    <row r="1925">
      <c r="A1925" s="282" t="inlineStr">
        <is>
          <t>2013-12-06</t>
        </is>
      </c>
      <c r="B1925" s="240">
        <f>IFERROR(1/P1925-1,B1924)</f>
        <v/>
      </c>
      <c r="C1925" s="240">
        <f>$C$3</f>
        <v/>
      </c>
      <c r="D1925" s="240">
        <f>$D$3</f>
        <v/>
      </c>
      <c r="E1925" s="240">
        <f>$E$3</f>
        <v/>
      </c>
      <c r="F1925" s="241" t="n">
        <v>13.12</v>
      </c>
      <c r="G1925" s="242" t="n">
        <v>29676705</v>
      </c>
      <c r="H1925" s="241" t="n">
        <v>4.04</v>
      </c>
      <c r="I1925" s="241" t="n">
        <v>12.71</v>
      </c>
      <c r="J1925" s="241" t="n">
        <v>-4.56</v>
      </c>
      <c r="K1925" s="241" t="n">
        <v>11.2</v>
      </c>
      <c r="L1925" s="242" t="n">
        <v>2839200</v>
      </c>
      <c r="M1925" s="241" t="n">
        <v>-0.14</v>
      </c>
      <c r="N1925" s="241" t="n">
        <v>6.62</v>
      </c>
      <c r="O1925" s="241" t="n">
        <v>-8.35</v>
      </c>
      <c r="P1925" s="241" t="n">
        <v>1.17</v>
      </c>
    </row>
    <row r="1926">
      <c r="A1926" s="282" t="inlineStr">
        <is>
          <t>2013-12-09</t>
        </is>
      </c>
      <c r="B1926" s="240">
        <f>IFERROR(1/P1926-1,B1925)</f>
        <v/>
      </c>
      <c r="C1926" s="240">
        <f>$C$3</f>
        <v/>
      </c>
      <c r="D1926" s="240">
        <f>$D$3</f>
        <v/>
      </c>
      <c r="E1926" s="240">
        <f>$E$3</f>
        <v/>
      </c>
      <c r="F1926" s="241" t="n">
        <v>13.15</v>
      </c>
      <c r="G1926" s="242" t="n">
        <v>20608234</v>
      </c>
      <c r="H1926" s="241" t="n">
        <v>0.23</v>
      </c>
      <c r="I1926" s="241" t="n">
        <v>19.87</v>
      </c>
      <c r="J1926" s="241" t="n">
        <v>-4.34</v>
      </c>
      <c r="K1926" s="241" t="n">
        <v>11.21</v>
      </c>
      <c r="L1926" s="242" t="n">
        <v>1295960</v>
      </c>
      <c r="M1926" s="241" t="n">
        <v>0.28</v>
      </c>
      <c r="N1926" s="241" t="n">
        <v>13.4</v>
      </c>
      <c r="O1926" s="241" t="n">
        <v>-8.09</v>
      </c>
      <c r="P1926" s="241" t="n">
        <v>1.17</v>
      </c>
    </row>
    <row r="1927">
      <c r="A1927" s="282" t="inlineStr">
        <is>
          <t>2013-12-10</t>
        </is>
      </c>
      <c r="B1927" s="240">
        <f>IFERROR(1/P1927-1,B1926)</f>
        <v/>
      </c>
      <c r="C1927" s="240">
        <f>$C$3</f>
        <v/>
      </c>
      <c r="D1927" s="240">
        <f>$D$3</f>
        <v/>
      </c>
      <c r="E1927" s="240">
        <f>$E$3</f>
        <v/>
      </c>
      <c r="F1927" s="241" t="n">
        <v>12.76</v>
      </c>
      <c r="G1927" s="242" t="n">
        <v>17940145</v>
      </c>
      <c r="H1927" s="241" t="n">
        <v>-2.97</v>
      </c>
      <c r="I1927" s="241" t="n">
        <v>16.32</v>
      </c>
      <c r="J1927" s="241" t="n">
        <v>-7.18</v>
      </c>
      <c r="K1927" s="241" t="n">
        <v>10.97</v>
      </c>
      <c r="L1927" s="242" t="n">
        <v>1631600</v>
      </c>
      <c r="M1927" s="241" t="n">
        <v>-2.11</v>
      </c>
      <c r="N1927" s="241" t="n">
        <v>11</v>
      </c>
      <c r="O1927" s="241" t="n">
        <v>-10.03</v>
      </c>
      <c r="P1927" s="241" t="n">
        <v>1.16</v>
      </c>
    </row>
    <row r="1928">
      <c r="A1928" s="282" t="inlineStr">
        <is>
          <t>2013-12-11</t>
        </is>
      </c>
      <c r="B1928" s="240">
        <f>IFERROR(1/P1928-1,B1927)</f>
        <v/>
      </c>
      <c r="C1928" s="240">
        <f>$C$3</f>
        <v/>
      </c>
      <c r="D1928" s="240">
        <f>$D$3</f>
        <v/>
      </c>
      <c r="E1928" s="240">
        <f>$E$3</f>
        <v/>
      </c>
      <c r="F1928" s="241" t="n">
        <v>12.64</v>
      </c>
      <c r="G1928" s="242" t="n">
        <v>12195791</v>
      </c>
      <c r="H1928" s="241" t="n">
        <v>-0.9399999999999999</v>
      </c>
      <c r="I1928" s="241" t="n">
        <v>15.22</v>
      </c>
      <c r="J1928" s="241" t="n">
        <v>-8.050000000000001</v>
      </c>
      <c r="K1928" s="241" t="n">
        <v>10.36</v>
      </c>
      <c r="L1928" s="242" t="n">
        <v>4836800</v>
      </c>
      <c r="M1928" s="241" t="n">
        <v>-5.6</v>
      </c>
      <c r="N1928" s="241" t="n">
        <v>4.78</v>
      </c>
      <c r="O1928" s="241" t="n">
        <v>-15.07</v>
      </c>
      <c r="P1928" s="241" t="n">
        <v>1.22</v>
      </c>
    </row>
    <row r="1929">
      <c r="A1929" s="282" t="inlineStr">
        <is>
          <t>2013-12-12</t>
        </is>
      </c>
      <c r="B1929" s="240">
        <f>IFERROR(1/P1929-1,B1928)</f>
        <v/>
      </c>
      <c r="C1929" s="240">
        <f>$C$3</f>
        <v/>
      </c>
      <c r="D1929" s="240">
        <f>$D$3</f>
        <v/>
      </c>
      <c r="E1929" s="240">
        <f>$E$3</f>
        <v/>
      </c>
      <c r="F1929" s="241" t="n">
        <v>12.66</v>
      </c>
      <c r="G1929" s="242" t="n">
        <v>10150272</v>
      </c>
      <c r="H1929" s="241" t="n">
        <v>0.16</v>
      </c>
      <c r="I1929" s="241" t="n">
        <v>15.62</v>
      </c>
      <c r="J1929" s="241" t="n">
        <v>-7.91</v>
      </c>
      <c r="K1929" s="241" t="n">
        <v>10.31</v>
      </c>
      <c r="L1929" s="242" t="n">
        <v>2256200</v>
      </c>
      <c r="M1929" s="241" t="n">
        <v>-0.46</v>
      </c>
      <c r="N1929" s="241" t="n">
        <v>2.19</v>
      </c>
      <c r="O1929" s="241" t="n">
        <v>-15.46</v>
      </c>
      <c r="P1929" s="241" t="n">
        <v>1.23</v>
      </c>
    </row>
    <row r="1930">
      <c r="A1930" s="282" t="inlineStr">
        <is>
          <t>2013-12-13</t>
        </is>
      </c>
      <c r="B1930" s="240">
        <f>IFERROR(1/P1930-1,B1929)</f>
        <v/>
      </c>
      <c r="C1930" s="240">
        <f>$C$3</f>
        <v/>
      </c>
      <c r="D1930" s="240">
        <f>$D$3</f>
        <v/>
      </c>
      <c r="E1930" s="240">
        <f>$E$3</f>
        <v/>
      </c>
      <c r="F1930" s="241" t="n">
        <v>12.61</v>
      </c>
      <c r="G1930" s="242" t="n">
        <v>7836441</v>
      </c>
      <c r="H1930" s="241" t="n">
        <v>-0.39</v>
      </c>
      <c r="I1930" s="241" t="n">
        <v>13.09</v>
      </c>
      <c r="J1930" s="241" t="n">
        <v>-8.27</v>
      </c>
      <c r="K1930" s="241" t="n">
        <v>10.28</v>
      </c>
      <c r="L1930" s="242" t="n">
        <v>1695800</v>
      </c>
      <c r="M1930" s="241" t="n">
        <v>-0.31</v>
      </c>
      <c r="N1930" s="241" t="n">
        <v>-1.06</v>
      </c>
      <c r="O1930" s="241" t="n">
        <v>-15.72</v>
      </c>
      <c r="P1930" s="241" t="n">
        <v>1.23</v>
      </c>
    </row>
    <row r="1931">
      <c r="A1931" s="282" t="inlineStr">
        <is>
          <t>2013-12-16</t>
        </is>
      </c>
      <c r="B1931" s="240">
        <f>IFERROR(1/P1931-1,B1930)</f>
        <v/>
      </c>
      <c r="C1931" s="240">
        <f>$C$3</f>
        <v/>
      </c>
      <c r="D1931" s="240">
        <f>$D$3</f>
        <v/>
      </c>
      <c r="E1931" s="240">
        <f>$E$3</f>
        <v/>
      </c>
      <c r="F1931" s="241" t="n">
        <v>12.24</v>
      </c>
      <c r="G1931" s="242" t="n">
        <v>11145547</v>
      </c>
      <c r="H1931" s="241" t="n">
        <v>-2.93</v>
      </c>
      <c r="I1931" s="241" t="n">
        <v>8.32</v>
      </c>
      <c r="J1931" s="241" t="n">
        <v>-10.96</v>
      </c>
      <c r="K1931" s="241" t="n">
        <v>10.04</v>
      </c>
      <c r="L1931" s="242" t="n">
        <v>1436000</v>
      </c>
      <c r="M1931" s="241" t="n">
        <v>-2.3</v>
      </c>
      <c r="N1931" s="241" t="n">
        <v>-2</v>
      </c>
      <c r="O1931" s="241" t="n">
        <v>-17.66</v>
      </c>
      <c r="P1931" s="241" t="n">
        <v>1.22</v>
      </c>
    </row>
    <row r="1932">
      <c r="A1932" s="282" t="inlineStr">
        <is>
          <t>2013-12-17</t>
        </is>
      </c>
      <c r="B1932" s="240">
        <f>IFERROR(1/P1932-1,B1931)</f>
        <v/>
      </c>
      <c r="C1932" s="240">
        <f>$C$3</f>
        <v/>
      </c>
      <c r="D1932" s="240">
        <f>$D$3</f>
        <v/>
      </c>
      <c r="E1932" s="240">
        <f>$E$3</f>
        <v/>
      </c>
      <c r="F1932" s="241" t="n">
        <v>12.1</v>
      </c>
      <c r="G1932" s="242" t="n">
        <v>8186833</v>
      </c>
      <c r="H1932" s="241" t="n">
        <v>-1.14</v>
      </c>
      <c r="I1932" s="241" t="n">
        <v>7.08</v>
      </c>
      <c r="J1932" s="241" t="n">
        <v>-11.98</v>
      </c>
      <c r="K1932" s="241" t="n">
        <v>9.91</v>
      </c>
      <c r="L1932" s="242" t="n">
        <v>1439686</v>
      </c>
      <c r="M1932" s="241" t="n">
        <v>-1.26</v>
      </c>
      <c r="N1932" s="241" t="n">
        <v>-3.23</v>
      </c>
      <c r="O1932" s="241" t="n">
        <v>-18.69</v>
      </c>
      <c r="P1932" s="241" t="n">
        <v>1.22</v>
      </c>
    </row>
    <row r="1933">
      <c r="A1933" s="282" t="inlineStr">
        <is>
          <t>2013-12-18</t>
        </is>
      </c>
      <c r="B1933" s="240">
        <f>IFERROR(1/P1933-1,B1932)</f>
        <v/>
      </c>
      <c r="C1933" s="240">
        <f>$C$3</f>
        <v/>
      </c>
      <c r="D1933" s="240">
        <f>$D$3</f>
        <v/>
      </c>
      <c r="E1933" s="240">
        <f>$E$3</f>
        <v/>
      </c>
      <c r="F1933" s="241" t="n">
        <v>12.21</v>
      </c>
      <c r="G1933" s="242" t="n">
        <v>7587767</v>
      </c>
      <c r="H1933" s="241" t="n">
        <v>0.91</v>
      </c>
      <c r="I1933" s="241" t="n">
        <v>8.050000000000001</v>
      </c>
      <c r="J1933" s="241" t="n">
        <v>-11.18</v>
      </c>
      <c r="K1933" s="241" t="n">
        <v>10.06</v>
      </c>
      <c r="L1933" s="242" t="n">
        <v>2646000</v>
      </c>
      <c r="M1933" s="241" t="n">
        <v>1.43</v>
      </c>
      <c r="N1933" s="241" t="n">
        <v>-1.85</v>
      </c>
      <c r="O1933" s="241" t="n">
        <v>-17.53</v>
      </c>
      <c r="P1933" s="241" t="n">
        <v>1.21</v>
      </c>
    </row>
    <row r="1934">
      <c r="A1934" s="282" t="inlineStr">
        <is>
          <t>2013-12-19</t>
        </is>
      </c>
      <c r="B1934" s="240">
        <f>IFERROR(1/P1934-1,B1933)</f>
        <v/>
      </c>
      <c r="C1934" s="240">
        <f>$C$3</f>
        <v/>
      </c>
      <c r="D1934" s="240">
        <f>$D$3</f>
        <v/>
      </c>
      <c r="E1934" s="240">
        <f>$E$3</f>
        <v/>
      </c>
      <c r="F1934" s="241" t="n">
        <v>12.04</v>
      </c>
      <c r="G1934" s="242" t="n">
        <v>5895818</v>
      </c>
      <c r="H1934" s="241" t="n">
        <v>-1.39</v>
      </c>
      <c r="I1934" s="241" t="n">
        <v>4.06</v>
      </c>
      <c r="J1934" s="241" t="n">
        <v>-12.42</v>
      </c>
      <c r="K1934" s="241" t="n">
        <v>10.2</v>
      </c>
      <c r="L1934" s="242" t="n">
        <v>2534800</v>
      </c>
      <c r="M1934" s="241" t="n">
        <v>1.25</v>
      </c>
      <c r="N1934" s="241" t="n">
        <v>-1.82</v>
      </c>
      <c r="O1934" s="241" t="n">
        <v>-16.5</v>
      </c>
      <c r="P1934" s="241" t="n">
        <v>1.18</v>
      </c>
    </row>
    <row r="1935">
      <c r="A1935" s="282" t="inlineStr">
        <is>
          <t>2013-12-20</t>
        </is>
      </c>
      <c r="B1935" s="240">
        <f>IFERROR(1/P1935-1,B1934)</f>
        <v/>
      </c>
      <c r="C1935" s="240">
        <f>$C$3</f>
        <v/>
      </c>
      <c r="D1935" s="240">
        <f>$D$3</f>
        <v/>
      </c>
      <c r="E1935" s="240">
        <f>$E$3</f>
        <v/>
      </c>
      <c r="F1935" s="241" t="n">
        <v>11.74</v>
      </c>
      <c r="G1935" s="242" t="n">
        <v>11976378</v>
      </c>
      <c r="H1935" s="241" t="n">
        <v>-2.49</v>
      </c>
      <c r="I1935" s="241" t="n">
        <v>1.65</v>
      </c>
      <c r="J1935" s="241" t="n">
        <v>-14.6</v>
      </c>
      <c r="K1935" s="241" t="n">
        <v>10.2</v>
      </c>
      <c r="L1935" s="242" t="n">
        <v>2970316</v>
      </c>
      <c r="M1935" s="241" t="n">
        <v>0</v>
      </c>
      <c r="N1935" s="241" t="n">
        <v>-3.58</v>
      </c>
      <c r="O1935" s="241" t="n">
        <v>-16.5</v>
      </c>
      <c r="P1935" s="241" t="n">
        <v>1.15</v>
      </c>
    </row>
    <row r="1936">
      <c r="A1936" s="282" t="inlineStr">
        <is>
          <t>2013-12-23</t>
        </is>
      </c>
      <c r="B1936" s="240">
        <f>IFERROR(1/P1936-1,B1935)</f>
        <v/>
      </c>
      <c r="C1936" s="240">
        <f>$C$3</f>
        <v/>
      </c>
      <c r="D1936" s="240">
        <f>$D$3</f>
        <v/>
      </c>
      <c r="E1936" s="240">
        <f>$E$3</f>
        <v/>
      </c>
      <c r="F1936" s="241" t="n">
        <v>12.11</v>
      </c>
      <c r="G1936" s="242" t="n">
        <v>11017605</v>
      </c>
      <c r="H1936" s="241" t="n">
        <v>3.15</v>
      </c>
      <c r="I1936" s="241" t="n">
        <v>4.31</v>
      </c>
      <c r="J1936" s="241" t="n">
        <v>-11.91</v>
      </c>
      <c r="K1936" s="241" t="n">
        <v>10.14</v>
      </c>
      <c r="L1936" s="242" t="n">
        <v>666400</v>
      </c>
      <c r="M1936" s="241" t="n">
        <v>-0.46</v>
      </c>
      <c r="N1936" s="241" t="n">
        <v>-2.28</v>
      </c>
      <c r="O1936" s="241" t="n">
        <v>-16.88</v>
      </c>
      <c r="P1936" s="241" t="n">
        <v>1.19</v>
      </c>
    </row>
    <row r="1937">
      <c r="A1937" s="282" t="inlineStr">
        <is>
          <t>2013-12-24</t>
        </is>
      </c>
      <c r="B1937" s="240">
        <f>IFERROR(1/P1937-1,B1936)</f>
        <v/>
      </c>
      <c r="C1937" s="240">
        <f>$C$3</f>
        <v/>
      </c>
      <c r="D1937" s="240">
        <f>$D$3</f>
        <v/>
      </c>
      <c r="E1937" s="240">
        <f>$E$3</f>
        <v/>
      </c>
      <c r="F1937" s="241" t="n">
        <v>12.03</v>
      </c>
      <c r="G1937" s="242" t="n">
        <v>7167538</v>
      </c>
      <c r="H1937" s="241" t="n">
        <v>-0.66</v>
      </c>
      <c r="I1937" s="241" t="n">
        <v>3.62</v>
      </c>
      <c r="J1937" s="241" t="n">
        <v>-12.49</v>
      </c>
      <c r="K1937" s="241" t="n">
        <v>10.25</v>
      </c>
      <c r="L1937" s="242" t="n">
        <v>506352</v>
      </c>
      <c r="M1937" s="241" t="n">
        <v>1.09</v>
      </c>
      <c r="N1937" s="241" t="n">
        <v>-1.22</v>
      </c>
      <c r="O1937" s="241" t="n">
        <v>-15.98</v>
      </c>
      <c r="P1937" s="241" t="n">
        <v>1.17</v>
      </c>
    </row>
    <row r="1938">
      <c r="A1938" s="282" t="inlineStr">
        <is>
          <t>2013-12-25</t>
        </is>
      </c>
      <c r="B1938" s="240">
        <f>IFERROR(1/P1938-1,B1937)</f>
        <v/>
      </c>
      <c r="C1938" s="240">
        <f>$C$3</f>
        <v/>
      </c>
      <c r="D1938" s="240">
        <f>$D$3</f>
        <v/>
      </c>
      <c r="E1938" s="240">
        <f>$E$3</f>
        <v/>
      </c>
      <c r="F1938" s="241" t="n">
        <v>12.16</v>
      </c>
      <c r="G1938" s="242" t="n">
        <v>6063553</v>
      </c>
      <c r="H1938" s="241" t="n">
        <v>1.08</v>
      </c>
      <c r="I1938" s="241" t="n">
        <v>4.74</v>
      </c>
      <c r="J1938" s="241" t="n">
        <v>-11.54</v>
      </c>
      <c r="K1938" s="239" t="inlineStr">
        <is>
          <t>--</t>
        </is>
      </c>
      <c r="L1938" s="239" t="inlineStr">
        <is>
          <t>--</t>
        </is>
      </c>
      <c r="M1938" s="239" t="inlineStr">
        <is>
          <t>--</t>
        </is>
      </c>
      <c r="N1938" s="239" t="inlineStr">
        <is>
          <t>--</t>
        </is>
      </c>
      <c r="O1938" s="239" t="inlineStr">
        <is>
          <t>--</t>
        </is>
      </c>
      <c r="P1938" s="239" t="inlineStr">
        <is>
          <t>--</t>
        </is>
      </c>
    </row>
    <row r="1939">
      <c r="A1939" s="282" t="inlineStr">
        <is>
          <t>2013-12-26</t>
        </is>
      </c>
      <c r="B1939" s="240">
        <f>IFERROR(1/P1939-1,B1938)</f>
        <v/>
      </c>
      <c r="C1939" s="240">
        <f>$C$3</f>
        <v/>
      </c>
      <c r="D1939" s="240">
        <f>$D$3</f>
        <v/>
      </c>
      <c r="E1939" s="240">
        <f>$E$3</f>
        <v/>
      </c>
      <c r="F1939" s="241" t="n">
        <v>11.78</v>
      </c>
      <c r="G1939" s="242" t="n">
        <v>9999316</v>
      </c>
      <c r="H1939" s="241" t="n">
        <v>-3.13</v>
      </c>
      <c r="I1939" s="241" t="n">
        <v>1.46</v>
      </c>
      <c r="J1939" s="241" t="n">
        <v>-14.31</v>
      </c>
      <c r="K1939" s="239" t="inlineStr">
        <is>
          <t>--</t>
        </is>
      </c>
      <c r="L1939" s="239" t="inlineStr">
        <is>
          <t>--</t>
        </is>
      </c>
      <c r="M1939" s="239" t="inlineStr">
        <is>
          <t>--</t>
        </is>
      </c>
      <c r="N1939" s="239" t="inlineStr">
        <is>
          <t>--</t>
        </is>
      </c>
      <c r="O1939" s="239" t="inlineStr">
        <is>
          <t>--</t>
        </is>
      </c>
      <c r="P1939" s="239" t="inlineStr">
        <is>
          <t>--</t>
        </is>
      </c>
    </row>
    <row r="1940">
      <c r="A1940" s="282" t="inlineStr">
        <is>
          <t>2013-12-27</t>
        </is>
      </c>
      <c r="B1940" s="240">
        <f>IFERROR(1/P1940-1,B1939)</f>
        <v/>
      </c>
      <c r="C1940" s="240">
        <f>$C$3</f>
        <v/>
      </c>
      <c r="D1940" s="240">
        <f>$D$3</f>
        <v/>
      </c>
      <c r="E1940" s="240">
        <f>$E$3</f>
        <v/>
      </c>
      <c r="F1940" s="241" t="n">
        <v>12.23</v>
      </c>
      <c r="G1940" s="242" t="n">
        <v>13643179</v>
      </c>
      <c r="H1940" s="241" t="n">
        <v>3.82</v>
      </c>
      <c r="I1940" s="241" t="n">
        <v>5.25</v>
      </c>
      <c r="J1940" s="241" t="n">
        <v>-11.03</v>
      </c>
      <c r="K1940" s="241" t="n">
        <v>10.42</v>
      </c>
      <c r="L1940" s="242" t="n">
        <v>2684400</v>
      </c>
      <c r="M1940" s="241" t="n">
        <v>1.85</v>
      </c>
      <c r="N1940" s="241" t="n">
        <v>1.38</v>
      </c>
      <c r="O1940" s="241" t="n">
        <v>-14.43</v>
      </c>
      <c r="P1940" s="241" t="n">
        <v>1.17</v>
      </c>
    </row>
    <row r="1941">
      <c r="A1941" s="282" t="inlineStr">
        <is>
          <t>2013-12-30</t>
        </is>
      </c>
      <c r="B1941" s="240">
        <f>IFERROR(1/P1941-1,B1940)</f>
        <v/>
      </c>
      <c r="C1941" s="240">
        <f>$C$3</f>
        <v/>
      </c>
      <c r="D1941" s="240">
        <f>$D$3</f>
        <v/>
      </c>
      <c r="E1941" s="240">
        <f>$E$3</f>
        <v/>
      </c>
      <c r="F1941" s="241" t="n">
        <v>12.54</v>
      </c>
      <c r="G1941" s="242" t="n">
        <v>12189146</v>
      </c>
      <c r="H1941" s="241" t="n">
        <v>2.53</v>
      </c>
      <c r="I1941" s="241" t="n">
        <v>5.73</v>
      </c>
      <c r="J1941" s="241" t="n">
        <v>-8.779999999999999</v>
      </c>
      <c r="K1941" s="241" t="n">
        <v>10.51</v>
      </c>
      <c r="L1941" s="242" t="n">
        <v>1090100</v>
      </c>
      <c r="M1941" s="241" t="n">
        <v>0.91</v>
      </c>
      <c r="N1941" s="241" t="n">
        <v>1.98</v>
      </c>
      <c r="O1941" s="241" t="n">
        <v>-13.65</v>
      </c>
      <c r="P1941" s="241" t="n">
        <v>1.19</v>
      </c>
    </row>
    <row r="1942">
      <c r="A1942" s="282" t="inlineStr">
        <is>
          <t>2013-12-31</t>
        </is>
      </c>
      <c r="B1942" s="240">
        <f>IFERROR(1/P1942-1,B1941)</f>
        <v/>
      </c>
      <c r="C1942" s="240">
        <f>$C$3</f>
        <v/>
      </c>
      <c r="D1942" s="240">
        <f>$D$3</f>
        <v/>
      </c>
      <c r="E1942" s="240">
        <f>$E$3</f>
        <v/>
      </c>
      <c r="F1942" s="241" t="n">
        <v>12.57</v>
      </c>
      <c r="G1942" s="242" t="n">
        <v>9653623</v>
      </c>
      <c r="H1942" s="241" t="n">
        <v>0.24</v>
      </c>
      <c r="I1942" s="241" t="n">
        <v>5.99</v>
      </c>
      <c r="J1942" s="241" t="n">
        <v>-8.56</v>
      </c>
      <c r="K1942" s="241" t="n">
        <v>10.69</v>
      </c>
      <c r="L1942" s="242" t="n">
        <v>1581200</v>
      </c>
      <c r="M1942" s="241" t="n">
        <v>1.8</v>
      </c>
      <c r="N1942" s="241" t="n">
        <v>3.82</v>
      </c>
      <c r="O1942" s="241" t="n">
        <v>-12.1</v>
      </c>
      <c r="P1942" s="241" t="n">
        <v>1.18</v>
      </c>
    </row>
    <row r="1943">
      <c r="A1943" s="282" t="inlineStr">
        <is>
          <t>2014-01-02</t>
        </is>
      </c>
      <c r="B1943" s="240">
        <f>IFERROR(1/P1943-1,B1942)</f>
        <v/>
      </c>
      <c r="C1943" s="240">
        <f>$C$3</f>
        <v/>
      </c>
      <c r="D1943" s="240">
        <f>$D$3</f>
        <v/>
      </c>
      <c r="E1943" s="240">
        <f>$E$3</f>
        <v/>
      </c>
      <c r="F1943" s="241" t="n">
        <v>12.43</v>
      </c>
      <c r="G1943" s="242" t="n">
        <v>7340700</v>
      </c>
      <c r="H1943" s="241" t="n">
        <v>-1.11</v>
      </c>
      <c r="I1943" s="241" t="n">
        <v>4.81</v>
      </c>
      <c r="J1943" s="241" t="n">
        <v>-1.11</v>
      </c>
      <c r="K1943" s="241" t="n">
        <v>10.49</v>
      </c>
      <c r="L1943" s="242" t="n">
        <v>2500800</v>
      </c>
      <c r="M1943" s="241" t="n">
        <v>-1.91</v>
      </c>
      <c r="N1943" s="241" t="n">
        <v>1.83</v>
      </c>
      <c r="O1943" s="241" t="n">
        <v>-1.91</v>
      </c>
      <c r="P1943" s="241" t="n">
        <v>1.18</v>
      </c>
    </row>
    <row r="1944">
      <c r="A1944" s="282" t="inlineStr">
        <is>
          <t>2014-01-03</t>
        </is>
      </c>
      <c r="B1944" s="240">
        <f>IFERROR(1/P1944-1,B1943)</f>
        <v/>
      </c>
      <c r="C1944" s="240">
        <f>$C$3</f>
        <v/>
      </c>
      <c r="D1944" s="240">
        <f>$D$3</f>
        <v/>
      </c>
      <c r="E1944" s="240">
        <f>$E$3</f>
        <v/>
      </c>
      <c r="F1944" s="241" t="n">
        <v>12.06</v>
      </c>
      <c r="G1944" s="242" t="n">
        <v>10719109</v>
      </c>
      <c r="H1944" s="241" t="n">
        <v>-2.98</v>
      </c>
      <c r="I1944" s="241" t="n">
        <v>4.87</v>
      </c>
      <c r="J1944" s="241" t="n">
        <v>-4.06</v>
      </c>
      <c r="K1944" s="241" t="n">
        <v>10.34</v>
      </c>
      <c r="L1944" s="242" t="n">
        <v>2540720</v>
      </c>
      <c r="M1944" s="241" t="n">
        <v>-1.5</v>
      </c>
      <c r="N1944" s="241" t="n">
        <v>-0.76</v>
      </c>
      <c r="O1944" s="241" t="n">
        <v>-3.38</v>
      </c>
      <c r="P1944" s="241" t="n">
        <v>1.17</v>
      </c>
    </row>
    <row r="1945">
      <c r="A1945" s="282" t="inlineStr">
        <is>
          <t>2014-01-06</t>
        </is>
      </c>
      <c r="B1945" s="240">
        <f>IFERROR(1/P1945-1,B1944)</f>
        <v/>
      </c>
      <c r="C1945" s="240">
        <f>$C$3</f>
        <v/>
      </c>
      <c r="D1945" s="240">
        <f>$D$3</f>
        <v/>
      </c>
      <c r="E1945" s="240">
        <f>$E$3</f>
        <v/>
      </c>
      <c r="F1945" s="241" t="n">
        <v>11.66</v>
      </c>
      <c r="G1945" s="242" t="n">
        <v>8384126</v>
      </c>
      <c r="H1945" s="241" t="n">
        <v>-3.32</v>
      </c>
      <c r="I1945" s="241" t="n">
        <v>-7.53</v>
      </c>
      <c r="J1945" s="241" t="n">
        <v>-7.24</v>
      </c>
      <c r="K1945" s="241" t="n">
        <v>9.84</v>
      </c>
      <c r="L1945" s="242" t="n">
        <v>1473600</v>
      </c>
      <c r="M1945" s="241" t="n">
        <v>-4.87</v>
      </c>
      <c r="N1945" s="241" t="n">
        <v>-11.97</v>
      </c>
      <c r="O1945" s="241" t="n">
        <v>-8.09</v>
      </c>
      <c r="P1945" s="241" t="n">
        <v>1.18</v>
      </c>
    </row>
    <row r="1946">
      <c r="A1946" s="282" t="inlineStr">
        <is>
          <t>2014-01-07</t>
        </is>
      </c>
      <c r="B1946" s="240">
        <f>IFERROR(1/P1946-1,B1945)</f>
        <v/>
      </c>
      <c r="C1946" s="240">
        <f>$C$3</f>
        <v/>
      </c>
      <c r="D1946" s="240">
        <f>$D$3</f>
        <v/>
      </c>
      <c r="E1946" s="240">
        <f>$E$3</f>
        <v/>
      </c>
      <c r="F1946" s="241" t="n">
        <v>11.7</v>
      </c>
      <c r="G1946" s="242" t="n">
        <v>6747028</v>
      </c>
      <c r="H1946" s="241" t="n">
        <v>0.34</v>
      </c>
      <c r="I1946" s="241" t="n">
        <v>-10.82</v>
      </c>
      <c r="J1946" s="241" t="n">
        <v>-6.92</v>
      </c>
      <c r="K1946" s="241" t="n">
        <v>9.51</v>
      </c>
      <c r="L1946" s="242" t="n">
        <v>2304262</v>
      </c>
      <c r="M1946" s="241" t="n">
        <v>-3.36</v>
      </c>
      <c r="N1946" s="241" t="n">
        <v>-14.81</v>
      </c>
      <c r="O1946" s="241" t="n">
        <v>-11.18</v>
      </c>
      <c r="P1946" s="241" t="n">
        <v>1.23</v>
      </c>
    </row>
    <row r="1947">
      <c r="A1947" s="282" t="inlineStr">
        <is>
          <t>2014-01-08</t>
        </is>
      </c>
      <c r="B1947" s="240">
        <f>IFERROR(1/P1947-1,B1946)</f>
        <v/>
      </c>
      <c r="C1947" s="240">
        <f>$C$3</f>
        <v/>
      </c>
      <c r="D1947" s="240">
        <f>$D$3</f>
        <v/>
      </c>
      <c r="E1947" s="240">
        <f>$E$3</f>
        <v/>
      </c>
      <c r="F1947" s="241" t="n">
        <v>11.45</v>
      </c>
      <c r="G1947" s="242" t="n">
        <v>7597890</v>
      </c>
      <c r="H1947" s="241" t="n">
        <v>-2.14</v>
      </c>
      <c r="I1947" s="241" t="n">
        <v>-12.73</v>
      </c>
      <c r="J1947" s="241" t="n">
        <v>-8.91</v>
      </c>
      <c r="K1947" s="241" t="n">
        <v>9.69</v>
      </c>
      <c r="L1947" s="242" t="n">
        <v>1778700</v>
      </c>
      <c r="M1947" s="241" t="n">
        <v>1.82</v>
      </c>
      <c r="N1947" s="241" t="n">
        <v>-13.26</v>
      </c>
      <c r="O1947" s="241" t="n">
        <v>-9.56</v>
      </c>
      <c r="P1947" s="241" t="n">
        <v>1.18</v>
      </c>
    </row>
    <row r="1948">
      <c r="A1948" s="282" t="inlineStr">
        <is>
          <t>2014-01-09</t>
        </is>
      </c>
      <c r="B1948" s="240">
        <f>IFERROR(1/P1948-1,B1947)</f>
        <v/>
      </c>
      <c r="C1948" s="240">
        <f>$C$3</f>
        <v/>
      </c>
      <c r="D1948" s="240">
        <f>$D$3</f>
        <v/>
      </c>
      <c r="E1948" s="240">
        <f>$E$3</f>
        <v/>
      </c>
      <c r="F1948" s="241" t="n">
        <v>11.23</v>
      </c>
      <c r="G1948" s="242" t="n">
        <v>6720121</v>
      </c>
      <c r="H1948" s="241" t="n">
        <v>-1.92</v>
      </c>
      <c r="I1948" s="241" t="n">
        <v>-14.41</v>
      </c>
      <c r="J1948" s="241" t="n">
        <v>-10.66</v>
      </c>
      <c r="K1948" s="241" t="n">
        <v>9.470000000000001</v>
      </c>
      <c r="L1948" s="242" t="n">
        <v>1500800</v>
      </c>
      <c r="M1948" s="241" t="n">
        <v>-2.28</v>
      </c>
      <c r="N1948" s="241" t="n">
        <v>-15.23</v>
      </c>
      <c r="O1948" s="241" t="n">
        <v>-11.62</v>
      </c>
      <c r="P1948" s="241" t="n">
        <v>1.19</v>
      </c>
    </row>
    <row r="1949">
      <c r="A1949" s="282" t="inlineStr">
        <is>
          <t>2014-01-10</t>
        </is>
      </c>
      <c r="B1949" s="240">
        <f>IFERROR(1/P1949-1,B1948)</f>
        <v/>
      </c>
      <c r="C1949" s="240">
        <f>$C$3</f>
        <v/>
      </c>
      <c r="D1949" s="240">
        <f>$D$3</f>
        <v/>
      </c>
      <c r="E1949" s="240">
        <f>$E$3</f>
        <v/>
      </c>
      <c r="F1949" s="241" t="n">
        <v>11.24</v>
      </c>
      <c r="G1949" s="242" t="n">
        <v>6966027</v>
      </c>
      <c r="H1949" s="241" t="n">
        <v>0.09</v>
      </c>
      <c r="I1949" s="241" t="n">
        <v>-14.52</v>
      </c>
      <c r="J1949" s="241" t="n">
        <v>-10.58</v>
      </c>
      <c r="K1949" s="241" t="n">
        <v>9.390000000000001</v>
      </c>
      <c r="L1949" s="242" t="n">
        <v>1864600</v>
      </c>
      <c r="M1949" s="241" t="n">
        <v>-0.67</v>
      </c>
      <c r="N1949" s="241" t="n">
        <v>-16.03</v>
      </c>
      <c r="O1949" s="241" t="n">
        <v>-12.21</v>
      </c>
      <c r="P1949" s="241" t="n">
        <v>1.2</v>
      </c>
    </row>
    <row r="1950">
      <c r="A1950" s="282" t="inlineStr">
        <is>
          <t>2014-01-13</t>
        </is>
      </c>
      <c r="B1950" s="240">
        <f>IFERROR(1/P1950-1,B1949)</f>
        <v/>
      </c>
      <c r="C1950" s="240">
        <f>$C$3</f>
        <v/>
      </c>
      <c r="D1950" s="240">
        <f>$D$3</f>
        <v/>
      </c>
      <c r="E1950" s="240">
        <f>$E$3</f>
        <v/>
      </c>
      <c r="F1950" s="241" t="n">
        <v>11.08</v>
      </c>
      <c r="G1950" s="242" t="n">
        <v>7198517</v>
      </c>
      <c r="H1950" s="241" t="n">
        <v>-1.42</v>
      </c>
      <c r="I1950" s="241" t="n">
        <v>-12.48</v>
      </c>
      <c r="J1950" s="241" t="n">
        <v>-11.85</v>
      </c>
      <c r="K1950" s="241" t="n">
        <v>9.15</v>
      </c>
      <c r="L1950" s="242" t="n">
        <v>1817957</v>
      </c>
      <c r="M1950" s="241" t="n">
        <v>-2.51</v>
      </c>
      <c r="N1950" s="241" t="n">
        <v>-11.01</v>
      </c>
      <c r="O1950" s="241" t="n">
        <v>-14.41</v>
      </c>
      <c r="P1950" s="241" t="n">
        <v>1.21</v>
      </c>
    </row>
    <row r="1951">
      <c r="A1951" s="282" t="inlineStr">
        <is>
          <t>2014-01-14</t>
        </is>
      </c>
      <c r="B1951" s="240">
        <f>IFERROR(1/P1951-1,B1950)</f>
        <v/>
      </c>
      <c r="C1951" s="240">
        <f>$C$3</f>
        <v/>
      </c>
      <c r="D1951" s="240">
        <f>$D$3</f>
        <v/>
      </c>
      <c r="E1951" s="240">
        <f>$E$3</f>
        <v/>
      </c>
      <c r="F1951" s="241" t="n">
        <v>11.18</v>
      </c>
      <c r="G1951" s="242" t="n">
        <v>4367331</v>
      </c>
      <c r="H1951" s="241" t="n">
        <v>0.9</v>
      </c>
      <c r="I1951" s="241" t="n">
        <v>-11.34</v>
      </c>
      <c r="J1951" s="241" t="n">
        <v>-11.06</v>
      </c>
      <c r="K1951" s="241" t="n">
        <v>9.08</v>
      </c>
      <c r="L1951" s="242" t="n">
        <v>2839300</v>
      </c>
      <c r="M1951" s="241" t="n">
        <v>-0.6899999999999999</v>
      </c>
      <c r="N1951" s="241" t="n">
        <v>-11.35</v>
      </c>
      <c r="O1951" s="241" t="n">
        <v>-15</v>
      </c>
      <c r="P1951" s="241" t="n">
        <v>1.23</v>
      </c>
    </row>
    <row r="1952">
      <c r="A1952" s="282" t="inlineStr">
        <is>
          <t>2014-01-15</t>
        </is>
      </c>
      <c r="B1952" s="240">
        <f>IFERROR(1/P1952-1,B1951)</f>
        <v/>
      </c>
      <c r="C1952" s="240">
        <f>$C$3</f>
        <v/>
      </c>
      <c r="D1952" s="240">
        <f>$D$3</f>
        <v/>
      </c>
      <c r="E1952" s="240">
        <f>$E$3</f>
        <v/>
      </c>
      <c r="F1952" s="241" t="n">
        <v>11.28</v>
      </c>
      <c r="G1952" s="242" t="n">
        <v>4656833</v>
      </c>
      <c r="H1952" s="241" t="n">
        <v>0.89</v>
      </c>
      <c r="I1952" s="241" t="n">
        <v>-10.55</v>
      </c>
      <c r="J1952" s="241" t="n">
        <v>-10.26</v>
      </c>
      <c r="K1952" s="241" t="n">
        <v>9.09</v>
      </c>
      <c r="L1952" s="242" t="n">
        <v>1599146</v>
      </c>
      <c r="M1952" s="241" t="n">
        <v>0</v>
      </c>
      <c r="N1952" s="241" t="n">
        <v>-11.35</v>
      </c>
      <c r="O1952" s="241" t="n">
        <v>-15</v>
      </c>
      <c r="P1952" s="241" t="n">
        <v>1.24</v>
      </c>
    </row>
    <row r="1953">
      <c r="A1953" s="282" t="inlineStr">
        <is>
          <t>2014-01-16</t>
        </is>
      </c>
      <c r="B1953" s="240">
        <f>IFERROR(1/P1953-1,B1952)</f>
        <v/>
      </c>
      <c r="C1953" s="240">
        <f>$C$3</f>
        <v/>
      </c>
      <c r="D1953" s="240">
        <f>$D$3</f>
        <v/>
      </c>
      <c r="E1953" s="240">
        <f>$E$3</f>
        <v/>
      </c>
      <c r="F1953" s="241" t="n">
        <v>11.26</v>
      </c>
      <c r="G1953" s="242" t="n">
        <v>6985286</v>
      </c>
      <c r="H1953" s="241" t="n">
        <v>-0.18</v>
      </c>
      <c r="I1953" s="241" t="n">
        <v>-10.71</v>
      </c>
      <c r="J1953" s="241" t="n">
        <v>-10.42</v>
      </c>
      <c r="K1953" s="241" t="n">
        <v>9.07</v>
      </c>
      <c r="L1953" s="242" t="n">
        <v>1206000</v>
      </c>
      <c r="M1953" s="241" t="n">
        <v>-0.35</v>
      </c>
      <c r="N1953" s="241" t="n">
        <v>-11.66</v>
      </c>
      <c r="O1953" s="241" t="n">
        <v>-15.29</v>
      </c>
      <c r="P1953" s="241" t="n">
        <v>1.24</v>
      </c>
    </row>
    <row r="1954">
      <c r="A1954" s="282" t="inlineStr">
        <is>
          <t>2014-01-17</t>
        </is>
      </c>
      <c r="B1954" s="240">
        <f>IFERROR(1/P1954-1,B1953)</f>
        <v/>
      </c>
      <c r="C1954" s="240">
        <f>$C$3</f>
        <v/>
      </c>
      <c r="D1954" s="240">
        <f>$D$3</f>
        <v/>
      </c>
      <c r="E1954" s="240">
        <f>$E$3</f>
        <v/>
      </c>
      <c r="F1954" s="241" t="n">
        <v>10.98</v>
      </c>
      <c r="G1954" s="242" t="n">
        <v>5413510</v>
      </c>
      <c r="H1954" s="241" t="n">
        <v>-2.49</v>
      </c>
      <c r="I1954" s="241" t="n">
        <v>-10.29</v>
      </c>
      <c r="J1954" s="241" t="n">
        <v>-12.65</v>
      </c>
      <c r="K1954" s="241" t="n">
        <v>9.16</v>
      </c>
      <c r="L1954" s="242" t="n">
        <v>1397600</v>
      </c>
      <c r="M1954" s="241" t="n">
        <v>1.04</v>
      </c>
      <c r="N1954" s="241" t="n">
        <v>-8.630000000000001</v>
      </c>
      <c r="O1954" s="241" t="n">
        <v>-14.41</v>
      </c>
      <c r="P1954" s="241" t="n">
        <v>1.2</v>
      </c>
    </row>
    <row r="1955">
      <c r="A1955" s="282" t="inlineStr">
        <is>
          <t>2014-01-20</t>
        </is>
      </c>
      <c r="B1955" s="240">
        <f>IFERROR(1/P1955-1,B1954)</f>
        <v/>
      </c>
      <c r="C1955" s="240">
        <f>$C$3</f>
        <v/>
      </c>
      <c r="D1955" s="240">
        <f>$D$3</f>
        <v/>
      </c>
      <c r="E1955" s="240">
        <f>$E$3</f>
        <v/>
      </c>
      <c r="F1955" s="241" t="n">
        <v>11</v>
      </c>
      <c r="G1955" s="242" t="n">
        <v>3954820</v>
      </c>
      <c r="H1955" s="241" t="n">
        <v>0.18</v>
      </c>
      <c r="I1955" s="241" t="n">
        <v>-8.640000000000001</v>
      </c>
      <c r="J1955" s="241" t="n">
        <v>-12.49</v>
      </c>
      <c r="K1955" s="241" t="n">
        <v>9.07</v>
      </c>
      <c r="L1955" s="242" t="n">
        <v>1493800</v>
      </c>
      <c r="M1955" s="241" t="n">
        <v>-1.03</v>
      </c>
      <c r="N1955" s="241" t="n">
        <v>-10.84</v>
      </c>
      <c r="O1955" s="241" t="n">
        <v>-15.29</v>
      </c>
      <c r="P1955" s="241" t="n">
        <v>1.21</v>
      </c>
    </row>
    <row r="1956">
      <c r="A1956" s="282" t="inlineStr">
        <is>
          <t>2014-01-21</t>
        </is>
      </c>
      <c r="B1956" s="240">
        <f>IFERROR(1/P1956-1,B1955)</f>
        <v/>
      </c>
      <c r="C1956" s="240">
        <f>$C$3</f>
        <v/>
      </c>
      <c r="D1956" s="240">
        <f>$D$3</f>
        <v/>
      </c>
      <c r="E1956" s="240">
        <f>$E$3</f>
        <v/>
      </c>
      <c r="F1956" s="241" t="n">
        <v>11.33</v>
      </c>
      <c r="G1956" s="242" t="n">
        <v>4728566</v>
      </c>
      <c r="H1956" s="241" t="n">
        <v>3</v>
      </c>
      <c r="I1956" s="241" t="n">
        <v>-3.49</v>
      </c>
      <c r="J1956" s="241" t="n">
        <v>-9.859999999999999</v>
      </c>
      <c r="K1956" s="241" t="n">
        <v>9.07</v>
      </c>
      <c r="L1956" s="242" t="n">
        <v>2017200</v>
      </c>
      <c r="M1956" s="241" t="n">
        <v>0</v>
      </c>
      <c r="N1956" s="241" t="n">
        <v>-10.84</v>
      </c>
      <c r="O1956" s="241" t="n">
        <v>-15.29</v>
      </c>
      <c r="P1956" s="241" t="n">
        <v>1.25</v>
      </c>
    </row>
    <row r="1957">
      <c r="A1957" s="282" t="inlineStr">
        <is>
          <t>2014-01-22</t>
        </is>
      </c>
      <c r="B1957" s="240">
        <f>IFERROR(1/P1957-1,B1956)</f>
        <v/>
      </c>
      <c r="C1957" s="240">
        <f>$C$3</f>
        <v/>
      </c>
      <c r="D1957" s="240">
        <f>$D$3</f>
        <v/>
      </c>
      <c r="E1957" s="240">
        <f>$E$3</f>
        <v/>
      </c>
      <c r="F1957" s="241" t="n">
        <v>11.47</v>
      </c>
      <c r="G1957" s="242" t="n">
        <v>8263849</v>
      </c>
      <c r="H1957" s="241" t="n">
        <v>1.24</v>
      </c>
      <c r="I1957" s="241" t="n">
        <v>-2.3</v>
      </c>
      <c r="J1957" s="241" t="n">
        <v>-8.75</v>
      </c>
      <c r="K1957" s="241" t="n">
        <v>9.26</v>
      </c>
      <c r="L1957" s="242" t="n">
        <v>2906400</v>
      </c>
      <c r="M1957" s="241" t="n">
        <v>2.08</v>
      </c>
      <c r="N1957" s="241" t="n">
        <v>-8.98</v>
      </c>
      <c r="O1957" s="241" t="n">
        <v>-13.53</v>
      </c>
      <c r="P1957" s="241" t="n">
        <v>1.24</v>
      </c>
    </row>
    <row r="1958">
      <c r="A1958" s="282" t="inlineStr">
        <is>
          <t>2014-01-23</t>
        </is>
      </c>
      <c r="B1958" s="240">
        <f>IFERROR(1/P1958-1,B1957)</f>
        <v/>
      </c>
      <c r="C1958" s="240">
        <f>$C$3</f>
        <v/>
      </c>
      <c r="D1958" s="240">
        <f>$D$3</f>
        <v/>
      </c>
      <c r="E1958" s="240">
        <f>$E$3</f>
        <v/>
      </c>
      <c r="F1958" s="241" t="n">
        <v>11.41</v>
      </c>
      <c r="G1958" s="242" t="n">
        <v>6290384</v>
      </c>
      <c r="H1958" s="241" t="n">
        <v>-0.52</v>
      </c>
      <c r="I1958" s="241" t="n">
        <v>-2.81</v>
      </c>
      <c r="J1958" s="241" t="n">
        <v>-9.23</v>
      </c>
      <c r="K1958" s="241" t="n">
        <v>9.109999999999999</v>
      </c>
      <c r="L1958" s="242" t="n">
        <v>812848</v>
      </c>
      <c r="M1958" s="241" t="n">
        <v>-1.7</v>
      </c>
      <c r="N1958" s="241" t="n">
        <v>-10.53</v>
      </c>
      <c r="O1958" s="241" t="n">
        <v>-15</v>
      </c>
      <c r="P1958" s="241" t="n">
        <v>1.25</v>
      </c>
    </row>
    <row r="1959">
      <c r="A1959" s="282" t="inlineStr">
        <is>
          <t>2014-01-24</t>
        </is>
      </c>
      <c r="B1959" s="240">
        <f>IFERROR(1/P1959-1,B1958)</f>
        <v/>
      </c>
      <c r="C1959" s="240">
        <f>$C$3</f>
        <v/>
      </c>
      <c r="D1959" s="240">
        <f>$D$3</f>
        <v/>
      </c>
      <c r="E1959" s="240">
        <f>$E$3</f>
        <v/>
      </c>
      <c r="F1959" s="241" t="n">
        <v>11.43</v>
      </c>
      <c r="G1959" s="242" t="n">
        <v>8155514</v>
      </c>
      <c r="H1959" s="241" t="n">
        <v>0.18</v>
      </c>
      <c r="I1959" s="241" t="n">
        <v>-5.62</v>
      </c>
      <c r="J1959" s="241" t="n">
        <v>-9.07</v>
      </c>
      <c r="K1959" s="241" t="n">
        <v>9.050000000000001</v>
      </c>
      <c r="L1959" s="242" t="n">
        <v>1318300</v>
      </c>
      <c r="M1959" s="241" t="n">
        <v>-0.52</v>
      </c>
      <c r="N1959" s="241" t="n">
        <v>-10.58</v>
      </c>
      <c r="O1959" s="241" t="n">
        <v>-15.44</v>
      </c>
      <c r="P1959" s="241" t="n">
        <v>1.26</v>
      </c>
    </row>
    <row r="1960">
      <c r="A1960" s="282" t="inlineStr">
        <is>
          <t>2014-01-27</t>
        </is>
      </c>
      <c r="B1960" s="240">
        <f>IFERROR(1/P1960-1,B1959)</f>
        <v/>
      </c>
      <c r="C1960" s="240">
        <f>$C$3</f>
        <v/>
      </c>
      <c r="D1960" s="240">
        <f>$D$3</f>
        <v/>
      </c>
      <c r="E1960" s="240">
        <f>$E$3</f>
        <v/>
      </c>
      <c r="F1960" s="241" t="n">
        <v>11.09</v>
      </c>
      <c r="G1960" s="242" t="n">
        <v>10128948</v>
      </c>
      <c r="H1960" s="241" t="n">
        <v>-2.97</v>
      </c>
      <c r="I1960" s="241" t="n">
        <v>-5.86</v>
      </c>
      <c r="J1960" s="241" t="n">
        <v>-11.77</v>
      </c>
      <c r="K1960" s="241" t="n">
        <v>8.66</v>
      </c>
      <c r="L1960" s="242" t="n">
        <v>2245903</v>
      </c>
      <c r="M1960" s="241" t="n">
        <v>-4.17</v>
      </c>
      <c r="N1960" s="241" t="n">
        <v>-15.23</v>
      </c>
      <c r="O1960" s="241" t="n">
        <v>-18.97</v>
      </c>
      <c r="P1960" s="241" t="n">
        <v>1.28</v>
      </c>
    </row>
    <row r="1961">
      <c r="A1961" s="282" t="inlineStr">
        <is>
          <t>2014-01-28</t>
        </is>
      </c>
      <c r="B1961" s="240">
        <f>IFERROR(1/P1961-1,B1960)</f>
        <v/>
      </c>
      <c r="C1961" s="240">
        <f>$C$3</f>
        <v/>
      </c>
      <c r="D1961" s="240">
        <f>$D$3</f>
        <v/>
      </c>
      <c r="E1961" s="240">
        <f>$E$3</f>
        <v/>
      </c>
      <c r="F1961" s="241" t="n">
        <v>11.23</v>
      </c>
      <c r="G1961" s="242" t="n">
        <v>5117180</v>
      </c>
      <c r="H1961" s="241" t="n">
        <v>1.26</v>
      </c>
      <c r="I1961" s="241" t="n">
        <v>-8.18</v>
      </c>
      <c r="J1961" s="241" t="n">
        <v>-10.66</v>
      </c>
      <c r="K1961" s="241" t="n">
        <v>8.73</v>
      </c>
      <c r="L1961" s="242" t="n">
        <v>1023400</v>
      </c>
      <c r="M1961" s="241" t="n">
        <v>0.73</v>
      </c>
      <c r="N1961" s="241" t="n">
        <v>-16.16</v>
      </c>
      <c r="O1961" s="241" t="n">
        <v>-18.38</v>
      </c>
      <c r="P1961" s="241" t="n">
        <v>1.29</v>
      </c>
    </row>
    <row r="1962">
      <c r="A1962" s="282" t="inlineStr">
        <is>
          <t>2014-01-29</t>
        </is>
      </c>
      <c r="B1962" s="240">
        <f>IFERROR(1/P1962-1,B1961)</f>
        <v/>
      </c>
      <c r="C1962" s="240">
        <f>$C$3</f>
        <v/>
      </c>
      <c r="D1962" s="240">
        <f>$D$3</f>
        <v/>
      </c>
      <c r="E1962" s="240">
        <f>$E$3</f>
        <v/>
      </c>
      <c r="F1962" s="241" t="n">
        <v>11.24</v>
      </c>
      <c r="G1962" s="242" t="n">
        <v>5328135</v>
      </c>
      <c r="H1962" s="241" t="n">
        <v>0.09</v>
      </c>
      <c r="I1962" s="241" t="n">
        <v>-8.09</v>
      </c>
      <c r="J1962" s="241" t="n">
        <v>-10.58</v>
      </c>
      <c r="K1962" s="241" t="n">
        <v>8.720000000000001</v>
      </c>
      <c r="L1962" s="242" t="n">
        <v>1460200</v>
      </c>
      <c r="M1962" s="241" t="n">
        <v>-0.18</v>
      </c>
      <c r="N1962" s="241" t="n">
        <v>-16.31</v>
      </c>
      <c r="O1962" s="241" t="n">
        <v>-18.53</v>
      </c>
      <c r="P1962" s="241" t="n">
        <v>1.29</v>
      </c>
    </row>
    <row r="1963">
      <c r="A1963" s="282" t="inlineStr">
        <is>
          <t>2014-01-30</t>
        </is>
      </c>
      <c r="B1963" s="240">
        <f>IFERROR(1/P1963-1,B1962)</f>
        <v/>
      </c>
      <c r="C1963" s="240">
        <f>$C$3</f>
        <v/>
      </c>
      <c r="D1963" s="240">
        <f>$D$3</f>
        <v/>
      </c>
      <c r="E1963" s="240">
        <f>$E$3</f>
        <v/>
      </c>
      <c r="F1963" s="241" t="n">
        <v>11.07</v>
      </c>
      <c r="G1963" s="242" t="n">
        <v>5326114</v>
      </c>
      <c r="H1963" s="241" t="n">
        <v>-1.51</v>
      </c>
      <c r="I1963" s="241" t="n">
        <v>-9.48</v>
      </c>
      <c r="J1963" s="241" t="n">
        <v>-11.93</v>
      </c>
      <c r="K1963" s="241" t="n">
        <v>8.44</v>
      </c>
      <c r="L1963" s="242" t="n">
        <v>1857200</v>
      </c>
      <c r="M1963" s="241" t="n">
        <v>-3.07</v>
      </c>
      <c r="N1963" s="241" t="n">
        <v>-18.88</v>
      </c>
      <c r="O1963" s="241" t="n">
        <v>-21.03</v>
      </c>
      <c r="P1963" s="241" t="n">
        <v>1.31</v>
      </c>
    </row>
    <row r="1964">
      <c r="A1964" s="282" t="inlineStr">
        <is>
          <t>2014-02-07</t>
        </is>
      </c>
      <c r="B1964" s="240">
        <f>IFERROR(1/P1964-1,B1963)</f>
        <v/>
      </c>
      <c r="C1964" s="240">
        <f>$C$3</f>
        <v/>
      </c>
      <c r="D1964" s="240">
        <f>$D$3</f>
        <v/>
      </c>
      <c r="E1964" s="240">
        <f>$E$3</f>
        <v/>
      </c>
      <c r="F1964" s="241" t="n">
        <v>11.33</v>
      </c>
      <c r="G1964" s="242" t="n">
        <v>4670636</v>
      </c>
      <c r="H1964" s="241" t="n">
        <v>2.35</v>
      </c>
      <c r="I1964" s="241" t="n">
        <v>-2.83</v>
      </c>
      <c r="J1964" s="241" t="n">
        <v>-9.859999999999999</v>
      </c>
      <c r="K1964" s="241" t="n">
        <v>8.529999999999999</v>
      </c>
      <c r="L1964" s="242" t="n">
        <v>1957809</v>
      </c>
      <c r="M1964" s="241" t="n">
        <v>2.85</v>
      </c>
      <c r="N1964" s="241" t="n">
        <v>-13.28</v>
      </c>
      <c r="O1964" s="241" t="n">
        <v>-20.29</v>
      </c>
      <c r="P1964" s="241" t="n">
        <v>1.33</v>
      </c>
    </row>
    <row r="1965">
      <c r="A1965" s="282" t="inlineStr">
        <is>
          <t>2014-02-10</t>
        </is>
      </c>
      <c r="B1965" s="240">
        <f>IFERROR(1/P1965-1,B1964)</f>
        <v/>
      </c>
      <c r="C1965" s="240">
        <f>$C$3</f>
        <v/>
      </c>
      <c r="D1965" s="240">
        <f>$D$3</f>
        <v/>
      </c>
      <c r="E1965" s="240">
        <f>$E$3</f>
        <v/>
      </c>
      <c r="F1965" s="241" t="n">
        <v>11.69</v>
      </c>
      <c r="G1965" s="242" t="n">
        <v>12460850</v>
      </c>
      <c r="H1965" s="241" t="n">
        <v>3.18</v>
      </c>
      <c r="I1965" s="241" t="n">
        <v>4.1</v>
      </c>
      <c r="J1965" s="241" t="n">
        <v>-7</v>
      </c>
      <c r="K1965" s="241" t="n">
        <v>8.98</v>
      </c>
      <c r="L1965" s="242" t="n">
        <v>2142800</v>
      </c>
      <c r="M1965" s="241" t="n">
        <v>5.17</v>
      </c>
      <c r="N1965" s="241" t="n">
        <v>-5.16</v>
      </c>
      <c r="O1965" s="241" t="n">
        <v>-16.18</v>
      </c>
      <c r="P1965" s="241" t="n">
        <v>1.3</v>
      </c>
    </row>
    <row r="1966">
      <c r="A1966" s="282" t="inlineStr">
        <is>
          <t>2014-02-11</t>
        </is>
      </c>
      <c r="B1966" s="240">
        <f>IFERROR(1/P1966-1,B1965)</f>
        <v/>
      </c>
      <c r="C1966" s="240">
        <f>$C$3</f>
        <v/>
      </c>
      <c r="D1966" s="240">
        <f>$D$3</f>
        <v/>
      </c>
      <c r="E1966" s="240">
        <f>$E$3</f>
        <v/>
      </c>
      <c r="F1966" s="241" t="n">
        <v>11.65</v>
      </c>
      <c r="G1966" s="242" t="n">
        <v>9009775</v>
      </c>
      <c r="H1966" s="241" t="n">
        <v>-0.34</v>
      </c>
      <c r="I1966" s="241" t="n">
        <v>3.65</v>
      </c>
      <c r="J1966" s="241" t="n">
        <v>-7.32</v>
      </c>
      <c r="K1966" s="241" t="n">
        <v>8.93</v>
      </c>
      <c r="L1966" s="242" t="n">
        <v>986400</v>
      </c>
      <c r="M1966" s="241" t="n">
        <v>-0.53</v>
      </c>
      <c r="N1966" s="241" t="n">
        <v>-5.03</v>
      </c>
      <c r="O1966" s="241" t="n">
        <v>-16.62</v>
      </c>
      <c r="P1966" s="241" t="n">
        <v>1.3</v>
      </c>
    </row>
    <row r="1967">
      <c r="A1967" s="282" t="inlineStr">
        <is>
          <t>2014-02-12</t>
        </is>
      </c>
      <c r="B1967" s="240">
        <f>IFERROR(1/P1967-1,B1966)</f>
        <v/>
      </c>
      <c r="C1967" s="240">
        <f>$C$3</f>
        <v/>
      </c>
      <c r="D1967" s="240">
        <f>$D$3</f>
        <v/>
      </c>
      <c r="E1967" s="240">
        <f>$E$3</f>
        <v/>
      </c>
      <c r="F1967" s="241" t="n">
        <v>11.72</v>
      </c>
      <c r="G1967" s="242" t="n">
        <v>8566099</v>
      </c>
      <c r="H1967" s="241" t="n">
        <v>0.6</v>
      </c>
      <c r="I1967" s="241" t="n">
        <v>4.27</v>
      </c>
      <c r="J1967" s="241" t="n">
        <v>-6.76</v>
      </c>
      <c r="K1967" s="241" t="n">
        <v>9.06</v>
      </c>
      <c r="L1967" s="242" t="n">
        <v>2717000</v>
      </c>
      <c r="M1967" s="241" t="n">
        <v>1.41</v>
      </c>
      <c r="N1967" s="241" t="n">
        <v>-3.69</v>
      </c>
      <c r="O1967" s="241" t="n">
        <v>-15.44</v>
      </c>
      <c r="P1967" s="241" t="n">
        <v>1.29</v>
      </c>
    </row>
    <row r="1968">
      <c r="A1968" s="282" t="inlineStr">
        <is>
          <t>2014-02-13</t>
        </is>
      </c>
      <c r="B1968" s="240">
        <f>IFERROR(1/P1968-1,B1967)</f>
        <v/>
      </c>
      <c r="C1968" s="240">
        <f>$C$3</f>
        <v/>
      </c>
      <c r="D1968" s="240">
        <f>$D$3</f>
        <v/>
      </c>
      <c r="E1968" s="240">
        <f>$E$3</f>
        <v/>
      </c>
      <c r="F1968" s="241" t="n">
        <v>11.72</v>
      </c>
      <c r="G1968" s="242" t="n">
        <v>11353948</v>
      </c>
      <c r="H1968" s="241" t="n">
        <v>0</v>
      </c>
      <c r="I1968" s="241" t="n">
        <v>4.27</v>
      </c>
      <c r="J1968" s="241" t="n">
        <v>-6.76</v>
      </c>
      <c r="K1968" s="241" t="n">
        <v>8.74</v>
      </c>
      <c r="L1968" s="242" t="n">
        <v>1365411</v>
      </c>
      <c r="M1968" s="241" t="n">
        <v>-3.48</v>
      </c>
      <c r="N1968" s="241" t="n">
        <v>-7.04</v>
      </c>
      <c r="O1968" s="241" t="n">
        <v>-18.38</v>
      </c>
      <c r="P1968" s="241" t="n">
        <v>1.34</v>
      </c>
    </row>
    <row r="1969">
      <c r="A1969" s="282" t="inlineStr">
        <is>
          <t>2014-02-14</t>
        </is>
      </c>
      <c r="B1969" s="240">
        <f>IFERROR(1/P1969-1,B1968)</f>
        <v/>
      </c>
      <c r="C1969" s="240">
        <f>$C$3</f>
        <v/>
      </c>
      <c r="D1969" s="240">
        <f>$D$3</f>
        <v/>
      </c>
      <c r="E1969" s="240">
        <f>$E$3</f>
        <v/>
      </c>
      <c r="F1969" s="241" t="n">
        <v>11.9</v>
      </c>
      <c r="G1969" s="242" t="n">
        <v>9246131</v>
      </c>
      <c r="H1969" s="241" t="n">
        <v>1.54</v>
      </c>
      <c r="I1969" s="241" t="n">
        <v>7.4</v>
      </c>
      <c r="J1969" s="241" t="n">
        <v>-5.33</v>
      </c>
      <c r="K1969" s="241" t="n">
        <v>8.83</v>
      </c>
      <c r="L1969" s="242" t="n">
        <v>1246800</v>
      </c>
      <c r="M1969" s="241" t="n">
        <v>1.08</v>
      </c>
      <c r="N1969" s="241" t="n">
        <v>-3.61</v>
      </c>
      <c r="O1969" s="241" t="n">
        <v>-17.5</v>
      </c>
      <c r="P1969" s="241" t="n">
        <v>1.35</v>
      </c>
    </row>
    <row r="1970">
      <c r="A1970" s="282" t="inlineStr">
        <is>
          <t>2014-02-17</t>
        </is>
      </c>
      <c r="B1970" s="240">
        <f>IFERROR(1/P1970-1,B1969)</f>
        <v/>
      </c>
      <c r="C1970" s="240">
        <f>$C$3</f>
        <v/>
      </c>
      <c r="D1970" s="240">
        <f>$D$3</f>
        <v/>
      </c>
      <c r="E1970" s="240">
        <f>$E$3</f>
        <v/>
      </c>
      <c r="F1970" s="241" t="n">
        <v>12.29</v>
      </c>
      <c r="G1970" s="242" t="n">
        <v>18120190</v>
      </c>
      <c r="H1970" s="241" t="n">
        <v>3.28</v>
      </c>
      <c r="I1970" s="241" t="n">
        <v>9.15</v>
      </c>
      <c r="J1970" s="241" t="n">
        <v>-2.23</v>
      </c>
      <c r="K1970" s="241" t="n">
        <v>9.02</v>
      </c>
      <c r="L1970" s="242" t="n">
        <v>1769400</v>
      </c>
      <c r="M1970" s="241" t="n">
        <v>2.14</v>
      </c>
      <c r="N1970" s="241" t="n">
        <v>-0.52</v>
      </c>
      <c r="O1970" s="241" t="n">
        <v>-15.74</v>
      </c>
      <c r="P1970" s="241" t="n">
        <v>1.36</v>
      </c>
    </row>
    <row r="1971">
      <c r="A1971" s="282" t="inlineStr">
        <is>
          <t>2014-02-18</t>
        </is>
      </c>
      <c r="B1971" s="240">
        <f>IFERROR(1/P1971-1,B1970)</f>
        <v/>
      </c>
      <c r="C1971" s="240">
        <f>$C$3</f>
        <v/>
      </c>
      <c r="D1971" s="240">
        <f>$D$3</f>
        <v/>
      </c>
      <c r="E1971" s="240">
        <f>$E$3</f>
        <v/>
      </c>
      <c r="F1971" s="241" t="n">
        <v>12.39</v>
      </c>
      <c r="G1971" s="242" t="n">
        <v>27225342</v>
      </c>
      <c r="H1971" s="241" t="n">
        <v>0.8100000000000001</v>
      </c>
      <c r="I1971" s="241" t="n">
        <v>12.84</v>
      </c>
      <c r="J1971" s="241" t="n">
        <v>-1.43</v>
      </c>
      <c r="K1971" s="241" t="n">
        <v>9.029999999999999</v>
      </c>
      <c r="L1971" s="242" t="n">
        <v>1973641</v>
      </c>
      <c r="M1971" s="241" t="n">
        <v>0</v>
      </c>
      <c r="N1971" s="241" t="n">
        <v>-1.55</v>
      </c>
      <c r="O1971" s="241" t="n">
        <v>-15.74</v>
      </c>
      <c r="P1971" s="241" t="n">
        <v>1.37</v>
      </c>
    </row>
    <row r="1972">
      <c r="A1972" s="282" t="inlineStr">
        <is>
          <t>2014-02-19</t>
        </is>
      </c>
      <c r="B1972" s="240">
        <f>IFERROR(1/P1972-1,B1971)</f>
        <v/>
      </c>
      <c r="C1972" s="240">
        <f>$C$3</f>
        <v/>
      </c>
      <c r="D1972" s="240">
        <f>$D$3</f>
        <v/>
      </c>
      <c r="E1972" s="240">
        <f>$E$3</f>
        <v/>
      </c>
      <c r="F1972" s="241" t="n">
        <v>12.37</v>
      </c>
      <c r="G1972" s="242" t="n">
        <v>14896579</v>
      </c>
      <c r="H1972" s="241" t="n">
        <v>-0.16</v>
      </c>
      <c r="I1972" s="241" t="n">
        <v>12.66</v>
      </c>
      <c r="J1972" s="241" t="n">
        <v>-1.59</v>
      </c>
      <c r="K1972" s="241" t="n">
        <v>9.08</v>
      </c>
      <c r="L1972" s="242" t="n">
        <v>2307800</v>
      </c>
      <c r="M1972" s="241" t="n">
        <v>0.52</v>
      </c>
      <c r="N1972" s="241" t="n">
        <v>-1.03</v>
      </c>
      <c r="O1972" s="241" t="n">
        <v>-15.29</v>
      </c>
      <c r="P1972" s="241" t="n">
        <v>1.36</v>
      </c>
    </row>
    <row r="1973">
      <c r="A1973" s="282" t="inlineStr">
        <is>
          <t>2014-02-20</t>
        </is>
      </c>
      <c r="B1973" s="240">
        <f>IFERROR(1/P1973-1,B1972)</f>
        <v/>
      </c>
      <c r="C1973" s="240">
        <f>$C$3</f>
        <v/>
      </c>
      <c r="D1973" s="240">
        <f>$D$3</f>
        <v/>
      </c>
      <c r="E1973" s="240">
        <f>$E$3</f>
        <v/>
      </c>
      <c r="F1973" s="241" t="n">
        <v>12.06</v>
      </c>
      <c r="G1973" s="242" t="n">
        <v>10620796</v>
      </c>
      <c r="H1973" s="241" t="n">
        <v>-2.51</v>
      </c>
      <c r="I1973" s="241" t="n">
        <v>9.84</v>
      </c>
      <c r="J1973" s="241" t="n">
        <v>-4.06</v>
      </c>
      <c r="K1973" s="241" t="n">
        <v>9.050000000000001</v>
      </c>
      <c r="L1973" s="242" t="n">
        <v>1423200</v>
      </c>
      <c r="M1973" s="241" t="n">
        <v>-0.35</v>
      </c>
      <c r="N1973" s="241" t="n">
        <v>-1.37</v>
      </c>
      <c r="O1973" s="241" t="n">
        <v>-15.59</v>
      </c>
      <c r="P1973" s="241" t="n">
        <v>1.33</v>
      </c>
    </row>
    <row r="1974">
      <c r="A1974" s="282" t="inlineStr">
        <is>
          <t>2014-02-21</t>
        </is>
      </c>
      <c r="B1974" s="240">
        <f>IFERROR(1/P1974-1,B1973)</f>
        <v/>
      </c>
      <c r="C1974" s="240">
        <f>$C$3</f>
        <v/>
      </c>
      <c r="D1974" s="240">
        <f>$D$3</f>
        <v/>
      </c>
      <c r="E1974" s="240">
        <f>$E$3</f>
        <v/>
      </c>
      <c r="F1974" s="241" t="n">
        <v>11.88</v>
      </c>
      <c r="G1974" s="242" t="n">
        <v>16954003</v>
      </c>
      <c r="H1974" s="241" t="n">
        <v>-1.49</v>
      </c>
      <c r="I1974" s="241" t="n">
        <v>8</v>
      </c>
      <c r="J1974" s="241" t="n">
        <v>-5.49</v>
      </c>
      <c r="K1974" s="241" t="n">
        <v>8.960000000000001</v>
      </c>
      <c r="L1974" s="242" t="n">
        <v>1433199</v>
      </c>
      <c r="M1974" s="241" t="n">
        <v>-1.05</v>
      </c>
      <c r="N1974" s="241" t="n">
        <v>-1.39</v>
      </c>
      <c r="O1974" s="241" t="n">
        <v>-16.47</v>
      </c>
      <c r="P1974" s="241" t="n">
        <v>1.33</v>
      </c>
    </row>
    <row r="1975">
      <c r="A1975" s="282" t="inlineStr">
        <is>
          <t>2014-02-24</t>
        </is>
      </c>
      <c r="B1975" s="240">
        <f>IFERROR(1/P1975-1,B1974)</f>
        <v/>
      </c>
      <c r="C1975" s="240">
        <f>$C$3</f>
        <v/>
      </c>
      <c r="D1975" s="240">
        <f>$D$3</f>
        <v/>
      </c>
      <c r="E1975" s="240">
        <f>$E$3</f>
        <v/>
      </c>
      <c r="F1975" s="241" t="n">
        <v>11.57</v>
      </c>
      <c r="G1975" s="242" t="n">
        <v>10323538</v>
      </c>
      <c r="H1975" s="241" t="n">
        <v>-2.61</v>
      </c>
      <c r="I1975" s="241" t="n">
        <v>1.4</v>
      </c>
      <c r="J1975" s="241" t="n">
        <v>-7.96</v>
      </c>
      <c r="K1975" s="241" t="n">
        <v>8.789999999999999</v>
      </c>
      <c r="L1975" s="242" t="n">
        <v>1158018</v>
      </c>
      <c r="M1975" s="241" t="n">
        <v>-1.94</v>
      </c>
      <c r="N1975" s="241" t="n">
        <v>-3.63</v>
      </c>
      <c r="O1975" s="241" t="n">
        <v>-18.09</v>
      </c>
      <c r="P1975" s="241" t="n">
        <v>1.32</v>
      </c>
    </row>
    <row r="1976">
      <c r="A1976" s="282" t="inlineStr">
        <is>
          <t>2014-02-25</t>
        </is>
      </c>
      <c r="B1976" s="240">
        <f>IFERROR(1/P1976-1,B1975)</f>
        <v/>
      </c>
      <c r="C1976" s="240">
        <f>$C$3</f>
        <v/>
      </c>
      <c r="D1976" s="240">
        <f>$D$3</f>
        <v/>
      </c>
      <c r="E1976" s="240">
        <f>$E$3</f>
        <v/>
      </c>
      <c r="F1976" s="241" t="n">
        <v>11.29</v>
      </c>
      <c r="G1976" s="242" t="n">
        <v>11121602</v>
      </c>
      <c r="H1976" s="241" t="n">
        <v>-2.42</v>
      </c>
      <c r="I1976" s="241" t="n">
        <v>-1.22</v>
      </c>
      <c r="J1976" s="241" t="n">
        <v>-10.18</v>
      </c>
      <c r="K1976" s="241" t="n">
        <v>8.880000000000001</v>
      </c>
      <c r="L1976" s="242" t="n">
        <v>2171800</v>
      </c>
      <c r="M1976" s="241" t="n">
        <v>1.08</v>
      </c>
      <c r="N1976" s="241" t="n">
        <v>-2.09</v>
      </c>
      <c r="O1976" s="241" t="n">
        <v>-17.21</v>
      </c>
      <c r="P1976" s="241" t="n">
        <v>1.27</v>
      </c>
    </row>
    <row r="1977">
      <c r="A1977" s="282" t="inlineStr">
        <is>
          <t>2014-02-26</t>
        </is>
      </c>
      <c r="B1977" s="240">
        <f>IFERROR(1/P1977-1,B1976)</f>
        <v/>
      </c>
      <c r="C1977" s="240">
        <f>$C$3</f>
        <v/>
      </c>
      <c r="D1977" s="240">
        <f>$D$3</f>
        <v/>
      </c>
      <c r="E1977" s="240">
        <f>$E$3</f>
        <v/>
      </c>
      <c r="F1977" s="241" t="n">
        <v>11.42</v>
      </c>
      <c r="G1977" s="242" t="n">
        <v>7536097</v>
      </c>
      <c r="H1977" s="241" t="n">
        <v>1.15</v>
      </c>
      <c r="I1977" s="241" t="n">
        <v>-0.09</v>
      </c>
      <c r="J1977" s="241" t="n">
        <v>-9.15</v>
      </c>
      <c r="K1977" s="241" t="n">
        <v>8.94</v>
      </c>
      <c r="L1977" s="242" t="n">
        <v>3225677</v>
      </c>
      <c r="M1977" s="241" t="n">
        <v>0.71</v>
      </c>
      <c r="N1977" s="241" t="n">
        <v>-1.39</v>
      </c>
      <c r="O1977" s="241" t="n">
        <v>-16.62</v>
      </c>
      <c r="P1977" s="241" t="n">
        <v>1.28</v>
      </c>
    </row>
    <row r="1978">
      <c r="A1978" s="282" t="inlineStr">
        <is>
          <t>2014-02-27</t>
        </is>
      </c>
      <c r="B1978" s="240">
        <f>IFERROR(1/P1978-1,B1977)</f>
        <v/>
      </c>
      <c r="C1978" s="240">
        <f>$C$3</f>
        <v/>
      </c>
      <c r="D1978" s="240">
        <f>$D$3</f>
        <v/>
      </c>
      <c r="E1978" s="240">
        <f>$E$3</f>
        <v/>
      </c>
      <c r="F1978" s="241" t="n">
        <v>11.63</v>
      </c>
      <c r="G1978" s="242" t="n">
        <v>14523914</v>
      </c>
      <c r="H1978" s="241" t="n">
        <v>1.84</v>
      </c>
      <c r="I1978" s="241" t="n">
        <v>1.75</v>
      </c>
      <c r="J1978" s="241" t="n">
        <v>-7.48</v>
      </c>
      <c r="K1978" s="241" t="n">
        <v>9.66</v>
      </c>
      <c r="L1978" s="242" t="n">
        <v>6352200</v>
      </c>
      <c r="M1978" s="241" t="n">
        <v>7.94</v>
      </c>
      <c r="N1978" s="241" t="n">
        <v>6.43</v>
      </c>
      <c r="O1978" s="241" t="n">
        <v>-10</v>
      </c>
      <c r="P1978" s="241" t="n">
        <v>1.2</v>
      </c>
    </row>
    <row r="1979">
      <c r="A1979" s="282" t="inlineStr">
        <is>
          <t>2014-02-28</t>
        </is>
      </c>
      <c r="B1979" s="240">
        <f>IFERROR(1/P1979-1,B1978)</f>
        <v/>
      </c>
      <c r="C1979" s="240">
        <f>$C$3</f>
        <v/>
      </c>
      <c r="D1979" s="240">
        <f>$D$3</f>
        <v/>
      </c>
      <c r="E1979" s="240">
        <f>$E$3</f>
        <v/>
      </c>
      <c r="F1979" s="241" t="n">
        <v>11.7</v>
      </c>
      <c r="G1979" s="242" t="n">
        <v>10705783</v>
      </c>
      <c r="H1979" s="241" t="n">
        <v>0.6</v>
      </c>
      <c r="I1979" s="241" t="n">
        <v>5.5</v>
      </c>
      <c r="J1979" s="241" t="n">
        <v>-6.92</v>
      </c>
      <c r="K1979" s="241" t="n">
        <v>9.800000000000001</v>
      </c>
      <c r="L1979" s="242" t="n">
        <v>4227900</v>
      </c>
      <c r="M1979" s="241" t="n">
        <v>1.47</v>
      </c>
      <c r="N1979" s="241" t="n">
        <v>12.7</v>
      </c>
      <c r="O1979" s="241" t="n">
        <v>-8.68</v>
      </c>
      <c r="P1979" s="241" t="n">
        <v>1.19</v>
      </c>
    </row>
    <row r="1980">
      <c r="A1980" s="282" t="inlineStr">
        <is>
          <t>2014-03-03</t>
        </is>
      </c>
      <c r="B1980" s="240">
        <f>IFERROR(1/P1980-1,B1979)</f>
        <v/>
      </c>
      <c r="C1980" s="240">
        <f>$C$3</f>
        <v/>
      </c>
      <c r="D1980" s="240">
        <f>$D$3</f>
        <v/>
      </c>
      <c r="E1980" s="240">
        <f>$E$3</f>
        <v/>
      </c>
      <c r="F1980" s="241" t="n">
        <v>12.17</v>
      </c>
      <c r="G1980" s="242" t="n">
        <v>16095658</v>
      </c>
      <c r="H1980" s="241" t="n">
        <v>4.02</v>
      </c>
      <c r="I1980" s="241" t="n">
        <v>9.94</v>
      </c>
      <c r="J1980" s="241" t="n">
        <v>-3.18</v>
      </c>
      <c r="K1980" s="241" t="n">
        <v>9.779999999999999</v>
      </c>
      <c r="L1980" s="242" t="n">
        <v>2528900</v>
      </c>
      <c r="M1980" s="241" t="n">
        <v>-0.16</v>
      </c>
      <c r="N1980" s="241" t="n">
        <v>15.46</v>
      </c>
      <c r="O1980" s="241" t="n">
        <v>-8.82</v>
      </c>
      <c r="P1980" s="241" t="n">
        <v>1.24</v>
      </c>
    </row>
    <row r="1981">
      <c r="A1981" s="282" t="inlineStr">
        <is>
          <t>2014-03-04</t>
        </is>
      </c>
      <c r="B1981" s="240">
        <f>IFERROR(1/P1981-1,B1980)</f>
        <v/>
      </c>
      <c r="C1981" s="240">
        <f>$C$3</f>
        <v/>
      </c>
      <c r="D1981" s="240">
        <f>$D$3</f>
        <v/>
      </c>
      <c r="E1981" s="240">
        <f>$E$3</f>
        <v/>
      </c>
      <c r="F1981" s="241" t="n">
        <v>12.07</v>
      </c>
      <c r="G1981" s="242" t="n">
        <v>13020856</v>
      </c>
      <c r="H1981" s="241" t="n">
        <v>-0.82</v>
      </c>
      <c r="I1981" s="241" t="n">
        <v>9.029999999999999</v>
      </c>
      <c r="J1981" s="241" t="n">
        <v>-3.98</v>
      </c>
      <c r="K1981" s="241" t="n">
        <v>9.720000000000001</v>
      </c>
      <c r="L1981" s="242" t="n">
        <v>2763580</v>
      </c>
      <c r="M1981" s="241" t="n">
        <v>-0.65</v>
      </c>
      <c r="N1981" s="241" t="n">
        <v>14.71</v>
      </c>
      <c r="O1981" s="241" t="n">
        <v>-9.41</v>
      </c>
      <c r="P1981" s="241" t="n">
        <v>1.24</v>
      </c>
    </row>
    <row r="1982">
      <c r="A1982" s="282" t="inlineStr">
        <is>
          <t>2014-03-05</t>
        </is>
      </c>
      <c r="B1982" s="240">
        <f>IFERROR(1/P1982-1,B1981)</f>
        <v/>
      </c>
      <c r="C1982" s="240">
        <f>$C$3</f>
        <v/>
      </c>
      <c r="D1982" s="240">
        <f>$D$3</f>
        <v/>
      </c>
      <c r="E1982" s="240">
        <f>$E$3</f>
        <v/>
      </c>
      <c r="F1982" s="241" t="n">
        <v>11.94</v>
      </c>
      <c r="G1982" s="242" t="n">
        <v>12975926</v>
      </c>
      <c r="H1982" s="241" t="n">
        <v>-1.08</v>
      </c>
      <c r="I1982" s="241" t="n">
        <v>7.86</v>
      </c>
      <c r="J1982" s="241" t="n">
        <v>-5.01</v>
      </c>
      <c r="K1982" s="241" t="n">
        <v>9.91</v>
      </c>
      <c r="L1982" s="242" t="n">
        <v>2195595</v>
      </c>
      <c r="M1982" s="241" t="n">
        <v>1.95</v>
      </c>
      <c r="N1982" s="241" t="n">
        <v>17.6</v>
      </c>
      <c r="O1982" s="241" t="n">
        <v>-7.65</v>
      </c>
      <c r="P1982" s="241" t="n">
        <v>1.2</v>
      </c>
    </row>
    <row r="1983">
      <c r="A1983" s="282" t="inlineStr">
        <is>
          <t>2014-03-06</t>
        </is>
      </c>
      <c r="B1983" s="240">
        <f>IFERROR(1/P1983-1,B1982)</f>
        <v/>
      </c>
      <c r="C1983" s="240">
        <f>$C$3</f>
        <v/>
      </c>
      <c r="D1983" s="240">
        <f>$D$3</f>
        <v/>
      </c>
      <c r="E1983" s="240">
        <f>$E$3</f>
        <v/>
      </c>
      <c r="F1983" s="241" t="n">
        <v>11.91</v>
      </c>
      <c r="G1983" s="242" t="n">
        <v>9855592</v>
      </c>
      <c r="H1983" s="241" t="n">
        <v>-0.25</v>
      </c>
      <c r="I1983" s="241" t="n">
        <v>7.59</v>
      </c>
      <c r="J1983" s="241" t="n">
        <v>-5.25</v>
      </c>
      <c r="K1983" s="241" t="n">
        <v>9.630000000000001</v>
      </c>
      <c r="L1983" s="242" t="n">
        <v>3540400</v>
      </c>
      <c r="M1983" s="241" t="n">
        <v>-2.87</v>
      </c>
      <c r="N1983" s="241" t="n">
        <v>15.53</v>
      </c>
      <c r="O1983" s="241" t="n">
        <v>-10.29</v>
      </c>
      <c r="P1983" s="241" t="n">
        <v>1.24</v>
      </c>
    </row>
    <row r="1984">
      <c r="A1984" s="282" t="inlineStr">
        <is>
          <t>2014-03-07</t>
        </is>
      </c>
      <c r="B1984" s="240">
        <f>IFERROR(1/P1984-1,B1983)</f>
        <v/>
      </c>
      <c r="C1984" s="240">
        <f>$C$3</f>
        <v/>
      </c>
      <c r="D1984" s="240">
        <f>$D$3</f>
        <v/>
      </c>
      <c r="E1984" s="240">
        <f>$E$3</f>
        <v/>
      </c>
      <c r="F1984" s="241" t="n">
        <v>12.06</v>
      </c>
      <c r="G1984" s="242" t="n">
        <v>21596330</v>
      </c>
      <c r="H1984" s="241" t="n">
        <v>1.26</v>
      </c>
      <c r="I1984" s="241" t="n">
        <v>8.94</v>
      </c>
      <c r="J1984" s="241" t="n">
        <v>-4.06</v>
      </c>
      <c r="K1984" s="241" t="n">
        <v>10.16</v>
      </c>
      <c r="L1984" s="242" t="n">
        <v>4174000</v>
      </c>
      <c r="M1984" s="241" t="n">
        <v>5.57</v>
      </c>
      <c r="N1984" s="241" t="n">
        <v>22.2</v>
      </c>
      <c r="O1984" s="241" t="n">
        <v>-5.29</v>
      </c>
      <c r="P1984" s="241" t="n">
        <v>1.19</v>
      </c>
    </row>
    <row r="1985">
      <c r="A1985" s="282" t="inlineStr">
        <is>
          <t>2014-03-10</t>
        </is>
      </c>
      <c r="B1985" s="240">
        <f>IFERROR(1/P1985-1,B1984)</f>
        <v/>
      </c>
      <c r="C1985" s="240">
        <f>$C$3</f>
        <v/>
      </c>
      <c r="D1985" s="240">
        <f>$D$3</f>
        <v/>
      </c>
      <c r="E1985" s="240">
        <f>$E$3</f>
        <v/>
      </c>
      <c r="F1985" s="241" t="n">
        <v>11.97</v>
      </c>
      <c r="G1985" s="242" t="n">
        <v>14660004</v>
      </c>
      <c r="H1985" s="241" t="n">
        <v>-0.75</v>
      </c>
      <c r="I1985" s="241" t="n">
        <v>5.65</v>
      </c>
      <c r="J1985" s="241" t="n">
        <v>-4.77</v>
      </c>
      <c r="K1985" s="241" t="n">
        <v>10.07</v>
      </c>
      <c r="L1985" s="242" t="n">
        <v>2773400</v>
      </c>
      <c r="M1985" s="241" t="n">
        <v>-1.09</v>
      </c>
      <c r="N1985" s="241" t="n">
        <v>17.53</v>
      </c>
      <c r="O1985" s="241" t="n">
        <v>-6.32</v>
      </c>
      <c r="P1985" s="241" t="n">
        <v>1.19</v>
      </c>
    </row>
    <row r="1986">
      <c r="A1986" s="282" t="inlineStr">
        <is>
          <t>2014-03-11</t>
        </is>
      </c>
      <c r="B1986" s="240">
        <f>IFERROR(1/P1986-1,B1985)</f>
        <v/>
      </c>
      <c r="C1986" s="240">
        <f>$C$3</f>
        <v/>
      </c>
      <c r="D1986" s="240">
        <f>$D$3</f>
        <v/>
      </c>
      <c r="E1986" s="240">
        <f>$E$3</f>
        <v/>
      </c>
      <c r="F1986" s="241" t="n">
        <v>12.48</v>
      </c>
      <c r="G1986" s="242" t="n">
        <v>32453153</v>
      </c>
      <c r="H1986" s="241" t="n">
        <v>4.26</v>
      </c>
      <c r="I1986" s="241" t="n">
        <v>6.76</v>
      </c>
      <c r="J1986" s="241" t="n">
        <v>-0.72</v>
      </c>
      <c r="K1986" s="241" t="n">
        <v>10.11</v>
      </c>
      <c r="L1986" s="242" t="n">
        <v>1953733</v>
      </c>
      <c r="M1986" s="241" t="n">
        <v>0.47</v>
      </c>
      <c r="N1986" s="241" t="n">
        <v>12.28</v>
      </c>
      <c r="O1986" s="241" t="n">
        <v>-5.88</v>
      </c>
      <c r="P1986" s="241" t="n">
        <v>1.23</v>
      </c>
    </row>
    <row r="1987">
      <c r="A1987" s="282" t="inlineStr">
        <is>
          <t>2014-03-12</t>
        </is>
      </c>
      <c r="B1987" s="240">
        <f>IFERROR(1/P1987-1,B1986)</f>
        <v/>
      </c>
      <c r="C1987" s="240">
        <f>$C$3</f>
        <v/>
      </c>
      <c r="D1987" s="240">
        <f>$D$3</f>
        <v/>
      </c>
      <c r="E1987" s="240">
        <f>$E$3</f>
        <v/>
      </c>
      <c r="F1987" s="241" t="n">
        <v>12.29</v>
      </c>
      <c r="G1987" s="242" t="n">
        <v>22543290</v>
      </c>
      <c r="H1987" s="241" t="n">
        <v>-1.52</v>
      </c>
      <c r="I1987" s="241" t="n">
        <v>5.49</v>
      </c>
      <c r="J1987" s="241" t="n">
        <v>-2.23</v>
      </c>
      <c r="K1987" s="241" t="n">
        <v>9.48</v>
      </c>
      <c r="L1987" s="242" t="n">
        <v>3891904</v>
      </c>
      <c r="M1987" s="241" t="n">
        <v>-6.25</v>
      </c>
      <c r="N1987" s="241" t="n">
        <v>5.82</v>
      </c>
      <c r="O1987" s="241" t="n">
        <v>-11.76</v>
      </c>
      <c r="P1987" s="241" t="n">
        <v>1.3</v>
      </c>
    </row>
    <row r="1988">
      <c r="A1988" s="282" t="inlineStr">
        <is>
          <t>2014-03-13</t>
        </is>
      </c>
      <c r="B1988" s="240">
        <f>IFERROR(1/P1988-1,B1987)</f>
        <v/>
      </c>
      <c r="C1988" s="240">
        <f>$C$3</f>
        <v/>
      </c>
      <c r="D1988" s="240">
        <f>$D$3</f>
        <v/>
      </c>
      <c r="E1988" s="240">
        <f>$E$3</f>
        <v/>
      </c>
      <c r="F1988" s="241" t="n">
        <v>12.78</v>
      </c>
      <c r="G1988" s="242" t="n">
        <v>34327243</v>
      </c>
      <c r="H1988" s="241" t="n">
        <v>3.99</v>
      </c>
      <c r="I1988" s="241" t="n">
        <v>9.039999999999999</v>
      </c>
      <c r="J1988" s="241" t="n">
        <v>1.67</v>
      </c>
      <c r="K1988" s="241" t="n">
        <v>9.640000000000001</v>
      </c>
      <c r="L1988" s="242" t="n">
        <v>2782740</v>
      </c>
      <c r="M1988" s="241" t="n">
        <v>1.67</v>
      </c>
      <c r="N1988" s="241" t="n">
        <v>6.09</v>
      </c>
      <c r="O1988" s="241" t="n">
        <v>-10.29</v>
      </c>
      <c r="P1988" s="241" t="n">
        <v>1.33</v>
      </c>
    </row>
    <row r="1989">
      <c r="A1989" s="282" t="inlineStr">
        <is>
          <t>2014-03-14</t>
        </is>
      </c>
      <c r="B1989" s="240">
        <f>IFERROR(1/P1989-1,B1988)</f>
        <v/>
      </c>
      <c r="C1989" s="240">
        <f>$C$3</f>
        <v/>
      </c>
      <c r="D1989" s="240">
        <f>$D$3</f>
        <v/>
      </c>
      <c r="E1989" s="240">
        <f>$E$3</f>
        <v/>
      </c>
      <c r="F1989" s="241" t="n">
        <v>12.69</v>
      </c>
      <c r="G1989" s="242" t="n">
        <v>18925361</v>
      </c>
      <c r="H1989" s="241" t="n">
        <v>-0.7</v>
      </c>
      <c r="I1989" s="241" t="n">
        <v>8.279999999999999</v>
      </c>
      <c r="J1989" s="241" t="n">
        <v>0.95</v>
      </c>
      <c r="K1989" s="241" t="n">
        <v>9.449999999999999</v>
      </c>
      <c r="L1989" s="242" t="n">
        <v>1208800</v>
      </c>
      <c r="M1989" s="241" t="n">
        <v>-1.97</v>
      </c>
      <c r="N1989" s="241" t="n">
        <v>7.75</v>
      </c>
      <c r="O1989" s="241" t="n">
        <v>-12.06</v>
      </c>
      <c r="P1989" s="241" t="n">
        <v>1.34</v>
      </c>
    </row>
    <row r="1990">
      <c r="A1990" s="282" t="inlineStr">
        <is>
          <t>2014-03-17</t>
        </is>
      </c>
      <c r="B1990" s="240">
        <f>IFERROR(1/P1990-1,B1989)</f>
        <v/>
      </c>
      <c r="C1990" s="240">
        <f>$C$3</f>
        <v/>
      </c>
      <c r="D1990" s="240">
        <f>$D$3</f>
        <v/>
      </c>
      <c r="E1990" s="240">
        <f>$E$3</f>
        <v/>
      </c>
      <c r="F1990" s="241" t="n">
        <v>12.74</v>
      </c>
      <c r="G1990" s="242" t="n">
        <v>15744350</v>
      </c>
      <c r="H1990" s="241" t="n">
        <v>0.39</v>
      </c>
      <c r="I1990" s="241" t="n">
        <v>7.06</v>
      </c>
      <c r="J1990" s="241" t="n">
        <v>1.35</v>
      </c>
      <c r="K1990" s="241" t="n">
        <v>9.710000000000001</v>
      </c>
      <c r="L1990" s="242" t="n">
        <v>1674006</v>
      </c>
      <c r="M1990" s="241" t="n">
        <v>2.84</v>
      </c>
      <c r="N1990" s="241" t="n">
        <v>9.630000000000001</v>
      </c>
      <c r="O1990" s="241" t="n">
        <v>-9.56</v>
      </c>
      <c r="P1990" s="241" t="n">
        <v>1.31</v>
      </c>
    </row>
    <row r="1991">
      <c r="A1991" s="282" t="inlineStr">
        <is>
          <t>2014-03-18</t>
        </is>
      </c>
      <c r="B1991" s="240">
        <f>IFERROR(1/P1991-1,B1990)</f>
        <v/>
      </c>
      <c r="C1991" s="240">
        <f>$C$3</f>
        <v/>
      </c>
      <c r="D1991" s="240">
        <f>$D$3</f>
        <v/>
      </c>
      <c r="E1991" s="240">
        <f>$E$3</f>
        <v/>
      </c>
      <c r="F1991" s="241" t="n">
        <v>12.47</v>
      </c>
      <c r="G1991" s="242" t="n">
        <v>29879966</v>
      </c>
      <c r="H1991" s="241" t="n">
        <v>-2.12</v>
      </c>
      <c r="I1991" s="241" t="n">
        <v>1.46</v>
      </c>
      <c r="J1991" s="241" t="n">
        <v>-0.8</v>
      </c>
      <c r="K1991" s="241" t="n">
        <v>9.539999999999999</v>
      </c>
      <c r="L1991" s="242" t="n">
        <v>1248194</v>
      </c>
      <c r="M1991" s="241" t="n">
        <v>-1.79</v>
      </c>
      <c r="N1991" s="241" t="n">
        <v>5.41</v>
      </c>
      <c r="O1991" s="241" t="n">
        <v>-11.18</v>
      </c>
      <c r="P1991" s="241" t="n">
        <v>1.31</v>
      </c>
    </row>
    <row r="1992">
      <c r="A1992" s="282" t="inlineStr">
        <is>
          <t>2014-03-19</t>
        </is>
      </c>
      <c r="B1992" s="240">
        <f>IFERROR(1/P1992-1,B1991)</f>
        <v/>
      </c>
      <c r="C1992" s="240">
        <f>$C$3</f>
        <v/>
      </c>
      <c r="D1992" s="240">
        <f>$D$3</f>
        <v/>
      </c>
      <c r="E1992" s="240">
        <f>$E$3</f>
        <v/>
      </c>
      <c r="F1992" s="241" t="n">
        <v>12.65</v>
      </c>
      <c r="G1992" s="242" t="n">
        <v>20040183</v>
      </c>
      <c r="H1992" s="241" t="n">
        <v>1.44</v>
      </c>
      <c r="I1992" s="241" t="n">
        <v>2.1</v>
      </c>
      <c r="J1992" s="241" t="n">
        <v>0.64</v>
      </c>
      <c r="K1992" s="241" t="n">
        <v>9.65</v>
      </c>
      <c r="L1992" s="242" t="n">
        <v>1016800</v>
      </c>
      <c r="M1992" s="241" t="n">
        <v>1.16</v>
      </c>
      <c r="N1992" s="241" t="n">
        <v>6.63</v>
      </c>
      <c r="O1992" s="241" t="n">
        <v>-10.15</v>
      </c>
      <c r="P1992" s="241" t="n">
        <v>1.31</v>
      </c>
    </row>
    <row r="1993">
      <c r="A1993" s="282" t="inlineStr">
        <is>
          <t>2014-03-20</t>
        </is>
      </c>
      <c r="B1993" s="240">
        <f>IFERROR(1/P1993-1,B1992)</f>
        <v/>
      </c>
      <c r="C1993" s="240">
        <f>$C$3</f>
        <v/>
      </c>
      <c r="D1993" s="240">
        <f>$D$3</f>
        <v/>
      </c>
      <c r="E1993" s="240">
        <f>$E$3</f>
        <v/>
      </c>
      <c r="F1993" s="241" t="n">
        <v>12.13</v>
      </c>
      <c r="G1993" s="242" t="n">
        <v>17108514</v>
      </c>
      <c r="H1993" s="241" t="n">
        <v>-4.11</v>
      </c>
      <c r="I1993" s="241" t="n">
        <v>-1.94</v>
      </c>
      <c r="J1993" s="241" t="n">
        <v>-3.5</v>
      </c>
      <c r="K1993" s="241" t="n">
        <v>9.529999999999999</v>
      </c>
      <c r="L1993" s="242" t="n">
        <v>782467</v>
      </c>
      <c r="M1993" s="241" t="n">
        <v>-1.47</v>
      </c>
      <c r="N1993" s="241" t="n">
        <v>4.51</v>
      </c>
      <c r="O1993" s="241" t="n">
        <v>-11.47</v>
      </c>
      <c r="P1993" s="241" t="n">
        <v>1.27</v>
      </c>
    </row>
    <row r="1994">
      <c r="A1994" s="282" t="inlineStr">
        <is>
          <t>2014-03-21</t>
        </is>
      </c>
      <c r="B1994" s="240">
        <f>IFERROR(1/P1994-1,B1993)</f>
        <v/>
      </c>
      <c r="C1994" s="240">
        <f>$C$3</f>
        <v/>
      </c>
      <c r="D1994" s="240">
        <f>$D$3</f>
        <v/>
      </c>
      <c r="E1994" s="240">
        <f>$E$3</f>
        <v/>
      </c>
      <c r="F1994" s="241" t="n">
        <v>12.8</v>
      </c>
      <c r="G1994" s="242" t="n">
        <v>27325137</v>
      </c>
      <c r="H1994" s="241" t="n">
        <v>5.52</v>
      </c>
      <c r="I1994" s="241" t="n">
        <v>6.14</v>
      </c>
      <c r="J1994" s="241" t="n">
        <v>1.83</v>
      </c>
      <c r="K1994" s="241" t="n">
        <v>9.58</v>
      </c>
      <c r="L1994" s="242" t="n">
        <v>1464400</v>
      </c>
      <c r="M1994" s="241" t="n">
        <v>0.5</v>
      </c>
      <c r="N1994" s="241" t="n">
        <v>5.4</v>
      </c>
      <c r="O1994" s="241" t="n">
        <v>-11.03</v>
      </c>
      <c r="P1994" s="241" t="n">
        <v>1.34</v>
      </c>
    </row>
    <row r="1995">
      <c r="A1995" s="282" t="inlineStr">
        <is>
          <t>2014-03-24</t>
        </is>
      </c>
      <c r="B1995" s="240">
        <f>IFERROR(1/P1995-1,B1994)</f>
        <v/>
      </c>
      <c r="C1995" s="240">
        <f>$C$3</f>
        <v/>
      </c>
      <c r="D1995" s="240">
        <f>$D$3</f>
        <v/>
      </c>
      <c r="E1995" s="240">
        <f>$E$3</f>
        <v/>
      </c>
      <c r="F1995" s="241" t="n">
        <v>13.08</v>
      </c>
      <c r="G1995" s="242" t="n">
        <v>32047884</v>
      </c>
      <c r="H1995" s="241" t="n">
        <v>2.19</v>
      </c>
      <c r="I1995" s="241" t="n">
        <v>10.1</v>
      </c>
      <c r="J1995" s="241" t="n">
        <v>4.06</v>
      </c>
      <c r="K1995" s="241" t="n">
        <v>9.789999999999999</v>
      </c>
      <c r="L1995" s="242" t="n">
        <v>1463940</v>
      </c>
      <c r="M1995" s="241" t="n">
        <v>2.15</v>
      </c>
      <c r="N1995" s="241" t="n">
        <v>8.800000000000001</v>
      </c>
      <c r="O1995" s="241" t="n">
        <v>-9.119999999999999</v>
      </c>
      <c r="P1995" s="241" t="n">
        <v>1.34</v>
      </c>
    </row>
    <row r="1996">
      <c r="A1996" s="282" t="inlineStr">
        <is>
          <t>2014-03-25</t>
        </is>
      </c>
      <c r="B1996" s="240">
        <f>IFERROR(1/P1996-1,B1995)</f>
        <v/>
      </c>
      <c r="C1996" s="240">
        <f>$C$3</f>
        <v/>
      </c>
      <c r="D1996" s="240">
        <f>$D$3</f>
        <v/>
      </c>
      <c r="E1996" s="240">
        <f>$E$3</f>
        <v/>
      </c>
      <c r="F1996" s="241" t="n">
        <v>12.85</v>
      </c>
      <c r="G1996" s="242" t="n">
        <v>23325288</v>
      </c>
      <c r="H1996" s="241" t="n">
        <v>-1.76</v>
      </c>
      <c r="I1996" s="241" t="n">
        <v>11.06</v>
      </c>
      <c r="J1996" s="241" t="n">
        <v>2.23</v>
      </c>
      <c r="K1996" s="241" t="n">
        <v>9.74</v>
      </c>
      <c r="L1996" s="242" t="n">
        <v>1497100</v>
      </c>
      <c r="M1996" s="241" t="n">
        <v>-0.49</v>
      </c>
      <c r="N1996" s="241" t="n">
        <v>10.41</v>
      </c>
      <c r="O1996" s="241" t="n">
        <v>-9.56</v>
      </c>
      <c r="P1996" s="241" t="n">
        <v>1.32</v>
      </c>
    </row>
    <row r="1997">
      <c r="A1997" s="282" t="inlineStr">
        <is>
          <t>2014-03-26</t>
        </is>
      </c>
      <c r="B1997" s="240">
        <f>IFERROR(1/P1997-1,B1996)</f>
        <v/>
      </c>
      <c r="C1997" s="240">
        <f>$C$3</f>
        <v/>
      </c>
      <c r="D1997" s="240">
        <f>$D$3</f>
        <v/>
      </c>
      <c r="E1997" s="240">
        <f>$E$3</f>
        <v/>
      </c>
      <c r="F1997" s="241" t="n">
        <v>12.87</v>
      </c>
      <c r="G1997" s="242" t="n">
        <v>13686718</v>
      </c>
      <c r="H1997" s="241" t="n">
        <v>0.16</v>
      </c>
      <c r="I1997" s="241" t="n">
        <v>13.99</v>
      </c>
      <c r="J1997" s="241" t="n">
        <v>2.39</v>
      </c>
      <c r="K1997" s="241" t="n">
        <v>9.68</v>
      </c>
      <c r="L1997" s="242" t="n">
        <v>1534800</v>
      </c>
      <c r="M1997" s="241" t="n">
        <v>-0.65</v>
      </c>
      <c r="N1997" s="241" t="n">
        <v>8.529999999999999</v>
      </c>
      <c r="O1997" s="241" t="n">
        <v>-10.15</v>
      </c>
      <c r="P1997" s="241" t="n">
        <v>1.33</v>
      </c>
    </row>
    <row r="1998">
      <c r="A1998" s="282" t="inlineStr">
        <is>
          <t>2014-03-27</t>
        </is>
      </c>
      <c r="B1998" s="240">
        <f>IFERROR(1/P1998-1,B1997)</f>
        <v/>
      </c>
      <c r="C1998" s="240">
        <f>$C$3</f>
        <v/>
      </c>
      <c r="D1998" s="240">
        <f>$D$3</f>
        <v/>
      </c>
      <c r="E1998" s="240">
        <f>$E$3</f>
        <v/>
      </c>
      <c r="F1998" s="241" t="n">
        <v>12.54</v>
      </c>
      <c r="G1998" s="242" t="n">
        <v>14952876</v>
      </c>
      <c r="H1998" s="241" t="n">
        <v>-2.56</v>
      </c>
      <c r="I1998" s="241" t="n">
        <v>9.81</v>
      </c>
      <c r="J1998" s="241" t="n">
        <v>-0.24</v>
      </c>
      <c r="K1998" s="241" t="n">
        <v>9.130000000000001</v>
      </c>
      <c r="L1998" s="242" t="n">
        <v>2228000</v>
      </c>
      <c r="M1998" s="241" t="n">
        <v>-5.73</v>
      </c>
      <c r="N1998" s="241" t="n">
        <v>1.59</v>
      </c>
      <c r="O1998" s="241" t="n">
        <v>-15.29</v>
      </c>
      <c r="P1998" s="241" t="n">
        <v>1.37</v>
      </c>
    </row>
    <row r="1999">
      <c r="A1999" s="282" t="inlineStr">
        <is>
          <t>2014-03-28</t>
        </is>
      </c>
      <c r="B1999" s="240">
        <f>IFERROR(1/P1999-1,B1998)</f>
        <v/>
      </c>
      <c r="C1999" s="240">
        <f>$C$3</f>
        <v/>
      </c>
      <c r="D1999" s="240">
        <f>$D$3</f>
        <v/>
      </c>
      <c r="E1999" s="240">
        <f>$E$3</f>
        <v/>
      </c>
      <c r="F1999" s="241" t="n">
        <v>12.67</v>
      </c>
      <c r="G1999" s="242" t="n">
        <v>17849442</v>
      </c>
      <c r="H1999" s="241" t="n">
        <v>1.04</v>
      </c>
      <c r="I1999" s="241" t="n">
        <v>8.94</v>
      </c>
      <c r="J1999" s="241" t="n">
        <v>0.8</v>
      </c>
      <c r="K1999" s="241" t="n">
        <v>9.449999999999999</v>
      </c>
      <c r="L1999" s="242" t="n">
        <v>1741600</v>
      </c>
      <c r="M1999" s="241" t="n">
        <v>3.47</v>
      </c>
      <c r="N1999" s="241" t="n">
        <v>-2.61</v>
      </c>
      <c r="O1999" s="241" t="n">
        <v>-12.35</v>
      </c>
      <c r="P1999" s="241" t="n">
        <v>1.34</v>
      </c>
    </row>
    <row r="2000">
      <c r="A2000" s="282" t="inlineStr">
        <is>
          <t>2014-03-31</t>
        </is>
      </c>
      <c r="B2000" s="240">
        <f>IFERROR(1/P2000-1,B1999)</f>
        <v/>
      </c>
      <c r="C2000" s="240">
        <f>$C$3</f>
        <v/>
      </c>
      <c r="D2000" s="240">
        <f>$D$3</f>
        <v/>
      </c>
      <c r="E2000" s="240">
        <f>$E$3</f>
        <v/>
      </c>
      <c r="F2000" s="241" t="n">
        <v>12.5</v>
      </c>
      <c r="G2000" s="242" t="n">
        <v>10532444</v>
      </c>
      <c r="H2000" s="241" t="n">
        <v>-1.34</v>
      </c>
      <c r="I2000" s="241" t="n">
        <v>7.48</v>
      </c>
      <c r="J2000" s="241" t="n">
        <v>-0.5600000000000001</v>
      </c>
      <c r="K2000" s="241" t="n">
        <v>9.58</v>
      </c>
      <c r="L2000" s="242" t="n">
        <v>1036750</v>
      </c>
      <c r="M2000" s="241" t="n">
        <v>1.34</v>
      </c>
      <c r="N2000" s="241" t="n">
        <v>-1.31</v>
      </c>
      <c r="O2000" s="241" t="n">
        <v>-11.18</v>
      </c>
      <c r="P2000" s="241" t="n">
        <v>1.3</v>
      </c>
    </row>
    <row r="2001">
      <c r="A2001" s="282" t="inlineStr">
        <is>
          <t>2014-04-01</t>
        </is>
      </c>
      <c r="B2001" s="240">
        <f>IFERROR(1/P2001-1,B2000)</f>
        <v/>
      </c>
      <c r="C2001" s="240">
        <f>$C$3</f>
        <v/>
      </c>
      <c r="D2001" s="240">
        <f>$D$3</f>
        <v/>
      </c>
      <c r="E2001" s="240">
        <f>$E$3</f>
        <v/>
      </c>
      <c r="F2001" s="241" t="n">
        <v>12.61</v>
      </c>
      <c r="G2001" s="242" t="n">
        <v>10640443</v>
      </c>
      <c r="H2001" s="241" t="n">
        <v>0.88</v>
      </c>
      <c r="I2001" s="241" t="n">
        <v>7.78</v>
      </c>
      <c r="J2001" s="241" t="n">
        <v>0.32</v>
      </c>
      <c r="K2001" s="241" t="n">
        <v>9.48</v>
      </c>
      <c r="L2001" s="242" t="n">
        <v>1233176</v>
      </c>
      <c r="M2001" s="241" t="n">
        <v>-0.99</v>
      </c>
      <c r="N2001" s="241" t="n">
        <v>-3.7</v>
      </c>
      <c r="O2001" s="241" t="n">
        <v>-12.06</v>
      </c>
      <c r="P2001" s="241" t="n">
        <v>1.33</v>
      </c>
    </row>
    <row r="2002">
      <c r="A2002" s="282" t="inlineStr">
        <is>
          <t>2014-04-02</t>
        </is>
      </c>
      <c r="B2002" s="240">
        <f>IFERROR(1/P2002-1,B2001)</f>
        <v/>
      </c>
      <c r="C2002" s="240">
        <f>$C$3</f>
        <v/>
      </c>
      <c r="D2002" s="240">
        <f>$D$3</f>
        <v/>
      </c>
      <c r="E2002" s="240">
        <f>$E$3</f>
        <v/>
      </c>
      <c r="F2002" s="241" t="n">
        <v>12.8</v>
      </c>
      <c r="G2002" s="242" t="n">
        <v>16334140</v>
      </c>
      <c r="H2002" s="241" t="n">
        <v>1.51</v>
      </c>
      <c r="I2002" s="241" t="n">
        <v>9.4</v>
      </c>
      <c r="J2002" s="241" t="n">
        <v>1.83</v>
      </c>
      <c r="K2002" s="241" t="n">
        <v>9.699999999999999</v>
      </c>
      <c r="L2002" s="242" t="n">
        <v>2547600</v>
      </c>
      <c r="M2002" s="241" t="n">
        <v>2.34</v>
      </c>
      <c r="N2002" s="241" t="n">
        <v>-1.45</v>
      </c>
      <c r="O2002" s="241" t="n">
        <v>-10</v>
      </c>
      <c r="P2002" s="241" t="n">
        <v>1.32</v>
      </c>
    </row>
    <row r="2003">
      <c r="A2003" s="282" t="inlineStr">
        <is>
          <t>2014-04-03</t>
        </is>
      </c>
      <c r="B2003" s="240">
        <f>IFERROR(1/P2003-1,B2002)</f>
        <v/>
      </c>
      <c r="C2003" s="240">
        <f>$C$3</f>
        <v/>
      </c>
      <c r="D2003" s="240">
        <f>$D$3</f>
        <v/>
      </c>
      <c r="E2003" s="240">
        <f>$E$3</f>
        <v/>
      </c>
      <c r="F2003" s="241" t="n">
        <v>12.48</v>
      </c>
      <c r="G2003" s="242" t="n">
        <v>13512549</v>
      </c>
      <c r="H2003" s="241" t="n">
        <v>-2.5</v>
      </c>
      <c r="I2003" s="241" t="n">
        <v>6.67</v>
      </c>
      <c r="J2003" s="241" t="n">
        <v>-0.72</v>
      </c>
      <c r="K2003" s="241" t="n">
        <v>9.949999999999999</v>
      </c>
      <c r="L2003" s="242" t="n">
        <v>2738530</v>
      </c>
      <c r="M2003" s="241" t="n">
        <v>2.45</v>
      </c>
      <c r="N2003" s="241" t="n">
        <v>0.97</v>
      </c>
      <c r="O2003" s="241" t="n">
        <v>-7.79</v>
      </c>
      <c r="P2003" s="241" t="n">
        <v>1.25</v>
      </c>
    </row>
    <row r="2004">
      <c r="A2004" s="282" t="inlineStr">
        <is>
          <t>2014-04-04</t>
        </is>
      </c>
      <c r="B2004" s="240">
        <f>IFERROR(1/P2004-1,B2003)</f>
        <v/>
      </c>
      <c r="C2004" s="240">
        <f>$C$3</f>
        <v/>
      </c>
      <c r="D2004" s="240">
        <f>$D$3</f>
        <v/>
      </c>
      <c r="E2004" s="240">
        <f>$E$3</f>
        <v/>
      </c>
      <c r="F2004" s="241" t="n">
        <v>12.55</v>
      </c>
      <c r="G2004" s="242" t="n">
        <v>8668716</v>
      </c>
      <c r="H2004" s="241" t="n">
        <v>0.5600000000000001</v>
      </c>
      <c r="I2004" s="241" t="n">
        <v>3.12</v>
      </c>
      <c r="J2004" s="241" t="n">
        <v>-0.16</v>
      </c>
      <c r="K2004" s="241" t="n">
        <v>9.789999999999999</v>
      </c>
      <c r="L2004" s="242" t="n">
        <v>565600</v>
      </c>
      <c r="M2004" s="241" t="n">
        <v>-1.59</v>
      </c>
      <c r="N2004" s="241" t="n">
        <v>-0.48</v>
      </c>
      <c r="O2004" s="241" t="n">
        <v>-9.26</v>
      </c>
      <c r="P2004" s="241" t="n">
        <v>1.28</v>
      </c>
    </row>
    <row r="2005">
      <c r="A2005" s="282" t="inlineStr">
        <is>
          <t>2014-04-08</t>
        </is>
      </c>
      <c r="B2005" s="240">
        <f>IFERROR(1/P2005-1,B2004)</f>
        <v/>
      </c>
      <c r="C2005" s="240">
        <f>$C$3</f>
        <v/>
      </c>
      <c r="D2005" s="240">
        <f>$D$3</f>
        <v/>
      </c>
      <c r="E2005" s="240">
        <f>$E$3</f>
        <v/>
      </c>
      <c r="F2005" s="241" t="n">
        <v>12.86</v>
      </c>
      <c r="G2005" s="242" t="n">
        <v>21144170</v>
      </c>
      <c r="H2005" s="241" t="n">
        <v>2.47</v>
      </c>
      <c r="I2005" s="241" t="n">
        <v>6.63</v>
      </c>
      <c r="J2005" s="241" t="n">
        <v>2.31</v>
      </c>
      <c r="K2005" s="241" t="n">
        <v>9.92</v>
      </c>
      <c r="L2005" s="242" t="n">
        <v>1367061</v>
      </c>
      <c r="M2005" s="241" t="n">
        <v>1.79</v>
      </c>
      <c r="N2005" s="241" t="n">
        <v>-2.95</v>
      </c>
      <c r="O2005" s="241" t="n">
        <v>-8.09</v>
      </c>
      <c r="P2005" s="241" t="n">
        <v>1.3</v>
      </c>
    </row>
    <row r="2006">
      <c r="A2006" s="282" t="inlineStr">
        <is>
          <t>2014-04-09</t>
        </is>
      </c>
      <c r="B2006" s="240">
        <f>IFERROR(1/P2006-1,B2005)</f>
        <v/>
      </c>
      <c r="C2006" s="240">
        <f>$C$3</f>
        <v/>
      </c>
      <c r="D2006" s="240">
        <f>$D$3</f>
        <v/>
      </c>
      <c r="E2006" s="240">
        <f>$E$3</f>
        <v/>
      </c>
      <c r="F2006" s="241" t="n">
        <v>12.88</v>
      </c>
      <c r="G2006" s="242" t="n">
        <v>14493633</v>
      </c>
      <c r="H2006" s="241" t="n">
        <v>0.16</v>
      </c>
      <c r="I2006" s="241" t="n">
        <v>6.8</v>
      </c>
      <c r="J2006" s="241" t="n">
        <v>2.47</v>
      </c>
      <c r="K2006" s="241" t="n">
        <v>9.85</v>
      </c>
      <c r="L2006" s="242" t="n">
        <v>1711400</v>
      </c>
      <c r="M2006" s="241" t="n">
        <v>-0.64</v>
      </c>
      <c r="N2006" s="241" t="n">
        <v>-3.57</v>
      </c>
      <c r="O2006" s="241" t="n">
        <v>-8.68</v>
      </c>
      <c r="P2006" s="241" t="n">
        <v>1.31</v>
      </c>
    </row>
    <row r="2007">
      <c r="A2007" s="282" t="inlineStr">
        <is>
          <t>2014-04-10</t>
        </is>
      </c>
      <c r="B2007" s="240">
        <f>IFERROR(1/P2007-1,B2006)</f>
        <v/>
      </c>
      <c r="C2007" s="240">
        <f>$C$3</f>
        <v/>
      </c>
      <c r="D2007" s="240">
        <f>$D$3</f>
        <v/>
      </c>
      <c r="E2007" s="240">
        <f>$E$3</f>
        <v/>
      </c>
      <c r="F2007" s="241" t="n">
        <v>13.11</v>
      </c>
      <c r="G2007" s="242" t="n">
        <v>26306146</v>
      </c>
      <c r="H2007" s="241" t="n">
        <v>1.79</v>
      </c>
      <c r="I2007" s="241" t="n">
        <v>8.710000000000001</v>
      </c>
      <c r="J2007" s="241" t="n">
        <v>4.3</v>
      </c>
      <c r="K2007" s="241" t="n">
        <v>10.35</v>
      </c>
      <c r="L2007" s="242" t="n">
        <v>5203204</v>
      </c>
      <c r="M2007" s="241" t="n">
        <v>4.99</v>
      </c>
      <c r="N2007" s="241" t="n">
        <v>1.24</v>
      </c>
      <c r="O2007" s="241" t="n">
        <v>-4.12</v>
      </c>
      <c r="P2007" s="241" t="n">
        <v>1.27</v>
      </c>
    </row>
    <row r="2008">
      <c r="A2008" s="282" t="inlineStr">
        <is>
          <t>2014-04-11</t>
        </is>
      </c>
      <c r="B2008" s="240">
        <f>IFERROR(1/P2008-1,B2007)</f>
        <v/>
      </c>
      <c r="C2008" s="240">
        <f>$C$3</f>
        <v/>
      </c>
      <c r="D2008" s="240">
        <f>$D$3</f>
        <v/>
      </c>
      <c r="E2008" s="240">
        <f>$E$3</f>
        <v/>
      </c>
      <c r="F2008" s="241" t="n">
        <v>12.89</v>
      </c>
      <c r="G2008" s="242" t="n">
        <v>17468874</v>
      </c>
      <c r="H2008" s="241" t="n">
        <v>-1.68</v>
      </c>
      <c r="I2008" s="241" t="n">
        <v>7.69</v>
      </c>
      <c r="J2008" s="241" t="n">
        <v>2.55</v>
      </c>
      <c r="K2008" s="241" t="n">
        <v>10.25</v>
      </c>
      <c r="L2008" s="242" t="n">
        <v>2431200</v>
      </c>
      <c r="M2008" s="241" t="n">
        <v>-0.92</v>
      </c>
      <c r="N2008" s="241" t="n">
        <v>1.41</v>
      </c>
      <c r="O2008" s="241" t="n">
        <v>-5</v>
      </c>
      <c r="P2008" s="241" t="n">
        <v>1.26</v>
      </c>
    </row>
    <row r="2009">
      <c r="A2009" s="282" t="inlineStr">
        <is>
          <t>2014-04-14</t>
        </is>
      </c>
      <c r="B2009" s="240">
        <f>IFERROR(1/P2009-1,B2008)</f>
        <v/>
      </c>
      <c r="C2009" s="240">
        <f>$C$3</f>
        <v/>
      </c>
      <c r="D2009" s="240">
        <f>$D$3</f>
        <v/>
      </c>
      <c r="E2009" s="240">
        <f>$E$3</f>
        <v/>
      </c>
      <c r="F2009" s="241" t="n">
        <v>13.18</v>
      </c>
      <c r="G2009" s="242" t="n">
        <v>26061580</v>
      </c>
      <c r="H2009" s="241" t="n">
        <v>2.25</v>
      </c>
      <c r="I2009" s="241" t="n">
        <v>3.13</v>
      </c>
      <c r="J2009" s="241" t="n">
        <v>4.85</v>
      </c>
      <c r="K2009" s="241" t="n">
        <v>10.49</v>
      </c>
      <c r="L2009" s="242" t="n">
        <v>1384800</v>
      </c>
      <c r="M2009" s="241" t="n">
        <v>2.32</v>
      </c>
      <c r="N2009" s="241" t="n">
        <v>8.359999999999999</v>
      </c>
      <c r="O2009" s="241" t="n">
        <v>-2.79</v>
      </c>
      <c r="P2009" s="241" t="n">
        <v>1.26</v>
      </c>
    </row>
    <row r="2010">
      <c r="A2010" s="282" t="inlineStr">
        <is>
          <t>2014-04-15</t>
        </is>
      </c>
      <c r="B2010" s="240">
        <f>IFERROR(1/P2010-1,B2009)</f>
        <v/>
      </c>
      <c r="C2010" s="240">
        <f>$C$3</f>
        <v/>
      </c>
      <c r="D2010" s="240">
        <f>$D$3</f>
        <v/>
      </c>
      <c r="E2010" s="240">
        <f>$E$3</f>
        <v/>
      </c>
      <c r="F2010" s="241" t="n">
        <v>12.89</v>
      </c>
      <c r="G2010" s="242" t="n">
        <v>14963391</v>
      </c>
      <c r="H2010" s="241" t="n">
        <v>-2.2</v>
      </c>
      <c r="I2010" s="241" t="n">
        <v>1.58</v>
      </c>
      <c r="J2010" s="241" t="n">
        <v>2.55</v>
      </c>
      <c r="K2010" s="241" t="n">
        <v>9.99</v>
      </c>
      <c r="L2010" s="242" t="n">
        <v>908860</v>
      </c>
      <c r="M2010" s="241" t="n">
        <v>-4.84</v>
      </c>
      <c r="N2010" s="241" t="n">
        <v>5.18</v>
      </c>
      <c r="O2010" s="241" t="n">
        <v>-7.5</v>
      </c>
      <c r="P2010" s="241" t="n">
        <v>1.29</v>
      </c>
    </row>
    <row r="2011">
      <c r="A2011" s="282" t="inlineStr">
        <is>
          <t>2014-04-16</t>
        </is>
      </c>
      <c r="B2011" s="240">
        <f>IFERROR(1/P2011-1,B2010)</f>
        <v/>
      </c>
      <c r="C2011" s="240">
        <f>$C$3</f>
        <v/>
      </c>
      <c r="D2011" s="240">
        <f>$D$3</f>
        <v/>
      </c>
      <c r="E2011" s="240">
        <f>$E$3</f>
        <v/>
      </c>
      <c r="F2011" s="241" t="n">
        <v>12.84</v>
      </c>
      <c r="G2011" s="242" t="n">
        <v>10821428</v>
      </c>
      <c r="H2011" s="241" t="n">
        <v>-0.39</v>
      </c>
      <c r="I2011" s="241" t="n">
        <v>1.18</v>
      </c>
      <c r="J2011" s="241" t="n">
        <v>2.15</v>
      </c>
      <c r="K2011" s="241" t="n">
        <v>9.98</v>
      </c>
      <c r="L2011" s="242" t="n">
        <v>1263800</v>
      </c>
      <c r="M2011" s="241" t="n">
        <v>-0.16</v>
      </c>
      <c r="N2011" s="241" t="n">
        <v>5.02</v>
      </c>
      <c r="O2011" s="241" t="n">
        <v>-7.65</v>
      </c>
      <c r="P2011" s="241" t="n">
        <v>1.29</v>
      </c>
    </row>
    <row r="2012">
      <c r="A2012" s="282" t="inlineStr">
        <is>
          <t>2014-04-17</t>
        </is>
      </c>
      <c r="B2012" s="240">
        <f>IFERROR(1/P2012-1,B2011)</f>
        <v/>
      </c>
      <c r="C2012" s="240">
        <f>$C$3</f>
        <v/>
      </c>
      <c r="D2012" s="240">
        <f>$D$3</f>
        <v/>
      </c>
      <c r="E2012" s="240">
        <f>$E$3</f>
        <v/>
      </c>
      <c r="F2012" s="241" t="n">
        <v>12.84</v>
      </c>
      <c r="G2012" s="242" t="n">
        <v>10262149</v>
      </c>
      <c r="H2012" s="241" t="n">
        <v>0</v>
      </c>
      <c r="I2012" s="241" t="n">
        <v>1.18</v>
      </c>
      <c r="J2012" s="241" t="n">
        <v>2.15</v>
      </c>
      <c r="K2012" s="241" t="n">
        <v>9.93</v>
      </c>
      <c r="L2012" s="242" t="n">
        <v>1028000</v>
      </c>
      <c r="M2012" s="241" t="n">
        <v>-0.48</v>
      </c>
      <c r="N2012" s="241" t="n">
        <v>4.52</v>
      </c>
      <c r="O2012" s="241" t="n">
        <v>-8.09</v>
      </c>
      <c r="P2012" s="241" t="n">
        <v>1.29</v>
      </c>
    </row>
    <row r="2013">
      <c r="A2013" s="282" t="inlineStr">
        <is>
          <t>2014-04-18</t>
        </is>
      </c>
      <c r="B2013" s="240">
        <f>IFERROR(1/P2013-1,B2012)</f>
        <v/>
      </c>
      <c r="C2013" s="240">
        <f>$C$3</f>
        <v/>
      </c>
      <c r="D2013" s="240">
        <f>$D$3</f>
        <v/>
      </c>
      <c r="E2013" s="240">
        <f>$E$3</f>
        <v/>
      </c>
      <c r="F2013" s="241" t="n">
        <v>12.86</v>
      </c>
      <c r="G2013" s="242" t="n">
        <v>9601285</v>
      </c>
      <c r="H2013" s="241" t="n">
        <v>0.16</v>
      </c>
      <c r="I2013" s="241" t="n">
        <v>0.9399999999999999</v>
      </c>
      <c r="J2013" s="241" t="n">
        <v>2.31</v>
      </c>
      <c r="K2013" s="239" t="inlineStr">
        <is>
          <t>--</t>
        </is>
      </c>
      <c r="L2013" s="239" t="inlineStr">
        <is>
          <t>--</t>
        </is>
      </c>
      <c r="M2013" s="239" t="inlineStr">
        <is>
          <t>--</t>
        </is>
      </c>
      <c r="N2013" s="239" t="inlineStr">
        <is>
          <t>--</t>
        </is>
      </c>
      <c r="O2013" s="239" t="inlineStr">
        <is>
          <t>--</t>
        </is>
      </c>
      <c r="P2013" s="239" t="inlineStr">
        <is>
          <t>--</t>
        </is>
      </c>
    </row>
    <row r="2014">
      <c r="A2014" s="282" t="inlineStr">
        <is>
          <t>2014-04-21</t>
        </is>
      </c>
      <c r="B2014" s="240">
        <f>IFERROR(1/P2014-1,B2013)</f>
        <v/>
      </c>
      <c r="C2014" s="240">
        <f>$C$3</f>
        <v/>
      </c>
      <c r="D2014" s="240">
        <f>$D$3</f>
        <v/>
      </c>
      <c r="E2014" s="240">
        <f>$E$3</f>
        <v/>
      </c>
      <c r="F2014" s="241" t="n">
        <v>12.72</v>
      </c>
      <c r="G2014" s="242" t="n">
        <v>22518225</v>
      </c>
      <c r="H2014" s="241" t="n">
        <v>-1.09</v>
      </c>
      <c r="I2014" s="241" t="n">
        <v>4.86</v>
      </c>
      <c r="J2014" s="241" t="n">
        <v>1.19</v>
      </c>
      <c r="K2014" s="239" t="inlineStr">
        <is>
          <t>--</t>
        </is>
      </c>
      <c r="L2014" s="239" t="inlineStr">
        <is>
          <t>--</t>
        </is>
      </c>
      <c r="M2014" s="239" t="inlineStr">
        <is>
          <t>--</t>
        </is>
      </c>
      <c r="N2014" s="239" t="inlineStr">
        <is>
          <t>--</t>
        </is>
      </c>
      <c r="O2014" s="239" t="inlineStr">
        <is>
          <t>--</t>
        </is>
      </c>
      <c r="P2014" s="239" t="inlineStr">
        <is>
          <t>--</t>
        </is>
      </c>
    </row>
    <row r="2015">
      <c r="A2015" s="282" t="inlineStr">
        <is>
          <t>2014-04-22</t>
        </is>
      </c>
      <c r="B2015" s="240">
        <f>IFERROR(1/P2015-1,B2014)</f>
        <v/>
      </c>
      <c r="C2015" s="240">
        <f>$C$3</f>
        <v/>
      </c>
      <c r="D2015" s="240">
        <f>$D$3</f>
        <v/>
      </c>
      <c r="E2015" s="240">
        <f>$E$3</f>
        <v/>
      </c>
      <c r="F2015" s="241" t="n">
        <v>12.54</v>
      </c>
      <c r="G2015" s="242" t="n">
        <v>18778250</v>
      </c>
      <c r="H2015" s="241" t="n">
        <v>-1.42</v>
      </c>
      <c r="I2015" s="241" t="n">
        <v>-2.03</v>
      </c>
      <c r="J2015" s="241" t="n">
        <v>-0.24</v>
      </c>
      <c r="K2015" s="241" t="n">
        <v>10.39</v>
      </c>
      <c r="L2015" s="242" t="n">
        <v>3599536</v>
      </c>
      <c r="M2015" s="241" t="n">
        <v>4.64</v>
      </c>
      <c r="N2015" s="241" t="n">
        <v>8.1</v>
      </c>
      <c r="O2015" s="241" t="n">
        <v>-3.82</v>
      </c>
      <c r="P2015" s="241" t="n">
        <v>1.21</v>
      </c>
    </row>
    <row r="2016">
      <c r="A2016" s="282" t="inlineStr">
        <is>
          <t>2014-04-23</t>
        </is>
      </c>
      <c r="B2016" s="240">
        <f>IFERROR(1/P2016-1,B2015)</f>
        <v/>
      </c>
      <c r="C2016" s="240">
        <f>$C$3</f>
        <v/>
      </c>
      <c r="D2016" s="240">
        <f>$D$3</f>
        <v/>
      </c>
      <c r="E2016" s="240">
        <f>$E$3</f>
        <v/>
      </c>
      <c r="F2016" s="241" t="n">
        <v>12.52</v>
      </c>
      <c r="G2016" s="242" t="n">
        <v>7817851</v>
      </c>
      <c r="H2016" s="241" t="n">
        <v>-0.16</v>
      </c>
      <c r="I2016" s="241" t="n">
        <v>-2.19</v>
      </c>
      <c r="J2016" s="241" t="n">
        <v>-0.4</v>
      </c>
      <c r="K2016" s="241" t="n">
        <v>10.28</v>
      </c>
      <c r="L2016" s="242" t="n">
        <v>948600</v>
      </c>
      <c r="M2016" s="241" t="n">
        <v>-1.07</v>
      </c>
      <c r="N2016" s="241" t="n">
        <v>6.94</v>
      </c>
      <c r="O2016" s="241" t="n">
        <v>-4.85</v>
      </c>
      <c r="P2016" s="241" t="n">
        <v>1.22</v>
      </c>
    </row>
    <row r="2017">
      <c r="A2017" s="282" t="inlineStr">
        <is>
          <t>2014-04-24</t>
        </is>
      </c>
      <c r="B2017" s="240">
        <f>IFERROR(1/P2017-1,B2016)</f>
        <v/>
      </c>
      <c r="C2017" s="240">
        <f>$C$3</f>
        <v/>
      </c>
      <c r="D2017" s="240">
        <f>$D$3</f>
        <v/>
      </c>
      <c r="E2017" s="240">
        <f>$E$3</f>
        <v/>
      </c>
      <c r="F2017" s="241" t="n">
        <v>12.33</v>
      </c>
      <c r="G2017" s="242" t="n">
        <v>7617704</v>
      </c>
      <c r="H2017" s="241" t="n">
        <v>-1.52</v>
      </c>
      <c r="I2017" s="241" t="n">
        <v>-3.67</v>
      </c>
      <c r="J2017" s="241" t="n">
        <v>-1.91</v>
      </c>
      <c r="K2017" s="241" t="n">
        <v>10.12</v>
      </c>
      <c r="L2017" s="242" t="n">
        <v>642451</v>
      </c>
      <c r="M2017" s="241" t="n">
        <v>-1.55</v>
      </c>
      <c r="N2017" s="241" t="n">
        <v>5.29</v>
      </c>
      <c r="O2017" s="241" t="n">
        <v>-6.32</v>
      </c>
      <c r="P2017" s="241" t="n">
        <v>1.22</v>
      </c>
    </row>
    <row r="2018">
      <c r="A2018" s="282" t="inlineStr">
        <is>
          <t>2014-04-25</t>
        </is>
      </c>
      <c r="B2018" s="240">
        <f>IFERROR(1/P2018-1,B2017)</f>
        <v/>
      </c>
      <c r="C2018" s="240">
        <f>$C$3</f>
        <v/>
      </c>
      <c r="D2018" s="240">
        <f>$D$3</f>
        <v/>
      </c>
      <c r="E2018" s="240">
        <f>$E$3</f>
        <v/>
      </c>
      <c r="F2018" s="241" t="n">
        <v>12.1</v>
      </c>
      <c r="G2018" s="242" t="n">
        <v>9003648</v>
      </c>
      <c r="H2018" s="241" t="n">
        <v>-1.87</v>
      </c>
      <c r="I2018" s="241" t="n">
        <v>-7.49</v>
      </c>
      <c r="J2018" s="241" t="n">
        <v>-3.74</v>
      </c>
      <c r="K2018" s="241" t="n">
        <v>10.17</v>
      </c>
      <c r="L2018" s="242" t="n">
        <v>1740000</v>
      </c>
      <c r="M2018" s="241" t="n">
        <v>0.47</v>
      </c>
      <c r="N2018" s="241" t="n">
        <v>3.56</v>
      </c>
      <c r="O2018" s="241" t="n">
        <v>-5.88</v>
      </c>
      <c r="P2018" s="241" t="n">
        <v>1.19</v>
      </c>
    </row>
    <row r="2019">
      <c r="A2019" s="282" t="inlineStr">
        <is>
          <t>2014-04-28</t>
        </is>
      </c>
      <c r="B2019" s="240">
        <f>IFERROR(1/P2019-1,B2018)</f>
        <v/>
      </c>
      <c r="C2019" s="240">
        <f>$C$3</f>
        <v/>
      </c>
      <c r="D2019" s="240">
        <f>$D$3</f>
        <v/>
      </c>
      <c r="E2019" s="240">
        <f>$E$3</f>
        <v/>
      </c>
      <c r="F2019" s="241" t="n">
        <v>11.9</v>
      </c>
      <c r="G2019" s="242" t="n">
        <v>11276611</v>
      </c>
      <c r="H2019" s="241" t="n">
        <v>-1.65</v>
      </c>
      <c r="I2019" s="241" t="n">
        <v>-5.1</v>
      </c>
      <c r="J2019" s="241" t="n">
        <v>-5.33</v>
      </c>
      <c r="K2019" s="241" t="n">
        <v>9.93</v>
      </c>
      <c r="L2019" s="242" t="n">
        <v>633600</v>
      </c>
      <c r="M2019" s="241" t="n">
        <v>-2.34</v>
      </c>
      <c r="N2019" s="241" t="n">
        <v>8.51</v>
      </c>
      <c r="O2019" s="241" t="n">
        <v>-8.09</v>
      </c>
      <c r="P2019" s="241" t="n">
        <v>1.2</v>
      </c>
    </row>
    <row r="2020">
      <c r="A2020" s="282" t="inlineStr">
        <is>
          <t>2014-04-29</t>
        </is>
      </c>
      <c r="B2020" s="240">
        <f>IFERROR(1/P2020-1,B2019)</f>
        <v/>
      </c>
      <c r="C2020" s="240">
        <f>$C$3</f>
        <v/>
      </c>
      <c r="D2020" s="240">
        <f>$D$3</f>
        <v/>
      </c>
      <c r="E2020" s="240">
        <f>$E$3</f>
        <v/>
      </c>
      <c r="F2020" s="241" t="n">
        <v>11.95</v>
      </c>
      <c r="G2020" s="242" t="n">
        <v>8365985</v>
      </c>
      <c r="H2020" s="241" t="n">
        <v>0.42</v>
      </c>
      <c r="I2020" s="241" t="n">
        <v>-5.68</v>
      </c>
      <c r="J2020" s="241" t="n">
        <v>-4.93</v>
      </c>
      <c r="K2020" s="241" t="n">
        <v>9.59</v>
      </c>
      <c r="L2020" s="242" t="n">
        <v>2221860</v>
      </c>
      <c r="M2020" s="241" t="n">
        <v>-3.36</v>
      </c>
      <c r="N2020" s="241" t="n">
        <v>1.34</v>
      </c>
      <c r="O2020" s="241" t="n">
        <v>-11.18</v>
      </c>
      <c r="P2020" s="241" t="n">
        <v>1.25</v>
      </c>
    </row>
    <row r="2021">
      <c r="A2021" s="282" t="inlineStr">
        <is>
          <t>2014-04-30</t>
        </is>
      </c>
      <c r="B2021" s="240">
        <f>IFERROR(1/P2021-1,B2020)</f>
        <v/>
      </c>
      <c r="C2021" s="240">
        <f>$C$3</f>
        <v/>
      </c>
      <c r="D2021" s="240">
        <f>$D$3</f>
        <v/>
      </c>
      <c r="E2021" s="240">
        <f>$E$3</f>
        <v/>
      </c>
      <c r="F2021" s="241" t="n">
        <v>11.71</v>
      </c>
      <c r="G2021" s="242" t="n">
        <v>12691916</v>
      </c>
      <c r="H2021" s="241" t="n">
        <v>-2.01</v>
      </c>
      <c r="I2021" s="241" t="n">
        <v>-7.58</v>
      </c>
      <c r="J2021" s="241" t="n">
        <v>-6.84</v>
      </c>
      <c r="K2021" s="241" t="n">
        <v>9.609999999999999</v>
      </c>
      <c r="L2021" s="242" t="n">
        <v>1272600</v>
      </c>
      <c r="M2021" s="241" t="n">
        <v>0.17</v>
      </c>
      <c r="N2021" s="241" t="n">
        <v>1.51</v>
      </c>
      <c r="O2021" s="241" t="n">
        <v>-11.03</v>
      </c>
      <c r="P2021" s="241" t="n">
        <v>1.22</v>
      </c>
    </row>
    <row r="2022">
      <c r="A2022" s="282" t="inlineStr">
        <is>
          <t>2014-05-05</t>
        </is>
      </c>
      <c r="B2022" s="240">
        <f>IFERROR(1/P2022-1,B2021)</f>
        <v/>
      </c>
      <c r="C2022" s="240">
        <f>$C$3</f>
        <v/>
      </c>
      <c r="D2022" s="240">
        <f>$D$3</f>
        <v/>
      </c>
      <c r="E2022" s="240">
        <f>$E$3</f>
        <v/>
      </c>
      <c r="F2022" s="241" t="n">
        <v>11.86</v>
      </c>
      <c r="G2022" s="242" t="n">
        <v>8609416</v>
      </c>
      <c r="H2022" s="241" t="n">
        <v>1.28</v>
      </c>
      <c r="I2022" s="241" t="n">
        <v>-5.5</v>
      </c>
      <c r="J2022" s="241" t="n">
        <v>-5.65</v>
      </c>
      <c r="K2022" s="241" t="n">
        <v>9.449999999999999</v>
      </c>
      <c r="L2022" s="242" t="n">
        <v>798400</v>
      </c>
      <c r="M2022" s="241" t="n">
        <v>-0.67</v>
      </c>
      <c r="N2022" s="241" t="n">
        <v>-1.73</v>
      </c>
      <c r="O2022" s="241" t="n">
        <v>-10.83</v>
      </c>
      <c r="P2022" s="241" t="n">
        <v>1.26</v>
      </c>
    </row>
    <row r="2023">
      <c r="A2023" s="282" t="inlineStr">
        <is>
          <t>2014-05-06</t>
        </is>
      </c>
      <c r="B2023" s="240">
        <f>IFERROR(1/P2023-1,B2022)</f>
        <v/>
      </c>
      <c r="C2023" s="240">
        <f>$C$3</f>
        <v/>
      </c>
      <c r="D2023" s="240">
        <f>$D$3</f>
        <v/>
      </c>
      <c r="E2023" s="240">
        <f>$E$3</f>
        <v/>
      </c>
      <c r="F2023" s="241" t="n">
        <v>11.88</v>
      </c>
      <c r="G2023" s="242" t="n">
        <v>7801966</v>
      </c>
      <c r="H2023" s="241" t="n">
        <v>0.17</v>
      </c>
      <c r="I2023" s="241" t="n">
        <v>-5.34</v>
      </c>
      <c r="J2023" s="241" t="n">
        <v>-5.49</v>
      </c>
      <c r="K2023" s="239" t="inlineStr">
        <is>
          <t>--</t>
        </is>
      </c>
      <c r="L2023" s="239" t="inlineStr">
        <is>
          <t>--</t>
        </is>
      </c>
      <c r="M2023" s="239" t="inlineStr">
        <is>
          <t>--</t>
        </is>
      </c>
      <c r="N2023" s="239" t="inlineStr">
        <is>
          <t>--</t>
        </is>
      </c>
      <c r="O2023" s="239" t="inlineStr">
        <is>
          <t>--</t>
        </is>
      </c>
      <c r="P2023" s="239" t="inlineStr">
        <is>
          <t>--</t>
        </is>
      </c>
    </row>
    <row r="2024">
      <c r="A2024" s="282" t="inlineStr">
        <is>
          <t>2014-05-07</t>
        </is>
      </c>
      <c r="B2024" s="240">
        <f>IFERROR(1/P2024-1,B2023)</f>
        <v/>
      </c>
      <c r="C2024" s="240">
        <f>$C$3</f>
        <v/>
      </c>
      <c r="D2024" s="240">
        <f>$D$3</f>
        <v/>
      </c>
      <c r="E2024" s="240">
        <f>$E$3</f>
        <v/>
      </c>
      <c r="F2024" s="241" t="n">
        <v>11.69</v>
      </c>
      <c r="G2024" s="242" t="n">
        <v>5070110</v>
      </c>
      <c r="H2024" s="241" t="n">
        <v>-1.6</v>
      </c>
      <c r="I2024" s="241" t="n">
        <v>-6.85</v>
      </c>
      <c r="J2024" s="241" t="n">
        <v>-7</v>
      </c>
      <c r="K2024" s="241" t="n">
        <v>9.380000000000001</v>
      </c>
      <c r="L2024" s="242" t="n">
        <v>973800</v>
      </c>
      <c r="M2024" s="241" t="n">
        <v>-0.67</v>
      </c>
      <c r="N2024" s="241" t="n">
        <v>-2.39</v>
      </c>
      <c r="O2024" s="241" t="n">
        <v>-11.43</v>
      </c>
      <c r="P2024" s="241" t="n">
        <v>1.25</v>
      </c>
    </row>
    <row r="2025">
      <c r="A2025" s="282" t="inlineStr">
        <is>
          <t>2014-05-08</t>
        </is>
      </c>
      <c r="B2025" s="240">
        <f>IFERROR(1/P2025-1,B2024)</f>
        <v/>
      </c>
      <c r="C2025" s="240">
        <f>$C$3</f>
        <v/>
      </c>
      <c r="D2025" s="240">
        <f>$D$3</f>
        <v/>
      </c>
      <c r="E2025" s="240">
        <f>$E$3</f>
        <v/>
      </c>
      <c r="F2025" s="241" t="n">
        <v>11.78</v>
      </c>
      <c r="G2025" s="242" t="n">
        <v>6496919</v>
      </c>
      <c r="H2025" s="241" t="n">
        <v>0.77</v>
      </c>
      <c r="I2025" s="241" t="n">
        <v>-6.14</v>
      </c>
      <c r="J2025" s="241" t="n">
        <v>-6.28</v>
      </c>
      <c r="K2025" s="241" t="n">
        <v>9.18</v>
      </c>
      <c r="L2025" s="242" t="n">
        <v>2025600</v>
      </c>
      <c r="M2025" s="241" t="n">
        <v>-2.2</v>
      </c>
      <c r="N2025" s="241" t="n">
        <v>-4.07</v>
      </c>
      <c r="O2025" s="241" t="n">
        <v>-13.38</v>
      </c>
      <c r="P2025" s="241" t="n">
        <v>1.28</v>
      </c>
    </row>
    <row r="2026">
      <c r="A2026" s="282" t="inlineStr">
        <is>
          <t>2014-05-09</t>
        </is>
      </c>
      <c r="B2026" s="240">
        <f>IFERROR(1/P2026-1,B2025)</f>
        <v/>
      </c>
      <c r="C2026" s="240">
        <f>$C$3</f>
        <v/>
      </c>
      <c r="D2026" s="240">
        <f>$D$3</f>
        <v/>
      </c>
      <c r="E2026" s="240">
        <f>$E$3</f>
        <v/>
      </c>
      <c r="F2026" s="241" t="n">
        <v>11.57</v>
      </c>
      <c r="G2026" s="242" t="n">
        <v>8366730</v>
      </c>
      <c r="H2026" s="241" t="n">
        <v>-1.78</v>
      </c>
      <c r="I2026" s="241" t="n">
        <v>-10.03</v>
      </c>
      <c r="J2026" s="241" t="n">
        <v>-7.96</v>
      </c>
      <c r="K2026" s="241" t="n">
        <v>9.09</v>
      </c>
      <c r="L2026" s="242" t="n">
        <v>863000</v>
      </c>
      <c r="M2026" s="241" t="n">
        <v>-1.04</v>
      </c>
      <c r="N2026" s="241" t="n">
        <v>-6.73</v>
      </c>
      <c r="O2026" s="241" t="n">
        <v>-14.28</v>
      </c>
      <c r="P2026" s="241" t="n">
        <v>1.27</v>
      </c>
    </row>
    <row r="2027">
      <c r="A2027" s="282" t="inlineStr">
        <is>
          <t>2014-05-12</t>
        </is>
      </c>
      <c r="B2027" s="240">
        <f>IFERROR(1/P2027-1,B2026)</f>
        <v/>
      </c>
      <c r="C2027" s="240">
        <f>$C$3</f>
        <v/>
      </c>
      <c r="D2027" s="240">
        <f>$D$3</f>
        <v/>
      </c>
      <c r="E2027" s="240">
        <f>$E$3</f>
        <v/>
      </c>
      <c r="F2027" s="241" t="n">
        <v>11.96</v>
      </c>
      <c r="G2027" s="242" t="n">
        <v>10323284</v>
      </c>
      <c r="H2027" s="241" t="n">
        <v>3.37</v>
      </c>
      <c r="I2027" s="241" t="n">
        <v>-7.21</v>
      </c>
      <c r="J2027" s="241" t="n">
        <v>-4.85</v>
      </c>
      <c r="K2027" s="241" t="n">
        <v>9.35</v>
      </c>
      <c r="L2027" s="242" t="n">
        <v>1373800</v>
      </c>
      <c r="M2027" s="241" t="n">
        <v>2.8</v>
      </c>
      <c r="N2027" s="241" t="n">
        <v>-7.24</v>
      </c>
      <c r="O2027" s="241" t="n">
        <v>-11.88</v>
      </c>
      <c r="P2027" s="241" t="n">
        <v>1.28</v>
      </c>
    </row>
    <row r="2028">
      <c r="A2028" s="282" t="inlineStr">
        <is>
          <t>2014-05-13</t>
        </is>
      </c>
      <c r="B2028" s="240">
        <f>IFERROR(1/P2028-1,B2027)</f>
        <v/>
      </c>
      <c r="C2028" s="240">
        <f>$C$3</f>
        <v/>
      </c>
      <c r="D2028" s="240">
        <f>$D$3</f>
        <v/>
      </c>
      <c r="E2028" s="240">
        <f>$E$3</f>
        <v/>
      </c>
      <c r="F2028" s="241" t="n">
        <v>11.87</v>
      </c>
      <c r="G2028" s="242" t="n">
        <v>5163618</v>
      </c>
      <c r="H2028" s="241" t="n">
        <v>-0.75</v>
      </c>
      <c r="I2028" s="241" t="n">
        <v>-7.91</v>
      </c>
      <c r="J2028" s="241" t="n">
        <v>-5.57</v>
      </c>
      <c r="K2028" s="241" t="n">
        <v>9.529999999999999</v>
      </c>
      <c r="L2028" s="242" t="n">
        <v>727800</v>
      </c>
      <c r="M2028" s="241" t="n">
        <v>1.87</v>
      </c>
      <c r="N2028" s="241" t="n">
        <v>-5.51</v>
      </c>
      <c r="O2028" s="241" t="n">
        <v>-10.23</v>
      </c>
      <c r="P2028" s="241" t="n">
        <v>1.25</v>
      </c>
    </row>
    <row r="2029">
      <c r="A2029" s="282" t="inlineStr">
        <is>
          <t>2014-05-14</t>
        </is>
      </c>
      <c r="B2029" s="240">
        <f>IFERROR(1/P2029-1,B2028)</f>
        <v/>
      </c>
      <c r="C2029" s="240">
        <f>$C$3</f>
        <v/>
      </c>
      <c r="D2029" s="240">
        <f>$D$3</f>
        <v/>
      </c>
      <c r="E2029" s="240">
        <f>$E$3</f>
        <v/>
      </c>
      <c r="F2029" s="241" t="n">
        <v>11.73</v>
      </c>
      <c r="G2029" s="242" t="n">
        <v>6247734</v>
      </c>
      <c r="H2029" s="241" t="n">
        <v>0.34</v>
      </c>
      <c r="I2029" s="241" t="n">
        <v>-7.6</v>
      </c>
      <c r="J2029" s="241" t="n">
        <v>-5.25</v>
      </c>
      <c r="K2029" s="241" t="n">
        <v>9.640000000000001</v>
      </c>
      <c r="L2029" s="242" t="n">
        <v>678400</v>
      </c>
      <c r="M2029" s="241" t="n">
        <v>1.17</v>
      </c>
      <c r="N2029" s="241" t="n">
        <v>-4.4</v>
      </c>
      <c r="O2029" s="241" t="n">
        <v>-9.18</v>
      </c>
      <c r="P2029" s="241" t="n">
        <v>1.22</v>
      </c>
    </row>
    <row r="2030">
      <c r="A2030" s="282" t="inlineStr">
        <is>
          <t>2014-05-15</t>
        </is>
      </c>
      <c r="B2030" s="240">
        <f>IFERROR(1/P2030-1,B2029)</f>
        <v/>
      </c>
      <c r="C2030" s="240">
        <f>$C$3</f>
        <v/>
      </c>
      <c r="D2030" s="240">
        <f>$D$3</f>
        <v/>
      </c>
      <c r="E2030" s="240">
        <f>$E$3</f>
        <v/>
      </c>
      <c r="F2030" s="241" t="n">
        <v>11.52</v>
      </c>
      <c r="G2030" s="242" t="n">
        <v>4890408</v>
      </c>
      <c r="H2030" s="241" t="n">
        <v>-1.79</v>
      </c>
      <c r="I2030" s="241" t="n">
        <v>-11.25</v>
      </c>
      <c r="J2030" s="241" t="n">
        <v>-6.94</v>
      </c>
      <c r="K2030" s="241" t="n">
        <v>9.640000000000001</v>
      </c>
      <c r="L2030" s="242" t="n">
        <v>774800</v>
      </c>
      <c r="M2030" s="241" t="n">
        <v>0</v>
      </c>
      <c r="N2030" s="241" t="n">
        <v>-6.57</v>
      </c>
      <c r="O2030" s="241" t="n">
        <v>-9.18</v>
      </c>
      <c r="P2030" s="241" t="n">
        <v>1.2</v>
      </c>
    </row>
    <row r="2031">
      <c r="A2031" s="282" t="inlineStr">
        <is>
          <t>2014-05-16</t>
        </is>
      </c>
      <c r="B2031" s="240">
        <f>IFERROR(1/P2031-1,B2030)</f>
        <v/>
      </c>
      <c r="C2031" s="240">
        <f>$C$3</f>
        <v/>
      </c>
      <c r="D2031" s="240">
        <f>$D$3</f>
        <v/>
      </c>
      <c r="E2031" s="240">
        <f>$E$3</f>
        <v/>
      </c>
      <c r="F2031" s="241" t="n">
        <v>11.66</v>
      </c>
      <c r="G2031" s="242" t="n">
        <v>4498879</v>
      </c>
      <c r="H2031" s="241" t="n">
        <v>1.22</v>
      </c>
      <c r="I2031" s="241" t="n">
        <v>-8.15</v>
      </c>
      <c r="J2031" s="241" t="n">
        <v>-5.81</v>
      </c>
      <c r="K2031" s="241" t="n">
        <v>9.52</v>
      </c>
      <c r="L2031" s="242" t="n">
        <v>901800</v>
      </c>
      <c r="M2031" s="241" t="n">
        <v>-1.16</v>
      </c>
      <c r="N2031" s="241" t="n">
        <v>-2.95</v>
      </c>
      <c r="O2031" s="241" t="n">
        <v>-10.23</v>
      </c>
      <c r="P2031" s="241" t="n">
        <v>1.22</v>
      </c>
    </row>
    <row r="2032">
      <c r="A2032" s="282" t="inlineStr">
        <is>
          <t>2014-05-19</t>
        </is>
      </c>
      <c r="B2032" s="240">
        <f>IFERROR(1/P2032-1,B2031)</f>
        <v/>
      </c>
      <c r="C2032" s="240">
        <f>$C$3</f>
        <v/>
      </c>
      <c r="D2032" s="240">
        <f>$D$3</f>
        <v/>
      </c>
      <c r="E2032" s="240">
        <f>$E$3</f>
        <v/>
      </c>
      <c r="F2032" s="241" t="n">
        <v>11.47</v>
      </c>
      <c r="G2032" s="242" t="n">
        <v>5654766</v>
      </c>
      <c r="H2032" s="241" t="n">
        <v>-1.63</v>
      </c>
      <c r="I2032" s="241" t="n">
        <v>-9.44</v>
      </c>
      <c r="J2032" s="241" t="n">
        <v>-7.35</v>
      </c>
      <c r="K2032" s="241" t="n">
        <v>9.529999999999999</v>
      </c>
      <c r="L2032" s="242" t="n">
        <v>659000</v>
      </c>
      <c r="M2032" s="241" t="n">
        <v>0</v>
      </c>
      <c r="N2032" s="241" t="n">
        <v>-2.33</v>
      </c>
      <c r="O2032" s="241" t="n">
        <v>-10.23</v>
      </c>
      <c r="P2032" s="241" t="n">
        <v>1.2</v>
      </c>
    </row>
    <row r="2033">
      <c r="A2033" s="282" t="inlineStr">
        <is>
          <t>2014-05-20</t>
        </is>
      </c>
      <c r="B2033" s="240">
        <f>IFERROR(1/P2033-1,B2032)</f>
        <v/>
      </c>
      <c r="C2033" s="240">
        <f>$C$3</f>
        <v/>
      </c>
      <c r="D2033" s="240">
        <f>$D$3</f>
        <v/>
      </c>
      <c r="E2033" s="240">
        <f>$E$3</f>
        <v/>
      </c>
      <c r="F2033" s="241" t="n">
        <v>11.5</v>
      </c>
      <c r="G2033" s="242" t="n">
        <v>4020102</v>
      </c>
      <c r="H2033" s="241" t="n">
        <v>0.26</v>
      </c>
      <c r="I2033" s="241" t="n">
        <v>-9.199999999999999</v>
      </c>
      <c r="J2033" s="241" t="n">
        <v>-7.1</v>
      </c>
      <c r="K2033" s="241" t="n">
        <v>9.57</v>
      </c>
      <c r="L2033" s="242" t="n">
        <v>1087400</v>
      </c>
      <c r="M2033" s="241" t="n">
        <v>0.5</v>
      </c>
      <c r="N2033" s="241" t="n">
        <v>-1.84</v>
      </c>
      <c r="O2033" s="241" t="n">
        <v>-9.779999999999999</v>
      </c>
      <c r="P2033" s="241" t="n">
        <v>1.2</v>
      </c>
    </row>
    <row r="2034">
      <c r="A2034" s="282" t="inlineStr">
        <is>
          <t>2014-05-21</t>
        </is>
      </c>
      <c r="B2034" s="240">
        <f>IFERROR(1/P2034-1,B2033)</f>
        <v/>
      </c>
      <c r="C2034" s="240">
        <f>$C$3</f>
        <v/>
      </c>
      <c r="D2034" s="240">
        <f>$D$3</f>
        <v/>
      </c>
      <c r="E2034" s="240">
        <f>$E$3</f>
        <v/>
      </c>
      <c r="F2034" s="241" t="n">
        <v>11.6</v>
      </c>
      <c r="G2034" s="242" t="n">
        <v>3194526</v>
      </c>
      <c r="H2034" s="241" t="n">
        <v>0.87</v>
      </c>
      <c r="I2034" s="241" t="n">
        <v>-8.41</v>
      </c>
      <c r="J2034" s="241" t="n">
        <v>-6.3</v>
      </c>
      <c r="K2034" s="241" t="n">
        <v>9.56</v>
      </c>
      <c r="L2034" s="242" t="n">
        <v>525600</v>
      </c>
      <c r="M2034" s="241" t="n">
        <v>-0.17</v>
      </c>
      <c r="N2034" s="241" t="n">
        <v>-2</v>
      </c>
      <c r="O2034" s="241" t="n">
        <v>-9.93</v>
      </c>
      <c r="P2034" s="241" t="n">
        <v>1.21</v>
      </c>
    </row>
    <row r="2035">
      <c r="A2035" s="282" t="inlineStr">
        <is>
          <t>2014-05-22</t>
        </is>
      </c>
      <c r="B2035" s="240">
        <f>IFERROR(1/P2035-1,B2034)</f>
        <v/>
      </c>
      <c r="C2035" s="240">
        <f>$C$3</f>
        <v/>
      </c>
      <c r="D2035" s="240">
        <f>$D$3</f>
        <v/>
      </c>
      <c r="E2035" s="240">
        <f>$E$3</f>
        <v/>
      </c>
      <c r="F2035" s="241" t="n">
        <v>11.61</v>
      </c>
      <c r="G2035" s="242" t="n">
        <v>5665233</v>
      </c>
      <c r="H2035" s="241" t="n">
        <v>0.09</v>
      </c>
      <c r="I2035" s="241" t="n">
        <v>-7.32</v>
      </c>
      <c r="J2035" s="241" t="n">
        <v>-6.21</v>
      </c>
      <c r="K2035" s="241" t="n">
        <v>9.56</v>
      </c>
      <c r="L2035" s="242" t="n">
        <v>484600</v>
      </c>
      <c r="M2035" s="241" t="n">
        <v>0</v>
      </c>
      <c r="N2035" s="241" t="n">
        <v>-2</v>
      </c>
      <c r="O2035" s="241" t="n">
        <v>-9.93</v>
      </c>
      <c r="P2035" s="241" t="n">
        <v>1.21</v>
      </c>
    </row>
    <row r="2036">
      <c r="A2036" s="282" t="inlineStr">
        <is>
          <t>2014-05-23</t>
        </is>
      </c>
      <c r="B2036" s="240">
        <f>IFERROR(1/P2036-1,B2035)</f>
        <v/>
      </c>
      <c r="C2036" s="240">
        <f>$C$3</f>
        <v/>
      </c>
      <c r="D2036" s="240">
        <f>$D$3</f>
        <v/>
      </c>
      <c r="E2036" s="240">
        <f>$E$3</f>
        <v/>
      </c>
      <c r="F2036" s="241" t="n">
        <v>11.71</v>
      </c>
      <c r="G2036" s="242" t="n">
        <v>3358414</v>
      </c>
      <c r="H2036" s="241" t="n">
        <v>0.86</v>
      </c>
      <c r="I2036" s="241" t="n">
        <v>-5.18</v>
      </c>
      <c r="J2036" s="241" t="n">
        <v>-5.41</v>
      </c>
      <c r="K2036" s="241" t="n">
        <v>9.56</v>
      </c>
      <c r="L2036" s="242" t="n">
        <v>756800</v>
      </c>
      <c r="M2036" s="241" t="n">
        <v>0</v>
      </c>
      <c r="N2036" s="241" t="n">
        <v>-6.35</v>
      </c>
      <c r="O2036" s="241" t="n">
        <v>-9.93</v>
      </c>
      <c r="P2036" s="241" t="n">
        <v>1.22</v>
      </c>
    </row>
    <row r="2037">
      <c r="A2037" s="282" t="inlineStr">
        <is>
          <t>2014-05-26</t>
        </is>
      </c>
      <c r="B2037" s="240">
        <f>IFERROR(1/P2037-1,B2036)</f>
        <v/>
      </c>
      <c r="C2037" s="240">
        <f>$C$3</f>
        <v/>
      </c>
      <c r="D2037" s="240">
        <f>$D$3</f>
        <v/>
      </c>
      <c r="E2037" s="240">
        <f>$E$3</f>
        <v/>
      </c>
      <c r="F2037" s="241" t="n">
        <v>11.76</v>
      </c>
      <c r="G2037" s="242" t="n">
        <v>4655563</v>
      </c>
      <c r="H2037" s="241" t="n">
        <v>0.43</v>
      </c>
      <c r="I2037" s="241" t="n">
        <v>-1.31</v>
      </c>
      <c r="J2037" s="241" t="n">
        <v>-5</v>
      </c>
      <c r="K2037" s="241" t="n">
        <v>9.529999999999999</v>
      </c>
      <c r="L2037" s="242" t="n">
        <v>490000</v>
      </c>
      <c r="M2037" s="241" t="n">
        <v>-0.33</v>
      </c>
      <c r="N2037" s="241" t="n">
        <v>-4.62</v>
      </c>
      <c r="O2037" s="241" t="n">
        <v>-10.23</v>
      </c>
      <c r="P2037" s="241" t="n">
        <v>1.23</v>
      </c>
    </row>
    <row r="2038">
      <c r="A2038" s="282" t="inlineStr">
        <is>
          <t>2014-05-27</t>
        </is>
      </c>
      <c r="B2038" s="240">
        <f>IFERROR(1/P2038-1,B2037)</f>
        <v/>
      </c>
      <c r="C2038" s="240">
        <f>$C$3</f>
        <v/>
      </c>
      <c r="D2038" s="240">
        <f>$D$3</f>
        <v/>
      </c>
      <c r="E2038" s="240">
        <f>$E$3</f>
        <v/>
      </c>
      <c r="F2038" s="241" t="n">
        <v>11.67</v>
      </c>
      <c r="G2038" s="242" t="n">
        <v>2892381</v>
      </c>
      <c r="H2038" s="241" t="n">
        <v>-0.77</v>
      </c>
      <c r="I2038" s="241" t="n">
        <v>-2.07</v>
      </c>
      <c r="J2038" s="241" t="n">
        <v>-5.73</v>
      </c>
      <c r="K2038" s="241" t="n">
        <v>9.5</v>
      </c>
      <c r="L2038" s="242" t="n">
        <v>216600</v>
      </c>
      <c r="M2038" s="241" t="n">
        <v>-0.33</v>
      </c>
      <c r="N2038" s="241" t="n">
        <v>-4.94</v>
      </c>
      <c r="O2038" s="241" t="n">
        <v>-10.53</v>
      </c>
      <c r="P2038" s="241" t="n">
        <v>1.23</v>
      </c>
    </row>
    <row r="2039">
      <c r="A2039" s="282" t="inlineStr">
        <is>
          <t>2014-05-28</t>
        </is>
      </c>
      <c r="B2039" s="240">
        <f>IFERROR(1/P2039-1,B2038)</f>
        <v/>
      </c>
      <c r="C2039" s="240">
        <f>$C$3</f>
        <v/>
      </c>
      <c r="D2039" s="240">
        <f>$D$3</f>
        <v/>
      </c>
      <c r="E2039" s="240">
        <f>$E$3</f>
        <v/>
      </c>
      <c r="F2039" s="241" t="n">
        <v>11.81</v>
      </c>
      <c r="G2039" s="242" t="n">
        <v>5859561</v>
      </c>
      <c r="H2039" s="241" t="n">
        <v>1.2</v>
      </c>
      <c r="I2039" s="241" t="n">
        <v>-0.89</v>
      </c>
      <c r="J2039" s="241" t="n">
        <v>-4.6</v>
      </c>
      <c r="K2039" s="241" t="n">
        <v>9.68</v>
      </c>
      <c r="L2039" s="242" t="n">
        <v>775400</v>
      </c>
      <c r="M2039" s="241" t="n">
        <v>1.84</v>
      </c>
      <c r="N2039" s="241" t="n">
        <v>-3.19</v>
      </c>
      <c r="O2039" s="241" t="n">
        <v>-8.880000000000001</v>
      </c>
      <c r="P2039" s="241" t="n">
        <v>1.22</v>
      </c>
    </row>
    <row r="2040">
      <c r="A2040" s="282" t="inlineStr">
        <is>
          <t>2014-05-29</t>
        </is>
      </c>
      <c r="B2040" s="240">
        <f>IFERROR(1/P2040-1,B2039)</f>
        <v/>
      </c>
      <c r="C2040" s="240">
        <f>$C$3</f>
        <v/>
      </c>
      <c r="D2040" s="240">
        <f>$D$3</f>
        <v/>
      </c>
      <c r="E2040" s="240">
        <f>$E$3</f>
        <v/>
      </c>
      <c r="F2040" s="241" t="n">
        <v>11.56</v>
      </c>
      <c r="G2040" s="242" t="n">
        <v>5831392</v>
      </c>
      <c r="H2040" s="241" t="n">
        <v>-2.12</v>
      </c>
      <c r="I2040" s="241" t="n">
        <v>-1.36</v>
      </c>
      <c r="J2040" s="241" t="n">
        <v>-6.62</v>
      </c>
      <c r="K2040" s="241" t="n">
        <v>9.68</v>
      </c>
      <c r="L2040" s="242" t="n">
        <v>408400</v>
      </c>
      <c r="M2040" s="241" t="n">
        <v>0</v>
      </c>
      <c r="N2040" s="241" t="n">
        <v>-0.86</v>
      </c>
      <c r="O2040" s="241" t="n">
        <v>-8.880000000000001</v>
      </c>
      <c r="P2040" s="241" t="n">
        <v>1.19</v>
      </c>
    </row>
    <row r="2041">
      <c r="A2041" s="282" t="inlineStr">
        <is>
          <t>2014-05-30</t>
        </is>
      </c>
      <c r="B2041" s="240">
        <f>IFERROR(1/P2041-1,B2040)</f>
        <v/>
      </c>
      <c r="C2041" s="240">
        <f>$C$3</f>
        <v/>
      </c>
      <c r="D2041" s="240">
        <f>$D$3</f>
        <v/>
      </c>
      <c r="E2041" s="240">
        <f>$E$3</f>
        <v/>
      </c>
      <c r="F2041" s="241" t="n">
        <v>11.6</v>
      </c>
      <c r="G2041" s="242" t="n">
        <v>3384886</v>
      </c>
      <c r="H2041" s="241" t="n">
        <v>0.35</v>
      </c>
      <c r="I2041" s="241" t="n">
        <v>-1.43</v>
      </c>
      <c r="J2041" s="241" t="n">
        <v>-6.3</v>
      </c>
      <c r="K2041" s="241" t="n">
        <v>9.640000000000001</v>
      </c>
      <c r="L2041" s="242" t="n">
        <v>477400</v>
      </c>
      <c r="M2041" s="241" t="n">
        <v>-0.33</v>
      </c>
      <c r="N2041" s="241" t="n">
        <v>2.25</v>
      </c>
      <c r="O2041" s="241" t="n">
        <v>-9.18</v>
      </c>
      <c r="P2041" s="241" t="n">
        <v>1.2</v>
      </c>
    </row>
    <row r="2042">
      <c r="A2042" s="282" t="inlineStr">
        <is>
          <t>2014-06-03</t>
        </is>
      </c>
      <c r="B2042" s="240">
        <f>IFERROR(1/P2042-1,B2041)</f>
        <v/>
      </c>
      <c r="C2042" s="240">
        <f>$C$3</f>
        <v/>
      </c>
      <c r="D2042" s="240">
        <f>$D$3</f>
        <v/>
      </c>
      <c r="E2042" s="240">
        <f>$E$3</f>
        <v/>
      </c>
      <c r="F2042" s="241" t="n">
        <v>11.53</v>
      </c>
      <c r="G2042" s="242" t="n">
        <v>3841053</v>
      </c>
      <c r="H2042" s="241" t="n">
        <v>-0.6</v>
      </c>
      <c r="I2042" s="241" t="n">
        <v>-0.02</v>
      </c>
      <c r="J2042" s="241" t="n">
        <v>-6.86</v>
      </c>
      <c r="K2042" s="241" t="n">
        <v>10.03</v>
      </c>
      <c r="L2042" s="242" t="n">
        <v>1393610</v>
      </c>
      <c r="M2042" s="241" t="n">
        <v>3.96</v>
      </c>
      <c r="N2042" s="241" t="n">
        <v>5.18</v>
      </c>
      <c r="O2042" s="241" t="n">
        <v>-5.58</v>
      </c>
      <c r="P2042" s="241" t="n">
        <v>1.15</v>
      </c>
    </row>
    <row r="2043">
      <c r="A2043" s="282" t="inlineStr">
        <is>
          <t>2014-06-04</t>
        </is>
      </c>
      <c r="B2043" s="240">
        <f>IFERROR(1/P2043-1,B2042)</f>
        <v/>
      </c>
      <c r="C2043" s="240">
        <f>$C$3</f>
        <v/>
      </c>
      <c r="D2043" s="240">
        <f>$D$3</f>
        <v/>
      </c>
      <c r="E2043" s="240">
        <f>$E$3</f>
        <v/>
      </c>
      <c r="F2043" s="241" t="n">
        <v>11.51</v>
      </c>
      <c r="G2043" s="242" t="n">
        <v>4341829</v>
      </c>
      <c r="H2043" s="241" t="n">
        <v>-0.17</v>
      </c>
      <c r="I2043" s="241" t="n">
        <v>-0.19</v>
      </c>
      <c r="J2043" s="241" t="n">
        <v>-7.02</v>
      </c>
      <c r="K2043" s="241" t="n">
        <v>10.03</v>
      </c>
      <c r="L2043" s="242" t="n">
        <v>1037000</v>
      </c>
      <c r="M2043" s="241" t="n">
        <v>0</v>
      </c>
      <c r="N2043" s="241" t="n">
        <v>5.18</v>
      </c>
      <c r="O2043" s="241" t="n">
        <v>-5.58</v>
      </c>
      <c r="P2043" s="241" t="n">
        <v>1.15</v>
      </c>
    </row>
    <row r="2044">
      <c r="A2044" s="282" t="inlineStr">
        <is>
          <t>2014-06-05</t>
        </is>
      </c>
      <c r="B2044" s="240">
        <f>IFERROR(1/P2044-1,B2043)</f>
        <v/>
      </c>
      <c r="C2044" s="240">
        <f>$C$3</f>
        <v/>
      </c>
      <c r="D2044" s="240">
        <f>$D$3</f>
        <v/>
      </c>
      <c r="E2044" s="240">
        <f>$E$3</f>
        <v/>
      </c>
      <c r="F2044" s="241" t="n">
        <v>11.57</v>
      </c>
      <c r="G2044" s="242" t="n">
        <v>3627515</v>
      </c>
      <c r="H2044" s="241" t="n">
        <v>0.52</v>
      </c>
      <c r="I2044" s="241" t="n">
        <v>0.33</v>
      </c>
      <c r="J2044" s="241" t="n">
        <v>-6.54</v>
      </c>
      <c r="K2044" s="241" t="n">
        <v>10.04</v>
      </c>
      <c r="L2044" s="242" t="n">
        <v>259800</v>
      </c>
      <c r="M2044" s="241" t="n">
        <v>0.16</v>
      </c>
      <c r="N2044" s="241" t="n">
        <v>5.34</v>
      </c>
      <c r="O2044" s="241" t="n">
        <v>-5.43</v>
      </c>
      <c r="P2044" s="241" t="n">
        <v>1.15</v>
      </c>
    </row>
    <row r="2045">
      <c r="A2045" s="282" t="inlineStr">
        <is>
          <t>2014-06-06</t>
        </is>
      </c>
      <c r="B2045" s="240">
        <f>IFERROR(1/P2045-1,B2044)</f>
        <v/>
      </c>
      <c r="C2045" s="240">
        <f>$C$3</f>
        <v/>
      </c>
      <c r="D2045" s="240">
        <f>$D$3</f>
        <v/>
      </c>
      <c r="E2045" s="240">
        <f>$E$3</f>
        <v/>
      </c>
      <c r="F2045" s="241" t="n">
        <v>11.49</v>
      </c>
      <c r="G2045" s="242" t="n">
        <v>4428348</v>
      </c>
      <c r="H2045" s="241" t="n">
        <v>-0.6899999999999999</v>
      </c>
      <c r="I2045" s="241" t="n">
        <v>-1.63</v>
      </c>
      <c r="J2045" s="241" t="n">
        <v>-7.18</v>
      </c>
      <c r="K2045" s="241" t="n">
        <v>9.81</v>
      </c>
      <c r="L2045" s="242" t="n">
        <v>383800</v>
      </c>
      <c r="M2045" s="241" t="n">
        <v>-2.22</v>
      </c>
      <c r="N2045" s="241" t="n">
        <v>3.7</v>
      </c>
      <c r="O2045" s="241" t="n">
        <v>-7.53</v>
      </c>
      <c r="P2045" s="241" t="n">
        <v>1.17</v>
      </c>
    </row>
    <row r="2046">
      <c r="A2046" s="282" t="inlineStr">
        <is>
          <t>2014-06-09</t>
        </is>
      </c>
      <c r="B2046" s="240">
        <f>IFERROR(1/P2046-1,B2045)</f>
        <v/>
      </c>
      <c r="C2046" s="240">
        <f>$C$3</f>
        <v/>
      </c>
      <c r="D2046" s="240">
        <f>$D$3</f>
        <v/>
      </c>
      <c r="E2046" s="240">
        <f>$E$3</f>
        <v/>
      </c>
      <c r="F2046" s="241" t="n">
        <v>11.24</v>
      </c>
      <c r="G2046" s="242" t="n">
        <v>7603561</v>
      </c>
      <c r="H2046" s="241" t="n">
        <v>-2.18</v>
      </c>
      <c r="I2046" s="241" t="n">
        <v>-3.11</v>
      </c>
      <c r="J2046" s="241" t="n">
        <v>-9.199999999999999</v>
      </c>
      <c r="K2046" s="241" t="n">
        <v>9.960000000000001</v>
      </c>
      <c r="L2046" s="242" t="n">
        <v>545800</v>
      </c>
      <c r="M2046" s="241" t="n">
        <v>1.78</v>
      </c>
      <c r="N2046" s="241" t="n">
        <v>8.65</v>
      </c>
      <c r="O2046" s="241" t="n">
        <v>-5.88</v>
      </c>
      <c r="P2046" s="241" t="n">
        <v>1.13</v>
      </c>
    </row>
    <row r="2047">
      <c r="A2047" s="282" t="inlineStr">
        <is>
          <t>2014-06-10</t>
        </is>
      </c>
      <c r="B2047" s="240">
        <f>IFERROR(1/P2047-1,B2046)</f>
        <v/>
      </c>
      <c r="C2047" s="240">
        <f>$C$3</f>
        <v/>
      </c>
      <c r="D2047" s="240">
        <f>$D$3</f>
        <v/>
      </c>
      <c r="E2047" s="240">
        <f>$E$3</f>
        <v/>
      </c>
      <c r="F2047" s="241" t="n">
        <v>11.31</v>
      </c>
      <c r="G2047" s="242" t="n">
        <v>5802635</v>
      </c>
      <c r="H2047" s="241" t="n">
        <v>0.62</v>
      </c>
      <c r="I2047" s="241" t="n">
        <v>-0.74</v>
      </c>
      <c r="J2047" s="241" t="n">
        <v>-8.640000000000001</v>
      </c>
      <c r="K2047" s="241" t="n">
        <v>10</v>
      </c>
      <c r="L2047" s="242" t="n">
        <v>638600</v>
      </c>
      <c r="M2047" s="241" t="n">
        <v>0.48</v>
      </c>
      <c r="N2047" s="241" t="n">
        <v>10.31</v>
      </c>
      <c r="O2047" s="241" t="n">
        <v>-5.43</v>
      </c>
      <c r="P2047" s="241" t="n">
        <v>1.13</v>
      </c>
    </row>
    <row r="2048">
      <c r="A2048" s="282" t="inlineStr">
        <is>
          <t>2014-06-11</t>
        </is>
      </c>
      <c r="B2048" s="240">
        <f>IFERROR(1/P2048-1,B2047)</f>
        <v/>
      </c>
      <c r="C2048" s="240">
        <f>$C$3</f>
        <v/>
      </c>
      <c r="D2048" s="240">
        <f>$D$3</f>
        <v/>
      </c>
      <c r="E2048" s="240">
        <f>$E$3</f>
        <v/>
      </c>
      <c r="F2048" s="241" t="n">
        <v>11.5</v>
      </c>
      <c r="G2048" s="242" t="n">
        <v>6158625</v>
      </c>
      <c r="H2048" s="241" t="n">
        <v>1.68</v>
      </c>
      <c r="I2048" s="241" t="n">
        <v>0.93</v>
      </c>
      <c r="J2048" s="241" t="n">
        <v>-7.1</v>
      </c>
      <c r="K2048" s="241" t="n">
        <v>9.98</v>
      </c>
      <c r="L2048" s="242" t="n">
        <v>489600</v>
      </c>
      <c r="M2048" s="241" t="n">
        <v>-0.32</v>
      </c>
      <c r="N2048" s="241" t="n">
        <v>9.960000000000001</v>
      </c>
      <c r="O2048" s="241" t="n">
        <v>-5.73</v>
      </c>
      <c r="P2048" s="241" t="n">
        <v>1.15</v>
      </c>
    </row>
    <row r="2049">
      <c r="A2049" s="282" t="inlineStr">
        <is>
          <t>2014-06-12</t>
        </is>
      </c>
      <c r="B2049" s="240">
        <f>IFERROR(1/P2049-1,B2048)</f>
        <v/>
      </c>
      <c r="C2049" s="240">
        <f>$C$3</f>
        <v/>
      </c>
      <c r="D2049" s="240">
        <f>$D$3</f>
        <v/>
      </c>
      <c r="E2049" s="240">
        <f>$E$3</f>
        <v/>
      </c>
      <c r="F2049" s="241" t="n">
        <v>11.42</v>
      </c>
      <c r="G2049" s="242" t="n">
        <v>3724063</v>
      </c>
      <c r="H2049" s="241" t="n">
        <v>-0.7</v>
      </c>
      <c r="I2049" s="241" t="n">
        <v>0.22</v>
      </c>
      <c r="J2049" s="241" t="n">
        <v>-7.75</v>
      </c>
      <c r="K2049" s="241" t="n">
        <v>9.949999999999999</v>
      </c>
      <c r="L2049" s="242" t="n">
        <v>547600</v>
      </c>
      <c r="M2049" s="241" t="n">
        <v>-0.32</v>
      </c>
      <c r="N2049" s="241" t="n">
        <v>9.619999999999999</v>
      </c>
      <c r="O2049" s="241" t="n">
        <v>-6.03</v>
      </c>
      <c r="P2049" s="241" t="n">
        <v>1.15</v>
      </c>
    </row>
    <row r="2050">
      <c r="A2050" s="282" t="inlineStr">
        <is>
          <t>2014-06-13</t>
        </is>
      </c>
      <c r="B2050" s="240">
        <f>IFERROR(1/P2050-1,B2049)</f>
        <v/>
      </c>
      <c r="C2050" s="240">
        <f>$C$3</f>
        <v/>
      </c>
      <c r="D2050" s="240">
        <f>$D$3</f>
        <v/>
      </c>
      <c r="E2050" s="240">
        <f>$E$3</f>
        <v/>
      </c>
      <c r="F2050" s="241" t="n">
        <v>11.61</v>
      </c>
      <c r="G2050" s="242" t="n">
        <v>7710462</v>
      </c>
      <c r="H2050" s="241" t="n">
        <v>1.66</v>
      </c>
      <c r="I2050" s="241" t="n">
        <v>-1.43</v>
      </c>
      <c r="J2050" s="241" t="n">
        <v>-6.21</v>
      </c>
      <c r="K2050" s="241" t="n">
        <v>10.2</v>
      </c>
      <c r="L2050" s="242" t="n">
        <v>2104400</v>
      </c>
      <c r="M2050" s="241" t="n">
        <v>2.55</v>
      </c>
      <c r="N2050" s="241" t="n">
        <v>9.35</v>
      </c>
      <c r="O2050" s="241" t="n">
        <v>-3.64</v>
      </c>
      <c r="P2050" s="241" t="n">
        <v>1.14</v>
      </c>
    </row>
    <row r="2051">
      <c r="A2051" s="282" t="inlineStr">
        <is>
          <t>2014-06-16</t>
        </is>
      </c>
      <c r="B2051" s="240">
        <f>IFERROR(1/P2051-1,B2050)</f>
        <v/>
      </c>
      <c r="C2051" s="240">
        <f>$C$3</f>
        <v/>
      </c>
      <c r="D2051" s="240">
        <f>$D$3</f>
        <v/>
      </c>
      <c r="E2051" s="240">
        <f>$E$3</f>
        <v/>
      </c>
      <c r="F2051" s="241" t="n">
        <v>11.87</v>
      </c>
      <c r="G2051" s="242" t="n">
        <v>18647421</v>
      </c>
      <c r="H2051" s="241" t="n">
        <v>2.24</v>
      </c>
      <c r="I2051" s="241" t="n">
        <v>3.04</v>
      </c>
      <c r="J2051" s="241" t="n">
        <v>-4.11</v>
      </c>
      <c r="K2051" s="241" t="n">
        <v>10.51</v>
      </c>
      <c r="L2051" s="242" t="n">
        <v>3043600</v>
      </c>
      <c r="M2051" s="241" t="n">
        <v>2.95</v>
      </c>
      <c r="N2051" s="241" t="n">
        <v>9.24</v>
      </c>
      <c r="O2051" s="241" t="n">
        <v>-0.79</v>
      </c>
      <c r="P2051" s="241" t="n">
        <v>1.13</v>
      </c>
    </row>
    <row r="2052">
      <c r="A2052" s="282" t="inlineStr">
        <is>
          <t>2014-06-17</t>
        </is>
      </c>
      <c r="B2052" s="240">
        <f>IFERROR(1/P2052-1,B2051)</f>
        <v/>
      </c>
      <c r="C2052" s="240">
        <f>$C$3</f>
        <v/>
      </c>
      <c r="D2052" s="240">
        <f>$D$3</f>
        <v/>
      </c>
      <c r="E2052" s="240">
        <f>$E$3</f>
        <v/>
      </c>
      <c r="F2052" s="241" t="n">
        <v>12.13</v>
      </c>
      <c r="G2052" s="242" t="n">
        <v>19161462</v>
      </c>
      <c r="H2052" s="241" t="n">
        <v>2.19</v>
      </c>
      <c r="I2052" s="241" t="n">
        <v>4.03</v>
      </c>
      <c r="J2052" s="241" t="n">
        <v>-2.01</v>
      </c>
      <c r="K2052" s="241" t="n">
        <v>10.49</v>
      </c>
      <c r="L2052" s="242" t="n">
        <v>2057600</v>
      </c>
      <c r="M2052" s="241" t="n">
        <v>-0.15</v>
      </c>
      <c r="N2052" s="241" t="n">
        <v>10.35</v>
      </c>
      <c r="O2052" s="241" t="n">
        <v>-0.9399999999999999</v>
      </c>
      <c r="P2052" s="241" t="n">
        <v>1.16</v>
      </c>
    </row>
    <row r="2053">
      <c r="A2053" s="282" t="inlineStr">
        <is>
          <t>2014-06-18</t>
        </is>
      </c>
      <c r="B2053" s="240">
        <f>IFERROR(1/P2053-1,B2052)</f>
        <v/>
      </c>
      <c r="C2053" s="240">
        <f>$C$3</f>
        <v/>
      </c>
      <c r="D2053" s="240">
        <f>$D$3</f>
        <v/>
      </c>
      <c r="E2053" s="240">
        <f>$E$3</f>
        <v/>
      </c>
      <c r="F2053" s="241" t="n">
        <v>11.91</v>
      </c>
      <c r="G2053" s="242" t="n">
        <v>9026772</v>
      </c>
      <c r="H2053" s="241" t="n">
        <v>-1.81</v>
      </c>
      <c r="I2053" s="241" t="n">
        <v>2.14</v>
      </c>
      <c r="J2053" s="241" t="n">
        <v>-3.79</v>
      </c>
      <c r="K2053" s="241" t="n">
        <v>10.29</v>
      </c>
      <c r="L2053" s="242" t="n">
        <v>1209400</v>
      </c>
      <c r="M2053" s="241" t="n">
        <v>-1.97</v>
      </c>
      <c r="N2053" s="241" t="n">
        <v>8.18</v>
      </c>
      <c r="O2053" s="241" t="n">
        <v>-2.89</v>
      </c>
      <c r="P2053" s="241" t="n">
        <v>1.16</v>
      </c>
    </row>
    <row r="2054">
      <c r="A2054" s="282" t="inlineStr">
        <is>
          <t>2014-06-19</t>
        </is>
      </c>
      <c r="B2054" s="240">
        <f>IFERROR(1/P2054-1,B2053)</f>
        <v/>
      </c>
      <c r="C2054" s="240">
        <f>$C$3</f>
        <v/>
      </c>
      <c r="D2054" s="240">
        <f>$D$3</f>
        <v/>
      </c>
      <c r="E2054" s="240">
        <f>$E$3</f>
        <v/>
      </c>
      <c r="F2054" s="241" t="n">
        <v>11.62</v>
      </c>
      <c r="G2054" s="242" t="n">
        <v>8359951</v>
      </c>
      <c r="H2054" s="241" t="n">
        <v>-2.43</v>
      </c>
      <c r="I2054" s="241" t="n">
        <v>-0.34</v>
      </c>
      <c r="J2054" s="241" t="n">
        <v>-6.13</v>
      </c>
      <c r="K2054" s="241" t="n">
        <v>10.21</v>
      </c>
      <c r="L2054" s="242" t="n">
        <v>795400</v>
      </c>
      <c r="M2054" s="241" t="n">
        <v>-0.77</v>
      </c>
      <c r="N2054" s="241" t="n">
        <v>7.35</v>
      </c>
      <c r="O2054" s="241" t="n">
        <v>-3.64</v>
      </c>
      <c r="P2054" s="241" t="n">
        <v>1.14</v>
      </c>
    </row>
    <row r="2055">
      <c r="A2055" s="282" t="inlineStr">
        <is>
          <t>2014-06-20</t>
        </is>
      </c>
      <c r="B2055" s="240">
        <f>IFERROR(1/P2055-1,B2054)</f>
        <v/>
      </c>
      <c r="C2055" s="240">
        <f>$C$3</f>
        <v/>
      </c>
      <c r="D2055" s="240">
        <f>$D$3</f>
        <v/>
      </c>
      <c r="E2055" s="240">
        <f>$E$3</f>
        <v/>
      </c>
      <c r="F2055" s="241" t="n">
        <v>11.6</v>
      </c>
      <c r="G2055" s="242" t="n">
        <v>7963529</v>
      </c>
      <c r="H2055" s="241" t="n">
        <v>-0.17</v>
      </c>
      <c r="I2055" s="241" t="n">
        <v>1.13</v>
      </c>
      <c r="J2055" s="241" t="n">
        <v>-6.3</v>
      </c>
      <c r="K2055" s="241" t="n">
        <v>10.32</v>
      </c>
      <c r="L2055" s="242" t="n">
        <v>1581600</v>
      </c>
      <c r="M2055" s="241" t="n">
        <v>1.09</v>
      </c>
      <c r="N2055" s="241" t="n">
        <v>8.51</v>
      </c>
      <c r="O2055" s="241" t="n">
        <v>-2.59</v>
      </c>
      <c r="P2055" s="241" t="n">
        <v>1.12</v>
      </c>
    </row>
    <row r="2056">
      <c r="A2056" s="282" t="inlineStr">
        <is>
          <t>2014-06-23</t>
        </is>
      </c>
      <c r="B2056" s="240">
        <f>IFERROR(1/P2056-1,B2055)</f>
        <v/>
      </c>
      <c r="C2056" s="240">
        <f>$C$3</f>
        <v/>
      </c>
      <c r="D2056" s="240">
        <f>$D$3</f>
        <v/>
      </c>
      <c r="E2056" s="240">
        <f>$E$3</f>
        <v/>
      </c>
      <c r="F2056" s="241" t="n">
        <v>11.68</v>
      </c>
      <c r="G2056" s="242" t="n">
        <v>8869884</v>
      </c>
      <c r="H2056" s="241" t="n">
        <v>0.6899999999999999</v>
      </c>
      <c r="I2056" s="241" t="n">
        <v>0.6</v>
      </c>
      <c r="J2056" s="241" t="n">
        <v>-5.65</v>
      </c>
      <c r="K2056" s="241" t="n">
        <v>10.32</v>
      </c>
      <c r="L2056" s="242" t="n">
        <v>646384</v>
      </c>
      <c r="M2056" s="241" t="n">
        <v>0</v>
      </c>
      <c r="N2056" s="241" t="n">
        <v>8.15</v>
      </c>
      <c r="O2056" s="241" t="n">
        <v>-2.59</v>
      </c>
      <c r="P2056" s="241" t="n">
        <v>1.13</v>
      </c>
    </row>
    <row r="2057">
      <c r="A2057" s="282" t="inlineStr">
        <is>
          <t>2014-06-24</t>
        </is>
      </c>
      <c r="B2057" s="240">
        <f>IFERROR(1/P2057-1,B2056)</f>
        <v/>
      </c>
      <c r="C2057" s="240">
        <f>$C$3</f>
        <v/>
      </c>
      <c r="D2057" s="240">
        <f>$D$3</f>
        <v/>
      </c>
      <c r="E2057" s="240">
        <f>$E$3</f>
        <v/>
      </c>
      <c r="F2057" s="241" t="n">
        <v>11.68</v>
      </c>
      <c r="G2057" s="242" t="n">
        <v>6687833</v>
      </c>
      <c r="H2057" s="241" t="n">
        <v>0</v>
      </c>
      <c r="I2057" s="241" t="n">
        <v>-0.26</v>
      </c>
      <c r="J2057" s="241" t="n">
        <v>-5.65</v>
      </c>
      <c r="K2057" s="241" t="n">
        <v>10.23</v>
      </c>
      <c r="L2057" s="242" t="n">
        <v>369340</v>
      </c>
      <c r="M2057" s="241" t="n">
        <v>-0.92</v>
      </c>
      <c r="N2057" s="241" t="n">
        <v>7.15</v>
      </c>
      <c r="O2057" s="241" t="n">
        <v>-3.49</v>
      </c>
      <c r="P2057" s="241" t="n">
        <v>1.14</v>
      </c>
    </row>
    <row r="2058">
      <c r="A2058" s="282" t="inlineStr">
        <is>
          <t>2014-06-25</t>
        </is>
      </c>
      <c r="B2058" s="240">
        <f>IFERROR(1/P2058-1,B2057)</f>
        <v/>
      </c>
      <c r="C2058" s="240">
        <f>$C$3</f>
        <v/>
      </c>
      <c r="D2058" s="240">
        <f>$D$3</f>
        <v/>
      </c>
      <c r="E2058" s="240">
        <f>$E$3</f>
        <v/>
      </c>
      <c r="F2058" s="241" t="n">
        <v>11.48</v>
      </c>
      <c r="G2058" s="242" t="n">
        <v>6200770</v>
      </c>
      <c r="H2058" s="241" t="n">
        <v>-1.71</v>
      </c>
      <c r="I2058" s="241" t="n">
        <v>-1.96</v>
      </c>
      <c r="J2058" s="241" t="n">
        <v>-7.27</v>
      </c>
      <c r="K2058" s="241" t="n">
        <v>10.23</v>
      </c>
      <c r="L2058" s="242" t="n">
        <v>1030200</v>
      </c>
      <c r="M2058" s="241" t="n">
        <v>0</v>
      </c>
      <c r="N2058" s="241" t="n">
        <v>7.15</v>
      </c>
      <c r="O2058" s="241" t="n">
        <v>-3.49</v>
      </c>
      <c r="P2058" s="241" t="n">
        <v>1.12</v>
      </c>
    </row>
    <row r="2059">
      <c r="A2059" s="282" t="inlineStr">
        <is>
          <t>2014-06-26</t>
        </is>
      </c>
      <c r="B2059" s="240">
        <f>IFERROR(1/P2059-1,B2058)</f>
        <v/>
      </c>
      <c r="C2059" s="240">
        <f>$C$3</f>
        <v/>
      </c>
      <c r="D2059" s="240">
        <f>$D$3</f>
        <v/>
      </c>
      <c r="E2059" s="240">
        <f>$E$3</f>
        <v/>
      </c>
      <c r="F2059" s="241" t="n">
        <v>11.67</v>
      </c>
      <c r="G2059" s="242" t="n">
        <v>7626799</v>
      </c>
      <c r="H2059" s="241" t="n">
        <v>1.66</v>
      </c>
      <c r="I2059" s="241" t="n">
        <v>-0.34</v>
      </c>
      <c r="J2059" s="241" t="n">
        <v>-5.73</v>
      </c>
      <c r="K2059" s="241" t="n">
        <v>10.32</v>
      </c>
      <c r="L2059" s="242" t="n">
        <v>804600</v>
      </c>
      <c r="M2059" s="241" t="n">
        <v>0.93</v>
      </c>
      <c r="N2059" s="241" t="n">
        <v>8.15</v>
      </c>
      <c r="O2059" s="241" t="n">
        <v>-2.59</v>
      </c>
      <c r="P2059" s="241" t="n">
        <v>1.13</v>
      </c>
    </row>
    <row r="2060">
      <c r="A2060" s="282" t="inlineStr">
        <is>
          <t>2014-06-27</t>
        </is>
      </c>
      <c r="B2060" s="240">
        <f>IFERROR(1/P2060-1,B2059)</f>
        <v/>
      </c>
      <c r="C2060" s="240">
        <f>$C$3</f>
        <v/>
      </c>
      <c r="D2060" s="240">
        <f>$D$3</f>
        <v/>
      </c>
      <c r="E2060" s="240">
        <f>$E$3</f>
        <v/>
      </c>
      <c r="F2060" s="241" t="n">
        <v>11.73</v>
      </c>
      <c r="G2060" s="242" t="n">
        <v>8528942</v>
      </c>
      <c r="H2060" s="241" t="n">
        <v>0.51</v>
      </c>
      <c r="I2060" s="241" t="n">
        <v>-0.26</v>
      </c>
      <c r="J2060" s="241" t="n">
        <v>-5.25</v>
      </c>
      <c r="K2060" s="241" t="n">
        <v>10.45</v>
      </c>
      <c r="L2060" s="242" t="n">
        <v>885200</v>
      </c>
      <c r="M2060" s="241" t="n">
        <v>1.23</v>
      </c>
      <c r="N2060" s="241" t="n">
        <v>9.85</v>
      </c>
      <c r="O2060" s="241" t="n">
        <v>-1.39</v>
      </c>
      <c r="P2060" s="241" t="n">
        <v>1.12</v>
      </c>
    </row>
    <row r="2061">
      <c r="A2061" s="282" t="inlineStr">
        <is>
          <t>2014-06-30</t>
        </is>
      </c>
      <c r="B2061" s="240">
        <f>IFERROR(1/P2061-1,B2060)</f>
        <v/>
      </c>
      <c r="C2061" s="240">
        <f>$C$3</f>
        <v/>
      </c>
      <c r="D2061" s="240">
        <f>$D$3</f>
        <v/>
      </c>
      <c r="E2061" s="240">
        <f>$E$3</f>
        <v/>
      </c>
      <c r="F2061" s="241" t="n">
        <v>11.87</v>
      </c>
      <c r="G2061" s="242" t="n">
        <v>8874430</v>
      </c>
      <c r="H2061" s="241" t="n">
        <v>1.19</v>
      </c>
      <c r="I2061" s="241" t="n">
        <v>2.68</v>
      </c>
      <c r="J2061" s="241" t="n">
        <v>-4.11</v>
      </c>
      <c r="K2061" s="241" t="n">
        <v>10.57</v>
      </c>
      <c r="L2061" s="242" t="n">
        <v>1136880</v>
      </c>
      <c r="M2061" s="241" t="n">
        <v>1.22</v>
      </c>
      <c r="N2061" s="241" t="n">
        <v>9.539999999999999</v>
      </c>
      <c r="O2061" s="241" t="n">
        <v>-0.19</v>
      </c>
      <c r="P2061" s="241" t="n">
        <v>1.12</v>
      </c>
    </row>
    <row r="2062">
      <c r="A2062" s="282" t="inlineStr">
        <is>
          <t>2014-07-01</t>
        </is>
      </c>
      <c r="B2062" s="240">
        <f>IFERROR(1/P2062-1,B2061)</f>
        <v/>
      </c>
      <c r="C2062" s="240">
        <f>$C$3</f>
        <v/>
      </c>
      <c r="D2062" s="240">
        <f>$D$3</f>
        <v/>
      </c>
      <c r="E2062" s="240">
        <f>$E$3</f>
        <v/>
      </c>
      <c r="F2062" s="241" t="n">
        <v>11.9</v>
      </c>
      <c r="G2062" s="242" t="n">
        <v>7628122</v>
      </c>
      <c r="H2062" s="241" t="n">
        <v>0.25</v>
      </c>
      <c r="I2062" s="241" t="n">
        <v>2.59</v>
      </c>
      <c r="J2062" s="241" t="n">
        <v>-3.87</v>
      </c>
      <c r="K2062" s="239" t="inlineStr">
        <is>
          <t>--</t>
        </is>
      </c>
      <c r="L2062" s="239" t="inlineStr">
        <is>
          <t>--</t>
        </is>
      </c>
      <c r="M2062" s="239" t="inlineStr">
        <is>
          <t>--</t>
        </is>
      </c>
      <c r="N2062" s="239" t="inlineStr">
        <is>
          <t>--</t>
        </is>
      </c>
      <c r="O2062" s="239" t="inlineStr">
        <is>
          <t>--</t>
        </is>
      </c>
      <c r="P2062" s="239" t="inlineStr">
        <is>
          <t>--</t>
        </is>
      </c>
    </row>
    <row r="2063">
      <c r="A2063" s="282" t="inlineStr">
        <is>
          <t>2014-07-02</t>
        </is>
      </c>
      <c r="B2063" s="240">
        <f>IFERROR(1/P2063-1,B2062)</f>
        <v/>
      </c>
      <c r="C2063" s="240">
        <f>$C$3</f>
        <v/>
      </c>
      <c r="D2063" s="240">
        <f>$D$3</f>
        <v/>
      </c>
      <c r="E2063" s="240">
        <f>$E$3</f>
        <v/>
      </c>
      <c r="F2063" s="241" t="n">
        <v>11.85</v>
      </c>
      <c r="G2063" s="242" t="n">
        <v>6697614</v>
      </c>
      <c r="H2063" s="241" t="n">
        <v>-0.42</v>
      </c>
      <c r="I2063" s="241" t="n">
        <v>2.16</v>
      </c>
      <c r="J2063" s="241" t="n">
        <v>-4.28</v>
      </c>
      <c r="K2063" s="241" t="n">
        <v>10.72</v>
      </c>
      <c r="L2063" s="242" t="n">
        <v>1344292</v>
      </c>
      <c r="M2063" s="241" t="n">
        <v>1.35</v>
      </c>
      <c r="N2063" s="241" t="n">
        <v>11.39</v>
      </c>
      <c r="O2063" s="241" t="n">
        <v>1.16</v>
      </c>
      <c r="P2063" s="241" t="n">
        <v>1.11</v>
      </c>
    </row>
    <row r="2064">
      <c r="A2064" s="282" t="inlineStr">
        <is>
          <t>2014-07-03</t>
        </is>
      </c>
      <c r="B2064" s="240">
        <f>IFERROR(1/P2064-1,B2063)</f>
        <v/>
      </c>
      <c r="C2064" s="240">
        <f>$C$3</f>
        <v/>
      </c>
      <c r="D2064" s="240">
        <f>$D$3</f>
        <v/>
      </c>
      <c r="E2064" s="240">
        <f>$E$3</f>
        <v/>
      </c>
      <c r="F2064" s="241" t="n">
        <v>11.87</v>
      </c>
      <c r="G2064" s="242" t="n">
        <v>7597471</v>
      </c>
      <c r="H2064" s="241" t="n">
        <v>0.17</v>
      </c>
      <c r="I2064" s="241" t="n">
        <v>2.33</v>
      </c>
      <c r="J2064" s="241" t="n">
        <v>-4.11</v>
      </c>
      <c r="K2064" s="241" t="n">
        <v>10.93</v>
      </c>
      <c r="L2064" s="242" t="n">
        <v>1749316</v>
      </c>
      <c r="M2064" s="241" t="n">
        <v>1.93</v>
      </c>
      <c r="N2064" s="241" t="n">
        <v>13.53</v>
      </c>
      <c r="O2064" s="241" t="n">
        <v>3.11</v>
      </c>
      <c r="P2064" s="241" t="n">
        <v>1.09</v>
      </c>
    </row>
    <row r="2065">
      <c r="A2065" s="282" t="inlineStr">
        <is>
          <t>2014-07-04</t>
        </is>
      </c>
      <c r="B2065" s="240">
        <f>IFERROR(1/P2065-1,B2064)</f>
        <v/>
      </c>
      <c r="C2065" s="240">
        <f>$C$3</f>
        <v/>
      </c>
      <c r="D2065" s="240">
        <f>$D$3</f>
        <v/>
      </c>
      <c r="E2065" s="240">
        <f>$E$3</f>
        <v/>
      </c>
      <c r="F2065" s="241" t="n">
        <v>11.75</v>
      </c>
      <c r="G2065" s="242" t="n">
        <v>6356409</v>
      </c>
      <c r="H2065" s="241" t="n">
        <v>-1.01</v>
      </c>
      <c r="I2065" s="241" t="n">
        <v>1.91</v>
      </c>
      <c r="J2065" s="241" t="n">
        <v>-5.08</v>
      </c>
      <c r="K2065" s="241" t="n">
        <v>10.77</v>
      </c>
      <c r="L2065" s="242" t="n">
        <v>470200</v>
      </c>
      <c r="M2065" s="241" t="n">
        <v>-1.6</v>
      </c>
      <c r="N2065" s="241" t="n">
        <v>7.46</v>
      </c>
      <c r="O2065" s="241" t="n">
        <v>1.46</v>
      </c>
      <c r="P2065" s="241" t="n">
        <v>1.09</v>
      </c>
    </row>
    <row r="2066">
      <c r="A2066" s="282" t="inlineStr">
        <is>
          <t>2014-07-07</t>
        </is>
      </c>
      <c r="B2066" s="240">
        <f>IFERROR(1/P2066-1,B2065)</f>
        <v/>
      </c>
      <c r="C2066" s="240">
        <f>$C$3</f>
        <v/>
      </c>
      <c r="D2066" s="240">
        <f>$D$3</f>
        <v/>
      </c>
      <c r="E2066" s="240">
        <f>$E$3</f>
        <v/>
      </c>
      <c r="F2066" s="241" t="n">
        <v>11.98</v>
      </c>
      <c r="G2066" s="242" t="n">
        <v>19977454</v>
      </c>
      <c r="H2066" s="241" t="n">
        <v>1.96</v>
      </c>
      <c r="I2066" s="241" t="n">
        <v>4.26</v>
      </c>
      <c r="J2066" s="241" t="n">
        <v>-3.23</v>
      </c>
      <c r="K2066" s="241" t="n">
        <v>10.79</v>
      </c>
      <c r="L2066" s="242" t="n">
        <v>320800</v>
      </c>
      <c r="M2066" s="241" t="n">
        <v>0.15</v>
      </c>
      <c r="N2066" s="241" t="n">
        <v>9.890000000000001</v>
      </c>
      <c r="O2066" s="241" t="n">
        <v>1.61</v>
      </c>
      <c r="P2066" s="241" t="n">
        <v>1.11</v>
      </c>
    </row>
    <row r="2067">
      <c r="A2067" s="282" t="inlineStr">
        <is>
          <t>2014-07-08</t>
        </is>
      </c>
      <c r="B2067" s="240">
        <f>IFERROR(1/P2067-1,B2066)</f>
        <v/>
      </c>
      <c r="C2067" s="240">
        <f>$C$3</f>
        <v/>
      </c>
      <c r="D2067" s="240">
        <f>$D$3</f>
        <v/>
      </c>
      <c r="E2067" s="240">
        <f>$E$3</f>
        <v/>
      </c>
      <c r="F2067" s="241" t="n">
        <v>12.04</v>
      </c>
      <c r="G2067" s="242" t="n">
        <v>25712005</v>
      </c>
      <c r="H2067" s="241" t="n">
        <v>0.5</v>
      </c>
      <c r="I2067" s="241" t="n">
        <v>4.79</v>
      </c>
      <c r="J2067" s="241" t="n">
        <v>-2.74</v>
      </c>
      <c r="K2067" s="241" t="n">
        <v>10.72</v>
      </c>
      <c r="L2067" s="242" t="n">
        <v>655054</v>
      </c>
      <c r="M2067" s="241" t="n">
        <v>-0.59</v>
      </c>
      <c r="N2067" s="241" t="n">
        <v>9.24</v>
      </c>
      <c r="O2067" s="241" t="n">
        <v>1.01</v>
      </c>
      <c r="P2067" s="241" t="n">
        <v>1.12</v>
      </c>
    </row>
    <row r="2068">
      <c r="A2068" s="282" t="inlineStr">
        <is>
          <t>2014-07-09</t>
        </is>
      </c>
      <c r="B2068" s="240">
        <f>IFERROR(1/P2068-1,B2067)</f>
        <v/>
      </c>
      <c r="C2068" s="240">
        <f>$C$3</f>
        <v/>
      </c>
      <c r="D2068" s="240">
        <f>$D$3</f>
        <v/>
      </c>
      <c r="E2068" s="240">
        <f>$E$3</f>
        <v/>
      </c>
      <c r="F2068" s="241" t="n">
        <v>11.94</v>
      </c>
      <c r="G2068" s="242" t="n">
        <v>22875460</v>
      </c>
      <c r="H2068" s="241" t="n">
        <v>-0.83</v>
      </c>
      <c r="I2068" s="241" t="n">
        <v>3.92</v>
      </c>
      <c r="J2068" s="241" t="n">
        <v>-3.55</v>
      </c>
      <c r="K2068" s="241" t="n">
        <v>10.64</v>
      </c>
      <c r="L2068" s="242" t="n">
        <v>702100</v>
      </c>
      <c r="M2068" s="241" t="n">
        <v>-0.59</v>
      </c>
      <c r="N2068" s="241" t="n">
        <v>8.59</v>
      </c>
      <c r="O2068" s="241" t="n">
        <v>0.41</v>
      </c>
      <c r="P2068" s="241" t="n">
        <v>1.12</v>
      </c>
    </row>
    <row r="2069">
      <c r="A2069" s="282" t="inlineStr">
        <is>
          <t>2014-07-10</t>
        </is>
      </c>
      <c r="B2069" s="240">
        <f>IFERROR(1/P2069-1,B2068)</f>
        <v/>
      </c>
      <c r="C2069" s="240">
        <f>$C$3</f>
        <v/>
      </c>
      <c r="D2069" s="240">
        <f>$D$3</f>
        <v/>
      </c>
      <c r="E2069" s="240">
        <f>$E$3</f>
        <v/>
      </c>
      <c r="F2069" s="241" t="n">
        <v>11.79</v>
      </c>
      <c r="G2069" s="242" t="n">
        <v>13362251</v>
      </c>
      <c r="H2069" s="241" t="n">
        <v>-1.26</v>
      </c>
      <c r="I2069" s="241" t="n">
        <v>4.89</v>
      </c>
      <c r="J2069" s="241" t="n">
        <v>-4.76</v>
      </c>
      <c r="K2069" s="241" t="n">
        <v>10.99</v>
      </c>
      <c r="L2069" s="242" t="n">
        <v>1636000</v>
      </c>
      <c r="M2069" s="241" t="n">
        <v>3.43</v>
      </c>
      <c r="N2069" s="241" t="n">
        <v>10.35</v>
      </c>
      <c r="O2069" s="241" t="n">
        <v>3.86</v>
      </c>
      <c r="P2069" s="241" t="n">
        <v>1.07</v>
      </c>
    </row>
    <row r="2070">
      <c r="A2070" s="282" t="inlineStr">
        <is>
          <t>2014-07-11</t>
        </is>
      </c>
      <c r="B2070" s="240">
        <f>IFERROR(1/P2070-1,B2069)</f>
        <v/>
      </c>
      <c r="C2070" s="240">
        <f>$C$3</f>
        <v/>
      </c>
      <c r="D2070" s="240">
        <f>$D$3</f>
        <v/>
      </c>
      <c r="E2070" s="240">
        <f>$E$3</f>
        <v/>
      </c>
      <c r="F2070" s="241" t="n">
        <v>12.01</v>
      </c>
      <c r="G2070" s="242" t="n">
        <v>14367515</v>
      </c>
      <c r="H2070" s="241" t="n">
        <v>1.87</v>
      </c>
      <c r="I2070" s="241" t="n">
        <v>6.19</v>
      </c>
      <c r="J2070" s="241" t="n">
        <v>-2.98</v>
      </c>
      <c r="K2070" s="241" t="n">
        <v>10.99</v>
      </c>
      <c r="L2070" s="242" t="n">
        <v>1134516</v>
      </c>
      <c r="M2070" s="241" t="n">
        <v>0</v>
      </c>
      <c r="N2070" s="241" t="n">
        <v>9.83</v>
      </c>
      <c r="O2070" s="241" t="n">
        <v>3.86</v>
      </c>
      <c r="P2070" s="241" t="n">
        <v>1.09</v>
      </c>
    </row>
    <row r="2071">
      <c r="A2071" s="282" t="inlineStr">
        <is>
          <t>2014-07-14</t>
        </is>
      </c>
      <c r="B2071" s="240">
        <f>IFERROR(1/P2071-1,B2070)</f>
        <v/>
      </c>
      <c r="C2071" s="240">
        <f>$C$3</f>
        <v/>
      </c>
      <c r="D2071" s="240">
        <f>$D$3</f>
        <v/>
      </c>
      <c r="E2071" s="240">
        <f>$E$3</f>
        <v/>
      </c>
      <c r="F2071" s="241" t="n">
        <v>12.11</v>
      </c>
      <c r="G2071" s="242" t="n">
        <v>13195306</v>
      </c>
      <c r="H2071" s="241" t="n">
        <v>0.83</v>
      </c>
      <c r="I2071" s="241" t="n">
        <v>4.31</v>
      </c>
      <c r="J2071" s="241" t="n">
        <v>-2.18</v>
      </c>
      <c r="K2071" s="241" t="n">
        <v>10.74</v>
      </c>
      <c r="L2071" s="242" t="n">
        <v>1883641</v>
      </c>
      <c r="M2071" s="241" t="n">
        <v>-2.31</v>
      </c>
      <c r="N2071" s="241" t="n">
        <v>5.29</v>
      </c>
      <c r="O2071" s="241" t="n">
        <v>1.46</v>
      </c>
      <c r="P2071" s="241" t="n">
        <v>1.13</v>
      </c>
    </row>
    <row r="2072">
      <c r="A2072" s="282" t="inlineStr">
        <is>
          <t>2014-07-15</t>
        </is>
      </c>
      <c r="B2072" s="240">
        <f>IFERROR(1/P2072-1,B2071)</f>
        <v/>
      </c>
      <c r="C2072" s="240">
        <f>$C$3</f>
        <v/>
      </c>
      <c r="D2072" s="240">
        <f>$D$3</f>
        <v/>
      </c>
      <c r="E2072" s="240">
        <f>$E$3</f>
        <v/>
      </c>
      <c r="F2072" s="241" t="n">
        <v>12.06</v>
      </c>
      <c r="G2072" s="242" t="n">
        <v>13646860</v>
      </c>
      <c r="H2072" s="241" t="n">
        <v>-0.41</v>
      </c>
      <c r="I2072" s="241" t="n">
        <v>3.88</v>
      </c>
      <c r="J2072" s="241" t="n">
        <v>-2.58</v>
      </c>
      <c r="K2072" s="241" t="n">
        <v>10.46</v>
      </c>
      <c r="L2072" s="242" t="n">
        <v>1862856</v>
      </c>
      <c r="M2072" s="241" t="n">
        <v>-2.66</v>
      </c>
      <c r="N2072" s="241" t="n">
        <v>2.49</v>
      </c>
      <c r="O2072" s="241" t="n">
        <v>-1.24</v>
      </c>
      <c r="P2072" s="241" t="n">
        <v>1.15</v>
      </c>
    </row>
    <row r="2073">
      <c r="A2073" s="282" t="inlineStr">
        <is>
          <t>2014-07-16</t>
        </is>
      </c>
      <c r="B2073" s="240">
        <f>IFERROR(1/P2073-1,B2072)</f>
        <v/>
      </c>
      <c r="C2073" s="240">
        <f>$C$3</f>
        <v/>
      </c>
      <c r="D2073" s="240">
        <f>$D$3</f>
        <v/>
      </c>
      <c r="E2073" s="240">
        <f>$E$3</f>
        <v/>
      </c>
      <c r="F2073" s="241" t="n">
        <v>12.06</v>
      </c>
      <c r="G2073" s="242" t="n">
        <v>10473895</v>
      </c>
      <c r="H2073" s="241" t="n">
        <v>0</v>
      </c>
      <c r="I2073" s="241" t="n">
        <v>3.88</v>
      </c>
      <c r="J2073" s="241" t="n">
        <v>-2.58</v>
      </c>
      <c r="K2073" s="241" t="n">
        <v>10.39</v>
      </c>
      <c r="L2073" s="242" t="n">
        <v>2740544</v>
      </c>
      <c r="M2073" s="241" t="n">
        <v>-0.76</v>
      </c>
      <c r="N2073" s="241" t="n">
        <v>1.71</v>
      </c>
      <c r="O2073" s="241" t="n">
        <v>-1.99</v>
      </c>
      <c r="P2073" s="241" t="n">
        <v>1.16</v>
      </c>
    </row>
    <row r="2074">
      <c r="A2074" s="282" t="inlineStr">
        <is>
          <t>2014-07-17</t>
        </is>
      </c>
      <c r="B2074" s="240">
        <f>IFERROR(1/P2074-1,B2073)</f>
        <v/>
      </c>
      <c r="C2074" s="240">
        <f>$C$3</f>
        <v/>
      </c>
      <c r="D2074" s="240">
        <f>$D$3</f>
        <v/>
      </c>
      <c r="E2074" s="240">
        <f>$E$3</f>
        <v/>
      </c>
      <c r="F2074" s="241" t="n">
        <v>12.05</v>
      </c>
      <c r="G2074" s="242" t="n">
        <v>14045641</v>
      </c>
      <c r="H2074" s="241" t="n">
        <v>-0.08</v>
      </c>
      <c r="I2074" s="241" t="n">
        <v>1.52</v>
      </c>
      <c r="J2074" s="241" t="n">
        <v>-2.66</v>
      </c>
      <c r="K2074" s="241" t="n">
        <v>10.33</v>
      </c>
      <c r="L2074" s="242" t="n">
        <v>3615157</v>
      </c>
      <c r="M2074" s="241" t="n">
        <v>-0.61</v>
      </c>
      <c r="N2074" s="241" t="n">
        <v>-1.81</v>
      </c>
      <c r="O2074" s="241" t="n">
        <v>-2.59</v>
      </c>
      <c r="P2074" s="241" t="n">
        <v>1.17</v>
      </c>
    </row>
    <row r="2075">
      <c r="A2075" s="282" t="inlineStr">
        <is>
          <t>2014-07-18</t>
        </is>
      </c>
      <c r="B2075" s="240">
        <f>IFERROR(1/P2075-1,B2074)</f>
        <v/>
      </c>
      <c r="C2075" s="240">
        <f>$C$3</f>
        <v/>
      </c>
      <c r="D2075" s="240">
        <f>$D$3</f>
        <v/>
      </c>
      <c r="E2075" s="240">
        <f>$E$3</f>
        <v/>
      </c>
      <c r="F2075" s="241" t="n">
        <v>12.08</v>
      </c>
      <c r="G2075" s="242" t="n">
        <v>12424755</v>
      </c>
      <c r="H2075" s="241" t="n">
        <v>0.25</v>
      </c>
      <c r="I2075" s="241" t="n">
        <v>-0.41</v>
      </c>
      <c r="J2075" s="241" t="n">
        <v>-2.42</v>
      </c>
      <c r="K2075" s="241" t="n">
        <v>10.71</v>
      </c>
      <c r="L2075" s="242" t="n">
        <v>3399149</v>
      </c>
      <c r="M2075" s="241" t="n">
        <v>3.69</v>
      </c>
      <c r="N2075" s="241" t="n">
        <v>1.97</v>
      </c>
      <c r="O2075" s="241" t="n">
        <v>1.01</v>
      </c>
      <c r="P2075" s="241" t="n">
        <v>1.13</v>
      </c>
    </row>
    <row r="2076">
      <c r="A2076" s="282" t="inlineStr">
        <is>
          <t>2014-07-21</t>
        </is>
      </c>
      <c r="B2076" s="240">
        <f>IFERROR(1/P2076-1,B2075)</f>
        <v/>
      </c>
      <c r="C2076" s="240">
        <f>$C$3</f>
        <v/>
      </c>
      <c r="D2076" s="240">
        <f>$D$3</f>
        <v/>
      </c>
      <c r="E2076" s="240">
        <f>$E$3</f>
        <v/>
      </c>
      <c r="F2076" s="241" t="n">
        <v>12.06</v>
      </c>
      <c r="G2076" s="242" t="n">
        <v>9838563</v>
      </c>
      <c r="H2076" s="241" t="n">
        <v>-0.17</v>
      </c>
      <c r="I2076" s="241" t="n">
        <v>3.97</v>
      </c>
      <c r="J2076" s="241" t="n">
        <v>-2.58</v>
      </c>
      <c r="K2076" s="241" t="n">
        <v>10.62</v>
      </c>
      <c r="L2076" s="242" t="n">
        <v>856296</v>
      </c>
      <c r="M2076" s="241" t="n">
        <v>-0.74</v>
      </c>
      <c r="N2076" s="241" t="n">
        <v>2.92</v>
      </c>
      <c r="O2076" s="241" t="n">
        <v>0.26</v>
      </c>
      <c r="P2076" s="241" t="n">
        <v>1.14</v>
      </c>
    </row>
    <row r="2077">
      <c r="A2077" s="282" t="inlineStr">
        <is>
          <t>2014-07-22</t>
        </is>
      </c>
      <c r="B2077" s="240">
        <f>IFERROR(1/P2077-1,B2076)</f>
        <v/>
      </c>
      <c r="C2077" s="240">
        <f>$C$3</f>
        <v/>
      </c>
      <c r="D2077" s="240">
        <f>$D$3</f>
        <v/>
      </c>
      <c r="E2077" s="240">
        <f>$E$3</f>
        <v/>
      </c>
      <c r="F2077" s="241" t="n">
        <v>12.19</v>
      </c>
      <c r="G2077" s="242" t="n">
        <v>14074273</v>
      </c>
      <c r="H2077" s="241" t="n">
        <v>1.08</v>
      </c>
      <c r="I2077" s="241" t="n">
        <v>5.09</v>
      </c>
      <c r="J2077" s="241" t="n">
        <v>-1.53</v>
      </c>
      <c r="K2077" s="241" t="n">
        <v>10.85</v>
      </c>
      <c r="L2077" s="242" t="n">
        <v>3620495</v>
      </c>
      <c r="M2077" s="241" t="n">
        <v>2.09</v>
      </c>
      <c r="N2077" s="241" t="n">
        <v>5.08</v>
      </c>
      <c r="O2077" s="241" t="n">
        <v>2.36</v>
      </c>
      <c r="P2077" s="241" t="n">
        <v>1.12</v>
      </c>
    </row>
    <row r="2078">
      <c r="A2078" s="282" t="inlineStr">
        <is>
          <t>2014-07-23</t>
        </is>
      </c>
      <c r="B2078" s="240">
        <f>IFERROR(1/P2078-1,B2077)</f>
        <v/>
      </c>
      <c r="C2078" s="240">
        <f>$C$3</f>
        <v/>
      </c>
      <c r="D2078" s="240">
        <f>$D$3</f>
        <v/>
      </c>
      <c r="E2078" s="240">
        <f>$E$3</f>
        <v/>
      </c>
      <c r="F2078" s="241" t="n">
        <v>12.21</v>
      </c>
      <c r="G2078" s="242" t="n">
        <v>12657346</v>
      </c>
      <c r="H2078" s="241" t="n">
        <v>0.16</v>
      </c>
      <c r="I2078" s="241" t="n">
        <v>5.26</v>
      </c>
      <c r="J2078" s="241" t="n">
        <v>-1.37</v>
      </c>
      <c r="K2078" s="241" t="n">
        <v>10.8</v>
      </c>
      <c r="L2078" s="242" t="n">
        <v>943567</v>
      </c>
      <c r="M2078" s="241" t="n">
        <v>-0.44</v>
      </c>
      <c r="N2078" s="241" t="n">
        <v>4.62</v>
      </c>
      <c r="O2078" s="241" t="n">
        <v>1.91</v>
      </c>
      <c r="P2078" s="241" t="n">
        <v>1.13</v>
      </c>
    </row>
    <row r="2079">
      <c r="A2079" s="282" t="inlineStr">
        <is>
          <t>2014-07-24</t>
        </is>
      </c>
      <c r="B2079" s="240">
        <f>IFERROR(1/P2079-1,B2078)</f>
        <v/>
      </c>
      <c r="C2079" s="240">
        <f>$C$3</f>
        <v/>
      </c>
      <c r="D2079" s="240">
        <f>$D$3</f>
        <v/>
      </c>
      <c r="E2079" s="240">
        <f>$E$3</f>
        <v/>
      </c>
      <c r="F2079" s="241" t="n">
        <v>12.38</v>
      </c>
      <c r="G2079" s="242" t="n">
        <v>22686501</v>
      </c>
      <c r="H2079" s="241" t="n">
        <v>1.39</v>
      </c>
      <c r="I2079" s="241" t="n">
        <v>5.99</v>
      </c>
      <c r="J2079" s="241" t="n">
        <v>0.01</v>
      </c>
      <c r="K2079" s="241" t="n">
        <v>10.88</v>
      </c>
      <c r="L2079" s="242" t="n">
        <v>1258205</v>
      </c>
      <c r="M2079" s="241" t="n">
        <v>0.74</v>
      </c>
      <c r="N2079" s="241" t="n">
        <v>5.38</v>
      </c>
      <c r="O2079" s="241" t="n">
        <v>2.66</v>
      </c>
      <c r="P2079" s="241" t="n">
        <v>1.14</v>
      </c>
    </row>
    <row r="2080">
      <c r="A2080" s="282" t="inlineStr">
        <is>
          <t>2014-07-25</t>
        </is>
      </c>
      <c r="B2080" s="240">
        <f>IFERROR(1/P2080-1,B2079)</f>
        <v/>
      </c>
      <c r="C2080" s="240">
        <f>$C$3</f>
        <v/>
      </c>
      <c r="D2080" s="240">
        <f>$D$3</f>
        <v/>
      </c>
      <c r="E2080" s="240">
        <f>$E$3</f>
        <v/>
      </c>
      <c r="F2080" s="241" t="n">
        <v>12.45</v>
      </c>
      <c r="G2080" s="242" t="n">
        <v>17737854</v>
      </c>
      <c r="H2080" s="241" t="n">
        <v>0.57</v>
      </c>
      <c r="I2080" s="241" t="n">
        <v>6.59</v>
      </c>
      <c r="J2080" s="241" t="n">
        <v>0.57</v>
      </c>
      <c r="K2080" s="241" t="n">
        <v>10.75</v>
      </c>
      <c r="L2080" s="242" t="n">
        <v>962000</v>
      </c>
      <c r="M2080" s="241" t="n">
        <v>-1.31</v>
      </c>
      <c r="N2080" s="241" t="n">
        <v>4.97</v>
      </c>
      <c r="O2080" s="241" t="n">
        <v>1.31</v>
      </c>
      <c r="P2080" s="241" t="n">
        <v>1.16</v>
      </c>
    </row>
    <row r="2081">
      <c r="A2081" s="282" t="inlineStr">
        <is>
          <t>2014-07-28</t>
        </is>
      </c>
      <c r="B2081" s="240">
        <f>IFERROR(1/P2081-1,B2080)</f>
        <v/>
      </c>
      <c r="C2081" s="240">
        <f>$C$3</f>
        <v/>
      </c>
      <c r="D2081" s="240">
        <f>$D$3</f>
        <v/>
      </c>
      <c r="E2081" s="240">
        <f>$E$3</f>
        <v/>
      </c>
      <c r="F2081" s="241" t="n">
        <v>12.61</v>
      </c>
      <c r="G2081" s="242" t="n">
        <v>26573739</v>
      </c>
      <c r="H2081" s="241" t="n">
        <v>1.29</v>
      </c>
      <c r="I2081" s="241" t="n">
        <v>7.5</v>
      </c>
      <c r="J2081" s="241" t="n">
        <v>1.86</v>
      </c>
      <c r="K2081" s="241" t="n">
        <v>10.75</v>
      </c>
      <c r="L2081" s="242" t="n">
        <v>1496600</v>
      </c>
      <c r="M2081" s="241" t="n">
        <v>0</v>
      </c>
      <c r="N2081" s="241" t="n">
        <v>2.74</v>
      </c>
      <c r="O2081" s="241" t="n">
        <v>1.31</v>
      </c>
      <c r="P2081" s="241" t="n">
        <v>1.17</v>
      </c>
    </row>
    <row r="2082">
      <c r="A2082" s="282" t="inlineStr">
        <is>
          <t>2014-07-29</t>
        </is>
      </c>
      <c r="B2082" s="240">
        <f>IFERROR(1/P2082-1,B2081)</f>
        <v/>
      </c>
      <c r="C2082" s="240">
        <f>$C$3</f>
        <v/>
      </c>
      <c r="D2082" s="240">
        <f>$D$3</f>
        <v/>
      </c>
      <c r="E2082" s="240">
        <f>$E$3</f>
        <v/>
      </c>
      <c r="F2082" s="241" t="n">
        <v>12.62</v>
      </c>
      <c r="G2082" s="242" t="n">
        <v>19037791</v>
      </c>
      <c r="H2082" s="241" t="n">
        <v>0.08</v>
      </c>
      <c r="I2082" s="241" t="n">
        <v>7.59</v>
      </c>
      <c r="J2082" s="241" t="n">
        <v>1.94</v>
      </c>
      <c r="K2082" s="241" t="n">
        <v>10.91</v>
      </c>
      <c r="L2082" s="242" t="n">
        <v>2135000</v>
      </c>
      <c r="M2082" s="241" t="n">
        <v>1.48</v>
      </c>
      <c r="N2082" s="241" t="n">
        <v>4.26</v>
      </c>
      <c r="O2082" s="241" t="n">
        <v>2.81</v>
      </c>
      <c r="P2082" s="241" t="n">
        <v>1.16</v>
      </c>
    </row>
    <row r="2083">
      <c r="A2083" s="282" t="inlineStr">
        <is>
          <t>2014-07-30</t>
        </is>
      </c>
      <c r="B2083" s="240">
        <f>IFERROR(1/P2083-1,B2082)</f>
        <v/>
      </c>
      <c r="C2083" s="240">
        <f>$C$3</f>
        <v/>
      </c>
      <c r="D2083" s="240">
        <f>$D$3</f>
        <v/>
      </c>
      <c r="E2083" s="240">
        <f>$E$3</f>
        <v/>
      </c>
      <c r="F2083" s="241" t="n">
        <v>12.53</v>
      </c>
      <c r="G2083" s="242" t="n">
        <v>15475382</v>
      </c>
      <c r="H2083" s="241" t="n">
        <v>-0.71</v>
      </c>
      <c r="I2083" s="241" t="n">
        <v>6.82</v>
      </c>
      <c r="J2083" s="241" t="n">
        <v>1.22</v>
      </c>
      <c r="K2083" s="241" t="n">
        <v>10.64</v>
      </c>
      <c r="L2083" s="242" t="n">
        <v>1849600</v>
      </c>
      <c r="M2083" s="241" t="n">
        <v>-2.48</v>
      </c>
      <c r="N2083" s="241" t="n">
        <v>1.67</v>
      </c>
      <c r="O2083" s="241" t="n">
        <v>0.26</v>
      </c>
      <c r="P2083" s="241" t="n">
        <v>1.18</v>
      </c>
    </row>
    <row r="2084">
      <c r="A2084" s="282" t="inlineStr">
        <is>
          <t>2014-07-31</t>
        </is>
      </c>
      <c r="B2084" s="240">
        <f>IFERROR(1/P2084-1,B2083)</f>
        <v/>
      </c>
      <c r="C2084" s="240">
        <f>$C$3</f>
        <v/>
      </c>
      <c r="D2084" s="240">
        <f>$D$3</f>
        <v/>
      </c>
      <c r="E2084" s="240">
        <f>$E$3</f>
        <v/>
      </c>
      <c r="F2084" s="241" t="n">
        <v>12.63</v>
      </c>
      <c r="G2084" s="242" t="n">
        <v>15547059</v>
      </c>
      <c r="H2084" s="241" t="n">
        <v>0.8</v>
      </c>
      <c r="I2084" s="241" t="n">
        <v>7.67</v>
      </c>
      <c r="J2084" s="241" t="n">
        <v>2.02</v>
      </c>
      <c r="K2084" s="241" t="n">
        <v>10.7</v>
      </c>
      <c r="L2084" s="242" t="n">
        <v>730300</v>
      </c>
      <c r="M2084" s="241" t="n">
        <v>0.45</v>
      </c>
      <c r="N2084" s="241" t="n">
        <v>2.13</v>
      </c>
      <c r="O2084" s="241" t="n">
        <v>0.71</v>
      </c>
      <c r="P2084" s="241" t="n">
        <v>1.18</v>
      </c>
    </row>
    <row r="2085">
      <c r="A2085" s="282" t="inlineStr">
        <is>
          <t>2014-08-01</t>
        </is>
      </c>
      <c r="B2085" s="240">
        <f>IFERROR(1/P2085-1,B2084)</f>
        <v/>
      </c>
      <c r="C2085" s="240">
        <f>$C$3</f>
        <v/>
      </c>
      <c r="D2085" s="240">
        <f>$D$3</f>
        <v/>
      </c>
      <c r="E2085" s="240">
        <f>$E$3</f>
        <v/>
      </c>
      <c r="F2085" s="241" t="n">
        <v>12.49</v>
      </c>
      <c r="G2085" s="242" t="n">
        <v>18537868</v>
      </c>
      <c r="H2085" s="241" t="n">
        <v>-1.11</v>
      </c>
      <c r="I2085" s="241" t="n">
        <v>5.22</v>
      </c>
      <c r="J2085" s="241" t="n">
        <v>0.89</v>
      </c>
      <c r="K2085" s="241" t="n">
        <v>10.57</v>
      </c>
      <c r="L2085" s="242" t="n">
        <v>1595215</v>
      </c>
      <c r="M2085" s="241" t="n">
        <v>-1.19</v>
      </c>
      <c r="N2085" s="241" t="n">
        <v>-0.3</v>
      </c>
      <c r="O2085" s="241" t="n">
        <v>-0.49</v>
      </c>
      <c r="P2085" s="241" t="n">
        <v>1.18</v>
      </c>
    </row>
    <row r="2086">
      <c r="A2086" s="282" t="inlineStr">
        <is>
          <t>2014-08-04</t>
        </is>
      </c>
      <c r="B2086" s="240">
        <f>IFERROR(1/P2086-1,B2085)</f>
        <v/>
      </c>
      <c r="C2086" s="240">
        <f>$C$3</f>
        <v/>
      </c>
      <c r="D2086" s="240">
        <f>$D$3</f>
        <v/>
      </c>
      <c r="E2086" s="240">
        <f>$E$3</f>
        <v/>
      </c>
      <c r="F2086" s="241" t="n">
        <v>13.04</v>
      </c>
      <c r="G2086" s="242" t="n">
        <v>31988550</v>
      </c>
      <c r="H2086" s="241" t="n">
        <v>4.4</v>
      </c>
      <c r="I2086" s="241" t="n">
        <v>9.859999999999999</v>
      </c>
      <c r="J2086" s="241" t="n">
        <v>5.34</v>
      </c>
      <c r="K2086" s="241" t="n">
        <v>11</v>
      </c>
      <c r="L2086" s="242" t="n">
        <v>2988765</v>
      </c>
      <c r="M2086" s="241" t="n">
        <v>4.07</v>
      </c>
      <c r="N2086" s="241" t="n">
        <v>0.44</v>
      </c>
      <c r="O2086" s="241" t="n">
        <v>3.56</v>
      </c>
      <c r="P2086" s="241" t="n">
        <v>1.19</v>
      </c>
    </row>
    <row r="2087">
      <c r="A2087" s="282" t="inlineStr">
        <is>
          <t>2014-08-05</t>
        </is>
      </c>
      <c r="B2087" s="240">
        <f>IFERROR(1/P2087-1,B2086)</f>
        <v/>
      </c>
      <c r="C2087" s="240">
        <f>$C$3</f>
        <v/>
      </c>
      <c r="D2087" s="240">
        <f>$D$3</f>
        <v/>
      </c>
      <c r="E2087" s="240">
        <f>$E$3</f>
        <v/>
      </c>
      <c r="F2087" s="241" t="n">
        <v>13</v>
      </c>
      <c r="G2087" s="242" t="n">
        <v>18136758</v>
      </c>
      <c r="H2087" s="241" t="n">
        <v>-0.31</v>
      </c>
      <c r="I2087" s="241" t="n">
        <v>10.64</v>
      </c>
      <c r="J2087" s="241" t="n">
        <v>5.01</v>
      </c>
      <c r="K2087" s="241" t="n">
        <v>11.01</v>
      </c>
      <c r="L2087" s="242" t="n">
        <v>1244600</v>
      </c>
      <c r="M2087" s="241" t="n">
        <v>0.14</v>
      </c>
      <c r="N2087" s="241" t="n">
        <v>2.22</v>
      </c>
      <c r="O2087" s="241" t="n">
        <v>3.71</v>
      </c>
      <c r="P2087" s="241" t="n">
        <v>1.18</v>
      </c>
    </row>
    <row r="2088">
      <c r="A2088" s="282" t="inlineStr">
        <is>
          <t>2014-08-06</t>
        </is>
      </c>
      <c r="B2088" s="240">
        <f>IFERROR(1/P2088-1,B2087)</f>
        <v/>
      </c>
      <c r="C2088" s="240">
        <f>$C$3</f>
        <v/>
      </c>
      <c r="D2088" s="240">
        <f>$D$3</f>
        <v/>
      </c>
      <c r="E2088" s="240">
        <f>$E$3</f>
        <v/>
      </c>
      <c r="F2088" s="241" t="n">
        <v>12.94</v>
      </c>
      <c r="G2088" s="242" t="n">
        <v>12606838</v>
      </c>
      <c r="H2088" s="241" t="n">
        <v>-0.46</v>
      </c>
      <c r="I2088" s="241" t="n">
        <v>10.13</v>
      </c>
      <c r="J2088" s="241" t="n">
        <v>4.53</v>
      </c>
      <c r="K2088" s="241" t="n">
        <v>10.94</v>
      </c>
      <c r="L2088" s="242" t="n">
        <v>493200</v>
      </c>
      <c r="M2088" s="241" t="n">
        <v>-0.72</v>
      </c>
      <c r="N2088" s="241" t="n">
        <v>1.48</v>
      </c>
      <c r="O2088" s="241" t="n">
        <v>2.96</v>
      </c>
      <c r="P2088" s="241" t="n">
        <v>1.18</v>
      </c>
    </row>
    <row r="2089">
      <c r="A2089" s="282" t="inlineStr">
        <is>
          <t>2014-08-07</t>
        </is>
      </c>
      <c r="B2089" s="240">
        <f>IFERROR(1/P2089-1,B2088)</f>
        <v/>
      </c>
      <c r="C2089" s="240">
        <f>$C$3</f>
        <v/>
      </c>
      <c r="D2089" s="240">
        <f>$D$3</f>
        <v/>
      </c>
      <c r="E2089" s="240">
        <f>$E$3</f>
        <v/>
      </c>
      <c r="F2089" s="241" t="n">
        <v>12.73</v>
      </c>
      <c r="G2089" s="242" t="n">
        <v>17515816</v>
      </c>
      <c r="H2089" s="241" t="n">
        <v>-1.62</v>
      </c>
      <c r="I2089" s="241" t="n">
        <v>8.34</v>
      </c>
      <c r="J2089" s="241" t="n">
        <v>2.83</v>
      </c>
      <c r="K2089" s="241" t="n">
        <v>10.89</v>
      </c>
      <c r="L2089" s="242" t="n">
        <v>2614483</v>
      </c>
      <c r="M2089" s="241" t="n">
        <v>-0.44</v>
      </c>
      <c r="N2089" s="241" t="n">
        <v>1.03</v>
      </c>
      <c r="O2089" s="241" t="n">
        <v>2.51</v>
      </c>
      <c r="P2089" s="241" t="n">
        <v>1.17</v>
      </c>
    </row>
    <row r="2090">
      <c r="A2090" s="282" t="inlineStr">
        <is>
          <t>2014-08-08</t>
        </is>
      </c>
      <c r="B2090" s="240">
        <f>IFERROR(1/P2090-1,B2089)</f>
        <v/>
      </c>
      <c r="C2090" s="240">
        <f>$C$3</f>
        <v/>
      </c>
      <c r="D2090" s="240">
        <f>$D$3</f>
        <v/>
      </c>
      <c r="E2090" s="240">
        <f>$E$3</f>
        <v/>
      </c>
      <c r="F2090" s="241" t="n">
        <v>13.09</v>
      </c>
      <c r="G2090" s="242" t="n">
        <v>17532595</v>
      </c>
      <c r="H2090" s="241" t="n">
        <v>2.83</v>
      </c>
      <c r="I2090" s="241" t="n">
        <v>9.27</v>
      </c>
      <c r="J2090" s="241" t="n">
        <v>5.74</v>
      </c>
      <c r="K2090" s="241" t="n">
        <v>11.07</v>
      </c>
      <c r="L2090" s="242" t="n">
        <v>1564400</v>
      </c>
      <c r="M2090" s="241" t="n">
        <v>1.9</v>
      </c>
      <c r="N2090" s="241" t="n">
        <v>2.8</v>
      </c>
      <c r="O2090" s="241" t="n">
        <v>4.46</v>
      </c>
      <c r="P2090" s="241" t="n">
        <v>1.18</v>
      </c>
    </row>
    <row r="2091">
      <c r="A2091" s="282" t="inlineStr">
        <is>
          <t>2014-08-11</t>
        </is>
      </c>
      <c r="B2091" s="240">
        <f>IFERROR(1/P2091-1,B2090)</f>
        <v/>
      </c>
      <c r="C2091" s="240">
        <f>$C$3</f>
        <v/>
      </c>
      <c r="D2091" s="240">
        <f>$D$3</f>
        <v/>
      </c>
      <c r="E2091" s="240">
        <f>$E$3</f>
        <v/>
      </c>
      <c r="F2091" s="241" t="n">
        <v>13.14</v>
      </c>
      <c r="G2091" s="242" t="n">
        <v>22484284</v>
      </c>
      <c r="H2091" s="241" t="n">
        <v>0.38</v>
      </c>
      <c r="I2091" s="241" t="n">
        <v>11.45</v>
      </c>
      <c r="J2091" s="241" t="n">
        <v>6.14</v>
      </c>
      <c r="K2091" s="241" t="n">
        <v>11.1</v>
      </c>
      <c r="L2091" s="242" t="n">
        <v>1761658</v>
      </c>
      <c r="M2091" s="241" t="n">
        <v>0.29</v>
      </c>
      <c r="N2091" s="241" t="n">
        <v>0.87</v>
      </c>
      <c r="O2091" s="241" t="n">
        <v>4.76</v>
      </c>
      <c r="P2091" s="241" t="n">
        <v>1.18</v>
      </c>
    </row>
    <row r="2092">
      <c r="A2092" s="282" t="inlineStr">
        <is>
          <t>2014-08-12</t>
        </is>
      </c>
      <c r="B2092" s="240">
        <f>IFERROR(1/P2092-1,B2091)</f>
        <v/>
      </c>
      <c r="C2092" s="240">
        <f>$C$3</f>
        <v/>
      </c>
      <c r="D2092" s="240">
        <f>$D$3</f>
        <v/>
      </c>
      <c r="E2092" s="240">
        <f>$E$3</f>
        <v/>
      </c>
      <c r="F2092" s="241" t="n">
        <v>12.98</v>
      </c>
      <c r="G2092" s="242" t="n">
        <v>14184764</v>
      </c>
      <c r="H2092" s="241" t="n">
        <v>-1.22</v>
      </c>
      <c r="I2092" s="241" t="n">
        <v>8.08</v>
      </c>
      <c r="J2092" s="241" t="n">
        <v>4.85</v>
      </c>
      <c r="K2092" s="241" t="n">
        <v>11.14</v>
      </c>
      <c r="L2092" s="242" t="n">
        <v>1278050</v>
      </c>
      <c r="M2092" s="241" t="n">
        <v>0.43</v>
      </c>
      <c r="N2092" s="241" t="n">
        <v>1.3</v>
      </c>
      <c r="O2092" s="241" t="n">
        <v>5.21</v>
      </c>
      <c r="P2092" s="241" t="n">
        <v>1.16</v>
      </c>
    </row>
    <row r="2093">
      <c r="A2093" s="282" t="inlineStr">
        <is>
          <t>2014-08-13</t>
        </is>
      </c>
      <c r="B2093" s="240">
        <f>IFERROR(1/P2093-1,B2092)</f>
        <v/>
      </c>
      <c r="C2093" s="240">
        <f>$C$3</f>
        <v/>
      </c>
      <c r="D2093" s="240">
        <f>$D$3</f>
        <v/>
      </c>
      <c r="E2093" s="240">
        <f>$E$3</f>
        <v/>
      </c>
      <c r="F2093" s="241" t="n">
        <v>12.94</v>
      </c>
      <c r="G2093" s="242" t="n">
        <v>17523432</v>
      </c>
      <c r="H2093" s="241" t="n">
        <v>-0.31</v>
      </c>
      <c r="I2093" s="241" t="n">
        <v>7.74</v>
      </c>
      <c r="J2093" s="241" t="n">
        <v>4.53</v>
      </c>
      <c r="K2093" s="241" t="n">
        <v>11.11</v>
      </c>
      <c r="L2093" s="242" t="n">
        <v>1400000</v>
      </c>
      <c r="M2093" s="241" t="n">
        <v>-0.28</v>
      </c>
      <c r="N2093" s="241" t="n">
        <v>1.01</v>
      </c>
      <c r="O2093" s="241" t="n">
        <v>4.91</v>
      </c>
      <c r="P2093" s="241" t="n">
        <v>1.16</v>
      </c>
    </row>
    <row r="2094">
      <c r="A2094" s="282" t="inlineStr">
        <is>
          <t>2014-08-14</t>
        </is>
      </c>
      <c r="B2094" s="240">
        <f>IFERROR(1/P2094-1,B2093)</f>
        <v/>
      </c>
      <c r="C2094" s="240">
        <f>$C$3</f>
        <v/>
      </c>
      <c r="D2094" s="240">
        <f>$D$3</f>
        <v/>
      </c>
      <c r="E2094" s="240">
        <f>$E$3</f>
        <v/>
      </c>
      <c r="F2094" s="241" t="n">
        <v>12.68</v>
      </c>
      <c r="G2094" s="242" t="n">
        <v>21963248</v>
      </c>
      <c r="H2094" s="241" t="n">
        <v>-2.01</v>
      </c>
      <c r="I2094" s="241" t="n">
        <v>5.58</v>
      </c>
      <c r="J2094" s="241" t="n">
        <v>2.43</v>
      </c>
      <c r="K2094" s="241" t="n">
        <v>10.97</v>
      </c>
      <c r="L2094" s="242" t="n">
        <v>797400</v>
      </c>
      <c r="M2094" s="241" t="n">
        <v>-1.29</v>
      </c>
      <c r="N2094" s="241" t="n">
        <v>-0.29</v>
      </c>
      <c r="O2094" s="241" t="n">
        <v>3.56</v>
      </c>
      <c r="P2094" s="241" t="n">
        <v>1.16</v>
      </c>
    </row>
    <row r="2095">
      <c r="A2095" s="282" t="inlineStr">
        <is>
          <t>2014-08-15</t>
        </is>
      </c>
      <c r="B2095" s="240">
        <f>IFERROR(1/P2095-1,B2094)</f>
        <v/>
      </c>
      <c r="C2095" s="240">
        <f>$C$3</f>
        <v/>
      </c>
      <c r="D2095" s="240">
        <f>$D$3</f>
        <v/>
      </c>
      <c r="E2095" s="240">
        <f>$E$3</f>
        <v/>
      </c>
      <c r="F2095" s="241" t="n">
        <v>12.79</v>
      </c>
      <c r="G2095" s="242" t="n">
        <v>11675841</v>
      </c>
      <c r="H2095" s="241" t="n">
        <v>0.87</v>
      </c>
      <c r="I2095" s="241" t="n">
        <v>5.62</v>
      </c>
      <c r="J2095" s="241" t="n">
        <v>3.32</v>
      </c>
      <c r="K2095" s="241" t="n">
        <v>10.97</v>
      </c>
      <c r="L2095" s="242" t="n">
        <v>454799</v>
      </c>
      <c r="M2095" s="241" t="n">
        <v>0</v>
      </c>
      <c r="N2095" s="241" t="n">
        <v>2.07</v>
      </c>
      <c r="O2095" s="241" t="n">
        <v>3.56</v>
      </c>
      <c r="P2095" s="241" t="n">
        <v>1.17</v>
      </c>
    </row>
    <row r="2096">
      <c r="A2096" s="282" t="inlineStr">
        <is>
          <t>2014-08-18</t>
        </is>
      </c>
      <c r="B2096" s="240">
        <f>IFERROR(1/P2096-1,B2095)</f>
        <v/>
      </c>
      <c r="C2096" s="240">
        <f>$C$3</f>
        <v/>
      </c>
      <c r="D2096" s="240">
        <f>$D$3</f>
        <v/>
      </c>
      <c r="E2096" s="240">
        <f>$E$3</f>
        <v/>
      </c>
      <c r="F2096" s="241" t="n">
        <v>12.82</v>
      </c>
      <c r="G2096" s="242" t="n">
        <v>11938341</v>
      </c>
      <c r="H2096" s="241" t="n">
        <v>0.23</v>
      </c>
      <c r="I2096" s="241" t="n">
        <v>6.39</v>
      </c>
      <c r="J2096" s="241" t="n">
        <v>3.56</v>
      </c>
      <c r="K2096" s="241" t="n">
        <v>10.88</v>
      </c>
      <c r="L2096" s="242" t="n">
        <v>1269600</v>
      </c>
      <c r="M2096" s="241" t="n">
        <v>-0.87</v>
      </c>
      <c r="N2096" s="241" t="n">
        <v>5.38</v>
      </c>
      <c r="O2096" s="241" t="n">
        <v>2.66</v>
      </c>
      <c r="P2096" s="241" t="n">
        <v>1.18</v>
      </c>
    </row>
    <row r="2097">
      <c r="A2097" s="282" t="inlineStr">
        <is>
          <t>2014-08-19</t>
        </is>
      </c>
      <c r="B2097" s="240">
        <f>IFERROR(1/P2097-1,B2096)</f>
        <v/>
      </c>
      <c r="C2097" s="240">
        <f>$C$3</f>
        <v/>
      </c>
      <c r="D2097" s="240">
        <f>$D$3</f>
        <v/>
      </c>
      <c r="E2097" s="240">
        <f>$E$3</f>
        <v/>
      </c>
      <c r="F2097" s="241" t="n">
        <v>12.82</v>
      </c>
      <c r="G2097" s="242" t="n">
        <v>18413488</v>
      </c>
      <c r="H2097" s="241" t="n">
        <v>0</v>
      </c>
      <c r="I2097" s="241" t="n">
        <v>6.13</v>
      </c>
      <c r="J2097" s="241" t="n">
        <v>3.56</v>
      </c>
      <c r="K2097" s="241" t="n">
        <v>11.02</v>
      </c>
      <c r="L2097" s="242" t="n">
        <v>1482317</v>
      </c>
      <c r="M2097" s="241" t="n">
        <v>1.31</v>
      </c>
      <c r="N2097" s="241" t="n">
        <v>2.97</v>
      </c>
      <c r="O2097" s="241" t="n">
        <v>4.01</v>
      </c>
      <c r="P2097" s="241" t="n">
        <v>1.16</v>
      </c>
    </row>
    <row r="2098">
      <c r="A2098" s="282" t="inlineStr">
        <is>
          <t>2014-08-20</t>
        </is>
      </c>
      <c r="B2098" s="240">
        <f>IFERROR(1/P2098-1,B2097)</f>
        <v/>
      </c>
      <c r="C2098" s="240">
        <f>$C$3</f>
        <v/>
      </c>
      <c r="D2098" s="240">
        <f>$D$3</f>
        <v/>
      </c>
      <c r="E2098" s="240">
        <f>$E$3</f>
        <v/>
      </c>
      <c r="F2098" s="241" t="n">
        <v>12.84</v>
      </c>
      <c r="G2098" s="242" t="n">
        <v>13782262</v>
      </c>
      <c r="H2098" s="241" t="n">
        <v>0.16</v>
      </c>
      <c r="I2098" s="241" t="n">
        <v>6.29</v>
      </c>
      <c r="J2098" s="241" t="n">
        <v>3.72</v>
      </c>
      <c r="K2098" s="241" t="n">
        <v>10.85</v>
      </c>
      <c r="L2098" s="242" t="n">
        <v>1686800</v>
      </c>
      <c r="M2098" s="241" t="n">
        <v>-1.58</v>
      </c>
      <c r="N2098" s="241" t="n">
        <v>1.34</v>
      </c>
      <c r="O2098" s="241" t="n">
        <v>2.36</v>
      </c>
      <c r="P2098" s="241" t="n">
        <v>1.18</v>
      </c>
    </row>
    <row r="2099">
      <c r="A2099" s="282" t="inlineStr">
        <is>
          <t>2014-08-21</t>
        </is>
      </c>
      <c r="B2099" s="240">
        <f>IFERROR(1/P2099-1,B2098)</f>
        <v/>
      </c>
      <c r="C2099" s="240">
        <f>$C$3</f>
        <v/>
      </c>
      <c r="D2099" s="240">
        <f>$D$3</f>
        <v/>
      </c>
      <c r="E2099" s="240">
        <f>$E$3</f>
        <v/>
      </c>
      <c r="F2099" s="241" t="n">
        <v>12.68</v>
      </c>
      <c r="G2099" s="242" t="n">
        <v>15169020</v>
      </c>
      <c r="H2099" s="241" t="n">
        <v>-1.25</v>
      </c>
      <c r="I2099" s="241" t="n">
        <v>4.97</v>
      </c>
      <c r="J2099" s="241" t="n">
        <v>2.43</v>
      </c>
      <c r="K2099" s="241" t="n">
        <v>10.61</v>
      </c>
      <c r="L2099" s="242" t="n">
        <v>1165806</v>
      </c>
      <c r="M2099" s="241" t="n">
        <v>-2.34</v>
      </c>
      <c r="N2099" s="241" t="n">
        <v>-1.04</v>
      </c>
      <c r="O2099" s="241" t="n">
        <v>-0.04</v>
      </c>
      <c r="P2099" s="241" t="n">
        <v>1.2</v>
      </c>
    </row>
    <row r="2100">
      <c r="A2100" s="282" t="inlineStr">
        <is>
          <t>2014-08-22</t>
        </is>
      </c>
      <c r="B2100" s="240">
        <f>IFERROR(1/P2100-1,B2099)</f>
        <v/>
      </c>
      <c r="C2100" s="240">
        <f>$C$3</f>
        <v/>
      </c>
      <c r="D2100" s="240">
        <f>$D$3</f>
        <v/>
      </c>
      <c r="E2100" s="240">
        <f>$E$3</f>
        <v/>
      </c>
      <c r="F2100" s="241" t="n">
        <v>12.75</v>
      </c>
      <c r="G2100" s="242" t="n">
        <v>11387395</v>
      </c>
      <c r="H2100" s="241" t="n">
        <v>0.55</v>
      </c>
      <c r="I2100" s="241" t="n">
        <v>5.72</v>
      </c>
      <c r="J2100" s="241" t="n">
        <v>2.99</v>
      </c>
      <c r="K2100" s="241" t="n">
        <v>10.51</v>
      </c>
      <c r="L2100" s="242" t="n">
        <v>2687000</v>
      </c>
      <c r="M2100" s="241" t="n">
        <v>-0.9</v>
      </c>
      <c r="N2100" s="241" t="n">
        <v>-1.2</v>
      </c>
      <c r="O2100" s="241" t="n">
        <v>-0.9399999999999999</v>
      </c>
      <c r="P2100" s="241" t="n">
        <v>1.21</v>
      </c>
    </row>
    <row r="2101">
      <c r="A2101" s="282" t="inlineStr">
        <is>
          <t>2014-08-25</t>
        </is>
      </c>
      <c r="B2101" s="240">
        <f>IFERROR(1/P2101-1,B2100)</f>
        <v/>
      </c>
      <c r="C2101" s="240">
        <f>$C$3</f>
        <v/>
      </c>
      <c r="D2101" s="240">
        <f>$D$3</f>
        <v/>
      </c>
      <c r="E2101" s="240">
        <f>$E$3</f>
        <v/>
      </c>
      <c r="F2101" s="241" t="n">
        <v>12.8</v>
      </c>
      <c r="G2101" s="242" t="n">
        <v>15708712</v>
      </c>
      <c r="H2101" s="241" t="n">
        <v>0.39</v>
      </c>
      <c r="I2101" s="241" t="n">
        <v>3.39</v>
      </c>
      <c r="J2101" s="241" t="n">
        <v>3.4</v>
      </c>
      <c r="K2101" s="241" t="n">
        <v>10.68</v>
      </c>
      <c r="L2101" s="242" t="n">
        <v>1549300</v>
      </c>
      <c r="M2101" s="241" t="n">
        <v>1.51</v>
      </c>
      <c r="N2101" s="241" t="n">
        <v>-2.04</v>
      </c>
      <c r="O2101" s="241" t="n">
        <v>0.5600000000000001</v>
      </c>
      <c r="P2101" s="241" t="n">
        <v>1.2</v>
      </c>
    </row>
    <row r="2102">
      <c r="A2102" s="282" t="inlineStr">
        <is>
          <t>2014-08-26</t>
        </is>
      </c>
      <c r="B2102" s="240">
        <f>IFERROR(1/P2102-1,B2101)</f>
        <v/>
      </c>
      <c r="C2102" s="240">
        <f>$C$3</f>
        <v/>
      </c>
      <c r="D2102" s="240">
        <f>$D$3</f>
        <v/>
      </c>
      <c r="E2102" s="240">
        <f>$E$3</f>
        <v/>
      </c>
      <c r="F2102" s="241" t="n">
        <v>12.45</v>
      </c>
      <c r="G2102" s="242" t="n">
        <v>15006170</v>
      </c>
      <c r="H2102" s="241" t="n">
        <v>-2.73</v>
      </c>
      <c r="I2102" s="241" t="n">
        <v>0</v>
      </c>
      <c r="J2102" s="241" t="n">
        <v>0.57</v>
      </c>
      <c r="K2102" s="241" t="n">
        <v>10.5</v>
      </c>
      <c r="L2102" s="242" t="n">
        <v>2351000</v>
      </c>
      <c r="M2102" s="241" t="n">
        <v>-1.64</v>
      </c>
      <c r="N2102" s="241" t="n">
        <v>-2.37</v>
      </c>
      <c r="O2102" s="241" t="n">
        <v>-1.09</v>
      </c>
      <c r="P2102" s="241" t="n">
        <v>1.19</v>
      </c>
    </row>
    <row r="2103">
      <c r="A2103" s="282" t="inlineStr">
        <is>
          <t>2014-08-27</t>
        </is>
      </c>
      <c r="B2103" s="240">
        <f>IFERROR(1/P2103-1,B2102)</f>
        <v/>
      </c>
      <c r="C2103" s="240">
        <f>$C$3</f>
        <v/>
      </c>
      <c r="D2103" s="240">
        <f>$D$3</f>
        <v/>
      </c>
      <c r="E2103" s="240">
        <f>$E$3</f>
        <v/>
      </c>
      <c r="F2103" s="241" t="n">
        <v>12.43</v>
      </c>
      <c r="G2103" s="242" t="n">
        <v>9649569</v>
      </c>
      <c r="H2103" s="241" t="n">
        <v>-0.16</v>
      </c>
      <c r="I2103" s="241" t="n">
        <v>-0.16</v>
      </c>
      <c r="J2103" s="241" t="n">
        <v>0.41</v>
      </c>
      <c r="K2103" s="241" t="n">
        <v>10.37</v>
      </c>
      <c r="L2103" s="242" t="n">
        <v>1429400</v>
      </c>
      <c r="M2103" s="241" t="n">
        <v>-1.21</v>
      </c>
      <c r="N2103" s="241" t="n">
        <v>-3.55</v>
      </c>
      <c r="O2103" s="241" t="n">
        <v>-2.29</v>
      </c>
      <c r="P2103" s="241" t="n">
        <v>1.2</v>
      </c>
    </row>
    <row r="2104">
      <c r="A2104" s="282" t="inlineStr">
        <is>
          <t>2014-08-28</t>
        </is>
      </c>
      <c r="B2104" s="240">
        <f>IFERROR(1/P2104-1,B2103)</f>
        <v/>
      </c>
      <c r="C2104" s="240">
        <f>$C$3</f>
        <v/>
      </c>
      <c r="D2104" s="240">
        <f>$D$3</f>
        <v/>
      </c>
      <c r="E2104" s="240">
        <f>$E$3</f>
        <v/>
      </c>
      <c r="F2104" s="241" t="n">
        <v>12.8</v>
      </c>
      <c r="G2104" s="242" t="n">
        <v>36883942</v>
      </c>
      <c r="H2104" s="241" t="n">
        <v>2.98</v>
      </c>
      <c r="I2104" s="241" t="n">
        <v>2.81</v>
      </c>
      <c r="J2104" s="241" t="n">
        <v>3.4</v>
      </c>
      <c r="K2104" s="241" t="n">
        <v>10.48</v>
      </c>
      <c r="L2104" s="242" t="n">
        <v>2703800</v>
      </c>
      <c r="M2104" s="241" t="n">
        <v>1.07</v>
      </c>
      <c r="N2104" s="241" t="n">
        <v>-2.51</v>
      </c>
      <c r="O2104" s="241" t="n">
        <v>-1.24</v>
      </c>
      <c r="P2104" s="241" t="n">
        <v>1.22</v>
      </c>
    </row>
    <row r="2105">
      <c r="A2105" s="282" t="inlineStr">
        <is>
          <t>2014-08-29</t>
        </is>
      </c>
      <c r="B2105" s="240">
        <f>IFERROR(1/P2105-1,B2104)</f>
        <v/>
      </c>
      <c r="C2105" s="240">
        <f>$C$3</f>
        <v/>
      </c>
      <c r="D2105" s="240">
        <f>$D$3</f>
        <v/>
      </c>
      <c r="E2105" s="240">
        <f>$E$3</f>
        <v/>
      </c>
      <c r="F2105" s="241" t="n">
        <v>12.77</v>
      </c>
      <c r="G2105" s="242" t="n">
        <v>13627040</v>
      </c>
      <c r="H2105" s="241" t="n">
        <v>-0.23</v>
      </c>
      <c r="I2105" s="241" t="n">
        <v>1.27</v>
      </c>
      <c r="J2105" s="241" t="n">
        <v>3.16</v>
      </c>
      <c r="K2105" s="241" t="n">
        <v>10.29</v>
      </c>
      <c r="L2105" s="242" t="n">
        <v>1290400</v>
      </c>
      <c r="M2105" s="241" t="n">
        <v>-1.82</v>
      </c>
      <c r="N2105" s="241" t="n">
        <v>-4.29</v>
      </c>
      <c r="O2105" s="241" t="n">
        <v>-3.04</v>
      </c>
      <c r="P2105" s="241" t="n">
        <v>1.24</v>
      </c>
    </row>
    <row r="2106">
      <c r="A2106" s="282" t="inlineStr">
        <is>
          <t>2014-09-01</t>
        </is>
      </c>
      <c r="B2106" s="240">
        <f>IFERROR(1/P2106-1,B2105)</f>
        <v/>
      </c>
      <c r="C2106" s="240">
        <f>$C$3</f>
        <v/>
      </c>
      <c r="D2106" s="240">
        <f>$D$3</f>
        <v/>
      </c>
      <c r="E2106" s="240">
        <f>$E$3</f>
        <v/>
      </c>
      <c r="F2106" s="241" t="n">
        <v>12.67</v>
      </c>
      <c r="G2106" s="242" t="n">
        <v>20891767</v>
      </c>
      <c r="H2106" s="241" t="n">
        <v>-0.78</v>
      </c>
      <c r="I2106" s="241" t="n">
        <v>0.32</v>
      </c>
      <c r="J2106" s="241" t="n">
        <v>2.35</v>
      </c>
      <c r="K2106" s="241" t="n">
        <v>10.19</v>
      </c>
      <c r="L2106" s="242" t="n">
        <v>3257000</v>
      </c>
      <c r="M2106" s="241" t="n">
        <v>-1.08</v>
      </c>
      <c r="N2106" s="241" t="n">
        <v>-4.76</v>
      </c>
      <c r="O2106" s="241" t="n">
        <v>-4.09</v>
      </c>
      <c r="P2106" s="241" t="n">
        <v>1.24</v>
      </c>
    </row>
    <row r="2107">
      <c r="A2107" s="282" t="inlineStr">
        <is>
          <t>2014-09-02</t>
        </is>
      </c>
      <c r="B2107" s="240">
        <f>IFERROR(1/P2107-1,B2106)</f>
        <v/>
      </c>
      <c r="C2107" s="240">
        <f>$C$3</f>
        <v/>
      </c>
      <c r="D2107" s="240">
        <f>$D$3</f>
        <v/>
      </c>
      <c r="E2107" s="240">
        <f>$E$3</f>
        <v/>
      </c>
      <c r="F2107" s="241" t="n">
        <v>12.84</v>
      </c>
      <c r="G2107" s="242" t="n">
        <v>21030793</v>
      </c>
      <c r="H2107" s="241" t="n">
        <v>1.34</v>
      </c>
      <c r="I2107" s="241" t="n">
        <v>2.8</v>
      </c>
      <c r="J2107" s="241" t="n">
        <v>3.72</v>
      </c>
      <c r="K2107" s="241" t="n">
        <v>10.2</v>
      </c>
      <c r="L2107" s="242" t="n">
        <v>1853000</v>
      </c>
      <c r="M2107" s="241" t="n">
        <v>0.16</v>
      </c>
      <c r="N2107" s="241" t="n">
        <v>-3.46</v>
      </c>
      <c r="O2107" s="241" t="n">
        <v>-3.94</v>
      </c>
      <c r="P2107" s="241" t="n">
        <v>1.26</v>
      </c>
    </row>
    <row r="2108">
      <c r="A2108" s="282" t="inlineStr">
        <is>
          <t>2014-09-03</t>
        </is>
      </c>
      <c r="B2108" s="240">
        <f>IFERROR(1/P2108-1,B2107)</f>
        <v/>
      </c>
      <c r="C2108" s="240">
        <f>$C$3</f>
        <v/>
      </c>
      <c r="D2108" s="240">
        <f>$D$3</f>
        <v/>
      </c>
      <c r="E2108" s="240">
        <f>$E$3</f>
        <v/>
      </c>
      <c r="F2108" s="241" t="n">
        <v>13.34</v>
      </c>
      <c r="G2108" s="242" t="n">
        <v>54623774</v>
      </c>
      <c r="H2108" s="241" t="n">
        <v>3.89</v>
      </c>
      <c r="I2108" s="241" t="n">
        <v>6.81</v>
      </c>
      <c r="J2108" s="241" t="n">
        <v>7.76</v>
      </c>
      <c r="K2108" s="241" t="n">
        <v>10.56</v>
      </c>
      <c r="L2108" s="242" t="n">
        <v>2769880</v>
      </c>
      <c r="M2108" s="241" t="n">
        <v>3.43</v>
      </c>
      <c r="N2108" s="241" t="n">
        <v>-0.15</v>
      </c>
      <c r="O2108" s="241" t="n">
        <v>-0.64</v>
      </c>
      <c r="P2108" s="241" t="n">
        <v>1.26</v>
      </c>
    </row>
    <row r="2109">
      <c r="A2109" s="282" t="inlineStr">
        <is>
          <t>2014-09-04</t>
        </is>
      </c>
      <c r="B2109" s="240">
        <f>IFERROR(1/P2109-1,B2108)</f>
        <v/>
      </c>
      <c r="C2109" s="240">
        <f>$C$3</f>
        <v/>
      </c>
      <c r="D2109" s="240">
        <f>$D$3</f>
        <v/>
      </c>
      <c r="E2109" s="240">
        <f>$E$3</f>
        <v/>
      </c>
      <c r="F2109" s="241" t="n">
        <v>13.4</v>
      </c>
      <c r="G2109" s="242" t="n">
        <v>33063213</v>
      </c>
      <c r="H2109" s="241" t="n">
        <v>0.45</v>
      </c>
      <c r="I2109" s="241" t="n">
        <v>7.29</v>
      </c>
      <c r="J2109" s="241" t="n">
        <v>8.24</v>
      </c>
      <c r="K2109" s="241" t="n">
        <v>10.57</v>
      </c>
      <c r="L2109" s="242" t="n">
        <v>1839870</v>
      </c>
      <c r="M2109" s="241" t="n">
        <v>0.15</v>
      </c>
      <c r="N2109" s="241" t="n">
        <v>0</v>
      </c>
      <c r="O2109" s="241" t="n">
        <v>-0.49</v>
      </c>
      <c r="P2109" s="241" t="n">
        <v>1.27</v>
      </c>
    </row>
    <row r="2110">
      <c r="A2110" s="282" t="inlineStr">
        <is>
          <t>2014-09-05</t>
        </is>
      </c>
      <c r="B2110" s="240">
        <f>IFERROR(1/P2110-1,B2109)</f>
        <v/>
      </c>
      <c r="C2110" s="240">
        <f>$C$3</f>
        <v/>
      </c>
      <c r="D2110" s="240">
        <f>$D$3</f>
        <v/>
      </c>
      <c r="E2110" s="240">
        <f>$E$3</f>
        <v/>
      </c>
      <c r="F2110" s="241" t="n">
        <v>13.67</v>
      </c>
      <c r="G2110" s="242" t="n">
        <v>35264339</v>
      </c>
      <c r="H2110" s="241" t="n">
        <v>2.01</v>
      </c>
      <c r="I2110" s="241" t="n">
        <v>4.83</v>
      </c>
      <c r="J2110" s="241" t="n">
        <v>10.43</v>
      </c>
      <c r="K2110" s="241" t="n">
        <v>10.64</v>
      </c>
      <c r="L2110" s="242" t="n">
        <v>1650200</v>
      </c>
      <c r="M2110" s="241" t="n">
        <v>0.6</v>
      </c>
      <c r="N2110" s="241" t="n">
        <v>-3.33</v>
      </c>
      <c r="O2110" s="241" t="n">
        <v>0.11</v>
      </c>
      <c r="P2110" s="241" t="n">
        <v>1.29</v>
      </c>
    </row>
    <row r="2111">
      <c r="A2111" s="282" t="inlineStr">
        <is>
          <t>2014-09-09</t>
        </is>
      </c>
      <c r="B2111" s="240">
        <f>IFERROR(1/P2111-1,B2110)</f>
        <v/>
      </c>
      <c r="C2111" s="240">
        <f>$C$3</f>
        <v/>
      </c>
      <c r="D2111" s="240">
        <f>$D$3</f>
        <v/>
      </c>
      <c r="E2111" s="240">
        <f>$E$3</f>
        <v/>
      </c>
      <c r="F2111" s="241" t="n">
        <v>13.59</v>
      </c>
      <c r="G2111" s="242" t="n">
        <v>28207763</v>
      </c>
      <c r="H2111" s="241" t="n">
        <v>-0.59</v>
      </c>
      <c r="I2111" s="241" t="n">
        <v>3.82</v>
      </c>
      <c r="J2111" s="241" t="n">
        <v>9.779999999999999</v>
      </c>
      <c r="K2111" s="239" t="inlineStr">
        <is>
          <t>--</t>
        </is>
      </c>
      <c r="L2111" s="239" t="inlineStr">
        <is>
          <t>--</t>
        </is>
      </c>
      <c r="M2111" s="239" t="inlineStr">
        <is>
          <t>--</t>
        </is>
      </c>
      <c r="N2111" s="239" t="inlineStr">
        <is>
          <t>--</t>
        </is>
      </c>
      <c r="O2111" s="239" t="inlineStr">
        <is>
          <t>--</t>
        </is>
      </c>
      <c r="P2111" s="239" t="inlineStr">
        <is>
          <t>--</t>
        </is>
      </c>
    </row>
    <row r="2112">
      <c r="A2112" s="282" t="inlineStr">
        <is>
          <t>2014-09-10</t>
        </is>
      </c>
      <c r="B2112" s="240">
        <f>IFERROR(1/P2112-1,B2111)</f>
        <v/>
      </c>
      <c r="C2112" s="240">
        <f>$C$3</f>
        <v/>
      </c>
      <c r="D2112" s="240">
        <f>$D$3</f>
        <v/>
      </c>
      <c r="E2112" s="240">
        <f>$E$3</f>
        <v/>
      </c>
      <c r="F2112" s="241" t="n">
        <v>13.63</v>
      </c>
      <c r="G2112" s="242" t="n">
        <v>22211988</v>
      </c>
      <c r="H2112" s="241" t="n">
        <v>0.29</v>
      </c>
      <c r="I2112" s="241" t="n">
        <v>4.13</v>
      </c>
      <c r="J2112" s="241" t="n">
        <v>10.1</v>
      </c>
      <c r="K2112" s="241" t="n">
        <v>10.41</v>
      </c>
      <c r="L2112" s="242" t="n">
        <v>2024400</v>
      </c>
      <c r="M2112" s="241" t="n">
        <v>-0.45</v>
      </c>
      <c r="N2112" s="241" t="n">
        <v>-5.74</v>
      </c>
      <c r="O2112" s="241" t="n">
        <v>-1.54</v>
      </c>
      <c r="P2112" s="241" t="n">
        <v>1.31</v>
      </c>
    </row>
    <row r="2113">
      <c r="A2113" s="282" t="inlineStr">
        <is>
          <t>2014-09-11</t>
        </is>
      </c>
      <c r="B2113" s="240">
        <f>IFERROR(1/P2113-1,B2112)</f>
        <v/>
      </c>
      <c r="C2113" s="240">
        <f>$C$3</f>
        <v/>
      </c>
      <c r="D2113" s="240">
        <f>$D$3</f>
        <v/>
      </c>
      <c r="E2113" s="240">
        <f>$E$3</f>
        <v/>
      </c>
      <c r="F2113" s="241" t="n">
        <v>13.5</v>
      </c>
      <c r="G2113" s="242" t="n">
        <v>30525734</v>
      </c>
      <c r="H2113" s="241" t="n">
        <v>-0.95</v>
      </c>
      <c r="I2113" s="241" t="n">
        <v>3.13</v>
      </c>
      <c r="J2113" s="241" t="n">
        <v>9.050000000000001</v>
      </c>
      <c r="K2113" s="241" t="n">
        <v>10.5</v>
      </c>
      <c r="L2113" s="242" t="n">
        <v>1726400</v>
      </c>
      <c r="M2113" s="241" t="n">
        <v>0.76</v>
      </c>
      <c r="N2113" s="241" t="n">
        <v>-5.02</v>
      </c>
      <c r="O2113" s="241" t="n">
        <v>-0.79</v>
      </c>
      <c r="P2113" s="241" t="n">
        <v>1.29</v>
      </c>
    </row>
    <row r="2114">
      <c r="A2114" s="282" t="inlineStr">
        <is>
          <t>2014-09-12</t>
        </is>
      </c>
      <c r="B2114" s="240">
        <f>IFERROR(1/P2114-1,B2113)</f>
        <v/>
      </c>
      <c r="C2114" s="240">
        <f>$C$3</f>
        <v/>
      </c>
      <c r="D2114" s="240">
        <f>$D$3</f>
        <v/>
      </c>
      <c r="E2114" s="240">
        <f>$E$3</f>
        <v/>
      </c>
      <c r="F2114" s="241" t="n">
        <v>13.63</v>
      </c>
      <c r="G2114" s="242" t="n">
        <v>20626716</v>
      </c>
      <c r="H2114" s="241" t="n">
        <v>0.96</v>
      </c>
      <c r="I2114" s="241" t="n">
        <v>3.73</v>
      </c>
      <c r="J2114" s="241" t="n">
        <v>10.1</v>
      </c>
      <c r="K2114" s="241" t="n">
        <v>10.47</v>
      </c>
      <c r="L2114" s="242" t="n">
        <v>978600</v>
      </c>
      <c r="M2114" s="241" t="n">
        <v>-0.3</v>
      </c>
      <c r="N2114" s="241" t="n">
        <v>-5.58</v>
      </c>
      <c r="O2114" s="241" t="n">
        <v>-1.09</v>
      </c>
      <c r="P2114" s="241" t="n">
        <v>1.3</v>
      </c>
    </row>
    <row r="2115">
      <c r="A2115" s="282" t="inlineStr">
        <is>
          <t>2014-09-15</t>
        </is>
      </c>
      <c r="B2115" s="240">
        <f>IFERROR(1/P2115-1,B2114)</f>
        <v/>
      </c>
      <c r="C2115" s="240">
        <f>$C$3</f>
        <v/>
      </c>
      <c r="D2115" s="240">
        <f>$D$3</f>
        <v/>
      </c>
      <c r="E2115" s="240">
        <f>$E$3</f>
        <v/>
      </c>
      <c r="F2115" s="241" t="n">
        <v>13.69</v>
      </c>
      <c r="G2115" s="242" t="n">
        <v>17908235</v>
      </c>
      <c r="H2115" s="241" t="n">
        <v>0.44</v>
      </c>
      <c r="I2115" s="241" t="n">
        <v>7.97</v>
      </c>
      <c r="J2115" s="241" t="n">
        <v>10.59</v>
      </c>
      <c r="K2115" s="241" t="n">
        <v>10.42</v>
      </c>
      <c r="L2115" s="242" t="n">
        <v>1859600</v>
      </c>
      <c r="M2115" s="241" t="n">
        <v>-0.45</v>
      </c>
      <c r="N2115" s="241" t="n">
        <v>-4.92</v>
      </c>
      <c r="O2115" s="241" t="n">
        <v>-1.54</v>
      </c>
      <c r="P2115" s="241" t="n">
        <v>1.31</v>
      </c>
    </row>
    <row r="2116">
      <c r="A2116" s="282" t="inlineStr">
        <is>
          <t>2014-09-16</t>
        </is>
      </c>
      <c r="B2116" s="240">
        <f>IFERROR(1/P2116-1,B2115)</f>
        <v/>
      </c>
      <c r="C2116" s="240">
        <f>$C$3</f>
        <v/>
      </c>
      <c r="D2116" s="240">
        <f>$D$3</f>
        <v/>
      </c>
      <c r="E2116" s="240">
        <f>$E$3</f>
        <v/>
      </c>
      <c r="F2116" s="241" t="n">
        <v>13.16</v>
      </c>
      <c r="G2116" s="242" t="n">
        <v>30674412</v>
      </c>
      <c r="H2116" s="241" t="n">
        <v>-3.87</v>
      </c>
      <c r="I2116" s="241" t="n">
        <v>2.89</v>
      </c>
      <c r="J2116" s="241" t="n">
        <v>6.31</v>
      </c>
      <c r="K2116" s="241" t="n">
        <v>10.12</v>
      </c>
      <c r="L2116" s="242" t="n">
        <v>1244600</v>
      </c>
      <c r="M2116" s="241" t="n">
        <v>-2.89</v>
      </c>
      <c r="N2116" s="241" t="n">
        <v>-7.67</v>
      </c>
      <c r="O2116" s="241" t="n">
        <v>-4.39</v>
      </c>
      <c r="P2116" s="241" t="n">
        <v>1.3</v>
      </c>
    </row>
    <row r="2117">
      <c r="A2117" s="282" t="inlineStr">
        <is>
          <t>2014-09-17</t>
        </is>
      </c>
      <c r="B2117" s="240">
        <f>IFERROR(1/P2117-1,B2116)</f>
        <v/>
      </c>
      <c r="C2117" s="240">
        <f>$C$3</f>
        <v/>
      </c>
      <c r="D2117" s="240">
        <f>$D$3</f>
        <v/>
      </c>
      <c r="E2117" s="240">
        <f>$E$3</f>
        <v/>
      </c>
      <c r="F2117" s="241" t="n">
        <v>13.11</v>
      </c>
      <c r="G2117" s="242" t="n">
        <v>20475817</v>
      </c>
      <c r="H2117" s="241" t="n">
        <v>-0.38</v>
      </c>
      <c r="I2117" s="241" t="n">
        <v>2.5</v>
      </c>
      <c r="J2117" s="241" t="n">
        <v>5.9</v>
      </c>
      <c r="K2117" s="241" t="n">
        <v>10.13</v>
      </c>
      <c r="L2117" s="242" t="n">
        <v>952200</v>
      </c>
      <c r="M2117" s="241" t="n">
        <v>0.16</v>
      </c>
      <c r="N2117" s="241" t="n">
        <v>-7.53</v>
      </c>
      <c r="O2117" s="241" t="n">
        <v>-4.24</v>
      </c>
      <c r="P2117" s="241" t="n">
        <v>1.29</v>
      </c>
    </row>
    <row r="2118">
      <c r="A2118" s="282" t="inlineStr">
        <is>
          <t>2014-09-18</t>
        </is>
      </c>
      <c r="B2118" s="240">
        <f>IFERROR(1/P2118-1,B2117)</f>
        <v/>
      </c>
      <c r="C2118" s="240">
        <f>$C$3</f>
        <v/>
      </c>
      <c r="D2118" s="240">
        <f>$D$3</f>
        <v/>
      </c>
      <c r="E2118" s="240">
        <f>$E$3</f>
        <v/>
      </c>
      <c r="F2118" s="241" t="n">
        <v>13.14</v>
      </c>
      <c r="G2118" s="242" t="n">
        <v>13111926</v>
      </c>
      <c r="H2118" s="241" t="n">
        <v>0.23</v>
      </c>
      <c r="I2118" s="241" t="n">
        <v>2.74</v>
      </c>
      <c r="J2118" s="241" t="n">
        <v>6.14</v>
      </c>
      <c r="K2118" s="241" t="n">
        <v>10.14</v>
      </c>
      <c r="L2118" s="242" t="n">
        <v>1461000</v>
      </c>
      <c r="M2118" s="241" t="n">
        <v>0</v>
      </c>
      <c r="N2118" s="241" t="n">
        <v>-7.53</v>
      </c>
      <c r="O2118" s="241" t="n">
        <v>-4.24</v>
      </c>
      <c r="P2118" s="241" t="n">
        <v>1.3</v>
      </c>
    </row>
    <row r="2119">
      <c r="A2119" s="282" t="inlineStr">
        <is>
          <t>2014-09-19</t>
        </is>
      </c>
      <c r="B2119" s="240">
        <f>IFERROR(1/P2119-1,B2118)</f>
        <v/>
      </c>
      <c r="C2119" s="240">
        <f>$C$3</f>
        <v/>
      </c>
      <c r="D2119" s="240">
        <f>$D$3</f>
        <v/>
      </c>
      <c r="E2119" s="240">
        <f>$E$3</f>
        <v/>
      </c>
      <c r="F2119" s="241" t="n">
        <v>13.28</v>
      </c>
      <c r="G2119" s="242" t="n">
        <v>15190933</v>
      </c>
      <c r="H2119" s="241" t="n">
        <v>1.07</v>
      </c>
      <c r="I2119" s="241" t="n">
        <v>3.59</v>
      </c>
      <c r="J2119" s="241" t="n">
        <v>7.28</v>
      </c>
      <c r="K2119" s="241" t="n">
        <v>10.35</v>
      </c>
      <c r="L2119" s="242" t="n">
        <v>862600</v>
      </c>
      <c r="M2119" s="241" t="n">
        <v>2.19</v>
      </c>
      <c r="N2119" s="241" t="n">
        <v>-4.67</v>
      </c>
      <c r="O2119" s="241" t="n">
        <v>-2.14</v>
      </c>
      <c r="P2119" s="241" t="n">
        <v>1.28</v>
      </c>
    </row>
    <row r="2120">
      <c r="A2120" s="282" t="inlineStr">
        <is>
          <t>2014-09-22</t>
        </is>
      </c>
      <c r="B2120" s="240">
        <f>IFERROR(1/P2120-1,B2119)</f>
        <v/>
      </c>
      <c r="C2120" s="240">
        <f>$C$3</f>
        <v/>
      </c>
      <c r="D2120" s="240">
        <f>$D$3</f>
        <v/>
      </c>
      <c r="E2120" s="240">
        <f>$E$3</f>
        <v/>
      </c>
      <c r="F2120" s="241" t="n">
        <v>12.94</v>
      </c>
      <c r="G2120" s="242" t="n">
        <v>15144707</v>
      </c>
      <c r="H2120" s="241" t="n">
        <v>-2.56</v>
      </c>
      <c r="I2120" s="241" t="n">
        <v>2.05</v>
      </c>
      <c r="J2120" s="241" t="n">
        <v>4.53</v>
      </c>
      <c r="K2120" s="241" t="n">
        <v>10.3</v>
      </c>
      <c r="L2120" s="242" t="n">
        <v>1241200</v>
      </c>
      <c r="M2120" s="241" t="n">
        <v>-0.61</v>
      </c>
      <c r="N2120" s="241" t="n">
        <v>-2.7</v>
      </c>
      <c r="O2120" s="241" t="n">
        <v>-2.74</v>
      </c>
      <c r="P2120" s="241" t="n">
        <v>1.26</v>
      </c>
    </row>
    <row r="2121">
      <c r="A2121" s="282" t="inlineStr">
        <is>
          <t>2014-09-23</t>
        </is>
      </c>
      <c r="B2121" s="240">
        <f>IFERROR(1/P2121-1,B2120)</f>
        <v/>
      </c>
      <c r="C2121" s="240">
        <f>$C$3</f>
        <v/>
      </c>
      <c r="D2121" s="240">
        <f>$D$3</f>
        <v/>
      </c>
      <c r="E2121" s="240">
        <f>$E$3</f>
        <v/>
      </c>
      <c r="F2121" s="241" t="n">
        <v>13.33</v>
      </c>
      <c r="G2121" s="242" t="n">
        <v>23264378</v>
      </c>
      <c r="H2121" s="241" t="n">
        <v>3.01</v>
      </c>
      <c r="I2121" s="241" t="n">
        <v>4.55</v>
      </c>
      <c r="J2121" s="241" t="n">
        <v>7.68</v>
      </c>
      <c r="K2121" s="241" t="n">
        <v>10.29</v>
      </c>
      <c r="L2121" s="242" t="n">
        <v>1309835</v>
      </c>
      <c r="M2121" s="241" t="n">
        <v>0</v>
      </c>
      <c r="N2121" s="241" t="n">
        <v>-1.82</v>
      </c>
      <c r="O2121" s="241" t="n">
        <v>-2.74</v>
      </c>
      <c r="P2121" s="241" t="n">
        <v>1.29</v>
      </c>
    </row>
    <row r="2122">
      <c r="A2122" s="282" t="inlineStr">
        <is>
          <t>2014-09-24</t>
        </is>
      </c>
      <c r="B2122" s="240">
        <f>IFERROR(1/P2122-1,B2121)</f>
        <v/>
      </c>
      <c r="C2122" s="240">
        <f>$C$3</f>
        <v/>
      </c>
      <c r="D2122" s="240">
        <f>$D$3</f>
        <v/>
      </c>
      <c r="E2122" s="240">
        <f>$E$3</f>
        <v/>
      </c>
      <c r="F2122" s="241" t="n">
        <v>13.62</v>
      </c>
      <c r="G2122" s="242" t="n">
        <v>28755306</v>
      </c>
      <c r="H2122" s="241" t="n">
        <v>2.18</v>
      </c>
      <c r="I2122" s="241" t="n">
        <v>6.82</v>
      </c>
      <c r="J2122" s="241" t="n">
        <v>10.02</v>
      </c>
      <c r="K2122" s="241" t="n">
        <v>10.66</v>
      </c>
      <c r="L2122" s="242" t="n">
        <v>3590063</v>
      </c>
      <c r="M2122" s="241" t="n">
        <v>3.54</v>
      </c>
      <c r="N2122" s="241" t="n">
        <v>1.66</v>
      </c>
      <c r="O2122" s="241" t="n">
        <v>0.71</v>
      </c>
      <c r="P2122" s="241" t="n">
        <v>1.28</v>
      </c>
    </row>
    <row r="2123">
      <c r="A2123" s="282" t="inlineStr">
        <is>
          <t>2014-09-25</t>
        </is>
      </c>
      <c r="B2123" s="240">
        <f>IFERROR(1/P2123-1,B2122)</f>
        <v/>
      </c>
      <c r="C2123" s="240">
        <f>$C$3</f>
        <v/>
      </c>
      <c r="D2123" s="240">
        <f>$D$3</f>
        <v/>
      </c>
      <c r="E2123" s="240">
        <f>$E$3</f>
        <v/>
      </c>
      <c r="F2123" s="241" t="n">
        <v>14.5</v>
      </c>
      <c r="G2123" s="242" t="n">
        <v>69504607</v>
      </c>
      <c r="H2123" s="241" t="n">
        <v>6.46</v>
      </c>
      <c r="I2123" s="241" t="n">
        <v>13.73</v>
      </c>
      <c r="J2123" s="241" t="n">
        <v>17.13</v>
      </c>
      <c r="K2123" s="241" t="n">
        <v>11.17</v>
      </c>
      <c r="L2123" s="242" t="n">
        <v>11748884</v>
      </c>
      <c r="M2123" s="241" t="n">
        <v>4.76</v>
      </c>
      <c r="N2123" s="241" t="n">
        <v>6.51</v>
      </c>
      <c r="O2123" s="241" t="n">
        <v>5.51</v>
      </c>
      <c r="P2123" s="241" t="n">
        <v>1.3</v>
      </c>
    </row>
    <row r="2124">
      <c r="A2124" s="282" t="inlineStr">
        <is>
          <t>2014-09-26</t>
        </is>
      </c>
      <c r="B2124" s="240">
        <f>IFERROR(1/P2124-1,B2123)</f>
        <v/>
      </c>
      <c r="C2124" s="240">
        <f>$C$3</f>
        <v/>
      </c>
      <c r="D2124" s="240">
        <f>$D$3</f>
        <v/>
      </c>
      <c r="E2124" s="240">
        <f>$E$3</f>
        <v/>
      </c>
      <c r="F2124" s="241" t="n">
        <v>14.65</v>
      </c>
      <c r="G2124" s="242" t="n">
        <v>56456358</v>
      </c>
      <c r="H2124" s="241" t="n">
        <v>1.03</v>
      </c>
      <c r="I2124" s="241" t="n">
        <v>14.45</v>
      </c>
      <c r="J2124" s="241" t="n">
        <v>18.34</v>
      </c>
      <c r="K2124" s="241" t="n">
        <v>11.42</v>
      </c>
      <c r="L2124" s="242" t="n">
        <v>9036970</v>
      </c>
      <c r="M2124" s="241" t="n">
        <v>2.27</v>
      </c>
      <c r="N2124" s="241" t="n">
        <v>7.3</v>
      </c>
      <c r="O2124" s="241" t="n">
        <v>7.9</v>
      </c>
      <c r="P2124" s="241" t="n">
        <v>1.28</v>
      </c>
    </row>
    <row r="2125">
      <c r="A2125" s="282" t="inlineStr">
        <is>
          <t>2014-09-29</t>
        </is>
      </c>
      <c r="B2125" s="240">
        <f>IFERROR(1/P2125-1,B2124)</f>
        <v/>
      </c>
      <c r="C2125" s="240">
        <f>$C$3</f>
        <v/>
      </c>
      <c r="D2125" s="240">
        <f>$D$3</f>
        <v/>
      </c>
      <c r="E2125" s="240">
        <f>$E$3</f>
        <v/>
      </c>
      <c r="F2125" s="241" t="n">
        <v>14.5</v>
      </c>
      <c r="G2125" s="242" t="n">
        <v>31973823</v>
      </c>
      <c r="H2125" s="241" t="n">
        <v>-1.02</v>
      </c>
      <c r="I2125" s="241" t="n">
        <v>13.28</v>
      </c>
      <c r="J2125" s="241" t="n">
        <v>17.13</v>
      </c>
      <c r="K2125" s="241" t="n">
        <v>11.31</v>
      </c>
      <c r="L2125" s="242" t="n">
        <v>5825000</v>
      </c>
      <c r="M2125" s="241" t="n">
        <v>-0.97</v>
      </c>
      <c r="N2125" s="241" t="n">
        <v>8.19</v>
      </c>
      <c r="O2125" s="241" t="n">
        <v>6.85</v>
      </c>
      <c r="P2125" s="241" t="n">
        <v>1.28</v>
      </c>
    </row>
    <row r="2126">
      <c r="A2126" s="282" t="inlineStr">
        <is>
          <t>2014-09-30</t>
        </is>
      </c>
      <c r="B2126" s="240">
        <f>IFERROR(1/P2126-1,B2125)</f>
        <v/>
      </c>
      <c r="C2126" s="240">
        <f>$C$3</f>
        <v/>
      </c>
      <c r="D2126" s="240">
        <f>$D$3</f>
        <v/>
      </c>
      <c r="E2126" s="240">
        <f>$E$3</f>
        <v/>
      </c>
      <c r="F2126" s="241" t="n">
        <v>14.5</v>
      </c>
      <c r="G2126" s="242" t="n">
        <v>20990861</v>
      </c>
      <c r="H2126" s="241" t="n">
        <v>0</v>
      </c>
      <c r="I2126" s="241" t="n">
        <v>13.55</v>
      </c>
      <c r="J2126" s="241" t="n">
        <v>17.13</v>
      </c>
      <c r="K2126" s="241" t="n">
        <v>11.08</v>
      </c>
      <c r="L2126" s="242" t="n">
        <v>3580132</v>
      </c>
      <c r="M2126" s="241" t="n">
        <v>-1.96</v>
      </c>
      <c r="N2126" s="241" t="n">
        <v>8.039999999999999</v>
      </c>
      <c r="O2126" s="241" t="n">
        <v>4.76</v>
      </c>
      <c r="P2126" s="241" t="n">
        <v>1.31</v>
      </c>
    </row>
    <row r="2127">
      <c r="A2127" s="282" t="inlineStr">
        <is>
          <t>2014-10-08</t>
        </is>
      </c>
      <c r="B2127" s="240">
        <f>IFERROR(1/P2127-1,B2126)</f>
        <v/>
      </c>
      <c r="C2127" s="240">
        <f>$C$3</f>
        <v/>
      </c>
      <c r="D2127" s="240">
        <f>$D$3</f>
        <v/>
      </c>
      <c r="E2127" s="240">
        <f>$E$3</f>
        <v/>
      </c>
      <c r="F2127" s="241" t="n">
        <v>14.53</v>
      </c>
      <c r="G2127" s="242" t="n">
        <v>20161808</v>
      </c>
      <c r="H2127" s="241" t="n">
        <v>0.21</v>
      </c>
      <c r="I2127" s="241" t="n">
        <v>6.29</v>
      </c>
      <c r="J2127" s="241" t="n">
        <v>17.37</v>
      </c>
      <c r="K2127" s="241" t="n">
        <v>11.55</v>
      </c>
      <c r="L2127" s="242" t="n">
        <v>1745200</v>
      </c>
      <c r="M2127" s="241" t="n">
        <v>-0.95</v>
      </c>
      <c r="N2127" s="241" t="n">
        <v>8.98</v>
      </c>
      <c r="O2127" s="241" t="n">
        <v>9.1</v>
      </c>
      <c r="P2127" s="241" t="n">
        <v>1.26</v>
      </c>
    </row>
    <row r="2128">
      <c r="A2128" s="282" t="inlineStr">
        <is>
          <t>2014-10-09</t>
        </is>
      </c>
      <c r="B2128" s="240">
        <f>IFERROR(1/P2128-1,B2127)</f>
        <v/>
      </c>
      <c r="C2128" s="240">
        <f>$C$3</f>
        <v/>
      </c>
      <c r="D2128" s="240">
        <f>$D$3</f>
        <v/>
      </c>
      <c r="E2128" s="240">
        <f>$E$3</f>
        <v/>
      </c>
      <c r="F2128" s="241" t="n">
        <v>14.83</v>
      </c>
      <c r="G2128" s="242" t="n">
        <v>36702853</v>
      </c>
      <c r="H2128" s="241" t="n">
        <v>2.06</v>
      </c>
      <c r="I2128" s="241" t="n">
        <v>8.49</v>
      </c>
      <c r="J2128" s="241" t="n">
        <v>19.8</v>
      </c>
      <c r="K2128" s="241" t="n">
        <v>11.63</v>
      </c>
      <c r="L2128" s="242" t="n">
        <v>2229200</v>
      </c>
      <c r="M2128" s="241" t="n">
        <v>0.82</v>
      </c>
      <c r="N2128" s="241" t="n">
        <v>11.21</v>
      </c>
      <c r="O2128" s="241" t="n">
        <v>10</v>
      </c>
      <c r="P2128" s="241" t="n">
        <v>1.27</v>
      </c>
    </row>
    <row r="2129">
      <c r="A2129" s="282" t="inlineStr">
        <is>
          <t>2014-10-10</t>
        </is>
      </c>
      <c r="B2129" s="240">
        <f>IFERROR(1/P2129-1,B2128)</f>
        <v/>
      </c>
      <c r="C2129" s="240">
        <f>$C$3</f>
        <v/>
      </c>
      <c r="D2129" s="240">
        <f>$D$3</f>
        <v/>
      </c>
      <c r="E2129" s="240">
        <f>$E$3</f>
        <v/>
      </c>
      <c r="F2129" s="241" t="n">
        <v>14.56</v>
      </c>
      <c r="G2129" s="242" t="n">
        <v>27782689</v>
      </c>
      <c r="H2129" s="241" t="n">
        <v>-1.82</v>
      </c>
      <c r="I2129" s="241" t="n">
        <v>7.14</v>
      </c>
      <c r="J2129" s="241" t="n">
        <v>17.61</v>
      </c>
      <c r="K2129" s="241" t="n">
        <v>11.49</v>
      </c>
      <c r="L2129" s="242" t="n">
        <v>4222400</v>
      </c>
      <c r="M2129" s="241" t="n">
        <v>-1.23</v>
      </c>
      <c r="N2129" s="241" t="n">
        <v>9.85</v>
      </c>
      <c r="O2129" s="241" t="n">
        <v>8.65</v>
      </c>
      <c r="P2129" s="241" t="n">
        <v>1.27</v>
      </c>
    </row>
    <row r="2130">
      <c r="A2130" s="282" t="inlineStr">
        <is>
          <t>2014-10-13</t>
        </is>
      </c>
      <c r="B2130" s="240">
        <f>IFERROR(1/P2130-1,B2129)</f>
        <v/>
      </c>
      <c r="C2130" s="240">
        <f>$C$3</f>
        <v/>
      </c>
      <c r="D2130" s="240">
        <f>$D$3</f>
        <v/>
      </c>
      <c r="E2130" s="240">
        <f>$E$3</f>
        <v/>
      </c>
      <c r="F2130" s="241" t="n">
        <v>14.74</v>
      </c>
      <c r="G2130" s="242" t="n">
        <v>28420446</v>
      </c>
      <c r="H2130" s="241" t="n">
        <v>1.24</v>
      </c>
      <c r="I2130" s="241" t="n">
        <v>8.140000000000001</v>
      </c>
      <c r="J2130" s="241" t="n">
        <v>19.07</v>
      </c>
      <c r="K2130" s="241" t="n">
        <v>11.33</v>
      </c>
      <c r="L2130" s="242" t="n">
        <v>3419425</v>
      </c>
      <c r="M2130" s="241" t="n">
        <v>-1.38</v>
      </c>
      <c r="N2130" s="241" t="n">
        <v>8.33</v>
      </c>
      <c r="O2130" s="241" t="n">
        <v>7.15</v>
      </c>
      <c r="P2130" s="241" t="n">
        <v>1.3</v>
      </c>
    </row>
    <row r="2131">
      <c r="A2131" s="282" t="inlineStr">
        <is>
          <t>2014-10-14</t>
        </is>
      </c>
      <c r="B2131" s="240">
        <f>IFERROR(1/P2131-1,B2130)</f>
        <v/>
      </c>
      <c r="C2131" s="240">
        <f>$C$3</f>
        <v/>
      </c>
      <c r="D2131" s="240">
        <f>$D$3</f>
        <v/>
      </c>
      <c r="E2131" s="240">
        <f>$E$3</f>
        <v/>
      </c>
      <c r="F2131" s="241" t="n">
        <v>14.54</v>
      </c>
      <c r="G2131" s="242" t="n">
        <v>28177467</v>
      </c>
      <c r="H2131" s="241" t="n">
        <v>-1.36</v>
      </c>
      <c r="I2131" s="241" t="n">
        <v>6.68</v>
      </c>
      <c r="J2131" s="241" t="n">
        <v>17.45</v>
      </c>
      <c r="K2131" s="241" t="n">
        <v>10.92</v>
      </c>
      <c r="L2131" s="242" t="n">
        <v>3744779</v>
      </c>
      <c r="M2131" s="241" t="n">
        <v>-3.5</v>
      </c>
      <c r="N2131" s="241" t="n">
        <v>4.55</v>
      </c>
      <c r="O2131" s="241" t="n">
        <v>3.41</v>
      </c>
      <c r="P2131" s="241" t="n">
        <v>1.33</v>
      </c>
    </row>
    <row r="2132">
      <c r="A2132" s="282" t="inlineStr">
        <is>
          <t>2014-10-15</t>
        </is>
      </c>
      <c r="B2132" s="240">
        <f>IFERROR(1/P2132-1,B2131)</f>
        <v/>
      </c>
      <c r="C2132" s="240">
        <f>$C$3</f>
        <v/>
      </c>
      <c r="D2132" s="240">
        <f>$D$3</f>
        <v/>
      </c>
      <c r="E2132" s="240">
        <f>$E$3</f>
        <v/>
      </c>
      <c r="F2132" s="241" t="n">
        <v>14.52</v>
      </c>
      <c r="G2132" s="242" t="n">
        <v>15533321</v>
      </c>
      <c r="H2132" s="241" t="n">
        <v>-0.14</v>
      </c>
      <c r="I2132" s="241" t="n">
        <v>6.53</v>
      </c>
      <c r="J2132" s="241" t="n">
        <v>17.29</v>
      </c>
      <c r="K2132" s="241" t="n">
        <v>11.23</v>
      </c>
      <c r="L2132" s="242" t="n">
        <v>3382009</v>
      </c>
      <c r="M2132" s="241" t="n">
        <v>2.75</v>
      </c>
      <c r="N2132" s="241" t="n">
        <v>7.42</v>
      </c>
      <c r="O2132" s="241" t="n">
        <v>6.25</v>
      </c>
      <c r="P2132" s="241" t="n">
        <v>1.29</v>
      </c>
    </row>
    <row r="2133">
      <c r="A2133" s="282" t="inlineStr">
        <is>
          <t>2014-10-16</t>
        </is>
      </c>
      <c r="B2133" s="240">
        <f>IFERROR(1/P2133-1,B2132)</f>
        <v/>
      </c>
      <c r="C2133" s="240">
        <f>$C$3</f>
        <v/>
      </c>
      <c r="D2133" s="240">
        <f>$D$3</f>
        <v/>
      </c>
      <c r="E2133" s="240">
        <f>$E$3</f>
        <v/>
      </c>
      <c r="F2133" s="241" t="n">
        <v>14.29</v>
      </c>
      <c r="G2133" s="242" t="n">
        <v>19226493</v>
      </c>
      <c r="H2133" s="241" t="n">
        <v>-1.58</v>
      </c>
      <c r="I2133" s="241" t="n">
        <v>4.38</v>
      </c>
      <c r="J2133" s="241" t="n">
        <v>15.43</v>
      </c>
      <c r="K2133" s="241" t="n">
        <v>11.13</v>
      </c>
      <c r="L2133" s="242" t="n">
        <v>3535000</v>
      </c>
      <c r="M2133" s="241" t="n">
        <v>-0.85</v>
      </c>
      <c r="N2133" s="241" t="n">
        <v>7</v>
      </c>
      <c r="O2133" s="241" t="n">
        <v>5.36</v>
      </c>
      <c r="P2133" s="241" t="n">
        <v>1.28</v>
      </c>
    </row>
    <row r="2134">
      <c r="A2134" s="282" t="inlineStr">
        <is>
          <t>2014-10-17</t>
        </is>
      </c>
      <c r="B2134" s="240">
        <f>IFERROR(1/P2134-1,B2133)</f>
        <v/>
      </c>
      <c r="C2134" s="240">
        <f>$C$3</f>
        <v/>
      </c>
      <c r="D2134" s="240">
        <f>$D$3</f>
        <v/>
      </c>
      <c r="E2134" s="240">
        <f>$E$3</f>
        <v/>
      </c>
      <c r="F2134" s="241" t="n">
        <v>14.12</v>
      </c>
      <c r="G2134" s="242" t="n">
        <v>18598366</v>
      </c>
      <c r="H2134" s="241" t="n">
        <v>-1.19</v>
      </c>
      <c r="I2134" s="241" t="n">
        <v>7.29</v>
      </c>
      <c r="J2134" s="241" t="n">
        <v>14.06</v>
      </c>
      <c r="K2134" s="241" t="n">
        <v>11.16</v>
      </c>
      <c r="L2134" s="242" t="n">
        <v>1443800</v>
      </c>
      <c r="M2134" s="241" t="n">
        <v>0.28</v>
      </c>
      <c r="N2134" s="241" t="n">
        <v>10.5</v>
      </c>
      <c r="O2134" s="241" t="n">
        <v>5.66</v>
      </c>
      <c r="P2134" s="241" t="n">
        <v>1.27</v>
      </c>
    </row>
    <row r="2135">
      <c r="A2135" s="282" t="inlineStr">
        <is>
          <t>2014-10-20</t>
        </is>
      </c>
      <c r="B2135" s="240">
        <f>IFERROR(1/P2135-1,B2134)</f>
        <v/>
      </c>
      <c r="C2135" s="240">
        <f>$C$3</f>
        <v/>
      </c>
      <c r="D2135" s="240">
        <f>$D$3</f>
        <v/>
      </c>
      <c r="E2135" s="240">
        <f>$E$3</f>
        <v/>
      </c>
      <c r="F2135" s="241" t="n">
        <v>14.34</v>
      </c>
      <c r="G2135" s="242" t="n">
        <v>11889360</v>
      </c>
      <c r="H2135" s="241" t="n">
        <v>1.56</v>
      </c>
      <c r="I2135" s="241" t="n">
        <v>7.98</v>
      </c>
      <c r="J2135" s="241" t="n">
        <v>15.84</v>
      </c>
      <c r="K2135" s="241" t="n">
        <v>11.18</v>
      </c>
      <c r="L2135" s="242" t="n">
        <v>2569900</v>
      </c>
      <c r="M2135" s="241" t="n">
        <v>0.14</v>
      </c>
      <c r="N2135" s="241" t="n">
        <v>8.119999999999999</v>
      </c>
      <c r="O2135" s="241" t="n">
        <v>5.8</v>
      </c>
      <c r="P2135" s="241" t="n">
        <v>1.28</v>
      </c>
    </row>
    <row r="2136">
      <c r="A2136" s="282" t="inlineStr">
        <is>
          <t>2014-10-21</t>
        </is>
      </c>
      <c r="B2136" s="240">
        <f>IFERROR(1/P2136-1,B2135)</f>
        <v/>
      </c>
      <c r="C2136" s="240">
        <f>$C$3</f>
        <v/>
      </c>
      <c r="D2136" s="240">
        <f>$D$3</f>
        <v/>
      </c>
      <c r="E2136" s="240">
        <f>$E$3</f>
        <v/>
      </c>
      <c r="F2136" s="241" t="n">
        <v>14.16</v>
      </c>
      <c r="G2136" s="242" t="n">
        <v>8918086</v>
      </c>
      <c r="H2136" s="241" t="n">
        <v>-1.26</v>
      </c>
      <c r="I2136" s="241" t="n">
        <v>6.63</v>
      </c>
      <c r="J2136" s="241" t="n">
        <v>14.38</v>
      </c>
      <c r="K2136" s="241" t="n">
        <v>10.81</v>
      </c>
      <c r="L2136" s="242" t="n">
        <v>2473644</v>
      </c>
      <c r="M2136" s="241" t="n">
        <v>-3.26</v>
      </c>
      <c r="N2136" s="241" t="n">
        <v>4.59</v>
      </c>
      <c r="O2136" s="241" t="n">
        <v>2.36</v>
      </c>
      <c r="P2136" s="241" t="n">
        <v>1.31</v>
      </c>
    </row>
    <row r="2137">
      <c r="A2137" s="282" t="inlineStr">
        <is>
          <t>2014-10-22</t>
        </is>
      </c>
      <c r="B2137" s="240">
        <f>IFERROR(1/P2137-1,B2136)</f>
        <v/>
      </c>
      <c r="C2137" s="240">
        <f>$C$3</f>
        <v/>
      </c>
      <c r="D2137" s="240">
        <f>$D$3</f>
        <v/>
      </c>
      <c r="E2137" s="240">
        <f>$E$3</f>
        <v/>
      </c>
      <c r="F2137" s="241" t="n">
        <v>13.9</v>
      </c>
      <c r="G2137" s="242" t="n">
        <v>11367917</v>
      </c>
      <c r="H2137" s="241" t="n">
        <v>-1.84</v>
      </c>
      <c r="I2137" s="241" t="n">
        <v>4.67</v>
      </c>
      <c r="J2137" s="241" t="n">
        <v>12.28</v>
      </c>
      <c r="K2137" s="241" t="n">
        <v>11.01</v>
      </c>
      <c r="L2137" s="242" t="n">
        <v>3549300</v>
      </c>
      <c r="M2137" s="241" t="n">
        <v>1.76</v>
      </c>
      <c r="N2137" s="241" t="n">
        <v>6.43</v>
      </c>
      <c r="O2137" s="241" t="n">
        <v>4.16</v>
      </c>
      <c r="P2137" s="241" t="n">
        <v>1.26</v>
      </c>
    </row>
    <row r="2138">
      <c r="A2138" s="282" t="inlineStr">
        <is>
          <t>2014-10-23</t>
        </is>
      </c>
      <c r="B2138" s="240">
        <f>IFERROR(1/P2138-1,B2137)</f>
        <v/>
      </c>
      <c r="C2138" s="240">
        <f>$C$3</f>
        <v/>
      </c>
      <c r="D2138" s="240">
        <f>$D$3</f>
        <v/>
      </c>
      <c r="E2138" s="240">
        <f>$E$3</f>
        <v/>
      </c>
      <c r="F2138" s="241" t="n">
        <v>13.82</v>
      </c>
      <c r="G2138" s="242" t="n">
        <v>12414153</v>
      </c>
      <c r="H2138" s="241" t="n">
        <v>-0.58</v>
      </c>
      <c r="I2138" s="241" t="n">
        <v>6.8</v>
      </c>
      <c r="J2138" s="241" t="n">
        <v>11.64</v>
      </c>
      <c r="K2138" s="241" t="n">
        <v>10.86</v>
      </c>
      <c r="L2138" s="242" t="n">
        <v>1062200</v>
      </c>
      <c r="M2138" s="241" t="n">
        <v>-1.44</v>
      </c>
      <c r="N2138" s="241" t="n">
        <v>5.55</v>
      </c>
      <c r="O2138" s="241" t="n">
        <v>2.66</v>
      </c>
      <c r="P2138" s="241" t="n">
        <v>1.27</v>
      </c>
    </row>
    <row r="2139">
      <c r="A2139" s="282" t="inlineStr">
        <is>
          <t>2014-10-24</t>
        </is>
      </c>
      <c r="B2139" s="240">
        <f>IFERROR(1/P2139-1,B2138)</f>
        <v/>
      </c>
      <c r="C2139" s="240">
        <f>$C$3</f>
        <v/>
      </c>
      <c r="D2139" s="240">
        <f>$D$3</f>
        <v/>
      </c>
      <c r="E2139" s="240">
        <f>$E$3</f>
        <v/>
      </c>
      <c r="F2139" s="241" t="n">
        <v>13.92</v>
      </c>
      <c r="G2139" s="242" t="n">
        <v>11614631</v>
      </c>
      <c r="H2139" s="241" t="n">
        <v>0.72</v>
      </c>
      <c r="I2139" s="241" t="n">
        <v>4.43</v>
      </c>
      <c r="J2139" s="241" t="n">
        <v>12.45</v>
      </c>
      <c r="K2139" s="241" t="n">
        <v>10.87</v>
      </c>
      <c r="L2139" s="242" t="n">
        <v>1457600</v>
      </c>
      <c r="M2139" s="241" t="n">
        <v>0.15</v>
      </c>
      <c r="N2139" s="241" t="n">
        <v>5.7</v>
      </c>
      <c r="O2139" s="241" t="n">
        <v>2.81</v>
      </c>
      <c r="P2139" s="241" t="n">
        <v>1.28</v>
      </c>
    </row>
    <row r="2140">
      <c r="A2140" s="282" t="inlineStr">
        <is>
          <t>2014-10-27</t>
        </is>
      </c>
      <c r="B2140" s="240">
        <f>IFERROR(1/P2140-1,B2139)</f>
        <v/>
      </c>
      <c r="C2140" s="240">
        <f>$C$3</f>
        <v/>
      </c>
      <c r="D2140" s="240">
        <f>$D$3</f>
        <v/>
      </c>
      <c r="E2140" s="240">
        <f>$E$3</f>
        <v/>
      </c>
      <c r="F2140" s="241" t="n">
        <v>13.99</v>
      </c>
      <c r="G2140" s="242" t="n">
        <v>8749335</v>
      </c>
      <c r="H2140" s="241" t="n">
        <v>0.5</v>
      </c>
      <c r="I2140" s="241" t="n">
        <v>-4.51</v>
      </c>
      <c r="J2140" s="241" t="n">
        <v>13.01</v>
      </c>
      <c r="K2140" s="241" t="n">
        <v>10.6</v>
      </c>
      <c r="L2140" s="242" t="n">
        <v>1089900</v>
      </c>
      <c r="M2140" s="241" t="n">
        <v>-2.48</v>
      </c>
      <c r="N2140" s="241" t="n">
        <v>-7.08</v>
      </c>
      <c r="O2140" s="241" t="n">
        <v>0.26</v>
      </c>
      <c r="P2140" s="241" t="n">
        <v>1.32</v>
      </c>
    </row>
    <row r="2141">
      <c r="A2141" s="282" t="inlineStr">
        <is>
          <t>2014-10-28</t>
        </is>
      </c>
      <c r="B2141" s="240">
        <f>IFERROR(1/P2141-1,B2140)</f>
        <v/>
      </c>
      <c r="C2141" s="240">
        <f>$C$3</f>
        <v/>
      </c>
      <c r="D2141" s="240">
        <f>$D$3</f>
        <v/>
      </c>
      <c r="E2141" s="240">
        <f>$E$3</f>
        <v/>
      </c>
      <c r="F2141" s="241" t="n">
        <v>14.93</v>
      </c>
      <c r="G2141" s="242" t="n">
        <v>42312871</v>
      </c>
      <c r="H2141" s="241" t="n">
        <v>6.72</v>
      </c>
      <c r="I2141" s="241" t="n">
        <v>1.91</v>
      </c>
      <c r="J2141" s="241" t="n">
        <v>20.6</v>
      </c>
      <c r="K2141" s="241" t="n">
        <v>10.78</v>
      </c>
      <c r="L2141" s="242" t="n">
        <v>4187296</v>
      </c>
      <c r="M2141" s="241" t="n">
        <v>1.79</v>
      </c>
      <c r="N2141" s="241" t="n">
        <v>-5.42</v>
      </c>
      <c r="O2141" s="241" t="n">
        <v>2.06</v>
      </c>
      <c r="P2141" s="241" t="n">
        <v>1.38</v>
      </c>
    </row>
    <row r="2142">
      <c r="A2142" s="282" t="inlineStr">
        <is>
          <t>2014-10-29</t>
        </is>
      </c>
      <c r="B2142" s="240">
        <f>IFERROR(1/P2142-1,B2141)</f>
        <v/>
      </c>
      <c r="C2142" s="240">
        <f>$C$3</f>
        <v/>
      </c>
      <c r="D2142" s="240">
        <f>$D$3</f>
        <v/>
      </c>
      <c r="E2142" s="240">
        <f>$E$3</f>
        <v/>
      </c>
      <c r="F2142" s="241" t="n">
        <v>15.1</v>
      </c>
      <c r="G2142" s="242" t="n">
        <v>58707740</v>
      </c>
      <c r="H2142" s="241" t="n">
        <v>1.14</v>
      </c>
      <c r="I2142" s="241" t="n">
        <v>3.07</v>
      </c>
      <c r="J2142" s="241" t="n">
        <v>21.98</v>
      </c>
      <c r="K2142" s="241" t="n">
        <v>10.96</v>
      </c>
      <c r="L2142" s="242" t="n">
        <v>1311800</v>
      </c>
      <c r="M2142" s="241" t="n">
        <v>1.62</v>
      </c>
      <c r="N2142" s="241" t="n">
        <v>-3.89</v>
      </c>
      <c r="O2142" s="241" t="n">
        <v>3.71</v>
      </c>
      <c r="P2142" s="241" t="n">
        <v>1.38</v>
      </c>
    </row>
    <row r="2143">
      <c r="A2143" s="282" t="inlineStr">
        <is>
          <t>2014-10-30</t>
        </is>
      </c>
      <c r="B2143" s="240">
        <f>IFERROR(1/P2143-1,B2142)</f>
        <v/>
      </c>
      <c r="C2143" s="240">
        <f>$C$3</f>
        <v/>
      </c>
      <c r="D2143" s="240">
        <f>$D$3</f>
        <v/>
      </c>
      <c r="E2143" s="240">
        <f>$E$3</f>
        <v/>
      </c>
      <c r="F2143" s="241" t="n">
        <v>14.92</v>
      </c>
      <c r="G2143" s="242" t="n">
        <v>30746525</v>
      </c>
      <c r="H2143" s="241" t="n">
        <v>-1.19</v>
      </c>
      <c r="I2143" s="241" t="n">
        <v>2.9</v>
      </c>
      <c r="J2143" s="241" t="n">
        <v>20.52</v>
      </c>
      <c r="K2143" s="241" t="n">
        <v>10.78</v>
      </c>
      <c r="L2143" s="242" t="n">
        <v>870800</v>
      </c>
      <c r="M2143" s="241" t="n">
        <v>-1.73</v>
      </c>
      <c r="N2143" s="241" t="n">
        <v>-4.63</v>
      </c>
      <c r="O2143" s="241" t="n">
        <v>1.91</v>
      </c>
      <c r="P2143" s="241" t="n">
        <v>1.38</v>
      </c>
    </row>
    <row r="2144">
      <c r="A2144" s="282" t="inlineStr">
        <is>
          <t>2014-10-31</t>
        </is>
      </c>
      <c r="B2144" s="240">
        <f>IFERROR(1/P2144-1,B2143)</f>
        <v/>
      </c>
      <c r="C2144" s="240">
        <f>$C$3</f>
        <v/>
      </c>
      <c r="D2144" s="240">
        <f>$D$3</f>
        <v/>
      </c>
      <c r="E2144" s="240">
        <f>$E$3</f>
        <v/>
      </c>
      <c r="F2144" s="241" t="n">
        <v>14.91</v>
      </c>
      <c r="G2144" s="242" t="n">
        <v>26013939</v>
      </c>
      <c r="H2144" s="241" t="n">
        <v>-0.07000000000000001</v>
      </c>
      <c r="I2144" s="241" t="n">
        <v>2.83</v>
      </c>
      <c r="J2144" s="241" t="n">
        <v>20.44</v>
      </c>
      <c r="K2144" s="241" t="n">
        <v>10.4</v>
      </c>
      <c r="L2144" s="242" t="n">
        <v>5343800</v>
      </c>
      <c r="M2144" s="241" t="n">
        <v>-3.53</v>
      </c>
      <c r="N2144" s="241" t="n">
        <v>-7.99</v>
      </c>
      <c r="O2144" s="241" t="n">
        <v>-1.69</v>
      </c>
      <c r="P2144" s="241" t="n">
        <v>1.43</v>
      </c>
    </row>
    <row r="2145">
      <c r="A2145" s="282" t="inlineStr">
        <is>
          <t>2014-11-03</t>
        </is>
      </c>
      <c r="B2145" s="240">
        <f>IFERROR(1/P2145-1,B2144)</f>
        <v/>
      </c>
      <c r="C2145" s="240">
        <f>$C$3</f>
        <v/>
      </c>
      <c r="D2145" s="240">
        <f>$D$3</f>
        <v/>
      </c>
      <c r="E2145" s="240">
        <f>$E$3</f>
        <v/>
      </c>
      <c r="F2145" s="241" t="n">
        <v>14.9</v>
      </c>
      <c r="G2145" s="242" t="n">
        <v>28819940</v>
      </c>
      <c r="H2145" s="241" t="n">
        <v>-0.07000000000000001</v>
      </c>
      <c r="I2145" s="241" t="n">
        <v>2.76</v>
      </c>
      <c r="J2145" s="241" t="n">
        <v>20.36</v>
      </c>
      <c r="K2145" s="241" t="n">
        <v>10.25</v>
      </c>
      <c r="L2145" s="242" t="n">
        <v>3299060</v>
      </c>
      <c r="M2145" s="241" t="n">
        <v>-1.52</v>
      </c>
      <c r="N2145" s="241" t="n">
        <v>-7.58</v>
      </c>
      <c r="O2145" s="241" t="n">
        <v>-3.19</v>
      </c>
      <c r="P2145" s="241" t="n">
        <v>1.45</v>
      </c>
    </row>
    <row r="2146">
      <c r="A2146" s="282" t="inlineStr">
        <is>
          <t>2014-11-04</t>
        </is>
      </c>
      <c r="B2146" s="240">
        <f>IFERROR(1/P2146-1,B2145)</f>
        <v/>
      </c>
      <c r="C2146" s="240">
        <f>$C$3</f>
        <v/>
      </c>
      <c r="D2146" s="240">
        <f>$D$3</f>
        <v/>
      </c>
      <c r="E2146" s="240">
        <f>$E$3</f>
        <v/>
      </c>
      <c r="F2146" s="241" t="n">
        <v>15.28</v>
      </c>
      <c r="G2146" s="242" t="n">
        <v>53208956</v>
      </c>
      <c r="H2146" s="241" t="n">
        <v>2.55</v>
      </c>
      <c r="I2146" s="241" t="n">
        <v>5.38</v>
      </c>
      <c r="J2146" s="241" t="n">
        <v>23.43</v>
      </c>
      <c r="K2146" s="241" t="n">
        <v>10.51</v>
      </c>
      <c r="L2146" s="242" t="n">
        <v>4660900</v>
      </c>
      <c r="M2146" s="241" t="n">
        <v>2.48</v>
      </c>
      <c r="N2146" s="241" t="n">
        <v>-6.5</v>
      </c>
      <c r="O2146" s="241" t="n">
        <v>-0.79</v>
      </c>
      <c r="P2146" s="241" t="n">
        <v>1.45</v>
      </c>
    </row>
    <row r="2147">
      <c r="A2147" s="282" t="inlineStr">
        <is>
          <t>2014-11-05</t>
        </is>
      </c>
      <c r="B2147" s="240">
        <f>IFERROR(1/P2147-1,B2146)</f>
        <v/>
      </c>
      <c r="C2147" s="240">
        <f>$C$3</f>
        <v/>
      </c>
      <c r="D2147" s="240">
        <f>$D$3</f>
        <v/>
      </c>
      <c r="E2147" s="240">
        <f>$E$3</f>
        <v/>
      </c>
      <c r="F2147" s="241" t="n">
        <v>15.28</v>
      </c>
      <c r="G2147" s="242" t="n">
        <v>34508625</v>
      </c>
      <c r="H2147" s="241" t="n">
        <v>0</v>
      </c>
      <c r="I2147" s="241" t="n">
        <v>5.38</v>
      </c>
      <c r="J2147" s="241" t="n">
        <v>23.43</v>
      </c>
      <c r="K2147" s="241" t="n">
        <v>10.28</v>
      </c>
      <c r="L2147" s="242" t="n">
        <v>3047600</v>
      </c>
      <c r="M2147" s="241" t="n">
        <v>-2.11</v>
      </c>
      <c r="N2147" s="241" t="n">
        <v>-8.470000000000001</v>
      </c>
      <c r="O2147" s="241" t="n">
        <v>-2.89</v>
      </c>
      <c r="P2147" s="241" t="n">
        <v>1.49</v>
      </c>
    </row>
    <row r="2148">
      <c r="A2148" s="282" t="inlineStr">
        <is>
          <t>2014-11-06</t>
        </is>
      </c>
      <c r="B2148" s="240">
        <f>IFERROR(1/P2148-1,B2147)</f>
        <v/>
      </c>
      <c r="C2148" s="240">
        <f>$C$3</f>
        <v/>
      </c>
      <c r="D2148" s="240">
        <f>$D$3</f>
        <v/>
      </c>
      <c r="E2148" s="240">
        <f>$E$3</f>
        <v/>
      </c>
      <c r="F2148" s="241" t="n">
        <v>16.5</v>
      </c>
      <c r="G2148" s="242" t="n">
        <v>76329997</v>
      </c>
      <c r="H2148" s="241" t="n">
        <v>7.98</v>
      </c>
      <c r="I2148" s="241" t="n">
        <v>13.79</v>
      </c>
      <c r="J2148" s="241" t="n">
        <v>33.29</v>
      </c>
      <c r="K2148" s="241" t="n">
        <v>11.23</v>
      </c>
      <c r="L2148" s="242" t="n">
        <v>7002170</v>
      </c>
      <c r="M2148" s="241" t="n">
        <v>9.1</v>
      </c>
      <c r="N2148" s="241" t="n">
        <v>-0.14</v>
      </c>
      <c r="O2148" s="241" t="n">
        <v>5.95</v>
      </c>
      <c r="P2148" s="241" t="n">
        <v>1.47</v>
      </c>
    </row>
    <row r="2149">
      <c r="A2149" s="282" t="inlineStr">
        <is>
          <t>2014-11-07</t>
        </is>
      </c>
      <c r="B2149" s="240">
        <f>IFERROR(1/P2149-1,B2148)</f>
        <v/>
      </c>
      <c r="C2149" s="240">
        <f>$C$3</f>
        <v/>
      </c>
      <c r="D2149" s="240">
        <f>$D$3</f>
        <v/>
      </c>
      <c r="E2149" s="240">
        <f>$E$3</f>
        <v/>
      </c>
      <c r="F2149" s="241" t="n">
        <v>16.04</v>
      </c>
      <c r="G2149" s="242" t="n">
        <v>67414459</v>
      </c>
      <c r="H2149" s="241" t="n">
        <v>-2.79</v>
      </c>
      <c r="I2149" s="241" t="n">
        <v>10.62</v>
      </c>
      <c r="J2149" s="241" t="n">
        <v>29.57</v>
      </c>
      <c r="K2149" s="241" t="n">
        <v>10.68</v>
      </c>
      <c r="L2149" s="242" t="n">
        <v>4599600</v>
      </c>
      <c r="M2149" s="241" t="n">
        <v>-4.95</v>
      </c>
      <c r="N2149" s="241" t="n">
        <v>-8.449999999999999</v>
      </c>
      <c r="O2149" s="241" t="n">
        <v>0.71</v>
      </c>
      <c r="P2149" s="241" t="n">
        <v>1.5</v>
      </c>
    </row>
    <row r="2150">
      <c r="A2150" s="282" t="inlineStr">
        <is>
          <t>2014-11-10</t>
        </is>
      </c>
      <c r="B2150" s="240">
        <f>IFERROR(1/P2150-1,B2149)</f>
        <v/>
      </c>
      <c r="C2150" s="240">
        <f>$C$3</f>
        <v/>
      </c>
      <c r="D2150" s="240">
        <f>$D$3</f>
        <v/>
      </c>
      <c r="E2150" s="240">
        <f>$E$3</f>
        <v/>
      </c>
      <c r="F2150" s="241" t="n">
        <v>17.28</v>
      </c>
      <c r="G2150" s="242" t="n">
        <v>64360473</v>
      </c>
      <c r="H2150" s="241" t="n">
        <v>7.73</v>
      </c>
      <c r="I2150" s="241" t="n">
        <v>16.52</v>
      </c>
      <c r="J2150" s="241" t="n">
        <v>39.59</v>
      </c>
      <c r="K2150" s="241" t="n">
        <v>11.59</v>
      </c>
      <c r="L2150" s="242" t="n">
        <v>15564800</v>
      </c>
      <c r="M2150" s="241" t="n">
        <v>8.93</v>
      </c>
      <c r="N2150" s="241" t="n">
        <v>-0.27</v>
      </c>
      <c r="O2150" s="241" t="n">
        <v>9.699999999999999</v>
      </c>
      <c r="P2150" s="241" t="n">
        <v>1.49</v>
      </c>
    </row>
    <row r="2151">
      <c r="A2151" s="282" t="inlineStr">
        <is>
          <t>2014-11-11</t>
        </is>
      </c>
      <c r="B2151" s="240">
        <f>IFERROR(1/P2151-1,B2150)</f>
        <v/>
      </c>
      <c r="C2151" s="240">
        <f>$C$3</f>
        <v/>
      </c>
      <c r="D2151" s="240">
        <f>$D$3</f>
        <v/>
      </c>
      <c r="E2151" s="240">
        <f>$E$3</f>
        <v/>
      </c>
      <c r="F2151" s="241" t="n">
        <v>16.62</v>
      </c>
      <c r="G2151" s="242" t="n">
        <v>64178157</v>
      </c>
      <c r="H2151" s="241" t="n">
        <v>-3.82</v>
      </c>
      <c r="I2151" s="241" t="n">
        <v>14.15</v>
      </c>
      <c r="J2151" s="241" t="n">
        <v>34.26</v>
      </c>
      <c r="K2151" s="241" t="n">
        <v>11.26</v>
      </c>
      <c r="L2151" s="242" t="n">
        <v>8895575</v>
      </c>
      <c r="M2151" s="241" t="n">
        <v>-2.87</v>
      </c>
      <c r="N2151" s="241" t="n">
        <v>-1.93</v>
      </c>
      <c r="O2151" s="241" t="n">
        <v>6.55</v>
      </c>
      <c r="P2151" s="241" t="n">
        <v>1.48</v>
      </c>
    </row>
    <row r="2152">
      <c r="A2152" s="282" t="inlineStr">
        <is>
          <t>2014-11-12</t>
        </is>
      </c>
      <c r="B2152" s="240">
        <f>IFERROR(1/P2152-1,B2151)</f>
        <v/>
      </c>
      <c r="C2152" s="240">
        <f>$C$3</f>
        <v/>
      </c>
      <c r="D2152" s="240">
        <f>$D$3</f>
        <v/>
      </c>
      <c r="E2152" s="240">
        <f>$E$3</f>
        <v/>
      </c>
      <c r="F2152" s="241" t="n">
        <v>16.41</v>
      </c>
      <c r="G2152" s="242" t="n">
        <v>31024450</v>
      </c>
      <c r="H2152" s="241" t="n">
        <v>-1.26</v>
      </c>
      <c r="I2152" s="241" t="n">
        <v>12.71</v>
      </c>
      <c r="J2152" s="241" t="n">
        <v>32.56</v>
      </c>
      <c r="K2152" s="241" t="n">
        <v>11.61</v>
      </c>
      <c r="L2152" s="242" t="n">
        <v>9264600</v>
      </c>
      <c r="M2152" s="241" t="n">
        <v>3.09</v>
      </c>
      <c r="N2152" s="241" t="n">
        <v>1.1</v>
      </c>
      <c r="O2152" s="241" t="n">
        <v>9.85</v>
      </c>
      <c r="P2152" s="241" t="n">
        <v>1.41</v>
      </c>
    </row>
    <row r="2153">
      <c r="A2153" s="282" t="inlineStr">
        <is>
          <t>2014-11-13</t>
        </is>
      </c>
      <c r="B2153" s="240">
        <f>IFERROR(1/P2153-1,B2152)</f>
        <v/>
      </c>
      <c r="C2153" s="240">
        <f>$C$3</f>
        <v/>
      </c>
      <c r="D2153" s="240">
        <f>$D$3</f>
        <v/>
      </c>
      <c r="E2153" s="240">
        <f>$E$3</f>
        <v/>
      </c>
      <c r="F2153" s="241" t="n">
        <v>15.94</v>
      </c>
      <c r="G2153" s="242" t="n">
        <v>33226995</v>
      </c>
      <c r="H2153" s="241" t="n">
        <v>-2.86</v>
      </c>
      <c r="I2153" s="241" t="n">
        <v>9.48</v>
      </c>
      <c r="J2153" s="241" t="n">
        <v>28.76</v>
      </c>
      <c r="K2153" s="241" t="n">
        <v>11.85</v>
      </c>
      <c r="L2153" s="242" t="n">
        <v>9076600</v>
      </c>
      <c r="M2153" s="241" t="n">
        <v>2.05</v>
      </c>
      <c r="N2153" s="241" t="n">
        <v>3.17</v>
      </c>
      <c r="O2153" s="241" t="n">
        <v>12.1</v>
      </c>
      <c r="P2153" s="241" t="n">
        <v>1.35</v>
      </c>
    </row>
    <row r="2154">
      <c r="A2154" s="282" t="inlineStr">
        <is>
          <t>2014-11-14</t>
        </is>
      </c>
      <c r="B2154" s="240">
        <f>IFERROR(1/P2154-1,B2153)</f>
        <v/>
      </c>
      <c r="C2154" s="240">
        <f>$C$3</f>
        <v/>
      </c>
      <c r="D2154" s="240">
        <f>$D$3</f>
        <v/>
      </c>
      <c r="E2154" s="240">
        <f>$E$3</f>
        <v/>
      </c>
      <c r="F2154" s="241" t="n">
        <v>15.75</v>
      </c>
      <c r="G2154" s="242" t="n">
        <v>23114003</v>
      </c>
      <c r="H2154" s="241" t="n">
        <v>-1.19</v>
      </c>
      <c r="I2154" s="241" t="n">
        <v>6.85</v>
      </c>
      <c r="J2154" s="241" t="n">
        <v>27.23</v>
      </c>
      <c r="K2154" s="241" t="n">
        <v>11.61</v>
      </c>
      <c r="L2154" s="242" t="n">
        <v>4834490</v>
      </c>
      <c r="M2154" s="241" t="n">
        <v>-2.01</v>
      </c>
      <c r="N2154" s="241" t="n">
        <v>2.52</v>
      </c>
      <c r="O2154" s="241" t="n">
        <v>9.85</v>
      </c>
      <c r="P2154" s="241" t="n">
        <v>1.36</v>
      </c>
    </row>
    <row r="2155">
      <c r="A2155" s="282" t="inlineStr">
        <is>
          <t>2014-11-17</t>
        </is>
      </c>
      <c r="B2155" s="240">
        <f>IFERROR(1/P2155-1,B2154)</f>
        <v/>
      </c>
      <c r="C2155" s="240">
        <f>$C$3</f>
        <v/>
      </c>
      <c r="D2155" s="240">
        <f>$D$3</f>
        <v/>
      </c>
      <c r="E2155" s="240">
        <f>$E$3</f>
        <v/>
      </c>
      <c r="F2155" s="241" t="n">
        <v>16.14</v>
      </c>
      <c r="G2155" s="242" t="n">
        <v>33691528</v>
      </c>
      <c r="H2155" s="241" t="n">
        <v>2.48</v>
      </c>
      <c r="I2155" s="241" t="n">
        <v>12.95</v>
      </c>
      <c r="J2155" s="241" t="n">
        <v>30.38</v>
      </c>
      <c r="K2155" s="241" t="n">
        <v>11.26</v>
      </c>
      <c r="L2155" s="242" t="n">
        <v>8188500</v>
      </c>
      <c r="M2155" s="241" t="n">
        <v>-3</v>
      </c>
      <c r="N2155" s="241" t="n">
        <v>1.14</v>
      </c>
      <c r="O2155" s="241" t="n">
        <v>6.55</v>
      </c>
      <c r="P2155" s="241" t="n">
        <v>1.43</v>
      </c>
    </row>
    <row r="2156">
      <c r="A2156" s="282" t="inlineStr">
        <is>
          <t>2014-11-18</t>
        </is>
      </c>
      <c r="B2156" s="240">
        <f>IFERROR(1/P2156-1,B2155)</f>
        <v/>
      </c>
      <c r="C2156" s="240">
        <f>$C$3</f>
        <v/>
      </c>
      <c r="D2156" s="240">
        <f>$D$3</f>
        <v/>
      </c>
      <c r="E2156" s="240">
        <f>$E$3</f>
        <v/>
      </c>
      <c r="F2156" s="241" t="n">
        <v>16.68</v>
      </c>
      <c r="G2156" s="242" t="n">
        <v>40710278</v>
      </c>
      <c r="H2156" s="241" t="n">
        <v>3.35</v>
      </c>
      <c r="I2156" s="241" t="n">
        <v>18.13</v>
      </c>
      <c r="J2156" s="241" t="n">
        <v>34.74</v>
      </c>
      <c r="K2156" s="241" t="n">
        <v>11.14</v>
      </c>
      <c r="L2156" s="242" t="n">
        <v>5694900</v>
      </c>
      <c r="M2156" s="241" t="n">
        <v>-1.13</v>
      </c>
      <c r="N2156" s="241" t="n">
        <v>-0.28</v>
      </c>
      <c r="O2156" s="241" t="n">
        <v>5.36</v>
      </c>
      <c r="P2156" s="241" t="n">
        <v>1.5</v>
      </c>
    </row>
    <row r="2157">
      <c r="A2157" s="282" t="inlineStr">
        <is>
          <t>2014-11-19</t>
        </is>
      </c>
      <c r="B2157" s="240">
        <f>IFERROR(1/P2157-1,B2156)</f>
        <v/>
      </c>
      <c r="C2157" s="240">
        <f>$C$3</f>
        <v/>
      </c>
      <c r="D2157" s="240">
        <f>$D$3</f>
        <v/>
      </c>
      <c r="E2157" s="240">
        <f>$E$3</f>
        <v/>
      </c>
      <c r="F2157" s="241" t="n">
        <v>16.12</v>
      </c>
      <c r="G2157" s="242" t="n">
        <v>23249617</v>
      </c>
      <c r="H2157" s="241" t="n">
        <v>-3.36</v>
      </c>
      <c r="I2157" s="241" t="n">
        <v>14.16</v>
      </c>
      <c r="J2157" s="241" t="n">
        <v>30.22</v>
      </c>
      <c r="K2157" s="241" t="n">
        <v>10.85</v>
      </c>
      <c r="L2157" s="242" t="n">
        <v>6517200</v>
      </c>
      <c r="M2157" s="241" t="n">
        <v>-2.56</v>
      </c>
      <c r="N2157" s="241" t="n">
        <v>-2.84</v>
      </c>
      <c r="O2157" s="241" t="n">
        <v>2.66</v>
      </c>
      <c r="P2157" s="241" t="n">
        <v>1.49</v>
      </c>
    </row>
    <row r="2158">
      <c r="A2158" s="282" t="inlineStr">
        <is>
          <t>2014-11-20</t>
        </is>
      </c>
      <c r="B2158" s="240">
        <f>IFERROR(1/P2158-1,B2157)</f>
        <v/>
      </c>
      <c r="C2158" s="240">
        <f>$C$3</f>
        <v/>
      </c>
      <c r="D2158" s="240">
        <f>$D$3</f>
        <v/>
      </c>
      <c r="E2158" s="240">
        <f>$E$3</f>
        <v/>
      </c>
      <c r="F2158" s="241" t="n">
        <v>16.14</v>
      </c>
      <c r="G2158" s="242" t="n">
        <v>24887510</v>
      </c>
      <c r="H2158" s="241" t="n">
        <v>0.12</v>
      </c>
      <c r="I2158" s="241" t="n">
        <v>14.31</v>
      </c>
      <c r="J2158" s="241" t="n">
        <v>30.38</v>
      </c>
      <c r="K2158" s="241" t="n">
        <v>11.42</v>
      </c>
      <c r="L2158" s="242" t="n">
        <v>5125540</v>
      </c>
      <c r="M2158" s="241" t="n">
        <v>5.26</v>
      </c>
      <c r="N2158" s="241" t="n">
        <v>2.27</v>
      </c>
      <c r="O2158" s="241" t="n">
        <v>8.050000000000001</v>
      </c>
      <c r="P2158" s="241" t="n">
        <v>1.41</v>
      </c>
    </row>
    <row r="2159">
      <c r="A2159" s="282" t="inlineStr">
        <is>
          <t>2014-11-21</t>
        </is>
      </c>
      <c r="B2159" s="240">
        <f>IFERROR(1/P2159-1,B2158)</f>
        <v/>
      </c>
      <c r="C2159" s="240">
        <f>$C$3</f>
        <v/>
      </c>
      <c r="D2159" s="240">
        <f>$D$3</f>
        <v/>
      </c>
      <c r="E2159" s="240">
        <f>$E$3</f>
        <v/>
      </c>
      <c r="F2159" s="241" t="n">
        <v>16.38</v>
      </c>
      <c r="G2159" s="242" t="n">
        <v>19368411</v>
      </c>
      <c r="H2159" s="241" t="n">
        <v>1.49</v>
      </c>
      <c r="I2159" s="241" t="n">
        <v>14.23</v>
      </c>
      <c r="J2159" s="241" t="n">
        <v>32.32</v>
      </c>
      <c r="K2159" s="241" t="n">
        <v>11.24</v>
      </c>
      <c r="L2159" s="242" t="n">
        <v>4429958</v>
      </c>
      <c r="M2159" s="241" t="n">
        <v>-1.53</v>
      </c>
      <c r="N2159" s="241" t="n">
        <v>0.57</v>
      </c>
      <c r="O2159" s="241" t="n">
        <v>6.4</v>
      </c>
      <c r="P2159" s="241" t="n">
        <v>1.46</v>
      </c>
    </row>
    <row r="2160">
      <c r="A2160" s="282" t="inlineStr">
        <is>
          <t>2014-11-24</t>
        </is>
      </c>
      <c r="B2160" s="240">
        <f>IFERROR(1/P2160-1,B2159)</f>
        <v/>
      </c>
      <c r="C2160" s="240">
        <f>$C$3</f>
        <v/>
      </c>
      <c r="D2160" s="240">
        <f>$D$3</f>
        <v/>
      </c>
      <c r="E2160" s="240">
        <f>$E$3</f>
        <v/>
      </c>
      <c r="F2160" s="241" t="n">
        <v>16.54</v>
      </c>
      <c r="G2160" s="242" t="n">
        <v>30122131</v>
      </c>
      <c r="H2160" s="241" t="n">
        <v>0.98</v>
      </c>
      <c r="I2160" s="241" t="n">
        <v>19.68</v>
      </c>
      <c r="J2160" s="241" t="n">
        <v>33.61</v>
      </c>
      <c r="K2160" s="241" t="n">
        <v>11.4</v>
      </c>
      <c r="L2160" s="242" t="n">
        <v>3769300</v>
      </c>
      <c r="M2160" s="241" t="n">
        <v>1.41</v>
      </c>
      <c r="N2160" s="241" t="n">
        <v>5.11</v>
      </c>
      <c r="O2160" s="241" t="n">
        <v>7.9</v>
      </c>
      <c r="P2160" s="241" t="n">
        <v>1.45</v>
      </c>
    </row>
    <row r="2161">
      <c r="A2161" s="282" t="inlineStr">
        <is>
          <t>2014-11-25</t>
        </is>
      </c>
      <c r="B2161" s="240">
        <f>IFERROR(1/P2161-1,B2160)</f>
        <v/>
      </c>
      <c r="C2161" s="240">
        <f>$C$3</f>
        <v/>
      </c>
      <c r="D2161" s="240">
        <f>$D$3</f>
        <v/>
      </c>
      <c r="E2161" s="240">
        <f>$E$3</f>
        <v/>
      </c>
      <c r="F2161" s="241" t="n">
        <v>16.86</v>
      </c>
      <c r="G2161" s="242" t="n">
        <v>32545456</v>
      </c>
      <c r="H2161" s="241" t="n">
        <v>1.93</v>
      </c>
      <c r="I2161" s="241" t="n">
        <v>21.12</v>
      </c>
      <c r="J2161" s="241" t="n">
        <v>36.19</v>
      </c>
      <c r="K2161" s="241" t="n">
        <v>11.32</v>
      </c>
      <c r="L2161" s="242" t="n">
        <v>5035980</v>
      </c>
      <c r="M2161" s="241" t="n">
        <v>-0.6899999999999999</v>
      </c>
      <c r="N2161" s="241" t="n">
        <v>4.23</v>
      </c>
      <c r="O2161" s="241" t="n">
        <v>7.15</v>
      </c>
      <c r="P2161" s="241" t="n">
        <v>1.49</v>
      </c>
    </row>
    <row r="2162">
      <c r="A2162" s="282" t="inlineStr">
        <is>
          <t>2014-11-26</t>
        </is>
      </c>
      <c r="B2162" s="240">
        <f>IFERROR(1/P2162-1,B2161)</f>
        <v/>
      </c>
      <c r="C2162" s="240">
        <f>$C$3</f>
        <v/>
      </c>
      <c r="D2162" s="240">
        <f>$D$3</f>
        <v/>
      </c>
      <c r="E2162" s="240">
        <f>$E$3</f>
        <v/>
      </c>
      <c r="F2162" s="241" t="n">
        <v>16.61</v>
      </c>
      <c r="G2162" s="242" t="n">
        <v>30218768</v>
      </c>
      <c r="H2162" s="241" t="n">
        <v>-1.48</v>
      </c>
      <c r="I2162" s="241" t="n">
        <v>19.32</v>
      </c>
      <c r="J2162" s="241" t="n">
        <v>34.17</v>
      </c>
      <c r="K2162" s="241" t="n">
        <v>11.25</v>
      </c>
      <c r="L2162" s="242" t="n">
        <v>5909600</v>
      </c>
      <c r="M2162" s="241" t="n">
        <v>-0.5600000000000001</v>
      </c>
      <c r="N2162" s="241" t="n">
        <v>3.64</v>
      </c>
      <c r="O2162" s="241" t="n">
        <v>6.55</v>
      </c>
      <c r="P2162" s="241" t="n">
        <v>1.48</v>
      </c>
    </row>
    <row r="2163">
      <c r="A2163" s="282" t="inlineStr">
        <is>
          <t>2014-11-27</t>
        </is>
      </c>
      <c r="B2163" s="240">
        <f>IFERROR(1/P2163-1,B2162)</f>
        <v/>
      </c>
      <c r="C2163" s="240">
        <f>$C$3</f>
        <v/>
      </c>
      <c r="D2163" s="240">
        <f>$D$3</f>
        <v/>
      </c>
      <c r="E2163" s="240">
        <f>$E$3</f>
        <v/>
      </c>
      <c r="F2163" s="241" t="n">
        <v>16.65</v>
      </c>
      <c r="G2163" s="242" t="n">
        <v>28579665</v>
      </c>
      <c r="H2163" s="241" t="n">
        <v>0.24</v>
      </c>
      <c r="I2163" s="241" t="n">
        <v>19.61</v>
      </c>
      <c r="J2163" s="241" t="n">
        <v>34.5</v>
      </c>
      <c r="K2163" s="241" t="n">
        <v>11.23</v>
      </c>
      <c r="L2163" s="242" t="n">
        <v>3986000</v>
      </c>
      <c r="M2163" s="241" t="n">
        <v>-0.14</v>
      </c>
      <c r="N2163" s="241" t="n">
        <v>3.5</v>
      </c>
      <c r="O2163" s="241" t="n">
        <v>6.4</v>
      </c>
      <c r="P2163" s="241" t="n">
        <v>1.48</v>
      </c>
    </row>
    <row r="2164">
      <c r="A2164" s="282" t="inlineStr">
        <is>
          <t>2014-11-28</t>
        </is>
      </c>
      <c r="B2164" s="240">
        <f>IFERROR(1/P2164-1,B2163)</f>
        <v/>
      </c>
      <c r="C2164" s="240">
        <f>$C$3</f>
        <v/>
      </c>
      <c r="D2164" s="240">
        <f>$D$3</f>
        <v/>
      </c>
      <c r="E2164" s="240">
        <f>$E$3</f>
        <v/>
      </c>
      <c r="F2164" s="241" t="n">
        <v>16.32</v>
      </c>
      <c r="G2164" s="242" t="n">
        <v>32779233</v>
      </c>
      <c r="H2164" s="241" t="n">
        <v>-1.98</v>
      </c>
      <c r="I2164" s="241" t="n">
        <v>16.65</v>
      </c>
      <c r="J2164" s="241" t="n">
        <v>31.83</v>
      </c>
      <c r="K2164" s="241" t="n">
        <v>11.11</v>
      </c>
      <c r="L2164" s="242" t="n">
        <v>6774600</v>
      </c>
      <c r="M2164" s="241" t="n">
        <v>-1.13</v>
      </c>
      <c r="N2164" s="241" t="n">
        <v>4.93</v>
      </c>
      <c r="O2164" s="241" t="n">
        <v>5.21</v>
      </c>
      <c r="P2164" s="241" t="n">
        <v>1.47</v>
      </c>
    </row>
    <row r="2165">
      <c r="A2165" s="282" t="inlineStr">
        <is>
          <t>2014-12-01</t>
        </is>
      </c>
      <c r="B2165" s="240">
        <f>IFERROR(1/P2165-1,B2164)</f>
        <v/>
      </c>
      <c r="C2165" s="240">
        <f>$C$3</f>
        <v/>
      </c>
      <c r="D2165" s="240">
        <f>$D$3</f>
        <v/>
      </c>
      <c r="E2165" s="240">
        <f>$E$3</f>
        <v/>
      </c>
      <c r="F2165" s="241" t="n">
        <v>16.2</v>
      </c>
      <c r="G2165" s="242" t="n">
        <v>22630236</v>
      </c>
      <c r="H2165" s="241" t="n">
        <v>-0.74</v>
      </c>
      <c r="I2165" s="241" t="n">
        <v>8.65</v>
      </c>
      <c r="J2165" s="241" t="n">
        <v>30.86</v>
      </c>
      <c r="K2165" s="241" t="n">
        <v>10.62</v>
      </c>
      <c r="L2165" s="242" t="n">
        <v>3642200</v>
      </c>
      <c r="M2165" s="241" t="n">
        <v>-4.42</v>
      </c>
      <c r="N2165" s="241" t="n">
        <v>2.29</v>
      </c>
      <c r="O2165" s="241" t="n">
        <v>0.5600000000000001</v>
      </c>
      <c r="P2165" s="241" t="n">
        <v>1.53</v>
      </c>
    </row>
    <row r="2166">
      <c r="A2166" s="282" t="inlineStr">
        <is>
          <t>2014-12-02</t>
        </is>
      </c>
      <c r="B2166" s="240">
        <f>IFERROR(1/P2166-1,B2165)</f>
        <v/>
      </c>
      <c r="C2166" s="240">
        <f>$C$3</f>
        <v/>
      </c>
      <c r="D2166" s="240">
        <f>$D$3</f>
        <v/>
      </c>
      <c r="E2166" s="240">
        <f>$E$3</f>
        <v/>
      </c>
      <c r="F2166" s="241" t="n">
        <v>16.87</v>
      </c>
      <c r="G2166" s="242" t="n">
        <v>36551632</v>
      </c>
      <c r="H2166" s="241" t="n">
        <v>4.14</v>
      </c>
      <c r="I2166" s="241" t="n">
        <v>13.15</v>
      </c>
      <c r="J2166" s="241" t="n">
        <v>36.27</v>
      </c>
      <c r="K2166" s="241" t="n">
        <v>10.69</v>
      </c>
      <c r="L2166" s="242" t="n">
        <v>2672720</v>
      </c>
      <c r="M2166" s="241" t="n">
        <v>0.75</v>
      </c>
      <c r="N2166" s="241" t="n">
        <v>3.05</v>
      </c>
      <c r="O2166" s="241" t="n">
        <v>1.31</v>
      </c>
      <c r="P2166" s="241" t="n">
        <v>1.58</v>
      </c>
    </row>
    <row r="2167">
      <c r="A2167" s="282" t="inlineStr">
        <is>
          <t>2014-12-03</t>
        </is>
      </c>
      <c r="B2167" s="240">
        <f>IFERROR(1/P2167-1,B2166)</f>
        <v/>
      </c>
      <c r="C2167" s="240">
        <f>$C$3</f>
        <v/>
      </c>
      <c r="D2167" s="240">
        <f>$D$3</f>
        <v/>
      </c>
      <c r="E2167" s="240">
        <f>$E$3</f>
        <v/>
      </c>
      <c r="F2167" s="241" t="n">
        <v>17.16</v>
      </c>
      <c r="G2167" s="242" t="n">
        <v>45664744</v>
      </c>
      <c r="H2167" s="241" t="n">
        <v>1.72</v>
      </c>
      <c r="I2167" s="241" t="n">
        <v>15.09</v>
      </c>
      <c r="J2167" s="241" t="n">
        <v>38.62</v>
      </c>
      <c r="K2167" s="241" t="n">
        <v>10.19</v>
      </c>
      <c r="L2167" s="242" t="n">
        <v>9675800</v>
      </c>
      <c r="M2167" s="241" t="n">
        <v>-4.73</v>
      </c>
      <c r="N2167" s="241" t="n">
        <v>-1.83</v>
      </c>
      <c r="O2167" s="241" t="n">
        <v>-3.49</v>
      </c>
      <c r="P2167" s="241" t="n">
        <v>1.68</v>
      </c>
    </row>
    <row r="2168">
      <c r="A2168" s="282" t="inlineStr">
        <is>
          <t>2014-12-04</t>
        </is>
      </c>
      <c r="B2168" s="240">
        <f>IFERROR(1/P2168-1,B2167)</f>
        <v/>
      </c>
      <c r="C2168" s="240">
        <f>$C$3</f>
        <v/>
      </c>
      <c r="D2168" s="240">
        <f>$D$3</f>
        <v/>
      </c>
      <c r="E2168" s="240">
        <f>$E$3</f>
        <v/>
      </c>
      <c r="F2168" s="241" t="n">
        <v>17.65</v>
      </c>
      <c r="G2168" s="242" t="n">
        <v>54184768</v>
      </c>
      <c r="H2168" s="241" t="n">
        <v>2.86</v>
      </c>
      <c r="I2168" s="241" t="n">
        <v>18.46</v>
      </c>
      <c r="J2168" s="241" t="n">
        <v>42.58</v>
      </c>
      <c r="K2168" s="241" t="n">
        <v>10.47</v>
      </c>
      <c r="L2168" s="242" t="n">
        <v>5583805</v>
      </c>
      <c r="M2168" s="241" t="n">
        <v>2.64</v>
      </c>
      <c r="N2168" s="241" t="n">
        <v>2.32</v>
      </c>
      <c r="O2168" s="241" t="n">
        <v>-0.9399999999999999</v>
      </c>
      <c r="P2168" s="241" t="n">
        <v>1.69</v>
      </c>
    </row>
    <row r="2169">
      <c r="A2169" s="282" t="inlineStr">
        <is>
          <t>2014-12-05</t>
        </is>
      </c>
      <c r="B2169" s="240">
        <f>IFERROR(1/P2169-1,B2168)</f>
        <v/>
      </c>
      <c r="C2169" s="240">
        <f>$C$3</f>
        <v/>
      </c>
      <c r="D2169" s="240">
        <f>$D$3</f>
        <v/>
      </c>
      <c r="E2169" s="240">
        <f>$E$3</f>
        <v/>
      </c>
      <c r="F2169" s="241" t="n">
        <v>18.2</v>
      </c>
      <c r="G2169" s="242" t="n">
        <v>90427948</v>
      </c>
      <c r="H2169" s="241" t="n">
        <v>3.12</v>
      </c>
      <c r="I2169" s="241" t="n">
        <v>19.11</v>
      </c>
      <c r="J2169" s="241" t="n">
        <v>47.02</v>
      </c>
      <c r="K2169" s="241" t="n">
        <v>10.7</v>
      </c>
      <c r="L2169" s="242" t="n">
        <v>7196800</v>
      </c>
      <c r="M2169" s="241" t="n">
        <v>2.27</v>
      </c>
      <c r="N2169" s="241" t="n">
        <v>2.11</v>
      </c>
      <c r="O2169" s="241" t="n">
        <v>1.31</v>
      </c>
      <c r="P2169" s="241" t="n">
        <v>1.7</v>
      </c>
    </row>
    <row r="2170">
      <c r="A2170" s="282" t="inlineStr">
        <is>
          <t>2014-12-08</t>
        </is>
      </c>
      <c r="B2170" s="240">
        <f>IFERROR(1/P2170-1,B2169)</f>
        <v/>
      </c>
      <c r="C2170" s="240">
        <f>$C$3</f>
        <v/>
      </c>
      <c r="D2170" s="240">
        <f>$D$3</f>
        <v/>
      </c>
      <c r="E2170" s="240">
        <f>$E$3</f>
        <v/>
      </c>
      <c r="F2170" s="241" t="n">
        <v>18.84</v>
      </c>
      <c r="G2170" s="242" t="n">
        <v>78168590</v>
      </c>
      <c r="H2170" s="241" t="n">
        <v>3.52</v>
      </c>
      <c r="I2170" s="241" t="n">
        <v>17.46</v>
      </c>
      <c r="J2170" s="241" t="n">
        <v>52.19</v>
      </c>
      <c r="K2170" s="241" t="n">
        <v>10.78</v>
      </c>
      <c r="L2170" s="242" t="n">
        <v>4043600</v>
      </c>
      <c r="M2170" s="241" t="n">
        <v>0.89</v>
      </c>
      <c r="N2170" s="241" t="n">
        <v>1.49</v>
      </c>
      <c r="O2170" s="241" t="n">
        <v>2.21</v>
      </c>
      <c r="P2170" s="241" t="n">
        <v>1.75</v>
      </c>
    </row>
    <row r="2171">
      <c r="A2171" s="282" t="inlineStr">
        <is>
          <t>2014-12-09</t>
        </is>
      </c>
      <c r="B2171" s="240">
        <f>IFERROR(1/P2171-1,B2170)</f>
        <v/>
      </c>
      <c r="C2171" s="240">
        <f>$C$3</f>
        <v/>
      </c>
      <c r="D2171" s="240">
        <f>$D$3</f>
        <v/>
      </c>
      <c r="E2171" s="240">
        <f>$E$3</f>
        <v/>
      </c>
      <c r="F2171" s="241" t="n">
        <v>17.37</v>
      </c>
      <c r="G2171" s="242" t="n">
        <v>75309610</v>
      </c>
      <c r="H2171" s="241" t="n">
        <v>-7.8</v>
      </c>
      <c r="I2171" s="241" t="n">
        <v>8.289999999999999</v>
      </c>
      <c r="J2171" s="241" t="n">
        <v>40.31</v>
      </c>
      <c r="K2171" s="241" t="n">
        <v>10.11</v>
      </c>
      <c r="L2171" s="242" t="n">
        <v>7043400</v>
      </c>
      <c r="M2171" s="241" t="n">
        <v>-6.16</v>
      </c>
      <c r="N2171" s="241" t="n">
        <v>-4.76</v>
      </c>
      <c r="O2171" s="241" t="n">
        <v>-4.09</v>
      </c>
      <c r="P2171" s="241" t="n">
        <v>1.72</v>
      </c>
    </row>
    <row r="2172">
      <c r="A2172" s="282" t="inlineStr">
        <is>
          <t>2014-12-10</t>
        </is>
      </c>
      <c r="B2172" s="240">
        <f>IFERROR(1/P2172-1,B2171)</f>
        <v/>
      </c>
      <c r="C2172" s="240">
        <f>$C$3</f>
        <v/>
      </c>
      <c r="D2172" s="240">
        <f>$D$3</f>
        <v/>
      </c>
      <c r="E2172" s="240">
        <f>$E$3</f>
        <v/>
      </c>
      <c r="F2172" s="241" t="n">
        <v>17.83</v>
      </c>
      <c r="G2172" s="242" t="n">
        <v>38710014</v>
      </c>
      <c r="H2172" s="241" t="n">
        <v>2.65</v>
      </c>
      <c r="I2172" s="241" t="n">
        <v>11.16</v>
      </c>
      <c r="J2172" s="241" t="n">
        <v>44.03</v>
      </c>
      <c r="K2172" s="241" t="n">
        <v>10.18</v>
      </c>
      <c r="L2172" s="242" t="n">
        <v>2959600</v>
      </c>
      <c r="M2172" s="241" t="n">
        <v>0.78</v>
      </c>
      <c r="N2172" s="241" t="n">
        <v>-4.02</v>
      </c>
      <c r="O2172" s="241" t="n">
        <v>-3.34</v>
      </c>
      <c r="P2172" s="241" t="n">
        <v>1.75</v>
      </c>
    </row>
    <row r="2173">
      <c r="A2173" s="282" t="inlineStr">
        <is>
          <t>2014-12-11</t>
        </is>
      </c>
      <c r="B2173" s="240">
        <f>IFERROR(1/P2173-1,B2172)</f>
        <v/>
      </c>
      <c r="C2173" s="240">
        <f>$C$3</f>
        <v/>
      </c>
      <c r="D2173" s="240">
        <f>$D$3</f>
        <v/>
      </c>
      <c r="E2173" s="240">
        <f>$E$3</f>
        <v/>
      </c>
      <c r="F2173" s="241" t="n">
        <v>17.59</v>
      </c>
      <c r="G2173" s="242" t="n">
        <v>29229756</v>
      </c>
      <c r="H2173" s="241" t="n">
        <v>-1.35</v>
      </c>
      <c r="I2173" s="241" t="n">
        <v>1.79</v>
      </c>
      <c r="J2173" s="241" t="n">
        <v>42.09</v>
      </c>
      <c r="K2173" s="241" t="n">
        <v>10.18</v>
      </c>
      <c r="L2173" s="242" t="n">
        <v>2255000</v>
      </c>
      <c r="M2173" s="241" t="n">
        <v>0</v>
      </c>
      <c r="N2173" s="241" t="n">
        <v>-11.89</v>
      </c>
      <c r="O2173" s="241" t="n">
        <v>-3.34</v>
      </c>
      <c r="P2173" s="241" t="n">
        <v>1.73</v>
      </c>
    </row>
    <row r="2174">
      <c r="A2174" s="282" t="inlineStr">
        <is>
          <t>2014-12-12</t>
        </is>
      </c>
      <c r="B2174" s="240">
        <f>IFERROR(1/P2174-1,B2173)</f>
        <v/>
      </c>
      <c r="C2174" s="240">
        <f>$C$3</f>
        <v/>
      </c>
      <c r="D2174" s="240">
        <f>$D$3</f>
        <v/>
      </c>
      <c r="E2174" s="240">
        <f>$E$3</f>
        <v/>
      </c>
      <c r="F2174" s="241" t="n">
        <v>17.97</v>
      </c>
      <c r="G2174" s="242" t="n">
        <v>28673213</v>
      </c>
      <c r="H2174" s="241" t="n">
        <v>2.16</v>
      </c>
      <c r="I2174" s="241" t="n">
        <v>8.119999999999999</v>
      </c>
      <c r="J2174" s="241" t="n">
        <v>45.16</v>
      </c>
      <c r="K2174" s="241" t="n">
        <v>10.23</v>
      </c>
      <c r="L2174" s="242" t="n">
        <v>2380600</v>
      </c>
      <c r="M2174" s="241" t="n">
        <v>0.47</v>
      </c>
      <c r="N2174" s="241" t="n">
        <v>-8.859999999999999</v>
      </c>
      <c r="O2174" s="241" t="n">
        <v>-2.89</v>
      </c>
      <c r="P2174" s="241" t="n">
        <v>1.76</v>
      </c>
    </row>
    <row r="2175">
      <c r="A2175" s="282" t="inlineStr">
        <is>
          <t>2014-12-15</t>
        </is>
      </c>
      <c r="B2175" s="240">
        <f>IFERROR(1/P2175-1,B2174)</f>
        <v/>
      </c>
      <c r="C2175" s="240">
        <f>$C$3</f>
        <v/>
      </c>
      <c r="D2175" s="240">
        <f>$D$3</f>
        <v/>
      </c>
      <c r="E2175" s="240">
        <f>$E$3</f>
        <v/>
      </c>
      <c r="F2175" s="241" t="n">
        <v>18.58</v>
      </c>
      <c r="G2175" s="242" t="n">
        <v>33140865</v>
      </c>
      <c r="H2175" s="241" t="n">
        <v>3.39</v>
      </c>
      <c r="I2175" s="241" t="n">
        <v>17.97</v>
      </c>
      <c r="J2175" s="241" t="n">
        <v>50.09</v>
      </c>
      <c r="K2175" s="241" t="n">
        <v>10.46</v>
      </c>
      <c r="L2175" s="242" t="n">
        <v>2161400</v>
      </c>
      <c r="M2175" s="241" t="n">
        <v>2.31</v>
      </c>
      <c r="N2175" s="241" t="n">
        <v>-9.550000000000001</v>
      </c>
      <c r="O2175" s="241" t="n">
        <v>-0.64</v>
      </c>
      <c r="P2175" s="241" t="n">
        <v>1.78</v>
      </c>
    </row>
    <row r="2176">
      <c r="A2176" s="282" t="inlineStr">
        <is>
          <t>2014-12-16</t>
        </is>
      </c>
      <c r="B2176" s="240">
        <f>IFERROR(1/P2176-1,B2175)</f>
        <v/>
      </c>
      <c r="C2176" s="240">
        <f>$C$3</f>
        <v/>
      </c>
      <c r="D2176" s="240">
        <f>$D$3</f>
        <v/>
      </c>
      <c r="E2176" s="240">
        <f>$E$3</f>
        <v/>
      </c>
      <c r="F2176" s="241" t="n">
        <v>18.46</v>
      </c>
      <c r="G2176" s="242" t="n">
        <v>32954045</v>
      </c>
      <c r="H2176" s="241" t="n">
        <v>-0.65</v>
      </c>
      <c r="I2176" s="241" t="n">
        <v>17.21</v>
      </c>
      <c r="J2176" s="241" t="n">
        <v>49.12</v>
      </c>
      <c r="K2176" s="241" t="n">
        <v>10.18</v>
      </c>
      <c r="L2176" s="242" t="n">
        <v>4305247</v>
      </c>
      <c r="M2176" s="241" t="n">
        <v>-2.71</v>
      </c>
      <c r="N2176" s="241" t="n">
        <v>-12.01</v>
      </c>
      <c r="O2176" s="241" t="n">
        <v>-3.34</v>
      </c>
      <c r="P2176" s="241" t="n">
        <v>1.81</v>
      </c>
    </row>
    <row r="2177">
      <c r="A2177" s="282" t="inlineStr">
        <is>
          <t>2014-12-17</t>
        </is>
      </c>
      <c r="B2177" s="240">
        <f>IFERROR(1/P2177-1,B2176)</f>
        <v/>
      </c>
      <c r="C2177" s="240">
        <f>$C$3</f>
        <v/>
      </c>
      <c r="D2177" s="240">
        <f>$D$3</f>
        <v/>
      </c>
      <c r="E2177" s="240">
        <f>$E$3</f>
        <v/>
      </c>
      <c r="F2177" s="241" t="n">
        <v>17.99</v>
      </c>
      <c r="G2177" s="242" t="n">
        <v>35698216</v>
      </c>
      <c r="H2177" s="241" t="n">
        <v>-2.55</v>
      </c>
      <c r="I2177" s="241" t="n">
        <v>14.22</v>
      </c>
      <c r="J2177" s="241" t="n">
        <v>45.32</v>
      </c>
      <c r="K2177" s="241" t="n">
        <v>10.12</v>
      </c>
      <c r="L2177" s="242" t="n">
        <v>2210274</v>
      </c>
      <c r="M2177" s="241" t="n">
        <v>-0.47</v>
      </c>
      <c r="N2177" s="241" t="n">
        <v>-12.41</v>
      </c>
      <c r="O2177" s="241" t="n">
        <v>-3.79</v>
      </c>
      <c r="P2177" s="241" t="n">
        <v>1.78</v>
      </c>
    </row>
    <row r="2178">
      <c r="A2178" s="282" t="inlineStr">
        <is>
          <t>2014-12-18</t>
        </is>
      </c>
      <c r="B2178" s="240">
        <f>IFERROR(1/P2178-1,B2177)</f>
        <v/>
      </c>
      <c r="C2178" s="240">
        <f>$C$3</f>
        <v/>
      </c>
      <c r="D2178" s="240">
        <f>$D$3</f>
        <v/>
      </c>
      <c r="E2178" s="240">
        <f>$E$3</f>
        <v/>
      </c>
      <c r="F2178" s="241" t="n">
        <v>19.79</v>
      </c>
      <c r="G2178" s="242" t="n">
        <v>64075180</v>
      </c>
      <c r="H2178" s="241" t="n">
        <v>10.01</v>
      </c>
      <c r="I2178" s="241" t="n">
        <v>22.61</v>
      </c>
      <c r="J2178" s="241" t="n">
        <v>59.86</v>
      </c>
      <c r="K2178" s="241" t="n">
        <v>10.53</v>
      </c>
      <c r="L2178" s="242" t="n">
        <v>4075323</v>
      </c>
      <c r="M2178" s="241" t="n">
        <v>3.89</v>
      </c>
      <c r="N2178" s="241" t="n">
        <v>-6.19</v>
      </c>
      <c r="O2178" s="241" t="n">
        <v>-0.04</v>
      </c>
      <c r="P2178" s="241" t="n">
        <v>1.88</v>
      </c>
    </row>
    <row r="2179">
      <c r="A2179" s="282" t="inlineStr">
        <is>
          <t>2014-12-19</t>
        </is>
      </c>
      <c r="B2179" s="240">
        <f>IFERROR(1/P2179-1,B2178)</f>
        <v/>
      </c>
      <c r="C2179" s="240">
        <f>$C$3</f>
        <v/>
      </c>
      <c r="D2179" s="240">
        <f>$D$3</f>
        <v/>
      </c>
      <c r="E2179" s="240">
        <f>$E$3</f>
        <v/>
      </c>
      <c r="F2179" s="241" t="n">
        <v>20.09</v>
      </c>
      <c r="G2179" s="242" t="n">
        <v>101823867</v>
      </c>
      <c r="H2179" s="241" t="n">
        <v>1.52</v>
      </c>
      <c r="I2179" s="241" t="n">
        <v>20.44</v>
      </c>
      <c r="J2179" s="241" t="n">
        <v>62.29</v>
      </c>
      <c r="K2179" s="241" t="n">
        <v>10.64</v>
      </c>
      <c r="L2179" s="242" t="n">
        <v>6086605</v>
      </c>
      <c r="M2179" s="241" t="n">
        <v>1.05</v>
      </c>
      <c r="N2179" s="241" t="n">
        <v>-4.13</v>
      </c>
      <c r="O2179" s="241" t="n">
        <v>1.01</v>
      </c>
      <c r="P2179" s="241" t="n">
        <v>1.89</v>
      </c>
    </row>
    <row r="2180">
      <c r="A2180" s="282" t="inlineStr">
        <is>
          <t>2014-12-22</t>
        </is>
      </c>
      <c r="B2180" s="240">
        <f>IFERROR(1/P2180-1,B2179)</f>
        <v/>
      </c>
      <c r="C2180" s="240">
        <f>$C$3</f>
        <v/>
      </c>
      <c r="D2180" s="240">
        <f>$D$3</f>
        <v/>
      </c>
      <c r="E2180" s="240">
        <f>$E$3</f>
        <v/>
      </c>
      <c r="F2180" s="241" t="n">
        <v>19.64</v>
      </c>
      <c r="G2180" s="242" t="n">
        <v>65107882</v>
      </c>
      <c r="H2180" s="241" t="n">
        <v>-2.24</v>
      </c>
      <c r="I2180" s="241" t="n">
        <v>19.9</v>
      </c>
      <c r="J2180" s="241" t="n">
        <v>58.65</v>
      </c>
      <c r="K2180" s="241" t="n">
        <v>10.52</v>
      </c>
      <c r="L2180" s="242" t="n">
        <v>3119900</v>
      </c>
      <c r="M2180" s="241" t="n">
        <v>-1.19</v>
      </c>
      <c r="N2180" s="241" t="n">
        <v>-6.2</v>
      </c>
      <c r="O2180" s="241" t="n">
        <v>-0.19</v>
      </c>
      <c r="P2180" s="241" t="n">
        <v>1.87</v>
      </c>
    </row>
    <row r="2181">
      <c r="A2181" s="282" t="inlineStr">
        <is>
          <t>2014-12-23</t>
        </is>
      </c>
      <c r="B2181" s="240">
        <f>IFERROR(1/P2181-1,B2180)</f>
        <v/>
      </c>
      <c r="C2181" s="240">
        <f>$C$3</f>
        <v/>
      </c>
      <c r="D2181" s="240">
        <f>$D$3</f>
        <v/>
      </c>
      <c r="E2181" s="240">
        <f>$E$3</f>
        <v/>
      </c>
      <c r="F2181" s="241" t="n">
        <v>18.51</v>
      </c>
      <c r="G2181" s="242" t="n">
        <v>41601636</v>
      </c>
      <c r="H2181" s="241" t="n">
        <v>-5.75</v>
      </c>
      <c r="I2181" s="241" t="n">
        <v>13</v>
      </c>
      <c r="J2181" s="241" t="n">
        <v>49.52</v>
      </c>
      <c r="K2181" s="241" t="n">
        <v>10.45</v>
      </c>
      <c r="L2181" s="242" t="n">
        <v>1781600</v>
      </c>
      <c r="M2181" s="241" t="n">
        <v>-0.6</v>
      </c>
      <c r="N2181" s="241" t="n">
        <v>-6.76</v>
      </c>
      <c r="O2181" s="241" t="n">
        <v>-0.79</v>
      </c>
      <c r="P2181" s="241" t="n">
        <v>1.77</v>
      </c>
    </row>
    <row r="2182">
      <c r="A2182" s="282" t="inlineStr">
        <is>
          <t>2014-12-24</t>
        </is>
      </c>
      <c r="B2182" s="240">
        <f>IFERROR(1/P2182-1,B2181)</f>
        <v/>
      </c>
      <c r="C2182" s="240">
        <f>$C$3</f>
        <v/>
      </c>
      <c r="D2182" s="240">
        <f>$D$3</f>
        <v/>
      </c>
      <c r="E2182" s="240">
        <f>$E$3</f>
        <v/>
      </c>
      <c r="F2182" s="241" t="n">
        <v>18.76</v>
      </c>
      <c r="G2182" s="242" t="n">
        <v>28435776</v>
      </c>
      <c r="H2182" s="241" t="n">
        <v>1.35</v>
      </c>
      <c r="I2182" s="241" t="n">
        <v>14.53</v>
      </c>
      <c r="J2182" s="241" t="n">
        <v>51.54</v>
      </c>
      <c r="K2182" s="241" t="n">
        <v>10.39</v>
      </c>
      <c r="L2182" s="242" t="n">
        <v>800200</v>
      </c>
      <c r="M2182" s="241" t="n">
        <v>-0.6</v>
      </c>
      <c r="N2182" s="241" t="n">
        <v>-7.32</v>
      </c>
      <c r="O2182" s="241" t="n">
        <v>-1.39</v>
      </c>
      <c r="P2182" s="241" t="n">
        <v>1.81</v>
      </c>
    </row>
    <row r="2183">
      <c r="A2183" s="282" t="inlineStr">
        <is>
          <t>2014-12-25</t>
        </is>
      </c>
      <c r="B2183" s="240">
        <f>IFERROR(1/P2183-1,B2182)</f>
        <v/>
      </c>
      <c r="C2183" s="240">
        <f>$C$3</f>
        <v/>
      </c>
      <c r="D2183" s="240">
        <f>$D$3</f>
        <v/>
      </c>
      <c r="E2183" s="240">
        <f>$E$3</f>
        <v/>
      </c>
      <c r="F2183" s="241" t="n">
        <v>19.55</v>
      </c>
      <c r="G2183" s="242" t="n">
        <v>35021273</v>
      </c>
      <c r="H2183" s="241" t="n">
        <v>4.21</v>
      </c>
      <c r="I2183" s="241" t="n">
        <v>18.2</v>
      </c>
      <c r="J2183" s="241" t="n">
        <v>57.92</v>
      </c>
      <c r="K2183" s="239" t="inlineStr">
        <is>
          <t>--</t>
        </is>
      </c>
      <c r="L2183" s="239" t="inlineStr">
        <is>
          <t>--</t>
        </is>
      </c>
      <c r="M2183" s="239" t="inlineStr">
        <is>
          <t>--</t>
        </is>
      </c>
      <c r="N2183" s="239" t="inlineStr">
        <is>
          <t>--</t>
        </is>
      </c>
      <c r="O2183" s="239" t="inlineStr">
        <is>
          <t>--</t>
        </is>
      </c>
      <c r="P2183" s="239" t="inlineStr">
        <is>
          <t>--</t>
        </is>
      </c>
    </row>
    <row r="2184">
      <c r="A2184" s="282" t="inlineStr">
        <is>
          <t>2014-12-26</t>
        </is>
      </c>
      <c r="B2184" s="240">
        <f>IFERROR(1/P2184-1,B2183)</f>
        <v/>
      </c>
      <c r="C2184" s="240">
        <f>$C$3</f>
        <v/>
      </c>
      <c r="D2184" s="240">
        <f>$D$3</f>
        <v/>
      </c>
      <c r="E2184" s="240">
        <f>$E$3</f>
        <v/>
      </c>
      <c r="F2184" s="241" t="n">
        <v>19.58</v>
      </c>
      <c r="G2184" s="242" t="n">
        <v>34940395</v>
      </c>
      <c r="H2184" s="241" t="n">
        <v>0.15</v>
      </c>
      <c r="I2184" s="241" t="n">
        <v>16.13</v>
      </c>
      <c r="J2184" s="241" t="n">
        <v>58.17</v>
      </c>
      <c r="K2184" s="239" t="inlineStr">
        <is>
          <t>--</t>
        </is>
      </c>
      <c r="L2184" s="239" t="inlineStr">
        <is>
          <t>--</t>
        </is>
      </c>
      <c r="M2184" s="239" t="inlineStr">
        <is>
          <t>--</t>
        </is>
      </c>
      <c r="N2184" s="239" t="inlineStr">
        <is>
          <t>--</t>
        </is>
      </c>
      <c r="O2184" s="239" t="inlineStr">
        <is>
          <t>--</t>
        </is>
      </c>
      <c r="P2184" s="239" t="inlineStr">
        <is>
          <t>--</t>
        </is>
      </c>
    </row>
    <row r="2185">
      <c r="A2185" s="282" t="inlineStr">
        <is>
          <t>2014-12-29</t>
        </is>
      </c>
      <c r="B2185" s="240">
        <f>IFERROR(1/P2185-1,B2184)</f>
        <v/>
      </c>
      <c r="C2185" s="240">
        <f>$C$3</f>
        <v/>
      </c>
      <c r="D2185" s="240">
        <f>$D$3</f>
        <v/>
      </c>
      <c r="E2185" s="240">
        <f>$E$3</f>
        <v/>
      </c>
      <c r="F2185" s="241" t="n">
        <v>19.9</v>
      </c>
      <c r="G2185" s="242" t="n">
        <v>42220723</v>
      </c>
      <c r="H2185" s="241" t="n">
        <v>1.63</v>
      </c>
      <c r="I2185" s="241" t="n">
        <v>21.94</v>
      </c>
      <c r="J2185" s="241" t="n">
        <v>60.75</v>
      </c>
      <c r="K2185" s="241" t="n">
        <v>10.65</v>
      </c>
      <c r="L2185" s="242" t="n">
        <v>1240200</v>
      </c>
      <c r="M2185" s="241" t="n">
        <v>2.58</v>
      </c>
      <c r="N2185" s="241" t="n">
        <v>-3.85</v>
      </c>
      <c r="O2185" s="241" t="n">
        <v>1.16</v>
      </c>
      <c r="P2185" s="241" t="n">
        <v>1.87</v>
      </c>
    </row>
    <row r="2186">
      <c r="A2186" s="282" t="inlineStr">
        <is>
          <t>2014-12-30</t>
        </is>
      </c>
      <c r="B2186" s="240">
        <f>IFERROR(1/P2186-1,B2185)</f>
        <v/>
      </c>
      <c r="C2186" s="240">
        <f>$C$3</f>
        <v/>
      </c>
      <c r="D2186" s="240">
        <f>$D$3</f>
        <v/>
      </c>
      <c r="E2186" s="240">
        <f>$E$3</f>
        <v/>
      </c>
      <c r="F2186" s="241" t="n">
        <v>19.23</v>
      </c>
      <c r="G2186" s="242" t="n">
        <v>30624475</v>
      </c>
      <c r="H2186" s="241" t="n">
        <v>-3.37</v>
      </c>
      <c r="I2186" s="241" t="n">
        <v>17.83</v>
      </c>
      <c r="J2186" s="241" t="n">
        <v>55.34</v>
      </c>
      <c r="K2186" s="241" t="n">
        <v>10.5</v>
      </c>
      <c r="L2186" s="242" t="n">
        <v>903400</v>
      </c>
      <c r="M2186" s="241" t="n">
        <v>-1.48</v>
      </c>
      <c r="N2186" s="241" t="n">
        <v>-5.27</v>
      </c>
      <c r="O2186" s="241" t="n">
        <v>-0.34</v>
      </c>
      <c r="P2186" s="241" t="n">
        <v>1.83</v>
      </c>
    </row>
    <row r="2187">
      <c r="A2187" s="282" t="inlineStr">
        <is>
          <t>2014-12-31</t>
        </is>
      </c>
      <c r="B2187" s="240">
        <f>IFERROR(1/P2187-1,B2186)</f>
        <v/>
      </c>
      <c r="C2187" s="240">
        <f>$C$3</f>
        <v/>
      </c>
      <c r="D2187" s="240">
        <f>$D$3</f>
        <v/>
      </c>
      <c r="E2187" s="240">
        <f>$E$3</f>
        <v/>
      </c>
      <c r="F2187" s="241" t="n">
        <v>20.64</v>
      </c>
      <c r="G2187" s="242" t="n">
        <v>66001236</v>
      </c>
      <c r="H2187" s="241" t="n">
        <v>7.33</v>
      </c>
      <c r="I2187" s="241" t="n">
        <v>26.47</v>
      </c>
      <c r="J2187" s="241" t="n">
        <v>66.73</v>
      </c>
      <c r="K2187" s="241" t="n">
        <v>11.25</v>
      </c>
      <c r="L2187" s="242" t="n">
        <v>5606200</v>
      </c>
      <c r="M2187" s="241" t="n">
        <v>7.22</v>
      </c>
      <c r="N2187" s="241" t="n">
        <v>1.57</v>
      </c>
      <c r="O2187" s="241" t="n">
        <v>6.85</v>
      </c>
      <c r="P2187" s="241" t="n">
        <v>1.83</v>
      </c>
    </row>
    <row r="2188">
      <c r="A2188" s="282" t="inlineStr">
        <is>
          <t>2015-01-05</t>
        </is>
      </c>
      <c r="B2188" s="240">
        <f>IFERROR(1/P2188-1,B2187)</f>
        <v/>
      </c>
      <c r="C2188" s="240">
        <f>$C$3</f>
        <v/>
      </c>
      <c r="D2188" s="240">
        <f>$D$3</f>
        <v/>
      </c>
      <c r="E2188" s="240">
        <f>$E$3</f>
        <v/>
      </c>
      <c r="F2188" s="241" t="n">
        <v>20.88</v>
      </c>
      <c r="G2188" s="242" t="n">
        <v>62020028</v>
      </c>
      <c r="H2188" s="241" t="n">
        <v>1.16</v>
      </c>
      <c r="I2188" s="241" t="n">
        <v>18.3</v>
      </c>
      <c r="J2188" s="241" t="n">
        <v>1.16</v>
      </c>
      <c r="K2188" s="241" t="n">
        <v>11.39</v>
      </c>
      <c r="L2188" s="242" t="n">
        <v>3917000</v>
      </c>
      <c r="M2188" s="241" t="n">
        <v>1.41</v>
      </c>
      <c r="N2188" s="241" t="n">
        <v>9.08</v>
      </c>
      <c r="O2188" s="241" t="n">
        <v>1.12</v>
      </c>
      <c r="P2188" s="241" t="n">
        <v>1.83</v>
      </c>
    </row>
    <row r="2189">
      <c r="A2189" s="282" t="inlineStr">
        <is>
          <t>2015-01-06</t>
        </is>
      </c>
      <c r="B2189" s="240">
        <f>IFERROR(1/P2189-1,B2188)</f>
        <v/>
      </c>
      <c r="C2189" s="240">
        <f>$C$3</f>
        <v/>
      </c>
      <c r="D2189" s="240">
        <f>$D$3</f>
        <v/>
      </c>
      <c r="E2189" s="240">
        <f>$E$3</f>
        <v/>
      </c>
      <c r="F2189" s="241" t="n">
        <v>21.08</v>
      </c>
      <c r="G2189" s="242" t="n">
        <v>59258237</v>
      </c>
      <c r="H2189" s="241" t="n">
        <v>0.96</v>
      </c>
      <c r="I2189" s="241" t="n">
        <v>15.82</v>
      </c>
      <c r="J2189" s="241" t="n">
        <v>2.13</v>
      </c>
      <c r="K2189" s="241" t="n">
        <v>11.71</v>
      </c>
      <c r="L2189" s="242" t="n">
        <v>7035023</v>
      </c>
      <c r="M2189" s="241" t="n">
        <v>2.77</v>
      </c>
      <c r="N2189" s="241" t="n">
        <v>9.619999999999999</v>
      </c>
      <c r="O2189" s="241" t="n">
        <v>3.93</v>
      </c>
      <c r="P2189" s="241" t="n">
        <v>1.8</v>
      </c>
    </row>
    <row r="2190">
      <c r="A2190" s="282" t="inlineStr">
        <is>
          <t>2015-01-07</t>
        </is>
      </c>
      <c r="B2190" s="240">
        <f>IFERROR(1/P2190-1,B2189)</f>
        <v/>
      </c>
      <c r="C2190" s="240">
        <f>$C$3</f>
        <v/>
      </c>
      <c r="D2190" s="240">
        <f>$D$3</f>
        <v/>
      </c>
      <c r="E2190" s="240">
        <f>$E$3</f>
        <v/>
      </c>
      <c r="F2190" s="241" t="n">
        <v>23.19</v>
      </c>
      <c r="G2190" s="242" t="n">
        <v>110326727</v>
      </c>
      <c r="H2190" s="241" t="n">
        <v>10.01</v>
      </c>
      <c r="I2190" s="241" t="n">
        <v>27.42</v>
      </c>
      <c r="J2190" s="241" t="n">
        <v>12.35</v>
      </c>
      <c r="K2190" s="241" t="n">
        <v>12.1</v>
      </c>
      <c r="L2190" s="242" t="n">
        <v>14008200</v>
      </c>
      <c r="M2190" s="241" t="n">
        <v>3.37</v>
      </c>
      <c r="N2190" s="241" t="n">
        <v>13.31</v>
      </c>
      <c r="O2190" s="241" t="n">
        <v>7.43</v>
      </c>
      <c r="P2190" s="241" t="n">
        <v>1.92</v>
      </c>
    </row>
    <row r="2191">
      <c r="A2191" s="282" t="inlineStr">
        <is>
          <t>2015-01-08</t>
        </is>
      </c>
      <c r="B2191" s="240">
        <f>IFERROR(1/P2191-1,B2190)</f>
        <v/>
      </c>
      <c r="C2191" s="240">
        <f>$C$3</f>
        <v/>
      </c>
      <c r="D2191" s="240">
        <f>$D$3</f>
        <v/>
      </c>
      <c r="E2191" s="240">
        <f>$E$3</f>
        <v/>
      </c>
      <c r="F2191" s="241" t="n">
        <v>22.97</v>
      </c>
      <c r="G2191" s="242" t="n">
        <v>124169023</v>
      </c>
      <c r="H2191" s="241" t="n">
        <v>-0.95</v>
      </c>
      <c r="I2191" s="241" t="n">
        <v>26.21</v>
      </c>
      <c r="J2191" s="241" t="n">
        <v>11.29</v>
      </c>
      <c r="K2191" s="241" t="n">
        <v>12.1</v>
      </c>
      <c r="L2191" s="242" t="n">
        <v>11623400</v>
      </c>
      <c r="M2191" s="241" t="n">
        <v>-0.13</v>
      </c>
      <c r="N2191" s="241" t="n">
        <v>13.17</v>
      </c>
      <c r="O2191" s="241" t="n">
        <v>7.29</v>
      </c>
      <c r="P2191" s="241" t="n">
        <v>1.9</v>
      </c>
    </row>
    <row r="2192">
      <c r="A2192" s="282" t="inlineStr">
        <is>
          <t>2015-01-09</t>
        </is>
      </c>
      <c r="B2192" s="240">
        <f>IFERROR(1/P2192-1,B2191)</f>
        <v/>
      </c>
      <c r="C2192" s="240">
        <f>$C$3</f>
        <v/>
      </c>
      <c r="D2192" s="240">
        <f>$D$3</f>
        <v/>
      </c>
      <c r="E2192" s="240">
        <f>$E$3</f>
        <v/>
      </c>
      <c r="F2192" s="241" t="n">
        <v>22</v>
      </c>
      <c r="G2192" s="242" t="n">
        <v>66673418</v>
      </c>
      <c r="H2192" s="241" t="n">
        <v>-4.22</v>
      </c>
      <c r="I2192" s="241" t="n">
        <v>16.77</v>
      </c>
      <c r="J2192" s="241" t="n">
        <v>6.59</v>
      </c>
      <c r="K2192" s="241" t="n">
        <v>11.71</v>
      </c>
      <c r="L2192" s="242" t="n">
        <v>8648000</v>
      </c>
      <c r="M2192" s="241" t="n">
        <v>-3.14</v>
      </c>
      <c r="N2192" s="241" t="n">
        <v>8.65</v>
      </c>
      <c r="O2192" s="241" t="n">
        <v>3.93</v>
      </c>
      <c r="P2192" s="241" t="n">
        <v>1.88</v>
      </c>
    </row>
    <row r="2193">
      <c r="A2193" s="282" t="inlineStr">
        <is>
          <t>2015-01-12</t>
        </is>
      </c>
      <c r="B2193" s="240">
        <f>IFERROR(1/P2193-1,B2192)</f>
        <v/>
      </c>
      <c r="C2193" s="240">
        <f>$C$3</f>
        <v/>
      </c>
      <c r="D2193" s="240">
        <f>$D$3</f>
        <v/>
      </c>
      <c r="E2193" s="240">
        <f>$E$3</f>
        <v/>
      </c>
      <c r="F2193" s="241" t="n">
        <v>21.49</v>
      </c>
      <c r="G2193" s="242" t="n">
        <v>36784976</v>
      </c>
      <c r="H2193" s="241" t="n">
        <v>-2.32</v>
      </c>
      <c r="I2193" s="241" t="n">
        <v>22.17</v>
      </c>
      <c r="J2193" s="241" t="n">
        <v>4.12</v>
      </c>
      <c r="K2193" s="241" t="n">
        <v>11.55</v>
      </c>
      <c r="L2193" s="242" t="n">
        <v>2488000</v>
      </c>
      <c r="M2193" s="241" t="n">
        <v>-1.35</v>
      </c>
      <c r="N2193" s="241" t="n">
        <v>13.33</v>
      </c>
      <c r="O2193" s="241" t="n">
        <v>2.52</v>
      </c>
      <c r="P2193" s="241" t="n">
        <v>1.86</v>
      </c>
    </row>
    <row r="2194">
      <c r="A2194" s="282" t="inlineStr">
        <is>
          <t>2015-01-13</t>
        </is>
      </c>
      <c r="B2194" s="240">
        <f>IFERROR(1/P2194-1,B2193)</f>
        <v/>
      </c>
      <c r="C2194" s="240">
        <f>$C$3</f>
        <v/>
      </c>
      <c r="D2194" s="240">
        <f>$D$3</f>
        <v/>
      </c>
      <c r="E2194" s="240">
        <f>$E$3</f>
        <v/>
      </c>
      <c r="F2194" s="241" t="n">
        <v>22.31</v>
      </c>
      <c r="G2194" s="242" t="n">
        <v>51450170</v>
      </c>
      <c r="H2194" s="241" t="n">
        <v>3.82</v>
      </c>
      <c r="I2194" s="241" t="n">
        <v>24.15</v>
      </c>
      <c r="J2194" s="241" t="n">
        <v>8.09</v>
      </c>
      <c r="K2194" s="241" t="n">
        <v>12.04</v>
      </c>
      <c r="L2194" s="242" t="n">
        <v>5996800</v>
      </c>
      <c r="M2194" s="241" t="n">
        <v>4.38</v>
      </c>
      <c r="N2194" s="241" t="n">
        <v>17.75</v>
      </c>
      <c r="O2194" s="241" t="n">
        <v>7.01</v>
      </c>
      <c r="P2194" s="241" t="n">
        <v>1.85</v>
      </c>
    </row>
    <row r="2195">
      <c r="A2195" s="282" t="inlineStr">
        <is>
          <t>2015-01-14</t>
        </is>
      </c>
      <c r="B2195" s="240">
        <f>IFERROR(1/P2195-1,B2194)</f>
        <v/>
      </c>
      <c r="C2195" s="240">
        <f>$C$3</f>
        <v/>
      </c>
      <c r="D2195" s="240">
        <f>$D$3</f>
        <v/>
      </c>
      <c r="E2195" s="240">
        <f>$E$3</f>
        <v/>
      </c>
      <c r="F2195" s="241" t="n">
        <v>22.08</v>
      </c>
      <c r="G2195" s="242" t="n">
        <v>43125403</v>
      </c>
      <c r="H2195" s="241" t="n">
        <v>-1.03</v>
      </c>
      <c r="I2195" s="241" t="n">
        <v>22.87</v>
      </c>
      <c r="J2195" s="241" t="n">
        <v>6.98</v>
      </c>
      <c r="K2195" s="241" t="n">
        <v>11.89</v>
      </c>
      <c r="L2195" s="242" t="n">
        <v>3648200</v>
      </c>
      <c r="M2195" s="241" t="n">
        <v>-1.31</v>
      </c>
      <c r="N2195" s="241" t="n">
        <v>16.2</v>
      </c>
      <c r="O2195" s="241" t="n">
        <v>5.61</v>
      </c>
      <c r="P2195" s="241" t="n">
        <v>1.86</v>
      </c>
    </row>
    <row r="2196">
      <c r="A2196" s="282" t="inlineStr">
        <is>
          <t>2015-01-15</t>
        </is>
      </c>
      <c r="B2196" s="240">
        <f>IFERROR(1/P2196-1,B2195)</f>
        <v/>
      </c>
      <c r="C2196" s="240">
        <f>$C$3</f>
        <v/>
      </c>
      <c r="D2196" s="240">
        <f>$D$3</f>
        <v/>
      </c>
      <c r="E2196" s="240">
        <f>$E$3</f>
        <v/>
      </c>
      <c r="F2196" s="241" t="n">
        <v>22.12</v>
      </c>
      <c r="G2196" s="242" t="n">
        <v>34107596</v>
      </c>
      <c r="H2196" s="241" t="n">
        <v>0.18</v>
      </c>
      <c r="I2196" s="241" t="n">
        <v>23.09</v>
      </c>
      <c r="J2196" s="241" t="n">
        <v>7.17</v>
      </c>
      <c r="K2196" s="241" t="n">
        <v>11.93</v>
      </c>
      <c r="L2196" s="242" t="n">
        <v>1805377</v>
      </c>
      <c r="M2196" s="241" t="n">
        <v>0.4</v>
      </c>
      <c r="N2196" s="241" t="n">
        <v>16.67</v>
      </c>
      <c r="O2196" s="241" t="n">
        <v>6.03</v>
      </c>
      <c r="P2196" s="241" t="n">
        <v>1.85</v>
      </c>
    </row>
    <row r="2197">
      <c r="A2197" s="282" t="inlineStr">
        <is>
          <t>2015-01-16</t>
        </is>
      </c>
      <c r="B2197" s="240">
        <f>IFERROR(1/P2197-1,B2196)</f>
        <v/>
      </c>
      <c r="C2197" s="240">
        <f>$C$3</f>
        <v/>
      </c>
      <c r="D2197" s="240">
        <f>$D$3</f>
        <v/>
      </c>
      <c r="E2197" s="240">
        <f>$E$3</f>
        <v/>
      </c>
      <c r="F2197" s="241" t="n">
        <v>22.47</v>
      </c>
      <c r="G2197" s="242" t="n">
        <v>82444774</v>
      </c>
      <c r="H2197" s="241" t="n">
        <v>1.58</v>
      </c>
      <c r="I2197" s="241" t="n">
        <v>20.94</v>
      </c>
      <c r="J2197" s="241" t="n">
        <v>8.869999999999999</v>
      </c>
      <c r="K2197" s="241" t="n">
        <v>12.14</v>
      </c>
      <c r="L2197" s="242" t="n">
        <v>6991400</v>
      </c>
      <c r="M2197" s="241" t="n">
        <v>1.72</v>
      </c>
      <c r="N2197" s="241" t="n">
        <v>15.99</v>
      </c>
      <c r="O2197" s="241" t="n">
        <v>7.85</v>
      </c>
      <c r="P2197" s="241" t="n">
        <v>1.85</v>
      </c>
    </row>
    <row r="2198">
      <c r="A2198" s="282" t="inlineStr">
        <is>
          <t>2015-01-19</t>
        </is>
      </c>
      <c r="B2198" s="240">
        <f>IFERROR(1/P2198-1,B2197)</f>
        <v/>
      </c>
      <c r="C2198" s="240">
        <f>$C$3</f>
        <v/>
      </c>
      <c r="D2198" s="240">
        <f>$D$3</f>
        <v/>
      </c>
      <c r="E2198" s="240">
        <f>$E$3</f>
        <v/>
      </c>
      <c r="F2198" s="241" t="n">
        <v>20.52</v>
      </c>
      <c r="G2198" s="242" t="n">
        <v>55951162</v>
      </c>
      <c r="H2198" s="241" t="n">
        <v>-8.68</v>
      </c>
      <c r="I2198" s="241" t="n">
        <v>3.69</v>
      </c>
      <c r="J2198" s="241" t="n">
        <v>-0.58</v>
      </c>
      <c r="K2198" s="241" t="n">
        <v>11.45</v>
      </c>
      <c r="L2198" s="242" t="n">
        <v>4904000</v>
      </c>
      <c r="M2198" s="241" t="n">
        <v>-5.72</v>
      </c>
      <c r="N2198" s="241" t="n">
        <v>8.699999999999999</v>
      </c>
      <c r="O2198" s="241" t="n">
        <v>1.68</v>
      </c>
      <c r="P2198" s="241" t="n">
        <v>1.79</v>
      </c>
    </row>
    <row r="2199">
      <c r="A2199" s="282" t="inlineStr">
        <is>
          <t>2015-01-20</t>
        </is>
      </c>
      <c r="B2199" s="240">
        <f>IFERROR(1/P2199-1,B2198)</f>
        <v/>
      </c>
      <c r="C2199" s="240">
        <f>$C$3</f>
        <v/>
      </c>
      <c r="D2199" s="240">
        <f>$D$3</f>
        <v/>
      </c>
      <c r="E2199" s="240">
        <f>$E$3</f>
        <v/>
      </c>
      <c r="F2199" s="241" t="n">
        <v>21.08</v>
      </c>
      <c r="G2199" s="242" t="n">
        <v>36102925</v>
      </c>
      <c r="H2199" s="241" t="n">
        <v>2.73</v>
      </c>
      <c r="I2199" s="241" t="n">
        <v>4.93</v>
      </c>
      <c r="J2199" s="241" t="n">
        <v>2.13</v>
      </c>
      <c r="K2199" s="241" t="n">
        <v>11.67</v>
      </c>
      <c r="L2199" s="242" t="n">
        <v>2572280</v>
      </c>
      <c r="M2199" s="241" t="n">
        <v>1.93</v>
      </c>
      <c r="N2199" s="241" t="n">
        <v>9.640000000000001</v>
      </c>
      <c r="O2199" s="241" t="n">
        <v>3.65</v>
      </c>
      <c r="P2199" s="241" t="n">
        <v>1.81</v>
      </c>
    </row>
    <row r="2200">
      <c r="A2200" s="282" t="inlineStr">
        <is>
          <t>2015-01-21</t>
        </is>
      </c>
      <c r="B2200" s="240">
        <f>IFERROR(1/P2200-1,B2199)</f>
        <v/>
      </c>
      <c r="C2200" s="240">
        <f>$C$3</f>
        <v/>
      </c>
      <c r="D2200" s="240">
        <f>$D$3</f>
        <v/>
      </c>
      <c r="E2200" s="240">
        <f>$E$3</f>
        <v/>
      </c>
      <c r="F2200" s="241" t="n">
        <v>22.11</v>
      </c>
      <c r="G2200" s="242" t="n">
        <v>54530841</v>
      </c>
      <c r="H2200" s="241" t="n">
        <v>4.89</v>
      </c>
      <c r="I2200" s="241" t="n">
        <v>10.05</v>
      </c>
      <c r="J2200" s="241" t="n">
        <v>7.12</v>
      </c>
      <c r="K2200" s="241" t="n">
        <v>11.87</v>
      </c>
      <c r="L2200" s="242" t="n">
        <v>2984600</v>
      </c>
      <c r="M2200" s="241" t="n">
        <v>1.62</v>
      </c>
      <c r="N2200" s="241" t="n">
        <v>11.42</v>
      </c>
      <c r="O2200" s="241" t="n">
        <v>5.33</v>
      </c>
      <c r="P2200" s="241" t="n">
        <v>1.86</v>
      </c>
    </row>
    <row r="2201">
      <c r="A2201" s="282" t="inlineStr">
        <is>
          <t>2015-01-22</t>
        </is>
      </c>
      <c r="B2201" s="240">
        <f>IFERROR(1/P2201-1,B2200)</f>
        <v/>
      </c>
      <c r="C2201" s="240">
        <f>$C$3</f>
        <v/>
      </c>
      <c r="D2201" s="240">
        <f>$D$3</f>
        <v/>
      </c>
      <c r="E2201" s="240">
        <f>$E$3</f>
        <v/>
      </c>
      <c r="F2201" s="241" t="n">
        <v>21.83</v>
      </c>
      <c r="G2201" s="242" t="n">
        <v>46219803</v>
      </c>
      <c r="H2201" s="241" t="n">
        <v>-1.27</v>
      </c>
      <c r="I2201" s="241" t="n">
        <v>8.66</v>
      </c>
      <c r="J2201" s="241" t="n">
        <v>5.77</v>
      </c>
      <c r="K2201" s="241" t="n">
        <v>11.63</v>
      </c>
      <c r="L2201" s="242" t="n">
        <v>2607600</v>
      </c>
      <c r="M2201" s="241" t="n">
        <v>-2</v>
      </c>
      <c r="N2201" s="241" t="n">
        <v>9.199999999999999</v>
      </c>
      <c r="O2201" s="241" t="n">
        <v>3.23</v>
      </c>
      <c r="P2201" s="241" t="n">
        <v>1.88</v>
      </c>
    </row>
    <row r="2202">
      <c r="A2202" s="282" t="inlineStr">
        <is>
          <t>2015-01-23</t>
        </is>
      </c>
      <c r="B2202" s="240">
        <f>IFERROR(1/P2202-1,B2201)</f>
        <v/>
      </c>
      <c r="C2202" s="240">
        <f>$C$3</f>
        <v/>
      </c>
      <c r="D2202" s="240">
        <f>$D$3</f>
        <v/>
      </c>
      <c r="E2202" s="240">
        <f>$E$3</f>
        <v/>
      </c>
      <c r="F2202" s="241" t="n">
        <v>22.29</v>
      </c>
      <c r="G2202" s="242" t="n">
        <v>78731557</v>
      </c>
      <c r="H2202" s="241" t="n">
        <v>2.11</v>
      </c>
      <c r="I2202" s="241" t="n">
        <v>13.49</v>
      </c>
      <c r="J2202" s="241" t="n">
        <v>7.99</v>
      </c>
      <c r="K2202" s="241" t="n">
        <v>12.15</v>
      </c>
      <c r="L2202" s="242" t="n">
        <v>8478800</v>
      </c>
      <c r="M2202" s="241" t="n">
        <v>4.35</v>
      </c>
      <c r="N2202" s="241" t="n">
        <v>15.32</v>
      </c>
      <c r="O2202" s="241" t="n">
        <v>7.71</v>
      </c>
      <c r="P2202" s="241" t="n">
        <v>1.83</v>
      </c>
    </row>
    <row r="2203">
      <c r="A2203" s="282" t="inlineStr">
        <is>
          <t>2015-01-26</t>
        </is>
      </c>
      <c r="B2203" s="240">
        <f>IFERROR(1/P2203-1,B2202)</f>
        <v/>
      </c>
      <c r="C2203" s="240">
        <f>$C$3</f>
        <v/>
      </c>
      <c r="D2203" s="240">
        <f>$D$3</f>
        <v/>
      </c>
      <c r="E2203" s="240">
        <f>$E$3</f>
        <v/>
      </c>
      <c r="F2203" s="241" t="n">
        <v>22.94</v>
      </c>
      <c r="G2203" s="242" t="n">
        <v>56774419</v>
      </c>
      <c r="H2203" s="241" t="n">
        <v>2.92</v>
      </c>
      <c r="I2203" s="241" t="n">
        <v>17.34</v>
      </c>
      <c r="J2203" s="241" t="n">
        <v>11.14</v>
      </c>
      <c r="K2203" s="241" t="n">
        <v>12.87</v>
      </c>
      <c r="L2203" s="242" t="n">
        <v>10081710</v>
      </c>
      <c r="M2203" s="241" t="n">
        <v>5.86</v>
      </c>
      <c r="N2203" s="241" t="n">
        <v>23.56</v>
      </c>
      <c r="O2203" s="241" t="n">
        <v>14.03</v>
      </c>
      <c r="P2203" s="241" t="n">
        <v>1.78</v>
      </c>
    </row>
    <row r="2204">
      <c r="A2204" s="282" t="inlineStr">
        <is>
          <t>2015-01-27</t>
        </is>
      </c>
      <c r="B2204" s="240">
        <f>IFERROR(1/P2204-1,B2203)</f>
        <v/>
      </c>
      <c r="C2204" s="240">
        <f>$C$3</f>
        <v/>
      </c>
      <c r="D2204" s="240">
        <f>$D$3</f>
        <v/>
      </c>
      <c r="E2204" s="240">
        <f>$E$3</f>
        <v/>
      </c>
      <c r="F2204" s="241" t="n">
        <v>23.39</v>
      </c>
      <c r="G2204" s="242" t="n">
        <v>67427746</v>
      </c>
      <c r="H2204" s="241" t="n">
        <v>1.96</v>
      </c>
      <c r="I2204" s="241" t="n">
        <v>19.46</v>
      </c>
      <c r="J2204" s="241" t="n">
        <v>13.32</v>
      </c>
      <c r="K2204" s="241" t="n">
        <v>12.63</v>
      </c>
      <c r="L2204" s="242" t="n">
        <v>6018980</v>
      </c>
      <c r="M2204" s="241" t="n">
        <v>-1.84</v>
      </c>
      <c r="N2204" s="241" t="n">
        <v>21.28</v>
      </c>
      <c r="O2204" s="241" t="n">
        <v>11.92</v>
      </c>
      <c r="P2204" s="241" t="n">
        <v>1.85</v>
      </c>
    </row>
    <row r="2205">
      <c r="A2205" s="282" t="inlineStr">
        <is>
          <t>2015-01-28</t>
        </is>
      </c>
      <c r="B2205" s="240">
        <f>IFERROR(1/P2205-1,B2204)</f>
        <v/>
      </c>
      <c r="C2205" s="240">
        <f>$C$3</f>
        <v/>
      </c>
      <c r="D2205" s="240">
        <f>$D$3</f>
        <v/>
      </c>
      <c r="E2205" s="240">
        <f>$E$3</f>
        <v/>
      </c>
      <c r="F2205" s="241" t="n">
        <v>22.45</v>
      </c>
      <c r="G2205" s="242" t="n">
        <v>41059216</v>
      </c>
      <c r="H2205" s="241" t="n">
        <v>-4.02</v>
      </c>
      <c r="I2205" s="241" t="n">
        <v>14.66</v>
      </c>
      <c r="J2205" s="241" t="n">
        <v>8.77</v>
      </c>
      <c r="K2205" s="241" t="n">
        <v>12.71</v>
      </c>
      <c r="L2205" s="242" t="n">
        <v>3273800</v>
      </c>
      <c r="M2205" s="241" t="n">
        <v>0.75</v>
      </c>
      <c r="N2205" s="241" t="n">
        <v>22.19</v>
      </c>
      <c r="O2205" s="241" t="n">
        <v>12.76</v>
      </c>
      <c r="P2205" s="241" t="n">
        <v>1.77</v>
      </c>
    </row>
    <row r="2206">
      <c r="A2206" s="282" t="inlineStr">
        <is>
          <t>2015-01-29</t>
        </is>
      </c>
      <c r="B2206" s="240">
        <f>IFERROR(1/P2206-1,B2205)</f>
        <v/>
      </c>
      <c r="C2206" s="240">
        <f>$C$3</f>
        <v/>
      </c>
      <c r="D2206" s="240">
        <f>$D$3</f>
        <v/>
      </c>
      <c r="E2206" s="240">
        <f>$E$3</f>
        <v/>
      </c>
      <c r="F2206" s="241" t="n">
        <v>23.03</v>
      </c>
      <c r="G2206" s="242" t="n">
        <v>62421091</v>
      </c>
      <c r="H2206" s="241" t="n">
        <v>2.58</v>
      </c>
      <c r="I2206" s="241" t="n">
        <v>17.62</v>
      </c>
      <c r="J2206" s="241" t="n">
        <v>11.58</v>
      </c>
      <c r="K2206" s="241" t="n">
        <v>13.17</v>
      </c>
      <c r="L2206" s="242" t="n">
        <v>7232310</v>
      </c>
      <c r="M2206" s="241" t="n">
        <v>3.48</v>
      </c>
      <c r="N2206" s="241" t="n">
        <v>26.44</v>
      </c>
      <c r="O2206" s="241" t="n">
        <v>16.69</v>
      </c>
      <c r="P2206" s="241" t="n">
        <v>1.75</v>
      </c>
    </row>
    <row r="2207">
      <c r="A2207" s="282" t="inlineStr">
        <is>
          <t>2015-01-30</t>
        </is>
      </c>
      <c r="B2207" s="240">
        <f>IFERROR(1/P2207-1,B2206)</f>
        <v/>
      </c>
      <c r="C2207" s="240">
        <f>$C$3</f>
        <v/>
      </c>
      <c r="D2207" s="240">
        <f>$D$3</f>
        <v/>
      </c>
      <c r="E2207" s="240">
        <f>$E$3</f>
        <v/>
      </c>
      <c r="F2207" s="241" t="n">
        <v>21.76</v>
      </c>
      <c r="G2207" s="242" t="n">
        <v>50189517</v>
      </c>
      <c r="H2207" s="241" t="n">
        <v>-5.51</v>
      </c>
      <c r="I2207" s="241" t="n">
        <v>9.35</v>
      </c>
      <c r="J2207" s="241" t="n">
        <v>5.43</v>
      </c>
      <c r="K2207" s="241" t="n">
        <v>13.47</v>
      </c>
      <c r="L2207" s="242" t="n">
        <v>5822479</v>
      </c>
      <c r="M2207" s="241" t="n">
        <v>2.28</v>
      </c>
      <c r="N2207" s="241" t="n">
        <v>26.07</v>
      </c>
      <c r="O2207" s="241" t="n">
        <v>19.35</v>
      </c>
      <c r="P2207" s="241" t="n">
        <v>1.61</v>
      </c>
    </row>
    <row r="2208">
      <c r="A2208" s="282" t="inlineStr">
        <is>
          <t>2015-02-02</t>
        </is>
      </c>
      <c r="B2208" s="240">
        <f>IFERROR(1/P2208-1,B2207)</f>
        <v/>
      </c>
      <c r="C2208" s="240">
        <f>$C$3</f>
        <v/>
      </c>
      <c r="D2208" s="240">
        <f>$D$3</f>
        <v/>
      </c>
      <c r="E2208" s="240">
        <f>$E$3</f>
        <v/>
      </c>
      <c r="F2208" s="241" t="n">
        <v>19.93</v>
      </c>
      <c r="G2208" s="242" t="n">
        <v>62787981</v>
      </c>
      <c r="H2208" s="241" t="n">
        <v>-8.41</v>
      </c>
      <c r="I2208" s="241" t="n">
        <v>-3.44</v>
      </c>
      <c r="J2208" s="241" t="n">
        <v>-3.44</v>
      </c>
      <c r="K2208" s="241" t="n">
        <v>12.54</v>
      </c>
      <c r="L2208" s="242" t="n">
        <v>4293600</v>
      </c>
      <c r="M2208" s="241" t="n">
        <v>-6.93</v>
      </c>
      <c r="N2208" s="241" t="n">
        <v>11.08</v>
      </c>
      <c r="O2208" s="241" t="n">
        <v>11.08</v>
      </c>
      <c r="P2208" s="241" t="n">
        <v>1.59</v>
      </c>
    </row>
    <row r="2209">
      <c r="A2209" s="282" t="inlineStr">
        <is>
          <t>2015-02-03</t>
        </is>
      </c>
      <c r="B2209" s="240">
        <f>IFERROR(1/P2209-1,B2208)</f>
        <v/>
      </c>
      <c r="C2209" s="240">
        <f>$C$3</f>
        <v/>
      </c>
      <c r="D2209" s="240">
        <f>$D$3</f>
        <v/>
      </c>
      <c r="E2209" s="240">
        <f>$E$3</f>
        <v/>
      </c>
      <c r="F2209" s="241" t="n">
        <v>19.88</v>
      </c>
      <c r="G2209" s="242" t="n">
        <v>50396230</v>
      </c>
      <c r="H2209" s="241" t="n">
        <v>-0.25</v>
      </c>
      <c r="I2209" s="241" t="n">
        <v>-3.68</v>
      </c>
      <c r="J2209" s="241" t="n">
        <v>-3.68</v>
      </c>
      <c r="K2209" s="241" t="n">
        <v>12.77</v>
      </c>
      <c r="L2209" s="242" t="n">
        <v>2744600</v>
      </c>
      <c r="M2209" s="241" t="n">
        <v>1.89</v>
      </c>
      <c r="N2209" s="241" t="n">
        <v>13.5</v>
      </c>
      <c r="O2209" s="241" t="n">
        <v>13.18</v>
      </c>
      <c r="P2209" s="241" t="n">
        <v>1.56</v>
      </c>
    </row>
    <row r="2210">
      <c r="A2210" s="282" t="inlineStr">
        <is>
          <t>2015-02-04</t>
        </is>
      </c>
      <c r="B2210" s="240">
        <f>IFERROR(1/P2210-1,B2209)</f>
        <v/>
      </c>
      <c r="C2210" s="240">
        <f>$C$3</f>
        <v/>
      </c>
      <c r="D2210" s="240">
        <f>$D$3</f>
        <v/>
      </c>
      <c r="E2210" s="240">
        <f>$E$3</f>
        <v/>
      </c>
      <c r="F2210" s="241" t="n">
        <v>19.23</v>
      </c>
      <c r="G2210" s="242" t="n">
        <v>70752720</v>
      </c>
      <c r="H2210" s="241" t="n">
        <v>-3.27</v>
      </c>
      <c r="I2210" s="241" t="n">
        <v>-6.83</v>
      </c>
      <c r="J2210" s="241" t="n">
        <v>-6.83</v>
      </c>
      <c r="K2210" s="241" t="n">
        <v>12.48</v>
      </c>
      <c r="L2210" s="242" t="n">
        <v>2889710</v>
      </c>
      <c r="M2210" s="241" t="n">
        <v>-2.23</v>
      </c>
      <c r="N2210" s="241" t="n">
        <v>10.97</v>
      </c>
      <c r="O2210" s="241" t="n">
        <v>10.66</v>
      </c>
      <c r="P2210" s="241" t="n">
        <v>1.54</v>
      </c>
    </row>
    <row r="2211">
      <c r="A2211" s="282" t="inlineStr">
        <is>
          <t>2015-02-05</t>
        </is>
      </c>
      <c r="B2211" s="240">
        <f>IFERROR(1/P2211-1,B2210)</f>
        <v/>
      </c>
      <c r="C2211" s="240">
        <f>$C$3</f>
        <v/>
      </c>
      <c r="D2211" s="240">
        <f>$D$3</f>
        <v/>
      </c>
      <c r="E2211" s="240">
        <f>$E$3</f>
        <v/>
      </c>
      <c r="F2211" s="241" t="n">
        <v>18.63</v>
      </c>
      <c r="G2211" s="242" t="n">
        <v>81587535</v>
      </c>
      <c r="H2211" s="241" t="n">
        <v>-3.12</v>
      </c>
      <c r="I2211" s="241" t="n">
        <v>-9.74</v>
      </c>
      <c r="J2211" s="241" t="n">
        <v>-9.74</v>
      </c>
      <c r="K2211" s="241" t="n">
        <v>12.27</v>
      </c>
      <c r="L2211" s="242" t="n">
        <v>2781400</v>
      </c>
      <c r="M2211" s="241" t="n">
        <v>-1.77</v>
      </c>
      <c r="N2211" s="241" t="n">
        <v>9</v>
      </c>
      <c r="O2211" s="241" t="n">
        <v>8.699999999999999</v>
      </c>
      <c r="P2211" s="241" t="n">
        <v>1.52</v>
      </c>
    </row>
    <row r="2212">
      <c r="A2212" s="282" t="inlineStr">
        <is>
          <t>2015-02-06</t>
        </is>
      </c>
      <c r="B2212" s="240">
        <f>IFERROR(1/P2212-1,B2211)</f>
        <v/>
      </c>
      <c r="C2212" s="240">
        <f>$C$3</f>
        <v/>
      </c>
      <c r="D2212" s="240">
        <f>$D$3</f>
        <v/>
      </c>
      <c r="E2212" s="240">
        <f>$E$3</f>
        <v/>
      </c>
      <c r="F2212" s="241" t="n">
        <v>18.73</v>
      </c>
      <c r="G2212" s="242" t="n">
        <v>53215482</v>
      </c>
      <c r="H2212" s="241" t="n">
        <v>0.54</v>
      </c>
      <c r="I2212" s="241" t="n">
        <v>-10.3</v>
      </c>
      <c r="J2212" s="241" t="n">
        <v>-9.25</v>
      </c>
      <c r="K2212" s="241" t="n">
        <v>12.15</v>
      </c>
      <c r="L2212" s="242" t="n">
        <v>1745500</v>
      </c>
      <c r="M2212" s="241" t="n">
        <v>-0.77</v>
      </c>
      <c r="N2212" s="241" t="n">
        <v>6.66</v>
      </c>
      <c r="O2212" s="241" t="n">
        <v>7.85</v>
      </c>
      <c r="P2212" s="241" t="n">
        <v>1.54</v>
      </c>
    </row>
    <row r="2213">
      <c r="A2213" s="282" t="inlineStr">
        <is>
          <t>2015-02-09</t>
        </is>
      </c>
      <c r="B2213" s="240">
        <f>IFERROR(1/P2213-1,B2212)</f>
        <v/>
      </c>
      <c r="C2213" s="240">
        <f>$C$3</f>
        <v/>
      </c>
      <c r="D2213" s="240">
        <f>$D$3</f>
        <v/>
      </c>
      <c r="E2213" s="240">
        <f>$E$3</f>
        <v/>
      </c>
      <c r="F2213" s="241" t="n">
        <v>18.11</v>
      </c>
      <c r="G2213" s="242" t="n">
        <v>51608382</v>
      </c>
      <c r="H2213" s="241" t="n">
        <v>-3.31</v>
      </c>
      <c r="I2213" s="241" t="n">
        <v>-21.16</v>
      </c>
      <c r="J2213" s="241" t="n">
        <v>-12.26</v>
      </c>
      <c r="K2213" s="241" t="n">
        <v>11.91</v>
      </c>
      <c r="L2213" s="242" t="n">
        <v>2692700</v>
      </c>
      <c r="M2213" s="241" t="n">
        <v>-2.08</v>
      </c>
      <c r="N2213" s="241" t="n">
        <v>-1.57</v>
      </c>
      <c r="O2213" s="241" t="n">
        <v>5.61</v>
      </c>
      <c r="P2213" s="241" t="n">
        <v>1.52</v>
      </c>
    </row>
    <row r="2214">
      <c r="A2214" s="282" t="inlineStr">
        <is>
          <t>2015-02-10</t>
        </is>
      </c>
      <c r="B2214" s="240">
        <f>IFERROR(1/P2214-1,B2213)</f>
        <v/>
      </c>
      <c r="C2214" s="240">
        <f>$C$3</f>
        <v/>
      </c>
      <c r="D2214" s="240">
        <f>$D$3</f>
        <v/>
      </c>
      <c r="E2214" s="240">
        <f>$E$3</f>
        <v/>
      </c>
      <c r="F2214" s="241" t="n">
        <v>18.66</v>
      </c>
      <c r="G2214" s="242" t="n">
        <v>48974750</v>
      </c>
      <c r="H2214" s="241" t="n">
        <v>3.04</v>
      </c>
      <c r="I2214" s="241" t="n">
        <v>-15.18</v>
      </c>
      <c r="J2214" s="241" t="n">
        <v>-9.59</v>
      </c>
      <c r="K2214" s="241" t="n">
        <v>12.06</v>
      </c>
      <c r="L2214" s="242" t="n">
        <v>1882200</v>
      </c>
      <c r="M2214" s="241" t="n">
        <v>1.33</v>
      </c>
      <c r="N2214" s="241" t="n">
        <v>2.97</v>
      </c>
      <c r="O2214" s="241" t="n">
        <v>7.01</v>
      </c>
      <c r="P2214" s="241" t="n">
        <v>1.55</v>
      </c>
    </row>
    <row r="2215">
      <c r="A2215" s="282" t="inlineStr">
        <is>
          <t>2015-02-11</t>
        </is>
      </c>
      <c r="B2215" s="240">
        <f>IFERROR(1/P2215-1,B2214)</f>
        <v/>
      </c>
      <c r="C2215" s="240">
        <f>$C$3</f>
        <v/>
      </c>
      <c r="D2215" s="240">
        <f>$D$3</f>
        <v/>
      </c>
      <c r="E2215" s="240">
        <f>$E$3</f>
        <v/>
      </c>
      <c r="F2215" s="241" t="n">
        <v>18.68</v>
      </c>
      <c r="G2215" s="242" t="n">
        <v>44595749</v>
      </c>
      <c r="H2215" s="241" t="n">
        <v>0.11</v>
      </c>
      <c r="I2215" s="241" t="n">
        <v>-15.09</v>
      </c>
      <c r="J2215" s="241" t="n">
        <v>-9.5</v>
      </c>
      <c r="K2215" s="241" t="n">
        <v>12.15</v>
      </c>
      <c r="L2215" s="242" t="n">
        <v>1457000</v>
      </c>
      <c r="M2215" s="241" t="n">
        <v>0.66</v>
      </c>
      <c r="N2215" s="241" t="n">
        <v>3.64</v>
      </c>
      <c r="O2215" s="241" t="n">
        <v>7.71</v>
      </c>
      <c r="P2215" s="241" t="n">
        <v>1.54</v>
      </c>
    </row>
    <row r="2216">
      <c r="A2216" s="282" t="inlineStr">
        <is>
          <t>2015-02-12</t>
        </is>
      </c>
      <c r="B2216" s="240">
        <f>IFERROR(1/P2216-1,B2215)</f>
        <v/>
      </c>
      <c r="C2216" s="240">
        <f>$C$3</f>
        <v/>
      </c>
      <c r="D2216" s="240">
        <f>$D$3</f>
        <v/>
      </c>
      <c r="E2216" s="240">
        <f>$E$3</f>
        <v/>
      </c>
      <c r="F2216" s="241" t="n">
        <v>19.02</v>
      </c>
      <c r="G2216" s="242" t="n">
        <v>56734053</v>
      </c>
      <c r="H2216" s="241" t="n">
        <v>1.82</v>
      </c>
      <c r="I2216" s="241" t="n">
        <v>-13.55</v>
      </c>
      <c r="J2216" s="241" t="n">
        <v>-7.85</v>
      </c>
      <c r="K2216" s="241" t="n">
        <v>12.42</v>
      </c>
      <c r="L2216" s="242" t="n">
        <v>1670860</v>
      </c>
      <c r="M2216" s="241" t="n">
        <v>2.21</v>
      </c>
      <c r="N2216" s="241" t="n">
        <v>5.94</v>
      </c>
      <c r="O2216" s="241" t="n">
        <v>10.1</v>
      </c>
      <c r="P2216" s="241" t="n">
        <v>1.53</v>
      </c>
    </row>
    <row r="2217">
      <c r="A2217" s="282" t="inlineStr">
        <is>
          <t>2015-02-13</t>
        </is>
      </c>
      <c r="B2217" s="240">
        <f>IFERROR(1/P2217-1,B2216)</f>
        <v/>
      </c>
      <c r="C2217" s="240">
        <f>$C$3</f>
        <v/>
      </c>
      <c r="D2217" s="240">
        <f>$D$3</f>
        <v/>
      </c>
      <c r="E2217" s="240">
        <f>$E$3</f>
        <v/>
      </c>
      <c r="F2217" s="241" t="n">
        <v>19.2</v>
      </c>
      <c r="G2217" s="242" t="n">
        <v>62702591</v>
      </c>
      <c r="H2217" s="241" t="n">
        <v>0.95</v>
      </c>
      <c r="I2217" s="241" t="n">
        <v>-10.66</v>
      </c>
      <c r="J2217" s="241" t="n">
        <v>-6.98</v>
      </c>
      <c r="K2217" s="241" t="n">
        <v>12.38</v>
      </c>
      <c r="L2217" s="242" t="n">
        <v>982600</v>
      </c>
      <c r="M2217" s="241" t="n">
        <v>-0.25</v>
      </c>
      <c r="N2217" s="241" t="n">
        <v>7.11</v>
      </c>
      <c r="O2217" s="241" t="n">
        <v>9.82</v>
      </c>
      <c r="P2217" s="241" t="n">
        <v>1.55</v>
      </c>
    </row>
    <row r="2218">
      <c r="A2218" s="282" t="inlineStr">
        <is>
          <t>2015-02-16</t>
        </is>
      </c>
      <c r="B2218" s="240">
        <f>IFERROR(1/P2218-1,B2217)</f>
        <v/>
      </c>
      <c r="C2218" s="240">
        <f>$C$3</f>
        <v/>
      </c>
      <c r="D2218" s="240">
        <f>$D$3</f>
        <v/>
      </c>
      <c r="E2218" s="240">
        <f>$E$3</f>
        <v/>
      </c>
      <c r="F2218" s="241" t="n">
        <v>19.21</v>
      </c>
      <c r="G2218" s="242" t="n">
        <v>44998789</v>
      </c>
      <c r="H2218" s="241" t="n">
        <v>0.05</v>
      </c>
      <c r="I2218" s="241" t="n">
        <v>-13.16</v>
      </c>
      <c r="J2218" s="241" t="n">
        <v>-6.93</v>
      </c>
      <c r="K2218" s="241" t="n">
        <v>12.42</v>
      </c>
      <c r="L2218" s="242" t="n">
        <v>570600</v>
      </c>
      <c r="M2218" s="241" t="n">
        <v>0.38</v>
      </c>
      <c r="N2218" s="241" t="n">
        <v>3.97</v>
      </c>
      <c r="O2218" s="241" t="n">
        <v>10.24</v>
      </c>
      <c r="P2218" s="241" t="n">
        <v>1.55</v>
      </c>
    </row>
    <row r="2219">
      <c r="A2219" s="282" t="inlineStr">
        <is>
          <t>2015-02-17</t>
        </is>
      </c>
      <c r="B2219" s="240">
        <f>IFERROR(1/P2219-1,B2218)</f>
        <v/>
      </c>
      <c r="C2219" s="240">
        <f>$C$3</f>
        <v/>
      </c>
      <c r="D2219" s="240">
        <f>$D$3</f>
        <v/>
      </c>
      <c r="E2219" s="240">
        <f>$E$3</f>
        <v/>
      </c>
      <c r="F2219" s="241" t="n">
        <v>19.24</v>
      </c>
      <c r="G2219" s="242" t="n">
        <v>31005487</v>
      </c>
      <c r="H2219" s="241" t="n">
        <v>0.16</v>
      </c>
      <c r="I2219" s="241" t="n">
        <v>-14.37</v>
      </c>
      <c r="J2219" s="241" t="n">
        <v>-6.78</v>
      </c>
      <c r="K2219" s="241" t="n">
        <v>12.54</v>
      </c>
      <c r="L2219" s="242" t="n">
        <v>844000</v>
      </c>
      <c r="M2219" s="241" t="n">
        <v>0.89</v>
      </c>
      <c r="N2219" s="241" t="n">
        <v>3.12</v>
      </c>
      <c r="O2219" s="241" t="n">
        <v>11.22</v>
      </c>
      <c r="P2219" s="241" t="n">
        <v>1.53</v>
      </c>
    </row>
    <row r="2220">
      <c r="A2220" s="282" t="inlineStr">
        <is>
          <t>2015-02-25</t>
        </is>
      </c>
      <c r="B2220" s="240">
        <f>IFERROR(1/P2220-1,B2219)</f>
        <v/>
      </c>
      <c r="C2220" s="240">
        <f>$C$3</f>
        <v/>
      </c>
      <c r="D2220" s="240">
        <f>$D$3</f>
        <v/>
      </c>
      <c r="E2220" s="240">
        <f>$E$3</f>
        <v/>
      </c>
      <c r="F2220" s="241" t="n">
        <v>18.9</v>
      </c>
      <c r="G2220" s="242" t="n">
        <v>31391206</v>
      </c>
      <c r="H2220" s="241" t="n">
        <v>-1.77</v>
      </c>
      <c r="I2220" s="241" t="n">
        <v>-15.21</v>
      </c>
      <c r="J2220" s="241" t="n">
        <v>-8.43</v>
      </c>
      <c r="K2220" s="241" t="n">
        <v>12.47</v>
      </c>
      <c r="L2220" s="242" t="n">
        <v>1413400</v>
      </c>
      <c r="M2220" s="241" t="n">
        <v>-0.13</v>
      </c>
      <c r="N2220" s="241" t="n">
        <v>2.6</v>
      </c>
      <c r="O2220" s="241" t="n">
        <v>10.52</v>
      </c>
      <c r="P2220" s="241" t="n">
        <v>1.52</v>
      </c>
    </row>
    <row r="2221">
      <c r="A2221" s="282" t="inlineStr">
        <is>
          <t>2015-02-26</t>
        </is>
      </c>
      <c r="B2221" s="240">
        <f>IFERROR(1/P2221-1,B2220)</f>
        <v/>
      </c>
      <c r="C2221" s="240">
        <f>$C$3</f>
        <v/>
      </c>
      <c r="D2221" s="240">
        <f>$D$3</f>
        <v/>
      </c>
      <c r="E2221" s="240">
        <f>$E$3</f>
        <v/>
      </c>
      <c r="F2221" s="241" t="n">
        <v>19.34</v>
      </c>
      <c r="G2221" s="242" t="n">
        <v>48212295</v>
      </c>
      <c r="H2221" s="241" t="n">
        <v>2.33</v>
      </c>
      <c r="I2221" s="241" t="n">
        <v>-13.23</v>
      </c>
      <c r="J2221" s="241" t="n">
        <v>-6.3</v>
      </c>
      <c r="K2221" s="241" t="n">
        <v>12.6</v>
      </c>
      <c r="L2221" s="242" t="n">
        <v>1435000</v>
      </c>
      <c r="M2221" s="241" t="n">
        <v>1.02</v>
      </c>
      <c r="N2221" s="241" t="n">
        <v>3.65</v>
      </c>
      <c r="O2221" s="241" t="n">
        <v>11.64</v>
      </c>
      <c r="P2221" s="241" t="n">
        <v>1.54</v>
      </c>
    </row>
    <row r="2222">
      <c r="A2222" s="282" t="inlineStr">
        <is>
          <t>2015-02-27</t>
        </is>
      </c>
      <c r="B2222" s="240">
        <f>IFERROR(1/P2222-1,B2221)</f>
        <v/>
      </c>
      <c r="C2222" s="240">
        <f>$C$3</f>
        <v/>
      </c>
      <c r="D2222" s="240">
        <f>$D$3</f>
        <v/>
      </c>
      <c r="E2222" s="240">
        <f>$E$3</f>
        <v/>
      </c>
      <c r="F2222" s="241" t="n">
        <v>19.47</v>
      </c>
      <c r="G2222" s="242" t="n">
        <v>46716663</v>
      </c>
      <c r="H2222" s="241" t="n">
        <v>0.67</v>
      </c>
      <c r="I2222" s="241" t="n">
        <v>-15.13</v>
      </c>
      <c r="J2222" s="241" t="n">
        <v>-5.67</v>
      </c>
      <c r="K2222" s="241" t="n">
        <v>12.43</v>
      </c>
      <c r="L2222" s="242" t="n">
        <v>1019200</v>
      </c>
      <c r="M2222" s="241" t="n">
        <v>-1.51</v>
      </c>
      <c r="N2222" s="241" t="n">
        <v>-3.57</v>
      </c>
      <c r="O2222" s="241" t="n">
        <v>9.960000000000001</v>
      </c>
      <c r="P2222" s="241" t="n">
        <v>1.57</v>
      </c>
    </row>
    <row r="2223">
      <c r="A2223" s="282" t="inlineStr">
        <is>
          <t>2015-03-02</t>
        </is>
      </c>
      <c r="B2223" s="240">
        <f>IFERROR(1/P2223-1,B2222)</f>
        <v/>
      </c>
      <c r="C2223" s="240">
        <f>$C$3</f>
        <v/>
      </c>
      <c r="D2223" s="240">
        <f>$D$3</f>
        <v/>
      </c>
      <c r="E2223" s="240">
        <f>$E$3</f>
        <v/>
      </c>
      <c r="F2223" s="241" t="n">
        <v>20.15</v>
      </c>
      <c r="G2223" s="242" t="n">
        <v>62979310</v>
      </c>
      <c r="H2223" s="241" t="n">
        <v>3.49</v>
      </c>
      <c r="I2223" s="241" t="n">
        <v>-7.4</v>
      </c>
      <c r="J2223" s="241" t="n">
        <v>-2.37</v>
      </c>
      <c r="K2223" s="241" t="n">
        <v>12.5</v>
      </c>
      <c r="L2223" s="242" t="n">
        <v>1962120</v>
      </c>
      <c r="M2223" s="241" t="n">
        <v>0.51</v>
      </c>
      <c r="N2223" s="241" t="n">
        <v>-7.4</v>
      </c>
      <c r="O2223" s="241" t="n">
        <v>10.52</v>
      </c>
      <c r="P2223" s="241" t="n">
        <v>1.61</v>
      </c>
    </row>
    <row r="2224">
      <c r="A2224" s="282" t="inlineStr">
        <is>
          <t>2015-03-03</t>
        </is>
      </c>
      <c r="B2224" s="240">
        <f>IFERROR(1/P2224-1,B2223)</f>
        <v/>
      </c>
      <c r="C2224" s="240">
        <f>$C$3</f>
        <v/>
      </c>
      <c r="D2224" s="240">
        <f>$D$3</f>
        <v/>
      </c>
      <c r="E2224" s="240">
        <f>$E$3</f>
        <v/>
      </c>
      <c r="F2224" s="241" t="n">
        <v>20.77</v>
      </c>
      <c r="G2224" s="242" t="n">
        <v>103226255</v>
      </c>
      <c r="H2224" s="241" t="n">
        <v>3.08</v>
      </c>
      <c r="I2224" s="241" t="n">
        <v>4.21</v>
      </c>
      <c r="J2224" s="241" t="n">
        <v>0.63</v>
      </c>
      <c r="K2224" s="241" t="n">
        <v>12.73</v>
      </c>
      <c r="L2224" s="242" t="n">
        <v>7905200</v>
      </c>
      <c r="M2224" s="241" t="n">
        <v>1.78</v>
      </c>
      <c r="N2224" s="241" t="n">
        <v>1.26</v>
      </c>
      <c r="O2224" s="241" t="n">
        <v>12.48</v>
      </c>
      <c r="P2224" s="241" t="n">
        <v>1.63</v>
      </c>
    </row>
    <row r="2225">
      <c r="A2225" s="282" t="inlineStr">
        <is>
          <t>2015-03-04</t>
        </is>
      </c>
      <c r="B2225" s="240">
        <f>IFERROR(1/P2225-1,B2224)</f>
        <v/>
      </c>
      <c r="C2225" s="240">
        <f>$C$3</f>
        <v/>
      </c>
      <c r="D2225" s="240">
        <f>$D$3</f>
        <v/>
      </c>
      <c r="E2225" s="240">
        <f>$E$3</f>
        <v/>
      </c>
      <c r="F2225" s="241" t="n">
        <v>20.79</v>
      </c>
      <c r="G2225" s="242" t="n">
        <v>77456937</v>
      </c>
      <c r="H2225" s="241" t="n">
        <v>0.1</v>
      </c>
      <c r="I2225" s="241" t="n">
        <v>4.58</v>
      </c>
      <c r="J2225" s="241" t="n">
        <v>0.73</v>
      </c>
      <c r="K2225" s="241" t="n">
        <v>12.42</v>
      </c>
      <c r="L2225" s="242" t="n">
        <v>3039600</v>
      </c>
      <c r="M2225" s="241" t="n">
        <v>-2.37</v>
      </c>
      <c r="N2225" s="241" t="n">
        <v>-2.97</v>
      </c>
      <c r="O2225" s="241" t="n">
        <v>9.82</v>
      </c>
      <c r="P2225" s="241" t="n">
        <v>1.67</v>
      </c>
    </row>
    <row r="2226">
      <c r="A2226" s="282" t="inlineStr">
        <is>
          <t>2015-03-05</t>
        </is>
      </c>
      <c r="B2226" s="240">
        <f>IFERROR(1/P2226-1,B2225)</f>
        <v/>
      </c>
      <c r="C2226" s="240">
        <f>$C$3</f>
        <v/>
      </c>
      <c r="D2226" s="240">
        <f>$D$3</f>
        <v/>
      </c>
      <c r="E2226" s="240">
        <f>$E$3</f>
        <v/>
      </c>
      <c r="F2226" s="241" t="n">
        <v>20.06</v>
      </c>
      <c r="G2226" s="242" t="n">
        <v>62578957</v>
      </c>
      <c r="H2226" s="241" t="n">
        <v>-3.51</v>
      </c>
      <c r="I2226" s="241" t="n">
        <v>4.32</v>
      </c>
      <c r="J2226" s="241" t="n">
        <v>-2.81</v>
      </c>
      <c r="K2226" s="241" t="n">
        <v>12.19</v>
      </c>
      <c r="L2226" s="242" t="n">
        <v>1578600</v>
      </c>
      <c r="M2226" s="241" t="n">
        <v>-1.92</v>
      </c>
      <c r="N2226" s="241" t="n">
        <v>-2.66</v>
      </c>
      <c r="O2226" s="241" t="n">
        <v>7.71</v>
      </c>
      <c r="P2226" s="241" t="n">
        <v>1.65</v>
      </c>
    </row>
    <row r="2227">
      <c r="A2227" s="282" t="inlineStr">
        <is>
          <t>2015-03-06</t>
        </is>
      </c>
      <c r="B2227" s="240">
        <f>IFERROR(1/P2227-1,B2226)</f>
        <v/>
      </c>
      <c r="C2227" s="240">
        <f>$C$3</f>
        <v/>
      </c>
      <c r="D2227" s="240">
        <f>$D$3</f>
        <v/>
      </c>
      <c r="E2227" s="240">
        <f>$E$3</f>
        <v/>
      </c>
      <c r="F2227" s="241" t="n">
        <v>19.92</v>
      </c>
      <c r="G2227" s="242" t="n">
        <v>46266595</v>
      </c>
      <c r="H2227" s="241" t="n">
        <v>-0.7</v>
      </c>
      <c r="I2227" s="241" t="n">
        <v>6.92</v>
      </c>
      <c r="J2227" s="241" t="n">
        <v>-3.49</v>
      </c>
      <c r="K2227" s="241" t="n">
        <v>12.41</v>
      </c>
      <c r="L2227" s="242" t="n">
        <v>1472753</v>
      </c>
      <c r="M2227" s="241" t="n">
        <v>1.82</v>
      </c>
      <c r="N2227" s="241" t="n">
        <v>0.9</v>
      </c>
      <c r="O2227" s="241" t="n">
        <v>9.68</v>
      </c>
      <c r="P2227" s="241" t="n">
        <v>1.61</v>
      </c>
    </row>
    <row r="2228">
      <c r="A2228" s="282" t="inlineStr">
        <is>
          <t>2015-03-09</t>
        </is>
      </c>
      <c r="B2228" s="240">
        <f>IFERROR(1/P2228-1,B2227)</f>
        <v/>
      </c>
      <c r="C2228" s="240">
        <f>$C$3</f>
        <v/>
      </c>
      <c r="D2228" s="240">
        <f>$D$3</f>
        <v/>
      </c>
      <c r="E2228" s="240">
        <f>$E$3</f>
        <v/>
      </c>
      <c r="F2228" s="241" t="n">
        <v>19.8</v>
      </c>
      <c r="G2228" s="242" t="n">
        <v>41374009</v>
      </c>
      <c r="H2228" s="241" t="n">
        <v>-0.6</v>
      </c>
      <c r="I2228" s="241" t="n">
        <v>5.71</v>
      </c>
      <c r="J2228" s="241" t="n">
        <v>-4.07</v>
      </c>
      <c r="K2228" s="241" t="n">
        <v>12.08</v>
      </c>
      <c r="L2228" s="242" t="n">
        <v>2292200</v>
      </c>
      <c r="M2228" s="241" t="n">
        <v>-2.69</v>
      </c>
      <c r="N2228" s="241" t="n">
        <v>-1.04</v>
      </c>
      <c r="O2228" s="241" t="n">
        <v>6.73</v>
      </c>
      <c r="P2228" s="241" t="n">
        <v>1.64</v>
      </c>
    </row>
    <row r="2229">
      <c r="A2229" s="282" t="inlineStr">
        <is>
          <t>2015-03-10</t>
        </is>
      </c>
      <c r="B2229" s="240">
        <f>IFERROR(1/P2229-1,B2228)</f>
        <v/>
      </c>
      <c r="C2229" s="240">
        <f>$C$3</f>
        <v/>
      </c>
      <c r="D2229" s="240">
        <f>$D$3</f>
        <v/>
      </c>
      <c r="E2229" s="240">
        <f>$E$3</f>
        <v/>
      </c>
      <c r="F2229" s="241" t="n">
        <v>20.23</v>
      </c>
      <c r="G2229" s="242" t="n">
        <v>43518446</v>
      </c>
      <c r="H2229" s="241" t="n">
        <v>2.17</v>
      </c>
      <c r="I2229" s="241" t="n">
        <v>11.71</v>
      </c>
      <c r="J2229" s="241" t="n">
        <v>-1.99</v>
      </c>
      <c r="K2229" s="241" t="n">
        <v>11.82</v>
      </c>
      <c r="L2229" s="242" t="n">
        <v>2547800</v>
      </c>
      <c r="M2229" s="241" t="n">
        <v>-2.1</v>
      </c>
      <c r="N2229" s="241" t="n">
        <v>-1.06</v>
      </c>
      <c r="O2229" s="241" t="n">
        <v>4.49</v>
      </c>
      <c r="P2229" s="241" t="n">
        <v>1.71</v>
      </c>
    </row>
    <row r="2230">
      <c r="A2230" s="282" t="inlineStr">
        <is>
          <t>2015-03-11</t>
        </is>
      </c>
      <c r="B2230" s="240">
        <f>IFERROR(1/P2230-1,B2229)</f>
        <v/>
      </c>
      <c r="C2230" s="240">
        <f>$C$3</f>
        <v/>
      </c>
      <c r="D2230" s="240">
        <f>$D$3</f>
        <v/>
      </c>
      <c r="E2230" s="240">
        <f>$E$3</f>
        <v/>
      </c>
      <c r="F2230" s="241" t="n">
        <v>19.84</v>
      </c>
      <c r="G2230" s="242" t="n">
        <v>61314346</v>
      </c>
      <c r="H2230" s="241" t="n">
        <v>-1.93</v>
      </c>
      <c r="I2230" s="241" t="n">
        <v>6.32</v>
      </c>
      <c r="J2230" s="241" t="n">
        <v>-3.88</v>
      </c>
      <c r="K2230" s="241" t="n">
        <v>11.86</v>
      </c>
      <c r="L2230" s="242" t="n">
        <v>1545900</v>
      </c>
      <c r="M2230" s="241" t="n">
        <v>0.27</v>
      </c>
      <c r="N2230" s="241" t="n">
        <v>-2.1</v>
      </c>
      <c r="O2230" s="241" t="n">
        <v>4.77</v>
      </c>
      <c r="P2230" s="241" t="n">
        <v>1.67</v>
      </c>
    </row>
    <row r="2231">
      <c r="A2231" s="282" t="inlineStr">
        <is>
          <t>2015-03-12</t>
        </is>
      </c>
      <c r="B2231" s="240">
        <f>IFERROR(1/P2231-1,B2230)</f>
        <v/>
      </c>
      <c r="C2231" s="240">
        <f>$C$3</f>
        <v/>
      </c>
      <c r="D2231" s="240">
        <f>$D$3</f>
        <v/>
      </c>
      <c r="E2231" s="240">
        <f>$E$3</f>
        <v/>
      </c>
      <c r="F2231" s="241" t="n">
        <v>20.15</v>
      </c>
      <c r="G2231" s="242" t="n">
        <v>46235168</v>
      </c>
      <c r="H2231" s="241" t="n">
        <v>1.56</v>
      </c>
      <c r="I2231" s="241" t="n">
        <v>7.87</v>
      </c>
      <c r="J2231" s="241" t="n">
        <v>-2.37</v>
      </c>
      <c r="K2231" s="241" t="n">
        <v>11.96</v>
      </c>
      <c r="L2231" s="242" t="n">
        <v>2243800</v>
      </c>
      <c r="M2231" s="241" t="n">
        <v>0.9399999999999999</v>
      </c>
      <c r="N2231" s="241" t="n">
        <v>-1.82</v>
      </c>
      <c r="O2231" s="241" t="n">
        <v>5.75</v>
      </c>
      <c r="P2231" s="241" t="n">
        <v>1.68</v>
      </c>
    </row>
    <row r="2232">
      <c r="A2232" s="282" t="inlineStr">
        <is>
          <t>2015-03-13</t>
        </is>
      </c>
      <c r="B2232" s="240">
        <f>IFERROR(1/P2232-1,B2231)</f>
        <v/>
      </c>
      <c r="C2232" s="240">
        <f>$C$3</f>
        <v/>
      </c>
      <c r="D2232" s="240">
        <f>$D$3</f>
        <v/>
      </c>
      <c r="E2232" s="240">
        <f>$E$3</f>
        <v/>
      </c>
      <c r="F2232" s="241" t="n">
        <v>20.03</v>
      </c>
      <c r="G2232" s="242" t="n">
        <v>33652829</v>
      </c>
      <c r="H2232" s="241" t="n">
        <v>-0.6</v>
      </c>
      <c r="I2232" s="241" t="n">
        <v>5.31</v>
      </c>
      <c r="J2232" s="241" t="n">
        <v>-2.96</v>
      </c>
      <c r="K2232" s="241" t="n">
        <v>11.69</v>
      </c>
      <c r="L2232" s="242" t="n">
        <v>1159600</v>
      </c>
      <c r="M2232" s="241" t="n">
        <v>-2.25</v>
      </c>
      <c r="N2232" s="241" t="n">
        <v>-6.11</v>
      </c>
      <c r="O2232" s="241" t="n">
        <v>3.37</v>
      </c>
      <c r="P2232" s="241" t="n">
        <v>1.71</v>
      </c>
    </row>
    <row r="2233">
      <c r="A2233" s="282" t="inlineStr">
        <is>
          <t>2015-03-16</t>
        </is>
      </c>
      <c r="B2233" s="240">
        <f>IFERROR(1/P2233-1,B2232)</f>
        <v/>
      </c>
      <c r="C2233" s="240">
        <f>$C$3</f>
        <v/>
      </c>
      <c r="D2233" s="240">
        <f>$D$3</f>
        <v/>
      </c>
      <c r="E2233" s="240">
        <f>$E$3</f>
        <v/>
      </c>
      <c r="F2233" s="241" t="n">
        <v>20.4</v>
      </c>
      <c r="G2233" s="242" t="n">
        <v>53937709</v>
      </c>
      <c r="H2233" s="241" t="n">
        <v>1.85</v>
      </c>
      <c r="I2233" s="241" t="n">
        <v>6.25</v>
      </c>
      <c r="J2233" s="241" t="n">
        <v>-1.16</v>
      </c>
      <c r="K2233" s="241" t="n">
        <v>11.51</v>
      </c>
      <c r="L2233" s="242" t="n">
        <v>2791000</v>
      </c>
      <c r="M2233" s="241" t="n">
        <v>-1.63</v>
      </c>
      <c r="N2233" s="241" t="n">
        <v>-7.41</v>
      </c>
      <c r="O2233" s="241" t="n">
        <v>1.68</v>
      </c>
      <c r="P2233" s="241" t="n">
        <v>1.77</v>
      </c>
    </row>
    <row r="2234">
      <c r="A2234" s="282" t="inlineStr">
        <is>
          <t>2015-03-17</t>
        </is>
      </c>
      <c r="B2234" s="240">
        <f>IFERROR(1/P2234-1,B2233)</f>
        <v/>
      </c>
      <c r="C2234" s="240">
        <f>$C$3</f>
        <v/>
      </c>
      <c r="D2234" s="240">
        <f>$D$3</f>
        <v/>
      </c>
      <c r="E2234" s="240">
        <f>$E$3</f>
        <v/>
      </c>
      <c r="F2234" s="241" t="n">
        <v>21.05</v>
      </c>
      <c r="G2234" s="242" t="n">
        <v>86510354</v>
      </c>
      <c r="H2234" s="241" t="n">
        <v>3.19</v>
      </c>
      <c r="I2234" s="241" t="n">
        <v>9.58</v>
      </c>
      <c r="J2234" s="241" t="n">
        <v>1.99</v>
      </c>
      <c r="K2234" s="241" t="n">
        <v>11.75</v>
      </c>
      <c r="L2234" s="242" t="n">
        <v>3401200</v>
      </c>
      <c r="M2234" s="241" t="n">
        <v>2.21</v>
      </c>
      <c r="N2234" s="241" t="n">
        <v>-5.73</v>
      </c>
      <c r="O2234" s="241" t="n">
        <v>3.93</v>
      </c>
      <c r="P2234" s="241" t="n">
        <v>1.79</v>
      </c>
    </row>
    <row r="2235">
      <c r="A2235" s="282" t="inlineStr">
        <is>
          <t>2015-03-18</t>
        </is>
      </c>
      <c r="B2235" s="240">
        <f>IFERROR(1/P2235-1,B2234)</f>
        <v/>
      </c>
      <c r="C2235" s="240">
        <f>$C$3</f>
        <v/>
      </c>
      <c r="D2235" s="240">
        <f>$D$3</f>
        <v/>
      </c>
      <c r="E2235" s="240">
        <f>$E$3</f>
        <v/>
      </c>
      <c r="F2235" s="241" t="n">
        <v>21.19</v>
      </c>
      <c r="G2235" s="242" t="n">
        <v>68234325</v>
      </c>
      <c r="H2235" s="241" t="n">
        <v>0.67</v>
      </c>
      <c r="I2235" s="241" t="n">
        <v>10.14</v>
      </c>
      <c r="J2235" s="241" t="n">
        <v>2.66</v>
      </c>
      <c r="K2235" s="241" t="n">
        <v>12.02</v>
      </c>
      <c r="L2235" s="242" t="n">
        <v>1417919</v>
      </c>
      <c r="M2235" s="241" t="n">
        <v>2.29</v>
      </c>
      <c r="N2235" s="241" t="n">
        <v>-4.41</v>
      </c>
      <c r="O2235" s="241" t="n">
        <v>6.31</v>
      </c>
      <c r="P2235" s="241" t="n">
        <v>1.76</v>
      </c>
    </row>
    <row r="2236">
      <c r="A2236" s="282" t="inlineStr">
        <is>
          <t>2015-03-19</t>
        </is>
      </c>
      <c r="B2236" s="240">
        <f>IFERROR(1/P2236-1,B2235)</f>
        <v/>
      </c>
      <c r="C2236" s="240">
        <f>$C$3</f>
        <v/>
      </c>
      <c r="D2236" s="240">
        <f>$D$3</f>
        <v/>
      </c>
      <c r="E2236" s="240">
        <f>$E$3</f>
        <v/>
      </c>
      <c r="F2236" s="241" t="n">
        <v>21.81</v>
      </c>
      <c r="G2236" s="242" t="n">
        <v>114981445</v>
      </c>
      <c r="H2236" s="241" t="n">
        <v>2.93</v>
      </c>
      <c r="I2236" s="241" t="n">
        <v>13.36</v>
      </c>
      <c r="J2236" s="241" t="n">
        <v>5.67</v>
      </c>
      <c r="K2236" s="241" t="n">
        <v>12.09</v>
      </c>
      <c r="L2236" s="242" t="n">
        <v>3815200</v>
      </c>
      <c r="M2236" s="241" t="n">
        <v>0.66</v>
      </c>
      <c r="N2236" s="241" t="n">
        <v>-4.03</v>
      </c>
      <c r="O2236" s="241" t="n">
        <v>7.01</v>
      </c>
      <c r="P2236" s="241" t="n">
        <v>1.8</v>
      </c>
    </row>
    <row r="2237">
      <c r="A2237" s="282" t="inlineStr">
        <is>
          <t>2015-03-20</t>
        </is>
      </c>
      <c r="B2237" s="240">
        <f>IFERROR(1/P2237-1,B2236)</f>
        <v/>
      </c>
      <c r="C2237" s="240">
        <f>$C$3</f>
        <v/>
      </c>
      <c r="D2237" s="240">
        <f>$D$3</f>
        <v/>
      </c>
      <c r="E2237" s="240">
        <f>$E$3</f>
        <v/>
      </c>
      <c r="F2237" s="241" t="n">
        <v>21.5</v>
      </c>
      <c r="G2237" s="242" t="n">
        <v>73473816</v>
      </c>
      <c r="H2237" s="241" t="n">
        <v>-1.42</v>
      </c>
      <c r="I2237" s="241" t="n">
        <v>11.75</v>
      </c>
      <c r="J2237" s="241" t="n">
        <v>4.17</v>
      </c>
      <c r="K2237" s="241" t="n">
        <v>11.7</v>
      </c>
      <c r="L2237" s="242" t="n">
        <v>3196200</v>
      </c>
      <c r="M2237" s="241" t="n">
        <v>-3.28</v>
      </c>
      <c r="N2237" s="241" t="n">
        <v>-7.17</v>
      </c>
      <c r="O2237" s="241" t="n">
        <v>3.51</v>
      </c>
      <c r="P2237" s="241" t="n">
        <v>1.84</v>
      </c>
    </row>
    <row r="2238">
      <c r="A2238" s="282" t="inlineStr">
        <is>
          <t>2015-03-23</t>
        </is>
      </c>
      <c r="B2238" s="240">
        <f>IFERROR(1/P2238-1,B2237)</f>
        <v/>
      </c>
      <c r="C2238" s="240">
        <f>$C$3</f>
        <v/>
      </c>
      <c r="D2238" s="240">
        <f>$D$3</f>
        <v/>
      </c>
      <c r="E2238" s="240">
        <f>$E$3</f>
        <v/>
      </c>
      <c r="F2238" s="241" t="n">
        <v>21.77</v>
      </c>
      <c r="G2238" s="242" t="n">
        <v>76706276</v>
      </c>
      <c r="H2238" s="241" t="n">
        <v>1.26</v>
      </c>
      <c r="I2238" s="241" t="n">
        <v>13.15</v>
      </c>
      <c r="J2238" s="241" t="n">
        <v>5.47</v>
      </c>
      <c r="K2238" s="241" t="n">
        <v>11.66</v>
      </c>
      <c r="L2238" s="242" t="n">
        <v>2214655</v>
      </c>
      <c r="M2238" s="241" t="n">
        <v>-0.27</v>
      </c>
      <c r="N2238" s="241" t="n">
        <v>-7.42</v>
      </c>
      <c r="O2238" s="241" t="n">
        <v>3.23</v>
      </c>
      <c r="P2238" s="241" t="n">
        <v>1.87</v>
      </c>
    </row>
    <row r="2239">
      <c r="A2239" s="282" t="inlineStr">
        <is>
          <t>2015-03-24</t>
        </is>
      </c>
      <c r="B2239" s="240">
        <f>IFERROR(1/P2239-1,B2238)</f>
        <v/>
      </c>
      <c r="C2239" s="240">
        <f>$C$3</f>
        <v/>
      </c>
      <c r="D2239" s="240">
        <f>$D$3</f>
        <v/>
      </c>
      <c r="E2239" s="240">
        <f>$E$3</f>
        <v/>
      </c>
      <c r="F2239" s="241" t="n">
        <v>21.63</v>
      </c>
      <c r="G2239" s="242" t="n">
        <v>97745543</v>
      </c>
      <c r="H2239" s="241" t="n">
        <v>-0.64</v>
      </c>
      <c r="I2239" s="241" t="n">
        <v>12.42</v>
      </c>
      <c r="J2239" s="241" t="n">
        <v>4.8</v>
      </c>
      <c r="K2239" s="241" t="n">
        <v>11.6</v>
      </c>
      <c r="L2239" s="242" t="n">
        <v>2976600</v>
      </c>
      <c r="M2239" s="241" t="n">
        <v>-0.41</v>
      </c>
      <c r="N2239" s="241" t="n">
        <v>-6.15</v>
      </c>
      <c r="O2239" s="241" t="n">
        <v>2.81</v>
      </c>
      <c r="P2239" s="241" t="n">
        <v>1.86</v>
      </c>
    </row>
    <row r="2240">
      <c r="A2240" s="282" t="inlineStr">
        <is>
          <t>2015-03-25</t>
        </is>
      </c>
      <c r="B2240" s="240">
        <f>IFERROR(1/P2240-1,B2239)</f>
        <v/>
      </c>
      <c r="C2240" s="240">
        <f>$C$3</f>
        <v/>
      </c>
      <c r="D2240" s="240">
        <f>$D$3</f>
        <v/>
      </c>
      <c r="E2240" s="240">
        <f>$E$3</f>
        <v/>
      </c>
      <c r="F2240" s="241" t="n">
        <v>21.09</v>
      </c>
      <c r="G2240" s="242" t="n">
        <v>72295246</v>
      </c>
      <c r="H2240" s="241" t="n">
        <v>-2.5</v>
      </c>
      <c r="I2240" s="241" t="n">
        <v>9.619999999999999</v>
      </c>
      <c r="J2240" s="241" t="n">
        <v>2.18</v>
      </c>
      <c r="K2240" s="241" t="n">
        <v>11.39</v>
      </c>
      <c r="L2240" s="242" t="n">
        <v>2778269</v>
      </c>
      <c r="M2240" s="241" t="n">
        <v>-1.91</v>
      </c>
      <c r="N2240" s="241" t="n">
        <v>-8.869999999999999</v>
      </c>
      <c r="O2240" s="241" t="n">
        <v>0.84</v>
      </c>
      <c r="P2240" s="241" t="n">
        <v>1.85</v>
      </c>
    </row>
    <row r="2241">
      <c r="A2241" s="282" t="inlineStr">
        <is>
          <t>2015-03-26</t>
        </is>
      </c>
      <c r="B2241" s="240">
        <f>IFERROR(1/P2241-1,B2240)</f>
        <v/>
      </c>
      <c r="C2241" s="240">
        <f>$C$3</f>
        <v/>
      </c>
      <c r="D2241" s="240">
        <f>$D$3</f>
        <v/>
      </c>
      <c r="E2241" s="240">
        <f>$E$3</f>
        <v/>
      </c>
      <c r="F2241" s="241" t="n">
        <v>21.15</v>
      </c>
      <c r="G2241" s="242" t="n">
        <v>52028002</v>
      </c>
      <c r="H2241" s="241" t="n">
        <v>0.28</v>
      </c>
      <c r="I2241" s="241" t="n">
        <v>11.9</v>
      </c>
      <c r="J2241" s="241" t="n">
        <v>2.47</v>
      </c>
      <c r="K2241" s="241" t="n">
        <v>11.35</v>
      </c>
      <c r="L2241" s="242" t="n">
        <v>2375200</v>
      </c>
      <c r="M2241" s="241" t="n">
        <v>-0.28</v>
      </c>
      <c r="N2241" s="241" t="n">
        <v>-9.01</v>
      </c>
      <c r="O2241" s="241" t="n">
        <v>0.5600000000000001</v>
      </c>
      <c r="P2241" s="241" t="n">
        <v>1.86</v>
      </c>
    </row>
    <row r="2242">
      <c r="A2242" s="282" t="inlineStr">
        <is>
          <t>2015-03-27</t>
        </is>
      </c>
      <c r="B2242" s="240">
        <f>IFERROR(1/P2242-1,B2241)</f>
        <v/>
      </c>
      <c r="C2242" s="240">
        <f>$C$3</f>
        <v/>
      </c>
      <c r="D2242" s="240">
        <f>$D$3</f>
        <v/>
      </c>
      <c r="E2242" s="240">
        <f>$E$3</f>
        <v/>
      </c>
      <c r="F2242" s="241" t="n">
        <v>21.2</v>
      </c>
      <c r="G2242" s="242" t="n">
        <v>39508067</v>
      </c>
      <c r="H2242" s="241" t="n">
        <v>0.24</v>
      </c>
      <c r="I2242" s="241" t="n">
        <v>9.619999999999999</v>
      </c>
      <c r="J2242" s="241" t="n">
        <v>2.71</v>
      </c>
      <c r="K2242" s="241" t="n">
        <v>11.18</v>
      </c>
      <c r="L2242" s="242" t="n">
        <v>3911871</v>
      </c>
      <c r="M2242" s="241" t="n">
        <v>-1.53</v>
      </c>
      <c r="N2242" s="241" t="n">
        <v>-11.31</v>
      </c>
      <c r="O2242" s="241" t="n">
        <v>-0.98</v>
      </c>
      <c r="P2242" s="241" t="n">
        <v>1.9</v>
      </c>
    </row>
    <row r="2243">
      <c r="A2243" s="282" t="inlineStr">
        <is>
          <t>2015-03-30</t>
        </is>
      </c>
      <c r="B2243" s="240">
        <f>IFERROR(1/P2243-1,B2242)</f>
        <v/>
      </c>
      <c r="C2243" s="240">
        <f>$C$3</f>
        <v/>
      </c>
      <c r="D2243" s="240">
        <f>$D$3</f>
        <v/>
      </c>
      <c r="E2243" s="240">
        <f>$E$3</f>
        <v/>
      </c>
      <c r="F2243" s="241" t="n">
        <v>22.16</v>
      </c>
      <c r="G2243" s="242" t="n">
        <v>118322457</v>
      </c>
      <c r="H2243" s="241" t="n">
        <v>4.53</v>
      </c>
      <c r="I2243" s="241" t="n">
        <v>13.82</v>
      </c>
      <c r="J2243" s="241" t="n">
        <v>7.36</v>
      </c>
      <c r="K2243" s="241" t="n">
        <v>11.94</v>
      </c>
      <c r="L2243" s="242" t="n">
        <v>13472600</v>
      </c>
      <c r="M2243" s="241" t="n">
        <v>6.8</v>
      </c>
      <c r="N2243" s="241" t="n">
        <v>-3.83</v>
      </c>
      <c r="O2243" s="241" t="n">
        <v>5.75</v>
      </c>
      <c r="P2243" s="241" t="n">
        <v>1.86</v>
      </c>
    </row>
    <row r="2244">
      <c r="A2244" s="282" t="inlineStr">
        <is>
          <t>2015-03-31</t>
        </is>
      </c>
      <c r="B2244" s="240">
        <f>IFERROR(1/P2244-1,B2243)</f>
        <v/>
      </c>
      <c r="C2244" s="240">
        <f>$C$3</f>
        <v/>
      </c>
      <c r="D2244" s="240">
        <f>$D$3</f>
        <v/>
      </c>
      <c r="E2244" s="240">
        <f>$E$3</f>
        <v/>
      </c>
      <c r="F2244" s="241" t="n">
        <v>21.67</v>
      </c>
      <c r="G2244" s="242" t="n">
        <v>91057564</v>
      </c>
      <c r="H2244" s="241" t="n">
        <v>-2.21</v>
      </c>
      <c r="I2244" s="241" t="n">
        <v>11.3</v>
      </c>
      <c r="J2244" s="241" t="n">
        <v>4.99</v>
      </c>
      <c r="K2244" s="241" t="n">
        <v>11.85</v>
      </c>
      <c r="L2244" s="242" t="n">
        <v>7619800</v>
      </c>
      <c r="M2244" s="241" t="n">
        <v>-0.8</v>
      </c>
      <c r="N2244" s="241" t="n">
        <v>-4.59</v>
      </c>
      <c r="O2244" s="241" t="n">
        <v>4.91</v>
      </c>
      <c r="P2244" s="241" t="n">
        <v>1.83</v>
      </c>
    </row>
    <row r="2245">
      <c r="A2245" s="282" t="inlineStr">
        <is>
          <t>2015-04-01</t>
        </is>
      </c>
      <c r="B2245" s="240">
        <f>IFERROR(1/P2245-1,B2244)</f>
        <v/>
      </c>
      <c r="C2245" s="240">
        <f>$C$3</f>
        <v/>
      </c>
      <c r="D2245" s="240">
        <f>$D$3</f>
        <v/>
      </c>
      <c r="E2245" s="240">
        <f>$E$3</f>
        <v/>
      </c>
      <c r="F2245" s="241" t="n">
        <v>22.21</v>
      </c>
      <c r="G2245" s="242" t="n">
        <v>97377565</v>
      </c>
      <c r="H2245" s="241" t="n">
        <v>2.49</v>
      </c>
      <c r="I2245" s="241" t="n">
        <v>14.07</v>
      </c>
      <c r="J2245" s="241" t="n">
        <v>7.61</v>
      </c>
      <c r="K2245" s="241" t="n">
        <v>11.88</v>
      </c>
      <c r="L2245" s="242" t="n">
        <v>7003800</v>
      </c>
      <c r="M2245" s="241" t="n">
        <v>0.27</v>
      </c>
      <c r="N2245" s="241" t="n">
        <v>-4.34</v>
      </c>
      <c r="O2245" s="241" t="n">
        <v>5.19</v>
      </c>
      <c r="P2245" s="241" t="n">
        <v>1.87</v>
      </c>
    </row>
    <row r="2246">
      <c r="A2246" s="282" t="inlineStr">
        <is>
          <t>2015-04-02</t>
        </is>
      </c>
      <c r="B2246" s="240">
        <f>IFERROR(1/P2246-1,B2245)</f>
        <v/>
      </c>
      <c r="C2246" s="240">
        <f>$C$3</f>
        <v/>
      </c>
      <c r="D2246" s="240">
        <f>$D$3</f>
        <v/>
      </c>
      <c r="E2246" s="240">
        <f>$E$3</f>
        <v/>
      </c>
      <c r="F2246" s="241" t="n">
        <v>22.83</v>
      </c>
      <c r="G2246" s="242" t="n">
        <v>125431791</v>
      </c>
      <c r="H2246" s="241" t="n">
        <v>2.79</v>
      </c>
      <c r="I2246" s="241" t="n">
        <v>17.26</v>
      </c>
      <c r="J2246" s="241" t="n">
        <v>10.61</v>
      </c>
      <c r="K2246" s="241" t="n">
        <v>12.48</v>
      </c>
      <c r="L2246" s="242" t="n">
        <v>21773170</v>
      </c>
      <c r="M2246" s="241" t="n">
        <v>5.07</v>
      </c>
      <c r="N2246" s="241" t="n">
        <v>0.51</v>
      </c>
      <c r="O2246" s="241" t="n">
        <v>10.52</v>
      </c>
      <c r="P2246" s="241" t="n">
        <v>1.83</v>
      </c>
    </row>
    <row r="2247">
      <c r="A2247" s="282" t="inlineStr">
        <is>
          <t>2015-04-03</t>
        </is>
      </c>
      <c r="B2247" s="240">
        <f>IFERROR(1/P2247-1,B2246)</f>
        <v/>
      </c>
      <c r="C2247" s="240">
        <f>$C$3</f>
        <v/>
      </c>
      <c r="D2247" s="240">
        <f>$D$3</f>
        <v/>
      </c>
      <c r="E2247" s="240">
        <f>$E$3</f>
        <v/>
      </c>
      <c r="F2247" s="241" t="n">
        <v>22.72</v>
      </c>
      <c r="G2247" s="242" t="n">
        <v>87569307</v>
      </c>
      <c r="H2247" s="241" t="n">
        <v>-0.48</v>
      </c>
      <c r="I2247" s="241" t="n">
        <v>12.75</v>
      </c>
      <c r="J2247" s="241" t="n">
        <v>10.08</v>
      </c>
      <c r="K2247" s="239" t="inlineStr">
        <is>
          <t>--</t>
        </is>
      </c>
      <c r="L2247" s="239" t="inlineStr">
        <is>
          <t>--</t>
        </is>
      </c>
      <c r="M2247" s="239" t="inlineStr">
        <is>
          <t>--</t>
        </is>
      </c>
      <c r="N2247" s="239" t="inlineStr">
        <is>
          <t>--</t>
        </is>
      </c>
      <c r="O2247" s="239" t="inlineStr">
        <is>
          <t>--</t>
        </is>
      </c>
      <c r="P2247" s="239" t="inlineStr">
        <is>
          <t>--</t>
        </is>
      </c>
    </row>
    <row r="2248">
      <c r="A2248" s="282" t="inlineStr">
        <is>
          <t>2015-04-07</t>
        </is>
      </c>
      <c r="B2248" s="240">
        <f>IFERROR(1/P2248-1,B2247)</f>
        <v/>
      </c>
      <c r="C2248" s="240">
        <f>$C$3</f>
        <v/>
      </c>
      <c r="D2248" s="240">
        <f>$D$3</f>
        <v/>
      </c>
      <c r="E2248" s="240">
        <f>$E$3</f>
        <v/>
      </c>
      <c r="F2248" s="241" t="n">
        <v>23.01</v>
      </c>
      <c r="G2248" s="242" t="n">
        <v>94549755</v>
      </c>
      <c r="H2248" s="241" t="n">
        <v>1.28</v>
      </c>
      <c r="I2248" s="241" t="n">
        <v>15.51</v>
      </c>
      <c r="J2248" s="241" t="n">
        <v>11.48</v>
      </c>
      <c r="K2248" s="239" t="inlineStr">
        <is>
          <t>--</t>
        </is>
      </c>
      <c r="L2248" s="239" t="inlineStr">
        <is>
          <t>--</t>
        </is>
      </c>
      <c r="M2248" s="239" t="inlineStr">
        <is>
          <t>--</t>
        </is>
      </c>
      <c r="N2248" s="239" t="inlineStr">
        <is>
          <t>--</t>
        </is>
      </c>
      <c r="O2248" s="239" t="inlineStr">
        <is>
          <t>--</t>
        </is>
      </c>
      <c r="P2248" s="239" t="inlineStr">
        <is>
          <t>--</t>
        </is>
      </c>
    </row>
    <row r="2249">
      <c r="A2249" s="282" t="inlineStr">
        <is>
          <t>2015-04-08</t>
        </is>
      </c>
      <c r="B2249" s="240">
        <f>IFERROR(1/P2249-1,B2248)</f>
        <v/>
      </c>
      <c r="C2249" s="240">
        <f>$C$3</f>
        <v/>
      </c>
      <c r="D2249" s="240">
        <f>$D$3</f>
        <v/>
      </c>
      <c r="E2249" s="240">
        <f>$E$3</f>
        <v/>
      </c>
      <c r="F2249" s="241" t="n">
        <v>23.53</v>
      </c>
      <c r="G2249" s="242" t="n">
        <v>134967170</v>
      </c>
      <c r="H2249" s="241" t="n">
        <v>2.26</v>
      </c>
      <c r="I2249" s="241" t="n">
        <v>18.12</v>
      </c>
      <c r="J2249" s="241" t="n">
        <v>14</v>
      </c>
      <c r="K2249" s="241" t="n">
        <v>13.91</v>
      </c>
      <c r="L2249" s="242" t="n">
        <v>29203623</v>
      </c>
      <c r="M2249" s="241" t="n">
        <v>11.55</v>
      </c>
      <c r="N2249" s="241" t="n">
        <v>12.4</v>
      </c>
      <c r="O2249" s="241" t="n">
        <v>23.28</v>
      </c>
      <c r="P2249" s="241" t="n">
        <v>1.69</v>
      </c>
    </row>
    <row r="2250">
      <c r="A2250" s="282" t="inlineStr">
        <is>
          <t>2015-04-09</t>
        </is>
      </c>
      <c r="B2250" s="240">
        <f>IFERROR(1/P2250-1,B2249)</f>
        <v/>
      </c>
      <c r="C2250" s="240">
        <f>$C$3</f>
        <v/>
      </c>
      <c r="D2250" s="240">
        <f>$D$3</f>
        <v/>
      </c>
      <c r="E2250" s="240">
        <f>$E$3</f>
        <v/>
      </c>
      <c r="F2250" s="241" t="n">
        <v>22.71</v>
      </c>
      <c r="G2250" s="242" t="n">
        <v>99271848</v>
      </c>
      <c r="H2250" s="241" t="n">
        <v>-3.48</v>
      </c>
      <c r="I2250" s="241" t="n">
        <v>14.01</v>
      </c>
      <c r="J2250" s="241" t="n">
        <v>10.03</v>
      </c>
      <c r="K2250" s="241" t="n">
        <v>15.16</v>
      </c>
      <c r="L2250" s="242" t="n">
        <v>25597314</v>
      </c>
      <c r="M2250" s="241" t="n">
        <v>8.99</v>
      </c>
      <c r="N2250" s="241" t="n">
        <v>22.51</v>
      </c>
      <c r="O2250" s="241" t="n">
        <v>34.36</v>
      </c>
      <c r="P2250" s="241" t="n">
        <v>1.5</v>
      </c>
    </row>
    <row r="2251">
      <c r="A2251" s="282" t="inlineStr">
        <is>
          <t>2015-04-10</t>
        </is>
      </c>
      <c r="B2251" s="240">
        <f>IFERROR(1/P2251-1,B2250)</f>
        <v/>
      </c>
      <c r="C2251" s="240">
        <f>$C$3</f>
        <v/>
      </c>
      <c r="D2251" s="240">
        <f>$D$3</f>
        <v/>
      </c>
      <c r="E2251" s="240">
        <f>$E$3</f>
        <v/>
      </c>
      <c r="F2251" s="241" t="n">
        <v>22.94</v>
      </c>
      <c r="G2251" s="242" t="n">
        <v>71307195</v>
      </c>
      <c r="H2251" s="241" t="n">
        <v>1.01</v>
      </c>
      <c r="I2251" s="241" t="n">
        <v>15.86</v>
      </c>
      <c r="J2251" s="241" t="n">
        <v>11.14</v>
      </c>
      <c r="K2251" s="241" t="n">
        <v>14.86</v>
      </c>
      <c r="L2251" s="242" t="n">
        <v>11568800</v>
      </c>
      <c r="M2251" s="241" t="n">
        <v>-2.09</v>
      </c>
      <c r="N2251" s="241" t="n">
        <v>23.26</v>
      </c>
      <c r="O2251" s="241" t="n">
        <v>31.56</v>
      </c>
      <c r="P2251" s="241" t="n">
        <v>1.54</v>
      </c>
    </row>
    <row r="2252">
      <c r="A2252" s="282" t="inlineStr">
        <is>
          <t>2015-04-13</t>
        </is>
      </c>
      <c r="B2252" s="240">
        <f>IFERROR(1/P2252-1,B2251)</f>
        <v/>
      </c>
      <c r="C2252" s="240">
        <f>$C$3</f>
        <v/>
      </c>
      <c r="D2252" s="240">
        <f>$D$3</f>
        <v/>
      </c>
      <c r="E2252" s="240">
        <f>$E$3</f>
        <v/>
      </c>
      <c r="F2252" s="241" t="n">
        <v>22.94</v>
      </c>
      <c r="G2252" s="242" t="n">
        <v>83790624</v>
      </c>
      <c r="H2252" s="241" t="n">
        <v>0</v>
      </c>
      <c r="I2252" s="241" t="n">
        <v>13.85</v>
      </c>
      <c r="J2252" s="241" t="n">
        <v>11.14</v>
      </c>
      <c r="K2252" s="241" t="n">
        <v>15.29</v>
      </c>
      <c r="L2252" s="242" t="n">
        <v>9346000</v>
      </c>
      <c r="M2252" s="241" t="n">
        <v>2.88</v>
      </c>
      <c r="N2252" s="241" t="n">
        <v>27.98</v>
      </c>
      <c r="O2252" s="241" t="n">
        <v>35.34</v>
      </c>
      <c r="P2252" s="241" t="n">
        <v>1.5</v>
      </c>
    </row>
    <row r="2253">
      <c r="A2253" s="282" t="inlineStr">
        <is>
          <t>2015-04-14</t>
        </is>
      </c>
      <c r="B2253" s="240">
        <f>IFERROR(1/P2253-1,B2252)</f>
        <v/>
      </c>
      <c r="C2253" s="240">
        <f>$C$3</f>
        <v/>
      </c>
      <c r="D2253" s="240">
        <f>$D$3</f>
        <v/>
      </c>
      <c r="E2253" s="240">
        <f>$E$3</f>
        <v/>
      </c>
      <c r="F2253" s="241" t="n">
        <v>23.84</v>
      </c>
      <c r="G2253" s="242" t="n">
        <v>143373801</v>
      </c>
      <c r="H2253" s="241" t="n">
        <v>3.92</v>
      </c>
      <c r="I2253" s="241" t="n">
        <v>19.02</v>
      </c>
      <c r="J2253" s="241" t="n">
        <v>15.5</v>
      </c>
      <c r="K2253" s="241" t="n">
        <v>14.75</v>
      </c>
      <c r="L2253" s="242" t="n">
        <v>8498600</v>
      </c>
      <c r="M2253" s="241" t="n">
        <v>-3.52</v>
      </c>
      <c r="N2253" s="241" t="n">
        <v>26.32</v>
      </c>
      <c r="O2253" s="241" t="n">
        <v>30.57</v>
      </c>
      <c r="P2253" s="241" t="n">
        <v>1.62</v>
      </c>
    </row>
    <row r="2254">
      <c r="A2254" s="282" t="inlineStr">
        <is>
          <t>2015-04-15</t>
        </is>
      </c>
      <c r="B2254" s="240">
        <f>IFERROR(1/P2254-1,B2253)</f>
        <v/>
      </c>
      <c r="C2254" s="240">
        <f>$C$3</f>
        <v/>
      </c>
      <c r="D2254" s="240">
        <f>$D$3</f>
        <v/>
      </c>
      <c r="E2254" s="240">
        <f>$E$3</f>
        <v/>
      </c>
      <c r="F2254" s="241" t="n">
        <v>22.65</v>
      </c>
      <c r="G2254" s="242" t="n">
        <v>99174061</v>
      </c>
      <c r="H2254" s="241" t="n">
        <v>-4.99</v>
      </c>
      <c r="I2254" s="241" t="n">
        <v>13.08</v>
      </c>
      <c r="J2254" s="241" t="n">
        <v>9.74</v>
      </c>
      <c r="K2254" s="241" t="n">
        <v>13.93</v>
      </c>
      <c r="L2254" s="242" t="n">
        <v>10767812</v>
      </c>
      <c r="M2254" s="241" t="n">
        <v>-5.48</v>
      </c>
      <c r="N2254" s="241" t="n">
        <v>19.4</v>
      </c>
      <c r="O2254" s="241" t="n">
        <v>23.42</v>
      </c>
      <c r="P2254" s="241" t="n">
        <v>1.63</v>
      </c>
    </row>
    <row r="2255">
      <c r="A2255" s="282" t="inlineStr">
        <is>
          <t>2015-04-16</t>
        </is>
      </c>
      <c r="B2255" s="240">
        <f>IFERROR(1/P2255-1,B2254)</f>
        <v/>
      </c>
      <c r="C2255" s="240">
        <f>$C$3</f>
        <v/>
      </c>
      <c r="D2255" s="240">
        <f>$D$3</f>
        <v/>
      </c>
      <c r="E2255" s="240">
        <f>$E$3</f>
        <v/>
      </c>
      <c r="F2255" s="241" t="n">
        <v>24.92</v>
      </c>
      <c r="G2255" s="242" t="n">
        <v>155680653</v>
      </c>
      <c r="H2255" s="241" t="n">
        <v>10.02</v>
      </c>
      <c r="I2255" s="241" t="n">
        <v>24.41</v>
      </c>
      <c r="J2255" s="241" t="n">
        <v>20.74</v>
      </c>
      <c r="K2255" s="241" t="n">
        <v>15.94</v>
      </c>
      <c r="L2255" s="242" t="n">
        <v>36880606</v>
      </c>
      <c r="M2255" s="241" t="n">
        <v>14.49</v>
      </c>
      <c r="N2255" s="241" t="n">
        <v>36.7</v>
      </c>
      <c r="O2255" s="241" t="n">
        <v>41.3</v>
      </c>
      <c r="P2255" s="241" t="n">
        <v>1.56</v>
      </c>
    </row>
    <row r="2256">
      <c r="A2256" s="282" t="inlineStr">
        <is>
          <t>2015-04-17</t>
        </is>
      </c>
      <c r="B2256" s="240">
        <f>IFERROR(1/P2256-1,B2255)</f>
        <v/>
      </c>
      <c r="C2256" s="240">
        <f>$C$3</f>
        <v/>
      </c>
      <c r="D2256" s="240">
        <f>$D$3</f>
        <v/>
      </c>
      <c r="E2256" s="240">
        <f>$E$3</f>
        <v/>
      </c>
      <c r="F2256" s="241" t="n">
        <v>27.41</v>
      </c>
      <c r="G2256" s="242" t="n">
        <v>310525566</v>
      </c>
      <c r="H2256" s="241" t="n">
        <v>9.99</v>
      </c>
      <c r="I2256" s="241" t="n">
        <v>34.36</v>
      </c>
      <c r="J2256" s="241" t="n">
        <v>32.8</v>
      </c>
      <c r="K2256" s="241" t="n">
        <v>15.89</v>
      </c>
      <c r="L2256" s="242" t="n">
        <v>25588650</v>
      </c>
      <c r="M2256" s="241" t="n">
        <v>-0.25</v>
      </c>
      <c r="N2256" s="241" t="n">
        <v>38.62</v>
      </c>
      <c r="O2256" s="241" t="n">
        <v>40.95</v>
      </c>
      <c r="P2256" s="241" t="n">
        <v>1.73</v>
      </c>
    </row>
    <row r="2257">
      <c r="A2257" s="282" t="inlineStr">
        <is>
          <t>2015-04-20</t>
        </is>
      </c>
      <c r="B2257" s="240">
        <f>IFERROR(1/P2257-1,B2256)</f>
        <v/>
      </c>
      <c r="C2257" s="240">
        <f>$C$3</f>
        <v/>
      </c>
      <c r="D2257" s="240">
        <f>$D$3</f>
        <v/>
      </c>
      <c r="E2257" s="240">
        <f>$E$3</f>
        <v/>
      </c>
      <c r="F2257" s="241" t="n">
        <v>26.84</v>
      </c>
      <c r="G2257" s="242" t="n">
        <v>284923014</v>
      </c>
      <c r="H2257" s="241" t="n">
        <v>-2.08</v>
      </c>
      <c r="I2257" s="241" t="n">
        <v>23.06</v>
      </c>
      <c r="J2257" s="241" t="n">
        <v>30.04</v>
      </c>
      <c r="K2257" s="241" t="n">
        <v>14.62</v>
      </c>
      <c r="L2257" s="242" t="n">
        <v>16012000</v>
      </c>
      <c r="M2257" s="241" t="n">
        <v>-7.96</v>
      </c>
      <c r="N2257" s="241" t="n">
        <v>21.23</v>
      </c>
      <c r="O2257" s="241" t="n">
        <v>29.73</v>
      </c>
      <c r="P2257" s="241" t="n">
        <v>1.84</v>
      </c>
    </row>
    <row r="2258">
      <c r="A2258" s="282" t="inlineStr">
        <is>
          <t>2015-04-21</t>
        </is>
      </c>
      <c r="B2258" s="240">
        <f>IFERROR(1/P2258-1,B2257)</f>
        <v/>
      </c>
      <c r="C2258" s="240">
        <f>$C$3</f>
        <v/>
      </c>
      <c r="D2258" s="240">
        <f>$D$3</f>
        <v/>
      </c>
      <c r="E2258" s="240">
        <f>$E$3</f>
        <v/>
      </c>
      <c r="F2258" s="241" t="n">
        <v>26.26</v>
      </c>
      <c r="G2258" s="242" t="n">
        <v>131296252</v>
      </c>
      <c r="H2258" s="241" t="n">
        <v>-2.16</v>
      </c>
      <c r="I2258" s="241" t="n">
        <v>22.14</v>
      </c>
      <c r="J2258" s="241" t="n">
        <v>27.23</v>
      </c>
      <c r="K2258" s="241" t="n">
        <v>14.79</v>
      </c>
      <c r="L2258" s="242" t="n">
        <v>7341600</v>
      </c>
      <c r="M2258" s="241" t="n">
        <v>1.08</v>
      </c>
      <c r="N2258" s="241" t="n">
        <v>26.69</v>
      </c>
      <c r="O2258" s="241" t="n">
        <v>31.14</v>
      </c>
      <c r="P2258" s="241" t="n">
        <v>1.78</v>
      </c>
    </row>
    <row r="2259">
      <c r="A2259" s="282" t="inlineStr">
        <is>
          <t>2015-04-22</t>
        </is>
      </c>
      <c r="B2259" s="240">
        <f>IFERROR(1/P2259-1,B2258)</f>
        <v/>
      </c>
      <c r="C2259" s="240">
        <f>$C$3</f>
        <v/>
      </c>
      <c r="D2259" s="240">
        <f>$D$3</f>
        <v/>
      </c>
      <c r="E2259" s="240">
        <f>$E$3</f>
        <v/>
      </c>
      <c r="F2259" s="241" t="n">
        <v>28.89</v>
      </c>
      <c r="G2259" s="242" t="n">
        <v>206922453</v>
      </c>
      <c r="H2259" s="241" t="n">
        <v>10.02</v>
      </c>
      <c r="I2259" s="241" t="n">
        <v>34.37</v>
      </c>
      <c r="J2259" s="241" t="n">
        <v>39.97</v>
      </c>
      <c r="K2259" s="241" t="n">
        <v>15.47</v>
      </c>
      <c r="L2259" s="242" t="n">
        <v>15194800</v>
      </c>
      <c r="M2259" s="241" t="n">
        <v>4.6</v>
      </c>
      <c r="N2259" s="241" t="n">
        <v>32.52</v>
      </c>
      <c r="O2259" s="241" t="n">
        <v>37.17</v>
      </c>
      <c r="P2259" s="241" t="n">
        <v>1.87</v>
      </c>
    </row>
    <row r="2260">
      <c r="A2260" s="282" t="inlineStr">
        <is>
          <t>2015-04-23</t>
        </is>
      </c>
      <c r="B2260" s="240">
        <f>IFERROR(1/P2260-1,B2259)</f>
        <v/>
      </c>
      <c r="C2260" s="240">
        <f>$C$3</f>
        <v/>
      </c>
      <c r="D2260" s="240">
        <f>$D$3</f>
        <v/>
      </c>
      <c r="E2260" s="240">
        <f>$E$3</f>
        <v/>
      </c>
      <c r="F2260" s="241" t="n">
        <v>28.69</v>
      </c>
      <c r="G2260" s="242" t="n">
        <v>250575909</v>
      </c>
      <c r="H2260" s="241" t="n">
        <v>-0.6899999999999999</v>
      </c>
      <c r="I2260" s="241" t="n">
        <v>33.44</v>
      </c>
      <c r="J2260" s="241" t="n">
        <v>39</v>
      </c>
      <c r="K2260" s="241" t="n">
        <v>15.2</v>
      </c>
      <c r="L2260" s="242" t="n">
        <v>10873400</v>
      </c>
      <c r="M2260" s="241" t="n">
        <v>-1.74</v>
      </c>
      <c r="N2260" s="241" t="n">
        <v>30.22</v>
      </c>
      <c r="O2260" s="241" t="n">
        <v>34.78</v>
      </c>
      <c r="P2260" s="241" t="n">
        <v>1.89</v>
      </c>
    </row>
    <row r="2261">
      <c r="A2261" s="282" t="inlineStr">
        <is>
          <t>2015-04-24</t>
        </is>
      </c>
      <c r="B2261" s="240">
        <f>IFERROR(1/P2261-1,B2260)</f>
        <v/>
      </c>
      <c r="C2261" s="240">
        <f>$C$3</f>
        <v/>
      </c>
      <c r="D2261" s="240">
        <f>$D$3</f>
        <v/>
      </c>
      <c r="E2261" s="240">
        <f>$E$3</f>
        <v/>
      </c>
      <c r="F2261" s="241" t="n">
        <v>27.76</v>
      </c>
      <c r="G2261" s="242" t="n">
        <v>138821296</v>
      </c>
      <c r="H2261" s="241" t="n">
        <v>-3.24</v>
      </c>
      <c r="I2261" s="241" t="n">
        <v>27.51</v>
      </c>
      <c r="J2261" s="241" t="n">
        <v>34.5</v>
      </c>
      <c r="K2261" s="241" t="n">
        <v>14.79</v>
      </c>
      <c r="L2261" s="242" t="n">
        <v>8738400</v>
      </c>
      <c r="M2261" s="241" t="n">
        <v>-2.6</v>
      </c>
      <c r="N2261" s="241" t="n">
        <v>27.17</v>
      </c>
      <c r="O2261" s="241" t="n">
        <v>31.28</v>
      </c>
      <c r="P2261" s="241" t="n">
        <v>1.88</v>
      </c>
    </row>
    <row r="2262">
      <c r="A2262" s="282" t="inlineStr">
        <is>
          <t>2015-04-27</t>
        </is>
      </c>
      <c r="B2262" s="240">
        <f>IFERROR(1/P2262-1,B2261)</f>
        <v/>
      </c>
      <c r="C2262" s="240">
        <f>$C$3</f>
        <v/>
      </c>
      <c r="D2262" s="240">
        <f>$D$3</f>
        <v/>
      </c>
      <c r="E2262" s="240">
        <f>$E$3</f>
        <v/>
      </c>
      <c r="F2262" s="241" t="n">
        <v>28.03</v>
      </c>
      <c r="G2262" s="242" t="n">
        <v>117554431</v>
      </c>
      <c r="H2262" s="241" t="n">
        <v>0.97</v>
      </c>
      <c r="I2262" s="241" t="n">
        <v>32.53</v>
      </c>
      <c r="J2262" s="241" t="n">
        <v>35.8</v>
      </c>
      <c r="K2262" s="241" t="n">
        <v>14.76</v>
      </c>
      <c r="L2262" s="242" t="n">
        <v>7514200</v>
      </c>
      <c r="M2262" s="241" t="n">
        <v>-0.21</v>
      </c>
      <c r="N2262" s="241" t="n">
        <v>30.27</v>
      </c>
      <c r="O2262" s="241" t="n">
        <v>31</v>
      </c>
      <c r="P2262" s="241" t="n">
        <v>1.9</v>
      </c>
    </row>
    <row r="2263">
      <c r="A2263" s="282" t="inlineStr">
        <is>
          <t>2015-04-28</t>
        </is>
      </c>
      <c r="B2263" s="240">
        <f>IFERROR(1/P2263-1,B2262)</f>
        <v/>
      </c>
      <c r="C2263" s="240">
        <f>$C$3</f>
        <v/>
      </c>
      <c r="D2263" s="240">
        <f>$D$3</f>
        <v/>
      </c>
      <c r="E2263" s="240">
        <f>$E$3</f>
        <v/>
      </c>
      <c r="F2263" s="241" t="n">
        <v>26.72</v>
      </c>
      <c r="G2263" s="242" t="n">
        <v>104609945</v>
      </c>
      <c r="H2263" s="241" t="n">
        <v>-4.67</v>
      </c>
      <c r="I2263" s="241" t="n">
        <v>26.04</v>
      </c>
      <c r="J2263" s="241" t="n">
        <v>29.46</v>
      </c>
      <c r="K2263" s="241" t="n">
        <v>14.31</v>
      </c>
      <c r="L2263" s="242" t="n">
        <v>7785775</v>
      </c>
      <c r="M2263" s="241" t="n">
        <v>-3</v>
      </c>
      <c r="N2263" s="241" t="n">
        <v>28.33</v>
      </c>
      <c r="O2263" s="241" t="n">
        <v>27.07</v>
      </c>
      <c r="P2263" s="241" t="n">
        <v>1.87</v>
      </c>
    </row>
    <row r="2264">
      <c r="A2264" s="282" t="inlineStr">
        <is>
          <t>2015-04-29</t>
        </is>
      </c>
      <c r="B2264" s="240">
        <f>IFERROR(1/P2264-1,B2263)</f>
        <v/>
      </c>
      <c r="C2264" s="240">
        <f>$C$3</f>
        <v/>
      </c>
      <c r="D2264" s="240">
        <f>$D$3</f>
        <v/>
      </c>
      <c r="E2264" s="240">
        <f>$E$3</f>
        <v/>
      </c>
      <c r="F2264" s="241" t="n">
        <v>27.29</v>
      </c>
      <c r="G2264" s="242" t="n">
        <v>86136811</v>
      </c>
      <c r="H2264" s="241" t="n">
        <v>2.13</v>
      </c>
      <c r="I2264" s="241" t="n">
        <v>28.73</v>
      </c>
      <c r="J2264" s="241" t="n">
        <v>32.22</v>
      </c>
      <c r="K2264" s="241" t="n">
        <v>14.27</v>
      </c>
      <c r="L2264" s="242" t="n">
        <v>6276800</v>
      </c>
      <c r="M2264" s="241" t="n">
        <v>-0.22</v>
      </c>
      <c r="N2264" s="241" t="n">
        <v>28.05</v>
      </c>
      <c r="O2264" s="241" t="n">
        <v>26.79</v>
      </c>
      <c r="P2264" s="241" t="n">
        <v>1.91</v>
      </c>
    </row>
    <row r="2265">
      <c r="A2265" s="282" t="inlineStr">
        <is>
          <t>2015-04-30</t>
        </is>
      </c>
      <c r="B2265" s="240">
        <f>IFERROR(1/P2265-1,B2264)</f>
        <v/>
      </c>
      <c r="C2265" s="240">
        <f>$C$3</f>
        <v/>
      </c>
      <c r="D2265" s="240">
        <f>$D$3</f>
        <v/>
      </c>
      <c r="E2265" s="240">
        <f>$E$3</f>
        <v/>
      </c>
      <c r="F2265" s="241" t="n">
        <v>27.25</v>
      </c>
      <c r="G2265" s="242" t="n">
        <v>102172832</v>
      </c>
      <c r="H2265" s="241" t="n">
        <v>-0.15</v>
      </c>
      <c r="I2265" s="241" t="n">
        <v>28.54</v>
      </c>
      <c r="J2265" s="241" t="n">
        <v>32.03</v>
      </c>
      <c r="K2265" s="241" t="n">
        <v>13.91</v>
      </c>
      <c r="L2265" s="242" t="n">
        <v>7591200</v>
      </c>
      <c r="M2265" s="241" t="n">
        <v>-2.43</v>
      </c>
      <c r="N2265" s="241" t="n">
        <v>24.93</v>
      </c>
      <c r="O2265" s="241" t="n">
        <v>23.7</v>
      </c>
      <c r="P2265" s="241" t="n">
        <v>1.96</v>
      </c>
    </row>
    <row r="2266">
      <c r="A2266" s="282" t="inlineStr">
        <is>
          <t>2015-05-04</t>
        </is>
      </c>
      <c r="B2266" s="240">
        <f>IFERROR(1/P2266-1,B2265)</f>
        <v/>
      </c>
      <c r="C2266" s="240">
        <f>$C$3</f>
        <v/>
      </c>
      <c r="D2266" s="240">
        <f>$D$3</f>
        <v/>
      </c>
      <c r="E2266" s="240">
        <f>$E$3</f>
        <v/>
      </c>
      <c r="F2266" s="241" t="n">
        <v>26.8</v>
      </c>
      <c r="G2266" s="242" t="n">
        <v>78033903</v>
      </c>
      <c r="H2266" s="241" t="n">
        <v>-1.65</v>
      </c>
      <c r="I2266" s="241" t="n">
        <v>17.96</v>
      </c>
      <c r="J2266" s="241" t="n">
        <v>29.84</v>
      </c>
      <c r="K2266" s="241" t="n">
        <v>13.79</v>
      </c>
      <c r="L2266" s="242" t="n">
        <v>4645400</v>
      </c>
      <c r="M2266" s="241" t="n">
        <v>-0.91</v>
      </c>
      <c r="N2266" s="241" t="n">
        <v>10.91</v>
      </c>
      <c r="O2266" s="241" t="n">
        <v>22.58</v>
      </c>
      <c r="P2266" s="241" t="n">
        <v>1.94</v>
      </c>
    </row>
    <row r="2267">
      <c r="A2267" s="282" t="inlineStr">
        <is>
          <t>2015-05-05</t>
        </is>
      </c>
      <c r="B2267" s="240">
        <f>IFERROR(1/P2267-1,B2266)</f>
        <v/>
      </c>
      <c r="C2267" s="240">
        <f>$C$3</f>
        <v/>
      </c>
      <c r="D2267" s="240">
        <f>$D$3</f>
        <v/>
      </c>
      <c r="E2267" s="240">
        <f>$E$3</f>
        <v/>
      </c>
      <c r="F2267" s="241" t="n">
        <v>25.81</v>
      </c>
      <c r="G2267" s="242" t="n">
        <v>80204283</v>
      </c>
      <c r="H2267" s="241" t="n">
        <v>-3.69</v>
      </c>
      <c r="I2267" s="241" t="n">
        <v>13.6</v>
      </c>
      <c r="J2267" s="241" t="n">
        <v>25.05</v>
      </c>
      <c r="K2267" s="241" t="n">
        <v>13.38</v>
      </c>
      <c r="L2267" s="242" t="n">
        <v>6606647</v>
      </c>
      <c r="M2267" s="241" t="n">
        <v>-2.97</v>
      </c>
      <c r="N2267" s="241" t="n">
        <v>7.61</v>
      </c>
      <c r="O2267" s="241" t="n">
        <v>18.93</v>
      </c>
      <c r="P2267" s="241" t="n">
        <v>1.93</v>
      </c>
    </row>
    <row r="2268">
      <c r="A2268" s="282" t="inlineStr">
        <is>
          <t>2015-05-06</t>
        </is>
      </c>
      <c r="B2268" s="240">
        <f>IFERROR(1/P2268-1,B2267)</f>
        <v/>
      </c>
      <c r="C2268" s="240">
        <f>$C$3</f>
        <v/>
      </c>
      <c r="D2268" s="240">
        <f>$D$3</f>
        <v/>
      </c>
      <c r="E2268" s="240">
        <f>$E$3</f>
        <v/>
      </c>
      <c r="F2268" s="241" t="n">
        <v>24.76</v>
      </c>
      <c r="G2268" s="242" t="n">
        <v>83893623</v>
      </c>
      <c r="H2268" s="241" t="n">
        <v>-4.07</v>
      </c>
      <c r="I2268" s="241" t="n">
        <v>8.98</v>
      </c>
      <c r="J2268" s="241" t="n">
        <v>19.96</v>
      </c>
      <c r="K2268" s="241" t="n">
        <v>13.05</v>
      </c>
      <c r="L2268" s="242" t="n">
        <v>5584265</v>
      </c>
      <c r="M2268" s="241" t="n">
        <v>-2.48</v>
      </c>
      <c r="N2268" s="241" t="n">
        <v>4.95</v>
      </c>
      <c r="O2268" s="241" t="n">
        <v>15.99</v>
      </c>
      <c r="P2268" s="241" t="n">
        <v>1.9</v>
      </c>
    </row>
    <row r="2269">
      <c r="A2269" s="282" t="inlineStr">
        <is>
          <t>2015-05-07</t>
        </is>
      </c>
      <c r="B2269" s="240">
        <f>IFERROR(1/P2269-1,B2268)</f>
        <v/>
      </c>
      <c r="C2269" s="240">
        <f>$C$3</f>
        <v/>
      </c>
      <c r="D2269" s="240">
        <f>$D$3</f>
        <v/>
      </c>
      <c r="E2269" s="240">
        <f>$E$3</f>
        <v/>
      </c>
      <c r="F2269" s="241" t="n">
        <v>24.4</v>
      </c>
      <c r="G2269" s="242" t="n">
        <v>70397794</v>
      </c>
      <c r="H2269" s="241" t="n">
        <v>-1.45</v>
      </c>
      <c r="I2269" s="241" t="n">
        <v>7.39</v>
      </c>
      <c r="J2269" s="241" t="n">
        <v>18.22</v>
      </c>
      <c r="K2269" s="241" t="n">
        <v>12.68</v>
      </c>
      <c r="L2269" s="242" t="n">
        <v>6891719</v>
      </c>
      <c r="M2269" s="241" t="n">
        <v>-2.78</v>
      </c>
      <c r="N2269" s="241" t="n">
        <v>2.03</v>
      </c>
      <c r="O2269" s="241" t="n">
        <v>12.76</v>
      </c>
      <c r="P2269" s="241" t="n">
        <v>1.92</v>
      </c>
    </row>
    <row r="2270">
      <c r="A2270" s="282" t="inlineStr">
        <is>
          <t>2015-05-08</t>
        </is>
      </c>
      <c r="B2270" s="240">
        <f>IFERROR(1/P2270-1,B2269)</f>
        <v/>
      </c>
      <c r="C2270" s="240">
        <f>$C$3</f>
        <v/>
      </c>
      <c r="D2270" s="240">
        <f>$D$3</f>
        <v/>
      </c>
      <c r="E2270" s="240">
        <f>$E$3</f>
        <v/>
      </c>
      <c r="F2270" s="241" t="n">
        <v>24.85</v>
      </c>
      <c r="G2270" s="242" t="n">
        <v>61021236</v>
      </c>
      <c r="H2270" s="241" t="n">
        <v>1.84</v>
      </c>
      <c r="I2270" s="241" t="n">
        <v>8</v>
      </c>
      <c r="J2270" s="241" t="n">
        <v>20.4</v>
      </c>
      <c r="K2270" s="241" t="n">
        <v>13.22</v>
      </c>
      <c r="L2270" s="242" t="n">
        <v>3847039</v>
      </c>
      <c r="M2270" s="241" t="n">
        <v>4.23</v>
      </c>
      <c r="N2270" s="241" t="n">
        <v>6.35</v>
      </c>
      <c r="O2270" s="241" t="n">
        <v>17.53</v>
      </c>
      <c r="P2270" s="241" t="n">
        <v>1.88</v>
      </c>
    </row>
    <row r="2271">
      <c r="A2271" s="282" t="inlineStr">
        <is>
          <t>2015-05-11</t>
        </is>
      </c>
      <c r="B2271" s="240">
        <f>IFERROR(1/P2271-1,B2270)</f>
        <v/>
      </c>
      <c r="C2271" s="240">
        <f>$C$3</f>
        <v/>
      </c>
      <c r="D2271" s="240">
        <f>$D$3</f>
        <v/>
      </c>
      <c r="E2271" s="240">
        <f>$E$3</f>
        <v/>
      </c>
      <c r="F2271" s="241" t="n">
        <v>26.72</v>
      </c>
      <c r="G2271" s="242" t="n">
        <v>93613519</v>
      </c>
      <c r="H2271" s="241" t="n">
        <v>7.53</v>
      </c>
      <c r="I2271" s="241" t="n">
        <v>16.48</v>
      </c>
      <c r="J2271" s="241" t="n">
        <v>29.46</v>
      </c>
      <c r="K2271" s="241" t="n">
        <v>13.5</v>
      </c>
      <c r="L2271" s="242" t="n">
        <v>7207930</v>
      </c>
      <c r="M2271" s="241" t="n">
        <v>2.15</v>
      </c>
      <c r="N2271" s="241" t="n">
        <v>-8.74</v>
      </c>
      <c r="O2271" s="241" t="n">
        <v>20.06</v>
      </c>
      <c r="P2271" s="241" t="n">
        <v>1.98</v>
      </c>
    </row>
    <row r="2272">
      <c r="A2272" s="282" t="inlineStr">
        <is>
          <t>2015-05-12</t>
        </is>
      </c>
      <c r="B2272" s="240">
        <f>IFERROR(1/P2272-1,B2271)</f>
        <v/>
      </c>
      <c r="C2272" s="240">
        <f>$C$3</f>
        <v/>
      </c>
      <c r="D2272" s="240">
        <f>$D$3</f>
        <v/>
      </c>
      <c r="E2272" s="240">
        <f>$E$3</f>
        <v/>
      </c>
      <c r="F2272" s="241" t="n">
        <v>28.71</v>
      </c>
      <c r="G2272" s="242" t="n">
        <v>177761285</v>
      </c>
      <c r="H2272" s="241" t="n">
        <v>7.45</v>
      </c>
      <c r="I2272" s="241" t="n">
        <v>25.15</v>
      </c>
      <c r="J2272" s="241" t="n">
        <v>39.1</v>
      </c>
      <c r="K2272" s="241" t="n">
        <v>13.74</v>
      </c>
      <c r="L2272" s="242" t="n">
        <v>10924548</v>
      </c>
      <c r="M2272" s="241" t="n">
        <v>1.75</v>
      </c>
      <c r="N2272" s="241" t="n">
        <v>-7.14</v>
      </c>
      <c r="O2272" s="241" t="n">
        <v>22.16</v>
      </c>
      <c r="P2272" s="241" t="n">
        <v>2.09</v>
      </c>
    </row>
    <row r="2273">
      <c r="A2273" s="282" t="inlineStr">
        <is>
          <t>2015-05-13</t>
        </is>
      </c>
      <c r="B2273" s="240">
        <f>IFERROR(1/P2273-1,B2272)</f>
        <v/>
      </c>
      <c r="C2273" s="240">
        <f>$C$3</f>
        <v/>
      </c>
      <c r="D2273" s="240">
        <f>$D$3</f>
        <v/>
      </c>
      <c r="E2273" s="240">
        <f>$E$3</f>
        <v/>
      </c>
      <c r="F2273" s="241" t="n">
        <v>27.02</v>
      </c>
      <c r="G2273" s="242" t="n">
        <v>132221993</v>
      </c>
      <c r="H2273" s="241" t="n">
        <v>-5.89</v>
      </c>
      <c r="I2273" s="241" t="n">
        <v>17.79</v>
      </c>
      <c r="J2273" s="241" t="n">
        <v>30.91</v>
      </c>
      <c r="K2273" s="241" t="n">
        <v>13.31</v>
      </c>
      <c r="L2273" s="242" t="n">
        <v>4636600</v>
      </c>
      <c r="M2273" s="241" t="n">
        <v>-3.1</v>
      </c>
      <c r="N2273" s="241" t="n">
        <v>-10.02</v>
      </c>
      <c r="O2273" s="241" t="n">
        <v>18.37</v>
      </c>
      <c r="P2273" s="241" t="n">
        <v>2.03</v>
      </c>
    </row>
    <row r="2274">
      <c r="A2274" s="282" t="inlineStr">
        <is>
          <t>2015-05-14</t>
        </is>
      </c>
      <c r="B2274" s="240">
        <f>IFERROR(1/P2274-1,B2273)</f>
        <v/>
      </c>
      <c r="C2274" s="240">
        <f>$C$3</f>
        <v/>
      </c>
      <c r="D2274" s="240">
        <f>$D$3</f>
        <v/>
      </c>
      <c r="E2274" s="240">
        <f>$E$3</f>
        <v/>
      </c>
      <c r="F2274" s="241" t="n">
        <v>27.1</v>
      </c>
      <c r="G2274" s="242" t="n">
        <v>96930496</v>
      </c>
      <c r="H2274" s="241" t="n">
        <v>0.3</v>
      </c>
      <c r="I2274" s="241" t="n">
        <v>18.13</v>
      </c>
      <c r="J2274" s="241" t="n">
        <v>31.3</v>
      </c>
      <c r="K2274" s="241" t="n">
        <v>13.54</v>
      </c>
      <c r="L2274" s="242" t="n">
        <v>4413400</v>
      </c>
      <c r="M2274" s="241" t="n">
        <v>1.78</v>
      </c>
      <c r="N2274" s="241" t="n">
        <v>-10.98</v>
      </c>
      <c r="O2274" s="241" t="n">
        <v>20.48</v>
      </c>
      <c r="P2274" s="241" t="n">
        <v>2</v>
      </c>
    </row>
    <row r="2275">
      <c r="A2275" s="282" t="inlineStr">
        <is>
          <t>2015-05-15</t>
        </is>
      </c>
      <c r="B2275" s="240">
        <f>IFERROR(1/P2275-1,B2274)</f>
        <v/>
      </c>
      <c r="C2275" s="240">
        <f>$C$3</f>
        <v/>
      </c>
      <c r="D2275" s="240">
        <f>$D$3</f>
        <v/>
      </c>
      <c r="E2275" s="240">
        <f>$E$3</f>
        <v/>
      </c>
      <c r="F2275" s="241" t="n">
        <v>26.03</v>
      </c>
      <c r="G2275" s="242" t="n">
        <v>80290110</v>
      </c>
      <c r="H2275" s="241" t="n">
        <v>-3.95</v>
      </c>
      <c r="I2275" s="241" t="n">
        <v>9.19</v>
      </c>
      <c r="J2275" s="241" t="n">
        <v>26.11</v>
      </c>
      <c r="K2275" s="241" t="n">
        <v>13.48</v>
      </c>
      <c r="L2275" s="242" t="n">
        <v>3495600</v>
      </c>
      <c r="M2275" s="241" t="n">
        <v>-0.47</v>
      </c>
      <c r="N2275" s="241" t="n">
        <v>-8.16</v>
      </c>
      <c r="O2275" s="241" t="n">
        <v>19.92</v>
      </c>
      <c r="P2275" s="241" t="n">
        <v>1.93</v>
      </c>
    </row>
    <row r="2276">
      <c r="A2276" s="282" t="inlineStr">
        <is>
          <t>2015-05-18</t>
        </is>
      </c>
      <c r="B2276" s="240">
        <f>IFERROR(1/P2276-1,B2275)</f>
        <v/>
      </c>
      <c r="C2276" s="240">
        <f>$C$3</f>
        <v/>
      </c>
      <c r="D2276" s="240">
        <f>$D$3</f>
        <v/>
      </c>
      <c r="E2276" s="240">
        <f>$E$3</f>
        <v/>
      </c>
      <c r="F2276" s="241" t="n">
        <v>26.45</v>
      </c>
      <c r="G2276" s="242" t="n">
        <v>77972229</v>
      </c>
      <c r="H2276" s="241" t="n">
        <v>1.61</v>
      </c>
      <c r="I2276" s="241" t="n">
        <v>-3.5</v>
      </c>
      <c r="J2276" s="241" t="n">
        <v>28.15</v>
      </c>
      <c r="K2276" s="241" t="n">
        <v>13.44</v>
      </c>
      <c r="L2276" s="242" t="n">
        <v>3752000</v>
      </c>
      <c r="M2276" s="241" t="n">
        <v>-0.23</v>
      </c>
      <c r="N2276" s="241" t="n">
        <v>-15.12</v>
      </c>
      <c r="O2276" s="241" t="n">
        <v>19.64</v>
      </c>
      <c r="P2276" s="241" t="n">
        <v>1.97</v>
      </c>
    </row>
    <row r="2277">
      <c r="A2277" s="282" t="inlineStr">
        <is>
          <t>2015-05-19</t>
        </is>
      </c>
      <c r="B2277" s="240">
        <f>IFERROR(1/P2277-1,B2276)</f>
        <v/>
      </c>
      <c r="C2277" s="240">
        <f>$C$3</f>
        <v/>
      </c>
      <c r="D2277" s="240">
        <f>$D$3</f>
        <v/>
      </c>
      <c r="E2277" s="240">
        <f>$E$3</f>
        <v/>
      </c>
      <c r="F2277" s="241" t="n">
        <v>27.16</v>
      </c>
      <c r="G2277" s="242" t="n">
        <v>76965618</v>
      </c>
      <c r="H2277" s="241" t="n">
        <v>2.68</v>
      </c>
      <c r="I2277" s="241" t="n">
        <v>-0.91</v>
      </c>
      <c r="J2277" s="241" t="n">
        <v>31.59</v>
      </c>
      <c r="K2277" s="241" t="n">
        <v>13.73</v>
      </c>
      <c r="L2277" s="242" t="n">
        <v>3837600</v>
      </c>
      <c r="M2277" s="241" t="n">
        <v>2.11</v>
      </c>
      <c r="N2277" s="241" t="n">
        <v>-13.33</v>
      </c>
      <c r="O2277" s="241" t="n">
        <v>22.16</v>
      </c>
      <c r="P2277" s="241" t="n">
        <v>1.98</v>
      </c>
    </row>
    <row r="2278">
      <c r="A2278" s="282" t="inlineStr">
        <is>
          <t>2015-05-20</t>
        </is>
      </c>
      <c r="B2278" s="240">
        <f>IFERROR(1/P2278-1,B2277)</f>
        <v/>
      </c>
      <c r="C2278" s="240">
        <f>$C$3</f>
        <v/>
      </c>
      <c r="D2278" s="240">
        <f>$D$3</f>
        <v/>
      </c>
      <c r="E2278" s="240">
        <f>$E$3</f>
        <v/>
      </c>
      <c r="F2278" s="241" t="n">
        <v>27.01</v>
      </c>
      <c r="G2278" s="242" t="n">
        <v>87019741</v>
      </c>
      <c r="H2278" s="241" t="n">
        <v>-0.55</v>
      </c>
      <c r="I2278" s="241" t="n">
        <v>-1.46</v>
      </c>
      <c r="J2278" s="241" t="n">
        <v>30.86</v>
      </c>
      <c r="K2278" s="241" t="n">
        <v>13.64</v>
      </c>
      <c r="L2278" s="242" t="n">
        <v>3154800</v>
      </c>
      <c r="M2278" s="241" t="n">
        <v>-0.6899999999999999</v>
      </c>
      <c r="N2278" s="241" t="n">
        <v>-13.93</v>
      </c>
      <c r="O2278" s="241" t="n">
        <v>21.32</v>
      </c>
      <c r="P2278" s="241" t="n">
        <v>1.98</v>
      </c>
    </row>
    <row r="2279">
      <c r="A2279" s="282" t="inlineStr">
        <is>
          <t>2015-05-21</t>
        </is>
      </c>
      <c r="B2279" s="240">
        <f>IFERROR(1/P2279-1,B2278)</f>
        <v/>
      </c>
      <c r="C2279" s="240">
        <f>$C$3</f>
        <v/>
      </c>
      <c r="D2279" s="240">
        <f>$D$3</f>
        <v/>
      </c>
      <c r="E2279" s="240">
        <f>$E$3</f>
        <v/>
      </c>
      <c r="F2279" s="241" t="n">
        <v>29.06</v>
      </c>
      <c r="G2279" s="242" t="n">
        <v>132242785</v>
      </c>
      <c r="H2279" s="241" t="n">
        <v>7.59</v>
      </c>
      <c r="I2279" s="241" t="n">
        <v>8.27</v>
      </c>
      <c r="J2279" s="241" t="n">
        <v>40.79</v>
      </c>
      <c r="K2279" s="241" t="n">
        <v>14.15</v>
      </c>
      <c r="L2279" s="242" t="n">
        <v>5138400</v>
      </c>
      <c r="M2279" s="241" t="n">
        <v>3.7</v>
      </c>
      <c r="N2279" s="241" t="n">
        <v>-3.03</v>
      </c>
      <c r="O2279" s="241" t="n">
        <v>25.81</v>
      </c>
      <c r="P2279" s="241" t="n">
        <v>2.05</v>
      </c>
    </row>
    <row r="2280">
      <c r="A2280" s="282" t="inlineStr">
        <is>
          <t>2015-05-22</t>
        </is>
      </c>
      <c r="B2280" s="240">
        <f>IFERROR(1/P2280-1,B2279)</f>
        <v/>
      </c>
      <c r="C2280" s="240">
        <f>$C$3</f>
        <v/>
      </c>
      <c r="D2280" s="240">
        <f>$D$3</f>
        <v/>
      </c>
      <c r="E2280" s="240">
        <f>$E$3</f>
        <v/>
      </c>
      <c r="F2280" s="241" t="n">
        <v>29.42</v>
      </c>
      <c r="G2280" s="242" t="n">
        <v>161769370</v>
      </c>
      <c r="H2280" s="241" t="n">
        <v>1.24</v>
      </c>
      <c r="I2280" s="241" t="n">
        <v>12.03</v>
      </c>
      <c r="J2280" s="241" t="n">
        <v>42.54</v>
      </c>
      <c r="K2280" s="241" t="n">
        <v>14.11</v>
      </c>
      <c r="L2280" s="242" t="n">
        <v>5088800</v>
      </c>
      <c r="M2280" s="241" t="n">
        <v>-0.22</v>
      </c>
      <c r="N2280" s="241" t="n">
        <v>-4.28</v>
      </c>
      <c r="O2280" s="241" t="n">
        <v>25.53</v>
      </c>
      <c r="P2280" s="241" t="n">
        <v>2.08</v>
      </c>
    </row>
    <row r="2281">
      <c r="A2281" s="282" t="inlineStr">
        <is>
          <t>2015-05-25</t>
        </is>
      </c>
      <c r="B2281" s="240">
        <f>IFERROR(1/P2281-1,B2280)</f>
        <v/>
      </c>
      <c r="C2281" s="240">
        <f>$C$3</f>
        <v/>
      </c>
      <c r="D2281" s="240">
        <f>$D$3</f>
        <v/>
      </c>
      <c r="E2281" s="240">
        <f>$E$3</f>
        <v/>
      </c>
      <c r="F2281" s="241" t="n">
        <v>30.46</v>
      </c>
      <c r="G2281" s="242" t="n">
        <v>141515797</v>
      </c>
      <c r="H2281" s="241" t="n">
        <v>3.54</v>
      </c>
      <c r="I2281" s="241" t="n">
        <v>9.73</v>
      </c>
      <c r="J2281" s="241" t="n">
        <v>47.58</v>
      </c>
      <c r="K2281" s="239" t="inlineStr">
        <is>
          <t>--</t>
        </is>
      </c>
      <c r="L2281" s="239" t="inlineStr">
        <is>
          <t>--</t>
        </is>
      </c>
      <c r="M2281" s="239" t="inlineStr">
        <is>
          <t>--</t>
        </is>
      </c>
      <c r="N2281" s="239" t="inlineStr">
        <is>
          <t>--</t>
        </is>
      </c>
      <c r="O2281" s="239" t="inlineStr">
        <is>
          <t>--</t>
        </is>
      </c>
      <c r="P2281" s="239" t="inlineStr">
        <is>
          <t>--</t>
        </is>
      </c>
    </row>
    <row r="2282">
      <c r="A2282" s="282" t="inlineStr">
        <is>
          <t>2015-05-26</t>
        </is>
      </c>
      <c r="B2282" s="240">
        <f>IFERROR(1/P2282-1,B2281)</f>
        <v/>
      </c>
      <c r="C2282" s="240">
        <f>$C$3</f>
        <v/>
      </c>
      <c r="D2282" s="240">
        <f>$D$3</f>
        <v/>
      </c>
      <c r="E2282" s="240">
        <f>$E$3</f>
        <v/>
      </c>
      <c r="F2282" s="241" t="n">
        <v>31.05</v>
      </c>
      <c r="G2282" s="242" t="n">
        <v>153061953</v>
      </c>
      <c r="H2282" s="241" t="n">
        <v>1.94</v>
      </c>
      <c r="I2282" s="241" t="n">
        <v>11.85</v>
      </c>
      <c r="J2282" s="241" t="n">
        <v>50.44</v>
      </c>
      <c r="K2282" s="241" t="n">
        <v>14.77</v>
      </c>
      <c r="L2282" s="242" t="n">
        <v>8272200</v>
      </c>
      <c r="M2282" s="241" t="n">
        <v>4.58</v>
      </c>
      <c r="N2282" s="241" t="n">
        <v>0</v>
      </c>
      <c r="O2282" s="241" t="n">
        <v>31.28</v>
      </c>
      <c r="P2282" s="241" t="n">
        <v>2.1</v>
      </c>
    </row>
    <row r="2283">
      <c r="A2283" s="282" t="inlineStr">
        <is>
          <t>2015-05-27</t>
        </is>
      </c>
      <c r="B2283" s="240">
        <f>IFERROR(1/P2283-1,B2282)</f>
        <v/>
      </c>
      <c r="C2283" s="240">
        <f>$C$3</f>
        <v/>
      </c>
      <c r="D2283" s="240">
        <f>$D$3</f>
        <v/>
      </c>
      <c r="E2283" s="240">
        <f>$E$3</f>
        <v/>
      </c>
      <c r="F2283" s="241" t="n">
        <v>30.41</v>
      </c>
      <c r="G2283" s="242" t="n">
        <v>127785000</v>
      </c>
      <c r="H2283" s="241" t="n">
        <v>-2.06</v>
      </c>
      <c r="I2283" s="241" t="n">
        <v>9.550000000000001</v>
      </c>
      <c r="J2283" s="241" t="n">
        <v>47.34</v>
      </c>
      <c r="K2283" s="241" t="n">
        <v>14.37</v>
      </c>
      <c r="L2283" s="242" t="n">
        <v>4428170</v>
      </c>
      <c r="M2283" s="241" t="n">
        <v>-2.78</v>
      </c>
      <c r="N2283" s="241" t="n">
        <v>-2.78</v>
      </c>
      <c r="O2283" s="241" t="n">
        <v>27.63</v>
      </c>
      <c r="P2283" s="241" t="n">
        <v>2.12</v>
      </c>
    </row>
    <row r="2284">
      <c r="A2284" s="282" t="inlineStr">
        <is>
          <t>2015-05-28</t>
        </is>
      </c>
      <c r="B2284" s="240">
        <f>IFERROR(1/P2284-1,B2283)</f>
        <v/>
      </c>
      <c r="C2284" s="240">
        <f>$C$3</f>
        <v/>
      </c>
      <c r="D2284" s="240">
        <f>$D$3</f>
        <v/>
      </c>
      <c r="E2284" s="240">
        <f>$E$3</f>
        <v/>
      </c>
      <c r="F2284" s="241" t="n">
        <v>27.39</v>
      </c>
      <c r="G2284" s="242" t="n">
        <v>145238483</v>
      </c>
      <c r="H2284" s="241" t="n">
        <v>-9.93</v>
      </c>
      <c r="I2284" s="241" t="n">
        <v>-2.28</v>
      </c>
      <c r="J2284" s="241" t="n">
        <v>32.7</v>
      </c>
      <c r="K2284" s="241" t="n">
        <v>13.75</v>
      </c>
      <c r="L2284" s="242" t="n">
        <v>8197800</v>
      </c>
      <c r="M2284" s="241" t="n">
        <v>-4.29</v>
      </c>
      <c r="N2284" s="241" t="n">
        <v>-6.75</v>
      </c>
      <c r="O2284" s="241" t="n">
        <v>22.16</v>
      </c>
      <c r="P2284" s="241" t="n">
        <v>1.99</v>
      </c>
    </row>
    <row r="2285">
      <c r="A2285" s="282" t="inlineStr">
        <is>
          <t>2015-05-29</t>
        </is>
      </c>
      <c r="B2285" s="240">
        <f>IFERROR(1/P2285-1,B2284)</f>
        <v/>
      </c>
      <c r="C2285" s="240">
        <f>$C$3</f>
        <v/>
      </c>
      <c r="D2285" s="240">
        <f>$D$3</f>
        <v/>
      </c>
      <c r="E2285" s="240">
        <f>$E$3</f>
        <v/>
      </c>
      <c r="F2285" s="241" t="n">
        <v>27.03</v>
      </c>
      <c r="G2285" s="242" t="n">
        <v>101342893</v>
      </c>
      <c r="H2285" s="241" t="n">
        <v>-1.31</v>
      </c>
      <c r="I2285" s="241" t="n">
        <v>1.16</v>
      </c>
      <c r="J2285" s="241" t="n">
        <v>30.96</v>
      </c>
      <c r="K2285" s="241" t="n">
        <v>13.59</v>
      </c>
      <c r="L2285" s="242" t="n">
        <v>4737200</v>
      </c>
      <c r="M2285" s="241" t="n">
        <v>-1.15</v>
      </c>
      <c r="N2285" s="241" t="n">
        <v>-4.97</v>
      </c>
      <c r="O2285" s="241" t="n">
        <v>20.76</v>
      </c>
      <c r="P2285" s="241" t="n">
        <v>1.99</v>
      </c>
    </row>
    <row r="2286">
      <c r="A2286" s="282" t="inlineStr">
        <is>
          <t>2015-06-01</t>
        </is>
      </c>
      <c r="B2286" s="240">
        <f>IFERROR(1/P2286-1,B2285)</f>
        <v/>
      </c>
      <c r="C2286" s="240">
        <f>$C$3</f>
        <v/>
      </c>
      <c r="D2286" s="240">
        <f>$D$3</f>
        <v/>
      </c>
      <c r="E2286" s="240">
        <f>$E$3</f>
        <v/>
      </c>
      <c r="F2286" s="241" t="n">
        <v>29</v>
      </c>
      <c r="G2286" s="242" t="n">
        <v>101442880</v>
      </c>
      <c r="H2286" s="241" t="n">
        <v>7.29</v>
      </c>
      <c r="I2286" s="241" t="n">
        <v>6.42</v>
      </c>
      <c r="J2286" s="241" t="n">
        <v>40.5</v>
      </c>
      <c r="K2286" s="241" t="n">
        <v>14.24</v>
      </c>
      <c r="L2286" s="242" t="n">
        <v>7802600</v>
      </c>
      <c r="M2286" s="241" t="n">
        <v>4.76</v>
      </c>
      <c r="N2286" s="241" t="n">
        <v>2.27</v>
      </c>
      <c r="O2286" s="241" t="n">
        <v>26.51</v>
      </c>
      <c r="P2286" s="241" t="n">
        <v>2.04</v>
      </c>
    </row>
    <row r="2287">
      <c r="A2287" s="282" t="inlineStr">
        <is>
          <t>2015-06-02</t>
        </is>
      </c>
      <c r="B2287" s="240">
        <f>IFERROR(1/P2287-1,B2286)</f>
        <v/>
      </c>
      <c r="C2287" s="240">
        <f>$C$3</f>
        <v/>
      </c>
      <c r="D2287" s="240">
        <f>$D$3</f>
        <v/>
      </c>
      <c r="E2287" s="240">
        <f>$E$3</f>
        <v/>
      </c>
      <c r="F2287" s="241" t="n">
        <v>29.16</v>
      </c>
      <c r="G2287" s="242" t="n">
        <v>101176939</v>
      </c>
      <c r="H2287" s="241" t="n">
        <v>0.55</v>
      </c>
      <c r="I2287" s="241" t="n">
        <v>7.01</v>
      </c>
      <c r="J2287" s="241" t="n">
        <v>41.28</v>
      </c>
      <c r="K2287" s="241" t="n">
        <v>13.97</v>
      </c>
      <c r="L2287" s="242" t="n">
        <v>4242386</v>
      </c>
      <c r="M2287" s="241" t="n">
        <v>-1.88</v>
      </c>
      <c r="N2287" s="241" t="n">
        <v>0.34</v>
      </c>
      <c r="O2287" s="241" t="n">
        <v>24.12</v>
      </c>
      <c r="P2287" s="241" t="n">
        <v>2.09</v>
      </c>
    </row>
    <row r="2288">
      <c r="A2288" s="282" t="inlineStr">
        <is>
          <t>2015-06-03</t>
        </is>
      </c>
      <c r="B2288" s="240">
        <f>IFERROR(1/P2288-1,B2287)</f>
        <v/>
      </c>
      <c r="C2288" s="240">
        <f>$C$3</f>
        <v/>
      </c>
      <c r="D2288" s="240">
        <f>$D$3</f>
        <v/>
      </c>
      <c r="E2288" s="240">
        <f>$E$3</f>
        <v/>
      </c>
      <c r="F2288" s="241" t="n">
        <v>28.68</v>
      </c>
      <c r="G2288" s="242" t="n">
        <v>88369951</v>
      </c>
      <c r="H2288" s="241" t="n">
        <v>-1.65</v>
      </c>
      <c r="I2288" s="241" t="n">
        <v>5.25</v>
      </c>
      <c r="J2288" s="241" t="n">
        <v>38.95</v>
      </c>
      <c r="K2288" s="241" t="n">
        <v>13.44</v>
      </c>
      <c r="L2288" s="242" t="n">
        <v>5946600</v>
      </c>
      <c r="M2288" s="241" t="n">
        <v>-3.73</v>
      </c>
      <c r="N2288" s="241" t="n">
        <v>-3.4</v>
      </c>
      <c r="O2288" s="241" t="n">
        <v>19.5</v>
      </c>
      <c r="P2288" s="241" t="n">
        <v>2.13</v>
      </c>
    </row>
    <row r="2289">
      <c r="A2289" s="282" t="inlineStr">
        <is>
          <t>2015-06-04</t>
        </is>
      </c>
      <c r="B2289" s="240">
        <f>IFERROR(1/P2289-1,B2288)</f>
        <v/>
      </c>
      <c r="C2289" s="240">
        <f>$C$3</f>
        <v/>
      </c>
      <c r="D2289" s="240">
        <f>$D$3</f>
        <v/>
      </c>
      <c r="E2289" s="240">
        <f>$E$3</f>
        <v/>
      </c>
      <c r="F2289" s="241" t="n">
        <v>28.97</v>
      </c>
      <c r="G2289" s="242" t="n">
        <v>78210572</v>
      </c>
      <c r="H2289" s="241" t="n">
        <v>1.01</v>
      </c>
      <c r="I2289" s="241" t="n">
        <v>6.31</v>
      </c>
      <c r="J2289" s="241" t="n">
        <v>40.36</v>
      </c>
      <c r="K2289" s="241" t="n">
        <v>13.3</v>
      </c>
      <c r="L2289" s="242" t="n">
        <v>5663339</v>
      </c>
      <c r="M2289" s="241" t="n">
        <v>-1.06</v>
      </c>
      <c r="N2289" s="241" t="n">
        <v>-4.42</v>
      </c>
      <c r="O2289" s="241" t="n">
        <v>18.23</v>
      </c>
      <c r="P2289" s="241" t="n">
        <v>2.18</v>
      </c>
    </row>
    <row r="2290">
      <c r="A2290" s="282" t="inlineStr">
        <is>
          <t>2015-06-05</t>
        </is>
      </c>
      <c r="B2290" s="240">
        <f>IFERROR(1/P2290-1,B2289)</f>
        <v/>
      </c>
      <c r="C2290" s="240">
        <f>$C$3</f>
        <v/>
      </c>
      <c r="D2290" s="240">
        <f>$D$3</f>
        <v/>
      </c>
      <c r="E2290" s="240">
        <f>$E$3</f>
        <v/>
      </c>
      <c r="F2290" s="241" t="n">
        <v>29.85</v>
      </c>
      <c r="G2290" s="242" t="n">
        <v>124442655</v>
      </c>
      <c r="H2290" s="241" t="n">
        <v>3.04</v>
      </c>
      <c r="I2290" s="241" t="n">
        <v>11.38</v>
      </c>
      <c r="J2290" s="241" t="n">
        <v>44.62</v>
      </c>
      <c r="K2290" s="241" t="n">
        <v>13.48</v>
      </c>
      <c r="L2290" s="242" t="n">
        <v>4105360</v>
      </c>
      <c r="M2290" s="241" t="n">
        <v>1.3</v>
      </c>
      <c r="N2290" s="241" t="n">
        <v>-2.29</v>
      </c>
      <c r="O2290" s="241" t="n">
        <v>19.78</v>
      </c>
      <c r="P2290" s="241" t="n">
        <v>2.21</v>
      </c>
    </row>
    <row r="2291">
      <c r="A2291" s="282" t="inlineStr">
        <is>
          <t>2015-06-08</t>
        </is>
      </c>
      <c r="B2291" s="240">
        <f>IFERROR(1/P2291-1,B2290)</f>
        <v/>
      </c>
      <c r="C2291" s="240">
        <f>$C$3</f>
        <v/>
      </c>
      <c r="D2291" s="240">
        <f>$D$3</f>
        <v/>
      </c>
      <c r="E2291" s="240">
        <f>$E$3</f>
        <v/>
      </c>
      <c r="F2291" s="241" t="n">
        <v>30.25</v>
      </c>
      <c r="G2291" s="242" t="n">
        <v>115920049</v>
      </c>
      <c r="H2291" s="241" t="n">
        <v>1.34</v>
      </c>
      <c r="I2291" s="241" t="n">
        <v>23.98</v>
      </c>
      <c r="J2291" s="241" t="n">
        <v>46.56</v>
      </c>
      <c r="K2291" s="241" t="n">
        <v>13.39</v>
      </c>
      <c r="L2291" s="242" t="n">
        <v>2350400</v>
      </c>
      <c r="M2291" s="241" t="n">
        <v>-0.7</v>
      </c>
      <c r="N2291" s="241" t="n">
        <v>5.47</v>
      </c>
      <c r="O2291" s="241" t="n">
        <v>18.93</v>
      </c>
      <c r="P2291" s="241" t="n">
        <v>2.26</v>
      </c>
    </row>
    <row r="2292">
      <c r="A2292" s="282" t="inlineStr">
        <is>
          <t>2015-06-09</t>
        </is>
      </c>
      <c r="B2292" s="240">
        <f>IFERROR(1/P2292-1,B2291)</f>
        <v/>
      </c>
      <c r="C2292" s="240">
        <f>$C$3</f>
        <v/>
      </c>
      <c r="D2292" s="240">
        <f>$D$3</f>
        <v/>
      </c>
      <c r="E2292" s="240">
        <f>$E$3</f>
        <v/>
      </c>
      <c r="F2292" s="241" t="n">
        <v>32.43</v>
      </c>
      <c r="G2292" s="242" t="n">
        <v>164897955</v>
      </c>
      <c r="H2292" s="241" t="n">
        <v>7.21</v>
      </c>
      <c r="I2292" s="241" t="n">
        <v>30.5</v>
      </c>
      <c r="J2292" s="241" t="n">
        <v>57.12</v>
      </c>
      <c r="K2292" s="241" t="n">
        <v>12.97</v>
      </c>
      <c r="L2292" s="242" t="n">
        <v>6102400</v>
      </c>
      <c r="M2292" s="241" t="n">
        <v>-3.07</v>
      </c>
      <c r="N2292" s="241" t="n">
        <v>-1.91</v>
      </c>
      <c r="O2292" s="241" t="n">
        <v>15.29</v>
      </c>
      <c r="P2292" s="241" t="n">
        <v>2.5</v>
      </c>
    </row>
    <row r="2293">
      <c r="A2293" s="282" t="inlineStr">
        <is>
          <t>2015-06-10</t>
        </is>
      </c>
      <c r="B2293" s="240">
        <f>IFERROR(1/P2293-1,B2292)</f>
        <v/>
      </c>
      <c r="C2293" s="240">
        <f>$C$3</f>
        <v/>
      </c>
      <c r="D2293" s="240">
        <f>$D$3</f>
        <v/>
      </c>
      <c r="E2293" s="240">
        <f>$E$3</f>
        <v/>
      </c>
      <c r="F2293" s="241" t="n">
        <v>29.82</v>
      </c>
      <c r="G2293" s="242" t="n">
        <v>128296160</v>
      </c>
      <c r="H2293" s="241" t="n">
        <v>-8.050000000000001</v>
      </c>
      <c r="I2293" s="241" t="n">
        <v>20</v>
      </c>
      <c r="J2293" s="241" t="n">
        <v>44.48</v>
      </c>
      <c r="K2293" s="241" t="n">
        <v>12.56</v>
      </c>
      <c r="L2293" s="242" t="n">
        <v>3232800</v>
      </c>
      <c r="M2293" s="241" t="n">
        <v>-3.16</v>
      </c>
      <c r="N2293" s="241" t="n">
        <v>-5.01</v>
      </c>
      <c r="O2293" s="241" t="n">
        <v>11.64</v>
      </c>
      <c r="P2293" s="241" t="n">
        <v>2.37</v>
      </c>
    </row>
    <row r="2294">
      <c r="A2294" s="282" t="inlineStr">
        <is>
          <t>2015-06-11</t>
        </is>
      </c>
      <c r="B2294" s="240">
        <f>IFERROR(1/P2294-1,B2293)</f>
        <v/>
      </c>
      <c r="C2294" s="240">
        <f>$C$3</f>
        <v/>
      </c>
      <c r="D2294" s="240">
        <f>$D$3</f>
        <v/>
      </c>
      <c r="E2294" s="240">
        <f>$E$3</f>
        <v/>
      </c>
      <c r="F2294" s="241" t="n">
        <v>29.05</v>
      </c>
      <c r="G2294" s="242" t="n">
        <v>84289717</v>
      </c>
      <c r="H2294" s="241" t="n">
        <v>-2.58</v>
      </c>
      <c r="I2294" s="241" t="n">
        <v>16.9</v>
      </c>
      <c r="J2294" s="241" t="n">
        <v>40.75</v>
      </c>
      <c r="K2294" s="241" t="n">
        <v>12.68</v>
      </c>
      <c r="L2294" s="242" t="n">
        <v>2465919</v>
      </c>
      <c r="M2294" s="241" t="n">
        <v>1</v>
      </c>
      <c r="N2294" s="241" t="n">
        <v>-4.06</v>
      </c>
      <c r="O2294" s="241" t="n">
        <v>12.76</v>
      </c>
      <c r="P2294" s="241" t="n">
        <v>2.29</v>
      </c>
    </row>
    <row r="2295">
      <c r="A2295" s="282" t="inlineStr">
        <is>
          <t>2015-06-12</t>
        </is>
      </c>
      <c r="B2295" s="240">
        <f>IFERROR(1/P2295-1,B2294)</f>
        <v/>
      </c>
      <c r="C2295" s="240">
        <f>$C$3</f>
        <v/>
      </c>
      <c r="D2295" s="240">
        <f>$D$3</f>
        <v/>
      </c>
      <c r="E2295" s="240">
        <f>$E$3</f>
        <v/>
      </c>
      <c r="F2295" s="241" t="n">
        <v>29.04</v>
      </c>
      <c r="G2295" s="242" t="n">
        <v>63253260</v>
      </c>
      <c r="H2295" s="241" t="n">
        <v>-0.03</v>
      </c>
      <c r="I2295" s="241" t="n">
        <v>8.68</v>
      </c>
      <c r="J2295" s="241" t="n">
        <v>40.7</v>
      </c>
      <c r="K2295" s="241" t="n">
        <v>12.8</v>
      </c>
      <c r="L2295" s="242" t="n">
        <v>4198541</v>
      </c>
      <c r="M2295" s="241" t="n">
        <v>0.87</v>
      </c>
      <c r="N2295" s="241" t="n">
        <v>-5.26</v>
      </c>
      <c r="O2295" s="241" t="n">
        <v>13.74</v>
      </c>
      <c r="P2295" s="241" t="n">
        <v>2.27</v>
      </c>
    </row>
    <row r="2296">
      <c r="A2296" s="282" t="inlineStr">
        <is>
          <t>2015-06-15</t>
        </is>
      </c>
      <c r="B2296" s="240">
        <f>IFERROR(1/P2296-1,B2295)</f>
        <v/>
      </c>
      <c r="C2296" s="240">
        <f>$C$3</f>
        <v/>
      </c>
      <c r="D2296" s="240">
        <f>$D$3</f>
        <v/>
      </c>
      <c r="E2296" s="240">
        <f>$E$3</f>
        <v/>
      </c>
      <c r="F2296" s="241" t="n">
        <v>28.73</v>
      </c>
      <c r="G2296" s="242" t="n">
        <v>66478869</v>
      </c>
      <c r="H2296" s="241" t="n">
        <v>-1.07</v>
      </c>
      <c r="I2296" s="241" t="n">
        <v>6.01</v>
      </c>
      <c r="J2296" s="241" t="n">
        <v>39.2</v>
      </c>
      <c r="K2296" s="241" t="n">
        <v>12.48</v>
      </c>
      <c r="L2296" s="242" t="n">
        <v>3833114</v>
      </c>
      <c r="M2296" s="241" t="n">
        <v>-2.47</v>
      </c>
      <c r="N2296" s="241" t="n">
        <v>-7.92</v>
      </c>
      <c r="O2296" s="241" t="n">
        <v>10.94</v>
      </c>
      <c r="P2296" s="241" t="n">
        <v>2.3</v>
      </c>
    </row>
    <row r="2297">
      <c r="A2297" s="282" t="inlineStr">
        <is>
          <t>2015-06-16</t>
        </is>
      </c>
      <c r="B2297" s="240">
        <f>IFERROR(1/P2297-1,B2296)</f>
        <v/>
      </c>
      <c r="C2297" s="240">
        <f>$C$3</f>
        <v/>
      </c>
      <c r="D2297" s="240">
        <f>$D$3</f>
        <v/>
      </c>
      <c r="E2297" s="240">
        <f>$E$3</f>
        <v/>
      </c>
      <c r="F2297" s="241" t="n">
        <v>29.02</v>
      </c>
      <c r="G2297" s="242" t="n">
        <v>99150312</v>
      </c>
      <c r="H2297" s="241" t="n">
        <v>1.01</v>
      </c>
      <c r="I2297" s="241" t="n">
        <v>11.49</v>
      </c>
      <c r="J2297" s="241" t="n">
        <v>40.6</v>
      </c>
      <c r="K2297" s="241" t="n">
        <v>12.05</v>
      </c>
      <c r="L2297" s="242" t="n">
        <v>3739400</v>
      </c>
      <c r="M2297" s="241" t="n">
        <v>-3.41</v>
      </c>
      <c r="N2297" s="241" t="n">
        <v>-10.64</v>
      </c>
      <c r="O2297" s="241" t="n">
        <v>7.15</v>
      </c>
      <c r="P2297" s="241" t="n">
        <v>2.41</v>
      </c>
    </row>
    <row r="2298">
      <c r="A2298" s="282" t="inlineStr">
        <is>
          <t>2015-06-17</t>
        </is>
      </c>
      <c r="B2298" s="240">
        <f>IFERROR(1/P2298-1,B2297)</f>
        <v/>
      </c>
      <c r="C2298" s="240">
        <f>$C$3</f>
        <v/>
      </c>
      <c r="D2298" s="240">
        <f>$D$3</f>
        <v/>
      </c>
      <c r="E2298" s="240">
        <f>$E$3</f>
        <v/>
      </c>
      <c r="F2298" s="241" t="n">
        <v>28.83</v>
      </c>
      <c r="G2298" s="242" t="n">
        <v>80408159</v>
      </c>
      <c r="H2298" s="241" t="n">
        <v>-0.65</v>
      </c>
      <c r="I2298" s="241" t="n">
        <v>10.76</v>
      </c>
      <c r="J2298" s="241" t="n">
        <v>39.68</v>
      </c>
      <c r="K2298" s="241" t="n">
        <v>12.31</v>
      </c>
      <c r="L2298" s="242" t="n">
        <v>2856700</v>
      </c>
      <c r="M2298" s="241" t="n">
        <v>2.09</v>
      </c>
      <c r="N2298" s="241" t="n">
        <v>-8.77</v>
      </c>
      <c r="O2298" s="241" t="n">
        <v>9.4</v>
      </c>
      <c r="P2298" s="241" t="n">
        <v>2.34</v>
      </c>
    </row>
    <row r="2299">
      <c r="A2299" s="282" t="inlineStr">
        <is>
          <t>2015-06-18</t>
        </is>
      </c>
      <c r="B2299" s="240">
        <f>IFERROR(1/P2299-1,B2298)</f>
        <v/>
      </c>
      <c r="C2299" s="240">
        <f>$C$3</f>
        <v/>
      </c>
      <c r="D2299" s="240">
        <f>$D$3</f>
        <v/>
      </c>
      <c r="E2299" s="240">
        <f>$E$3</f>
        <v/>
      </c>
      <c r="F2299" s="241" t="n">
        <v>26.89</v>
      </c>
      <c r="G2299" s="242" t="n">
        <v>56997661</v>
      </c>
      <c r="H2299" s="241" t="n">
        <v>-6.73</v>
      </c>
      <c r="I2299" s="241" t="n">
        <v>3.3</v>
      </c>
      <c r="J2299" s="241" t="n">
        <v>30.28</v>
      </c>
      <c r="K2299" s="241" t="n">
        <v>12</v>
      </c>
      <c r="L2299" s="242" t="n">
        <v>1359200</v>
      </c>
      <c r="M2299" s="241" t="n">
        <v>-2.44</v>
      </c>
      <c r="N2299" s="241" t="n">
        <v>-10.99</v>
      </c>
      <c r="O2299" s="241" t="n">
        <v>6.73</v>
      </c>
      <c r="P2299" s="241" t="n">
        <v>2.24</v>
      </c>
    </row>
    <row r="2300">
      <c r="A2300" s="282" t="inlineStr">
        <is>
          <t>2015-06-19</t>
        </is>
      </c>
      <c r="B2300" s="240">
        <f>IFERROR(1/P2300-1,B2299)</f>
        <v/>
      </c>
      <c r="C2300" s="240">
        <f>$C$3</f>
        <v/>
      </c>
      <c r="D2300" s="240">
        <f>$D$3</f>
        <v/>
      </c>
      <c r="E2300" s="240">
        <f>$E$3</f>
        <v/>
      </c>
      <c r="F2300" s="241" t="n">
        <v>24.2</v>
      </c>
      <c r="G2300" s="242" t="n">
        <v>61449201</v>
      </c>
      <c r="H2300" s="241" t="n">
        <v>-10</v>
      </c>
      <c r="I2300" s="241" t="n">
        <v>-8.51</v>
      </c>
      <c r="J2300" s="241" t="n">
        <v>17.25</v>
      </c>
      <c r="K2300" s="241" t="n">
        <v>12.12</v>
      </c>
      <c r="L2300" s="242" t="n">
        <v>3095061</v>
      </c>
      <c r="M2300" s="241" t="n">
        <v>1.05</v>
      </c>
      <c r="N2300" s="241" t="n">
        <v>-9.85</v>
      </c>
      <c r="O2300" s="241" t="n">
        <v>7.85</v>
      </c>
      <c r="P2300" s="241" t="n">
        <v>2</v>
      </c>
    </row>
    <row r="2301">
      <c r="A2301" s="282" t="inlineStr">
        <is>
          <t>2015-06-23</t>
        </is>
      </c>
      <c r="B2301" s="240">
        <f>IFERROR(1/P2301-1,B2300)</f>
        <v/>
      </c>
      <c r="C2301" s="240">
        <f>$C$3</f>
        <v/>
      </c>
      <c r="D2301" s="240">
        <f>$D$3</f>
        <v/>
      </c>
      <c r="E2301" s="240">
        <f>$E$3</f>
        <v/>
      </c>
      <c r="F2301" s="241" t="n">
        <v>24.69</v>
      </c>
      <c r="G2301" s="242" t="n">
        <v>55728482</v>
      </c>
      <c r="H2301" s="241" t="n">
        <v>2.02</v>
      </c>
      <c r="I2301" s="241" t="n">
        <v>-16.08</v>
      </c>
      <c r="J2301" s="241" t="n">
        <v>19.62</v>
      </c>
      <c r="K2301" s="241" t="n">
        <v>12.19</v>
      </c>
      <c r="L2301" s="242" t="n">
        <v>4358140</v>
      </c>
      <c r="M2301" s="241" t="n">
        <v>0.65</v>
      </c>
      <c r="N2301" s="241" t="n">
        <v>-13.63</v>
      </c>
      <c r="O2301" s="241" t="n">
        <v>8.42</v>
      </c>
      <c r="P2301" s="241" t="n">
        <v>2.03</v>
      </c>
    </row>
    <row r="2302">
      <c r="A2302" s="282" t="inlineStr">
        <is>
          <t>2015-06-24</t>
        </is>
      </c>
      <c r="B2302" s="240">
        <f>IFERROR(1/P2302-1,B2301)</f>
        <v/>
      </c>
      <c r="C2302" s="240">
        <f>$C$3</f>
        <v/>
      </c>
      <c r="D2302" s="240">
        <f>$D$3</f>
        <v/>
      </c>
      <c r="E2302" s="240">
        <f>$E$3</f>
        <v/>
      </c>
      <c r="F2302" s="241" t="n">
        <v>25.21</v>
      </c>
      <c r="G2302" s="242" t="n">
        <v>59970578</v>
      </c>
      <c r="H2302" s="241" t="n">
        <v>2.11</v>
      </c>
      <c r="I2302" s="241" t="n">
        <v>-14.31</v>
      </c>
      <c r="J2302" s="241" t="n">
        <v>22.14</v>
      </c>
      <c r="K2302" s="241" t="n">
        <v>12.3</v>
      </c>
      <c r="L2302" s="242" t="n">
        <v>3172692</v>
      </c>
      <c r="M2302" s="241" t="n">
        <v>0.91</v>
      </c>
      <c r="N2302" s="241" t="n">
        <v>-12.85</v>
      </c>
      <c r="O2302" s="241" t="n">
        <v>9.4</v>
      </c>
      <c r="P2302" s="241" t="n">
        <v>2.05</v>
      </c>
    </row>
    <row r="2303">
      <c r="A2303" s="282" t="inlineStr">
        <is>
          <t>2015-06-25</t>
        </is>
      </c>
      <c r="B2303" s="240">
        <f>IFERROR(1/P2303-1,B2302)</f>
        <v/>
      </c>
      <c r="C2303" s="240">
        <f>$C$3</f>
        <v/>
      </c>
      <c r="D2303" s="240">
        <f>$D$3</f>
        <v/>
      </c>
      <c r="E2303" s="240">
        <f>$E$3</f>
        <v/>
      </c>
      <c r="F2303" s="241" t="n">
        <v>23.73</v>
      </c>
      <c r="G2303" s="242" t="n">
        <v>56330732</v>
      </c>
      <c r="H2303" s="241" t="n">
        <v>-5.87</v>
      </c>
      <c r="I2303" s="241" t="n">
        <v>-19.34</v>
      </c>
      <c r="J2303" s="241" t="n">
        <v>14.97</v>
      </c>
      <c r="K2303" s="241" t="n">
        <v>12.32</v>
      </c>
      <c r="L2303" s="242" t="n">
        <v>3578454</v>
      </c>
      <c r="M2303" s="241" t="n">
        <v>0.13</v>
      </c>
      <c r="N2303" s="241" t="n">
        <v>-12.74</v>
      </c>
      <c r="O2303" s="241" t="n">
        <v>9.539999999999999</v>
      </c>
      <c r="P2303" s="241" t="n">
        <v>1.93</v>
      </c>
    </row>
    <row r="2304">
      <c r="A2304" s="282" t="inlineStr">
        <is>
          <t>2015-06-26</t>
        </is>
      </c>
      <c r="B2304" s="240">
        <f>IFERROR(1/P2304-1,B2303)</f>
        <v/>
      </c>
      <c r="C2304" s="240">
        <f>$C$3</f>
        <v/>
      </c>
      <c r="D2304" s="240">
        <f>$D$3</f>
        <v/>
      </c>
      <c r="E2304" s="240">
        <f>$E$3</f>
        <v/>
      </c>
      <c r="F2304" s="241" t="n">
        <v>21.36</v>
      </c>
      <c r="G2304" s="242" t="n">
        <v>60016565</v>
      </c>
      <c r="H2304" s="241" t="n">
        <v>-9.99</v>
      </c>
      <c r="I2304" s="241" t="n">
        <v>-29.88</v>
      </c>
      <c r="J2304" s="241" t="n">
        <v>3.49</v>
      </c>
      <c r="K2304" s="241" t="n">
        <v>12.04</v>
      </c>
      <c r="L2304" s="242" t="n">
        <v>6665575</v>
      </c>
      <c r="M2304" s="241" t="n">
        <v>-2.3</v>
      </c>
      <c r="N2304" s="241" t="n">
        <v>-14.75</v>
      </c>
      <c r="O2304" s="241" t="n">
        <v>7.01</v>
      </c>
      <c r="P2304" s="241" t="n">
        <v>1.77</v>
      </c>
    </row>
    <row r="2305">
      <c r="A2305" s="282" t="inlineStr">
        <is>
          <t>2015-06-29</t>
        </is>
      </c>
      <c r="B2305" s="240">
        <f>IFERROR(1/P2305-1,B2304)</f>
        <v/>
      </c>
      <c r="C2305" s="240">
        <f>$C$3</f>
        <v/>
      </c>
      <c r="D2305" s="240">
        <f>$D$3</f>
        <v/>
      </c>
      <c r="E2305" s="240">
        <f>$E$3</f>
        <v/>
      </c>
      <c r="F2305" s="241" t="n">
        <v>19.23</v>
      </c>
      <c r="G2305" s="242" t="n">
        <v>73067230</v>
      </c>
      <c r="H2305" s="241" t="n">
        <v>-9.970000000000001</v>
      </c>
      <c r="I2305" s="241" t="n">
        <v>-29.79</v>
      </c>
      <c r="J2305" s="241" t="n">
        <v>-6.83</v>
      </c>
      <c r="K2305" s="241" t="n">
        <v>11.44</v>
      </c>
      <c r="L2305" s="242" t="n">
        <v>5642887</v>
      </c>
      <c r="M2305" s="241" t="n">
        <v>-4.98</v>
      </c>
      <c r="N2305" s="241" t="n">
        <v>-16.76</v>
      </c>
      <c r="O2305" s="241" t="n">
        <v>1.68</v>
      </c>
      <c r="P2305" s="241" t="n">
        <v>1.68</v>
      </c>
    </row>
    <row r="2306">
      <c r="A2306" s="282" t="inlineStr">
        <is>
          <t>2015-06-30</t>
        </is>
      </c>
      <c r="B2306" s="240">
        <f>IFERROR(1/P2306-1,B2305)</f>
        <v/>
      </c>
      <c r="C2306" s="240">
        <f>$C$3</f>
        <v/>
      </c>
      <c r="D2306" s="240">
        <f>$D$3</f>
        <v/>
      </c>
      <c r="E2306" s="240">
        <f>$E$3</f>
        <v/>
      </c>
      <c r="F2306" s="241" t="n">
        <v>20.47</v>
      </c>
      <c r="G2306" s="242" t="n">
        <v>78930752</v>
      </c>
      <c r="H2306" s="241" t="n">
        <v>6.45</v>
      </c>
      <c r="I2306" s="241" t="n">
        <v>-24.27</v>
      </c>
      <c r="J2306" s="241" t="n">
        <v>-0.82</v>
      </c>
      <c r="K2306" s="241" t="n">
        <v>11.4</v>
      </c>
      <c r="L2306" s="242" t="n">
        <v>6779981</v>
      </c>
      <c r="M2306" s="241" t="n">
        <v>0.52</v>
      </c>
      <c r="N2306" s="241" t="n">
        <v>-15.36</v>
      </c>
      <c r="O2306" s="241" t="n">
        <v>2.21</v>
      </c>
      <c r="P2306" s="241" t="n">
        <v>1.8</v>
      </c>
    </row>
    <row r="2307">
      <c r="A2307" s="282" t="inlineStr">
        <is>
          <t>2015-07-01</t>
        </is>
      </c>
      <c r="B2307" s="240">
        <f>IFERROR(1/P2307-1,B2306)</f>
        <v/>
      </c>
      <c r="C2307" s="240">
        <f>$C$3</f>
        <v/>
      </c>
      <c r="D2307" s="240">
        <f>$D$3</f>
        <v/>
      </c>
      <c r="E2307" s="240">
        <f>$E$3</f>
        <v/>
      </c>
      <c r="F2307" s="241" t="n">
        <v>18.9</v>
      </c>
      <c r="G2307" s="242" t="n">
        <v>73451485</v>
      </c>
      <c r="H2307" s="241" t="n">
        <v>-7.67</v>
      </c>
      <c r="I2307" s="241" t="n">
        <v>-30.08</v>
      </c>
      <c r="J2307" s="241" t="n">
        <v>-8.43</v>
      </c>
      <c r="K2307" s="239" t="inlineStr">
        <is>
          <t>--</t>
        </is>
      </c>
      <c r="L2307" s="239" t="inlineStr">
        <is>
          <t>--</t>
        </is>
      </c>
      <c r="M2307" s="239" t="inlineStr">
        <is>
          <t>--</t>
        </is>
      </c>
      <c r="N2307" s="239" t="inlineStr">
        <is>
          <t>--</t>
        </is>
      </c>
      <c r="O2307" s="239" t="inlineStr">
        <is>
          <t>--</t>
        </is>
      </c>
      <c r="P2307" s="239" t="inlineStr">
        <is>
          <t>--</t>
        </is>
      </c>
    </row>
    <row r="2308">
      <c r="A2308" s="282" t="inlineStr">
        <is>
          <t>2015-07-02</t>
        </is>
      </c>
      <c r="B2308" s="240">
        <f>IFERROR(1/P2308-1,B2307)</f>
        <v/>
      </c>
      <c r="C2308" s="240">
        <f>$C$3</f>
        <v/>
      </c>
      <c r="D2308" s="240">
        <f>$D$3</f>
        <v/>
      </c>
      <c r="E2308" s="240">
        <f>$E$3</f>
        <v/>
      </c>
      <c r="F2308" s="241" t="n">
        <v>17.01</v>
      </c>
      <c r="G2308" s="242" t="n">
        <v>69292915</v>
      </c>
      <c r="H2308" s="241" t="n">
        <v>-10</v>
      </c>
      <c r="I2308" s="241" t="n">
        <v>-41.34</v>
      </c>
      <c r="J2308" s="241" t="n">
        <v>-17.59</v>
      </c>
      <c r="K2308" s="241" t="n">
        <v>10.92</v>
      </c>
      <c r="L2308" s="242" t="n">
        <v>4460348</v>
      </c>
      <c r="M2308" s="241" t="n">
        <v>-4.29</v>
      </c>
      <c r="N2308" s="241" t="n">
        <v>-22.67</v>
      </c>
      <c r="O2308" s="241" t="n">
        <v>-2.18</v>
      </c>
      <c r="P2308" s="241" t="n">
        <v>1.56</v>
      </c>
    </row>
    <row r="2309">
      <c r="A2309" s="282" t="inlineStr">
        <is>
          <t>2015-07-03</t>
        </is>
      </c>
      <c r="B2309" s="240">
        <f>IFERROR(1/P2309-1,B2308)</f>
        <v/>
      </c>
      <c r="C2309" s="240">
        <f>$C$3</f>
        <v/>
      </c>
      <c r="D2309" s="240">
        <f>$D$3</f>
        <v/>
      </c>
      <c r="E2309" s="240">
        <f>$E$3</f>
        <v/>
      </c>
      <c r="F2309" s="241" t="n">
        <v>15.31</v>
      </c>
      <c r="G2309" s="242" t="n">
        <v>72484999</v>
      </c>
      <c r="H2309" s="241" t="n">
        <v>-9.99</v>
      </c>
      <c r="I2309" s="241" t="n">
        <v>-47.5</v>
      </c>
      <c r="J2309" s="241" t="n">
        <v>-25.82</v>
      </c>
      <c r="K2309" s="241" t="n">
        <v>10.57</v>
      </c>
      <c r="L2309" s="242" t="n">
        <v>4390409</v>
      </c>
      <c r="M2309" s="241" t="n">
        <v>-3.18</v>
      </c>
      <c r="N2309" s="241" t="n">
        <v>-23.69</v>
      </c>
      <c r="O2309" s="241" t="n">
        <v>-5.29</v>
      </c>
      <c r="P2309" s="241" t="n">
        <v>1.45</v>
      </c>
    </row>
    <row r="2310">
      <c r="A2310" s="282" t="inlineStr">
        <is>
          <t>2015-07-06</t>
        </is>
      </c>
      <c r="B2310" s="240">
        <f>IFERROR(1/P2310-1,B2309)</f>
        <v/>
      </c>
      <c r="C2310" s="240">
        <f>$C$3</f>
        <v/>
      </c>
      <c r="D2310" s="240">
        <f>$D$3</f>
        <v/>
      </c>
      <c r="E2310" s="240">
        <f>$E$3</f>
        <v/>
      </c>
      <c r="F2310" s="241" t="n">
        <v>15.41</v>
      </c>
      <c r="G2310" s="242" t="n">
        <v>86224907</v>
      </c>
      <c r="H2310" s="241" t="n">
        <v>0.65</v>
      </c>
      <c r="I2310" s="241" t="n">
        <v>-48.38</v>
      </c>
      <c r="J2310" s="241" t="n">
        <v>-25.34</v>
      </c>
      <c r="K2310" s="241" t="n">
        <v>9.470000000000001</v>
      </c>
      <c r="L2310" s="242" t="n">
        <v>10079800</v>
      </c>
      <c r="M2310" s="241" t="n">
        <v>-10.45</v>
      </c>
      <c r="N2310" s="241" t="n">
        <v>-29.19</v>
      </c>
      <c r="O2310" s="241" t="n">
        <v>-15.18</v>
      </c>
      <c r="P2310" s="241" t="n">
        <v>1.63</v>
      </c>
    </row>
    <row r="2311">
      <c r="A2311" s="282" t="inlineStr">
        <is>
          <t>2015-07-07</t>
        </is>
      </c>
      <c r="B2311" s="240">
        <f>IFERROR(1/P2311-1,B2310)</f>
        <v/>
      </c>
      <c r="C2311" s="240">
        <f>$C$3</f>
        <v/>
      </c>
      <c r="D2311" s="240">
        <f>$D$3</f>
        <v/>
      </c>
      <c r="E2311" s="240">
        <f>$E$3</f>
        <v/>
      </c>
      <c r="F2311" s="241" t="n">
        <v>13.88</v>
      </c>
      <c r="G2311" s="242" t="n">
        <v>96757393</v>
      </c>
      <c r="H2311" s="241" t="n">
        <v>-9.93</v>
      </c>
      <c r="I2311" s="241" t="n">
        <v>-53.5</v>
      </c>
      <c r="J2311" s="241" t="n">
        <v>-32.75</v>
      </c>
      <c r="K2311" s="241" t="n">
        <v>8.66</v>
      </c>
      <c r="L2311" s="242" t="n">
        <v>9329888</v>
      </c>
      <c r="M2311" s="241" t="n">
        <v>-8.5</v>
      </c>
      <c r="N2311" s="241" t="n">
        <v>-35.2</v>
      </c>
      <c r="O2311" s="241" t="n">
        <v>-22.39</v>
      </c>
      <c r="P2311" s="241" t="n">
        <v>1.6</v>
      </c>
    </row>
    <row r="2312">
      <c r="A2312" s="282" t="inlineStr">
        <is>
          <t>2015-07-08</t>
        </is>
      </c>
      <c r="B2312" s="240">
        <f>IFERROR(1/P2312-1,B2311)</f>
        <v/>
      </c>
      <c r="C2312" s="240">
        <f>$C$3</f>
        <v/>
      </c>
      <c r="D2312" s="240">
        <f>$D$3</f>
        <v/>
      </c>
      <c r="E2312" s="240">
        <f>$E$3</f>
        <v/>
      </c>
      <c r="F2312" s="241" t="n">
        <v>12.49</v>
      </c>
      <c r="G2312" s="242" t="n">
        <v>80705817</v>
      </c>
      <c r="H2312" s="241" t="n">
        <v>-10.01</v>
      </c>
      <c r="I2312" s="241" t="n">
        <v>-58.16</v>
      </c>
      <c r="J2312" s="241" t="n">
        <v>-39.49</v>
      </c>
      <c r="K2312" s="241" t="n">
        <v>7.66</v>
      </c>
      <c r="L2312" s="242" t="n">
        <v>15201254</v>
      </c>
      <c r="M2312" s="241" t="n">
        <v>-11.57</v>
      </c>
      <c r="N2312" s="241" t="n">
        <v>-42.7</v>
      </c>
      <c r="O2312" s="241" t="n">
        <v>-31.37</v>
      </c>
      <c r="P2312" s="241" t="n">
        <v>1.63</v>
      </c>
    </row>
    <row r="2313">
      <c r="A2313" s="282" t="inlineStr">
        <is>
          <t>2015-07-09</t>
        </is>
      </c>
      <c r="B2313" s="240">
        <f>IFERROR(1/P2313-1,B2312)</f>
        <v/>
      </c>
      <c r="C2313" s="240">
        <f>$C$3</f>
        <v/>
      </c>
      <c r="D2313" s="240">
        <f>$D$3</f>
        <v/>
      </c>
      <c r="E2313" s="240">
        <f>$E$3</f>
        <v/>
      </c>
      <c r="F2313" s="241" t="n">
        <v>13.74</v>
      </c>
      <c r="G2313" s="242" t="n">
        <v>87015375</v>
      </c>
      <c r="H2313" s="241" t="n">
        <v>10.01</v>
      </c>
      <c r="I2313" s="241" t="n">
        <v>-54.58</v>
      </c>
      <c r="J2313" s="241" t="n">
        <v>-33.43</v>
      </c>
      <c r="K2313" s="241" t="n">
        <v>8.720000000000001</v>
      </c>
      <c r="L2313" s="242" t="n">
        <v>14417451</v>
      </c>
      <c r="M2313" s="241" t="n">
        <v>13.9</v>
      </c>
      <c r="N2313" s="241" t="n">
        <v>-34.27</v>
      </c>
      <c r="O2313" s="241" t="n">
        <v>-21.83</v>
      </c>
      <c r="P2313" s="241" t="n">
        <v>1.57</v>
      </c>
    </row>
    <row r="2314">
      <c r="A2314" s="282" t="inlineStr">
        <is>
          <t>2015-07-10</t>
        </is>
      </c>
      <c r="B2314" s="240">
        <f>IFERROR(1/P2314-1,B2313)</f>
        <v/>
      </c>
      <c r="C2314" s="240">
        <f>$C$3</f>
        <v/>
      </c>
      <c r="D2314" s="240">
        <f>$D$3</f>
        <v/>
      </c>
      <c r="E2314" s="240">
        <f>$E$3</f>
        <v/>
      </c>
      <c r="F2314" s="241" t="n">
        <v>15.11</v>
      </c>
      <c r="G2314" s="242" t="n">
        <v>57527938</v>
      </c>
      <c r="H2314" s="241" t="n">
        <v>9.970000000000001</v>
      </c>
      <c r="I2314" s="241" t="n">
        <v>-53.41</v>
      </c>
      <c r="J2314" s="241" t="n">
        <v>-26.79</v>
      </c>
      <c r="K2314" s="241" t="n">
        <v>9.48</v>
      </c>
      <c r="L2314" s="242" t="n">
        <v>10529178</v>
      </c>
      <c r="M2314" s="241" t="n">
        <v>8.68</v>
      </c>
      <c r="N2314" s="241" t="n">
        <v>-26.31</v>
      </c>
      <c r="O2314" s="241" t="n">
        <v>-15.04</v>
      </c>
      <c r="P2314" s="241" t="n">
        <v>1.59</v>
      </c>
    </row>
    <row r="2315">
      <c r="A2315" s="282" t="inlineStr">
        <is>
          <t>2015-07-13</t>
        </is>
      </c>
      <c r="B2315" s="240">
        <f>IFERROR(1/P2315-1,B2314)</f>
        <v/>
      </c>
      <c r="C2315" s="240">
        <f>$C$3</f>
        <v/>
      </c>
      <c r="D2315" s="240">
        <f>$D$3</f>
        <v/>
      </c>
      <c r="E2315" s="240">
        <f>$E$3</f>
        <v/>
      </c>
      <c r="F2315" s="241" t="n">
        <v>16.62</v>
      </c>
      <c r="G2315" s="242" t="n">
        <v>103407472</v>
      </c>
      <c r="H2315" s="241" t="n">
        <v>9.99</v>
      </c>
      <c r="I2315" s="241" t="n">
        <v>-42.77</v>
      </c>
      <c r="J2315" s="241" t="n">
        <v>-19.48</v>
      </c>
      <c r="K2315" s="241" t="n">
        <v>9.779999999999999</v>
      </c>
      <c r="L2315" s="242" t="n">
        <v>5161000</v>
      </c>
      <c r="M2315" s="241" t="n">
        <v>3.16</v>
      </c>
      <c r="N2315" s="241" t="n">
        <v>-22.94</v>
      </c>
      <c r="O2315" s="241" t="n">
        <v>-12.35</v>
      </c>
      <c r="P2315" s="241" t="n">
        <v>1.7</v>
      </c>
    </row>
    <row r="2316">
      <c r="A2316" s="282" t="inlineStr">
        <is>
          <t>2015-07-14</t>
        </is>
      </c>
      <c r="B2316" s="240">
        <f>IFERROR(1/P2316-1,B2315)</f>
        <v/>
      </c>
      <c r="C2316" s="240">
        <f>$C$3</f>
        <v/>
      </c>
      <c r="D2316" s="240">
        <f>$D$3</f>
        <v/>
      </c>
      <c r="E2316" s="240">
        <f>$E$3</f>
        <v/>
      </c>
      <c r="F2316" s="241" t="n">
        <v>16.78</v>
      </c>
      <c r="G2316" s="242" t="n">
        <v>135263899</v>
      </c>
      <c r="H2316" s="241" t="n">
        <v>0.96</v>
      </c>
      <c r="I2316" s="241" t="n">
        <v>-42.22</v>
      </c>
      <c r="J2316" s="241" t="n">
        <v>-18.7</v>
      </c>
      <c r="K2316" s="241" t="n">
        <v>9.199999999999999</v>
      </c>
      <c r="L2316" s="242" t="n">
        <v>5882000</v>
      </c>
      <c r="M2316" s="241" t="n">
        <v>-5.97</v>
      </c>
      <c r="N2316" s="241" t="n">
        <v>-27.54</v>
      </c>
      <c r="O2316" s="241" t="n">
        <v>-17.58</v>
      </c>
      <c r="P2316" s="241" t="n">
        <v>1.82</v>
      </c>
    </row>
    <row r="2317">
      <c r="A2317" s="282" t="inlineStr">
        <is>
          <t>2015-07-15</t>
        </is>
      </c>
      <c r="B2317" s="240">
        <f>IFERROR(1/P2317-1,B2316)</f>
        <v/>
      </c>
      <c r="C2317" s="240">
        <f>$C$3</f>
        <v/>
      </c>
      <c r="D2317" s="240">
        <f>$D$3</f>
        <v/>
      </c>
      <c r="E2317" s="240">
        <f>$E$3</f>
        <v/>
      </c>
      <c r="F2317" s="241" t="n">
        <v>15.1</v>
      </c>
      <c r="G2317" s="242" t="n">
        <v>80133326</v>
      </c>
      <c r="H2317" s="241" t="n">
        <v>-10.01</v>
      </c>
      <c r="I2317" s="241" t="n">
        <v>-48</v>
      </c>
      <c r="J2317" s="241" t="n">
        <v>-26.84</v>
      </c>
      <c r="K2317" s="241" t="n">
        <v>8.539999999999999</v>
      </c>
      <c r="L2317" s="242" t="n">
        <v>8148300</v>
      </c>
      <c r="M2317" s="241" t="n">
        <v>-7.2</v>
      </c>
      <c r="N2317" s="241" t="n">
        <v>-32.76</v>
      </c>
      <c r="O2317" s="241" t="n">
        <v>-23.52</v>
      </c>
      <c r="P2317" s="241" t="n">
        <v>1.77</v>
      </c>
    </row>
    <row r="2318">
      <c r="A2318" s="282" t="inlineStr">
        <is>
          <t>2015-07-16</t>
        </is>
      </c>
      <c r="B2318" s="240">
        <f>IFERROR(1/P2318-1,B2317)</f>
        <v/>
      </c>
      <c r="C2318" s="240">
        <f>$C$3</f>
        <v/>
      </c>
      <c r="D2318" s="240">
        <f>$D$3</f>
        <v/>
      </c>
      <c r="E2318" s="240">
        <f>$E$3</f>
        <v/>
      </c>
      <c r="F2318" s="241" t="n">
        <v>15.67</v>
      </c>
      <c r="G2318" s="242" t="n">
        <v>72019398</v>
      </c>
      <c r="H2318" s="241" t="n">
        <v>3.77</v>
      </c>
      <c r="I2318" s="241" t="n">
        <v>-45.46</v>
      </c>
      <c r="J2318" s="241" t="n">
        <v>-24.08</v>
      </c>
      <c r="K2318" s="241" t="n">
        <v>8.789999999999999</v>
      </c>
      <c r="L2318" s="242" t="n">
        <v>7043500</v>
      </c>
      <c r="M2318" s="241" t="n">
        <v>2.96</v>
      </c>
      <c r="N2318" s="241" t="n">
        <v>-29.02</v>
      </c>
      <c r="O2318" s="241" t="n">
        <v>-21.26</v>
      </c>
      <c r="P2318" s="241" t="n">
        <v>1.78</v>
      </c>
    </row>
    <row r="2319">
      <c r="A2319" s="282" t="inlineStr">
        <is>
          <t>2015-07-17</t>
        </is>
      </c>
      <c r="B2319" s="240">
        <f>IFERROR(1/P2319-1,B2318)</f>
        <v/>
      </c>
      <c r="C2319" s="240">
        <f>$C$3</f>
        <v/>
      </c>
      <c r="D2319" s="240">
        <f>$D$3</f>
        <v/>
      </c>
      <c r="E2319" s="240">
        <f>$E$3</f>
        <v/>
      </c>
      <c r="F2319" s="241" t="n">
        <v>16.83</v>
      </c>
      <c r="G2319" s="242" t="n">
        <v>70512868</v>
      </c>
      <c r="H2319" s="241" t="n">
        <v>7.4</v>
      </c>
      <c r="I2319" s="241" t="n">
        <v>-42.01</v>
      </c>
      <c r="J2319" s="241" t="n">
        <v>-18.46</v>
      </c>
      <c r="K2319" s="241" t="n">
        <v>8.949999999999999</v>
      </c>
      <c r="L2319" s="242" t="n">
        <v>4680765</v>
      </c>
      <c r="M2319" s="241" t="n">
        <v>1.8</v>
      </c>
      <c r="N2319" s="241" t="n">
        <v>-25.2</v>
      </c>
      <c r="O2319" s="241" t="n">
        <v>-19.85</v>
      </c>
      <c r="P2319" s="241" t="n">
        <v>1.88</v>
      </c>
    </row>
    <row r="2320">
      <c r="A2320" s="282" t="inlineStr">
        <is>
          <t>2015-07-20</t>
        </is>
      </c>
      <c r="B2320" s="240">
        <f>IFERROR(1/P2320-1,B2319)</f>
        <v/>
      </c>
      <c r="C2320" s="240">
        <f>$C$3</f>
        <v/>
      </c>
      <c r="D2320" s="240">
        <f>$D$3</f>
        <v/>
      </c>
      <c r="E2320" s="240">
        <f>$E$3</f>
        <v/>
      </c>
      <c r="F2320" s="241" t="n">
        <v>17.19</v>
      </c>
      <c r="G2320" s="242" t="n">
        <v>88519450</v>
      </c>
      <c r="H2320" s="241" t="n">
        <v>2.14</v>
      </c>
      <c r="I2320" s="241" t="n">
        <v>-28.97</v>
      </c>
      <c r="J2320" s="241" t="n">
        <v>-16.72</v>
      </c>
      <c r="K2320" s="241" t="n">
        <v>8.880000000000001</v>
      </c>
      <c r="L2320" s="242" t="n">
        <v>5011200</v>
      </c>
      <c r="M2320" s="241" t="n">
        <v>-0.88</v>
      </c>
      <c r="N2320" s="241" t="n">
        <v>-26.34</v>
      </c>
      <c r="O2320" s="241" t="n">
        <v>-20.55</v>
      </c>
      <c r="P2320" s="241" t="n">
        <v>1.94</v>
      </c>
    </row>
    <row r="2321">
      <c r="A2321" s="282" t="inlineStr">
        <is>
          <t>2015-07-21</t>
        </is>
      </c>
      <c r="B2321" s="240">
        <f>IFERROR(1/P2321-1,B2320)</f>
        <v/>
      </c>
      <c r="C2321" s="240">
        <f>$C$3</f>
        <v/>
      </c>
      <c r="D2321" s="240">
        <f>$D$3</f>
        <v/>
      </c>
      <c r="E2321" s="240">
        <f>$E$3</f>
        <v/>
      </c>
      <c r="F2321" s="241" t="n">
        <v>17.01</v>
      </c>
      <c r="G2321" s="242" t="n">
        <v>95183111</v>
      </c>
      <c r="H2321" s="241" t="n">
        <v>-1.05</v>
      </c>
      <c r="I2321" s="241" t="n">
        <v>-29.71</v>
      </c>
      <c r="J2321" s="241" t="n">
        <v>-17.59</v>
      </c>
      <c r="K2321" s="241" t="n">
        <v>8.529999999999999</v>
      </c>
      <c r="L2321" s="242" t="n">
        <v>4956000</v>
      </c>
      <c r="M2321" s="241" t="n">
        <v>-3.91</v>
      </c>
      <c r="N2321" s="241" t="n">
        <v>-29.22</v>
      </c>
      <c r="O2321" s="241" t="n">
        <v>-23.66</v>
      </c>
      <c r="P2321" s="241" t="n">
        <v>1.99</v>
      </c>
    </row>
    <row r="2322">
      <c r="A2322" s="282" t="inlineStr">
        <is>
          <t>2015-07-22</t>
        </is>
      </c>
      <c r="B2322" s="240">
        <f>IFERROR(1/P2322-1,B2321)</f>
        <v/>
      </c>
      <c r="C2322" s="240">
        <f>$C$3</f>
        <v/>
      </c>
      <c r="D2322" s="240">
        <f>$D$3</f>
        <v/>
      </c>
      <c r="E2322" s="240">
        <f>$E$3</f>
        <v/>
      </c>
      <c r="F2322" s="241" t="n">
        <v>16.74</v>
      </c>
      <c r="G2322" s="242" t="n">
        <v>82497904</v>
      </c>
      <c r="H2322" s="241" t="n">
        <v>-1.59</v>
      </c>
      <c r="I2322" s="241" t="n">
        <v>-30.83</v>
      </c>
      <c r="J2322" s="241" t="n">
        <v>-18.9</v>
      </c>
      <c r="K2322" s="241" t="n">
        <v>8.630000000000001</v>
      </c>
      <c r="L2322" s="242" t="n">
        <v>1974000</v>
      </c>
      <c r="M2322" s="241" t="n">
        <v>1.3</v>
      </c>
      <c r="N2322" s="241" t="n">
        <v>-28.3</v>
      </c>
      <c r="O2322" s="241" t="n">
        <v>-22.67</v>
      </c>
      <c r="P2322" s="241" t="n">
        <v>1.94</v>
      </c>
    </row>
    <row r="2323">
      <c r="A2323" s="282" t="inlineStr">
        <is>
          <t>2015-07-23</t>
        </is>
      </c>
      <c r="B2323" s="240">
        <f>IFERROR(1/P2323-1,B2322)</f>
        <v/>
      </c>
      <c r="C2323" s="240">
        <f>$C$3</f>
        <v/>
      </c>
      <c r="D2323" s="240">
        <f>$D$3</f>
        <v/>
      </c>
      <c r="E2323" s="240">
        <f>$E$3</f>
        <v/>
      </c>
      <c r="F2323" s="241" t="n">
        <v>18.41</v>
      </c>
      <c r="G2323" s="242" t="n">
        <v>102041971</v>
      </c>
      <c r="H2323" s="241" t="n">
        <v>9.98</v>
      </c>
      <c r="I2323" s="241" t="n">
        <v>-23.93</v>
      </c>
      <c r="J2323" s="241" t="n">
        <v>-10.8</v>
      </c>
      <c r="K2323" s="241" t="n">
        <v>8.890000000000001</v>
      </c>
      <c r="L2323" s="242" t="n">
        <v>3923000</v>
      </c>
      <c r="M2323" s="241" t="n">
        <v>2.92</v>
      </c>
      <c r="N2323" s="241" t="n">
        <v>-26.11</v>
      </c>
      <c r="O2323" s="241" t="n">
        <v>-20.41</v>
      </c>
      <c r="P2323" s="241" t="n">
        <v>2.07</v>
      </c>
    </row>
    <row r="2324">
      <c r="A2324" s="282" t="inlineStr">
        <is>
          <t>2015-07-24</t>
        </is>
      </c>
      <c r="B2324" s="240">
        <f>IFERROR(1/P2324-1,B2323)</f>
        <v/>
      </c>
      <c r="C2324" s="240">
        <f>$C$3</f>
        <v/>
      </c>
      <c r="D2324" s="240">
        <f>$D$3</f>
        <v/>
      </c>
      <c r="E2324" s="240">
        <f>$E$3</f>
        <v/>
      </c>
      <c r="F2324" s="241" t="n">
        <v>17.77</v>
      </c>
      <c r="G2324" s="242" t="n">
        <v>151153828</v>
      </c>
      <c r="H2324" s="241" t="n">
        <v>-3.48</v>
      </c>
      <c r="I2324" s="241" t="n">
        <v>-28.03</v>
      </c>
      <c r="J2324" s="241" t="n">
        <v>-13.9</v>
      </c>
      <c r="K2324" s="241" t="n">
        <v>8.67</v>
      </c>
      <c r="L2324" s="242" t="n">
        <v>2053045</v>
      </c>
      <c r="M2324" s="241" t="n">
        <v>-2.49</v>
      </c>
      <c r="N2324" s="241" t="n">
        <v>-28.41</v>
      </c>
      <c r="O2324" s="241" t="n">
        <v>-22.39</v>
      </c>
      <c r="P2324" s="241" t="n">
        <v>2.05</v>
      </c>
    </row>
    <row r="2325">
      <c r="A2325" s="282" t="inlineStr">
        <is>
          <t>2015-07-27</t>
        </is>
      </c>
      <c r="B2325" s="240">
        <f>IFERROR(1/P2325-1,B2324)</f>
        <v/>
      </c>
      <c r="C2325" s="240">
        <f>$C$3</f>
        <v/>
      </c>
      <c r="D2325" s="240">
        <f>$D$3</f>
        <v/>
      </c>
      <c r="E2325" s="240">
        <f>$E$3</f>
        <v/>
      </c>
      <c r="F2325" s="241" t="n">
        <v>15.99</v>
      </c>
      <c r="G2325" s="242" t="n">
        <v>100334742</v>
      </c>
      <c r="H2325" s="241" t="n">
        <v>-10.02</v>
      </c>
      <c r="I2325" s="241" t="n">
        <v>-25.14</v>
      </c>
      <c r="J2325" s="241" t="n">
        <v>-22.53</v>
      </c>
      <c r="K2325" s="241" t="n">
        <v>8.02</v>
      </c>
      <c r="L2325" s="242" t="n">
        <v>3592856</v>
      </c>
      <c r="M2325" s="241" t="n">
        <v>-7.47</v>
      </c>
      <c r="N2325" s="241" t="n">
        <v>-32.89</v>
      </c>
      <c r="O2325" s="241" t="n">
        <v>-28.19</v>
      </c>
      <c r="P2325" s="241" t="n">
        <v>1.99</v>
      </c>
    </row>
    <row r="2326">
      <c r="A2326" s="282" t="inlineStr">
        <is>
          <t>2015-07-28</t>
        </is>
      </c>
      <c r="B2326" s="240">
        <f>IFERROR(1/P2326-1,B2325)</f>
        <v/>
      </c>
      <c r="C2326" s="240">
        <f>$C$3</f>
        <v/>
      </c>
      <c r="D2326" s="240">
        <f>$D$3</f>
        <v/>
      </c>
      <c r="E2326" s="240">
        <f>$E$3</f>
        <v/>
      </c>
      <c r="F2326" s="241" t="n">
        <v>15.48</v>
      </c>
      <c r="G2326" s="242" t="n">
        <v>87121452</v>
      </c>
      <c r="H2326" s="241" t="n">
        <v>-3.19</v>
      </c>
      <c r="I2326" s="241" t="n">
        <v>-27.53</v>
      </c>
      <c r="J2326" s="241" t="n">
        <v>-25</v>
      </c>
      <c r="K2326" s="241" t="n">
        <v>7.92</v>
      </c>
      <c r="L2326" s="242" t="n">
        <v>4751800</v>
      </c>
      <c r="M2326" s="241" t="n">
        <v>-1.18</v>
      </c>
      <c r="N2326" s="241" t="n">
        <v>-33.69</v>
      </c>
      <c r="O2326" s="241" t="n">
        <v>-29.03</v>
      </c>
      <c r="P2326" s="241" t="n">
        <v>1.95</v>
      </c>
    </row>
    <row r="2327">
      <c r="A2327" s="282" t="inlineStr">
        <is>
          <t>2015-07-29</t>
        </is>
      </c>
      <c r="B2327" s="240">
        <f>IFERROR(1/P2327-1,B2326)</f>
        <v/>
      </c>
      <c r="C2327" s="240">
        <f>$C$3</f>
        <v/>
      </c>
      <c r="D2327" s="240">
        <f>$D$3</f>
        <v/>
      </c>
      <c r="E2327" s="240">
        <f>$E$3</f>
        <v/>
      </c>
      <c r="F2327" s="241" t="n">
        <v>16.79</v>
      </c>
      <c r="G2327" s="242" t="n">
        <v>63758608</v>
      </c>
      <c r="H2327" s="241" t="n">
        <v>8.460000000000001</v>
      </c>
      <c r="I2327" s="241" t="n">
        <v>-21.4</v>
      </c>
      <c r="J2327" s="241" t="n">
        <v>-18.65</v>
      </c>
      <c r="K2327" s="241" t="n">
        <v>8.109999999999999</v>
      </c>
      <c r="L2327" s="242" t="n">
        <v>1946200</v>
      </c>
      <c r="M2327" s="241" t="n">
        <v>2.39</v>
      </c>
      <c r="N2327" s="241" t="n">
        <v>-32.1</v>
      </c>
      <c r="O2327" s="241" t="n">
        <v>-27.34</v>
      </c>
      <c r="P2327" s="241" t="n">
        <v>2.07</v>
      </c>
    </row>
    <row r="2328">
      <c r="A2328" s="282" t="inlineStr">
        <is>
          <t>2015-07-30</t>
        </is>
      </c>
      <c r="B2328" s="240">
        <f>IFERROR(1/P2328-1,B2327)</f>
        <v/>
      </c>
      <c r="C2328" s="240">
        <f>$C$3</f>
        <v/>
      </c>
      <c r="D2328" s="240">
        <f>$D$3</f>
        <v/>
      </c>
      <c r="E2328" s="240">
        <f>$E$3</f>
        <v/>
      </c>
      <c r="F2328" s="241" t="n">
        <v>16.46</v>
      </c>
      <c r="G2328" s="242" t="n">
        <v>80166340</v>
      </c>
      <c r="H2328" s="241" t="n">
        <v>-1.97</v>
      </c>
      <c r="I2328" s="241" t="n">
        <v>-14.4</v>
      </c>
      <c r="J2328" s="241" t="n">
        <v>-20.25</v>
      </c>
      <c r="K2328" s="241" t="n">
        <v>7.94</v>
      </c>
      <c r="L2328" s="242" t="n">
        <v>2004000</v>
      </c>
      <c r="M2328" s="241" t="n">
        <v>-2.14</v>
      </c>
      <c r="N2328" s="241" t="n">
        <v>-30.07</v>
      </c>
      <c r="O2328" s="241" t="n">
        <v>-28.89</v>
      </c>
      <c r="P2328" s="241" t="n">
        <v>2.07</v>
      </c>
    </row>
    <row r="2329">
      <c r="A2329" s="282" t="inlineStr">
        <is>
          <t>2015-07-31</t>
        </is>
      </c>
      <c r="B2329" s="240">
        <f>IFERROR(1/P2329-1,B2328)</f>
        <v/>
      </c>
      <c r="C2329" s="240">
        <f>$C$3</f>
        <v/>
      </c>
      <c r="D2329" s="240">
        <f>$D$3</f>
        <v/>
      </c>
      <c r="E2329" s="240">
        <f>$E$3</f>
        <v/>
      </c>
      <c r="F2329" s="241" t="n">
        <v>15.98</v>
      </c>
      <c r="G2329" s="242" t="n">
        <v>50986195</v>
      </c>
      <c r="H2329" s="241" t="n">
        <v>-2.92</v>
      </c>
      <c r="I2329" s="241" t="n">
        <v>-16.9</v>
      </c>
      <c r="J2329" s="241" t="n">
        <v>-22.58</v>
      </c>
      <c r="K2329" s="241" t="n">
        <v>7.94</v>
      </c>
      <c r="L2329" s="242" t="n">
        <v>1288400</v>
      </c>
      <c r="M2329" s="241" t="n">
        <v>0</v>
      </c>
      <c r="N2329" s="241" t="n">
        <v>-30.07</v>
      </c>
      <c r="O2329" s="241" t="n">
        <v>-28.89</v>
      </c>
      <c r="P2329" s="241" t="n">
        <v>2.01</v>
      </c>
    </row>
    <row r="2330">
      <c r="A2330" s="282" t="inlineStr">
        <is>
          <t>2015-08-03</t>
        </is>
      </c>
      <c r="B2330" s="240">
        <f>IFERROR(1/P2330-1,B2329)</f>
        <v/>
      </c>
      <c r="C2330" s="240">
        <f>$C$3</f>
        <v/>
      </c>
      <c r="D2330" s="240">
        <f>$D$3</f>
        <v/>
      </c>
      <c r="E2330" s="240">
        <f>$E$3</f>
        <v/>
      </c>
      <c r="F2330" s="241" t="n">
        <v>14.96</v>
      </c>
      <c r="G2330" s="242" t="n">
        <v>46014278</v>
      </c>
      <c r="H2330" s="241" t="n">
        <v>-6.38</v>
      </c>
      <c r="I2330" s="241" t="n">
        <v>-12.05</v>
      </c>
      <c r="J2330" s="241" t="n">
        <v>-27.52</v>
      </c>
      <c r="K2330" s="241" t="n">
        <v>7.62</v>
      </c>
      <c r="L2330" s="242" t="n">
        <v>2524900</v>
      </c>
      <c r="M2330" s="241" t="n">
        <v>-3.98</v>
      </c>
      <c r="N2330" s="241" t="n">
        <v>-30.2</v>
      </c>
      <c r="O2330" s="241" t="n">
        <v>-31.72</v>
      </c>
      <c r="P2330" s="241" t="n">
        <v>1.96</v>
      </c>
    </row>
    <row r="2331">
      <c r="A2331" s="282" t="inlineStr">
        <is>
          <t>2015-08-04</t>
        </is>
      </c>
      <c r="B2331" s="240">
        <f>IFERROR(1/P2331-1,B2330)</f>
        <v/>
      </c>
      <c r="C2331" s="240">
        <f>$C$3</f>
        <v/>
      </c>
      <c r="D2331" s="240">
        <f>$D$3</f>
        <v/>
      </c>
      <c r="E2331" s="240">
        <f>$E$3</f>
        <v/>
      </c>
      <c r="F2331" s="241" t="n">
        <v>16.22</v>
      </c>
      <c r="G2331" s="242" t="n">
        <v>49890864</v>
      </c>
      <c r="H2331" s="241" t="n">
        <v>8.42</v>
      </c>
      <c r="I2331" s="241" t="n">
        <v>5.94</v>
      </c>
      <c r="J2331" s="241" t="n">
        <v>-21.41</v>
      </c>
      <c r="K2331" s="241" t="n">
        <v>7.63</v>
      </c>
      <c r="L2331" s="242" t="n">
        <v>3237994</v>
      </c>
      <c r="M2331" s="241" t="n">
        <v>0.1</v>
      </c>
      <c r="N2331" s="241" t="n">
        <v>-27.84</v>
      </c>
      <c r="O2331" s="241" t="n">
        <v>-31.65</v>
      </c>
      <c r="P2331" s="241" t="n">
        <v>2.13</v>
      </c>
    </row>
    <row r="2332">
      <c r="A2332" s="282" t="inlineStr">
        <is>
          <t>2015-08-05</t>
        </is>
      </c>
      <c r="B2332" s="240">
        <f>IFERROR(1/P2332-1,B2331)</f>
        <v/>
      </c>
      <c r="C2332" s="240">
        <f>$C$3</f>
        <v/>
      </c>
      <c r="D2332" s="240">
        <f>$D$3</f>
        <v/>
      </c>
      <c r="E2332" s="240">
        <f>$E$3</f>
        <v/>
      </c>
      <c r="F2332" s="241" t="n">
        <v>15.8</v>
      </c>
      <c r="G2332" s="242" t="n">
        <v>49607764</v>
      </c>
      <c r="H2332" s="241" t="n">
        <v>-2.59</v>
      </c>
      <c r="I2332" s="241" t="n">
        <v>3.2</v>
      </c>
      <c r="J2332" s="241" t="n">
        <v>-23.45</v>
      </c>
      <c r="K2332" s="241" t="n">
        <v>7.65</v>
      </c>
      <c r="L2332" s="242" t="n">
        <v>2884200</v>
      </c>
      <c r="M2332" s="241" t="n">
        <v>0.31</v>
      </c>
      <c r="N2332" s="241" t="n">
        <v>-27.61</v>
      </c>
      <c r="O2332" s="241" t="n">
        <v>-31.44</v>
      </c>
      <c r="P2332" s="241" t="n">
        <v>2.06</v>
      </c>
    </row>
    <row r="2333">
      <c r="A2333" s="282" t="inlineStr">
        <is>
          <t>2015-08-06</t>
        </is>
      </c>
      <c r="B2333" s="240">
        <f>IFERROR(1/P2333-1,B2332)</f>
        <v/>
      </c>
      <c r="C2333" s="240">
        <f>$C$3</f>
        <v/>
      </c>
      <c r="D2333" s="240">
        <f>$D$3</f>
        <v/>
      </c>
      <c r="E2333" s="240">
        <f>$E$3</f>
        <v/>
      </c>
      <c r="F2333" s="241" t="n">
        <v>16.19</v>
      </c>
      <c r="G2333" s="242" t="n">
        <v>54887697</v>
      </c>
      <c r="H2333" s="241" t="n">
        <v>2.47</v>
      </c>
      <c r="I2333" s="241" t="n">
        <v>5.75</v>
      </c>
      <c r="J2333" s="241" t="n">
        <v>-21.56</v>
      </c>
      <c r="K2333" s="241" t="n">
        <v>7.73</v>
      </c>
      <c r="L2333" s="242" t="n">
        <v>2879600</v>
      </c>
      <c r="M2333" s="241" t="n">
        <v>0.93</v>
      </c>
      <c r="N2333" s="241" t="n">
        <v>-26.94</v>
      </c>
      <c r="O2333" s="241" t="n">
        <v>-30.8</v>
      </c>
      <c r="P2333" s="241" t="n">
        <v>2.1</v>
      </c>
    </row>
    <row r="2334">
      <c r="A2334" s="282" t="inlineStr">
        <is>
          <t>2015-08-07</t>
        </is>
      </c>
      <c r="B2334" s="240">
        <f>IFERROR(1/P2334-1,B2333)</f>
        <v/>
      </c>
      <c r="C2334" s="240">
        <f>$C$3</f>
        <v/>
      </c>
      <c r="D2334" s="240">
        <f>$D$3</f>
        <v/>
      </c>
      <c r="E2334" s="240">
        <f>$E$3</f>
        <v/>
      </c>
      <c r="F2334" s="241" t="n">
        <v>17.14</v>
      </c>
      <c r="G2334" s="242" t="n">
        <v>80516270</v>
      </c>
      <c r="H2334" s="241" t="n">
        <v>5.87</v>
      </c>
      <c r="I2334" s="241" t="n">
        <v>11.23</v>
      </c>
      <c r="J2334" s="241" t="n">
        <v>-16.96</v>
      </c>
      <c r="K2334" s="241" t="n">
        <v>8.029999999999999</v>
      </c>
      <c r="L2334" s="242" t="n">
        <v>4094200</v>
      </c>
      <c r="M2334" s="241" t="n">
        <v>3.98</v>
      </c>
      <c r="N2334" s="241" t="n">
        <v>-15.17</v>
      </c>
      <c r="O2334" s="241" t="n">
        <v>-28.05</v>
      </c>
      <c r="P2334" s="241" t="n">
        <v>2.13</v>
      </c>
    </row>
    <row r="2335">
      <c r="A2335" s="282" t="inlineStr">
        <is>
          <t>2015-08-10</t>
        </is>
      </c>
      <c r="B2335" s="240">
        <f>IFERROR(1/P2335-1,B2334)</f>
        <v/>
      </c>
      <c r="C2335" s="240">
        <f>$C$3</f>
        <v/>
      </c>
      <c r="D2335" s="240">
        <f>$D$3</f>
        <v/>
      </c>
      <c r="E2335" s="240">
        <f>$E$3</f>
        <v/>
      </c>
      <c r="F2335" s="241" t="n">
        <v>18.52</v>
      </c>
      <c r="G2335" s="242" t="n">
        <v>109748607</v>
      </c>
      <c r="H2335" s="241" t="n">
        <v>8.050000000000001</v>
      </c>
      <c r="I2335" s="241" t="n">
        <v>34.79</v>
      </c>
      <c r="J2335" s="241" t="n">
        <v>-10.27</v>
      </c>
      <c r="K2335" s="241" t="n">
        <v>8.76</v>
      </c>
      <c r="L2335" s="242" t="n">
        <v>7675000</v>
      </c>
      <c r="M2335" s="241" t="n">
        <v>9.039999999999999</v>
      </c>
      <c r="N2335" s="241" t="n">
        <v>0.36</v>
      </c>
      <c r="O2335" s="241" t="n">
        <v>-21.54</v>
      </c>
      <c r="P2335" s="241" t="n">
        <v>2.11</v>
      </c>
    </row>
    <row r="2336">
      <c r="A2336" s="282" t="inlineStr">
        <is>
          <t>2015-08-11</t>
        </is>
      </c>
      <c r="B2336" s="240">
        <f>IFERROR(1/P2336-1,B2335)</f>
        <v/>
      </c>
      <c r="C2336" s="240">
        <f>$C$3</f>
        <v/>
      </c>
      <c r="D2336" s="240">
        <f>$D$3</f>
        <v/>
      </c>
      <c r="E2336" s="240">
        <f>$E$3</f>
        <v/>
      </c>
      <c r="F2336" s="241" t="n">
        <v>18.2</v>
      </c>
      <c r="G2336" s="242" t="n">
        <v>106920644</v>
      </c>
      <c r="H2336" s="241" t="n">
        <v>-1.73</v>
      </c>
      <c r="I2336" s="241" t="n">
        <v>20.45</v>
      </c>
      <c r="J2336" s="241" t="n">
        <v>-11.82</v>
      </c>
      <c r="K2336" s="241" t="n">
        <v>8.890000000000001</v>
      </c>
      <c r="L2336" s="242" t="n">
        <v>4372000</v>
      </c>
      <c r="M2336" s="241" t="n">
        <v>-0.36</v>
      </c>
      <c r="N2336" s="241" t="n">
        <v>-7.99</v>
      </c>
      <c r="O2336" s="241" t="n">
        <v>-21.83</v>
      </c>
      <c r="P2336" s="241" t="n">
        <v>2.05</v>
      </c>
    </row>
    <row r="2337">
      <c r="A2337" s="282" t="inlineStr">
        <is>
          <t>2015-08-12</t>
        </is>
      </c>
      <c r="B2337" s="240">
        <f>IFERROR(1/P2337-1,B2336)</f>
        <v/>
      </c>
      <c r="C2337" s="240">
        <f>$C$3</f>
        <v/>
      </c>
      <c r="D2337" s="240">
        <f>$D$3</f>
        <v/>
      </c>
      <c r="E2337" s="240">
        <f>$E$3</f>
        <v/>
      </c>
      <c r="F2337" s="241" t="n">
        <v>17.54</v>
      </c>
      <c r="G2337" s="242" t="n">
        <v>58474861</v>
      </c>
      <c r="H2337" s="241" t="n">
        <v>-3.63</v>
      </c>
      <c r="I2337" s="241" t="n">
        <v>16.08</v>
      </c>
      <c r="J2337" s="241" t="n">
        <v>-15.02</v>
      </c>
      <c r="K2337" s="241" t="n">
        <v>8.789999999999999</v>
      </c>
      <c r="L2337" s="242" t="n">
        <v>3854911</v>
      </c>
      <c r="M2337" s="241" t="n">
        <v>-2.53</v>
      </c>
      <c r="N2337" s="241" t="n">
        <v>-10.32</v>
      </c>
      <c r="O2337" s="241" t="n">
        <v>-23.8</v>
      </c>
      <c r="P2337" s="241" t="n">
        <v>1.99</v>
      </c>
    </row>
    <row r="2338">
      <c r="A2338" s="282" t="inlineStr">
        <is>
          <t>2015-08-13</t>
        </is>
      </c>
      <c r="B2338" s="240">
        <f>IFERROR(1/P2338-1,B2337)</f>
        <v/>
      </c>
      <c r="C2338" s="240">
        <f>$C$3</f>
        <v/>
      </c>
      <c r="D2338" s="240">
        <f>$D$3</f>
        <v/>
      </c>
      <c r="E2338" s="240">
        <f>$E$3</f>
        <v/>
      </c>
      <c r="F2338" s="241" t="n">
        <v>18.28</v>
      </c>
      <c r="G2338" s="242" t="n">
        <v>66165580</v>
      </c>
      <c r="H2338" s="241" t="n">
        <v>4.22</v>
      </c>
      <c r="I2338" s="241" t="n">
        <v>20.98</v>
      </c>
      <c r="J2338" s="241" t="n">
        <v>-11.43</v>
      </c>
      <c r="K2338" s="241" t="n">
        <v>9.06</v>
      </c>
      <c r="L2338" s="242" t="n">
        <v>1716300</v>
      </c>
      <c r="M2338" s="241" t="n">
        <v>1.86</v>
      </c>
      <c r="N2338" s="241" t="n">
        <v>-8.65</v>
      </c>
      <c r="O2338" s="241" t="n">
        <v>-22.39</v>
      </c>
      <c r="P2338" s="241" t="n">
        <v>2.02</v>
      </c>
    </row>
    <row r="2339">
      <c r="A2339" s="282" t="inlineStr">
        <is>
          <t>2015-08-14</t>
        </is>
      </c>
      <c r="B2339" s="240">
        <f>IFERROR(1/P2339-1,B2338)</f>
        <v/>
      </c>
      <c r="C2339" s="240">
        <f>$C$3</f>
        <v/>
      </c>
      <c r="D2339" s="240">
        <f>$D$3</f>
        <v/>
      </c>
      <c r="E2339" s="240">
        <f>$E$3</f>
        <v/>
      </c>
      <c r="F2339" s="241" t="n">
        <v>18.12</v>
      </c>
      <c r="G2339" s="242" t="n">
        <v>70814154</v>
      </c>
      <c r="H2339" s="241" t="n">
        <v>-0.88</v>
      </c>
      <c r="I2339" s="241" t="n">
        <v>9.029999999999999</v>
      </c>
      <c r="J2339" s="241" t="n">
        <v>-12.21</v>
      </c>
      <c r="K2339" s="241" t="n">
        <v>9.01</v>
      </c>
      <c r="L2339" s="242" t="n">
        <v>1229200</v>
      </c>
      <c r="M2339" s="241" t="n">
        <v>-0.55</v>
      </c>
      <c r="N2339" s="241" t="n">
        <v>-11.94</v>
      </c>
      <c r="O2339" s="241" t="n">
        <v>-22.81</v>
      </c>
      <c r="P2339" s="241" t="n">
        <v>2.01</v>
      </c>
    </row>
    <row r="2340">
      <c r="A2340" s="282" t="inlineStr">
        <is>
          <t>2015-08-17</t>
        </is>
      </c>
      <c r="B2340" s="240">
        <f>IFERROR(1/P2340-1,B2339)</f>
        <v/>
      </c>
      <c r="C2340" s="240">
        <f>$C$3</f>
        <v/>
      </c>
      <c r="D2340" s="240">
        <f>$D$3</f>
        <v/>
      </c>
      <c r="E2340" s="240">
        <f>$E$3</f>
        <v/>
      </c>
      <c r="F2340" s="241" t="n">
        <v>18.42</v>
      </c>
      <c r="G2340" s="242" t="n">
        <v>53471502</v>
      </c>
      <c r="H2340" s="241" t="n">
        <v>1.66</v>
      </c>
      <c r="I2340" s="241" t="n">
        <v>17.55</v>
      </c>
      <c r="J2340" s="241" t="n">
        <v>-10.76</v>
      </c>
      <c r="K2340" s="241" t="n">
        <v>8.970000000000001</v>
      </c>
      <c r="L2340" s="242" t="n">
        <v>699800</v>
      </c>
      <c r="M2340" s="241" t="n">
        <v>-0.37</v>
      </c>
      <c r="N2340" s="241" t="n">
        <v>-2.33</v>
      </c>
      <c r="O2340" s="241" t="n">
        <v>-23.1</v>
      </c>
      <c r="P2340" s="241" t="n">
        <v>2.05</v>
      </c>
    </row>
    <row r="2341">
      <c r="A2341" s="282" t="inlineStr">
        <is>
          <t>2015-08-18</t>
        </is>
      </c>
      <c r="B2341" s="240">
        <f>IFERROR(1/P2341-1,B2340)</f>
        <v/>
      </c>
      <c r="C2341" s="240">
        <f>$C$3</f>
        <v/>
      </c>
      <c r="D2341" s="240">
        <f>$D$3</f>
        <v/>
      </c>
      <c r="E2341" s="240">
        <f>$E$3</f>
        <v/>
      </c>
      <c r="F2341" s="241" t="n">
        <v>16.58</v>
      </c>
      <c r="G2341" s="242" t="n">
        <v>77247875</v>
      </c>
      <c r="H2341" s="241" t="n">
        <v>-9.99</v>
      </c>
      <c r="I2341" s="241" t="n">
        <v>-1.49</v>
      </c>
      <c r="J2341" s="241" t="n">
        <v>-19.67</v>
      </c>
      <c r="K2341" s="241" t="n">
        <v>8.51</v>
      </c>
      <c r="L2341" s="242" t="n">
        <v>1565800</v>
      </c>
      <c r="M2341" s="241" t="n">
        <v>-5.15</v>
      </c>
      <c r="N2341" s="241" t="n">
        <v>-8.99</v>
      </c>
      <c r="O2341" s="241" t="n">
        <v>-27.06</v>
      </c>
      <c r="P2341" s="241" t="n">
        <v>1.95</v>
      </c>
    </row>
    <row r="2342">
      <c r="A2342" s="282" t="inlineStr">
        <is>
          <t>2015-08-19</t>
        </is>
      </c>
      <c r="B2342" s="240">
        <f>IFERROR(1/P2342-1,B2341)</f>
        <v/>
      </c>
      <c r="C2342" s="240">
        <f>$C$3</f>
        <v/>
      </c>
      <c r="D2342" s="240">
        <f>$D$3</f>
        <v/>
      </c>
      <c r="E2342" s="240">
        <f>$E$3</f>
        <v/>
      </c>
      <c r="F2342" s="241" t="n">
        <v>16.89</v>
      </c>
      <c r="G2342" s="242" t="n">
        <v>59208509</v>
      </c>
      <c r="H2342" s="241" t="n">
        <v>1.87</v>
      </c>
      <c r="I2342" s="241" t="n">
        <v>0.36</v>
      </c>
      <c r="J2342" s="241" t="n">
        <v>-18.17</v>
      </c>
      <c r="K2342" s="241" t="n">
        <v>8.48</v>
      </c>
      <c r="L2342" s="242" t="n">
        <v>1882800</v>
      </c>
      <c r="M2342" s="241" t="n">
        <v>-0.39</v>
      </c>
      <c r="N2342" s="241" t="n">
        <v>-9.35</v>
      </c>
      <c r="O2342" s="241" t="n">
        <v>-27.34</v>
      </c>
      <c r="P2342" s="241" t="n">
        <v>1.99</v>
      </c>
    </row>
    <row r="2343">
      <c r="A2343" s="282" t="inlineStr">
        <is>
          <t>2015-08-20</t>
        </is>
      </c>
      <c r="B2343" s="240">
        <f>IFERROR(1/P2343-1,B2342)</f>
        <v/>
      </c>
      <c r="C2343" s="240">
        <f>$C$3</f>
        <v/>
      </c>
      <c r="D2343" s="240">
        <f>$D$3</f>
        <v/>
      </c>
      <c r="E2343" s="240">
        <f>$E$3</f>
        <v/>
      </c>
      <c r="F2343" s="241" t="n">
        <v>15.86</v>
      </c>
      <c r="G2343" s="242" t="n">
        <v>38324059</v>
      </c>
      <c r="H2343" s="241" t="n">
        <v>-6.1</v>
      </c>
      <c r="I2343" s="241" t="n">
        <v>-5.76</v>
      </c>
      <c r="J2343" s="241" t="n">
        <v>-23.16</v>
      </c>
      <c r="K2343" s="241" t="n">
        <v>8.109999999999999</v>
      </c>
      <c r="L2343" s="242" t="n">
        <v>1797800</v>
      </c>
      <c r="M2343" s="241" t="n">
        <v>-4.28</v>
      </c>
      <c r="N2343" s="241" t="n">
        <v>-13.23</v>
      </c>
      <c r="O2343" s="241" t="n">
        <v>-30.45</v>
      </c>
      <c r="P2343" s="241" t="n">
        <v>1.96</v>
      </c>
    </row>
    <row r="2344">
      <c r="A2344" s="282" t="inlineStr">
        <is>
          <t>2015-08-21</t>
        </is>
      </c>
      <c r="B2344" s="240">
        <f>IFERROR(1/P2344-1,B2343)</f>
        <v/>
      </c>
      <c r="C2344" s="240">
        <f>$C$3</f>
        <v/>
      </c>
      <c r="D2344" s="240">
        <f>$D$3</f>
        <v/>
      </c>
      <c r="E2344" s="240">
        <f>$E$3</f>
        <v/>
      </c>
      <c r="F2344" s="241" t="n">
        <v>15.19</v>
      </c>
      <c r="G2344" s="242" t="n">
        <v>42606069</v>
      </c>
      <c r="H2344" s="241" t="n">
        <v>-4.22</v>
      </c>
      <c r="I2344" s="241" t="n">
        <v>-11.63</v>
      </c>
      <c r="J2344" s="241" t="n">
        <v>-26.41</v>
      </c>
      <c r="K2344" s="241" t="n">
        <v>7.71</v>
      </c>
      <c r="L2344" s="242" t="n">
        <v>4733200</v>
      </c>
      <c r="M2344" s="241" t="n">
        <v>-4.88</v>
      </c>
      <c r="N2344" s="241" t="n">
        <v>-16.73</v>
      </c>
      <c r="O2344" s="241" t="n">
        <v>-33.84</v>
      </c>
      <c r="P2344" s="241" t="n">
        <v>1.97</v>
      </c>
    </row>
    <row r="2345">
      <c r="A2345" s="282" t="inlineStr">
        <is>
          <t>2015-08-24</t>
        </is>
      </c>
      <c r="B2345" s="240">
        <f>IFERROR(1/P2345-1,B2344)</f>
        <v/>
      </c>
      <c r="C2345" s="240">
        <f>$C$3</f>
        <v/>
      </c>
      <c r="D2345" s="240">
        <f>$D$3</f>
        <v/>
      </c>
      <c r="E2345" s="240">
        <f>$E$3</f>
        <v/>
      </c>
      <c r="F2345" s="241" t="n">
        <v>13.67</v>
      </c>
      <c r="G2345" s="242" t="n">
        <v>37150603</v>
      </c>
      <c r="H2345" s="241" t="n">
        <v>-10.01</v>
      </c>
      <c r="I2345" s="241" t="n">
        <v>-25.75</v>
      </c>
      <c r="J2345" s="241" t="n">
        <v>-33.77</v>
      </c>
      <c r="K2345" s="241" t="n">
        <v>6.84</v>
      </c>
      <c r="L2345" s="242" t="n">
        <v>5957000</v>
      </c>
      <c r="M2345" s="241" t="n">
        <v>-11.32</v>
      </c>
      <c r="N2345" s="241" t="n">
        <v>-26.29</v>
      </c>
      <c r="O2345" s="241" t="n">
        <v>-41.33</v>
      </c>
      <c r="P2345" s="241" t="n">
        <v>2</v>
      </c>
    </row>
    <row r="2346">
      <c r="A2346" s="282" t="inlineStr">
        <is>
          <t>2015-08-25</t>
        </is>
      </c>
      <c r="B2346" s="240">
        <f>IFERROR(1/P2346-1,B2345)</f>
        <v/>
      </c>
      <c r="C2346" s="240">
        <f>$C$3</f>
        <v/>
      </c>
      <c r="D2346" s="240">
        <f>$D$3</f>
        <v/>
      </c>
      <c r="E2346" s="240">
        <f>$E$3</f>
        <v/>
      </c>
      <c r="F2346" s="241" t="n">
        <v>12.22</v>
      </c>
      <c r="G2346" s="242" t="n">
        <v>55301253</v>
      </c>
      <c r="H2346" s="241" t="n">
        <v>-10.01</v>
      </c>
      <c r="I2346" s="241" t="n">
        <v>-30.78</v>
      </c>
      <c r="J2346" s="241" t="n">
        <v>-40.4</v>
      </c>
      <c r="K2346" s="241" t="n">
        <v>6.78</v>
      </c>
      <c r="L2346" s="242" t="n">
        <v>5526800</v>
      </c>
      <c r="M2346" s="241" t="n">
        <v>-1.08</v>
      </c>
      <c r="N2346" s="241" t="n">
        <v>-25.23</v>
      </c>
      <c r="O2346" s="241" t="n">
        <v>-41.97</v>
      </c>
      <c r="P2346" s="241" t="n">
        <v>1.8</v>
      </c>
    </row>
    <row r="2347">
      <c r="A2347" s="282" t="inlineStr">
        <is>
          <t>2015-08-26</t>
        </is>
      </c>
      <c r="B2347" s="240">
        <f>IFERROR(1/P2347-1,B2346)</f>
        <v/>
      </c>
      <c r="C2347" s="240">
        <f>$C$3</f>
        <v/>
      </c>
      <c r="D2347" s="240">
        <f>$D$3</f>
        <v/>
      </c>
      <c r="E2347" s="240">
        <f>$E$3</f>
        <v/>
      </c>
      <c r="F2347" s="241" t="n">
        <v>11.6</v>
      </c>
      <c r="G2347" s="242" t="n">
        <v>49327875</v>
      </c>
      <c r="H2347" s="241" t="n">
        <v>-5.07</v>
      </c>
      <c r="I2347" s="241" t="n">
        <v>-34.29</v>
      </c>
      <c r="J2347" s="241" t="n">
        <v>-43.43</v>
      </c>
      <c r="K2347" s="241" t="n">
        <v>6.9</v>
      </c>
      <c r="L2347" s="242" t="n">
        <v>4550289</v>
      </c>
      <c r="M2347" s="241" t="n">
        <v>1.71</v>
      </c>
      <c r="N2347" s="241" t="n">
        <v>-23.95</v>
      </c>
      <c r="O2347" s="241" t="n">
        <v>-40.98</v>
      </c>
      <c r="P2347" s="241" t="n">
        <v>1.68</v>
      </c>
    </row>
    <row r="2348">
      <c r="A2348" s="282" t="inlineStr">
        <is>
          <t>2015-08-27</t>
        </is>
      </c>
      <c r="B2348" s="240">
        <f>IFERROR(1/P2348-1,B2347)</f>
        <v/>
      </c>
      <c r="C2348" s="240">
        <f>$C$3</f>
        <v/>
      </c>
      <c r="D2348" s="240">
        <f>$D$3</f>
        <v/>
      </c>
      <c r="E2348" s="240">
        <f>$E$3</f>
        <v/>
      </c>
      <c r="F2348" s="241" t="n">
        <v>12.29</v>
      </c>
      <c r="G2348" s="242" t="n">
        <v>44684426</v>
      </c>
      <c r="H2348" s="241" t="n">
        <v>5.95</v>
      </c>
      <c r="I2348" s="241" t="n">
        <v>-30.38</v>
      </c>
      <c r="J2348" s="241" t="n">
        <v>-40.06</v>
      </c>
      <c r="K2348" s="241" t="n">
        <v>7.36</v>
      </c>
      <c r="L2348" s="242" t="n">
        <v>3095800</v>
      </c>
      <c r="M2348" s="241" t="n">
        <v>6.59</v>
      </c>
      <c r="N2348" s="241" t="n">
        <v>-18.94</v>
      </c>
      <c r="O2348" s="241" t="n">
        <v>-37.09</v>
      </c>
      <c r="P2348" s="241" t="n">
        <v>1.67</v>
      </c>
    </row>
    <row r="2349">
      <c r="A2349" s="282" t="inlineStr">
        <is>
          <t>2015-08-28</t>
        </is>
      </c>
      <c r="B2349" s="240">
        <f>IFERROR(1/P2349-1,B2348)</f>
        <v/>
      </c>
      <c r="C2349" s="240">
        <f>$C$3</f>
        <v/>
      </c>
      <c r="D2349" s="240">
        <f>$D$3</f>
        <v/>
      </c>
      <c r="E2349" s="240">
        <f>$E$3</f>
        <v/>
      </c>
      <c r="F2349" s="241" t="n">
        <v>13.33</v>
      </c>
      <c r="G2349" s="242" t="n">
        <v>53376035</v>
      </c>
      <c r="H2349" s="241" t="n">
        <v>8.460000000000001</v>
      </c>
      <c r="I2349" s="241" t="n">
        <v>-16.08</v>
      </c>
      <c r="J2349" s="241" t="n">
        <v>-34.99</v>
      </c>
      <c r="K2349" s="241" t="n">
        <v>7.52</v>
      </c>
      <c r="L2349" s="242" t="n">
        <v>1220400</v>
      </c>
      <c r="M2349" s="241" t="n">
        <v>2.36</v>
      </c>
      <c r="N2349" s="241" t="n">
        <v>-10.33</v>
      </c>
      <c r="O2349" s="241" t="n">
        <v>-35.61</v>
      </c>
      <c r="P2349" s="241" t="n">
        <v>1.77</v>
      </c>
    </row>
    <row r="2350">
      <c r="A2350" s="282" t="inlineStr">
        <is>
          <t>2015-08-31</t>
        </is>
      </c>
      <c r="B2350" s="240">
        <f>IFERROR(1/P2350-1,B2349)</f>
        <v/>
      </c>
      <c r="C2350" s="240">
        <f>$C$3</f>
        <v/>
      </c>
      <c r="D2350" s="240">
        <f>$D$3</f>
        <v/>
      </c>
      <c r="E2350" s="240">
        <f>$E$3</f>
        <v/>
      </c>
      <c r="F2350" s="241" t="n">
        <v>13.04</v>
      </c>
      <c r="G2350" s="242" t="n">
        <v>51691734</v>
      </c>
      <c r="H2350" s="241" t="n">
        <v>-2.18</v>
      </c>
      <c r="I2350" s="241" t="n">
        <v>-20.25</v>
      </c>
      <c r="J2350" s="241" t="n">
        <v>-36.4</v>
      </c>
      <c r="K2350" s="241" t="n">
        <v>7.1</v>
      </c>
      <c r="L2350" s="242" t="n">
        <v>2633400</v>
      </c>
      <c r="M2350" s="241" t="n">
        <v>-5.49</v>
      </c>
      <c r="N2350" s="241" t="n">
        <v>-14.41</v>
      </c>
      <c r="O2350" s="241" t="n">
        <v>-39.14</v>
      </c>
      <c r="P2350" s="241" t="n">
        <v>1.84</v>
      </c>
    </row>
    <row r="2351">
      <c r="A2351" s="282" t="inlineStr">
        <is>
          <t>2015-09-01</t>
        </is>
      </c>
      <c r="B2351" s="240">
        <f>IFERROR(1/P2351-1,B2350)</f>
        <v/>
      </c>
      <c r="C2351" s="240">
        <f>$C$3</f>
        <v/>
      </c>
      <c r="D2351" s="240">
        <f>$D$3</f>
        <v/>
      </c>
      <c r="E2351" s="240">
        <f>$E$3</f>
        <v/>
      </c>
      <c r="F2351" s="241" t="n">
        <v>12.97</v>
      </c>
      <c r="G2351" s="242" t="n">
        <v>53221168</v>
      </c>
      <c r="H2351" s="241" t="n">
        <v>-0.54</v>
      </c>
      <c r="I2351" s="241" t="n">
        <v>-18.3</v>
      </c>
      <c r="J2351" s="241" t="n">
        <v>-36.74</v>
      </c>
      <c r="K2351" s="241" t="n">
        <v>6.87</v>
      </c>
      <c r="L2351" s="242" t="n">
        <v>2065600</v>
      </c>
      <c r="M2351" s="241" t="n">
        <v>-3.02</v>
      </c>
      <c r="N2351" s="241" t="n">
        <v>-17</v>
      </c>
      <c r="O2351" s="241" t="n">
        <v>-40.98</v>
      </c>
      <c r="P2351" s="241" t="n">
        <v>1.89</v>
      </c>
    </row>
    <row r="2352">
      <c r="A2352" s="282" t="inlineStr">
        <is>
          <t>2015-09-02</t>
        </is>
      </c>
      <c r="B2352" s="240">
        <f>IFERROR(1/P2352-1,B2351)</f>
        <v/>
      </c>
      <c r="C2352" s="240">
        <f>$C$3</f>
        <v/>
      </c>
      <c r="D2352" s="240">
        <f>$D$3</f>
        <v/>
      </c>
      <c r="E2352" s="240">
        <f>$E$3</f>
        <v/>
      </c>
      <c r="F2352" s="241" t="n">
        <v>13.1</v>
      </c>
      <c r="G2352" s="242" t="n">
        <v>58749972</v>
      </c>
      <c r="H2352" s="241" t="n">
        <v>1</v>
      </c>
      <c r="I2352" s="241" t="n">
        <v>-17.48</v>
      </c>
      <c r="J2352" s="241" t="n">
        <v>-36.11</v>
      </c>
      <c r="K2352" s="241" t="n">
        <v>6.61</v>
      </c>
      <c r="L2352" s="242" t="n">
        <v>2423520</v>
      </c>
      <c r="M2352" s="241" t="n">
        <v>-3.59</v>
      </c>
      <c r="N2352" s="241" t="n">
        <v>-19.98</v>
      </c>
      <c r="O2352" s="241" t="n">
        <v>-43.1</v>
      </c>
      <c r="P2352" s="241" t="n">
        <v>1.98</v>
      </c>
    </row>
    <row r="2353">
      <c r="A2353" s="282" t="inlineStr">
        <is>
          <t>2015-09-07</t>
        </is>
      </c>
      <c r="B2353" s="240">
        <f>IFERROR(1/P2353-1,B2352)</f>
        <v/>
      </c>
      <c r="C2353" s="240">
        <f>$C$3</f>
        <v/>
      </c>
      <c r="D2353" s="240">
        <f>$D$3</f>
        <v/>
      </c>
      <c r="E2353" s="240">
        <f>$E$3</f>
        <v/>
      </c>
      <c r="F2353" s="241" t="n">
        <v>12.92</v>
      </c>
      <c r="G2353" s="242" t="n">
        <v>37445650</v>
      </c>
      <c r="H2353" s="241" t="n">
        <v>-1.37</v>
      </c>
      <c r="I2353" s="241" t="n">
        <v>-19.67</v>
      </c>
      <c r="J2353" s="241" t="n">
        <v>-36.99</v>
      </c>
      <c r="K2353" s="241" t="n">
        <v>6.51</v>
      </c>
      <c r="L2353" s="242" t="n">
        <v>1496800</v>
      </c>
      <c r="M2353" s="241" t="n">
        <v>2.85</v>
      </c>
      <c r="N2353" s="241" t="n">
        <v>-19</v>
      </c>
      <c r="O2353" s="241" t="n">
        <v>-43.95</v>
      </c>
      <c r="P2353" s="241" t="n">
        <v>1.99</v>
      </c>
    </row>
    <row r="2354">
      <c r="A2354" s="282" t="inlineStr">
        <is>
          <t>2015-09-08</t>
        </is>
      </c>
      <c r="B2354" s="240">
        <f>IFERROR(1/P2354-1,B2353)</f>
        <v/>
      </c>
      <c r="C2354" s="240">
        <f>$C$3</f>
        <v/>
      </c>
      <c r="D2354" s="240">
        <f>$D$3</f>
        <v/>
      </c>
      <c r="E2354" s="240">
        <f>$E$3</f>
        <v/>
      </c>
      <c r="F2354" s="241" t="n">
        <v>13.56</v>
      </c>
      <c r="G2354" s="242" t="n">
        <v>27574252</v>
      </c>
      <c r="H2354" s="241" t="n">
        <v>4.95</v>
      </c>
      <c r="I2354" s="241" t="n">
        <v>-20.36</v>
      </c>
      <c r="J2354" s="241" t="n">
        <v>-33.87</v>
      </c>
      <c r="K2354" s="241" t="n">
        <v>6.87</v>
      </c>
      <c r="L2354" s="242" t="n">
        <v>1391200</v>
      </c>
      <c r="M2354" s="241" t="n">
        <v>5.55</v>
      </c>
      <c r="N2354" s="241" t="n">
        <v>-17.78</v>
      </c>
      <c r="O2354" s="241" t="n">
        <v>-40.84</v>
      </c>
      <c r="P2354" s="241" t="n">
        <v>1.97</v>
      </c>
    </row>
    <row r="2355">
      <c r="A2355" s="282" t="inlineStr">
        <is>
          <t>2015-09-09</t>
        </is>
      </c>
      <c r="B2355" s="240">
        <f>IFERROR(1/P2355-1,B2354)</f>
        <v/>
      </c>
      <c r="C2355" s="240">
        <f>$C$3</f>
        <v/>
      </c>
      <c r="D2355" s="240">
        <f>$D$3</f>
        <v/>
      </c>
      <c r="E2355" s="240">
        <f>$E$3</f>
        <v/>
      </c>
      <c r="F2355" s="241" t="n">
        <v>13.9</v>
      </c>
      <c r="G2355" s="242" t="n">
        <v>44941859</v>
      </c>
      <c r="H2355" s="241" t="n">
        <v>2.51</v>
      </c>
      <c r="I2355" s="241" t="n">
        <v>-18.37</v>
      </c>
      <c r="J2355" s="241" t="n">
        <v>-32.21</v>
      </c>
      <c r="K2355" s="241" t="n">
        <v>7.22</v>
      </c>
      <c r="L2355" s="242" t="n">
        <v>4633200</v>
      </c>
      <c r="M2355" s="241" t="n">
        <v>5.14</v>
      </c>
      <c r="N2355" s="241" t="n">
        <v>-13.56</v>
      </c>
      <c r="O2355" s="241" t="n">
        <v>-37.8</v>
      </c>
      <c r="P2355" s="241" t="n">
        <v>1.92</v>
      </c>
    </row>
    <row r="2356">
      <c r="A2356" s="282" t="inlineStr">
        <is>
          <t>2015-09-10</t>
        </is>
      </c>
      <c r="B2356" s="240">
        <f>IFERROR(1/P2356-1,B2355)</f>
        <v/>
      </c>
      <c r="C2356" s="240">
        <f>$C$3</f>
        <v/>
      </c>
      <c r="D2356" s="240">
        <f>$D$3</f>
        <v/>
      </c>
      <c r="E2356" s="240">
        <f>$E$3</f>
        <v/>
      </c>
      <c r="F2356" s="241" t="n">
        <v>13.62</v>
      </c>
      <c r="G2356" s="242" t="n">
        <v>46909348</v>
      </c>
      <c r="H2356" s="241" t="n">
        <v>-2.01</v>
      </c>
      <c r="I2356" s="241" t="n">
        <v>-20.01</v>
      </c>
      <c r="J2356" s="241" t="n">
        <v>-33.57</v>
      </c>
      <c r="K2356" s="241" t="n">
        <v>7.11</v>
      </c>
      <c r="L2356" s="242" t="n">
        <v>2181800</v>
      </c>
      <c r="M2356" s="241" t="n">
        <v>-1.82</v>
      </c>
      <c r="N2356" s="241" t="n">
        <v>-15.13</v>
      </c>
      <c r="O2356" s="241" t="n">
        <v>-38.93</v>
      </c>
      <c r="P2356" s="241" t="n">
        <v>1.92</v>
      </c>
    </row>
    <row r="2357">
      <c r="A2357" s="282" t="inlineStr">
        <is>
          <t>2015-09-11</t>
        </is>
      </c>
      <c r="B2357" s="240">
        <f>IFERROR(1/P2357-1,B2356)</f>
        <v/>
      </c>
      <c r="C2357" s="240">
        <f>$C$3</f>
        <v/>
      </c>
      <c r="D2357" s="240">
        <f>$D$3</f>
        <v/>
      </c>
      <c r="E2357" s="240">
        <f>$E$3</f>
        <v/>
      </c>
      <c r="F2357" s="241" t="n">
        <v>13.54</v>
      </c>
      <c r="G2357" s="242" t="n">
        <v>23499962</v>
      </c>
      <c r="H2357" s="241" t="n">
        <v>-0.59</v>
      </c>
      <c r="I2357" s="241" t="n">
        <v>-26.41</v>
      </c>
      <c r="J2357" s="241" t="n">
        <v>-33.96</v>
      </c>
      <c r="K2357" s="241" t="n">
        <v>7.07</v>
      </c>
      <c r="L2357" s="242" t="n">
        <v>1019800</v>
      </c>
      <c r="M2357" s="241" t="n">
        <v>-0.46</v>
      </c>
      <c r="N2357" s="241" t="n">
        <v>-22.52</v>
      </c>
      <c r="O2357" s="241" t="n">
        <v>-39.21</v>
      </c>
      <c r="P2357" s="241" t="n">
        <v>1.91</v>
      </c>
    </row>
    <row r="2358">
      <c r="A2358" s="282" t="inlineStr">
        <is>
          <t>2015-09-14</t>
        </is>
      </c>
      <c r="B2358" s="240">
        <f>IFERROR(1/P2358-1,B2357)</f>
        <v/>
      </c>
      <c r="C2358" s="240">
        <f>$C$3</f>
        <v/>
      </c>
      <c r="D2358" s="240">
        <f>$D$3</f>
        <v/>
      </c>
      <c r="E2358" s="240">
        <f>$E$3</f>
        <v/>
      </c>
      <c r="F2358" s="241" t="n">
        <v>12.92</v>
      </c>
      <c r="G2358" s="242" t="n">
        <v>42930498</v>
      </c>
      <c r="H2358" s="241" t="n">
        <v>-4.58</v>
      </c>
      <c r="I2358" s="241" t="n">
        <v>-28.85</v>
      </c>
      <c r="J2358" s="241" t="n">
        <v>-36.99</v>
      </c>
      <c r="K2358" s="241" t="n">
        <v>6.76</v>
      </c>
      <c r="L2358" s="242" t="n">
        <v>3098000</v>
      </c>
      <c r="M2358" s="241" t="n">
        <v>-4.42</v>
      </c>
      <c r="N2358" s="241" t="n">
        <v>-25.14</v>
      </c>
      <c r="O2358" s="241" t="n">
        <v>-41.9</v>
      </c>
      <c r="P2358" s="241" t="n">
        <v>1.91</v>
      </c>
    </row>
    <row r="2359">
      <c r="A2359" s="282" t="inlineStr">
        <is>
          <t>2015-09-15</t>
        </is>
      </c>
      <c r="B2359" s="240">
        <f>IFERROR(1/P2359-1,B2358)</f>
        <v/>
      </c>
      <c r="C2359" s="240">
        <f>$C$3</f>
        <v/>
      </c>
      <c r="D2359" s="240">
        <f>$D$3</f>
        <v/>
      </c>
      <c r="E2359" s="240">
        <f>$E$3</f>
        <v/>
      </c>
      <c r="F2359" s="241" t="n">
        <v>11.63</v>
      </c>
      <c r="G2359" s="242" t="n">
        <v>34967618</v>
      </c>
      <c r="H2359" s="241" t="n">
        <v>-9.98</v>
      </c>
      <c r="I2359" s="241" t="n">
        <v>-35.39</v>
      </c>
      <c r="J2359" s="241" t="n">
        <v>-43.28</v>
      </c>
      <c r="K2359" s="241" t="n">
        <v>6.56</v>
      </c>
      <c r="L2359" s="242" t="n">
        <v>2246200</v>
      </c>
      <c r="M2359" s="241" t="n">
        <v>-2.8</v>
      </c>
      <c r="N2359" s="241" t="n">
        <v>-26.83</v>
      </c>
      <c r="O2359" s="241" t="n">
        <v>-43.52</v>
      </c>
      <c r="P2359" s="241" t="n">
        <v>1.77</v>
      </c>
    </row>
    <row r="2360">
      <c r="A2360" s="282" t="inlineStr">
        <is>
          <t>2015-09-16</t>
        </is>
      </c>
      <c r="B2360" s="240">
        <f>IFERROR(1/P2360-1,B2359)</f>
        <v/>
      </c>
      <c r="C2360" s="240">
        <f>$C$3</f>
        <v/>
      </c>
      <c r="D2360" s="240">
        <f>$D$3</f>
        <v/>
      </c>
      <c r="E2360" s="240">
        <f>$E$3</f>
        <v/>
      </c>
      <c r="F2360" s="241" t="n">
        <v>12.7</v>
      </c>
      <c r="G2360" s="242" t="n">
        <v>37562271</v>
      </c>
      <c r="H2360" s="241" t="n">
        <v>9.199999999999999</v>
      </c>
      <c r="I2360" s="241" t="n">
        <v>-29.45</v>
      </c>
      <c r="J2360" s="241" t="n">
        <v>-38.06</v>
      </c>
      <c r="K2360" s="241" t="n">
        <v>6.81</v>
      </c>
      <c r="L2360" s="242" t="n">
        <v>3878100</v>
      </c>
      <c r="M2360" s="241" t="n">
        <v>3.63</v>
      </c>
      <c r="N2360" s="241" t="n">
        <v>-24.18</v>
      </c>
      <c r="O2360" s="241" t="n">
        <v>-41.48</v>
      </c>
      <c r="P2360" s="241" t="n">
        <v>1.87</v>
      </c>
    </row>
    <row r="2361">
      <c r="A2361" s="282" t="inlineStr">
        <is>
          <t>2015-09-17</t>
        </is>
      </c>
      <c r="B2361" s="240">
        <f>IFERROR(1/P2361-1,B2360)</f>
        <v/>
      </c>
      <c r="C2361" s="240">
        <f>$C$3</f>
        <v/>
      </c>
      <c r="D2361" s="240">
        <f>$D$3</f>
        <v/>
      </c>
      <c r="E2361" s="240">
        <f>$E$3</f>
        <v/>
      </c>
      <c r="F2361" s="241" t="n">
        <v>12.28</v>
      </c>
      <c r="G2361" s="242" t="n">
        <v>45464389</v>
      </c>
      <c r="H2361" s="241" t="n">
        <v>-3.31</v>
      </c>
      <c r="I2361" s="241" t="n">
        <v>-31.78</v>
      </c>
      <c r="J2361" s="241" t="n">
        <v>-40.11</v>
      </c>
      <c r="K2361" s="241" t="n">
        <v>6.79</v>
      </c>
      <c r="L2361" s="242" t="n">
        <v>2662800</v>
      </c>
      <c r="M2361" s="241" t="n">
        <v>-0.24</v>
      </c>
      <c r="N2361" s="241" t="n">
        <v>-24.36</v>
      </c>
      <c r="O2361" s="241" t="n">
        <v>-41.62</v>
      </c>
      <c r="P2361" s="241" t="n">
        <v>1.81</v>
      </c>
    </row>
    <row r="2362">
      <c r="A2362" s="282" t="inlineStr">
        <is>
          <t>2015-09-18</t>
        </is>
      </c>
      <c r="B2362" s="240">
        <f>IFERROR(1/P2362-1,B2361)</f>
        <v/>
      </c>
      <c r="C2362" s="240">
        <f>$C$3</f>
        <v/>
      </c>
      <c r="D2362" s="240">
        <f>$D$3</f>
        <v/>
      </c>
      <c r="E2362" s="240">
        <f>$E$3</f>
        <v/>
      </c>
      <c r="F2362" s="241" t="n">
        <v>12.44</v>
      </c>
      <c r="G2362" s="242" t="n">
        <v>24782117</v>
      </c>
      <c r="H2362" s="241" t="n">
        <v>1.3</v>
      </c>
      <c r="I2362" s="241" t="n">
        <v>-32.02</v>
      </c>
      <c r="J2362" s="241" t="n">
        <v>-39.33</v>
      </c>
      <c r="K2362" s="241" t="n">
        <v>6.88</v>
      </c>
      <c r="L2362" s="242" t="n">
        <v>3662062</v>
      </c>
      <c r="M2362" s="241" t="n">
        <v>1.45</v>
      </c>
      <c r="N2362" s="241" t="n">
        <v>-22.98</v>
      </c>
      <c r="O2362" s="241" t="n">
        <v>-40.77</v>
      </c>
      <c r="P2362" s="241" t="n">
        <v>1.81</v>
      </c>
    </row>
    <row r="2363">
      <c r="A2363" s="282" t="inlineStr">
        <is>
          <t>2015-09-21</t>
        </is>
      </c>
      <c r="B2363" s="240">
        <f>IFERROR(1/P2363-1,B2362)</f>
        <v/>
      </c>
      <c r="C2363" s="240">
        <f>$C$3</f>
        <v/>
      </c>
      <c r="D2363" s="240">
        <f>$D$3</f>
        <v/>
      </c>
      <c r="E2363" s="240">
        <f>$E$3</f>
        <v/>
      </c>
      <c r="F2363" s="241" t="n">
        <v>13.18</v>
      </c>
      <c r="G2363" s="242" t="n">
        <v>38709223</v>
      </c>
      <c r="H2363" s="241" t="n">
        <v>5.95</v>
      </c>
      <c r="I2363" s="241" t="n">
        <v>-16.35</v>
      </c>
      <c r="J2363" s="241" t="n">
        <v>-35.72</v>
      </c>
      <c r="K2363" s="241" t="n">
        <v>7</v>
      </c>
      <c r="L2363" s="242" t="n">
        <v>2953200</v>
      </c>
      <c r="M2363" s="241" t="n">
        <v>1.67</v>
      </c>
      <c r="N2363" s="241" t="n">
        <v>-13.41</v>
      </c>
      <c r="O2363" s="241" t="n">
        <v>-39.78</v>
      </c>
      <c r="P2363" s="241" t="n">
        <v>1.88</v>
      </c>
    </row>
    <row r="2364">
      <c r="A2364" s="282" t="inlineStr">
        <is>
          <t>2015-09-22</t>
        </is>
      </c>
      <c r="B2364" s="240">
        <f>IFERROR(1/P2364-1,B2363)</f>
        <v/>
      </c>
      <c r="C2364" s="240">
        <f>$C$3</f>
        <v/>
      </c>
      <c r="D2364" s="240">
        <f>$D$3</f>
        <v/>
      </c>
      <c r="E2364" s="240">
        <f>$E$3</f>
        <v/>
      </c>
      <c r="F2364" s="241" t="n">
        <v>13.17</v>
      </c>
      <c r="G2364" s="242" t="n">
        <v>36839172</v>
      </c>
      <c r="H2364" s="241" t="n">
        <v>-0.08</v>
      </c>
      <c r="I2364" s="241" t="n">
        <v>-12.72</v>
      </c>
      <c r="J2364" s="241" t="n">
        <v>-35.77</v>
      </c>
      <c r="K2364" s="241" t="n">
        <v>7.01</v>
      </c>
      <c r="L2364" s="242" t="n">
        <v>2645000</v>
      </c>
      <c r="M2364" s="241" t="n">
        <v>0.12</v>
      </c>
      <c r="N2364" s="241" t="n">
        <v>-8.869999999999999</v>
      </c>
      <c r="O2364" s="241" t="n">
        <v>-39.71</v>
      </c>
      <c r="P2364" s="241" t="n">
        <v>1.88</v>
      </c>
    </row>
    <row r="2365">
      <c r="A2365" s="282" t="inlineStr">
        <is>
          <t>2015-09-23</t>
        </is>
      </c>
      <c r="B2365" s="240">
        <f>IFERROR(1/P2365-1,B2364)</f>
        <v/>
      </c>
      <c r="C2365" s="240">
        <f>$C$3</f>
        <v/>
      </c>
      <c r="D2365" s="240">
        <f>$D$3</f>
        <v/>
      </c>
      <c r="E2365" s="240">
        <f>$E$3</f>
        <v/>
      </c>
      <c r="F2365" s="241" t="n">
        <v>13.1</v>
      </c>
      <c r="G2365" s="242" t="n">
        <v>35304005</v>
      </c>
      <c r="H2365" s="241" t="n">
        <v>-0.53</v>
      </c>
      <c r="I2365" s="241" t="n">
        <v>-13.19</v>
      </c>
      <c r="J2365" s="241" t="n">
        <v>-36.11</v>
      </c>
      <c r="K2365" s="241" t="n">
        <v>6.75</v>
      </c>
      <c r="L2365" s="242" t="n">
        <v>1658400</v>
      </c>
      <c r="M2365" s="241" t="n">
        <v>-3.87</v>
      </c>
      <c r="N2365" s="241" t="n">
        <v>-12.39</v>
      </c>
      <c r="O2365" s="241" t="n">
        <v>-42.04</v>
      </c>
      <c r="P2365" s="241" t="n">
        <v>1.94</v>
      </c>
    </row>
    <row r="2366">
      <c r="A2366" s="282" t="inlineStr">
        <is>
          <t>2015-09-24</t>
        </is>
      </c>
      <c r="B2366" s="240">
        <f>IFERROR(1/P2366-1,B2365)</f>
        <v/>
      </c>
      <c r="C2366" s="240">
        <f>$C$3</f>
        <v/>
      </c>
      <c r="D2366" s="240">
        <f>$D$3</f>
        <v/>
      </c>
      <c r="E2366" s="240">
        <f>$E$3</f>
        <v/>
      </c>
      <c r="F2366" s="241" t="n">
        <v>13.38</v>
      </c>
      <c r="G2366" s="242" t="n">
        <v>36612587</v>
      </c>
      <c r="H2366" s="241" t="n">
        <v>2.14</v>
      </c>
      <c r="I2366" s="241" t="n">
        <v>-11.33</v>
      </c>
      <c r="J2366" s="241" t="n">
        <v>-34.74</v>
      </c>
      <c r="K2366" s="241" t="n">
        <v>6.74</v>
      </c>
      <c r="L2366" s="242" t="n">
        <v>1104500</v>
      </c>
      <c r="M2366" s="241" t="n">
        <v>-0.12</v>
      </c>
      <c r="N2366" s="241" t="n">
        <v>-12.5</v>
      </c>
      <c r="O2366" s="241" t="n">
        <v>-42.11</v>
      </c>
      <c r="P2366" s="241" t="n">
        <v>1.98</v>
      </c>
    </row>
    <row r="2367">
      <c r="A2367" s="282" t="inlineStr">
        <is>
          <t>2015-09-25</t>
        </is>
      </c>
      <c r="B2367" s="240">
        <f>IFERROR(1/P2367-1,B2366)</f>
        <v/>
      </c>
      <c r="C2367" s="240">
        <f>$C$3</f>
        <v/>
      </c>
      <c r="D2367" s="240">
        <f>$D$3</f>
        <v/>
      </c>
      <c r="E2367" s="240">
        <f>$E$3</f>
        <v/>
      </c>
      <c r="F2367" s="241" t="n">
        <v>12.64</v>
      </c>
      <c r="G2367" s="242" t="n">
        <v>31554381</v>
      </c>
      <c r="H2367" s="241" t="n">
        <v>-5.53</v>
      </c>
      <c r="I2367" s="241" t="n">
        <v>-6.92</v>
      </c>
      <c r="J2367" s="241" t="n">
        <v>-38.35</v>
      </c>
      <c r="K2367" s="241" t="n">
        <v>6.67</v>
      </c>
      <c r="L2367" s="242" t="n">
        <v>2002200</v>
      </c>
      <c r="M2367" s="241" t="n">
        <v>-1.1</v>
      </c>
      <c r="N2367" s="241" t="n">
        <v>-2.41</v>
      </c>
      <c r="O2367" s="241" t="n">
        <v>-42.75</v>
      </c>
      <c r="P2367" s="241" t="n">
        <v>1.9</v>
      </c>
    </row>
    <row r="2368">
      <c r="A2368" s="282" t="inlineStr">
        <is>
          <t>2015-09-28</t>
        </is>
      </c>
      <c r="B2368" s="240">
        <f>IFERROR(1/P2368-1,B2367)</f>
        <v/>
      </c>
      <c r="C2368" s="240">
        <f>$C$3</f>
        <v/>
      </c>
      <c r="D2368" s="240">
        <f>$D$3</f>
        <v/>
      </c>
      <c r="E2368" s="240">
        <f>$E$3</f>
        <v/>
      </c>
      <c r="F2368" s="241" t="n">
        <v>12.74</v>
      </c>
      <c r="G2368" s="242" t="n">
        <v>27923016</v>
      </c>
      <c r="H2368" s="241" t="n">
        <v>0.79</v>
      </c>
      <c r="I2368" s="241" t="n">
        <v>3.66</v>
      </c>
      <c r="J2368" s="241" t="n">
        <v>-37.87</v>
      </c>
      <c r="K2368" s="239" t="inlineStr">
        <is>
          <t>--</t>
        </is>
      </c>
      <c r="L2368" s="239" t="inlineStr">
        <is>
          <t>--</t>
        </is>
      </c>
      <c r="M2368" s="239" t="inlineStr">
        <is>
          <t>--</t>
        </is>
      </c>
      <c r="N2368" s="239" t="inlineStr">
        <is>
          <t>--</t>
        </is>
      </c>
      <c r="O2368" s="239" t="inlineStr">
        <is>
          <t>--</t>
        </is>
      </c>
      <c r="P2368" s="239" t="inlineStr">
        <is>
          <t>--</t>
        </is>
      </c>
    </row>
    <row r="2369">
      <c r="A2369" s="282" t="inlineStr">
        <is>
          <t>2015-09-29</t>
        </is>
      </c>
      <c r="B2369" s="240">
        <f>IFERROR(1/P2369-1,B2368)</f>
        <v/>
      </c>
      <c r="C2369" s="240">
        <f>$C$3</f>
        <v/>
      </c>
      <c r="D2369" s="240">
        <f>$D$3</f>
        <v/>
      </c>
      <c r="E2369" s="240">
        <f>$E$3</f>
        <v/>
      </c>
      <c r="F2369" s="241" t="n">
        <v>12.33</v>
      </c>
      <c r="G2369" s="242" t="n">
        <v>19644325</v>
      </c>
      <c r="H2369" s="241" t="n">
        <v>-3.22</v>
      </c>
      <c r="I2369" s="241" t="n">
        <v>-7.5</v>
      </c>
      <c r="J2369" s="241" t="n">
        <v>-39.87</v>
      </c>
      <c r="K2369" s="241" t="n">
        <v>6.37</v>
      </c>
      <c r="L2369" s="242" t="n">
        <v>2545600</v>
      </c>
      <c r="M2369" s="241" t="n">
        <v>-4.2</v>
      </c>
      <c r="N2369" s="241" t="n">
        <v>-14.82</v>
      </c>
      <c r="O2369" s="241" t="n">
        <v>-45.15</v>
      </c>
      <c r="P2369" s="241" t="n">
        <v>1.93</v>
      </c>
    </row>
    <row r="2370">
      <c r="A2370" s="282" t="inlineStr">
        <is>
          <t>2015-09-30</t>
        </is>
      </c>
      <c r="B2370" s="240">
        <f>IFERROR(1/P2370-1,B2369)</f>
        <v/>
      </c>
      <c r="C2370" s="240">
        <f>$C$3</f>
        <v/>
      </c>
      <c r="D2370" s="240">
        <f>$D$3</f>
        <v/>
      </c>
      <c r="E2370" s="240">
        <f>$E$3</f>
        <v/>
      </c>
      <c r="F2370" s="241" t="n">
        <v>12.5</v>
      </c>
      <c r="G2370" s="242" t="n">
        <v>19205599</v>
      </c>
      <c r="H2370" s="241" t="n">
        <v>1.38</v>
      </c>
      <c r="I2370" s="241" t="n">
        <v>-6.23</v>
      </c>
      <c r="J2370" s="241" t="n">
        <v>-39.04</v>
      </c>
      <c r="K2370" s="241" t="n">
        <v>6.53</v>
      </c>
      <c r="L2370" s="242" t="n">
        <v>1937000</v>
      </c>
      <c r="M2370" s="241" t="n">
        <v>2.45</v>
      </c>
      <c r="N2370" s="241" t="n">
        <v>-12.73</v>
      </c>
      <c r="O2370" s="241" t="n">
        <v>-43.81</v>
      </c>
      <c r="P2370" s="241" t="n">
        <v>1.92</v>
      </c>
    </row>
    <row r="2371">
      <c r="A2371" s="282" t="inlineStr">
        <is>
          <t>2015-10-08</t>
        </is>
      </c>
      <c r="B2371" s="240">
        <f>IFERROR(1/P2371-1,B2370)</f>
        <v/>
      </c>
      <c r="C2371" s="240">
        <f>$C$3</f>
        <v/>
      </c>
      <c r="D2371" s="240">
        <f>$D$3</f>
        <v/>
      </c>
      <c r="E2371" s="240">
        <f>$E$3</f>
        <v/>
      </c>
      <c r="F2371" s="241" t="n">
        <v>13.27</v>
      </c>
      <c r="G2371" s="242" t="n">
        <v>39120638</v>
      </c>
      <c r="H2371" s="241" t="n">
        <v>6.16</v>
      </c>
      <c r="I2371" s="241" t="n">
        <v>2.71</v>
      </c>
      <c r="J2371" s="241" t="n">
        <v>-35.28</v>
      </c>
      <c r="K2371" s="241" t="n">
        <v>7.01</v>
      </c>
      <c r="L2371" s="242" t="n">
        <v>4936000</v>
      </c>
      <c r="M2371" s="241" t="n">
        <v>-1.27</v>
      </c>
      <c r="N2371" s="241" t="n">
        <v>7.82</v>
      </c>
      <c r="O2371" s="241" t="n">
        <v>-39.57</v>
      </c>
      <c r="P2371" s="241" t="n">
        <v>1.89</v>
      </c>
    </row>
    <row r="2372">
      <c r="A2372" s="282" t="inlineStr">
        <is>
          <t>2015-10-09</t>
        </is>
      </c>
      <c r="B2372" s="240">
        <f>IFERROR(1/P2372-1,B2371)</f>
        <v/>
      </c>
      <c r="C2372" s="240">
        <f>$C$3</f>
        <v/>
      </c>
      <c r="D2372" s="240">
        <f>$D$3</f>
        <v/>
      </c>
      <c r="E2372" s="240">
        <f>$E$3</f>
        <v/>
      </c>
      <c r="F2372" s="241" t="n">
        <v>13.54</v>
      </c>
      <c r="G2372" s="242" t="n">
        <v>39522406</v>
      </c>
      <c r="H2372" s="241" t="n">
        <v>2.03</v>
      </c>
      <c r="I2372" s="241" t="n">
        <v>-0.15</v>
      </c>
      <c r="J2372" s="241" t="n">
        <v>-33.96</v>
      </c>
      <c r="K2372" s="241" t="n">
        <v>7.37</v>
      </c>
      <c r="L2372" s="242" t="n">
        <v>5668400</v>
      </c>
      <c r="M2372" s="241" t="n">
        <v>5.26</v>
      </c>
      <c r="N2372" s="241" t="n">
        <v>7.53</v>
      </c>
      <c r="O2372" s="241" t="n">
        <v>-36.39</v>
      </c>
      <c r="P2372" s="241" t="n">
        <v>1.84</v>
      </c>
    </row>
    <row r="2373">
      <c r="A2373" s="282" t="inlineStr">
        <is>
          <t>2015-10-12</t>
        </is>
      </c>
      <c r="B2373" s="240">
        <f>IFERROR(1/P2373-1,B2372)</f>
        <v/>
      </c>
      <c r="C2373" s="240">
        <f>$C$3</f>
        <v/>
      </c>
      <c r="D2373" s="240">
        <f>$D$3</f>
        <v/>
      </c>
      <c r="E2373" s="240">
        <f>$E$3</f>
        <v/>
      </c>
      <c r="F2373" s="241" t="n">
        <v>14.23</v>
      </c>
      <c r="G2373" s="242" t="n">
        <v>63380532</v>
      </c>
      <c r="H2373" s="241" t="n">
        <v>5.1</v>
      </c>
      <c r="I2373" s="241" t="n">
        <v>5.1</v>
      </c>
      <c r="J2373" s="241" t="n">
        <v>-30.6</v>
      </c>
      <c r="K2373" s="241" t="n">
        <v>7.74</v>
      </c>
      <c r="L2373" s="242" t="n">
        <v>4658600</v>
      </c>
      <c r="M2373" s="241" t="n">
        <v>5.11</v>
      </c>
      <c r="N2373" s="241" t="n">
        <v>10</v>
      </c>
      <c r="O2373" s="241" t="n">
        <v>-33.13</v>
      </c>
      <c r="P2373" s="241" t="n">
        <v>1.84</v>
      </c>
    </row>
    <row r="2374">
      <c r="A2374" s="282" t="inlineStr">
        <is>
          <t>2015-10-13</t>
        </is>
      </c>
      <c r="B2374" s="240">
        <f>IFERROR(1/P2374-1,B2373)</f>
        <v/>
      </c>
      <c r="C2374" s="240">
        <f>$C$3</f>
        <v/>
      </c>
      <c r="D2374" s="240">
        <f>$D$3</f>
        <v/>
      </c>
      <c r="E2374" s="240">
        <f>$E$3</f>
        <v/>
      </c>
      <c r="F2374" s="241" t="n">
        <v>14.8</v>
      </c>
      <c r="G2374" s="242" t="n">
        <v>66265295</v>
      </c>
      <c r="H2374" s="241" t="n">
        <v>4.01</v>
      </c>
      <c r="I2374" s="241" t="n">
        <v>9.31</v>
      </c>
      <c r="J2374" s="241" t="n">
        <v>-27.82</v>
      </c>
      <c r="K2374" s="241" t="n">
        <v>7.9</v>
      </c>
      <c r="L2374" s="242" t="n">
        <v>6555800</v>
      </c>
      <c r="M2374" s="241" t="n">
        <v>2.33</v>
      </c>
      <c r="N2374" s="241" t="n">
        <v>12.56</v>
      </c>
      <c r="O2374" s="241" t="n">
        <v>-31.58</v>
      </c>
      <c r="P2374" s="241" t="n">
        <v>1.87</v>
      </c>
    </row>
    <row r="2375">
      <c r="A2375" s="282" t="inlineStr">
        <is>
          <t>2015-10-14</t>
        </is>
      </c>
      <c r="B2375" s="240">
        <f>IFERROR(1/P2375-1,B2374)</f>
        <v/>
      </c>
      <c r="C2375" s="240">
        <f>$C$3</f>
        <v/>
      </c>
      <c r="D2375" s="240">
        <f>$D$3</f>
        <v/>
      </c>
      <c r="E2375" s="240">
        <f>$E$3</f>
        <v/>
      </c>
      <c r="F2375" s="241" t="n">
        <v>14.5</v>
      </c>
      <c r="G2375" s="242" t="n">
        <v>58717543</v>
      </c>
      <c r="H2375" s="241" t="n">
        <v>-2.03</v>
      </c>
      <c r="I2375" s="241" t="n">
        <v>7.09</v>
      </c>
      <c r="J2375" s="241" t="n">
        <v>-29.28</v>
      </c>
      <c r="K2375" s="241" t="n">
        <v>7.92</v>
      </c>
      <c r="L2375" s="242" t="n">
        <v>3364021</v>
      </c>
      <c r="M2375" s="241" t="n">
        <v>0</v>
      </c>
      <c r="N2375" s="241" t="n">
        <v>12.56</v>
      </c>
      <c r="O2375" s="241" t="n">
        <v>-31.58</v>
      </c>
      <c r="P2375" s="241" t="n">
        <v>1.83</v>
      </c>
    </row>
    <row r="2376">
      <c r="A2376" s="282" t="inlineStr">
        <is>
          <t>2015-10-15</t>
        </is>
      </c>
      <c r="B2376" s="240">
        <f>IFERROR(1/P2376-1,B2375)</f>
        <v/>
      </c>
      <c r="C2376" s="240">
        <f>$C$3</f>
        <v/>
      </c>
      <c r="D2376" s="240">
        <f>$D$3</f>
        <v/>
      </c>
      <c r="E2376" s="240">
        <f>$E$3</f>
        <v/>
      </c>
      <c r="F2376" s="241" t="n">
        <v>15</v>
      </c>
      <c r="G2376" s="242" t="n">
        <v>53487427</v>
      </c>
      <c r="H2376" s="241" t="n">
        <v>3.45</v>
      </c>
      <c r="I2376" s="241" t="n">
        <v>16.1</v>
      </c>
      <c r="J2376" s="241" t="n">
        <v>-26.84</v>
      </c>
      <c r="K2376" s="241" t="n">
        <v>8.199999999999999</v>
      </c>
      <c r="L2376" s="242" t="n">
        <v>5049710</v>
      </c>
      <c r="M2376" s="241" t="n">
        <v>3.51</v>
      </c>
      <c r="N2376" s="241" t="n">
        <v>21.9</v>
      </c>
      <c r="O2376" s="241" t="n">
        <v>-29.18</v>
      </c>
      <c r="P2376" s="241" t="n">
        <v>1.83</v>
      </c>
    </row>
    <row r="2377">
      <c r="A2377" s="282" t="inlineStr">
        <is>
          <t>2015-10-16</t>
        </is>
      </c>
      <c r="B2377" s="240">
        <f>IFERROR(1/P2377-1,B2376)</f>
        <v/>
      </c>
      <c r="C2377" s="240">
        <f>$C$3</f>
        <v/>
      </c>
      <c r="D2377" s="240">
        <f>$D$3</f>
        <v/>
      </c>
      <c r="E2377" s="240">
        <f>$E$3</f>
        <v/>
      </c>
      <c r="F2377" s="241" t="n">
        <v>15.52</v>
      </c>
      <c r="G2377" s="242" t="n">
        <v>76951065</v>
      </c>
      <c r="H2377" s="241" t="n">
        <v>3.47</v>
      </c>
      <c r="I2377" s="241" t="n">
        <v>33.45</v>
      </c>
      <c r="J2377" s="241" t="n">
        <v>-24.31</v>
      </c>
      <c r="K2377" s="241" t="n">
        <v>8</v>
      </c>
      <c r="L2377" s="242" t="n">
        <v>4891581</v>
      </c>
      <c r="M2377" s="241" t="n">
        <v>-2.5</v>
      </c>
      <c r="N2377" s="241" t="n">
        <v>22.28</v>
      </c>
      <c r="O2377" s="241" t="n">
        <v>-30.94</v>
      </c>
      <c r="P2377" s="241" t="n">
        <v>1.94</v>
      </c>
    </row>
    <row r="2378">
      <c r="A2378" s="282" t="inlineStr">
        <is>
          <t>2015-10-19</t>
        </is>
      </c>
      <c r="B2378" s="240">
        <f>IFERROR(1/P2378-1,B2377)</f>
        <v/>
      </c>
      <c r="C2378" s="240">
        <f>$C$3</f>
        <v/>
      </c>
      <c r="D2378" s="240">
        <f>$D$3</f>
        <v/>
      </c>
      <c r="E2378" s="240">
        <f>$E$3</f>
        <v/>
      </c>
      <c r="F2378" s="241" t="n">
        <v>15.68</v>
      </c>
      <c r="G2378" s="242" t="n">
        <v>72235142</v>
      </c>
      <c r="H2378" s="241" t="n">
        <v>1.03</v>
      </c>
      <c r="I2378" s="241" t="n">
        <v>26.05</v>
      </c>
      <c r="J2378" s="241" t="n">
        <v>-23.53</v>
      </c>
      <c r="K2378" s="241" t="n">
        <v>8.140000000000001</v>
      </c>
      <c r="L2378" s="242" t="n">
        <v>3952800</v>
      </c>
      <c r="M2378" s="241" t="n">
        <v>1.64</v>
      </c>
      <c r="N2378" s="241" t="n">
        <v>18.5</v>
      </c>
      <c r="O2378" s="241" t="n">
        <v>-29.81</v>
      </c>
      <c r="P2378" s="241" t="n">
        <v>1.93</v>
      </c>
    </row>
    <row r="2379">
      <c r="A2379" s="282" t="inlineStr">
        <is>
          <t>2015-10-20</t>
        </is>
      </c>
      <c r="B2379" s="240">
        <f>IFERROR(1/P2379-1,B2378)</f>
        <v/>
      </c>
      <c r="C2379" s="240">
        <f>$C$3</f>
        <v/>
      </c>
      <c r="D2379" s="240">
        <f>$D$3</f>
        <v/>
      </c>
      <c r="E2379" s="240">
        <f>$E$3</f>
        <v/>
      </c>
      <c r="F2379" s="241" t="n">
        <v>15.91</v>
      </c>
      <c r="G2379" s="242" t="n">
        <v>46859139</v>
      </c>
      <c r="H2379" s="241" t="n">
        <v>1.47</v>
      </c>
      <c r="I2379" s="241" t="n">
        <v>27.89</v>
      </c>
      <c r="J2379" s="241" t="n">
        <v>-22.41</v>
      </c>
      <c r="K2379" s="241" t="n">
        <v>8.08</v>
      </c>
      <c r="L2379" s="242" t="n">
        <v>2270400</v>
      </c>
      <c r="M2379" s="241" t="n">
        <v>-0.91</v>
      </c>
      <c r="N2379" s="241" t="n">
        <v>17.42</v>
      </c>
      <c r="O2379" s="241" t="n">
        <v>-30.45</v>
      </c>
      <c r="P2379" s="241" t="n">
        <v>1.97</v>
      </c>
    </row>
    <row r="2380">
      <c r="A2380" s="282" t="inlineStr">
        <is>
          <t>2015-10-21</t>
        </is>
      </c>
      <c r="B2380" s="240">
        <f>IFERROR(1/P2380-1,B2379)</f>
        <v/>
      </c>
      <c r="C2380" s="240">
        <f>$C$3</f>
        <v/>
      </c>
      <c r="D2380" s="240">
        <f>$D$3</f>
        <v/>
      </c>
      <c r="E2380" s="240">
        <f>$E$3</f>
        <v/>
      </c>
      <c r="F2380" s="241" t="n">
        <v>14.32</v>
      </c>
      <c r="G2380" s="242" t="n">
        <v>67438537</v>
      </c>
      <c r="H2380" s="241" t="n">
        <v>-9.99</v>
      </c>
      <c r="I2380" s="241" t="n">
        <v>15.11</v>
      </c>
      <c r="J2380" s="241" t="n">
        <v>-30.16</v>
      </c>
      <c r="K2380" s="239" t="inlineStr">
        <is>
          <t>--</t>
        </is>
      </c>
      <c r="L2380" s="239" t="inlineStr">
        <is>
          <t>--</t>
        </is>
      </c>
      <c r="M2380" s="239" t="inlineStr">
        <is>
          <t>--</t>
        </is>
      </c>
      <c r="N2380" s="239" t="inlineStr">
        <is>
          <t>--</t>
        </is>
      </c>
      <c r="O2380" s="239" t="inlineStr">
        <is>
          <t>--</t>
        </is>
      </c>
      <c r="P2380" s="239" t="inlineStr">
        <is>
          <t>--</t>
        </is>
      </c>
    </row>
    <row r="2381">
      <c r="A2381" s="282" t="inlineStr">
        <is>
          <t>2015-10-22</t>
        </is>
      </c>
      <c r="B2381" s="240">
        <f>IFERROR(1/P2381-1,B2380)</f>
        <v/>
      </c>
      <c r="C2381" s="240">
        <f>$C$3</f>
        <v/>
      </c>
      <c r="D2381" s="240">
        <f>$D$3</f>
        <v/>
      </c>
      <c r="E2381" s="240">
        <f>$E$3</f>
        <v/>
      </c>
      <c r="F2381" s="241" t="n">
        <v>14.94</v>
      </c>
      <c r="G2381" s="242" t="n">
        <v>48435413</v>
      </c>
      <c r="H2381" s="241" t="n">
        <v>4.33</v>
      </c>
      <c r="I2381" s="241" t="n">
        <v>13.35</v>
      </c>
      <c r="J2381" s="241" t="n">
        <v>-27.14</v>
      </c>
      <c r="K2381" s="241" t="n">
        <v>7.84</v>
      </c>
      <c r="L2381" s="242" t="n">
        <v>2854000</v>
      </c>
      <c r="M2381" s="241" t="n">
        <v>-2.74</v>
      </c>
      <c r="N2381" s="241" t="n">
        <v>12.32</v>
      </c>
      <c r="O2381" s="241" t="n">
        <v>-32.36</v>
      </c>
      <c r="P2381" s="241" t="n">
        <v>1.91</v>
      </c>
    </row>
    <row r="2382">
      <c r="A2382" s="282" t="inlineStr">
        <is>
          <t>2015-10-23</t>
        </is>
      </c>
      <c r="B2382" s="240">
        <f>IFERROR(1/P2382-1,B2381)</f>
        <v/>
      </c>
      <c r="C2382" s="240">
        <f>$C$3</f>
        <v/>
      </c>
      <c r="D2382" s="240">
        <f>$D$3</f>
        <v/>
      </c>
      <c r="E2382" s="240">
        <f>$E$3</f>
        <v/>
      </c>
      <c r="F2382" s="241" t="n">
        <v>15.09</v>
      </c>
      <c r="G2382" s="242" t="n">
        <v>48296711</v>
      </c>
      <c r="H2382" s="241" t="n">
        <v>1</v>
      </c>
      <c r="I2382" s="241" t="n">
        <v>14.58</v>
      </c>
      <c r="J2382" s="241" t="n">
        <v>-26.41</v>
      </c>
      <c r="K2382" s="241" t="n">
        <v>7.84</v>
      </c>
      <c r="L2382" s="242" t="n">
        <v>3265000</v>
      </c>
      <c r="M2382" s="241" t="n">
        <v>-0.1</v>
      </c>
      <c r="N2382" s="241" t="n">
        <v>12.07</v>
      </c>
      <c r="O2382" s="241" t="n">
        <v>-32.43</v>
      </c>
      <c r="P2382" s="241" t="n">
        <v>1.92</v>
      </c>
    </row>
    <row r="2383">
      <c r="A2383" s="282" t="inlineStr">
        <is>
          <t>2015-10-26</t>
        </is>
      </c>
      <c r="B2383" s="240">
        <f>IFERROR(1/P2383-1,B2382)</f>
        <v/>
      </c>
      <c r="C2383" s="240">
        <f>$C$3</f>
        <v/>
      </c>
      <c r="D2383" s="240">
        <f>$D$3</f>
        <v/>
      </c>
      <c r="E2383" s="240">
        <f>$E$3</f>
        <v/>
      </c>
      <c r="F2383" s="241" t="n">
        <v>14.97</v>
      </c>
      <c r="G2383" s="242" t="n">
        <v>48131703</v>
      </c>
      <c r="H2383" s="241" t="n">
        <v>-0.8</v>
      </c>
      <c r="I2383" s="241" t="n">
        <v>18.43</v>
      </c>
      <c r="J2383" s="241" t="n">
        <v>-26.99</v>
      </c>
      <c r="K2383" s="241" t="n">
        <v>7.82</v>
      </c>
      <c r="L2383" s="242" t="n">
        <v>2044000</v>
      </c>
      <c r="M2383" s="241" t="n">
        <v>-0.21</v>
      </c>
      <c r="N2383" s="241" t="n">
        <v>17.78</v>
      </c>
      <c r="O2383" s="241" t="n">
        <v>-32.57</v>
      </c>
      <c r="P2383" s="241" t="n">
        <v>1.91</v>
      </c>
    </row>
    <row r="2384">
      <c r="A2384" s="282" t="inlineStr">
        <is>
          <t>2015-10-27</t>
        </is>
      </c>
      <c r="B2384" s="240">
        <f>IFERROR(1/P2384-1,B2383)</f>
        <v/>
      </c>
      <c r="C2384" s="240">
        <f>$C$3</f>
        <v/>
      </c>
      <c r="D2384" s="240">
        <f>$D$3</f>
        <v/>
      </c>
      <c r="E2384" s="240">
        <f>$E$3</f>
        <v/>
      </c>
      <c r="F2384" s="241" t="n">
        <v>14.79</v>
      </c>
      <c r="G2384" s="242" t="n">
        <v>40607762</v>
      </c>
      <c r="H2384" s="241" t="n">
        <v>-1.2</v>
      </c>
      <c r="I2384" s="241" t="n">
        <v>17.01</v>
      </c>
      <c r="J2384" s="241" t="n">
        <v>-27.87</v>
      </c>
      <c r="K2384" s="241" t="n">
        <v>7.71</v>
      </c>
      <c r="L2384" s="242" t="n">
        <v>1420800</v>
      </c>
      <c r="M2384" s="241" t="n">
        <v>-1.36</v>
      </c>
      <c r="N2384" s="241" t="n">
        <v>16.17</v>
      </c>
      <c r="O2384" s="241" t="n">
        <v>-33.49</v>
      </c>
      <c r="P2384" s="241" t="n">
        <v>1.92</v>
      </c>
    </row>
    <row r="2385">
      <c r="A2385" s="282" t="inlineStr">
        <is>
          <t>2015-10-28</t>
        </is>
      </c>
      <c r="B2385" s="240">
        <f>IFERROR(1/P2385-1,B2384)</f>
        <v/>
      </c>
      <c r="C2385" s="240">
        <f>$C$3</f>
        <v/>
      </c>
      <c r="D2385" s="240">
        <f>$D$3</f>
        <v/>
      </c>
      <c r="E2385" s="240">
        <f>$E$3</f>
        <v/>
      </c>
      <c r="F2385" s="241" t="n">
        <v>14.43</v>
      </c>
      <c r="G2385" s="242" t="n">
        <v>31426185</v>
      </c>
      <c r="H2385" s="241" t="n">
        <v>-2.43</v>
      </c>
      <c r="I2385" s="241" t="n">
        <v>14.16</v>
      </c>
      <c r="J2385" s="241" t="n">
        <v>-29.62</v>
      </c>
      <c r="K2385" s="241" t="n">
        <v>7.63</v>
      </c>
      <c r="L2385" s="242" t="n">
        <v>1592000</v>
      </c>
      <c r="M2385" s="241" t="n">
        <v>-1.06</v>
      </c>
      <c r="N2385" s="241" t="n">
        <v>14.94</v>
      </c>
      <c r="O2385" s="241" t="n">
        <v>-34.19</v>
      </c>
      <c r="P2385" s="241" t="n">
        <v>1.89</v>
      </c>
    </row>
    <row r="2386">
      <c r="A2386" s="282" t="inlineStr">
        <is>
          <t>2015-10-29</t>
        </is>
      </c>
      <c r="B2386" s="240">
        <f>IFERROR(1/P2386-1,B2385)</f>
        <v/>
      </c>
      <c r="C2386" s="240">
        <f>$C$3</f>
        <v/>
      </c>
      <c r="D2386" s="240">
        <f>$D$3</f>
        <v/>
      </c>
      <c r="E2386" s="240">
        <f>$E$3</f>
        <v/>
      </c>
      <c r="F2386" s="241" t="n">
        <v>14.45</v>
      </c>
      <c r="G2386" s="242" t="n">
        <v>32150924</v>
      </c>
      <c r="H2386" s="241" t="n">
        <v>0.14</v>
      </c>
      <c r="I2386" s="241" t="n">
        <v>13.42</v>
      </c>
      <c r="J2386" s="241" t="n">
        <v>-29.53</v>
      </c>
      <c r="K2386" s="241" t="n">
        <v>7.62</v>
      </c>
      <c r="L2386" s="242" t="n">
        <v>1038400</v>
      </c>
      <c r="M2386" s="241" t="n">
        <v>-0.21</v>
      </c>
      <c r="N2386" s="241" t="n">
        <v>14.69</v>
      </c>
      <c r="O2386" s="241" t="n">
        <v>-34.34</v>
      </c>
      <c r="P2386" s="241" t="n">
        <v>1.9</v>
      </c>
    </row>
    <row r="2387">
      <c r="A2387" s="282" t="inlineStr">
        <is>
          <t>2015-10-30</t>
        </is>
      </c>
      <c r="B2387" s="240">
        <f>IFERROR(1/P2387-1,B2386)</f>
        <v/>
      </c>
      <c r="C2387" s="240">
        <f>$C$3</f>
        <v/>
      </c>
      <c r="D2387" s="240">
        <f>$D$3</f>
        <v/>
      </c>
      <c r="E2387" s="240">
        <f>$E$3</f>
        <v/>
      </c>
      <c r="F2387" s="241" t="n">
        <v>14.58</v>
      </c>
      <c r="G2387" s="242" t="n">
        <v>33018143</v>
      </c>
      <c r="H2387" s="241" t="n">
        <v>0.9</v>
      </c>
      <c r="I2387" s="241" t="n">
        <v>18.25</v>
      </c>
      <c r="J2387" s="241" t="n">
        <v>-28.89</v>
      </c>
      <c r="K2387" s="241" t="n">
        <v>7.63</v>
      </c>
      <c r="L2387" s="242" t="n">
        <v>1317600</v>
      </c>
      <c r="M2387" s="241" t="n">
        <v>0.22</v>
      </c>
      <c r="N2387" s="241" t="n">
        <v>19.97</v>
      </c>
      <c r="O2387" s="241" t="n">
        <v>-34.19</v>
      </c>
      <c r="P2387" s="241" t="n">
        <v>1.91</v>
      </c>
    </row>
    <row r="2388">
      <c r="A2388" s="282" t="inlineStr">
        <is>
          <t>2015-11-02</t>
        </is>
      </c>
      <c r="B2388" s="240">
        <f>IFERROR(1/P2388-1,B2387)</f>
        <v/>
      </c>
      <c r="C2388" s="240">
        <f>$C$3</f>
        <v/>
      </c>
      <c r="D2388" s="240">
        <f>$D$3</f>
        <v/>
      </c>
      <c r="E2388" s="240">
        <f>$E$3</f>
        <v/>
      </c>
      <c r="F2388" s="241" t="n">
        <v>13.89</v>
      </c>
      <c r="G2388" s="242" t="n">
        <v>34439113</v>
      </c>
      <c r="H2388" s="241" t="n">
        <v>-4.73</v>
      </c>
      <c r="I2388" s="241" t="n">
        <v>11.12</v>
      </c>
      <c r="J2388" s="241" t="n">
        <v>-32.26</v>
      </c>
      <c r="K2388" s="241" t="n">
        <v>7.08</v>
      </c>
      <c r="L2388" s="242" t="n">
        <v>3975200</v>
      </c>
      <c r="M2388" s="241" t="n">
        <v>-6.66</v>
      </c>
      <c r="N2388" s="241" t="n">
        <v>9.31</v>
      </c>
      <c r="O2388" s="241" t="n">
        <v>-38.58</v>
      </c>
      <c r="P2388" s="241" t="n">
        <v>1.96</v>
      </c>
    </row>
    <row r="2389">
      <c r="A2389" s="282" t="inlineStr">
        <is>
          <t>2015-11-03</t>
        </is>
      </c>
      <c r="B2389" s="240">
        <f>IFERROR(1/P2389-1,B2388)</f>
        <v/>
      </c>
      <c r="C2389" s="240">
        <f>$C$3</f>
        <v/>
      </c>
      <c r="D2389" s="240">
        <f>$D$3</f>
        <v/>
      </c>
      <c r="E2389" s="240">
        <f>$E$3</f>
        <v/>
      </c>
      <c r="F2389" s="241" t="n">
        <v>13.71</v>
      </c>
      <c r="G2389" s="242" t="n">
        <v>26906180</v>
      </c>
      <c r="H2389" s="241" t="n">
        <v>-1.3</v>
      </c>
      <c r="I2389" s="241" t="n">
        <v>9.68</v>
      </c>
      <c r="J2389" s="241" t="n">
        <v>-33.14</v>
      </c>
      <c r="K2389" s="241" t="n">
        <v>7.08</v>
      </c>
      <c r="L2389" s="242" t="n">
        <v>2604062</v>
      </c>
      <c r="M2389" s="241" t="n">
        <v>-0.23</v>
      </c>
      <c r="N2389" s="241" t="n">
        <v>3.09</v>
      </c>
      <c r="O2389" s="241" t="n">
        <v>-38.72</v>
      </c>
      <c r="P2389" s="241" t="n">
        <v>1.94</v>
      </c>
    </row>
    <row r="2390">
      <c r="A2390" s="282" t="inlineStr">
        <is>
          <t>2015-11-04</t>
        </is>
      </c>
      <c r="B2390" s="240">
        <f>IFERROR(1/P2390-1,B2389)</f>
        <v/>
      </c>
      <c r="C2390" s="240">
        <f>$C$3</f>
        <v/>
      </c>
      <c r="D2390" s="240">
        <f>$D$3</f>
        <v/>
      </c>
      <c r="E2390" s="240">
        <f>$E$3</f>
        <v/>
      </c>
      <c r="F2390" s="241" t="n">
        <v>14.47</v>
      </c>
      <c r="G2390" s="242" t="n">
        <v>40162272</v>
      </c>
      <c r="H2390" s="241" t="n">
        <v>5.54</v>
      </c>
      <c r="I2390" s="241" t="n">
        <v>15.76</v>
      </c>
      <c r="J2390" s="241" t="n">
        <v>-29.43</v>
      </c>
      <c r="K2390" s="241" t="n">
        <v>7.43</v>
      </c>
      <c r="L2390" s="242" t="n">
        <v>5863800</v>
      </c>
      <c r="M2390" s="241" t="n">
        <v>4.84</v>
      </c>
      <c r="N2390" s="241" t="n">
        <v>8.09</v>
      </c>
      <c r="O2390" s="241" t="n">
        <v>-35.75</v>
      </c>
      <c r="P2390" s="241" t="n">
        <v>1.95</v>
      </c>
    </row>
    <row r="2391">
      <c r="A2391" s="282" t="inlineStr">
        <is>
          <t>2015-11-05</t>
        </is>
      </c>
      <c r="B2391" s="240">
        <f>IFERROR(1/P2391-1,B2390)</f>
        <v/>
      </c>
      <c r="C2391" s="240">
        <f>$C$3</f>
        <v/>
      </c>
      <c r="D2391" s="240">
        <f>$D$3</f>
        <v/>
      </c>
      <c r="E2391" s="240">
        <f>$E$3</f>
        <v/>
      </c>
      <c r="F2391" s="241" t="n">
        <v>14.91</v>
      </c>
      <c r="G2391" s="242" t="n">
        <v>74094622</v>
      </c>
      <c r="H2391" s="241" t="n">
        <v>3.04</v>
      </c>
      <c r="I2391" s="241" t="n">
        <v>19.28</v>
      </c>
      <c r="J2391" s="241" t="n">
        <v>-27.28</v>
      </c>
      <c r="K2391" s="241" t="n">
        <v>7.4</v>
      </c>
      <c r="L2391" s="242" t="n">
        <v>2038200</v>
      </c>
      <c r="M2391" s="241" t="n">
        <v>-0.44</v>
      </c>
      <c r="N2391" s="241" t="n">
        <v>7.61</v>
      </c>
      <c r="O2391" s="241" t="n">
        <v>-36.03</v>
      </c>
      <c r="P2391" s="241" t="n">
        <v>2.01</v>
      </c>
    </row>
    <row r="2392">
      <c r="A2392" s="282" t="inlineStr">
        <is>
          <t>2015-11-06</t>
        </is>
      </c>
      <c r="B2392" s="240">
        <f>IFERROR(1/P2392-1,B2391)</f>
        <v/>
      </c>
      <c r="C2392" s="240">
        <f>$C$3</f>
        <v/>
      </c>
      <c r="D2392" s="240">
        <f>$D$3</f>
        <v/>
      </c>
      <c r="E2392" s="240">
        <f>$E$3</f>
        <v/>
      </c>
      <c r="F2392" s="241" t="n">
        <v>15.11</v>
      </c>
      <c r="G2392" s="242" t="n">
        <v>57571831</v>
      </c>
      <c r="H2392" s="241" t="n">
        <v>1.34</v>
      </c>
      <c r="I2392" s="241" t="n">
        <v>20.88</v>
      </c>
      <c r="J2392" s="241" t="n">
        <v>-26.31</v>
      </c>
      <c r="K2392" s="241" t="n">
        <v>7.39</v>
      </c>
      <c r="L2392" s="242" t="n">
        <v>2379000</v>
      </c>
      <c r="M2392" s="241" t="n">
        <v>-0.33</v>
      </c>
      <c r="N2392" s="241" t="n">
        <v>7.38</v>
      </c>
      <c r="O2392" s="241" t="n">
        <v>-36.24</v>
      </c>
      <c r="P2392" s="241" t="n">
        <v>2.05</v>
      </c>
    </row>
    <row r="2393">
      <c r="A2393" s="282" t="inlineStr">
        <is>
          <t>2015-11-09</t>
        </is>
      </c>
      <c r="B2393" s="240">
        <f>IFERROR(1/P2393-1,B2392)</f>
        <v/>
      </c>
      <c r="C2393" s="240">
        <f>$C$3</f>
        <v/>
      </c>
      <c r="D2393" s="240">
        <f>$D$3</f>
        <v/>
      </c>
      <c r="E2393" s="240">
        <f>$E$3</f>
        <v/>
      </c>
      <c r="F2393" s="241" t="n">
        <v>15.13</v>
      </c>
      <c r="G2393" s="242" t="n">
        <v>67185485</v>
      </c>
      <c r="H2393" s="241" t="n">
        <v>0.13</v>
      </c>
      <c r="I2393" s="241" t="n">
        <v>14.02</v>
      </c>
      <c r="J2393" s="241" t="n">
        <v>-26.21</v>
      </c>
      <c r="K2393" s="241" t="n">
        <v>7.26</v>
      </c>
      <c r="L2393" s="242" t="n">
        <v>2268400</v>
      </c>
      <c r="M2393" s="241" t="n">
        <v>-1.88</v>
      </c>
      <c r="N2393" s="241" t="n">
        <v>3.51</v>
      </c>
      <c r="O2393" s="241" t="n">
        <v>-37.45</v>
      </c>
      <c r="P2393" s="241" t="n">
        <v>2.08</v>
      </c>
    </row>
    <row r="2394">
      <c r="A2394" s="282" t="inlineStr">
        <is>
          <t>2015-11-10</t>
        </is>
      </c>
      <c r="B2394" s="240">
        <f>IFERROR(1/P2394-1,B2393)</f>
        <v/>
      </c>
      <c r="C2394" s="240">
        <f>$C$3</f>
        <v/>
      </c>
      <c r="D2394" s="240">
        <f>$D$3</f>
        <v/>
      </c>
      <c r="E2394" s="240">
        <f>$E$3</f>
        <v/>
      </c>
      <c r="F2394" s="241" t="n">
        <v>15.3</v>
      </c>
      <c r="G2394" s="242" t="n">
        <v>57546624</v>
      </c>
      <c r="H2394" s="241" t="n">
        <v>1.12</v>
      </c>
      <c r="I2394" s="241" t="n">
        <v>13</v>
      </c>
      <c r="J2394" s="241" t="n">
        <v>-25.38</v>
      </c>
      <c r="K2394" s="241" t="n">
        <v>7.16</v>
      </c>
      <c r="L2394" s="242" t="n">
        <v>2215200</v>
      </c>
      <c r="M2394" s="241" t="n">
        <v>-1.36</v>
      </c>
      <c r="N2394" s="241" t="n">
        <v>-3</v>
      </c>
      <c r="O2394" s="241" t="n">
        <v>-38.29</v>
      </c>
      <c r="P2394" s="241" t="n">
        <v>2.14</v>
      </c>
    </row>
    <row r="2395">
      <c r="A2395" s="282" t="inlineStr">
        <is>
          <t>2015-11-11</t>
        </is>
      </c>
      <c r="B2395" s="240">
        <f>IFERROR(1/P2395-1,B2394)</f>
        <v/>
      </c>
      <c r="C2395" s="240">
        <f>$C$3</f>
        <v/>
      </c>
      <c r="D2395" s="240">
        <f>$D$3</f>
        <v/>
      </c>
      <c r="E2395" s="240">
        <f>$E$3</f>
        <v/>
      </c>
      <c r="F2395" s="241" t="n">
        <v>15.31</v>
      </c>
      <c r="G2395" s="242" t="n">
        <v>44527754</v>
      </c>
      <c r="H2395" s="241" t="n">
        <v>0.07000000000000001</v>
      </c>
      <c r="I2395" s="241" t="n">
        <v>13.07</v>
      </c>
      <c r="J2395" s="241" t="n">
        <v>-25.33</v>
      </c>
      <c r="K2395" s="241" t="n">
        <v>7.19</v>
      </c>
      <c r="L2395" s="242" t="n">
        <v>1107400</v>
      </c>
      <c r="M2395" s="241" t="n">
        <v>0.34</v>
      </c>
      <c r="N2395" s="241" t="n">
        <v>-2.67</v>
      </c>
      <c r="O2395" s="241" t="n">
        <v>-38.08</v>
      </c>
      <c r="P2395" s="241" t="n">
        <v>2.13</v>
      </c>
    </row>
    <row r="2396">
      <c r="A2396" s="282" t="inlineStr">
        <is>
          <t>2015-11-12</t>
        </is>
      </c>
      <c r="B2396" s="240">
        <f>IFERROR(1/P2396-1,B2395)</f>
        <v/>
      </c>
      <c r="C2396" s="240">
        <f>$C$3</f>
        <v/>
      </c>
      <c r="D2396" s="240">
        <f>$D$3</f>
        <v/>
      </c>
      <c r="E2396" s="240">
        <f>$E$3</f>
        <v/>
      </c>
      <c r="F2396" s="241" t="n">
        <v>15.51</v>
      </c>
      <c r="G2396" s="242" t="n">
        <v>69362051</v>
      </c>
      <c r="H2396" s="241" t="n">
        <v>1.31</v>
      </c>
      <c r="I2396" s="241" t="n">
        <v>14.55</v>
      </c>
      <c r="J2396" s="241" t="n">
        <v>-24.36</v>
      </c>
      <c r="K2396" s="241" t="n">
        <v>7.27</v>
      </c>
      <c r="L2396" s="242" t="n">
        <v>1216800</v>
      </c>
      <c r="M2396" s="241" t="n">
        <v>1.03</v>
      </c>
      <c r="N2396" s="241" t="n">
        <v>-1.67</v>
      </c>
      <c r="O2396" s="241" t="n">
        <v>-37.45</v>
      </c>
      <c r="P2396" s="241" t="n">
        <v>2.13</v>
      </c>
    </row>
    <row r="2397">
      <c r="A2397" s="282" t="inlineStr">
        <is>
          <t>2015-11-13</t>
        </is>
      </c>
      <c r="B2397" s="240">
        <f>IFERROR(1/P2397-1,B2396)</f>
        <v/>
      </c>
      <c r="C2397" s="240">
        <f>$C$3</f>
        <v/>
      </c>
      <c r="D2397" s="240">
        <f>$D$3</f>
        <v/>
      </c>
      <c r="E2397" s="240">
        <f>$E$3</f>
        <v/>
      </c>
      <c r="F2397" s="241" t="n">
        <v>14.9</v>
      </c>
      <c r="G2397" s="242" t="n">
        <v>49394887</v>
      </c>
      <c r="H2397" s="241" t="n">
        <v>-3.93</v>
      </c>
      <c r="I2397" s="241" t="n">
        <v>4.71</v>
      </c>
      <c r="J2397" s="241" t="n">
        <v>-27.33</v>
      </c>
      <c r="K2397" s="241" t="n">
        <v>7.15</v>
      </c>
      <c r="L2397" s="242" t="n">
        <v>1048400</v>
      </c>
      <c r="M2397" s="241" t="n">
        <v>-1.69</v>
      </c>
      <c r="N2397" s="241" t="n">
        <v>-8.029999999999999</v>
      </c>
      <c r="O2397" s="241" t="n">
        <v>-38.51</v>
      </c>
      <c r="P2397" s="241" t="n">
        <v>2.09</v>
      </c>
    </row>
    <row r="2398">
      <c r="A2398" s="282" t="inlineStr">
        <is>
          <t>2015-11-16</t>
        </is>
      </c>
      <c r="B2398" s="240">
        <f>IFERROR(1/P2398-1,B2397)</f>
        <v/>
      </c>
      <c r="C2398" s="240">
        <f>$C$3</f>
        <v/>
      </c>
      <c r="D2398" s="240">
        <f>$D$3</f>
        <v/>
      </c>
      <c r="E2398" s="240">
        <f>$E$3</f>
        <v/>
      </c>
      <c r="F2398" s="241" t="n">
        <v>14.89</v>
      </c>
      <c r="G2398" s="242" t="n">
        <v>35359504</v>
      </c>
      <c r="H2398" s="241" t="n">
        <v>-0.07000000000000001</v>
      </c>
      <c r="I2398" s="241" t="n">
        <v>-0.73</v>
      </c>
      <c r="J2398" s="241" t="n">
        <v>-27.38</v>
      </c>
      <c r="K2398" s="241" t="n">
        <v>7.02</v>
      </c>
      <c r="L2398" s="242" t="n">
        <v>1729600</v>
      </c>
      <c r="M2398" s="241" t="n">
        <v>-1.84</v>
      </c>
      <c r="N2398" s="241" t="n">
        <v>-14.77</v>
      </c>
      <c r="O2398" s="241" t="n">
        <v>-39.64</v>
      </c>
      <c r="P2398" s="241" t="n">
        <v>2.12</v>
      </c>
    </row>
    <row r="2399">
      <c r="A2399" s="282" t="inlineStr">
        <is>
          <t>2015-11-17</t>
        </is>
      </c>
      <c r="B2399" s="240">
        <f>IFERROR(1/P2399-1,B2398)</f>
        <v/>
      </c>
      <c r="C2399" s="240">
        <f>$C$3</f>
        <v/>
      </c>
      <c r="D2399" s="240">
        <f>$D$3</f>
        <v/>
      </c>
      <c r="E2399" s="240">
        <f>$E$3</f>
        <v/>
      </c>
      <c r="F2399" s="241" t="n">
        <v>14.96</v>
      </c>
      <c r="G2399" s="242" t="n">
        <v>42433437</v>
      </c>
      <c r="H2399" s="241" t="n">
        <v>0.47</v>
      </c>
      <c r="I2399" s="241" t="n">
        <v>-3.61</v>
      </c>
      <c r="J2399" s="241" t="n">
        <v>-27.04</v>
      </c>
      <c r="K2399" s="241" t="n">
        <v>7.1</v>
      </c>
      <c r="L2399" s="242" t="n">
        <v>936600</v>
      </c>
      <c r="M2399" s="241" t="n">
        <v>1.05</v>
      </c>
      <c r="N2399" s="241" t="n">
        <v>-11.67</v>
      </c>
      <c r="O2399" s="241" t="n">
        <v>-39</v>
      </c>
      <c r="P2399" s="241" t="n">
        <v>2.11</v>
      </c>
    </row>
    <row r="2400">
      <c r="A2400" s="282" t="inlineStr">
        <is>
          <t>2015-11-18</t>
        </is>
      </c>
      <c r="B2400" s="240">
        <f>IFERROR(1/P2400-1,B2399)</f>
        <v/>
      </c>
      <c r="C2400" s="240">
        <f>$C$3</f>
        <v/>
      </c>
      <c r="D2400" s="240">
        <f>$D$3</f>
        <v/>
      </c>
      <c r="E2400" s="240">
        <f>$E$3</f>
        <v/>
      </c>
      <c r="F2400" s="241" t="n">
        <v>14.55</v>
      </c>
      <c r="G2400" s="242" t="n">
        <v>29664615</v>
      </c>
      <c r="H2400" s="241" t="n">
        <v>-2.74</v>
      </c>
      <c r="I2400" s="241" t="n">
        <v>-6.25</v>
      </c>
      <c r="J2400" s="241" t="n">
        <v>-29.04</v>
      </c>
      <c r="K2400" s="241" t="n">
        <v>7.01</v>
      </c>
      <c r="L2400" s="242" t="n">
        <v>716400</v>
      </c>
      <c r="M2400" s="241" t="n">
        <v>-1.27</v>
      </c>
      <c r="N2400" s="241" t="n">
        <v>-12.79</v>
      </c>
      <c r="O2400" s="241" t="n">
        <v>-39.78</v>
      </c>
      <c r="P2400" s="241" t="n">
        <v>2.07</v>
      </c>
    </row>
    <row r="2401">
      <c r="A2401" s="282" t="inlineStr">
        <is>
          <t>2015-11-19</t>
        </is>
      </c>
      <c r="B2401" s="240">
        <f>IFERROR(1/P2401-1,B2400)</f>
        <v/>
      </c>
      <c r="C2401" s="240">
        <f>$C$3</f>
        <v/>
      </c>
      <c r="D2401" s="240">
        <f>$D$3</f>
        <v/>
      </c>
      <c r="E2401" s="240">
        <f>$E$3</f>
        <v/>
      </c>
      <c r="F2401" s="241" t="n">
        <v>14.79</v>
      </c>
      <c r="G2401" s="242" t="n">
        <v>21050282</v>
      </c>
      <c r="H2401" s="241" t="n">
        <v>1.65</v>
      </c>
      <c r="I2401" s="241" t="n">
        <v>-4.7</v>
      </c>
      <c r="J2401" s="241" t="n">
        <v>-27.87</v>
      </c>
      <c r="K2401" s="241" t="n">
        <v>7.09</v>
      </c>
      <c r="L2401" s="242" t="n">
        <v>1354800</v>
      </c>
      <c r="M2401" s="241" t="n">
        <v>1.06</v>
      </c>
      <c r="N2401" s="241" t="n">
        <v>-11.87</v>
      </c>
      <c r="O2401" s="241" t="n">
        <v>-39.14</v>
      </c>
      <c r="P2401" s="241" t="n">
        <v>2.09</v>
      </c>
    </row>
    <row r="2402">
      <c r="A2402" s="282" t="inlineStr">
        <is>
          <t>2015-11-20</t>
        </is>
      </c>
      <c r="B2402" s="240">
        <f>IFERROR(1/P2402-1,B2401)</f>
        <v/>
      </c>
      <c r="C2402" s="240">
        <f>$C$3</f>
        <v/>
      </c>
      <c r="D2402" s="240">
        <f>$D$3</f>
        <v/>
      </c>
      <c r="E2402" s="240">
        <f>$E$3</f>
        <v/>
      </c>
      <c r="F2402" s="241" t="n">
        <v>14.97</v>
      </c>
      <c r="G2402" s="242" t="n">
        <v>34354757</v>
      </c>
      <c r="H2402" s="241" t="n">
        <v>1.22</v>
      </c>
      <c r="I2402" s="241" t="n">
        <v>-4.53</v>
      </c>
      <c r="J2402" s="241" t="n">
        <v>-26.99</v>
      </c>
      <c r="K2402" s="241" t="n">
        <v>7.39</v>
      </c>
      <c r="L2402" s="242" t="n">
        <v>2430800</v>
      </c>
      <c r="M2402" s="241" t="n">
        <v>4.3</v>
      </c>
      <c r="N2402" s="241" t="n">
        <v>-9.57</v>
      </c>
      <c r="O2402" s="241" t="n">
        <v>-36.53</v>
      </c>
      <c r="P2402" s="241" t="n">
        <v>2.03</v>
      </c>
    </row>
    <row r="2403">
      <c r="A2403" s="282" t="inlineStr">
        <is>
          <t>2015-11-23</t>
        </is>
      </c>
      <c r="B2403" s="240">
        <f>IFERROR(1/P2403-1,B2402)</f>
        <v/>
      </c>
      <c r="C2403" s="240">
        <f>$C$3</f>
        <v/>
      </c>
      <c r="D2403" s="240">
        <f>$D$3</f>
        <v/>
      </c>
      <c r="E2403" s="240">
        <f>$E$3</f>
        <v/>
      </c>
      <c r="F2403" s="241" t="n">
        <v>14.85</v>
      </c>
      <c r="G2403" s="242" t="n">
        <v>28699666</v>
      </c>
      <c r="H2403" s="241" t="n">
        <v>-0.8</v>
      </c>
      <c r="I2403" s="241" t="n">
        <v>-0.6</v>
      </c>
      <c r="J2403" s="241" t="n">
        <v>-27.58</v>
      </c>
      <c r="K2403" s="241" t="n">
        <v>7.27</v>
      </c>
      <c r="L2403" s="242" t="n">
        <v>1519200</v>
      </c>
      <c r="M2403" s="241" t="n">
        <v>-1.78</v>
      </c>
      <c r="N2403" s="241" t="n">
        <v>-7.84</v>
      </c>
      <c r="O2403" s="241" t="n">
        <v>-37.66</v>
      </c>
      <c r="P2403" s="241" t="n">
        <v>2.04</v>
      </c>
    </row>
    <row r="2404">
      <c r="A2404" s="282" t="inlineStr">
        <is>
          <t>2015-11-24</t>
        </is>
      </c>
      <c r="B2404" s="240">
        <f>IFERROR(1/P2404-1,B2403)</f>
        <v/>
      </c>
      <c r="C2404" s="240">
        <f>$C$3</f>
        <v/>
      </c>
      <c r="D2404" s="240">
        <f>$D$3</f>
        <v/>
      </c>
      <c r="E2404" s="240">
        <f>$E$3</f>
        <v/>
      </c>
      <c r="F2404" s="241" t="n">
        <v>14.76</v>
      </c>
      <c r="G2404" s="242" t="n">
        <v>20029644</v>
      </c>
      <c r="H2404" s="241" t="n">
        <v>-0.61</v>
      </c>
      <c r="I2404" s="241" t="n">
        <v>-2.19</v>
      </c>
      <c r="J2404" s="241" t="n">
        <v>-28.01</v>
      </c>
      <c r="K2404" s="241" t="n">
        <v>7.21</v>
      </c>
      <c r="L2404" s="242" t="n">
        <v>1238730</v>
      </c>
      <c r="M2404" s="241" t="n">
        <v>-0.79</v>
      </c>
      <c r="N2404" s="241" t="n">
        <v>-8.470000000000001</v>
      </c>
      <c r="O2404" s="241" t="n">
        <v>-38.15</v>
      </c>
      <c r="P2404" s="241" t="n">
        <v>2.05</v>
      </c>
    </row>
    <row r="2405">
      <c r="A2405" s="282" t="inlineStr">
        <is>
          <t>2015-11-25</t>
        </is>
      </c>
      <c r="B2405" s="240">
        <f>IFERROR(1/P2405-1,B2404)</f>
        <v/>
      </c>
      <c r="C2405" s="240">
        <f>$C$3</f>
        <v/>
      </c>
      <c r="D2405" s="240">
        <f>$D$3</f>
        <v/>
      </c>
      <c r="E2405" s="240">
        <f>$E$3</f>
        <v/>
      </c>
      <c r="F2405" s="241" t="n">
        <v>14.92</v>
      </c>
      <c r="G2405" s="242" t="n">
        <v>27371430</v>
      </c>
      <c r="H2405" s="241" t="n">
        <v>1.08</v>
      </c>
      <c r="I2405" s="241" t="n">
        <v>-1.13</v>
      </c>
      <c r="J2405" s="241" t="n">
        <v>-27.23</v>
      </c>
      <c r="K2405" s="241" t="n">
        <v>7.15</v>
      </c>
      <c r="L2405" s="242" t="n">
        <v>851600</v>
      </c>
      <c r="M2405" s="241" t="n">
        <v>-0.8</v>
      </c>
      <c r="N2405" s="241" t="n">
        <v>-9.210000000000001</v>
      </c>
      <c r="O2405" s="241" t="n">
        <v>-38.65</v>
      </c>
      <c r="P2405" s="241" t="n">
        <v>2.09</v>
      </c>
    </row>
    <row r="2406">
      <c r="A2406" s="282" t="inlineStr">
        <is>
          <t>2015-11-26</t>
        </is>
      </c>
      <c r="B2406" s="240">
        <f>IFERROR(1/P2406-1,B2405)</f>
        <v/>
      </c>
      <c r="C2406" s="240">
        <f>$C$3</f>
        <v/>
      </c>
      <c r="D2406" s="240">
        <f>$D$3</f>
        <v/>
      </c>
      <c r="E2406" s="240">
        <f>$E$3</f>
        <v/>
      </c>
      <c r="F2406" s="241" t="n">
        <v>14.97</v>
      </c>
      <c r="G2406" s="242" t="n">
        <v>39825394</v>
      </c>
      <c r="H2406" s="241" t="n">
        <v>0.34</v>
      </c>
      <c r="I2406" s="241" t="n">
        <v>-0.8</v>
      </c>
      <c r="J2406" s="241" t="n">
        <v>-26.99</v>
      </c>
      <c r="K2406" s="241" t="n">
        <v>7.16</v>
      </c>
      <c r="L2406" s="242" t="n">
        <v>1056000</v>
      </c>
      <c r="M2406" s="241" t="n">
        <v>0</v>
      </c>
      <c r="N2406" s="241" t="n">
        <v>-9.210000000000001</v>
      </c>
      <c r="O2406" s="241" t="n">
        <v>-38.65</v>
      </c>
      <c r="P2406" s="241" t="n">
        <v>2.09</v>
      </c>
    </row>
    <row r="2407">
      <c r="A2407" s="282" t="inlineStr">
        <is>
          <t>2015-11-27</t>
        </is>
      </c>
      <c r="B2407" s="240">
        <f>IFERROR(1/P2407-1,B2406)</f>
        <v/>
      </c>
      <c r="C2407" s="240">
        <f>$C$3</f>
        <v/>
      </c>
      <c r="D2407" s="240">
        <f>$D$3</f>
        <v/>
      </c>
      <c r="E2407" s="240">
        <f>$E$3</f>
        <v/>
      </c>
      <c r="F2407" s="241" t="n">
        <v>13.77</v>
      </c>
      <c r="G2407" s="242" t="n">
        <v>44618580</v>
      </c>
      <c r="H2407" s="241" t="n">
        <v>-8.02</v>
      </c>
      <c r="I2407" s="241" t="n">
        <v>-8.02</v>
      </c>
      <c r="J2407" s="241" t="n">
        <v>-32.84</v>
      </c>
      <c r="K2407" s="241" t="n">
        <v>6.84</v>
      </c>
      <c r="L2407" s="242" t="n">
        <v>2424143</v>
      </c>
      <c r="M2407" s="241" t="n">
        <v>-4.49</v>
      </c>
      <c r="N2407" s="241" t="n">
        <v>-13.1</v>
      </c>
      <c r="O2407" s="241" t="n">
        <v>-41.4</v>
      </c>
      <c r="P2407" s="241" t="n">
        <v>2.01</v>
      </c>
    </row>
    <row r="2408">
      <c r="A2408" s="282" t="inlineStr">
        <is>
          <t>2015-11-30</t>
        </is>
      </c>
      <c r="B2408" s="240">
        <f>IFERROR(1/P2408-1,B2407)</f>
        <v/>
      </c>
      <c r="C2408" s="240">
        <f>$C$3</f>
        <v/>
      </c>
      <c r="D2408" s="240">
        <f>$D$3</f>
        <v/>
      </c>
      <c r="E2408" s="240">
        <f>$E$3</f>
        <v/>
      </c>
      <c r="F2408" s="241" t="n">
        <v>13.56</v>
      </c>
      <c r="G2408" s="242" t="n">
        <v>31635290</v>
      </c>
      <c r="H2408" s="241" t="n">
        <v>-1.53</v>
      </c>
      <c r="I2408" s="241" t="n">
        <v>-6.16</v>
      </c>
      <c r="J2408" s="241" t="n">
        <v>-33.87</v>
      </c>
      <c r="K2408" s="241" t="n">
        <v>6.72</v>
      </c>
      <c r="L2408" s="242" t="n">
        <v>1516800</v>
      </c>
      <c r="M2408" s="241" t="n">
        <v>-1.81</v>
      </c>
      <c r="N2408" s="241" t="n">
        <v>-12.38</v>
      </c>
      <c r="O2408" s="241" t="n">
        <v>-42.46</v>
      </c>
      <c r="P2408" s="241" t="n">
        <v>2.02</v>
      </c>
    </row>
    <row r="2409">
      <c r="A2409" s="282" t="inlineStr">
        <is>
          <t>2015-12-01</t>
        </is>
      </c>
      <c r="B2409" s="240">
        <f>IFERROR(1/P2409-1,B2408)</f>
        <v/>
      </c>
      <c r="C2409" s="240">
        <f>$C$3</f>
        <v/>
      </c>
      <c r="D2409" s="240">
        <f>$D$3</f>
        <v/>
      </c>
      <c r="E2409" s="240">
        <f>$E$3</f>
        <v/>
      </c>
      <c r="F2409" s="241" t="n">
        <v>13.6</v>
      </c>
      <c r="G2409" s="242" t="n">
        <v>23443988</v>
      </c>
      <c r="H2409" s="241" t="n">
        <v>0.29</v>
      </c>
      <c r="I2409" s="241" t="n">
        <v>-6.72</v>
      </c>
      <c r="J2409" s="241" t="n">
        <v>-33.67</v>
      </c>
      <c r="K2409" s="241" t="n">
        <v>6.77</v>
      </c>
      <c r="L2409" s="242" t="n">
        <v>955200</v>
      </c>
      <c r="M2409" s="241" t="n">
        <v>0.74</v>
      </c>
      <c r="N2409" s="241" t="n">
        <v>-11.92</v>
      </c>
      <c r="O2409" s="241" t="n">
        <v>-42.04</v>
      </c>
      <c r="P2409" s="241" t="n">
        <v>2.01</v>
      </c>
    </row>
    <row r="2410">
      <c r="A2410" s="282" t="inlineStr">
        <is>
          <t>2015-12-02</t>
        </is>
      </c>
      <c r="B2410" s="240">
        <f>IFERROR(1/P2410-1,B2409)</f>
        <v/>
      </c>
      <c r="C2410" s="240">
        <f>$C$3</f>
        <v/>
      </c>
      <c r="D2410" s="240">
        <f>$D$3</f>
        <v/>
      </c>
      <c r="E2410" s="240">
        <f>$E$3</f>
        <v/>
      </c>
      <c r="F2410" s="241" t="n">
        <v>13.89</v>
      </c>
      <c r="G2410" s="242" t="n">
        <v>25655442</v>
      </c>
      <c r="H2410" s="241" t="n">
        <v>2.13</v>
      </c>
      <c r="I2410" s="241" t="n">
        <v>-4.73</v>
      </c>
      <c r="J2410" s="241" t="n">
        <v>-32.26</v>
      </c>
      <c r="K2410" s="241" t="n">
        <v>6.77</v>
      </c>
      <c r="L2410" s="242" t="n">
        <v>1612800</v>
      </c>
      <c r="M2410" s="241" t="n">
        <v>0</v>
      </c>
      <c r="N2410" s="241" t="n">
        <v>-11.92</v>
      </c>
      <c r="O2410" s="241" t="n">
        <v>-42.04</v>
      </c>
      <c r="P2410" s="241" t="n">
        <v>2.05</v>
      </c>
    </row>
    <row r="2411">
      <c r="A2411" s="282" t="inlineStr">
        <is>
          <t>2015-12-03</t>
        </is>
      </c>
      <c r="B2411" s="240">
        <f>IFERROR(1/P2411-1,B2410)</f>
        <v/>
      </c>
      <c r="C2411" s="240">
        <f>$C$3</f>
        <v/>
      </c>
      <c r="D2411" s="240">
        <f>$D$3</f>
        <v/>
      </c>
      <c r="E2411" s="240">
        <f>$E$3</f>
        <v/>
      </c>
      <c r="F2411" s="241" t="n">
        <v>14.06</v>
      </c>
      <c r="G2411" s="242" t="n">
        <v>26412809</v>
      </c>
      <c r="H2411" s="241" t="n">
        <v>1.22</v>
      </c>
      <c r="I2411" s="241" t="n">
        <v>1.22</v>
      </c>
      <c r="J2411" s="241" t="n">
        <v>-31.43</v>
      </c>
      <c r="K2411" s="241" t="n">
        <v>6.86</v>
      </c>
      <c r="L2411" s="242" t="n">
        <v>1263200</v>
      </c>
      <c r="M2411" s="241" t="n">
        <v>1.34</v>
      </c>
      <c r="N2411" s="241" t="n">
        <v>-4.37</v>
      </c>
      <c r="O2411" s="241" t="n">
        <v>-41.26</v>
      </c>
      <c r="P2411" s="241" t="n">
        <v>2.05</v>
      </c>
    </row>
    <row r="2412">
      <c r="A2412" s="282" t="inlineStr">
        <is>
          <t>2015-12-04</t>
        </is>
      </c>
      <c r="B2412" s="240">
        <f>IFERROR(1/P2412-1,B2411)</f>
        <v/>
      </c>
      <c r="C2412" s="240">
        <f>$C$3</f>
        <v/>
      </c>
      <c r="D2412" s="240">
        <f>$D$3</f>
        <v/>
      </c>
      <c r="E2412" s="240">
        <f>$E$3</f>
        <v/>
      </c>
      <c r="F2412" s="241" t="n">
        <v>13.77</v>
      </c>
      <c r="G2412" s="242" t="n">
        <v>21345442</v>
      </c>
      <c r="H2412" s="241" t="n">
        <v>-2.06</v>
      </c>
      <c r="I2412" s="241" t="n">
        <v>0.44</v>
      </c>
      <c r="J2412" s="241" t="n">
        <v>-32.84</v>
      </c>
      <c r="K2412" s="241" t="n">
        <v>6.85</v>
      </c>
      <c r="L2412" s="242" t="n">
        <v>705800</v>
      </c>
      <c r="M2412" s="241" t="n">
        <v>0.12</v>
      </c>
      <c r="N2412" s="241" t="n">
        <v>-4.04</v>
      </c>
      <c r="O2412" s="241" t="n">
        <v>-41.19</v>
      </c>
      <c r="P2412" s="241" t="n">
        <v>2.01</v>
      </c>
    </row>
    <row r="2413">
      <c r="A2413" s="282" t="inlineStr">
        <is>
          <t>2015-12-07</t>
        </is>
      </c>
      <c r="B2413" s="240">
        <f>IFERROR(1/P2413-1,B2412)</f>
        <v/>
      </c>
      <c r="C2413" s="240">
        <f>$C$3</f>
        <v/>
      </c>
      <c r="D2413" s="240">
        <f>$D$3</f>
        <v/>
      </c>
      <c r="E2413" s="240">
        <f>$E$3</f>
        <v/>
      </c>
      <c r="F2413" s="241" t="n">
        <v>14.22</v>
      </c>
      <c r="G2413" s="242" t="n">
        <v>39845523</v>
      </c>
      <c r="H2413" s="241" t="n">
        <v>3.27</v>
      </c>
      <c r="I2413" s="241" t="n">
        <v>-5.89</v>
      </c>
      <c r="J2413" s="241" t="n">
        <v>-30.65</v>
      </c>
      <c r="K2413" s="241" t="n">
        <v>6.84</v>
      </c>
      <c r="L2413" s="242" t="n">
        <v>1521200</v>
      </c>
      <c r="M2413" s="241" t="n">
        <v>-0.48</v>
      </c>
      <c r="N2413" s="241" t="n">
        <v>-8.199999999999999</v>
      </c>
      <c r="O2413" s="241" t="n">
        <v>-41.48</v>
      </c>
      <c r="P2413" s="241" t="n">
        <v>2.08</v>
      </c>
    </row>
    <row r="2414">
      <c r="A2414" s="282" t="inlineStr">
        <is>
          <t>2015-12-08</t>
        </is>
      </c>
      <c r="B2414" s="240">
        <f>IFERROR(1/P2414-1,B2413)</f>
        <v/>
      </c>
      <c r="C2414" s="240">
        <f>$C$3</f>
        <v/>
      </c>
      <c r="D2414" s="240">
        <f>$D$3</f>
        <v/>
      </c>
      <c r="E2414" s="240">
        <f>$E$3</f>
        <v/>
      </c>
      <c r="F2414" s="241" t="n">
        <v>13.64</v>
      </c>
      <c r="G2414" s="242" t="n">
        <v>23955312</v>
      </c>
      <c r="H2414" s="241" t="n">
        <v>-4.08</v>
      </c>
      <c r="I2414" s="241" t="n">
        <v>-9.73</v>
      </c>
      <c r="J2414" s="241" t="n">
        <v>-33.48</v>
      </c>
      <c r="K2414" s="241" t="n">
        <v>6.69</v>
      </c>
      <c r="L2414" s="242" t="n">
        <v>1283200</v>
      </c>
      <c r="M2414" s="241" t="n">
        <v>-2.29</v>
      </c>
      <c r="N2414" s="241" t="n">
        <v>-10.31</v>
      </c>
      <c r="O2414" s="241" t="n">
        <v>-42.82</v>
      </c>
      <c r="P2414" s="241" t="n">
        <v>2.04</v>
      </c>
    </row>
    <row r="2415">
      <c r="A2415" s="282" t="inlineStr">
        <is>
          <t>2015-12-09</t>
        </is>
      </c>
      <c r="B2415" s="240">
        <f>IFERROR(1/P2415-1,B2414)</f>
        <v/>
      </c>
      <c r="C2415" s="240">
        <f>$C$3</f>
        <v/>
      </c>
      <c r="D2415" s="240">
        <f>$D$3</f>
        <v/>
      </c>
      <c r="E2415" s="240">
        <f>$E$3</f>
        <v/>
      </c>
      <c r="F2415" s="241" t="n">
        <v>13.4</v>
      </c>
      <c r="G2415" s="242" t="n">
        <v>20147828</v>
      </c>
      <c r="H2415" s="241" t="n">
        <v>-1.76</v>
      </c>
      <c r="I2415" s="241" t="n">
        <v>-11.32</v>
      </c>
      <c r="J2415" s="241" t="n">
        <v>-34.65</v>
      </c>
      <c r="K2415" s="241" t="n">
        <v>6.52</v>
      </c>
      <c r="L2415" s="242" t="n">
        <v>2859200</v>
      </c>
      <c r="M2415" s="241" t="n">
        <v>-2.6</v>
      </c>
      <c r="N2415" s="241" t="n">
        <v>-12.64</v>
      </c>
      <c r="O2415" s="241" t="n">
        <v>-44.3</v>
      </c>
      <c r="P2415" s="241" t="n">
        <v>2.05</v>
      </c>
    </row>
    <row r="2416">
      <c r="A2416" s="282" t="inlineStr">
        <is>
          <t>2015-12-10</t>
        </is>
      </c>
      <c r="B2416" s="240">
        <f>IFERROR(1/P2416-1,B2415)</f>
        <v/>
      </c>
      <c r="C2416" s="240">
        <f>$C$3</f>
        <v/>
      </c>
      <c r="D2416" s="240">
        <f>$D$3</f>
        <v/>
      </c>
      <c r="E2416" s="240">
        <f>$E$3</f>
        <v/>
      </c>
      <c r="F2416" s="241" t="n">
        <v>13.37</v>
      </c>
      <c r="G2416" s="242" t="n">
        <v>14958394</v>
      </c>
      <c r="H2416" s="241" t="n">
        <v>-0.22</v>
      </c>
      <c r="I2416" s="241" t="n">
        <v>-11.63</v>
      </c>
      <c r="J2416" s="241" t="n">
        <v>-34.79</v>
      </c>
      <c r="K2416" s="241" t="n">
        <v>6.4</v>
      </c>
      <c r="L2416" s="242" t="n">
        <v>1671000</v>
      </c>
      <c r="M2416" s="241" t="n">
        <v>-2.03</v>
      </c>
      <c r="N2416" s="241" t="n">
        <v>-12.77</v>
      </c>
      <c r="O2416" s="241" t="n">
        <v>-45.43</v>
      </c>
      <c r="P2416" s="241" t="n">
        <v>2.09</v>
      </c>
    </row>
    <row r="2417">
      <c r="A2417" s="282" t="inlineStr">
        <is>
          <t>2015-12-11</t>
        </is>
      </c>
      <c r="B2417" s="240">
        <f>IFERROR(1/P2417-1,B2416)</f>
        <v/>
      </c>
      <c r="C2417" s="240">
        <f>$C$3</f>
        <v/>
      </c>
      <c r="D2417" s="240">
        <f>$D$3</f>
        <v/>
      </c>
      <c r="E2417" s="240">
        <f>$E$3</f>
        <v/>
      </c>
      <c r="F2417" s="241" t="n">
        <v>13.29</v>
      </c>
      <c r="G2417" s="242" t="n">
        <v>14027579</v>
      </c>
      <c r="H2417" s="241" t="n">
        <v>-0.6</v>
      </c>
      <c r="I2417" s="241" t="n">
        <v>-13.14</v>
      </c>
      <c r="J2417" s="241" t="n">
        <v>-35.18</v>
      </c>
      <c r="K2417" s="241" t="n">
        <v>6.24</v>
      </c>
      <c r="L2417" s="242" t="n">
        <v>1587119</v>
      </c>
      <c r="M2417" s="241" t="n">
        <v>-2.59</v>
      </c>
      <c r="N2417" s="241" t="n">
        <v>-13.86</v>
      </c>
      <c r="O2417" s="241" t="n">
        <v>-46.85</v>
      </c>
      <c r="P2417" s="241" t="n">
        <v>2.13</v>
      </c>
    </row>
    <row r="2418">
      <c r="A2418" s="282" t="inlineStr">
        <is>
          <t>2015-12-14</t>
        </is>
      </c>
      <c r="B2418" s="240">
        <f>IFERROR(1/P2418-1,B2417)</f>
        <v/>
      </c>
      <c r="C2418" s="240">
        <f>$C$3</f>
        <v/>
      </c>
      <c r="D2418" s="240">
        <f>$D$3</f>
        <v/>
      </c>
      <c r="E2418" s="240">
        <f>$E$3</f>
        <v/>
      </c>
      <c r="F2418" s="241" t="n">
        <v>13.72</v>
      </c>
      <c r="G2418" s="242" t="n">
        <v>24188033</v>
      </c>
      <c r="H2418" s="241" t="n">
        <v>3.24</v>
      </c>
      <c r="I2418" s="241" t="n">
        <v>-7.92</v>
      </c>
      <c r="J2418" s="241" t="n">
        <v>-33.09</v>
      </c>
      <c r="K2418" s="241" t="n">
        <v>6.47</v>
      </c>
      <c r="L2418" s="242" t="n">
        <v>2281600</v>
      </c>
      <c r="M2418" s="241" t="n">
        <v>3.32</v>
      </c>
      <c r="N2418" s="241" t="n">
        <v>-10.69</v>
      </c>
      <c r="O2418" s="241" t="n">
        <v>-45.08</v>
      </c>
      <c r="P2418" s="241" t="n">
        <v>2.12</v>
      </c>
    </row>
    <row r="2419">
      <c r="A2419" s="282" t="inlineStr">
        <is>
          <t>2015-12-15</t>
        </is>
      </c>
      <c r="B2419" s="240">
        <f>IFERROR(1/P2419-1,B2418)</f>
        <v/>
      </c>
      <c r="C2419" s="240">
        <f>$C$3</f>
        <v/>
      </c>
      <c r="D2419" s="240">
        <f>$D$3</f>
        <v/>
      </c>
      <c r="E2419" s="240">
        <f>$E$3</f>
        <v/>
      </c>
      <c r="F2419" s="241" t="n">
        <v>13.64</v>
      </c>
      <c r="G2419" s="242" t="n">
        <v>15664841</v>
      </c>
      <c r="H2419" s="241" t="n">
        <v>-0.58</v>
      </c>
      <c r="I2419" s="241" t="n">
        <v>-8.460000000000001</v>
      </c>
      <c r="J2419" s="241" t="n">
        <v>-33.48</v>
      </c>
      <c r="K2419" s="241" t="n">
        <v>6.52</v>
      </c>
      <c r="L2419" s="242" t="n">
        <v>1394150</v>
      </c>
      <c r="M2419" s="241" t="n">
        <v>0.77</v>
      </c>
      <c r="N2419" s="241" t="n">
        <v>-10</v>
      </c>
      <c r="O2419" s="241" t="n">
        <v>-44.66</v>
      </c>
      <c r="P2419" s="241" t="n">
        <v>2.09</v>
      </c>
    </row>
    <row r="2420">
      <c r="A2420" s="282" t="inlineStr">
        <is>
          <t>2015-12-16</t>
        </is>
      </c>
      <c r="B2420" s="240">
        <f>IFERROR(1/P2420-1,B2419)</f>
        <v/>
      </c>
      <c r="C2420" s="240">
        <f>$C$3</f>
        <v/>
      </c>
      <c r="D2420" s="240">
        <f>$D$3</f>
        <v/>
      </c>
      <c r="E2420" s="240">
        <f>$E$3</f>
        <v/>
      </c>
      <c r="F2420" s="241" t="n">
        <v>13.8</v>
      </c>
      <c r="G2420" s="242" t="n">
        <v>18591731</v>
      </c>
      <c r="H2420" s="241" t="n">
        <v>1.17</v>
      </c>
      <c r="I2420" s="241" t="n">
        <v>-7.38</v>
      </c>
      <c r="J2420" s="241" t="n">
        <v>-32.7</v>
      </c>
      <c r="K2420" s="241" t="n">
        <v>6.61</v>
      </c>
      <c r="L2420" s="242" t="n">
        <v>1528680</v>
      </c>
      <c r="M2420" s="241" t="n">
        <v>1.28</v>
      </c>
      <c r="N2420" s="241" t="n">
        <v>-8.85</v>
      </c>
      <c r="O2420" s="241" t="n">
        <v>-43.95</v>
      </c>
      <c r="P2420" s="241" t="n">
        <v>2.09</v>
      </c>
    </row>
    <row r="2421">
      <c r="A2421" s="282" t="inlineStr">
        <is>
          <t>2015-12-17</t>
        </is>
      </c>
      <c r="B2421" s="240">
        <f>IFERROR(1/P2421-1,B2420)</f>
        <v/>
      </c>
      <c r="C2421" s="240">
        <f>$C$3</f>
        <v/>
      </c>
      <c r="D2421" s="240">
        <f>$D$3</f>
        <v/>
      </c>
      <c r="E2421" s="240">
        <f>$E$3</f>
        <v/>
      </c>
      <c r="F2421" s="241" t="n">
        <v>14.28</v>
      </c>
      <c r="G2421" s="242" t="n">
        <v>45867312</v>
      </c>
      <c r="H2421" s="241" t="n">
        <v>3.48</v>
      </c>
      <c r="I2421" s="241" t="n">
        <v>-4.1</v>
      </c>
      <c r="J2421" s="241" t="n">
        <v>-30.36</v>
      </c>
      <c r="K2421" s="241" t="n">
        <v>6.8</v>
      </c>
      <c r="L2421" s="242" t="n">
        <v>3134920</v>
      </c>
      <c r="M2421" s="241" t="n">
        <v>2.65</v>
      </c>
      <c r="N2421" s="241" t="n">
        <v>-4.68</v>
      </c>
      <c r="O2421" s="241" t="n">
        <v>-42.46</v>
      </c>
      <c r="P2421" s="241" t="n">
        <v>2.1</v>
      </c>
    </row>
    <row r="2422">
      <c r="A2422" s="282" t="inlineStr">
        <is>
          <t>2015-12-18</t>
        </is>
      </c>
      <c r="B2422" s="240">
        <f>IFERROR(1/P2422-1,B2421)</f>
        <v/>
      </c>
      <c r="C2422" s="240">
        <f>$C$3</f>
        <v/>
      </c>
      <c r="D2422" s="240">
        <f>$D$3</f>
        <v/>
      </c>
      <c r="E2422" s="240">
        <f>$E$3</f>
        <v/>
      </c>
      <c r="F2422" s="241" t="n">
        <v>14.2</v>
      </c>
      <c r="G2422" s="242" t="n">
        <v>32246037</v>
      </c>
      <c r="H2422" s="241" t="n">
        <v>-0.5600000000000001</v>
      </c>
      <c r="I2422" s="241" t="n">
        <v>-5.08</v>
      </c>
      <c r="J2422" s="241" t="n">
        <v>-30.75</v>
      </c>
      <c r="K2422" s="241" t="n">
        <v>6.77</v>
      </c>
      <c r="L2422" s="242" t="n">
        <v>939454</v>
      </c>
      <c r="M2422" s="241" t="n">
        <v>-0.49</v>
      </c>
      <c r="N2422" s="241" t="n">
        <v>-6.14</v>
      </c>
      <c r="O2422" s="241" t="n">
        <v>-42.75</v>
      </c>
      <c r="P2422" s="241" t="n">
        <v>2.1</v>
      </c>
    </row>
    <row r="2423">
      <c r="A2423" s="282" t="inlineStr">
        <is>
          <t>2015-12-21</t>
        </is>
      </c>
      <c r="B2423" s="240">
        <f>IFERROR(1/P2423-1,B2422)</f>
        <v/>
      </c>
      <c r="C2423" s="240">
        <f>$C$3</f>
        <v/>
      </c>
      <c r="D2423" s="240">
        <f>$D$3</f>
        <v/>
      </c>
      <c r="E2423" s="240">
        <f>$E$3</f>
        <v/>
      </c>
      <c r="F2423" s="241" t="n">
        <v>14.38</v>
      </c>
      <c r="G2423" s="242" t="n">
        <v>33623116</v>
      </c>
      <c r="H2423" s="241" t="n">
        <v>1.27</v>
      </c>
      <c r="I2423" s="241" t="n">
        <v>-3.94</v>
      </c>
      <c r="J2423" s="241" t="n">
        <v>-29.87</v>
      </c>
      <c r="K2423" s="241" t="n">
        <v>6.79</v>
      </c>
      <c r="L2423" s="242" t="n">
        <v>1125501</v>
      </c>
      <c r="M2423" s="241" t="n">
        <v>0.37</v>
      </c>
      <c r="N2423" s="241" t="n">
        <v>-9.470000000000001</v>
      </c>
      <c r="O2423" s="241" t="n">
        <v>-42.54</v>
      </c>
      <c r="P2423" s="241" t="n">
        <v>2.12</v>
      </c>
    </row>
    <row r="2424">
      <c r="A2424" s="282" t="inlineStr">
        <is>
          <t>2015-12-22</t>
        </is>
      </c>
      <c r="B2424" s="240">
        <f>IFERROR(1/P2424-1,B2423)</f>
        <v/>
      </c>
      <c r="C2424" s="240">
        <f>$C$3</f>
        <v/>
      </c>
      <c r="D2424" s="240">
        <f>$D$3</f>
        <v/>
      </c>
      <c r="E2424" s="240">
        <f>$E$3</f>
        <v/>
      </c>
      <c r="F2424" s="241" t="n">
        <v>14.42</v>
      </c>
      <c r="G2424" s="242" t="n">
        <v>23960098</v>
      </c>
      <c r="H2424" s="241" t="n">
        <v>0.28</v>
      </c>
      <c r="I2424" s="241" t="n">
        <v>-3.67</v>
      </c>
      <c r="J2424" s="241" t="n">
        <v>-29.67</v>
      </c>
      <c r="K2424" s="241" t="n">
        <v>6.77</v>
      </c>
      <c r="L2424" s="242" t="n">
        <v>1311400</v>
      </c>
      <c r="M2424" s="241" t="n">
        <v>-0.25</v>
      </c>
      <c r="N2424" s="241" t="n">
        <v>-9.69</v>
      </c>
      <c r="O2424" s="241" t="n">
        <v>-42.68</v>
      </c>
      <c r="P2424" s="241" t="n">
        <v>2.13</v>
      </c>
    </row>
    <row r="2425">
      <c r="A2425" s="282" t="inlineStr">
        <is>
          <t>2015-12-23</t>
        </is>
      </c>
      <c r="B2425" s="240">
        <f>IFERROR(1/P2425-1,B2424)</f>
        <v/>
      </c>
      <c r="C2425" s="240">
        <f>$C$3</f>
        <v/>
      </c>
      <c r="D2425" s="240">
        <f>$D$3</f>
        <v/>
      </c>
      <c r="E2425" s="240">
        <f>$E$3</f>
        <v/>
      </c>
      <c r="F2425" s="241" t="n">
        <v>14.16</v>
      </c>
      <c r="G2425" s="242" t="n">
        <v>26642016</v>
      </c>
      <c r="H2425" s="241" t="n">
        <v>-1.8</v>
      </c>
      <c r="I2425" s="241" t="n">
        <v>-5.41</v>
      </c>
      <c r="J2425" s="241" t="n">
        <v>-30.94</v>
      </c>
      <c r="K2425" s="241" t="n">
        <v>6.8</v>
      </c>
      <c r="L2425" s="242" t="n">
        <v>900795</v>
      </c>
      <c r="M2425" s="241" t="n">
        <v>0.37</v>
      </c>
      <c r="N2425" s="241" t="n">
        <v>-9.35</v>
      </c>
      <c r="O2425" s="241" t="n">
        <v>-42.46</v>
      </c>
      <c r="P2425" s="241" t="n">
        <v>2.08</v>
      </c>
    </row>
    <row r="2426">
      <c r="A2426" s="282" t="inlineStr">
        <is>
          <t>2015-12-24</t>
        </is>
      </c>
      <c r="B2426" s="240">
        <f>IFERROR(1/P2426-1,B2425)</f>
        <v/>
      </c>
      <c r="C2426" s="240">
        <f>$C$3</f>
        <v/>
      </c>
      <c r="D2426" s="240">
        <f>$D$3</f>
        <v/>
      </c>
      <c r="E2426" s="240">
        <f>$E$3</f>
        <v/>
      </c>
      <c r="F2426" s="241" t="n">
        <v>14.02</v>
      </c>
      <c r="G2426" s="242" t="n">
        <v>19230512</v>
      </c>
      <c r="H2426" s="241" t="n">
        <v>-0.99</v>
      </c>
      <c r="I2426" s="241" t="n">
        <v>-5.59</v>
      </c>
      <c r="J2426" s="241" t="n">
        <v>-31.62</v>
      </c>
      <c r="K2426" s="241" t="n">
        <v>6.57</v>
      </c>
      <c r="L2426" s="242" t="n">
        <v>2792800</v>
      </c>
      <c r="M2426" s="241" t="n">
        <v>-3.44</v>
      </c>
      <c r="N2426" s="241" t="n">
        <v>-10.88</v>
      </c>
      <c r="O2426" s="241" t="n">
        <v>-44.44</v>
      </c>
      <c r="P2426" s="241" t="n">
        <v>2.13</v>
      </c>
    </row>
    <row r="2427">
      <c r="A2427" s="282" t="inlineStr">
        <is>
          <t>2015-12-25</t>
        </is>
      </c>
      <c r="B2427" s="240">
        <f>IFERROR(1/P2427-1,B2426)</f>
        <v/>
      </c>
      <c r="C2427" s="240">
        <f>$C$3</f>
        <v/>
      </c>
      <c r="D2427" s="240">
        <f>$D$3</f>
        <v/>
      </c>
      <c r="E2427" s="240">
        <f>$E$3</f>
        <v/>
      </c>
      <c r="F2427" s="241" t="n">
        <v>14.13</v>
      </c>
      <c r="G2427" s="242" t="n">
        <v>13043929</v>
      </c>
      <c r="H2427" s="241" t="n">
        <v>0.78</v>
      </c>
      <c r="I2427" s="241" t="n">
        <v>-4.27</v>
      </c>
      <c r="J2427" s="241" t="n">
        <v>-31.09</v>
      </c>
      <c r="K2427" s="239" t="inlineStr">
        <is>
          <t>--</t>
        </is>
      </c>
      <c r="L2427" s="239" t="inlineStr">
        <is>
          <t>--</t>
        </is>
      </c>
      <c r="M2427" s="239" t="inlineStr">
        <is>
          <t>--</t>
        </is>
      </c>
      <c r="N2427" s="239" t="inlineStr">
        <is>
          <t>--</t>
        </is>
      </c>
      <c r="O2427" s="239" t="inlineStr">
        <is>
          <t>--</t>
        </is>
      </c>
      <c r="P2427" s="239" t="inlineStr">
        <is>
          <t>--</t>
        </is>
      </c>
    </row>
    <row r="2428">
      <c r="A2428" s="282" t="inlineStr">
        <is>
          <t>2015-12-28</t>
        </is>
      </c>
      <c r="B2428" s="240">
        <f>IFERROR(1/P2428-1,B2427)</f>
        <v/>
      </c>
      <c r="C2428" s="240">
        <f>$C$3</f>
        <v/>
      </c>
      <c r="D2428" s="240">
        <f>$D$3</f>
        <v/>
      </c>
      <c r="E2428" s="240">
        <f>$E$3</f>
        <v/>
      </c>
      <c r="F2428" s="241" t="n">
        <v>13.59</v>
      </c>
      <c r="G2428" s="242" t="n">
        <v>24547590</v>
      </c>
      <c r="H2428" s="241" t="n">
        <v>-3.82</v>
      </c>
      <c r="I2428" s="241" t="n">
        <v>-1.31</v>
      </c>
      <c r="J2428" s="241" t="n">
        <v>-33.72</v>
      </c>
      <c r="K2428" s="241" t="n">
        <v>6.62</v>
      </c>
      <c r="L2428" s="242" t="n">
        <v>1065800</v>
      </c>
      <c r="M2428" s="241" t="n">
        <v>0.76</v>
      </c>
      <c r="N2428" s="241" t="n">
        <v>-4.46</v>
      </c>
      <c r="O2428" s="241" t="n">
        <v>-44.02</v>
      </c>
      <c r="P2428" s="241" t="n">
        <v>2.05</v>
      </c>
    </row>
    <row r="2429">
      <c r="A2429" s="282" t="inlineStr">
        <is>
          <t>2015-12-29</t>
        </is>
      </c>
      <c r="B2429" s="240">
        <f>IFERROR(1/P2429-1,B2428)</f>
        <v/>
      </c>
      <c r="C2429" s="240">
        <f>$C$3</f>
        <v/>
      </c>
      <c r="D2429" s="240">
        <f>$D$3</f>
        <v/>
      </c>
      <c r="E2429" s="240">
        <f>$E$3</f>
        <v/>
      </c>
      <c r="F2429" s="241" t="n">
        <v>13.7</v>
      </c>
      <c r="G2429" s="242" t="n">
        <v>16325188</v>
      </c>
      <c r="H2429" s="241" t="n">
        <v>0.8100000000000001</v>
      </c>
      <c r="I2429" s="241" t="n">
        <v>-0.51</v>
      </c>
      <c r="J2429" s="241" t="n">
        <v>-33.18</v>
      </c>
      <c r="K2429" s="241" t="n">
        <v>6.62</v>
      </c>
      <c r="L2429" s="242" t="n">
        <v>641550</v>
      </c>
      <c r="M2429" s="241" t="n">
        <v>-0.13</v>
      </c>
      <c r="N2429" s="241" t="n">
        <v>-4.58</v>
      </c>
      <c r="O2429" s="241" t="n">
        <v>-44.09</v>
      </c>
      <c r="P2429" s="241" t="n">
        <v>2.07</v>
      </c>
    </row>
    <row r="2430">
      <c r="A2430" s="282" t="inlineStr">
        <is>
          <t>2015-12-30</t>
        </is>
      </c>
      <c r="B2430" s="240">
        <f>IFERROR(1/P2430-1,B2429)</f>
        <v/>
      </c>
      <c r="C2430" s="240">
        <f>$C$3</f>
        <v/>
      </c>
      <c r="D2430" s="240">
        <f>$D$3</f>
        <v/>
      </c>
      <c r="E2430" s="240">
        <f>$E$3</f>
        <v/>
      </c>
      <c r="F2430" s="241" t="n">
        <v>13.7</v>
      </c>
      <c r="G2430" s="242" t="n">
        <v>13535125</v>
      </c>
      <c r="H2430" s="241" t="n">
        <v>0</v>
      </c>
      <c r="I2430" s="241" t="n">
        <v>-0.51</v>
      </c>
      <c r="J2430" s="241" t="n">
        <v>-33.18</v>
      </c>
      <c r="K2430" s="241" t="n">
        <v>6.61</v>
      </c>
      <c r="L2430" s="242" t="n">
        <v>529000</v>
      </c>
      <c r="M2430" s="241" t="n">
        <v>-0.25</v>
      </c>
      <c r="N2430" s="241" t="n">
        <v>-4.83</v>
      </c>
      <c r="O2430" s="241" t="n">
        <v>-44.23</v>
      </c>
      <c r="P2430" s="241" t="n">
        <v>2.07</v>
      </c>
    </row>
    <row r="2431">
      <c r="A2431" s="282" t="inlineStr">
        <is>
          <t>2015-12-31</t>
        </is>
      </c>
      <c r="B2431" s="240">
        <f>IFERROR(1/P2431-1,B2430)</f>
        <v/>
      </c>
      <c r="C2431" s="240">
        <f>$C$3</f>
        <v/>
      </c>
      <c r="D2431" s="240">
        <f>$D$3</f>
        <v/>
      </c>
      <c r="E2431" s="240">
        <f>$E$3</f>
        <v/>
      </c>
      <c r="F2431" s="241" t="n">
        <v>13.63</v>
      </c>
      <c r="G2431" s="242" t="n">
        <v>13368020</v>
      </c>
      <c r="H2431" s="241" t="n">
        <v>-0.51</v>
      </c>
      <c r="I2431" s="241" t="n">
        <v>-1.02</v>
      </c>
      <c r="J2431" s="241" t="n">
        <v>-33.53</v>
      </c>
      <c r="K2431" s="241" t="n">
        <v>6.61</v>
      </c>
      <c r="L2431" s="242" t="n">
        <v>280400</v>
      </c>
      <c r="M2431" s="241" t="n">
        <v>0</v>
      </c>
      <c r="N2431" s="241" t="n">
        <v>-4.83</v>
      </c>
      <c r="O2431" s="241" t="n">
        <v>-44.23</v>
      </c>
      <c r="P2431" s="241" t="n">
        <v>2.06</v>
      </c>
    </row>
    <row r="2432">
      <c r="A2432" s="282" t="inlineStr">
        <is>
          <t>2016-01-04</t>
        </is>
      </c>
      <c r="B2432" s="240">
        <f>IFERROR(1/P2432-1,B2431)</f>
        <v/>
      </c>
      <c r="C2432" s="240">
        <f>$C$3</f>
        <v/>
      </c>
      <c r="D2432" s="240">
        <f>$D$3</f>
        <v/>
      </c>
      <c r="E2432" s="240">
        <f>$E$3</f>
        <v/>
      </c>
      <c r="F2432" s="241" t="n">
        <v>12.42</v>
      </c>
      <c r="G2432" s="242" t="n">
        <v>15756484</v>
      </c>
      <c r="H2432" s="241" t="n">
        <v>-8.880000000000001</v>
      </c>
      <c r="I2432" s="241" t="n">
        <v>-11.66</v>
      </c>
      <c r="J2432" s="241" t="n">
        <v>-8.880000000000001</v>
      </c>
      <c r="K2432" s="241" t="n">
        <v>6.32</v>
      </c>
      <c r="L2432" s="242" t="n">
        <v>1350455</v>
      </c>
      <c r="M2432" s="241" t="n">
        <v>-4.56</v>
      </c>
      <c r="N2432" s="241" t="n">
        <v>-9.390000000000001</v>
      </c>
      <c r="O2432" s="241" t="n">
        <v>-4.56</v>
      </c>
      <c r="P2432" s="241" t="n">
        <v>1.97</v>
      </c>
    </row>
    <row r="2433">
      <c r="A2433" s="282" t="inlineStr">
        <is>
          <t>2016-01-05</t>
        </is>
      </c>
      <c r="B2433" s="240">
        <f>IFERROR(1/P2433-1,B2432)</f>
        <v/>
      </c>
      <c r="C2433" s="240">
        <f>$C$3</f>
        <v/>
      </c>
      <c r="D2433" s="240">
        <f>$D$3</f>
        <v/>
      </c>
      <c r="E2433" s="240">
        <f>$E$3</f>
        <v/>
      </c>
      <c r="F2433" s="241" t="n">
        <v>12.48</v>
      </c>
      <c r="G2433" s="242" t="n">
        <v>28310411</v>
      </c>
      <c r="H2433" s="241" t="n">
        <v>0.48</v>
      </c>
      <c r="I2433" s="241" t="n">
        <v>-9.369999999999999</v>
      </c>
      <c r="J2433" s="241" t="n">
        <v>-8.44</v>
      </c>
      <c r="K2433" s="241" t="n">
        <v>6.28</v>
      </c>
      <c r="L2433" s="242" t="n">
        <v>1720761</v>
      </c>
      <c r="M2433" s="241" t="n">
        <v>-0.8</v>
      </c>
      <c r="N2433" s="241" t="n">
        <v>-10.22</v>
      </c>
      <c r="O2433" s="241" t="n">
        <v>-5.32</v>
      </c>
      <c r="P2433" s="241" t="n">
        <v>1.99</v>
      </c>
    </row>
    <row r="2434">
      <c r="A2434" s="282" t="inlineStr">
        <is>
          <t>2016-01-06</t>
        </is>
      </c>
      <c r="B2434" s="240">
        <f>IFERROR(1/P2434-1,B2433)</f>
        <v/>
      </c>
      <c r="C2434" s="240">
        <f>$C$3</f>
        <v/>
      </c>
      <c r="D2434" s="240">
        <f>$D$3</f>
        <v/>
      </c>
      <c r="E2434" s="240">
        <f>$E$3</f>
        <v/>
      </c>
      <c r="F2434" s="241" t="n">
        <v>12.93</v>
      </c>
      <c r="G2434" s="242" t="n">
        <v>24364993</v>
      </c>
      <c r="H2434" s="241" t="n">
        <v>3.61</v>
      </c>
      <c r="I2434" s="241" t="n">
        <v>-6.1</v>
      </c>
      <c r="J2434" s="241" t="n">
        <v>-5.14</v>
      </c>
      <c r="K2434" s="241" t="n">
        <v>6.31</v>
      </c>
      <c r="L2434" s="242" t="n">
        <v>1213303</v>
      </c>
      <c r="M2434" s="241" t="n">
        <v>0.27</v>
      </c>
      <c r="N2434" s="241" t="n">
        <v>-9.98</v>
      </c>
      <c r="O2434" s="241" t="n">
        <v>-5.07</v>
      </c>
      <c r="P2434" s="241" t="n">
        <v>2.05</v>
      </c>
    </row>
    <row r="2435">
      <c r="A2435" s="282" t="inlineStr">
        <is>
          <t>2016-01-07</t>
        </is>
      </c>
      <c r="B2435" s="240">
        <f>IFERROR(1/P2435-1,B2434)</f>
        <v/>
      </c>
      <c r="C2435" s="240">
        <f>$C$3</f>
        <v/>
      </c>
      <c r="D2435" s="240">
        <f>$D$3</f>
        <v/>
      </c>
      <c r="E2435" s="240">
        <f>$E$3</f>
        <v/>
      </c>
      <c r="F2435" s="241" t="n">
        <v>11.71</v>
      </c>
      <c r="G2435" s="242" t="n">
        <v>7497800</v>
      </c>
      <c r="H2435" s="241" t="n">
        <v>-9.44</v>
      </c>
      <c r="I2435" s="241" t="n">
        <v>-14.96</v>
      </c>
      <c r="J2435" s="241" t="n">
        <v>-14.09</v>
      </c>
      <c r="K2435" s="241" t="n">
        <v>5.86</v>
      </c>
      <c r="L2435" s="242" t="n">
        <v>5195400</v>
      </c>
      <c r="M2435" s="241" t="n">
        <v>-7.61</v>
      </c>
      <c r="N2435" s="241" t="n">
        <v>-16.83</v>
      </c>
      <c r="O2435" s="241" t="n">
        <v>-12.29</v>
      </c>
      <c r="P2435" s="241" t="n">
        <v>2</v>
      </c>
    </row>
    <row r="2436">
      <c r="A2436" s="282" t="inlineStr">
        <is>
          <t>2016-01-08</t>
        </is>
      </c>
      <c r="B2436" s="240">
        <f>IFERROR(1/P2436-1,B2435)</f>
        <v/>
      </c>
      <c r="C2436" s="240">
        <f>$C$3</f>
        <v/>
      </c>
      <c r="D2436" s="240">
        <f>$D$3</f>
        <v/>
      </c>
      <c r="E2436" s="240">
        <f>$E$3</f>
        <v/>
      </c>
      <c r="F2436" s="241" t="n">
        <v>11.99</v>
      </c>
      <c r="G2436" s="242" t="n">
        <v>24888172</v>
      </c>
      <c r="H2436" s="241" t="n">
        <v>2.39</v>
      </c>
      <c r="I2436" s="241" t="n">
        <v>-15.68</v>
      </c>
      <c r="J2436" s="241" t="n">
        <v>-12.03</v>
      </c>
      <c r="K2436" s="241" t="n">
        <v>5.94</v>
      </c>
      <c r="L2436" s="242" t="n">
        <v>1681600</v>
      </c>
      <c r="M2436" s="241" t="n">
        <v>1.45</v>
      </c>
      <c r="N2436" s="241" t="n">
        <v>-15.22</v>
      </c>
      <c r="O2436" s="241" t="n">
        <v>-11.03</v>
      </c>
      <c r="P2436" s="241" t="n">
        <v>2.02</v>
      </c>
    </row>
    <row r="2437">
      <c r="A2437" s="282" t="inlineStr">
        <is>
          <t>2016-01-11</t>
        </is>
      </c>
      <c r="B2437" s="240">
        <f>IFERROR(1/P2437-1,B2436)</f>
        <v/>
      </c>
      <c r="C2437" s="240">
        <f>$C$3</f>
        <v/>
      </c>
      <c r="D2437" s="240">
        <f>$D$3</f>
        <v/>
      </c>
      <c r="E2437" s="240">
        <f>$E$3</f>
        <v/>
      </c>
      <c r="F2437" s="241" t="n">
        <v>11.32</v>
      </c>
      <c r="G2437" s="242" t="n">
        <v>24860975</v>
      </c>
      <c r="H2437" s="241" t="n">
        <v>-5.59</v>
      </c>
      <c r="I2437" s="241" t="n">
        <v>-15.33</v>
      </c>
      <c r="J2437" s="241" t="n">
        <v>-16.95</v>
      </c>
      <c r="K2437" s="241" t="n">
        <v>5.67</v>
      </c>
      <c r="L2437" s="242" t="n">
        <v>2125800</v>
      </c>
      <c r="M2437" s="241" t="n">
        <v>-4.42</v>
      </c>
      <c r="N2437" s="241" t="n">
        <v>-13.08</v>
      </c>
      <c r="O2437" s="241" t="n">
        <v>-14.96</v>
      </c>
      <c r="P2437" s="241" t="n">
        <v>2</v>
      </c>
    </row>
    <row r="2438">
      <c r="A2438" s="282" t="inlineStr">
        <is>
          <t>2016-01-12</t>
        </is>
      </c>
      <c r="B2438" s="240">
        <f>IFERROR(1/P2438-1,B2437)</f>
        <v/>
      </c>
      <c r="C2438" s="240">
        <f>$C$3</f>
        <v/>
      </c>
      <c r="D2438" s="240">
        <f>$D$3</f>
        <v/>
      </c>
      <c r="E2438" s="240">
        <f>$E$3</f>
        <v/>
      </c>
      <c r="F2438" s="241" t="n">
        <v>11.93</v>
      </c>
      <c r="G2438" s="242" t="n">
        <v>30783661</v>
      </c>
      <c r="H2438" s="241" t="n">
        <v>5.39</v>
      </c>
      <c r="I2438" s="241" t="n">
        <v>-10.23</v>
      </c>
      <c r="J2438" s="241" t="n">
        <v>-12.47</v>
      </c>
      <c r="K2438" s="241" t="n">
        <v>5.57</v>
      </c>
      <c r="L2438" s="242" t="n">
        <v>3128400</v>
      </c>
      <c r="M2438" s="241" t="n">
        <v>-1.79</v>
      </c>
      <c r="N2438" s="241" t="n">
        <v>-12.37</v>
      </c>
      <c r="O2438" s="241" t="n">
        <v>-16.48</v>
      </c>
      <c r="P2438" s="241" t="n">
        <v>2.14</v>
      </c>
    </row>
    <row r="2439">
      <c r="A2439" s="282" t="inlineStr">
        <is>
          <t>2016-01-13</t>
        </is>
      </c>
      <c r="B2439" s="240">
        <f>IFERROR(1/P2439-1,B2438)</f>
        <v/>
      </c>
      <c r="C2439" s="240">
        <f>$C$3</f>
        <v/>
      </c>
      <c r="D2439" s="240">
        <f>$D$3</f>
        <v/>
      </c>
      <c r="E2439" s="240">
        <f>$E$3</f>
        <v/>
      </c>
      <c r="F2439" s="241" t="n">
        <v>11.36</v>
      </c>
      <c r="G2439" s="242" t="n">
        <v>21271522</v>
      </c>
      <c r="H2439" s="241" t="n">
        <v>-4.78</v>
      </c>
      <c r="I2439" s="241" t="n">
        <v>-14.52</v>
      </c>
      <c r="J2439" s="241" t="n">
        <v>-16.65</v>
      </c>
      <c r="K2439" s="241" t="n">
        <v>5.55</v>
      </c>
      <c r="L2439" s="242" t="n">
        <v>1937000</v>
      </c>
      <c r="M2439" s="241" t="n">
        <v>-0.46</v>
      </c>
      <c r="N2439" s="241" t="n">
        <v>-12.77</v>
      </c>
      <c r="O2439" s="241" t="n">
        <v>-16.86</v>
      </c>
      <c r="P2439" s="241" t="n">
        <v>2.05</v>
      </c>
    </row>
    <row r="2440">
      <c r="A2440" s="282" t="inlineStr">
        <is>
          <t>2016-01-14</t>
        </is>
      </c>
      <c r="B2440" s="240">
        <f>IFERROR(1/P2440-1,B2439)</f>
        <v/>
      </c>
      <c r="C2440" s="240">
        <f>$C$3</f>
        <v/>
      </c>
      <c r="D2440" s="240">
        <f>$D$3</f>
        <v/>
      </c>
      <c r="E2440" s="240">
        <f>$E$3</f>
        <v/>
      </c>
      <c r="F2440" s="241" t="n">
        <v>11.65</v>
      </c>
      <c r="G2440" s="242" t="n">
        <v>19785226</v>
      </c>
      <c r="H2440" s="241" t="n">
        <v>2.55</v>
      </c>
      <c r="I2440" s="241" t="n">
        <v>-12.34</v>
      </c>
      <c r="J2440" s="241" t="n">
        <v>-14.53</v>
      </c>
      <c r="K2440" s="241" t="n">
        <v>5.61</v>
      </c>
      <c r="L2440" s="242" t="n">
        <v>1315800</v>
      </c>
      <c r="M2440" s="241" t="n">
        <v>1.22</v>
      </c>
      <c r="N2440" s="241" t="n">
        <v>-11.7</v>
      </c>
      <c r="O2440" s="241" t="n">
        <v>-15.84</v>
      </c>
      <c r="P2440" s="241" t="n">
        <v>2.08</v>
      </c>
    </row>
    <row r="2441">
      <c r="A2441" s="282" t="inlineStr">
        <is>
          <t>2016-01-15</t>
        </is>
      </c>
      <c r="B2441" s="240">
        <f>IFERROR(1/P2441-1,B2440)</f>
        <v/>
      </c>
      <c r="C2441" s="240">
        <f>$C$3</f>
        <v/>
      </c>
      <c r="D2441" s="240">
        <f>$D$3</f>
        <v/>
      </c>
      <c r="E2441" s="240">
        <f>$E$3</f>
        <v/>
      </c>
      <c r="F2441" s="241" t="n">
        <v>11.19</v>
      </c>
      <c r="G2441" s="242" t="n">
        <v>15628231</v>
      </c>
      <c r="H2441" s="241" t="n">
        <v>-3.95</v>
      </c>
      <c r="I2441" s="241" t="n">
        <v>-18.44</v>
      </c>
      <c r="J2441" s="241" t="n">
        <v>-17.9</v>
      </c>
      <c r="K2441" s="241" t="n">
        <v>5.44</v>
      </c>
      <c r="L2441" s="242" t="n">
        <v>1153400</v>
      </c>
      <c r="M2441" s="241" t="n">
        <v>-2.86</v>
      </c>
      <c r="N2441" s="241" t="n">
        <v>-16.99</v>
      </c>
      <c r="O2441" s="241" t="n">
        <v>-18.25</v>
      </c>
      <c r="P2441" s="241" t="n">
        <v>2.06</v>
      </c>
    </row>
    <row r="2442">
      <c r="A2442" s="282" t="inlineStr">
        <is>
          <t>2016-01-18</t>
        </is>
      </c>
      <c r="B2442" s="240">
        <f>IFERROR(1/P2442-1,B2441)</f>
        <v/>
      </c>
      <c r="C2442" s="240">
        <f>$C$3</f>
        <v/>
      </c>
      <c r="D2442" s="240">
        <f>$D$3</f>
        <v/>
      </c>
      <c r="E2442" s="240">
        <f>$E$3</f>
        <v/>
      </c>
      <c r="F2442" s="241" t="n">
        <v>11.2</v>
      </c>
      <c r="G2442" s="242" t="n">
        <v>16495942</v>
      </c>
      <c r="H2442" s="241" t="n">
        <v>0.09</v>
      </c>
      <c r="I2442" s="241" t="n">
        <v>-21.57</v>
      </c>
      <c r="J2442" s="241" t="n">
        <v>-17.83</v>
      </c>
      <c r="K2442" s="241" t="n">
        <v>5.42</v>
      </c>
      <c r="L2442" s="242" t="n">
        <v>1350000</v>
      </c>
      <c r="M2442" s="241" t="n">
        <v>0</v>
      </c>
      <c r="N2442" s="241" t="n">
        <v>-20.76</v>
      </c>
      <c r="O2442" s="241" t="n">
        <v>-18.25</v>
      </c>
      <c r="P2442" s="241" t="n">
        <v>2.06</v>
      </c>
    </row>
    <row r="2443">
      <c r="A2443" s="282" t="inlineStr">
        <is>
          <t>2016-01-19</t>
        </is>
      </c>
      <c r="B2443" s="240">
        <f>IFERROR(1/P2443-1,B2442)</f>
        <v/>
      </c>
      <c r="C2443" s="240">
        <f>$C$3</f>
        <v/>
      </c>
      <c r="D2443" s="240">
        <f>$D$3</f>
        <v/>
      </c>
      <c r="E2443" s="240">
        <f>$E$3</f>
        <v/>
      </c>
      <c r="F2443" s="241" t="n">
        <v>11.55</v>
      </c>
      <c r="G2443" s="242" t="n">
        <v>21761158</v>
      </c>
      <c r="H2443" s="241" t="n">
        <v>3.13</v>
      </c>
      <c r="I2443" s="241" t="n">
        <v>-18.66</v>
      </c>
      <c r="J2443" s="241" t="n">
        <v>-15.26</v>
      </c>
      <c r="K2443" s="241" t="n">
        <v>5.61</v>
      </c>
      <c r="L2443" s="242" t="n">
        <v>1497000</v>
      </c>
      <c r="M2443" s="241" t="n">
        <v>3.41</v>
      </c>
      <c r="N2443" s="241" t="n">
        <v>-17.65</v>
      </c>
      <c r="O2443" s="241" t="n">
        <v>-15.46</v>
      </c>
      <c r="P2443" s="241" t="n">
        <v>2.06</v>
      </c>
    </row>
    <row r="2444">
      <c r="A2444" s="282" t="inlineStr">
        <is>
          <t>2016-01-20</t>
        </is>
      </c>
      <c r="B2444" s="240">
        <f>IFERROR(1/P2444-1,B2443)</f>
        <v/>
      </c>
      <c r="C2444" s="240">
        <f>$C$3</f>
        <v/>
      </c>
      <c r="D2444" s="240">
        <f>$D$3</f>
        <v/>
      </c>
      <c r="E2444" s="240">
        <f>$E$3</f>
        <v/>
      </c>
      <c r="F2444" s="241" t="n">
        <v>11.92</v>
      </c>
      <c r="G2444" s="242" t="n">
        <v>49077867</v>
      </c>
      <c r="H2444" s="241" t="n">
        <v>3.2</v>
      </c>
      <c r="I2444" s="241" t="n">
        <v>-16.06</v>
      </c>
      <c r="J2444" s="241" t="n">
        <v>-12.55</v>
      </c>
      <c r="K2444" s="241" t="n">
        <v>5.29</v>
      </c>
      <c r="L2444" s="242" t="n">
        <v>1895500</v>
      </c>
      <c r="M2444" s="241" t="n">
        <v>-5.4</v>
      </c>
      <c r="N2444" s="241" t="n">
        <v>-22.1</v>
      </c>
      <c r="O2444" s="241" t="n">
        <v>-20.03</v>
      </c>
      <c r="P2444" s="241" t="n">
        <v>2.25</v>
      </c>
    </row>
    <row r="2445">
      <c r="A2445" s="282" t="inlineStr">
        <is>
          <t>2016-01-21</t>
        </is>
      </c>
      <c r="B2445" s="240">
        <f>IFERROR(1/P2445-1,B2444)</f>
        <v/>
      </c>
      <c r="C2445" s="240">
        <f>$C$3</f>
        <v/>
      </c>
      <c r="D2445" s="240">
        <f>$D$3</f>
        <v/>
      </c>
      <c r="E2445" s="240">
        <f>$E$3</f>
        <v/>
      </c>
      <c r="F2445" s="241" t="n">
        <v>11.3</v>
      </c>
      <c r="G2445" s="242" t="n">
        <v>32806375</v>
      </c>
      <c r="H2445" s="241" t="n">
        <v>-5.2</v>
      </c>
      <c r="I2445" s="241" t="n">
        <v>-20.42</v>
      </c>
      <c r="J2445" s="241" t="n">
        <v>-17.09</v>
      </c>
      <c r="K2445" s="241" t="n">
        <v>5.06</v>
      </c>
      <c r="L2445" s="242" t="n">
        <v>2696200</v>
      </c>
      <c r="M2445" s="241" t="n">
        <v>-4.44</v>
      </c>
      <c r="N2445" s="241" t="n">
        <v>-25.56</v>
      </c>
      <c r="O2445" s="241" t="n">
        <v>-23.57</v>
      </c>
      <c r="P2445" s="241" t="n">
        <v>2.23</v>
      </c>
    </row>
    <row r="2446">
      <c r="A2446" s="282" t="inlineStr">
        <is>
          <t>2016-01-22</t>
        </is>
      </c>
      <c r="B2446" s="240">
        <f>IFERROR(1/P2446-1,B2445)</f>
        <v/>
      </c>
      <c r="C2446" s="240">
        <f>$C$3</f>
        <v/>
      </c>
      <c r="D2446" s="240">
        <f>$D$3</f>
        <v/>
      </c>
      <c r="E2446" s="240">
        <f>$E$3</f>
        <v/>
      </c>
      <c r="F2446" s="241" t="n">
        <v>11.56</v>
      </c>
      <c r="G2446" s="242" t="n">
        <v>17989972</v>
      </c>
      <c r="H2446" s="241" t="n">
        <v>2.3</v>
      </c>
      <c r="I2446" s="241" t="n">
        <v>-19.61</v>
      </c>
      <c r="J2446" s="241" t="n">
        <v>-15.19</v>
      </c>
      <c r="K2446" s="241" t="n">
        <v>5.13</v>
      </c>
      <c r="L2446" s="242" t="n">
        <v>3213600</v>
      </c>
      <c r="M2446" s="241" t="n">
        <v>1.33</v>
      </c>
      <c r="N2446" s="241" t="n">
        <v>-24.85</v>
      </c>
      <c r="O2446" s="241" t="n">
        <v>-22.56</v>
      </c>
      <c r="P2446" s="241" t="n">
        <v>2.25</v>
      </c>
    </row>
    <row r="2447">
      <c r="A2447" s="282" t="inlineStr">
        <is>
          <t>2016-01-25</t>
        </is>
      </c>
      <c r="B2447" s="240">
        <f>IFERROR(1/P2447-1,B2446)</f>
        <v/>
      </c>
      <c r="C2447" s="240">
        <f>$C$3</f>
        <v/>
      </c>
      <c r="D2447" s="240">
        <f>$D$3</f>
        <v/>
      </c>
      <c r="E2447" s="240">
        <f>$E$3</f>
        <v/>
      </c>
      <c r="F2447" s="241" t="n">
        <v>11.78</v>
      </c>
      <c r="G2447" s="242" t="n">
        <v>27020432</v>
      </c>
      <c r="H2447" s="241" t="n">
        <v>1.9</v>
      </c>
      <c r="I2447" s="241" t="n">
        <v>-15.98</v>
      </c>
      <c r="J2447" s="241" t="n">
        <v>-13.57</v>
      </c>
      <c r="K2447" s="241" t="n">
        <v>5.34</v>
      </c>
      <c r="L2447" s="242" t="n">
        <v>2842000</v>
      </c>
      <c r="M2447" s="241" t="n">
        <v>3.93</v>
      </c>
      <c r="N2447" s="241" t="n">
        <v>-19.21</v>
      </c>
      <c r="O2447" s="241" t="n">
        <v>-19.52</v>
      </c>
      <c r="P2447" s="241" t="n">
        <v>2.21</v>
      </c>
    </row>
    <row r="2448">
      <c r="A2448" s="282" t="inlineStr">
        <is>
          <t>2016-01-26</t>
        </is>
      </c>
      <c r="B2448" s="240">
        <f>IFERROR(1/P2448-1,B2447)</f>
        <v/>
      </c>
      <c r="C2448" s="240">
        <f>$C$3</f>
        <v/>
      </c>
      <c r="D2448" s="240">
        <f>$D$3</f>
        <v/>
      </c>
      <c r="E2448" s="240">
        <f>$E$3</f>
        <v/>
      </c>
      <c r="F2448" s="241" t="n">
        <v>10.7</v>
      </c>
      <c r="G2448" s="242" t="n">
        <v>24531004</v>
      </c>
      <c r="H2448" s="241" t="n">
        <v>-9.17</v>
      </c>
      <c r="I2448" s="241" t="n">
        <v>-24.27</v>
      </c>
      <c r="J2448" s="241" t="n">
        <v>-21.5</v>
      </c>
      <c r="K2448" s="241" t="n">
        <v>5.1</v>
      </c>
      <c r="L2448" s="242" t="n">
        <v>2442400</v>
      </c>
      <c r="M2448" s="241" t="n">
        <v>-4.41</v>
      </c>
      <c r="N2448" s="241" t="n">
        <v>-22.77</v>
      </c>
      <c r="O2448" s="241" t="n">
        <v>-23.07</v>
      </c>
      <c r="P2448" s="241" t="n">
        <v>2.1</v>
      </c>
    </row>
    <row r="2449">
      <c r="A2449" s="282" t="inlineStr">
        <is>
          <t>2016-01-27</t>
        </is>
      </c>
      <c r="B2449" s="240">
        <f>IFERROR(1/P2449-1,B2448)</f>
        <v/>
      </c>
      <c r="C2449" s="240">
        <f>$C$3</f>
        <v/>
      </c>
      <c r="D2449" s="240">
        <f>$D$3</f>
        <v/>
      </c>
      <c r="E2449" s="240">
        <f>$E$3</f>
        <v/>
      </c>
      <c r="F2449" s="241" t="n">
        <v>10.72</v>
      </c>
      <c r="G2449" s="242" t="n">
        <v>24198446</v>
      </c>
      <c r="H2449" s="241" t="n">
        <v>0.19</v>
      </c>
      <c r="I2449" s="241" t="n">
        <v>-24.13</v>
      </c>
      <c r="J2449" s="241" t="n">
        <v>-21.35</v>
      </c>
      <c r="K2449" s="241" t="n">
        <v>5.05</v>
      </c>
      <c r="L2449" s="242" t="n">
        <v>1375600</v>
      </c>
      <c r="M2449" s="241" t="n">
        <v>-1.15</v>
      </c>
      <c r="N2449" s="241" t="n">
        <v>-23.66</v>
      </c>
      <c r="O2449" s="241" t="n">
        <v>-23.95</v>
      </c>
      <c r="P2449" s="241" t="n">
        <v>2.12</v>
      </c>
    </row>
    <row r="2450">
      <c r="A2450" s="282" t="inlineStr">
        <is>
          <t>2016-01-28</t>
        </is>
      </c>
      <c r="B2450" s="240">
        <f>IFERROR(1/P2450-1,B2449)</f>
        <v/>
      </c>
      <c r="C2450" s="240">
        <f>$C$3</f>
        <v/>
      </c>
      <c r="D2450" s="240">
        <f>$D$3</f>
        <v/>
      </c>
      <c r="E2450" s="240">
        <f>$E$3</f>
        <v/>
      </c>
      <c r="F2450" s="241" t="n">
        <v>10.23</v>
      </c>
      <c r="G2450" s="242" t="n">
        <v>19537387</v>
      </c>
      <c r="H2450" s="241" t="n">
        <v>-4.57</v>
      </c>
      <c r="I2450" s="241" t="n">
        <v>-27.6</v>
      </c>
      <c r="J2450" s="241" t="n">
        <v>-24.95</v>
      </c>
      <c r="K2450" s="241" t="n">
        <v>5.13</v>
      </c>
      <c r="L2450" s="242" t="n">
        <v>1464400</v>
      </c>
      <c r="M2450" s="241" t="n">
        <v>1.67</v>
      </c>
      <c r="N2450" s="241" t="n">
        <v>-22.39</v>
      </c>
      <c r="O2450" s="241" t="n">
        <v>-22.69</v>
      </c>
      <c r="P2450" s="241" t="n">
        <v>1.99</v>
      </c>
    </row>
    <row r="2451">
      <c r="A2451" s="282" t="inlineStr">
        <is>
          <t>2016-01-29</t>
        </is>
      </c>
      <c r="B2451" s="240">
        <f>IFERROR(1/P2451-1,B2450)</f>
        <v/>
      </c>
      <c r="C2451" s="240">
        <f>$C$3</f>
        <v/>
      </c>
      <c r="D2451" s="240">
        <f>$D$3</f>
        <v/>
      </c>
      <c r="E2451" s="240">
        <f>$E$3</f>
        <v/>
      </c>
      <c r="F2451" s="241" t="n">
        <v>10.57</v>
      </c>
      <c r="G2451" s="242" t="n">
        <v>15108498</v>
      </c>
      <c r="H2451" s="241" t="n">
        <v>3.32</v>
      </c>
      <c r="I2451" s="241" t="n">
        <v>-22.22</v>
      </c>
      <c r="J2451" s="241" t="n">
        <v>-22.45</v>
      </c>
      <c r="K2451" s="241" t="n">
        <v>5.26</v>
      </c>
      <c r="L2451" s="242" t="n">
        <v>1552200</v>
      </c>
      <c r="M2451" s="241" t="n">
        <v>2.62</v>
      </c>
      <c r="N2451" s="241" t="n">
        <v>-20.96</v>
      </c>
      <c r="O2451" s="241" t="n">
        <v>-20.66</v>
      </c>
      <c r="P2451" s="241" t="n">
        <v>2.01</v>
      </c>
    </row>
    <row r="2452">
      <c r="A2452" s="282" t="inlineStr">
        <is>
          <t>2016-02-01</t>
        </is>
      </c>
      <c r="B2452" s="240">
        <f>IFERROR(1/P2452-1,B2451)</f>
        <v/>
      </c>
      <c r="C2452" s="240">
        <f>$C$3</f>
        <v/>
      </c>
      <c r="D2452" s="240">
        <f>$D$3</f>
        <v/>
      </c>
      <c r="E2452" s="240">
        <f>$E$3</f>
        <v/>
      </c>
      <c r="F2452" s="241" t="n">
        <v>10.24</v>
      </c>
      <c r="G2452" s="242" t="n">
        <v>14696238</v>
      </c>
      <c r="H2452" s="241" t="n">
        <v>-3.12</v>
      </c>
      <c r="I2452" s="241" t="n">
        <v>-24.87</v>
      </c>
      <c r="J2452" s="241" t="n">
        <v>-24.87</v>
      </c>
      <c r="K2452" s="241" t="n">
        <v>5.11</v>
      </c>
      <c r="L2452" s="242" t="n">
        <v>1758000</v>
      </c>
      <c r="M2452" s="241" t="n">
        <v>-3.04</v>
      </c>
      <c r="N2452" s="241" t="n">
        <v>-23.07</v>
      </c>
      <c r="O2452" s="241" t="n">
        <v>-23.07</v>
      </c>
      <c r="P2452" s="241" t="n">
        <v>2</v>
      </c>
    </row>
    <row r="2453">
      <c r="A2453" s="282" t="inlineStr">
        <is>
          <t>2016-02-02</t>
        </is>
      </c>
      <c r="B2453" s="240">
        <f>IFERROR(1/P2453-1,B2452)</f>
        <v/>
      </c>
      <c r="C2453" s="240">
        <f>$C$3</f>
        <v/>
      </c>
      <c r="D2453" s="240">
        <f>$D$3</f>
        <v/>
      </c>
      <c r="E2453" s="240">
        <f>$E$3</f>
        <v/>
      </c>
      <c r="F2453" s="241" t="n">
        <v>10.57</v>
      </c>
      <c r="G2453" s="242" t="n">
        <v>15442967</v>
      </c>
      <c r="H2453" s="241" t="n">
        <v>3.22</v>
      </c>
      <c r="I2453" s="241" t="n">
        <v>-22.45</v>
      </c>
      <c r="J2453" s="241" t="n">
        <v>-22.45</v>
      </c>
      <c r="K2453" s="241" t="n">
        <v>5.16</v>
      </c>
      <c r="L2453" s="242" t="n">
        <v>1323000</v>
      </c>
      <c r="M2453" s="241" t="n">
        <v>0.99</v>
      </c>
      <c r="N2453" s="241" t="n">
        <v>-22.31</v>
      </c>
      <c r="O2453" s="241" t="n">
        <v>-22.31</v>
      </c>
      <c r="P2453" s="241" t="n">
        <v>2.05</v>
      </c>
    </row>
    <row r="2454">
      <c r="A2454" s="282" t="inlineStr">
        <is>
          <t>2016-02-03</t>
        </is>
      </c>
      <c r="B2454" s="240">
        <f>IFERROR(1/P2454-1,B2453)</f>
        <v/>
      </c>
      <c r="C2454" s="240">
        <f>$C$3</f>
        <v/>
      </c>
      <c r="D2454" s="240">
        <f>$D$3</f>
        <v/>
      </c>
      <c r="E2454" s="240">
        <f>$E$3</f>
        <v/>
      </c>
      <c r="F2454" s="241" t="n">
        <v>10.51</v>
      </c>
      <c r="G2454" s="242" t="n">
        <v>13016817</v>
      </c>
      <c r="H2454" s="241" t="n">
        <v>-0.57</v>
      </c>
      <c r="I2454" s="241" t="n">
        <v>-22.89</v>
      </c>
      <c r="J2454" s="241" t="n">
        <v>-22.89</v>
      </c>
      <c r="K2454" s="241" t="n">
        <v>5</v>
      </c>
      <c r="L2454" s="242" t="n">
        <v>1990800</v>
      </c>
      <c r="M2454" s="241" t="n">
        <v>-2.94</v>
      </c>
      <c r="N2454" s="241" t="n">
        <v>-24.59</v>
      </c>
      <c r="O2454" s="241" t="n">
        <v>-24.59</v>
      </c>
      <c r="P2454" s="241" t="n">
        <v>2.1</v>
      </c>
    </row>
    <row r="2455">
      <c r="A2455" s="282" t="inlineStr">
        <is>
          <t>2016-02-04</t>
        </is>
      </c>
      <c r="B2455" s="240">
        <f>IFERROR(1/P2455-1,B2454)</f>
        <v/>
      </c>
      <c r="C2455" s="240">
        <f>$C$3</f>
        <v/>
      </c>
      <c r="D2455" s="240">
        <f>$D$3</f>
        <v/>
      </c>
      <c r="E2455" s="240">
        <f>$E$3</f>
        <v/>
      </c>
      <c r="F2455" s="241" t="n">
        <v>10.66</v>
      </c>
      <c r="G2455" s="242" t="n">
        <v>16297653</v>
      </c>
      <c r="H2455" s="241" t="n">
        <v>1.43</v>
      </c>
      <c r="I2455" s="241" t="n">
        <v>-21.79</v>
      </c>
      <c r="J2455" s="241" t="n">
        <v>-21.79</v>
      </c>
      <c r="K2455" s="241" t="n">
        <v>5.08</v>
      </c>
      <c r="L2455" s="242" t="n">
        <v>633600</v>
      </c>
      <c r="M2455" s="241" t="n">
        <v>1.68</v>
      </c>
      <c r="N2455" s="241" t="n">
        <v>-23.32</v>
      </c>
      <c r="O2455" s="241" t="n">
        <v>-23.32</v>
      </c>
      <c r="P2455" s="241" t="n">
        <v>2.1</v>
      </c>
    </row>
    <row r="2456">
      <c r="A2456" s="282" t="inlineStr">
        <is>
          <t>2016-02-05</t>
        </is>
      </c>
      <c r="B2456" s="240">
        <f>IFERROR(1/P2456-1,B2455)</f>
        <v/>
      </c>
      <c r="C2456" s="240">
        <f>$C$3</f>
        <v/>
      </c>
      <c r="D2456" s="240">
        <f>$D$3</f>
        <v/>
      </c>
      <c r="E2456" s="240">
        <f>$E$3</f>
        <v/>
      </c>
      <c r="F2456" s="241" t="n">
        <v>10.57</v>
      </c>
      <c r="G2456" s="242" t="n">
        <v>12507114</v>
      </c>
      <c r="H2456" s="241" t="n">
        <v>-0.84</v>
      </c>
      <c r="I2456" s="241" t="n">
        <v>-14.9</v>
      </c>
      <c r="J2456" s="241" t="n">
        <v>-22.45</v>
      </c>
      <c r="K2456" s="241" t="n">
        <v>5.04</v>
      </c>
      <c r="L2456" s="242" t="n">
        <v>828730</v>
      </c>
      <c r="M2456" s="241" t="n">
        <v>-0.66</v>
      </c>
      <c r="N2456" s="241" t="n">
        <v>-20.19</v>
      </c>
      <c r="O2456" s="241" t="n">
        <v>-23.83</v>
      </c>
      <c r="P2456" s="241" t="n">
        <v>2.1</v>
      </c>
    </row>
    <row r="2457">
      <c r="A2457" s="282" t="inlineStr">
        <is>
          <t>2016-02-15</t>
        </is>
      </c>
      <c r="B2457" s="240">
        <f>IFERROR(1/P2457-1,B2456)</f>
        <v/>
      </c>
      <c r="C2457" s="240">
        <f>$C$3</f>
        <v/>
      </c>
      <c r="D2457" s="240">
        <f>$D$3</f>
        <v/>
      </c>
      <c r="E2457" s="240">
        <f>$E$3</f>
        <v/>
      </c>
      <c r="F2457" s="241" t="n">
        <v>10.38</v>
      </c>
      <c r="G2457" s="242" t="n">
        <v>11409490</v>
      </c>
      <c r="H2457" s="241" t="n">
        <v>-1.8</v>
      </c>
      <c r="I2457" s="241" t="n">
        <v>-10.9</v>
      </c>
      <c r="J2457" s="241" t="n">
        <v>-23.84</v>
      </c>
      <c r="K2457" s="241" t="n">
        <v>4.87</v>
      </c>
      <c r="L2457" s="242" t="n">
        <v>1553260</v>
      </c>
      <c r="M2457" s="241" t="n">
        <v>4.48</v>
      </c>
      <c r="N2457" s="241" t="n">
        <v>-12.2</v>
      </c>
      <c r="O2457" s="241" t="n">
        <v>-26.11</v>
      </c>
      <c r="P2457" s="241" t="n">
        <v>2.13</v>
      </c>
    </row>
    <row r="2458">
      <c r="A2458" s="282" t="inlineStr">
        <is>
          <t>2016-02-16</t>
        </is>
      </c>
      <c r="B2458" s="240">
        <f>IFERROR(1/P2458-1,B2457)</f>
        <v/>
      </c>
      <c r="C2458" s="240">
        <f>$C$3</f>
        <v/>
      </c>
      <c r="D2458" s="240">
        <f>$D$3</f>
        <v/>
      </c>
      <c r="E2458" s="240">
        <f>$E$3</f>
        <v/>
      </c>
      <c r="F2458" s="241" t="n">
        <v>10.79</v>
      </c>
      <c r="G2458" s="242" t="n">
        <v>21312266</v>
      </c>
      <c r="H2458" s="241" t="n">
        <v>3.95</v>
      </c>
      <c r="I2458" s="241" t="n">
        <v>-3.57</v>
      </c>
      <c r="J2458" s="241" t="n">
        <v>-20.84</v>
      </c>
      <c r="K2458" s="241" t="n">
        <v>4.95</v>
      </c>
      <c r="L2458" s="242" t="n">
        <v>2190600</v>
      </c>
      <c r="M2458" s="241" t="n">
        <v>1.54</v>
      </c>
      <c r="N2458" s="241" t="n">
        <v>-8.220000000000001</v>
      </c>
      <c r="O2458" s="241" t="n">
        <v>-24.97</v>
      </c>
      <c r="P2458" s="241" t="n">
        <v>2.18</v>
      </c>
    </row>
    <row r="2459">
      <c r="A2459" s="282" t="inlineStr">
        <is>
          <t>2016-02-17</t>
        </is>
      </c>
      <c r="B2459" s="240">
        <f>IFERROR(1/P2459-1,B2458)</f>
        <v/>
      </c>
      <c r="C2459" s="240">
        <f>$C$3</f>
        <v/>
      </c>
      <c r="D2459" s="240">
        <f>$D$3</f>
        <v/>
      </c>
      <c r="E2459" s="240">
        <f>$E$3</f>
        <v/>
      </c>
      <c r="F2459" s="241" t="n">
        <v>10.96</v>
      </c>
      <c r="G2459" s="242" t="n">
        <v>25867361</v>
      </c>
      <c r="H2459" s="241" t="n">
        <v>1.58</v>
      </c>
      <c r="I2459" s="241" t="n">
        <v>-2.06</v>
      </c>
      <c r="J2459" s="241" t="n">
        <v>-19.59</v>
      </c>
      <c r="K2459" s="241" t="n">
        <v>5.06</v>
      </c>
      <c r="L2459" s="242" t="n">
        <v>1737733</v>
      </c>
      <c r="M2459" s="241" t="n">
        <v>2.03</v>
      </c>
      <c r="N2459" s="241" t="n">
        <v>-6.36</v>
      </c>
      <c r="O2459" s="241" t="n">
        <v>-23.45</v>
      </c>
      <c r="P2459" s="241" t="n">
        <v>2.17</v>
      </c>
    </row>
    <row r="2460">
      <c r="A2460" s="282" t="inlineStr">
        <is>
          <t>2016-02-18</t>
        </is>
      </c>
      <c r="B2460" s="240">
        <f>IFERROR(1/P2460-1,B2459)</f>
        <v/>
      </c>
      <c r="C2460" s="240">
        <f>$C$3</f>
        <v/>
      </c>
      <c r="D2460" s="240">
        <f>$D$3</f>
        <v/>
      </c>
      <c r="E2460" s="240">
        <f>$E$3</f>
        <v/>
      </c>
      <c r="F2460" s="241" t="n">
        <v>10.92</v>
      </c>
      <c r="G2460" s="242" t="n">
        <v>23042233</v>
      </c>
      <c r="H2460" s="241" t="n">
        <v>-0.36</v>
      </c>
      <c r="I2460" s="241" t="n">
        <v>-2.41</v>
      </c>
      <c r="J2460" s="241" t="n">
        <v>-19.88</v>
      </c>
      <c r="K2460" s="241" t="n">
        <v>5.23</v>
      </c>
      <c r="L2460" s="242" t="n">
        <v>2000900</v>
      </c>
      <c r="M2460" s="241" t="n">
        <v>3.48</v>
      </c>
      <c r="N2460" s="241" t="n">
        <v>-3.1</v>
      </c>
      <c r="O2460" s="241" t="n">
        <v>-20.79</v>
      </c>
      <c r="P2460" s="241" t="n">
        <v>2.09</v>
      </c>
    </row>
    <row r="2461">
      <c r="A2461" s="282" t="inlineStr">
        <is>
          <t>2016-02-19</t>
        </is>
      </c>
      <c r="B2461" s="240">
        <f>IFERROR(1/P2461-1,B2460)</f>
        <v/>
      </c>
      <c r="C2461" s="240">
        <f>$C$3</f>
        <v/>
      </c>
      <c r="D2461" s="240">
        <f>$D$3</f>
        <v/>
      </c>
      <c r="E2461" s="240">
        <f>$E$3</f>
        <v/>
      </c>
      <c r="F2461" s="241" t="n">
        <v>10.91</v>
      </c>
      <c r="G2461" s="242" t="n">
        <v>13093754</v>
      </c>
      <c r="H2461" s="241" t="n">
        <v>-0.09</v>
      </c>
      <c r="I2461" s="241" t="n">
        <v>-2.59</v>
      </c>
      <c r="J2461" s="241" t="n">
        <v>-19.96</v>
      </c>
      <c r="K2461" s="241" t="n">
        <v>5.25</v>
      </c>
      <c r="L2461" s="242" t="n">
        <v>1484000</v>
      </c>
      <c r="M2461" s="241" t="n">
        <v>0.16</v>
      </c>
      <c r="N2461" s="241" t="n">
        <v>-2.95</v>
      </c>
      <c r="O2461" s="241" t="n">
        <v>-20.66</v>
      </c>
      <c r="P2461" s="241" t="n">
        <v>2.08</v>
      </c>
    </row>
    <row r="2462">
      <c r="A2462" s="282" t="inlineStr">
        <is>
          <t>2016-02-22</t>
        </is>
      </c>
      <c r="B2462" s="240">
        <f>IFERROR(1/P2462-1,B2461)</f>
        <v/>
      </c>
      <c r="C2462" s="240">
        <f>$C$3</f>
        <v/>
      </c>
      <c r="D2462" s="240">
        <f>$D$3</f>
        <v/>
      </c>
      <c r="E2462" s="240">
        <f>$E$3</f>
        <v/>
      </c>
      <c r="F2462" s="241" t="n">
        <v>11.19</v>
      </c>
      <c r="G2462" s="242" t="n">
        <v>23577834</v>
      </c>
      <c r="H2462" s="241" t="n">
        <v>2.57</v>
      </c>
      <c r="I2462" s="241" t="n">
        <v>-0.97</v>
      </c>
      <c r="J2462" s="241" t="n">
        <v>-17.9</v>
      </c>
      <c r="K2462" s="241" t="n">
        <v>5.27</v>
      </c>
      <c r="L2462" s="242" t="n">
        <v>1594600</v>
      </c>
      <c r="M2462" s="241" t="n">
        <v>0.32</v>
      </c>
      <c r="N2462" s="241" t="n">
        <v>4.15</v>
      </c>
      <c r="O2462" s="241" t="n">
        <v>-20.41</v>
      </c>
      <c r="P2462" s="241" t="n">
        <v>2.12</v>
      </c>
    </row>
    <row r="2463">
      <c r="A2463" s="282" t="inlineStr">
        <is>
          <t>2016-02-23</t>
        </is>
      </c>
      <c r="B2463" s="240">
        <f>IFERROR(1/P2463-1,B2462)</f>
        <v/>
      </c>
      <c r="C2463" s="240">
        <f>$C$3</f>
        <v/>
      </c>
      <c r="D2463" s="240">
        <f>$D$3</f>
        <v/>
      </c>
      <c r="E2463" s="240">
        <f>$E$3</f>
        <v/>
      </c>
      <c r="F2463" s="241" t="n">
        <v>11.01</v>
      </c>
      <c r="G2463" s="242" t="n">
        <v>21057279</v>
      </c>
      <c r="H2463" s="241" t="n">
        <v>-1.61</v>
      </c>
      <c r="I2463" s="241" t="n">
        <v>-4.76</v>
      </c>
      <c r="J2463" s="241" t="n">
        <v>-19.22</v>
      </c>
      <c r="K2463" s="241" t="n">
        <v>5.35</v>
      </c>
      <c r="L2463" s="242" t="n">
        <v>2203140</v>
      </c>
      <c r="M2463" s="241" t="n">
        <v>1.43</v>
      </c>
      <c r="N2463" s="241" t="n">
        <v>4.26</v>
      </c>
      <c r="O2463" s="241" t="n">
        <v>-19.26</v>
      </c>
      <c r="P2463" s="241" t="n">
        <v>2.06</v>
      </c>
    </row>
    <row r="2464">
      <c r="A2464" s="282" t="inlineStr">
        <is>
          <t>2016-02-24</t>
        </is>
      </c>
      <c r="B2464" s="240">
        <f>IFERROR(1/P2464-1,B2463)</f>
        <v/>
      </c>
      <c r="C2464" s="240">
        <f>$C$3</f>
        <v/>
      </c>
      <c r="D2464" s="240">
        <f>$D$3</f>
        <v/>
      </c>
      <c r="E2464" s="240">
        <f>$E$3</f>
        <v/>
      </c>
      <c r="F2464" s="241" t="n">
        <v>11.29</v>
      </c>
      <c r="G2464" s="242" t="n">
        <v>33181566</v>
      </c>
      <c r="H2464" s="241" t="n">
        <v>2.54</v>
      </c>
      <c r="I2464" s="241" t="n">
        <v>-2.34</v>
      </c>
      <c r="J2464" s="241" t="n">
        <v>-17.17</v>
      </c>
      <c r="K2464" s="241" t="n">
        <v>5.26</v>
      </c>
      <c r="L2464" s="242" t="n">
        <v>1654600</v>
      </c>
      <c r="M2464" s="241" t="n">
        <v>-1.73</v>
      </c>
      <c r="N2464" s="241" t="n">
        <v>2.46</v>
      </c>
      <c r="O2464" s="241" t="n">
        <v>-20.66</v>
      </c>
      <c r="P2464" s="241" t="n">
        <v>2.15</v>
      </c>
    </row>
    <row r="2465">
      <c r="A2465" s="282" t="inlineStr">
        <is>
          <t>2016-02-25</t>
        </is>
      </c>
      <c r="B2465" s="240">
        <f>IFERROR(1/P2465-1,B2464)</f>
        <v/>
      </c>
      <c r="C2465" s="240">
        <f>$C$3</f>
        <v/>
      </c>
      <c r="D2465" s="240">
        <f>$D$3</f>
        <v/>
      </c>
      <c r="E2465" s="240">
        <f>$E$3</f>
        <v/>
      </c>
      <c r="F2465" s="241" t="n">
        <v>10.29</v>
      </c>
      <c r="G2465" s="242" t="n">
        <v>32670915</v>
      </c>
      <c r="H2465" s="241" t="n">
        <v>-8.859999999999999</v>
      </c>
      <c r="I2465" s="241" t="n">
        <v>-10.99</v>
      </c>
      <c r="J2465" s="241" t="n">
        <v>-24.5</v>
      </c>
      <c r="K2465" s="241" t="n">
        <v>4.97</v>
      </c>
      <c r="L2465" s="242" t="n">
        <v>1649335</v>
      </c>
      <c r="M2465" s="241" t="n">
        <v>-5.59</v>
      </c>
      <c r="N2465" s="241" t="n">
        <v>-3.27</v>
      </c>
      <c r="O2465" s="241" t="n">
        <v>-25.1</v>
      </c>
      <c r="P2465" s="241" t="n">
        <v>2.07</v>
      </c>
    </row>
    <row r="2466">
      <c r="A2466" s="282" t="inlineStr">
        <is>
          <t>2016-02-26</t>
        </is>
      </c>
      <c r="B2466" s="240">
        <f>IFERROR(1/P2466-1,B2465)</f>
        <v/>
      </c>
      <c r="C2466" s="240">
        <f>$C$3</f>
        <v/>
      </c>
      <c r="D2466" s="240">
        <f>$D$3</f>
        <v/>
      </c>
      <c r="E2466" s="240">
        <f>$E$3</f>
        <v/>
      </c>
      <c r="F2466" s="241" t="n">
        <v>10.37</v>
      </c>
      <c r="G2466" s="242" t="n">
        <v>17140478</v>
      </c>
      <c r="H2466" s="241" t="n">
        <v>0.78</v>
      </c>
      <c r="I2466" s="241" t="n">
        <v>-11.97</v>
      </c>
      <c r="J2466" s="241" t="n">
        <v>-23.92</v>
      </c>
      <c r="K2466" s="241" t="n">
        <v>5.02</v>
      </c>
      <c r="L2466" s="242" t="n">
        <v>1704000</v>
      </c>
      <c r="M2466" s="241" t="n">
        <v>1.02</v>
      </c>
      <c r="N2466" s="241" t="n">
        <v>-5.98</v>
      </c>
      <c r="O2466" s="241" t="n">
        <v>-24.33</v>
      </c>
      <c r="P2466" s="241" t="n">
        <v>2.07</v>
      </c>
    </row>
    <row r="2467">
      <c r="A2467" s="282" t="inlineStr">
        <is>
          <t>2016-02-29</t>
        </is>
      </c>
      <c r="B2467" s="240">
        <f>IFERROR(1/P2467-1,B2466)</f>
        <v/>
      </c>
      <c r="C2467" s="240">
        <f>$C$3</f>
        <v/>
      </c>
      <c r="D2467" s="240">
        <f>$D$3</f>
        <v/>
      </c>
      <c r="E2467" s="240">
        <f>$E$3</f>
        <v/>
      </c>
      <c r="F2467" s="241" t="n">
        <v>10.01</v>
      </c>
      <c r="G2467" s="242" t="n">
        <v>22210683</v>
      </c>
      <c r="H2467" s="241" t="n">
        <v>-3.47</v>
      </c>
      <c r="I2467" s="241" t="n">
        <v>-2.15</v>
      </c>
      <c r="J2467" s="241" t="n">
        <v>-26.56</v>
      </c>
      <c r="K2467" s="241" t="n">
        <v>4.89</v>
      </c>
      <c r="L2467" s="242" t="n">
        <v>1248800</v>
      </c>
      <c r="M2467" s="241" t="n">
        <v>-2.68</v>
      </c>
      <c r="N2467" s="241" t="n">
        <v>-4.75</v>
      </c>
      <c r="O2467" s="241" t="n">
        <v>-26.36</v>
      </c>
      <c r="P2467" s="241" t="n">
        <v>2.05</v>
      </c>
    </row>
    <row r="2468">
      <c r="A2468" s="282" t="inlineStr">
        <is>
          <t>2016-03-01</t>
        </is>
      </c>
      <c r="B2468" s="240">
        <f>IFERROR(1/P2468-1,B2467)</f>
        <v/>
      </c>
      <c r="C2468" s="240">
        <f>$C$3</f>
        <v/>
      </c>
      <c r="D2468" s="240">
        <f>$D$3</f>
        <v/>
      </c>
      <c r="E2468" s="240">
        <f>$E$3</f>
        <v/>
      </c>
      <c r="F2468" s="241" t="n">
        <v>10.19</v>
      </c>
      <c r="G2468" s="242" t="n">
        <v>15234057</v>
      </c>
      <c r="H2468" s="241" t="n">
        <v>1.8</v>
      </c>
      <c r="I2468" s="241" t="n">
        <v>-3.6</v>
      </c>
      <c r="J2468" s="241" t="n">
        <v>-25.24</v>
      </c>
      <c r="K2468" s="241" t="n">
        <v>5.04</v>
      </c>
      <c r="L2468" s="242" t="n">
        <v>976200</v>
      </c>
      <c r="M2468" s="241" t="n">
        <v>3.1</v>
      </c>
      <c r="N2468" s="241" t="n">
        <v>-4.31</v>
      </c>
      <c r="O2468" s="241" t="n">
        <v>-24.08</v>
      </c>
      <c r="P2468" s="241" t="n">
        <v>2.02</v>
      </c>
    </row>
    <row r="2469">
      <c r="A2469" s="282" t="inlineStr">
        <is>
          <t>2016-03-02</t>
        </is>
      </c>
      <c r="B2469" s="240">
        <f>IFERROR(1/P2469-1,B2468)</f>
        <v/>
      </c>
      <c r="C2469" s="240">
        <f>$C$3</f>
        <v/>
      </c>
      <c r="D2469" s="240">
        <f>$D$3</f>
        <v/>
      </c>
      <c r="E2469" s="240">
        <f>$E$3</f>
        <v/>
      </c>
      <c r="F2469" s="241" t="n">
        <v>10.7</v>
      </c>
      <c r="G2469" s="242" t="n">
        <v>25340955</v>
      </c>
      <c r="H2469" s="241" t="n">
        <v>5</v>
      </c>
      <c r="I2469" s="241" t="n">
        <v>4.49</v>
      </c>
      <c r="J2469" s="241" t="n">
        <v>-21.5</v>
      </c>
      <c r="K2469" s="241" t="n">
        <v>5.14</v>
      </c>
      <c r="L2469" s="242" t="n">
        <v>3740200</v>
      </c>
      <c r="M2469" s="241" t="n">
        <v>1.84</v>
      </c>
      <c r="N2469" s="241" t="n">
        <v>0.49</v>
      </c>
      <c r="O2469" s="241" t="n">
        <v>-22.69</v>
      </c>
      <c r="P2469" s="241" t="n">
        <v>2.08</v>
      </c>
    </row>
    <row r="2470">
      <c r="A2470" s="282" t="inlineStr">
        <is>
          <t>2016-03-03</t>
        </is>
      </c>
      <c r="B2470" s="240">
        <f>IFERROR(1/P2470-1,B2469)</f>
        <v/>
      </c>
      <c r="C2470" s="240">
        <f>$C$3</f>
        <v/>
      </c>
      <c r="D2470" s="240">
        <f>$D$3</f>
        <v/>
      </c>
      <c r="E2470" s="240">
        <f>$E$3</f>
        <v/>
      </c>
      <c r="F2470" s="241" t="n">
        <v>10.66</v>
      </c>
      <c r="G2470" s="242" t="n">
        <v>23504813</v>
      </c>
      <c r="H2470" s="241" t="n">
        <v>-0.37</v>
      </c>
      <c r="I2470" s="241" t="n">
        <v>0.85</v>
      </c>
      <c r="J2470" s="241" t="n">
        <v>-21.79</v>
      </c>
      <c r="K2470" s="241" t="n">
        <v>5.23</v>
      </c>
      <c r="L2470" s="242" t="n">
        <v>2306000</v>
      </c>
      <c r="M2470" s="241" t="n">
        <v>1.8</v>
      </c>
      <c r="N2470" s="241" t="n">
        <v>1.31</v>
      </c>
      <c r="O2470" s="241" t="n">
        <v>-21.29</v>
      </c>
      <c r="P2470" s="241" t="n">
        <v>2.04</v>
      </c>
    </row>
    <row r="2471">
      <c r="A2471" s="282" t="inlineStr">
        <is>
          <t>2016-03-04</t>
        </is>
      </c>
      <c r="B2471" s="240">
        <f>IFERROR(1/P2471-1,B2470)</f>
        <v/>
      </c>
      <c r="C2471" s="240">
        <f>$C$3</f>
        <v/>
      </c>
      <c r="D2471" s="240">
        <f>$D$3</f>
        <v/>
      </c>
      <c r="E2471" s="240">
        <f>$E$3</f>
        <v/>
      </c>
      <c r="F2471" s="241" t="n">
        <v>10.5</v>
      </c>
      <c r="G2471" s="242" t="n">
        <v>21211130</v>
      </c>
      <c r="H2471" s="241" t="n">
        <v>-1.5</v>
      </c>
      <c r="I2471" s="241" t="n">
        <v>-0.1</v>
      </c>
      <c r="J2471" s="241" t="n">
        <v>-22.96</v>
      </c>
      <c r="K2471" s="241" t="n">
        <v>5.35</v>
      </c>
      <c r="L2471" s="242" t="n">
        <v>3801743</v>
      </c>
      <c r="M2471" s="241" t="n">
        <v>2.58</v>
      </c>
      <c r="N2471" s="241" t="n">
        <v>7.06</v>
      </c>
      <c r="O2471" s="241" t="n">
        <v>-19.26</v>
      </c>
      <c r="P2471" s="241" t="n">
        <v>1.96</v>
      </c>
    </row>
    <row r="2472">
      <c r="A2472" s="282" t="inlineStr">
        <is>
          <t>2016-03-07</t>
        </is>
      </c>
      <c r="B2472" s="240">
        <f>IFERROR(1/P2472-1,B2471)</f>
        <v/>
      </c>
      <c r="C2472" s="240">
        <f>$C$3</f>
        <v/>
      </c>
      <c r="D2472" s="240">
        <f>$D$3</f>
        <v/>
      </c>
      <c r="E2472" s="240">
        <f>$E$3</f>
        <v/>
      </c>
      <c r="F2472" s="241" t="n">
        <v>10.75</v>
      </c>
      <c r="G2472" s="242" t="n">
        <v>17368510</v>
      </c>
      <c r="H2472" s="241" t="n">
        <v>2.38</v>
      </c>
      <c r="I2472" s="241" t="n">
        <v>1.7</v>
      </c>
      <c r="J2472" s="241" t="n">
        <v>-21.13</v>
      </c>
      <c r="K2472" s="241" t="n">
        <v>5.49</v>
      </c>
      <c r="L2472" s="242" t="n">
        <v>2752600</v>
      </c>
      <c r="M2472" s="241" t="n">
        <v>2.83</v>
      </c>
      <c r="N2472" s="241" t="n">
        <v>8.98</v>
      </c>
      <c r="O2472" s="241" t="n">
        <v>-16.98</v>
      </c>
      <c r="P2472" s="241" t="n">
        <v>1.96</v>
      </c>
    </row>
    <row r="2473">
      <c r="A2473" s="282" t="inlineStr">
        <is>
          <t>2016-03-08</t>
        </is>
      </c>
      <c r="B2473" s="240">
        <f>IFERROR(1/P2473-1,B2472)</f>
        <v/>
      </c>
      <c r="C2473" s="240">
        <f>$C$3</f>
        <v/>
      </c>
      <c r="D2473" s="240">
        <f>$D$3</f>
        <v/>
      </c>
      <c r="E2473" s="240">
        <f>$E$3</f>
        <v/>
      </c>
      <c r="F2473" s="241" t="n">
        <v>10.76</v>
      </c>
      <c r="G2473" s="242" t="n">
        <v>17764781</v>
      </c>
      <c r="H2473" s="241" t="n">
        <v>0.09</v>
      </c>
      <c r="I2473" s="241" t="n">
        <v>1.8</v>
      </c>
      <c r="J2473" s="241" t="n">
        <v>-21.06</v>
      </c>
      <c r="K2473" s="241" t="n">
        <v>5.43</v>
      </c>
      <c r="L2473" s="242" t="n">
        <v>2034600</v>
      </c>
      <c r="M2473" s="241" t="n">
        <v>-1.07</v>
      </c>
      <c r="N2473" s="241" t="n">
        <v>7.82</v>
      </c>
      <c r="O2473" s="241" t="n">
        <v>-17.87</v>
      </c>
      <c r="P2473" s="241" t="n">
        <v>1.98</v>
      </c>
    </row>
    <row r="2474">
      <c r="A2474" s="282" t="inlineStr">
        <is>
          <t>2016-03-09</t>
        </is>
      </c>
      <c r="B2474" s="240">
        <f>IFERROR(1/P2474-1,B2473)</f>
        <v/>
      </c>
      <c r="C2474" s="240">
        <f>$C$3</f>
        <v/>
      </c>
      <c r="D2474" s="240">
        <f>$D$3</f>
        <v/>
      </c>
      <c r="E2474" s="240">
        <f>$E$3</f>
        <v/>
      </c>
      <c r="F2474" s="241" t="n">
        <v>10.46</v>
      </c>
      <c r="G2474" s="242" t="n">
        <v>12446503</v>
      </c>
      <c r="H2474" s="241" t="n">
        <v>-2.79</v>
      </c>
      <c r="I2474" s="241" t="n">
        <v>-1.04</v>
      </c>
      <c r="J2474" s="241" t="n">
        <v>-23.26</v>
      </c>
      <c r="K2474" s="241" t="n">
        <v>5.27</v>
      </c>
      <c r="L2474" s="242" t="n">
        <v>1451200</v>
      </c>
      <c r="M2474" s="241" t="n">
        <v>-2.93</v>
      </c>
      <c r="N2474" s="241" t="n">
        <v>4.66</v>
      </c>
      <c r="O2474" s="241" t="n">
        <v>-20.28</v>
      </c>
      <c r="P2474" s="241" t="n">
        <v>1.98</v>
      </c>
    </row>
    <row r="2475">
      <c r="A2475" s="282" t="inlineStr">
        <is>
          <t>2016-03-10</t>
        </is>
      </c>
      <c r="B2475" s="240">
        <f>IFERROR(1/P2475-1,B2474)</f>
        <v/>
      </c>
      <c r="C2475" s="240">
        <f>$C$3</f>
        <v/>
      </c>
      <c r="D2475" s="240">
        <f>$D$3</f>
        <v/>
      </c>
      <c r="E2475" s="240">
        <f>$E$3</f>
        <v/>
      </c>
      <c r="F2475" s="241" t="n">
        <v>10.31</v>
      </c>
      <c r="G2475" s="242" t="n">
        <v>10166887</v>
      </c>
      <c r="H2475" s="241" t="n">
        <v>-1.43</v>
      </c>
      <c r="I2475" s="241" t="n">
        <v>-2.46</v>
      </c>
      <c r="J2475" s="241" t="n">
        <v>-24.36</v>
      </c>
      <c r="K2475" s="241" t="n">
        <v>5.26</v>
      </c>
      <c r="L2475" s="242" t="n">
        <v>2545700</v>
      </c>
      <c r="M2475" s="241" t="n">
        <v>-0.32</v>
      </c>
      <c r="N2475" s="241" t="n">
        <v>4.33</v>
      </c>
      <c r="O2475" s="241" t="n">
        <v>-20.53</v>
      </c>
      <c r="P2475" s="241" t="n">
        <v>1.96</v>
      </c>
    </row>
    <row r="2476">
      <c r="A2476" s="282" t="inlineStr">
        <is>
          <t>2016-03-11</t>
        </is>
      </c>
      <c r="B2476" s="240">
        <f>IFERROR(1/P2476-1,B2475)</f>
        <v/>
      </c>
      <c r="C2476" s="240">
        <f>$C$3</f>
        <v/>
      </c>
      <c r="D2476" s="240">
        <f>$D$3</f>
        <v/>
      </c>
      <c r="E2476" s="240">
        <f>$E$3</f>
        <v/>
      </c>
      <c r="F2476" s="241" t="n">
        <v>10.32</v>
      </c>
      <c r="G2476" s="242" t="n">
        <v>8477543</v>
      </c>
      <c r="H2476" s="241" t="n">
        <v>0.1</v>
      </c>
      <c r="I2476" s="241" t="n">
        <v>-2.37</v>
      </c>
      <c r="J2476" s="241" t="n">
        <v>-24.28</v>
      </c>
      <c r="K2476" s="241" t="n">
        <v>5.35</v>
      </c>
      <c r="L2476" s="242" t="n">
        <v>2484161</v>
      </c>
      <c r="M2476" s="241" t="n">
        <v>2.07</v>
      </c>
      <c r="N2476" s="241" t="n">
        <v>6.49</v>
      </c>
      <c r="O2476" s="241" t="n">
        <v>-18.88</v>
      </c>
      <c r="P2476" s="241" t="n">
        <v>1.93</v>
      </c>
    </row>
    <row r="2477">
      <c r="A2477" s="282" t="inlineStr">
        <is>
          <t>2016-03-14</t>
        </is>
      </c>
      <c r="B2477" s="240">
        <f>IFERROR(1/P2477-1,B2476)</f>
        <v/>
      </c>
      <c r="C2477" s="240">
        <f>$C$3</f>
        <v/>
      </c>
      <c r="D2477" s="240">
        <f>$D$3</f>
        <v/>
      </c>
      <c r="E2477" s="240">
        <f>$E$3</f>
        <v/>
      </c>
      <c r="F2477" s="241" t="n">
        <v>10.63</v>
      </c>
      <c r="G2477" s="242" t="n">
        <v>19104362</v>
      </c>
      <c r="H2477" s="241" t="n">
        <v>3</v>
      </c>
      <c r="I2477" s="241" t="n">
        <v>0.57</v>
      </c>
      <c r="J2477" s="241" t="n">
        <v>-22.01</v>
      </c>
      <c r="K2477" s="241" t="n">
        <v>5.44</v>
      </c>
      <c r="L2477" s="242" t="n">
        <v>1548000</v>
      </c>
      <c r="M2477" s="241" t="n">
        <v>1.56</v>
      </c>
      <c r="N2477" s="241" t="n">
        <v>16.49</v>
      </c>
      <c r="O2477" s="241" t="n">
        <v>-17.62</v>
      </c>
      <c r="P2477" s="241" t="n">
        <v>1.96</v>
      </c>
    </row>
    <row r="2478">
      <c r="A2478" s="282" t="inlineStr">
        <is>
          <t>2016-03-15</t>
        </is>
      </c>
      <c r="B2478" s="240">
        <f>IFERROR(1/P2478-1,B2477)</f>
        <v/>
      </c>
      <c r="C2478" s="240">
        <f>$C$3</f>
        <v/>
      </c>
      <c r="D2478" s="240">
        <f>$D$3</f>
        <v/>
      </c>
      <c r="E2478" s="240">
        <f>$E$3</f>
        <v/>
      </c>
      <c r="F2478" s="241" t="n">
        <v>10.56</v>
      </c>
      <c r="G2478" s="242" t="n">
        <v>11825458</v>
      </c>
      <c r="H2478" s="241" t="n">
        <v>-0.66</v>
      </c>
      <c r="I2478" s="241" t="n">
        <v>-0.09</v>
      </c>
      <c r="J2478" s="241" t="n">
        <v>-22.52</v>
      </c>
      <c r="K2478" s="241" t="n">
        <v>5.4</v>
      </c>
      <c r="L2478" s="242" t="n">
        <v>899200</v>
      </c>
      <c r="M2478" s="241" t="n">
        <v>-0.92</v>
      </c>
      <c r="N2478" s="241" t="n">
        <v>15.41</v>
      </c>
      <c r="O2478" s="241" t="n">
        <v>-18.38</v>
      </c>
      <c r="P2478" s="241" t="n">
        <v>1.96</v>
      </c>
    </row>
    <row r="2479">
      <c r="A2479" s="282" t="inlineStr">
        <is>
          <t>2016-03-16</t>
        </is>
      </c>
      <c r="B2479" s="240">
        <f>IFERROR(1/P2479-1,B2478)</f>
        <v/>
      </c>
      <c r="C2479" s="240">
        <f>$C$3</f>
        <v/>
      </c>
      <c r="D2479" s="240">
        <f>$D$3</f>
        <v/>
      </c>
      <c r="E2479" s="240">
        <f>$E$3</f>
        <v/>
      </c>
      <c r="F2479" s="241" t="n">
        <v>10.43</v>
      </c>
      <c r="G2479" s="242" t="n">
        <v>10262789</v>
      </c>
      <c r="H2479" s="241" t="n">
        <v>-1.23</v>
      </c>
      <c r="I2479" s="241" t="n">
        <v>0.48</v>
      </c>
      <c r="J2479" s="241" t="n">
        <v>-23.48</v>
      </c>
      <c r="K2479" s="241" t="n">
        <v>5.31</v>
      </c>
      <c r="L2479" s="242" t="n">
        <v>1775349</v>
      </c>
      <c r="M2479" s="241" t="n">
        <v>-1.86</v>
      </c>
      <c r="N2479" s="241" t="n">
        <v>8.4</v>
      </c>
      <c r="O2479" s="241" t="n">
        <v>-19.9</v>
      </c>
      <c r="P2479" s="241" t="n">
        <v>1.97</v>
      </c>
    </row>
    <row r="2480">
      <c r="A2480" s="282" t="inlineStr">
        <is>
          <t>2016-03-17</t>
        </is>
      </c>
      <c r="B2480" s="240">
        <f>IFERROR(1/P2480-1,B2479)</f>
        <v/>
      </c>
      <c r="C2480" s="240">
        <f>$C$3</f>
        <v/>
      </c>
      <c r="D2480" s="240">
        <f>$D$3</f>
        <v/>
      </c>
      <c r="E2480" s="240">
        <f>$E$3</f>
        <v/>
      </c>
      <c r="F2480" s="241" t="n">
        <v>10.69</v>
      </c>
      <c r="G2480" s="242" t="n">
        <v>20290277</v>
      </c>
      <c r="H2480" s="241" t="n">
        <v>2.49</v>
      </c>
      <c r="I2480" s="241" t="n">
        <v>-0.93</v>
      </c>
      <c r="J2480" s="241" t="n">
        <v>-21.57</v>
      </c>
      <c r="K2480" s="241" t="n">
        <v>5.39</v>
      </c>
      <c r="L2480" s="242" t="n">
        <v>2629800</v>
      </c>
      <c r="M2480" s="241" t="n">
        <v>1.9</v>
      </c>
      <c r="N2480" s="241" t="n">
        <v>8.779999999999999</v>
      </c>
      <c r="O2480" s="241" t="n">
        <v>-18.38</v>
      </c>
      <c r="P2480" s="241" t="n">
        <v>1.98</v>
      </c>
    </row>
    <row r="2481">
      <c r="A2481" s="282" t="inlineStr">
        <is>
          <t>2016-03-18</t>
        </is>
      </c>
      <c r="B2481" s="240">
        <f>IFERROR(1/P2481-1,B2480)</f>
        <v/>
      </c>
      <c r="C2481" s="240">
        <f>$C$3</f>
        <v/>
      </c>
      <c r="D2481" s="240">
        <f>$D$3</f>
        <v/>
      </c>
      <c r="E2481" s="240">
        <f>$E$3</f>
        <v/>
      </c>
      <c r="F2481" s="241" t="n">
        <v>10.96</v>
      </c>
      <c r="G2481" s="242" t="n">
        <v>33513173</v>
      </c>
      <c r="H2481" s="241" t="n">
        <v>2.53</v>
      </c>
      <c r="I2481" s="241" t="n">
        <v>0</v>
      </c>
      <c r="J2481" s="241" t="n">
        <v>-19.59</v>
      </c>
      <c r="K2481" s="241" t="n">
        <v>5.57</v>
      </c>
      <c r="L2481" s="242" t="n">
        <v>3693796</v>
      </c>
      <c r="M2481" s="241" t="n">
        <v>3.88</v>
      </c>
      <c r="N2481" s="241" t="n">
        <v>10.76</v>
      </c>
      <c r="O2481" s="241" t="n">
        <v>-15.21</v>
      </c>
      <c r="P2481" s="241" t="n">
        <v>1.97</v>
      </c>
    </row>
    <row r="2482">
      <c r="A2482" s="282" t="inlineStr">
        <is>
          <t>2016-03-21</t>
        </is>
      </c>
      <c r="B2482" s="240">
        <f>IFERROR(1/P2482-1,B2481)</f>
        <v/>
      </c>
      <c r="C2482" s="240">
        <f>$C$3</f>
        <v/>
      </c>
      <c r="D2482" s="240">
        <f>$D$3</f>
        <v/>
      </c>
      <c r="E2482" s="240">
        <f>$E$3</f>
        <v/>
      </c>
      <c r="F2482" s="241" t="n">
        <v>11.19</v>
      </c>
      <c r="G2482" s="242" t="n">
        <v>28975153</v>
      </c>
      <c r="H2482" s="241" t="n">
        <v>2.1</v>
      </c>
      <c r="I2482" s="241" t="n">
        <v>2.57</v>
      </c>
      <c r="J2482" s="241" t="n">
        <v>-17.9</v>
      </c>
      <c r="K2482" s="241" t="n">
        <v>5.75</v>
      </c>
      <c r="L2482" s="242" t="n">
        <v>3287400</v>
      </c>
      <c r="M2482" s="241" t="n">
        <v>2.84</v>
      </c>
      <c r="N2482" s="241" t="n">
        <v>9.9</v>
      </c>
      <c r="O2482" s="241" t="n">
        <v>-12.8</v>
      </c>
      <c r="P2482" s="241" t="n">
        <v>1.95</v>
      </c>
    </row>
    <row r="2483">
      <c r="A2483" s="282" t="inlineStr">
        <is>
          <t>2016-03-22</t>
        </is>
      </c>
      <c r="B2483" s="240">
        <f>IFERROR(1/P2483-1,B2482)</f>
        <v/>
      </c>
      <c r="C2483" s="240">
        <f>$C$3</f>
        <v/>
      </c>
      <c r="D2483" s="240">
        <f>$D$3</f>
        <v/>
      </c>
      <c r="E2483" s="240">
        <f>$E$3</f>
        <v/>
      </c>
      <c r="F2483" s="241" t="n">
        <v>11.2</v>
      </c>
      <c r="G2483" s="242" t="n">
        <v>32196772</v>
      </c>
      <c r="H2483" s="241" t="n">
        <v>0.09</v>
      </c>
      <c r="I2483" s="241" t="n">
        <v>2.66</v>
      </c>
      <c r="J2483" s="241" t="n">
        <v>-17.83</v>
      </c>
      <c r="K2483" s="241" t="n">
        <v>5.66</v>
      </c>
      <c r="L2483" s="242" t="n">
        <v>1220000</v>
      </c>
      <c r="M2483" s="241" t="n">
        <v>-1.74</v>
      </c>
      <c r="N2483" s="241" t="n">
        <v>7.99</v>
      </c>
      <c r="O2483" s="241" t="n">
        <v>-14.32</v>
      </c>
      <c r="P2483" s="241" t="n">
        <v>1.98</v>
      </c>
    </row>
    <row r="2484">
      <c r="A2484" s="282" t="inlineStr">
        <is>
          <t>2016-03-23</t>
        </is>
      </c>
      <c r="B2484" s="240">
        <f>IFERROR(1/P2484-1,B2483)</f>
        <v/>
      </c>
      <c r="C2484" s="240">
        <f>$C$3</f>
        <v/>
      </c>
      <c r="D2484" s="240">
        <f>$D$3</f>
        <v/>
      </c>
      <c r="E2484" s="240">
        <f>$E$3</f>
        <v/>
      </c>
      <c r="F2484" s="241" t="n">
        <v>11.16</v>
      </c>
      <c r="G2484" s="242" t="n">
        <v>20058415</v>
      </c>
      <c r="H2484" s="241" t="n">
        <v>-0.36</v>
      </c>
      <c r="I2484" s="241" t="n">
        <v>-0.27</v>
      </c>
      <c r="J2484" s="241" t="n">
        <v>-18.12</v>
      </c>
      <c r="K2484" s="241" t="n">
        <v>5.56</v>
      </c>
      <c r="L2484" s="242" t="n">
        <v>1137800</v>
      </c>
      <c r="M2484" s="241" t="n">
        <v>-1.78</v>
      </c>
      <c r="N2484" s="241" t="n">
        <v>5.73</v>
      </c>
      <c r="O2484" s="241" t="n">
        <v>-15.84</v>
      </c>
      <c r="P2484" s="241" t="n">
        <v>2.01</v>
      </c>
    </row>
    <row r="2485">
      <c r="A2485" s="282" t="inlineStr">
        <is>
          <t>2016-03-24</t>
        </is>
      </c>
      <c r="B2485" s="240">
        <f>IFERROR(1/P2485-1,B2484)</f>
        <v/>
      </c>
      <c r="C2485" s="240">
        <f>$C$3</f>
        <v/>
      </c>
      <c r="D2485" s="240">
        <f>$D$3</f>
        <v/>
      </c>
      <c r="E2485" s="240">
        <f>$E$3</f>
        <v/>
      </c>
      <c r="F2485" s="241" t="n">
        <v>11.11</v>
      </c>
      <c r="G2485" s="242" t="n">
        <v>36427164</v>
      </c>
      <c r="H2485" s="241" t="n">
        <v>-0.45</v>
      </c>
      <c r="I2485" s="241" t="n">
        <v>0.91</v>
      </c>
      <c r="J2485" s="241" t="n">
        <v>-18.49</v>
      </c>
      <c r="K2485" s="241" t="n">
        <v>5.44</v>
      </c>
      <c r="L2485" s="242" t="n">
        <v>1911600</v>
      </c>
      <c r="M2485" s="241" t="n">
        <v>-2.41</v>
      </c>
      <c r="N2485" s="241" t="n">
        <v>1.73</v>
      </c>
      <c r="O2485" s="241" t="n">
        <v>-17.87</v>
      </c>
      <c r="P2485" s="241" t="n">
        <v>2.04</v>
      </c>
    </row>
    <row r="2486">
      <c r="A2486" s="282" t="inlineStr">
        <is>
          <t>2016-03-25</t>
        </is>
      </c>
      <c r="B2486" s="240">
        <f>IFERROR(1/P2486-1,B2485)</f>
        <v/>
      </c>
      <c r="C2486" s="240">
        <f>$C$3</f>
        <v/>
      </c>
      <c r="D2486" s="240">
        <f>$D$3</f>
        <v/>
      </c>
      <c r="E2486" s="240">
        <f>$E$3</f>
        <v/>
      </c>
      <c r="F2486" s="241" t="n">
        <v>11.32</v>
      </c>
      <c r="G2486" s="242" t="n">
        <v>21862532</v>
      </c>
      <c r="H2486" s="241" t="n">
        <v>1.89</v>
      </c>
      <c r="I2486" s="241" t="n">
        <v>0.27</v>
      </c>
      <c r="J2486" s="241" t="n">
        <v>-16.95</v>
      </c>
      <c r="K2486" s="239" t="inlineStr">
        <is>
          <t>--</t>
        </is>
      </c>
      <c r="L2486" s="239" t="inlineStr">
        <is>
          <t>--</t>
        </is>
      </c>
      <c r="M2486" s="239" t="inlineStr">
        <is>
          <t>--</t>
        </is>
      </c>
      <c r="N2486" s="239" t="inlineStr">
        <is>
          <t>--</t>
        </is>
      </c>
      <c r="O2486" s="239" t="inlineStr">
        <is>
          <t>--</t>
        </is>
      </c>
      <c r="P2486" s="239" t="inlineStr">
        <is>
          <t>--</t>
        </is>
      </c>
    </row>
    <row r="2487">
      <c r="A2487" s="282" t="inlineStr">
        <is>
          <t>2016-03-28</t>
        </is>
      </c>
      <c r="B2487" s="240">
        <f>IFERROR(1/P2487-1,B2486)</f>
        <v/>
      </c>
      <c r="C2487" s="240">
        <f>$C$3</f>
        <v/>
      </c>
      <c r="D2487" s="240">
        <f>$D$3</f>
        <v/>
      </c>
      <c r="E2487" s="240">
        <f>$E$3</f>
        <v/>
      </c>
      <c r="F2487" s="241" t="n">
        <v>11.21</v>
      </c>
      <c r="G2487" s="242" t="n">
        <v>21117888</v>
      </c>
      <c r="H2487" s="241" t="n">
        <v>-0.97</v>
      </c>
      <c r="I2487" s="241" t="n">
        <v>8.1</v>
      </c>
      <c r="J2487" s="241" t="n">
        <v>-17.75</v>
      </c>
      <c r="K2487" s="239" t="inlineStr">
        <is>
          <t>--</t>
        </is>
      </c>
      <c r="L2487" s="239" t="inlineStr">
        <is>
          <t>--</t>
        </is>
      </c>
      <c r="M2487" s="239" t="inlineStr">
        <is>
          <t>--</t>
        </is>
      </c>
      <c r="N2487" s="239" t="inlineStr">
        <is>
          <t>--</t>
        </is>
      </c>
      <c r="O2487" s="239" t="inlineStr">
        <is>
          <t>--</t>
        </is>
      </c>
      <c r="P2487" s="239" t="inlineStr">
        <is>
          <t>--</t>
        </is>
      </c>
    </row>
    <row r="2488">
      <c r="A2488" s="282" t="inlineStr">
        <is>
          <t>2016-03-29</t>
        </is>
      </c>
      <c r="B2488" s="240">
        <f>IFERROR(1/P2488-1,B2487)</f>
        <v/>
      </c>
      <c r="C2488" s="240">
        <f>$C$3</f>
        <v/>
      </c>
      <c r="D2488" s="240">
        <f>$D$3</f>
        <v/>
      </c>
      <c r="E2488" s="240">
        <f>$E$3</f>
        <v/>
      </c>
      <c r="F2488" s="241" t="n">
        <v>10.98</v>
      </c>
      <c r="G2488" s="242" t="n">
        <v>16799273</v>
      </c>
      <c r="H2488" s="241" t="n">
        <v>-2.05</v>
      </c>
      <c r="I2488" s="241" t="n">
        <v>5.88</v>
      </c>
      <c r="J2488" s="241" t="n">
        <v>-19.44</v>
      </c>
      <c r="K2488" s="241" t="n">
        <v>5.47</v>
      </c>
      <c r="L2488" s="242" t="n">
        <v>1427200</v>
      </c>
      <c r="M2488" s="241" t="n">
        <v>0.62</v>
      </c>
      <c r="N2488" s="241" t="n">
        <v>9.210000000000001</v>
      </c>
      <c r="O2488" s="241" t="n">
        <v>-17.36</v>
      </c>
      <c r="P2488" s="241" t="n">
        <v>2.01</v>
      </c>
    </row>
    <row r="2489">
      <c r="A2489" s="282" t="inlineStr">
        <is>
          <t>2016-03-30</t>
        </is>
      </c>
      <c r="B2489" s="240">
        <f>IFERROR(1/P2489-1,B2488)</f>
        <v/>
      </c>
      <c r="C2489" s="240">
        <f>$C$3</f>
        <v/>
      </c>
      <c r="D2489" s="240">
        <f>$D$3</f>
        <v/>
      </c>
      <c r="E2489" s="240">
        <f>$E$3</f>
        <v/>
      </c>
      <c r="F2489" s="241" t="n">
        <v>11.29</v>
      </c>
      <c r="G2489" s="242" t="n">
        <v>19232033</v>
      </c>
      <c r="H2489" s="241" t="n">
        <v>2.82</v>
      </c>
      <c r="I2489" s="241" t="n">
        <v>8.869999999999999</v>
      </c>
      <c r="J2489" s="241" t="n">
        <v>-17.17</v>
      </c>
      <c r="K2489" s="241" t="n">
        <v>5.5</v>
      </c>
      <c r="L2489" s="242" t="n">
        <v>1367200</v>
      </c>
      <c r="M2489" s="241" t="n">
        <v>0.92</v>
      </c>
      <c r="N2489" s="241" t="n">
        <v>10.22</v>
      </c>
      <c r="O2489" s="241" t="n">
        <v>-16.6</v>
      </c>
      <c r="P2489" s="241" t="n">
        <v>2.05</v>
      </c>
    </row>
    <row r="2490">
      <c r="A2490" s="282" t="inlineStr">
        <is>
          <t>2016-03-31</t>
        </is>
      </c>
      <c r="B2490" s="240">
        <f>IFERROR(1/P2490-1,B2489)</f>
        <v/>
      </c>
      <c r="C2490" s="240">
        <f>$C$3</f>
        <v/>
      </c>
      <c r="D2490" s="240">
        <f>$D$3</f>
        <v/>
      </c>
      <c r="E2490" s="240">
        <f>$E$3</f>
        <v/>
      </c>
      <c r="F2490" s="241" t="n">
        <v>11.22</v>
      </c>
      <c r="G2490" s="242" t="n">
        <v>25282650</v>
      </c>
      <c r="H2490" s="241" t="n">
        <v>-0.62</v>
      </c>
      <c r="I2490" s="241" t="n">
        <v>8.199999999999999</v>
      </c>
      <c r="J2490" s="241" t="n">
        <v>-17.68</v>
      </c>
      <c r="K2490" s="241" t="n">
        <v>5.34</v>
      </c>
      <c r="L2490" s="242" t="n">
        <v>3098000</v>
      </c>
      <c r="M2490" s="241" t="n">
        <v>-2.58</v>
      </c>
      <c r="N2490" s="241" t="n">
        <v>7.37</v>
      </c>
      <c r="O2490" s="241" t="n">
        <v>-18.76</v>
      </c>
      <c r="P2490" s="241" t="n">
        <v>2.1</v>
      </c>
    </row>
    <row r="2491">
      <c r="A2491" s="282" t="inlineStr">
        <is>
          <t>2016-04-01</t>
        </is>
      </c>
      <c r="B2491" s="240">
        <f>IFERROR(1/P2491-1,B2490)</f>
        <v/>
      </c>
      <c r="C2491" s="240">
        <f>$C$3</f>
        <v/>
      </c>
      <c r="D2491" s="240">
        <f>$D$3</f>
        <v/>
      </c>
      <c r="E2491" s="240">
        <f>$E$3</f>
        <v/>
      </c>
      <c r="F2491" s="241" t="n">
        <v>11.06</v>
      </c>
      <c r="G2491" s="242" t="n">
        <v>22395184</v>
      </c>
      <c r="H2491" s="241" t="n">
        <v>-1.43</v>
      </c>
      <c r="I2491" s="241" t="n">
        <v>10.49</v>
      </c>
      <c r="J2491" s="241" t="n">
        <v>-18.86</v>
      </c>
      <c r="K2491" s="241" t="n">
        <v>5.25</v>
      </c>
      <c r="L2491" s="242" t="n">
        <v>2541732</v>
      </c>
      <c r="M2491" s="241" t="n">
        <v>-1.72</v>
      </c>
      <c r="N2491" s="241" t="n">
        <v>8.43</v>
      </c>
      <c r="O2491" s="241" t="n">
        <v>-20.15</v>
      </c>
      <c r="P2491" s="241" t="n">
        <v>2.11</v>
      </c>
    </row>
    <row r="2492">
      <c r="A2492" s="282" t="inlineStr">
        <is>
          <t>2016-04-05</t>
        </is>
      </c>
      <c r="B2492" s="240">
        <f>IFERROR(1/P2492-1,B2491)</f>
        <v/>
      </c>
      <c r="C2492" s="240">
        <f>$C$3</f>
        <v/>
      </c>
      <c r="D2492" s="240">
        <f>$D$3</f>
        <v/>
      </c>
      <c r="E2492" s="240">
        <f>$E$3</f>
        <v/>
      </c>
      <c r="F2492" s="241" t="n">
        <v>11.25</v>
      </c>
      <c r="G2492" s="242" t="n">
        <v>23854730</v>
      </c>
      <c r="H2492" s="241" t="n">
        <v>1.72</v>
      </c>
      <c r="I2492" s="241" t="n">
        <v>7.14</v>
      </c>
      <c r="J2492" s="241" t="n">
        <v>-17.46</v>
      </c>
      <c r="K2492" s="241" t="n">
        <v>5.21</v>
      </c>
      <c r="L2492" s="242" t="n">
        <v>3378210</v>
      </c>
      <c r="M2492" s="241" t="n">
        <v>-0.79</v>
      </c>
      <c r="N2492" s="241" t="n">
        <v>-1.88</v>
      </c>
      <c r="O2492" s="241" t="n">
        <v>-20.79</v>
      </c>
      <c r="P2492" s="241" t="n">
        <v>2.16</v>
      </c>
    </row>
    <row r="2493">
      <c r="A2493" s="282" t="inlineStr">
        <is>
          <t>2016-04-06</t>
        </is>
      </c>
      <c r="B2493" s="240">
        <f>IFERROR(1/P2493-1,B2492)</f>
        <v/>
      </c>
      <c r="C2493" s="240">
        <f>$C$3</f>
        <v/>
      </c>
      <c r="D2493" s="240">
        <f>$D$3</f>
        <v/>
      </c>
      <c r="E2493" s="240">
        <f>$E$3</f>
        <v/>
      </c>
      <c r="F2493" s="241" t="n">
        <v>11.28</v>
      </c>
      <c r="G2493" s="242" t="n">
        <v>22454479</v>
      </c>
      <c r="H2493" s="241" t="n">
        <v>0.27</v>
      </c>
      <c r="I2493" s="241" t="n">
        <v>7.43</v>
      </c>
      <c r="J2493" s="241" t="n">
        <v>-17.24</v>
      </c>
      <c r="K2493" s="241" t="n">
        <v>5.12</v>
      </c>
      <c r="L2493" s="242" t="n">
        <v>4832600</v>
      </c>
      <c r="M2493" s="241" t="n">
        <v>-1.92</v>
      </c>
      <c r="N2493" s="241" t="n">
        <v>-3.77</v>
      </c>
      <c r="O2493" s="241" t="n">
        <v>-22.31</v>
      </c>
      <c r="P2493" s="241" t="n">
        <v>2.2</v>
      </c>
    </row>
    <row r="2494">
      <c r="A2494" s="282" t="inlineStr">
        <is>
          <t>2016-04-07</t>
        </is>
      </c>
      <c r="B2494" s="240">
        <f>IFERROR(1/P2494-1,B2493)</f>
        <v/>
      </c>
      <c r="C2494" s="240">
        <f>$C$3</f>
        <v/>
      </c>
      <c r="D2494" s="240">
        <f>$D$3</f>
        <v/>
      </c>
      <c r="E2494" s="240">
        <f>$E$3</f>
        <v/>
      </c>
      <c r="F2494" s="241" t="n">
        <v>11.11</v>
      </c>
      <c r="G2494" s="242" t="n">
        <v>23482049</v>
      </c>
      <c r="H2494" s="241" t="n">
        <v>-1.51</v>
      </c>
      <c r="I2494" s="241" t="n">
        <v>5.81</v>
      </c>
      <c r="J2494" s="241" t="n">
        <v>-18.49</v>
      </c>
      <c r="K2494" s="241" t="n">
        <v>5.04</v>
      </c>
      <c r="L2494" s="242" t="n">
        <v>5260000</v>
      </c>
      <c r="M2494" s="241" t="n">
        <v>-1.47</v>
      </c>
      <c r="N2494" s="241" t="n">
        <v>-5.18</v>
      </c>
      <c r="O2494" s="241" t="n">
        <v>-23.45</v>
      </c>
      <c r="P2494" s="241" t="n">
        <v>2.2</v>
      </c>
    </row>
    <row r="2495">
      <c r="A2495" s="282" t="inlineStr">
        <is>
          <t>2016-04-08</t>
        </is>
      </c>
      <c r="B2495" s="240">
        <f>IFERROR(1/P2495-1,B2494)</f>
        <v/>
      </c>
      <c r="C2495" s="240">
        <f>$C$3</f>
        <v/>
      </c>
      <c r="D2495" s="240">
        <f>$D$3</f>
        <v/>
      </c>
      <c r="E2495" s="240">
        <f>$E$3</f>
        <v/>
      </c>
      <c r="F2495" s="241" t="n">
        <v>10.92</v>
      </c>
      <c r="G2495" s="242" t="n">
        <v>19016523</v>
      </c>
      <c r="H2495" s="241" t="n">
        <v>-1.71</v>
      </c>
      <c r="I2495" s="241" t="n">
        <v>1.58</v>
      </c>
      <c r="J2495" s="241" t="n">
        <v>-19.88</v>
      </c>
      <c r="K2495" s="241" t="n">
        <v>5.15</v>
      </c>
      <c r="L2495" s="242" t="n">
        <v>2965600</v>
      </c>
      <c r="M2495" s="241" t="n">
        <v>2.15</v>
      </c>
      <c r="N2495" s="241" t="n">
        <v>-5.8</v>
      </c>
      <c r="O2495" s="241" t="n">
        <v>-21.8</v>
      </c>
      <c r="P2495" s="241" t="n">
        <v>2.12</v>
      </c>
    </row>
    <row r="2496">
      <c r="A2496" s="282" t="inlineStr">
        <is>
          <t>2016-04-11</t>
        </is>
      </c>
      <c r="B2496" s="240">
        <f>IFERROR(1/P2496-1,B2495)</f>
        <v/>
      </c>
      <c r="C2496" s="240">
        <f>$C$3</f>
        <v/>
      </c>
      <c r="D2496" s="240">
        <f>$D$3</f>
        <v/>
      </c>
      <c r="E2496" s="240">
        <f>$E$3</f>
        <v/>
      </c>
      <c r="F2496" s="241" t="n">
        <v>11.11</v>
      </c>
      <c r="G2496" s="242" t="n">
        <v>17855766</v>
      </c>
      <c r="H2496" s="241" t="n">
        <v>1.74</v>
      </c>
      <c r="I2496" s="241" t="n">
        <v>7.76</v>
      </c>
      <c r="J2496" s="241" t="n">
        <v>-18.49</v>
      </c>
      <c r="K2496" s="241" t="n">
        <v>5.25</v>
      </c>
      <c r="L2496" s="242" t="n">
        <v>3324600</v>
      </c>
      <c r="M2496" s="241" t="n">
        <v>2.11</v>
      </c>
      <c r="N2496" s="241" t="n">
        <v>0.48</v>
      </c>
      <c r="O2496" s="241" t="n">
        <v>-20.15</v>
      </c>
      <c r="P2496" s="241" t="n">
        <v>2.12</v>
      </c>
    </row>
    <row r="2497">
      <c r="A2497" s="282" t="inlineStr">
        <is>
          <t>2016-04-12</t>
        </is>
      </c>
      <c r="B2497" s="240">
        <f>IFERROR(1/P2497-1,B2496)</f>
        <v/>
      </c>
      <c r="C2497" s="240">
        <f>$C$3</f>
        <v/>
      </c>
      <c r="D2497" s="240">
        <f>$D$3</f>
        <v/>
      </c>
      <c r="E2497" s="240">
        <f>$E$3</f>
        <v/>
      </c>
      <c r="F2497" s="241" t="n">
        <v>11.03</v>
      </c>
      <c r="G2497" s="242" t="n">
        <v>13379917</v>
      </c>
      <c r="H2497" s="241" t="n">
        <v>-0.72</v>
      </c>
      <c r="I2497" s="241" t="n">
        <v>6.88</v>
      </c>
      <c r="J2497" s="241" t="n">
        <v>-19.08</v>
      </c>
      <c r="K2497" s="241" t="n">
        <v>5.32</v>
      </c>
      <c r="L2497" s="242" t="n">
        <v>2272200</v>
      </c>
      <c r="M2497" s="241" t="n">
        <v>1.27</v>
      </c>
      <c r="N2497" s="241" t="n">
        <v>-0.31</v>
      </c>
      <c r="O2497" s="241" t="n">
        <v>-19.14</v>
      </c>
      <c r="P2497" s="241" t="n">
        <v>2.07</v>
      </c>
    </row>
    <row r="2498">
      <c r="A2498" s="282" t="inlineStr">
        <is>
          <t>2016-04-13</t>
        </is>
      </c>
      <c r="B2498" s="240">
        <f>IFERROR(1/P2498-1,B2497)</f>
        <v/>
      </c>
      <c r="C2498" s="240">
        <f>$C$3</f>
        <v/>
      </c>
      <c r="D2498" s="240">
        <f>$D$3</f>
        <v/>
      </c>
      <c r="E2498" s="240">
        <f>$E$3</f>
        <v/>
      </c>
      <c r="F2498" s="241" t="n">
        <v>11.22</v>
      </c>
      <c r="G2498" s="242" t="n">
        <v>33028116</v>
      </c>
      <c r="H2498" s="241" t="n">
        <v>1.72</v>
      </c>
      <c r="I2498" s="241" t="n">
        <v>8.720000000000001</v>
      </c>
      <c r="J2498" s="241" t="n">
        <v>-17.68</v>
      </c>
      <c r="K2498" s="241" t="n">
        <v>5.56</v>
      </c>
      <c r="L2498" s="242" t="n">
        <v>3921800</v>
      </c>
      <c r="M2498" s="241" t="n">
        <v>4.7</v>
      </c>
      <c r="N2498" s="241" t="n">
        <v>4.38</v>
      </c>
      <c r="O2498" s="241" t="n">
        <v>-15.34</v>
      </c>
      <c r="P2498" s="241" t="n">
        <v>2.02</v>
      </c>
    </row>
    <row r="2499">
      <c r="A2499" s="282" t="inlineStr">
        <is>
          <t>2016-04-14</t>
        </is>
      </c>
      <c r="B2499" s="240">
        <f>IFERROR(1/P2499-1,B2498)</f>
        <v/>
      </c>
      <c r="C2499" s="240">
        <f>$C$3</f>
        <v/>
      </c>
      <c r="D2499" s="240">
        <f>$D$3</f>
        <v/>
      </c>
      <c r="E2499" s="240">
        <f>$E$3</f>
        <v/>
      </c>
      <c r="F2499" s="241" t="n">
        <v>11.27</v>
      </c>
      <c r="G2499" s="242" t="n">
        <v>15805460</v>
      </c>
      <c r="H2499" s="241" t="n">
        <v>0.45</v>
      </c>
      <c r="I2499" s="241" t="n">
        <v>9.210000000000001</v>
      </c>
      <c r="J2499" s="241" t="n">
        <v>-17.31</v>
      </c>
      <c r="K2499" s="241" t="n">
        <v>5.55</v>
      </c>
      <c r="L2499" s="242" t="n">
        <v>3031490</v>
      </c>
      <c r="M2499" s="241" t="n">
        <v>-0.75</v>
      </c>
      <c r="N2499" s="241" t="n">
        <v>3.59</v>
      </c>
      <c r="O2499" s="241" t="n">
        <v>-15.97</v>
      </c>
      <c r="P2499" s="241" t="n">
        <v>2.03</v>
      </c>
    </row>
    <row r="2500">
      <c r="A2500" s="282" t="inlineStr">
        <is>
          <t>2016-04-15</t>
        </is>
      </c>
      <c r="B2500" s="240">
        <f>IFERROR(1/P2500-1,B2499)</f>
        <v/>
      </c>
      <c r="C2500" s="240">
        <f>$C$3</f>
        <v/>
      </c>
      <c r="D2500" s="240">
        <f>$D$3</f>
        <v/>
      </c>
      <c r="E2500" s="240">
        <f>$E$3</f>
        <v/>
      </c>
      <c r="F2500" s="241" t="n">
        <v>11.21</v>
      </c>
      <c r="G2500" s="242" t="n">
        <v>15452039</v>
      </c>
      <c r="H2500" s="241" t="n">
        <v>-0.53</v>
      </c>
      <c r="I2500" s="241" t="n">
        <v>5.46</v>
      </c>
      <c r="J2500" s="241" t="n">
        <v>-17.75</v>
      </c>
      <c r="K2500" s="241" t="n">
        <v>5.47</v>
      </c>
      <c r="L2500" s="242" t="n">
        <v>3875600</v>
      </c>
      <c r="M2500" s="241" t="n">
        <v>-1.36</v>
      </c>
      <c r="N2500" s="241" t="n">
        <v>0.62</v>
      </c>
      <c r="O2500" s="241" t="n">
        <v>-17.11</v>
      </c>
      <c r="P2500" s="241" t="n">
        <v>2.05</v>
      </c>
    </row>
    <row r="2501">
      <c r="A2501" s="282" t="inlineStr">
        <is>
          <t>2016-04-18</t>
        </is>
      </c>
      <c r="B2501" s="240">
        <f>IFERROR(1/P2501-1,B2500)</f>
        <v/>
      </c>
      <c r="C2501" s="240">
        <f>$C$3</f>
        <v/>
      </c>
      <c r="D2501" s="240">
        <f>$D$3</f>
        <v/>
      </c>
      <c r="E2501" s="240">
        <f>$E$3</f>
        <v/>
      </c>
      <c r="F2501" s="241" t="n">
        <v>11</v>
      </c>
      <c r="G2501" s="242" t="n">
        <v>13111280</v>
      </c>
      <c r="H2501" s="241" t="n">
        <v>-1.87</v>
      </c>
      <c r="I2501" s="241" t="n">
        <v>2.9</v>
      </c>
      <c r="J2501" s="241" t="n">
        <v>-19.3</v>
      </c>
      <c r="K2501" s="241" t="n">
        <v>5.42</v>
      </c>
      <c r="L2501" s="242" t="n">
        <v>1662200</v>
      </c>
      <c r="M2501" s="241" t="n">
        <v>-0.76</v>
      </c>
      <c r="N2501" s="241" t="n">
        <v>0.78</v>
      </c>
      <c r="O2501" s="241" t="n">
        <v>-17.74</v>
      </c>
      <c r="P2501" s="241" t="n">
        <v>2.03</v>
      </c>
    </row>
    <row r="2502">
      <c r="A2502" s="282" t="inlineStr">
        <is>
          <t>2016-04-19</t>
        </is>
      </c>
      <c r="B2502" s="240">
        <f>IFERROR(1/P2502-1,B2501)</f>
        <v/>
      </c>
      <c r="C2502" s="240">
        <f>$C$3</f>
        <v/>
      </c>
      <c r="D2502" s="240">
        <f>$D$3</f>
        <v/>
      </c>
      <c r="E2502" s="240">
        <f>$E$3</f>
        <v/>
      </c>
      <c r="F2502" s="241" t="n">
        <v>11.02</v>
      </c>
      <c r="G2502" s="242" t="n">
        <v>9946302</v>
      </c>
      <c r="H2502" s="241" t="n">
        <v>0.18</v>
      </c>
      <c r="I2502" s="241" t="n">
        <v>0.55</v>
      </c>
      <c r="J2502" s="241" t="n">
        <v>-19.15</v>
      </c>
      <c r="K2502" s="241" t="n">
        <v>5.51</v>
      </c>
      <c r="L2502" s="242" t="n">
        <v>2044429</v>
      </c>
      <c r="M2502" s="241" t="n">
        <v>1.69</v>
      </c>
      <c r="N2502" s="241" t="n">
        <v>-1.35</v>
      </c>
      <c r="O2502" s="241" t="n">
        <v>-16.35</v>
      </c>
      <c r="P2502" s="241" t="n">
        <v>2</v>
      </c>
    </row>
    <row r="2503">
      <c r="A2503" s="282" t="inlineStr">
        <is>
          <t>2016-04-20</t>
        </is>
      </c>
      <c r="B2503" s="240">
        <f>IFERROR(1/P2503-1,B2502)</f>
        <v/>
      </c>
      <c r="C2503" s="240">
        <f>$C$3</f>
        <v/>
      </c>
      <c r="D2503" s="240">
        <f>$D$3</f>
        <v/>
      </c>
      <c r="E2503" s="240">
        <f>$E$3</f>
        <v/>
      </c>
      <c r="F2503" s="241" t="n">
        <v>10.52</v>
      </c>
      <c r="G2503" s="242" t="n">
        <v>26167383</v>
      </c>
      <c r="H2503" s="241" t="n">
        <v>-4.54</v>
      </c>
      <c r="I2503" s="241" t="n">
        <v>-4.01</v>
      </c>
      <c r="J2503" s="241" t="n">
        <v>-22.82</v>
      </c>
      <c r="K2503" s="241" t="n">
        <v>5.38</v>
      </c>
      <c r="L2503" s="242" t="n">
        <v>1634200</v>
      </c>
      <c r="M2503" s="241" t="n">
        <v>-2.12</v>
      </c>
      <c r="N2503" s="241" t="n">
        <v>-3.44</v>
      </c>
      <c r="O2503" s="241" t="n">
        <v>-18.12</v>
      </c>
      <c r="P2503" s="241" t="n">
        <v>1.96</v>
      </c>
    </row>
    <row r="2504">
      <c r="A2504" s="282" t="inlineStr">
        <is>
          <t>2016-04-21</t>
        </is>
      </c>
      <c r="B2504" s="240">
        <f>IFERROR(1/P2504-1,B2503)</f>
        <v/>
      </c>
      <c r="C2504" s="240">
        <f>$C$3</f>
        <v/>
      </c>
      <c r="D2504" s="240">
        <f>$D$3</f>
        <v/>
      </c>
      <c r="E2504" s="240">
        <f>$E$3</f>
        <v/>
      </c>
      <c r="F2504" s="241" t="n">
        <v>10.38</v>
      </c>
      <c r="G2504" s="242" t="n">
        <v>16964678</v>
      </c>
      <c r="H2504" s="241" t="n">
        <v>-1.33</v>
      </c>
      <c r="I2504" s="241" t="n">
        <v>-5.29</v>
      </c>
      <c r="J2504" s="241" t="n">
        <v>-23.84</v>
      </c>
      <c r="K2504" s="241" t="n">
        <v>5.45</v>
      </c>
      <c r="L2504" s="242" t="n">
        <v>1289343</v>
      </c>
      <c r="M2504" s="241" t="n">
        <v>0.93</v>
      </c>
      <c r="N2504" s="241" t="n">
        <v>-2.54</v>
      </c>
      <c r="O2504" s="241" t="n">
        <v>-17.36</v>
      </c>
      <c r="P2504" s="241" t="n">
        <v>1.91</v>
      </c>
    </row>
    <row r="2505">
      <c r="A2505" s="282" t="inlineStr">
        <is>
          <t>2016-04-22</t>
        </is>
      </c>
      <c r="B2505" s="240">
        <f>IFERROR(1/P2505-1,B2504)</f>
        <v/>
      </c>
      <c r="C2505" s="240">
        <f>$C$3</f>
        <v/>
      </c>
      <c r="D2505" s="240">
        <f>$D$3</f>
        <v/>
      </c>
      <c r="E2505" s="240">
        <f>$E$3</f>
        <v/>
      </c>
      <c r="F2505" s="241" t="n">
        <v>10.41</v>
      </c>
      <c r="G2505" s="242" t="n">
        <v>13402984</v>
      </c>
      <c r="H2505" s="241" t="n">
        <v>0.29</v>
      </c>
      <c r="I2505" s="241" t="n">
        <v>-6.97</v>
      </c>
      <c r="J2505" s="241" t="n">
        <v>-23.62</v>
      </c>
      <c r="K2505" s="241" t="n">
        <v>5.38</v>
      </c>
      <c r="L2505" s="242" t="n">
        <v>887229</v>
      </c>
      <c r="M2505" s="241" t="n">
        <v>-1.38</v>
      </c>
      <c r="N2505" s="241" t="n">
        <v>-6.54</v>
      </c>
      <c r="O2505" s="241" t="n">
        <v>-18.5</v>
      </c>
      <c r="P2505" s="241" t="n">
        <v>1.94</v>
      </c>
    </row>
    <row r="2506">
      <c r="A2506" s="282" t="inlineStr">
        <is>
          <t>2016-04-25</t>
        </is>
      </c>
      <c r="B2506" s="240">
        <f>IFERROR(1/P2506-1,B2505)</f>
        <v/>
      </c>
      <c r="C2506" s="240">
        <f>$C$3</f>
        <v/>
      </c>
      <c r="D2506" s="240">
        <f>$D$3</f>
        <v/>
      </c>
      <c r="E2506" s="240">
        <f>$E$3</f>
        <v/>
      </c>
      <c r="F2506" s="241" t="n">
        <v>10.37</v>
      </c>
      <c r="G2506" s="242" t="n">
        <v>11070261</v>
      </c>
      <c r="H2506" s="241" t="n">
        <v>-0.38</v>
      </c>
      <c r="I2506" s="241" t="n">
        <v>-6.66</v>
      </c>
      <c r="J2506" s="241" t="n">
        <v>-23.92</v>
      </c>
      <c r="K2506" s="241" t="n">
        <v>5.44</v>
      </c>
      <c r="L2506" s="242" t="n">
        <v>1034200</v>
      </c>
      <c r="M2506" s="241" t="n">
        <v>0.78</v>
      </c>
      <c r="N2506" s="241" t="n">
        <v>0</v>
      </c>
      <c r="O2506" s="241" t="n">
        <v>-17.87</v>
      </c>
      <c r="P2506" s="241" t="n">
        <v>1.91</v>
      </c>
    </row>
    <row r="2507">
      <c r="A2507" s="282" t="inlineStr">
        <is>
          <t>2016-04-26</t>
        </is>
      </c>
      <c r="B2507" s="240">
        <f>IFERROR(1/P2507-1,B2506)</f>
        <v/>
      </c>
      <c r="C2507" s="240">
        <f>$C$3</f>
        <v/>
      </c>
      <c r="D2507" s="240">
        <f>$D$3</f>
        <v/>
      </c>
      <c r="E2507" s="240">
        <f>$E$3</f>
        <v/>
      </c>
      <c r="F2507" s="241" t="n">
        <v>10.51</v>
      </c>
      <c r="G2507" s="242" t="n">
        <v>12326758</v>
      </c>
      <c r="H2507" s="241" t="n">
        <v>1.35</v>
      </c>
      <c r="I2507" s="241" t="n">
        <v>-7.16</v>
      </c>
      <c r="J2507" s="241" t="n">
        <v>-22.89</v>
      </c>
      <c r="K2507" s="241" t="n">
        <v>5.24</v>
      </c>
      <c r="L2507" s="242" t="n">
        <v>1770300</v>
      </c>
      <c r="M2507" s="241" t="n">
        <v>-3.4</v>
      </c>
      <c r="N2507" s="241" t="n">
        <v>-3.4</v>
      </c>
      <c r="O2507" s="241" t="n">
        <v>-20.66</v>
      </c>
      <c r="P2507" s="241" t="n">
        <v>2.01</v>
      </c>
    </row>
    <row r="2508">
      <c r="A2508" s="282" t="inlineStr">
        <is>
          <t>2016-04-27</t>
        </is>
      </c>
      <c r="B2508" s="240">
        <f>IFERROR(1/P2508-1,B2507)</f>
        <v/>
      </c>
      <c r="C2508" s="240">
        <f>$C$3</f>
        <v/>
      </c>
      <c r="D2508" s="240">
        <f>$D$3</f>
        <v/>
      </c>
      <c r="E2508" s="240">
        <f>$E$3</f>
        <v/>
      </c>
      <c r="F2508" s="241" t="n">
        <v>10.4</v>
      </c>
      <c r="G2508" s="242" t="n">
        <v>11058502</v>
      </c>
      <c r="H2508" s="241" t="n">
        <v>-1.05</v>
      </c>
      <c r="I2508" s="241" t="n">
        <v>-8.130000000000001</v>
      </c>
      <c r="J2508" s="241" t="n">
        <v>-23.7</v>
      </c>
      <c r="K2508" s="241" t="n">
        <v>5.26</v>
      </c>
      <c r="L2508" s="242" t="n">
        <v>1224106</v>
      </c>
      <c r="M2508" s="241" t="n">
        <v>0.48</v>
      </c>
      <c r="N2508" s="241" t="n">
        <v>-2.93</v>
      </c>
      <c r="O2508" s="241" t="n">
        <v>-20.28</v>
      </c>
      <c r="P2508" s="241" t="n">
        <v>1.98</v>
      </c>
    </row>
    <row r="2509">
      <c r="A2509" s="282" t="inlineStr">
        <is>
          <t>2016-04-28</t>
        </is>
      </c>
      <c r="B2509" s="240">
        <f>IFERROR(1/P2509-1,B2508)</f>
        <v/>
      </c>
      <c r="C2509" s="240">
        <f>$C$3</f>
        <v/>
      </c>
      <c r="D2509" s="240">
        <f>$D$3</f>
        <v/>
      </c>
      <c r="E2509" s="240">
        <f>$E$3</f>
        <v/>
      </c>
      <c r="F2509" s="241" t="n">
        <v>10.34</v>
      </c>
      <c r="G2509" s="242" t="n">
        <v>9875909</v>
      </c>
      <c r="H2509" s="241" t="n">
        <v>-0.58</v>
      </c>
      <c r="I2509" s="241" t="n">
        <v>-8.66</v>
      </c>
      <c r="J2509" s="241" t="n">
        <v>-24.14</v>
      </c>
      <c r="K2509" s="241" t="n">
        <v>5.19</v>
      </c>
      <c r="L2509" s="242" t="n">
        <v>1525600</v>
      </c>
      <c r="M2509" s="241" t="n">
        <v>-1.43</v>
      </c>
      <c r="N2509" s="241" t="n">
        <v>-4.32</v>
      </c>
      <c r="O2509" s="241" t="n">
        <v>-21.42</v>
      </c>
      <c r="P2509" s="241" t="n">
        <v>1.99</v>
      </c>
    </row>
    <row r="2510">
      <c r="A2510" s="282" t="inlineStr">
        <is>
          <t>2016-04-29</t>
        </is>
      </c>
      <c r="B2510" s="240">
        <f>IFERROR(1/P2510-1,B2509)</f>
        <v/>
      </c>
      <c r="C2510" s="240">
        <f>$C$3</f>
        <v/>
      </c>
      <c r="D2510" s="240">
        <f>$D$3</f>
        <v/>
      </c>
      <c r="E2510" s="240">
        <f>$E$3</f>
        <v/>
      </c>
      <c r="F2510" s="241" t="n">
        <v>10.33</v>
      </c>
      <c r="G2510" s="242" t="n">
        <v>6410168</v>
      </c>
      <c r="H2510" s="241" t="n">
        <v>-0.1</v>
      </c>
      <c r="I2510" s="241" t="n">
        <v>-7.85</v>
      </c>
      <c r="J2510" s="241" t="n">
        <v>-24.21</v>
      </c>
      <c r="K2510" s="241" t="n">
        <v>5.04</v>
      </c>
      <c r="L2510" s="242" t="n">
        <v>2086900</v>
      </c>
      <c r="M2510" s="241" t="n">
        <v>-2.42</v>
      </c>
      <c r="N2510" s="241" t="n">
        <v>-6.64</v>
      </c>
      <c r="O2510" s="241" t="n">
        <v>-23.32</v>
      </c>
      <c r="P2510" s="241" t="n">
        <v>2.05</v>
      </c>
    </row>
    <row r="2511">
      <c r="A2511" s="282" t="inlineStr">
        <is>
          <t>2016-05-03</t>
        </is>
      </c>
      <c r="B2511" s="240">
        <f>IFERROR(1/P2511-1,B2510)</f>
        <v/>
      </c>
      <c r="C2511" s="240">
        <f>$C$3</f>
        <v/>
      </c>
      <c r="D2511" s="240">
        <f>$D$3</f>
        <v/>
      </c>
      <c r="E2511" s="240">
        <f>$E$3</f>
        <v/>
      </c>
      <c r="F2511" s="241" t="n">
        <v>10.55</v>
      </c>
      <c r="G2511" s="242" t="n">
        <v>14422950</v>
      </c>
      <c r="H2511" s="241" t="n">
        <v>2.13</v>
      </c>
      <c r="I2511" s="241" t="n">
        <v>-4.61</v>
      </c>
      <c r="J2511" s="241" t="n">
        <v>-22.6</v>
      </c>
      <c r="K2511" s="241" t="n">
        <v>4.98</v>
      </c>
      <c r="L2511" s="242" t="n">
        <v>2177700</v>
      </c>
      <c r="M2511" s="241" t="n">
        <v>-0.99</v>
      </c>
      <c r="N2511" s="241" t="n">
        <v>-4.92</v>
      </c>
      <c r="O2511" s="241" t="n">
        <v>-24.08</v>
      </c>
      <c r="P2511" s="241" t="n">
        <v>2.12</v>
      </c>
    </row>
    <row r="2512">
      <c r="A2512" s="282" t="inlineStr">
        <is>
          <t>2016-05-04</t>
        </is>
      </c>
      <c r="B2512" s="240">
        <f>IFERROR(1/P2512-1,B2511)</f>
        <v/>
      </c>
      <c r="C2512" s="240">
        <f>$C$3</f>
        <v/>
      </c>
      <c r="D2512" s="240">
        <f>$D$3</f>
        <v/>
      </c>
      <c r="E2512" s="240">
        <f>$E$3</f>
        <v/>
      </c>
      <c r="F2512" s="241" t="n">
        <v>10.49</v>
      </c>
      <c r="G2512" s="242" t="n">
        <v>13133338</v>
      </c>
      <c r="H2512" s="241" t="n">
        <v>-0.57</v>
      </c>
      <c r="I2512" s="241" t="n">
        <v>-5.15</v>
      </c>
      <c r="J2512" s="241" t="n">
        <v>-23.04</v>
      </c>
      <c r="K2512" s="241" t="n">
        <v>4.96</v>
      </c>
      <c r="L2512" s="242" t="n">
        <v>2212400</v>
      </c>
      <c r="M2512" s="241" t="n">
        <v>-1</v>
      </c>
      <c r="N2512" s="241" t="n">
        <v>-5.87</v>
      </c>
      <c r="O2512" s="241" t="n">
        <v>-24.84</v>
      </c>
      <c r="P2512" s="241" t="n">
        <v>2.11</v>
      </c>
    </row>
    <row r="2513">
      <c r="A2513" s="282" t="inlineStr">
        <is>
          <t>2016-05-05</t>
        </is>
      </c>
      <c r="B2513" s="240">
        <f>IFERROR(1/P2513-1,B2512)</f>
        <v/>
      </c>
      <c r="C2513" s="240">
        <f>$C$3</f>
        <v/>
      </c>
      <c r="D2513" s="240">
        <f>$D$3</f>
        <v/>
      </c>
      <c r="E2513" s="240">
        <f>$E$3</f>
        <v/>
      </c>
      <c r="F2513" s="241" t="n">
        <v>10.51</v>
      </c>
      <c r="G2513" s="242" t="n">
        <v>10878495</v>
      </c>
      <c r="H2513" s="241" t="n">
        <v>0.19</v>
      </c>
      <c r="I2513" s="241" t="n">
        <v>-4.97</v>
      </c>
      <c r="J2513" s="241" t="n">
        <v>-22.89</v>
      </c>
      <c r="K2513" s="241" t="n">
        <v>4.9</v>
      </c>
      <c r="L2513" s="242" t="n">
        <v>3958800</v>
      </c>
      <c r="M2513" s="241" t="n">
        <v>-1.52</v>
      </c>
      <c r="N2513" s="241" t="n">
        <v>-7.3</v>
      </c>
      <c r="O2513" s="241" t="n">
        <v>-25.98</v>
      </c>
      <c r="P2513" s="241" t="n">
        <v>2.14</v>
      </c>
    </row>
    <row r="2514">
      <c r="A2514" s="282" t="inlineStr">
        <is>
          <t>2016-05-06</t>
        </is>
      </c>
      <c r="B2514" s="240">
        <f>IFERROR(1/P2514-1,B2513)</f>
        <v/>
      </c>
      <c r="C2514" s="240">
        <f>$C$3</f>
        <v/>
      </c>
      <c r="D2514" s="240">
        <f>$D$3</f>
        <v/>
      </c>
      <c r="E2514" s="240">
        <f>$E$3</f>
        <v/>
      </c>
      <c r="F2514" s="241" t="n">
        <v>10.1</v>
      </c>
      <c r="G2514" s="242" t="n">
        <v>19734078</v>
      </c>
      <c r="H2514" s="241" t="n">
        <v>-3.9</v>
      </c>
      <c r="I2514" s="241" t="n">
        <v>-10.22</v>
      </c>
      <c r="J2514" s="241" t="n">
        <v>-25.9</v>
      </c>
      <c r="K2514" s="241" t="n">
        <v>4.78</v>
      </c>
      <c r="L2514" s="242" t="n">
        <v>2055400</v>
      </c>
      <c r="M2514" s="241" t="n">
        <v>-2.57</v>
      </c>
      <c r="N2514" s="241" t="n">
        <v>-8.960000000000001</v>
      </c>
      <c r="O2514" s="241" t="n">
        <v>-27.88</v>
      </c>
      <c r="P2514" s="241" t="n">
        <v>2.11</v>
      </c>
    </row>
    <row r="2515">
      <c r="A2515" s="282" t="inlineStr">
        <is>
          <t>2016-05-09</t>
        </is>
      </c>
      <c r="B2515" s="240">
        <f>IFERROR(1/P2515-1,B2514)</f>
        <v/>
      </c>
      <c r="C2515" s="240">
        <f>$C$3</f>
        <v/>
      </c>
      <c r="D2515" s="240">
        <f>$D$3</f>
        <v/>
      </c>
      <c r="E2515" s="240">
        <f>$E$3</f>
        <v/>
      </c>
      <c r="F2515" s="241" t="n">
        <v>9.9</v>
      </c>
      <c r="G2515" s="242" t="n">
        <v>16175009</v>
      </c>
      <c r="H2515" s="241" t="n">
        <v>-1.98</v>
      </c>
      <c r="I2515" s="241" t="n">
        <v>-9.34</v>
      </c>
      <c r="J2515" s="241" t="n">
        <v>-27.37</v>
      </c>
      <c r="K2515" s="241" t="n">
        <v>4.71</v>
      </c>
      <c r="L2515" s="242" t="n">
        <v>1545800</v>
      </c>
      <c r="M2515" s="241" t="n">
        <v>-1.41</v>
      </c>
      <c r="N2515" s="241" t="n">
        <v>-9.08</v>
      </c>
      <c r="O2515" s="241" t="n">
        <v>-28.9</v>
      </c>
      <c r="P2515" s="241" t="n">
        <v>2.1</v>
      </c>
    </row>
    <row r="2516">
      <c r="A2516" s="282" t="inlineStr">
        <is>
          <t>2016-05-10</t>
        </is>
      </c>
      <c r="B2516" s="240">
        <f>IFERROR(1/P2516-1,B2515)</f>
        <v/>
      </c>
      <c r="C2516" s="240">
        <f>$C$3</f>
        <v/>
      </c>
      <c r="D2516" s="240">
        <f>$D$3</f>
        <v/>
      </c>
      <c r="E2516" s="240">
        <f>$E$3</f>
        <v/>
      </c>
      <c r="F2516" s="241" t="n">
        <v>9.99</v>
      </c>
      <c r="G2516" s="242" t="n">
        <v>9329024</v>
      </c>
      <c r="H2516" s="241" t="n">
        <v>0.91</v>
      </c>
      <c r="I2516" s="241" t="n">
        <v>-8.52</v>
      </c>
      <c r="J2516" s="241" t="n">
        <v>-26.71</v>
      </c>
      <c r="K2516" s="241" t="n">
        <v>4.78</v>
      </c>
      <c r="L2516" s="242" t="n">
        <v>1093600</v>
      </c>
      <c r="M2516" s="241" t="n">
        <v>1.43</v>
      </c>
      <c r="N2516" s="241" t="n">
        <v>-7.78</v>
      </c>
      <c r="O2516" s="241" t="n">
        <v>-27.88</v>
      </c>
      <c r="P2516" s="241" t="n">
        <v>2.09</v>
      </c>
    </row>
    <row r="2517">
      <c r="A2517" s="282" t="inlineStr">
        <is>
          <t>2016-05-11</t>
        </is>
      </c>
      <c r="B2517" s="240">
        <f>IFERROR(1/P2517-1,B2516)</f>
        <v/>
      </c>
      <c r="C2517" s="240">
        <f>$C$3</f>
        <v/>
      </c>
      <c r="D2517" s="240">
        <f>$D$3</f>
        <v/>
      </c>
      <c r="E2517" s="240">
        <f>$E$3</f>
        <v/>
      </c>
      <c r="F2517" s="241" t="n">
        <v>9.91</v>
      </c>
      <c r="G2517" s="242" t="n">
        <v>8755549</v>
      </c>
      <c r="H2517" s="241" t="n">
        <v>-0.8</v>
      </c>
      <c r="I2517" s="241" t="n">
        <v>-9.25</v>
      </c>
      <c r="J2517" s="241" t="n">
        <v>-27.29</v>
      </c>
      <c r="K2517" s="241" t="n">
        <v>4.72</v>
      </c>
      <c r="L2517" s="242" t="n">
        <v>1221261</v>
      </c>
      <c r="M2517" s="241" t="n">
        <v>-1.23</v>
      </c>
      <c r="N2517" s="241" t="n">
        <v>-8.91</v>
      </c>
      <c r="O2517" s="241" t="n">
        <v>-28.77</v>
      </c>
      <c r="P2517" s="241" t="n">
        <v>2.1</v>
      </c>
    </row>
    <row r="2518">
      <c r="A2518" s="282" t="inlineStr">
        <is>
          <t>2016-05-12</t>
        </is>
      </c>
      <c r="B2518" s="240">
        <f>IFERROR(1/P2518-1,B2517)</f>
        <v/>
      </c>
      <c r="C2518" s="240">
        <f>$C$3</f>
        <v/>
      </c>
      <c r="D2518" s="240">
        <f>$D$3</f>
        <v/>
      </c>
      <c r="E2518" s="240">
        <f>$E$3</f>
        <v/>
      </c>
      <c r="F2518" s="241" t="n">
        <v>9.859999999999999</v>
      </c>
      <c r="G2518" s="242" t="n">
        <v>9754494</v>
      </c>
      <c r="H2518" s="241" t="n">
        <v>-0.5</v>
      </c>
      <c r="I2518" s="241" t="n">
        <v>-11.25</v>
      </c>
      <c r="J2518" s="241" t="n">
        <v>-27.66</v>
      </c>
      <c r="K2518" s="241" t="n">
        <v>4.69</v>
      </c>
      <c r="L2518" s="242" t="n">
        <v>555400</v>
      </c>
      <c r="M2518" s="241" t="n">
        <v>-0.36</v>
      </c>
      <c r="N2518" s="241" t="n">
        <v>-11.11</v>
      </c>
      <c r="O2518" s="241" t="n">
        <v>-29.02</v>
      </c>
      <c r="P2518" s="241" t="n">
        <v>2.1</v>
      </c>
    </row>
    <row r="2519">
      <c r="A2519" s="282" t="inlineStr">
        <is>
          <t>2016-05-13</t>
        </is>
      </c>
      <c r="B2519" s="240">
        <f>IFERROR(1/P2519-1,B2518)</f>
        <v/>
      </c>
      <c r="C2519" s="240">
        <f>$C$3</f>
        <v/>
      </c>
      <c r="D2519" s="240">
        <f>$D$3</f>
        <v/>
      </c>
      <c r="E2519" s="240">
        <f>$E$3</f>
        <v/>
      </c>
      <c r="F2519" s="241" t="n">
        <v>9.83</v>
      </c>
      <c r="G2519" s="242" t="n">
        <v>7027201</v>
      </c>
      <c r="H2519" s="241" t="n">
        <v>-0.3</v>
      </c>
      <c r="I2519" s="241" t="n">
        <v>-10.88</v>
      </c>
      <c r="J2519" s="241" t="n">
        <v>-27.88</v>
      </c>
      <c r="K2519" s="241" t="n">
        <v>4.68</v>
      </c>
      <c r="L2519" s="242" t="n">
        <v>843200</v>
      </c>
      <c r="M2519" s="241" t="n">
        <v>-0.54</v>
      </c>
      <c r="N2519" s="241" t="n">
        <v>-12.7</v>
      </c>
      <c r="O2519" s="241" t="n">
        <v>-29.4</v>
      </c>
      <c r="P2519" s="241" t="n">
        <v>2.1</v>
      </c>
    </row>
    <row r="2520">
      <c r="A2520" s="282" t="inlineStr">
        <is>
          <t>2016-05-16</t>
        </is>
      </c>
      <c r="B2520" s="240">
        <f>IFERROR(1/P2520-1,B2519)</f>
        <v/>
      </c>
      <c r="C2520" s="240">
        <f>$C$3</f>
        <v/>
      </c>
      <c r="D2520" s="240">
        <f>$D$3</f>
        <v/>
      </c>
      <c r="E2520" s="240">
        <f>$E$3</f>
        <v/>
      </c>
      <c r="F2520" s="241" t="n">
        <v>9.9</v>
      </c>
      <c r="G2520" s="242" t="n">
        <v>8463131</v>
      </c>
      <c r="H2520" s="241" t="n">
        <v>0.71</v>
      </c>
      <c r="I2520" s="241" t="n">
        <v>-11.69</v>
      </c>
      <c r="J2520" s="241" t="n">
        <v>-27.37</v>
      </c>
      <c r="K2520" s="241" t="n">
        <v>4.77</v>
      </c>
      <c r="L2520" s="242" t="n">
        <v>745200</v>
      </c>
      <c r="M2520" s="241" t="n">
        <v>1.8</v>
      </c>
      <c r="N2520" s="241" t="n">
        <v>-13.3</v>
      </c>
      <c r="O2520" s="241" t="n">
        <v>-28.14</v>
      </c>
      <c r="P2520" s="241" t="n">
        <v>2.07</v>
      </c>
    </row>
    <row r="2521">
      <c r="A2521" s="282" t="inlineStr">
        <is>
          <t>2016-05-17</t>
        </is>
      </c>
      <c r="B2521" s="240">
        <f>IFERROR(1/P2521-1,B2520)</f>
        <v/>
      </c>
      <c r="C2521" s="240">
        <f>$C$3</f>
        <v/>
      </c>
      <c r="D2521" s="240">
        <f>$D$3</f>
        <v/>
      </c>
      <c r="E2521" s="240">
        <f>$E$3</f>
        <v/>
      </c>
      <c r="F2521" s="241" t="n">
        <v>9.83</v>
      </c>
      <c r="G2521" s="242" t="n">
        <v>8865514</v>
      </c>
      <c r="H2521" s="241" t="n">
        <v>-0.71</v>
      </c>
      <c r="I2521" s="241" t="n">
        <v>-12.31</v>
      </c>
      <c r="J2521" s="241" t="n">
        <v>-27.88</v>
      </c>
      <c r="K2521" s="241" t="n">
        <v>4.83</v>
      </c>
      <c r="L2521" s="242" t="n">
        <v>941800</v>
      </c>
      <c r="M2521" s="241" t="n">
        <v>1.41</v>
      </c>
      <c r="N2521" s="241" t="n">
        <v>-12.08</v>
      </c>
      <c r="O2521" s="241" t="n">
        <v>-27.12</v>
      </c>
      <c r="P2521" s="241" t="n">
        <v>2.04</v>
      </c>
    </row>
    <row r="2522">
      <c r="A2522" s="282" t="inlineStr">
        <is>
          <t>2016-05-18</t>
        </is>
      </c>
      <c r="B2522" s="240">
        <f>IFERROR(1/P2522-1,B2521)</f>
        <v/>
      </c>
      <c r="C2522" s="240">
        <f>$C$3</f>
        <v/>
      </c>
      <c r="D2522" s="240">
        <f>$D$3</f>
        <v/>
      </c>
      <c r="E2522" s="240">
        <f>$E$3</f>
        <v/>
      </c>
      <c r="F2522" s="241" t="n">
        <v>9.609999999999999</v>
      </c>
      <c r="G2522" s="242" t="n">
        <v>14029489</v>
      </c>
      <c r="H2522" s="241" t="n">
        <v>-2.24</v>
      </c>
      <c r="I2522" s="241" t="n">
        <v>-14.27</v>
      </c>
      <c r="J2522" s="241" t="n">
        <v>-29.49</v>
      </c>
      <c r="K2522" s="241" t="n">
        <v>4.8</v>
      </c>
      <c r="L2522" s="242" t="n">
        <v>1174559</v>
      </c>
      <c r="M2522" s="241" t="n">
        <v>-0.7</v>
      </c>
      <c r="N2522" s="241" t="n">
        <v>-12.69</v>
      </c>
      <c r="O2522" s="241" t="n">
        <v>-27.63</v>
      </c>
      <c r="P2522" s="241" t="n">
        <v>2</v>
      </c>
    </row>
    <row r="2523">
      <c r="A2523" s="282" t="inlineStr">
        <is>
          <t>2016-05-19</t>
        </is>
      </c>
      <c r="B2523" s="240">
        <f>IFERROR(1/P2523-1,B2522)</f>
        <v/>
      </c>
      <c r="C2523" s="240">
        <f>$C$3</f>
        <v/>
      </c>
      <c r="D2523" s="240">
        <f>$D$3</f>
        <v/>
      </c>
      <c r="E2523" s="240">
        <f>$E$3</f>
        <v/>
      </c>
      <c r="F2523" s="241" t="n">
        <v>9.6</v>
      </c>
      <c r="G2523" s="242" t="n">
        <v>7776845</v>
      </c>
      <c r="H2523" s="241" t="n">
        <v>-0.1</v>
      </c>
      <c r="I2523" s="241" t="n">
        <v>-12.73</v>
      </c>
      <c r="J2523" s="241" t="n">
        <v>-29.57</v>
      </c>
      <c r="K2523" s="241" t="n">
        <v>4.8</v>
      </c>
      <c r="L2523" s="242" t="n">
        <v>701800</v>
      </c>
      <c r="M2523" s="241" t="n">
        <v>-0.35</v>
      </c>
      <c r="N2523" s="241" t="n">
        <v>-12.33</v>
      </c>
      <c r="O2523" s="241" t="n">
        <v>-27.88</v>
      </c>
      <c r="P2523" s="241" t="n">
        <v>2</v>
      </c>
    </row>
    <row r="2524">
      <c r="A2524" s="282" t="inlineStr">
        <is>
          <t>2016-05-20</t>
        </is>
      </c>
      <c r="B2524" s="240">
        <f>IFERROR(1/P2524-1,B2523)</f>
        <v/>
      </c>
      <c r="C2524" s="240">
        <f>$C$3</f>
        <v/>
      </c>
      <c r="D2524" s="240">
        <f>$D$3</f>
        <v/>
      </c>
      <c r="E2524" s="240">
        <f>$E$3</f>
        <v/>
      </c>
      <c r="F2524" s="241" t="n">
        <v>9.640000000000001</v>
      </c>
      <c r="G2524" s="242" t="n">
        <v>7194202</v>
      </c>
      <c r="H2524" s="241" t="n">
        <v>0.42</v>
      </c>
      <c r="I2524" s="241" t="n">
        <v>-12.52</v>
      </c>
      <c r="J2524" s="241" t="n">
        <v>-29.27</v>
      </c>
      <c r="K2524" s="241" t="n">
        <v>4.73</v>
      </c>
      <c r="L2524" s="242" t="n">
        <v>643200</v>
      </c>
      <c r="M2524" s="241" t="n">
        <v>-1.41</v>
      </c>
      <c r="N2524" s="241" t="n">
        <v>-15</v>
      </c>
      <c r="O2524" s="241" t="n">
        <v>-28.9</v>
      </c>
      <c r="P2524" s="241" t="n">
        <v>2.04</v>
      </c>
    </row>
    <row r="2525">
      <c r="A2525" s="282" t="inlineStr">
        <is>
          <t>2016-05-23</t>
        </is>
      </c>
      <c r="B2525" s="240">
        <f>IFERROR(1/P2525-1,B2524)</f>
        <v/>
      </c>
      <c r="C2525" s="240">
        <f>$C$3</f>
        <v/>
      </c>
      <c r="D2525" s="240">
        <f>$D$3</f>
        <v/>
      </c>
      <c r="E2525" s="240">
        <f>$E$3</f>
        <v/>
      </c>
      <c r="F2525" s="241" t="n">
        <v>9.710000000000001</v>
      </c>
      <c r="G2525" s="242" t="n">
        <v>8159175</v>
      </c>
      <c r="H2525" s="241" t="n">
        <v>0.73</v>
      </c>
      <c r="I2525" s="241" t="n">
        <v>-6.72</v>
      </c>
      <c r="J2525" s="241" t="n">
        <v>-28.76</v>
      </c>
      <c r="K2525" s="241" t="n">
        <v>4.76</v>
      </c>
      <c r="L2525" s="242" t="n">
        <v>901000</v>
      </c>
      <c r="M2525" s="241" t="n">
        <v>0.71</v>
      </c>
      <c r="N2525" s="241" t="n">
        <v>-12.13</v>
      </c>
      <c r="O2525" s="241" t="n">
        <v>-28.39</v>
      </c>
      <c r="P2525" s="241" t="n">
        <v>2.04</v>
      </c>
    </row>
    <row r="2526">
      <c r="A2526" s="282" t="inlineStr">
        <is>
          <t>2016-05-24</t>
        </is>
      </c>
      <c r="B2526" s="240">
        <f>IFERROR(1/P2526-1,B2525)</f>
        <v/>
      </c>
      <c r="C2526" s="240">
        <f>$C$3</f>
        <v/>
      </c>
      <c r="D2526" s="240">
        <f>$D$3</f>
        <v/>
      </c>
      <c r="E2526" s="240">
        <f>$E$3</f>
        <v/>
      </c>
      <c r="F2526" s="241" t="n">
        <v>9.779999999999999</v>
      </c>
      <c r="G2526" s="242" t="n">
        <v>15765572</v>
      </c>
      <c r="H2526" s="241" t="n">
        <v>0.72</v>
      </c>
      <c r="I2526" s="241" t="n">
        <v>-6.05</v>
      </c>
      <c r="J2526" s="241" t="n">
        <v>-28.25</v>
      </c>
      <c r="K2526" s="241" t="n">
        <v>4.75</v>
      </c>
      <c r="L2526" s="242" t="n">
        <v>1046400</v>
      </c>
      <c r="M2526" s="241" t="n">
        <v>-0.35</v>
      </c>
      <c r="N2526" s="241" t="n">
        <v>-12.44</v>
      </c>
      <c r="O2526" s="241" t="n">
        <v>-28.64</v>
      </c>
      <c r="P2526" s="241" t="n">
        <v>2.06</v>
      </c>
    </row>
    <row r="2527">
      <c r="A2527" s="282" t="inlineStr">
        <is>
          <t>2016-05-25</t>
        </is>
      </c>
      <c r="B2527" s="240">
        <f>IFERROR(1/P2527-1,B2526)</f>
        <v/>
      </c>
      <c r="C2527" s="240">
        <f>$C$3</f>
        <v/>
      </c>
      <c r="D2527" s="240">
        <f>$D$3</f>
        <v/>
      </c>
      <c r="E2527" s="240">
        <f>$E$3</f>
        <v/>
      </c>
      <c r="F2527" s="241" t="n">
        <v>9.859999999999999</v>
      </c>
      <c r="G2527" s="242" t="n">
        <v>16919590</v>
      </c>
      <c r="H2527" s="241" t="n">
        <v>0.82</v>
      </c>
      <c r="I2527" s="241" t="n">
        <v>-5.28</v>
      </c>
      <c r="J2527" s="241" t="n">
        <v>-27.66</v>
      </c>
      <c r="K2527" s="241" t="n">
        <v>4.85</v>
      </c>
      <c r="L2527" s="242" t="n">
        <v>831400</v>
      </c>
      <c r="M2527" s="241" t="n">
        <v>1.95</v>
      </c>
      <c r="N2527" s="241" t="n">
        <v>-10.73</v>
      </c>
      <c r="O2527" s="241" t="n">
        <v>-27.25</v>
      </c>
      <c r="P2527" s="241" t="n">
        <v>2.03</v>
      </c>
    </row>
    <row r="2528">
      <c r="A2528" s="282" t="inlineStr">
        <is>
          <t>2016-05-26</t>
        </is>
      </c>
      <c r="B2528" s="240">
        <f>IFERROR(1/P2528-1,B2527)</f>
        <v/>
      </c>
      <c r="C2528" s="240">
        <f>$C$3</f>
        <v/>
      </c>
      <c r="D2528" s="240">
        <f>$D$3</f>
        <v/>
      </c>
      <c r="E2528" s="240">
        <f>$E$3</f>
        <v/>
      </c>
      <c r="F2528" s="241" t="n">
        <v>9.859999999999999</v>
      </c>
      <c r="G2528" s="242" t="n">
        <v>14761388</v>
      </c>
      <c r="H2528" s="241" t="n">
        <v>0</v>
      </c>
      <c r="I2528" s="241" t="n">
        <v>-4.92</v>
      </c>
      <c r="J2528" s="241" t="n">
        <v>-27.66</v>
      </c>
      <c r="K2528" s="241" t="n">
        <v>4.9</v>
      </c>
      <c r="L2528" s="242" t="n">
        <v>912523</v>
      </c>
      <c r="M2528" s="241" t="n">
        <v>1.05</v>
      </c>
      <c r="N2528" s="241" t="n">
        <v>-10.49</v>
      </c>
      <c r="O2528" s="241" t="n">
        <v>-26.49</v>
      </c>
      <c r="P2528" s="241" t="n">
        <v>2.01</v>
      </c>
    </row>
    <row r="2529">
      <c r="A2529" s="282" t="inlineStr">
        <is>
          <t>2016-05-27</t>
        </is>
      </c>
      <c r="B2529" s="240">
        <f>IFERROR(1/P2529-1,B2528)</f>
        <v/>
      </c>
      <c r="C2529" s="240">
        <f>$C$3</f>
        <v/>
      </c>
      <c r="D2529" s="240">
        <f>$D$3</f>
        <v/>
      </c>
      <c r="E2529" s="240">
        <f>$E$3</f>
        <v/>
      </c>
      <c r="F2529" s="241" t="n">
        <v>9.789999999999999</v>
      </c>
      <c r="G2529" s="242" t="n">
        <v>9721193</v>
      </c>
      <c r="H2529" s="241" t="n">
        <v>-0.71</v>
      </c>
      <c r="I2529" s="241" t="n">
        <v>-6.85</v>
      </c>
      <c r="J2529" s="241" t="n">
        <v>-28.17</v>
      </c>
      <c r="K2529" s="241" t="n">
        <v>4.92</v>
      </c>
      <c r="L2529" s="242" t="n">
        <v>1108000</v>
      </c>
      <c r="M2529" s="241" t="n">
        <v>0.6899999999999999</v>
      </c>
      <c r="N2529" s="241" t="n">
        <v>-6.71</v>
      </c>
      <c r="O2529" s="241" t="n">
        <v>-25.98</v>
      </c>
      <c r="P2529" s="241" t="n">
        <v>1.99</v>
      </c>
    </row>
    <row r="2530">
      <c r="A2530" s="282" t="inlineStr">
        <is>
          <t>2016-05-30</t>
        </is>
      </c>
      <c r="B2530" s="240">
        <f>IFERROR(1/P2530-1,B2529)</f>
        <v/>
      </c>
      <c r="C2530" s="240">
        <f>$C$3</f>
        <v/>
      </c>
      <c r="D2530" s="240">
        <f>$D$3</f>
        <v/>
      </c>
      <c r="E2530" s="240">
        <f>$E$3</f>
        <v/>
      </c>
      <c r="F2530" s="241" t="n">
        <v>9.75</v>
      </c>
      <c r="G2530" s="242" t="n">
        <v>6687865</v>
      </c>
      <c r="H2530" s="241" t="n">
        <v>-0.41</v>
      </c>
      <c r="I2530" s="241" t="n">
        <v>-5.61</v>
      </c>
      <c r="J2530" s="241" t="n">
        <v>-28.47</v>
      </c>
      <c r="K2530" s="241" t="n">
        <v>4.89</v>
      </c>
      <c r="L2530" s="242" t="n">
        <v>482600</v>
      </c>
      <c r="M2530" s="241" t="n">
        <v>-1.2</v>
      </c>
      <c r="N2530" s="241" t="n">
        <v>-4.63</v>
      </c>
      <c r="O2530" s="241" t="n">
        <v>-26.87</v>
      </c>
      <c r="P2530" s="241" t="n">
        <v>2</v>
      </c>
    </row>
    <row r="2531">
      <c r="A2531" s="282" t="inlineStr">
        <is>
          <t>2016-05-31</t>
        </is>
      </c>
      <c r="B2531" s="240">
        <f>IFERROR(1/P2531-1,B2530)</f>
        <v/>
      </c>
      <c r="C2531" s="240">
        <f>$C$3</f>
        <v/>
      </c>
      <c r="D2531" s="240">
        <f>$D$3</f>
        <v/>
      </c>
      <c r="E2531" s="240">
        <f>$E$3</f>
        <v/>
      </c>
      <c r="F2531" s="241" t="n">
        <v>10.07</v>
      </c>
      <c r="G2531" s="242" t="n">
        <v>22550859</v>
      </c>
      <c r="H2531" s="241" t="n">
        <v>3.28</v>
      </c>
      <c r="I2531" s="241" t="n">
        <v>-2.52</v>
      </c>
      <c r="J2531" s="241" t="n">
        <v>-26.12</v>
      </c>
      <c r="K2531" s="241" t="n">
        <v>4.99</v>
      </c>
      <c r="L2531" s="242" t="n">
        <v>731600</v>
      </c>
      <c r="M2531" s="241" t="n">
        <v>2.08</v>
      </c>
      <c r="N2531" s="241" t="n">
        <v>-2.64</v>
      </c>
      <c r="O2531" s="241" t="n">
        <v>-25.35</v>
      </c>
      <c r="P2531" s="241" t="n">
        <v>2.02</v>
      </c>
    </row>
    <row r="2532">
      <c r="A2532" s="282" t="inlineStr">
        <is>
          <t>2016-06-01</t>
        </is>
      </c>
      <c r="B2532" s="240">
        <f>IFERROR(1/P2532-1,B2531)</f>
        <v/>
      </c>
      <c r="C2532" s="240">
        <f>$C$3</f>
        <v/>
      </c>
      <c r="D2532" s="240">
        <f>$D$3</f>
        <v/>
      </c>
      <c r="E2532" s="240">
        <f>$E$3</f>
        <v/>
      </c>
      <c r="F2532" s="241" t="n">
        <v>9.98</v>
      </c>
      <c r="G2532" s="242" t="n">
        <v>14377827</v>
      </c>
      <c r="H2532" s="241" t="n">
        <v>-0.89</v>
      </c>
      <c r="I2532" s="241" t="n">
        <v>-3.39</v>
      </c>
      <c r="J2532" s="241" t="n">
        <v>-26.78</v>
      </c>
      <c r="K2532" s="241" t="n">
        <v>5.09</v>
      </c>
      <c r="L2532" s="242" t="n">
        <v>1674892</v>
      </c>
      <c r="M2532" s="241" t="n">
        <v>1.87</v>
      </c>
      <c r="N2532" s="241" t="n">
        <v>-0.83</v>
      </c>
      <c r="O2532" s="241" t="n">
        <v>-23.95</v>
      </c>
      <c r="P2532" s="241" t="n">
        <v>1.96</v>
      </c>
    </row>
    <row r="2533">
      <c r="A2533" s="282" t="inlineStr">
        <is>
          <t>2016-06-02</t>
        </is>
      </c>
      <c r="B2533" s="240">
        <f>IFERROR(1/P2533-1,B2532)</f>
        <v/>
      </c>
      <c r="C2533" s="240">
        <f>$C$3</f>
        <v/>
      </c>
      <c r="D2533" s="240">
        <f>$D$3</f>
        <v/>
      </c>
      <c r="E2533" s="240">
        <f>$E$3</f>
        <v/>
      </c>
      <c r="F2533" s="241" t="n">
        <v>10</v>
      </c>
      <c r="G2533" s="242" t="n">
        <v>10520975</v>
      </c>
      <c r="H2533" s="241" t="n">
        <v>0.2</v>
      </c>
      <c r="I2533" s="241" t="n">
        <v>-3.19</v>
      </c>
      <c r="J2533" s="241" t="n">
        <v>-26.63</v>
      </c>
      <c r="K2533" s="241" t="n">
        <v>5.02</v>
      </c>
      <c r="L2533" s="242" t="n">
        <v>552200</v>
      </c>
      <c r="M2533" s="241" t="n">
        <v>-1</v>
      </c>
      <c r="N2533" s="241" t="n">
        <v>-1.82</v>
      </c>
      <c r="O2533" s="241" t="n">
        <v>-24.71</v>
      </c>
      <c r="P2533" s="241" t="n">
        <v>1.99</v>
      </c>
    </row>
    <row r="2534">
      <c r="A2534" s="282" t="inlineStr">
        <is>
          <t>2016-06-03</t>
        </is>
      </c>
      <c r="B2534" s="240">
        <f>IFERROR(1/P2534-1,B2533)</f>
        <v/>
      </c>
      <c r="C2534" s="240">
        <f>$C$3</f>
        <v/>
      </c>
      <c r="D2534" s="240">
        <f>$D$3</f>
        <v/>
      </c>
      <c r="E2534" s="240">
        <f>$E$3</f>
        <v/>
      </c>
      <c r="F2534" s="241" t="n">
        <v>10.04</v>
      </c>
      <c r="G2534" s="242" t="n">
        <v>14373502</v>
      </c>
      <c r="H2534" s="241" t="n">
        <v>0.4</v>
      </c>
      <c r="I2534" s="241" t="n">
        <v>-2.81</v>
      </c>
      <c r="J2534" s="241" t="n">
        <v>-26.34</v>
      </c>
      <c r="K2534" s="241" t="n">
        <v>5.05</v>
      </c>
      <c r="L2534" s="242" t="n">
        <v>600200</v>
      </c>
      <c r="M2534" s="241" t="n">
        <v>0.34</v>
      </c>
      <c r="N2534" s="241" t="n">
        <v>-1.49</v>
      </c>
      <c r="O2534" s="241" t="n">
        <v>-24.46</v>
      </c>
      <c r="P2534" s="241" t="n">
        <v>1.99</v>
      </c>
    </row>
    <row r="2535">
      <c r="A2535" s="282" t="inlineStr">
        <is>
          <t>2016-06-06</t>
        </is>
      </c>
      <c r="B2535" s="240">
        <f>IFERROR(1/P2535-1,B2534)</f>
        <v/>
      </c>
      <c r="C2535" s="240">
        <f>$C$3</f>
        <v/>
      </c>
      <c r="D2535" s="240">
        <f>$D$3</f>
        <v/>
      </c>
      <c r="E2535" s="240">
        <f>$E$3</f>
        <v/>
      </c>
      <c r="F2535" s="241" t="n">
        <v>9.98</v>
      </c>
      <c r="G2535" s="242" t="n">
        <v>9611094</v>
      </c>
      <c r="H2535" s="241" t="n">
        <v>-0.6</v>
      </c>
      <c r="I2535" s="241" t="n">
        <v>-5.04</v>
      </c>
      <c r="J2535" s="241" t="n">
        <v>-26.78</v>
      </c>
      <c r="K2535" s="241" t="n">
        <v>4.99</v>
      </c>
      <c r="L2535" s="242" t="n">
        <v>530600</v>
      </c>
      <c r="M2535" s="241" t="n">
        <v>0.53</v>
      </c>
      <c r="N2535" s="241" t="n">
        <v>2.6</v>
      </c>
      <c r="O2535" s="241" t="n">
        <v>-24.06</v>
      </c>
      <c r="P2535" s="241" t="n">
        <v>2</v>
      </c>
    </row>
    <row r="2536">
      <c r="A2536" s="282" t="inlineStr">
        <is>
          <t>2016-06-07</t>
        </is>
      </c>
      <c r="B2536" s="240">
        <f>IFERROR(1/P2536-1,B2535)</f>
        <v/>
      </c>
      <c r="C2536" s="240">
        <f>$C$3</f>
        <v/>
      </c>
      <c r="D2536" s="240">
        <f>$D$3</f>
        <v/>
      </c>
      <c r="E2536" s="240">
        <f>$E$3</f>
        <v/>
      </c>
      <c r="F2536" s="241" t="n">
        <v>9.960000000000001</v>
      </c>
      <c r="G2536" s="242" t="n">
        <v>5884369</v>
      </c>
      <c r="H2536" s="241" t="n">
        <v>-0.2</v>
      </c>
      <c r="I2536" s="241" t="n">
        <v>-1.39</v>
      </c>
      <c r="J2536" s="241" t="n">
        <v>-26.93</v>
      </c>
      <c r="K2536" s="241" t="n">
        <v>5.08</v>
      </c>
      <c r="L2536" s="242" t="n">
        <v>637650</v>
      </c>
      <c r="M2536" s="241" t="n">
        <v>1.52</v>
      </c>
      <c r="N2536" s="241" t="n">
        <v>6.9</v>
      </c>
      <c r="O2536" s="241" t="n">
        <v>-22.91</v>
      </c>
      <c r="P2536" s="241" t="n">
        <v>1.96</v>
      </c>
    </row>
    <row r="2537">
      <c r="A2537" s="282" t="inlineStr">
        <is>
          <t>2016-06-08</t>
        </is>
      </c>
      <c r="B2537" s="240">
        <f>IFERROR(1/P2537-1,B2536)</f>
        <v/>
      </c>
      <c r="C2537" s="240">
        <f>$C$3</f>
        <v/>
      </c>
      <c r="D2537" s="240">
        <f>$D$3</f>
        <v/>
      </c>
      <c r="E2537" s="240">
        <f>$E$3</f>
        <v/>
      </c>
      <c r="F2537" s="241" t="n">
        <v>9.94</v>
      </c>
      <c r="G2537" s="242" t="n">
        <v>11081765</v>
      </c>
      <c r="H2537" s="241" t="n">
        <v>-0.2</v>
      </c>
      <c r="I2537" s="241" t="n">
        <v>-1.58</v>
      </c>
      <c r="J2537" s="241" t="n">
        <v>-27.07</v>
      </c>
      <c r="K2537" s="241" t="n">
        <v>5.08</v>
      </c>
      <c r="L2537" s="242" t="n">
        <v>392200</v>
      </c>
      <c r="M2537" s="241" t="n">
        <v>0.17</v>
      </c>
      <c r="N2537" s="241" t="n">
        <v>7.08</v>
      </c>
      <c r="O2537" s="241" t="n">
        <v>-22.78</v>
      </c>
      <c r="P2537" s="241" t="n">
        <v>1.96</v>
      </c>
    </row>
    <row r="2538">
      <c r="A2538" s="282" t="inlineStr">
        <is>
          <t>2016-06-13</t>
        </is>
      </c>
      <c r="B2538" s="240">
        <f>IFERROR(1/P2538-1,B2537)</f>
        <v/>
      </c>
      <c r="C2538" s="240">
        <f>$C$3</f>
        <v/>
      </c>
      <c r="D2538" s="240">
        <f>$D$3</f>
        <v/>
      </c>
      <c r="E2538" s="240">
        <f>$E$3</f>
        <v/>
      </c>
      <c r="F2538" s="241" t="n">
        <v>9.52</v>
      </c>
      <c r="G2538" s="242" t="n">
        <v>16266968</v>
      </c>
      <c r="H2538" s="241" t="n">
        <v>-4.23</v>
      </c>
      <c r="I2538" s="241" t="n">
        <v>-3.45</v>
      </c>
      <c r="J2538" s="241" t="n">
        <v>-30.15</v>
      </c>
      <c r="K2538" s="241" t="n">
        <v>4.8</v>
      </c>
      <c r="L2538" s="242" t="n">
        <v>1766200</v>
      </c>
      <c r="M2538" s="241" t="n">
        <v>-3.08</v>
      </c>
      <c r="N2538" s="241" t="n">
        <v>2.3</v>
      </c>
      <c r="O2538" s="241" t="n">
        <v>-27.39</v>
      </c>
      <c r="P2538" s="241" t="n">
        <v>1.98</v>
      </c>
    </row>
    <row r="2539">
      <c r="A2539" s="282" t="inlineStr">
        <is>
          <t>2016-06-14</t>
        </is>
      </c>
      <c r="B2539" s="240">
        <f>IFERROR(1/P2539-1,B2538)</f>
        <v/>
      </c>
      <c r="C2539" s="240">
        <f>$C$3</f>
        <v/>
      </c>
      <c r="D2539" s="240">
        <f>$D$3</f>
        <v/>
      </c>
      <c r="E2539" s="240">
        <f>$E$3</f>
        <v/>
      </c>
      <c r="F2539" s="241" t="n">
        <v>9.529999999999999</v>
      </c>
      <c r="G2539" s="242" t="n">
        <v>10927772</v>
      </c>
      <c r="H2539" s="241" t="n">
        <v>0.1</v>
      </c>
      <c r="I2539" s="241" t="n">
        <v>-3.05</v>
      </c>
      <c r="J2539" s="241" t="n">
        <v>-30.08</v>
      </c>
      <c r="K2539" s="241" t="n">
        <v>4.8</v>
      </c>
      <c r="L2539" s="242" t="n">
        <v>456800</v>
      </c>
      <c r="M2539" s="241" t="n">
        <v>0</v>
      </c>
      <c r="N2539" s="241" t="n">
        <v>2.85</v>
      </c>
      <c r="O2539" s="241" t="n">
        <v>-27.39</v>
      </c>
      <c r="P2539" s="241" t="n">
        <v>1.99</v>
      </c>
    </row>
    <row r="2540">
      <c r="A2540" s="282" t="inlineStr">
        <is>
          <t>2016-06-15</t>
        </is>
      </c>
      <c r="B2540" s="240">
        <f>IFERROR(1/P2540-1,B2539)</f>
        <v/>
      </c>
      <c r="C2540" s="240">
        <f>$C$3</f>
        <v/>
      </c>
      <c r="D2540" s="240">
        <f>$D$3</f>
        <v/>
      </c>
      <c r="E2540" s="240">
        <f>$E$3</f>
        <v/>
      </c>
      <c r="F2540" s="241" t="n">
        <v>9.699999999999999</v>
      </c>
      <c r="G2540" s="242" t="n">
        <v>15354064</v>
      </c>
      <c r="H2540" s="241" t="n">
        <v>1.78</v>
      </c>
      <c r="I2540" s="241" t="n">
        <v>-1.32</v>
      </c>
      <c r="J2540" s="241" t="n">
        <v>-28.83</v>
      </c>
      <c r="K2540" s="241" t="n">
        <v>4.98</v>
      </c>
      <c r="L2540" s="242" t="n">
        <v>802800</v>
      </c>
      <c r="M2540" s="241" t="n">
        <v>3.53</v>
      </c>
      <c r="N2540" s="241" t="n">
        <v>6.48</v>
      </c>
      <c r="O2540" s="241" t="n">
        <v>-24.83</v>
      </c>
      <c r="P2540" s="241" t="n">
        <v>1.95</v>
      </c>
    </row>
    <row r="2541">
      <c r="A2541" s="282" t="inlineStr">
        <is>
          <t>2016-06-16</t>
        </is>
      </c>
      <c r="B2541" s="240">
        <f>IFERROR(1/P2541-1,B2540)</f>
        <v/>
      </c>
      <c r="C2541" s="240">
        <f>$C$3</f>
        <v/>
      </c>
      <c r="D2541" s="240">
        <f>$D$3</f>
        <v/>
      </c>
      <c r="E2541" s="240">
        <f>$E$3</f>
        <v/>
      </c>
      <c r="F2541" s="241" t="n">
        <v>9.800000000000001</v>
      </c>
      <c r="G2541" s="242" t="n">
        <v>31509738</v>
      </c>
      <c r="H2541" s="241" t="n">
        <v>1.03</v>
      </c>
      <c r="I2541" s="241" t="n">
        <v>-0.31</v>
      </c>
      <c r="J2541" s="241" t="n">
        <v>-28.1</v>
      </c>
      <c r="K2541" s="241" t="n">
        <v>4.84</v>
      </c>
      <c r="L2541" s="242" t="n">
        <v>898455</v>
      </c>
      <c r="M2541" s="241" t="n">
        <v>-2.56</v>
      </c>
      <c r="N2541" s="241" t="n">
        <v>3.75</v>
      </c>
      <c r="O2541" s="241" t="n">
        <v>-26.75</v>
      </c>
      <c r="P2541" s="241" t="n">
        <v>2.03</v>
      </c>
    </row>
    <row r="2542">
      <c r="A2542" s="282" t="inlineStr">
        <is>
          <t>2016-06-17</t>
        </is>
      </c>
      <c r="B2542" s="240">
        <f>IFERROR(1/P2542-1,B2541)</f>
        <v/>
      </c>
      <c r="C2542" s="240">
        <f>$C$3</f>
        <v/>
      </c>
      <c r="D2542" s="240">
        <f>$D$3</f>
        <v/>
      </c>
      <c r="E2542" s="240">
        <f>$E$3</f>
        <v/>
      </c>
      <c r="F2542" s="241" t="n">
        <v>9.74</v>
      </c>
      <c r="G2542" s="242" t="n">
        <v>16399557</v>
      </c>
      <c r="H2542" s="241" t="n">
        <v>-0.61</v>
      </c>
      <c r="I2542" s="241" t="n">
        <v>-1.62</v>
      </c>
      <c r="J2542" s="241" t="n">
        <v>-28.54</v>
      </c>
      <c r="K2542" s="241" t="n">
        <v>4.85</v>
      </c>
      <c r="L2542" s="242" t="n">
        <v>634001</v>
      </c>
      <c r="M2542" s="241" t="n">
        <v>0.18</v>
      </c>
      <c r="N2542" s="241" t="n">
        <v>2.1</v>
      </c>
      <c r="O2542" s="241" t="n">
        <v>-26.63</v>
      </c>
      <c r="P2542" s="241" t="n">
        <v>2.01</v>
      </c>
    </row>
    <row r="2543">
      <c r="A2543" s="282" t="inlineStr">
        <is>
          <t>2016-06-20</t>
        </is>
      </c>
      <c r="B2543" s="240">
        <f>IFERROR(1/P2543-1,B2542)</f>
        <v/>
      </c>
      <c r="C2543" s="240">
        <f>$C$3</f>
        <v/>
      </c>
      <c r="D2543" s="240">
        <f>$D$3</f>
        <v/>
      </c>
      <c r="E2543" s="240">
        <f>$E$3</f>
        <v/>
      </c>
      <c r="F2543" s="241" t="n">
        <v>9.75</v>
      </c>
      <c r="G2543" s="242" t="n">
        <v>10308109</v>
      </c>
      <c r="H2543" s="241" t="n">
        <v>0.1</v>
      </c>
      <c r="I2543" s="241" t="n">
        <v>1.56</v>
      </c>
      <c r="J2543" s="241" t="n">
        <v>-28.47</v>
      </c>
      <c r="K2543" s="241" t="n">
        <v>4.89</v>
      </c>
      <c r="L2543" s="242" t="n">
        <v>320800</v>
      </c>
      <c r="M2543" s="241" t="n">
        <v>0.87</v>
      </c>
      <c r="N2543" s="241" t="n">
        <v>2.63</v>
      </c>
      <c r="O2543" s="241" t="n">
        <v>-25.98</v>
      </c>
      <c r="P2543" s="241" t="n">
        <v>2</v>
      </c>
    </row>
    <row r="2544">
      <c r="A2544" s="282" t="inlineStr">
        <is>
          <t>2016-06-21</t>
        </is>
      </c>
      <c r="B2544" s="240">
        <f>IFERROR(1/P2544-1,B2543)</f>
        <v/>
      </c>
      <c r="C2544" s="240">
        <f>$C$3</f>
        <v/>
      </c>
      <c r="D2544" s="240">
        <f>$D$3</f>
        <v/>
      </c>
      <c r="E2544" s="240">
        <f>$E$3</f>
        <v/>
      </c>
      <c r="F2544" s="241" t="n">
        <v>9.699999999999999</v>
      </c>
      <c r="G2544" s="242" t="n">
        <v>11170026</v>
      </c>
      <c r="H2544" s="241" t="n">
        <v>-0.51</v>
      </c>
      <c r="I2544" s="241" t="n">
        <v>0.62</v>
      </c>
      <c r="J2544" s="241" t="n">
        <v>-28.83</v>
      </c>
      <c r="K2544" s="241" t="n">
        <v>5</v>
      </c>
      <c r="L2544" s="242" t="n">
        <v>1168800</v>
      </c>
      <c r="M2544" s="241" t="n">
        <v>2.43</v>
      </c>
      <c r="N2544" s="241" t="n">
        <v>6.62</v>
      </c>
      <c r="O2544" s="241" t="n">
        <v>-24.19</v>
      </c>
      <c r="P2544" s="241" t="n">
        <v>1.94</v>
      </c>
    </row>
    <row r="2545">
      <c r="A2545" s="282" t="inlineStr">
        <is>
          <t>2016-06-22</t>
        </is>
      </c>
      <c r="B2545" s="240">
        <f>IFERROR(1/P2545-1,B2544)</f>
        <v/>
      </c>
      <c r="C2545" s="240">
        <f>$C$3</f>
        <v/>
      </c>
      <c r="D2545" s="240">
        <f>$D$3</f>
        <v/>
      </c>
      <c r="E2545" s="240">
        <f>$E$3</f>
        <v/>
      </c>
      <c r="F2545" s="241" t="n">
        <v>9.82</v>
      </c>
      <c r="G2545" s="242" t="n">
        <v>11830307</v>
      </c>
      <c r="H2545" s="241" t="n">
        <v>1.24</v>
      </c>
      <c r="I2545" s="241" t="n">
        <v>1.87</v>
      </c>
      <c r="J2545" s="241" t="n">
        <v>-27.95</v>
      </c>
      <c r="K2545" s="241" t="n">
        <v>5.13</v>
      </c>
      <c r="L2545" s="242" t="n">
        <v>1406600</v>
      </c>
      <c r="M2545" s="241" t="n">
        <v>2.2</v>
      </c>
      <c r="N2545" s="241" t="n">
        <v>8.970000000000001</v>
      </c>
      <c r="O2545" s="241" t="n">
        <v>-22.52</v>
      </c>
      <c r="P2545" s="241" t="n">
        <v>1.91</v>
      </c>
    </row>
    <row r="2546">
      <c r="A2546" s="282" t="inlineStr">
        <is>
          <t>2016-06-23</t>
        </is>
      </c>
      <c r="B2546" s="240">
        <f>IFERROR(1/P2546-1,B2545)</f>
        <v/>
      </c>
      <c r="C2546" s="240">
        <f>$C$3</f>
        <v/>
      </c>
      <c r="D2546" s="240">
        <f>$D$3</f>
        <v/>
      </c>
      <c r="E2546" s="240">
        <f>$E$3</f>
        <v/>
      </c>
      <c r="F2546" s="241" t="n">
        <v>9.76</v>
      </c>
      <c r="G2546" s="242" t="n">
        <v>9251052</v>
      </c>
      <c r="H2546" s="241" t="n">
        <v>-0.61</v>
      </c>
      <c r="I2546" s="241" t="n">
        <v>1.24</v>
      </c>
      <c r="J2546" s="241" t="n">
        <v>-28.39</v>
      </c>
      <c r="K2546" s="241" t="n">
        <v>5.07</v>
      </c>
      <c r="L2546" s="242" t="n">
        <v>848600</v>
      </c>
      <c r="M2546" s="241" t="n">
        <v>-0.83</v>
      </c>
      <c r="N2546" s="241" t="n">
        <v>8.07</v>
      </c>
      <c r="O2546" s="241" t="n">
        <v>-23.16</v>
      </c>
      <c r="P2546" s="241" t="n">
        <v>1.93</v>
      </c>
    </row>
    <row r="2547">
      <c r="A2547" s="282" t="inlineStr">
        <is>
          <t>2016-06-24</t>
        </is>
      </c>
      <c r="B2547" s="240">
        <f>IFERROR(1/P2547-1,B2546)</f>
        <v/>
      </c>
      <c r="C2547" s="240">
        <f>$C$3</f>
        <v/>
      </c>
      <c r="D2547" s="240">
        <f>$D$3</f>
        <v/>
      </c>
      <c r="E2547" s="240">
        <f>$E$3</f>
        <v/>
      </c>
      <c r="F2547" s="241" t="n">
        <v>9.619999999999999</v>
      </c>
      <c r="G2547" s="242" t="n">
        <v>15563314</v>
      </c>
      <c r="H2547" s="241" t="n">
        <v>-1.43</v>
      </c>
      <c r="I2547" s="241" t="n">
        <v>-0.93</v>
      </c>
      <c r="J2547" s="241" t="n">
        <v>-29.42</v>
      </c>
      <c r="K2547" s="241" t="n">
        <v>4.99</v>
      </c>
      <c r="L2547" s="242" t="n">
        <v>2158500</v>
      </c>
      <c r="M2547" s="241" t="n">
        <v>-1.84</v>
      </c>
      <c r="N2547" s="241" t="n">
        <v>5.33</v>
      </c>
      <c r="O2547" s="241" t="n">
        <v>-24.57</v>
      </c>
      <c r="P2547" s="241" t="n">
        <v>1.93</v>
      </c>
    </row>
    <row r="2548">
      <c r="A2548" s="282" t="inlineStr">
        <is>
          <t>2016-06-27</t>
        </is>
      </c>
      <c r="B2548" s="240">
        <f>IFERROR(1/P2548-1,B2547)</f>
        <v/>
      </c>
      <c r="C2548" s="240">
        <f>$C$3</f>
        <v/>
      </c>
      <c r="D2548" s="240">
        <f>$D$3</f>
        <v/>
      </c>
      <c r="E2548" s="240">
        <f>$E$3</f>
        <v/>
      </c>
      <c r="F2548" s="241" t="n">
        <v>9.77</v>
      </c>
      <c r="G2548" s="242" t="n">
        <v>10769897</v>
      </c>
      <c r="H2548" s="241" t="n">
        <v>1.56</v>
      </c>
      <c r="I2548" s="241" t="n">
        <v>-0.91</v>
      </c>
      <c r="J2548" s="241" t="n">
        <v>-28.32</v>
      </c>
      <c r="K2548" s="241" t="n">
        <v>5.06</v>
      </c>
      <c r="L2548" s="242" t="n">
        <v>923400</v>
      </c>
      <c r="M2548" s="241" t="n">
        <v>0.68</v>
      </c>
      <c r="N2548" s="241" t="n">
        <v>3.3</v>
      </c>
      <c r="O2548" s="241" t="n">
        <v>-24.06</v>
      </c>
      <c r="P2548" s="241" t="n">
        <v>1.93</v>
      </c>
    </row>
    <row r="2549">
      <c r="A2549" s="282" t="inlineStr">
        <is>
          <t>2016-06-28</t>
        </is>
      </c>
      <c r="B2549" s="240">
        <f>IFERROR(1/P2549-1,B2548)</f>
        <v/>
      </c>
      <c r="C2549" s="240">
        <f>$C$3</f>
        <v/>
      </c>
      <c r="D2549" s="240">
        <f>$D$3</f>
        <v/>
      </c>
      <c r="E2549" s="240">
        <f>$E$3</f>
        <v/>
      </c>
      <c r="F2549" s="241" t="n">
        <v>9.800000000000001</v>
      </c>
      <c r="G2549" s="242" t="n">
        <v>16133913</v>
      </c>
      <c r="H2549" s="241" t="n">
        <v>0.31</v>
      </c>
      <c r="I2549" s="241" t="n">
        <v>0.1</v>
      </c>
      <c r="J2549" s="241" t="n">
        <v>-28.1</v>
      </c>
      <c r="K2549" s="241" t="n">
        <v>5.08</v>
      </c>
      <c r="L2549" s="242" t="n">
        <v>940200</v>
      </c>
      <c r="M2549" s="241" t="n">
        <v>0</v>
      </c>
      <c r="N2549" s="241" t="n">
        <v>2.6</v>
      </c>
      <c r="O2549" s="241" t="n">
        <v>-24.06</v>
      </c>
      <c r="P2549" s="241" t="n">
        <v>1.93</v>
      </c>
    </row>
    <row r="2550">
      <c r="A2550" s="282" t="inlineStr">
        <is>
          <t>2016-06-29</t>
        </is>
      </c>
      <c r="B2550" s="240">
        <f>IFERROR(1/P2550-1,B2549)</f>
        <v/>
      </c>
      <c r="C2550" s="240">
        <f>$C$3</f>
        <v/>
      </c>
      <c r="D2550" s="240">
        <f>$D$3</f>
        <v/>
      </c>
      <c r="E2550" s="240">
        <f>$E$3</f>
        <v/>
      </c>
      <c r="F2550" s="241" t="n">
        <v>9.84</v>
      </c>
      <c r="G2550" s="242" t="n">
        <v>20704413</v>
      </c>
      <c r="H2550" s="241" t="n">
        <v>0.41</v>
      </c>
      <c r="I2550" s="241" t="n">
        <v>0.51</v>
      </c>
      <c r="J2550" s="241" t="n">
        <v>-27.81</v>
      </c>
      <c r="K2550" s="241" t="n">
        <v>5.15</v>
      </c>
      <c r="L2550" s="242" t="n">
        <v>1087790</v>
      </c>
      <c r="M2550" s="241" t="n">
        <v>1.86</v>
      </c>
      <c r="N2550" s="241" t="n">
        <v>4.5</v>
      </c>
      <c r="O2550" s="241" t="n">
        <v>-22.65</v>
      </c>
      <c r="P2550" s="241" t="n">
        <v>1.91</v>
      </c>
    </row>
    <row r="2551">
      <c r="A2551" s="282" t="inlineStr">
        <is>
          <t>2016-06-30</t>
        </is>
      </c>
      <c r="B2551" s="240">
        <f>IFERROR(1/P2551-1,B2550)</f>
        <v/>
      </c>
      <c r="C2551" s="240">
        <f>$C$3</f>
        <v/>
      </c>
      <c r="D2551" s="240">
        <f>$D$3</f>
        <v/>
      </c>
      <c r="E2551" s="240">
        <f>$E$3</f>
        <v/>
      </c>
      <c r="F2551" s="241" t="n">
        <v>9.82</v>
      </c>
      <c r="G2551" s="242" t="n">
        <v>11334255</v>
      </c>
      <c r="H2551" s="241" t="n">
        <v>-0.2</v>
      </c>
      <c r="I2551" s="241" t="n">
        <v>0.31</v>
      </c>
      <c r="J2551" s="241" t="n">
        <v>-27.95</v>
      </c>
      <c r="K2551" s="241" t="n">
        <v>5.19</v>
      </c>
      <c r="L2551" s="242" t="n">
        <v>1470800</v>
      </c>
      <c r="M2551" s="241" t="n">
        <v>0.66</v>
      </c>
      <c r="N2551" s="241" t="n">
        <v>5.2</v>
      </c>
      <c r="O2551" s="241" t="n">
        <v>-22.14</v>
      </c>
      <c r="P2551" s="241" t="n">
        <v>1.89</v>
      </c>
    </row>
    <row r="2552">
      <c r="A2552" s="282" t="inlineStr">
        <is>
          <t>2016-07-01</t>
        </is>
      </c>
      <c r="B2552" s="240">
        <f>IFERROR(1/P2552-1,B2551)</f>
        <v/>
      </c>
      <c r="C2552" s="240">
        <f>$C$3</f>
        <v/>
      </c>
      <c r="D2552" s="240">
        <f>$D$3</f>
        <v/>
      </c>
      <c r="E2552" s="240">
        <f>$E$3</f>
        <v/>
      </c>
      <c r="F2552" s="241" t="n">
        <v>9.779999999999999</v>
      </c>
      <c r="G2552" s="242" t="n">
        <v>9505844</v>
      </c>
      <c r="H2552" s="241" t="n">
        <v>-0.41</v>
      </c>
      <c r="I2552" s="241" t="n">
        <v>-2.88</v>
      </c>
      <c r="J2552" s="241" t="n">
        <v>-28.25</v>
      </c>
      <c r="K2552" s="239" t="inlineStr">
        <is>
          <t>--</t>
        </is>
      </c>
      <c r="L2552" s="239" t="inlineStr">
        <is>
          <t>--</t>
        </is>
      </c>
      <c r="M2552" s="239" t="inlineStr">
        <is>
          <t>--</t>
        </is>
      </c>
      <c r="N2552" s="239" t="inlineStr">
        <is>
          <t>--</t>
        </is>
      </c>
      <c r="O2552" s="239" t="inlineStr">
        <is>
          <t>--</t>
        </is>
      </c>
      <c r="P2552" s="239" t="inlineStr">
        <is>
          <t>--</t>
        </is>
      </c>
    </row>
    <row r="2553">
      <c r="A2553" s="282" t="inlineStr">
        <is>
          <t>2016-07-04</t>
        </is>
      </c>
      <c r="B2553" s="240">
        <f>IFERROR(1/P2553-1,B2552)</f>
        <v/>
      </c>
      <c r="C2553" s="240">
        <f>$C$3</f>
        <v/>
      </c>
      <c r="D2553" s="240">
        <f>$D$3</f>
        <v/>
      </c>
      <c r="E2553" s="240">
        <f>$E$3</f>
        <v/>
      </c>
      <c r="F2553" s="241" t="n">
        <v>9.98</v>
      </c>
      <c r="G2553" s="242" t="n">
        <v>22822534</v>
      </c>
      <c r="H2553" s="241" t="n">
        <v>2.04</v>
      </c>
      <c r="I2553" s="241" t="n">
        <v>-0.6</v>
      </c>
      <c r="J2553" s="241" t="n">
        <v>-26.78</v>
      </c>
      <c r="K2553" s="241" t="n">
        <v>5.25</v>
      </c>
      <c r="L2553" s="242" t="n">
        <v>1332800</v>
      </c>
      <c r="M2553" s="241" t="n">
        <v>0.99</v>
      </c>
      <c r="N2553" s="241" t="n">
        <v>4.1</v>
      </c>
      <c r="O2553" s="241" t="n">
        <v>-21.37</v>
      </c>
      <c r="P2553" s="241" t="n">
        <v>1.9</v>
      </c>
    </row>
    <row r="2554">
      <c r="A2554" s="282" t="inlineStr">
        <is>
          <t>2016-07-05</t>
        </is>
      </c>
      <c r="B2554" s="240">
        <f>IFERROR(1/P2554-1,B2553)</f>
        <v/>
      </c>
      <c r="C2554" s="240">
        <f>$C$3</f>
        <v/>
      </c>
      <c r="D2554" s="240">
        <f>$D$3</f>
        <v/>
      </c>
      <c r="E2554" s="240">
        <f>$E$3</f>
        <v/>
      </c>
      <c r="F2554" s="241" t="n">
        <v>10.21</v>
      </c>
      <c r="G2554" s="242" t="n">
        <v>44471252</v>
      </c>
      <c r="H2554" s="241" t="n">
        <v>2.3</v>
      </c>
      <c r="I2554" s="241" t="n">
        <v>1.69</v>
      </c>
      <c r="J2554" s="241" t="n">
        <v>-25.09</v>
      </c>
      <c r="K2554" s="241" t="n">
        <v>5.16</v>
      </c>
      <c r="L2554" s="242" t="n">
        <v>1674600</v>
      </c>
      <c r="M2554" s="241" t="n">
        <v>-1.96</v>
      </c>
      <c r="N2554" s="241" t="n">
        <v>2.06</v>
      </c>
      <c r="O2554" s="241" t="n">
        <v>-22.91</v>
      </c>
      <c r="P2554" s="241" t="n">
        <v>1.98</v>
      </c>
    </row>
    <row r="2555">
      <c r="A2555" s="282" t="inlineStr">
        <is>
          <t>2016-07-06</t>
        </is>
      </c>
      <c r="B2555" s="240">
        <f>IFERROR(1/P2555-1,B2554)</f>
        <v/>
      </c>
      <c r="C2555" s="240">
        <f>$C$3</f>
        <v/>
      </c>
      <c r="D2555" s="240">
        <f>$D$3</f>
        <v/>
      </c>
      <c r="E2555" s="240">
        <f>$E$3</f>
        <v/>
      </c>
      <c r="F2555" s="241" t="n">
        <v>10.13</v>
      </c>
      <c r="G2555" s="242" t="n">
        <v>22634841</v>
      </c>
      <c r="H2555" s="241" t="n">
        <v>-0.78</v>
      </c>
      <c r="I2555" s="241" t="n">
        <v>0.9</v>
      </c>
      <c r="J2555" s="241" t="n">
        <v>-25.68</v>
      </c>
      <c r="K2555" s="241" t="n">
        <v>5.14</v>
      </c>
      <c r="L2555" s="242" t="n">
        <v>859400</v>
      </c>
      <c r="M2555" s="241" t="n">
        <v>-0.67</v>
      </c>
      <c r="N2555" s="241" t="n">
        <v>1.38</v>
      </c>
      <c r="O2555" s="241" t="n">
        <v>-23.42</v>
      </c>
      <c r="P2555" s="241" t="n">
        <v>1.97</v>
      </c>
    </row>
    <row r="2556">
      <c r="A2556" s="282" t="inlineStr">
        <is>
          <t>2016-07-07</t>
        </is>
      </c>
      <c r="B2556" s="240">
        <f>IFERROR(1/P2556-1,B2555)</f>
        <v/>
      </c>
      <c r="C2556" s="240">
        <f>$C$3</f>
        <v/>
      </c>
      <c r="D2556" s="240">
        <f>$D$3</f>
        <v/>
      </c>
      <c r="E2556" s="240">
        <f>$E$3</f>
        <v/>
      </c>
      <c r="F2556" s="241" t="n">
        <v>10.07</v>
      </c>
      <c r="G2556" s="242" t="n">
        <v>17508365</v>
      </c>
      <c r="H2556" s="241" t="n">
        <v>-0.59</v>
      </c>
      <c r="I2556" s="241" t="n">
        <v>0.9</v>
      </c>
      <c r="J2556" s="241" t="n">
        <v>-26.12</v>
      </c>
      <c r="K2556" s="241" t="n">
        <v>5.17</v>
      </c>
      <c r="L2556" s="242" t="n">
        <v>764400</v>
      </c>
      <c r="M2556" s="241" t="n">
        <v>0.5</v>
      </c>
      <c r="N2556" s="241" t="n">
        <v>1.35</v>
      </c>
      <c r="O2556" s="241" t="n">
        <v>-23.03</v>
      </c>
      <c r="P2556" s="241" t="n">
        <v>1.95</v>
      </c>
    </row>
    <row r="2557">
      <c r="A2557" s="282" t="inlineStr">
        <is>
          <t>2016-07-08</t>
        </is>
      </c>
      <c r="B2557" s="240">
        <f>IFERROR(1/P2557-1,B2556)</f>
        <v/>
      </c>
      <c r="C2557" s="240">
        <f>$C$3</f>
        <v/>
      </c>
      <c r="D2557" s="240">
        <f>$D$3</f>
        <v/>
      </c>
      <c r="E2557" s="240">
        <f>$E$3</f>
        <v/>
      </c>
      <c r="F2557" s="241" t="n">
        <v>10.06</v>
      </c>
      <c r="G2557" s="242" t="n">
        <v>13231593</v>
      </c>
      <c r="H2557" s="241" t="n">
        <v>-0.1</v>
      </c>
      <c r="I2557" s="241" t="n">
        <v>1</v>
      </c>
      <c r="J2557" s="241" t="n">
        <v>-26.19</v>
      </c>
      <c r="K2557" s="241" t="n">
        <v>5.16</v>
      </c>
      <c r="L2557" s="242" t="n">
        <v>577800</v>
      </c>
      <c r="M2557" s="241" t="n">
        <v>-0.17</v>
      </c>
      <c r="N2557" s="241" t="n">
        <v>-0.33</v>
      </c>
      <c r="O2557" s="241" t="n">
        <v>-23.16</v>
      </c>
      <c r="P2557" s="241" t="n">
        <v>1.95</v>
      </c>
    </row>
    <row r="2558">
      <c r="A2558" s="282" t="inlineStr">
        <is>
          <t>2016-07-11</t>
        </is>
      </c>
      <c r="B2558" s="240">
        <f>IFERROR(1/P2558-1,B2557)</f>
        <v/>
      </c>
      <c r="C2558" s="240">
        <f>$C$3</f>
        <v/>
      </c>
      <c r="D2558" s="240">
        <f>$D$3</f>
        <v/>
      </c>
      <c r="E2558" s="240">
        <f>$E$3</f>
        <v/>
      </c>
      <c r="F2558" s="241" t="n">
        <v>10</v>
      </c>
      <c r="G2558" s="242" t="n">
        <v>15837817</v>
      </c>
      <c r="H2558" s="241" t="n">
        <v>-0.6</v>
      </c>
      <c r="I2558" s="241" t="n">
        <v>0.6</v>
      </c>
      <c r="J2558" s="241" t="n">
        <v>-26.63</v>
      </c>
      <c r="K2558" s="241" t="n">
        <v>5.25</v>
      </c>
      <c r="L2558" s="242" t="n">
        <v>778400</v>
      </c>
      <c r="M2558" s="241" t="n">
        <v>1.67</v>
      </c>
      <c r="N2558" s="241" t="n">
        <v>4.28</v>
      </c>
      <c r="O2558" s="241" t="n">
        <v>-21.88</v>
      </c>
      <c r="P2558" s="241" t="n">
        <v>1.91</v>
      </c>
    </row>
    <row r="2559">
      <c r="A2559" s="282" t="inlineStr">
        <is>
          <t>2016-07-12</t>
        </is>
      </c>
      <c r="B2559" s="240">
        <f>IFERROR(1/P2559-1,B2558)</f>
        <v/>
      </c>
      <c r="C2559" s="240">
        <f>$C$3</f>
        <v/>
      </c>
      <c r="D2559" s="240">
        <f>$D$3</f>
        <v/>
      </c>
      <c r="E2559" s="240">
        <f>$E$3</f>
        <v/>
      </c>
      <c r="F2559" s="241" t="n">
        <v>10.15</v>
      </c>
      <c r="G2559" s="242" t="n">
        <v>19399870</v>
      </c>
      <c r="H2559" s="241" t="n">
        <v>1.5</v>
      </c>
      <c r="I2559" s="241" t="n">
        <v>2.11</v>
      </c>
      <c r="J2559" s="241" t="n">
        <v>-25.53</v>
      </c>
      <c r="K2559" s="241" t="n">
        <v>5.27</v>
      </c>
      <c r="L2559" s="242" t="n">
        <v>738200</v>
      </c>
      <c r="M2559" s="241" t="n">
        <v>0.33</v>
      </c>
      <c r="N2559" s="241" t="n">
        <v>4.62</v>
      </c>
      <c r="O2559" s="241" t="n">
        <v>-21.62</v>
      </c>
      <c r="P2559" s="241" t="n">
        <v>1.93</v>
      </c>
    </row>
    <row r="2560">
      <c r="A2560" s="282" t="inlineStr">
        <is>
          <t>2016-07-13</t>
        </is>
      </c>
      <c r="B2560" s="240">
        <f>IFERROR(1/P2560-1,B2559)</f>
        <v/>
      </c>
      <c r="C2560" s="240">
        <f>$C$3</f>
        <v/>
      </c>
      <c r="D2560" s="240">
        <f>$D$3</f>
        <v/>
      </c>
      <c r="E2560" s="240">
        <f>$E$3</f>
        <v/>
      </c>
      <c r="F2560" s="241" t="n">
        <v>10.22</v>
      </c>
      <c r="G2560" s="242" t="n">
        <v>21153640</v>
      </c>
      <c r="H2560" s="241" t="n">
        <v>0.6899999999999999</v>
      </c>
      <c r="I2560" s="241" t="n">
        <v>2.82</v>
      </c>
      <c r="J2560" s="241" t="n">
        <v>-25.02</v>
      </c>
      <c r="K2560" s="241" t="n">
        <v>5.28</v>
      </c>
      <c r="L2560" s="242" t="n">
        <v>953800</v>
      </c>
      <c r="M2560" s="241" t="n">
        <v>0.16</v>
      </c>
      <c r="N2560" s="241" t="n">
        <v>4.79</v>
      </c>
      <c r="O2560" s="241" t="n">
        <v>-21.49</v>
      </c>
      <c r="P2560" s="241" t="n">
        <v>1.94</v>
      </c>
    </row>
    <row r="2561">
      <c r="A2561" s="282" t="inlineStr">
        <is>
          <t>2016-07-14</t>
        </is>
      </c>
      <c r="B2561" s="240">
        <f>IFERROR(1/P2561-1,B2560)</f>
        <v/>
      </c>
      <c r="C2561" s="240">
        <f>$C$3</f>
        <v/>
      </c>
      <c r="D2561" s="240">
        <f>$D$3</f>
        <v/>
      </c>
      <c r="E2561" s="240">
        <f>$E$3</f>
        <v/>
      </c>
      <c r="F2561" s="241" t="n">
        <v>10.16</v>
      </c>
      <c r="G2561" s="242" t="n">
        <v>13587652</v>
      </c>
      <c r="H2561" s="241" t="n">
        <v>-0.59</v>
      </c>
      <c r="I2561" s="241" t="n">
        <v>6.72</v>
      </c>
      <c r="J2561" s="241" t="n">
        <v>-25.46</v>
      </c>
      <c r="K2561" s="241" t="n">
        <v>5.33</v>
      </c>
      <c r="L2561" s="242" t="n">
        <v>933900</v>
      </c>
      <c r="M2561" s="241" t="n">
        <v>1.14</v>
      </c>
      <c r="N2561" s="241" t="n">
        <v>9.359999999999999</v>
      </c>
      <c r="O2561" s="241" t="n">
        <v>-20.6</v>
      </c>
      <c r="P2561" s="241" t="n">
        <v>1.9</v>
      </c>
    </row>
    <row r="2562">
      <c r="A2562" s="282" t="inlineStr">
        <is>
          <t>2016-07-15</t>
        </is>
      </c>
      <c r="B2562" s="240">
        <f>IFERROR(1/P2562-1,B2561)</f>
        <v/>
      </c>
      <c r="C2562" s="240">
        <f>$C$3</f>
        <v/>
      </c>
      <c r="D2562" s="240">
        <f>$D$3</f>
        <v/>
      </c>
      <c r="E2562" s="240">
        <f>$E$3</f>
        <v/>
      </c>
      <c r="F2562" s="241" t="n">
        <v>10.23</v>
      </c>
      <c r="G2562" s="242" t="n">
        <v>16156657</v>
      </c>
      <c r="H2562" s="241" t="n">
        <v>0.6899999999999999</v>
      </c>
      <c r="I2562" s="241" t="n">
        <v>7.35</v>
      </c>
      <c r="J2562" s="241" t="n">
        <v>-24.95</v>
      </c>
      <c r="K2562" s="241" t="n">
        <v>5.34</v>
      </c>
      <c r="L2562" s="242" t="n">
        <v>1007800</v>
      </c>
      <c r="M2562" s="241" t="n">
        <v>0.16</v>
      </c>
      <c r="N2562" s="241" t="n">
        <v>9.539999999999999</v>
      </c>
      <c r="O2562" s="241" t="n">
        <v>-20.47</v>
      </c>
      <c r="P2562" s="241" t="n">
        <v>1.92</v>
      </c>
    </row>
    <row r="2563">
      <c r="A2563" s="282" t="inlineStr">
        <is>
          <t>2016-07-18</t>
        </is>
      </c>
      <c r="B2563" s="240">
        <f>IFERROR(1/P2563-1,B2562)</f>
        <v/>
      </c>
      <c r="C2563" s="240">
        <f>$C$3</f>
        <v/>
      </c>
      <c r="D2563" s="240">
        <f>$D$3</f>
        <v/>
      </c>
      <c r="E2563" s="240">
        <f>$E$3</f>
        <v/>
      </c>
      <c r="F2563" s="241" t="n">
        <v>10.11</v>
      </c>
      <c r="G2563" s="242" t="n">
        <v>15190363</v>
      </c>
      <c r="H2563" s="241" t="n">
        <v>-1.17</v>
      </c>
      <c r="I2563" s="241" t="n">
        <v>3.8</v>
      </c>
      <c r="J2563" s="241" t="n">
        <v>-25.83</v>
      </c>
      <c r="K2563" s="241" t="n">
        <v>5.31</v>
      </c>
      <c r="L2563" s="242" t="n">
        <v>442200</v>
      </c>
      <c r="M2563" s="241" t="n">
        <v>-0.8100000000000001</v>
      </c>
      <c r="N2563" s="241" t="n">
        <v>7.52</v>
      </c>
      <c r="O2563" s="241" t="n">
        <v>-21.11</v>
      </c>
      <c r="P2563" s="241" t="n">
        <v>1.9</v>
      </c>
    </row>
    <row r="2564">
      <c r="A2564" s="282" t="inlineStr">
        <is>
          <t>2016-07-19</t>
        </is>
      </c>
      <c r="B2564" s="240">
        <f>IFERROR(1/P2564-1,B2563)</f>
        <v/>
      </c>
      <c r="C2564" s="240">
        <f>$C$3</f>
        <v/>
      </c>
      <c r="D2564" s="240">
        <f>$D$3</f>
        <v/>
      </c>
      <c r="E2564" s="240">
        <f>$E$3</f>
        <v/>
      </c>
      <c r="F2564" s="241" t="n">
        <v>10.12</v>
      </c>
      <c r="G2564" s="242" t="n">
        <v>9201299</v>
      </c>
      <c r="H2564" s="241" t="n">
        <v>0.1</v>
      </c>
      <c r="I2564" s="241" t="n">
        <v>3.9</v>
      </c>
      <c r="J2564" s="241" t="n">
        <v>-25.75</v>
      </c>
      <c r="K2564" s="241" t="n">
        <v>5.32</v>
      </c>
      <c r="L2564" s="242" t="n">
        <v>589200</v>
      </c>
      <c r="M2564" s="241" t="n">
        <v>0.16</v>
      </c>
      <c r="N2564" s="241" t="n">
        <v>7.69</v>
      </c>
      <c r="O2564" s="241" t="n">
        <v>-20.98</v>
      </c>
      <c r="P2564" s="241" t="n">
        <v>1.9</v>
      </c>
    </row>
    <row r="2565">
      <c r="A2565" s="282" t="inlineStr">
        <is>
          <t>2016-07-20</t>
        </is>
      </c>
      <c r="B2565" s="240">
        <f>IFERROR(1/P2565-1,B2564)</f>
        <v/>
      </c>
      <c r="C2565" s="240">
        <f>$C$3</f>
        <v/>
      </c>
      <c r="D2565" s="240">
        <f>$D$3</f>
        <v/>
      </c>
      <c r="E2565" s="240">
        <f>$E$3</f>
        <v/>
      </c>
      <c r="F2565" s="241" t="n">
        <v>10.09</v>
      </c>
      <c r="G2565" s="242" t="n">
        <v>6890577</v>
      </c>
      <c r="H2565" s="241" t="n">
        <v>-0.3</v>
      </c>
      <c r="I2565" s="241" t="n">
        <v>3.59</v>
      </c>
      <c r="J2565" s="241" t="n">
        <v>-25.97</v>
      </c>
      <c r="K2565" s="241" t="n">
        <v>5.3</v>
      </c>
      <c r="L2565" s="242" t="n">
        <v>357000</v>
      </c>
      <c r="M2565" s="241" t="n">
        <v>-0.32</v>
      </c>
      <c r="N2565" s="241" t="n">
        <v>7.34</v>
      </c>
      <c r="O2565" s="241" t="n">
        <v>-21.24</v>
      </c>
      <c r="P2565" s="241" t="n">
        <v>1.9</v>
      </c>
    </row>
    <row r="2566">
      <c r="A2566" s="282" t="inlineStr">
        <is>
          <t>2016-07-21</t>
        </is>
      </c>
      <c r="B2566" s="240">
        <f>IFERROR(1/P2566-1,B2565)</f>
        <v/>
      </c>
      <c r="C2566" s="240">
        <f>$C$3</f>
        <v/>
      </c>
      <c r="D2566" s="240">
        <f>$D$3</f>
        <v/>
      </c>
      <c r="E2566" s="240">
        <f>$E$3</f>
        <v/>
      </c>
      <c r="F2566" s="241" t="n">
        <v>10.12</v>
      </c>
      <c r="G2566" s="242" t="n">
        <v>12204399</v>
      </c>
      <c r="H2566" s="241" t="n">
        <v>0.3</v>
      </c>
      <c r="I2566" s="241" t="n">
        <v>3.79</v>
      </c>
      <c r="J2566" s="241" t="n">
        <v>-25.75</v>
      </c>
      <c r="K2566" s="241" t="n">
        <v>5.29</v>
      </c>
      <c r="L2566" s="242" t="n">
        <v>676200</v>
      </c>
      <c r="M2566" s="241" t="n">
        <v>-0.16</v>
      </c>
      <c r="N2566" s="241" t="n">
        <v>6.24</v>
      </c>
      <c r="O2566" s="241" t="n">
        <v>-21.37</v>
      </c>
      <c r="P2566" s="241" t="n">
        <v>1.91</v>
      </c>
    </row>
    <row r="2567">
      <c r="A2567" s="282" t="inlineStr">
        <is>
          <t>2016-07-22</t>
        </is>
      </c>
      <c r="B2567" s="240">
        <f>IFERROR(1/P2567-1,B2566)</f>
        <v/>
      </c>
      <c r="C2567" s="240">
        <f>$C$3</f>
        <v/>
      </c>
      <c r="D2567" s="240">
        <f>$D$3</f>
        <v/>
      </c>
      <c r="E2567" s="240">
        <f>$E$3</f>
        <v/>
      </c>
      <c r="F2567" s="241" t="n">
        <v>10.03</v>
      </c>
      <c r="G2567" s="242" t="n">
        <v>9096753</v>
      </c>
      <c r="H2567" s="241" t="n">
        <v>-0.3</v>
      </c>
      <c r="I2567" s="241" t="n">
        <v>4.02</v>
      </c>
      <c r="J2567" s="241" t="n">
        <v>-25.97</v>
      </c>
      <c r="K2567" s="241" t="n">
        <v>5.23</v>
      </c>
      <c r="L2567" s="242" t="n">
        <v>929999</v>
      </c>
      <c r="M2567" s="241" t="n">
        <v>-0.65</v>
      </c>
      <c r="N2567" s="241" t="n">
        <v>3.05</v>
      </c>
      <c r="O2567" s="241" t="n">
        <v>-21.88</v>
      </c>
      <c r="P2567" s="241" t="n">
        <v>1.92</v>
      </c>
    </row>
    <row r="2568">
      <c r="A2568" s="282" t="inlineStr">
        <is>
          <t>2016-07-25</t>
        </is>
      </c>
      <c r="B2568" s="240">
        <f>IFERROR(1/P2568-1,B2567)</f>
        <v/>
      </c>
      <c r="C2568" s="240">
        <f>$C$3</f>
        <v/>
      </c>
      <c r="D2568" s="240">
        <f>$D$3</f>
        <v/>
      </c>
      <c r="E2568" s="240">
        <f>$E$3</f>
        <v/>
      </c>
      <c r="F2568" s="241" t="n">
        <v>10.21</v>
      </c>
      <c r="G2568" s="242" t="n">
        <v>23059881</v>
      </c>
      <c r="H2568" s="241" t="n">
        <v>1.79</v>
      </c>
      <c r="I2568" s="241" t="n">
        <v>6.77</v>
      </c>
      <c r="J2568" s="241" t="n">
        <v>-24.64</v>
      </c>
      <c r="K2568" s="241" t="n">
        <v>5.33</v>
      </c>
      <c r="L2568" s="242" t="n">
        <v>904600</v>
      </c>
      <c r="M2568" s="241" t="n">
        <v>1.48</v>
      </c>
      <c r="N2568" s="241" t="n">
        <v>5.1</v>
      </c>
      <c r="O2568" s="241" t="n">
        <v>-20.72</v>
      </c>
      <c r="P2568" s="241" t="n">
        <v>1.92</v>
      </c>
    </row>
    <row r="2569">
      <c r="A2569" s="282" t="inlineStr">
        <is>
          <t>2016-07-26</t>
        </is>
      </c>
      <c r="B2569" s="240">
        <f>IFERROR(1/P2569-1,B2568)</f>
        <v/>
      </c>
      <c r="C2569" s="240">
        <f>$C$3</f>
        <v/>
      </c>
      <c r="D2569" s="240">
        <f>$D$3</f>
        <v/>
      </c>
      <c r="E2569" s="240">
        <f>$E$3</f>
        <v/>
      </c>
      <c r="F2569" s="241" t="n">
        <v>10.23</v>
      </c>
      <c r="G2569" s="242" t="n">
        <v>14483502</v>
      </c>
      <c r="H2569" s="241" t="n">
        <v>0.2</v>
      </c>
      <c r="I2569" s="241" t="n">
        <v>6.98</v>
      </c>
      <c r="J2569" s="241" t="n">
        <v>-24.5</v>
      </c>
      <c r="K2569" s="241" t="n">
        <v>5.4</v>
      </c>
      <c r="L2569" s="242" t="n">
        <v>1500400</v>
      </c>
      <c r="M2569" s="241" t="n">
        <v>1.46</v>
      </c>
      <c r="N2569" s="241" t="n">
        <v>6.63</v>
      </c>
      <c r="O2569" s="241" t="n">
        <v>-19.57</v>
      </c>
      <c r="P2569" s="241" t="n">
        <v>1.9</v>
      </c>
    </row>
    <row r="2570">
      <c r="A2570" s="282" t="inlineStr">
        <is>
          <t>2016-07-27</t>
        </is>
      </c>
      <c r="B2570" s="240">
        <f>IFERROR(1/P2570-1,B2569)</f>
        <v/>
      </c>
      <c r="C2570" s="240">
        <f>$C$3</f>
        <v/>
      </c>
      <c r="D2570" s="240">
        <f>$D$3</f>
        <v/>
      </c>
      <c r="E2570" s="240">
        <f>$E$3</f>
        <v/>
      </c>
      <c r="F2570" s="241" t="n">
        <v>9.9</v>
      </c>
      <c r="G2570" s="242" t="n">
        <v>20943958</v>
      </c>
      <c r="H2570" s="241" t="n">
        <v>-3.23</v>
      </c>
      <c r="I2570" s="241" t="n">
        <v>3.52</v>
      </c>
      <c r="J2570" s="241" t="n">
        <v>-26.93</v>
      </c>
      <c r="K2570" s="241" t="n">
        <v>5.34</v>
      </c>
      <c r="L2570" s="242" t="n">
        <v>2344200</v>
      </c>
      <c r="M2570" s="241" t="n">
        <v>-0.96</v>
      </c>
      <c r="N2570" s="241" t="n">
        <v>5.61</v>
      </c>
      <c r="O2570" s="241" t="n">
        <v>-20.34</v>
      </c>
      <c r="P2570" s="241" t="n">
        <v>1.85</v>
      </c>
    </row>
    <row r="2571">
      <c r="A2571" s="282" t="inlineStr">
        <is>
          <t>2016-07-28</t>
        </is>
      </c>
      <c r="B2571" s="240">
        <f>IFERROR(1/P2571-1,B2570)</f>
        <v/>
      </c>
      <c r="C2571" s="240">
        <f>$C$3</f>
        <v/>
      </c>
      <c r="D2571" s="240">
        <f>$D$3</f>
        <v/>
      </c>
      <c r="E2571" s="240">
        <f>$E$3</f>
        <v/>
      </c>
      <c r="F2571" s="241" t="n">
        <v>9.98</v>
      </c>
      <c r="G2571" s="242" t="n">
        <v>17059153</v>
      </c>
      <c r="H2571" s="241" t="n">
        <v>0.8100000000000001</v>
      </c>
      <c r="I2571" s="241" t="n">
        <v>2.76</v>
      </c>
      <c r="J2571" s="241" t="n">
        <v>-26.34</v>
      </c>
      <c r="K2571" s="241" t="n">
        <v>5.37</v>
      </c>
      <c r="L2571" s="242" t="n">
        <v>1078000</v>
      </c>
      <c r="M2571" s="241" t="n">
        <v>0.8100000000000001</v>
      </c>
      <c r="N2571" s="241" t="n">
        <v>5.74</v>
      </c>
      <c r="O2571" s="241" t="n">
        <v>-19.7</v>
      </c>
      <c r="P2571" s="241" t="n">
        <v>1.86</v>
      </c>
    </row>
    <row r="2572">
      <c r="A2572" s="282" t="inlineStr">
        <is>
          <t>2016-07-29</t>
        </is>
      </c>
      <c r="B2572" s="240">
        <f>IFERROR(1/P2572-1,B2571)</f>
        <v/>
      </c>
      <c r="C2572" s="240">
        <f>$C$3</f>
        <v/>
      </c>
      <c r="D2572" s="240">
        <f>$D$3</f>
        <v/>
      </c>
      <c r="E2572" s="240">
        <f>$E$3</f>
        <v/>
      </c>
      <c r="F2572" s="241" t="n">
        <v>9.869999999999999</v>
      </c>
      <c r="G2572" s="242" t="n">
        <v>8389372</v>
      </c>
      <c r="H2572" s="241" t="n">
        <v>-1.1</v>
      </c>
      <c r="I2572" s="241" t="n">
        <v>1.31</v>
      </c>
      <c r="J2572" s="241" t="n">
        <v>-27.15</v>
      </c>
      <c r="K2572" s="241" t="n">
        <v>5.27</v>
      </c>
      <c r="L2572" s="242" t="n">
        <v>1672975</v>
      </c>
      <c r="M2572" s="241" t="n">
        <v>-1.92</v>
      </c>
      <c r="N2572" s="241" t="n">
        <v>3.72</v>
      </c>
      <c r="O2572" s="241" t="n">
        <v>-21.24</v>
      </c>
      <c r="P2572" s="241" t="n">
        <v>1.87</v>
      </c>
    </row>
    <row r="2573">
      <c r="A2573" s="282" t="inlineStr">
        <is>
          <t>2016-08-01</t>
        </is>
      </c>
      <c r="B2573" s="240">
        <f>IFERROR(1/P2573-1,B2572)</f>
        <v/>
      </c>
      <c r="C2573" s="240">
        <f>$C$3</f>
        <v/>
      </c>
      <c r="D2573" s="240">
        <f>$D$3</f>
        <v/>
      </c>
      <c r="E2573" s="240">
        <f>$E$3</f>
        <v/>
      </c>
      <c r="F2573" s="241" t="n">
        <v>9.710000000000001</v>
      </c>
      <c r="G2573" s="242" t="n">
        <v>9270805</v>
      </c>
      <c r="H2573" s="241" t="n">
        <v>-1.62</v>
      </c>
      <c r="I2573" s="241" t="n">
        <v>-0.53</v>
      </c>
      <c r="J2573" s="241" t="n">
        <v>-28.34</v>
      </c>
      <c r="K2573" s="241" t="n">
        <v>5.28</v>
      </c>
      <c r="L2573" s="242" t="n">
        <v>783200</v>
      </c>
      <c r="M2573" s="241" t="n">
        <v>0.65</v>
      </c>
      <c r="N2573" s="241" t="n">
        <v>1.81</v>
      </c>
      <c r="O2573" s="241" t="n">
        <v>-20.72</v>
      </c>
      <c r="P2573" s="241" t="n">
        <v>1.84</v>
      </c>
    </row>
    <row r="2574">
      <c r="A2574" s="282" t="inlineStr">
        <is>
          <t>2016-08-02</t>
        </is>
      </c>
      <c r="B2574" s="240">
        <f>IFERROR(1/P2574-1,B2573)</f>
        <v/>
      </c>
      <c r="C2574" s="240">
        <f>$C$3</f>
        <v/>
      </c>
      <c r="D2574" s="240">
        <f>$D$3</f>
        <v/>
      </c>
      <c r="E2574" s="240">
        <f>$E$3</f>
        <v/>
      </c>
      <c r="F2574" s="241" t="n">
        <v>9.81</v>
      </c>
      <c r="G2574" s="242" t="n">
        <v>5548170</v>
      </c>
      <c r="H2574" s="241" t="n">
        <v>1.03</v>
      </c>
      <c r="I2574" s="241" t="n">
        <v>0.91</v>
      </c>
      <c r="J2574" s="241" t="n">
        <v>-27.6</v>
      </c>
      <c r="K2574" s="239" t="inlineStr">
        <is>
          <t>--</t>
        </is>
      </c>
      <c r="L2574" s="239" t="inlineStr">
        <is>
          <t>--</t>
        </is>
      </c>
      <c r="M2574" s="239" t="inlineStr">
        <is>
          <t>--</t>
        </is>
      </c>
      <c r="N2574" s="239" t="inlineStr">
        <is>
          <t>--</t>
        </is>
      </c>
      <c r="O2574" s="239" t="inlineStr">
        <is>
          <t>--</t>
        </is>
      </c>
      <c r="P2574" s="239" t="inlineStr">
        <is>
          <t>--</t>
        </is>
      </c>
    </row>
    <row r="2575">
      <c r="A2575" s="282" t="inlineStr">
        <is>
          <t>2016-08-03</t>
        </is>
      </c>
      <c r="B2575" s="240">
        <f>IFERROR(1/P2575-1,B2574)</f>
        <v/>
      </c>
      <c r="C2575" s="240">
        <f>$C$3</f>
        <v/>
      </c>
      <c r="D2575" s="240">
        <f>$D$3</f>
        <v/>
      </c>
      <c r="E2575" s="240">
        <f>$E$3</f>
        <v/>
      </c>
      <c r="F2575" s="241" t="n">
        <v>9.85</v>
      </c>
      <c r="G2575" s="242" t="n">
        <v>7968069</v>
      </c>
      <c r="H2575" s="241" t="n">
        <v>0.41</v>
      </c>
      <c r="I2575" s="241" t="n">
        <v>1.32</v>
      </c>
      <c r="J2575" s="241" t="n">
        <v>-27.3</v>
      </c>
      <c r="K2575" s="241" t="n">
        <v>5.17</v>
      </c>
      <c r="L2575" s="242" t="n">
        <v>757800</v>
      </c>
      <c r="M2575" s="241" t="n">
        <v>-1.94</v>
      </c>
      <c r="N2575" s="241" t="n">
        <v>-0.16</v>
      </c>
      <c r="O2575" s="241" t="n">
        <v>-22.26</v>
      </c>
      <c r="P2575" s="241" t="n">
        <v>1.91</v>
      </c>
    </row>
    <row r="2576">
      <c r="A2576" s="282" t="inlineStr">
        <is>
          <t>2016-08-04</t>
        </is>
      </c>
      <c r="B2576" s="240">
        <f>IFERROR(1/P2576-1,B2575)</f>
        <v/>
      </c>
      <c r="C2576" s="240">
        <f>$C$3</f>
        <v/>
      </c>
      <c r="D2576" s="240">
        <f>$D$3</f>
        <v/>
      </c>
      <c r="E2576" s="240">
        <f>$E$3</f>
        <v/>
      </c>
      <c r="F2576" s="241" t="n">
        <v>9.710000000000001</v>
      </c>
      <c r="G2576" s="242" t="n">
        <v>16318115</v>
      </c>
      <c r="H2576" s="241" t="n">
        <v>-1.42</v>
      </c>
      <c r="I2576" s="241" t="n">
        <v>-0.12</v>
      </c>
      <c r="J2576" s="241" t="n">
        <v>-28.34</v>
      </c>
      <c r="K2576" s="241" t="n">
        <v>5.14</v>
      </c>
      <c r="L2576" s="242" t="n">
        <v>1612200</v>
      </c>
      <c r="M2576" s="241" t="n">
        <v>-0.99</v>
      </c>
      <c r="N2576" s="241" t="n">
        <v>-1.15</v>
      </c>
      <c r="O2576" s="241" t="n">
        <v>-23.03</v>
      </c>
      <c r="P2576" s="241" t="n">
        <v>1.89</v>
      </c>
    </row>
    <row r="2577">
      <c r="A2577" s="282" t="inlineStr">
        <is>
          <t>2016-08-05</t>
        </is>
      </c>
      <c r="B2577" s="240">
        <f>IFERROR(1/P2577-1,B2576)</f>
        <v/>
      </c>
      <c r="C2577" s="240">
        <f>$C$3</f>
        <v/>
      </c>
      <c r="D2577" s="240">
        <f>$D$3</f>
        <v/>
      </c>
      <c r="E2577" s="240">
        <f>$E$3</f>
        <v/>
      </c>
      <c r="F2577" s="241" t="n">
        <v>9.710000000000001</v>
      </c>
      <c r="G2577" s="242" t="n">
        <v>8862650</v>
      </c>
      <c r="H2577" s="241" t="n">
        <v>0</v>
      </c>
      <c r="I2577" s="241" t="n">
        <v>-2.13</v>
      </c>
      <c r="J2577" s="241" t="n">
        <v>-28.34</v>
      </c>
      <c r="K2577" s="241" t="n">
        <v>5.16</v>
      </c>
      <c r="L2577" s="242" t="n">
        <v>1203012</v>
      </c>
      <c r="M2577" s="241" t="n">
        <v>0.5</v>
      </c>
      <c r="N2577" s="241" t="n">
        <v>-1.63</v>
      </c>
      <c r="O2577" s="241" t="n">
        <v>-22.65</v>
      </c>
      <c r="P2577" s="241" t="n">
        <v>1.88</v>
      </c>
    </row>
    <row r="2578">
      <c r="A2578" s="282" t="inlineStr">
        <is>
          <t>2016-08-08</t>
        </is>
      </c>
      <c r="B2578" s="240">
        <f>IFERROR(1/P2578-1,B2577)</f>
        <v/>
      </c>
      <c r="C2578" s="240">
        <f>$C$3</f>
        <v/>
      </c>
      <c r="D2578" s="240">
        <f>$D$3</f>
        <v/>
      </c>
      <c r="E2578" s="240">
        <f>$E$3</f>
        <v/>
      </c>
      <c r="F2578" s="241" t="n">
        <v>9.880000000000001</v>
      </c>
      <c r="G2578" s="242" t="n">
        <v>12317877</v>
      </c>
      <c r="H2578" s="241" t="n">
        <v>1.75</v>
      </c>
      <c r="I2578" s="241" t="n">
        <v>-1.3</v>
      </c>
      <c r="J2578" s="241" t="n">
        <v>-27.08</v>
      </c>
      <c r="K2578" s="241" t="n">
        <v>5.24</v>
      </c>
      <c r="L2578" s="242" t="n">
        <v>926800</v>
      </c>
      <c r="M2578" s="241" t="n">
        <v>1.16</v>
      </c>
      <c r="N2578" s="241" t="n">
        <v>1.67</v>
      </c>
      <c r="O2578" s="241" t="n">
        <v>-21.75</v>
      </c>
      <c r="P2578" s="241" t="n">
        <v>1.89</v>
      </c>
    </row>
    <row r="2579">
      <c r="A2579" s="282" t="inlineStr">
        <is>
          <t>2016-08-09</t>
        </is>
      </c>
      <c r="B2579" s="240">
        <f>IFERROR(1/P2579-1,B2578)</f>
        <v/>
      </c>
      <c r="C2579" s="240">
        <f>$C$3</f>
        <v/>
      </c>
      <c r="D2579" s="240">
        <f>$D$3</f>
        <v/>
      </c>
      <c r="E2579" s="240">
        <f>$E$3</f>
        <v/>
      </c>
      <c r="F2579" s="241" t="n">
        <v>9.890000000000001</v>
      </c>
      <c r="G2579" s="242" t="n">
        <v>8482829</v>
      </c>
      <c r="H2579" s="241" t="n">
        <v>0.1</v>
      </c>
      <c r="I2579" s="241" t="n">
        <v>-1.1</v>
      </c>
      <c r="J2579" s="241" t="n">
        <v>-27.01</v>
      </c>
      <c r="K2579" s="241" t="n">
        <v>5.28</v>
      </c>
      <c r="L2579" s="242" t="n">
        <v>678800</v>
      </c>
      <c r="M2579" s="241" t="n">
        <v>0.82</v>
      </c>
      <c r="N2579" s="241" t="n">
        <v>2.67</v>
      </c>
      <c r="O2579" s="241" t="n">
        <v>-21.11</v>
      </c>
      <c r="P2579" s="241" t="n">
        <v>1.87</v>
      </c>
    </row>
    <row r="2580">
      <c r="A2580" s="282" t="inlineStr">
        <is>
          <t>2016-08-10</t>
        </is>
      </c>
      <c r="B2580" s="240">
        <f>IFERROR(1/P2580-1,B2579)</f>
        <v/>
      </c>
      <c r="C2580" s="240">
        <f>$C$3</f>
        <v/>
      </c>
      <c r="D2580" s="240">
        <f>$D$3</f>
        <v/>
      </c>
      <c r="E2580" s="240">
        <f>$E$3</f>
        <v/>
      </c>
      <c r="F2580" s="241" t="n">
        <v>9.869999999999999</v>
      </c>
      <c r="G2580" s="242" t="n">
        <v>7398177</v>
      </c>
      <c r="H2580" s="241" t="n">
        <v>-0.2</v>
      </c>
      <c r="I2580" s="241" t="n">
        <v>-1.3</v>
      </c>
      <c r="J2580" s="241" t="n">
        <v>-27.15</v>
      </c>
      <c r="K2580" s="241" t="n">
        <v>5.2</v>
      </c>
      <c r="L2580" s="242" t="n">
        <v>631365</v>
      </c>
      <c r="M2580" s="241" t="n">
        <v>-1.46</v>
      </c>
      <c r="N2580" s="241" t="n">
        <v>1.17</v>
      </c>
      <c r="O2580" s="241" t="n">
        <v>-22.26</v>
      </c>
      <c r="P2580" s="241" t="n">
        <v>1.9</v>
      </c>
    </row>
    <row r="2581">
      <c r="A2581" s="282" t="inlineStr">
        <is>
          <t>2016-08-11</t>
        </is>
      </c>
      <c r="B2581" s="240">
        <f>IFERROR(1/P2581-1,B2580)</f>
        <v/>
      </c>
      <c r="C2581" s="240">
        <f>$C$3</f>
        <v/>
      </c>
      <c r="D2581" s="240">
        <f>$D$3</f>
        <v/>
      </c>
      <c r="E2581" s="240">
        <f>$E$3</f>
        <v/>
      </c>
      <c r="F2581" s="241" t="n">
        <v>9.76</v>
      </c>
      <c r="G2581" s="242" t="n">
        <v>9008743</v>
      </c>
      <c r="H2581" s="241" t="n">
        <v>-1.11</v>
      </c>
      <c r="I2581" s="241" t="n">
        <v>-2.4</v>
      </c>
      <c r="J2581" s="241" t="n">
        <v>-27.97</v>
      </c>
      <c r="K2581" s="241" t="n">
        <v>5.22</v>
      </c>
      <c r="L2581" s="242" t="n">
        <v>743180</v>
      </c>
      <c r="M2581" s="241" t="n">
        <v>0.83</v>
      </c>
      <c r="N2581" s="241" t="n">
        <v>2</v>
      </c>
      <c r="O2581" s="241" t="n">
        <v>-21.62</v>
      </c>
      <c r="P2581" s="241" t="n">
        <v>1.87</v>
      </c>
    </row>
    <row r="2582">
      <c r="A2582" s="282" t="inlineStr">
        <is>
          <t>2016-08-12</t>
        </is>
      </c>
      <c r="B2582" s="240">
        <f>IFERROR(1/P2582-1,B2581)</f>
        <v/>
      </c>
      <c r="C2582" s="240">
        <f>$C$3</f>
        <v/>
      </c>
      <c r="D2582" s="240">
        <f>$D$3</f>
        <v/>
      </c>
      <c r="E2582" s="240">
        <f>$E$3</f>
        <v/>
      </c>
      <c r="F2582" s="241" t="n">
        <v>9.91</v>
      </c>
      <c r="G2582" s="242" t="n">
        <v>9739430</v>
      </c>
      <c r="H2582" s="241" t="n">
        <v>1.54</v>
      </c>
      <c r="I2582" s="241" t="n">
        <v>-0.31</v>
      </c>
      <c r="J2582" s="241" t="n">
        <v>-26.86</v>
      </c>
      <c r="K2582" s="241" t="n">
        <v>5.33</v>
      </c>
      <c r="L2582" s="242" t="n">
        <v>2198200</v>
      </c>
      <c r="M2582" s="241" t="n">
        <v>1.64</v>
      </c>
      <c r="N2582" s="241" t="n">
        <v>1.97</v>
      </c>
      <c r="O2582" s="241" t="n">
        <v>-20.34</v>
      </c>
      <c r="P2582" s="241" t="n">
        <v>1.86</v>
      </c>
    </row>
    <row r="2583">
      <c r="A2583" s="282" t="inlineStr">
        <is>
          <t>2016-08-15</t>
        </is>
      </c>
      <c r="B2583" s="240">
        <f>IFERROR(1/P2583-1,B2582)</f>
        <v/>
      </c>
      <c r="C2583" s="240">
        <f>$C$3</f>
        <v/>
      </c>
      <c r="D2583" s="240">
        <f>$D$3</f>
        <v/>
      </c>
      <c r="E2583" s="240">
        <f>$E$3</f>
        <v/>
      </c>
      <c r="F2583" s="241" t="n">
        <v>10.07</v>
      </c>
      <c r="G2583" s="242" t="n">
        <v>19505180</v>
      </c>
      <c r="H2583" s="241" t="n">
        <v>1.61</v>
      </c>
      <c r="I2583" s="241" t="n">
        <v>-0.29</v>
      </c>
      <c r="J2583" s="241" t="n">
        <v>-25.68</v>
      </c>
      <c r="K2583" s="241" t="n">
        <v>5.48</v>
      </c>
      <c r="L2583" s="242" t="n">
        <v>2768800</v>
      </c>
      <c r="M2583" s="241" t="n">
        <v>3.06</v>
      </c>
      <c r="N2583" s="241" t="n">
        <v>3.39</v>
      </c>
      <c r="O2583" s="241" t="n">
        <v>-17.9</v>
      </c>
      <c r="P2583" s="241" t="n">
        <v>1.84</v>
      </c>
    </row>
    <row r="2584">
      <c r="A2584" s="282" t="inlineStr">
        <is>
          <t>2016-08-16</t>
        </is>
      </c>
      <c r="B2584" s="240">
        <f>IFERROR(1/P2584-1,B2583)</f>
        <v/>
      </c>
      <c r="C2584" s="240">
        <f>$C$3</f>
        <v/>
      </c>
      <c r="D2584" s="240">
        <f>$D$3</f>
        <v/>
      </c>
      <c r="E2584" s="240">
        <f>$E$3</f>
        <v/>
      </c>
      <c r="F2584" s="241" t="n">
        <v>10.1</v>
      </c>
      <c r="G2584" s="242" t="n">
        <v>20444576</v>
      </c>
      <c r="H2584" s="241" t="n">
        <v>0.3</v>
      </c>
      <c r="I2584" s="241" t="n">
        <v>-0.68</v>
      </c>
      <c r="J2584" s="241" t="n">
        <v>-25.46</v>
      </c>
      <c r="K2584" s="241" t="n">
        <v>5.45</v>
      </c>
      <c r="L2584" s="242" t="n">
        <v>1847600</v>
      </c>
      <c r="M2584" s="241" t="n">
        <v>-0.47</v>
      </c>
      <c r="N2584" s="241" t="n">
        <v>2.74</v>
      </c>
      <c r="O2584" s="241" t="n">
        <v>-18.29</v>
      </c>
      <c r="P2584" s="241" t="n">
        <v>1.85</v>
      </c>
    </row>
    <row r="2585">
      <c r="A2585" s="282" t="inlineStr">
        <is>
          <t>2016-08-17</t>
        </is>
      </c>
      <c r="B2585" s="240">
        <f>IFERROR(1/P2585-1,B2584)</f>
        <v/>
      </c>
      <c r="C2585" s="240">
        <f>$C$3</f>
        <v/>
      </c>
      <c r="D2585" s="240">
        <f>$D$3</f>
        <v/>
      </c>
      <c r="E2585" s="240">
        <f>$E$3</f>
        <v/>
      </c>
      <c r="F2585" s="241" t="n">
        <v>10.17</v>
      </c>
      <c r="G2585" s="242" t="n">
        <v>18310226</v>
      </c>
      <c r="H2585" s="241" t="n">
        <v>0.6899999999999999</v>
      </c>
      <c r="I2585" s="241" t="n">
        <v>0.01</v>
      </c>
      <c r="J2585" s="241" t="n">
        <v>-24.94</v>
      </c>
      <c r="K2585" s="241" t="n">
        <v>5.41</v>
      </c>
      <c r="L2585" s="242" t="n">
        <v>2091900</v>
      </c>
      <c r="M2585" s="241" t="n">
        <v>-0.31</v>
      </c>
      <c r="N2585" s="241" t="n">
        <v>2.42</v>
      </c>
      <c r="O2585" s="241" t="n">
        <v>-18.54</v>
      </c>
      <c r="P2585" s="241" t="n">
        <v>1.88</v>
      </c>
    </row>
    <row r="2586">
      <c r="A2586" s="282" t="inlineStr">
        <is>
          <t>2016-08-18</t>
        </is>
      </c>
      <c r="B2586" s="240">
        <f>IFERROR(1/P2586-1,B2585)</f>
        <v/>
      </c>
      <c r="C2586" s="240">
        <f>$C$3</f>
        <v/>
      </c>
      <c r="D2586" s="240">
        <f>$D$3</f>
        <v/>
      </c>
      <c r="E2586" s="240">
        <f>$E$3</f>
        <v/>
      </c>
      <c r="F2586" s="241" t="n">
        <v>10.1</v>
      </c>
      <c r="G2586" s="242" t="n">
        <v>11667990</v>
      </c>
      <c r="H2586" s="241" t="n">
        <v>-0.6899999999999999</v>
      </c>
      <c r="I2586" s="241" t="n">
        <v>-0.68</v>
      </c>
      <c r="J2586" s="241" t="n">
        <v>-25.46</v>
      </c>
      <c r="K2586" s="241" t="n">
        <v>5.46</v>
      </c>
      <c r="L2586" s="242" t="n">
        <v>1566000</v>
      </c>
      <c r="M2586" s="241" t="n">
        <v>0.63</v>
      </c>
      <c r="N2586" s="241" t="n">
        <v>3.06</v>
      </c>
      <c r="O2586" s="241" t="n">
        <v>-18.03</v>
      </c>
      <c r="P2586" s="241" t="n">
        <v>1.85</v>
      </c>
    </row>
    <row r="2587">
      <c r="A2587" s="282" t="inlineStr">
        <is>
          <t>2016-08-19</t>
        </is>
      </c>
      <c r="B2587" s="240">
        <f>IFERROR(1/P2587-1,B2586)</f>
        <v/>
      </c>
      <c r="C2587" s="240">
        <f>$C$3</f>
        <v/>
      </c>
      <c r="D2587" s="240">
        <f>$D$3</f>
        <v/>
      </c>
      <c r="E2587" s="240">
        <f>$E$3</f>
        <v/>
      </c>
      <c r="F2587" s="241" t="n">
        <v>10.14</v>
      </c>
      <c r="G2587" s="242" t="n">
        <v>11700659</v>
      </c>
      <c r="H2587" s="241" t="n">
        <v>0.4</v>
      </c>
      <c r="I2587" s="241" t="n">
        <v>0.89</v>
      </c>
      <c r="J2587" s="241" t="n">
        <v>-25.16</v>
      </c>
      <c r="K2587" s="241" t="n">
        <v>5.44</v>
      </c>
      <c r="L2587" s="242" t="n">
        <v>703600</v>
      </c>
      <c r="M2587" s="241" t="n">
        <v>-0.31</v>
      </c>
      <c r="N2587" s="241" t="n">
        <v>3.58</v>
      </c>
      <c r="O2587" s="241" t="n">
        <v>-18.29</v>
      </c>
      <c r="P2587" s="241" t="n">
        <v>1.86</v>
      </c>
    </row>
    <row r="2588">
      <c r="A2588" s="282" t="inlineStr">
        <is>
          <t>2016-08-22</t>
        </is>
      </c>
      <c r="B2588" s="240">
        <f>IFERROR(1/P2588-1,B2587)</f>
        <v/>
      </c>
      <c r="C2588" s="240">
        <f>$C$3</f>
        <v/>
      </c>
      <c r="D2588" s="240">
        <f>$D$3</f>
        <v/>
      </c>
      <c r="E2588" s="240">
        <f>$E$3</f>
        <v/>
      </c>
      <c r="F2588" s="241" t="n">
        <v>10.03</v>
      </c>
      <c r="G2588" s="242" t="n">
        <v>8827771</v>
      </c>
      <c r="H2588" s="241" t="n">
        <v>-1.08</v>
      </c>
      <c r="I2588" s="241" t="n">
        <v>-0.3</v>
      </c>
      <c r="J2588" s="241" t="n">
        <v>-25.97</v>
      </c>
      <c r="K2588" s="241" t="n">
        <v>5.32</v>
      </c>
      <c r="L2588" s="242" t="n">
        <v>2068600</v>
      </c>
      <c r="M2588" s="241" t="n">
        <v>-2.83</v>
      </c>
      <c r="N2588" s="241" t="n">
        <v>0.98</v>
      </c>
      <c r="O2588" s="241" t="n">
        <v>-20.6</v>
      </c>
      <c r="P2588" s="241" t="n">
        <v>1.89</v>
      </c>
    </row>
    <row r="2589">
      <c r="A2589" s="282" t="inlineStr">
        <is>
          <t>2016-08-23</t>
        </is>
      </c>
      <c r="B2589" s="240">
        <f>IFERROR(1/P2589-1,B2588)</f>
        <v/>
      </c>
      <c r="C2589" s="240">
        <f>$C$3</f>
        <v/>
      </c>
      <c r="D2589" s="240">
        <f>$D$3</f>
        <v/>
      </c>
      <c r="E2589" s="240">
        <f>$E$3</f>
        <v/>
      </c>
      <c r="F2589" s="241" t="n">
        <v>10.02</v>
      </c>
      <c r="G2589" s="242" t="n">
        <v>8782039</v>
      </c>
      <c r="H2589" s="241" t="n">
        <v>-0.1</v>
      </c>
      <c r="I2589" s="241" t="n">
        <v>-0.1</v>
      </c>
      <c r="J2589" s="241" t="n">
        <v>-26.05</v>
      </c>
      <c r="K2589" s="241" t="n">
        <v>5.35</v>
      </c>
      <c r="L2589" s="242" t="n">
        <v>1278600</v>
      </c>
      <c r="M2589" s="241" t="n">
        <v>0.65</v>
      </c>
      <c r="N2589" s="241" t="n">
        <v>2.3</v>
      </c>
      <c r="O2589" s="241" t="n">
        <v>-20.08</v>
      </c>
      <c r="P2589" s="241" t="n">
        <v>1.87</v>
      </c>
    </row>
    <row r="2590">
      <c r="A2590" s="282" t="inlineStr">
        <is>
          <t>2016-08-24</t>
        </is>
      </c>
      <c r="B2590" s="240">
        <f>IFERROR(1/P2590-1,B2589)</f>
        <v/>
      </c>
      <c r="C2590" s="240">
        <f>$C$3</f>
        <v/>
      </c>
      <c r="D2590" s="240">
        <f>$D$3</f>
        <v/>
      </c>
      <c r="E2590" s="240">
        <f>$E$3</f>
        <v/>
      </c>
      <c r="F2590" s="241" t="n">
        <v>10.04</v>
      </c>
      <c r="G2590" s="242" t="n">
        <v>8181583</v>
      </c>
      <c r="H2590" s="241" t="n">
        <v>0.2</v>
      </c>
      <c r="I2590" s="241" t="n">
        <v>0.1</v>
      </c>
      <c r="J2590" s="241" t="n">
        <v>-25.9</v>
      </c>
      <c r="K2590" s="241" t="n">
        <v>5.27</v>
      </c>
      <c r="L2590" s="242" t="n">
        <v>687000</v>
      </c>
      <c r="M2590" s="241" t="n">
        <v>-1.28</v>
      </c>
      <c r="N2590" s="241" t="n">
        <v>0.99</v>
      </c>
      <c r="O2590" s="241" t="n">
        <v>-21.11</v>
      </c>
      <c r="P2590" s="241" t="n">
        <v>1.91</v>
      </c>
    </row>
    <row r="2591">
      <c r="A2591" s="282" t="inlineStr">
        <is>
          <t>2016-08-25</t>
        </is>
      </c>
      <c r="B2591" s="240">
        <f>IFERROR(1/P2591-1,B2590)</f>
        <v/>
      </c>
      <c r="C2591" s="240">
        <f>$C$3</f>
        <v/>
      </c>
      <c r="D2591" s="240">
        <f>$D$3</f>
        <v/>
      </c>
      <c r="E2591" s="240">
        <f>$E$3</f>
        <v/>
      </c>
      <c r="F2591" s="241" t="n">
        <v>9.949999999999999</v>
      </c>
      <c r="G2591" s="242" t="n">
        <v>8817539</v>
      </c>
      <c r="H2591" s="241" t="n">
        <v>-0.9</v>
      </c>
      <c r="I2591" s="241" t="n">
        <v>-0.8</v>
      </c>
      <c r="J2591" s="241" t="n">
        <v>-26.56</v>
      </c>
      <c r="K2591" s="241" t="n">
        <v>5.3</v>
      </c>
      <c r="L2591" s="242" t="n">
        <v>530200</v>
      </c>
      <c r="M2591" s="241" t="n">
        <v>0.33</v>
      </c>
      <c r="N2591" s="241" t="n">
        <v>1.31</v>
      </c>
      <c r="O2591" s="241" t="n">
        <v>-20.85</v>
      </c>
      <c r="P2591" s="241" t="n">
        <v>1.88</v>
      </c>
    </row>
    <row r="2592">
      <c r="A2592" s="282" t="inlineStr">
        <is>
          <t>2016-08-26</t>
        </is>
      </c>
      <c r="B2592" s="240">
        <f>IFERROR(1/P2592-1,B2591)</f>
        <v/>
      </c>
      <c r="C2592" s="240">
        <f>$C$3</f>
        <v/>
      </c>
      <c r="D2592" s="240">
        <f>$D$3</f>
        <v/>
      </c>
      <c r="E2592" s="240">
        <f>$E$3</f>
        <v/>
      </c>
      <c r="F2592" s="241" t="n">
        <v>9.949999999999999</v>
      </c>
      <c r="G2592" s="242" t="n">
        <v>7330272</v>
      </c>
      <c r="H2592" s="241" t="n">
        <v>0</v>
      </c>
      <c r="I2592" s="241" t="n">
        <v>-2.55</v>
      </c>
      <c r="J2592" s="241" t="n">
        <v>-26.56</v>
      </c>
      <c r="K2592" s="241" t="n">
        <v>5.31</v>
      </c>
      <c r="L2592" s="242" t="n">
        <v>497793</v>
      </c>
      <c r="M2592" s="241" t="n">
        <v>0.32</v>
      </c>
      <c r="N2592" s="241" t="n">
        <v>0.16</v>
      </c>
      <c r="O2592" s="241" t="n">
        <v>-20.6</v>
      </c>
      <c r="P2592" s="241" t="n">
        <v>1.87</v>
      </c>
    </row>
    <row r="2593">
      <c r="A2593" s="282" t="inlineStr">
        <is>
          <t>2016-08-29</t>
        </is>
      </c>
      <c r="B2593" s="240">
        <f>IFERROR(1/P2593-1,B2592)</f>
        <v/>
      </c>
      <c r="C2593" s="240">
        <f>$C$3</f>
        <v/>
      </c>
      <c r="D2593" s="240">
        <f>$D$3</f>
        <v/>
      </c>
      <c r="E2593" s="240">
        <f>$E$3</f>
        <v/>
      </c>
      <c r="F2593" s="241" t="n">
        <v>10</v>
      </c>
      <c r="G2593" s="242" t="n">
        <v>6104260</v>
      </c>
      <c r="H2593" s="241" t="n">
        <v>0.5</v>
      </c>
      <c r="I2593" s="241" t="n">
        <v>0.2</v>
      </c>
      <c r="J2593" s="241" t="n">
        <v>-26.19</v>
      </c>
      <c r="K2593" s="241" t="n">
        <v>5.3</v>
      </c>
      <c r="L2593" s="242" t="n">
        <v>399800</v>
      </c>
      <c r="M2593" s="241" t="n">
        <v>-0.65</v>
      </c>
      <c r="N2593" s="241" t="n">
        <v>-1.76</v>
      </c>
      <c r="O2593" s="241" t="n">
        <v>-21.11</v>
      </c>
      <c r="P2593" s="241" t="n">
        <v>1.89</v>
      </c>
    </row>
    <row r="2594">
      <c r="A2594" s="282" t="inlineStr">
        <is>
          <t>2016-08-30</t>
        </is>
      </c>
      <c r="B2594" s="240">
        <f>IFERROR(1/P2594-1,B2593)</f>
        <v/>
      </c>
      <c r="C2594" s="240">
        <f>$C$3</f>
        <v/>
      </c>
      <c r="D2594" s="240">
        <f>$D$3</f>
        <v/>
      </c>
      <c r="E2594" s="240">
        <f>$E$3</f>
        <v/>
      </c>
      <c r="F2594" s="241" t="n">
        <v>10</v>
      </c>
      <c r="G2594" s="242" t="n">
        <v>5268116</v>
      </c>
      <c r="H2594" s="241" t="n">
        <v>0</v>
      </c>
      <c r="I2594" s="241" t="n">
        <v>1.32</v>
      </c>
      <c r="J2594" s="241" t="n">
        <v>-26.19</v>
      </c>
      <c r="K2594" s="241" t="n">
        <v>5.27</v>
      </c>
      <c r="L2594" s="242" t="n">
        <v>1091000</v>
      </c>
      <c r="M2594" s="241" t="n">
        <v>-0.49</v>
      </c>
      <c r="N2594" s="241" t="n">
        <v>-0.33</v>
      </c>
      <c r="O2594" s="241" t="n">
        <v>-21.49</v>
      </c>
      <c r="P2594" s="241" t="n">
        <v>1.9</v>
      </c>
    </row>
    <row r="2595">
      <c r="A2595" s="282" t="inlineStr">
        <is>
          <t>2016-08-31</t>
        </is>
      </c>
      <c r="B2595" s="240">
        <f>IFERROR(1/P2595-1,B2594)</f>
        <v/>
      </c>
      <c r="C2595" s="240">
        <f>$C$3</f>
        <v/>
      </c>
      <c r="D2595" s="240">
        <f>$D$3</f>
        <v/>
      </c>
      <c r="E2595" s="240">
        <f>$E$3</f>
        <v/>
      </c>
      <c r="F2595" s="241" t="n">
        <v>9.960000000000001</v>
      </c>
      <c r="G2595" s="242" t="n">
        <v>7982458</v>
      </c>
      <c r="H2595" s="241" t="n">
        <v>-0.4</v>
      </c>
      <c r="I2595" s="241" t="n">
        <v>0.91</v>
      </c>
      <c r="J2595" s="241" t="n">
        <v>-26.49</v>
      </c>
      <c r="K2595" s="241" t="n">
        <v>5.23</v>
      </c>
      <c r="L2595" s="242" t="n">
        <v>1486800</v>
      </c>
      <c r="M2595" s="241" t="n">
        <v>-0.98</v>
      </c>
      <c r="N2595" s="241" t="n">
        <v>-1.3</v>
      </c>
      <c r="O2595" s="241" t="n">
        <v>-22.26</v>
      </c>
      <c r="P2595" s="241" t="n">
        <v>1.91</v>
      </c>
    </row>
    <row r="2596">
      <c r="A2596" s="282" t="inlineStr">
        <is>
          <t>2016-09-01</t>
        </is>
      </c>
      <c r="B2596" s="240">
        <f>IFERROR(1/P2596-1,B2595)</f>
        <v/>
      </c>
      <c r="C2596" s="240">
        <f>$C$3</f>
        <v/>
      </c>
      <c r="D2596" s="240">
        <f>$D$3</f>
        <v/>
      </c>
      <c r="E2596" s="240">
        <f>$E$3</f>
        <v/>
      </c>
      <c r="F2596" s="241" t="n">
        <v>9.82</v>
      </c>
      <c r="G2596" s="242" t="n">
        <v>13983817</v>
      </c>
      <c r="H2596" s="241" t="n">
        <v>-1.41</v>
      </c>
      <c r="I2596" s="241" t="n">
        <v>-0.51</v>
      </c>
      <c r="J2596" s="241" t="n">
        <v>-27.52</v>
      </c>
      <c r="K2596" s="241" t="n">
        <v>5.21</v>
      </c>
      <c r="L2596" s="242" t="n">
        <v>972666</v>
      </c>
      <c r="M2596" s="241" t="n">
        <v>-0.17</v>
      </c>
      <c r="N2596" s="241" t="n">
        <v>-1.47</v>
      </c>
      <c r="O2596" s="241" t="n">
        <v>-22.39</v>
      </c>
      <c r="P2596" s="241" t="n">
        <v>1.89</v>
      </c>
    </row>
    <row r="2597">
      <c r="A2597" s="282" t="inlineStr">
        <is>
          <t>2016-09-02</t>
        </is>
      </c>
      <c r="B2597" s="240">
        <f>IFERROR(1/P2597-1,B2596)</f>
        <v/>
      </c>
      <c r="C2597" s="240">
        <f>$C$3</f>
        <v/>
      </c>
      <c r="D2597" s="240">
        <f>$D$3</f>
        <v/>
      </c>
      <c r="E2597" s="240">
        <f>$E$3</f>
        <v/>
      </c>
      <c r="F2597" s="241" t="n">
        <v>9.77</v>
      </c>
      <c r="G2597" s="242" t="n">
        <v>9793149</v>
      </c>
      <c r="H2597" s="241" t="n">
        <v>-0.51</v>
      </c>
      <c r="I2597" s="241" t="n">
        <v>0.62</v>
      </c>
      <c r="J2597" s="241" t="n">
        <v>-27.89</v>
      </c>
      <c r="K2597" s="241" t="n">
        <v>5.25</v>
      </c>
      <c r="L2597" s="242" t="n">
        <v>703000</v>
      </c>
      <c r="M2597" s="241" t="n">
        <v>0.83</v>
      </c>
      <c r="N2597" s="241" t="n">
        <v>-1.29</v>
      </c>
      <c r="O2597" s="241" t="n">
        <v>-21.75</v>
      </c>
      <c r="P2597" s="241" t="n">
        <v>1.86</v>
      </c>
    </row>
    <row r="2598">
      <c r="A2598" s="282" t="inlineStr">
        <is>
          <t>2016-09-05</t>
        </is>
      </c>
      <c r="B2598" s="240">
        <f>IFERROR(1/P2598-1,B2597)</f>
        <v/>
      </c>
      <c r="C2598" s="240">
        <f>$C$3</f>
        <v/>
      </c>
      <c r="D2598" s="240">
        <f>$D$3</f>
        <v/>
      </c>
      <c r="E2598" s="240">
        <f>$E$3</f>
        <v/>
      </c>
      <c r="F2598" s="241" t="n">
        <v>9.789999999999999</v>
      </c>
      <c r="G2598" s="242" t="n">
        <v>8000480</v>
      </c>
      <c r="H2598" s="241" t="n">
        <v>0.2</v>
      </c>
      <c r="I2598" s="241" t="n">
        <v>0.82</v>
      </c>
      <c r="J2598" s="241" t="n">
        <v>-27.74</v>
      </c>
      <c r="K2598" s="241" t="n">
        <v>5.28</v>
      </c>
      <c r="L2598" s="242" t="n">
        <v>1680545</v>
      </c>
      <c r="M2598" s="241" t="n">
        <v>0.33</v>
      </c>
      <c r="N2598" s="241" t="n">
        <v>2</v>
      </c>
      <c r="O2598" s="241" t="n">
        <v>-21.49</v>
      </c>
      <c r="P2598" s="241" t="n">
        <v>1.86</v>
      </c>
    </row>
    <row r="2599">
      <c r="A2599" s="282" t="inlineStr">
        <is>
          <t>2016-09-06</t>
        </is>
      </c>
      <c r="B2599" s="240">
        <f>IFERROR(1/P2599-1,B2598)</f>
        <v/>
      </c>
      <c r="C2599" s="240">
        <f>$C$3</f>
        <v/>
      </c>
      <c r="D2599" s="240">
        <f>$D$3</f>
        <v/>
      </c>
      <c r="E2599" s="240">
        <f>$E$3</f>
        <v/>
      </c>
      <c r="F2599" s="241" t="n">
        <v>9.859999999999999</v>
      </c>
      <c r="G2599" s="242" t="n">
        <v>7778709</v>
      </c>
      <c r="H2599" s="241" t="n">
        <v>0.71</v>
      </c>
      <c r="I2599" s="241" t="n">
        <v>1.54</v>
      </c>
      <c r="J2599" s="241" t="n">
        <v>-27.23</v>
      </c>
      <c r="K2599" s="241" t="n">
        <v>5.38</v>
      </c>
      <c r="L2599" s="242" t="n">
        <v>1458200</v>
      </c>
      <c r="M2599" s="241" t="n">
        <v>2.29</v>
      </c>
      <c r="N2599" s="241" t="n">
        <v>3.81</v>
      </c>
      <c r="O2599" s="241" t="n">
        <v>-19.7</v>
      </c>
      <c r="P2599" s="241" t="n">
        <v>1.83</v>
      </c>
    </row>
    <row r="2600">
      <c r="A2600" s="282" t="inlineStr">
        <is>
          <t>2016-09-07</t>
        </is>
      </c>
      <c r="B2600" s="240">
        <f>IFERROR(1/P2600-1,B2599)</f>
        <v/>
      </c>
      <c r="C2600" s="240">
        <f>$C$3</f>
        <v/>
      </c>
      <c r="D2600" s="240">
        <f>$D$3</f>
        <v/>
      </c>
      <c r="E2600" s="240">
        <f>$E$3</f>
        <v/>
      </c>
      <c r="F2600" s="241" t="n">
        <v>9.880000000000001</v>
      </c>
      <c r="G2600" s="242" t="n">
        <v>9458136</v>
      </c>
      <c r="H2600" s="241" t="n">
        <v>0.2</v>
      </c>
      <c r="I2600" s="241" t="n">
        <v>1.75</v>
      </c>
      <c r="J2600" s="241" t="n">
        <v>-27.08</v>
      </c>
      <c r="K2600" s="241" t="n">
        <v>5.3</v>
      </c>
      <c r="L2600" s="242" t="n">
        <v>1619200</v>
      </c>
      <c r="M2600" s="241" t="n">
        <v>-1.28</v>
      </c>
      <c r="N2600" s="241" t="n">
        <v>2.49</v>
      </c>
      <c r="O2600" s="241" t="n">
        <v>-20.72</v>
      </c>
      <c r="P2600" s="241" t="n">
        <v>1.86</v>
      </c>
    </row>
    <row r="2601">
      <c r="A2601" s="282" t="inlineStr">
        <is>
          <t>2016-09-08</t>
        </is>
      </c>
      <c r="B2601" s="240">
        <f>IFERROR(1/P2601-1,B2600)</f>
        <v/>
      </c>
      <c r="C2601" s="240">
        <f>$C$3</f>
        <v/>
      </c>
      <c r="D2601" s="240">
        <f>$D$3</f>
        <v/>
      </c>
      <c r="E2601" s="240">
        <f>$E$3</f>
        <v/>
      </c>
      <c r="F2601" s="241" t="n">
        <v>9.84</v>
      </c>
      <c r="G2601" s="242" t="n">
        <v>8961672</v>
      </c>
      <c r="H2601" s="241" t="n">
        <v>-0.4</v>
      </c>
      <c r="I2601" s="241" t="n">
        <v>1.34</v>
      </c>
      <c r="J2601" s="241" t="n">
        <v>-27.38</v>
      </c>
      <c r="K2601" s="241" t="n">
        <v>5.56</v>
      </c>
      <c r="L2601" s="242" t="n">
        <v>3487200</v>
      </c>
      <c r="M2601" s="241" t="n">
        <v>4.69</v>
      </c>
      <c r="N2601" s="241" t="n">
        <v>7.3</v>
      </c>
      <c r="O2601" s="241" t="n">
        <v>-17</v>
      </c>
      <c r="P2601" s="241" t="n">
        <v>1.77</v>
      </c>
    </row>
    <row r="2602">
      <c r="A2602" s="282" t="inlineStr">
        <is>
          <t>2016-09-09</t>
        </is>
      </c>
      <c r="B2602" s="240">
        <f>IFERROR(1/P2602-1,B2601)</f>
        <v/>
      </c>
      <c r="C2602" s="240">
        <f>$C$3</f>
        <v/>
      </c>
      <c r="D2602" s="240">
        <f>$D$3</f>
        <v/>
      </c>
      <c r="E2602" s="240">
        <f>$E$3</f>
        <v/>
      </c>
      <c r="F2602" s="241" t="n">
        <v>9.81</v>
      </c>
      <c r="G2602" s="242" t="n">
        <v>11046982</v>
      </c>
      <c r="H2602" s="241" t="n">
        <v>-0.3</v>
      </c>
      <c r="I2602" s="241" t="n">
        <v>-0.71</v>
      </c>
      <c r="J2602" s="241" t="n">
        <v>-27.6</v>
      </c>
      <c r="K2602" s="241" t="n">
        <v>5.74</v>
      </c>
      <c r="L2602" s="242" t="n">
        <v>6065200</v>
      </c>
      <c r="M2602" s="241" t="n">
        <v>3.25</v>
      </c>
      <c r="N2602" s="241" t="n">
        <v>9.51</v>
      </c>
      <c r="O2602" s="241" t="n">
        <v>-14.31</v>
      </c>
      <c r="P2602" s="241" t="n">
        <v>1.71</v>
      </c>
    </row>
    <row r="2603">
      <c r="A2603" s="282" t="inlineStr">
        <is>
          <t>2016-09-12</t>
        </is>
      </c>
      <c r="B2603" s="240">
        <f>IFERROR(1/P2603-1,B2602)</f>
        <v/>
      </c>
      <c r="C2603" s="240">
        <f>$C$3</f>
        <v/>
      </c>
      <c r="D2603" s="240">
        <f>$D$3</f>
        <v/>
      </c>
      <c r="E2603" s="240">
        <f>$E$3</f>
        <v/>
      </c>
      <c r="F2603" s="241" t="n">
        <v>9.6</v>
      </c>
      <c r="G2603" s="242" t="n">
        <v>14243522</v>
      </c>
      <c r="H2603" s="241" t="n">
        <v>-2.14</v>
      </c>
      <c r="I2603" s="241" t="n">
        <v>-1.64</v>
      </c>
      <c r="J2603" s="241" t="n">
        <v>-29.15</v>
      </c>
      <c r="K2603" s="241" t="n">
        <v>5.45</v>
      </c>
      <c r="L2603" s="242" t="n">
        <v>2671969</v>
      </c>
      <c r="M2603" s="241" t="n">
        <v>-5.39</v>
      </c>
      <c r="N2603" s="241" t="n">
        <v>3.44</v>
      </c>
      <c r="O2603" s="241" t="n">
        <v>-18.93</v>
      </c>
      <c r="P2603" s="241" t="n">
        <v>1.76</v>
      </c>
    </row>
    <row r="2604">
      <c r="A2604" s="282" t="inlineStr">
        <is>
          <t>2016-09-13</t>
        </is>
      </c>
      <c r="B2604" s="240">
        <f>IFERROR(1/P2604-1,B2603)</f>
        <v/>
      </c>
      <c r="C2604" s="240">
        <f>$C$3</f>
        <v/>
      </c>
      <c r="D2604" s="240">
        <f>$D$3</f>
        <v/>
      </c>
      <c r="E2604" s="240">
        <f>$E$3</f>
        <v/>
      </c>
      <c r="F2604" s="241" t="n">
        <v>9.619999999999999</v>
      </c>
      <c r="G2604" s="242" t="n">
        <v>5428205</v>
      </c>
      <c r="H2604" s="241" t="n">
        <v>0.21</v>
      </c>
      <c r="I2604" s="241" t="n">
        <v>-2.93</v>
      </c>
      <c r="J2604" s="241" t="n">
        <v>-29</v>
      </c>
      <c r="K2604" s="241" t="n">
        <v>5.29</v>
      </c>
      <c r="L2604" s="242" t="n">
        <v>1066400</v>
      </c>
      <c r="M2604" s="241" t="n">
        <v>-2.69</v>
      </c>
      <c r="N2604" s="241" t="n">
        <v>-0.97</v>
      </c>
      <c r="O2604" s="241" t="n">
        <v>-21.11</v>
      </c>
      <c r="P2604" s="241" t="n">
        <v>1.82</v>
      </c>
    </row>
    <row r="2605">
      <c r="A2605" s="282" t="inlineStr">
        <is>
          <t>2016-09-14</t>
        </is>
      </c>
      <c r="B2605" s="240">
        <f>IFERROR(1/P2605-1,B2604)</f>
        <v/>
      </c>
      <c r="C2605" s="240">
        <f>$C$3</f>
        <v/>
      </c>
      <c r="D2605" s="240">
        <f>$D$3</f>
        <v/>
      </c>
      <c r="E2605" s="240">
        <f>$E$3</f>
        <v/>
      </c>
      <c r="F2605" s="241" t="n">
        <v>9.58</v>
      </c>
      <c r="G2605" s="242" t="n">
        <v>5526430</v>
      </c>
      <c r="H2605" s="241" t="n">
        <v>-0.42</v>
      </c>
      <c r="I2605" s="241" t="n">
        <v>-3.33</v>
      </c>
      <c r="J2605" s="241" t="n">
        <v>-29.29</v>
      </c>
      <c r="K2605" s="241" t="n">
        <v>5.31</v>
      </c>
      <c r="L2605" s="242" t="n">
        <v>663600</v>
      </c>
      <c r="M2605" s="241" t="n">
        <v>0.16</v>
      </c>
      <c r="N2605" s="241" t="n">
        <v>-0.8100000000000001</v>
      </c>
      <c r="O2605" s="241" t="n">
        <v>-20.98</v>
      </c>
      <c r="P2605" s="241" t="n">
        <v>1.8</v>
      </c>
    </row>
    <row r="2606">
      <c r="A2606" s="282" t="inlineStr">
        <is>
          <t>2016-09-19</t>
        </is>
      </c>
      <c r="B2606" s="240">
        <f>IFERROR(1/P2606-1,B2605)</f>
        <v/>
      </c>
      <c r="C2606" s="240">
        <f>$C$3</f>
        <v/>
      </c>
      <c r="D2606" s="240">
        <f>$D$3</f>
        <v/>
      </c>
      <c r="E2606" s="240">
        <f>$E$3</f>
        <v/>
      </c>
      <c r="F2606" s="241" t="n">
        <v>9.789999999999999</v>
      </c>
      <c r="G2606" s="242" t="n">
        <v>16535067</v>
      </c>
      <c r="H2606" s="241" t="n">
        <v>2.19</v>
      </c>
      <c r="I2606" s="241" t="n">
        <v>-3.07</v>
      </c>
      <c r="J2606" s="241" t="n">
        <v>-27.74</v>
      </c>
      <c r="K2606" s="241" t="n">
        <v>5.56</v>
      </c>
      <c r="L2606" s="242" t="n">
        <v>2988600</v>
      </c>
      <c r="M2606" s="241" t="n">
        <v>0.62</v>
      </c>
      <c r="N2606" s="241" t="n">
        <v>1.1</v>
      </c>
      <c r="O2606" s="241" t="n">
        <v>-17.13</v>
      </c>
      <c r="P2606" s="241" t="n">
        <v>1.76</v>
      </c>
    </row>
    <row r="2607">
      <c r="A2607" s="282" t="inlineStr">
        <is>
          <t>2016-09-20</t>
        </is>
      </c>
      <c r="B2607" s="240">
        <f>IFERROR(1/P2607-1,B2606)</f>
        <v/>
      </c>
      <c r="C2607" s="240">
        <f>$C$3</f>
        <v/>
      </c>
      <c r="D2607" s="240">
        <f>$D$3</f>
        <v/>
      </c>
      <c r="E2607" s="240">
        <f>$E$3</f>
        <v/>
      </c>
      <c r="F2607" s="241" t="n">
        <v>9.69</v>
      </c>
      <c r="G2607" s="242" t="n">
        <v>7913597</v>
      </c>
      <c r="H2607" s="241" t="n">
        <v>-1.02</v>
      </c>
      <c r="I2607" s="241" t="n">
        <v>-4.44</v>
      </c>
      <c r="J2607" s="241" t="n">
        <v>-28.48</v>
      </c>
      <c r="K2607" s="241" t="n">
        <v>5.55</v>
      </c>
      <c r="L2607" s="242" t="n">
        <v>800600</v>
      </c>
      <c r="M2607" s="241" t="n">
        <v>0</v>
      </c>
      <c r="N2607" s="241" t="n">
        <v>1.41</v>
      </c>
      <c r="O2607" s="241" t="n">
        <v>-17.13</v>
      </c>
      <c r="P2607" s="241" t="n">
        <v>1.75</v>
      </c>
    </row>
    <row r="2608">
      <c r="A2608" s="282" t="inlineStr">
        <is>
          <t>2016-09-21</t>
        </is>
      </c>
      <c r="B2608" s="240">
        <f>IFERROR(1/P2608-1,B2607)</f>
        <v/>
      </c>
      <c r="C2608" s="240">
        <f>$C$3</f>
        <v/>
      </c>
      <c r="D2608" s="240">
        <f>$D$3</f>
        <v/>
      </c>
      <c r="E2608" s="240">
        <f>$E$3</f>
        <v/>
      </c>
      <c r="F2608" s="241" t="n">
        <v>9.720000000000001</v>
      </c>
      <c r="G2608" s="242" t="n">
        <v>6645683</v>
      </c>
      <c r="H2608" s="241" t="n">
        <v>0.31</v>
      </c>
      <c r="I2608" s="241" t="n">
        <v>-4.14</v>
      </c>
      <c r="J2608" s="241" t="n">
        <v>-28.26</v>
      </c>
      <c r="K2608" s="241" t="n">
        <v>5.66</v>
      </c>
      <c r="L2608" s="242" t="n">
        <v>1338200</v>
      </c>
      <c r="M2608" s="241" t="n">
        <v>1.86</v>
      </c>
      <c r="N2608" s="241" t="n">
        <v>3.3</v>
      </c>
      <c r="O2608" s="241" t="n">
        <v>-15.59</v>
      </c>
      <c r="P2608" s="241" t="n">
        <v>1.72</v>
      </c>
    </row>
    <row r="2609">
      <c r="A2609" s="282" t="inlineStr">
        <is>
          <t>2016-09-22</t>
        </is>
      </c>
      <c r="B2609" s="240">
        <f>IFERROR(1/P2609-1,B2608)</f>
        <v/>
      </c>
      <c r="C2609" s="240">
        <f>$C$3</f>
        <v/>
      </c>
      <c r="D2609" s="240">
        <f>$D$3</f>
        <v/>
      </c>
      <c r="E2609" s="240">
        <f>$E$3</f>
        <v/>
      </c>
      <c r="F2609" s="241" t="n">
        <v>9.710000000000001</v>
      </c>
      <c r="G2609" s="242" t="n">
        <v>6420994</v>
      </c>
      <c r="H2609" s="241" t="n">
        <v>-0.1</v>
      </c>
      <c r="I2609" s="241" t="n">
        <v>-4.24</v>
      </c>
      <c r="J2609" s="241" t="n">
        <v>-28.34</v>
      </c>
      <c r="K2609" s="241" t="n">
        <v>5.61</v>
      </c>
      <c r="L2609" s="242" t="n">
        <v>1456800</v>
      </c>
      <c r="M2609" s="241" t="n">
        <v>-0.61</v>
      </c>
      <c r="N2609" s="241" t="n">
        <v>2.67</v>
      </c>
      <c r="O2609" s="241" t="n">
        <v>-16.11</v>
      </c>
      <c r="P2609" s="241" t="n">
        <v>1.73</v>
      </c>
    </row>
    <row r="2610">
      <c r="A2610" s="282" t="inlineStr">
        <is>
          <t>2016-09-23</t>
        </is>
      </c>
      <c r="B2610" s="240">
        <f>IFERROR(1/P2610-1,B2609)</f>
        <v/>
      </c>
      <c r="C2610" s="240">
        <f>$C$3</f>
        <v/>
      </c>
      <c r="D2610" s="240">
        <f>$D$3</f>
        <v/>
      </c>
      <c r="E2610" s="240">
        <f>$E$3</f>
        <v/>
      </c>
      <c r="F2610" s="241" t="n">
        <v>9.67</v>
      </c>
      <c r="G2610" s="242" t="n">
        <v>4354164</v>
      </c>
      <c r="H2610" s="241" t="n">
        <v>-0.41</v>
      </c>
      <c r="I2610" s="241" t="n">
        <v>-3.59</v>
      </c>
      <c r="J2610" s="241" t="n">
        <v>-28.63</v>
      </c>
      <c r="K2610" s="241" t="n">
        <v>5.53</v>
      </c>
      <c r="L2610" s="242" t="n">
        <v>919800</v>
      </c>
      <c r="M2610" s="241" t="n">
        <v>-1.68</v>
      </c>
      <c r="N2610" s="241" t="n">
        <v>3.88</v>
      </c>
      <c r="O2610" s="241" t="n">
        <v>-17.52</v>
      </c>
      <c r="P2610" s="241" t="n">
        <v>1.75</v>
      </c>
    </row>
    <row r="2611">
      <c r="A2611" s="282" t="inlineStr">
        <is>
          <t>2016-09-26</t>
        </is>
      </c>
      <c r="B2611" s="240">
        <f>IFERROR(1/P2611-1,B2610)</f>
        <v/>
      </c>
      <c r="C2611" s="240">
        <f>$C$3</f>
        <v/>
      </c>
      <c r="D2611" s="240">
        <f>$D$3</f>
        <v/>
      </c>
      <c r="E2611" s="240">
        <f>$E$3</f>
        <v/>
      </c>
      <c r="F2611" s="241" t="n">
        <v>9.550000000000001</v>
      </c>
      <c r="G2611" s="242" t="n">
        <v>8664120</v>
      </c>
      <c r="H2611" s="241" t="n">
        <v>-1.24</v>
      </c>
      <c r="I2611" s="241" t="n">
        <v>-4.02</v>
      </c>
      <c r="J2611" s="241" t="n">
        <v>-29.52</v>
      </c>
      <c r="K2611" s="241" t="n">
        <v>5.34</v>
      </c>
      <c r="L2611" s="242" t="n">
        <v>1120800</v>
      </c>
      <c r="M2611" s="241" t="n">
        <v>-3.42</v>
      </c>
      <c r="N2611" s="241" t="n">
        <v>0.65</v>
      </c>
      <c r="O2611" s="241" t="n">
        <v>-20.34</v>
      </c>
      <c r="P2611" s="241" t="n">
        <v>1.79</v>
      </c>
    </row>
    <row r="2612">
      <c r="A2612" s="282" t="inlineStr">
        <is>
          <t>2016-09-27</t>
        </is>
      </c>
      <c r="B2612" s="240">
        <f>IFERROR(1/P2612-1,B2611)</f>
        <v/>
      </c>
      <c r="C2612" s="240">
        <f>$C$3</f>
        <v/>
      </c>
      <c r="D2612" s="240">
        <f>$D$3</f>
        <v/>
      </c>
      <c r="E2612" s="240">
        <f>$E$3</f>
        <v/>
      </c>
      <c r="F2612" s="241" t="n">
        <v>9.609999999999999</v>
      </c>
      <c r="G2612" s="242" t="n">
        <v>7615800</v>
      </c>
      <c r="H2612" s="241" t="n">
        <v>0.63</v>
      </c>
      <c r="I2612" s="241" t="n">
        <v>-3.42</v>
      </c>
      <c r="J2612" s="241" t="n">
        <v>-29.07</v>
      </c>
      <c r="K2612" s="241" t="n">
        <v>5.36</v>
      </c>
      <c r="L2612" s="242" t="n">
        <v>1006800</v>
      </c>
      <c r="M2612" s="241" t="n">
        <v>0.48</v>
      </c>
      <c r="N2612" s="241" t="n">
        <v>0.8100000000000001</v>
      </c>
      <c r="O2612" s="241" t="n">
        <v>-19.95</v>
      </c>
      <c r="P2612" s="241" t="n">
        <v>1.79</v>
      </c>
    </row>
    <row r="2613">
      <c r="A2613" s="282" t="inlineStr">
        <is>
          <t>2016-09-28</t>
        </is>
      </c>
      <c r="B2613" s="240">
        <f>IFERROR(1/P2613-1,B2612)</f>
        <v/>
      </c>
      <c r="C2613" s="240">
        <f>$C$3</f>
        <v/>
      </c>
      <c r="D2613" s="240">
        <f>$D$3</f>
        <v/>
      </c>
      <c r="E2613" s="240">
        <f>$E$3</f>
        <v/>
      </c>
      <c r="F2613" s="241" t="n">
        <v>9.57</v>
      </c>
      <c r="G2613" s="242" t="n">
        <v>5930084</v>
      </c>
      <c r="H2613" s="241" t="n">
        <v>-0.42</v>
      </c>
      <c r="I2613" s="241" t="n">
        <v>-3.82</v>
      </c>
      <c r="J2613" s="241" t="n">
        <v>-29.37</v>
      </c>
      <c r="K2613" s="241" t="n">
        <v>5.33</v>
      </c>
      <c r="L2613" s="242" t="n">
        <v>413600</v>
      </c>
      <c r="M2613" s="241" t="n">
        <v>-0.64</v>
      </c>
      <c r="N2613" s="241" t="n">
        <v>0.16</v>
      </c>
      <c r="O2613" s="241" t="n">
        <v>-20.47</v>
      </c>
      <c r="P2613" s="241" t="n">
        <v>1.8</v>
      </c>
    </row>
    <row r="2614">
      <c r="A2614" s="282" t="inlineStr">
        <is>
          <t>2016-09-29</t>
        </is>
      </c>
      <c r="B2614" s="240">
        <f>IFERROR(1/P2614-1,B2613)</f>
        <v/>
      </c>
      <c r="C2614" s="240">
        <f>$C$3</f>
        <v/>
      </c>
      <c r="D2614" s="240">
        <f>$D$3</f>
        <v/>
      </c>
      <c r="E2614" s="240">
        <f>$E$3</f>
        <v/>
      </c>
      <c r="F2614" s="241" t="n">
        <v>9.6</v>
      </c>
      <c r="G2614" s="242" t="n">
        <v>6029073</v>
      </c>
      <c r="H2614" s="241" t="n">
        <v>0.31</v>
      </c>
      <c r="I2614" s="241" t="n">
        <v>-3.52</v>
      </c>
      <c r="J2614" s="241" t="n">
        <v>-29.15</v>
      </c>
      <c r="K2614" s="241" t="n">
        <v>5.34</v>
      </c>
      <c r="L2614" s="242" t="n">
        <v>886800</v>
      </c>
      <c r="M2614" s="241" t="n">
        <v>0.16</v>
      </c>
      <c r="N2614" s="241" t="n">
        <v>0.32</v>
      </c>
      <c r="O2614" s="241" t="n">
        <v>-20.34</v>
      </c>
      <c r="P2614" s="241" t="n">
        <v>1.8</v>
      </c>
    </row>
    <row r="2615">
      <c r="A2615" s="282" t="inlineStr">
        <is>
          <t>2016-09-30</t>
        </is>
      </c>
      <c r="B2615" s="240">
        <f>IFERROR(1/P2615-1,B2614)</f>
        <v/>
      </c>
      <c r="C2615" s="240">
        <f>$C$3</f>
        <v/>
      </c>
      <c r="D2615" s="240">
        <f>$D$3</f>
        <v/>
      </c>
      <c r="E2615" s="240">
        <f>$E$3</f>
        <v/>
      </c>
      <c r="F2615" s="241" t="n">
        <v>9.6</v>
      </c>
      <c r="G2615" s="242" t="n">
        <v>6393787</v>
      </c>
      <c r="H2615" s="241" t="n">
        <v>0</v>
      </c>
      <c r="I2615" s="241" t="n">
        <v>-4</v>
      </c>
      <c r="J2615" s="241" t="n">
        <v>-29.15</v>
      </c>
      <c r="K2615" s="241" t="n">
        <v>5.28</v>
      </c>
      <c r="L2615" s="242" t="n">
        <v>1137600</v>
      </c>
      <c r="M2615" s="241" t="n">
        <v>-1.29</v>
      </c>
      <c r="N2615" s="241" t="n">
        <v>-0.33</v>
      </c>
      <c r="O2615" s="241" t="n">
        <v>-21.37</v>
      </c>
      <c r="P2615" s="241" t="n">
        <v>1.82</v>
      </c>
    </row>
    <row r="2616">
      <c r="A2616" s="282" t="inlineStr">
        <is>
          <t>2016-10-10</t>
        </is>
      </c>
      <c r="B2616" s="240">
        <f>IFERROR(1/P2616-1,B2615)</f>
        <v/>
      </c>
      <c r="C2616" s="240">
        <f>$C$3</f>
        <v/>
      </c>
      <c r="D2616" s="240">
        <f>$D$3</f>
        <v/>
      </c>
      <c r="E2616" s="240">
        <f>$E$3</f>
        <v/>
      </c>
      <c r="F2616" s="241" t="n">
        <v>9.710000000000001</v>
      </c>
      <c r="G2616" s="242" t="n">
        <v>9741266</v>
      </c>
      <c r="H2616" s="241" t="n">
        <v>1.15</v>
      </c>
      <c r="I2616" s="241" t="n">
        <v>-1.02</v>
      </c>
      <c r="J2616" s="241" t="n">
        <v>-28.34</v>
      </c>
      <c r="K2616" s="239" t="inlineStr">
        <is>
          <t>--</t>
        </is>
      </c>
      <c r="L2616" s="239" t="inlineStr">
        <is>
          <t>--</t>
        </is>
      </c>
      <c r="M2616" s="239" t="inlineStr">
        <is>
          <t>--</t>
        </is>
      </c>
      <c r="N2616" s="239" t="inlineStr">
        <is>
          <t>--</t>
        </is>
      </c>
      <c r="O2616" s="239" t="inlineStr">
        <is>
          <t>--</t>
        </is>
      </c>
      <c r="P2616" s="239" t="inlineStr">
        <is>
          <t>--</t>
        </is>
      </c>
    </row>
    <row r="2617">
      <c r="A2617" s="282" t="inlineStr">
        <is>
          <t>2016-10-11</t>
        </is>
      </c>
      <c r="B2617" s="240">
        <f>IFERROR(1/P2617-1,B2616)</f>
        <v/>
      </c>
      <c r="C2617" s="240">
        <f>$C$3</f>
        <v/>
      </c>
      <c r="D2617" s="240">
        <f>$D$3</f>
        <v/>
      </c>
      <c r="E2617" s="240">
        <f>$E$3</f>
        <v/>
      </c>
      <c r="F2617" s="241" t="n">
        <v>9.720000000000001</v>
      </c>
      <c r="G2617" s="242" t="n">
        <v>8218385</v>
      </c>
      <c r="H2617" s="241" t="n">
        <v>0.1</v>
      </c>
      <c r="I2617" s="241" t="n">
        <v>-0.92</v>
      </c>
      <c r="J2617" s="241" t="n">
        <v>-28.26</v>
      </c>
      <c r="K2617" s="241" t="n">
        <v>5.52</v>
      </c>
      <c r="L2617" s="242" t="n">
        <v>1289200</v>
      </c>
      <c r="M2617" s="241" t="n">
        <v>1.43</v>
      </c>
      <c r="N2617" s="241" t="n">
        <v>-4.49</v>
      </c>
      <c r="O2617" s="241" t="n">
        <v>-18.16</v>
      </c>
      <c r="P2617" s="241" t="n">
        <v>1.76</v>
      </c>
    </row>
    <row r="2618">
      <c r="A2618" s="282" t="inlineStr">
        <is>
          <t>2016-10-12</t>
        </is>
      </c>
      <c r="B2618" s="240">
        <f>IFERROR(1/P2618-1,B2617)</f>
        <v/>
      </c>
      <c r="C2618" s="240">
        <f>$C$3</f>
        <v/>
      </c>
      <c r="D2618" s="240">
        <f>$D$3</f>
        <v/>
      </c>
      <c r="E2618" s="240">
        <f>$E$3</f>
        <v/>
      </c>
      <c r="F2618" s="241" t="n">
        <v>9.74</v>
      </c>
      <c r="G2618" s="242" t="n">
        <v>9295732</v>
      </c>
      <c r="H2618" s="241" t="n">
        <v>0.21</v>
      </c>
      <c r="I2618" s="241" t="n">
        <v>-0.71</v>
      </c>
      <c r="J2618" s="241" t="n">
        <v>-28.11</v>
      </c>
      <c r="K2618" s="241" t="n">
        <v>5.44</v>
      </c>
      <c r="L2618" s="242" t="n">
        <v>526400</v>
      </c>
      <c r="M2618" s="241" t="n">
        <v>-1.72</v>
      </c>
      <c r="N2618" s="241" t="n">
        <v>-6.14</v>
      </c>
      <c r="O2618" s="241" t="n">
        <v>-19.57</v>
      </c>
      <c r="P2618" s="241" t="n">
        <v>1.79</v>
      </c>
    </row>
    <row r="2619">
      <c r="A2619" s="282" t="inlineStr">
        <is>
          <t>2016-10-13</t>
        </is>
      </c>
      <c r="B2619" s="240">
        <f>IFERROR(1/P2619-1,B2618)</f>
        <v/>
      </c>
      <c r="C2619" s="240">
        <f>$C$3</f>
        <v/>
      </c>
      <c r="D2619" s="240">
        <f>$D$3</f>
        <v/>
      </c>
      <c r="E2619" s="240">
        <f>$E$3</f>
        <v/>
      </c>
      <c r="F2619" s="241" t="n">
        <v>9.77</v>
      </c>
      <c r="G2619" s="242" t="n">
        <v>11695369</v>
      </c>
      <c r="H2619" s="241" t="n">
        <v>0.31</v>
      </c>
      <c r="I2619" s="241" t="n">
        <v>1.77</v>
      </c>
      <c r="J2619" s="241" t="n">
        <v>-27.89</v>
      </c>
      <c r="K2619" s="241" t="n">
        <v>5.33</v>
      </c>
      <c r="L2619" s="242" t="n">
        <v>883400</v>
      </c>
      <c r="M2619" s="241" t="n">
        <v>-2.07</v>
      </c>
      <c r="N2619" s="241" t="n">
        <v>-2.85</v>
      </c>
      <c r="O2619" s="241" t="n">
        <v>-21.24</v>
      </c>
      <c r="P2619" s="241" t="n">
        <v>1.83</v>
      </c>
    </row>
    <row r="2620">
      <c r="A2620" s="282" t="inlineStr">
        <is>
          <t>2016-10-14</t>
        </is>
      </c>
      <c r="B2620" s="240">
        <f>IFERROR(1/P2620-1,B2619)</f>
        <v/>
      </c>
      <c r="C2620" s="240">
        <f>$C$3</f>
        <v/>
      </c>
      <c r="D2620" s="240">
        <f>$D$3</f>
        <v/>
      </c>
      <c r="E2620" s="240">
        <f>$E$3</f>
        <v/>
      </c>
      <c r="F2620" s="241" t="n">
        <v>9.75</v>
      </c>
      <c r="G2620" s="242" t="n">
        <v>8290626</v>
      </c>
      <c r="H2620" s="241" t="n">
        <v>-0.2</v>
      </c>
      <c r="I2620" s="241" t="n">
        <v>1.35</v>
      </c>
      <c r="J2620" s="241" t="n">
        <v>-28.04</v>
      </c>
      <c r="K2620" s="241" t="n">
        <v>5.38</v>
      </c>
      <c r="L2620" s="242" t="n">
        <v>477600</v>
      </c>
      <c r="M2620" s="241" t="n">
        <v>1.14</v>
      </c>
      <c r="N2620" s="241" t="n">
        <v>0.98</v>
      </c>
      <c r="O2620" s="241" t="n">
        <v>-20.34</v>
      </c>
      <c r="P2620" s="241" t="n">
        <v>1.81</v>
      </c>
    </row>
    <row r="2621">
      <c r="A2621" s="282" t="inlineStr">
        <is>
          <t>2016-10-17</t>
        </is>
      </c>
      <c r="B2621" s="240">
        <f>IFERROR(1/P2621-1,B2620)</f>
        <v/>
      </c>
      <c r="C2621" s="240">
        <f>$C$3</f>
        <v/>
      </c>
      <c r="D2621" s="240">
        <f>$D$3</f>
        <v/>
      </c>
      <c r="E2621" s="240">
        <f>$E$3</f>
        <v/>
      </c>
      <c r="F2621" s="241" t="n">
        <v>9.699999999999999</v>
      </c>
      <c r="G2621" s="242" t="n">
        <v>10314160</v>
      </c>
      <c r="H2621" s="241" t="n">
        <v>-0.51</v>
      </c>
      <c r="I2621" s="241" t="n">
        <v>1.25</v>
      </c>
      <c r="J2621" s="241" t="n">
        <v>-28.41</v>
      </c>
      <c r="K2621" s="241" t="n">
        <v>5.33</v>
      </c>
      <c r="L2621" s="242" t="n">
        <v>697200</v>
      </c>
      <c r="M2621" s="241" t="n">
        <v>-1.13</v>
      </c>
      <c r="N2621" s="241" t="n">
        <v>-4.36</v>
      </c>
      <c r="O2621" s="241" t="n">
        <v>-21.24</v>
      </c>
      <c r="P2621" s="241" t="n">
        <v>1.82</v>
      </c>
    </row>
    <row r="2622">
      <c r="A2622" s="282" t="inlineStr">
        <is>
          <t>2016-10-18</t>
        </is>
      </c>
      <c r="B2622" s="240">
        <f>IFERROR(1/P2622-1,B2621)</f>
        <v/>
      </c>
      <c r="C2622" s="240">
        <f>$C$3</f>
        <v/>
      </c>
      <c r="D2622" s="240">
        <f>$D$3</f>
        <v/>
      </c>
      <c r="E2622" s="240">
        <f>$E$3</f>
        <v/>
      </c>
      <c r="F2622" s="241" t="n">
        <v>9.91</v>
      </c>
      <c r="G2622" s="242" t="n">
        <v>20234732</v>
      </c>
      <c r="H2622" s="241" t="n">
        <v>2.16</v>
      </c>
      <c r="I2622" s="241" t="n">
        <v>3.44</v>
      </c>
      <c r="J2622" s="241" t="n">
        <v>-26.86</v>
      </c>
      <c r="K2622" s="241" t="n">
        <v>5.42</v>
      </c>
      <c r="L2622" s="242" t="n">
        <v>772800</v>
      </c>
      <c r="M2622" s="241" t="n">
        <v>1.79</v>
      </c>
      <c r="N2622" s="241" t="n">
        <v>-2.65</v>
      </c>
      <c r="O2622" s="241" t="n">
        <v>-19.83</v>
      </c>
      <c r="P2622" s="241" t="n">
        <v>1.83</v>
      </c>
    </row>
    <row r="2623">
      <c r="A2623" s="282" t="inlineStr">
        <is>
          <t>2016-10-19</t>
        </is>
      </c>
      <c r="B2623" s="240">
        <f>IFERROR(1/P2623-1,B2622)</f>
        <v/>
      </c>
      <c r="C2623" s="240">
        <f>$C$3</f>
        <v/>
      </c>
      <c r="D2623" s="240">
        <f>$D$3</f>
        <v/>
      </c>
      <c r="E2623" s="240">
        <f>$E$3</f>
        <v/>
      </c>
      <c r="F2623" s="241" t="n">
        <v>9.859999999999999</v>
      </c>
      <c r="G2623" s="242" t="n">
        <v>12532032</v>
      </c>
      <c r="H2623" s="241" t="n">
        <v>-0.5</v>
      </c>
      <c r="I2623" s="241" t="n">
        <v>2.92</v>
      </c>
      <c r="J2623" s="241" t="n">
        <v>-27.23</v>
      </c>
      <c r="K2623" s="241" t="n">
        <v>5.41</v>
      </c>
      <c r="L2623" s="242" t="n">
        <v>779100</v>
      </c>
      <c r="M2623" s="241" t="n">
        <v>-0.32</v>
      </c>
      <c r="N2623" s="241" t="n">
        <v>-2.96</v>
      </c>
      <c r="O2623" s="241" t="n">
        <v>-20.08</v>
      </c>
      <c r="P2623" s="241" t="n">
        <v>1.82</v>
      </c>
    </row>
    <row r="2624">
      <c r="A2624" s="282" t="inlineStr">
        <is>
          <t>2016-10-20</t>
        </is>
      </c>
      <c r="B2624" s="240">
        <f>IFERROR(1/P2624-1,B2623)</f>
        <v/>
      </c>
      <c r="C2624" s="240">
        <f>$C$3</f>
        <v/>
      </c>
      <c r="D2624" s="240">
        <f>$D$3</f>
        <v/>
      </c>
      <c r="E2624" s="240">
        <f>$E$3</f>
        <v/>
      </c>
      <c r="F2624" s="241" t="n">
        <v>9.82</v>
      </c>
      <c r="G2624" s="242" t="n">
        <v>7791146</v>
      </c>
      <c r="H2624" s="241" t="n">
        <v>-0.41</v>
      </c>
      <c r="I2624" s="241" t="n">
        <v>0.31</v>
      </c>
      <c r="J2624" s="241" t="n">
        <v>-27.52</v>
      </c>
      <c r="K2624" s="241" t="n">
        <v>5.45</v>
      </c>
      <c r="L2624" s="242" t="n">
        <v>919000</v>
      </c>
      <c r="M2624" s="241" t="n">
        <v>0.8</v>
      </c>
      <c r="N2624" s="241" t="n">
        <v>-2.79</v>
      </c>
      <c r="O2624" s="241" t="n">
        <v>-19.44</v>
      </c>
      <c r="P2624" s="241" t="n">
        <v>1.8</v>
      </c>
    </row>
    <row r="2625">
      <c r="A2625" s="282" t="inlineStr">
        <is>
          <t>2016-10-21</t>
        </is>
      </c>
      <c r="B2625" s="240">
        <f>IFERROR(1/P2625-1,B2624)</f>
        <v/>
      </c>
      <c r="C2625" s="240">
        <f>$C$3</f>
        <v/>
      </c>
      <c r="D2625" s="240">
        <f>$D$3</f>
        <v/>
      </c>
      <c r="E2625" s="240">
        <f>$E$3</f>
        <v/>
      </c>
      <c r="F2625" s="241" t="n">
        <v>9.880000000000001</v>
      </c>
      <c r="G2625" s="242" t="n">
        <v>14389119</v>
      </c>
      <c r="H2625" s="241" t="n">
        <v>0.61</v>
      </c>
      <c r="I2625" s="241" t="n">
        <v>1.96</v>
      </c>
      <c r="J2625" s="241" t="n">
        <v>-27.08</v>
      </c>
      <c r="K2625" s="239" t="inlineStr">
        <is>
          <t>--</t>
        </is>
      </c>
      <c r="L2625" s="239" t="inlineStr">
        <is>
          <t>--</t>
        </is>
      </c>
      <c r="M2625" s="239" t="inlineStr">
        <is>
          <t>--</t>
        </is>
      </c>
      <c r="N2625" s="239" t="inlineStr">
        <is>
          <t>--</t>
        </is>
      </c>
      <c r="O2625" s="239" t="inlineStr">
        <is>
          <t>--</t>
        </is>
      </c>
      <c r="P2625" s="239" t="inlineStr">
        <is>
          <t>--</t>
        </is>
      </c>
    </row>
    <row r="2626">
      <c r="A2626" s="282" t="inlineStr">
        <is>
          <t>2016-10-24</t>
        </is>
      </c>
      <c r="B2626" s="240">
        <f>IFERROR(1/P2626-1,B2625)</f>
        <v/>
      </c>
      <c r="C2626" s="240">
        <f>$C$3</f>
        <v/>
      </c>
      <c r="D2626" s="240">
        <f>$D$3</f>
        <v/>
      </c>
      <c r="E2626" s="240">
        <f>$E$3</f>
        <v/>
      </c>
      <c r="F2626" s="241" t="n">
        <v>9.99</v>
      </c>
      <c r="G2626" s="242" t="n">
        <v>25797249</v>
      </c>
      <c r="H2626" s="241" t="n">
        <v>1.11</v>
      </c>
      <c r="I2626" s="241" t="n">
        <v>3.31</v>
      </c>
      <c r="J2626" s="241" t="n">
        <v>-26.27</v>
      </c>
      <c r="K2626" s="241" t="n">
        <v>5.52</v>
      </c>
      <c r="L2626" s="242" t="n">
        <v>1558000</v>
      </c>
      <c r="M2626" s="241" t="n">
        <v>0.8</v>
      </c>
      <c r="N2626" s="241" t="n">
        <v>-1.56</v>
      </c>
      <c r="O2626" s="241" t="n">
        <v>-18.8</v>
      </c>
      <c r="P2626" s="241" t="n">
        <v>1.81</v>
      </c>
    </row>
    <row r="2627">
      <c r="A2627" s="282" t="inlineStr">
        <is>
          <t>2016-10-25</t>
        </is>
      </c>
      <c r="B2627" s="240">
        <f>IFERROR(1/P2627-1,B2626)</f>
        <v/>
      </c>
      <c r="C2627" s="240">
        <f>$C$3</f>
        <v/>
      </c>
      <c r="D2627" s="240">
        <f>$D$3</f>
        <v/>
      </c>
      <c r="E2627" s="240">
        <f>$E$3</f>
        <v/>
      </c>
      <c r="F2627" s="241" t="n">
        <v>9.92</v>
      </c>
      <c r="G2627" s="242" t="n">
        <v>13934324</v>
      </c>
      <c r="H2627" s="241" t="n">
        <v>-0.7</v>
      </c>
      <c r="I2627" s="241" t="n">
        <v>2.59</v>
      </c>
      <c r="J2627" s="241" t="n">
        <v>-26.79</v>
      </c>
      <c r="K2627" s="241" t="n">
        <v>5.55</v>
      </c>
      <c r="L2627" s="242" t="n">
        <v>906502</v>
      </c>
      <c r="M2627" s="241" t="n">
        <v>0.32</v>
      </c>
      <c r="N2627" s="241" t="n">
        <v>-1.24</v>
      </c>
      <c r="O2627" s="241" t="n">
        <v>-18.54</v>
      </c>
      <c r="P2627" s="241" t="n">
        <v>1.79</v>
      </c>
    </row>
    <row r="2628">
      <c r="A2628" s="282" t="inlineStr">
        <is>
          <t>2016-10-26</t>
        </is>
      </c>
      <c r="B2628" s="240">
        <f>IFERROR(1/P2628-1,B2627)</f>
        <v/>
      </c>
      <c r="C2628" s="240">
        <f>$C$3</f>
        <v/>
      </c>
      <c r="D2628" s="240">
        <f>$D$3</f>
        <v/>
      </c>
      <c r="E2628" s="240">
        <f>$E$3</f>
        <v/>
      </c>
      <c r="F2628" s="241" t="n">
        <v>9.85</v>
      </c>
      <c r="G2628" s="242" t="n">
        <v>12212325</v>
      </c>
      <c r="H2628" s="241" t="n">
        <v>-0.71</v>
      </c>
      <c r="I2628" s="241" t="n">
        <v>1.86</v>
      </c>
      <c r="J2628" s="241" t="n">
        <v>-27.3</v>
      </c>
      <c r="K2628" s="241" t="n">
        <v>5.42</v>
      </c>
      <c r="L2628" s="242" t="n">
        <v>1510000</v>
      </c>
      <c r="M2628" s="241" t="n">
        <v>-2.2</v>
      </c>
      <c r="N2628" s="241" t="n">
        <v>-3.42</v>
      </c>
      <c r="O2628" s="241" t="n">
        <v>-20.34</v>
      </c>
      <c r="P2628" s="241" t="n">
        <v>1.82</v>
      </c>
    </row>
    <row r="2629">
      <c r="A2629" s="282" t="inlineStr">
        <is>
          <t>2016-10-27</t>
        </is>
      </c>
      <c r="B2629" s="240">
        <f>IFERROR(1/P2629-1,B2628)</f>
        <v/>
      </c>
      <c r="C2629" s="240">
        <f>$C$3</f>
        <v/>
      </c>
      <c r="D2629" s="240">
        <f>$D$3</f>
        <v/>
      </c>
      <c r="E2629" s="240">
        <f>$E$3</f>
        <v/>
      </c>
      <c r="F2629" s="241" t="n">
        <v>9.859999999999999</v>
      </c>
      <c r="G2629" s="242" t="n">
        <v>7442669</v>
      </c>
      <c r="H2629" s="241" t="n">
        <v>0.1</v>
      </c>
      <c r="I2629" s="241" t="n">
        <v>3.25</v>
      </c>
      <c r="J2629" s="241" t="n">
        <v>-27.23</v>
      </c>
      <c r="K2629" s="241" t="n">
        <v>5.38</v>
      </c>
      <c r="L2629" s="242" t="n">
        <v>1078600</v>
      </c>
      <c r="M2629" s="241" t="n">
        <v>-0.8100000000000001</v>
      </c>
      <c r="N2629" s="241" t="n">
        <v>-0.8100000000000001</v>
      </c>
      <c r="O2629" s="241" t="n">
        <v>-20.98</v>
      </c>
      <c r="P2629" s="241" t="n">
        <v>1.83</v>
      </c>
    </row>
    <row r="2630">
      <c r="A2630" s="282" t="inlineStr">
        <is>
          <t>2016-10-28</t>
        </is>
      </c>
      <c r="B2630" s="240">
        <f>IFERROR(1/P2630-1,B2629)</f>
        <v/>
      </c>
      <c r="C2630" s="240">
        <f>$C$3</f>
        <v/>
      </c>
      <c r="D2630" s="240">
        <f>$D$3</f>
        <v/>
      </c>
      <c r="E2630" s="240">
        <f>$E$3</f>
        <v/>
      </c>
      <c r="F2630" s="241" t="n">
        <v>9.73</v>
      </c>
      <c r="G2630" s="242" t="n">
        <v>11399334</v>
      </c>
      <c r="H2630" s="241" t="n">
        <v>-1.32</v>
      </c>
      <c r="I2630" s="241" t="n">
        <v>1.25</v>
      </c>
      <c r="J2630" s="241" t="n">
        <v>-28.19</v>
      </c>
      <c r="K2630" s="241" t="n">
        <v>5.4</v>
      </c>
      <c r="L2630" s="242" t="n">
        <v>761200</v>
      </c>
      <c r="M2630" s="241" t="n">
        <v>0.16</v>
      </c>
      <c r="N2630" s="241" t="n">
        <v>-1.12</v>
      </c>
      <c r="O2630" s="241" t="n">
        <v>-20.85</v>
      </c>
      <c r="P2630" s="241" t="n">
        <v>1.8</v>
      </c>
    </row>
    <row r="2631">
      <c r="A2631" s="282" t="inlineStr">
        <is>
          <t>2016-10-31</t>
        </is>
      </c>
      <c r="B2631" s="240">
        <f>IFERROR(1/P2631-1,B2630)</f>
        <v/>
      </c>
      <c r="C2631" s="240">
        <f>$C$3</f>
        <v/>
      </c>
      <c r="D2631" s="240">
        <f>$D$3</f>
        <v/>
      </c>
      <c r="E2631" s="240">
        <f>$E$3</f>
        <v/>
      </c>
      <c r="F2631" s="241" t="n">
        <v>9.720000000000001</v>
      </c>
      <c r="G2631" s="242" t="n">
        <v>6398622</v>
      </c>
      <c r="H2631" s="241" t="n">
        <v>-0.1</v>
      </c>
      <c r="I2631" s="241" t="n">
        <v>1.25</v>
      </c>
      <c r="J2631" s="241" t="n">
        <v>-28.26</v>
      </c>
      <c r="K2631" s="241" t="n">
        <v>5.24</v>
      </c>
      <c r="L2631" s="242" t="n">
        <v>1785500</v>
      </c>
      <c r="M2631" s="241" t="n">
        <v>-2.59</v>
      </c>
      <c r="N2631" s="241" t="n">
        <v>-3.22</v>
      </c>
      <c r="O2631" s="241" t="n">
        <v>-22.91</v>
      </c>
      <c r="P2631" s="241" t="n">
        <v>1.85</v>
      </c>
    </row>
    <row r="2632">
      <c r="A2632" s="282" t="inlineStr">
        <is>
          <t>2016-11-01</t>
        </is>
      </c>
      <c r="B2632" s="240">
        <f>IFERROR(1/P2632-1,B2631)</f>
        <v/>
      </c>
      <c r="C2632" s="240">
        <f>$C$3</f>
        <v/>
      </c>
      <c r="D2632" s="240">
        <f>$D$3</f>
        <v/>
      </c>
      <c r="E2632" s="240">
        <f>$E$3</f>
        <v/>
      </c>
      <c r="F2632" s="241" t="n">
        <v>9.76</v>
      </c>
      <c r="G2632" s="242" t="n">
        <v>5976565</v>
      </c>
      <c r="H2632" s="241" t="n">
        <v>0.41</v>
      </c>
      <c r="I2632" s="241" t="n">
        <v>1.67</v>
      </c>
      <c r="J2632" s="241" t="n">
        <v>-27.97</v>
      </c>
      <c r="K2632" s="241" t="n">
        <v>5.28</v>
      </c>
      <c r="L2632" s="242" t="n">
        <v>868600</v>
      </c>
      <c r="M2632" s="241" t="n">
        <v>0.5</v>
      </c>
      <c r="N2632" s="241" t="n">
        <v>-1.47</v>
      </c>
      <c r="O2632" s="241" t="n">
        <v>-22.52</v>
      </c>
      <c r="P2632" s="241" t="n">
        <v>1.85</v>
      </c>
    </row>
    <row r="2633">
      <c r="A2633" s="282" t="inlineStr">
        <is>
          <t>2016-11-02</t>
        </is>
      </c>
      <c r="B2633" s="240">
        <f>IFERROR(1/P2633-1,B2632)</f>
        <v/>
      </c>
      <c r="C2633" s="240">
        <f>$C$3</f>
        <v/>
      </c>
      <c r="D2633" s="240">
        <f>$D$3</f>
        <v/>
      </c>
      <c r="E2633" s="240">
        <f>$E$3</f>
        <v/>
      </c>
      <c r="F2633" s="241" t="n">
        <v>9.630000000000001</v>
      </c>
      <c r="G2633" s="242" t="n">
        <v>11965194</v>
      </c>
      <c r="H2633" s="241" t="n">
        <v>-1.33</v>
      </c>
      <c r="I2633" s="241" t="n">
        <v>0.31</v>
      </c>
      <c r="J2633" s="241" t="n">
        <v>-28.93</v>
      </c>
      <c r="K2633" s="241" t="n">
        <v>5.21</v>
      </c>
      <c r="L2633" s="242" t="n">
        <v>1434000</v>
      </c>
      <c r="M2633" s="241" t="n">
        <v>-0.99</v>
      </c>
      <c r="N2633" s="241" t="n">
        <v>-2.45</v>
      </c>
      <c r="O2633" s="241" t="n">
        <v>-23.29</v>
      </c>
      <c r="P2633" s="241" t="n">
        <v>1.85</v>
      </c>
    </row>
    <row r="2634">
      <c r="A2634" s="282" t="inlineStr">
        <is>
          <t>2016-11-03</t>
        </is>
      </c>
      <c r="B2634" s="240">
        <f>IFERROR(1/P2634-1,B2633)</f>
        <v/>
      </c>
      <c r="C2634" s="240">
        <f>$C$3</f>
        <v/>
      </c>
      <c r="D2634" s="240">
        <f>$D$3</f>
        <v/>
      </c>
      <c r="E2634" s="240">
        <f>$E$3</f>
        <v/>
      </c>
      <c r="F2634" s="241" t="n">
        <v>9.69</v>
      </c>
      <c r="G2634" s="242" t="n">
        <v>10796380</v>
      </c>
      <c r="H2634" s="241" t="n">
        <v>0.62</v>
      </c>
      <c r="I2634" s="241" t="n">
        <v>0.9399999999999999</v>
      </c>
      <c r="J2634" s="241" t="n">
        <v>-28.48</v>
      </c>
      <c r="K2634" s="241" t="n">
        <v>5.18</v>
      </c>
      <c r="L2634" s="242" t="n">
        <v>850800</v>
      </c>
      <c r="M2634" s="241" t="n">
        <v>-0.5</v>
      </c>
      <c r="N2634" s="241" t="n">
        <v>-2.94</v>
      </c>
      <c r="O2634" s="241" t="n">
        <v>-23.68</v>
      </c>
      <c r="P2634" s="241" t="n">
        <v>1.87</v>
      </c>
    </row>
    <row r="2635">
      <c r="A2635" s="282" t="inlineStr">
        <is>
          <t>2016-11-04</t>
        </is>
      </c>
      <c r="B2635" s="240">
        <f>IFERROR(1/P2635-1,B2634)</f>
        <v/>
      </c>
      <c r="C2635" s="240">
        <f>$C$3</f>
        <v/>
      </c>
      <c r="D2635" s="240">
        <f>$D$3</f>
        <v/>
      </c>
      <c r="E2635" s="240">
        <f>$E$3</f>
        <v/>
      </c>
      <c r="F2635" s="241" t="n">
        <v>9.640000000000001</v>
      </c>
      <c r="G2635" s="242" t="n">
        <v>9135387</v>
      </c>
      <c r="H2635" s="241" t="n">
        <v>-0.52</v>
      </c>
      <c r="I2635" s="241" t="n">
        <v>0.42</v>
      </c>
      <c r="J2635" s="241" t="n">
        <v>-28.85</v>
      </c>
      <c r="K2635" s="241" t="n">
        <v>5.14</v>
      </c>
      <c r="L2635" s="242" t="n">
        <v>972909</v>
      </c>
      <c r="M2635" s="241" t="n">
        <v>-0.67</v>
      </c>
      <c r="N2635" s="241" t="n">
        <v>-2.96</v>
      </c>
      <c r="O2635" s="241" t="n">
        <v>-24.19</v>
      </c>
      <c r="P2635" s="241" t="n">
        <v>1.87</v>
      </c>
    </row>
    <row r="2636">
      <c r="A2636" s="282" t="inlineStr">
        <is>
          <t>2016-11-07</t>
        </is>
      </c>
      <c r="B2636" s="240">
        <f>IFERROR(1/P2636-1,B2635)</f>
        <v/>
      </c>
      <c r="C2636" s="240">
        <f>$C$3</f>
        <v/>
      </c>
      <c r="D2636" s="240">
        <f>$D$3</f>
        <v/>
      </c>
      <c r="E2636" s="240">
        <f>$E$3</f>
        <v/>
      </c>
      <c r="F2636" s="241" t="n">
        <v>9.83</v>
      </c>
      <c r="G2636" s="242" t="n">
        <v>18017346</v>
      </c>
      <c r="H2636" s="241" t="n">
        <v>1.97</v>
      </c>
      <c r="I2636" s="241" t="n">
        <v>2.4</v>
      </c>
      <c r="J2636" s="241" t="n">
        <v>-27.45</v>
      </c>
      <c r="K2636" s="241" t="n">
        <v>5.27</v>
      </c>
      <c r="L2636" s="242" t="n">
        <v>737200</v>
      </c>
      <c r="M2636" s="241" t="n">
        <v>2.03</v>
      </c>
      <c r="N2636" s="241" t="n">
        <v>-4.89</v>
      </c>
      <c r="O2636" s="241" t="n">
        <v>-22.65</v>
      </c>
      <c r="P2636" s="241" t="n">
        <v>1.87</v>
      </c>
    </row>
    <row r="2637">
      <c r="A2637" s="282" t="inlineStr">
        <is>
          <t>2016-11-08</t>
        </is>
      </c>
      <c r="B2637" s="240">
        <f>IFERROR(1/P2637-1,B2636)</f>
        <v/>
      </c>
      <c r="C2637" s="240">
        <f>$C$3</f>
        <v/>
      </c>
      <c r="D2637" s="240">
        <f>$D$3</f>
        <v/>
      </c>
      <c r="E2637" s="240">
        <f>$E$3</f>
        <v/>
      </c>
      <c r="F2637" s="241" t="n">
        <v>9.83</v>
      </c>
      <c r="G2637" s="242" t="n">
        <v>13243971</v>
      </c>
      <c r="H2637" s="241" t="n">
        <v>0</v>
      </c>
      <c r="I2637" s="241" t="n">
        <v>2.4</v>
      </c>
      <c r="J2637" s="241" t="n">
        <v>-27.45</v>
      </c>
      <c r="K2637" s="241" t="n">
        <v>5.32</v>
      </c>
      <c r="L2637" s="242" t="n">
        <v>491200</v>
      </c>
      <c r="M2637" s="241" t="n">
        <v>0.83</v>
      </c>
      <c r="N2637" s="241" t="n">
        <v>-3.34</v>
      </c>
      <c r="O2637" s="241" t="n">
        <v>-22.01</v>
      </c>
      <c r="P2637" s="241" t="n">
        <v>1.85</v>
      </c>
    </row>
    <row r="2638">
      <c r="A2638" s="282" t="inlineStr">
        <is>
          <t>2016-11-09</t>
        </is>
      </c>
      <c r="B2638" s="240">
        <f>IFERROR(1/P2638-1,B2637)</f>
        <v/>
      </c>
      <c r="C2638" s="240">
        <f>$C$3</f>
        <v/>
      </c>
      <c r="D2638" s="240">
        <f>$D$3</f>
        <v/>
      </c>
      <c r="E2638" s="240">
        <f>$E$3</f>
        <v/>
      </c>
      <c r="F2638" s="241" t="n">
        <v>9.720000000000001</v>
      </c>
      <c r="G2638" s="242" t="n">
        <v>12218675</v>
      </c>
      <c r="H2638" s="241" t="n">
        <v>-1.12</v>
      </c>
      <c r="I2638" s="241" t="n">
        <v>1.25</v>
      </c>
      <c r="J2638" s="241" t="n">
        <v>-28.26</v>
      </c>
      <c r="K2638" s="241" t="n">
        <v>5.17</v>
      </c>
      <c r="L2638" s="242" t="n">
        <v>1497800</v>
      </c>
      <c r="M2638" s="241" t="n">
        <v>-2.8</v>
      </c>
      <c r="N2638" s="241" t="n">
        <v>-6.04</v>
      </c>
      <c r="O2638" s="241" t="n">
        <v>-24.19</v>
      </c>
      <c r="P2638" s="241" t="n">
        <v>1.88</v>
      </c>
    </row>
    <row r="2639">
      <c r="A2639" s="282" t="inlineStr">
        <is>
          <t>2016-11-10</t>
        </is>
      </c>
      <c r="B2639" s="240">
        <f>IFERROR(1/P2639-1,B2638)</f>
        <v/>
      </c>
      <c r="C2639" s="240">
        <f>$C$3</f>
        <v/>
      </c>
      <c r="D2639" s="240">
        <f>$D$3</f>
        <v/>
      </c>
      <c r="E2639" s="240">
        <f>$E$3</f>
        <v/>
      </c>
      <c r="F2639" s="241" t="n">
        <v>9.85</v>
      </c>
      <c r="G2639" s="242" t="n">
        <v>14274363</v>
      </c>
      <c r="H2639" s="241" t="n">
        <v>1.34</v>
      </c>
      <c r="I2639" s="241" t="n">
        <v>2.6</v>
      </c>
      <c r="J2639" s="241" t="n">
        <v>-27.3</v>
      </c>
      <c r="K2639" s="241" t="n">
        <v>5.29</v>
      </c>
      <c r="L2639" s="242" t="n">
        <v>883800</v>
      </c>
      <c r="M2639" s="241" t="n">
        <v>2.2</v>
      </c>
      <c r="N2639" s="241" t="n">
        <v>-3.97</v>
      </c>
      <c r="O2639" s="241" t="n">
        <v>-22.52</v>
      </c>
      <c r="P2639" s="241" t="n">
        <v>1.86</v>
      </c>
    </row>
    <row r="2640">
      <c r="A2640" s="282" t="inlineStr">
        <is>
          <t>2016-11-11</t>
        </is>
      </c>
      <c r="B2640" s="240">
        <f>IFERROR(1/P2640-1,B2639)</f>
        <v/>
      </c>
      <c r="C2640" s="240">
        <f>$C$3</f>
        <v/>
      </c>
      <c r="D2640" s="240">
        <f>$D$3</f>
        <v/>
      </c>
      <c r="E2640" s="240">
        <f>$E$3</f>
        <v/>
      </c>
      <c r="F2640" s="241" t="n">
        <v>9.970000000000001</v>
      </c>
      <c r="G2640" s="242" t="n">
        <v>28950471</v>
      </c>
      <c r="H2640" s="241" t="n">
        <v>1.22</v>
      </c>
      <c r="I2640" s="241" t="n">
        <v>2.68</v>
      </c>
      <c r="J2640" s="241" t="n">
        <v>-26.42</v>
      </c>
      <c r="K2640" s="241" t="n">
        <v>5.29</v>
      </c>
      <c r="L2640" s="242" t="n">
        <v>681800</v>
      </c>
      <c r="M2640" s="241" t="n">
        <v>-0.33</v>
      </c>
      <c r="N2640" s="241" t="n">
        <v>-4.29</v>
      </c>
      <c r="O2640" s="241" t="n">
        <v>-22.78</v>
      </c>
      <c r="P2640" s="241" t="n">
        <v>1.89</v>
      </c>
    </row>
    <row r="2641">
      <c r="A2641" s="282" t="inlineStr">
        <is>
          <t>2016-11-14</t>
        </is>
      </c>
      <c r="B2641" s="240">
        <f>IFERROR(1/P2641-1,B2640)</f>
        <v/>
      </c>
      <c r="C2641" s="240">
        <f>$C$3</f>
        <v/>
      </c>
      <c r="D2641" s="240">
        <f>$D$3</f>
        <v/>
      </c>
      <c r="E2641" s="240">
        <f>$E$3</f>
        <v/>
      </c>
      <c r="F2641" s="241" t="n">
        <v>10.05</v>
      </c>
      <c r="G2641" s="242" t="n">
        <v>31665402</v>
      </c>
      <c r="H2641" s="241" t="n">
        <v>0.8</v>
      </c>
      <c r="I2641" s="241" t="n">
        <v>2.87</v>
      </c>
      <c r="J2641" s="241" t="n">
        <v>-25.83</v>
      </c>
      <c r="K2641" s="241" t="n">
        <v>5.31</v>
      </c>
      <c r="L2641" s="242" t="n">
        <v>706800</v>
      </c>
      <c r="M2641" s="241" t="n">
        <v>0.17</v>
      </c>
      <c r="N2641" s="241" t="n">
        <v>-1.79</v>
      </c>
      <c r="O2641" s="241" t="n">
        <v>-22.65</v>
      </c>
      <c r="P2641" s="241" t="n">
        <v>1.89</v>
      </c>
    </row>
    <row r="2642">
      <c r="A2642" s="282" t="inlineStr">
        <is>
          <t>2016-11-15</t>
        </is>
      </c>
      <c r="B2642" s="240">
        <f>IFERROR(1/P2642-1,B2641)</f>
        <v/>
      </c>
      <c r="C2642" s="240">
        <f>$C$3</f>
        <v/>
      </c>
      <c r="D2642" s="240">
        <f>$D$3</f>
        <v/>
      </c>
      <c r="E2642" s="240">
        <f>$E$3</f>
        <v/>
      </c>
      <c r="F2642" s="241" t="n">
        <v>10.06</v>
      </c>
      <c r="G2642" s="242" t="n">
        <v>20939694</v>
      </c>
      <c r="H2642" s="241" t="n">
        <v>0.1</v>
      </c>
      <c r="I2642" s="241" t="n">
        <v>3.18</v>
      </c>
      <c r="J2642" s="241" t="n">
        <v>-25.75</v>
      </c>
      <c r="K2642" s="241" t="n">
        <v>5.33</v>
      </c>
      <c r="L2642" s="242" t="n">
        <v>557138</v>
      </c>
      <c r="M2642" s="241" t="n">
        <v>0.17</v>
      </c>
      <c r="N2642" s="241" t="n">
        <v>-2.74</v>
      </c>
      <c r="O2642" s="241" t="n">
        <v>-22.52</v>
      </c>
      <c r="P2642" s="241" t="n">
        <v>1.89</v>
      </c>
    </row>
    <row r="2643">
      <c r="A2643" s="282" t="inlineStr">
        <is>
          <t>2016-11-16</t>
        </is>
      </c>
      <c r="B2643" s="240">
        <f>IFERROR(1/P2643-1,B2642)</f>
        <v/>
      </c>
      <c r="C2643" s="240">
        <f>$C$3</f>
        <v/>
      </c>
      <c r="D2643" s="240">
        <f>$D$3</f>
        <v/>
      </c>
      <c r="E2643" s="240">
        <f>$E$3</f>
        <v/>
      </c>
      <c r="F2643" s="241" t="n">
        <v>10.06</v>
      </c>
      <c r="G2643" s="242" t="n">
        <v>17111365</v>
      </c>
      <c r="H2643" s="241" t="n">
        <v>0</v>
      </c>
      <c r="I2643" s="241" t="n">
        <v>3.18</v>
      </c>
      <c r="J2643" s="241" t="n">
        <v>-25.75</v>
      </c>
      <c r="K2643" s="241" t="n">
        <v>5.38</v>
      </c>
      <c r="L2643" s="242" t="n">
        <v>1422600</v>
      </c>
      <c r="M2643" s="241" t="n">
        <v>0.66</v>
      </c>
      <c r="N2643" s="241" t="n">
        <v>-2.09</v>
      </c>
      <c r="O2643" s="241" t="n">
        <v>-22.01</v>
      </c>
      <c r="P2643" s="241" t="n">
        <v>1.87</v>
      </c>
    </row>
    <row r="2644">
      <c r="A2644" s="282" t="inlineStr">
        <is>
          <t>2016-11-17</t>
        </is>
      </c>
      <c r="B2644" s="240">
        <f>IFERROR(1/P2644-1,B2643)</f>
        <v/>
      </c>
      <c r="C2644" s="240">
        <f>$C$3</f>
        <v/>
      </c>
      <c r="D2644" s="240">
        <f>$D$3</f>
        <v/>
      </c>
      <c r="E2644" s="240">
        <f>$E$3</f>
        <v/>
      </c>
      <c r="F2644" s="241" t="n">
        <v>10.21</v>
      </c>
      <c r="G2644" s="242" t="n">
        <v>26690048</v>
      </c>
      <c r="H2644" s="241" t="n">
        <v>1.49</v>
      </c>
      <c r="I2644" s="241" t="n">
        <v>4.72</v>
      </c>
      <c r="J2644" s="241" t="n">
        <v>-24.64</v>
      </c>
      <c r="K2644" s="241" t="n">
        <v>5.45</v>
      </c>
      <c r="L2644" s="242" t="n">
        <v>743600</v>
      </c>
      <c r="M2644" s="241" t="n">
        <v>1.32</v>
      </c>
      <c r="N2644" s="241" t="n">
        <v>-0.8100000000000001</v>
      </c>
      <c r="O2644" s="241" t="n">
        <v>-20.98</v>
      </c>
      <c r="P2644" s="241" t="n">
        <v>1.87</v>
      </c>
    </row>
    <row r="2645">
      <c r="A2645" s="282" t="inlineStr">
        <is>
          <t>2016-11-18</t>
        </is>
      </c>
      <c r="B2645" s="240">
        <f>IFERROR(1/P2645-1,B2644)</f>
        <v/>
      </c>
      <c r="C2645" s="240">
        <f>$C$3</f>
        <v/>
      </c>
      <c r="D2645" s="240">
        <f>$D$3</f>
        <v/>
      </c>
      <c r="E2645" s="240">
        <f>$E$3</f>
        <v/>
      </c>
      <c r="F2645" s="241" t="n">
        <v>10.06</v>
      </c>
      <c r="G2645" s="242" t="n">
        <v>24906297</v>
      </c>
      <c r="H2645" s="241" t="n">
        <v>-1.47</v>
      </c>
      <c r="I2645" s="241" t="n">
        <v>3.71</v>
      </c>
      <c r="J2645" s="241" t="n">
        <v>-25.75</v>
      </c>
      <c r="K2645" s="241" t="n">
        <v>5.39</v>
      </c>
      <c r="L2645" s="242" t="n">
        <v>1049400</v>
      </c>
      <c r="M2645" s="241" t="n">
        <v>-1.3</v>
      </c>
      <c r="N2645" s="241" t="n">
        <v>-0.98</v>
      </c>
      <c r="O2645" s="241" t="n">
        <v>-22.01</v>
      </c>
      <c r="P2645" s="241" t="n">
        <v>1.87</v>
      </c>
    </row>
    <row r="2646">
      <c r="A2646" s="282" t="inlineStr">
        <is>
          <t>2016-11-21</t>
        </is>
      </c>
      <c r="B2646" s="240">
        <f>IFERROR(1/P2646-1,B2645)</f>
        <v/>
      </c>
      <c r="C2646" s="240">
        <f>$C$3</f>
        <v/>
      </c>
      <c r="D2646" s="240">
        <f>$D$3</f>
        <v/>
      </c>
      <c r="E2646" s="240">
        <f>$E$3</f>
        <v/>
      </c>
      <c r="F2646" s="241" t="n">
        <v>10.09</v>
      </c>
      <c r="G2646" s="242" t="n">
        <v>14880864</v>
      </c>
      <c r="H2646" s="241" t="n">
        <v>0.3</v>
      </c>
      <c r="I2646" s="241" t="n">
        <v>2.75</v>
      </c>
      <c r="J2646" s="241" t="n">
        <v>-25.53</v>
      </c>
      <c r="K2646" s="241" t="n">
        <v>5.47</v>
      </c>
      <c r="L2646" s="242" t="n">
        <v>830400</v>
      </c>
      <c r="M2646" s="241" t="n">
        <v>1.15</v>
      </c>
      <c r="N2646" s="241" t="n">
        <v>-2.07</v>
      </c>
      <c r="O2646" s="241" t="n">
        <v>-21.11</v>
      </c>
      <c r="P2646" s="241" t="n">
        <v>1.84</v>
      </c>
    </row>
    <row r="2647">
      <c r="A2647" s="282" t="inlineStr">
        <is>
          <t>2016-11-22</t>
        </is>
      </c>
      <c r="B2647" s="240">
        <f>IFERROR(1/P2647-1,B2646)</f>
        <v/>
      </c>
      <c r="C2647" s="240">
        <f>$C$3</f>
        <v/>
      </c>
      <c r="D2647" s="240">
        <f>$D$3</f>
        <v/>
      </c>
      <c r="E2647" s="240">
        <f>$E$3</f>
        <v/>
      </c>
      <c r="F2647" s="241" t="n">
        <v>10.27</v>
      </c>
      <c r="G2647" s="242" t="n">
        <v>21974469</v>
      </c>
      <c r="H2647" s="241" t="n">
        <v>1.78</v>
      </c>
      <c r="I2647" s="241" t="n">
        <v>3.95</v>
      </c>
      <c r="J2647" s="241" t="n">
        <v>-24.2</v>
      </c>
      <c r="K2647" s="241" t="n">
        <v>5.63</v>
      </c>
      <c r="L2647" s="242" t="n">
        <v>2567200</v>
      </c>
      <c r="M2647" s="241" t="n">
        <v>3.25</v>
      </c>
      <c r="N2647" s="241" t="n">
        <v>1.11</v>
      </c>
      <c r="O2647" s="241" t="n">
        <v>-18.54</v>
      </c>
      <c r="P2647" s="241" t="n">
        <v>1.82</v>
      </c>
    </row>
    <row r="2648">
      <c r="A2648" s="282" t="inlineStr">
        <is>
          <t>2016-11-23</t>
        </is>
      </c>
      <c r="B2648" s="240">
        <f>IFERROR(1/P2648-1,B2647)</f>
        <v/>
      </c>
      <c r="C2648" s="240">
        <f>$C$3</f>
        <v/>
      </c>
      <c r="D2648" s="240">
        <f>$D$3</f>
        <v/>
      </c>
      <c r="E2648" s="240">
        <f>$E$3</f>
        <v/>
      </c>
      <c r="F2648" s="241" t="n">
        <v>10.22</v>
      </c>
      <c r="G2648" s="242" t="n">
        <v>27055059</v>
      </c>
      <c r="H2648" s="241" t="n">
        <v>-0.49</v>
      </c>
      <c r="I2648" s="241" t="n">
        <v>3.44</v>
      </c>
      <c r="J2648" s="241" t="n">
        <v>-24.57</v>
      </c>
      <c r="K2648" s="241" t="n">
        <v>5.6</v>
      </c>
      <c r="L2648" s="242" t="n">
        <v>2594200</v>
      </c>
      <c r="M2648" s="241" t="n">
        <v>-0.79</v>
      </c>
      <c r="N2648" s="241" t="n">
        <v>0.32</v>
      </c>
      <c r="O2648" s="241" t="n">
        <v>-19.19</v>
      </c>
      <c r="P2648" s="241" t="n">
        <v>1.83</v>
      </c>
    </row>
    <row r="2649">
      <c r="A2649" s="282" t="inlineStr">
        <is>
          <t>2016-11-24</t>
        </is>
      </c>
      <c r="B2649" s="240">
        <f>IFERROR(1/P2649-1,B2648)</f>
        <v/>
      </c>
      <c r="C2649" s="240">
        <f>$C$3</f>
        <v/>
      </c>
      <c r="D2649" s="240">
        <f>$D$3</f>
        <v/>
      </c>
      <c r="E2649" s="240">
        <f>$E$3</f>
        <v/>
      </c>
      <c r="F2649" s="241" t="n">
        <v>10.16</v>
      </c>
      <c r="G2649" s="242" t="n">
        <v>16324915</v>
      </c>
      <c r="H2649" s="241" t="n">
        <v>-0.59</v>
      </c>
      <c r="I2649" s="241" t="n">
        <v>2.83</v>
      </c>
      <c r="J2649" s="241" t="n">
        <v>-25.01</v>
      </c>
      <c r="K2649" s="241" t="n">
        <v>5.59</v>
      </c>
      <c r="L2649" s="242" t="n">
        <v>989200</v>
      </c>
      <c r="M2649" s="241" t="n">
        <v>-0.32</v>
      </c>
      <c r="N2649" s="241" t="n">
        <v>0</v>
      </c>
      <c r="O2649" s="241" t="n">
        <v>-19.44</v>
      </c>
      <c r="P2649" s="241" t="n">
        <v>1.82</v>
      </c>
    </row>
    <row r="2650">
      <c r="A2650" s="282" t="inlineStr">
        <is>
          <t>2016-11-25</t>
        </is>
      </c>
      <c r="B2650" s="240">
        <f>IFERROR(1/P2650-1,B2649)</f>
        <v/>
      </c>
      <c r="C2650" s="240">
        <f>$C$3</f>
        <v/>
      </c>
      <c r="D2650" s="240">
        <f>$D$3</f>
        <v/>
      </c>
      <c r="E2650" s="240">
        <f>$E$3</f>
        <v/>
      </c>
      <c r="F2650" s="241" t="n">
        <v>10.24</v>
      </c>
      <c r="G2650" s="242" t="n">
        <v>14011688</v>
      </c>
      <c r="H2650" s="241" t="n">
        <v>0.79</v>
      </c>
      <c r="I2650" s="241" t="n">
        <v>2.5</v>
      </c>
      <c r="J2650" s="241" t="n">
        <v>-24.42</v>
      </c>
      <c r="K2650" s="241" t="n">
        <v>5.66</v>
      </c>
      <c r="L2650" s="242" t="n">
        <v>1434200</v>
      </c>
      <c r="M2650" s="241" t="n">
        <v>1.11</v>
      </c>
      <c r="N2650" s="241" t="n">
        <v>0.32</v>
      </c>
      <c r="O2650" s="241" t="n">
        <v>-18.54</v>
      </c>
      <c r="P2650" s="241" t="n">
        <v>1.81</v>
      </c>
    </row>
    <row r="2651">
      <c r="A2651" s="282" t="inlineStr">
        <is>
          <t>2016-11-28</t>
        </is>
      </c>
      <c r="B2651" s="240">
        <f>IFERROR(1/P2651-1,B2650)</f>
        <v/>
      </c>
      <c r="C2651" s="240">
        <f>$C$3</f>
        <v/>
      </c>
      <c r="D2651" s="240">
        <f>$D$3</f>
        <v/>
      </c>
      <c r="E2651" s="240">
        <f>$E$3</f>
        <v/>
      </c>
      <c r="F2651" s="241" t="n">
        <v>10.31</v>
      </c>
      <c r="G2651" s="242" t="n">
        <v>19768329</v>
      </c>
      <c r="H2651" s="241" t="n">
        <v>0.68</v>
      </c>
      <c r="I2651" s="241" t="n">
        <v>4.56</v>
      </c>
      <c r="J2651" s="241" t="n">
        <v>-23.91</v>
      </c>
      <c r="K2651" s="241" t="n">
        <v>5.67</v>
      </c>
      <c r="L2651" s="242" t="n">
        <v>1240600</v>
      </c>
      <c r="M2651" s="241" t="n">
        <v>0.32</v>
      </c>
      <c r="N2651" s="241" t="n">
        <v>3.41</v>
      </c>
      <c r="O2651" s="241" t="n">
        <v>-18.29</v>
      </c>
      <c r="P2651" s="241" t="n">
        <v>1.82</v>
      </c>
    </row>
    <row r="2652">
      <c r="A2652" s="282" t="inlineStr">
        <is>
          <t>2016-11-29</t>
        </is>
      </c>
      <c r="B2652" s="240">
        <f>IFERROR(1/P2652-1,B2651)</f>
        <v/>
      </c>
      <c r="C2652" s="240">
        <f>$C$3</f>
        <v/>
      </c>
      <c r="D2652" s="240">
        <f>$D$3</f>
        <v/>
      </c>
      <c r="E2652" s="240">
        <f>$E$3</f>
        <v/>
      </c>
      <c r="F2652" s="241" t="n">
        <v>10.37</v>
      </c>
      <c r="G2652" s="242" t="n">
        <v>30212828</v>
      </c>
      <c r="H2652" s="241" t="n">
        <v>0.58</v>
      </c>
      <c r="I2652" s="241" t="n">
        <v>6.58</v>
      </c>
      <c r="J2652" s="241" t="n">
        <v>-23.46</v>
      </c>
      <c r="K2652" s="241" t="n">
        <v>5.6</v>
      </c>
      <c r="L2652" s="242" t="n">
        <v>1325200</v>
      </c>
      <c r="M2652" s="241" t="n">
        <v>-1.1</v>
      </c>
      <c r="N2652" s="241" t="n">
        <v>2.11</v>
      </c>
      <c r="O2652" s="241" t="n">
        <v>-19.19</v>
      </c>
      <c r="P2652" s="241" t="n">
        <v>1.85</v>
      </c>
    </row>
    <row r="2653">
      <c r="A2653" s="282" t="inlineStr">
        <is>
          <t>2016-11-30</t>
        </is>
      </c>
      <c r="B2653" s="240">
        <f>IFERROR(1/P2653-1,B2652)</f>
        <v/>
      </c>
      <c r="C2653" s="240">
        <f>$C$3</f>
        <v/>
      </c>
      <c r="D2653" s="240">
        <f>$D$3</f>
        <v/>
      </c>
      <c r="E2653" s="240">
        <f>$E$3</f>
        <v/>
      </c>
      <c r="F2653" s="241" t="n">
        <v>10.25</v>
      </c>
      <c r="G2653" s="242" t="n">
        <v>15606202</v>
      </c>
      <c r="H2653" s="241" t="n">
        <v>-1.16</v>
      </c>
      <c r="I2653" s="241" t="n">
        <v>5.34</v>
      </c>
      <c r="J2653" s="241" t="n">
        <v>-24.35</v>
      </c>
      <c r="K2653" s="241" t="n">
        <v>5.69</v>
      </c>
      <c r="L2653" s="242" t="n">
        <v>1770200</v>
      </c>
      <c r="M2653" s="241" t="n">
        <v>1.75</v>
      </c>
      <c r="N2653" s="241" t="n">
        <v>3.89</v>
      </c>
      <c r="O2653" s="241" t="n">
        <v>-17.77</v>
      </c>
      <c r="P2653" s="241" t="n">
        <v>1.8</v>
      </c>
    </row>
    <row r="2654">
      <c r="A2654" s="282" t="inlineStr">
        <is>
          <t>2016-12-01</t>
        </is>
      </c>
      <c r="B2654" s="240">
        <f>IFERROR(1/P2654-1,B2653)</f>
        <v/>
      </c>
      <c r="C2654" s="240">
        <f>$C$3</f>
        <v/>
      </c>
      <c r="D2654" s="240">
        <f>$D$3</f>
        <v/>
      </c>
      <c r="E2654" s="240">
        <f>$E$3</f>
        <v/>
      </c>
      <c r="F2654" s="241" t="n">
        <v>10.49</v>
      </c>
      <c r="G2654" s="242" t="n">
        <v>30055521</v>
      </c>
      <c r="H2654" s="241" t="n">
        <v>2.34</v>
      </c>
      <c r="I2654" s="241" t="n">
        <v>7.92</v>
      </c>
      <c r="J2654" s="241" t="n">
        <v>-22.58</v>
      </c>
      <c r="K2654" s="241" t="n">
        <v>5.82</v>
      </c>
      <c r="L2654" s="242" t="n">
        <v>2709400</v>
      </c>
      <c r="M2654" s="241" t="n">
        <v>2.18</v>
      </c>
      <c r="N2654" s="241" t="n">
        <v>8.98</v>
      </c>
      <c r="O2654" s="241" t="n">
        <v>-15.98</v>
      </c>
      <c r="P2654" s="241" t="n">
        <v>1.8</v>
      </c>
    </row>
    <row r="2655">
      <c r="A2655" s="282" t="inlineStr">
        <is>
          <t>2016-12-02</t>
        </is>
      </c>
      <c r="B2655" s="240">
        <f>IFERROR(1/P2655-1,B2654)</f>
        <v/>
      </c>
      <c r="C2655" s="240">
        <f>$C$3</f>
        <v/>
      </c>
      <c r="D2655" s="240">
        <f>$D$3</f>
        <v/>
      </c>
      <c r="E2655" s="240">
        <f>$E$3</f>
        <v/>
      </c>
      <c r="F2655" s="241" t="n">
        <v>10.35</v>
      </c>
      <c r="G2655" s="242" t="n">
        <v>26487997</v>
      </c>
      <c r="H2655" s="241" t="n">
        <v>-1.33</v>
      </c>
      <c r="I2655" s="241" t="n">
        <v>6.05</v>
      </c>
      <c r="J2655" s="241" t="n">
        <v>-23.61</v>
      </c>
      <c r="K2655" s="241" t="n">
        <v>5.69</v>
      </c>
      <c r="L2655" s="242" t="n">
        <v>1498800</v>
      </c>
      <c r="M2655" s="241" t="n">
        <v>-2.14</v>
      </c>
      <c r="N2655" s="241" t="n">
        <v>6.13</v>
      </c>
      <c r="O2655" s="241" t="n">
        <v>-17.77</v>
      </c>
      <c r="P2655" s="241" t="n">
        <v>1.82</v>
      </c>
    </row>
    <row r="2656">
      <c r="A2656" s="282" t="inlineStr">
        <is>
          <t>2016-12-05</t>
        </is>
      </c>
      <c r="B2656" s="240">
        <f>IFERROR(1/P2656-1,B2655)</f>
        <v/>
      </c>
      <c r="C2656" s="240">
        <f>$C$3</f>
        <v/>
      </c>
      <c r="D2656" s="240">
        <f>$D$3</f>
        <v/>
      </c>
      <c r="E2656" s="240">
        <f>$E$3</f>
        <v/>
      </c>
      <c r="F2656" s="241" t="n">
        <v>10.58</v>
      </c>
      <c r="G2656" s="242" t="n">
        <v>36814704</v>
      </c>
      <c r="H2656" s="241" t="n">
        <v>2.22</v>
      </c>
      <c r="I2656" s="241" t="n">
        <v>9.75</v>
      </c>
      <c r="J2656" s="241" t="n">
        <v>-21.91</v>
      </c>
      <c r="K2656" s="241" t="n">
        <v>5.69</v>
      </c>
      <c r="L2656" s="242" t="n">
        <v>861000</v>
      </c>
      <c r="M2656" s="241" t="n">
        <v>0</v>
      </c>
      <c r="N2656" s="241" t="n">
        <v>8.460000000000001</v>
      </c>
      <c r="O2656" s="241" t="n">
        <v>-17.77</v>
      </c>
      <c r="P2656" s="241" t="n">
        <v>1.86</v>
      </c>
    </row>
    <row r="2657">
      <c r="A2657" s="282" t="inlineStr">
        <is>
          <t>2016-12-06</t>
        </is>
      </c>
      <c r="B2657" s="240">
        <f>IFERROR(1/P2657-1,B2656)</f>
        <v/>
      </c>
      <c r="C2657" s="240">
        <f>$C$3</f>
        <v/>
      </c>
      <c r="D2657" s="240">
        <f>$D$3</f>
        <v/>
      </c>
      <c r="E2657" s="240">
        <f>$E$3</f>
        <v/>
      </c>
      <c r="F2657" s="241" t="n">
        <v>10.6</v>
      </c>
      <c r="G2657" s="242" t="n">
        <v>31122248</v>
      </c>
      <c r="H2657" s="241" t="n">
        <v>0.19</v>
      </c>
      <c r="I2657" s="241" t="n">
        <v>9.960000000000001</v>
      </c>
      <c r="J2657" s="241" t="n">
        <v>-21.77</v>
      </c>
      <c r="K2657" s="241" t="n">
        <v>5.7</v>
      </c>
      <c r="L2657" s="242" t="n">
        <v>1132600</v>
      </c>
      <c r="M2657" s="241" t="n">
        <v>0.62</v>
      </c>
      <c r="N2657" s="241" t="n">
        <v>9.140000000000001</v>
      </c>
      <c r="O2657" s="241" t="n">
        <v>-17.26</v>
      </c>
      <c r="P2657" s="241" t="n">
        <v>1.86</v>
      </c>
    </row>
    <row r="2658">
      <c r="A2658" s="282" t="inlineStr">
        <is>
          <t>2016-12-07</t>
        </is>
      </c>
      <c r="B2658" s="240">
        <f>IFERROR(1/P2658-1,B2657)</f>
        <v/>
      </c>
      <c r="C2658" s="240">
        <f>$C$3</f>
        <v/>
      </c>
      <c r="D2658" s="240">
        <f>$D$3</f>
        <v/>
      </c>
      <c r="E2658" s="240">
        <f>$E$3</f>
        <v/>
      </c>
      <c r="F2658" s="241" t="n">
        <v>10.78</v>
      </c>
      <c r="G2658" s="242" t="n">
        <v>29129741</v>
      </c>
      <c r="H2658" s="241" t="n">
        <v>1.7</v>
      </c>
      <c r="I2658" s="241" t="n">
        <v>11.83</v>
      </c>
      <c r="J2658" s="241" t="n">
        <v>-20.44</v>
      </c>
      <c r="K2658" s="241" t="n">
        <v>5.85</v>
      </c>
      <c r="L2658" s="242" t="n">
        <v>2263400</v>
      </c>
      <c r="M2658" s="241" t="n">
        <v>2.17</v>
      </c>
      <c r="N2658" s="241" t="n">
        <v>11.51</v>
      </c>
      <c r="O2658" s="241" t="n">
        <v>-15.47</v>
      </c>
      <c r="P2658" s="241" t="n">
        <v>1.84</v>
      </c>
    </row>
    <row r="2659">
      <c r="A2659" s="282" t="inlineStr">
        <is>
          <t>2016-12-08</t>
        </is>
      </c>
      <c r="B2659" s="240">
        <f>IFERROR(1/P2659-1,B2658)</f>
        <v/>
      </c>
      <c r="C2659" s="240">
        <f>$C$3</f>
        <v/>
      </c>
      <c r="D2659" s="240">
        <f>$D$3</f>
        <v/>
      </c>
      <c r="E2659" s="240">
        <f>$E$3</f>
        <v/>
      </c>
      <c r="F2659" s="241" t="n">
        <v>10.79</v>
      </c>
      <c r="G2659" s="242" t="n">
        <v>39769199</v>
      </c>
      <c r="H2659" s="241" t="n">
        <v>0.09</v>
      </c>
      <c r="I2659" s="241" t="n">
        <v>9.77</v>
      </c>
      <c r="J2659" s="241" t="n">
        <v>-20.36</v>
      </c>
      <c r="K2659" s="241" t="n">
        <v>5.93</v>
      </c>
      <c r="L2659" s="242" t="n">
        <v>6459800</v>
      </c>
      <c r="M2659" s="241" t="n">
        <v>1.52</v>
      </c>
      <c r="N2659" s="241" t="n">
        <v>10.95</v>
      </c>
      <c r="O2659" s="241" t="n">
        <v>-14.18</v>
      </c>
      <c r="P2659" s="241" t="n">
        <v>1.82</v>
      </c>
    </row>
    <row r="2660">
      <c r="A2660" s="282" t="inlineStr">
        <is>
          <t>2016-12-09</t>
        </is>
      </c>
      <c r="B2660" s="240">
        <f>IFERROR(1/P2660-1,B2659)</f>
        <v/>
      </c>
      <c r="C2660" s="240">
        <f>$C$3</f>
        <v/>
      </c>
      <c r="D2660" s="240">
        <f>$D$3</f>
        <v/>
      </c>
      <c r="E2660" s="240">
        <f>$E$3</f>
        <v/>
      </c>
      <c r="F2660" s="241" t="n">
        <v>10.79</v>
      </c>
      <c r="G2660" s="242" t="n">
        <v>0</v>
      </c>
      <c r="H2660" s="241" t="n">
        <v>0</v>
      </c>
      <c r="I2660" s="241" t="n">
        <v>9.77</v>
      </c>
      <c r="J2660" s="241" t="n">
        <v>-20.36</v>
      </c>
      <c r="K2660" s="241" t="n">
        <v>5.95</v>
      </c>
      <c r="L2660" s="242" t="n">
        <v>0</v>
      </c>
      <c r="M2660" s="241" t="n">
        <v>0</v>
      </c>
      <c r="N2660" s="241" t="n">
        <v>10.03</v>
      </c>
      <c r="O2660" s="241" t="n">
        <v>-14.18</v>
      </c>
      <c r="P2660" s="241" t="n">
        <v>1.81</v>
      </c>
    </row>
    <row r="2661">
      <c r="A2661" s="282" t="inlineStr">
        <is>
          <t>2016-12-12</t>
        </is>
      </c>
      <c r="B2661" s="240">
        <f>IFERROR(1/P2661-1,B2660)</f>
        <v/>
      </c>
      <c r="C2661" s="240">
        <f>$C$3</f>
        <v/>
      </c>
      <c r="D2661" s="240">
        <f>$D$3</f>
        <v/>
      </c>
      <c r="E2661" s="240">
        <f>$E$3</f>
        <v/>
      </c>
      <c r="F2661" s="241" t="n">
        <v>10.79</v>
      </c>
      <c r="G2661" s="242" t="n">
        <v>0</v>
      </c>
      <c r="H2661" s="241" t="n">
        <v>0</v>
      </c>
      <c r="I2661" s="241" t="n">
        <v>8.220000000000001</v>
      </c>
      <c r="J2661" s="241" t="n">
        <v>-20.36</v>
      </c>
      <c r="K2661" s="241" t="n">
        <v>5.75</v>
      </c>
      <c r="L2661" s="242" t="n">
        <v>6958200</v>
      </c>
      <c r="M2661" s="241" t="n">
        <v>-3.44</v>
      </c>
      <c r="N2661" s="241" t="n">
        <v>7.31</v>
      </c>
      <c r="O2661" s="241" t="n">
        <v>-17.13</v>
      </c>
      <c r="P2661" s="241" t="n">
        <v>1.88</v>
      </c>
    </row>
    <row r="2662">
      <c r="A2662" s="282" t="inlineStr">
        <is>
          <t>2016-12-13</t>
        </is>
      </c>
      <c r="B2662" s="240">
        <f>IFERROR(1/P2662-1,B2661)</f>
        <v/>
      </c>
      <c r="C2662" s="240">
        <f>$C$3</f>
        <v/>
      </c>
      <c r="D2662" s="240">
        <f>$D$3</f>
        <v/>
      </c>
      <c r="E2662" s="240">
        <f>$E$3</f>
        <v/>
      </c>
      <c r="F2662" s="241" t="n">
        <v>10.79</v>
      </c>
      <c r="G2662" s="242" t="n">
        <v>0</v>
      </c>
      <c r="H2662" s="241" t="n">
        <v>0</v>
      </c>
      <c r="I2662" s="241" t="n">
        <v>8.220000000000001</v>
      </c>
      <c r="J2662" s="241" t="n">
        <v>-20.36</v>
      </c>
      <c r="K2662" s="241" t="n">
        <v>6.26</v>
      </c>
      <c r="L2662" s="242" t="n">
        <v>7497200</v>
      </c>
      <c r="M2662" s="241" t="n">
        <v>9.130000000000001</v>
      </c>
      <c r="N2662" s="241" t="n">
        <v>17.11</v>
      </c>
      <c r="O2662" s="241" t="n">
        <v>-9.56</v>
      </c>
      <c r="P2662" s="241" t="n">
        <v>1.72</v>
      </c>
    </row>
    <row r="2663">
      <c r="A2663" s="282" t="inlineStr">
        <is>
          <t>2016-12-14</t>
        </is>
      </c>
      <c r="B2663" s="240">
        <f>IFERROR(1/P2663-1,B2662)</f>
        <v/>
      </c>
      <c r="C2663" s="240">
        <f>$C$3</f>
        <v/>
      </c>
      <c r="D2663" s="240">
        <f>$D$3</f>
        <v/>
      </c>
      <c r="E2663" s="240">
        <f>$E$3</f>
        <v/>
      </c>
      <c r="F2663" s="241" t="n">
        <v>10.79</v>
      </c>
      <c r="G2663" s="242" t="n">
        <v>0</v>
      </c>
      <c r="H2663" s="241" t="n">
        <v>0</v>
      </c>
      <c r="I2663" s="241" t="n">
        <v>8.220000000000001</v>
      </c>
      <c r="J2663" s="241" t="n">
        <v>-20.36</v>
      </c>
      <c r="K2663" s="241" t="n">
        <v>6.26</v>
      </c>
      <c r="L2663" s="242" t="n">
        <v>4023200</v>
      </c>
      <c r="M2663" s="241" t="n">
        <v>-0.14</v>
      </c>
      <c r="N2663" s="241" t="n">
        <v>16.94</v>
      </c>
      <c r="O2663" s="241" t="n">
        <v>-9.69</v>
      </c>
      <c r="P2663" s="241" t="n">
        <v>1.72</v>
      </c>
    </row>
    <row r="2664">
      <c r="A2664" s="282" t="inlineStr">
        <is>
          <t>2016-12-15</t>
        </is>
      </c>
      <c r="B2664" s="240">
        <f>IFERROR(1/P2664-1,B2663)</f>
        <v/>
      </c>
      <c r="C2664" s="240">
        <f>$C$3</f>
        <v/>
      </c>
      <c r="D2664" s="240">
        <f>$D$3</f>
        <v/>
      </c>
      <c r="E2664" s="240">
        <f>$E$3</f>
        <v/>
      </c>
      <c r="F2664" s="241" t="n">
        <v>10.79</v>
      </c>
      <c r="G2664" s="242" t="n">
        <v>0</v>
      </c>
      <c r="H2664" s="241" t="n">
        <v>0</v>
      </c>
      <c r="I2664" s="241" t="n">
        <v>7.36</v>
      </c>
      <c r="J2664" s="241" t="n">
        <v>-20.36</v>
      </c>
      <c r="K2664" s="241" t="n">
        <v>6.33</v>
      </c>
      <c r="L2664" s="242" t="n">
        <v>2814500</v>
      </c>
      <c r="M2664" s="241" t="n">
        <v>0.71</v>
      </c>
      <c r="N2664" s="241" t="n">
        <v>17.58</v>
      </c>
      <c r="O2664" s="241" t="n">
        <v>-9.050000000000001</v>
      </c>
      <c r="P2664" s="241" t="n">
        <v>1.7</v>
      </c>
    </row>
    <row r="2665">
      <c r="A2665" s="282" t="inlineStr">
        <is>
          <t>2016-12-16</t>
        </is>
      </c>
      <c r="B2665" s="240">
        <f>IFERROR(1/P2665-1,B2664)</f>
        <v/>
      </c>
      <c r="C2665" s="240">
        <f>$C$3</f>
        <v/>
      </c>
      <c r="D2665" s="240">
        <f>$D$3</f>
        <v/>
      </c>
      <c r="E2665" s="240">
        <f>$E$3</f>
        <v/>
      </c>
      <c r="F2665" s="241" t="n">
        <v>10.79</v>
      </c>
      <c r="G2665" s="242" t="n">
        <v>0</v>
      </c>
      <c r="H2665" s="241" t="n">
        <v>0</v>
      </c>
      <c r="I2665" s="241" t="n">
        <v>7.26</v>
      </c>
      <c r="J2665" s="241" t="n">
        <v>-20.36</v>
      </c>
      <c r="K2665" s="241" t="n">
        <v>6.32</v>
      </c>
      <c r="L2665" s="242" t="n">
        <v>1751769</v>
      </c>
      <c r="M2665" s="241" t="n">
        <v>-0.42</v>
      </c>
      <c r="N2665" s="241" t="n">
        <v>16.89</v>
      </c>
      <c r="O2665" s="241" t="n">
        <v>-9.44</v>
      </c>
      <c r="P2665" s="241" t="n">
        <v>1.71</v>
      </c>
    </row>
    <row r="2666">
      <c r="A2666" s="282" t="inlineStr">
        <is>
          <t>2016-12-19</t>
        </is>
      </c>
      <c r="B2666" s="240">
        <f>IFERROR(1/P2666-1,B2665)</f>
        <v/>
      </c>
      <c r="C2666" s="240">
        <f>$C$3</f>
        <v/>
      </c>
      <c r="D2666" s="240">
        <f>$D$3</f>
        <v/>
      </c>
      <c r="E2666" s="240">
        <f>$E$3</f>
        <v/>
      </c>
      <c r="F2666" s="241" t="n">
        <v>10.79</v>
      </c>
      <c r="G2666" s="242" t="n">
        <v>0</v>
      </c>
      <c r="H2666" s="241" t="n">
        <v>0</v>
      </c>
      <c r="I2666" s="241" t="n">
        <v>7.26</v>
      </c>
      <c r="J2666" s="241" t="n">
        <v>-20.36</v>
      </c>
      <c r="K2666" s="241" t="n">
        <v>6.05</v>
      </c>
      <c r="L2666" s="242" t="n">
        <v>2010600</v>
      </c>
      <c r="M2666" s="241" t="n">
        <v>-3.97</v>
      </c>
      <c r="N2666" s="241" t="n">
        <v>11.51</v>
      </c>
      <c r="O2666" s="241" t="n">
        <v>-13.03</v>
      </c>
      <c r="P2666" s="241" t="n">
        <v>1.78</v>
      </c>
    </row>
    <row r="2667">
      <c r="A2667" s="282" t="inlineStr">
        <is>
          <t>2016-12-20</t>
        </is>
      </c>
      <c r="B2667" s="240">
        <f>IFERROR(1/P2667-1,B2666)</f>
        <v/>
      </c>
      <c r="C2667" s="240">
        <f>$C$3</f>
        <v/>
      </c>
      <c r="D2667" s="240">
        <f>$D$3</f>
        <v/>
      </c>
      <c r="E2667" s="240">
        <f>$E$3</f>
        <v/>
      </c>
      <c r="F2667" s="241" t="n">
        <v>10.79</v>
      </c>
      <c r="G2667" s="242" t="n">
        <v>0</v>
      </c>
      <c r="H2667" s="241" t="n">
        <v>0</v>
      </c>
      <c r="I2667" s="241" t="n">
        <v>7.26</v>
      </c>
      <c r="J2667" s="241" t="n">
        <v>-20.36</v>
      </c>
      <c r="K2667" s="241" t="n">
        <v>5.97</v>
      </c>
      <c r="L2667" s="242" t="n">
        <v>1172400</v>
      </c>
      <c r="M2667" s="241" t="n">
        <v>-1.62</v>
      </c>
      <c r="N2667" s="241" t="n">
        <v>9.699999999999999</v>
      </c>
      <c r="O2667" s="241" t="n">
        <v>-14.44</v>
      </c>
      <c r="P2667" s="241" t="n">
        <v>1.81</v>
      </c>
    </row>
    <row r="2668">
      <c r="A2668" s="282" t="inlineStr">
        <is>
          <t>2016-12-21</t>
        </is>
      </c>
      <c r="B2668" s="240">
        <f>IFERROR(1/P2668-1,B2667)</f>
        <v/>
      </c>
      <c r="C2668" s="240">
        <f>$C$3</f>
        <v/>
      </c>
      <c r="D2668" s="240">
        <f>$D$3</f>
        <v/>
      </c>
      <c r="E2668" s="240">
        <f>$E$3</f>
        <v/>
      </c>
      <c r="F2668" s="241" t="n">
        <v>10.79</v>
      </c>
      <c r="G2668" s="242" t="n">
        <v>0</v>
      </c>
      <c r="H2668" s="241" t="n">
        <v>0</v>
      </c>
      <c r="I2668" s="241" t="n">
        <v>7.26</v>
      </c>
      <c r="J2668" s="241" t="n">
        <v>-20.36</v>
      </c>
      <c r="K2668" s="241" t="n">
        <v>6.05</v>
      </c>
      <c r="L2668" s="242" t="n">
        <v>816800</v>
      </c>
      <c r="M2668" s="241" t="n">
        <v>1.35</v>
      </c>
      <c r="N2668" s="241" t="n">
        <v>11.18</v>
      </c>
      <c r="O2668" s="241" t="n">
        <v>-13.28</v>
      </c>
      <c r="P2668" s="241" t="n">
        <v>1.78</v>
      </c>
    </row>
    <row r="2669">
      <c r="A2669" s="282" t="inlineStr">
        <is>
          <t>2016-12-22</t>
        </is>
      </c>
      <c r="B2669" s="240">
        <f>IFERROR(1/P2669-1,B2668)</f>
        <v/>
      </c>
      <c r="C2669" s="240">
        <f>$C$3</f>
        <v/>
      </c>
      <c r="D2669" s="240">
        <f>$D$3</f>
        <v/>
      </c>
      <c r="E2669" s="240">
        <f>$E$3</f>
        <v/>
      </c>
      <c r="F2669" s="241" t="n">
        <v>10.79</v>
      </c>
      <c r="G2669" s="242" t="n">
        <v>0</v>
      </c>
      <c r="H2669" s="241" t="n">
        <v>0</v>
      </c>
      <c r="I2669" s="241" t="n">
        <v>6.94</v>
      </c>
      <c r="J2669" s="241" t="n">
        <v>-20.36</v>
      </c>
      <c r="K2669" s="241" t="n">
        <v>5.98</v>
      </c>
      <c r="L2669" s="242" t="n">
        <v>814200</v>
      </c>
      <c r="M2669" s="241" t="n">
        <v>-1.18</v>
      </c>
      <c r="N2669" s="241" t="n">
        <v>8.619999999999999</v>
      </c>
      <c r="O2669" s="241" t="n">
        <v>-14.31</v>
      </c>
      <c r="P2669" s="241" t="n">
        <v>1.81</v>
      </c>
    </row>
    <row r="2670">
      <c r="A2670" s="282" t="inlineStr">
        <is>
          <t>2016-12-23</t>
        </is>
      </c>
      <c r="B2670" s="240">
        <f>IFERROR(1/P2670-1,B2669)</f>
        <v/>
      </c>
      <c r="C2670" s="240">
        <f>$C$3</f>
        <v/>
      </c>
      <c r="D2670" s="240">
        <f>$D$3</f>
        <v/>
      </c>
      <c r="E2670" s="240">
        <f>$E$3</f>
        <v/>
      </c>
      <c r="F2670" s="241" t="n">
        <v>10.79</v>
      </c>
      <c r="G2670" s="242" t="n">
        <v>0</v>
      </c>
      <c r="H2670" s="241" t="n">
        <v>0</v>
      </c>
      <c r="I2670" s="241" t="n">
        <v>5.06</v>
      </c>
      <c r="J2670" s="241" t="n">
        <v>-20.36</v>
      </c>
      <c r="K2670" s="241" t="n">
        <v>5.95</v>
      </c>
      <c r="L2670" s="242" t="n">
        <v>683600</v>
      </c>
      <c r="M2670" s="241" t="n">
        <v>-0.45</v>
      </c>
      <c r="N2670" s="241" t="n">
        <v>4.72</v>
      </c>
      <c r="O2670" s="241" t="n">
        <v>-14.7</v>
      </c>
      <c r="P2670" s="241" t="n">
        <v>1.81</v>
      </c>
    </row>
    <row r="2671">
      <c r="A2671" s="282" t="inlineStr">
        <is>
          <t>2016-12-26</t>
        </is>
      </c>
      <c r="B2671" s="240">
        <f>IFERROR(1/P2671-1,B2670)</f>
        <v/>
      </c>
      <c r="C2671" s="240">
        <f>$C$3</f>
        <v/>
      </c>
      <c r="D2671" s="240">
        <f>$D$3</f>
        <v/>
      </c>
      <c r="E2671" s="240">
        <f>$E$3</f>
        <v/>
      </c>
      <c r="F2671" s="241" t="n">
        <v>10.79</v>
      </c>
      <c r="G2671" s="242" t="n">
        <v>0</v>
      </c>
      <c r="H2671" s="241" t="n">
        <v>0</v>
      </c>
      <c r="I2671" s="241" t="n">
        <v>5.37</v>
      </c>
      <c r="J2671" s="241" t="n">
        <v>-20.36</v>
      </c>
      <c r="K2671" s="239" t="inlineStr">
        <is>
          <t>--</t>
        </is>
      </c>
      <c r="L2671" s="239" t="inlineStr">
        <is>
          <t>--</t>
        </is>
      </c>
      <c r="M2671" s="239" t="inlineStr">
        <is>
          <t>--</t>
        </is>
      </c>
      <c r="N2671" s="239" t="inlineStr">
        <is>
          <t>--</t>
        </is>
      </c>
      <c r="O2671" s="239" t="inlineStr">
        <is>
          <t>--</t>
        </is>
      </c>
      <c r="P2671" s="239" t="inlineStr">
        <is>
          <t>--</t>
        </is>
      </c>
    </row>
    <row r="2672">
      <c r="A2672" s="282" t="inlineStr">
        <is>
          <t>2016-12-27</t>
        </is>
      </c>
      <c r="B2672" s="240">
        <f>IFERROR(1/P2672-1,B2671)</f>
        <v/>
      </c>
      <c r="C2672" s="240">
        <f>$C$3</f>
        <v/>
      </c>
      <c r="D2672" s="240">
        <f>$D$3</f>
        <v/>
      </c>
      <c r="E2672" s="240">
        <f>$E$3</f>
        <v/>
      </c>
      <c r="F2672" s="241" t="n">
        <v>10.79</v>
      </c>
      <c r="G2672" s="242" t="n">
        <v>0</v>
      </c>
      <c r="H2672" s="241" t="n">
        <v>0</v>
      </c>
      <c r="I2672" s="241" t="n">
        <v>5.37</v>
      </c>
      <c r="J2672" s="241" t="n">
        <v>-20.36</v>
      </c>
      <c r="K2672" s="239" t="inlineStr">
        <is>
          <t>--</t>
        </is>
      </c>
      <c r="L2672" s="239" t="inlineStr">
        <is>
          <t>--</t>
        </is>
      </c>
      <c r="M2672" s="239" t="inlineStr">
        <is>
          <t>--</t>
        </is>
      </c>
      <c r="N2672" s="239" t="inlineStr">
        <is>
          <t>--</t>
        </is>
      </c>
      <c r="O2672" s="239" t="inlineStr">
        <is>
          <t>--</t>
        </is>
      </c>
      <c r="P2672" s="239" t="inlineStr">
        <is>
          <t>--</t>
        </is>
      </c>
    </row>
    <row r="2673">
      <c r="A2673" s="282" t="inlineStr">
        <is>
          <t>2016-12-28</t>
        </is>
      </c>
      <c r="B2673" s="240">
        <f>IFERROR(1/P2673-1,B2672)</f>
        <v/>
      </c>
      <c r="C2673" s="240">
        <f>$C$3</f>
        <v/>
      </c>
      <c r="D2673" s="240">
        <f>$D$3</f>
        <v/>
      </c>
      <c r="E2673" s="240">
        <f>$E$3</f>
        <v/>
      </c>
      <c r="F2673" s="241" t="n">
        <v>10.79</v>
      </c>
      <c r="G2673" s="242" t="n">
        <v>0</v>
      </c>
      <c r="H2673" s="241" t="n">
        <v>0</v>
      </c>
      <c r="I2673" s="241" t="n">
        <v>5.37</v>
      </c>
      <c r="J2673" s="241" t="n">
        <v>-20.36</v>
      </c>
      <c r="K2673" s="241" t="n">
        <v>6.11</v>
      </c>
      <c r="L2673" s="242" t="n">
        <v>778000</v>
      </c>
      <c r="M2673" s="241" t="n">
        <v>2.56</v>
      </c>
      <c r="N2673" s="241" t="n">
        <v>7.4</v>
      </c>
      <c r="O2673" s="241" t="n">
        <v>-12.51</v>
      </c>
      <c r="P2673" s="241" t="n">
        <v>1.77</v>
      </c>
    </row>
    <row r="2674">
      <c r="A2674" s="282" t="inlineStr">
        <is>
          <t>2016-12-29</t>
        </is>
      </c>
      <c r="B2674" s="240">
        <f>IFERROR(1/P2674-1,B2673)</f>
        <v/>
      </c>
      <c r="C2674" s="240">
        <f>$C$3</f>
        <v/>
      </c>
      <c r="D2674" s="240">
        <f>$D$3</f>
        <v/>
      </c>
      <c r="E2674" s="240">
        <f>$E$3</f>
        <v/>
      </c>
      <c r="F2674" s="241" t="n">
        <v>10.79</v>
      </c>
      <c r="G2674" s="242" t="n">
        <v>0</v>
      </c>
      <c r="H2674" s="241" t="n">
        <v>0</v>
      </c>
      <c r="I2674" s="241" t="n">
        <v>4.66</v>
      </c>
      <c r="J2674" s="241" t="n">
        <v>-20.36</v>
      </c>
      <c r="K2674" s="241" t="n">
        <v>6.05</v>
      </c>
      <c r="L2674" s="242" t="n">
        <v>1114764</v>
      </c>
      <c r="M2674" s="241" t="n">
        <v>-1.03</v>
      </c>
      <c r="N2674" s="241" t="n">
        <v>5.97</v>
      </c>
      <c r="O2674" s="241" t="n">
        <v>-13.41</v>
      </c>
      <c r="P2674" s="241" t="n">
        <v>1.78</v>
      </c>
    </row>
    <row r="2675">
      <c r="A2675" s="282" t="inlineStr">
        <is>
          <t>2016-12-30</t>
        </is>
      </c>
      <c r="B2675" s="240">
        <f>IFERROR(1/P2675-1,B2674)</f>
        <v/>
      </c>
      <c r="C2675" s="240">
        <f>$C$3</f>
        <v/>
      </c>
      <c r="D2675" s="240">
        <f>$D$3</f>
        <v/>
      </c>
      <c r="E2675" s="240">
        <f>$E$3</f>
        <v/>
      </c>
      <c r="F2675" s="241" t="n">
        <v>10.79</v>
      </c>
      <c r="G2675" s="242" t="n">
        <v>0</v>
      </c>
      <c r="H2675" s="241" t="n">
        <v>0</v>
      </c>
      <c r="I2675" s="241" t="n">
        <v>4.05</v>
      </c>
      <c r="J2675" s="241" t="n">
        <v>-20.36</v>
      </c>
      <c r="K2675" s="241" t="n">
        <v>6.13</v>
      </c>
      <c r="L2675" s="242" t="n">
        <v>1096135</v>
      </c>
      <c r="M2675" s="241" t="n">
        <v>1.48</v>
      </c>
      <c r="N2675" s="241" t="n">
        <v>8.73</v>
      </c>
      <c r="O2675" s="241" t="n">
        <v>-12.13</v>
      </c>
      <c r="P2675" s="241" t="n">
        <v>1.76</v>
      </c>
    </row>
    <row r="2676">
      <c r="A2676" s="282" t="inlineStr">
        <is>
          <t>2017-01-03</t>
        </is>
      </c>
      <c r="B2676" s="240">
        <f>IFERROR(1/P2676-1,B2675)</f>
        <v/>
      </c>
      <c r="C2676" s="240">
        <f>$C$3</f>
        <v/>
      </c>
      <c r="D2676" s="240">
        <f>$D$3</f>
        <v/>
      </c>
      <c r="E2676" s="240">
        <f>$E$3</f>
        <v/>
      </c>
      <c r="F2676" s="241" t="n">
        <v>10.79</v>
      </c>
      <c r="G2676" s="242" t="n">
        <v>0</v>
      </c>
      <c r="H2676" s="241" t="n">
        <v>0</v>
      </c>
      <c r="I2676" s="241" t="n">
        <v>4.25</v>
      </c>
      <c r="J2676" s="241" t="n">
        <v>0</v>
      </c>
      <c r="K2676" s="241" t="n">
        <v>6.2</v>
      </c>
      <c r="L2676" s="242" t="n">
        <v>717600</v>
      </c>
      <c r="M2676" s="241" t="n">
        <v>1.02</v>
      </c>
      <c r="N2676" s="241" t="n">
        <v>7.96</v>
      </c>
      <c r="O2676" s="241" t="n">
        <v>1.02</v>
      </c>
      <c r="P2676" s="241" t="n">
        <v>1.74</v>
      </c>
    </row>
    <row r="2677">
      <c r="A2677" s="282" t="inlineStr">
        <is>
          <t>2017-01-04</t>
        </is>
      </c>
      <c r="B2677" s="240">
        <f>IFERROR(1/P2677-1,B2676)</f>
        <v/>
      </c>
      <c r="C2677" s="240">
        <f>$C$3</f>
        <v/>
      </c>
      <c r="D2677" s="240">
        <f>$D$3</f>
        <v/>
      </c>
      <c r="E2677" s="240">
        <f>$E$3</f>
        <v/>
      </c>
      <c r="F2677" s="241" t="n">
        <v>10.79</v>
      </c>
      <c r="G2677" s="242" t="n">
        <v>0</v>
      </c>
      <c r="H2677" s="241" t="n">
        <v>0</v>
      </c>
      <c r="I2677" s="241" t="n">
        <v>4.25</v>
      </c>
      <c r="J2677" s="241" t="n">
        <v>0</v>
      </c>
      <c r="K2677" s="241" t="n">
        <v>6.26</v>
      </c>
      <c r="L2677" s="242" t="n">
        <v>1330400</v>
      </c>
      <c r="M2677" s="241" t="n">
        <v>0.87</v>
      </c>
      <c r="N2677" s="241" t="n">
        <v>8.890000000000001</v>
      </c>
      <c r="O2677" s="241" t="n">
        <v>1.9</v>
      </c>
      <c r="P2677" s="241" t="n">
        <v>1.72</v>
      </c>
    </row>
    <row r="2678">
      <c r="A2678" s="282" t="inlineStr">
        <is>
          <t>2017-01-05</t>
        </is>
      </c>
      <c r="B2678" s="240">
        <f>IFERROR(1/P2678-1,B2677)</f>
        <v/>
      </c>
      <c r="C2678" s="240">
        <f>$C$3</f>
        <v/>
      </c>
      <c r="D2678" s="240">
        <f>$D$3</f>
        <v/>
      </c>
      <c r="E2678" s="240">
        <f>$E$3</f>
        <v/>
      </c>
      <c r="F2678" s="241" t="n">
        <v>10.79</v>
      </c>
      <c r="G2678" s="242" t="n">
        <v>0</v>
      </c>
      <c r="H2678" s="241" t="n">
        <v>0</v>
      </c>
      <c r="I2678" s="241" t="n">
        <v>4.25</v>
      </c>
      <c r="J2678" s="241" t="n">
        <v>0</v>
      </c>
      <c r="K2678" s="241" t="n">
        <v>6.22</v>
      </c>
      <c r="L2678" s="242" t="n">
        <v>1042500</v>
      </c>
      <c r="M2678" s="241" t="n">
        <v>-0.29</v>
      </c>
      <c r="N2678" s="241" t="n">
        <v>8.58</v>
      </c>
      <c r="O2678" s="241" t="n">
        <v>1.61</v>
      </c>
      <c r="P2678" s="241" t="n">
        <v>1.73</v>
      </c>
    </row>
    <row r="2679">
      <c r="A2679" s="282" t="inlineStr">
        <is>
          <t>2017-01-06</t>
        </is>
      </c>
      <c r="B2679" s="240">
        <f>IFERROR(1/P2679-1,B2678)</f>
        <v/>
      </c>
      <c r="C2679" s="240">
        <f>$C$3</f>
        <v/>
      </c>
      <c r="D2679" s="240">
        <f>$D$3</f>
        <v/>
      </c>
      <c r="E2679" s="240">
        <f>$E$3</f>
        <v/>
      </c>
      <c r="F2679" s="241" t="n">
        <v>10.79</v>
      </c>
      <c r="G2679" s="242" t="n">
        <v>0</v>
      </c>
      <c r="H2679" s="241" t="n">
        <v>0</v>
      </c>
      <c r="I2679" s="241" t="n">
        <v>1.98</v>
      </c>
      <c r="J2679" s="241" t="n">
        <v>0</v>
      </c>
      <c r="K2679" s="241" t="n">
        <v>6.3</v>
      </c>
      <c r="L2679" s="242" t="n">
        <v>2373522</v>
      </c>
      <c r="M2679" s="241" t="n">
        <v>2.3</v>
      </c>
      <c r="N2679" s="241" t="n">
        <v>11.08</v>
      </c>
      <c r="O2679" s="241" t="n">
        <v>3.94</v>
      </c>
      <c r="P2679" s="241" t="n">
        <v>1.71</v>
      </c>
    </row>
    <row r="2680">
      <c r="A2680" s="282" t="inlineStr">
        <is>
          <t>2017-01-09</t>
        </is>
      </c>
      <c r="B2680" s="240">
        <f>IFERROR(1/P2680-1,B2679)</f>
        <v/>
      </c>
      <c r="C2680" s="240">
        <f>$C$3</f>
        <v/>
      </c>
      <c r="D2680" s="240">
        <f>$D$3</f>
        <v/>
      </c>
      <c r="E2680" s="240">
        <f>$E$3</f>
        <v/>
      </c>
      <c r="F2680" s="241" t="n">
        <v>10.79</v>
      </c>
      <c r="G2680" s="242" t="n">
        <v>0</v>
      </c>
      <c r="H2680" s="241" t="n">
        <v>0</v>
      </c>
      <c r="I2680" s="241" t="n">
        <v>0</v>
      </c>
      <c r="J2680" s="241" t="n">
        <v>0</v>
      </c>
      <c r="K2680" s="241" t="n">
        <v>6.39</v>
      </c>
      <c r="L2680" s="242" t="n">
        <v>1602200</v>
      </c>
      <c r="M2680" s="241" t="n">
        <v>0.5600000000000001</v>
      </c>
      <c r="N2680" s="241" t="n">
        <v>7.03</v>
      </c>
      <c r="O2680" s="241" t="n">
        <v>4.53</v>
      </c>
      <c r="P2680" s="241" t="n">
        <v>1.69</v>
      </c>
    </row>
    <row r="2681">
      <c r="A2681" s="282" t="inlineStr">
        <is>
          <t>2017-01-10</t>
        </is>
      </c>
      <c r="B2681" s="240">
        <f>IFERROR(1/P2681-1,B2680)</f>
        <v/>
      </c>
      <c r="C2681" s="240">
        <f>$C$3</f>
        <v/>
      </c>
      <c r="D2681" s="240">
        <f>$D$3</f>
        <v/>
      </c>
      <c r="E2681" s="240">
        <f>$E$3</f>
        <v/>
      </c>
      <c r="F2681" s="241" t="n">
        <v>10.79</v>
      </c>
      <c r="G2681" s="242" t="n">
        <v>0</v>
      </c>
      <c r="H2681" s="241" t="n">
        <v>0</v>
      </c>
      <c r="I2681" s="241" t="n">
        <v>0</v>
      </c>
      <c r="J2681" s="241" t="n">
        <v>0</v>
      </c>
      <c r="K2681" s="241" t="n">
        <v>6.57</v>
      </c>
      <c r="L2681" s="242" t="n">
        <v>3435600</v>
      </c>
      <c r="M2681" s="241" t="n">
        <v>2.79</v>
      </c>
      <c r="N2681" s="241" t="n">
        <v>10.01</v>
      </c>
      <c r="O2681" s="241" t="n">
        <v>7.45</v>
      </c>
      <c r="P2681" s="241" t="n">
        <v>1.64</v>
      </c>
    </row>
    <row r="2682">
      <c r="A2682" s="282" t="inlineStr">
        <is>
          <t>2017-01-11</t>
        </is>
      </c>
      <c r="B2682" s="240">
        <f>IFERROR(1/P2682-1,B2681)</f>
        <v/>
      </c>
      <c r="C2682" s="240">
        <f>$C$3</f>
        <v/>
      </c>
      <c r="D2682" s="240">
        <f>$D$3</f>
        <v/>
      </c>
      <c r="E2682" s="240">
        <f>$E$3</f>
        <v/>
      </c>
      <c r="F2682" s="241" t="n">
        <v>10.79</v>
      </c>
      <c r="G2682" s="242" t="n">
        <v>0</v>
      </c>
      <c r="H2682" s="241" t="n">
        <v>0</v>
      </c>
      <c r="I2682" s="241" t="n">
        <v>0</v>
      </c>
      <c r="J2682" s="241" t="n">
        <v>0</v>
      </c>
      <c r="K2682" s="241" t="n">
        <v>6.59</v>
      </c>
      <c r="L2682" s="242" t="n">
        <v>2770000</v>
      </c>
      <c r="M2682" s="241" t="n">
        <v>0.27</v>
      </c>
      <c r="N2682" s="241" t="n">
        <v>10.31</v>
      </c>
      <c r="O2682" s="241" t="n">
        <v>7.74</v>
      </c>
      <c r="P2682" s="241" t="n">
        <v>1.64</v>
      </c>
    </row>
    <row r="2683">
      <c r="A2683" s="282" t="inlineStr">
        <is>
          <t>2017-01-12</t>
        </is>
      </c>
      <c r="B2683" s="240">
        <f>IFERROR(1/P2683-1,B2682)</f>
        <v/>
      </c>
      <c r="C2683" s="240">
        <f>$C$3</f>
        <v/>
      </c>
      <c r="D2683" s="240">
        <f>$D$3</f>
        <v/>
      </c>
      <c r="E2683" s="240">
        <f>$E$3</f>
        <v/>
      </c>
      <c r="F2683" s="241" t="n">
        <v>10.79</v>
      </c>
      <c r="G2683" s="242" t="n">
        <v>0</v>
      </c>
      <c r="H2683" s="241" t="n">
        <v>0</v>
      </c>
      <c r="I2683" s="241" t="n">
        <v>0</v>
      </c>
      <c r="J2683" s="241" t="n">
        <v>0</v>
      </c>
      <c r="K2683" s="241" t="n">
        <v>6.62</v>
      </c>
      <c r="L2683" s="242" t="n">
        <v>1509400</v>
      </c>
      <c r="M2683" s="241" t="n">
        <v>0.54</v>
      </c>
      <c r="N2683" s="241" t="n">
        <v>10.91</v>
      </c>
      <c r="O2683" s="241" t="n">
        <v>8.32</v>
      </c>
      <c r="P2683" s="241" t="n">
        <v>1.63</v>
      </c>
    </row>
    <row r="2684">
      <c r="A2684" s="282" t="inlineStr">
        <is>
          <t>2017-01-13</t>
        </is>
      </c>
      <c r="B2684" s="240">
        <f>IFERROR(1/P2684-1,B2683)</f>
        <v/>
      </c>
      <c r="C2684" s="240">
        <f>$C$3</f>
        <v/>
      </c>
      <c r="D2684" s="240">
        <f>$D$3</f>
        <v/>
      </c>
      <c r="E2684" s="240">
        <f>$E$3</f>
        <v/>
      </c>
      <c r="F2684" s="241" t="n">
        <v>10.79</v>
      </c>
      <c r="G2684" s="242" t="n">
        <v>0</v>
      </c>
      <c r="H2684" s="241" t="n">
        <v>0</v>
      </c>
      <c r="I2684" s="241" t="n">
        <v>0</v>
      </c>
      <c r="J2684" s="241" t="n">
        <v>0</v>
      </c>
      <c r="K2684" s="241" t="n">
        <v>6.75</v>
      </c>
      <c r="L2684" s="242" t="n">
        <v>2916000</v>
      </c>
      <c r="M2684" s="241" t="n">
        <v>2.43</v>
      </c>
      <c r="N2684" s="241" t="n">
        <v>17.65</v>
      </c>
      <c r="O2684" s="241" t="n">
        <v>10.95</v>
      </c>
      <c r="P2684" s="241" t="n">
        <v>1.6</v>
      </c>
    </row>
    <row r="2685">
      <c r="A2685" s="282" t="inlineStr">
        <is>
          <t>2017-01-16</t>
        </is>
      </c>
      <c r="B2685" s="240">
        <f>IFERROR(1/P2685-1,B2684)</f>
        <v/>
      </c>
      <c r="C2685" s="240">
        <f>$C$3</f>
        <v/>
      </c>
      <c r="D2685" s="240">
        <f>$D$3</f>
        <v/>
      </c>
      <c r="E2685" s="240">
        <f>$E$3</f>
        <v/>
      </c>
      <c r="F2685" s="241" t="n">
        <v>10.79</v>
      </c>
      <c r="G2685" s="242" t="n">
        <v>0</v>
      </c>
      <c r="H2685" s="241" t="n">
        <v>0</v>
      </c>
      <c r="I2685" s="241" t="n">
        <v>0</v>
      </c>
      <c r="J2685" s="241" t="n">
        <v>0</v>
      </c>
      <c r="K2685" s="241" t="n">
        <v>6.46</v>
      </c>
      <c r="L2685" s="242" t="n">
        <v>2970400</v>
      </c>
      <c r="M2685" s="241" t="n">
        <v>-4.34</v>
      </c>
      <c r="N2685" s="241" t="n">
        <v>2.54</v>
      </c>
      <c r="O2685" s="241" t="n">
        <v>6.13</v>
      </c>
      <c r="P2685" s="241" t="n">
        <v>1.67</v>
      </c>
    </row>
    <row r="2686">
      <c r="A2686" s="282" t="inlineStr">
        <is>
          <t>2017-01-17</t>
        </is>
      </c>
      <c r="B2686" s="240">
        <f>IFERROR(1/P2686-1,B2685)</f>
        <v/>
      </c>
      <c r="C2686" s="240">
        <f>$C$3</f>
        <v/>
      </c>
      <c r="D2686" s="240">
        <f>$D$3</f>
        <v/>
      </c>
      <c r="E2686" s="240">
        <f>$E$3</f>
        <v/>
      </c>
      <c r="F2686" s="241" t="n">
        <v>10.79</v>
      </c>
      <c r="G2686" s="242" t="n">
        <v>0</v>
      </c>
      <c r="H2686" s="241" t="n">
        <v>0</v>
      </c>
      <c r="I2686" s="241" t="n">
        <v>0</v>
      </c>
      <c r="J2686" s="241" t="n">
        <v>0</v>
      </c>
      <c r="K2686" s="241" t="n">
        <v>6.69</v>
      </c>
      <c r="L2686" s="242" t="n">
        <v>1741000</v>
      </c>
      <c r="M2686" s="241" t="n">
        <v>3.44</v>
      </c>
      <c r="N2686" s="241" t="n">
        <v>6.52</v>
      </c>
      <c r="O2686" s="241" t="n">
        <v>9.779999999999999</v>
      </c>
      <c r="P2686" s="241" t="n">
        <v>1.61</v>
      </c>
    </row>
    <row r="2687">
      <c r="A2687" s="282" t="inlineStr">
        <is>
          <t>2017-01-18</t>
        </is>
      </c>
      <c r="B2687" s="240">
        <f>IFERROR(1/P2687-1,B2686)</f>
        <v/>
      </c>
      <c r="C2687" s="240">
        <f>$C$3</f>
        <v/>
      </c>
      <c r="D2687" s="240">
        <f>$D$3</f>
        <v/>
      </c>
      <c r="E2687" s="240">
        <f>$E$3</f>
        <v/>
      </c>
      <c r="F2687" s="241" t="n">
        <v>10.79</v>
      </c>
      <c r="G2687" s="242" t="n">
        <v>0</v>
      </c>
      <c r="H2687" s="241" t="n">
        <v>0</v>
      </c>
      <c r="I2687" s="241" t="n">
        <v>0</v>
      </c>
      <c r="J2687" s="241" t="n">
        <v>0</v>
      </c>
      <c r="K2687" s="241" t="n">
        <v>6.83</v>
      </c>
      <c r="L2687" s="242" t="n">
        <v>3916400</v>
      </c>
      <c r="M2687" s="241" t="n">
        <v>2.79</v>
      </c>
      <c r="N2687" s="241" t="n">
        <v>9.49</v>
      </c>
      <c r="O2687" s="241" t="n">
        <v>12.85</v>
      </c>
      <c r="P2687" s="241" t="n">
        <v>1.58</v>
      </c>
    </row>
    <row r="2688">
      <c r="A2688" s="282" t="inlineStr">
        <is>
          <t>2017-01-19</t>
        </is>
      </c>
      <c r="B2688" s="240">
        <f>IFERROR(1/P2688-1,B2687)</f>
        <v/>
      </c>
      <c r="C2688" s="240">
        <f>$C$3</f>
        <v/>
      </c>
      <c r="D2688" s="240">
        <f>$D$3</f>
        <v/>
      </c>
      <c r="E2688" s="240">
        <f>$E$3</f>
        <v/>
      </c>
      <c r="F2688" s="241" t="n">
        <v>10.79</v>
      </c>
      <c r="G2688" s="242" t="n">
        <v>0</v>
      </c>
      <c r="H2688" s="241" t="n">
        <v>0</v>
      </c>
      <c r="I2688" s="241" t="n">
        <v>0</v>
      </c>
      <c r="J2688" s="241" t="n">
        <v>0</v>
      </c>
      <c r="K2688" s="241" t="n">
        <v>6.93</v>
      </c>
      <c r="L2688" s="242" t="n">
        <v>1639000</v>
      </c>
      <c r="M2688" s="241" t="n">
        <v>1.42</v>
      </c>
      <c r="N2688" s="241" t="n">
        <v>11.05</v>
      </c>
      <c r="O2688" s="241" t="n">
        <v>14.45</v>
      </c>
      <c r="P2688" s="241" t="n">
        <v>1.56</v>
      </c>
    </row>
    <row r="2689">
      <c r="A2689" s="282" t="inlineStr">
        <is>
          <t>2017-01-20</t>
        </is>
      </c>
      <c r="B2689" s="240">
        <f>IFERROR(1/P2689-1,B2688)</f>
        <v/>
      </c>
      <c r="C2689" s="240">
        <f>$C$3</f>
        <v/>
      </c>
      <c r="D2689" s="240">
        <f>$D$3</f>
        <v/>
      </c>
      <c r="E2689" s="240">
        <f>$E$3</f>
        <v/>
      </c>
      <c r="F2689" s="241" t="n">
        <v>10.79</v>
      </c>
      <c r="G2689" s="242" t="n">
        <v>0</v>
      </c>
      <c r="H2689" s="241" t="n">
        <v>0</v>
      </c>
      <c r="I2689" s="241" t="n">
        <v>0</v>
      </c>
      <c r="J2689" s="241" t="n">
        <v>0</v>
      </c>
      <c r="K2689" s="241" t="n">
        <v>6.78</v>
      </c>
      <c r="L2689" s="242" t="n">
        <v>2536000</v>
      </c>
      <c r="M2689" s="241" t="n">
        <v>-2.3</v>
      </c>
      <c r="N2689" s="241" t="n">
        <v>12.98</v>
      </c>
      <c r="O2689" s="241" t="n">
        <v>11.82</v>
      </c>
      <c r="P2689" s="241" t="n">
        <v>1.59</v>
      </c>
    </row>
    <row r="2690">
      <c r="A2690" s="282" t="inlineStr">
        <is>
          <t>2017-01-23</t>
        </is>
      </c>
      <c r="B2690" s="240">
        <f>IFERROR(1/P2690-1,B2689)</f>
        <v/>
      </c>
      <c r="C2690" s="240">
        <f>$C$3</f>
        <v/>
      </c>
      <c r="D2690" s="240">
        <f>$D$3</f>
        <v/>
      </c>
      <c r="E2690" s="240">
        <f>$E$3</f>
        <v/>
      </c>
      <c r="F2690" s="241" t="n">
        <v>10.79</v>
      </c>
      <c r="G2690" s="242" t="n">
        <v>0</v>
      </c>
      <c r="H2690" s="241" t="n">
        <v>0</v>
      </c>
      <c r="I2690" s="241" t="n">
        <v>0</v>
      </c>
      <c r="J2690" s="241" t="n">
        <v>0</v>
      </c>
      <c r="K2690" s="241" t="n">
        <v>6.81</v>
      </c>
      <c r="L2690" s="242" t="n">
        <v>1990598</v>
      </c>
      <c r="M2690" s="241" t="n">
        <v>0.52</v>
      </c>
      <c r="N2690" s="241" t="n">
        <v>15.27</v>
      </c>
      <c r="O2690" s="241" t="n">
        <v>12.41</v>
      </c>
      <c r="P2690" s="241" t="n">
        <v>1.59</v>
      </c>
    </row>
    <row r="2691">
      <c r="A2691" s="282" t="inlineStr">
        <is>
          <t>2017-01-24</t>
        </is>
      </c>
      <c r="B2691" s="240">
        <f>IFERROR(1/P2691-1,B2690)</f>
        <v/>
      </c>
      <c r="C2691" s="240">
        <f>$C$3</f>
        <v/>
      </c>
      <c r="D2691" s="240">
        <f>$D$3</f>
        <v/>
      </c>
      <c r="E2691" s="240">
        <f>$E$3</f>
        <v/>
      </c>
      <c r="F2691" s="241" t="n">
        <v>10.79</v>
      </c>
      <c r="G2691" s="242" t="n">
        <v>0</v>
      </c>
      <c r="H2691" s="241" t="n">
        <v>0</v>
      </c>
      <c r="I2691" s="241" t="n">
        <v>0</v>
      </c>
      <c r="J2691" s="241" t="n">
        <v>0</v>
      </c>
      <c r="K2691" s="241" t="n">
        <v>6.92</v>
      </c>
      <c r="L2691" s="242" t="n">
        <v>1972500</v>
      </c>
      <c r="M2691" s="241" t="n">
        <v>1.95</v>
      </c>
      <c r="N2691" s="241" t="n">
        <v>18.05</v>
      </c>
      <c r="O2691" s="241" t="n">
        <v>14.6</v>
      </c>
      <c r="P2691" s="241" t="n">
        <v>1.56</v>
      </c>
    </row>
    <row r="2692">
      <c r="A2692" s="282" t="inlineStr">
        <is>
          <t>2017-01-25</t>
        </is>
      </c>
      <c r="B2692" s="240">
        <f>IFERROR(1/P2692-1,B2691)</f>
        <v/>
      </c>
      <c r="C2692" s="240">
        <f>$C$3</f>
        <v/>
      </c>
      <c r="D2692" s="240">
        <f>$D$3</f>
        <v/>
      </c>
      <c r="E2692" s="240">
        <f>$E$3</f>
        <v/>
      </c>
      <c r="F2692" s="241" t="n">
        <v>10.79</v>
      </c>
      <c r="G2692" s="242" t="n">
        <v>0</v>
      </c>
      <c r="H2692" s="241" t="n">
        <v>0</v>
      </c>
      <c r="I2692" s="241" t="n">
        <v>0</v>
      </c>
      <c r="J2692" s="241" t="n">
        <v>0</v>
      </c>
      <c r="K2692" s="241" t="n">
        <v>6.77</v>
      </c>
      <c r="L2692" s="242" t="n">
        <v>1923200</v>
      </c>
      <c r="M2692" s="241" t="n">
        <v>-2.42</v>
      </c>
      <c r="N2692" s="241" t="n">
        <v>15.19</v>
      </c>
      <c r="O2692" s="241" t="n">
        <v>11.82</v>
      </c>
      <c r="P2692" s="241" t="n">
        <v>1.59</v>
      </c>
    </row>
    <row r="2693">
      <c r="A2693" s="282" t="inlineStr">
        <is>
          <t>2017-01-26</t>
        </is>
      </c>
      <c r="B2693" s="240">
        <f>IFERROR(1/P2693-1,B2692)</f>
        <v/>
      </c>
      <c r="C2693" s="240">
        <f>$C$3</f>
        <v/>
      </c>
      <c r="D2693" s="240">
        <f>$D$3</f>
        <v/>
      </c>
      <c r="E2693" s="240">
        <f>$E$3</f>
        <v/>
      </c>
      <c r="F2693" s="241" t="n">
        <v>10.79</v>
      </c>
      <c r="G2693" s="242" t="n">
        <v>0</v>
      </c>
      <c r="H2693" s="241" t="n">
        <v>0</v>
      </c>
      <c r="I2693" s="241" t="n">
        <v>0</v>
      </c>
      <c r="J2693" s="241" t="n">
        <v>0</v>
      </c>
      <c r="K2693" s="241" t="n">
        <v>6.83</v>
      </c>
      <c r="L2693" s="242" t="n">
        <v>805200</v>
      </c>
      <c r="M2693" s="241" t="n">
        <v>0.91</v>
      </c>
      <c r="N2693" s="241" t="n">
        <v>16.24</v>
      </c>
      <c r="O2693" s="241" t="n">
        <v>12.85</v>
      </c>
      <c r="P2693" s="241" t="n">
        <v>1.58</v>
      </c>
    </row>
    <row r="2694">
      <c r="A2694" s="282" t="inlineStr">
        <is>
          <t>2017-02-03</t>
        </is>
      </c>
      <c r="B2694" s="240">
        <f>IFERROR(1/P2694-1,B2693)</f>
        <v/>
      </c>
      <c r="C2694" s="240">
        <f>$C$3</f>
        <v/>
      </c>
      <c r="D2694" s="240">
        <f>$D$3</f>
        <v/>
      </c>
      <c r="E2694" s="240">
        <f>$E$3</f>
        <v/>
      </c>
      <c r="F2694" s="241" t="n">
        <v>10.79</v>
      </c>
      <c r="G2694" s="242" t="n">
        <v>0</v>
      </c>
      <c r="H2694" s="241" t="n">
        <v>0</v>
      </c>
      <c r="I2694" s="241" t="n">
        <v>0</v>
      </c>
      <c r="J2694" s="241" t="n">
        <v>0</v>
      </c>
      <c r="K2694" s="241" t="n">
        <v>6.38</v>
      </c>
      <c r="L2694" s="242" t="n">
        <v>5531073</v>
      </c>
      <c r="M2694" s="241" t="n">
        <v>-6.48</v>
      </c>
      <c r="N2694" s="241" t="n">
        <v>5.4</v>
      </c>
      <c r="O2694" s="241" t="n">
        <v>5.4</v>
      </c>
      <c r="P2694" s="241" t="n">
        <v>1.69</v>
      </c>
    </row>
    <row r="2695">
      <c r="A2695" s="282" t="inlineStr">
        <is>
          <t>2017-02-06</t>
        </is>
      </c>
      <c r="B2695" s="240">
        <f>IFERROR(1/P2695-1,B2694)</f>
        <v/>
      </c>
      <c r="C2695" s="240">
        <f>$C$3</f>
        <v/>
      </c>
      <c r="D2695" s="240">
        <f>$D$3</f>
        <v/>
      </c>
      <c r="E2695" s="240">
        <f>$E$3</f>
        <v/>
      </c>
      <c r="F2695" s="241" t="n">
        <v>10.79</v>
      </c>
      <c r="G2695" s="242" t="n">
        <v>0</v>
      </c>
      <c r="H2695" s="241" t="n">
        <v>0</v>
      </c>
      <c r="I2695" s="241" t="n">
        <v>0</v>
      </c>
      <c r="J2695" s="241" t="n">
        <v>0</v>
      </c>
      <c r="K2695" s="241" t="n">
        <v>6.27</v>
      </c>
      <c r="L2695" s="242" t="n">
        <v>2543700</v>
      </c>
      <c r="M2695" s="241" t="n">
        <v>-1.8</v>
      </c>
      <c r="N2695" s="241" t="n">
        <v>1.87</v>
      </c>
      <c r="O2695" s="241" t="n">
        <v>3.5</v>
      </c>
      <c r="P2695" s="241" t="n">
        <v>1.72</v>
      </c>
    </row>
    <row r="2696">
      <c r="A2696" s="282" t="inlineStr">
        <is>
          <t>2017-02-07</t>
        </is>
      </c>
      <c r="B2696" s="240">
        <f>IFERROR(1/P2696-1,B2695)</f>
        <v/>
      </c>
      <c r="C2696" s="240">
        <f>$C$3</f>
        <v/>
      </c>
      <c r="D2696" s="240">
        <f>$D$3</f>
        <v/>
      </c>
      <c r="E2696" s="240">
        <f>$E$3</f>
        <v/>
      </c>
      <c r="F2696" s="241" t="n">
        <v>10.79</v>
      </c>
      <c r="G2696" s="242" t="n">
        <v>0</v>
      </c>
      <c r="H2696" s="241" t="n">
        <v>0</v>
      </c>
      <c r="I2696" s="241" t="n">
        <v>0</v>
      </c>
      <c r="J2696" s="241" t="n">
        <v>0</v>
      </c>
      <c r="K2696" s="241" t="n">
        <v>6.54</v>
      </c>
      <c r="L2696" s="242" t="n">
        <v>2922800</v>
      </c>
      <c r="M2696" s="241" t="n">
        <v>4.23</v>
      </c>
      <c r="N2696" s="241" t="n">
        <v>3.79</v>
      </c>
      <c r="O2696" s="241" t="n">
        <v>7.88</v>
      </c>
      <c r="P2696" s="241" t="n">
        <v>1.65</v>
      </c>
    </row>
    <row r="2697">
      <c r="A2697" s="282" t="inlineStr">
        <is>
          <t>2017-02-08</t>
        </is>
      </c>
      <c r="B2697" s="240">
        <f>IFERROR(1/P2697-1,B2696)</f>
        <v/>
      </c>
      <c r="C2697" s="240">
        <f>$C$3</f>
        <v/>
      </c>
      <c r="D2697" s="240">
        <f>$D$3</f>
        <v/>
      </c>
      <c r="E2697" s="240">
        <f>$E$3</f>
        <v/>
      </c>
      <c r="F2697" s="241" t="n">
        <v>10.79</v>
      </c>
      <c r="G2697" s="242" t="n">
        <v>0</v>
      </c>
      <c r="H2697" s="241" t="n">
        <v>0</v>
      </c>
      <c r="I2697" s="241" t="n">
        <v>0</v>
      </c>
      <c r="J2697" s="241" t="n">
        <v>0</v>
      </c>
      <c r="K2697" s="241" t="n">
        <v>6.7</v>
      </c>
      <c r="L2697" s="242" t="n">
        <v>2320000</v>
      </c>
      <c r="M2697" s="241" t="n">
        <v>2.17</v>
      </c>
      <c r="N2697" s="241" t="n">
        <v>6.04</v>
      </c>
      <c r="O2697" s="241" t="n">
        <v>10.22</v>
      </c>
      <c r="P2697" s="241" t="n">
        <v>1.61</v>
      </c>
    </row>
    <row r="2698">
      <c r="A2698" s="282" t="inlineStr">
        <is>
          <t>2017-02-09</t>
        </is>
      </c>
      <c r="B2698" s="240">
        <f>IFERROR(1/P2698-1,B2697)</f>
        <v/>
      </c>
      <c r="C2698" s="240">
        <f>$C$3</f>
        <v/>
      </c>
      <c r="D2698" s="240">
        <f>$D$3</f>
        <v/>
      </c>
      <c r="E2698" s="240">
        <f>$E$3</f>
        <v/>
      </c>
      <c r="F2698" s="241" t="n">
        <v>10.79</v>
      </c>
      <c r="G2698" s="242" t="n">
        <v>0</v>
      </c>
      <c r="H2698" s="241" t="n">
        <v>0</v>
      </c>
      <c r="I2698" s="241" t="n">
        <v>0</v>
      </c>
      <c r="J2698" s="241" t="n">
        <v>0</v>
      </c>
      <c r="K2698" s="241" t="n">
        <v>6.65</v>
      </c>
      <c r="L2698" s="242" t="n">
        <v>1678200</v>
      </c>
      <c r="M2698" s="241" t="n">
        <v>-0.53</v>
      </c>
      <c r="N2698" s="241" t="n">
        <v>5.48</v>
      </c>
      <c r="O2698" s="241" t="n">
        <v>9.630000000000001</v>
      </c>
      <c r="P2698" s="241" t="n">
        <v>1.62</v>
      </c>
    </row>
    <row r="2699">
      <c r="A2699" s="282" t="inlineStr">
        <is>
          <t>2017-02-10</t>
        </is>
      </c>
      <c r="B2699" s="240">
        <f>IFERROR(1/P2699-1,B2698)</f>
        <v/>
      </c>
      <c r="C2699" s="240">
        <f>$C$3</f>
        <v/>
      </c>
      <c r="D2699" s="240">
        <f>$D$3</f>
        <v/>
      </c>
      <c r="E2699" s="240">
        <f>$E$3</f>
        <v/>
      </c>
      <c r="F2699" s="241" t="n">
        <v>10.79</v>
      </c>
      <c r="G2699" s="242" t="n">
        <v>0</v>
      </c>
      <c r="H2699" s="241" t="n">
        <v>0</v>
      </c>
      <c r="I2699" s="241" t="n">
        <v>0</v>
      </c>
      <c r="J2699" s="241" t="n">
        <v>0</v>
      </c>
      <c r="K2699" s="241" t="n">
        <v>6.65</v>
      </c>
      <c r="L2699" s="242" t="n">
        <v>1606600</v>
      </c>
      <c r="M2699" s="241" t="n">
        <v>-0.13</v>
      </c>
      <c r="N2699" s="241" t="n">
        <v>4.75</v>
      </c>
      <c r="O2699" s="241" t="n">
        <v>9.49</v>
      </c>
      <c r="P2699" s="241" t="n">
        <v>1.62</v>
      </c>
    </row>
    <row r="2700">
      <c r="A2700" s="282" t="inlineStr">
        <is>
          <t>2017-02-13</t>
        </is>
      </c>
      <c r="B2700" s="240">
        <f>IFERROR(1/P2700-1,B2699)</f>
        <v/>
      </c>
      <c r="C2700" s="240">
        <f>$C$3</f>
        <v/>
      </c>
      <c r="D2700" s="240">
        <f>$D$3</f>
        <v/>
      </c>
      <c r="E2700" s="240">
        <f>$E$3</f>
        <v/>
      </c>
      <c r="F2700" s="241" t="n">
        <v>10.79</v>
      </c>
      <c r="G2700" s="242" t="n">
        <v>0</v>
      </c>
      <c r="H2700" s="241" t="n">
        <v>0</v>
      </c>
      <c r="I2700" s="241" t="n">
        <v>0</v>
      </c>
      <c r="J2700" s="241" t="n">
        <v>0</v>
      </c>
      <c r="K2700" s="241" t="n">
        <v>6.93</v>
      </c>
      <c r="L2700" s="242" t="n">
        <v>2963200</v>
      </c>
      <c r="M2700" s="241" t="n">
        <v>4</v>
      </c>
      <c r="N2700" s="241" t="n">
        <v>5.12</v>
      </c>
      <c r="O2700" s="241" t="n">
        <v>13.87</v>
      </c>
      <c r="P2700" s="241" t="n">
        <v>1.56</v>
      </c>
    </row>
    <row r="2701">
      <c r="A2701" s="282" t="inlineStr">
        <is>
          <t>2017-02-14</t>
        </is>
      </c>
      <c r="B2701" s="240">
        <f>IFERROR(1/P2701-1,B2700)</f>
        <v/>
      </c>
      <c r="C2701" s="240">
        <f>$C$3</f>
        <v/>
      </c>
      <c r="D2701" s="240">
        <f>$D$3</f>
        <v/>
      </c>
      <c r="E2701" s="240">
        <f>$E$3</f>
        <v/>
      </c>
      <c r="F2701" s="241" t="n">
        <v>10.79</v>
      </c>
      <c r="G2701" s="242" t="n">
        <v>0</v>
      </c>
      <c r="H2701" s="241" t="n">
        <v>0</v>
      </c>
      <c r="I2701" s="241" t="n">
        <v>0</v>
      </c>
      <c r="J2701" s="241" t="n">
        <v>0</v>
      </c>
      <c r="K2701" s="241" t="n">
        <v>6.79</v>
      </c>
      <c r="L2701" s="242" t="n">
        <v>3179200</v>
      </c>
      <c r="M2701" s="241" t="n">
        <v>-1.79</v>
      </c>
      <c r="N2701" s="241" t="n">
        <v>0.79</v>
      </c>
      <c r="O2701" s="241" t="n">
        <v>11.82</v>
      </c>
      <c r="P2701" s="241" t="n">
        <v>1.59</v>
      </c>
    </row>
    <row r="2702">
      <c r="A2702" s="282" t="inlineStr">
        <is>
          <t>2017-02-15</t>
        </is>
      </c>
      <c r="B2702" s="240">
        <f>IFERROR(1/P2702-1,B2701)</f>
        <v/>
      </c>
      <c r="C2702" s="240">
        <f>$C$3</f>
        <v/>
      </c>
      <c r="D2702" s="240">
        <f>$D$3</f>
        <v/>
      </c>
      <c r="E2702" s="240">
        <f>$E$3</f>
        <v/>
      </c>
      <c r="F2702" s="241" t="n">
        <v>10.79</v>
      </c>
      <c r="G2702" s="242" t="n">
        <v>0</v>
      </c>
      <c r="H2702" s="241" t="n">
        <v>0</v>
      </c>
      <c r="I2702" s="241" t="n">
        <v>0</v>
      </c>
      <c r="J2702" s="241" t="n">
        <v>0</v>
      </c>
      <c r="K2702" s="241" t="n">
        <v>6.86</v>
      </c>
      <c r="L2702" s="242" t="n">
        <v>6752400</v>
      </c>
      <c r="M2702" s="241" t="n">
        <v>1.31</v>
      </c>
      <c r="N2702" s="241" t="n">
        <v>2.11</v>
      </c>
      <c r="O2702" s="241" t="n">
        <v>13.28</v>
      </c>
      <c r="P2702" s="241" t="n">
        <v>1.57</v>
      </c>
    </row>
    <row r="2703">
      <c r="A2703" s="282" t="inlineStr">
        <is>
          <t>2017-02-16</t>
        </is>
      </c>
      <c r="B2703" s="240">
        <f>IFERROR(1/P2703-1,B2702)</f>
        <v/>
      </c>
      <c r="C2703" s="240">
        <f>$C$3</f>
        <v/>
      </c>
      <c r="D2703" s="240">
        <f>$D$3</f>
        <v/>
      </c>
      <c r="E2703" s="240">
        <f>$E$3</f>
        <v/>
      </c>
      <c r="F2703" s="241" t="n">
        <v>10.79</v>
      </c>
      <c r="G2703" s="242" t="n">
        <v>0</v>
      </c>
      <c r="H2703" s="241" t="n">
        <v>0</v>
      </c>
      <c r="I2703" s="241" t="n">
        <v>0</v>
      </c>
      <c r="J2703" s="241" t="n">
        <v>0</v>
      </c>
      <c r="K2703" s="241" t="n">
        <v>6.91</v>
      </c>
      <c r="L2703" s="242" t="n">
        <v>2644000</v>
      </c>
      <c r="M2703" s="241" t="n">
        <v>0.64</v>
      </c>
      <c r="N2703" s="241" t="n">
        <v>2.76</v>
      </c>
      <c r="O2703" s="241" t="n">
        <v>14.01</v>
      </c>
      <c r="P2703" s="241" t="n">
        <v>1.56</v>
      </c>
    </row>
    <row r="2704">
      <c r="A2704" s="282" t="inlineStr">
        <is>
          <t>2017-02-17</t>
        </is>
      </c>
      <c r="B2704" s="240">
        <f>IFERROR(1/P2704-1,B2703)</f>
        <v/>
      </c>
      <c r="C2704" s="240">
        <f>$C$3</f>
        <v/>
      </c>
      <c r="D2704" s="240">
        <f>$D$3</f>
        <v/>
      </c>
      <c r="E2704" s="240">
        <f>$E$3</f>
        <v/>
      </c>
      <c r="F2704" s="241" t="n">
        <v>10.79</v>
      </c>
      <c r="G2704" s="242" t="n">
        <v>0</v>
      </c>
      <c r="H2704" s="241" t="n">
        <v>0</v>
      </c>
      <c r="I2704" s="241" t="n">
        <v>0</v>
      </c>
      <c r="J2704" s="241" t="n">
        <v>0</v>
      </c>
      <c r="K2704" s="241" t="n">
        <v>6.67</v>
      </c>
      <c r="L2704" s="242" t="n">
        <v>1279000</v>
      </c>
      <c r="M2704" s="241" t="n">
        <v>-3.2</v>
      </c>
      <c r="N2704" s="241" t="n">
        <v>3.99</v>
      </c>
      <c r="O2704" s="241" t="n">
        <v>10.37</v>
      </c>
      <c r="P2704" s="241" t="n">
        <v>1.62</v>
      </c>
    </row>
    <row r="2705">
      <c r="A2705" s="282" t="inlineStr">
        <is>
          <t>2017-02-20</t>
        </is>
      </c>
      <c r="B2705" s="240">
        <f>IFERROR(1/P2705-1,B2704)</f>
        <v/>
      </c>
      <c r="C2705" s="240">
        <f>$C$3</f>
        <v/>
      </c>
      <c r="D2705" s="240">
        <f>$D$3</f>
        <v/>
      </c>
      <c r="E2705" s="240">
        <f>$E$3</f>
        <v/>
      </c>
      <c r="F2705" s="241" t="n">
        <v>10.79</v>
      </c>
      <c r="G2705" s="242" t="n">
        <v>0</v>
      </c>
      <c r="H2705" s="241" t="n">
        <v>0</v>
      </c>
      <c r="I2705" s="241" t="n">
        <v>0</v>
      </c>
      <c r="J2705" s="241" t="n">
        <v>0</v>
      </c>
      <c r="K2705" s="241" t="n">
        <v>6.75</v>
      </c>
      <c r="L2705" s="242" t="n">
        <v>1172600</v>
      </c>
      <c r="M2705" s="241" t="n">
        <v>0.79</v>
      </c>
      <c r="N2705" s="241" t="n">
        <v>-2.81</v>
      </c>
      <c r="O2705" s="241" t="n">
        <v>11.24</v>
      </c>
      <c r="P2705" s="241" t="n">
        <v>1.6</v>
      </c>
    </row>
    <row r="2706">
      <c r="A2706" s="282" t="inlineStr">
        <is>
          <t>2017-02-21</t>
        </is>
      </c>
      <c r="B2706" s="240">
        <f>IFERROR(1/P2706-1,B2705)</f>
        <v/>
      </c>
      <c r="C2706" s="240">
        <f>$C$3</f>
        <v/>
      </c>
      <c r="D2706" s="240">
        <f>$D$3</f>
        <v/>
      </c>
      <c r="E2706" s="240">
        <f>$E$3</f>
        <v/>
      </c>
      <c r="F2706" s="241" t="n">
        <v>10.79</v>
      </c>
      <c r="G2706" s="242" t="n">
        <v>0</v>
      </c>
      <c r="H2706" s="241" t="n">
        <v>0</v>
      </c>
      <c r="I2706" s="241" t="n">
        <v>0</v>
      </c>
      <c r="J2706" s="241" t="n">
        <v>0</v>
      </c>
      <c r="K2706" s="241" t="n">
        <v>6.78</v>
      </c>
      <c r="L2706" s="242" t="n">
        <v>2974760</v>
      </c>
      <c r="M2706" s="241" t="n">
        <v>0.39</v>
      </c>
      <c r="N2706" s="241" t="n">
        <v>-0.13</v>
      </c>
      <c r="O2706" s="241" t="n">
        <v>11.68</v>
      </c>
      <c r="P2706" s="241" t="n">
        <v>1.59</v>
      </c>
    </row>
    <row r="2707">
      <c r="A2707" s="282" t="inlineStr">
        <is>
          <t>2017-02-22</t>
        </is>
      </c>
      <c r="B2707" s="240">
        <f>IFERROR(1/P2707-1,B2706)</f>
        <v/>
      </c>
      <c r="C2707" s="240">
        <f>$C$3</f>
        <v/>
      </c>
      <c r="D2707" s="240">
        <f>$D$3</f>
        <v/>
      </c>
      <c r="E2707" s="240">
        <f>$E$3</f>
        <v/>
      </c>
      <c r="F2707" s="241" t="n">
        <v>10.79</v>
      </c>
      <c r="G2707" s="242" t="n">
        <v>0</v>
      </c>
      <c r="H2707" s="241" t="n">
        <v>0</v>
      </c>
      <c r="I2707" s="241" t="n">
        <v>0</v>
      </c>
      <c r="J2707" s="241" t="n">
        <v>0</v>
      </c>
      <c r="K2707" s="241" t="n">
        <v>7.01</v>
      </c>
      <c r="L2707" s="242" t="n">
        <v>2949800</v>
      </c>
      <c r="M2707" s="241" t="n">
        <v>3.27</v>
      </c>
      <c r="N2707" s="241" t="n">
        <v>3.13</v>
      </c>
      <c r="O2707" s="241" t="n">
        <v>15.33</v>
      </c>
      <c r="P2707" s="241" t="n">
        <v>1.54</v>
      </c>
    </row>
    <row r="2708">
      <c r="A2708" s="282" t="inlineStr">
        <is>
          <t>2017-02-23</t>
        </is>
      </c>
      <c r="B2708" s="240">
        <f>IFERROR(1/P2708-1,B2707)</f>
        <v/>
      </c>
      <c r="C2708" s="240">
        <f>$C$3</f>
        <v/>
      </c>
      <c r="D2708" s="240">
        <f>$D$3</f>
        <v/>
      </c>
      <c r="E2708" s="240">
        <f>$E$3</f>
        <v/>
      </c>
      <c r="F2708" s="241" t="n">
        <v>10.79</v>
      </c>
      <c r="G2708" s="242" t="n">
        <v>0</v>
      </c>
      <c r="H2708" s="241" t="n">
        <v>0</v>
      </c>
      <c r="I2708" s="241" t="n">
        <v>0</v>
      </c>
      <c r="J2708" s="241" t="n">
        <v>0</v>
      </c>
      <c r="K2708" s="241" t="n">
        <v>7.04</v>
      </c>
      <c r="L2708" s="242" t="n">
        <v>3183200</v>
      </c>
      <c r="M2708" s="241" t="n">
        <v>0.63</v>
      </c>
      <c r="N2708" s="241" t="n">
        <v>3.79</v>
      </c>
      <c r="O2708" s="241" t="n">
        <v>16.06</v>
      </c>
      <c r="P2708" s="241" t="n">
        <v>1.53</v>
      </c>
    </row>
    <row r="2709">
      <c r="A2709" s="282" t="inlineStr">
        <is>
          <t>2017-02-24</t>
        </is>
      </c>
      <c r="B2709" s="240">
        <f>IFERROR(1/P2709-1,B2708)</f>
        <v/>
      </c>
      <c r="C2709" s="240">
        <f>$C$3</f>
        <v/>
      </c>
      <c r="D2709" s="240">
        <f>$D$3</f>
        <v/>
      </c>
      <c r="E2709" s="240">
        <f>$E$3</f>
        <v/>
      </c>
      <c r="F2709" s="241" t="n">
        <v>10.79</v>
      </c>
      <c r="G2709" s="242" t="n">
        <v>0</v>
      </c>
      <c r="H2709" s="241" t="n">
        <v>0</v>
      </c>
      <c r="I2709" s="241" t="n">
        <v>0</v>
      </c>
      <c r="J2709" s="241" t="n">
        <v>0</v>
      </c>
      <c r="K2709" s="241" t="n">
        <v>6.78</v>
      </c>
      <c r="L2709" s="242" t="n">
        <v>1613800</v>
      </c>
      <c r="M2709" s="241" t="n">
        <v>-3.65</v>
      </c>
      <c r="N2709" s="241" t="n">
        <v>-0.52</v>
      </c>
      <c r="O2709" s="241" t="n">
        <v>11.82</v>
      </c>
      <c r="P2709" s="241" t="n">
        <v>1.59</v>
      </c>
    </row>
    <row r="2710">
      <c r="A2710" s="282" t="inlineStr">
        <is>
          <t>2017-02-27</t>
        </is>
      </c>
      <c r="B2710" s="240">
        <f>IFERROR(1/P2710-1,B2709)</f>
        <v/>
      </c>
      <c r="C2710" s="240">
        <f>$C$3</f>
        <v/>
      </c>
      <c r="D2710" s="240">
        <f>$D$3</f>
        <v/>
      </c>
      <c r="E2710" s="240">
        <f>$E$3</f>
        <v/>
      </c>
      <c r="F2710" s="241" t="n">
        <v>10.79</v>
      </c>
      <c r="G2710" s="242" t="n">
        <v>0</v>
      </c>
      <c r="H2710" s="241" t="n">
        <v>0</v>
      </c>
      <c r="I2710" s="241" t="n">
        <v>0</v>
      </c>
      <c r="J2710" s="241" t="n">
        <v>0</v>
      </c>
      <c r="K2710" s="241" t="n">
        <v>7</v>
      </c>
      <c r="L2710" s="242" t="n">
        <v>4496587</v>
      </c>
      <c r="M2710" s="241" t="n">
        <v>3.13</v>
      </c>
      <c r="N2710" s="241" t="n">
        <v>2.2</v>
      </c>
      <c r="O2710" s="241" t="n">
        <v>15.33</v>
      </c>
      <c r="P2710" s="241" t="n">
        <v>1.54</v>
      </c>
    </row>
    <row r="2711">
      <c r="A2711" s="282" t="inlineStr">
        <is>
          <t>2017-02-28</t>
        </is>
      </c>
      <c r="B2711" s="240">
        <f>IFERROR(1/P2711-1,B2710)</f>
        <v/>
      </c>
      <c r="C2711" s="240">
        <f>$C$3</f>
        <v/>
      </c>
      <c r="D2711" s="240">
        <f>$D$3</f>
        <v/>
      </c>
      <c r="E2711" s="240">
        <f>$E$3</f>
        <v/>
      </c>
      <c r="F2711" s="241" t="n">
        <v>10.79</v>
      </c>
      <c r="G2711" s="242" t="n">
        <v>0</v>
      </c>
      <c r="H2711" s="241" t="n">
        <v>0</v>
      </c>
      <c r="I2711" s="241" t="n">
        <v>0</v>
      </c>
      <c r="J2711" s="241" t="n">
        <v>0</v>
      </c>
      <c r="K2711" s="241" t="n">
        <v>7.19</v>
      </c>
      <c r="L2711" s="242" t="n">
        <v>5826200</v>
      </c>
      <c r="M2711" s="241" t="n">
        <v>2.78</v>
      </c>
      <c r="N2711" s="241" t="n">
        <v>3.57</v>
      </c>
      <c r="O2711" s="241" t="n">
        <v>18.54</v>
      </c>
      <c r="P2711" s="241" t="n">
        <v>1.5</v>
      </c>
    </row>
    <row r="2712">
      <c r="A2712" s="282" t="inlineStr">
        <is>
          <t>2017-03-01</t>
        </is>
      </c>
      <c r="B2712" s="240">
        <f>IFERROR(1/P2712-1,B2711)</f>
        <v/>
      </c>
      <c r="C2712" s="240">
        <f>$C$3</f>
        <v/>
      </c>
      <c r="D2712" s="240">
        <f>$D$3</f>
        <v/>
      </c>
      <c r="E2712" s="240">
        <f>$E$3</f>
        <v/>
      </c>
      <c r="F2712" s="241" t="n">
        <v>10.79</v>
      </c>
      <c r="G2712" s="242" t="n">
        <v>0</v>
      </c>
      <c r="H2712" s="241" t="n">
        <v>0</v>
      </c>
      <c r="I2712" s="241" t="n">
        <v>0</v>
      </c>
      <c r="J2712" s="241" t="n">
        <v>0</v>
      </c>
      <c r="K2712" s="241" t="n">
        <v>7.35</v>
      </c>
      <c r="L2712" s="242" t="n">
        <v>4283000</v>
      </c>
      <c r="M2712" s="241" t="n">
        <v>2.09</v>
      </c>
      <c r="N2712" s="241" t="n">
        <v>5.74</v>
      </c>
      <c r="O2712" s="241" t="n">
        <v>21.02</v>
      </c>
      <c r="P2712" s="241" t="n">
        <v>1.47</v>
      </c>
    </row>
    <row r="2713">
      <c r="A2713" s="282" t="inlineStr">
        <is>
          <t>2017-03-02</t>
        </is>
      </c>
      <c r="B2713" s="240">
        <f>IFERROR(1/P2713-1,B2712)</f>
        <v/>
      </c>
      <c r="C2713" s="240">
        <f>$C$3</f>
        <v/>
      </c>
      <c r="D2713" s="240">
        <f>$D$3</f>
        <v/>
      </c>
      <c r="E2713" s="240">
        <f>$E$3</f>
        <v/>
      </c>
      <c r="F2713" s="241" t="n">
        <v>10.79</v>
      </c>
      <c r="G2713" s="242" t="n">
        <v>0</v>
      </c>
      <c r="H2713" s="241" t="n">
        <v>0</v>
      </c>
      <c r="I2713" s="241" t="n">
        <v>0</v>
      </c>
      <c r="J2713" s="241" t="n">
        <v>0</v>
      </c>
      <c r="K2713" s="241" t="n">
        <v>7.08</v>
      </c>
      <c r="L2713" s="242" t="n">
        <v>1993600</v>
      </c>
      <c r="M2713" s="241" t="n">
        <v>-3.62</v>
      </c>
      <c r="N2713" s="241" t="n">
        <v>3.23</v>
      </c>
      <c r="O2713" s="241" t="n">
        <v>16.64</v>
      </c>
      <c r="P2713" s="241" t="n">
        <v>1.52</v>
      </c>
    </row>
    <row r="2714">
      <c r="A2714" s="282" t="inlineStr">
        <is>
          <t>2017-03-03</t>
        </is>
      </c>
      <c r="B2714" s="240">
        <f>IFERROR(1/P2714-1,B2713)</f>
        <v/>
      </c>
      <c r="C2714" s="240">
        <f>$C$3</f>
        <v/>
      </c>
      <c r="D2714" s="240">
        <f>$D$3</f>
        <v/>
      </c>
      <c r="E2714" s="240">
        <f>$E$3</f>
        <v/>
      </c>
      <c r="F2714" s="241" t="n">
        <v>10.79</v>
      </c>
      <c r="G2714" s="242" t="n">
        <v>0</v>
      </c>
      <c r="H2714" s="241" t="n">
        <v>0</v>
      </c>
      <c r="I2714" s="241" t="n">
        <v>0</v>
      </c>
      <c r="J2714" s="241" t="n">
        <v>0</v>
      </c>
      <c r="K2714" s="241" t="n">
        <v>7.11</v>
      </c>
      <c r="L2714" s="242" t="n">
        <v>4345300</v>
      </c>
      <c r="M2714" s="241" t="n">
        <v>0.25</v>
      </c>
      <c r="N2714" s="241" t="n">
        <v>3.76</v>
      </c>
      <c r="O2714" s="241" t="n">
        <v>16.93</v>
      </c>
      <c r="P2714" s="241" t="n">
        <v>1.52</v>
      </c>
    </row>
    <row r="2715">
      <c r="A2715" s="282" t="inlineStr">
        <is>
          <t>2017-03-06</t>
        </is>
      </c>
      <c r="B2715" s="240">
        <f>IFERROR(1/P2715-1,B2714)</f>
        <v/>
      </c>
      <c r="C2715" s="240">
        <f>$C$3</f>
        <v/>
      </c>
      <c r="D2715" s="240">
        <f>$D$3</f>
        <v/>
      </c>
      <c r="E2715" s="240">
        <f>$E$3</f>
        <v/>
      </c>
      <c r="F2715" s="241" t="n">
        <v>10.79</v>
      </c>
      <c r="G2715" s="242" t="n">
        <v>0</v>
      </c>
      <c r="H2715" s="241" t="n">
        <v>0</v>
      </c>
      <c r="I2715" s="241" t="n">
        <v>0</v>
      </c>
      <c r="J2715" s="241" t="n">
        <v>0</v>
      </c>
      <c r="K2715" s="241" t="n">
        <v>7.1</v>
      </c>
      <c r="L2715" s="242" t="n">
        <v>1453300</v>
      </c>
      <c r="M2715" s="241" t="n">
        <v>0</v>
      </c>
      <c r="N2715" s="241" t="n">
        <v>10.94</v>
      </c>
      <c r="O2715" s="241" t="n">
        <v>16.93</v>
      </c>
      <c r="P2715" s="241" t="n">
        <v>1.52</v>
      </c>
    </row>
    <row r="2716">
      <c r="A2716" s="282" t="inlineStr">
        <is>
          <t>2017-03-07</t>
        </is>
      </c>
      <c r="B2716" s="240">
        <f>IFERROR(1/P2716-1,B2715)</f>
        <v/>
      </c>
      <c r="C2716" s="240">
        <f>$C$3</f>
        <v/>
      </c>
      <c r="D2716" s="240">
        <f>$D$3</f>
        <v/>
      </c>
      <c r="E2716" s="240">
        <f>$E$3</f>
        <v/>
      </c>
      <c r="F2716" s="241" t="n">
        <v>10.79</v>
      </c>
      <c r="G2716" s="242" t="n">
        <v>0</v>
      </c>
      <c r="H2716" s="241" t="n">
        <v>0</v>
      </c>
      <c r="I2716" s="241" t="n">
        <v>0</v>
      </c>
      <c r="J2716" s="241" t="n">
        <v>0</v>
      </c>
      <c r="K2716" s="241" t="n">
        <v>7.35</v>
      </c>
      <c r="L2716" s="242" t="n">
        <v>1742400</v>
      </c>
      <c r="M2716" s="241" t="n">
        <v>3.37</v>
      </c>
      <c r="N2716" s="241" t="n">
        <v>16.78</v>
      </c>
      <c r="O2716" s="241" t="n">
        <v>20.88</v>
      </c>
      <c r="P2716" s="241" t="n">
        <v>1.47</v>
      </c>
    </row>
    <row r="2717">
      <c r="A2717" s="282" t="inlineStr">
        <is>
          <t>2017-03-08</t>
        </is>
      </c>
      <c r="B2717" s="240">
        <f>IFERROR(1/P2717-1,B2716)</f>
        <v/>
      </c>
      <c r="C2717" s="240">
        <f>$C$3</f>
        <v/>
      </c>
      <c r="D2717" s="240">
        <f>$D$3</f>
        <v/>
      </c>
      <c r="E2717" s="240">
        <f>$E$3</f>
        <v/>
      </c>
      <c r="F2717" s="241" t="n">
        <v>10.79</v>
      </c>
      <c r="G2717" s="242" t="n">
        <v>0</v>
      </c>
      <c r="H2717" s="241" t="n">
        <v>0</v>
      </c>
      <c r="I2717" s="241" t="n">
        <v>0</v>
      </c>
      <c r="J2717" s="241" t="n">
        <v>0</v>
      </c>
      <c r="K2717" s="241" t="n">
        <v>7.36</v>
      </c>
      <c r="L2717" s="242" t="n">
        <v>0</v>
      </c>
      <c r="M2717" s="241" t="n">
        <v>0</v>
      </c>
      <c r="N2717" s="241" t="n">
        <v>12.04</v>
      </c>
      <c r="O2717" s="241" t="n">
        <v>20.88</v>
      </c>
      <c r="P2717" s="241" t="n">
        <v>1.47</v>
      </c>
    </row>
    <row r="2718">
      <c r="A2718" s="282" t="inlineStr">
        <is>
          <t>2017-03-09</t>
        </is>
      </c>
      <c r="B2718" s="240">
        <f>IFERROR(1/P2718-1,B2717)</f>
        <v/>
      </c>
      <c r="C2718" s="240">
        <f>$C$3</f>
        <v/>
      </c>
      <c r="D2718" s="240">
        <f>$D$3</f>
        <v/>
      </c>
      <c r="E2718" s="240">
        <f>$E$3</f>
        <v/>
      </c>
      <c r="F2718" s="241" t="n">
        <v>10.79</v>
      </c>
      <c r="G2718" s="242" t="n">
        <v>0</v>
      </c>
      <c r="H2718" s="241" t="n">
        <v>0</v>
      </c>
      <c r="I2718" s="241" t="n">
        <v>0</v>
      </c>
      <c r="J2718" s="241" t="n">
        <v>0</v>
      </c>
      <c r="K2718" s="241" t="n">
        <v>7.37</v>
      </c>
      <c r="L2718" s="242" t="n">
        <v>0</v>
      </c>
      <c r="M2718" s="241" t="n">
        <v>0</v>
      </c>
      <c r="N2718" s="241" t="n">
        <v>9.67</v>
      </c>
      <c r="O2718" s="241" t="n">
        <v>20.88</v>
      </c>
      <c r="P2718" s="241" t="n">
        <v>1.46</v>
      </c>
    </row>
    <row r="2719">
      <c r="A2719" s="282" t="inlineStr">
        <is>
          <t>2017-03-10</t>
        </is>
      </c>
      <c r="B2719" s="240">
        <f>IFERROR(1/P2719-1,B2718)</f>
        <v/>
      </c>
      <c r="C2719" s="240">
        <f>$C$3</f>
        <v/>
      </c>
      <c r="D2719" s="240">
        <f>$D$3</f>
        <v/>
      </c>
      <c r="E2719" s="240">
        <f>$E$3</f>
        <v/>
      </c>
      <c r="F2719" s="241" t="n">
        <v>10.79</v>
      </c>
      <c r="G2719" s="242" t="n">
        <v>0</v>
      </c>
      <c r="H2719" s="241" t="n">
        <v>0</v>
      </c>
      <c r="I2719" s="241" t="n">
        <v>0</v>
      </c>
      <c r="J2719" s="241" t="n">
        <v>0</v>
      </c>
      <c r="K2719" s="241" t="n">
        <v>7.18</v>
      </c>
      <c r="L2719" s="242" t="n">
        <v>3240400</v>
      </c>
      <c r="M2719" s="241" t="n">
        <v>-2.54</v>
      </c>
      <c r="N2719" s="241" t="n">
        <v>7.46</v>
      </c>
      <c r="O2719" s="241" t="n">
        <v>17.81</v>
      </c>
      <c r="P2719" s="241" t="n">
        <v>1.5</v>
      </c>
    </row>
    <row r="2720">
      <c r="A2720" s="282" t="inlineStr">
        <is>
          <t>2017-03-13</t>
        </is>
      </c>
      <c r="B2720" s="240">
        <f>IFERROR(1/P2720-1,B2719)</f>
        <v/>
      </c>
      <c r="C2720" s="240">
        <f>$C$3</f>
        <v/>
      </c>
      <c r="D2720" s="240">
        <f>$D$3</f>
        <v/>
      </c>
      <c r="E2720" s="240">
        <f>$E$3</f>
        <v/>
      </c>
      <c r="F2720" s="241" t="n">
        <v>10.79</v>
      </c>
      <c r="G2720" s="242" t="n">
        <v>0</v>
      </c>
      <c r="H2720" s="241" t="n">
        <v>0</v>
      </c>
      <c r="I2720" s="241" t="n">
        <v>0</v>
      </c>
      <c r="J2720" s="241" t="n">
        <v>0</v>
      </c>
      <c r="K2720" s="241" t="n">
        <v>7.74</v>
      </c>
      <c r="L2720" s="242" t="n">
        <v>5032400</v>
      </c>
      <c r="M2720" s="241" t="n">
        <v>7.93</v>
      </c>
      <c r="N2720" s="241" t="n">
        <v>16.13</v>
      </c>
      <c r="O2720" s="241" t="n">
        <v>27.15</v>
      </c>
      <c r="P2720" s="241" t="n">
        <v>1.39</v>
      </c>
    </row>
    <row r="2721">
      <c r="A2721" s="282" t="inlineStr">
        <is>
          <t>2017-03-14</t>
        </is>
      </c>
      <c r="B2721" s="240">
        <f>IFERROR(1/P2721-1,B2720)</f>
        <v/>
      </c>
      <c r="C2721" s="240">
        <f>$C$3</f>
        <v/>
      </c>
      <c r="D2721" s="240">
        <f>$D$3</f>
        <v/>
      </c>
      <c r="E2721" s="240">
        <f>$E$3</f>
        <v/>
      </c>
      <c r="F2721" s="241" t="n">
        <v>10.79</v>
      </c>
      <c r="G2721" s="242" t="n">
        <v>0</v>
      </c>
      <c r="H2721" s="241" t="n">
        <v>0</v>
      </c>
      <c r="I2721" s="241" t="n">
        <v>0</v>
      </c>
      <c r="J2721" s="241" t="n">
        <v>0</v>
      </c>
      <c r="K2721" s="241" t="n">
        <v>7.65</v>
      </c>
      <c r="L2721" s="242" t="n">
        <v>1612000</v>
      </c>
      <c r="M2721" s="241" t="n">
        <v>-1.26</v>
      </c>
      <c r="N2721" s="241" t="n">
        <v>10.26</v>
      </c>
      <c r="O2721" s="241" t="n">
        <v>25.55</v>
      </c>
      <c r="P2721" s="241" t="n">
        <v>1.41</v>
      </c>
    </row>
    <row r="2722">
      <c r="A2722" s="282" t="inlineStr">
        <is>
          <t>2017-03-15</t>
        </is>
      </c>
      <c r="B2722" s="240">
        <f>IFERROR(1/P2722-1,B2721)</f>
        <v/>
      </c>
      <c r="C2722" s="240">
        <f>$C$3</f>
        <v/>
      </c>
      <c r="D2722" s="240">
        <f>$D$3</f>
        <v/>
      </c>
      <c r="E2722" s="240">
        <f>$E$3</f>
        <v/>
      </c>
      <c r="F2722" s="241" t="n">
        <v>10.79</v>
      </c>
      <c r="G2722" s="242" t="n">
        <v>0</v>
      </c>
      <c r="H2722" s="241" t="n">
        <v>0</v>
      </c>
      <c r="I2722" s="241" t="n">
        <v>0</v>
      </c>
      <c r="J2722" s="241" t="n">
        <v>0</v>
      </c>
      <c r="K2722" s="241" t="n">
        <v>7.78</v>
      </c>
      <c r="L2722" s="242" t="n">
        <v>1599600</v>
      </c>
      <c r="M2722" s="241" t="n">
        <v>1.74</v>
      </c>
      <c r="N2722" s="241" t="n">
        <v>14.23</v>
      </c>
      <c r="O2722" s="241" t="n">
        <v>27.74</v>
      </c>
      <c r="P2722" s="241" t="n">
        <v>1.39</v>
      </c>
    </row>
    <row r="2723">
      <c r="A2723" s="282" t="inlineStr">
        <is>
          <t>2017-03-16</t>
        </is>
      </c>
      <c r="B2723" s="240">
        <f>IFERROR(1/P2723-1,B2722)</f>
        <v/>
      </c>
      <c r="C2723" s="240">
        <f>$C$3</f>
        <v/>
      </c>
      <c r="D2723" s="240">
        <f>$D$3</f>
        <v/>
      </c>
      <c r="E2723" s="240">
        <f>$E$3</f>
        <v/>
      </c>
      <c r="F2723" s="241" t="n">
        <v>10.79</v>
      </c>
      <c r="G2723" s="242" t="n">
        <v>0</v>
      </c>
      <c r="H2723" s="241" t="n">
        <v>0</v>
      </c>
      <c r="I2723" s="241" t="n">
        <v>0</v>
      </c>
      <c r="J2723" s="241" t="n">
        <v>0</v>
      </c>
      <c r="K2723" s="241" t="n">
        <v>7.71</v>
      </c>
      <c r="L2723" s="242" t="n">
        <v>1617600</v>
      </c>
      <c r="M2723" s="241" t="n">
        <v>-0.57</v>
      </c>
      <c r="N2723" s="241" t="n">
        <v>12.11</v>
      </c>
      <c r="O2723" s="241" t="n">
        <v>27.01</v>
      </c>
      <c r="P2723" s="241" t="n">
        <v>1.4</v>
      </c>
    </row>
    <row r="2724">
      <c r="A2724" s="282" t="inlineStr">
        <is>
          <t>2017-03-17</t>
        </is>
      </c>
      <c r="B2724" s="240">
        <f>IFERROR(1/P2724-1,B2723)</f>
        <v/>
      </c>
      <c r="C2724" s="240">
        <f>$C$3</f>
        <v/>
      </c>
      <c r="D2724" s="240">
        <f>$D$3</f>
        <v/>
      </c>
      <c r="E2724" s="240">
        <f>$E$3</f>
        <v/>
      </c>
      <c r="F2724" s="241" t="n">
        <v>10.79</v>
      </c>
      <c r="G2724" s="242" t="n">
        <v>0</v>
      </c>
      <c r="H2724" s="241" t="n">
        <v>0</v>
      </c>
      <c r="I2724" s="241" t="n">
        <v>0</v>
      </c>
      <c r="J2724" s="241" t="n">
        <v>0</v>
      </c>
      <c r="K2724" s="241" t="n">
        <v>7.52</v>
      </c>
      <c r="L2724" s="242" t="n">
        <v>1990722</v>
      </c>
      <c r="M2724" s="241" t="n">
        <v>-2.64</v>
      </c>
      <c r="N2724" s="241" t="n">
        <v>8.449999999999999</v>
      </c>
      <c r="O2724" s="241" t="n">
        <v>23.65</v>
      </c>
      <c r="P2724" s="241" t="n">
        <v>1.44</v>
      </c>
    </row>
    <row r="2725">
      <c r="A2725" s="282" t="inlineStr">
        <is>
          <t>2017-03-20</t>
        </is>
      </c>
      <c r="B2725" s="240">
        <f>IFERROR(1/P2725-1,B2724)</f>
        <v/>
      </c>
      <c r="C2725" s="240">
        <f>$C$3</f>
        <v/>
      </c>
      <c r="D2725" s="240">
        <f>$D$3</f>
        <v/>
      </c>
      <c r="E2725" s="240">
        <f>$E$3</f>
        <v/>
      </c>
      <c r="F2725" s="241" t="n">
        <v>10.79</v>
      </c>
      <c r="G2725" s="242" t="n">
        <v>0</v>
      </c>
      <c r="H2725" s="241" t="n">
        <v>0</v>
      </c>
      <c r="I2725" s="241" t="n">
        <v>0</v>
      </c>
      <c r="J2725" s="241" t="n">
        <v>0</v>
      </c>
      <c r="K2725" s="241" t="n">
        <v>7.56</v>
      </c>
      <c r="L2725" s="242" t="n">
        <v>2156770</v>
      </c>
      <c r="M2725" s="241" t="n">
        <v>0.47</v>
      </c>
      <c r="N2725" s="241" t="n">
        <v>12.57</v>
      </c>
      <c r="O2725" s="241" t="n">
        <v>24.23</v>
      </c>
      <c r="P2725" s="241" t="n">
        <v>1.43</v>
      </c>
    </row>
    <row r="2726">
      <c r="A2726" s="282" t="inlineStr">
        <is>
          <t>2017-03-21</t>
        </is>
      </c>
      <c r="B2726" s="240">
        <f>IFERROR(1/P2726-1,B2725)</f>
        <v/>
      </c>
      <c r="C2726" s="240">
        <f>$C$3</f>
        <v/>
      </c>
      <c r="D2726" s="240">
        <f>$D$3</f>
        <v/>
      </c>
      <c r="E2726" s="240">
        <f>$E$3</f>
        <v/>
      </c>
      <c r="F2726" s="241" t="n">
        <v>10.79</v>
      </c>
      <c r="G2726" s="242" t="n">
        <v>0</v>
      </c>
      <c r="H2726" s="241" t="n">
        <v>0</v>
      </c>
      <c r="I2726" s="241" t="n">
        <v>0</v>
      </c>
      <c r="J2726" s="241" t="n">
        <v>0</v>
      </c>
      <c r="K2726" s="241" t="n">
        <v>7.6</v>
      </c>
      <c r="L2726" s="242" t="n">
        <v>1595400</v>
      </c>
      <c r="M2726" s="241" t="n">
        <v>0.47</v>
      </c>
      <c r="N2726" s="241" t="n">
        <v>12.2</v>
      </c>
      <c r="O2726" s="241" t="n">
        <v>24.82</v>
      </c>
      <c r="P2726" s="241" t="n">
        <v>1.42</v>
      </c>
    </row>
    <row r="2727">
      <c r="A2727" s="282" t="inlineStr">
        <is>
          <t>2017-03-22</t>
        </is>
      </c>
      <c r="B2727" s="240">
        <f>IFERROR(1/P2727-1,B2726)</f>
        <v/>
      </c>
      <c r="C2727" s="240">
        <f>$C$3</f>
        <v/>
      </c>
      <c r="D2727" s="240">
        <f>$D$3</f>
        <v/>
      </c>
      <c r="E2727" s="240">
        <f>$E$3</f>
        <v/>
      </c>
      <c r="F2727" s="241" t="n">
        <v>10.79</v>
      </c>
      <c r="G2727" s="242" t="n">
        <v>0</v>
      </c>
      <c r="H2727" s="241" t="n">
        <v>0</v>
      </c>
      <c r="I2727" s="241" t="n">
        <v>0</v>
      </c>
      <c r="J2727" s="241" t="n">
        <v>0</v>
      </c>
      <c r="K2727" s="241" t="n">
        <v>7.49</v>
      </c>
      <c r="L2727" s="242" t="n">
        <v>843400</v>
      </c>
      <c r="M2727" s="241" t="n">
        <v>-1.29</v>
      </c>
      <c r="N2727" s="241" t="n">
        <v>10.33</v>
      </c>
      <c r="O2727" s="241" t="n">
        <v>23.21</v>
      </c>
      <c r="P2727" s="241" t="n">
        <v>1.44</v>
      </c>
    </row>
    <row r="2728">
      <c r="A2728" s="282" t="inlineStr">
        <is>
          <t>2017-03-23</t>
        </is>
      </c>
      <c r="B2728" s="240">
        <f>IFERROR(1/P2728-1,B2727)</f>
        <v/>
      </c>
      <c r="C2728" s="240">
        <f>$C$3</f>
        <v/>
      </c>
      <c r="D2728" s="240">
        <f>$D$3</f>
        <v/>
      </c>
      <c r="E2728" s="240">
        <f>$E$3</f>
        <v/>
      </c>
      <c r="F2728" s="241" t="n">
        <v>10.79</v>
      </c>
      <c r="G2728" s="242" t="n">
        <v>0</v>
      </c>
      <c r="H2728" s="241" t="n">
        <v>0</v>
      </c>
      <c r="I2728" s="241" t="n">
        <v>0</v>
      </c>
      <c r="J2728" s="241" t="n">
        <v>0</v>
      </c>
      <c r="K2728" s="241" t="n">
        <v>7.54</v>
      </c>
      <c r="L2728" s="242" t="n">
        <v>1873200</v>
      </c>
      <c r="M2728" s="241" t="n">
        <v>0.83</v>
      </c>
      <c r="N2728" s="241" t="n">
        <v>7.72</v>
      </c>
      <c r="O2728" s="241" t="n">
        <v>24.23</v>
      </c>
      <c r="P2728" s="241" t="n">
        <v>1.43</v>
      </c>
    </row>
    <row r="2729">
      <c r="A2729" s="282" t="inlineStr">
        <is>
          <t>2017-03-24</t>
        </is>
      </c>
      <c r="B2729" s="240">
        <f>IFERROR(1/P2729-1,B2728)</f>
        <v/>
      </c>
      <c r="C2729" s="240">
        <f>$C$3</f>
        <v/>
      </c>
      <c r="D2729" s="240">
        <f>$D$3</f>
        <v/>
      </c>
      <c r="E2729" s="240">
        <f>$E$3</f>
        <v/>
      </c>
      <c r="F2729" s="241" t="n">
        <v>10.79</v>
      </c>
      <c r="G2729" s="242" t="n">
        <v>0</v>
      </c>
      <c r="H2729" s="241" t="n">
        <v>0</v>
      </c>
      <c r="I2729" s="241" t="n">
        <v>0</v>
      </c>
      <c r="J2729" s="241" t="n">
        <v>0</v>
      </c>
      <c r="K2729" s="241" t="n">
        <v>7.4</v>
      </c>
      <c r="L2729" s="242" t="n">
        <v>1372000</v>
      </c>
      <c r="M2729" s="241" t="n">
        <v>-1.88</v>
      </c>
      <c r="N2729" s="241" t="n">
        <v>5.03</v>
      </c>
      <c r="O2729" s="241" t="n">
        <v>21.9</v>
      </c>
      <c r="P2729" s="241" t="n">
        <v>1.46</v>
      </c>
    </row>
    <row r="2730">
      <c r="A2730" s="282" t="inlineStr">
        <is>
          <t>2017-03-27</t>
        </is>
      </c>
      <c r="B2730" s="240">
        <f>IFERROR(1/P2730-1,B2729)</f>
        <v/>
      </c>
      <c r="C2730" s="240">
        <f>$C$3</f>
        <v/>
      </c>
      <c r="D2730" s="240">
        <f>$D$3</f>
        <v/>
      </c>
      <c r="E2730" s="240">
        <f>$E$3</f>
        <v/>
      </c>
      <c r="F2730" s="241" t="n">
        <v>10.79</v>
      </c>
      <c r="G2730" s="242" t="n">
        <v>0</v>
      </c>
      <c r="H2730" s="241" t="n">
        <v>0</v>
      </c>
      <c r="I2730" s="241" t="n">
        <v>0</v>
      </c>
      <c r="J2730" s="241" t="n">
        <v>0</v>
      </c>
      <c r="K2730" s="241" t="n">
        <v>7.45</v>
      </c>
      <c r="L2730" s="242" t="n">
        <v>3646859</v>
      </c>
      <c r="M2730" s="241" t="n">
        <v>0.84</v>
      </c>
      <c r="N2730" s="241" t="n">
        <v>9.92</v>
      </c>
      <c r="O2730" s="241" t="n">
        <v>22.92</v>
      </c>
      <c r="P2730" s="241" t="n">
        <v>1.45</v>
      </c>
    </row>
    <row r="2731">
      <c r="A2731" s="282" t="inlineStr">
        <is>
          <t>2017-03-28</t>
        </is>
      </c>
      <c r="B2731" s="240">
        <f>IFERROR(1/P2731-1,B2730)</f>
        <v/>
      </c>
      <c r="C2731" s="240">
        <f>$C$3</f>
        <v/>
      </c>
      <c r="D2731" s="240">
        <f>$D$3</f>
        <v/>
      </c>
      <c r="E2731" s="240">
        <f>$E$3</f>
        <v/>
      </c>
      <c r="F2731" s="241" t="n">
        <v>10.39</v>
      </c>
      <c r="G2731" s="242" t="n">
        <v>56079706</v>
      </c>
      <c r="H2731" s="241" t="n">
        <v>-3.71</v>
      </c>
      <c r="I2731" s="241" t="n">
        <v>-3.71</v>
      </c>
      <c r="J2731" s="241" t="n">
        <v>-3.71</v>
      </c>
      <c r="K2731" s="241" t="n">
        <v>7</v>
      </c>
      <c r="L2731" s="242" t="n">
        <v>5659400</v>
      </c>
      <c r="M2731" s="241" t="n">
        <v>-6.18</v>
      </c>
      <c r="N2731" s="241" t="n">
        <v>0</v>
      </c>
      <c r="O2731" s="241" t="n">
        <v>15.33</v>
      </c>
      <c r="P2731" s="241" t="n">
        <v>1.49</v>
      </c>
    </row>
    <row r="2732">
      <c r="A2732" s="282" t="inlineStr">
        <is>
          <t>2017-03-29</t>
        </is>
      </c>
      <c r="B2732" s="240">
        <f>IFERROR(1/P2732-1,B2731)</f>
        <v/>
      </c>
      <c r="C2732" s="240">
        <f>$C$3</f>
        <v/>
      </c>
      <c r="D2732" s="240">
        <f>$D$3</f>
        <v/>
      </c>
      <c r="E2732" s="240">
        <f>$E$3</f>
        <v/>
      </c>
      <c r="F2732" s="241" t="n">
        <v>10.35</v>
      </c>
      <c r="G2732" s="242" t="n">
        <v>23986781</v>
      </c>
      <c r="H2732" s="241" t="n">
        <v>-0.39</v>
      </c>
      <c r="I2732" s="241" t="n">
        <v>-4.08</v>
      </c>
      <c r="J2732" s="241" t="n">
        <v>-4.08</v>
      </c>
      <c r="K2732" s="241" t="n">
        <v>6.86</v>
      </c>
      <c r="L2732" s="242" t="n">
        <v>1776200</v>
      </c>
      <c r="M2732" s="241" t="n">
        <v>-2.15</v>
      </c>
      <c r="N2732" s="241" t="n">
        <v>-2.15</v>
      </c>
      <c r="O2732" s="241" t="n">
        <v>12.85</v>
      </c>
      <c r="P2732" s="241" t="n">
        <v>1.51</v>
      </c>
    </row>
    <row r="2733">
      <c r="A2733" s="282" t="inlineStr">
        <is>
          <t>2017-03-30</t>
        </is>
      </c>
      <c r="B2733" s="240">
        <f>IFERROR(1/P2733-1,B2732)</f>
        <v/>
      </c>
      <c r="C2733" s="240">
        <f>$C$3</f>
        <v/>
      </c>
      <c r="D2733" s="240">
        <f>$D$3</f>
        <v/>
      </c>
      <c r="E2733" s="240">
        <f>$E$3</f>
        <v/>
      </c>
      <c r="F2733" s="241" t="n">
        <v>10.08</v>
      </c>
      <c r="G2733" s="242" t="n">
        <v>24483118</v>
      </c>
      <c r="H2733" s="241" t="n">
        <v>-2.61</v>
      </c>
      <c r="I2733" s="241" t="n">
        <v>-6.58</v>
      </c>
      <c r="J2733" s="241" t="n">
        <v>-6.58</v>
      </c>
      <c r="K2733" s="241" t="n">
        <v>6.73</v>
      </c>
      <c r="L2733" s="242" t="n">
        <v>3062290</v>
      </c>
      <c r="M2733" s="241" t="n">
        <v>-1.81</v>
      </c>
      <c r="N2733" s="241" t="n">
        <v>-3.92</v>
      </c>
      <c r="O2733" s="241" t="n">
        <v>10.8</v>
      </c>
      <c r="P2733" s="241" t="n">
        <v>1.5</v>
      </c>
    </row>
    <row r="2734">
      <c r="A2734" s="282" t="inlineStr">
        <is>
          <t>2017-03-31</t>
        </is>
      </c>
      <c r="B2734" s="240">
        <f>IFERROR(1/P2734-1,B2733)</f>
        <v/>
      </c>
      <c r="C2734" s="240">
        <f>$C$3</f>
        <v/>
      </c>
      <c r="D2734" s="240">
        <f>$D$3</f>
        <v/>
      </c>
      <c r="E2734" s="240">
        <f>$E$3</f>
        <v/>
      </c>
      <c r="F2734" s="241" t="n">
        <v>10.03</v>
      </c>
      <c r="G2734" s="242" t="n">
        <v>13814739</v>
      </c>
      <c r="H2734" s="241" t="n">
        <v>-0.5</v>
      </c>
      <c r="I2734" s="241" t="n">
        <v>-7.04</v>
      </c>
      <c r="J2734" s="241" t="n">
        <v>-7.04</v>
      </c>
      <c r="K2734" s="241" t="n">
        <v>6.52</v>
      </c>
      <c r="L2734" s="242" t="n">
        <v>2322345</v>
      </c>
      <c r="M2734" s="241" t="n">
        <v>-3.29</v>
      </c>
      <c r="N2734" s="241" t="n">
        <v>-7.09</v>
      </c>
      <c r="O2734" s="241" t="n">
        <v>7.15</v>
      </c>
      <c r="P2734" s="241" t="n">
        <v>1.54</v>
      </c>
    </row>
    <row r="2735">
      <c r="A2735" s="282" t="inlineStr">
        <is>
          <t>2017-04-05</t>
        </is>
      </c>
      <c r="B2735" s="240">
        <f>IFERROR(1/P2735-1,B2734)</f>
        <v/>
      </c>
      <c r="C2735" s="240">
        <f>$C$3</f>
        <v/>
      </c>
      <c r="D2735" s="240">
        <f>$D$3</f>
        <v/>
      </c>
      <c r="E2735" s="240">
        <f>$E$3</f>
        <v/>
      </c>
      <c r="F2735" s="241" t="n">
        <v>10.15</v>
      </c>
      <c r="G2735" s="242" t="n">
        <v>15425853</v>
      </c>
      <c r="H2735" s="241" t="n">
        <v>1.2</v>
      </c>
      <c r="I2735" s="241" t="n">
        <v>-5.93</v>
      </c>
      <c r="J2735" s="241" t="n">
        <v>-5.93</v>
      </c>
      <c r="K2735" s="241" t="n">
        <v>6.54</v>
      </c>
      <c r="L2735" s="242" t="n">
        <v>3582800</v>
      </c>
      <c r="M2735" s="241" t="n">
        <v>-1.6</v>
      </c>
      <c r="N2735" s="241" t="n">
        <v>-7.99</v>
      </c>
      <c r="O2735" s="241" t="n">
        <v>7.59</v>
      </c>
      <c r="P2735" s="241" t="n">
        <v>1.55</v>
      </c>
    </row>
    <row r="2736">
      <c r="A2736" s="282" t="inlineStr">
        <is>
          <t>2017-04-06</t>
        </is>
      </c>
      <c r="B2736" s="240">
        <f>IFERROR(1/P2736-1,B2735)</f>
        <v/>
      </c>
      <c r="C2736" s="240">
        <f>$C$3</f>
        <v/>
      </c>
      <c r="D2736" s="240">
        <f>$D$3</f>
        <v/>
      </c>
      <c r="E2736" s="240">
        <f>$E$3</f>
        <v/>
      </c>
      <c r="F2736" s="241" t="n">
        <v>10.23</v>
      </c>
      <c r="G2736" s="242" t="n">
        <v>13308722</v>
      </c>
      <c r="H2736" s="241" t="n">
        <v>0.79</v>
      </c>
      <c r="I2736" s="241" t="n">
        <v>-5.19</v>
      </c>
      <c r="J2736" s="241" t="n">
        <v>-5.19</v>
      </c>
      <c r="K2736" s="241" t="n">
        <v>6.59</v>
      </c>
      <c r="L2736" s="242" t="n">
        <v>1591800</v>
      </c>
      <c r="M2736" s="241" t="n">
        <v>0.8100000000000001</v>
      </c>
      <c r="N2736" s="241" t="n">
        <v>-7.24</v>
      </c>
      <c r="O2736" s="241" t="n">
        <v>8.470000000000001</v>
      </c>
      <c r="P2736" s="241" t="n">
        <v>1.55</v>
      </c>
    </row>
    <row r="2737">
      <c r="A2737" s="282" t="inlineStr">
        <is>
          <t>2017-04-07</t>
        </is>
      </c>
      <c r="B2737" s="240">
        <f>IFERROR(1/P2737-1,B2736)</f>
        <v/>
      </c>
      <c r="C2737" s="240">
        <f>$C$3</f>
        <v/>
      </c>
      <c r="D2737" s="240">
        <f>$D$3</f>
        <v/>
      </c>
      <c r="E2737" s="240">
        <f>$E$3</f>
        <v/>
      </c>
      <c r="F2737" s="241" t="n">
        <v>10.24</v>
      </c>
      <c r="G2737" s="242" t="n">
        <v>13185571</v>
      </c>
      <c r="H2737" s="241" t="n">
        <v>0.1</v>
      </c>
      <c r="I2737" s="241" t="n">
        <v>-5.1</v>
      </c>
      <c r="J2737" s="241" t="n">
        <v>-5.1</v>
      </c>
      <c r="K2737" s="241" t="n">
        <v>6.61</v>
      </c>
      <c r="L2737" s="242" t="n">
        <v>3478025</v>
      </c>
      <c r="M2737" s="241" t="n">
        <v>0.27</v>
      </c>
      <c r="N2737" s="241" t="n">
        <v>-6.99</v>
      </c>
      <c r="O2737" s="241" t="n">
        <v>8.76</v>
      </c>
      <c r="P2737" s="241" t="n">
        <v>1.55</v>
      </c>
    </row>
    <row r="2738">
      <c r="A2738" s="282" t="inlineStr">
        <is>
          <t>2017-04-10</t>
        </is>
      </c>
      <c r="B2738" s="240">
        <f>IFERROR(1/P2738-1,B2737)</f>
        <v/>
      </c>
      <c r="C2738" s="240">
        <f>$C$3</f>
        <v/>
      </c>
      <c r="D2738" s="240">
        <f>$D$3</f>
        <v/>
      </c>
      <c r="E2738" s="240">
        <f>$E$3</f>
        <v/>
      </c>
      <c r="F2738" s="241" t="n">
        <v>10.46</v>
      </c>
      <c r="G2738" s="242" t="n">
        <v>16255681</v>
      </c>
      <c r="H2738" s="241" t="n">
        <v>2.15</v>
      </c>
      <c r="I2738" s="241" t="n">
        <v>-3.06</v>
      </c>
      <c r="J2738" s="241" t="n">
        <v>-3.06</v>
      </c>
      <c r="K2738" s="241" t="n">
        <v>6.69</v>
      </c>
      <c r="L2738" s="242" t="n">
        <v>1667000</v>
      </c>
      <c r="M2738" s="241" t="n">
        <v>1.07</v>
      </c>
      <c r="N2738" s="241" t="n">
        <v>-9.06</v>
      </c>
      <c r="O2738" s="241" t="n">
        <v>9.93</v>
      </c>
      <c r="P2738" s="241" t="n">
        <v>1.56</v>
      </c>
    </row>
    <row r="2739">
      <c r="A2739" s="282" t="inlineStr">
        <is>
          <t>2017-04-11</t>
        </is>
      </c>
      <c r="B2739" s="240">
        <f>IFERROR(1/P2739-1,B2738)</f>
        <v/>
      </c>
      <c r="C2739" s="240">
        <f>$C$3</f>
        <v/>
      </c>
      <c r="D2739" s="240">
        <f>$D$3</f>
        <v/>
      </c>
      <c r="E2739" s="240">
        <f>$E$3</f>
        <v/>
      </c>
      <c r="F2739" s="241" t="n">
        <v>10.58</v>
      </c>
      <c r="G2739" s="242" t="n">
        <v>16069126</v>
      </c>
      <c r="H2739" s="241" t="n">
        <v>1.15</v>
      </c>
      <c r="I2739" s="241" t="n">
        <v>-1.95</v>
      </c>
      <c r="J2739" s="241" t="n">
        <v>-1.95</v>
      </c>
      <c r="K2739" s="241" t="n">
        <v>6.58</v>
      </c>
      <c r="L2739" s="242" t="n">
        <v>2496600</v>
      </c>
      <c r="M2739" s="241" t="n">
        <v>-1.46</v>
      </c>
      <c r="N2739" s="241" t="n">
        <v>-8.050000000000001</v>
      </c>
      <c r="O2739" s="241" t="n">
        <v>8.32</v>
      </c>
      <c r="P2739" s="241" t="n">
        <v>1.61</v>
      </c>
    </row>
    <row r="2740">
      <c r="A2740" s="282" t="inlineStr">
        <is>
          <t>2017-04-12</t>
        </is>
      </c>
      <c r="B2740" s="240">
        <f>IFERROR(1/P2740-1,B2739)</f>
        <v/>
      </c>
      <c r="C2740" s="240">
        <f>$C$3</f>
        <v/>
      </c>
      <c r="D2740" s="240">
        <f>$D$3</f>
        <v/>
      </c>
      <c r="E2740" s="240">
        <f>$E$3</f>
        <v/>
      </c>
      <c r="F2740" s="241" t="n">
        <v>10.47</v>
      </c>
      <c r="G2740" s="242" t="n">
        <v>11642455</v>
      </c>
      <c r="H2740" s="241" t="n">
        <v>-1.04</v>
      </c>
      <c r="I2740" s="241" t="n">
        <v>-2.97</v>
      </c>
      <c r="J2740" s="241" t="n">
        <v>-2.97</v>
      </c>
      <c r="K2740" s="241" t="n">
        <v>6.55</v>
      </c>
      <c r="L2740" s="242" t="n">
        <v>1312006</v>
      </c>
      <c r="M2740" s="241" t="n">
        <v>-0.54</v>
      </c>
      <c r="N2740" s="241" t="n">
        <v>-8.550000000000001</v>
      </c>
      <c r="O2740" s="241" t="n">
        <v>7.74</v>
      </c>
      <c r="P2740" s="241" t="n">
        <v>1.6</v>
      </c>
    </row>
    <row r="2741">
      <c r="A2741" s="282" t="inlineStr">
        <is>
          <t>2017-04-13</t>
        </is>
      </c>
      <c r="B2741" s="240">
        <f>IFERROR(1/P2741-1,B2740)</f>
        <v/>
      </c>
      <c r="C2741" s="240">
        <f>$C$3</f>
        <v/>
      </c>
      <c r="D2741" s="240">
        <f>$D$3</f>
        <v/>
      </c>
      <c r="E2741" s="240">
        <f>$E$3</f>
        <v/>
      </c>
      <c r="F2741" s="241" t="n">
        <v>10.4</v>
      </c>
      <c r="G2741" s="242" t="n">
        <v>9265953</v>
      </c>
      <c r="H2741" s="241" t="n">
        <v>-0.67</v>
      </c>
      <c r="I2741" s="241" t="n">
        <v>-3.61</v>
      </c>
      <c r="J2741" s="241" t="n">
        <v>-3.61</v>
      </c>
      <c r="K2741" s="241" t="n">
        <v>6.4</v>
      </c>
      <c r="L2741" s="242" t="n">
        <v>1487600</v>
      </c>
      <c r="M2741" s="241" t="n">
        <v>-1.9</v>
      </c>
      <c r="N2741" s="241" t="n">
        <v>-10.29</v>
      </c>
      <c r="O2741" s="241" t="n">
        <v>5.69</v>
      </c>
      <c r="P2741" s="241" t="n">
        <v>1.63</v>
      </c>
    </row>
    <row r="2742">
      <c r="A2742" s="282" t="inlineStr">
        <is>
          <t>2017-04-14</t>
        </is>
      </c>
      <c r="B2742" s="240">
        <f>IFERROR(1/P2742-1,B2741)</f>
        <v/>
      </c>
      <c r="C2742" s="240">
        <f>$C$3</f>
        <v/>
      </c>
      <c r="D2742" s="240">
        <f>$D$3</f>
        <v/>
      </c>
      <c r="E2742" s="240">
        <f>$E$3</f>
        <v/>
      </c>
      <c r="F2742" s="241" t="n">
        <v>10.44</v>
      </c>
      <c r="G2742" s="242" t="n">
        <v>11894338</v>
      </c>
      <c r="H2742" s="241" t="n">
        <v>0.38</v>
      </c>
      <c r="I2742" s="241" t="n">
        <v>-3.24</v>
      </c>
      <c r="J2742" s="241" t="n">
        <v>-3.24</v>
      </c>
      <c r="K2742" s="239" t="inlineStr">
        <is>
          <t>--</t>
        </is>
      </c>
      <c r="L2742" s="239" t="inlineStr">
        <is>
          <t>--</t>
        </is>
      </c>
      <c r="M2742" s="239" t="inlineStr">
        <is>
          <t>--</t>
        </is>
      </c>
      <c r="N2742" s="239" t="inlineStr">
        <is>
          <t>--</t>
        </is>
      </c>
      <c r="O2742" s="239" t="inlineStr">
        <is>
          <t>--</t>
        </is>
      </c>
      <c r="P2742" s="239" t="inlineStr">
        <is>
          <t>--</t>
        </is>
      </c>
    </row>
    <row r="2743">
      <c r="A2743" s="282" t="inlineStr">
        <is>
          <t>2017-04-17</t>
        </is>
      </c>
      <c r="B2743" s="240">
        <f>IFERROR(1/P2743-1,B2742)</f>
        <v/>
      </c>
      <c r="C2743" s="240">
        <f>$C$3</f>
        <v/>
      </c>
      <c r="D2743" s="240">
        <f>$D$3</f>
        <v/>
      </c>
      <c r="E2743" s="240">
        <f>$E$3</f>
        <v/>
      </c>
      <c r="F2743" s="241" t="n">
        <v>10.56</v>
      </c>
      <c r="G2743" s="242" t="n">
        <v>15956091</v>
      </c>
      <c r="H2743" s="241" t="n">
        <v>1.15</v>
      </c>
      <c r="I2743" s="241" t="n">
        <v>-2.13</v>
      </c>
      <c r="J2743" s="241" t="n">
        <v>-2.13</v>
      </c>
      <c r="K2743" s="239" t="inlineStr">
        <is>
          <t>--</t>
        </is>
      </c>
      <c r="L2743" s="239" t="inlineStr">
        <is>
          <t>--</t>
        </is>
      </c>
      <c r="M2743" s="239" t="inlineStr">
        <is>
          <t>--</t>
        </is>
      </c>
      <c r="N2743" s="239" t="inlineStr">
        <is>
          <t>--</t>
        </is>
      </c>
      <c r="O2743" s="239" t="inlineStr">
        <is>
          <t>--</t>
        </is>
      </c>
      <c r="P2743" s="239" t="inlineStr">
        <is>
          <t>--</t>
        </is>
      </c>
    </row>
    <row r="2744">
      <c r="A2744" s="282" t="inlineStr">
        <is>
          <t>2017-04-18</t>
        </is>
      </c>
      <c r="B2744" s="240">
        <f>IFERROR(1/P2744-1,B2743)</f>
        <v/>
      </c>
      <c r="C2744" s="240">
        <f>$C$3</f>
        <v/>
      </c>
      <c r="D2744" s="240">
        <f>$D$3</f>
        <v/>
      </c>
      <c r="E2744" s="240">
        <f>$E$3</f>
        <v/>
      </c>
      <c r="F2744" s="241" t="n">
        <v>10.25</v>
      </c>
      <c r="G2744" s="242" t="n">
        <v>12640646</v>
      </c>
      <c r="H2744" s="241" t="n">
        <v>-2.94</v>
      </c>
      <c r="I2744" s="241" t="n">
        <v>-5</v>
      </c>
      <c r="J2744" s="241" t="n">
        <v>-5</v>
      </c>
      <c r="K2744" s="241" t="n">
        <v>6.24</v>
      </c>
      <c r="L2744" s="242" t="n">
        <v>2431400</v>
      </c>
      <c r="M2744" s="241" t="n">
        <v>-2.76</v>
      </c>
      <c r="N2744" s="241" t="n">
        <v>-16.88</v>
      </c>
      <c r="O2744" s="241" t="n">
        <v>2.77</v>
      </c>
      <c r="P2744" s="241" t="n">
        <v>1.64</v>
      </c>
    </row>
    <row r="2745">
      <c r="A2745" s="282" t="inlineStr">
        <is>
          <t>2017-04-19</t>
        </is>
      </c>
      <c r="B2745" s="240">
        <f>IFERROR(1/P2745-1,B2744)</f>
        <v/>
      </c>
      <c r="C2745" s="240">
        <f>$C$3</f>
        <v/>
      </c>
      <c r="D2745" s="240">
        <f>$D$3</f>
        <v/>
      </c>
      <c r="E2745" s="240">
        <f>$E$3</f>
        <v/>
      </c>
      <c r="F2745" s="241" t="n">
        <v>10.09</v>
      </c>
      <c r="G2745" s="242" t="n">
        <v>11577622</v>
      </c>
      <c r="H2745" s="241" t="n">
        <v>-1.56</v>
      </c>
      <c r="I2745" s="241" t="n">
        <v>-6.49</v>
      </c>
      <c r="J2745" s="241" t="n">
        <v>-6.49</v>
      </c>
      <c r="K2745" s="241" t="n">
        <v>6.18</v>
      </c>
      <c r="L2745" s="242" t="n">
        <v>1647600</v>
      </c>
      <c r="M2745" s="241" t="n">
        <v>-0.57</v>
      </c>
      <c r="N2745" s="241" t="n">
        <v>-17.36</v>
      </c>
      <c r="O2745" s="241" t="n">
        <v>2.19</v>
      </c>
      <c r="P2745" s="241" t="n">
        <v>1.63</v>
      </c>
    </row>
    <row r="2746">
      <c r="A2746" s="282" t="inlineStr">
        <is>
          <t>2017-04-20</t>
        </is>
      </c>
      <c r="B2746" s="240">
        <f>IFERROR(1/P2746-1,B2745)</f>
        <v/>
      </c>
      <c r="C2746" s="240">
        <f>$C$3</f>
        <v/>
      </c>
      <c r="D2746" s="240">
        <f>$D$3</f>
        <v/>
      </c>
      <c r="E2746" s="240">
        <f>$E$3</f>
        <v/>
      </c>
      <c r="F2746" s="241" t="n">
        <v>9.81</v>
      </c>
      <c r="G2746" s="242" t="n">
        <v>18538498</v>
      </c>
      <c r="H2746" s="241" t="n">
        <v>-2.77</v>
      </c>
      <c r="I2746" s="241" t="n">
        <v>-9.08</v>
      </c>
      <c r="J2746" s="241" t="n">
        <v>-9.08</v>
      </c>
      <c r="K2746" s="241" t="n">
        <v>6.16</v>
      </c>
      <c r="L2746" s="242" t="n">
        <v>1339200</v>
      </c>
      <c r="M2746" s="241" t="n">
        <v>-0.57</v>
      </c>
      <c r="N2746" s="241" t="n">
        <v>-17.83</v>
      </c>
      <c r="O2746" s="241" t="n">
        <v>1.61</v>
      </c>
      <c r="P2746" s="241" t="n">
        <v>1.59</v>
      </c>
    </row>
    <row r="2747">
      <c r="A2747" s="282" t="inlineStr">
        <is>
          <t>2017-04-21</t>
        </is>
      </c>
      <c r="B2747" s="240">
        <f>IFERROR(1/P2747-1,B2746)</f>
        <v/>
      </c>
      <c r="C2747" s="240">
        <f>$C$3</f>
        <v/>
      </c>
      <c r="D2747" s="240">
        <f>$D$3</f>
        <v/>
      </c>
      <c r="E2747" s="240">
        <f>$E$3</f>
        <v/>
      </c>
      <c r="F2747" s="241" t="n">
        <v>9.99</v>
      </c>
      <c r="G2747" s="242" t="n">
        <v>15543784</v>
      </c>
      <c r="H2747" s="241" t="n">
        <v>1.83</v>
      </c>
      <c r="I2747" s="241" t="n">
        <v>-7.41</v>
      </c>
      <c r="J2747" s="241" t="n">
        <v>-7.41</v>
      </c>
      <c r="K2747" s="241" t="n">
        <v>6.13</v>
      </c>
      <c r="L2747" s="242" t="n">
        <v>1022800</v>
      </c>
      <c r="M2747" s="241" t="n">
        <v>-0.43</v>
      </c>
      <c r="N2747" s="241" t="n">
        <v>-18.57</v>
      </c>
      <c r="O2747" s="241" t="n">
        <v>1.17</v>
      </c>
      <c r="P2747" s="241" t="n">
        <v>1.63</v>
      </c>
    </row>
    <row r="2748">
      <c r="A2748" s="282" t="inlineStr">
        <is>
          <t>2017-04-24</t>
        </is>
      </c>
      <c r="B2748" s="240">
        <f>IFERROR(1/P2748-1,B2747)</f>
        <v/>
      </c>
      <c r="C2748" s="240">
        <f>$C$3</f>
        <v/>
      </c>
      <c r="D2748" s="240">
        <f>$D$3</f>
        <v/>
      </c>
      <c r="E2748" s="240">
        <f>$E$3</f>
        <v/>
      </c>
      <c r="F2748" s="241" t="n">
        <v>9.640000000000001</v>
      </c>
      <c r="G2748" s="242" t="n">
        <v>13143870</v>
      </c>
      <c r="H2748" s="241" t="n">
        <v>-3.5</v>
      </c>
      <c r="I2748" s="241" t="n">
        <v>-10.66</v>
      </c>
      <c r="J2748" s="241" t="n">
        <v>-10.66</v>
      </c>
      <c r="K2748" s="241" t="n">
        <v>5.91</v>
      </c>
      <c r="L2748" s="242" t="n">
        <v>2393600</v>
      </c>
      <c r="M2748" s="241" t="n">
        <v>-3.46</v>
      </c>
      <c r="N2748" s="241" t="n">
        <v>-21.39</v>
      </c>
      <c r="O2748" s="241" t="n">
        <v>-2.34</v>
      </c>
      <c r="P2748" s="241" t="n">
        <v>1.63</v>
      </c>
    </row>
    <row r="2749">
      <c r="A2749" s="282" t="inlineStr">
        <is>
          <t>2017-04-25</t>
        </is>
      </c>
      <c r="B2749" s="240">
        <f>IFERROR(1/P2749-1,B2748)</f>
        <v/>
      </c>
      <c r="C2749" s="240">
        <f>$C$3</f>
        <v/>
      </c>
      <c r="D2749" s="240">
        <f>$D$3</f>
        <v/>
      </c>
      <c r="E2749" s="240">
        <f>$E$3</f>
        <v/>
      </c>
      <c r="F2749" s="241" t="n">
        <v>9.52</v>
      </c>
      <c r="G2749" s="242" t="n">
        <v>12732950</v>
      </c>
      <c r="H2749" s="241" t="n">
        <v>-1.24</v>
      </c>
      <c r="I2749" s="241" t="n">
        <v>-11.77</v>
      </c>
      <c r="J2749" s="241" t="n">
        <v>-11.77</v>
      </c>
      <c r="K2749" s="241" t="n">
        <v>6.16</v>
      </c>
      <c r="L2749" s="242" t="n">
        <v>3022000</v>
      </c>
      <c r="M2749" s="241" t="n">
        <v>4.04</v>
      </c>
      <c r="N2749" s="241" t="n">
        <v>-16.65</v>
      </c>
      <c r="O2749" s="241" t="n">
        <v>1.61</v>
      </c>
      <c r="P2749" s="241" t="n">
        <v>1.55</v>
      </c>
    </row>
    <row r="2750">
      <c r="A2750" s="282" t="inlineStr">
        <is>
          <t>2017-04-26</t>
        </is>
      </c>
      <c r="B2750" s="240">
        <f>IFERROR(1/P2750-1,B2749)</f>
        <v/>
      </c>
      <c r="C2750" s="240">
        <f>$C$3</f>
        <v/>
      </c>
      <c r="D2750" s="240">
        <f>$D$3</f>
        <v/>
      </c>
      <c r="E2750" s="240">
        <f>$E$3</f>
        <v/>
      </c>
      <c r="F2750" s="241" t="n">
        <v>9.49</v>
      </c>
      <c r="G2750" s="242" t="n">
        <v>9960694</v>
      </c>
      <c r="H2750" s="241" t="n">
        <v>-0.32</v>
      </c>
      <c r="I2750" s="241" t="n">
        <v>-12.05</v>
      </c>
      <c r="J2750" s="241" t="n">
        <v>-12.05</v>
      </c>
      <c r="K2750" s="241" t="n">
        <v>6.16</v>
      </c>
      <c r="L2750" s="242" t="n">
        <v>3719400</v>
      </c>
      <c r="M2750" s="241" t="n">
        <v>0</v>
      </c>
      <c r="N2750" s="241" t="n">
        <v>-16.65</v>
      </c>
      <c r="O2750" s="241" t="n">
        <v>1.61</v>
      </c>
      <c r="P2750" s="241" t="n">
        <v>1.54</v>
      </c>
    </row>
    <row r="2751">
      <c r="A2751" s="282" t="inlineStr">
        <is>
          <t>2017-04-27</t>
        </is>
      </c>
      <c r="B2751" s="240">
        <f>IFERROR(1/P2751-1,B2750)</f>
        <v/>
      </c>
      <c r="C2751" s="240">
        <f>$C$3</f>
        <v/>
      </c>
      <c r="D2751" s="240">
        <f>$D$3</f>
        <v/>
      </c>
      <c r="E2751" s="240">
        <f>$E$3</f>
        <v/>
      </c>
      <c r="F2751" s="241" t="n">
        <v>9.539999999999999</v>
      </c>
      <c r="G2751" s="242" t="n">
        <v>11272752</v>
      </c>
      <c r="H2751" s="241" t="n">
        <v>0.53</v>
      </c>
      <c r="I2751" s="241" t="n">
        <v>-11.58</v>
      </c>
      <c r="J2751" s="241" t="n">
        <v>-11.58</v>
      </c>
      <c r="K2751" s="241" t="n">
        <v>6.15</v>
      </c>
      <c r="L2751" s="242" t="n">
        <v>3743200</v>
      </c>
      <c r="M2751" s="241" t="n">
        <v>-0.29</v>
      </c>
      <c r="N2751" s="241" t="n">
        <v>-16.89</v>
      </c>
      <c r="O2751" s="241" t="n">
        <v>1.31</v>
      </c>
      <c r="P2751" s="241" t="n">
        <v>1.55</v>
      </c>
    </row>
    <row r="2752">
      <c r="A2752" s="282" t="inlineStr">
        <is>
          <t>2017-04-28</t>
        </is>
      </c>
      <c r="B2752" s="240">
        <f>IFERROR(1/P2752-1,B2751)</f>
        <v/>
      </c>
      <c r="C2752" s="240">
        <f>$C$3</f>
        <v/>
      </c>
      <c r="D2752" s="240">
        <f>$D$3</f>
        <v/>
      </c>
      <c r="E2752" s="240">
        <f>$E$3</f>
        <v/>
      </c>
      <c r="F2752" s="241" t="n">
        <v>9.5</v>
      </c>
      <c r="G2752" s="242" t="n">
        <v>7024736</v>
      </c>
      <c r="H2752" s="241" t="n">
        <v>-0.42</v>
      </c>
      <c r="I2752" s="241" t="n">
        <v>-11.96</v>
      </c>
      <c r="J2752" s="241" t="n">
        <v>-11.96</v>
      </c>
      <c r="K2752" s="241" t="n">
        <v>6.08</v>
      </c>
      <c r="L2752" s="242" t="n">
        <v>1070700</v>
      </c>
      <c r="M2752" s="241" t="n">
        <v>-1.15</v>
      </c>
      <c r="N2752" s="241" t="n">
        <v>-18.53</v>
      </c>
      <c r="O2752" s="241" t="n">
        <v>0.15</v>
      </c>
      <c r="P2752" s="241" t="n">
        <v>1.56</v>
      </c>
    </row>
    <row r="2753">
      <c r="A2753" s="282" t="inlineStr">
        <is>
          <t>2017-05-02</t>
        </is>
      </c>
      <c r="B2753" s="240">
        <f>IFERROR(1/P2753-1,B2752)</f>
        <v/>
      </c>
      <c r="C2753" s="240">
        <f>$C$3</f>
        <v/>
      </c>
      <c r="D2753" s="240">
        <f>$D$3</f>
        <v/>
      </c>
      <c r="E2753" s="240">
        <f>$E$3</f>
        <v/>
      </c>
      <c r="F2753" s="241" t="n">
        <v>9.640000000000001</v>
      </c>
      <c r="G2753" s="242" t="n">
        <v>15687641</v>
      </c>
      <c r="H2753" s="241" t="n">
        <v>1.47</v>
      </c>
      <c r="I2753" s="241" t="n">
        <v>-3.89</v>
      </c>
      <c r="J2753" s="241" t="n">
        <v>-10.66</v>
      </c>
      <c r="K2753" s="241" t="n">
        <v>6.03</v>
      </c>
      <c r="L2753" s="242" t="n">
        <v>2037400</v>
      </c>
      <c r="M2753" s="241" t="n">
        <v>-0.87</v>
      </c>
      <c r="N2753" s="241" t="n">
        <v>-7.36</v>
      </c>
      <c r="O2753" s="241" t="n">
        <v>-0.73</v>
      </c>
      <c r="P2753" s="241" t="n">
        <v>1.6</v>
      </c>
    </row>
    <row r="2754">
      <c r="A2754" s="282" t="inlineStr">
        <is>
          <t>2017-05-03</t>
        </is>
      </c>
      <c r="B2754" s="240">
        <f>IFERROR(1/P2754-1,B2753)</f>
        <v/>
      </c>
      <c r="C2754" s="240">
        <f>$C$3</f>
        <v/>
      </c>
      <c r="D2754" s="240">
        <f>$D$3</f>
        <v/>
      </c>
      <c r="E2754" s="240">
        <f>$E$3</f>
        <v/>
      </c>
      <c r="F2754" s="241" t="n">
        <v>9.699999999999999</v>
      </c>
      <c r="G2754" s="242" t="n">
        <v>8937180</v>
      </c>
      <c r="H2754" s="241" t="n">
        <v>0.62</v>
      </c>
      <c r="I2754" s="241" t="n">
        <v>-3.29</v>
      </c>
      <c r="J2754" s="241" t="n">
        <v>-10.1</v>
      </c>
      <c r="K2754" s="239" t="inlineStr">
        <is>
          <t>--</t>
        </is>
      </c>
      <c r="L2754" s="239" t="inlineStr">
        <is>
          <t>--</t>
        </is>
      </c>
      <c r="M2754" s="239" t="inlineStr">
        <is>
          <t>--</t>
        </is>
      </c>
      <c r="N2754" s="239" t="inlineStr">
        <is>
          <t>--</t>
        </is>
      </c>
      <c r="O2754" s="239" t="inlineStr">
        <is>
          <t>--</t>
        </is>
      </c>
      <c r="P2754" s="239" t="inlineStr">
        <is>
          <t>--</t>
        </is>
      </c>
    </row>
    <row r="2755">
      <c r="A2755" s="282" t="inlineStr">
        <is>
          <t>2017-05-04</t>
        </is>
      </c>
      <c r="B2755" s="240">
        <f>IFERROR(1/P2755-1,B2754)</f>
        <v/>
      </c>
      <c r="C2755" s="240">
        <f>$C$3</f>
        <v/>
      </c>
      <c r="D2755" s="240">
        <f>$D$3</f>
        <v/>
      </c>
      <c r="E2755" s="240">
        <f>$E$3</f>
        <v/>
      </c>
      <c r="F2755" s="241" t="n">
        <v>9.699999999999999</v>
      </c>
      <c r="G2755" s="242" t="n">
        <v>8028265</v>
      </c>
      <c r="H2755" s="241" t="n">
        <v>0</v>
      </c>
      <c r="I2755" s="241" t="n">
        <v>-3.29</v>
      </c>
      <c r="J2755" s="241" t="n">
        <v>-10.1</v>
      </c>
      <c r="K2755" s="241" t="n">
        <v>6.05</v>
      </c>
      <c r="L2755" s="242" t="n">
        <v>875600</v>
      </c>
      <c r="M2755" s="241" t="n">
        <v>0.44</v>
      </c>
      <c r="N2755" s="241" t="n">
        <v>-8.81</v>
      </c>
      <c r="O2755" s="241" t="n">
        <v>-0.29</v>
      </c>
      <c r="P2755" s="241" t="n">
        <v>1.6</v>
      </c>
    </row>
    <row r="2756">
      <c r="A2756" s="282" t="inlineStr">
        <is>
          <t>2017-05-05</t>
        </is>
      </c>
      <c r="B2756" s="240">
        <f>IFERROR(1/P2756-1,B2755)</f>
        <v/>
      </c>
      <c r="C2756" s="240">
        <f>$C$3</f>
        <v/>
      </c>
      <c r="D2756" s="240">
        <f>$D$3</f>
        <v/>
      </c>
      <c r="E2756" s="240">
        <f>$E$3</f>
        <v/>
      </c>
      <c r="F2756" s="241" t="n">
        <v>9.52</v>
      </c>
      <c r="G2756" s="242" t="n">
        <v>7544015</v>
      </c>
      <c r="H2756" s="241" t="n">
        <v>-1.86</v>
      </c>
      <c r="I2756" s="241" t="n">
        <v>-5.08</v>
      </c>
      <c r="J2756" s="241" t="n">
        <v>-11.77</v>
      </c>
      <c r="K2756" s="241" t="n">
        <v>6.01</v>
      </c>
      <c r="L2756" s="242" t="n">
        <v>662000</v>
      </c>
      <c r="M2756" s="241" t="n">
        <v>-0.59</v>
      </c>
      <c r="N2756" s="241" t="n">
        <v>-9.35</v>
      </c>
      <c r="O2756" s="241" t="n">
        <v>-0.88</v>
      </c>
      <c r="P2756" s="241" t="n">
        <v>1.58</v>
      </c>
    </row>
    <row r="2757">
      <c r="A2757" s="282" t="inlineStr">
        <is>
          <t>2017-05-08</t>
        </is>
      </c>
      <c r="B2757" s="240">
        <f>IFERROR(1/P2757-1,B2756)</f>
        <v/>
      </c>
      <c r="C2757" s="240">
        <f>$C$3</f>
        <v/>
      </c>
      <c r="D2757" s="240">
        <f>$D$3</f>
        <v/>
      </c>
      <c r="E2757" s="240">
        <f>$E$3</f>
        <v/>
      </c>
      <c r="F2757" s="241" t="n">
        <v>9.5</v>
      </c>
      <c r="G2757" s="242" t="n">
        <v>11814883</v>
      </c>
      <c r="H2757" s="241" t="n">
        <v>-0.21</v>
      </c>
      <c r="I2757" s="241" t="n">
        <v>-7.23</v>
      </c>
      <c r="J2757" s="241" t="n">
        <v>-11.96</v>
      </c>
      <c r="K2757" s="241" t="n">
        <v>5.91</v>
      </c>
      <c r="L2757" s="242" t="n">
        <v>2550200</v>
      </c>
      <c r="M2757" s="241" t="n">
        <v>-1.77</v>
      </c>
      <c r="N2757" s="241" t="n">
        <v>-10.47</v>
      </c>
      <c r="O2757" s="241" t="n">
        <v>-2.63</v>
      </c>
      <c r="P2757" s="241" t="n">
        <v>1.61</v>
      </c>
    </row>
    <row r="2758">
      <c r="A2758" s="282" t="inlineStr">
        <is>
          <t>2017-05-09</t>
        </is>
      </c>
      <c r="B2758" s="240">
        <f>IFERROR(1/P2758-1,B2757)</f>
        <v/>
      </c>
      <c r="C2758" s="240">
        <f>$C$3</f>
        <v/>
      </c>
      <c r="D2758" s="240">
        <f>$D$3</f>
        <v/>
      </c>
      <c r="E2758" s="240">
        <f>$E$3</f>
        <v/>
      </c>
      <c r="F2758" s="241" t="n">
        <v>9.539999999999999</v>
      </c>
      <c r="G2758" s="242" t="n">
        <v>8604246</v>
      </c>
      <c r="H2758" s="241" t="n">
        <v>0.42</v>
      </c>
      <c r="I2758" s="241" t="n">
        <v>-6.84</v>
      </c>
      <c r="J2758" s="241" t="n">
        <v>-11.58</v>
      </c>
      <c r="K2758" s="241" t="n">
        <v>5.93</v>
      </c>
      <c r="L2758" s="242" t="n">
        <v>1098300</v>
      </c>
      <c r="M2758" s="241" t="n">
        <v>0.3</v>
      </c>
      <c r="N2758" s="241" t="n">
        <v>-10.2</v>
      </c>
      <c r="O2758" s="241" t="n">
        <v>-2.34</v>
      </c>
      <c r="P2758" s="241" t="n">
        <v>1.61</v>
      </c>
    </row>
    <row r="2759">
      <c r="A2759" s="282" t="inlineStr">
        <is>
          <t>2017-05-10</t>
        </is>
      </c>
      <c r="B2759" s="240">
        <f>IFERROR(1/P2759-1,B2758)</f>
        <v/>
      </c>
      <c r="C2759" s="240">
        <f>$C$3</f>
        <v/>
      </c>
      <c r="D2759" s="240">
        <f>$D$3</f>
        <v/>
      </c>
      <c r="E2759" s="240">
        <f>$E$3</f>
        <v/>
      </c>
      <c r="F2759" s="241" t="n">
        <v>9.4</v>
      </c>
      <c r="G2759" s="242" t="n">
        <v>8797796</v>
      </c>
      <c r="H2759" s="241" t="n">
        <v>-1.47</v>
      </c>
      <c r="I2759" s="241" t="n">
        <v>-8.199999999999999</v>
      </c>
      <c r="J2759" s="241" t="n">
        <v>-12.88</v>
      </c>
      <c r="K2759" s="241" t="n">
        <v>5.88</v>
      </c>
      <c r="L2759" s="242" t="n">
        <v>1556600</v>
      </c>
      <c r="M2759" s="241" t="n">
        <v>-0.9</v>
      </c>
      <c r="N2759" s="241" t="n">
        <v>-11.01</v>
      </c>
      <c r="O2759" s="241" t="n">
        <v>-3.21</v>
      </c>
      <c r="P2759" s="241" t="n">
        <v>1.6</v>
      </c>
    </row>
    <row r="2760">
      <c r="A2760" s="282" t="inlineStr">
        <is>
          <t>2017-05-11</t>
        </is>
      </c>
      <c r="B2760" s="240">
        <f>IFERROR(1/P2760-1,B2759)</f>
        <v/>
      </c>
      <c r="C2760" s="240">
        <f>$C$3</f>
        <v/>
      </c>
      <c r="D2760" s="240">
        <f>$D$3</f>
        <v/>
      </c>
      <c r="E2760" s="240">
        <f>$E$3</f>
        <v/>
      </c>
      <c r="F2760" s="241" t="n">
        <v>9.27</v>
      </c>
      <c r="G2760" s="242" t="n">
        <v>13578933</v>
      </c>
      <c r="H2760" s="241" t="n">
        <v>-1.38</v>
      </c>
      <c r="I2760" s="241" t="n">
        <v>-11.38</v>
      </c>
      <c r="J2760" s="241" t="n">
        <v>-14.09</v>
      </c>
      <c r="K2760" s="241" t="n">
        <v>5.79</v>
      </c>
      <c r="L2760" s="242" t="n">
        <v>1336200</v>
      </c>
      <c r="M2760" s="241" t="n">
        <v>-1.51</v>
      </c>
      <c r="N2760" s="241" t="n">
        <v>-13.28</v>
      </c>
      <c r="O2760" s="241" t="n">
        <v>-4.67</v>
      </c>
      <c r="P2760" s="241" t="n">
        <v>1.6</v>
      </c>
    </row>
    <row r="2761">
      <c r="A2761" s="282" t="inlineStr">
        <is>
          <t>2017-05-12</t>
        </is>
      </c>
      <c r="B2761" s="240">
        <f>IFERROR(1/P2761-1,B2760)</f>
        <v/>
      </c>
      <c r="C2761" s="240">
        <f>$C$3</f>
        <v/>
      </c>
      <c r="D2761" s="240">
        <f>$D$3</f>
        <v/>
      </c>
      <c r="E2761" s="240">
        <f>$E$3</f>
        <v/>
      </c>
      <c r="F2761" s="241" t="n">
        <v>9.27</v>
      </c>
      <c r="G2761" s="242" t="n">
        <v>6651552</v>
      </c>
      <c r="H2761" s="241" t="n">
        <v>0</v>
      </c>
      <c r="I2761" s="241" t="n">
        <v>-12.38</v>
      </c>
      <c r="J2761" s="241" t="n">
        <v>-14.09</v>
      </c>
      <c r="K2761" s="241" t="n">
        <v>5.71</v>
      </c>
      <c r="L2761" s="242" t="n">
        <v>2236400</v>
      </c>
      <c r="M2761" s="241" t="n">
        <v>-1.23</v>
      </c>
      <c r="N2761" s="241" t="n">
        <v>-13.07</v>
      </c>
      <c r="O2761" s="241" t="n">
        <v>-5.84</v>
      </c>
      <c r="P2761" s="241" t="n">
        <v>1.62</v>
      </c>
    </row>
    <row r="2762">
      <c r="A2762" s="282" t="inlineStr">
        <is>
          <t>2017-05-15</t>
        </is>
      </c>
      <c r="B2762" s="240">
        <f>IFERROR(1/P2762-1,B2761)</f>
        <v/>
      </c>
      <c r="C2762" s="240">
        <f>$C$3</f>
        <v/>
      </c>
      <c r="D2762" s="240">
        <f>$D$3</f>
        <v/>
      </c>
      <c r="E2762" s="240">
        <f>$E$3</f>
        <v/>
      </c>
      <c r="F2762" s="241" t="n">
        <v>9.25</v>
      </c>
      <c r="G2762" s="242" t="n">
        <v>4122171</v>
      </c>
      <c r="H2762" s="241" t="n">
        <v>-0.22</v>
      </c>
      <c r="I2762" s="241" t="n">
        <v>-11.4</v>
      </c>
      <c r="J2762" s="241" t="n">
        <v>-14.27</v>
      </c>
      <c r="K2762" s="241" t="n">
        <v>5.7</v>
      </c>
      <c r="L2762" s="242" t="n">
        <v>1042800</v>
      </c>
      <c r="M2762" s="241" t="n">
        <v>0</v>
      </c>
      <c r="N2762" s="241" t="n">
        <v>-10.91</v>
      </c>
      <c r="O2762" s="241" t="n">
        <v>-5.84</v>
      </c>
      <c r="P2762" s="241" t="n">
        <v>1.62</v>
      </c>
    </row>
    <row r="2763">
      <c r="A2763" s="282" t="inlineStr">
        <is>
          <t>2017-05-16</t>
        </is>
      </c>
      <c r="B2763" s="240">
        <f>IFERROR(1/P2763-1,B2762)</f>
        <v/>
      </c>
      <c r="C2763" s="240">
        <f>$C$3</f>
        <v/>
      </c>
      <c r="D2763" s="240">
        <f>$D$3</f>
        <v/>
      </c>
      <c r="E2763" s="240">
        <f>$E$3</f>
        <v/>
      </c>
      <c r="F2763" s="241" t="n">
        <v>9.380000000000001</v>
      </c>
      <c r="G2763" s="242" t="n">
        <v>6941131</v>
      </c>
      <c r="H2763" s="241" t="n">
        <v>1.41</v>
      </c>
      <c r="I2763" s="241" t="n">
        <v>-10.15</v>
      </c>
      <c r="J2763" s="241" t="n">
        <v>-13.07</v>
      </c>
      <c r="K2763" s="241" t="n">
        <v>5.7</v>
      </c>
      <c r="L2763" s="242" t="n">
        <v>5287200</v>
      </c>
      <c r="M2763" s="241" t="n">
        <v>0</v>
      </c>
      <c r="N2763" s="241" t="n">
        <v>-10.91</v>
      </c>
      <c r="O2763" s="241" t="n">
        <v>-5.84</v>
      </c>
      <c r="P2763" s="241" t="n">
        <v>1.65</v>
      </c>
    </row>
    <row r="2764">
      <c r="A2764" s="282" t="inlineStr">
        <is>
          <t>2017-05-17</t>
        </is>
      </c>
      <c r="B2764" s="240">
        <f>IFERROR(1/P2764-1,B2763)</f>
        <v/>
      </c>
      <c r="C2764" s="240">
        <f>$C$3</f>
        <v/>
      </c>
      <c r="D2764" s="240">
        <f>$D$3</f>
        <v/>
      </c>
      <c r="E2764" s="240">
        <f>$E$3</f>
        <v/>
      </c>
      <c r="F2764" s="241" t="n">
        <v>9.42</v>
      </c>
      <c r="G2764" s="242" t="n">
        <v>7056939</v>
      </c>
      <c r="H2764" s="241" t="n">
        <v>0.43</v>
      </c>
      <c r="I2764" s="241" t="n">
        <v>-9.77</v>
      </c>
      <c r="J2764" s="241" t="n">
        <v>-12.7</v>
      </c>
      <c r="K2764" s="241" t="n">
        <v>6.2</v>
      </c>
      <c r="L2764" s="242" t="n">
        <v>4526800</v>
      </c>
      <c r="M2764" s="241" t="n">
        <v>8.99</v>
      </c>
      <c r="N2764" s="241" t="n">
        <v>-2.9</v>
      </c>
      <c r="O2764" s="241" t="n">
        <v>2.63</v>
      </c>
      <c r="P2764" s="241" t="n">
        <v>1.52</v>
      </c>
    </row>
    <row r="2765">
      <c r="A2765" s="282" t="inlineStr">
        <is>
          <t>2017-05-18</t>
        </is>
      </c>
      <c r="B2765" s="240">
        <f>IFERROR(1/P2765-1,B2764)</f>
        <v/>
      </c>
      <c r="C2765" s="240">
        <f>$C$3</f>
        <v/>
      </c>
      <c r="D2765" s="240">
        <f>$D$3</f>
        <v/>
      </c>
      <c r="E2765" s="240">
        <f>$E$3</f>
        <v/>
      </c>
      <c r="F2765" s="241" t="n">
        <v>9.43</v>
      </c>
      <c r="G2765" s="242" t="n">
        <v>6164381</v>
      </c>
      <c r="H2765" s="241" t="n">
        <v>0.11</v>
      </c>
      <c r="I2765" s="241" t="n">
        <v>-10.7</v>
      </c>
      <c r="J2765" s="241" t="n">
        <v>-12.6</v>
      </c>
      <c r="K2765" s="241" t="n">
        <v>5.98</v>
      </c>
      <c r="L2765" s="242" t="n">
        <v>2074200</v>
      </c>
      <c r="M2765" s="241" t="n">
        <v>-3.41</v>
      </c>
      <c r="N2765" s="241" t="n">
        <v>-6.22</v>
      </c>
      <c r="O2765" s="241" t="n">
        <v>-0.88</v>
      </c>
      <c r="P2765" s="241" t="n">
        <v>1.58</v>
      </c>
    </row>
    <row r="2766">
      <c r="A2766" s="282" t="inlineStr">
        <is>
          <t>2017-05-19</t>
        </is>
      </c>
      <c r="B2766" s="240">
        <f>IFERROR(1/P2766-1,B2765)</f>
        <v/>
      </c>
      <c r="C2766" s="240">
        <f>$C$3</f>
        <v/>
      </c>
      <c r="D2766" s="240">
        <f>$D$3</f>
        <v/>
      </c>
      <c r="E2766" s="240">
        <f>$E$3</f>
        <v/>
      </c>
      <c r="F2766" s="241" t="n">
        <v>9.43</v>
      </c>
      <c r="G2766" s="242" t="n">
        <v>4772594</v>
      </c>
      <c r="H2766" s="241" t="n">
        <v>0</v>
      </c>
      <c r="I2766" s="241" t="n">
        <v>-8</v>
      </c>
      <c r="J2766" s="241" t="n">
        <v>-12.6</v>
      </c>
      <c r="K2766" s="241" t="n">
        <v>6.01</v>
      </c>
      <c r="L2766" s="242" t="n">
        <v>1677200</v>
      </c>
      <c r="M2766" s="241" t="n">
        <v>0.15</v>
      </c>
      <c r="N2766" s="241" t="n">
        <v>-3.41</v>
      </c>
      <c r="O2766" s="241" t="n">
        <v>-0.73</v>
      </c>
      <c r="P2766" s="241" t="n">
        <v>1.57</v>
      </c>
    </row>
    <row r="2767">
      <c r="A2767" s="282" t="inlineStr">
        <is>
          <t>2017-05-22</t>
        </is>
      </c>
      <c r="B2767" s="240">
        <f>IFERROR(1/P2767-1,B2766)</f>
        <v/>
      </c>
      <c r="C2767" s="240">
        <f>$C$3</f>
        <v/>
      </c>
      <c r="D2767" s="240">
        <f>$D$3</f>
        <v/>
      </c>
      <c r="E2767" s="240">
        <f>$E$3</f>
        <v/>
      </c>
      <c r="F2767" s="241" t="n">
        <v>9.300000000000001</v>
      </c>
      <c r="G2767" s="242" t="n">
        <v>6992093</v>
      </c>
      <c r="H2767" s="241" t="n">
        <v>-1.38</v>
      </c>
      <c r="I2767" s="241" t="n">
        <v>-6.91</v>
      </c>
      <c r="J2767" s="241" t="n">
        <v>-13.81</v>
      </c>
      <c r="K2767" s="241" t="n">
        <v>5.92</v>
      </c>
      <c r="L2767" s="242" t="n">
        <v>558800</v>
      </c>
      <c r="M2767" s="241" t="n">
        <v>-1.32</v>
      </c>
      <c r="N2767" s="241" t="n">
        <v>-3.17</v>
      </c>
      <c r="O2767" s="241" t="n">
        <v>-2.04</v>
      </c>
      <c r="P2767" s="241" t="n">
        <v>1.57</v>
      </c>
    </row>
    <row r="2768">
      <c r="A2768" s="282" t="inlineStr">
        <is>
          <t>2017-05-23</t>
        </is>
      </c>
      <c r="B2768" s="240">
        <f>IFERROR(1/P2768-1,B2767)</f>
        <v/>
      </c>
      <c r="C2768" s="240">
        <f>$C$3</f>
        <v/>
      </c>
      <c r="D2768" s="240">
        <f>$D$3</f>
        <v/>
      </c>
      <c r="E2768" s="240">
        <f>$E$3</f>
        <v/>
      </c>
      <c r="F2768" s="241" t="n">
        <v>9.07</v>
      </c>
      <c r="G2768" s="242" t="n">
        <v>9195247</v>
      </c>
      <c r="H2768" s="241" t="n">
        <v>-2.47</v>
      </c>
      <c r="I2768" s="241" t="n">
        <v>-9.210000000000001</v>
      </c>
      <c r="J2768" s="241" t="n">
        <v>-15.94</v>
      </c>
      <c r="K2768" s="241" t="n">
        <v>5.82</v>
      </c>
      <c r="L2768" s="242" t="n">
        <v>1102990</v>
      </c>
      <c r="M2768" s="241" t="n">
        <v>-1.64</v>
      </c>
      <c r="N2768" s="241" t="n">
        <v>-4.76</v>
      </c>
      <c r="O2768" s="241" t="n">
        <v>-3.65</v>
      </c>
      <c r="P2768" s="241" t="n">
        <v>1.56</v>
      </c>
    </row>
    <row r="2769">
      <c r="A2769" s="282" t="inlineStr">
        <is>
          <t>2017-05-24</t>
        </is>
      </c>
      <c r="B2769" s="240">
        <f>IFERROR(1/P2769-1,B2768)</f>
        <v/>
      </c>
      <c r="C2769" s="240">
        <f>$C$3</f>
        <v/>
      </c>
      <c r="D2769" s="240">
        <f>$D$3</f>
        <v/>
      </c>
      <c r="E2769" s="240">
        <f>$E$3</f>
        <v/>
      </c>
      <c r="F2769" s="241" t="n">
        <v>9.130000000000001</v>
      </c>
      <c r="G2769" s="242" t="n">
        <v>7161943</v>
      </c>
      <c r="H2769" s="241" t="n">
        <v>0.66</v>
      </c>
      <c r="I2769" s="241" t="n">
        <v>-8.609999999999999</v>
      </c>
      <c r="J2769" s="241" t="n">
        <v>-15.38</v>
      </c>
      <c r="K2769" s="241" t="n">
        <v>5.87</v>
      </c>
      <c r="L2769" s="242" t="n">
        <v>1331800</v>
      </c>
      <c r="M2769" s="241" t="n">
        <v>0.76</v>
      </c>
      <c r="N2769" s="241" t="n">
        <v>-4.04</v>
      </c>
      <c r="O2769" s="241" t="n">
        <v>-2.92</v>
      </c>
      <c r="P2769" s="241" t="n">
        <v>1.55</v>
      </c>
    </row>
    <row r="2770">
      <c r="A2770" s="282" t="inlineStr">
        <is>
          <t>2017-05-25</t>
        </is>
      </c>
      <c r="B2770" s="240">
        <f>IFERROR(1/P2770-1,B2769)</f>
        <v/>
      </c>
      <c r="C2770" s="240">
        <f>$C$3</f>
        <v/>
      </c>
      <c r="D2770" s="240">
        <f>$D$3</f>
        <v/>
      </c>
      <c r="E2770" s="240">
        <f>$E$3</f>
        <v/>
      </c>
      <c r="F2770" s="241" t="n">
        <v>9.289999999999999</v>
      </c>
      <c r="G2770" s="242" t="n">
        <v>7256845</v>
      </c>
      <c r="H2770" s="241" t="n">
        <v>1.75</v>
      </c>
      <c r="I2770" s="241" t="n">
        <v>-3.63</v>
      </c>
      <c r="J2770" s="241" t="n">
        <v>-13.9</v>
      </c>
      <c r="K2770" s="241" t="n">
        <v>5.96</v>
      </c>
      <c r="L2770" s="242" t="n">
        <v>925000</v>
      </c>
      <c r="M2770" s="241" t="n">
        <v>1.65</v>
      </c>
      <c r="N2770" s="241" t="n">
        <v>1.05</v>
      </c>
      <c r="O2770" s="241" t="n">
        <v>-1.31</v>
      </c>
      <c r="P2770" s="241" t="n">
        <v>1.56</v>
      </c>
    </row>
    <row r="2771">
      <c r="A2771" s="282" t="inlineStr">
        <is>
          <t>2017-05-26</t>
        </is>
      </c>
      <c r="B2771" s="240">
        <f>IFERROR(1/P2771-1,B2770)</f>
        <v/>
      </c>
      <c r="C2771" s="240">
        <f>$C$3</f>
        <v/>
      </c>
      <c r="D2771" s="240">
        <f>$D$3</f>
        <v/>
      </c>
      <c r="E2771" s="240">
        <f>$E$3</f>
        <v/>
      </c>
      <c r="F2771" s="241" t="n">
        <v>9.42</v>
      </c>
      <c r="G2771" s="242" t="n">
        <v>11733688</v>
      </c>
      <c r="H2771" s="241" t="n">
        <v>1.4</v>
      </c>
      <c r="I2771" s="241" t="n">
        <v>-1.05</v>
      </c>
      <c r="J2771" s="241" t="n">
        <v>-12.7</v>
      </c>
      <c r="K2771" s="241" t="n">
        <v>5.96</v>
      </c>
      <c r="L2771" s="242" t="n">
        <v>801400</v>
      </c>
      <c r="M2771" s="241" t="n">
        <v>0</v>
      </c>
      <c r="N2771" s="241" t="n">
        <v>-2.87</v>
      </c>
      <c r="O2771" s="241" t="n">
        <v>-1.31</v>
      </c>
      <c r="P2771" s="241" t="n">
        <v>1.58</v>
      </c>
    </row>
    <row r="2772">
      <c r="A2772" s="282" t="inlineStr">
        <is>
          <t>2017-05-31</t>
        </is>
      </c>
      <c r="B2772" s="240">
        <f>IFERROR(1/P2772-1,B2771)</f>
        <v/>
      </c>
      <c r="C2772" s="240">
        <f>$C$3</f>
        <v/>
      </c>
      <c r="D2772" s="240">
        <f>$D$3</f>
        <v/>
      </c>
      <c r="E2772" s="240">
        <f>$E$3</f>
        <v/>
      </c>
      <c r="F2772" s="241" t="n">
        <v>9.380000000000001</v>
      </c>
      <c r="G2772" s="242" t="n">
        <v>6660894</v>
      </c>
      <c r="H2772" s="241" t="n">
        <v>-0.42</v>
      </c>
      <c r="I2772" s="241" t="n">
        <v>-1.26</v>
      </c>
      <c r="J2772" s="241" t="n">
        <v>-13.07</v>
      </c>
      <c r="K2772" s="241" t="n">
        <v>5.88</v>
      </c>
      <c r="L2772" s="242" t="n">
        <v>957655</v>
      </c>
      <c r="M2772" s="241" t="n">
        <v>-1.18</v>
      </c>
      <c r="N2772" s="241" t="n">
        <v>-2.62</v>
      </c>
      <c r="O2772" s="241" t="n">
        <v>-2.48</v>
      </c>
      <c r="P2772" s="241" t="n">
        <v>1.59</v>
      </c>
    </row>
    <row r="2773">
      <c r="A2773" s="282" t="inlineStr">
        <is>
          <t>2017-06-01</t>
        </is>
      </c>
      <c r="B2773" s="240">
        <f>IFERROR(1/P2773-1,B2772)</f>
        <v/>
      </c>
      <c r="C2773" s="240">
        <f>$C$3</f>
        <v/>
      </c>
      <c r="D2773" s="240">
        <f>$D$3</f>
        <v/>
      </c>
      <c r="E2773" s="240">
        <f>$E$3</f>
        <v/>
      </c>
      <c r="F2773" s="241" t="n">
        <v>9.140000000000001</v>
      </c>
      <c r="G2773" s="242" t="n">
        <v>7145783</v>
      </c>
      <c r="H2773" s="241" t="n">
        <v>-2.56</v>
      </c>
      <c r="I2773" s="241" t="n">
        <v>-3.79</v>
      </c>
      <c r="J2773" s="241" t="n">
        <v>-15.29</v>
      </c>
      <c r="K2773" s="241" t="n">
        <v>5.9</v>
      </c>
      <c r="L2773" s="242" t="n">
        <v>1638400</v>
      </c>
      <c r="M2773" s="241" t="n">
        <v>1.05</v>
      </c>
      <c r="N2773" s="241" t="n">
        <v>-1.6</v>
      </c>
      <c r="O2773" s="241" t="n">
        <v>-1.46</v>
      </c>
      <c r="P2773" s="241" t="n">
        <v>1.55</v>
      </c>
    </row>
    <row r="2774">
      <c r="A2774" s="282" t="inlineStr">
        <is>
          <t>2017-06-02</t>
        </is>
      </c>
      <c r="B2774" s="240">
        <f>IFERROR(1/P2774-1,B2773)</f>
        <v/>
      </c>
      <c r="C2774" s="240">
        <f>$C$3</f>
        <v/>
      </c>
      <c r="D2774" s="240">
        <f>$D$3</f>
        <v/>
      </c>
      <c r="E2774" s="240">
        <f>$E$3</f>
        <v/>
      </c>
      <c r="F2774" s="241" t="n">
        <v>9.300000000000001</v>
      </c>
      <c r="G2774" s="242" t="n">
        <v>7238544</v>
      </c>
      <c r="H2774" s="241" t="n">
        <v>1.75</v>
      </c>
      <c r="I2774" s="241" t="n">
        <v>-2.11</v>
      </c>
      <c r="J2774" s="241" t="n">
        <v>-13.81</v>
      </c>
      <c r="K2774" s="241" t="n">
        <v>5.84</v>
      </c>
      <c r="L2774" s="242" t="n">
        <v>1213967</v>
      </c>
      <c r="M2774" s="241" t="n">
        <v>-0.89</v>
      </c>
      <c r="N2774" s="241" t="n">
        <v>-2.48</v>
      </c>
      <c r="O2774" s="241" t="n">
        <v>-2.34</v>
      </c>
      <c r="P2774" s="241" t="n">
        <v>1.59</v>
      </c>
    </row>
    <row r="2775">
      <c r="A2775" s="282" t="inlineStr">
        <is>
          <t>2017-06-05</t>
        </is>
      </c>
      <c r="B2775" s="240">
        <f>IFERROR(1/P2775-1,B2774)</f>
        <v/>
      </c>
      <c r="C2775" s="240">
        <f>$C$3</f>
        <v/>
      </c>
      <c r="D2775" s="240">
        <f>$D$3</f>
        <v/>
      </c>
      <c r="E2775" s="240">
        <f>$E$3</f>
        <v/>
      </c>
      <c r="F2775" s="241" t="n">
        <v>9.369999999999999</v>
      </c>
      <c r="G2775" s="242" t="n">
        <v>7758721</v>
      </c>
      <c r="H2775" s="241" t="n">
        <v>0.75</v>
      </c>
      <c r="I2775" s="241" t="n">
        <v>-3.4</v>
      </c>
      <c r="J2775" s="241" t="n">
        <v>-13.16</v>
      </c>
      <c r="K2775" s="241" t="n">
        <v>5.87</v>
      </c>
      <c r="L2775" s="242" t="n">
        <v>1008200</v>
      </c>
      <c r="M2775" s="241" t="n">
        <v>0.6</v>
      </c>
      <c r="N2775" s="241" t="n">
        <v>-1.46</v>
      </c>
      <c r="O2775" s="241" t="n">
        <v>-1.75</v>
      </c>
      <c r="P2775" s="241" t="n">
        <v>1.6</v>
      </c>
    </row>
    <row r="2776">
      <c r="A2776" s="282" t="inlineStr">
        <is>
          <t>2017-06-06</t>
        </is>
      </c>
      <c r="B2776" s="240">
        <f>IFERROR(1/P2776-1,B2775)</f>
        <v/>
      </c>
      <c r="C2776" s="240">
        <f>$C$3</f>
        <v/>
      </c>
      <c r="D2776" s="240">
        <f>$D$3</f>
        <v/>
      </c>
      <c r="E2776" s="240">
        <f>$E$3</f>
        <v/>
      </c>
      <c r="F2776" s="241" t="n">
        <v>9.42</v>
      </c>
      <c r="G2776" s="242" t="n">
        <v>5671383</v>
      </c>
      <c r="H2776" s="241" t="n">
        <v>0.53</v>
      </c>
      <c r="I2776" s="241" t="n">
        <v>-1.05</v>
      </c>
      <c r="J2776" s="241" t="n">
        <v>-12.7</v>
      </c>
      <c r="K2776" s="241" t="n">
        <v>5.93</v>
      </c>
      <c r="L2776" s="242" t="n">
        <v>1536000</v>
      </c>
      <c r="M2776" s="241" t="n">
        <v>1.04</v>
      </c>
      <c r="N2776" s="241" t="n">
        <v>0.15</v>
      </c>
      <c r="O2776" s="241" t="n">
        <v>-0.73</v>
      </c>
      <c r="P2776" s="241" t="n">
        <v>1.59</v>
      </c>
    </row>
    <row r="2777">
      <c r="A2777" s="282" t="inlineStr">
        <is>
          <t>2017-06-07</t>
        </is>
      </c>
      <c r="B2777" s="240">
        <f>IFERROR(1/P2777-1,B2776)</f>
        <v/>
      </c>
      <c r="C2777" s="240">
        <f>$C$3</f>
        <v/>
      </c>
      <c r="D2777" s="240">
        <f>$D$3</f>
        <v/>
      </c>
      <c r="E2777" s="240">
        <f>$E$3</f>
        <v/>
      </c>
      <c r="F2777" s="241" t="n">
        <v>9.51</v>
      </c>
      <c r="G2777" s="242" t="n">
        <v>10339919</v>
      </c>
      <c r="H2777" s="241" t="n">
        <v>0.96</v>
      </c>
      <c r="I2777" s="241" t="n">
        <v>-0.1</v>
      </c>
      <c r="J2777" s="241" t="n">
        <v>-11.86</v>
      </c>
      <c r="K2777" s="241" t="n">
        <v>5.91</v>
      </c>
      <c r="L2777" s="242" t="n">
        <v>657000</v>
      </c>
      <c r="M2777" s="241" t="n">
        <v>-0.15</v>
      </c>
      <c r="N2777" s="241" t="n">
        <v>0</v>
      </c>
      <c r="O2777" s="241" t="n">
        <v>-0.88</v>
      </c>
      <c r="P2777" s="241" t="n">
        <v>1.61</v>
      </c>
    </row>
    <row r="2778">
      <c r="A2778" s="282" t="inlineStr">
        <is>
          <t>2017-06-08</t>
        </is>
      </c>
      <c r="B2778" s="240">
        <f>IFERROR(1/P2778-1,B2777)</f>
        <v/>
      </c>
      <c r="C2778" s="240">
        <f>$C$3</f>
        <v/>
      </c>
      <c r="D2778" s="240">
        <f>$D$3</f>
        <v/>
      </c>
      <c r="E2778" s="240">
        <f>$E$3</f>
        <v/>
      </c>
      <c r="F2778" s="241" t="n">
        <v>9.48</v>
      </c>
      <c r="G2778" s="242" t="n">
        <v>9698305</v>
      </c>
      <c r="H2778" s="241" t="n">
        <v>-0.32</v>
      </c>
      <c r="I2778" s="241" t="n">
        <v>-0.42</v>
      </c>
      <c r="J2778" s="241" t="n">
        <v>-12.14</v>
      </c>
      <c r="K2778" s="241" t="n">
        <v>6.24</v>
      </c>
      <c r="L2778" s="242" t="n">
        <v>3697800</v>
      </c>
      <c r="M2778" s="241" t="n">
        <v>5.45</v>
      </c>
      <c r="N2778" s="241" t="n">
        <v>5.45</v>
      </c>
      <c r="O2778" s="241" t="n">
        <v>4.53</v>
      </c>
      <c r="P2778" s="241" t="n">
        <v>1.52</v>
      </c>
    </row>
    <row r="2779">
      <c r="A2779" s="282" t="inlineStr">
        <is>
          <t>2017-06-09</t>
        </is>
      </c>
      <c r="B2779" s="240">
        <f>IFERROR(1/P2779-1,B2778)</f>
        <v/>
      </c>
      <c r="C2779" s="240">
        <f>$C$3</f>
        <v/>
      </c>
      <c r="D2779" s="240">
        <f>$D$3</f>
        <v/>
      </c>
      <c r="E2779" s="240">
        <f>$E$3</f>
        <v/>
      </c>
      <c r="F2779" s="241" t="n">
        <v>9.5</v>
      </c>
      <c r="G2779" s="242" t="n">
        <v>13914106</v>
      </c>
      <c r="H2779" s="241" t="n">
        <v>0.21</v>
      </c>
      <c r="I2779" s="241" t="n">
        <v>0</v>
      </c>
      <c r="J2779" s="241" t="n">
        <v>-11.96</v>
      </c>
      <c r="K2779" s="241" t="n">
        <v>6.19</v>
      </c>
      <c r="L2779" s="242" t="n">
        <v>2110600</v>
      </c>
      <c r="M2779" s="241" t="n">
        <v>-0.84</v>
      </c>
      <c r="N2779" s="241" t="n">
        <v>6.45</v>
      </c>
      <c r="O2779" s="241" t="n">
        <v>3.65</v>
      </c>
      <c r="P2779" s="241" t="n">
        <v>1.53</v>
      </c>
    </row>
    <row r="2780">
      <c r="A2780" s="282" t="inlineStr">
        <is>
          <t>2017-06-12</t>
        </is>
      </c>
      <c r="B2780" s="240">
        <f>IFERROR(1/P2780-1,B2779)</f>
        <v/>
      </c>
      <c r="C2780" s="240">
        <f>$C$3</f>
        <v/>
      </c>
      <c r="D2780" s="240">
        <f>$D$3</f>
        <v/>
      </c>
      <c r="E2780" s="240">
        <f>$E$3</f>
        <v/>
      </c>
      <c r="F2780" s="241" t="n">
        <v>9.34</v>
      </c>
      <c r="G2780" s="242" t="n">
        <v>7645162</v>
      </c>
      <c r="H2780" s="241" t="n">
        <v>-1.68</v>
      </c>
      <c r="I2780" s="241" t="n">
        <v>0.76</v>
      </c>
      <c r="J2780" s="241" t="n">
        <v>-13.44</v>
      </c>
      <c r="K2780" s="241" t="n">
        <v>6.14</v>
      </c>
      <c r="L2780" s="242" t="n">
        <v>1282300</v>
      </c>
      <c r="M2780" s="241" t="n">
        <v>-0.85</v>
      </c>
      <c r="N2780" s="241" t="n">
        <v>7.81</v>
      </c>
      <c r="O2780" s="241" t="n">
        <v>2.77</v>
      </c>
      <c r="P2780" s="241" t="n">
        <v>1.52</v>
      </c>
    </row>
    <row r="2781">
      <c r="A2781" s="282" t="inlineStr">
        <is>
          <t>2017-06-13</t>
        </is>
      </c>
      <c r="B2781" s="240">
        <f>IFERROR(1/P2781-1,B2780)</f>
        <v/>
      </c>
      <c r="C2781" s="240">
        <f>$C$3</f>
        <v/>
      </c>
      <c r="D2781" s="240">
        <f>$D$3</f>
        <v/>
      </c>
      <c r="E2781" s="240">
        <f>$E$3</f>
        <v/>
      </c>
      <c r="F2781" s="241" t="n">
        <v>9.41</v>
      </c>
      <c r="G2781" s="242" t="n">
        <v>8599369</v>
      </c>
      <c r="H2781" s="241" t="n">
        <v>0.75</v>
      </c>
      <c r="I2781" s="241" t="n">
        <v>1.51</v>
      </c>
      <c r="J2781" s="241" t="n">
        <v>-12.79</v>
      </c>
      <c r="K2781" s="241" t="n">
        <v>6.16</v>
      </c>
      <c r="L2781" s="242" t="n">
        <v>667600</v>
      </c>
      <c r="M2781" s="241" t="n">
        <v>0.43</v>
      </c>
      <c r="N2781" s="241" t="n">
        <v>9.609999999999999</v>
      </c>
      <c r="O2781" s="241" t="n">
        <v>3.21</v>
      </c>
      <c r="P2781" s="241" t="n">
        <v>1.53</v>
      </c>
    </row>
    <row r="2782">
      <c r="A2782" s="282" t="inlineStr">
        <is>
          <t>2017-06-14</t>
        </is>
      </c>
      <c r="B2782" s="240">
        <f>IFERROR(1/P2782-1,B2781)</f>
        <v/>
      </c>
      <c r="C2782" s="240">
        <f>$C$3</f>
        <v/>
      </c>
      <c r="D2782" s="240">
        <f>$D$3</f>
        <v/>
      </c>
      <c r="E2782" s="240">
        <f>$E$3</f>
        <v/>
      </c>
      <c r="F2782" s="241" t="n">
        <v>9.32</v>
      </c>
      <c r="G2782" s="242" t="n">
        <v>9407247</v>
      </c>
      <c r="H2782" s="241" t="n">
        <v>-0.96</v>
      </c>
      <c r="I2782" s="241" t="n">
        <v>0.54</v>
      </c>
      <c r="J2782" s="241" t="n">
        <v>-13.62</v>
      </c>
      <c r="K2782" s="241" t="n">
        <v>6.01</v>
      </c>
      <c r="L2782" s="242" t="n">
        <v>1528000</v>
      </c>
      <c r="M2782" s="241" t="n">
        <v>-2.4</v>
      </c>
      <c r="N2782" s="241" t="n">
        <v>6.98</v>
      </c>
      <c r="O2782" s="241" t="n">
        <v>0.73</v>
      </c>
      <c r="P2782" s="241" t="n">
        <v>1.55</v>
      </c>
    </row>
    <row r="2783">
      <c r="A2783" s="282" t="inlineStr">
        <is>
          <t>2017-06-15</t>
        </is>
      </c>
      <c r="B2783" s="240">
        <f>IFERROR(1/P2783-1,B2782)</f>
        <v/>
      </c>
      <c r="C2783" s="240">
        <f>$C$3</f>
        <v/>
      </c>
      <c r="D2783" s="240">
        <f>$D$3</f>
        <v/>
      </c>
      <c r="E2783" s="240">
        <f>$E$3</f>
        <v/>
      </c>
      <c r="F2783" s="241" t="n">
        <v>9.44</v>
      </c>
      <c r="G2783" s="242" t="n">
        <v>9152469</v>
      </c>
      <c r="H2783" s="241" t="n">
        <v>1.29</v>
      </c>
      <c r="I2783" s="241" t="n">
        <v>1.83</v>
      </c>
      <c r="J2783" s="241" t="n">
        <v>-12.51</v>
      </c>
      <c r="K2783" s="241" t="n">
        <v>5.95</v>
      </c>
      <c r="L2783" s="242" t="n">
        <v>789000</v>
      </c>
      <c r="M2783" s="241" t="n">
        <v>-0.87</v>
      </c>
      <c r="N2783" s="241" t="n">
        <v>6.05</v>
      </c>
      <c r="O2783" s="241" t="n">
        <v>-0.15</v>
      </c>
      <c r="P2783" s="241" t="n">
        <v>1.59</v>
      </c>
    </row>
    <row r="2784">
      <c r="A2784" s="282" t="inlineStr">
        <is>
          <t>2017-06-16</t>
        </is>
      </c>
      <c r="B2784" s="240">
        <f>IFERROR(1/P2784-1,B2783)</f>
        <v/>
      </c>
      <c r="C2784" s="240">
        <f>$C$3</f>
        <v/>
      </c>
      <c r="D2784" s="240">
        <f>$D$3</f>
        <v/>
      </c>
      <c r="E2784" s="240">
        <f>$E$3</f>
        <v/>
      </c>
      <c r="F2784" s="241" t="n">
        <v>9.44</v>
      </c>
      <c r="G2784" s="242" t="n">
        <v>5904000</v>
      </c>
      <c r="H2784" s="241" t="n">
        <v>0</v>
      </c>
      <c r="I2784" s="241" t="n">
        <v>2.05</v>
      </c>
      <c r="J2784" s="241" t="n">
        <v>-12.51</v>
      </c>
      <c r="K2784" s="241" t="n">
        <v>5.98</v>
      </c>
      <c r="L2784" s="242" t="n">
        <v>581467</v>
      </c>
      <c r="M2784" s="241" t="n">
        <v>0.29</v>
      </c>
      <c r="N2784" s="241" t="n">
        <v>6.36</v>
      </c>
      <c r="O2784" s="241" t="n">
        <v>0.15</v>
      </c>
      <c r="P2784" s="241" t="n">
        <v>1.58</v>
      </c>
    </row>
    <row r="2785">
      <c r="A2785" s="282" t="inlineStr">
        <is>
          <t>2017-06-19</t>
        </is>
      </c>
      <c r="B2785" s="240">
        <f>IFERROR(1/P2785-1,B2784)</f>
        <v/>
      </c>
      <c r="C2785" s="240">
        <f>$C$3</f>
        <v/>
      </c>
      <c r="D2785" s="240">
        <f>$D$3</f>
        <v/>
      </c>
      <c r="E2785" s="240">
        <f>$E$3</f>
        <v/>
      </c>
      <c r="F2785" s="241" t="n">
        <v>9.48</v>
      </c>
      <c r="G2785" s="242" t="n">
        <v>7130104</v>
      </c>
      <c r="H2785" s="241" t="n">
        <v>0.42</v>
      </c>
      <c r="I2785" s="241" t="n">
        <v>0.53</v>
      </c>
      <c r="J2785" s="241" t="n">
        <v>-12.14</v>
      </c>
      <c r="K2785" s="241" t="n">
        <v>5.96</v>
      </c>
      <c r="L2785" s="242" t="n">
        <v>408200</v>
      </c>
      <c r="M2785" s="241" t="n">
        <v>-0.29</v>
      </c>
      <c r="N2785" s="241" t="n">
        <v>0.74</v>
      </c>
      <c r="O2785" s="241" t="n">
        <v>-0.15</v>
      </c>
      <c r="P2785" s="241" t="n">
        <v>1.59</v>
      </c>
    </row>
    <row r="2786">
      <c r="A2786" s="282" t="inlineStr">
        <is>
          <t>2017-06-20</t>
        </is>
      </c>
      <c r="B2786" s="240">
        <f>IFERROR(1/P2786-1,B2785)</f>
        <v/>
      </c>
      <c r="C2786" s="240">
        <f>$C$3</f>
        <v/>
      </c>
      <c r="D2786" s="240">
        <f>$D$3</f>
        <v/>
      </c>
      <c r="E2786" s="240">
        <f>$E$3</f>
        <v/>
      </c>
      <c r="F2786" s="241" t="n">
        <v>9.5</v>
      </c>
      <c r="G2786" s="242" t="n">
        <v>10247614</v>
      </c>
      <c r="H2786" s="241" t="n">
        <v>0.21</v>
      </c>
      <c r="I2786" s="241" t="n">
        <v>0.74</v>
      </c>
      <c r="J2786" s="241" t="n">
        <v>-11.96</v>
      </c>
      <c r="K2786" s="241" t="n">
        <v>5.95</v>
      </c>
      <c r="L2786" s="242" t="n">
        <v>354400</v>
      </c>
      <c r="M2786" s="241" t="n">
        <v>-0.29</v>
      </c>
      <c r="N2786" s="241" t="n">
        <v>0.29</v>
      </c>
      <c r="O2786" s="241" t="n">
        <v>-0.44</v>
      </c>
      <c r="P2786" s="241" t="n">
        <v>1.6</v>
      </c>
    </row>
    <row r="2787">
      <c r="A2787" s="282" t="inlineStr">
        <is>
          <t>2017-06-21</t>
        </is>
      </c>
      <c r="B2787" s="240">
        <f>IFERROR(1/P2787-1,B2786)</f>
        <v/>
      </c>
      <c r="C2787" s="240">
        <f>$C$3</f>
        <v/>
      </c>
      <c r="D2787" s="240">
        <f>$D$3</f>
        <v/>
      </c>
      <c r="E2787" s="240">
        <f>$E$3</f>
        <v/>
      </c>
      <c r="F2787" s="241" t="n">
        <v>9.539999999999999</v>
      </c>
      <c r="G2787" s="242" t="n">
        <v>10287738</v>
      </c>
      <c r="H2787" s="241" t="n">
        <v>0.42</v>
      </c>
      <c r="I2787" s="241" t="n">
        <v>1.17</v>
      </c>
      <c r="J2787" s="241" t="n">
        <v>-11.58</v>
      </c>
      <c r="K2787" s="241" t="n">
        <v>5.98</v>
      </c>
      <c r="L2787" s="242" t="n">
        <v>233000</v>
      </c>
      <c r="M2787" s="241" t="n">
        <v>0.29</v>
      </c>
      <c r="N2787" s="241" t="n">
        <v>0.59</v>
      </c>
      <c r="O2787" s="241" t="n">
        <v>-0.15</v>
      </c>
      <c r="P2787" s="241" t="n">
        <v>1.6</v>
      </c>
    </row>
    <row r="2788">
      <c r="A2788" s="282" t="inlineStr">
        <is>
          <t>2017-06-22</t>
        </is>
      </c>
      <c r="B2788" s="240">
        <f>IFERROR(1/P2788-1,B2787)</f>
        <v/>
      </c>
      <c r="C2788" s="240">
        <f>$C$3</f>
        <v/>
      </c>
      <c r="D2788" s="240">
        <f>$D$3</f>
        <v/>
      </c>
      <c r="E2788" s="240">
        <f>$E$3</f>
        <v/>
      </c>
      <c r="F2788" s="241" t="n">
        <v>9.41</v>
      </c>
      <c r="G2788" s="242" t="n">
        <v>10331389</v>
      </c>
      <c r="H2788" s="241" t="n">
        <v>-1.36</v>
      </c>
      <c r="I2788" s="241" t="n">
        <v>-0.21</v>
      </c>
      <c r="J2788" s="241" t="n">
        <v>-12.79</v>
      </c>
      <c r="K2788" s="241" t="n">
        <v>6.19</v>
      </c>
      <c r="L2788" s="242" t="n">
        <v>1997400</v>
      </c>
      <c r="M2788" s="241" t="n">
        <v>3.51</v>
      </c>
      <c r="N2788" s="241" t="n">
        <v>4.12</v>
      </c>
      <c r="O2788" s="241" t="n">
        <v>3.36</v>
      </c>
      <c r="P2788" s="241" t="n">
        <v>1.52</v>
      </c>
    </row>
    <row r="2789">
      <c r="A2789" s="282" t="inlineStr">
        <is>
          <t>2017-06-23</t>
        </is>
      </c>
      <c r="B2789" s="240">
        <f>IFERROR(1/P2789-1,B2788)</f>
        <v/>
      </c>
      <c r="C2789" s="240">
        <f>$C$3</f>
        <v/>
      </c>
      <c r="D2789" s="240">
        <f>$D$3</f>
        <v/>
      </c>
      <c r="E2789" s="240">
        <f>$E$3</f>
        <v/>
      </c>
      <c r="F2789" s="241" t="n">
        <v>9.35</v>
      </c>
      <c r="G2789" s="242" t="n">
        <v>9414949</v>
      </c>
      <c r="H2789" s="241" t="n">
        <v>-0.64</v>
      </c>
      <c r="I2789" s="241" t="n">
        <v>0.54</v>
      </c>
      <c r="J2789" s="241" t="n">
        <v>-13.35</v>
      </c>
      <c r="K2789" s="241" t="n">
        <v>6.12</v>
      </c>
      <c r="L2789" s="242" t="n">
        <v>905400</v>
      </c>
      <c r="M2789" s="241" t="n">
        <v>-1.27</v>
      </c>
      <c r="N2789" s="241" t="n">
        <v>4.17</v>
      </c>
      <c r="O2789" s="241" t="n">
        <v>2.04</v>
      </c>
      <c r="P2789" s="241" t="n">
        <v>1.53</v>
      </c>
    </row>
    <row r="2790">
      <c r="A2790" s="282" t="inlineStr">
        <is>
          <t>2017-06-26</t>
        </is>
      </c>
      <c r="B2790" s="240">
        <f>IFERROR(1/P2790-1,B2789)</f>
        <v/>
      </c>
      <c r="C2790" s="240">
        <f>$C$3</f>
        <v/>
      </c>
      <c r="D2790" s="240">
        <f>$D$3</f>
        <v/>
      </c>
      <c r="E2790" s="240">
        <f>$E$3</f>
        <v/>
      </c>
      <c r="F2790" s="241" t="n">
        <v>9.42</v>
      </c>
      <c r="G2790" s="242" t="n">
        <v>7781581</v>
      </c>
      <c r="H2790" s="241" t="n">
        <v>0.75</v>
      </c>
      <c r="I2790" s="241" t="n">
        <v>1.4</v>
      </c>
      <c r="J2790" s="241" t="n">
        <v>-12.7</v>
      </c>
      <c r="K2790" s="241" t="n">
        <v>6.21</v>
      </c>
      <c r="L2790" s="242" t="n">
        <v>736200</v>
      </c>
      <c r="M2790" s="241" t="n">
        <v>1.57</v>
      </c>
      <c r="N2790" s="241" t="n">
        <v>5.03</v>
      </c>
      <c r="O2790" s="241" t="n">
        <v>3.65</v>
      </c>
      <c r="P2790" s="241" t="n">
        <v>1.52</v>
      </c>
    </row>
    <row r="2791">
      <c r="A2791" s="282" t="inlineStr">
        <is>
          <t>2017-06-27</t>
        </is>
      </c>
      <c r="B2791" s="240">
        <f>IFERROR(1/P2791-1,B2790)</f>
        <v/>
      </c>
      <c r="C2791" s="240">
        <f>$C$3</f>
        <v/>
      </c>
      <c r="D2791" s="240">
        <f>$D$3</f>
        <v/>
      </c>
      <c r="E2791" s="240">
        <f>$E$3</f>
        <v/>
      </c>
      <c r="F2791" s="241" t="n">
        <v>9.48</v>
      </c>
      <c r="G2791" s="242" t="n">
        <v>10014980</v>
      </c>
      <c r="H2791" s="241" t="n">
        <v>0.64</v>
      </c>
      <c r="I2791" s="241" t="n">
        <v>0.64</v>
      </c>
      <c r="J2791" s="241" t="n">
        <v>-12.14</v>
      </c>
      <c r="K2791" s="241" t="n">
        <v>6.2</v>
      </c>
      <c r="L2791" s="242" t="n">
        <v>873000</v>
      </c>
      <c r="M2791" s="241" t="n">
        <v>-0.28</v>
      </c>
      <c r="N2791" s="241" t="n">
        <v>4.73</v>
      </c>
      <c r="O2791" s="241" t="n">
        <v>3.36</v>
      </c>
      <c r="P2791" s="241" t="n">
        <v>1.53</v>
      </c>
    </row>
    <row r="2792">
      <c r="A2792" s="282" t="inlineStr">
        <is>
          <t>2017-06-28</t>
        </is>
      </c>
      <c r="B2792" s="240">
        <f>IFERROR(1/P2792-1,B2791)</f>
        <v/>
      </c>
      <c r="C2792" s="240">
        <f>$C$3</f>
        <v/>
      </c>
      <c r="D2792" s="240">
        <f>$D$3</f>
        <v/>
      </c>
      <c r="E2792" s="240">
        <f>$E$3</f>
        <v/>
      </c>
      <c r="F2792" s="241" t="n">
        <v>9.49</v>
      </c>
      <c r="G2792" s="242" t="n">
        <v>6165055</v>
      </c>
      <c r="H2792" s="241" t="n">
        <v>0.11</v>
      </c>
      <c r="I2792" s="241" t="n">
        <v>0.74</v>
      </c>
      <c r="J2792" s="241" t="n">
        <v>-12.05</v>
      </c>
      <c r="K2792" s="241" t="n">
        <v>6.1</v>
      </c>
      <c r="L2792" s="242" t="n">
        <v>764625</v>
      </c>
      <c r="M2792" s="241" t="n">
        <v>-1.27</v>
      </c>
      <c r="N2792" s="241" t="n">
        <v>3.4</v>
      </c>
      <c r="O2792" s="241" t="n">
        <v>2.04</v>
      </c>
      <c r="P2792" s="241" t="n">
        <v>1.56</v>
      </c>
    </row>
    <row r="2793">
      <c r="A2793" s="282" t="inlineStr">
        <is>
          <t>2017-06-29</t>
        </is>
      </c>
      <c r="B2793" s="240">
        <f>IFERROR(1/P2793-1,B2792)</f>
        <v/>
      </c>
      <c r="C2793" s="240">
        <f>$C$3</f>
        <v/>
      </c>
      <c r="D2793" s="240">
        <f>$D$3</f>
        <v/>
      </c>
      <c r="E2793" s="240">
        <f>$E$3</f>
        <v/>
      </c>
      <c r="F2793" s="241" t="n">
        <v>9.49</v>
      </c>
      <c r="G2793" s="242" t="n">
        <v>5955300</v>
      </c>
      <c r="H2793" s="241" t="n">
        <v>0</v>
      </c>
      <c r="I2793" s="241" t="n">
        <v>0.74</v>
      </c>
      <c r="J2793" s="241" t="n">
        <v>-12.05</v>
      </c>
      <c r="K2793" s="241" t="n">
        <v>6.16</v>
      </c>
      <c r="L2793" s="242" t="n">
        <v>394600</v>
      </c>
      <c r="M2793" s="241" t="n">
        <v>1.14</v>
      </c>
      <c r="N2793" s="241" t="n">
        <v>4.59</v>
      </c>
      <c r="O2793" s="241" t="n">
        <v>3.21</v>
      </c>
      <c r="P2793" s="241" t="n">
        <v>1.54</v>
      </c>
    </row>
    <row r="2794">
      <c r="A2794" s="282" t="inlineStr">
        <is>
          <t>2017-06-30</t>
        </is>
      </c>
      <c r="B2794" s="240">
        <f>IFERROR(1/P2794-1,B2793)</f>
        <v/>
      </c>
      <c r="C2794" s="240">
        <f>$C$3</f>
        <v/>
      </c>
      <c r="D2794" s="240">
        <f>$D$3</f>
        <v/>
      </c>
      <c r="E2794" s="240">
        <f>$E$3</f>
        <v/>
      </c>
      <c r="F2794" s="241" t="n">
        <v>9.58</v>
      </c>
      <c r="G2794" s="242" t="n">
        <v>9139736</v>
      </c>
      <c r="H2794" s="241" t="n">
        <v>0.95</v>
      </c>
      <c r="I2794" s="241" t="n">
        <v>1.7</v>
      </c>
      <c r="J2794" s="241" t="n">
        <v>-11.21</v>
      </c>
      <c r="K2794" s="241" t="n">
        <v>6.08</v>
      </c>
      <c r="L2794" s="242" t="n">
        <v>438400</v>
      </c>
      <c r="M2794" s="241" t="n">
        <v>-0.85</v>
      </c>
      <c r="N2794" s="241" t="n">
        <v>3.7</v>
      </c>
      <c r="O2794" s="241" t="n">
        <v>2.34</v>
      </c>
      <c r="P2794" s="241" t="n">
        <v>1.57</v>
      </c>
    </row>
    <row r="2795">
      <c r="A2795" s="282" t="inlineStr">
        <is>
          <t>2017-07-03</t>
        </is>
      </c>
      <c r="B2795" s="240">
        <f>IFERROR(1/P2795-1,B2794)</f>
        <v/>
      </c>
      <c r="C2795" s="240">
        <f>$C$3</f>
        <v/>
      </c>
      <c r="D2795" s="240">
        <f>$D$3</f>
        <v/>
      </c>
      <c r="E2795" s="240">
        <f>$E$3</f>
        <v/>
      </c>
      <c r="F2795" s="241" t="n">
        <v>9.73</v>
      </c>
      <c r="G2795" s="242" t="n">
        <v>20755596</v>
      </c>
      <c r="H2795" s="241" t="n">
        <v>1.57</v>
      </c>
      <c r="I2795" s="241" t="n">
        <v>4.62</v>
      </c>
      <c r="J2795" s="241" t="n">
        <v>-9.82</v>
      </c>
      <c r="K2795" s="241" t="n">
        <v>6.22</v>
      </c>
      <c r="L2795" s="242" t="n">
        <v>1192400</v>
      </c>
      <c r="M2795" s="241" t="n">
        <v>2.14</v>
      </c>
      <c r="N2795" s="241" t="n">
        <v>7.03</v>
      </c>
      <c r="O2795" s="241" t="n">
        <v>4.53</v>
      </c>
      <c r="P2795" s="241" t="n">
        <v>1.57</v>
      </c>
    </row>
    <row r="2796">
      <c r="A2796" s="282" t="inlineStr">
        <is>
          <t>2017-07-04</t>
        </is>
      </c>
      <c r="B2796" s="240">
        <f>IFERROR(1/P2796-1,B2795)</f>
        <v/>
      </c>
      <c r="C2796" s="240">
        <f>$C$3</f>
        <v/>
      </c>
      <c r="D2796" s="240">
        <f>$D$3</f>
        <v/>
      </c>
      <c r="E2796" s="240">
        <f>$E$3</f>
        <v/>
      </c>
      <c r="F2796" s="241" t="n">
        <v>9.68</v>
      </c>
      <c r="G2796" s="242" t="n">
        <v>9527437</v>
      </c>
      <c r="H2796" s="241" t="n">
        <v>-0.51</v>
      </c>
      <c r="I2796" s="241" t="n">
        <v>4.09</v>
      </c>
      <c r="J2796" s="241" t="n">
        <v>-10.29</v>
      </c>
      <c r="K2796" s="241" t="n">
        <v>6.12</v>
      </c>
      <c r="L2796" s="242" t="n">
        <v>493400</v>
      </c>
      <c r="M2796" s="241" t="n">
        <v>-1.68</v>
      </c>
      <c r="N2796" s="241" t="n">
        <v>5.23</v>
      </c>
      <c r="O2796" s="241" t="n">
        <v>2.77</v>
      </c>
      <c r="P2796" s="241" t="n">
        <v>1.58</v>
      </c>
    </row>
    <row r="2797">
      <c r="A2797" s="282" t="inlineStr">
        <is>
          <t>2017-07-05</t>
        </is>
      </c>
      <c r="B2797" s="240">
        <f>IFERROR(1/P2797-1,B2796)</f>
        <v/>
      </c>
      <c r="C2797" s="240">
        <f>$C$3</f>
        <v/>
      </c>
      <c r="D2797" s="240">
        <f>$D$3</f>
        <v/>
      </c>
      <c r="E2797" s="240">
        <f>$E$3</f>
        <v/>
      </c>
      <c r="F2797" s="241" t="n">
        <v>9.77</v>
      </c>
      <c r="G2797" s="242" t="n">
        <v>11021256</v>
      </c>
      <c r="H2797" s="241" t="n">
        <v>0.93</v>
      </c>
      <c r="I2797" s="241" t="n">
        <v>5.05</v>
      </c>
      <c r="J2797" s="241" t="n">
        <v>-9.449999999999999</v>
      </c>
      <c r="K2797" s="241" t="n">
        <v>6.22</v>
      </c>
      <c r="L2797" s="242" t="n">
        <v>1270200</v>
      </c>
      <c r="M2797" s="241" t="n">
        <v>1.56</v>
      </c>
      <c r="N2797" s="241" t="n">
        <v>6.88</v>
      </c>
      <c r="O2797" s="241" t="n">
        <v>4.38</v>
      </c>
      <c r="P2797" s="241" t="n">
        <v>1.57</v>
      </c>
    </row>
    <row r="2798">
      <c r="A2798" s="282" t="inlineStr">
        <is>
          <t>2017-07-06</t>
        </is>
      </c>
      <c r="B2798" s="240">
        <f>IFERROR(1/P2798-1,B2797)</f>
        <v/>
      </c>
      <c r="C2798" s="240">
        <f>$C$3</f>
        <v/>
      </c>
      <c r="D2798" s="240">
        <f>$D$3</f>
        <v/>
      </c>
      <c r="E2798" s="240">
        <f>$E$3</f>
        <v/>
      </c>
      <c r="F2798" s="241" t="n">
        <v>9.74</v>
      </c>
      <c r="G2798" s="242" t="n">
        <v>8852117</v>
      </c>
      <c r="H2798" s="241" t="n">
        <v>-0.31</v>
      </c>
      <c r="I2798" s="241" t="n">
        <v>3.95</v>
      </c>
      <c r="J2798" s="241" t="n">
        <v>-9.73</v>
      </c>
      <c r="K2798" s="241" t="n">
        <v>6.15</v>
      </c>
      <c r="L2798" s="242" t="n">
        <v>726000</v>
      </c>
      <c r="M2798" s="241" t="n">
        <v>-1.12</v>
      </c>
      <c r="N2798" s="241" t="n">
        <v>5.05</v>
      </c>
      <c r="O2798" s="241" t="n">
        <v>3.21</v>
      </c>
      <c r="P2798" s="241" t="n">
        <v>1.58</v>
      </c>
    </row>
    <row r="2799">
      <c r="A2799" s="282" t="inlineStr">
        <is>
          <t>2017-07-07</t>
        </is>
      </c>
      <c r="B2799" s="240">
        <f>IFERROR(1/P2799-1,B2798)</f>
        <v/>
      </c>
      <c r="C2799" s="240">
        <f>$C$3</f>
        <v/>
      </c>
      <c r="D2799" s="240">
        <f>$D$3</f>
        <v/>
      </c>
      <c r="E2799" s="240">
        <f>$E$3</f>
        <v/>
      </c>
      <c r="F2799" s="241" t="n">
        <v>9.73</v>
      </c>
      <c r="G2799" s="242" t="n">
        <v>7929403</v>
      </c>
      <c r="H2799" s="241" t="n">
        <v>-0.1</v>
      </c>
      <c r="I2799" s="241" t="n">
        <v>3.29</v>
      </c>
      <c r="J2799" s="241" t="n">
        <v>-9.82</v>
      </c>
      <c r="K2799" s="241" t="n">
        <v>6.11</v>
      </c>
      <c r="L2799" s="242" t="n">
        <v>331800</v>
      </c>
      <c r="M2799" s="241" t="n">
        <v>-0.57</v>
      </c>
      <c r="N2799" s="241" t="n">
        <v>3.38</v>
      </c>
      <c r="O2799" s="241" t="n">
        <v>2.63</v>
      </c>
      <c r="P2799" s="241" t="n">
        <v>1.59</v>
      </c>
    </row>
    <row r="2800">
      <c r="A2800" s="282" t="inlineStr">
        <is>
          <t>2017-07-10</t>
        </is>
      </c>
      <c r="B2800" s="240">
        <f>IFERROR(1/P2800-1,B2799)</f>
        <v/>
      </c>
      <c r="C2800" s="240">
        <f>$C$3</f>
        <v/>
      </c>
      <c r="D2800" s="240">
        <f>$D$3</f>
        <v/>
      </c>
      <c r="E2800" s="240">
        <f>$E$3</f>
        <v/>
      </c>
      <c r="F2800" s="241" t="n">
        <v>9.880000000000001</v>
      </c>
      <c r="G2800" s="242" t="n">
        <v>17329465</v>
      </c>
      <c r="H2800" s="241" t="n">
        <v>1.54</v>
      </c>
      <c r="I2800" s="241" t="n">
        <v>4</v>
      </c>
      <c r="J2800" s="241" t="n">
        <v>-8.43</v>
      </c>
      <c r="K2800" s="241" t="n">
        <v>6.22</v>
      </c>
      <c r="L2800" s="242" t="n">
        <v>937600</v>
      </c>
      <c r="M2800" s="241" t="n">
        <v>1.71</v>
      </c>
      <c r="N2800" s="241" t="n">
        <v>0.7</v>
      </c>
      <c r="O2800" s="241" t="n">
        <v>4.38</v>
      </c>
      <c r="P2800" s="241" t="n">
        <v>1.59</v>
      </c>
    </row>
    <row r="2801">
      <c r="A2801" s="282" t="inlineStr">
        <is>
          <t>2017-07-11</t>
        </is>
      </c>
      <c r="B2801" s="240">
        <f>IFERROR(1/P2801-1,B2800)</f>
        <v/>
      </c>
      <c r="C2801" s="240">
        <f>$C$3</f>
        <v/>
      </c>
      <c r="D2801" s="240">
        <f>$D$3</f>
        <v/>
      </c>
      <c r="E2801" s="240">
        <f>$E$3</f>
        <v/>
      </c>
      <c r="F2801" s="241" t="n">
        <v>9.699999999999999</v>
      </c>
      <c r="G2801" s="242" t="n">
        <v>11728931</v>
      </c>
      <c r="H2801" s="241" t="n">
        <v>-1.82</v>
      </c>
      <c r="I2801" s="241" t="n">
        <v>2.11</v>
      </c>
      <c r="J2801" s="241" t="n">
        <v>-10.1</v>
      </c>
      <c r="K2801" s="241" t="n">
        <v>6.11</v>
      </c>
      <c r="L2801" s="242" t="n">
        <v>685400</v>
      </c>
      <c r="M2801" s="241" t="n">
        <v>-1.82</v>
      </c>
      <c r="N2801" s="241" t="n">
        <v>-1.13</v>
      </c>
      <c r="O2801" s="241" t="n">
        <v>2.48</v>
      </c>
      <c r="P2801" s="241" t="n">
        <v>1.59</v>
      </c>
    </row>
    <row r="2802">
      <c r="A2802" s="282" t="inlineStr">
        <is>
          <t>2017-07-12</t>
        </is>
      </c>
      <c r="B2802" s="240">
        <f>IFERROR(1/P2802-1,B2801)</f>
        <v/>
      </c>
      <c r="C2802" s="240">
        <f>$C$3</f>
        <v/>
      </c>
      <c r="D2802" s="240">
        <f>$D$3</f>
        <v/>
      </c>
      <c r="E2802" s="240">
        <f>$E$3</f>
        <v/>
      </c>
      <c r="F2802" s="241" t="n">
        <v>9.66</v>
      </c>
      <c r="G2802" s="242" t="n">
        <v>9658419</v>
      </c>
      <c r="H2802" s="241" t="n">
        <v>-0.41</v>
      </c>
      <c r="I2802" s="241" t="n">
        <v>1.68</v>
      </c>
      <c r="J2802" s="241" t="n">
        <v>-10.47</v>
      </c>
      <c r="K2802" s="241" t="n">
        <v>6.09</v>
      </c>
      <c r="L2802" s="242" t="n">
        <v>810400</v>
      </c>
      <c r="M2802" s="241" t="n">
        <v>-0.14</v>
      </c>
      <c r="N2802" s="241" t="n">
        <v>-1.27</v>
      </c>
      <c r="O2802" s="241" t="n">
        <v>2.34</v>
      </c>
      <c r="P2802" s="241" t="n">
        <v>1.59</v>
      </c>
    </row>
    <row r="2803">
      <c r="A2803" s="282" t="inlineStr">
        <is>
          <t>2017-07-13</t>
        </is>
      </c>
      <c r="B2803" s="240">
        <f>IFERROR(1/P2803-1,B2802)</f>
        <v/>
      </c>
      <c r="C2803" s="240">
        <f>$C$3</f>
        <v/>
      </c>
      <c r="D2803" s="240">
        <f>$D$3</f>
        <v/>
      </c>
      <c r="E2803" s="240">
        <f>$E$3</f>
        <v/>
      </c>
      <c r="F2803" s="241" t="n">
        <v>9.800000000000001</v>
      </c>
      <c r="G2803" s="242" t="n">
        <v>11036491</v>
      </c>
      <c r="H2803" s="241" t="n">
        <v>1.45</v>
      </c>
      <c r="I2803" s="241" t="n">
        <v>4.93</v>
      </c>
      <c r="J2803" s="241" t="n">
        <v>-9.18</v>
      </c>
      <c r="K2803" s="241" t="n">
        <v>6.16</v>
      </c>
      <c r="L2803" s="242" t="n">
        <v>866800</v>
      </c>
      <c r="M2803" s="241" t="n">
        <v>1.28</v>
      </c>
      <c r="N2803" s="241" t="n">
        <v>0.85</v>
      </c>
      <c r="O2803" s="241" t="n">
        <v>3.65</v>
      </c>
      <c r="P2803" s="241" t="n">
        <v>1.59</v>
      </c>
    </row>
    <row r="2804">
      <c r="A2804" s="282" t="inlineStr">
        <is>
          <t>2017-07-14</t>
        </is>
      </c>
      <c r="B2804" s="240">
        <f>IFERROR(1/P2804-1,B2803)</f>
        <v/>
      </c>
      <c r="C2804" s="240">
        <f>$C$3</f>
        <v/>
      </c>
      <c r="D2804" s="240">
        <f>$D$3</f>
        <v/>
      </c>
      <c r="E2804" s="240">
        <f>$E$3</f>
        <v/>
      </c>
      <c r="F2804" s="241" t="n">
        <v>9.84</v>
      </c>
      <c r="G2804" s="242" t="n">
        <v>11261629</v>
      </c>
      <c r="H2804" s="241" t="n">
        <v>0.41</v>
      </c>
      <c r="I2804" s="241" t="n">
        <v>4.57</v>
      </c>
      <c r="J2804" s="241" t="n">
        <v>-8.800000000000001</v>
      </c>
      <c r="K2804" s="241" t="n">
        <v>6.61</v>
      </c>
      <c r="L2804" s="242" t="n">
        <v>4450000</v>
      </c>
      <c r="M2804" s="241" t="n">
        <v>7.32</v>
      </c>
      <c r="N2804" s="241" t="n">
        <v>7.78</v>
      </c>
      <c r="O2804" s="241" t="n">
        <v>11.24</v>
      </c>
      <c r="P2804" s="241" t="n">
        <v>1.49</v>
      </c>
    </row>
    <row r="2805">
      <c r="A2805" s="282" t="inlineStr">
        <is>
          <t>2017-07-17</t>
        </is>
      </c>
      <c r="B2805" s="240">
        <f>IFERROR(1/P2805-1,B2804)</f>
        <v/>
      </c>
      <c r="C2805" s="240">
        <f>$C$3</f>
        <v/>
      </c>
      <c r="D2805" s="240">
        <f>$D$3</f>
        <v/>
      </c>
      <c r="E2805" s="240">
        <f>$E$3</f>
        <v/>
      </c>
      <c r="F2805" s="241" t="n">
        <v>9.5</v>
      </c>
      <c r="G2805" s="242" t="n">
        <v>15802248</v>
      </c>
      <c r="H2805" s="241" t="n">
        <v>-3.46</v>
      </c>
      <c r="I2805" s="241" t="n">
        <v>0.64</v>
      </c>
      <c r="J2805" s="241" t="n">
        <v>-11.96</v>
      </c>
      <c r="K2805" s="241" t="n">
        <v>6.65</v>
      </c>
      <c r="L2805" s="242" t="n">
        <v>2313400</v>
      </c>
      <c r="M2805" s="241" t="n">
        <v>0.79</v>
      </c>
      <c r="N2805" s="241" t="n">
        <v>11.95</v>
      </c>
      <c r="O2805" s="241" t="n">
        <v>12.12</v>
      </c>
      <c r="P2805" s="241" t="n">
        <v>1.43</v>
      </c>
    </row>
    <row r="2806">
      <c r="A2806" s="282" t="inlineStr">
        <is>
          <t>2017-07-18</t>
        </is>
      </c>
      <c r="B2806" s="240">
        <f>IFERROR(1/P2806-1,B2805)</f>
        <v/>
      </c>
      <c r="C2806" s="240">
        <f>$C$3</f>
        <v/>
      </c>
      <c r="D2806" s="240">
        <f>$D$3</f>
        <v/>
      </c>
      <c r="E2806" s="240">
        <f>$E$3</f>
        <v/>
      </c>
      <c r="F2806" s="241" t="n">
        <v>9.539999999999999</v>
      </c>
      <c r="G2806" s="242" t="n">
        <v>10551043</v>
      </c>
      <c r="H2806" s="241" t="n">
        <v>0.42</v>
      </c>
      <c r="I2806" s="241" t="n">
        <v>1.06</v>
      </c>
      <c r="J2806" s="241" t="n">
        <v>-11.58</v>
      </c>
      <c r="K2806" s="241" t="n">
        <v>6.58</v>
      </c>
      <c r="L2806" s="242" t="n">
        <v>1198800</v>
      </c>
      <c r="M2806" s="241" t="n">
        <v>-1.04</v>
      </c>
      <c r="N2806" s="241" t="n">
        <v>10.79</v>
      </c>
      <c r="O2806" s="241" t="n">
        <v>10.95</v>
      </c>
      <c r="P2806" s="241" t="n">
        <v>1.45</v>
      </c>
    </row>
    <row r="2807">
      <c r="A2807" s="282" t="inlineStr">
        <is>
          <t>2017-07-19</t>
        </is>
      </c>
      <c r="B2807" s="240">
        <f>IFERROR(1/P2807-1,B2806)</f>
        <v/>
      </c>
      <c r="C2807" s="240">
        <f>$C$3</f>
        <v/>
      </c>
      <c r="D2807" s="240">
        <f>$D$3</f>
        <v/>
      </c>
      <c r="E2807" s="240">
        <f>$E$3</f>
        <v/>
      </c>
      <c r="F2807" s="241" t="n">
        <v>9.84</v>
      </c>
      <c r="G2807" s="242" t="n">
        <v>16848914</v>
      </c>
      <c r="H2807" s="241" t="n">
        <v>3.14</v>
      </c>
      <c r="I2807" s="241" t="n">
        <v>4.24</v>
      </c>
      <c r="J2807" s="241" t="n">
        <v>-8.800000000000001</v>
      </c>
      <c r="K2807" s="241" t="n">
        <v>6.55</v>
      </c>
      <c r="L2807" s="242" t="n">
        <v>1834400</v>
      </c>
      <c r="M2807" s="241" t="n">
        <v>-0.26</v>
      </c>
      <c r="N2807" s="241" t="n">
        <v>10.5</v>
      </c>
      <c r="O2807" s="241" t="n">
        <v>10.66</v>
      </c>
      <c r="P2807" s="241" t="n">
        <v>1.5</v>
      </c>
    </row>
    <row r="2808">
      <c r="A2808" s="282" t="inlineStr">
        <is>
          <t>2017-07-20</t>
        </is>
      </c>
      <c r="B2808" s="240">
        <f>IFERROR(1/P2808-1,B2807)</f>
        <v/>
      </c>
      <c r="C2808" s="240">
        <f>$C$3</f>
        <v/>
      </c>
      <c r="D2808" s="240">
        <f>$D$3</f>
        <v/>
      </c>
      <c r="E2808" s="240">
        <f>$E$3</f>
        <v/>
      </c>
      <c r="F2808" s="241" t="n">
        <v>9.84</v>
      </c>
      <c r="G2808" s="242" t="n">
        <v>13162608</v>
      </c>
      <c r="H2808" s="241" t="n">
        <v>0</v>
      </c>
      <c r="I2808" s="241" t="n">
        <v>3.8</v>
      </c>
      <c r="J2808" s="241" t="n">
        <v>-8.800000000000001</v>
      </c>
      <c r="K2808" s="241" t="n">
        <v>6.51</v>
      </c>
      <c r="L2808" s="242" t="n">
        <v>458145</v>
      </c>
      <c r="M2808" s="241" t="n">
        <v>-0.66</v>
      </c>
      <c r="N2808" s="241" t="n">
        <v>10.09</v>
      </c>
      <c r="O2808" s="241" t="n">
        <v>9.93</v>
      </c>
      <c r="P2808" s="241" t="n">
        <v>1.51</v>
      </c>
    </row>
    <row r="2809">
      <c r="A2809" s="282" t="inlineStr">
        <is>
          <t>2017-07-21</t>
        </is>
      </c>
      <c r="B2809" s="240">
        <f>IFERROR(1/P2809-1,B2808)</f>
        <v/>
      </c>
      <c r="C2809" s="240">
        <f>$C$3</f>
        <v/>
      </c>
      <c r="D2809" s="240">
        <f>$D$3</f>
        <v/>
      </c>
      <c r="E2809" s="240">
        <f>$E$3</f>
        <v/>
      </c>
      <c r="F2809" s="241" t="n">
        <v>10.24</v>
      </c>
      <c r="G2809" s="242" t="n">
        <v>40645573</v>
      </c>
      <c r="H2809" s="241" t="n">
        <v>4.07</v>
      </c>
      <c r="I2809" s="241" t="n">
        <v>7.79</v>
      </c>
      <c r="J2809" s="241" t="n">
        <v>-5.1</v>
      </c>
      <c r="K2809" s="241" t="n">
        <v>6.65</v>
      </c>
      <c r="L2809" s="242" t="n">
        <v>3633600</v>
      </c>
      <c r="M2809" s="241" t="n">
        <v>2.26</v>
      </c>
      <c r="N2809" s="241" t="n">
        <v>12.9</v>
      </c>
      <c r="O2809" s="241" t="n">
        <v>12.41</v>
      </c>
      <c r="P2809" s="241" t="n">
        <v>1.54</v>
      </c>
    </row>
    <row r="2810">
      <c r="A2810" s="282" t="inlineStr">
        <is>
          <t>2017-07-24</t>
        </is>
      </c>
      <c r="B2810" s="240">
        <f>IFERROR(1/P2810-1,B2809)</f>
        <v/>
      </c>
      <c r="C2810" s="240">
        <f>$C$3</f>
        <v/>
      </c>
      <c r="D2810" s="240">
        <f>$D$3</f>
        <v/>
      </c>
      <c r="E2810" s="240">
        <f>$E$3</f>
        <v/>
      </c>
      <c r="F2810" s="241" t="n">
        <v>10.28</v>
      </c>
      <c r="G2810" s="242" t="n">
        <v>22718727</v>
      </c>
      <c r="H2810" s="241" t="n">
        <v>0.39</v>
      </c>
      <c r="I2810" s="241" t="n">
        <v>9.949999999999999</v>
      </c>
      <c r="J2810" s="241" t="n">
        <v>-4.73</v>
      </c>
      <c r="K2810" s="241" t="n">
        <v>6.56</v>
      </c>
      <c r="L2810" s="242" t="n">
        <v>1086000</v>
      </c>
      <c r="M2810" s="241" t="n">
        <v>-1.3</v>
      </c>
      <c r="N2810" s="241" t="n">
        <v>8.73</v>
      </c>
      <c r="O2810" s="241" t="n">
        <v>10.95</v>
      </c>
      <c r="P2810" s="241" t="n">
        <v>1.57</v>
      </c>
    </row>
    <row r="2811">
      <c r="A2811" s="282" t="inlineStr">
        <is>
          <t>2017-07-25</t>
        </is>
      </c>
      <c r="B2811" s="240">
        <f>IFERROR(1/P2811-1,B2810)</f>
        <v/>
      </c>
      <c r="C2811" s="240">
        <f>$C$3</f>
        <v/>
      </c>
      <c r="D2811" s="240">
        <f>$D$3</f>
        <v/>
      </c>
      <c r="E2811" s="240">
        <f>$E$3</f>
        <v/>
      </c>
      <c r="F2811" s="241" t="n">
        <v>10.25</v>
      </c>
      <c r="G2811" s="242" t="n">
        <v>14823592</v>
      </c>
      <c r="H2811" s="241" t="n">
        <v>-0.29</v>
      </c>
      <c r="I2811" s="241" t="n">
        <v>9.630000000000001</v>
      </c>
      <c r="J2811" s="241" t="n">
        <v>-5</v>
      </c>
      <c r="K2811" s="241" t="n">
        <v>6.57</v>
      </c>
      <c r="L2811" s="242" t="n">
        <v>933698</v>
      </c>
      <c r="M2811" s="241" t="n">
        <v>0</v>
      </c>
      <c r="N2811" s="241" t="n">
        <v>8.73</v>
      </c>
      <c r="O2811" s="241" t="n">
        <v>10.95</v>
      </c>
      <c r="P2811" s="241" t="n">
        <v>1.56</v>
      </c>
    </row>
    <row r="2812">
      <c r="A2812" s="282" t="inlineStr">
        <is>
          <t>2017-07-26</t>
        </is>
      </c>
      <c r="B2812" s="240">
        <f>IFERROR(1/P2812-1,B2811)</f>
        <v/>
      </c>
      <c r="C2812" s="240">
        <f>$C$3</f>
        <v/>
      </c>
      <c r="D2812" s="240">
        <f>$D$3</f>
        <v/>
      </c>
      <c r="E2812" s="240">
        <f>$E$3</f>
        <v/>
      </c>
      <c r="F2812" s="241" t="n">
        <v>10.16</v>
      </c>
      <c r="G2812" s="242" t="n">
        <v>17981963</v>
      </c>
      <c r="H2812" s="241" t="n">
        <v>-0.88</v>
      </c>
      <c r="I2812" s="241" t="n">
        <v>8.66</v>
      </c>
      <c r="J2812" s="241" t="n">
        <v>-5.84</v>
      </c>
      <c r="K2812" s="241" t="n">
        <v>6.62</v>
      </c>
      <c r="L2812" s="242" t="n">
        <v>1238000</v>
      </c>
      <c r="M2812" s="241" t="n">
        <v>0.79</v>
      </c>
      <c r="N2812" s="241" t="n">
        <v>9.59</v>
      </c>
      <c r="O2812" s="241" t="n">
        <v>11.82</v>
      </c>
      <c r="P2812" s="241" t="n">
        <v>1.53</v>
      </c>
    </row>
    <row r="2813">
      <c r="A2813" s="282" t="inlineStr">
        <is>
          <t>2017-07-27</t>
        </is>
      </c>
      <c r="B2813" s="240">
        <f>IFERROR(1/P2813-1,B2812)</f>
        <v/>
      </c>
      <c r="C2813" s="240">
        <f>$C$3</f>
        <v/>
      </c>
      <c r="D2813" s="240">
        <f>$D$3</f>
        <v/>
      </c>
      <c r="E2813" s="240">
        <f>$E$3</f>
        <v/>
      </c>
      <c r="F2813" s="241" t="n">
        <v>10.37</v>
      </c>
      <c r="G2813" s="242" t="n">
        <v>31354891</v>
      </c>
      <c r="H2813" s="241" t="n">
        <v>2.07</v>
      </c>
      <c r="I2813" s="241" t="n">
        <v>10.08</v>
      </c>
      <c r="J2813" s="241" t="n">
        <v>-3.89</v>
      </c>
      <c r="K2813" s="241" t="n">
        <v>7.23</v>
      </c>
      <c r="L2813" s="242" t="n">
        <v>11743600</v>
      </c>
      <c r="M2813" s="241" t="n">
        <v>9.529999999999999</v>
      </c>
      <c r="N2813" s="241" t="n">
        <v>18.17</v>
      </c>
      <c r="O2813" s="241" t="n">
        <v>22.48</v>
      </c>
      <c r="P2813" s="241" t="n">
        <v>1.43</v>
      </c>
    </row>
    <row r="2814">
      <c r="A2814" s="282" t="inlineStr">
        <is>
          <t>2017-07-28</t>
        </is>
      </c>
      <c r="B2814" s="240">
        <f>IFERROR(1/P2814-1,B2813)</f>
        <v/>
      </c>
      <c r="C2814" s="240">
        <f>$C$3</f>
        <v/>
      </c>
      <c r="D2814" s="240">
        <f>$D$3</f>
        <v/>
      </c>
      <c r="E2814" s="240">
        <f>$E$3</f>
        <v/>
      </c>
      <c r="F2814" s="241" t="n">
        <v>10.27</v>
      </c>
      <c r="G2814" s="242" t="n">
        <v>17189101</v>
      </c>
      <c r="H2814" s="241" t="n">
        <v>-0.96</v>
      </c>
      <c r="I2814" s="241" t="n">
        <v>8.33</v>
      </c>
      <c r="J2814" s="241" t="n">
        <v>-4.82</v>
      </c>
      <c r="K2814" s="241" t="n">
        <v>7.14</v>
      </c>
      <c r="L2814" s="242" t="n">
        <v>2315000</v>
      </c>
      <c r="M2814" s="241" t="n">
        <v>-1.31</v>
      </c>
      <c r="N2814" s="241" t="n">
        <v>16.95</v>
      </c>
      <c r="O2814" s="241" t="n">
        <v>20.88</v>
      </c>
      <c r="P2814" s="241" t="n">
        <v>1.44</v>
      </c>
    </row>
    <row r="2815">
      <c r="A2815" s="282" t="inlineStr">
        <is>
          <t>2017-07-31</t>
        </is>
      </c>
      <c r="B2815" s="240">
        <f>IFERROR(1/P2815-1,B2814)</f>
        <v/>
      </c>
      <c r="C2815" s="240">
        <f>$C$3</f>
        <v/>
      </c>
      <c r="D2815" s="240">
        <f>$D$3</f>
        <v/>
      </c>
      <c r="E2815" s="240">
        <f>$E$3</f>
        <v/>
      </c>
      <c r="F2815" s="241" t="n">
        <v>10.57</v>
      </c>
      <c r="G2815" s="242" t="n">
        <v>27671150</v>
      </c>
      <c r="H2815" s="241" t="n">
        <v>2.92</v>
      </c>
      <c r="I2815" s="241" t="n">
        <v>11.38</v>
      </c>
      <c r="J2815" s="241" t="n">
        <v>-2.04</v>
      </c>
      <c r="K2815" s="241" t="n">
        <v>7.15</v>
      </c>
      <c r="L2815" s="242" t="n">
        <v>1598800</v>
      </c>
      <c r="M2815" s="241" t="n">
        <v>0.24</v>
      </c>
      <c r="N2815" s="241" t="n">
        <v>17.4</v>
      </c>
      <c r="O2815" s="241" t="n">
        <v>21.17</v>
      </c>
      <c r="P2815" s="241" t="n">
        <v>1.48</v>
      </c>
    </row>
    <row r="2816">
      <c r="A2816" s="282" t="inlineStr">
        <is>
          <t>2017-08-01</t>
        </is>
      </c>
      <c r="B2816" s="240">
        <f>IFERROR(1/P2816-1,B2815)</f>
        <v/>
      </c>
      <c r="C2816" s="240">
        <f>$C$3</f>
        <v/>
      </c>
      <c r="D2816" s="240">
        <f>$D$3</f>
        <v/>
      </c>
      <c r="E2816" s="240">
        <f>$E$3</f>
        <v/>
      </c>
      <c r="F2816" s="241" t="n">
        <v>10.52</v>
      </c>
      <c r="G2816" s="242" t="n">
        <v>17447663</v>
      </c>
      <c r="H2816" s="241" t="n">
        <v>-0.47</v>
      </c>
      <c r="I2816" s="241" t="n">
        <v>9.81</v>
      </c>
      <c r="J2816" s="241" t="n">
        <v>-2.5</v>
      </c>
      <c r="K2816" s="241" t="n">
        <v>7.12</v>
      </c>
      <c r="L2816" s="242" t="n">
        <v>1896600</v>
      </c>
      <c r="M2816" s="241" t="n">
        <v>-0.24</v>
      </c>
      <c r="N2816" s="241" t="n">
        <v>18.12</v>
      </c>
      <c r="O2816" s="241" t="n">
        <v>20.88</v>
      </c>
      <c r="P2816" s="241" t="n">
        <v>1.48</v>
      </c>
    </row>
    <row r="2817">
      <c r="A2817" s="282" t="inlineStr">
        <is>
          <t>2017-08-02</t>
        </is>
      </c>
      <c r="B2817" s="240">
        <f>IFERROR(1/P2817-1,B2816)</f>
        <v/>
      </c>
      <c r="C2817" s="240">
        <f>$C$3</f>
        <v/>
      </c>
      <c r="D2817" s="240">
        <f>$D$3</f>
        <v/>
      </c>
      <c r="E2817" s="240">
        <f>$E$3</f>
        <v/>
      </c>
      <c r="F2817" s="241" t="n">
        <v>10.71</v>
      </c>
      <c r="G2817" s="242" t="n">
        <v>30207794</v>
      </c>
      <c r="H2817" s="241" t="n">
        <v>1.81</v>
      </c>
      <c r="I2817" s="241" t="n">
        <v>11.8</v>
      </c>
      <c r="J2817" s="241" t="n">
        <v>-0.74</v>
      </c>
      <c r="K2817" s="241" t="n">
        <v>7.3</v>
      </c>
      <c r="L2817" s="242" t="n">
        <v>3880270</v>
      </c>
      <c r="M2817" s="241" t="n">
        <v>2.54</v>
      </c>
      <c r="N2817" s="241" t="n">
        <v>21.11</v>
      </c>
      <c r="O2817" s="241" t="n">
        <v>23.94</v>
      </c>
      <c r="P2817" s="241" t="n">
        <v>1.47</v>
      </c>
    </row>
    <row r="2818">
      <c r="A2818" s="282" t="inlineStr">
        <is>
          <t>2017-08-03</t>
        </is>
      </c>
      <c r="B2818" s="240">
        <f>IFERROR(1/P2818-1,B2817)</f>
        <v/>
      </c>
      <c r="C2818" s="240">
        <f>$C$3</f>
        <v/>
      </c>
      <c r="D2818" s="240">
        <f>$D$3</f>
        <v/>
      </c>
      <c r="E2818" s="240">
        <f>$E$3</f>
        <v/>
      </c>
      <c r="F2818" s="241" t="n">
        <v>10.7</v>
      </c>
      <c r="G2818" s="242" t="n">
        <v>17257312</v>
      </c>
      <c r="H2818" s="241" t="n">
        <v>-0.09</v>
      </c>
      <c r="I2818" s="241" t="n">
        <v>11.69</v>
      </c>
      <c r="J2818" s="241" t="n">
        <v>-0.83</v>
      </c>
      <c r="K2818" s="241" t="n">
        <v>7.27</v>
      </c>
      <c r="L2818" s="242" t="n">
        <v>1638000</v>
      </c>
      <c r="M2818" s="241" t="n">
        <v>-0.47</v>
      </c>
      <c r="N2818" s="241" t="n">
        <v>20.54</v>
      </c>
      <c r="O2818" s="241" t="n">
        <v>23.36</v>
      </c>
      <c r="P2818" s="241" t="n">
        <v>1.47</v>
      </c>
    </row>
    <row r="2819">
      <c r="A2819" s="282" t="inlineStr">
        <is>
          <t>2017-08-04</t>
        </is>
      </c>
      <c r="B2819" s="240">
        <f>IFERROR(1/P2819-1,B2818)</f>
        <v/>
      </c>
      <c r="C2819" s="240">
        <f>$C$3</f>
        <v/>
      </c>
      <c r="D2819" s="240">
        <f>$D$3</f>
        <v/>
      </c>
      <c r="E2819" s="240">
        <f>$E$3</f>
        <v/>
      </c>
      <c r="F2819" s="241" t="n">
        <v>10.48</v>
      </c>
      <c r="G2819" s="242" t="n">
        <v>20439371</v>
      </c>
      <c r="H2819" s="241" t="n">
        <v>-2.06</v>
      </c>
      <c r="I2819" s="241" t="n">
        <v>7.71</v>
      </c>
      <c r="J2819" s="241" t="n">
        <v>-2.87</v>
      </c>
      <c r="K2819" s="241" t="n">
        <v>7.32</v>
      </c>
      <c r="L2819" s="242" t="n">
        <v>1244133</v>
      </c>
      <c r="M2819" s="241" t="n">
        <v>0.83</v>
      </c>
      <c r="N2819" s="241" t="n">
        <v>18.99</v>
      </c>
      <c r="O2819" s="241" t="n">
        <v>24.38</v>
      </c>
      <c r="P2819" s="241" t="n">
        <v>1.43</v>
      </c>
    </row>
    <row r="2820">
      <c r="A2820" s="282" t="inlineStr">
        <is>
          <t>2017-08-07</t>
        </is>
      </c>
      <c r="B2820" s="240">
        <f>IFERROR(1/P2820-1,B2819)</f>
        <v/>
      </c>
      <c r="C2820" s="240">
        <f>$C$3</f>
        <v/>
      </c>
      <c r="D2820" s="240">
        <f>$D$3</f>
        <v/>
      </c>
      <c r="E2820" s="240">
        <f>$E$3</f>
        <v/>
      </c>
      <c r="F2820" s="241" t="n">
        <v>10.61</v>
      </c>
      <c r="G2820" s="242" t="n">
        <v>15641225</v>
      </c>
      <c r="H2820" s="241" t="n">
        <v>1.24</v>
      </c>
      <c r="I2820" s="241" t="n">
        <v>8.93</v>
      </c>
      <c r="J2820" s="241" t="n">
        <v>-1.67</v>
      </c>
      <c r="K2820" s="241" t="n">
        <v>7.43</v>
      </c>
      <c r="L2820" s="242" t="n">
        <v>1552200</v>
      </c>
      <c r="M2820" s="241" t="n">
        <v>1.41</v>
      </c>
      <c r="N2820" s="241" t="n">
        <v>22.21</v>
      </c>
      <c r="O2820" s="241" t="n">
        <v>26.13</v>
      </c>
      <c r="P2820" s="241" t="n">
        <v>1.43</v>
      </c>
    </row>
    <row r="2821">
      <c r="A2821" s="282" t="inlineStr">
        <is>
          <t>2017-08-08</t>
        </is>
      </c>
      <c r="B2821" s="240">
        <f>IFERROR(1/P2821-1,B2820)</f>
        <v/>
      </c>
      <c r="C2821" s="240">
        <f>$C$3</f>
        <v/>
      </c>
      <c r="D2821" s="240">
        <f>$D$3</f>
        <v/>
      </c>
      <c r="E2821" s="240">
        <f>$E$3</f>
        <v/>
      </c>
      <c r="F2821" s="241" t="n">
        <v>10.44</v>
      </c>
      <c r="G2821" s="242" t="n">
        <v>12409486</v>
      </c>
      <c r="H2821" s="241" t="n">
        <v>-1.6</v>
      </c>
      <c r="I2821" s="241" t="n">
        <v>7.3</v>
      </c>
      <c r="J2821" s="241" t="n">
        <v>-3.24</v>
      </c>
      <c r="K2821" s="241" t="n">
        <v>7.28</v>
      </c>
      <c r="L2821" s="242" t="n">
        <v>1174400</v>
      </c>
      <c r="M2821" s="241" t="n">
        <v>-1.85</v>
      </c>
      <c r="N2821" s="241" t="n">
        <v>20.63</v>
      </c>
      <c r="O2821" s="241" t="n">
        <v>23.8</v>
      </c>
      <c r="P2821" s="241" t="n">
        <v>1.43</v>
      </c>
    </row>
    <row r="2822">
      <c r="A2822" s="282" t="inlineStr">
        <is>
          <t>2017-08-09</t>
        </is>
      </c>
      <c r="B2822" s="240">
        <f>IFERROR(1/P2822-1,B2821)</f>
        <v/>
      </c>
      <c r="C2822" s="240">
        <f>$C$3</f>
        <v/>
      </c>
      <c r="D2822" s="240">
        <f>$D$3</f>
        <v/>
      </c>
      <c r="E2822" s="240">
        <f>$E$3</f>
        <v/>
      </c>
      <c r="F2822" s="241" t="n">
        <v>10.47</v>
      </c>
      <c r="G2822" s="242" t="n">
        <v>15942000</v>
      </c>
      <c r="H2822" s="241" t="n">
        <v>0.29</v>
      </c>
      <c r="I2822" s="241" t="n">
        <v>7.61</v>
      </c>
      <c r="J2822" s="241" t="n">
        <v>-2.97</v>
      </c>
      <c r="K2822" s="241" t="n">
        <v>7.29</v>
      </c>
      <c r="L2822" s="242" t="n">
        <v>1056000</v>
      </c>
      <c r="M2822" s="241" t="n">
        <v>0.35</v>
      </c>
      <c r="N2822" s="241" t="n">
        <v>21.05</v>
      </c>
      <c r="O2822" s="241" t="n">
        <v>24.23</v>
      </c>
      <c r="P2822" s="241" t="n">
        <v>1.44</v>
      </c>
    </row>
    <row r="2823">
      <c r="A2823" s="282" t="inlineStr">
        <is>
          <t>2017-08-10</t>
        </is>
      </c>
      <c r="B2823" s="240">
        <f>IFERROR(1/P2823-1,B2822)</f>
        <v/>
      </c>
      <c r="C2823" s="240">
        <f>$C$3</f>
        <v/>
      </c>
      <c r="D2823" s="240">
        <f>$D$3</f>
        <v/>
      </c>
      <c r="E2823" s="240">
        <f>$E$3</f>
        <v/>
      </c>
      <c r="F2823" s="241" t="n">
        <v>10.32</v>
      </c>
      <c r="G2823" s="242" t="n">
        <v>16639882</v>
      </c>
      <c r="H2823" s="241" t="n">
        <v>-1.43</v>
      </c>
      <c r="I2823" s="241" t="n">
        <v>6.06</v>
      </c>
      <c r="J2823" s="241" t="n">
        <v>-4.36</v>
      </c>
      <c r="K2823" s="241" t="n">
        <v>6.96</v>
      </c>
      <c r="L2823" s="242" t="n">
        <v>2689666</v>
      </c>
      <c r="M2823" s="241" t="n">
        <v>-4.23</v>
      </c>
      <c r="N2823" s="241" t="n">
        <v>15.93</v>
      </c>
      <c r="O2823" s="241" t="n">
        <v>18.98</v>
      </c>
      <c r="P2823" s="241" t="n">
        <v>1.48</v>
      </c>
    </row>
    <row r="2824">
      <c r="A2824" s="282" t="inlineStr">
        <is>
          <t>2017-08-11</t>
        </is>
      </c>
      <c r="B2824" s="240">
        <f>IFERROR(1/P2824-1,B2823)</f>
        <v/>
      </c>
      <c r="C2824" s="240">
        <f>$C$3</f>
        <v/>
      </c>
      <c r="D2824" s="240">
        <f>$D$3</f>
        <v/>
      </c>
      <c r="E2824" s="240">
        <f>$E$3</f>
        <v/>
      </c>
      <c r="F2824" s="241" t="n">
        <v>10.09</v>
      </c>
      <c r="G2824" s="242" t="n">
        <v>16410695</v>
      </c>
      <c r="H2824" s="241" t="n">
        <v>-2.23</v>
      </c>
      <c r="I2824" s="241" t="n">
        <v>2.13</v>
      </c>
      <c r="J2824" s="241" t="n">
        <v>-6.49</v>
      </c>
      <c r="K2824" s="241" t="n">
        <v>6.73</v>
      </c>
      <c r="L2824" s="242" t="n">
        <v>2454700</v>
      </c>
      <c r="M2824" s="241" t="n">
        <v>-3.07</v>
      </c>
      <c r="N2824" s="241" t="n">
        <v>10.49</v>
      </c>
      <c r="O2824" s="241" t="n">
        <v>15.33</v>
      </c>
      <c r="P2824" s="241" t="n">
        <v>1.5</v>
      </c>
    </row>
    <row r="2825">
      <c r="A2825" s="282" t="inlineStr">
        <is>
          <t>2017-08-14</t>
        </is>
      </c>
      <c r="B2825" s="240">
        <f>IFERROR(1/P2825-1,B2824)</f>
        <v/>
      </c>
      <c r="C2825" s="240">
        <f>$C$3</f>
        <v/>
      </c>
      <c r="D2825" s="240">
        <f>$D$3</f>
        <v/>
      </c>
      <c r="E2825" s="240">
        <f>$E$3</f>
        <v/>
      </c>
      <c r="F2825" s="241" t="n">
        <v>10.27</v>
      </c>
      <c r="G2825" s="242" t="n">
        <v>11049270</v>
      </c>
      <c r="H2825" s="241" t="n">
        <v>1.78</v>
      </c>
      <c r="I2825" s="241" t="n">
        <v>4.8</v>
      </c>
      <c r="J2825" s="241" t="n">
        <v>-4.82</v>
      </c>
      <c r="K2825" s="241" t="n">
        <v>7</v>
      </c>
      <c r="L2825" s="242" t="n">
        <v>1934600</v>
      </c>
      <c r="M2825" s="241" t="n">
        <v>4.05</v>
      </c>
      <c r="N2825" s="241" t="n">
        <v>15.77</v>
      </c>
      <c r="O2825" s="241" t="n">
        <v>20</v>
      </c>
      <c r="P2825" s="241" t="n">
        <v>1.47</v>
      </c>
    </row>
    <row r="2826">
      <c r="A2826" s="282" t="inlineStr">
        <is>
          <t>2017-08-15</t>
        </is>
      </c>
      <c r="B2826" s="240">
        <f>IFERROR(1/P2826-1,B2825)</f>
        <v/>
      </c>
      <c r="C2826" s="240">
        <f>$C$3</f>
        <v/>
      </c>
      <c r="D2826" s="240">
        <f>$D$3</f>
        <v/>
      </c>
      <c r="E2826" s="240">
        <f>$E$3</f>
        <v/>
      </c>
      <c r="F2826" s="241" t="n">
        <v>10.25</v>
      </c>
      <c r="G2826" s="242" t="n">
        <v>6595956</v>
      </c>
      <c r="H2826" s="241" t="n">
        <v>-0.19</v>
      </c>
      <c r="I2826" s="241" t="n">
        <v>4.17</v>
      </c>
      <c r="J2826" s="241" t="n">
        <v>-5</v>
      </c>
      <c r="K2826" s="241" t="n">
        <v>6.82</v>
      </c>
      <c r="L2826" s="242" t="n">
        <v>1676050</v>
      </c>
      <c r="M2826" s="241" t="n">
        <v>-2.68</v>
      </c>
      <c r="N2826" s="241" t="n">
        <v>4.99</v>
      </c>
      <c r="O2826" s="241" t="n">
        <v>16.79</v>
      </c>
      <c r="P2826" s="241" t="n">
        <v>1.5</v>
      </c>
    </row>
    <row r="2827">
      <c r="A2827" s="282" t="inlineStr">
        <is>
          <t>2017-08-16</t>
        </is>
      </c>
      <c r="B2827" s="240">
        <f>IFERROR(1/P2827-1,B2826)</f>
        <v/>
      </c>
      <c r="C2827" s="240">
        <f>$C$3</f>
        <v/>
      </c>
      <c r="D2827" s="240">
        <f>$D$3</f>
        <v/>
      </c>
      <c r="E2827" s="240">
        <f>$E$3</f>
        <v/>
      </c>
      <c r="F2827" s="241" t="n">
        <v>10.29</v>
      </c>
      <c r="G2827" s="242" t="n">
        <v>8202988</v>
      </c>
      <c r="H2827" s="241" t="n">
        <v>0.39</v>
      </c>
      <c r="I2827" s="241" t="n">
        <v>4.57</v>
      </c>
      <c r="J2827" s="241" t="n">
        <v>-4.63</v>
      </c>
      <c r="K2827" s="241" t="n">
        <v>7.1</v>
      </c>
      <c r="L2827" s="242" t="n">
        <v>3314400</v>
      </c>
      <c r="M2827" s="241" t="n">
        <v>4</v>
      </c>
      <c r="N2827" s="241" t="n">
        <v>9.19</v>
      </c>
      <c r="O2827" s="241" t="n">
        <v>21.46</v>
      </c>
      <c r="P2827" s="241" t="n">
        <v>1.45</v>
      </c>
    </row>
    <row r="2828">
      <c r="A2828" s="282" t="inlineStr">
        <is>
          <t>2017-08-17</t>
        </is>
      </c>
      <c r="B2828" s="240">
        <f>IFERROR(1/P2828-1,B2827)</f>
        <v/>
      </c>
      <c r="C2828" s="240">
        <f>$C$3</f>
        <v/>
      </c>
      <c r="D2828" s="240">
        <f>$D$3</f>
        <v/>
      </c>
      <c r="E2828" s="240">
        <f>$E$3</f>
        <v/>
      </c>
      <c r="F2828" s="241" t="n">
        <v>10.55</v>
      </c>
      <c r="G2828" s="242" t="n">
        <v>15651481</v>
      </c>
      <c r="H2828" s="241" t="n">
        <v>2.53</v>
      </c>
      <c r="I2828" s="241" t="n">
        <v>7.22</v>
      </c>
      <c r="J2828" s="241" t="n">
        <v>-2.22</v>
      </c>
      <c r="K2828" s="241" t="n">
        <v>7.04</v>
      </c>
      <c r="L2828" s="242" t="n">
        <v>2468600</v>
      </c>
      <c r="M2828" s="241" t="n">
        <v>-0.84</v>
      </c>
      <c r="N2828" s="241" t="n">
        <v>8.27</v>
      </c>
      <c r="O2828" s="241" t="n">
        <v>20.44</v>
      </c>
      <c r="P2828" s="241" t="n">
        <v>1.5</v>
      </c>
    </row>
    <row r="2829">
      <c r="A2829" s="282" t="inlineStr">
        <is>
          <t>2017-08-18</t>
        </is>
      </c>
      <c r="B2829" s="240">
        <f>IFERROR(1/P2829-1,B2828)</f>
        <v/>
      </c>
      <c r="C2829" s="240">
        <f>$C$3</f>
        <v/>
      </c>
      <c r="D2829" s="240">
        <f>$D$3</f>
        <v/>
      </c>
      <c r="E2829" s="240">
        <f>$E$3</f>
        <v/>
      </c>
      <c r="F2829" s="241" t="n">
        <v>10.5</v>
      </c>
      <c r="G2829" s="242" t="n">
        <v>12304450</v>
      </c>
      <c r="H2829" s="241" t="n">
        <v>-0.47</v>
      </c>
      <c r="I2829" s="241" t="n">
        <v>10.53</v>
      </c>
      <c r="J2829" s="241" t="n">
        <v>-2.69</v>
      </c>
      <c r="K2829" s="241" t="n">
        <v>7.02</v>
      </c>
      <c r="L2829" s="242" t="n">
        <v>872200</v>
      </c>
      <c r="M2829" s="241" t="n">
        <v>-0.24</v>
      </c>
      <c r="N2829" s="241" t="n">
        <v>7.16</v>
      </c>
      <c r="O2829" s="241" t="n">
        <v>20.15</v>
      </c>
      <c r="P2829" s="241" t="n">
        <v>1.5</v>
      </c>
    </row>
    <row r="2830">
      <c r="A2830" s="282" t="inlineStr">
        <is>
          <t>2017-08-21</t>
        </is>
      </c>
      <c r="B2830" s="240">
        <f>IFERROR(1/P2830-1,B2829)</f>
        <v/>
      </c>
      <c r="C2830" s="240">
        <f>$C$3</f>
        <v/>
      </c>
      <c r="D2830" s="240">
        <f>$D$3</f>
        <v/>
      </c>
      <c r="E2830" s="240">
        <f>$E$3</f>
        <v/>
      </c>
      <c r="F2830" s="241" t="n">
        <v>10.77</v>
      </c>
      <c r="G2830" s="242" t="n">
        <v>25262704</v>
      </c>
      <c r="H2830" s="241" t="n">
        <v>2.57</v>
      </c>
      <c r="I2830" s="241" t="n">
        <v>9.449999999999999</v>
      </c>
      <c r="J2830" s="241" t="n">
        <v>-0.19</v>
      </c>
      <c r="K2830" s="241" t="n">
        <v>7.28</v>
      </c>
      <c r="L2830" s="242" t="n">
        <v>3922200</v>
      </c>
      <c r="M2830" s="241" t="n">
        <v>3.77</v>
      </c>
      <c r="N2830" s="241" t="n">
        <v>13.41</v>
      </c>
      <c r="O2830" s="241" t="n">
        <v>24.67</v>
      </c>
      <c r="P2830" s="241" t="n">
        <v>1.48</v>
      </c>
    </row>
    <row r="2831">
      <c r="A2831" s="282" t="inlineStr">
        <is>
          <t>2017-08-22</t>
        </is>
      </c>
      <c r="B2831" s="240">
        <f>IFERROR(1/P2831-1,B2830)</f>
        <v/>
      </c>
      <c r="C2831" s="240">
        <f>$C$3</f>
        <v/>
      </c>
      <c r="D2831" s="240">
        <f>$D$3</f>
        <v/>
      </c>
      <c r="E2831" s="240">
        <f>$E$3</f>
        <v/>
      </c>
      <c r="F2831" s="241" t="n">
        <v>10.71</v>
      </c>
      <c r="G2831" s="242" t="n">
        <v>14238801</v>
      </c>
      <c r="H2831" s="241" t="n">
        <v>-0.5600000000000001</v>
      </c>
      <c r="I2831" s="241" t="n">
        <v>4.59</v>
      </c>
      <c r="J2831" s="241" t="n">
        <v>-0.74</v>
      </c>
      <c r="K2831" s="241" t="n">
        <v>7.23</v>
      </c>
      <c r="L2831" s="242" t="n">
        <v>1119600</v>
      </c>
      <c r="M2831" s="241" t="n">
        <v>-0.47</v>
      </c>
      <c r="N2831" s="241" t="n">
        <v>10.39</v>
      </c>
      <c r="O2831" s="241" t="n">
        <v>24.09</v>
      </c>
      <c r="P2831" s="241" t="n">
        <v>1.48</v>
      </c>
    </row>
    <row r="2832">
      <c r="A2832" s="282" t="inlineStr">
        <is>
          <t>2017-08-23</t>
        </is>
      </c>
      <c r="B2832" s="240">
        <f>IFERROR(1/P2832-1,B2831)</f>
        <v/>
      </c>
      <c r="C2832" s="240">
        <f>$C$3</f>
        <v/>
      </c>
      <c r="D2832" s="240">
        <f>$D$3</f>
        <v/>
      </c>
      <c r="E2832" s="240">
        <f>$E$3</f>
        <v/>
      </c>
      <c r="F2832" s="241" t="n">
        <v>10.57</v>
      </c>
      <c r="G2832" s="242" t="n">
        <v>13847496</v>
      </c>
      <c r="H2832" s="241" t="n">
        <v>-1.31</v>
      </c>
      <c r="I2832" s="241" t="n">
        <v>3.22</v>
      </c>
      <c r="J2832" s="241" t="n">
        <v>-2.04</v>
      </c>
      <c r="K2832" s="239" t="inlineStr">
        <is>
          <t>--</t>
        </is>
      </c>
      <c r="L2832" s="239" t="inlineStr">
        <is>
          <t>--</t>
        </is>
      </c>
      <c r="M2832" s="239" t="inlineStr">
        <is>
          <t>--</t>
        </is>
      </c>
      <c r="N2832" s="239" t="inlineStr">
        <is>
          <t>--</t>
        </is>
      </c>
      <c r="O2832" s="239" t="inlineStr">
        <is>
          <t>--</t>
        </is>
      </c>
      <c r="P2832" s="239" t="inlineStr">
        <is>
          <t>--</t>
        </is>
      </c>
    </row>
    <row r="2833">
      <c r="A2833" s="282" t="inlineStr">
        <is>
          <t>2017-08-24</t>
        </is>
      </c>
      <c r="B2833" s="240">
        <f>IFERROR(1/P2833-1,B2832)</f>
        <v/>
      </c>
      <c r="C2833" s="240">
        <f>$C$3</f>
        <v/>
      </c>
      <c r="D2833" s="240">
        <f>$D$3</f>
        <v/>
      </c>
      <c r="E2833" s="240">
        <f>$E$3</f>
        <v/>
      </c>
      <c r="F2833" s="241" t="n">
        <v>10.33</v>
      </c>
      <c r="G2833" s="242" t="n">
        <v>17835350</v>
      </c>
      <c r="H2833" s="241" t="n">
        <v>-2.27</v>
      </c>
      <c r="I2833" s="241" t="n">
        <v>0.88</v>
      </c>
      <c r="J2833" s="241" t="n">
        <v>-4.26</v>
      </c>
      <c r="K2833" s="241" t="n">
        <v>7.12</v>
      </c>
      <c r="L2833" s="242" t="n">
        <v>1951546</v>
      </c>
      <c r="M2833" s="241" t="n">
        <v>-1.41</v>
      </c>
      <c r="N2833" s="241" t="n">
        <v>8.83</v>
      </c>
      <c r="O2833" s="241" t="n">
        <v>22.34</v>
      </c>
      <c r="P2833" s="241" t="n">
        <v>1.45</v>
      </c>
    </row>
    <row r="2834">
      <c r="A2834" s="282" t="inlineStr">
        <is>
          <t>2017-08-25</t>
        </is>
      </c>
      <c r="B2834" s="240">
        <f>IFERROR(1/P2834-1,B2833)</f>
        <v/>
      </c>
      <c r="C2834" s="240">
        <f>$C$3</f>
        <v/>
      </c>
      <c r="D2834" s="240">
        <f>$D$3</f>
        <v/>
      </c>
      <c r="E2834" s="240">
        <f>$E$3</f>
        <v/>
      </c>
      <c r="F2834" s="241" t="n">
        <v>10.38</v>
      </c>
      <c r="G2834" s="242" t="n">
        <v>12628834</v>
      </c>
      <c r="H2834" s="241" t="n">
        <v>0.48</v>
      </c>
      <c r="I2834" s="241" t="n">
        <v>0.97</v>
      </c>
      <c r="J2834" s="241" t="n">
        <v>-3.8</v>
      </c>
      <c r="K2834" s="241" t="n">
        <v>7.01</v>
      </c>
      <c r="L2834" s="242" t="n">
        <v>884800</v>
      </c>
      <c r="M2834" s="241" t="n">
        <v>-1.67</v>
      </c>
      <c r="N2834" s="241" t="n">
        <v>8.42</v>
      </c>
      <c r="O2834" s="241" t="n">
        <v>20.29</v>
      </c>
      <c r="P2834" s="241" t="n">
        <v>1.48</v>
      </c>
    </row>
    <row r="2835">
      <c r="A2835" s="282" t="inlineStr">
        <is>
          <t>2017-08-28</t>
        </is>
      </c>
      <c r="B2835" s="240">
        <f>IFERROR(1/P2835-1,B2834)</f>
        <v/>
      </c>
      <c r="C2835" s="240">
        <f>$C$3</f>
        <v/>
      </c>
      <c r="D2835" s="240">
        <f>$D$3</f>
        <v/>
      </c>
      <c r="E2835" s="240">
        <f>$E$3</f>
        <v/>
      </c>
      <c r="F2835" s="241" t="n">
        <v>10.41</v>
      </c>
      <c r="G2835" s="242" t="n">
        <v>13943354</v>
      </c>
      <c r="H2835" s="241" t="n">
        <v>0.29</v>
      </c>
      <c r="I2835" s="241" t="n">
        <v>0.39</v>
      </c>
      <c r="J2835" s="241" t="n">
        <v>-3.52</v>
      </c>
      <c r="K2835" s="241" t="n">
        <v>6.81</v>
      </c>
      <c r="L2835" s="242" t="n">
        <v>1689010</v>
      </c>
      <c r="M2835" s="241" t="n">
        <v>-2.55</v>
      </c>
      <c r="N2835" s="241" t="n">
        <v>-4.29</v>
      </c>
      <c r="O2835" s="241" t="n">
        <v>17.23</v>
      </c>
      <c r="P2835" s="241" t="n">
        <v>1.53</v>
      </c>
    </row>
    <row r="2836">
      <c r="A2836" s="282" t="inlineStr">
        <is>
          <t>2017-08-29</t>
        </is>
      </c>
      <c r="B2836" s="240">
        <f>IFERROR(1/P2836-1,B2835)</f>
        <v/>
      </c>
      <c r="C2836" s="240">
        <f>$C$3</f>
        <v/>
      </c>
      <c r="D2836" s="240">
        <f>$D$3</f>
        <v/>
      </c>
      <c r="E2836" s="240">
        <f>$E$3</f>
        <v/>
      </c>
      <c r="F2836" s="241" t="n">
        <v>10.56</v>
      </c>
      <c r="G2836" s="242" t="n">
        <v>15501072</v>
      </c>
      <c r="H2836" s="241" t="n">
        <v>1.44</v>
      </c>
      <c r="I2836" s="241" t="n">
        <v>2.82</v>
      </c>
      <c r="J2836" s="241" t="n">
        <v>-2.13</v>
      </c>
      <c r="K2836" s="241" t="n">
        <v>6.83</v>
      </c>
      <c r="L2836" s="242" t="n">
        <v>1119800</v>
      </c>
      <c r="M2836" s="241" t="n">
        <v>0.37</v>
      </c>
      <c r="N2836" s="241" t="n">
        <v>-2.66</v>
      </c>
      <c r="O2836" s="241" t="n">
        <v>17.66</v>
      </c>
      <c r="P2836" s="241" t="n">
        <v>1.55</v>
      </c>
    </row>
    <row r="2837">
      <c r="A2837" s="282" t="inlineStr">
        <is>
          <t>2017-08-30</t>
        </is>
      </c>
      <c r="B2837" s="240">
        <f>IFERROR(1/P2837-1,B2836)</f>
        <v/>
      </c>
      <c r="C2837" s="240">
        <f>$C$3</f>
        <v/>
      </c>
      <c r="D2837" s="240">
        <f>$D$3</f>
        <v/>
      </c>
      <c r="E2837" s="240">
        <f>$E$3</f>
        <v/>
      </c>
      <c r="F2837" s="241" t="n">
        <v>10.54</v>
      </c>
      <c r="G2837" s="242" t="n">
        <v>14121410</v>
      </c>
      <c r="H2837" s="241" t="n">
        <v>-0.19</v>
      </c>
      <c r="I2837" s="241" t="n">
        <v>2.63</v>
      </c>
      <c r="J2837" s="241" t="n">
        <v>-2.32</v>
      </c>
      <c r="K2837" s="241" t="n">
        <v>6.88</v>
      </c>
      <c r="L2837" s="242" t="n">
        <v>974800</v>
      </c>
      <c r="M2837" s="241" t="n">
        <v>1.12</v>
      </c>
      <c r="N2837" s="241" t="n">
        <v>-1.57</v>
      </c>
      <c r="O2837" s="241" t="n">
        <v>18.98</v>
      </c>
      <c r="P2837" s="241" t="n">
        <v>1.53</v>
      </c>
    </row>
    <row r="2838">
      <c r="A2838" s="282" t="inlineStr">
        <is>
          <t>2017-08-31</t>
        </is>
      </c>
      <c r="B2838" s="240">
        <f>IFERROR(1/P2838-1,B2837)</f>
        <v/>
      </c>
      <c r="C2838" s="240">
        <f>$C$3</f>
        <v/>
      </c>
      <c r="D2838" s="240">
        <f>$D$3</f>
        <v/>
      </c>
      <c r="E2838" s="240">
        <f>$E$3</f>
        <v/>
      </c>
      <c r="F2838" s="241" t="n">
        <v>10.7</v>
      </c>
      <c r="G2838" s="242" t="n">
        <v>23521318</v>
      </c>
      <c r="H2838" s="241" t="n">
        <v>1.52</v>
      </c>
      <c r="I2838" s="241" t="n">
        <v>4.19</v>
      </c>
      <c r="J2838" s="241" t="n">
        <v>-0.83</v>
      </c>
      <c r="K2838" s="241" t="n">
        <v>7.09</v>
      </c>
      <c r="L2838" s="242" t="n">
        <v>1579800</v>
      </c>
      <c r="M2838" s="241" t="n">
        <v>3.07</v>
      </c>
      <c r="N2838" s="241" t="n">
        <v>1.45</v>
      </c>
      <c r="O2838" s="241" t="n">
        <v>22.63</v>
      </c>
      <c r="P2838" s="241" t="n">
        <v>1.51</v>
      </c>
    </row>
    <row r="2839">
      <c r="A2839" s="282" t="inlineStr">
        <is>
          <t>2017-09-01</t>
        </is>
      </c>
      <c r="B2839" s="240">
        <f>IFERROR(1/P2839-1,B2838)</f>
        <v/>
      </c>
      <c r="C2839" s="240">
        <f>$C$3</f>
        <v/>
      </c>
      <c r="D2839" s="240">
        <f>$D$3</f>
        <v/>
      </c>
      <c r="E2839" s="240">
        <f>$E$3</f>
        <v/>
      </c>
      <c r="F2839" s="241" t="n">
        <v>10.95</v>
      </c>
      <c r="G2839" s="242" t="n">
        <v>29781620</v>
      </c>
      <c r="H2839" s="241" t="n">
        <v>2.34</v>
      </c>
      <c r="I2839" s="241" t="n">
        <v>3.6</v>
      </c>
      <c r="J2839" s="241" t="n">
        <v>1.48</v>
      </c>
      <c r="K2839" s="241" t="n">
        <v>7.05</v>
      </c>
      <c r="L2839" s="242" t="n">
        <v>1644600</v>
      </c>
      <c r="M2839" s="241" t="n">
        <v>-0.36</v>
      </c>
      <c r="N2839" s="241" t="n">
        <v>0.84</v>
      </c>
      <c r="O2839" s="241" t="n">
        <v>22.19</v>
      </c>
      <c r="P2839" s="241" t="n">
        <v>1.55</v>
      </c>
    </row>
    <row r="2840">
      <c r="A2840" s="282" t="inlineStr">
        <is>
          <t>2017-09-04</t>
        </is>
      </c>
      <c r="B2840" s="240">
        <f>IFERROR(1/P2840-1,B2839)</f>
        <v/>
      </c>
      <c r="C2840" s="240">
        <f>$C$3</f>
        <v/>
      </c>
      <c r="D2840" s="240">
        <f>$D$3</f>
        <v/>
      </c>
      <c r="E2840" s="240">
        <f>$E$3</f>
        <v/>
      </c>
      <c r="F2840" s="241" t="n">
        <v>10.81</v>
      </c>
      <c r="G2840" s="242" t="n">
        <v>24637122</v>
      </c>
      <c r="H2840" s="241" t="n">
        <v>-1.28</v>
      </c>
      <c r="I2840" s="241" t="n">
        <v>1.03</v>
      </c>
      <c r="J2840" s="241" t="n">
        <v>0.19</v>
      </c>
      <c r="K2840" s="241" t="n">
        <v>6.83</v>
      </c>
      <c r="L2840" s="242" t="n">
        <v>744000</v>
      </c>
      <c r="M2840" s="241" t="n">
        <v>-2.75</v>
      </c>
      <c r="N2840" s="241" t="n">
        <v>-3.67</v>
      </c>
      <c r="O2840" s="241" t="n">
        <v>18.83</v>
      </c>
      <c r="P2840" s="241" t="n">
        <v>1.58</v>
      </c>
    </row>
    <row r="2841">
      <c r="A2841" s="282" t="inlineStr">
        <is>
          <t>2017-09-05</t>
        </is>
      </c>
      <c r="B2841" s="240">
        <f>IFERROR(1/P2841-1,B2840)</f>
        <v/>
      </c>
      <c r="C2841" s="240">
        <f>$C$3</f>
        <v/>
      </c>
      <c r="D2841" s="240">
        <f>$D$3</f>
        <v/>
      </c>
      <c r="E2841" s="240">
        <f>$E$3</f>
        <v/>
      </c>
      <c r="F2841" s="241" t="n">
        <v>10.76</v>
      </c>
      <c r="G2841" s="242" t="n">
        <v>18697668</v>
      </c>
      <c r="H2841" s="241" t="n">
        <v>-0.46</v>
      </c>
      <c r="I2841" s="241" t="n">
        <v>2.67</v>
      </c>
      <c r="J2841" s="241" t="n">
        <v>-0.28</v>
      </c>
      <c r="K2841" s="241" t="n">
        <v>6.67</v>
      </c>
      <c r="L2841" s="242" t="n">
        <v>753400</v>
      </c>
      <c r="M2841" s="241" t="n">
        <v>-1.84</v>
      </c>
      <c r="N2841" s="241" t="n">
        <v>-6.22</v>
      </c>
      <c r="O2841" s="241" t="n">
        <v>16.64</v>
      </c>
      <c r="P2841" s="241" t="n">
        <v>1.61</v>
      </c>
    </row>
    <row r="2842">
      <c r="A2842" s="282" t="inlineStr">
        <is>
          <t>2017-09-06</t>
        </is>
      </c>
      <c r="B2842" s="240">
        <f>IFERROR(1/P2842-1,B2841)</f>
        <v/>
      </c>
      <c r="C2842" s="240">
        <f>$C$3</f>
        <v/>
      </c>
      <c r="D2842" s="240">
        <f>$D$3</f>
        <v/>
      </c>
      <c r="E2842" s="240">
        <f>$E$3</f>
        <v/>
      </c>
      <c r="F2842" s="241" t="n">
        <v>10.97</v>
      </c>
      <c r="G2842" s="242" t="n">
        <v>23730725</v>
      </c>
      <c r="H2842" s="241" t="n">
        <v>1.95</v>
      </c>
      <c r="I2842" s="241" t="n">
        <v>4.68</v>
      </c>
      <c r="J2842" s="241" t="n">
        <v>1.67</v>
      </c>
      <c r="K2842" s="241" t="n">
        <v>6.97</v>
      </c>
      <c r="L2842" s="242" t="n">
        <v>2038400</v>
      </c>
      <c r="M2842" s="241" t="n">
        <v>4.51</v>
      </c>
      <c r="N2842" s="241" t="n">
        <v>-2</v>
      </c>
      <c r="O2842" s="241" t="n">
        <v>21.9</v>
      </c>
      <c r="P2842" s="241" t="n">
        <v>1.57</v>
      </c>
    </row>
    <row r="2843">
      <c r="A2843" s="282" t="inlineStr">
        <is>
          <t>2017-09-07</t>
        </is>
      </c>
      <c r="B2843" s="240">
        <f>IFERROR(1/P2843-1,B2842)</f>
        <v/>
      </c>
      <c r="C2843" s="240">
        <f>$C$3</f>
        <v/>
      </c>
      <c r="D2843" s="240">
        <f>$D$3</f>
        <v/>
      </c>
      <c r="E2843" s="240">
        <f>$E$3</f>
        <v/>
      </c>
      <c r="F2843" s="241" t="n">
        <v>10.74</v>
      </c>
      <c r="G2843" s="242" t="n">
        <v>16838417</v>
      </c>
      <c r="H2843" s="241" t="n">
        <v>-2.1</v>
      </c>
      <c r="I2843" s="241" t="n">
        <v>2.48</v>
      </c>
      <c r="J2843" s="241" t="n">
        <v>-0.46</v>
      </c>
      <c r="K2843" s="241" t="n">
        <v>7.04</v>
      </c>
      <c r="L2843" s="242" t="n">
        <v>853000</v>
      </c>
      <c r="M2843" s="241" t="n">
        <v>1.08</v>
      </c>
      <c r="N2843" s="241" t="n">
        <v>-0.9399999999999999</v>
      </c>
      <c r="O2843" s="241" t="n">
        <v>23.21</v>
      </c>
      <c r="P2843" s="241" t="n">
        <v>1.53</v>
      </c>
    </row>
    <row r="2844">
      <c r="A2844" s="282" t="inlineStr">
        <is>
          <t>2017-09-08</t>
        </is>
      </c>
      <c r="B2844" s="240">
        <f>IFERROR(1/P2844-1,B2843)</f>
        <v/>
      </c>
      <c r="C2844" s="240">
        <f>$C$3</f>
        <v/>
      </c>
      <c r="D2844" s="240">
        <f>$D$3</f>
        <v/>
      </c>
      <c r="E2844" s="240">
        <f>$E$3</f>
        <v/>
      </c>
      <c r="F2844" s="241" t="n">
        <v>10.73</v>
      </c>
      <c r="G2844" s="242" t="n">
        <v>12418940</v>
      </c>
      <c r="H2844" s="241" t="n">
        <v>-0.09</v>
      </c>
      <c r="I2844" s="241" t="n">
        <v>1.13</v>
      </c>
      <c r="J2844" s="241" t="n">
        <v>-0.5600000000000001</v>
      </c>
      <c r="K2844" s="241" t="n">
        <v>6.94</v>
      </c>
      <c r="L2844" s="242" t="n">
        <v>625800</v>
      </c>
      <c r="M2844" s="241" t="n">
        <v>-1.3</v>
      </c>
      <c r="N2844" s="241" t="n">
        <v>-3.59</v>
      </c>
      <c r="O2844" s="241" t="n">
        <v>21.61</v>
      </c>
      <c r="P2844" s="241" t="n">
        <v>1.55</v>
      </c>
    </row>
    <row r="2845">
      <c r="A2845" s="282" t="inlineStr">
        <is>
          <t>2017-09-11</t>
        </is>
      </c>
      <c r="B2845" s="240">
        <f>IFERROR(1/P2845-1,B2844)</f>
        <v/>
      </c>
      <c r="C2845" s="240">
        <f>$C$3</f>
        <v/>
      </c>
      <c r="D2845" s="240">
        <f>$D$3</f>
        <v/>
      </c>
      <c r="E2845" s="240">
        <f>$E$3</f>
        <v/>
      </c>
      <c r="F2845" s="241" t="n">
        <v>10.74</v>
      </c>
      <c r="G2845" s="242" t="n">
        <v>13968218</v>
      </c>
      <c r="H2845" s="241" t="n">
        <v>0.09</v>
      </c>
      <c r="I2845" s="241" t="n">
        <v>4.07</v>
      </c>
      <c r="J2845" s="241" t="n">
        <v>-0.46</v>
      </c>
      <c r="K2845" s="241" t="n">
        <v>6.9</v>
      </c>
      <c r="L2845" s="242" t="n">
        <v>785600</v>
      </c>
      <c r="M2845" s="241" t="n">
        <v>-0.48</v>
      </c>
      <c r="N2845" s="241" t="n">
        <v>1.72</v>
      </c>
      <c r="O2845" s="241" t="n">
        <v>21.02</v>
      </c>
      <c r="P2845" s="241" t="n">
        <v>1.56</v>
      </c>
    </row>
    <row r="2846">
      <c r="A2846" s="282" t="inlineStr">
        <is>
          <t>2017-09-12</t>
        </is>
      </c>
      <c r="B2846" s="240">
        <f>IFERROR(1/P2846-1,B2845)</f>
        <v/>
      </c>
      <c r="C2846" s="240">
        <f>$C$3</f>
        <v/>
      </c>
      <c r="D2846" s="240">
        <f>$D$3</f>
        <v/>
      </c>
      <c r="E2846" s="240">
        <f>$E$3</f>
        <v/>
      </c>
      <c r="F2846" s="241" t="n">
        <v>11.07</v>
      </c>
      <c r="G2846" s="242" t="n">
        <v>38211978</v>
      </c>
      <c r="H2846" s="241" t="n">
        <v>3.07</v>
      </c>
      <c r="I2846" s="241" t="n">
        <v>9.710000000000001</v>
      </c>
      <c r="J2846" s="241" t="n">
        <v>2.6</v>
      </c>
      <c r="K2846" s="241" t="n">
        <v>7.08</v>
      </c>
      <c r="L2846" s="242" t="n">
        <v>1290400</v>
      </c>
      <c r="M2846" s="241" t="n">
        <v>2.29</v>
      </c>
      <c r="N2846" s="241" t="n">
        <v>7.34</v>
      </c>
      <c r="O2846" s="241" t="n">
        <v>23.8</v>
      </c>
      <c r="P2846" s="241" t="n">
        <v>1.56</v>
      </c>
    </row>
    <row r="2847">
      <c r="A2847" s="282" t="inlineStr">
        <is>
          <t>2017-09-13</t>
        </is>
      </c>
      <c r="B2847" s="240">
        <f>IFERROR(1/P2847-1,B2846)</f>
        <v/>
      </c>
      <c r="C2847" s="240">
        <f>$C$3</f>
        <v/>
      </c>
      <c r="D2847" s="240">
        <f>$D$3</f>
        <v/>
      </c>
      <c r="E2847" s="240">
        <f>$E$3</f>
        <v/>
      </c>
      <c r="F2847" s="241" t="n">
        <v>10.9</v>
      </c>
      <c r="G2847" s="242" t="n">
        <v>19080569</v>
      </c>
      <c r="H2847" s="241" t="n">
        <v>-1.54</v>
      </c>
      <c r="I2847" s="241" t="n">
        <v>8.029999999999999</v>
      </c>
      <c r="J2847" s="241" t="n">
        <v>1.02</v>
      </c>
      <c r="K2847" s="241" t="n">
        <v>7.05</v>
      </c>
      <c r="L2847" s="242" t="n">
        <v>471800</v>
      </c>
      <c r="M2847" s="241" t="n">
        <v>-0.59</v>
      </c>
      <c r="N2847" s="241" t="n">
        <v>6.71</v>
      </c>
      <c r="O2847" s="241" t="n">
        <v>23.07</v>
      </c>
      <c r="P2847" s="241" t="n">
        <v>1.54</v>
      </c>
    </row>
    <row r="2848">
      <c r="A2848" s="282" t="inlineStr">
        <is>
          <t>2017-09-14</t>
        </is>
      </c>
      <c r="B2848" s="240">
        <f>IFERROR(1/P2848-1,B2847)</f>
        <v/>
      </c>
      <c r="C2848" s="240">
        <f>$C$3</f>
        <v/>
      </c>
      <c r="D2848" s="240">
        <f>$D$3</f>
        <v/>
      </c>
      <c r="E2848" s="240">
        <f>$E$3</f>
        <v/>
      </c>
      <c r="F2848" s="241" t="n">
        <v>10.95</v>
      </c>
      <c r="G2848" s="242" t="n">
        <v>21291074</v>
      </c>
      <c r="H2848" s="241" t="n">
        <v>0.46</v>
      </c>
      <c r="I2848" s="241" t="n">
        <v>8.52</v>
      </c>
      <c r="J2848" s="241" t="n">
        <v>1.48</v>
      </c>
      <c r="K2848" s="241" t="n">
        <v>7.27</v>
      </c>
      <c r="L2848" s="242" t="n">
        <v>3549006</v>
      </c>
      <c r="M2848" s="241" t="n">
        <v>2.97</v>
      </c>
      <c r="N2848" s="241" t="n">
        <v>9.869999999999999</v>
      </c>
      <c r="O2848" s="241" t="n">
        <v>26.72</v>
      </c>
      <c r="P2848" s="241" t="n">
        <v>1.51</v>
      </c>
    </row>
    <row r="2849">
      <c r="A2849" s="282" t="inlineStr">
        <is>
          <t>2017-09-15</t>
        </is>
      </c>
      <c r="B2849" s="240">
        <f>IFERROR(1/P2849-1,B2848)</f>
        <v/>
      </c>
      <c r="C2849" s="240">
        <f>$C$3</f>
        <v/>
      </c>
      <c r="D2849" s="240">
        <f>$D$3</f>
        <v/>
      </c>
      <c r="E2849" s="240">
        <f>$E$3</f>
        <v/>
      </c>
      <c r="F2849" s="241" t="n">
        <v>10.84</v>
      </c>
      <c r="G2849" s="242" t="n">
        <v>15189057</v>
      </c>
      <c r="H2849" s="241" t="n">
        <v>-1</v>
      </c>
      <c r="I2849" s="241" t="n">
        <v>5.55</v>
      </c>
      <c r="J2849" s="241" t="n">
        <v>0.46</v>
      </c>
      <c r="K2849" s="241" t="n">
        <v>7.24</v>
      </c>
      <c r="L2849" s="242" t="n">
        <v>1921600</v>
      </c>
      <c r="M2849" s="241" t="n">
        <v>-0.35</v>
      </c>
      <c r="N2849" s="241" t="n">
        <v>5.23</v>
      </c>
      <c r="O2849" s="241" t="n">
        <v>26.28</v>
      </c>
      <c r="P2849" s="241" t="n">
        <v>1.5</v>
      </c>
    </row>
    <row r="2850">
      <c r="A2850" s="282" t="inlineStr">
        <is>
          <t>2017-09-18</t>
        </is>
      </c>
      <c r="B2850" s="240">
        <f>IFERROR(1/P2850-1,B2849)</f>
        <v/>
      </c>
      <c r="C2850" s="240">
        <f>$C$3</f>
        <v/>
      </c>
      <c r="D2850" s="240">
        <f>$D$3</f>
        <v/>
      </c>
      <c r="E2850" s="240">
        <f>$E$3</f>
        <v/>
      </c>
      <c r="F2850" s="241" t="n">
        <v>10.89</v>
      </c>
      <c r="G2850" s="242" t="n">
        <v>12343273</v>
      </c>
      <c r="H2850" s="241" t="n">
        <v>0.46</v>
      </c>
      <c r="I2850" s="241" t="n">
        <v>3.22</v>
      </c>
      <c r="J2850" s="241" t="n">
        <v>0.93</v>
      </c>
      <c r="K2850" s="241" t="n">
        <v>7.3</v>
      </c>
      <c r="L2850" s="242" t="n">
        <v>652800</v>
      </c>
      <c r="M2850" s="241" t="n">
        <v>0.8100000000000001</v>
      </c>
      <c r="N2850" s="241" t="n">
        <v>5.7</v>
      </c>
      <c r="O2850" s="241" t="n">
        <v>27.3</v>
      </c>
      <c r="P2850" s="241" t="n">
        <v>1.49</v>
      </c>
    </row>
    <row r="2851">
      <c r="A2851" s="282" t="inlineStr">
        <is>
          <t>2017-09-19</t>
        </is>
      </c>
      <c r="B2851" s="240">
        <f>IFERROR(1/P2851-1,B2850)</f>
        <v/>
      </c>
      <c r="C2851" s="240">
        <f>$C$3</f>
        <v/>
      </c>
      <c r="D2851" s="240">
        <f>$D$3</f>
        <v/>
      </c>
      <c r="E2851" s="240">
        <f>$E$3</f>
        <v/>
      </c>
      <c r="F2851" s="241" t="n">
        <v>10.79</v>
      </c>
      <c r="G2851" s="242" t="n">
        <v>15384023</v>
      </c>
      <c r="H2851" s="241" t="n">
        <v>-0.92</v>
      </c>
      <c r="I2851" s="241" t="n">
        <v>2.76</v>
      </c>
      <c r="J2851" s="241" t="n">
        <v>0</v>
      </c>
      <c r="K2851" s="241" t="n">
        <v>7.3</v>
      </c>
      <c r="L2851" s="242" t="n">
        <v>699397</v>
      </c>
      <c r="M2851" s="241" t="n">
        <v>-0.11</v>
      </c>
      <c r="N2851" s="241" t="n">
        <v>5.83</v>
      </c>
      <c r="O2851" s="241" t="n">
        <v>27.15</v>
      </c>
      <c r="P2851" s="241" t="n">
        <v>1.48</v>
      </c>
    </row>
    <row r="2852">
      <c r="A2852" s="282" t="inlineStr">
        <is>
          <t>2017-09-20</t>
        </is>
      </c>
      <c r="B2852" s="240">
        <f>IFERROR(1/P2852-1,B2851)</f>
        <v/>
      </c>
      <c r="C2852" s="240">
        <f>$C$3</f>
        <v/>
      </c>
      <c r="D2852" s="240">
        <f>$D$3</f>
        <v/>
      </c>
      <c r="E2852" s="240">
        <f>$E$3</f>
        <v/>
      </c>
      <c r="F2852" s="241" t="n">
        <v>10.75</v>
      </c>
      <c r="G2852" s="242" t="n">
        <v>15988415</v>
      </c>
      <c r="H2852" s="241" t="n">
        <v>-0.37</v>
      </c>
      <c r="I2852" s="241" t="n">
        <v>2.38</v>
      </c>
      <c r="J2852" s="241" t="n">
        <v>-0.37</v>
      </c>
      <c r="K2852" s="241" t="n">
        <v>7.2</v>
      </c>
      <c r="L2852" s="242" t="n">
        <v>986000</v>
      </c>
      <c r="M2852" s="241" t="n">
        <v>-1.72</v>
      </c>
      <c r="N2852" s="241" t="n">
        <v>4.01</v>
      </c>
      <c r="O2852" s="241" t="n">
        <v>24.96</v>
      </c>
      <c r="P2852" s="241" t="n">
        <v>1.49</v>
      </c>
    </row>
    <row r="2853">
      <c r="A2853" s="282" t="inlineStr">
        <is>
          <t>2017-09-21</t>
        </is>
      </c>
      <c r="B2853" s="240">
        <f>IFERROR(1/P2853-1,B2852)</f>
        <v/>
      </c>
      <c r="C2853" s="240">
        <f>$C$3</f>
        <v/>
      </c>
      <c r="D2853" s="240">
        <f>$D$3</f>
        <v/>
      </c>
      <c r="E2853" s="240">
        <f>$E$3</f>
        <v/>
      </c>
      <c r="F2853" s="241" t="n">
        <v>10.7</v>
      </c>
      <c r="G2853" s="242" t="n">
        <v>12481199</v>
      </c>
      <c r="H2853" s="241" t="n">
        <v>-0.47</v>
      </c>
      <c r="I2853" s="241" t="n">
        <v>1.9</v>
      </c>
      <c r="J2853" s="241" t="n">
        <v>-0.83</v>
      </c>
      <c r="K2853" s="241" t="n">
        <v>7.28</v>
      </c>
      <c r="L2853" s="242" t="n">
        <v>1411600</v>
      </c>
      <c r="M2853" s="241" t="n">
        <v>0.7</v>
      </c>
      <c r="N2853" s="241" t="n">
        <v>4.74</v>
      </c>
      <c r="O2853" s="241" t="n">
        <v>25.84</v>
      </c>
      <c r="P2853" s="241" t="n">
        <v>1.47</v>
      </c>
    </row>
    <row r="2854">
      <c r="A2854" s="282" t="inlineStr">
        <is>
          <t>2017-09-22</t>
        </is>
      </c>
      <c r="B2854" s="240">
        <f>IFERROR(1/P2854-1,B2853)</f>
        <v/>
      </c>
      <c r="C2854" s="240">
        <f>$C$3</f>
        <v/>
      </c>
      <c r="D2854" s="240">
        <f>$D$3</f>
        <v/>
      </c>
      <c r="E2854" s="240">
        <f>$E$3</f>
        <v/>
      </c>
      <c r="F2854" s="241" t="n">
        <v>10.49</v>
      </c>
      <c r="G2854" s="242" t="n">
        <v>17269847</v>
      </c>
      <c r="H2854" s="241" t="n">
        <v>-1.96</v>
      </c>
      <c r="I2854" s="241" t="n">
        <v>-2.6</v>
      </c>
      <c r="J2854" s="241" t="n">
        <v>-2.78</v>
      </c>
      <c r="K2854" s="241" t="n">
        <v>6.96</v>
      </c>
      <c r="L2854" s="242" t="n">
        <v>2061430</v>
      </c>
      <c r="M2854" s="241" t="n">
        <v>-4.29</v>
      </c>
      <c r="N2854" s="241" t="n">
        <v>-3.4</v>
      </c>
      <c r="O2854" s="241" t="n">
        <v>20.44</v>
      </c>
      <c r="P2854" s="241" t="n">
        <v>1.51</v>
      </c>
    </row>
    <row r="2855">
      <c r="A2855" s="282" t="inlineStr">
        <is>
          <t>2017-09-25</t>
        </is>
      </c>
      <c r="B2855" s="240">
        <f>IFERROR(1/P2855-1,B2854)</f>
        <v/>
      </c>
      <c r="C2855" s="240">
        <f>$C$3</f>
        <v/>
      </c>
      <c r="D2855" s="240">
        <f>$D$3</f>
        <v/>
      </c>
      <c r="E2855" s="240">
        <f>$E$3</f>
        <v/>
      </c>
      <c r="F2855" s="241" t="n">
        <v>10.28</v>
      </c>
      <c r="G2855" s="242" t="n">
        <v>13514230</v>
      </c>
      <c r="H2855" s="241" t="n">
        <v>-2</v>
      </c>
      <c r="I2855" s="241" t="n">
        <v>-0.48</v>
      </c>
      <c r="J2855" s="241" t="n">
        <v>-4.73</v>
      </c>
      <c r="K2855" s="241" t="n">
        <v>6.58</v>
      </c>
      <c r="L2855" s="242" t="n">
        <v>2090600</v>
      </c>
      <c r="M2855" s="241" t="n">
        <v>-5.58</v>
      </c>
      <c r="N2855" s="241" t="n">
        <v>-7.04</v>
      </c>
      <c r="O2855" s="241" t="n">
        <v>13.72</v>
      </c>
      <c r="P2855" s="241" t="n">
        <v>1.56</v>
      </c>
    </row>
    <row r="2856">
      <c r="A2856" s="282" t="inlineStr">
        <is>
          <t>2017-09-26</t>
        </is>
      </c>
      <c r="B2856" s="240">
        <f>IFERROR(1/P2856-1,B2855)</f>
        <v/>
      </c>
      <c r="C2856" s="240">
        <f>$C$3</f>
        <v/>
      </c>
      <c r="D2856" s="240">
        <f>$D$3</f>
        <v/>
      </c>
      <c r="E2856" s="240">
        <f>$E$3</f>
        <v/>
      </c>
      <c r="F2856" s="241" t="n">
        <v>10.4</v>
      </c>
      <c r="G2856" s="242" t="n">
        <v>8204284</v>
      </c>
      <c r="H2856" s="241" t="n">
        <v>1.17</v>
      </c>
      <c r="I2856" s="241" t="n">
        <v>0.19</v>
      </c>
      <c r="J2856" s="241" t="n">
        <v>-3.61</v>
      </c>
      <c r="K2856" s="241" t="n">
        <v>6.55</v>
      </c>
      <c r="L2856" s="242" t="n">
        <v>1511800</v>
      </c>
      <c r="M2856" s="241" t="n">
        <v>-0.51</v>
      </c>
      <c r="N2856" s="241" t="n">
        <v>-5.95</v>
      </c>
      <c r="O2856" s="241" t="n">
        <v>13.14</v>
      </c>
      <c r="P2856" s="241" t="n">
        <v>1.59</v>
      </c>
    </row>
    <row r="2857">
      <c r="A2857" s="282" t="inlineStr">
        <is>
          <t>2017-09-27</t>
        </is>
      </c>
      <c r="B2857" s="240">
        <f>IFERROR(1/P2857-1,B2856)</f>
        <v/>
      </c>
      <c r="C2857" s="240">
        <f>$C$3</f>
        <v/>
      </c>
      <c r="D2857" s="240">
        <f>$D$3</f>
        <v/>
      </c>
      <c r="E2857" s="240">
        <f>$E$3</f>
        <v/>
      </c>
      <c r="F2857" s="241" t="n">
        <v>10.42</v>
      </c>
      <c r="G2857" s="242" t="n">
        <v>7964265</v>
      </c>
      <c r="H2857" s="241" t="n">
        <v>0.19</v>
      </c>
      <c r="I2857" s="241" t="n">
        <v>0.39</v>
      </c>
      <c r="J2857" s="241" t="n">
        <v>-3.43</v>
      </c>
      <c r="K2857" s="241" t="n">
        <v>6.62</v>
      </c>
      <c r="L2857" s="242" t="n">
        <v>568600</v>
      </c>
      <c r="M2857" s="241" t="n">
        <v>0.77</v>
      </c>
      <c r="N2857" s="241" t="n">
        <v>-5.22</v>
      </c>
      <c r="O2857" s="241" t="n">
        <v>14.01</v>
      </c>
      <c r="P2857" s="241" t="n">
        <v>1.57</v>
      </c>
    </row>
    <row r="2858">
      <c r="A2858" s="282" t="inlineStr">
        <is>
          <t>2017-09-28</t>
        </is>
      </c>
      <c r="B2858" s="240">
        <f>IFERROR(1/P2858-1,B2857)</f>
        <v/>
      </c>
      <c r="C2858" s="240">
        <f>$C$3</f>
        <v/>
      </c>
      <c r="D2858" s="240">
        <f>$D$3</f>
        <v/>
      </c>
      <c r="E2858" s="240">
        <f>$E$3</f>
        <v/>
      </c>
      <c r="F2858" s="241" t="n">
        <v>10.42</v>
      </c>
      <c r="G2858" s="242" t="n">
        <v>7850776</v>
      </c>
      <c r="H2858" s="241" t="n">
        <v>0</v>
      </c>
      <c r="I2858" s="241" t="n">
        <v>0.39</v>
      </c>
      <c r="J2858" s="241" t="n">
        <v>-3.43</v>
      </c>
      <c r="K2858" s="241" t="n">
        <v>6.65</v>
      </c>
      <c r="L2858" s="242" t="n">
        <v>682600</v>
      </c>
      <c r="M2858" s="241" t="n">
        <v>0.26</v>
      </c>
      <c r="N2858" s="241" t="n">
        <v>-4.98</v>
      </c>
      <c r="O2858" s="241" t="n">
        <v>14.31</v>
      </c>
      <c r="P2858" s="241" t="n">
        <v>1.57</v>
      </c>
    </row>
    <row r="2859">
      <c r="A2859" s="282" t="inlineStr">
        <is>
          <t>2017-09-29</t>
        </is>
      </c>
      <c r="B2859" s="240">
        <f>IFERROR(1/P2859-1,B2858)</f>
        <v/>
      </c>
      <c r="C2859" s="240">
        <f>$C$3</f>
        <v/>
      </c>
      <c r="D2859" s="240">
        <f>$D$3</f>
        <v/>
      </c>
      <c r="E2859" s="240">
        <f>$E$3</f>
        <v/>
      </c>
      <c r="F2859" s="241" t="n">
        <v>10.43</v>
      </c>
      <c r="G2859" s="242" t="n">
        <v>7458961</v>
      </c>
      <c r="H2859" s="241" t="n">
        <v>0.1</v>
      </c>
      <c r="I2859" s="241" t="n">
        <v>0.19</v>
      </c>
      <c r="J2859" s="241" t="n">
        <v>-3.34</v>
      </c>
      <c r="K2859" s="241" t="n">
        <v>6.55</v>
      </c>
      <c r="L2859" s="242" t="n">
        <v>1073800</v>
      </c>
      <c r="M2859" s="241" t="n">
        <v>-1.53</v>
      </c>
      <c r="N2859" s="241" t="n">
        <v>-3.99</v>
      </c>
      <c r="O2859" s="241" t="n">
        <v>12.55</v>
      </c>
      <c r="P2859" s="241" t="n">
        <v>1.59</v>
      </c>
    </row>
    <row r="2860">
      <c r="A2860" s="282" t="inlineStr">
        <is>
          <t>2017-10-09</t>
        </is>
      </c>
      <c r="B2860" s="240">
        <f>IFERROR(1/P2860-1,B2859)</f>
        <v/>
      </c>
      <c r="C2860" s="240">
        <f>$C$3</f>
        <v/>
      </c>
      <c r="D2860" s="240">
        <f>$D$3</f>
        <v/>
      </c>
      <c r="E2860" s="240">
        <f>$E$3</f>
        <v/>
      </c>
      <c r="F2860" s="241" t="n">
        <v>10.51</v>
      </c>
      <c r="G2860" s="242" t="n">
        <v>11370243</v>
      </c>
      <c r="H2860" s="241" t="n">
        <v>0.77</v>
      </c>
      <c r="I2860" s="241" t="n">
        <v>-2.05</v>
      </c>
      <c r="J2860" s="241" t="n">
        <v>-2.6</v>
      </c>
      <c r="K2860" s="241" t="n">
        <v>6.64</v>
      </c>
      <c r="L2860" s="242" t="n">
        <v>463800</v>
      </c>
      <c r="M2860" s="241" t="n">
        <v>-1.52</v>
      </c>
      <c r="N2860" s="241" t="n">
        <v>-6.48</v>
      </c>
      <c r="O2860" s="241" t="n">
        <v>13.72</v>
      </c>
      <c r="P2860" s="241" t="n">
        <v>1.58</v>
      </c>
    </row>
    <row r="2861">
      <c r="A2861" s="282" t="inlineStr">
        <is>
          <t>2017-10-10</t>
        </is>
      </c>
      <c r="B2861" s="240">
        <f>IFERROR(1/P2861-1,B2860)</f>
        <v/>
      </c>
      <c r="C2861" s="240">
        <f>$C$3</f>
        <v/>
      </c>
      <c r="D2861" s="240">
        <f>$D$3</f>
        <v/>
      </c>
      <c r="E2861" s="240">
        <f>$E$3</f>
        <v/>
      </c>
      <c r="F2861" s="241" t="n">
        <v>10.56</v>
      </c>
      <c r="G2861" s="242" t="n">
        <v>7902164</v>
      </c>
      <c r="H2861" s="241" t="n">
        <v>0.48</v>
      </c>
      <c r="I2861" s="241" t="n">
        <v>-1.58</v>
      </c>
      <c r="J2861" s="241" t="n">
        <v>-2.13</v>
      </c>
      <c r="K2861" s="241" t="n">
        <v>6.67</v>
      </c>
      <c r="L2861" s="242" t="n">
        <v>488600</v>
      </c>
      <c r="M2861" s="241" t="n">
        <v>0.77</v>
      </c>
      <c r="N2861" s="241" t="n">
        <v>-5.76</v>
      </c>
      <c r="O2861" s="241" t="n">
        <v>14.6</v>
      </c>
      <c r="P2861" s="241" t="n">
        <v>1.58</v>
      </c>
    </row>
    <row r="2862">
      <c r="A2862" s="282" t="inlineStr">
        <is>
          <t>2017-10-11</t>
        </is>
      </c>
      <c r="B2862" s="240">
        <f>IFERROR(1/P2862-1,B2861)</f>
        <v/>
      </c>
      <c r="C2862" s="240">
        <f>$C$3</f>
        <v/>
      </c>
      <c r="D2862" s="240">
        <f>$D$3</f>
        <v/>
      </c>
      <c r="E2862" s="240">
        <f>$E$3</f>
        <v/>
      </c>
      <c r="F2862" s="241" t="n">
        <v>10.49</v>
      </c>
      <c r="G2862" s="242" t="n">
        <v>8171861</v>
      </c>
      <c r="H2862" s="241" t="n">
        <v>-0.66</v>
      </c>
      <c r="I2862" s="241" t="n">
        <v>-2.24</v>
      </c>
      <c r="J2862" s="241" t="n">
        <v>-2.78</v>
      </c>
      <c r="K2862" s="241" t="n">
        <v>6.58</v>
      </c>
      <c r="L2862" s="242" t="n">
        <v>991608</v>
      </c>
      <c r="M2862" s="241" t="n">
        <v>-0.64</v>
      </c>
      <c r="N2862" s="241" t="n">
        <v>-6.36</v>
      </c>
      <c r="O2862" s="241" t="n">
        <v>13.87</v>
      </c>
      <c r="P2862" s="241" t="n">
        <v>1.59</v>
      </c>
    </row>
    <row r="2863">
      <c r="A2863" s="282" t="inlineStr">
        <is>
          <t>2017-10-12</t>
        </is>
      </c>
      <c r="B2863" s="240">
        <f>IFERROR(1/P2863-1,B2862)</f>
        <v/>
      </c>
      <c r="C2863" s="240">
        <f>$C$3</f>
        <v/>
      </c>
      <c r="D2863" s="240">
        <f>$D$3</f>
        <v/>
      </c>
      <c r="E2863" s="240">
        <f>$E$3</f>
        <v/>
      </c>
      <c r="F2863" s="241" t="n">
        <v>10.35</v>
      </c>
      <c r="G2863" s="242" t="n">
        <v>10210617</v>
      </c>
      <c r="H2863" s="241" t="n">
        <v>-1.33</v>
      </c>
      <c r="I2863" s="241" t="n">
        <v>-3.63</v>
      </c>
      <c r="J2863" s="241" t="n">
        <v>-4.08</v>
      </c>
      <c r="K2863" s="241" t="n">
        <v>6.55</v>
      </c>
      <c r="L2863" s="242" t="n">
        <v>1150400</v>
      </c>
      <c r="M2863" s="241" t="n">
        <v>-0.38</v>
      </c>
      <c r="N2863" s="241" t="n">
        <v>-6.27</v>
      </c>
      <c r="O2863" s="241" t="n">
        <v>13.43</v>
      </c>
      <c r="P2863" s="241" t="n">
        <v>1.58</v>
      </c>
    </row>
    <row r="2864">
      <c r="A2864" s="282" t="inlineStr">
        <is>
          <t>2017-10-13</t>
        </is>
      </c>
      <c r="B2864" s="240">
        <f>IFERROR(1/P2864-1,B2863)</f>
        <v/>
      </c>
      <c r="C2864" s="240">
        <f>$C$3</f>
        <v/>
      </c>
      <c r="D2864" s="240">
        <f>$D$3</f>
        <v/>
      </c>
      <c r="E2864" s="240">
        <f>$E$3</f>
        <v/>
      </c>
      <c r="F2864" s="241" t="n">
        <v>10.45</v>
      </c>
      <c r="G2864" s="242" t="n">
        <v>5996440</v>
      </c>
      <c r="H2864" s="241" t="n">
        <v>0.97</v>
      </c>
      <c r="I2864" s="241" t="n">
        <v>-5.6</v>
      </c>
      <c r="J2864" s="241" t="n">
        <v>-3.15</v>
      </c>
      <c r="K2864" s="241" t="n">
        <v>6.65</v>
      </c>
      <c r="L2864" s="242" t="n">
        <v>867400</v>
      </c>
      <c r="M2864" s="241" t="n">
        <v>1.42</v>
      </c>
      <c r="N2864" s="241" t="n">
        <v>-7.08</v>
      </c>
      <c r="O2864" s="241" t="n">
        <v>15.04</v>
      </c>
      <c r="P2864" s="241" t="n">
        <v>1.57</v>
      </c>
    </row>
    <row r="2865">
      <c r="A2865" s="282" t="inlineStr">
        <is>
          <t>2017-10-16</t>
        </is>
      </c>
      <c r="B2865" s="240">
        <f>IFERROR(1/P2865-1,B2864)</f>
        <v/>
      </c>
      <c r="C2865" s="240">
        <f>$C$3</f>
        <v/>
      </c>
      <c r="D2865" s="240">
        <f>$D$3</f>
        <v/>
      </c>
      <c r="E2865" s="240">
        <f>$E$3</f>
        <v/>
      </c>
      <c r="F2865" s="241" t="n">
        <v>10.28</v>
      </c>
      <c r="G2865" s="242" t="n">
        <v>9647208</v>
      </c>
      <c r="H2865" s="241" t="n">
        <v>-1.63</v>
      </c>
      <c r="I2865" s="241" t="n">
        <v>-5.17</v>
      </c>
      <c r="J2865" s="241" t="n">
        <v>-4.73</v>
      </c>
      <c r="K2865" s="241" t="n">
        <v>6.59</v>
      </c>
      <c r="L2865" s="242" t="n">
        <v>627200</v>
      </c>
      <c r="M2865" s="241" t="n">
        <v>-0.89</v>
      </c>
      <c r="N2865" s="241" t="n">
        <v>-9.710000000000001</v>
      </c>
      <c r="O2865" s="241" t="n">
        <v>14.01</v>
      </c>
      <c r="P2865" s="241" t="n">
        <v>1.56</v>
      </c>
    </row>
    <row r="2866">
      <c r="A2866" s="282" t="inlineStr">
        <is>
          <t>2017-10-17</t>
        </is>
      </c>
      <c r="B2866" s="240">
        <f>IFERROR(1/P2866-1,B2865)</f>
        <v/>
      </c>
      <c r="C2866" s="240">
        <f>$C$3</f>
        <v/>
      </c>
      <c r="D2866" s="240">
        <f>$D$3</f>
        <v/>
      </c>
      <c r="E2866" s="240">
        <f>$E$3</f>
        <v/>
      </c>
      <c r="F2866" s="241" t="n">
        <v>10.36</v>
      </c>
      <c r="G2866" s="242" t="n">
        <v>7231900</v>
      </c>
      <c r="H2866" s="241" t="n">
        <v>0.78</v>
      </c>
      <c r="I2866" s="241" t="n">
        <v>-4.43</v>
      </c>
      <c r="J2866" s="241" t="n">
        <v>-3.99</v>
      </c>
      <c r="K2866" s="241" t="n">
        <v>6.8</v>
      </c>
      <c r="L2866" s="242" t="n">
        <v>1581200</v>
      </c>
      <c r="M2866" s="241" t="n">
        <v>3.2</v>
      </c>
      <c r="N2866" s="241" t="n">
        <v>-6.82</v>
      </c>
      <c r="O2866" s="241" t="n">
        <v>17.66</v>
      </c>
      <c r="P2866" s="241" t="n">
        <v>1.52</v>
      </c>
    </row>
    <row r="2867">
      <c r="A2867" s="282" t="inlineStr">
        <is>
          <t>2017-10-18</t>
        </is>
      </c>
      <c r="B2867" s="240">
        <f>IFERROR(1/P2867-1,B2866)</f>
        <v/>
      </c>
      <c r="C2867" s="240">
        <f>$C$3</f>
        <v/>
      </c>
      <c r="D2867" s="240">
        <f>$D$3</f>
        <v/>
      </c>
      <c r="E2867" s="240">
        <f>$E$3</f>
        <v/>
      </c>
      <c r="F2867" s="241" t="n">
        <v>10.21</v>
      </c>
      <c r="G2867" s="242" t="n">
        <v>9833968</v>
      </c>
      <c r="H2867" s="241" t="n">
        <v>-1.45</v>
      </c>
      <c r="I2867" s="241" t="n">
        <v>-5.81</v>
      </c>
      <c r="J2867" s="241" t="n">
        <v>-5.38</v>
      </c>
      <c r="K2867" s="241" t="n">
        <v>6.67</v>
      </c>
      <c r="L2867" s="242" t="n">
        <v>469450</v>
      </c>
      <c r="M2867" s="241" t="n">
        <v>-2.11</v>
      </c>
      <c r="N2867" s="241" t="n">
        <v>-8.789999999999999</v>
      </c>
      <c r="O2867" s="241" t="n">
        <v>15.18</v>
      </c>
      <c r="P2867" s="241" t="n">
        <v>1.53</v>
      </c>
    </row>
    <row r="2868">
      <c r="A2868" s="282" t="inlineStr">
        <is>
          <t>2017-10-19</t>
        </is>
      </c>
      <c r="B2868" s="240">
        <f>IFERROR(1/P2868-1,B2867)</f>
        <v/>
      </c>
      <c r="C2868" s="240">
        <f>$C$3</f>
        <v/>
      </c>
      <c r="D2868" s="240">
        <f>$D$3</f>
        <v/>
      </c>
      <c r="E2868" s="240">
        <f>$E$3</f>
        <v/>
      </c>
      <c r="F2868" s="241" t="n">
        <v>10.02</v>
      </c>
      <c r="G2868" s="242" t="n">
        <v>12004051</v>
      </c>
      <c r="H2868" s="241" t="n">
        <v>-1.86</v>
      </c>
      <c r="I2868" s="241" t="n">
        <v>-7.99</v>
      </c>
      <c r="J2868" s="241" t="n">
        <v>-7.14</v>
      </c>
      <c r="K2868" s="241" t="n">
        <v>6.49</v>
      </c>
      <c r="L2868" s="242" t="n">
        <v>989327</v>
      </c>
      <c r="M2868" s="241" t="n">
        <v>-2.79</v>
      </c>
      <c r="N2868" s="241" t="n">
        <v>-12.04</v>
      </c>
      <c r="O2868" s="241" t="n">
        <v>11.97</v>
      </c>
      <c r="P2868" s="241" t="n">
        <v>1.54</v>
      </c>
    </row>
    <row r="2869">
      <c r="A2869" s="282" t="inlineStr">
        <is>
          <t>2017-10-20</t>
        </is>
      </c>
      <c r="B2869" s="240">
        <f>IFERROR(1/P2869-1,B2868)</f>
        <v/>
      </c>
      <c r="C2869" s="240">
        <f>$C$3</f>
        <v/>
      </c>
      <c r="D2869" s="240">
        <f>$D$3</f>
        <v/>
      </c>
      <c r="E2869" s="240">
        <f>$E$3</f>
        <v/>
      </c>
      <c r="F2869" s="241" t="n">
        <v>10.11</v>
      </c>
      <c r="G2869" s="242" t="n">
        <v>5882851</v>
      </c>
      <c r="H2869" s="241" t="n">
        <v>0.9</v>
      </c>
      <c r="I2869" s="241" t="n">
        <v>-6.3</v>
      </c>
      <c r="J2869" s="241" t="n">
        <v>-6.3</v>
      </c>
      <c r="K2869" s="241" t="n">
        <v>6.57</v>
      </c>
      <c r="L2869" s="242" t="n">
        <v>717490</v>
      </c>
      <c r="M2869" s="241" t="n">
        <v>1.17</v>
      </c>
      <c r="N2869" s="241" t="n">
        <v>-10.91</v>
      </c>
      <c r="O2869" s="241" t="n">
        <v>13.28</v>
      </c>
      <c r="P2869" s="241" t="n">
        <v>1.54</v>
      </c>
    </row>
    <row r="2870">
      <c r="A2870" s="282" t="inlineStr">
        <is>
          <t>2017-10-23</t>
        </is>
      </c>
      <c r="B2870" s="240">
        <f>IFERROR(1/P2870-1,B2869)</f>
        <v/>
      </c>
      <c r="C2870" s="240">
        <f>$C$3</f>
        <v/>
      </c>
      <c r="D2870" s="240">
        <f>$D$3</f>
        <v/>
      </c>
      <c r="E2870" s="240">
        <f>$E$3</f>
        <v/>
      </c>
      <c r="F2870" s="241" t="n">
        <v>10.16</v>
      </c>
      <c r="G2870" s="242" t="n">
        <v>7408402</v>
      </c>
      <c r="H2870" s="241" t="n">
        <v>0.49</v>
      </c>
      <c r="I2870" s="241" t="n">
        <v>-3.15</v>
      </c>
      <c r="J2870" s="241" t="n">
        <v>-5.84</v>
      </c>
      <c r="K2870" s="241" t="n">
        <v>6.53</v>
      </c>
      <c r="L2870" s="242" t="n">
        <v>841506</v>
      </c>
      <c r="M2870" s="241" t="n">
        <v>-0.77</v>
      </c>
      <c r="N2870" s="241" t="n">
        <v>-6.67</v>
      </c>
      <c r="O2870" s="241" t="n">
        <v>12.41</v>
      </c>
      <c r="P2870" s="241" t="n">
        <v>1.55</v>
      </c>
    </row>
    <row r="2871">
      <c r="A2871" s="282" t="inlineStr">
        <is>
          <t>2017-10-24</t>
        </is>
      </c>
      <c r="B2871" s="240">
        <f>IFERROR(1/P2871-1,B2870)</f>
        <v/>
      </c>
      <c r="C2871" s="240">
        <f>$C$3</f>
        <v/>
      </c>
      <c r="D2871" s="240">
        <f>$D$3</f>
        <v/>
      </c>
      <c r="E2871" s="240">
        <f>$E$3</f>
        <v/>
      </c>
      <c r="F2871" s="241" t="n">
        <v>10.13</v>
      </c>
      <c r="G2871" s="242" t="n">
        <v>7315512</v>
      </c>
      <c r="H2871" s="241" t="n">
        <v>-0.3</v>
      </c>
      <c r="I2871" s="241" t="n">
        <v>-3.43</v>
      </c>
      <c r="J2871" s="241" t="n">
        <v>-6.12</v>
      </c>
      <c r="K2871" s="241" t="n">
        <v>6.4</v>
      </c>
      <c r="L2871" s="242" t="n">
        <v>1203800</v>
      </c>
      <c r="M2871" s="241" t="n">
        <v>-2.21</v>
      </c>
      <c r="N2871" s="241" t="n">
        <v>-8.73</v>
      </c>
      <c r="O2871" s="241" t="n">
        <v>9.93</v>
      </c>
      <c r="P2871" s="241" t="n">
        <v>1.58</v>
      </c>
    </row>
    <row r="2872">
      <c r="A2872" s="282" t="inlineStr">
        <is>
          <t>2017-10-25</t>
        </is>
      </c>
      <c r="B2872" s="240">
        <f>IFERROR(1/P2872-1,B2871)</f>
        <v/>
      </c>
      <c r="C2872" s="240">
        <f>$C$3</f>
        <v/>
      </c>
      <c r="D2872" s="240">
        <f>$D$3</f>
        <v/>
      </c>
      <c r="E2872" s="240">
        <f>$E$3</f>
        <v/>
      </c>
      <c r="F2872" s="241" t="n">
        <v>10.23</v>
      </c>
      <c r="G2872" s="242" t="n">
        <v>7418496</v>
      </c>
      <c r="H2872" s="241" t="n">
        <v>0.99</v>
      </c>
      <c r="I2872" s="241" t="n">
        <v>-2.48</v>
      </c>
      <c r="J2872" s="241" t="n">
        <v>-5.19</v>
      </c>
      <c r="K2872" s="241" t="n">
        <v>6.44</v>
      </c>
      <c r="L2872" s="242" t="n">
        <v>661750</v>
      </c>
      <c r="M2872" s="241" t="n">
        <v>0.66</v>
      </c>
      <c r="N2872" s="241" t="n">
        <v>-8.119999999999999</v>
      </c>
      <c r="O2872" s="241" t="n">
        <v>10.66</v>
      </c>
      <c r="P2872" s="241" t="n">
        <v>1.59</v>
      </c>
    </row>
    <row r="2873">
      <c r="A2873" s="282" t="inlineStr">
        <is>
          <t>2017-10-26</t>
        </is>
      </c>
      <c r="B2873" s="240">
        <f>IFERROR(1/P2873-1,B2872)</f>
        <v/>
      </c>
      <c r="C2873" s="240">
        <f>$C$3</f>
        <v/>
      </c>
      <c r="D2873" s="240">
        <f>$D$3</f>
        <v/>
      </c>
      <c r="E2873" s="240">
        <f>$E$3</f>
        <v/>
      </c>
      <c r="F2873" s="241" t="n">
        <v>10.61</v>
      </c>
      <c r="G2873" s="242" t="n">
        <v>32707223</v>
      </c>
      <c r="H2873" s="241" t="n">
        <v>3.71</v>
      </c>
      <c r="I2873" s="241" t="n">
        <v>3.21</v>
      </c>
      <c r="J2873" s="241" t="n">
        <v>-1.67</v>
      </c>
      <c r="K2873" s="241" t="n">
        <v>6.53</v>
      </c>
      <c r="L2873" s="242" t="n">
        <v>1438839</v>
      </c>
      <c r="M2873" s="241" t="n">
        <v>1.45</v>
      </c>
      <c r="N2873" s="241" t="n">
        <v>-1.28</v>
      </c>
      <c r="O2873" s="241" t="n">
        <v>12.26</v>
      </c>
      <c r="P2873" s="241" t="n">
        <v>1.62</v>
      </c>
    </row>
    <row r="2874">
      <c r="A2874" s="282" t="inlineStr">
        <is>
          <t>2017-10-27</t>
        </is>
      </c>
      <c r="B2874" s="240">
        <f>IFERROR(1/P2874-1,B2873)</f>
        <v/>
      </c>
      <c r="C2874" s="240">
        <f>$C$3</f>
        <v/>
      </c>
      <c r="D2874" s="240">
        <f>$D$3</f>
        <v/>
      </c>
      <c r="E2874" s="240">
        <f>$E$3</f>
        <v/>
      </c>
      <c r="F2874" s="241" t="n">
        <v>10.83</v>
      </c>
      <c r="G2874" s="242" t="n">
        <v>42183551</v>
      </c>
      <c r="H2874" s="241" t="n">
        <v>2.07</v>
      </c>
      <c r="I2874" s="241" t="n">
        <v>4.13</v>
      </c>
      <c r="J2874" s="241" t="n">
        <v>0.37</v>
      </c>
      <c r="K2874" s="241" t="n">
        <v>6.65</v>
      </c>
      <c r="L2874" s="242" t="n">
        <v>1771089</v>
      </c>
      <c r="M2874" s="241" t="n">
        <v>1.56</v>
      </c>
      <c r="N2874" s="241" t="n">
        <v>0.77</v>
      </c>
      <c r="O2874" s="241" t="n">
        <v>14.01</v>
      </c>
      <c r="P2874" s="241" t="n">
        <v>1.63</v>
      </c>
    </row>
    <row r="2875">
      <c r="A2875" s="282" t="inlineStr">
        <is>
          <t>2017-10-30</t>
        </is>
      </c>
      <c r="B2875" s="240">
        <f>IFERROR(1/P2875-1,B2874)</f>
        <v/>
      </c>
      <c r="C2875" s="240">
        <f>$C$3</f>
        <v/>
      </c>
      <c r="D2875" s="240">
        <f>$D$3</f>
        <v/>
      </c>
      <c r="E2875" s="240">
        <f>$E$3</f>
        <v/>
      </c>
      <c r="F2875" s="241" t="n">
        <v>10.82</v>
      </c>
      <c r="G2875" s="242" t="n">
        <v>37609494</v>
      </c>
      <c r="H2875" s="241" t="n">
        <v>-0.09</v>
      </c>
      <c r="I2875" s="241" t="n">
        <v>3.74</v>
      </c>
      <c r="J2875" s="241" t="n">
        <v>0.28</v>
      </c>
      <c r="K2875" s="241" t="n">
        <v>6.55</v>
      </c>
      <c r="L2875" s="242" t="n">
        <v>1421000</v>
      </c>
      <c r="M2875" s="241" t="n">
        <v>-1.54</v>
      </c>
      <c r="N2875" s="241" t="n">
        <v>-0.26</v>
      </c>
      <c r="O2875" s="241" t="n">
        <v>12.26</v>
      </c>
      <c r="P2875" s="241" t="n">
        <v>1.65</v>
      </c>
    </row>
    <row r="2876">
      <c r="A2876" s="282" t="inlineStr">
        <is>
          <t>2017-10-31</t>
        </is>
      </c>
      <c r="B2876" s="240">
        <f>IFERROR(1/P2876-1,B2875)</f>
        <v/>
      </c>
      <c r="C2876" s="240">
        <f>$C$3</f>
        <v/>
      </c>
      <c r="D2876" s="240">
        <f>$D$3</f>
        <v/>
      </c>
      <c r="E2876" s="240">
        <f>$E$3</f>
        <v/>
      </c>
      <c r="F2876" s="241" t="n">
        <v>10.79</v>
      </c>
      <c r="G2876" s="242" t="n">
        <v>21654795</v>
      </c>
      <c r="H2876" s="241" t="n">
        <v>-0.28</v>
      </c>
      <c r="I2876" s="241" t="n">
        <v>3.45</v>
      </c>
      <c r="J2876" s="241" t="n">
        <v>0</v>
      </c>
      <c r="K2876" s="241" t="n">
        <v>6.47</v>
      </c>
      <c r="L2876" s="242" t="n">
        <v>1985655</v>
      </c>
      <c r="M2876" s="241" t="n">
        <v>-1.17</v>
      </c>
      <c r="N2876" s="241" t="n">
        <v>-1.43</v>
      </c>
      <c r="O2876" s="241" t="n">
        <v>10.95</v>
      </c>
      <c r="P2876" s="241" t="n">
        <v>1.67</v>
      </c>
    </row>
    <row r="2877">
      <c r="A2877" s="282" t="inlineStr">
        <is>
          <t>2017-11-01</t>
        </is>
      </c>
      <c r="B2877" s="240">
        <f>IFERROR(1/P2877-1,B2876)</f>
        <v/>
      </c>
      <c r="C2877" s="240">
        <f>$C$3</f>
        <v/>
      </c>
      <c r="D2877" s="240">
        <f>$D$3</f>
        <v/>
      </c>
      <c r="E2877" s="240">
        <f>$E$3</f>
        <v/>
      </c>
      <c r="F2877" s="241" t="n">
        <v>10.9</v>
      </c>
      <c r="G2877" s="242" t="n">
        <v>31467340</v>
      </c>
      <c r="H2877" s="241" t="n">
        <v>1.02</v>
      </c>
      <c r="I2877" s="241" t="n">
        <v>4.51</v>
      </c>
      <c r="J2877" s="241" t="n">
        <v>1.02</v>
      </c>
      <c r="K2877" s="241" t="n">
        <v>6.46</v>
      </c>
      <c r="L2877" s="242" t="n">
        <v>1224607</v>
      </c>
      <c r="M2877" s="241" t="n">
        <v>0</v>
      </c>
      <c r="N2877" s="241" t="n">
        <v>-1.43</v>
      </c>
      <c r="O2877" s="241" t="n">
        <v>10.95</v>
      </c>
      <c r="P2877" s="241" t="n">
        <v>1.69</v>
      </c>
    </row>
    <row r="2878">
      <c r="A2878" s="282" t="inlineStr">
        <is>
          <t>2017-11-02</t>
        </is>
      </c>
      <c r="B2878" s="240">
        <f>IFERROR(1/P2878-1,B2877)</f>
        <v/>
      </c>
      <c r="C2878" s="240">
        <f>$C$3</f>
        <v/>
      </c>
      <c r="D2878" s="240">
        <f>$D$3</f>
        <v/>
      </c>
      <c r="E2878" s="240">
        <f>$E$3</f>
        <v/>
      </c>
      <c r="F2878" s="241" t="n">
        <v>11.37</v>
      </c>
      <c r="G2878" s="242" t="n">
        <v>64610427</v>
      </c>
      <c r="H2878" s="241" t="n">
        <v>4.31</v>
      </c>
      <c r="I2878" s="241" t="n">
        <v>9.01</v>
      </c>
      <c r="J2878" s="241" t="n">
        <v>5.38</v>
      </c>
      <c r="K2878" s="241" t="n">
        <v>6.86</v>
      </c>
      <c r="L2878" s="242" t="n">
        <v>4506849</v>
      </c>
      <c r="M2878" s="241" t="n">
        <v>6.32</v>
      </c>
      <c r="N2878" s="241" t="n">
        <v>4.8</v>
      </c>
      <c r="O2878" s="241" t="n">
        <v>17.96</v>
      </c>
      <c r="P2878" s="241" t="n">
        <v>1.66</v>
      </c>
    </row>
    <row r="2879">
      <c r="A2879" s="282" t="inlineStr">
        <is>
          <t>2017-11-03</t>
        </is>
      </c>
      <c r="B2879" s="240">
        <f>IFERROR(1/P2879-1,B2878)</f>
        <v/>
      </c>
      <c r="C2879" s="240">
        <f>$C$3</f>
        <v/>
      </c>
      <c r="D2879" s="240">
        <f>$D$3</f>
        <v/>
      </c>
      <c r="E2879" s="240">
        <f>$E$3</f>
        <v/>
      </c>
      <c r="F2879" s="241" t="n">
        <v>11.13</v>
      </c>
      <c r="G2879" s="242" t="n">
        <v>43911430</v>
      </c>
      <c r="H2879" s="241" t="n">
        <v>-2.11</v>
      </c>
      <c r="I2879" s="241" t="n">
        <v>6.71</v>
      </c>
      <c r="J2879" s="241" t="n">
        <v>3.15</v>
      </c>
      <c r="K2879" s="241" t="n">
        <v>6.72</v>
      </c>
      <c r="L2879" s="242" t="n">
        <v>1371677</v>
      </c>
      <c r="M2879" s="241" t="n">
        <v>-1.86</v>
      </c>
      <c r="N2879" s="241" t="n">
        <v>2.85</v>
      </c>
      <c r="O2879" s="241" t="n">
        <v>15.77</v>
      </c>
      <c r="P2879" s="241" t="n">
        <v>1.66</v>
      </c>
    </row>
    <row r="2880">
      <c r="A2880" s="282" t="inlineStr">
        <is>
          <t>2017-11-06</t>
        </is>
      </c>
      <c r="B2880" s="240">
        <f>IFERROR(1/P2880-1,B2879)</f>
        <v/>
      </c>
      <c r="C2880" s="240">
        <f>$C$3</f>
        <v/>
      </c>
      <c r="D2880" s="240">
        <f>$D$3</f>
        <v/>
      </c>
      <c r="E2880" s="240">
        <f>$E$3</f>
        <v/>
      </c>
      <c r="F2880" s="241" t="n">
        <v>11.17</v>
      </c>
      <c r="G2880" s="242" t="n">
        <v>34647951</v>
      </c>
      <c r="H2880" s="241" t="n">
        <v>0.36</v>
      </c>
      <c r="I2880" s="241" t="n">
        <v>7.09</v>
      </c>
      <c r="J2880" s="241" t="n">
        <v>3.52</v>
      </c>
      <c r="K2880" s="241" t="n">
        <v>6.59</v>
      </c>
      <c r="L2880" s="242" t="n">
        <v>1351057</v>
      </c>
      <c r="M2880" s="241" t="n">
        <v>-2.14</v>
      </c>
      <c r="N2880" s="241" t="n">
        <v>-1.15</v>
      </c>
      <c r="O2880" s="241" t="n">
        <v>13.28</v>
      </c>
      <c r="P2880" s="241" t="n">
        <v>1.7</v>
      </c>
    </row>
    <row r="2881">
      <c r="A2881" s="282" t="inlineStr">
        <is>
          <t>2017-11-07</t>
        </is>
      </c>
      <c r="B2881" s="240">
        <f>IFERROR(1/P2881-1,B2880)</f>
        <v/>
      </c>
      <c r="C2881" s="240">
        <f>$C$3</f>
        <v/>
      </c>
      <c r="D2881" s="240">
        <f>$D$3</f>
        <v/>
      </c>
      <c r="E2881" s="240">
        <f>$E$3</f>
        <v/>
      </c>
      <c r="F2881" s="241" t="n">
        <v>11.06</v>
      </c>
      <c r="G2881" s="242" t="n">
        <v>28922327</v>
      </c>
      <c r="H2881" s="241" t="n">
        <v>-0.98</v>
      </c>
      <c r="I2881" s="241" t="n">
        <v>6.04</v>
      </c>
      <c r="J2881" s="241" t="n">
        <v>2.5</v>
      </c>
      <c r="K2881" s="241" t="n">
        <v>6.63</v>
      </c>
      <c r="L2881" s="242" t="n">
        <v>858400</v>
      </c>
      <c r="M2881" s="241" t="n">
        <v>0.64</v>
      </c>
      <c r="N2881" s="241" t="n">
        <v>-1.26</v>
      </c>
      <c r="O2881" s="241" t="n">
        <v>14.01</v>
      </c>
      <c r="P2881" s="241" t="n">
        <v>1.67</v>
      </c>
    </row>
    <row r="2882">
      <c r="A2882" s="282" t="inlineStr">
        <is>
          <t>2017-11-08</t>
        </is>
      </c>
      <c r="B2882" s="240">
        <f>IFERROR(1/P2882-1,B2881)</f>
        <v/>
      </c>
      <c r="C2882" s="240">
        <f>$C$3</f>
        <v/>
      </c>
      <c r="D2882" s="240">
        <f>$D$3</f>
        <v/>
      </c>
      <c r="E2882" s="240">
        <f>$E$3</f>
        <v/>
      </c>
      <c r="F2882" s="241" t="n">
        <v>11.08</v>
      </c>
      <c r="G2882" s="242" t="n">
        <v>26945139</v>
      </c>
      <c r="H2882" s="241" t="n">
        <v>0.18</v>
      </c>
      <c r="I2882" s="241" t="n">
        <v>6.23</v>
      </c>
      <c r="J2882" s="241" t="n">
        <v>2.69</v>
      </c>
      <c r="K2882" s="241" t="n">
        <v>6.68</v>
      </c>
      <c r="L2882" s="242" t="n">
        <v>781077</v>
      </c>
      <c r="M2882" s="241" t="n">
        <v>0.64</v>
      </c>
      <c r="N2882" s="241" t="n">
        <v>-0.63</v>
      </c>
      <c r="O2882" s="241" t="n">
        <v>14.74</v>
      </c>
      <c r="P2882" s="241" t="n">
        <v>1.66</v>
      </c>
    </row>
    <row r="2883">
      <c r="A2883" s="282" t="inlineStr">
        <is>
          <t>2017-11-09</t>
        </is>
      </c>
      <c r="B2883" s="240">
        <f>IFERROR(1/P2883-1,B2882)</f>
        <v/>
      </c>
      <c r="C2883" s="240">
        <f>$C$3</f>
        <v/>
      </c>
      <c r="D2883" s="240">
        <f>$D$3</f>
        <v/>
      </c>
      <c r="E2883" s="240">
        <f>$E$3</f>
        <v/>
      </c>
      <c r="F2883" s="241" t="n">
        <v>11.08</v>
      </c>
      <c r="G2883" s="242" t="n">
        <v>25268029</v>
      </c>
      <c r="H2883" s="241" t="n">
        <v>0</v>
      </c>
      <c r="I2883" s="241" t="n">
        <v>6.23</v>
      </c>
      <c r="J2883" s="241" t="n">
        <v>2.69</v>
      </c>
      <c r="K2883" s="241" t="n">
        <v>6.59</v>
      </c>
      <c r="L2883" s="242" t="n">
        <v>1428199</v>
      </c>
      <c r="M2883" s="241" t="n">
        <v>-1.53</v>
      </c>
      <c r="N2883" s="241" t="n">
        <v>-2.15</v>
      </c>
      <c r="O2883" s="241" t="n">
        <v>12.99</v>
      </c>
      <c r="P2883" s="241" t="n">
        <v>1.68</v>
      </c>
    </row>
    <row r="2884">
      <c r="A2884" s="282" t="inlineStr">
        <is>
          <t>2017-11-10</t>
        </is>
      </c>
      <c r="B2884" s="240">
        <f>IFERROR(1/P2884-1,B2883)</f>
        <v/>
      </c>
      <c r="C2884" s="240">
        <f>$C$3</f>
        <v/>
      </c>
      <c r="D2884" s="240">
        <f>$D$3</f>
        <v/>
      </c>
      <c r="E2884" s="240">
        <f>$E$3</f>
        <v/>
      </c>
      <c r="F2884" s="241" t="n">
        <v>11.67</v>
      </c>
      <c r="G2884" s="242" t="n">
        <v>70474077</v>
      </c>
      <c r="H2884" s="241" t="n">
        <v>5.32</v>
      </c>
      <c r="I2884" s="241" t="n">
        <v>11.04</v>
      </c>
      <c r="J2884" s="241" t="n">
        <v>8.16</v>
      </c>
      <c r="K2884" s="241" t="n">
        <v>6.77</v>
      </c>
      <c r="L2884" s="242" t="n">
        <v>1897400</v>
      </c>
      <c r="M2884" s="241" t="n">
        <v>2.97</v>
      </c>
      <c r="N2884" s="241" t="n">
        <v>2.31</v>
      </c>
      <c r="O2884" s="241" t="n">
        <v>16.35</v>
      </c>
      <c r="P2884" s="241" t="n">
        <v>1.72</v>
      </c>
    </row>
    <row r="2885">
      <c r="A2885" s="282" t="inlineStr">
        <is>
          <t>2017-11-13</t>
        </is>
      </c>
      <c r="B2885" s="240">
        <f>IFERROR(1/P2885-1,B2884)</f>
        <v/>
      </c>
      <c r="C2885" s="240">
        <f>$C$3</f>
        <v/>
      </c>
      <c r="D2885" s="240">
        <f>$D$3</f>
        <v/>
      </c>
      <c r="E2885" s="240">
        <f>$E$3</f>
        <v/>
      </c>
      <c r="F2885" s="241" t="n">
        <v>11.77</v>
      </c>
      <c r="G2885" s="242" t="n">
        <v>50905082</v>
      </c>
      <c r="H2885" s="241" t="n">
        <v>0.86</v>
      </c>
      <c r="I2885" s="241" t="n">
        <v>13.72</v>
      </c>
      <c r="J2885" s="241" t="n">
        <v>9.08</v>
      </c>
      <c r="K2885" s="241" t="n">
        <v>6.71</v>
      </c>
      <c r="L2885" s="242" t="n">
        <v>1245488</v>
      </c>
      <c r="M2885" s="241" t="n">
        <v>-1</v>
      </c>
      <c r="N2885" s="241" t="n">
        <v>1.54</v>
      </c>
      <c r="O2885" s="241" t="n">
        <v>15.18</v>
      </c>
      <c r="P2885" s="241" t="n">
        <v>1.75</v>
      </c>
    </row>
    <row r="2886">
      <c r="A2886" s="282" t="inlineStr">
        <is>
          <t>2017-11-14</t>
        </is>
      </c>
      <c r="B2886" s="240">
        <f>IFERROR(1/P2886-1,B2885)</f>
        <v/>
      </c>
      <c r="C2886" s="240">
        <f>$C$3</f>
        <v/>
      </c>
      <c r="D2886" s="240">
        <f>$D$3</f>
        <v/>
      </c>
      <c r="E2886" s="240">
        <f>$E$3</f>
        <v/>
      </c>
      <c r="F2886" s="241" t="n">
        <v>11.56</v>
      </c>
      <c r="G2886" s="242" t="n">
        <v>32239315</v>
      </c>
      <c r="H2886" s="241" t="n">
        <v>-1.78</v>
      </c>
      <c r="I2886" s="241" t="n">
        <v>10.62</v>
      </c>
      <c r="J2886" s="241" t="n">
        <v>7.14</v>
      </c>
      <c r="K2886" s="241" t="n">
        <v>6.63</v>
      </c>
      <c r="L2886" s="242" t="n">
        <v>1203200</v>
      </c>
      <c r="M2886" s="241" t="n">
        <v>-1.27</v>
      </c>
      <c r="N2886" s="241" t="n">
        <v>-1.14</v>
      </c>
      <c r="O2886" s="241" t="n">
        <v>13.72</v>
      </c>
      <c r="P2886" s="241" t="n">
        <v>1.74</v>
      </c>
    </row>
    <row r="2887">
      <c r="A2887" s="282" t="inlineStr">
        <is>
          <t>2017-11-15</t>
        </is>
      </c>
      <c r="B2887" s="240">
        <f>IFERROR(1/P2887-1,B2886)</f>
        <v/>
      </c>
      <c r="C2887" s="240">
        <f>$C$3</f>
        <v/>
      </c>
      <c r="D2887" s="240">
        <f>$D$3</f>
        <v/>
      </c>
      <c r="E2887" s="240">
        <f>$E$3</f>
        <v/>
      </c>
      <c r="F2887" s="241" t="n">
        <v>11.38</v>
      </c>
      <c r="G2887" s="242" t="n">
        <v>35238574</v>
      </c>
      <c r="H2887" s="241" t="n">
        <v>-1.56</v>
      </c>
      <c r="I2887" s="241" t="n">
        <v>8.9</v>
      </c>
      <c r="J2887" s="241" t="n">
        <v>5.47</v>
      </c>
      <c r="K2887" s="241" t="n">
        <v>6.37</v>
      </c>
      <c r="L2887" s="242" t="n">
        <v>2267600</v>
      </c>
      <c r="M2887" s="241" t="n">
        <v>-3.72</v>
      </c>
      <c r="N2887" s="241" t="n">
        <v>-4.82</v>
      </c>
      <c r="O2887" s="241" t="n">
        <v>9.49</v>
      </c>
      <c r="P2887" s="241" t="n">
        <v>1.79</v>
      </c>
    </row>
    <row r="2888">
      <c r="A2888" s="282" t="inlineStr">
        <is>
          <t>2017-11-16</t>
        </is>
      </c>
      <c r="B2888" s="240">
        <f>IFERROR(1/P2888-1,B2887)</f>
        <v/>
      </c>
      <c r="C2888" s="240">
        <f>$C$3</f>
        <v/>
      </c>
      <c r="D2888" s="240">
        <f>$D$3</f>
        <v/>
      </c>
      <c r="E2888" s="240">
        <f>$E$3</f>
        <v/>
      </c>
      <c r="F2888" s="241" t="n">
        <v>11.37</v>
      </c>
      <c r="G2888" s="242" t="n">
        <v>22138431</v>
      </c>
      <c r="H2888" s="241" t="n">
        <v>-0.09</v>
      </c>
      <c r="I2888" s="241" t="n">
        <v>8.800000000000001</v>
      </c>
      <c r="J2888" s="241" t="n">
        <v>5.38</v>
      </c>
      <c r="K2888" s="241" t="n">
        <v>6.1</v>
      </c>
      <c r="L2888" s="242" t="n">
        <v>2884800</v>
      </c>
      <c r="M2888" s="241" t="n">
        <v>-4.27</v>
      </c>
      <c r="N2888" s="241" t="n">
        <v>-8.880000000000001</v>
      </c>
      <c r="O2888" s="241" t="n">
        <v>4.82</v>
      </c>
      <c r="P2888" s="241" t="n">
        <v>1.87</v>
      </c>
    </row>
    <row r="2889">
      <c r="A2889" s="282" t="inlineStr">
        <is>
          <t>2017-11-17</t>
        </is>
      </c>
      <c r="B2889" s="240">
        <f>IFERROR(1/P2889-1,B2888)</f>
        <v/>
      </c>
      <c r="C2889" s="240">
        <f>$C$3</f>
        <v/>
      </c>
      <c r="D2889" s="240">
        <f>$D$3</f>
        <v/>
      </c>
      <c r="E2889" s="240">
        <f>$E$3</f>
        <v/>
      </c>
      <c r="F2889" s="241" t="n">
        <v>10.92</v>
      </c>
      <c r="G2889" s="242" t="n">
        <v>39534187</v>
      </c>
      <c r="H2889" s="241" t="n">
        <v>-3.96</v>
      </c>
      <c r="I2889" s="241" t="n">
        <v>6.23</v>
      </c>
      <c r="J2889" s="241" t="n">
        <v>1.2</v>
      </c>
      <c r="K2889" s="241" t="n">
        <v>5.94</v>
      </c>
      <c r="L2889" s="242" t="n">
        <v>3008560</v>
      </c>
      <c r="M2889" s="241" t="n">
        <v>-2.51</v>
      </c>
      <c r="N2889" s="241" t="n">
        <v>-10.37</v>
      </c>
      <c r="O2889" s="241" t="n">
        <v>2.19</v>
      </c>
      <c r="P2889" s="241" t="n">
        <v>1.84</v>
      </c>
    </row>
    <row r="2890">
      <c r="A2890" s="282" t="inlineStr">
        <is>
          <t>2017-11-20</t>
        </is>
      </c>
      <c r="B2890" s="240">
        <f>IFERROR(1/P2890-1,B2889)</f>
        <v/>
      </c>
      <c r="C2890" s="240">
        <f>$C$3</f>
        <v/>
      </c>
      <c r="D2890" s="240">
        <f>$D$3</f>
        <v/>
      </c>
      <c r="E2890" s="240">
        <f>$E$3</f>
        <v/>
      </c>
      <c r="F2890" s="241" t="n">
        <v>10.83</v>
      </c>
      <c r="G2890" s="242" t="n">
        <v>28785626</v>
      </c>
      <c r="H2890" s="241" t="n">
        <v>-0.82</v>
      </c>
      <c r="I2890" s="241" t="n">
        <v>8.08</v>
      </c>
      <c r="J2890" s="241" t="n">
        <v>0.37</v>
      </c>
      <c r="K2890" s="241" t="n">
        <v>5.79</v>
      </c>
      <c r="L2890" s="242" t="n">
        <v>1738209</v>
      </c>
      <c r="M2890" s="241" t="n">
        <v>-2.43</v>
      </c>
      <c r="N2890" s="241" t="n">
        <v>-10.95</v>
      </c>
      <c r="O2890" s="241" t="n">
        <v>-0.29</v>
      </c>
      <c r="P2890" s="241" t="n">
        <v>1.87</v>
      </c>
    </row>
    <row r="2891">
      <c r="A2891" s="282" t="inlineStr">
        <is>
          <t>2017-11-21</t>
        </is>
      </c>
      <c r="B2891" s="240">
        <f>IFERROR(1/P2891-1,B2890)</f>
        <v/>
      </c>
      <c r="C2891" s="240">
        <f>$C$3</f>
        <v/>
      </c>
      <c r="D2891" s="240">
        <f>$D$3</f>
        <v/>
      </c>
      <c r="E2891" s="240">
        <f>$E$3</f>
        <v/>
      </c>
      <c r="F2891" s="241" t="n">
        <v>10.96</v>
      </c>
      <c r="G2891" s="242" t="n">
        <v>22074563</v>
      </c>
      <c r="H2891" s="241" t="n">
        <v>1.2</v>
      </c>
      <c r="I2891" s="241" t="n">
        <v>8.41</v>
      </c>
      <c r="J2891" s="241" t="n">
        <v>1.58</v>
      </c>
      <c r="K2891" s="241" t="n">
        <v>5.74</v>
      </c>
      <c r="L2891" s="242" t="n">
        <v>1415000</v>
      </c>
      <c r="M2891" s="241" t="n">
        <v>-1.02</v>
      </c>
      <c r="N2891" s="241" t="n">
        <v>-12.89</v>
      </c>
      <c r="O2891" s="241" t="n">
        <v>-1.31</v>
      </c>
      <c r="P2891" s="241" t="n">
        <v>1.91</v>
      </c>
    </row>
    <row r="2892">
      <c r="A2892" s="282" t="inlineStr">
        <is>
          <t>2017-11-22</t>
        </is>
      </c>
      <c r="B2892" s="240">
        <f>IFERROR(1/P2892-1,B2891)</f>
        <v/>
      </c>
      <c r="C2892" s="240">
        <f>$C$3</f>
        <v/>
      </c>
      <c r="D2892" s="240">
        <f>$D$3</f>
        <v/>
      </c>
      <c r="E2892" s="240">
        <f>$E$3</f>
        <v/>
      </c>
      <c r="F2892" s="241" t="n">
        <v>11.02</v>
      </c>
      <c r="G2892" s="242" t="n">
        <v>19563837</v>
      </c>
      <c r="H2892" s="241" t="n">
        <v>0.55</v>
      </c>
      <c r="I2892" s="241" t="n">
        <v>9</v>
      </c>
      <c r="J2892" s="241" t="n">
        <v>2.13</v>
      </c>
      <c r="K2892" s="241" t="n">
        <v>5.72</v>
      </c>
      <c r="L2892" s="242" t="n">
        <v>3183253</v>
      </c>
      <c r="M2892" s="241" t="n">
        <v>-0.3</v>
      </c>
      <c r="N2892" s="241" t="n">
        <v>-13.14</v>
      </c>
      <c r="O2892" s="241" t="n">
        <v>-1.61</v>
      </c>
      <c r="P2892" s="241" t="n">
        <v>1.93</v>
      </c>
    </row>
    <row r="2893">
      <c r="A2893" s="282" t="inlineStr">
        <is>
          <t>2017-11-23</t>
        </is>
      </c>
      <c r="B2893" s="240">
        <f>IFERROR(1/P2893-1,B2892)</f>
        <v/>
      </c>
      <c r="C2893" s="240">
        <f>$C$3</f>
        <v/>
      </c>
      <c r="D2893" s="240">
        <f>$D$3</f>
        <v/>
      </c>
      <c r="E2893" s="240">
        <f>$E$3</f>
        <v/>
      </c>
      <c r="F2893" s="241" t="n">
        <v>10.38</v>
      </c>
      <c r="G2893" s="242" t="n">
        <v>29956908</v>
      </c>
      <c r="H2893" s="241" t="n">
        <v>-5.81</v>
      </c>
      <c r="I2893" s="241" t="n">
        <v>2.67</v>
      </c>
      <c r="J2893" s="241" t="n">
        <v>-3.8</v>
      </c>
      <c r="K2893" s="241" t="n">
        <v>5.64</v>
      </c>
      <c r="L2893" s="242" t="n">
        <v>1437400</v>
      </c>
      <c r="M2893" s="241" t="n">
        <v>-1.04</v>
      </c>
      <c r="N2893" s="241" t="n">
        <v>-14.05</v>
      </c>
      <c r="O2893" s="241" t="n">
        <v>-2.63</v>
      </c>
      <c r="P2893" s="241" t="n">
        <v>1.84</v>
      </c>
    </row>
    <row r="2894">
      <c r="A2894" s="282" t="inlineStr">
        <is>
          <t>2017-11-24</t>
        </is>
      </c>
      <c r="B2894" s="240">
        <f>IFERROR(1/P2894-1,B2893)</f>
        <v/>
      </c>
      <c r="C2894" s="240">
        <f>$C$3</f>
        <v/>
      </c>
      <c r="D2894" s="240">
        <f>$D$3</f>
        <v/>
      </c>
      <c r="E2894" s="240">
        <f>$E$3</f>
        <v/>
      </c>
      <c r="F2894" s="241" t="n">
        <v>10.48</v>
      </c>
      <c r="G2894" s="242" t="n">
        <v>16215168</v>
      </c>
      <c r="H2894" s="241" t="n">
        <v>0.96</v>
      </c>
      <c r="I2894" s="241" t="n">
        <v>3.15</v>
      </c>
      <c r="J2894" s="241" t="n">
        <v>-2.87</v>
      </c>
      <c r="K2894" s="241" t="n">
        <v>5.71</v>
      </c>
      <c r="L2894" s="242" t="n">
        <v>1841617</v>
      </c>
      <c r="M2894" s="241" t="n">
        <v>1.65</v>
      </c>
      <c r="N2894" s="241" t="n">
        <v>-11.95</v>
      </c>
      <c r="O2894" s="241" t="n">
        <v>-1.02</v>
      </c>
      <c r="P2894" s="241" t="n">
        <v>1.83</v>
      </c>
    </row>
    <row r="2895">
      <c r="A2895" s="282" t="inlineStr">
        <is>
          <t>2017-11-27</t>
        </is>
      </c>
      <c r="B2895" s="240">
        <f>IFERROR(1/P2895-1,B2894)</f>
        <v/>
      </c>
      <c r="C2895" s="240">
        <f>$C$3</f>
        <v/>
      </c>
      <c r="D2895" s="240">
        <f>$D$3</f>
        <v/>
      </c>
      <c r="E2895" s="240">
        <f>$E$3</f>
        <v/>
      </c>
      <c r="F2895" s="241" t="n">
        <v>10.46</v>
      </c>
      <c r="G2895" s="242" t="n">
        <v>12817569</v>
      </c>
      <c r="H2895" s="241" t="n">
        <v>-0.19</v>
      </c>
      <c r="I2895" s="241" t="n">
        <v>-1.41</v>
      </c>
      <c r="J2895" s="241" t="n">
        <v>-3.06</v>
      </c>
      <c r="K2895" s="241" t="n">
        <v>5.55</v>
      </c>
      <c r="L2895" s="242" t="n">
        <v>1975550</v>
      </c>
      <c r="M2895" s="241" t="n">
        <v>-2.95</v>
      </c>
      <c r="N2895" s="241" t="n">
        <v>-14.43</v>
      </c>
      <c r="O2895" s="241" t="n">
        <v>-3.94</v>
      </c>
      <c r="P2895" s="241" t="n">
        <v>1.88</v>
      </c>
    </row>
    <row r="2896">
      <c r="A2896" s="282" t="inlineStr">
        <is>
          <t>2017-11-28</t>
        </is>
      </c>
      <c r="B2896" s="240">
        <f>IFERROR(1/P2896-1,B2895)</f>
        <v/>
      </c>
      <c r="C2896" s="240">
        <f>$C$3</f>
        <v/>
      </c>
      <c r="D2896" s="240">
        <f>$D$3</f>
        <v/>
      </c>
      <c r="E2896" s="240">
        <f>$E$3</f>
        <v/>
      </c>
      <c r="F2896" s="241" t="n">
        <v>10.57</v>
      </c>
      <c r="G2896" s="242" t="n">
        <v>13787414</v>
      </c>
      <c r="H2896" s="241" t="n">
        <v>1.05</v>
      </c>
      <c r="I2896" s="241" t="n">
        <v>-2.4</v>
      </c>
      <c r="J2896" s="241" t="n">
        <v>-2.04</v>
      </c>
      <c r="K2896" s="241" t="n">
        <v>5.6</v>
      </c>
      <c r="L2896" s="242" t="n">
        <v>707000</v>
      </c>
      <c r="M2896" s="241" t="n">
        <v>0.61</v>
      </c>
      <c r="N2896" s="241" t="n">
        <v>-15.24</v>
      </c>
      <c r="O2896" s="241" t="n">
        <v>-3.36</v>
      </c>
      <c r="P2896" s="241" t="n">
        <v>1.89</v>
      </c>
    </row>
    <row r="2897">
      <c r="A2897" s="282" t="inlineStr">
        <is>
          <t>2017-11-29</t>
        </is>
      </c>
      <c r="B2897" s="240">
        <f>IFERROR(1/P2897-1,B2896)</f>
        <v/>
      </c>
      <c r="C2897" s="240">
        <f>$C$3</f>
        <v/>
      </c>
      <c r="D2897" s="240">
        <f>$D$3</f>
        <v/>
      </c>
      <c r="E2897" s="240">
        <f>$E$3</f>
        <v/>
      </c>
      <c r="F2897" s="241" t="n">
        <v>10.7</v>
      </c>
      <c r="G2897" s="242" t="n">
        <v>17990620</v>
      </c>
      <c r="H2897" s="241" t="n">
        <v>1.23</v>
      </c>
      <c r="I2897" s="241" t="n">
        <v>-1.2</v>
      </c>
      <c r="J2897" s="241" t="n">
        <v>-0.83</v>
      </c>
      <c r="K2897" s="241" t="n">
        <v>5.48</v>
      </c>
      <c r="L2897" s="242" t="n">
        <v>2334000</v>
      </c>
      <c r="M2897" s="241" t="n">
        <v>-2.11</v>
      </c>
      <c r="N2897" s="241" t="n">
        <v>-17.03</v>
      </c>
      <c r="O2897" s="241" t="n">
        <v>-5.4</v>
      </c>
      <c r="P2897" s="241" t="n">
        <v>1.95</v>
      </c>
    </row>
    <row r="2898">
      <c r="A2898" s="282" t="inlineStr">
        <is>
          <t>2017-11-30</t>
        </is>
      </c>
      <c r="B2898" s="240">
        <f>IFERROR(1/P2898-1,B2897)</f>
        <v/>
      </c>
      <c r="C2898" s="240">
        <f>$C$3</f>
        <v/>
      </c>
      <c r="D2898" s="240">
        <f>$D$3</f>
        <v/>
      </c>
      <c r="E2898" s="240">
        <f>$E$3</f>
        <v/>
      </c>
      <c r="F2898" s="241" t="n">
        <v>10.51</v>
      </c>
      <c r="G2898" s="242" t="n">
        <v>12421597</v>
      </c>
      <c r="H2898" s="241" t="n">
        <v>-1.78</v>
      </c>
      <c r="I2898" s="241" t="n">
        <v>-2.95</v>
      </c>
      <c r="J2898" s="241" t="n">
        <v>-2.6</v>
      </c>
      <c r="K2898" s="241" t="n">
        <v>5.44</v>
      </c>
      <c r="L2898" s="242" t="n">
        <v>1454400</v>
      </c>
      <c r="M2898" s="241" t="n">
        <v>-0.77</v>
      </c>
      <c r="N2898" s="241" t="n">
        <v>-17.67</v>
      </c>
      <c r="O2898" s="241" t="n">
        <v>-6.13</v>
      </c>
      <c r="P2898" s="241" t="n">
        <v>1.93</v>
      </c>
    </row>
    <row r="2899">
      <c r="A2899" s="282" t="inlineStr">
        <is>
          <t>2017-12-01</t>
        </is>
      </c>
      <c r="B2899" s="240">
        <f>IFERROR(1/P2899-1,B2898)</f>
        <v/>
      </c>
      <c r="C2899" s="240">
        <f>$C$3</f>
        <v/>
      </c>
      <c r="D2899" s="240">
        <f>$D$3</f>
        <v/>
      </c>
      <c r="E2899" s="240">
        <f>$E$3</f>
        <v/>
      </c>
      <c r="F2899" s="241" t="n">
        <v>10.64</v>
      </c>
      <c r="G2899" s="242" t="n">
        <v>11854297</v>
      </c>
      <c r="H2899" s="241" t="n">
        <v>1.24</v>
      </c>
      <c r="I2899" s="241" t="n">
        <v>-1.39</v>
      </c>
      <c r="J2899" s="241" t="n">
        <v>-1.39</v>
      </c>
      <c r="K2899" s="241" t="n">
        <v>5.5</v>
      </c>
      <c r="L2899" s="242" t="n">
        <v>477000</v>
      </c>
      <c r="M2899" s="241" t="n">
        <v>1.09</v>
      </c>
      <c r="N2899" s="241" t="n">
        <v>-14.47</v>
      </c>
      <c r="O2899" s="241" t="n">
        <v>-5.11</v>
      </c>
      <c r="P2899" s="241" t="n">
        <v>1.94</v>
      </c>
    </row>
    <row r="2900">
      <c r="A2900" s="282" t="inlineStr">
        <is>
          <t>2017-12-04</t>
        </is>
      </c>
      <c r="B2900" s="240">
        <f>IFERROR(1/P2900-1,B2899)</f>
        <v/>
      </c>
      <c r="C2900" s="240">
        <f>$C$3</f>
        <v/>
      </c>
      <c r="D2900" s="240">
        <f>$D$3</f>
        <v/>
      </c>
      <c r="E2900" s="240">
        <f>$E$3</f>
        <v/>
      </c>
      <c r="F2900" s="241" t="n">
        <v>10.61</v>
      </c>
      <c r="G2900" s="242" t="n">
        <v>11424835</v>
      </c>
      <c r="H2900" s="241" t="n">
        <v>-0.28</v>
      </c>
      <c r="I2900" s="241" t="n">
        <v>-4.67</v>
      </c>
      <c r="J2900" s="241" t="n">
        <v>-1.67</v>
      </c>
      <c r="K2900" s="241" t="n">
        <v>5.63</v>
      </c>
      <c r="L2900" s="242" t="n">
        <v>1336000</v>
      </c>
      <c r="M2900" s="241" t="n">
        <v>2.31</v>
      </c>
      <c r="N2900" s="241" t="n">
        <v>-16.14</v>
      </c>
      <c r="O2900" s="241" t="n">
        <v>-2.92</v>
      </c>
      <c r="P2900" s="241" t="n">
        <v>1.89</v>
      </c>
    </row>
    <row r="2901">
      <c r="A2901" s="282" t="inlineStr">
        <is>
          <t>2017-12-05</t>
        </is>
      </c>
      <c r="B2901" s="240">
        <f>IFERROR(1/P2901-1,B2900)</f>
        <v/>
      </c>
      <c r="C2901" s="240">
        <f>$C$3</f>
        <v/>
      </c>
      <c r="D2901" s="240">
        <f>$D$3</f>
        <v/>
      </c>
      <c r="E2901" s="240">
        <f>$E$3</f>
        <v/>
      </c>
      <c r="F2901" s="241" t="n">
        <v>10.24</v>
      </c>
      <c r="G2901" s="242" t="n">
        <v>20782455</v>
      </c>
      <c r="H2901" s="241" t="n">
        <v>-3.49</v>
      </c>
      <c r="I2901" s="241" t="n">
        <v>-8</v>
      </c>
      <c r="J2901" s="241" t="n">
        <v>-5.1</v>
      </c>
      <c r="K2901" s="241" t="n">
        <v>5.42</v>
      </c>
      <c r="L2901" s="242" t="n">
        <v>1200600</v>
      </c>
      <c r="M2901" s="241" t="n">
        <v>-3.61</v>
      </c>
      <c r="N2901" s="241" t="n">
        <v>-19.17</v>
      </c>
      <c r="O2901" s="241" t="n">
        <v>-6.42</v>
      </c>
      <c r="P2901" s="241" t="n">
        <v>1.89</v>
      </c>
    </row>
    <row r="2902">
      <c r="A2902" s="282" t="inlineStr">
        <is>
          <t>2017-12-06</t>
        </is>
      </c>
      <c r="B2902" s="240">
        <f>IFERROR(1/P2902-1,B2901)</f>
        <v/>
      </c>
      <c r="C2902" s="240">
        <f>$C$3</f>
        <v/>
      </c>
      <c r="D2902" s="240">
        <f>$D$3</f>
        <v/>
      </c>
      <c r="E2902" s="240">
        <f>$E$3</f>
        <v/>
      </c>
      <c r="F2902" s="241" t="n">
        <v>10.43</v>
      </c>
      <c r="G2902" s="242" t="n">
        <v>17556057</v>
      </c>
      <c r="H2902" s="241" t="n">
        <v>1.86</v>
      </c>
      <c r="I2902" s="241" t="n">
        <v>-6.29</v>
      </c>
      <c r="J2902" s="241" t="n">
        <v>-3.34</v>
      </c>
      <c r="K2902" s="241" t="n">
        <v>5.22</v>
      </c>
      <c r="L2902" s="242" t="n">
        <v>2584600</v>
      </c>
      <c r="M2902" s="241" t="n">
        <v>-3.74</v>
      </c>
      <c r="N2902" s="241" t="n">
        <v>-22.19</v>
      </c>
      <c r="O2902" s="241" t="n">
        <v>-9.93</v>
      </c>
      <c r="P2902" s="241" t="n">
        <v>2</v>
      </c>
    </row>
    <row r="2903">
      <c r="A2903" s="282" t="inlineStr">
        <is>
          <t>2017-12-07</t>
        </is>
      </c>
      <c r="B2903" s="240">
        <f>IFERROR(1/P2903-1,B2902)</f>
        <v/>
      </c>
      <c r="C2903" s="240">
        <f>$C$3</f>
        <v/>
      </c>
      <c r="D2903" s="240">
        <f>$D$3</f>
        <v/>
      </c>
      <c r="E2903" s="240">
        <f>$E$3</f>
        <v/>
      </c>
      <c r="F2903" s="241" t="n">
        <v>10.51</v>
      </c>
      <c r="G2903" s="242" t="n">
        <v>19033326</v>
      </c>
      <c r="H2903" s="241" t="n">
        <v>0.77</v>
      </c>
      <c r="I2903" s="241" t="n">
        <v>-5.91</v>
      </c>
      <c r="J2903" s="241" t="n">
        <v>-2.6</v>
      </c>
      <c r="K2903" s="241" t="n">
        <v>5.16</v>
      </c>
      <c r="L2903" s="242" t="n">
        <v>2904400</v>
      </c>
      <c r="M2903" s="241" t="n">
        <v>-1.3</v>
      </c>
      <c r="N2903" s="241" t="n">
        <v>-21.52</v>
      </c>
      <c r="O2903" s="241" t="n">
        <v>-11.09</v>
      </c>
      <c r="P2903" s="241" t="n">
        <v>2.04</v>
      </c>
    </row>
    <row r="2904">
      <c r="A2904" s="282" t="inlineStr">
        <is>
          <t>2017-12-08</t>
        </is>
      </c>
      <c r="B2904" s="240">
        <f>IFERROR(1/P2904-1,B2903)</f>
        <v/>
      </c>
      <c r="C2904" s="240">
        <f>$C$3</f>
        <v/>
      </c>
      <c r="D2904" s="240">
        <f>$D$3</f>
        <v/>
      </c>
      <c r="E2904" s="240">
        <f>$E$3</f>
        <v/>
      </c>
      <c r="F2904" s="241" t="n">
        <v>10.55</v>
      </c>
      <c r="G2904" s="242" t="n">
        <v>12318769</v>
      </c>
      <c r="H2904" s="241" t="n">
        <v>0.38</v>
      </c>
      <c r="I2904" s="241" t="n">
        <v>-4.61</v>
      </c>
      <c r="J2904" s="241" t="n">
        <v>-2.22</v>
      </c>
      <c r="K2904" s="241" t="n">
        <v>5.16</v>
      </c>
      <c r="L2904" s="242" t="n">
        <v>1717610</v>
      </c>
      <c r="M2904" s="241" t="n">
        <v>0</v>
      </c>
      <c r="N2904" s="241" t="n">
        <v>-22.02</v>
      </c>
      <c r="O2904" s="241" t="n">
        <v>-11.09</v>
      </c>
      <c r="P2904" s="241" t="n">
        <v>2.04</v>
      </c>
    </row>
    <row r="2905">
      <c r="A2905" s="282" t="inlineStr">
        <is>
          <t>2017-12-11</t>
        </is>
      </c>
      <c r="B2905" s="240">
        <f>IFERROR(1/P2905-1,B2904)</f>
        <v/>
      </c>
      <c r="C2905" s="240">
        <f>$C$3</f>
        <v/>
      </c>
      <c r="D2905" s="240">
        <f>$D$3</f>
        <v/>
      </c>
      <c r="E2905" s="240">
        <f>$E$3</f>
        <v/>
      </c>
      <c r="F2905" s="241" t="n">
        <v>10.58</v>
      </c>
      <c r="G2905" s="242" t="n">
        <v>10454337</v>
      </c>
      <c r="H2905" s="241" t="n">
        <v>0.28</v>
      </c>
      <c r="I2905" s="241" t="n">
        <v>-9.34</v>
      </c>
      <c r="J2905" s="241" t="n">
        <v>-1.95</v>
      </c>
      <c r="K2905" s="241" t="n">
        <v>5.22</v>
      </c>
      <c r="L2905" s="242" t="n">
        <v>1417400</v>
      </c>
      <c r="M2905" s="241" t="n">
        <v>1.15</v>
      </c>
      <c r="N2905" s="241" t="n">
        <v>-22.71</v>
      </c>
      <c r="O2905" s="241" t="n">
        <v>-10.07</v>
      </c>
      <c r="P2905" s="241" t="n">
        <v>2.03</v>
      </c>
    </row>
    <row r="2906">
      <c r="A2906" s="282" t="inlineStr">
        <is>
          <t>2017-12-12</t>
        </is>
      </c>
      <c r="B2906" s="240">
        <f>IFERROR(1/P2906-1,B2905)</f>
        <v/>
      </c>
      <c r="C2906" s="240">
        <f>$C$3</f>
        <v/>
      </c>
      <c r="D2906" s="240">
        <f>$D$3</f>
        <v/>
      </c>
      <c r="E2906" s="240">
        <f>$E$3</f>
        <v/>
      </c>
      <c r="F2906" s="241" t="n">
        <v>10.4</v>
      </c>
      <c r="G2906" s="242" t="n">
        <v>10497417</v>
      </c>
      <c r="H2906" s="241" t="n">
        <v>-1.7</v>
      </c>
      <c r="I2906" s="241" t="n">
        <v>-10.88</v>
      </c>
      <c r="J2906" s="241" t="n">
        <v>-3.61</v>
      </c>
      <c r="K2906" s="241" t="n">
        <v>5.24</v>
      </c>
      <c r="L2906" s="242" t="n">
        <v>2563543</v>
      </c>
      <c r="M2906" s="241" t="n">
        <v>0.32</v>
      </c>
      <c r="N2906" s="241" t="n">
        <v>-22.46</v>
      </c>
      <c r="O2906" s="241" t="n">
        <v>-9.779999999999999</v>
      </c>
      <c r="P2906" s="241" t="n">
        <v>1.99</v>
      </c>
    </row>
    <row r="2907">
      <c r="A2907" s="282" t="inlineStr">
        <is>
          <t>2017-12-13</t>
        </is>
      </c>
      <c r="B2907" s="240">
        <f>IFERROR(1/P2907-1,B2906)</f>
        <v/>
      </c>
      <c r="C2907" s="240">
        <f>$C$3</f>
        <v/>
      </c>
      <c r="D2907" s="240">
        <f>$D$3</f>
        <v/>
      </c>
      <c r="E2907" s="240">
        <f>$E$3</f>
        <v/>
      </c>
      <c r="F2907" s="241" t="n">
        <v>10.6</v>
      </c>
      <c r="G2907" s="242" t="n">
        <v>10984166</v>
      </c>
      <c r="H2907" s="241" t="n">
        <v>1.92</v>
      </c>
      <c r="I2907" s="241" t="n">
        <v>-9.17</v>
      </c>
      <c r="J2907" s="241" t="n">
        <v>-1.76</v>
      </c>
      <c r="K2907" s="241" t="n">
        <v>5.38</v>
      </c>
      <c r="L2907" s="242" t="n">
        <v>1451600</v>
      </c>
      <c r="M2907" s="241" t="n">
        <v>2.59</v>
      </c>
      <c r="N2907" s="241" t="n">
        <v>-20.45</v>
      </c>
      <c r="O2907" s="241" t="n">
        <v>-7.45</v>
      </c>
      <c r="P2907" s="241" t="n">
        <v>1.97</v>
      </c>
    </row>
    <row r="2908">
      <c r="A2908" s="282" t="inlineStr">
        <is>
          <t>2017-12-14</t>
        </is>
      </c>
      <c r="B2908" s="240">
        <f>IFERROR(1/P2908-1,B2907)</f>
        <v/>
      </c>
      <c r="C2908" s="240">
        <f>$C$3</f>
        <v/>
      </c>
      <c r="D2908" s="240">
        <f>$D$3</f>
        <v/>
      </c>
      <c r="E2908" s="240">
        <f>$E$3</f>
        <v/>
      </c>
      <c r="F2908" s="241" t="n">
        <v>10.77</v>
      </c>
      <c r="G2908" s="242" t="n">
        <v>15983449</v>
      </c>
      <c r="H2908" s="241" t="n">
        <v>1.6</v>
      </c>
      <c r="I2908" s="241" t="n">
        <v>-8.5</v>
      </c>
      <c r="J2908" s="241" t="n">
        <v>-0.19</v>
      </c>
      <c r="K2908" s="241" t="n">
        <v>5.32</v>
      </c>
      <c r="L2908" s="242" t="n">
        <v>923400</v>
      </c>
      <c r="M2908" s="241" t="n">
        <v>-0.79</v>
      </c>
      <c r="N2908" s="241" t="n">
        <v>-20.28</v>
      </c>
      <c r="O2908" s="241" t="n">
        <v>-8.18</v>
      </c>
      <c r="P2908" s="241" t="n">
        <v>2.02</v>
      </c>
    </row>
    <row r="2909">
      <c r="A2909" s="282" t="inlineStr">
        <is>
          <t>2017-12-15</t>
        </is>
      </c>
      <c r="B2909" s="240">
        <f>IFERROR(1/P2909-1,B2908)</f>
        <v/>
      </c>
      <c r="C2909" s="240">
        <f>$C$3</f>
        <v/>
      </c>
      <c r="D2909" s="240">
        <f>$D$3</f>
        <v/>
      </c>
      <c r="E2909" s="240">
        <f>$E$3</f>
        <v/>
      </c>
      <c r="F2909" s="241" t="n">
        <v>10.69</v>
      </c>
      <c r="G2909" s="242" t="n">
        <v>11103948</v>
      </c>
      <c r="H2909" s="241" t="n">
        <v>-0.74</v>
      </c>
      <c r="I2909" s="241" t="n">
        <v>-7.53</v>
      </c>
      <c r="J2909" s="241" t="n">
        <v>-0.93</v>
      </c>
      <c r="K2909" s="241" t="n">
        <v>5.32</v>
      </c>
      <c r="L2909" s="242" t="n">
        <v>1413200</v>
      </c>
      <c r="M2909" s="241" t="n">
        <v>0</v>
      </c>
      <c r="N2909" s="241" t="n">
        <v>-19.26</v>
      </c>
      <c r="O2909" s="241" t="n">
        <v>-8.18</v>
      </c>
      <c r="P2909" s="241" t="n">
        <v>2.01</v>
      </c>
    </row>
    <row r="2910">
      <c r="A2910" s="282" t="inlineStr">
        <is>
          <t>2017-12-18</t>
        </is>
      </c>
      <c r="B2910" s="240">
        <f>IFERROR(1/P2910-1,B2909)</f>
        <v/>
      </c>
      <c r="C2910" s="240">
        <f>$C$3</f>
        <v/>
      </c>
      <c r="D2910" s="240">
        <f>$D$3</f>
        <v/>
      </c>
      <c r="E2910" s="240">
        <f>$E$3</f>
        <v/>
      </c>
      <c r="F2910" s="241" t="n">
        <v>10.76</v>
      </c>
      <c r="G2910" s="242" t="n">
        <v>11623419</v>
      </c>
      <c r="H2910" s="241" t="n">
        <v>0.65</v>
      </c>
      <c r="I2910" s="241" t="n">
        <v>-1.47</v>
      </c>
      <c r="J2910" s="241" t="n">
        <v>-0.28</v>
      </c>
      <c r="K2910" s="241" t="n">
        <v>5.28</v>
      </c>
      <c r="L2910" s="242" t="n">
        <v>278600</v>
      </c>
      <c r="M2910" s="241" t="n">
        <v>-0.95</v>
      </c>
      <c r="N2910" s="241" t="n">
        <v>-11</v>
      </c>
      <c r="O2910" s="241" t="n">
        <v>-9.050000000000001</v>
      </c>
      <c r="P2910" s="241" t="n">
        <v>2.04</v>
      </c>
    </row>
    <row r="2911">
      <c r="A2911" s="282" t="inlineStr">
        <is>
          <t>2017-12-19</t>
        </is>
      </c>
      <c r="B2911" s="240">
        <f>IFERROR(1/P2911-1,B2910)</f>
        <v/>
      </c>
      <c r="C2911" s="240">
        <f>$C$3</f>
        <v/>
      </c>
      <c r="D2911" s="240">
        <f>$D$3</f>
        <v/>
      </c>
      <c r="E2911" s="240">
        <f>$E$3</f>
        <v/>
      </c>
      <c r="F2911" s="241" t="n">
        <v>10.86</v>
      </c>
      <c r="G2911" s="242" t="n">
        <v>13986831</v>
      </c>
      <c r="H2911" s="241" t="n">
        <v>0.93</v>
      </c>
      <c r="I2911" s="241" t="n">
        <v>-0.55</v>
      </c>
      <c r="J2911" s="241" t="n">
        <v>0.65</v>
      </c>
      <c r="K2911" s="241" t="n">
        <v>5.23</v>
      </c>
      <c r="L2911" s="242" t="n">
        <v>2060200</v>
      </c>
      <c r="M2911" s="241" t="n">
        <v>-0.8</v>
      </c>
      <c r="N2911" s="241" t="n">
        <v>-11.71</v>
      </c>
      <c r="O2911" s="241" t="n">
        <v>-9.779999999999999</v>
      </c>
      <c r="P2911" s="241" t="n">
        <v>2.08</v>
      </c>
    </row>
    <row r="2912">
      <c r="A2912" s="282" t="inlineStr">
        <is>
          <t>2017-12-20</t>
        </is>
      </c>
      <c r="B2912" s="240">
        <f>IFERROR(1/P2912-1,B2911)</f>
        <v/>
      </c>
      <c r="C2912" s="240">
        <f>$C$3</f>
        <v/>
      </c>
      <c r="D2912" s="240">
        <f>$D$3</f>
        <v/>
      </c>
      <c r="E2912" s="240">
        <f>$E$3</f>
        <v/>
      </c>
      <c r="F2912" s="241" t="n">
        <v>10.74</v>
      </c>
      <c r="G2912" s="242" t="n">
        <v>10183807</v>
      </c>
      <c r="H2912" s="241" t="n">
        <v>-1.1</v>
      </c>
      <c r="I2912" s="241" t="n">
        <v>-1.65</v>
      </c>
      <c r="J2912" s="241" t="n">
        <v>-0.46</v>
      </c>
      <c r="K2912" s="241" t="n">
        <v>5.19</v>
      </c>
      <c r="L2912" s="242" t="n">
        <v>792400</v>
      </c>
      <c r="M2912" s="241" t="n">
        <v>-0.65</v>
      </c>
      <c r="N2912" s="241" t="n">
        <v>-12.29</v>
      </c>
      <c r="O2912" s="241" t="n">
        <v>-10.37</v>
      </c>
      <c r="P2912" s="241" t="n">
        <v>2.07</v>
      </c>
    </row>
    <row r="2913">
      <c r="A2913" s="282" t="inlineStr">
        <is>
          <t>2017-12-21</t>
        </is>
      </c>
      <c r="B2913" s="240">
        <f>IFERROR(1/P2913-1,B2912)</f>
        <v/>
      </c>
      <c r="C2913" s="240">
        <f>$C$3</f>
        <v/>
      </c>
      <c r="D2913" s="240">
        <f>$D$3</f>
        <v/>
      </c>
      <c r="E2913" s="240">
        <f>$E$3</f>
        <v/>
      </c>
      <c r="F2913" s="241" t="n">
        <v>10.66</v>
      </c>
      <c r="G2913" s="242" t="n">
        <v>14062057</v>
      </c>
      <c r="H2913" s="241" t="n">
        <v>-0.74</v>
      </c>
      <c r="I2913" s="241" t="n">
        <v>-1.57</v>
      </c>
      <c r="J2913" s="241" t="n">
        <v>-1.2</v>
      </c>
      <c r="K2913" s="241" t="n">
        <v>5.25</v>
      </c>
      <c r="L2913" s="242" t="n">
        <v>1445000</v>
      </c>
      <c r="M2913" s="241" t="n">
        <v>1.63</v>
      </c>
      <c r="N2913" s="241" t="n">
        <v>-8.640000000000001</v>
      </c>
      <c r="O2913" s="241" t="n">
        <v>-8.91</v>
      </c>
      <c r="P2913" s="241" t="n">
        <v>2.03</v>
      </c>
    </row>
    <row r="2914">
      <c r="A2914" s="282" t="inlineStr">
        <is>
          <t>2017-12-22</t>
        </is>
      </c>
      <c r="B2914" s="240">
        <f>IFERROR(1/P2914-1,B2913)</f>
        <v/>
      </c>
      <c r="C2914" s="240">
        <f>$C$3</f>
        <v/>
      </c>
      <c r="D2914" s="240">
        <f>$D$3</f>
        <v/>
      </c>
      <c r="E2914" s="240">
        <f>$E$3</f>
        <v/>
      </c>
      <c r="F2914" s="241" t="n">
        <v>10.95</v>
      </c>
      <c r="G2914" s="242" t="n">
        <v>23828940</v>
      </c>
      <c r="H2914" s="241" t="n">
        <v>2.72</v>
      </c>
      <c r="I2914" s="241" t="n">
        <v>-0.09</v>
      </c>
      <c r="J2914" s="241" t="n">
        <v>1.48</v>
      </c>
      <c r="K2914" s="241" t="n">
        <v>5.33</v>
      </c>
      <c r="L2914" s="242" t="n">
        <v>1483140</v>
      </c>
      <c r="M2914" s="241" t="n">
        <v>1.44</v>
      </c>
      <c r="N2914" s="241" t="n">
        <v>-6.36</v>
      </c>
      <c r="O2914" s="241" t="n">
        <v>-7.59</v>
      </c>
      <c r="P2914" s="241" t="n">
        <v>2.06</v>
      </c>
    </row>
    <row r="2915">
      <c r="A2915" s="282" t="inlineStr">
        <is>
          <t>2017-12-25</t>
        </is>
      </c>
      <c r="B2915" s="240">
        <f>IFERROR(1/P2915-1,B2914)</f>
        <v/>
      </c>
      <c r="C2915" s="240">
        <f>$C$3</f>
        <v/>
      </c>
      <c r="D2915" s="240">
        <f>$D$3</f>
        <v/>
      </c>
      <c r="E2915" s="240">
        <f>$E$3</f>
        <v/>
      </c>
      <c r="F2915" s="241" t="n">
        <v>10.95</v>
      </c>
      <c r="G2915" s="242" t="n">
        <v>19819794</v>
      </c>
      <c r="H2915" s="241" t="n">
        <v>0</v>
      </c>
      <c r="I2915" s="241" t="n">
        <v>4.48</v>
      </c>
      <c r="J2915" s="241" t="n">
        <v>1.48</v>
      </c>
      <c r="K2915" s="239" t="inlineStr">
        <is>
          <t>--</t>
        </is>
      </c>
      <c r="L2915" s="239" t="inlineStr">
        <is>
          <t>--</t>
        </is>
      </c>
      <c r="M2915" s="239" t="inlineStr">
        <is>
          <t>--</t>
        </is>
      </c>
      <c r="N2915" s="239" t="inlineStr">
        <is>
          <t>--</t>
        </is>
      </c>
      <c r="O2915" s="239" t="inlineStr">
        <is>
          <t>--</t>
        </is>
      </c>
      <c r="P2915" s="239" t="inlineStr">
        <is>
          <t>--</t>
        </is>
      </c>
    </row>
    <row r="2916">
      <c r="A2916" s="282" t="inlineStr">
        <is>
          <t>2017-12-26</t>
        </is>
      </c>
      <c r="B2916" s="240">
        <f>IFERROR(1/P2916-1,B2915)</f>
        <v/>
      </c>
      <c r="C2916" s="240">
        <f>$C$3</f>
        <v/>
      </c>
      <c r="D2916" s="240">
        <f>$D$3</f>
        <v/>
      </c>
      <c r="E2916" s="240">
        <f>$E$3</f>
        <v/>
      </c>
      <c r="F2916" s="241" t="n">
        <v>11.21</v>
      </c>
      <c r="G2916" s="242" t="n">
        <v>26063926</v>
      </c>
      <c r="H2916" s="241" t="n">
        <v>2.37</v>
      </c>
      <c r="I2916" s="241" t="n">
        <v>6.97</v>
      </c>
      <c r="J2916" s="241" t="n">
        <v>3.89</v>
      </c>
      <c r="K2916" s="239" t="inlineStr">
        <is>
          <t>--</t>
        </is>
      </c>
      <c r="L2916" s="239" t="inlineStr">
        <is>
          <t>--</t>
        </is>
      </c>
      <c r="M2916" s="239" t="inlineStr">
        <is>
          <t>--</t>
        </is>
      </c>
      <c r="N2916" s="239" t="inlineStr">
        <is>
          <t>--</t>
        </is>
      </c>
      <c r="O2916" s="239" t="inlineStr">
        <is>
          <t>--</t>
        </is>
      </c>
      <c r="P2916" s="239" t="inlineStr">
        <is>
          <t>--</t>
        </is>
      </c>
    </row>
    <row r="2917">
      <c r="A2917" s="282" t="inlineStr">
        <is>
          <t>2017-12-27</t>
        </is>
      </c>
      <c r="B2917" s="240">
        <f>IFERROR(1/P2917-1,B2916)</f>
        <v/>
      </c>
      <c r="C2917" s="240">
        <f>$C$3</f>
        <v/>
      </c>
      <c r="D2917" s="240">
        <f>$D$3</f>
        <v/>
      </c>
      <c r="E2917" s="240">
        <f>$E$3</f>
        <v/>
      </c>
      <c r="F2917" s="241" t="n">
        <v>10.98</v>
      </c>
      <c r="G2917" s="242" t="n">
        <v>22693547</v>
      </c>
      <c r="H2917" s="241" t="n">
        <v>-2.05</v>
      </c>
      <c r="I2917" s="241" t="n">
        <v>4.77</v>
      </c>
      <c r="J2917" s="241" t="n">
        <v>1.76</v>
      </c>
      <c r="K2917" s="241" t="n">
        <v>5.33</v>
      </c>
      <c r="L2917" s="242" t="n">
        <v>1060200</v>
      </c>
      <c r="M2917" s="241" t="n">
        <v>0.63</v>
      </c>
      <c r="N2917" s="241" t="n">
        <v>-6.05</v>
      </c>
      <c r="O2917" s="241" t="n">
        <v>-7.01</v>
      </c>
      <c r="P2917" s="241" t="n">
        <v>2.06</v>
      </c>
    </row>
    <row r="2918">
      <c r="A2918" s="282" t="inlineStr">
        <is>
          <t>2017-12-28</t>
        </is>
      </c>
      <c r="B2918" s="240">
        <f>IFERROR(1/P2918-1,B2917)</f>
        <v/>
      </c>
      <c r="C2918" s="240">
        <f>$C$3</f>
        <v/>
      </c>
      <c r="D2918" s="240">
        <f>$D$3</f>
        <v/>
      </c>
      <c r="E2918" s="240">
        <f>$E$3</f>
        <v/>
      </c>
      <c r="F2918" s="241" t="n">
        <v>11.23</v>
      </c>
      <c r="G2918" s="242" t="n">
        <v>23272295</v>
      </c>
      <c r="H2918" s="241" t="n">
        <v>2.28</v>
      </c>
      <c r="I2918" s="241" t="n">
        <v>7.36</v>
      </c>
      <c r="J2918" s="241" t="n">
        <v>4.08</v>
      </c>
      <c r="K2918" s="241" t="n">
        <v>5.38</v>
      </c>
      <c r="L2918" s="242" t="n">
        <v>1041200</v>
      </c>
      <c r="M2918" s="241" t="n">
        <v>0.78</v>
      </c>
      <c r="N2918" s="241" t="n">
        <v>-2.43</v>
      </c>
      <c r="O2918" s="241" t="n">
        <v>-6.28</v>
      </c>
      <c r="P2918" s="241" t="n">
        <v>2.09</v>
      </c>
    </row>
    <row r="2919">
      <c r="A2919" s="282" t="inlineStr">
        <is>
          <t>2017-12-29</t>
        </is>
      </c>
      <c r="B2919" s="240">
        <f>IFERROR(1/P2919-1,B2918)</f>
        <v/>
      </c>
      <c r="C2919" s="240">
        <f>$C$3</f>
        <v/>
      </c>
      <c r="D2919" s="240">
        <f>$D$3</f>
        <v/>
      </c>
      <c r="E2919" s="240">
        <f>$E$3</f>
        <v/>
      </c>
      <c r="F2919" s="241" t="n">
        <v>11.23</v>
      </c>
      <c r="G2919" s="242" t="n">
        <v>16055188</v>
      </c>
      <c r="H2919" s="241" t="n">
        <v>0</v>
      </c>
      <c r="I2919" s="241" t="n">
        <v>6.24</v>
      </c>
      <c r="J2919" s="241" t="n">
        <v>4.08</v>
      </c>
      <c r="K2919" s="241" t="n">
        <v>5.36</v>
      </c>
      <c r="L2919" s="242" t="n">
        <v>686600</v>
      </c>
      <c r="M2919" s="241" t="n">
        <v>-0.16</v>
      </c>
      <c r="N2919" s="241" t="n">
        <v>-3.17</v>
      </c>
      <c r="O2919" s="241" t="n">
        <v>-6.42</v>
      </c>
      <c r="P2919" s="241" t="n">
        <v>2.1</v>
      </c>
    </row>
    <row r="2920">
      <c r="A2920" s="282" t="inlineStr">
        <is>
          <t>2018-01-02</t>
        </is>
      </c>
      <c r="B2920" s="240">
        <f>IFERROR(1/P2920-1,B2919)</f>
        <v/>
      </c>
      <c r="C2920" s="240">
        <f>$C$3</f>
        <v/>
      </c>
      <c r="D2920" s="240">
        <f>$D$3</f>
        <v/>
      </c>
      <c r="E2920" s="240">
        <f>$E$3</f>
        <v/>
      </c>
      <c r="F2920" s="241" t="n">
        <v>11.33</v>
      </c>
      <c r="G2920" s="242" t="n">
        <v>18256865</v>
      </c>
      <c r="H2920" s="241" t="n">
        <v>0.89</v>
      </c>
      <c r="I2920" s="241" t="n">
        <v>6.49</v>
      </c>
      <c r="J2920" s="241" t="n">
        <v>0.89</v>
      </c>
      <c r="K2920" s="241" t="n">
        <v>5.53</v>
      </c>
      <c r="L2920" s="242" t="n">
        <v>3950200</v>
      </c>
      <c r="M2920" s="241" t="n">
        <v>3.74</v>
      </c>
      <c r="N2920" s="241" t="n">
        <v>2.31</v>
      </c>
      <c r="O2920" s="241" t="n">
        <v>3.74</v>
      </c>
      <c r="P2920" s="241" t="n">
        <v>2.05</v>
      </c>
    </row>
    <row r="2921">
      <c r="A2921" s="282" t="inlineStr">
        <is>
          <t>2018-01-03</t>
        </is>
      </c>
      <c r="B2921" s="240">
        <f>IFERROR(1/P2921-1,B2920)</f>
        <v/>
      </c>
      <c r="C2921" s="240">
        <f>$C$3</f>
        <v/>
      </c>
      <c r="D2921" s="240">
        <f>$D$3</f>
        <v/>
      </c>
      <c r="E2921" s="240">
        <f>$E$3</f>
        <v/>
      </c>
      <c r="F2921" s="241" t="n">
        <v>11.19</v>
      </c>
      <c r="G2921" s="242" t="n">
        <v>21599175</v>
      </c>
      <c r="H2921" s="241" t="n">
        <v>-1.24</v>
      </c>
      <c r="I2921" s="241" t="n">
        <v>5.17</v>
      </c>
      <c r="J2921" s="241" t="n">
        <v>-0.36</v>
      </c>
      <c r="K2921" s="241" t="n">
        <v>5.52</v>
      </c>
      <c r="L2921" s="242" t="n">
        <v>2470138</v>
      </c>
      <c r="M2921" s="241" t="n">
        <v>0</v>
      </c>
      <c r="N2921" s="241" t="n">
        <v>2.31</v>
      </c>
      <c r="O2921" s="241" t="n">
        <v>3.74</v>
      </c>
      <c r="P2921" s="241" t="n">
        <v>2.03</v>
      </c>
    </row>
    <row r="2922">
      <c r="A2922" s="282" t="inlineStr">
        <is>
          <t>2018-01-04</t>
        </is>
      </c>
      <c r="B2922" s="240">
        <f>IFERROR(1/P2922-1,B2921)</f>
        <v/>
      </c>
      <c r="C2922" s="240">
        <f>$C$3</f>
        <v/>
      </c>
      <c r="D2922" s="240">
        <f>$D$3</f>
        <v/>
      </c>
      <c r="E2922" s="240">
        <f>$E$3</f>
        <v/>
      </c>
      <c r="F2922" s="241" t="n">
        <v>11.16</v>
      </c>
      <c r="G2922" s="242" t="n">
        <v>14757736</v>
      </c>
      <c r="H2922" s="241" t="n">
        <v>-0.27</v>
      </c>
      <c r="I2922" s="241" t="n">
        <v>4.89</v>
      </c>
      <c r="J2922" s="241" t="n">
        <v>-0.62</v>
      </c>
      <c r="K2922" s="241" t="n">
        <v>5.57</v>
      </c>
      <c r="L2922" s="242" t="n">
        <v>1944800</v>
      </c>
      <c r="M2922" s="241" t="n">
        <v>0.6</v>
      </c>
      <c r="N2922" s="241" t="n">
        <v>2.92</v>
      </c>
      <c r="O2922" s="241" t="n">
        <v>4.37</v>
      </c>
      <c r="P2922" s="241" t="n">
        <v>2</v>
      </c>
    </row>
    <row r="2923">
      <c r="A2923" s="282" t="inlineStr">
        <is>
          <t>2018-01-05</t>
        </is>
      </c>
      <c r="B2923" s="240">
        <f>IFERROR(1/P2923-1,B2922)</f>
        <v/>
      </c>
      <c r="C2923" s="240">
        <f>$C$3</f>
        <v/>
      </c>
      <c r="D2923" s="240">
        <f>$D$3</f>
        <v/>
      </c>
      <c r="E2923" s="240">
        <f>$E$3</f>
        <v/>
      </c>
      <c r="F2923" s="241" t="n">
        <v>11.26</v>
      </c>
      <c r="G2923" s="242" t="n">
        <v>29167135</v>
      </c>
      <c r="H2923" s="241" t="n">
        <v>0.9</v>
      </c>
      <c r="I2923" s="241" t="n">
        <v>6.13</v>
      </c>
      <c r="J2923" s="241" t="n">
        <v>0.27</v>
      </c>
      <c r="K2923" s="241" t="n">
        <v>5.57</v>
      </c>
      <c r="L2923" s="242" t="n">
        <v>1357400</v>
      </c>
      <c r="M2923" s="241" t="n">
        <v>0.3</v>
      </c>
      <c r="N2923" s="241" t="n">
        <v>0.9</v>
      </c>
      <c r="O2923" s="241" t="n">
        <v>4.68</v>
      </c>
      <c r="P2923" s="241" t="n">
        <v>2.02</v>
      </c>
    </row>
    <row r="2924">
      <c r="A2924" s="282" t="inlineStr">
        <is>
          <t>2018-01-08</t>
        </is>
      </c>
      <c r="B2924" s="240">
        <f>IFERROR(1/P2924-1,B2923)</f>
        <v/>
      </c>
      <c r="C2924" s="240">
        <f>$C$3</f>
        <v/>
      </c>
      <c r="D2924" s="240">
        <f>$D$3</f>
        <v/>
      </c>
      <c r="E2924" s="240">
        <f>$E$3</f>
        <v/>
      </c>
      <c r="F2924" s="241" t="n">
        <v>11.4</v>
      </c>
      <c r="G2924" s="242" t="n">
        <v>29393208</v>
      </c>
      <c r="H2924" s="241" t="n">
        <v>1.24</v>
      </c>
      <c r="I2924" s="241" t="n">
        <v>8.470000000000001</v>
      </c>
      <c r="J2924" s="241" t="n">
        <v>1.51</v>
      </c>
      <c r="K2924" s="241" t="n">
        <v>5.62</v>
      </c>
      <c r="L2924" s="242" t="n">
        <v>1444800</v>
      </c>
      <c r="M2924" s="241" t="n">
        <v>1.04</v>
      </c>
      <c r="N2924" s="241" t="n">
        <v>11.33</v>
      </c>
      <c r="O2924" s="241" t="n">
        <v>5.77</v>
      </c>
      <c r="P2924" s="241" t="n">
        <v>2.03</v>
      </c>
    </row>
    <row r="2925">
      <c r="A2925" s="282" t="inlineStr">
        <is>
          <t>2018-01-09</t>
        </is>
      </c>
      <c r="B2925" s="240">
        <f>IFERROR(1/P2925-1,B2924)</f>
        <v/>
      </c>
      <c r="C2925" s="240">
        <f>$C$3</f>
        <v/>
      </c>
      <c r="D2925" s="240">
        <f>$D$3</f>
        <v/>
      </c>
      <c r="E2925" s="240">
        <f>$E$3</f>
        <v/>
      </c>
      <c r="F2925" s="241" t="n">
        <v>11.16</v>
      </c>
      <c r="G2925" s="242" t="n">
        <v>18927088</v>
      </c>
      <c r="H2925" s="241" t="n">
        <v>-2.11</v>
      </c>
      <c r="I2925" s="241" t="n">
        <v>5.78</v>
      </c>
      <c r="J2925" s="241" t="n">
        <v>-0.62</v>
      </c>
      <c r="K2925" s="241" t="n">
        <v>5.67</v>
      </c>
      <c r="L2925" s="242" t="n">
        <v>1800400</v>
      </c>
      <c r="M2925" s="241" t="n">
        <v>0.74</v>
      </c>
      <c r="N2925" s="241" t="n">
        <v>12.15</v>
      </c>
      <c r="O2925" s="241" t="n">
        <v>6.55</v>
      </c>
      <c r="P2925" s="241" t="n">
        <v>1.97</v>
      </c>
    </row>
    <row r="2926">
      <c r="A2926" s="282" t="inlineStr">
        <is>
          <t>2018-01-10</t>
        </is>
      </c>
      <c r="B2926" s="240">
        <f>IFERROR(1/P2926-1,B2925)</f>
        <v/>
      </c>
      <c r="C2926" s="240">
        <f>$C$3</f>
        <v/>
      </c>
      <c r="D2926" s="240">
        <f>$D$3</f>
        <v/>
      </c>
      <c r="E2926" s="240">
        <f>$E$3</f>
        <v/>
      </c>
      <c r="F2926" s="241" t="n">
        <v>11.13</v>
      </c>
      <c r="G2926" s="242" t="n">
        <v>18984617</v>
      </c>
      <c r="H2926" s="241" t="n">
        <v>-0.27</v>
      </c>
      <c r="I2926" s="241" t="n">
        <v>5.5</v>
      </c>
      <c r="J2926" s="241" t="n">
        <v>-0.89</v>
      </c>
      <c r="K2926" s="241" t="n">
        <v>5.76</v>
      </c>
      <c r="L2926" s="242" t="n">
        <v>2211400</v>
      </c>
      <c r="M2926" s="241" t="n">
        <v>1.17</v>
      </c>
      <c r="N2926" s="241" t="n">
        <v>13.46</v>
      </c>
      <c r="O2926" s="241" t="n">
        <v>7.8</v>
      </c>
      <c r="P2926" s="241" t="n">
        <v>1.93</v>
      </c>
    </row>
    <row r="2927">
      <c r="A2927" s="282" t="inlineStr">
        <is>
          <t>2018-01-11</t>
        </is>
      </c>
      <c r="B2927" s="240">
        <f>IFERROR(1/P2927-1,B2926)</f>
        <v/>
      </c>
      <c r="C2927" s="240">
        <f>$C$3</f>
        <v/>
      </c>
      <c r="D2927" s="240">
        <f>$D$3</f>
        <v/>
      </c>
      <c r="E2927" s="240">
        <f>$E$3</f>
        <v/>
      </c>
      <c r="F2927" s="241" t="n">
        <v>11.16</v>
      </c>
      <c r="G2927" s="242" t="n">
        <v>11652008</v>
      </c>
      <c r="H2927" s="241" t="n">
        <v>0.27</v>
      </c>
      <c r="I2927" s="241" t="n">
        <v>5.78</v>
      </c>
      <c r="J2927" s="241" t="n">
        <v>-0.62</v>
      </c>
      <c r="K2927" s="241" t="n">
        <v>5.73</v>
      </c>
      <c r="L2927" s="242" t="n">
        <v>1583600</v>
      </c>
      <c r="M2927" s="241" t="n">
        <v>-0.43</v>
      </c>
      <c r="N2927" s="241" t="n">
        <v>12.97</v>
      </c>
      <c r="O2927" s="241" t="n">
        <v>7.33</v>
      </c>
      <c r="P2927" s="241" t="n">
        <v>1.95</v>
      </c>
    </row>
    <row r="2928">
      <c r="A2928" s="282" t="inlineStr">
        <is>
          <t>2018-01-12</t>
        </is>
      </c>
      <c r="B2928" s="240">
        <f>IFERROR(1/P2928-1,B2927)</f>
        <v/>
      </c>
      <c r="C2928" s="240">
        <f>$C$3</f>
        <v/>
      </c>
      <c r="D2928" s="240">
        <f>$D$3</f>
        <v/>
      </c>
      <c r="E2928" s="240">
        <f>$E$3</f>
        <v/>
      </c>
      <c r="F2928" s="241" t="n">
        <v>11.29</v>
      </c>
      <c r="G2928" s="242" t="n">
        <v>21666697</v>
      </c>
      <c r="H2928" s="241" t="n">
        <v>1.16</v>
      </c>
      <c r="I2928" s="241" t="n">
        <v>6.71</v>
      </c>
      <c r="J2928" s="241" t="n">
        <v>0.53</v>
      </c>
      <c r="K2928" s="241" t="n">
        <v>5.7</v>
      </c>
      <c r="L2928" s="242" t="n">
        <v>1425200</v>
      </c>
      <c r="M2928" s="241" t="n">
        <v>-0.15</v>
      </c>
      <c r="N2928" s="241" t="n">
        <v>11.53</v>
      </c>
      <c r="O2928" s="241" t="n">
        <v>7.18</v>
      </c>
      <c r="P2928" s="241" t="n">
        <v>1.98</v>
      </c>
    </row>
    <row r="2929">
      <c r="A2929" s="282" t="inlineStr">
        <is>
          <t>2018-01-15</t>
        </is>
      </c>
      <c r="B2929" s="240">
        <f>IFERROR(1/P2929-1,B2928)</f>
        <v/>
      </c>
      <c r="C2929" s="240">
        <f>$C$3</f>
        <v/>
      </c>
      <c r="D2929" s="240">
        <f>$D$3</f>
        <v/>
      </c>
      <c r="E2929" s="240">
        <f>$E$3</f>
        <v/>
      </c>
      <c r="F2929" s="241" t="n">
        <v>10.7</v>
      </c>
      <c r="G2929" s="242" t="n">
        <v>29781018</v>
      </c>
      <c r="H2929" s="241" t="n">
        <v>-5.23</v>
      </c>
      <c r="I2929" s="241" t="n">
        <v>-0.65</v>
      </c>
      <c r="J2929" s="241" t="n">
        <v>-4.72</v>
      </c>
      <c r="K2929" s="241" t="n">
        <v>5.66</v>
      </c>
      <c r="L2929" s="242" t="n">
        <v>3381800</v>
      </c>
      <c r="M2929" s="241" t="n">
        <v>-0.15</v>
      </c>
      <c r="N2929" s="241" t="n">
        <v>9.06</v>
      </c>
      <c r="O2929" s="241" t="n">
        <v>7.02</v>
      </c>
      <c r="P2929" s="241" t="n">
        <v>1.89</v>
      </c>
    </row>
    <row r="2930">
      <c r="A2930" s="282" t="inlineStr">
        <is>
          <t>2018-01-16</t>
        </is>
      </c>
      <c r="B2930" s="240">
        <f>IFERROR(1/P2930-1,B2929)</f>
        <v/>
      </c>
      <c r="C2930" s="240">
        <f>$C$3</f>
        <v/>
      </c>
      <c r="D2930" s="240">
        <f>$D$3</f>
        <v/>
      </c>
      <c r="E2930" s="240">
        <f>$E$3</f>
        <v/>
      </c>
      <c r="F2930" s="241" t="n">
        <v>10.82</v>
      </c>
      <c r="G2930" s="242" t="n">
        <v>17300651</v>
      </c>
      <c r="H2930" s="241" t="n">
        <v>1.12</v>
      </c>
      <c r="I2930" s="241" t="n">
        <v>1.22</v>
      </c>
      <c r="J2930" s="241" t="n">
        <v>-3.65</v>
      </c>
      <c r="K2930" s="241" t="n">
        <v>5.68</v>
      </c>
      <c r="L2930" s="242" t="n">
        <v>3430600</v>
      </c>
      <c r="M2930" s="241" t="n">
        <v>0.58</v>
      </c>
      <c r="N2930" s="241" t="n">
        <v>9.699999999999999</v>
      </c>
      <c r="O2930" s="241" t="n">
        <v>7.64</v>
      </c>
      <c r="P2930" s="241" t="n">
        <v>1.91</v>
      </c>
    </row>
    <row r="2931">
      <c r="A2931" s="282" t="inlineStr">
        <is>
          <t>2018-01-17</t>
        </is>
      </c>
      <c r="B2931" s="240">
        <f>IFERROR(1/P2931-1,B2930)</f>
        <v/>
      </c>
      <c r="C2931" s="240">
        <f>$C$3</f>
        <v/>
      </c>
      <c r="D2931" s="240">
        <f>$D$3</f>
        <v/>
      </c>
      <c r="E2931" s="240">
        <f>$E$3</f>
        <v/>
      </c>
      <c r="F2931" s="241" t="n">
        <v>10.79</v>
      </c>
      <c r="G2931" s="242" t="n">
        <v>14799730</v>
      </c>
      <c r="H2931" s="241" t="n">
        <v>-0.28</v>
      </c>
      <c r="I2931" s="241" t="n">
        <v>0.9399999999999999</v>
      </c>
      <c r="J2931" s="241" t="n">
        <v>-3.92</v>
      </c>
      <c r="K2931" s="241" t="n">
        <v>5.6</v>
      </c>
      <c r="L2931" s="242" t="n">
        <v>2618810</v>
      </c>
      <c r="M2931" s="241" t="n">
        <v>-1.3</v>
      </c>
      <c r="N2931" s="241" t="n">
        <v>8.27</v>
      </c>
      <c r="O2931" s="241" t="n">
        <v>6.24</v>
      </c>
      <c r="P2931" s="241" t="n">
        <v>1.93</v>
      </c>
    </row>
    <row r="2932">
      <c r="A2932" s="282" t="inlineStr">
        <is>
          <t>2018-01-18</t>
        </is>
      </c>
      <c r="B2932" s="240">
        <f>IFERROR(1/P2932-1,B2931)</f>
        <v/>
      </c>
      <c r="C2932" s="240">
        <f>$C$3</f>
        <v/>
      </c>
      <c r="D2932" s="240">
        <f>$D$3</f>
        <v/>
      </c>
      <c r="E2932" s="240">
        <f>$E$3</f>
        <v/>
      </c>
      <c r="F2932" s="241" t="n">
        <v>10.79</v>
      </c>
      <c r="G2932" s="242" t="n">
        <v>10646866</v>
      </c>
      <c r="H2932" s="241" t="n">
        <v>0</v>
      </c>
      <c r="I2932" s="241" t="n">
        <v>0.9399999999999999</v>
      </c>
      <c r="J2932" s="241" t="n">
        <v>-3.92</v>
      </c>
      <c r="K2932" s="241" t="n">
        <v>5.68</v>
      </c>
      <c r="L2932" s="242" t="n">
        <v>2541800</v>
      </c>
      <c r="M2932" s="241" t="n">
        <v>1.17</v>
      </c>
      <c r="N2932" s="241" t="n">
        <v>9.539999999999999</v>
      </c>
      <c r="O2932" s="241" t="n">
        <v>7.49</v>
      </c>
      <c r="P2932" s="241" t="n">
        <v>1.9</v>
      </c>
    </row>
    <row r="2933">
      <c r="A2933" s="282" t="inlineStr">
        <is>
          <t>2018-01-19</t>
        </is>
      </c>
      <c r="B2933" s="240">
        <f>IFERROR(1/P2933-1,B2932)</f>
        <v/>
      </c>
      <c r="C2933" s="240">
        <f>$C$3</f>
        <v/>
      </c>
      <c r="D2933" s="240">
        <f>$D$3</f>
        <v/>
      </c>
      <c r="E2933" s="240">
        <f>$E$3</f>
        <v/>
      </c>
      <c r="F2933" s="241" t="n">
        <v>10.82</v>
      </c>
      <c r="G2933" s="242" t="n">
        <v>12752553</v>
      </c>
      <c r="H2933" s="241" t="n">
        <v>0.28</v>
      </c>
      <c r="I2933" s="241" t="n">
        <v>0.5600000000000001</v>
      </c>
      <c r="J2933" s="241" t="n">
        <v>-3.65</v>
      </c>
      <c r="K2933" s="241" t="n">
        <v>5.69</v>
      </c>
      <c r="L2933" s="242" t="n">
        <v>1732200</v>
      </c>
      <c r="M2933" s="241" t="n">
        <v>0.58</v>
      </c>
      <c r="N2933" s="241" t="n">
        <v>11.24</v>
      </c>
      <c r="O2933" s="241" t="n">
        <v>8.109999999999999</v>
      </c>
      <c r="P2933" s="241" t="n">
        <v>1.9</v>
      </c>
    </row>
    <row r="2934">
      <c r="A2934" s="282" t="inlineStr">
        <is>
          <t>2018-01-22</t>
        </is>
      </c>
      <c r="B2934" s="240">
        <f>IFERROR(1/P2934-1,B2933)</f>
        <v/>
      </c>
      <c r="C2934" s="240">
        <f>$C$3</f>
        <v/>
      </c>
      <c r="D2934" s="240">
        <f>$D$3</f>
        <v/>
      </c>
      <c r="E2934" s="240">
        <f>$E$3</f>
        <v/>
      </c>
      <c r="F2934" s="241" t="n">
        <v>10.97</v>
      </c>
      <c r="G2934" s="242" t="n">
        <v>13029691</v>
      </c>
      <c r="H2934" s="241" t="n">
        <v>1.39</v>
      </c>
      <c r="I2934" s="241" t="n">
        <v>2.91</v>
      </c>
      <c r="J2934" s="241" t="n">
        <v>-2.32</v>
      </c>
      <c r="K2934" s="241" t="n">
        <v>5.62</v>
      </c>
      <c r="L2934" s="242" t="n">
        <v>2404200</v>
      </c>
      <c r="M2934" s="241" t="n">
        <v>-1.15</v>
      </c>
      <c r="N2934" s="241" t="n">
        <v>9.779999999999999</v>
      </c>
      <c r="O2934" s="241" t="n">
        <v>6.86</v>
      </c>
      <c r="P2934" s="241" t="n">
        <v>1.95</v>
      </c>
    </row>
    <row r="2935">
      <c r="A2935" s="282" t="inlineStr">
        <is>
          <t>2018-01-23</t>
        </is>
      </c>
      <c r="B2935" s="240">
        <f>IFERROR(1/P2935-1,B2934)</f>
        <v/>
      </c>
      <c r="C2935" s="240">
        <f>$C$3</f>
        <v/>
      </c>
      <c r="D2935" s="240">
        <f>$D$3</f>
        <v/>
      </c>
      <c r="E2935" s="240">
        <f>$E$3</f>
        <v/>
      </c>
      <c r="F2935" s="241" t="n">
        <v>11.02</v>
      </c>
      <c r="G2935" s="242" t="n">
        <v>15414298</v>
      </c>
      <c r="H2935" s="241" t="n">
        <v>0.46</v>
      </c>
      <c r="I2935" s="241" t="n">
        <v>0.64</v>
      </c>
      <c r="J2935" s="241" t="n">
        <v>-1.87</v>
      </c>
      <c r="K2935" s="241" t="n">
        <v>5.57</v>
      </c>
      <c r="L2935" s="242" t="n">
        <v>2152400</v>
      </c>
      <c r="M2935" s="241" t="n">
        <v>-0.73</v>
      </c>
      <c r="N2935" s="241" t="n">
        <v>7.42</v>
      </c>
      <c r="O2935" s="241" t="n">
        <v>6.08</v>
      </c>
      <c r="P2935" s="241" t="n">
        <v>1.98</v>
      </c>
    </row>
    <row r="2936">
      <c r="A2936" s="282" t="inlineStr">
        <is>
          <t>2018-01-24</t>
        </is>
      </c>
      <c r="B2936" s="240">
        <f>IFERROR(1/P2936-1,B2935)</f>
        <v/>
      </c>
      <c r="C2936" s="240">
        <f>$C$3</f>
        <v/>
      </c>
      <c r="D2936" s="240">
        <f>$D$3</f>
        <v/>
      </c>
      <c r="E2936" s="240">
        <f>$E$3</f>
        <v/>
      </c>
      <c r="F2936" s="241" t="n">
        <v>11.14</v>
      </c>
      <c r="G2936" s="242" t="n">
        <v>16541072</v>
      </c>
      <c r="H2936" s="241" t="n">
        <v>1.09</v>
      </c>
      <c r="I2936" s="241" t="n">
        <v>1.74</v>
      </c>
      <c r="J2936" s="241" t="n">
        <v>-0.8</v>
      </c>
      <c r="K2936" s="241" t="n">
        <v>5.66</v>
      </c>
      <c r="L2936" s="242" t="n">
        <v>4192400</v>
      </c>
      <c r="M2936" s="241" t="n">
        <v>1.76</v>
      </c>
      <c r="N2936" s="241" t="n">
        <v>9.32</v>
      </c>
      <c r="O2936" s="241" t="n">
        <v>7.96</v>
      </c>
      <c r="P2936" s="241" t="n">
        <v>1.97</v>
      </c>
    </row>
    <row r="2937">
      <c r="A2937" s="282" t="inlineStr">
        <is>
          <t>2018-01-25</t>
        </is>
      </c>
      <c r="B2937" s="240">
        <f>IFERROR(1/P2937-1,B2936)</f>
        <v/>
      </c>
      <c r="C2937" s="240">
        <f>$C$3</f>
        <v/>
      </c>
      <c r="D2937" s="240">
        <f>$D$3</f>
        <v/>
      </c>
      <c r="E2937" s="240">
        <f>$E$3</f>
        <v/>
      </c>
      <c r="F2937" s="241" t="n">
        <v>11.24</v>
      </c>
      <c r="G2937" s="242" t="n">
        <v>22417205</v>
      </c>
      <c r="H2937" s="241" t="n">
        <v>0.9</v>
      </c>
      <c r="I2937" s="241" t="n">
        <v>2.65</v>
      </c>
      <c r="J2937" s="241" t="n">
        <v>0.09</v>
      </c>
      <c r="K2937" s="241" t="n">
        <v>6.15</v>
      </c>
      <c r="L2937" s="242" t="n">
        <v>14071000</v>
      </c>
      <c r="M2937" s="241" t="n">
        <v>8.960000000000001</v>
      </c>
      <c r="N2937" s="241" t="n">
        <v>19.12</v>
      </c>
      <c r="O2937" s="241" t="n">
        <v>17.63</v>
      </c>
      <c r="P2937" s="241" t="n">
        <v>1.83</v>
      </c>
    </row>
    <row r="2938">
      <c r="A2938" s="282" t="inlineStr">
        <is>
          <t>2018-01-26</t>
        </is>
      </c>
      <c r="B2938" s="240">
        <f>IFERROR(1/P2938-1,B2937)</f>
        <v/>
      </c>
      <c r="C2938" s="240">
        <f>$C$3</f>
        <v/>
      </c>
      <c r="D2938" s="240">
        <f>$D$3</f>
        <v/>
      </c>
      <c r="E2938" s="240">
        <f>$E$3</f>
        <v/>
      </c>
      <c r="F2938" s="241" t="n">
        <v>11.17</v>
      </c>
      <c r="G2938" s="242" t="n">
        <v>12780140</v>
      </c>
      <c r="H2938" s="241" t="n">
        <v>-0.62</v>
      </c>
      <c r="I2938" s="241" t="n">
        <v>2.01</v>
      </c>
      <c r="J2938" s="241" t="n">
        <v>-0.53</v>
      </c>
      <c r="K2938" s="241" t="n">
        <v>6.15</v>
      </c>
      <c r="L2938" s="242" t="n">
        <v>2865800</v>
      </c>
      <c r="M2938" s="241" t="n">
        <v>0.53</v>
      </c>
      <c r="N2938" s="241" t="n">
        <v>19.75</v>
      </c>
      <c r="O2938" s="241" t="n">
        <v>18.25</v>
      </c>
      <c r="P2938" s="241" t="n">
        <v>1.82</v>
      </c>
    </row>
    <row r="2939">
      <c r="A2939" s="282" t="inlineStr">
        <is>
          <t>2018-01-29</t>
        </is>
      </c>
      <c r="B2939" s="240">
        <f>IFERROR(1/P2939-1,B2938)</f>
        <v/>
      </c>
      <c r="C2939" s="240">
        <f>$C$3</f>
        <v/>
      </c>
      <c r="D2939" s="240">
        <f>$D$3</f>
        <v/>
      </c>
      <c r="E2939" s="240">
        <f>$E$3</f>
        <v/>
      </c>
      <c r="F2939" s="241" t="n">
        <v>11.08</v>
      </c>
      <c r="G2939" s="242" t="n">
        <v>17498000</v>
      </c>
      <c r="H2939" s="241" t="n">
        <v>-0.8100000000000001</v>
      </c>
      <c r="I2939" s="241" t="n">
        <v>-1.34</v>
      </c>
      <c r="J2939" s="241" t="n">
        <v>-1.34</v>
      </c>
      <c r="K2939" s="241" t="n">
        <v>6.19</v>
      </c>
      <c r="L2939" s="242" t="n">
        <v>3482600</v>
      </c>
      <c r="M2939" s="241" t="n">
        <v>0.92</v>
      </c>
      <c r="N2939" s="241" t="n">
        <v>19.16</v>
      </c>
      <c r="O2939" s="241" t="n">
        <v>19.34</v>
      </c>
      <c r="P2939" s="241" t="n">
        <v>1.79</v>
      </c>
    </row>
    <row r="2940">
      <c r="A2940" s="282" t="inlineStr">
        <is>
          <t>2018-01-30</t>
        </is>
      </c>
      <c r="B2940" s="240">
        <f>IFERROR(1/P2940-1,B2939)</f>
        <v/>
      </c>
      <c r="C2940" s="240">
        <f>$C$3</f>
        <v/>
      </c>
      <c r="D2940" s="240">
        <f>$D$3</f>
        <v/>
      </c>
      <c r="E2940" s="240">
        <f>$E$3</f>
        <v/>
      </c>
      <c r="F2940" s="241" t="n">
        <v>11.45</v>
      </c>
      <c r="G2940" s="242" t="n">
        <v>29884338</v>
      </c>
      <c r="H2940" s="241" t="n">
        <v>3.34</v>
      </c>
      <c r="I2940" s="241" t="n">
        <v>1.96</v>
      </c>
      <c r="J2940" s="241" t="n">
        <v>1.96</v>
      </c>
      <c r="K2940" s="241" t="n">
        <v>6.07</v>
      </c>
      <c r="L2940" s="242" t="n">
        <v>1831000</v>
      </c>
      <c r="M2940" s="241" t="n">
        <v>-1.96</v>
      </c>
      <c r="N2940" s="241" t="n">
        <v>17</v>
      </c>
      <c r="O2940" s="241" t="n">
        <v>17</v>
      </c>
      <c r="P2940" s="241" t="n">
        <v>1.89</v>
      </c>
    </row>
    <row r="2941">
      <c r="A2941" s="282" t="inlineStr">
        <is>
          <t>2018-01-31</t>
        </is>
      </c>
      <c r="B2941" s="240">
        <f>IFERROR(1/P2941-1,B2940)</f>
        <v/>
      </c>
      <c r="C2941" s="240">
        <f>$C$3</f>
        <v/>
      </c>
      <c r="D2941" s="240">
        <f>$D$3</f>
        <v/>
      </c>
      <c r="E2941" s="240">
        <f>$E$3</f>
        <v/>
      </c>
      <c r="F2941" s="241" t="n">
        <v>11.52</v>
      </c>
      <c r="G2941" s="242" t="n">
        <v>33023497</v>
      </c>
      <c r="H2941" s="241" t="n">
        <v>0.61</v>
      </c>
      <c r="I2941" s="241" t="n">
        <v>2.58</v>
      </c>
      <c r="J2941" s="241" t="n">
        <v>2.58</v>
      </c>
      <c r="K2941" s="241" t="n">
        <v>6.04</v>
      </c>
      <c r="L2941" s="242" t="n">
        <v>1832600</v>
      </c>
      <c r="M2941" s="241" t="n">
        <v>-0.53</v>
      </c>
      <c r="N2941" s="241" t="n">
        <v>16.38</v>
      </c>
      <c r="O2941" s="241" t="n">
        <v>16.38</v>
      </c>
      <c r="P2941" s="241" t="n">
        <v>1.91</v>
      </c>
    </row>
    <row r="2942">
      <c r="A2942" s="282" t="inlineStr">
        <is>
          <t>2018-02-01</t>
        </is>
      </c>
      <c r="B2942" s="240">
        <f>IFERROR(1/P2942-1,B2941)</f>
        <v/>
      </c>
      <c r="C2942" s="240">
        <f>$C$3</f>
        <v/>
      </c>
      <c r="D2942" s="240">
        <f>$D$3</f>
        <v/>
      </c>
      <c r="E2942" s="240">
        <f>$E$3</f>
        <v/>
      </c>
      <c r="F2942" s="241" t="n">
        <v>10.9</v>
      </c>
      <c r="G2942" s="242" t="n">
        <v>34013431</v>
      </c>
      <c r="H2942" s="241" t="n">
        <v>-5.38</v>
      </c>
      <c r="I2942" s="241" t="n">
        <v>-2.94</v>
      </c>
      <c r="J2942" s="241" t="n">
        <v>-2.94</v>
      </c>
      <c r="K2942" s="241" t="n">
        <v>5.83</v>
      </c>
      <c r="L2942" s="242" t="n">
        <v>1727600</v>
      </c>
      <c r="M2942" s="241" t="n">
        <v>-3.08</v>
      </c>
      <c r="N2942" s="241" t="n">
        <v>12.79</v>
      </c>
      <c r="O2942" s="241" t="n">
        <v>12.79</v>
      </c>
      <c r="P2942" s="241" t="n">
        <v>1.87</v>
      </c>
    </row>
    <row r="2943">
      <c r="A2943" s="282" t="inlineStr">
        <is>
          <t>2018-02-02</t>
        </is>
      </c>
      <c r="B2943" s="240">
        <f>IFERROR(1/P2943-1,B2942)</f>
        <v/>
      </c>
      <c r="C2943" s="240">
        <f>$C$3</f>
        <v/>
      </c>
      <c r="D2943" s="240">
        <f>$D$3</f>
        <v/>
      </c>
      <c r="E2943" s="240">
        <f>$E$3</f>
        <v/>
      </c>
      <c r="F2943" s="241" t="n">
        <v>10.9</v>
      </c>
      <c r="G2943" s="242" t="n">
        <v>0</v>
      </c>
      <c r="H2943" s="241" t="n">
        <v>0</v>
      </c>
      <c r="I2943" s="241" t="n">
        <v>-2.94</v>
      </c>
      <c r="J2943" s="241" t="n">
        <v>-2.94</v>
      </c>
      <c r="K2943" s="241" t="n">
        <v>5.97</v>
      </c>
      <c r="L2943" s="242" t="n">
        <v>2356200</v>
      </c>
      <c r="M2943" s="241" t="n">
        <v>2.63</v>
      </c>
      <c r="N2943" s="241" t="n">
        <v>15.76</v>
      </c>
      <c r="O2943" s="241" t="n">
        <v>15.76</v>
      </c>
      <c r="P2943" s="241" t="n">
        <v>1.83</v>
      </c>
    </row>
    <row r="2944">
      <c r="A2944" s="282" t="inlineStr">
        <is>
          <t>2018-02-05</t>
        </is>
      </c>
      <c r="B2944" s="240">
        <f>IFERROR(1/P2944-1,B2943)</f>
        <v/>
      </c>
      <c r="C2944" s="240">
        <f>$C$3</f>
        <v/>
      </c>
      <c r="D2944" s="240">
        <f>$D$3</f>
        <v/>
      </c>
      <c r="E2944" s="240">
        <f>$E$3</f>
        <v/>
      </c>
      <c r="F2944" s="241" t="n">
        <v>10.9</v>
      </c>
      <c r="G2944" s="242" t="n">
        <v>0</v>
      </c>
      <c r="H2944" s="241" t="n">
        <v>0</v>
      </c>
      <c r="I2944" s="241" t="n">
        <v>-2.33</v>
      </c>
      <c r="J2944" s="241" t="n">
        <v>-2.94</v>
      </c>
      <c r="K2944" s="241" t="n">
        <v>5.79</v>
      </c>
      <c r="L2944" s="242" t="n">
        <v>2910200</v>
      </c>
      <c r="M2944" s="241" t="n">
        <v>-3.23</v>
      </c>
      <c r="N2944" s="241" t="n">
        <v>7.32</v>
      </c>
      <c r="O2944" s="241" t="n">
        <v>12.01</v>
      </c>
      <c r="P2944" s="241" t="n">
        <v>1.88</v>
      </c>
    </row>
    <row r="2945">
      <c r="A2945" s="282" t="inlineStr">
        <is>
          <t>2018-02-06</t>
        </is>
      </c>
      <c r="B2945" s="240">
        <f>IFERROR(1/P2945-1,B2944)</f>
        <v/>
      </c>
      <c r="C2945" s="240">
        <f>$C$3</f>
        <v/>
      </c>
      <c r="D2945" s="240">
        <f>$D$3</f>
        <v/>
      </c>
      <c r="E2945" s="240">
        <f>$E$3</f>
        <v/>
      </c>
      <c r="F2945" s="241" t="n">
        <v>10.9</v>
      </c>
      <c r="G2945" s="242" t="n">
        <v>0</v>
      </c>
      <c r="H2945" s="241" t="n">
        <v>0</v>
      </c>
      <c r="I2945" s="241" t="n">
        <v>-3.2</v>
      </c>
      <c r="J2945" s="241" t="n">
        <v>-2.94</v>
      </c>
      <c r="K2945" s="241" t="n">
        <v>5.47</v>
      </c>
      <c r="L2945" s="242" t="n">
        <v>3978200</v>
      </c>
      <c r="M2945" s="241" t="n">
        <v>-5.57</v>
      </c>
      <c r="N2945" s="241" t="n">
        <v>1.04</v>
      </c>
      <c r="O2945" s="241" t="n">
        <v>5.77</v>
      </c>
      <c r="P2945" s="241" t="n">
        <v>1.99</v>
      </c>
    </row>
    <row r="2946">
      <c r="A2946" s="282" t="inlineStr">
        <is>
          <t>2018-02-07</t>
        </is>
      </c>
      <c r="B2946" s="240">
        <f>IFERROR(1/P2946-1,B2945)</f>
        <v/>
      </c>
      <c r="C2946" s="240">
        <f>$C$3</f>
        <v/>
      </c>
      <c r="D2946" s="240">
        <f>$D$3</f>
        <v/>
      </c>
      <c r="E2946" s="240">
        <f>$E$3</f>
        <v/>
      </c>
      <c r="F2946" s="241" t="n">
        <v>10.9</v>
      </c>
      <c r="G2946" s="242" t="n">
        <v>0</v>
      </c>
      <c r="H2946" s="241" t="n">
        <v>0</v>
      </c>
      <c r="I2946" s="241" t="n">
        <v>-3.2</v>
      </c>
      <c r="J2946" s="241" t="n">
        <v>-2.94</v>
      </c>
      <c r="K2946" s="241" t="n">
        <v>5.28</v>
      </c>
      <c r="L2946" s="242" t="n">
        <v>3235800</v>
      </c>
      <c r="M2946" s="241" t="n">
        <v>-3.24</v>
      </c>
      <c r="N2946" s="241" t="n">
        <v>-2.24</v>
      </c>
      <c r="O2946" s="241" t="n">
        <v>2.34</v>
      </c>
      <c r="P2946" s="241" t="n">
        <v>2.07</v>
      </c>
    </row>
    <row r="2947">
      <c r="A2947" s="282" t="inlineStr">
        <is>
          <t>2018-02-08</t>
        </is>
      </c>
      <c r="B2947" s="240">
        <f>IFERROR(1/P2947-1,B2946)</f>
        <v/>
      </c>
      <c r="C2947" s="240">
        <f>$C$3</f>
        <v/>
      </c>
      <c r="D2947" s="240">
        <f>$D$3</f>
        <v/>
      </c>
      <c r="E2947" s="240">
        <f>$E$3</f>
        <v/>
      </c>
      <c r="F2947" s="241" t="n">
        <v>10.9</v>
      </c>
      <c r="G2947" s="242" t="n">
        <v>0</v>
      </c>
      <c r="H2947" s="241" t="n">
        <v>0</v>
      </c>
      <c r="I2947" s="241" t="n">
        <v>-3.2</v>
      </c>
      <c r="J2947" s="241" t="n">
        <v>-2.94</v>
      </c>
      <c r="K2947" s="241" t="n">
        <v>5.29</v>
      </c>
      <c r="L2947" s="242" t="n">
        <v>1519200</v>
      </c>
      <c r="M2947" s="241" t="n">
        <v>0.3</v>
      </c>
      <c r="N2947" s="241" t="n">
        <v>-1.94</v>
      </c>
      <c r="O2947" s="241" t="n">
        <v>2.65</v>
      </c>
      <c r="P2947" s="241" t="n">
        <v>2.06</v>
      </c>
    </row>
    <row r="2948">
      <c r="A2948" s="282" t="inlineStr">
        <is>
          <t>2018-02-09</t>
        </is>
      </c>
      <c r="B2948" s="240">
        <f>IFERROR(1/P2948-1,B2947)</f>
        <v/>
      </c>
      <c r="C2948" s="240">
        <f>$C$3</f>
        <v/>
      </c>
      <c r="D2948" s="240">
        <f>$D$3</f>
        <v/>
      </c>
      <c r="E2948" s="240">
        <f>$E$3</f>
        <v/>
      </c>
      <c r="F2948" s="241" t="n">
        <v>9.81</v>
      </c>
      <c r="G2948" s="242" t="n">
        <v>17048295</v>
      </c>
      <c r="H2948" s="241" t="n">
        <v>-10</v>
      </c>
      <c r="I2948" s="241" t="n">
        <v>-13.95</v>
      </c>
      <c r="J2948" s="241" t="n">
        <v>-12.64</v>
      </c>
      <c r="K2948" s="241" t="n">
        <v>4.93</v>
      </c>
      <c r="L2948" s="242" t="n">
        <v>5975200</v>
      </c>
      <c r="M2948" s="241" t="n">
        <v>-7.29</v>
      </c>
      <c r="N2948" s="241" t="n">
        <v>-10.03</v>
      </c>
      <c r="O2948" s="241" t="n">
        <v>-4.84</v>
      </c>
      <c r="P2948" s="241" t="n">
        <v>1.99</v>
      </c>
    </row>
    <row r="2949">
      <c r="A2949" s="282" t="inlineStr">
        <is>
          <t>2018-02-12</t>
        </is>
      </c>
      <c r="B2949" s="240">
        <f>IFERROR(1/P2949-1,B2948)</f>
        <v/>
      </c>
      <c r="C2949" s="240">
        <f>$C$3</f>
        <v/>
      </c>
      <c r="D2949" s="240">
        <f>$D$3</f>
        <v/>
      </c>
      <c r="E2949" s="240">
        <f>$E$3</f>
        <v/>
      </c>
      <c r="F2949" s="241" t="n">
        <v>9.630000000000001</v>
      </c>
      <c r="G2949" s="242" t="n">
        <v>29355012</v>
      </c>
      <c r="H2949" s="241" t="n">
        <v>-1.83</v>
      </c>
      <c r="I2949" s="241" t="n">
        <v>-13.71</v>
      </c>
      <c r="J2949" s="241" t="n">
        <v>-14.25</v>
      </c>
      <c r="K2949" s="241" t="n">
        <v>4.85</v>
      </c>
      <c r="L2949" s="242" t="n">
        <v>2280200</v>
      </c>
      <c r="M2949" s="241" t="n">
        <v>-1.31</v>
      </c>
      <c r="N2949" s="241" t="n">
        <v>-12.5</v>
      </c>
      <c r="O2949" s="241" t="n">
        <v>-6.08</v>
      </c>
      <c r="P2949" s="241" t="n">
        <v>1.99</v>
      </c>
    </row>
    <row r="2950">
      <c r="A2950" s="282" t="inlineStr">
        <is>
          <t>2018-02-13</t>
        </is>
      </c>
      <c r="B2950" s="240">
        <f>IFERROR(1/P2950-1,B2949)</f>
        <v/>
      </c>
      <c r="C2950" s="240">
        <f>$C$3</f>
        <v/>
      </c>
      <c r="D2950" s="240">
        <f>$D$3</f>
        <v/>
      </c>
      <c r="E2950" s="240">
        <f>$E$3</f>
        <v/>
      </c>
      <c r="F2950" s="241" t="n">
        <v>9.66</v>
      </c>
      <c r="G2950" s="242" t="n">
        <v>13029512</v>
      </c>
      <c r="H2950" s="241" t="n">
        <v>0.31</v>
      </c>
      <c r="I2950" s="241" t="n">
        <v>-14.44</v>
      </c>
      <c r="J2950" s="241" t="n">
        <v>-13.98</v>
      </c>
      <c r="K2950" s="241" t="n">
        <v>5.01</v>
      </c>
      <c r="L2950" s="242" t="n">
        <v>1049400</v>
      </c>
      <c r="M2950" s="241" t="n">
        <v>2.82</v>
      </c>
      <c r="N2950" s="241" t="n">
        <v>-9.9</v>
      </c>
      <c r="O2950" s="241" t="n">
        <v>-3.43</v>
      </c>
      <c r="P2950" s="241" t="n">
        <v>1.93</v>
      </c>
    </row>
    <row r="2951">
      <c r="A2951" s="282" t="inlineStr">
        <is>
          <t>2018-02-14</t>
        </is>
      </c>
      <c r="B2951" s="240">
        <f>IFERROR(1/P2951-1,B2950)</f>
        <v/>
      </c>
      <c r="C2951" s="240">
        <f>$C$3</f>
        <v/>
      </c>
      <c r="D2951" s="240">
        <f>$D$3</f>
        <v/>
      </c>
      <c r="E2951" s="240">
        <f>$E$3</f>
        <v/>
      </c>
      <c r="F2951" s="241" t="n">
        <v>9.66</v>
      </c>
      <c r="G2951" s="242" t="n">
        <v>7469301</v>
      </c>
      <c r="H2951" s="241" t="n">
        <v>0</v>
      </c>
      <c r="I2951" s="241" t="n">
        <v>-14.44</v>
      </c>
      <c r="J2951" s="241" t="n">
        <v>-13.98</v>
      </c>
      <c r="K2951" s="241" t="n">
        <v>5.07</v>
      </c>
      <c r="L2951" s="242" t="n">
        <v>377200</v>
      </c>
      <c r="M2951" s="241" t="n">
        <v>0.97</v>
      </c>
      <c r="N2951" s="241" t="n">
        <v>-9.02</v>
      </c>
      <c r="O2951" s="241" t="n">
        <v>-2.5</v>
      </c>
      <c r="P2951" s="241" t="n">
        <v>1.91</v>
      </c>
    </row>
    <row r="2952">
      <c r="A2952" s="282" t="inlineStr">
        <is>
          <t>2018-02-22</t>
        </is>
      </c>
      <c r="B2952" s="240">
        <f>IFERROR(1/P2952-1,B2951)</f>
        <v/>
      </c>
      <c r="C2952" s="240">
        <f>$C$3</f>
        <v/>
      </c>
      <c r="D2952" s="240">
        <f>$D$3</f>
        <v/>
      </c>
      <c r="E2952" s="240">
        <f>$E$3</f>
        <v/>
      </c>
      <c r="F2952" s="241" t="n">
        <v>9.470000000000001</v>
      </c>
      <c r="G2952" s="242" t="n">
        <v>22600202</v>
      </c>
      <c r="H2952" s="241" t="n">
        <v>-1.97</v>
      </c>
      <c r="I2952" s="241" t="n">
        <v>-12.48</v>
      </c>
      <c r="J2952" s="241" t="n">
        <v>-15.67</v>
      </c>
      <c r="K2952" s="241" t="n">
        <v>5.1</v>
      </c>
      <c r="L2952" s="242" t="n">
        <v>1085200</v>
      </c>
      <c r="M2952" s="241" t="n">
        <v>-1.57</v>
      </c>
      <c r="N2952" s="241" t="n">
        <v>-9.380000000000001</v>
      </c>
      <c r="O2952" s="241" t="n">
        <v>-2.03</v>
      </c>
      <c r="P2952" s="241" t="n">
        <v>1.86</v>
      </c>
    </row>
    <row r="2953">
      <c r="A2953" s="282" t="inlineStr">
        <is>
          <t>2018-02-23</t>
        </is>
      </c>
      <c r="B2953" s="240">
        <f>IFERROR(1/P2953-1,B2952)</f>
        <v/>
      </c>
      <c r="C2953" s="240">
        <f>$C$3</f>
        <v/>
      </c>
      <c r="D2953" s="240">
        <f>$D$3</f>
        <v/>
      </c>
      <c r="E2953" s="240">
        <f>$E$3</f>
        <v/>
      </c>
      <c r="F2953" s="241" t="n">
        <v>9.4</v>
      </c>
      <c r="G2953" s="242" t="n">
        <v>24528318</v>
      </c>
      <c r="H2953" s="241" t="n">
        <v>-0.74</v>
      </c>
      <c r="I2953" s="241" t="n">
        <v>-14.31</v>
      </c>
      <c r="J2953" s="241" t="n">
        <v>-16.3</v>
      </c>
      <c r="K2953" s="241" t="n">
        <v>5.19</v>
      </c>
      <c r="L2953" s="242" t="n">
        <v>1416600</v>
      </c>
      <c r="M2953" s="241" t="n">
        <v>1.91</v>
      </c>
      <c r="N2953" s="241" t="n">
        <v>-6.57</v>
      </c>
      <c r="O2953" s="241" t="n">
        <v>-0.16</v>
      </c>
      <c r="P2953" s="241" t="n">
        <v>1.81</v>
      </c>
    </row>
    <row r="2954">
      <c r="A2954" s="282" t="inlineStr">
        <is>
          <t>2018-02-26</t>
        </is>
      </c>
      <c r="B2954" s="240">
        <f>IFERROR(1/P2954-1,B2953)</f>
        <v/>
      </c>
      <c r="C2954" s="240">
        <f>$C$3</f>
        <v/>
      </c>
      <c r="D2954" s="240">
        <f>$D$3</f>
        <v/>
      </c>
      <c r="E2954" s="240">
        <f>$E$3</f>
        <v/>
      </c>
      <c r="F2954" s="241" t="n">
        <v>9.57</v>
      </c>
      <c r="G2954" s="242" t="n">
        <v>28472232</v>
      </c>
      <c r="H2954" s="241" t="n">
        <v>1.81</v>
      </c>
      <c r="I2954" s="241" t="n">
        <v>-14.86</v>
      </c>
      <c r="J2954" s="241" t="n">
        <v>-14.78</v>
      </c>
      <c r="K2954" s="241" t="n">
        <v>5.18</v>
      </c>
      <c r="L2954" s="242" t="n">
        <v>1012600</v>
      </c>
      <c r="M2954" s="241" t="n">
        <v>-0.16</v>
      </c>
      <c r="N2954" s="241" t="n">
        <v>-15.25</v>
      </c>
      <c r="O2954" s="241" t="n">
        <v>-0.31</v>
      </c>
      <c r="P2954" s="241" t="n">
        <v>1.85</v>
      </c>
    </row>
    <row r="2955">
      <c r="A2955" s="282" t="inlineStr">
        <is>
          <t>2018-02-27</t>
        </is>
      </c>
      <c r="B2955" s="240">
        <f>IFERROR(1/P2955-1,B2954)</f>
        <v/>
      </c>
      <c r="C2955" s="240">
        <f>$C$3</f>
        <v/>
      </c>
      <c r="D2955" s="240">
        <f>$D$3</f>
        <v/>
      </c>
      <c r="E2955" s="240">
        <f>$E$3</f>
        <v/>
      </c>
      <c r="F2955" s="241" t="n">
        <v>9.51</v>
      </c>
      <c r="G2955" s="242" t="n">
        <v>18661655</v>
      </c>
      <c r="H2955" s="241" t="n">
        <v>-0.63</v>
      </c>
      <c r="I2955" s="241" t="n">
        <v>-14.86</v>
      </c>
      <c r="J2955" s="241" t="n">
        <v>-15.32</v>
      </c>
      <c r="K2955" s="241" t="n">
        <v>5.14</v>
      </c>
      <c r="L2955" s="242" t="n">
        <v>1340600</v>
      </c>
      <c r="M2955" s="241" t="n">
        <v>-0.31</v>
      </c>
      <c r="N2955" s="241" t="n">
        <v>-15.96</v>
      </c>
      <c r="O2955" s="241" t="n">
        <v>-0.62</v>
      </c>
      <c r="P2955" s="241" t="n">
        <v>1.85</v>
      </c>
    </row>
    <row r="2956">
      <c r="A2956" s="282" t="inlineStr">
        <is>
          <t>2018-02-28</t>
        </is>
      </c>
      <c r="B2956" s="240">
        <f>IFERROR(1/P2956-1,B2955)</f>
        <v/>
      </c>
      <c r="C2956" s="240">
        <f>$C$3</f>
        <v/>
      </c>
      <c r="D2956" s="240">
        <f>$D$3</f>
        <v/>
      </c>
      <c r="E2956" s="240">
        <f>$E$3</f>
        <v/>
      </c>
      <c r="F2956" s="241" t="n">
        <v>9.49</v>
      </c>
      <c r="G2956" s="242" t="n">
        <v>14501546</v>
      </c>
      <c r="H2956" s="241" t="n">
        <v>-0.21</v>
      </c>
      <c r="I2956" s="241" t="n">
        <v>-15.04</v>
      </c>
      <c r="J2956" s="241" t="n">
        <v>-15.49</v>
      </c>
      <c r="K2956" s="241" t="n">
        <v>5.28</v>
      </c>
      <c r="L2956" s="242" t="n">
        <v>1266000</v>
      </c>
      <c r="M2956" s="241" t="n">
        <v>2.51</v>
      </c>
      <c r="N2956" s="241" t="n">
        <v>-13.85</v>
      </c>
      <c r="O2956" s="241" t="n">
        <v>1.87</v>
      </c>
      <c r="P2956" s="241" t="n">
        <v>1.8</v>
      </c>
    </row>
    <row r="2957">
      <c r="A2957" s="282" t="inlineStr">
        <is>
          <t>2018-03-01</t>
        </is>
      </c>
      <c r="B2957" s="240">
        <f>IFERROR(1/P2957-1,B2956)</f>
        <v/>
      </c>
      <c r="C2957" s="240">
        <f>$C$3</f>
        <v/>
      </c>
      <c r="D2957" s="240">
        <f>$D$3</f>
        <v/>
      </c>
      <c r="E2957" s="240">
        <f>$E$3</f>
        <v/>
      </c>
      <c r="F2957" s="241" t="n">
        <v>9.5</v>
      </c>
      <c r="G2957" s="242" t="n">
        <v>11211171</v>
      </c>
      <c r="H2957" s="241" t="n">
        <v>0.11</v>
      </c>
      <c r="I2957" s="241" t="n">
        <v>-17.53</v>
      </c>
      <c r="J2957" s="241" t="n">
        <v>-15.41</v>
      </c>
      <c r="K2957" s="241" t="n">
        <v>5.24</v>
      </c>
      <c r="L2957" s="242" t="n">
        <v>1856680</v>
      </c>
      <c r="M2957" s="241" t="n">
        <v>-0.92</v>
      </c>
      <c r="N2957" s="241" t="n">
        <v>-13.27</v>
      </c>
      <c r="O2957" s="241" t="n">
        <v>0.9399999999999999</v>
      </c>
      <c r="P2957" s="241" t="n">
        <v>1.81</v>
      </c>
    </row>
    <row r="2958">
      <c r="A2958" s="282" t="inlineStr">
        <is>
          <t>2018-03-02</t>
        </is>
      </c>
      <c r="B2958" s="240">
        <f>IFERROR(1/P2958-1,B2957)</f>
        <v/>
      </c>
      <c r="C2958" s="240">
        <f>$C$3</f>
        <v/>
      </c>
      <c r="D2958" s="240">
        <f>$D$3</f>
        <v/>
      </c>
      <c r="E2958" s="240">
        <f>$E$3</f>
        <v/>
      </c>
      <c r="F2958" s="241" t="n">
        <v>9.67</v>
      </c>
      <c r="G2958" s="242" t="n">
        <v>23753330</v>
      </c>
      <c r="H2958" s="241" t="n">
        <v>1.79</v>
      </c>
      <c r="I2958" s="241" t="n">
        <v>-11.28</v>
      </c>
      <c r="J2958" s="241" t="n">
        <v>-13.89</v>
      </c>
      <c r="K2958" s="241" t="n">
        <v>5.41</v>
      </c>
      <c r="L2958" s="242" t="n">
        <v>1463600</v>
      </c>
      <c r="M2958" s="241" t="n">
        <v>3.25</v>
      </c>
      <c r="N2958" s="241" t="n">
        <v>-7.61</v>
      </c>
      <c r="O2958" s="241" t="n">
        <v>4.21</v>
      </c>
      <c r="P2958" s="241" t="n">
        <v>1.79</v>
      </c>
    </row>
    <row r="2959">
      <c r="A2959" s="282" t="inlineStr">
        <is>
          <t>2018-03-05</t>
        </is>
      </c>
      <c r="B2959" s="240">
        <f>IFERROR(1/P2959-1,B2958)</f>
        <v/>
      </c>
      <c r="C2959" s="240">
        <f>$C$3</f>
        <v/>
      </c>
      <c r="D2959" s="240">
        <f>$D$3</f>
        <v/>
      </c>
      <c r="E2959" s="240">
        <f>$E$3</f>
        <v/>
      </c>
      <c r="F2959" s="241" t="n">
        <v>9.66</v>
      </c>
      <c r="G2959" s="242" t="n">
        <v>10948745</v>
      </c>
      <c r="H2959" s="241" t="n">
        <v>-0.1</v>
      </c>
      <c r="I2959" s="241" t="n">
        <v>-11.38</v>
      </c>
      <c r="J2959" s="241" t="n">
        <v>-13.98</v>
      </c>
      <c r="K2959" s="241" t="n">
        <v>5.23</v>
      </c>
      <c r="L2959" s="242" t="n">
        <v>1245800</v>
      </c>
      <c r="M2959" s="241" t="n">
        <v>-3.29</v>
      </c>
      <c r="N2959" s="241" t="n">
        <v>-12.94</v>
      </c>
      <c r="O2959" s="241" t="n">
        <v>0.78</v>
      </c>
      <c r="P2959" s="241" t="n">
        <v>1.85</v>
      </c>
    </row>
    <row r="2960">
      <c r="A2960" s="282" t="inlineStr">
        <is>
          <t>2018-03-06</t>
        </is>
      </c>
      <c r="B2960" s="240">
        <f>IFERROR(1/P2960-1,B2959)</f>
        <v/>
      </c>
      <c r="C2960" s="240">
        <f>$C$3</f>
        <v/>
      </c>
      <c r="D2960" s="240">
        <f>$D$3</f>
        <v/>
      </c>
      <c r="E2960" s="240">
        <f>$E$3</f>
        <v/>
      </c>
      <c r="F2960" s="241" t="n">
        <v>9.75</v>
      </c>
      <c r="G2960" s="242" t="n">
        <v>13110050</v>
      </c>
      <c r="H2960" s="241" t="n">
        <v>0.93</v>
      </c>
      <c r="I2960" s="241" t="n">
        <v>-10.55</v>
      </c>
      <c r="J2960" s="241" t="n">
        <v>-13.18</v>
      </c>
      <c r="K2960" s="241" t="n">
        <v>5.42</v>
      </c>
      <c r="L2960" s="242" t="n">
        <v>794800</v>
      </c>
      <c r="M2960" s="241" t="n">
        <v>3.72</v>
      </c>
      <c r="N2960" s="241" t="n">
        <v>-6.69</v>
      </c>
      <c r="O2960" s="241" t="n">
        <v>4.52</v>
      </c>
      <c r="P2960" s="241" t="n">
        <v>1.8</v>
      </c>
    </row>
    <row r="2961">
      <c r="A2961" s="282" t="inlineStr">
        <is>
          <t>2018-03-07</t>
        </is>
      </c>
      <c r="B2961" s="240">
        <f>IFERROR(1/P2961-1,B2960)</f>
        <v/>
      </c>
      <c r="C2961" s="240">
        <f>$C$3</f>
        <v/>
      </c>
      <c r="D2961" s="240">
        <f>$D$3</f>
        <v/>
      </c>
      <c r="E2961" s="240">
        <f>$E$3</f>
        <v/>
      </c>
      <c r="F2961" s="241" t="n">
        <v>9.609999999999999</v>
      </c>
      <c r="G2961" s="242" t="n">
        <v>12713814</v>
      </c>
      <c r="H2961" s="241" t="n">
        <v>-1.44</v>
      </c>
      <c r="I2961" s="241" t="n">
        <v>-11.83</v>
      </c>
      <c r="J2961" s="241" t="n">
        <v>-14.43</v>
      </c>
      <c r="K2961" s="241" t="n">
        <v>5.34</v>
      </c>
      <c r="L2961" s="242" t="n">
        <v>624200</v>
      </c>
      <c r="M2961" s="241" t="n">
        <v>-1.34</v>
      </c>
      <c r="N2961" s="241" t="n">
        <v>-2.51</v>
      </c>
      <c r="O2961" s="241" t="n">
        <v>3.12</v>
      </c>
      <c r="P2961" s="241" t="n">
        <v>1.8</v>
      </c>
    </row>
    <row r="2962">
      <c r="A2962" s="282" t="inlineStr">
        <is>
          <t>2018-03-08</t>
        </is>
      </c>
      <c r="B2962" s="240">
        <f>IFERROR(1/P2962-1,B2961)</f>
        <v/>
      </c>
      <c r="C2962" s="240">
        <f>$C$3</f>
        <v/>
      </c>
      <c r="D2962" s="240">
        <f>$D$3</f>
        <v/>
      </c>
      <c r="E2962" s="240">
        <f>$E$3</f>
        <v/>
      </c>
      <c r="F2962" s="241" t="n">
        <v>9.800000000000001</v>
      </c>
      <c r="G2962" s="242" t="n">
        <v>11383499</v>
      </c>
      <c r="H2962" s="241" t="n">
        <v>1.98</v>
      </c>
      <c r="I2962" s="241" t="n">
        <v>-10.09</v>
      </c>
      <c r="J2962" s="241" t="n">
        <v>-12.73</v>
      </c>
      <c r="K2962" s="241" t="n">
        <v>5.33</v>
      </c>
      <c r="L2962" s="242" t="n">
        <v>851800</v>
      </c>
      <c r="M2962" s="241" t="n">
        <v>-0.15</v>
      </c>
      <c r="N2962" s="241" t="n">
        <v>0.61</v>
      </c>
      <c r="O2962" s="241" t="n">
        <v>2.96</v>
      </c>
      <c r="P2962" s="241" t="n">
        <v>1.84</v>
      </c>
    </row>
    <row r="2963">
      <c r="A2963" s="282" t="inlineStr">
        <is>
          <t>2018-03-09</t>
        </is>
      </c>
      <c r="B2963" s="240">
        <f>IFERROR(1/P2963-1,B2962)</f>
        <v/>
      </c>
      <c r="C2963" s="240">
        <f>$C$3</f>
        <v/>
      </c>
      <c r="D2963" s="240">
        <f>$D$3</f>
        <v/>
      </c>
      <c r="E2963" s="240">
        <f>$E$3</f>
        <v/>
      </c>
      <c r="F2963" s="241" t="n">
        <v>9.9</v>
      </c>
      <c r="G2963" s="242" t="n">
        <v>14888430</v>
      </c>
      <c r="H2963" s="241" t="n">
        <v>1.02</v>
      </c>
      <c r="I2963" s="241" t="n">
        <v>-9.17</v>
      </c>
      <c r="J2963" s="241" t="n">
        <v>-11.84</v>
      </c>
      <c r="K2963" s="241" t="n">
        <v>5.35</v>
      </c>
      <c r="L2963" s="242" t="n">
        <v>419200</v>
      </c>
      <c r="M2963" s="241" t="n">
        <v>0.15</v>
      </c>
      <c r="N2963" s="241" t="n">
        <v>0.46</v>
      </c>
      <c r="O2963" s="241" t="n">
        <v>3.12</v>
      </c>
      <c r="P2963" s="241" t="n">
        <v>1.85</v>
      </c>
    </row>
    <row r="2964">
      <c r="A2964" s="282" t="inlineStr">
        <is>
          <t>2018-03-12</t>
        </is>
      </c>
      <c r="B2964" s="240">
        <f>IFERROR(1/P2964-1,B2963)</f>
        <v/>
      </c>
      <c r="C2964" s="240">
        <f>$C$3</f>
        <v/>
      </c>
      <c r="D2964" s="240">
        <f>$D$3</f>
        <v/>
      </c>
      <c r="E2964" s="240">
        <f>$E$3</f>
        <v/>
      </c>
      <c r="F2964" s="241" t="n">
        <v>9.92</v>
      </c>
      <c r="G2964" s="242" t="n">
        <v>11689739</v>
      </c>
      <c r="H2964" s="241" t="n">
        <v>0.2</v>
      </c>
      <c r="I2964" s="241" t="n">
        <v>1.12</v>
      </c>
      <c r="J2964" s="241" t="n">
        <v>-11.67</v>
      </c>
      <c r="K2964" s="241" t="n">
        <v>5.38</v>
      </c>
      <c r="L2964" s="242" t="n">
        <v>771800</v>
      </c>
      <c r="M2964" s="241" t="n">
        <v>0.76</v>
      </c>
      <c r="N2964" s="241" t="n">
        <v>9.18</v>
      </c>
      <c r="O2964" s="241" t="n">
        <v>3.9</v>
      </c>
      <c r="P2964" s="241" t="n">
        <v>1.84</v>
      </c>
    </row>
    <row r="2965">
      <c r="A2965" s="282" t="inlineStr">
        <is>
          <t>2018-03-13</t>
        </is>
      </c>
      <c r="B2965" s="240">
        <f>IFERROR(1/P2965-1,B2964)</f>
        <v/>
      </c>
      <c r="C2965" s="240">
        <f>$C$3</f>
        <v/>
      </c>
      <c r="D2965" s="240">
        <f>$D$3</f>
        <v/>
      </c>
      <c r="E2965" s="240">
        <f>$E$3</f>
        <v/>
      </c>
      <c r="F2965" s="241" t="n">
        <v>9.76</v>
      </c>
      <c r="G2965" s="242" t="n">
        <v>13132381</v>
      </c>
      <c r="H2965" s="241" t="n">
        <v>-1.61</v>
      </c>
      <c r="I2965" s="241" t="n">
        <v>1.35</v>
      </c>
      <c r="J2965" s="241" t="n">
        <v>-13.09</v>
      </c>
      <c r="K2965" s="241" t="n">
        <v>5.39</v>
      </c>
      <c r="L2965" s="242" t="n">
        <v>561000</v>
      </c>
      <c r="M2965" s="241" t="n">
        <v>0.3</v>
      </c>
      <c r="N2965" s="241" t="n">
        <v>10.96</v>
      </c>
      <c r="O2965" s="241" t="n">
        <v>4.21</v>
      </c>
      <c r="P2965" s="241" t="n">
        <v>1.81</v>
      </c>
    </row>
    <row r="2966">
      <c r="A2966" s="282" t="inlineStr">
        <is>
          <t>2018-03-14</t>
        </is>
      </c>
      <c r="B2966" s="240">
        <f>IFERROR(1/P2966-1,B2965)</f>
        <v/>
      </c>
      <c r="C2966" s="240">
        <f>$C$3</f>
        <v/>
      </c>
      <c r="D2966" s="240">
        <f>$D$3</f>
        <v/>
      </c>
      <c r="E2966" s="240">
        <f>$E$3</f>
        <v/>
      </c>
      <c r="F2966" s="241" t="n">
        <v>9.76</v>
      </c>
      <c r="G2966" s="242" t="n">
        <v>7789073</v>
      </c>
      <c r="H2966" s="241" t="n">
        <v>0</v>
      </c>
      <c r="I2966" s="241" t="n">
        <v>1.04</v>
      </c>
      <c r="J2966" s="241" t="n">
        <v>-13.09</v>
      </c>
      <c r="K2966" s="241" t="n">
        <v>5.34</v>
      </c>
      <c r="L2966" s="242" t="n">
        <v>731640</v>
      </c>
      <c r="M2966" s="241" t="n">
        <v>-0.9</v>
      </c>
      <c r="N2966" s="241" t="n">
        <v>6.95</v>
      </c>
      <c r="O2966" s="241" t="n">
        <v>3.28</v>
      </c>
      <c r="P2966" s="241" t="n">
        <v>1.83</v>
      </c>
    </row>
    <row r="2967">
      <c r="A2967" s="282" t="inlineStr">
        <is>
          <t>2018-03-15</t>
        </is>
      </c>
      <c r="B2967" s="240">
        <f>IFERROR(1/P2967-1,B2966)</f>
        <v/>
      </c>
      <c r="C2967" s="240">
        <f>$C$3</f>
        <v/>
      </c>
      <c r="D2967" s="240">
        <f>$D$3</f>
        <v/>
      </c>
      <c r="E2967" s="240">
        <f>$E$3</f>
        <v/>
      </c>
      <c r="F2967" s="241" t="n">
        <v>9.630000000000001</v>
      </c>
      <c r="G2967" s="242" t="n">
        <v>10142681</v>
      </c>
      <c r="H2967" s="241" t="n">
        <v>-1.33</v>
      </c>
      <c r="I2967" s="241" t="n">
        <v>-0.31</v>
      </c>
      <c r="J2967" s="241" t="n">
        <v>-14.25</v>
      </c>
      <c r="K2967" s="241" t="n">
        <v>5.23</v>
      </c>
      <c r="L2967" s="242" t="n">
        <v>798000</v>
      </c>
      <c r="M2967" s="241" t="n">
        <v>-1.81</v>
      </c>
      <c r="N2967" s="241" t="n">
        <v>4</v>
      </c>
      <c r="O2967" s="241" t="n">
        <v>1.4</v>
      </c>
      <c r="P2967" s="241" t="n">
        <v>1.84</v>
      </c>
    </row>
    <row r="2968">
      <c r="A2968" s="282" t="inlineStr">
        <is>
          <t>2018-03-16</t>
        </is>
      </c>
      <c r="B2968" s="240">
        <f>IFERROR(1/P2968-1,B2967)</f>
        <v/>
      </c>
      <c r="C2968" s="240">
        <f>$C$3</f>
        <v/>
      </c>
      <c r="D2968" s="240">
        <f>$D$3</f>
        <v/>
      </c>
      <c r="E2968" s="240">
        <f>$E$3</f>
        <v/>
      </c>
      <c r="F2968" s="241" t="n">
        <v>9.609999999999999</v>
      </c>
      <c r="G2968" s="242" t="n">
        <v>7671548</v>
      </c>
      <c r="H2968" s="241" t="n">
        <v>-0.21</v>
      </c>
      <c r="I2968" s="241" t="n">
        <v>-0.52</v>
      </c>
      <c r="J2968" s="241" t="n">
        <v>-14.43</v>
      </c>
      <c r="K2968" s="241" t="n">
        <v>5.18</v>
      </c>
      <c r="L2968" s="242" t="n">
        <v>2148400</v>
      </c>
      <c r="M2968" s="241" t="n">
        <v>-1.38</v>
      </c>
      <c r="N2968" s="241" t="n">
        <v>1.42</v>
      </c>
      <c r="O2968" s="241" t="n">
        <v>0</v>
      </c>
      <c r="P2968" s="241" t="n">
        <v>1.86</v>
      </c>
    </row>
    <row r="2969">
      <c r="A2969" s="282" t="inlineStr">
        <is>
          <t>2018-03-19</t>
        </is>
      </c>
      <c r="B2969" s="240">
        <f>IFERROR(1/P2969-1,B2968)</f>
        <v/>
      </c>
      <c r="C2969" s="240">
        <f>$C$3</f>
        <v/>
      </c>
      <c r="D2969" s="240">
        <f>$D$3</f>
        <v/>
      </c>
      <c r="E2969" s="240">
        <f>$E$3</f>
        <v/>
      </c>
      <c r="F2969" s="241" t="n">
        <v>9.51</v>
      </c>
      <c r="G2969" s="242" t="n">
        <v>12271820</v>
      </c>
      <c r="H2969" s="241" t="n">
        <v>-1.04</v>
      </c>
      <c r="I2969" s="241" t="n">
        <v>-1.55</v>
      </c>
      <c r="J2969" s="241" t="n">
        <v>-15.32</v>
      </c>
      <c r="K2969" s="241" t="n">
        <v>5.09</v>
      </c>
      <c r="L2969" s="242" t="n">
        <v>997200</v>
      </c>
      <c r="M2969" s="241" t="n">
        <v>-1.72</v>
      </c>
      <c r="N2969" s="241" t="n">
        <v>-0.32</v>
      </c>
      <c r="O2969" s="241" t="n">
        <v>-1.72</v>
      </c>
      <c r="P2969" s="241" t="n">
        <v>1.87</v>
      </c>
    </row>
    <row r="2970">
      <c r="A2970" s="282" t="inlineStr">
        <is>
          <t>2018-03-20</t>
        </is>
      </c>
      <c r="B2970" s="240">
        <f>IFERROR(1/P2970-1,B2969)</f>
        <v/>
      </c>
      <c r="C2970" s="240">
        <f>$C$3</f>
        <v/>
      </c>
      <c r="D2970" s="240">
        <f>$D$3</f>
        <v/>
      </c>
      <c r="E2970" s="240">
        <f>$E$3</f>
        <v/>
      </c>
      <c r="F2970" s="241" t="n">
        <v>9.51</v>
      </c>
      <c r="G2970" s="242" t="n">
        <v>8154750</v>
      </c>
      <c r="H2970" s="241" t="n">
        <v>0</v>
      </c>
      <c r="I2970" s="241" t="n">
        <v>-1.55</v>
      </c>
      <c r="J2970" s="241" t="n">
        <v>-15.32</v>
      </c>
      <c r="K2970" s="241" t="n">
        <v>5.01</v>
      </c>
      <c r="L2970" s="242" t="n">
        <v>2383400</v>
      </c>
      <c r="M2970" s="241" t="n">
        <v>-1.43</v>
      </c>
      <c r="N2970" s="241" t="n">
        <v>-1.74</v>
      </c>
      <c r="O2970" s="241" t="n">
        <v>-3.12</v>
      </c>
      <c r="P2970" s="241" t="n">
        <v>1.9</v>
      </c>
    </row>
    <row r="2971">
      <c r="A2971" s="282" t="inlineStr">
        <is>
          <t>2018-03-21</t>
        </is>
      </c>
      <c r="B2971" s="240">
        <f>IFERROR(1/P2971-1,B2970)</f>
        <v/>
      </c>
      <c r="C2971" s="240">
        <f>$C$3</f>
        <v/>
      </c>
      <c r="D2971" s="240">
        <f>$D$3</f>
        <v/>
      </c>
      <c r="E2971" s="240">
        <f>$E$3</f>
        <v/>
      </c>
      <c r="F2971" s="241" t="n">
        <v>9.449999999999999</v>
      </c>
      <c r="G2971" s="242" t="n">
        <v>8014048</v>
      </c>
      <c r="H2971" s="241" t="n">
        <v>-0.63</v>
      </c>
      <c r="I2971" s="241" t="n">
        <v>-2.17</v>
      </c>
      <c r="J2971" s="241" t="n">
        <v>-15.85</v>
      </c>
      <c r="K2971" s="241" t="n">
        <v>4.95</v>
      </c>
      <c r="L2971" s="242" t="n">
        <v>1213400</v>
      </c>
      <c r="M2971" s="241" t="n">
        <v>-1.29</v>
      </c>
      <c r="N2971" s="241" t="n">
        <v>-3.16</v>
      </c>
      <c r="O2971" s="241" t="n">
        <v>-4.37</v>
      </c>
      <c r="P2971" s="241" t="n">
        <v>1.91</v>
      </c>
    </row>
    <row r="2972">
      <c r="A2972" s="282" t="inlineStr">
        <is>
          <t>2018-03-22</t>
        </is>
      </c>
      <c r="B2972" s="240">
        <f>IFERROR(1/P2972-1,B2971)</f>
        <v/>
      </c>
      <c r="C2972" s="240">
        <f>$C$3</f>
        <v/>
      </c>
      <c r="D2972" s="240">
        <f>$D$3</f>
        <v/>
      </c>
      <c r="E2972" s="240">
        <f>$E$3</f>
        <v/>
      </c>
      <c r="F2972" s="241" t="n">
        <v>9.380000000000001</v>
      </c>
      <c r="G2972" s="242" t="n">
        <v>8159824</v>
      </c>
      <c r="H2972" s="241" t="n">
        <v>-0.74</v>
      </c>
      <c r="I2972" s="241" t="n">
        <v>-2.9</v>
      </c>
      <c r="J2972" s="241" t="n">
        <v>-16.47</v>
      </c>
      <c r="K2972" s="241" t="n">
        <v>4.94</v>
      </c>
      <c r="L2972" s="242" t="n">
        <v>1325600</v>
      </c>
      <c r="M2972" s="241" t="n">
        <v>0.16</v>
      </c>
      <c r="N2972" s="241" t="n">
        <v>-3.76</v>
      </c>
      <c r="O2972" s="241" t="n">
        <v>-4.21</v>
      </c>
      <c r="P2972" s="241" t="n">
        <v>1.9</v>
      </c>
    </row>
    <row r="2973">
      <c r="A2973" s="282" t="inlineStr">
        <is>
          <t>2018-03-23</t>
        </is>
      </c>
      <c r="B2973" s="240">
        <f>IFERROR(1/P2973-1,B2972)</f>
        <v/>
      </c>
      <c r="C2973" s="240">
        <f>$C$3</f>
        <v/>
      </c>
      <c r="D2973" s="240">
        <f>$D$3</f>
        <v/>
      </c>
      <c r="E2973" s="240">
        <f>$E$3</f>
        <v/>
      </c>
      <c r="F2973" s="241" t="n">
        <v>8.800000000000001</v>
      </c>
      <c r="G2973" s="242" t="n">
        <v>23261388</v>
      </c>
      <c r="H2973" s="241" t="n">
        <v>-6.18</v>
      </c>
      <c r="I2973" s="241" t="n">
        <v>-7.08</v>
      </c>
      <c r="J2973" s="241" t="n">
        <v>-21.64</v>
      </c>
      <c r="K2973" s="241" t="n">
        <v>4.84</v>
      </c>
      <c r="L2973" s="242" t="n">
        <v>2826000</v>
      </c>
      <c r="M2973" s="241" t="n">
        <v>-2.28</v>
      </c>
      <c r="N2973" s="241" t="n">
        <v>-4.46</v>
      </c>
      <c r="O2973" s="241" t="n">
        <v>-6.4</v>
      </c>
      <c r="P2973" s="241" t="n">
        <v>1.82</v>
      </c>
    </row>
    <row r="2974">
      <c r="A2974" s="282" t="inlineStr">
        <is>
          <t>2018-03-26</t>
        </is>
      </c>
      <c r="B2974" s="240">
        <f>IFERROR(1/P2974-1,B2973)</f>
        <v/>
      </c>
      <c r="C2974" s="240">
        <f>$C$3</f>
        <v/>
      </c>
      <c r="D2974" s="240">
        <f>$D$3</f>
        <v/>
      </c>
      <c r="E2974" s="240">
        <f>$E$3</f>
        <v/>
      </c>
      <c r="F2974" s="241" t="n">
        <v>8.720000000000001</v>
      </c>
      <c r="G2974" s="242" t="n">
        <v>17987703</v>
      </c>
      <c r="H2974" s="241" t="n">
        <v>-0.91</v>
      </c>
      <c r="I2974" s="241" t="n">
        <v>-7.23</v>
      </c>
      <c r="J2974" s="241" t="n">
        <v>-22.35</v>
      </c>
      <c r="K2974" s="241" t="n">
        <v>4.82</v>
      </c>
      <c r="L2974" s="242" t="n">
        <v>1684400</v>
      </c>
      <c r="M2974" s="241" t="n">
        <v>-0.17</v>
      </c>
      <c r="N2974" s="241" t="n">
        <v>-6.41</v>
      </c>
      <c r="O2974" s="241" t="n">
        <v>-6.55</v>
      </c>
      <c r="P2974" s="241" t="n">
        <v>1.81</v>
      </c>
    </row>
    <row r="2975">
      <c r="A2975" s="282" t="inlineStr">
        <is>
          <t>2018-03-27</t>
        </is>
      </c>
      <c r="B2975" s="240">
        <f>IFERROR(1/P2975-1,B2974)</f>
        <v/>
      </c>
      <c r="C2975" s="240">
        <f>$C$3</f>
        <v/>
      </c>
      <c r="D2975" s="240">
        <f>$D$3</f>
        <v/>
      </c>
      <c r="E2975" s="240">
        <f>$E$3</f>
        <v/>
      </c>
      <c r="F2975" s="241" t="n">
        <v>8.91</v>
      </c>
      <c r="G2975" s="242" t="n">
        <v>12104186</v>
      </c>
      <c r="H2975" s="241" t="n">
        <v>2.18</v>
      </c>
      <c r="I2975" s="241" t="n">
        <v>-6.9</v>
      </c>
      <c r="J2975" s="241" t="n">
        <v>-20.66</v>
      </c>
      <c r="K2975" s="241" t="n">
        <v>4.94</v>
      </c>
      <c r="L2975" s="242" t="n">
        <v>1730200</v>
      </c>
      <c r="M2975" s="241" t="n">
        <v>3</v>
      </c>
      <c r="N2975" s="241" t="n">
        <v>-3.44</v>
      </c>
      <c r="O2975" s="241" t="n">
        <v>-3.74</v>
      </c>
      <c r="P2975" s="241" t="n">
        <v>1.8</v>
      </c>
    </row>
    <row r="2976">
      <c r="A2976" s="282" t="inlineStr">
        <is>
          <t>2018-03-28</t>
        </is>
      </c>
      <c r="B2976" s="240">
        <f>IFERROR(1/P2976-1,B2975)</f>
        <v/>
      </c>
      <c r="C2976" s="240">
        <f>$C$3</f>
        <v/>
      </c>
      <c r="D2976" s="240">
        <f>$D$3</f>
        <v/>
      </c>
      <c r="E2976" s="240">
        <f>$E$3</f>
        <v/>
      </c>
      <c r="F2976" s="241" t="n">
        <v>8.85</v>
      </c>
      <c r="G2976" s="242" t="n">
        <v>8165356</v>
      </c>
      <c r="H2976" s="241" t="n">
        <v>-0.67</v>
      </c>
      <c r="I2976" s="241" t="n">
        <v>-6.94</v>
      </c>
      <c r="J2976" s="241" t="n">
        <v>-21.19</v>
      </c>
      <c r="K2976" s="241" t="n">
        <v>4.79</v>
      </c>
      <c r="L2976" s="242" t="n">
        <v>959600</v>
      </c>
      <c r="M2976" s="241" t="n">
        <v>-3.08</v>
      </c>
      <c r="N2976" s="241" t="n">
        <v>-6.12</v>
      </c>
      <c r="O2976" s="241" t="n">
        <v>-6.71</v>
      </c>
      <c r="P2976" s="241" t="n">
        <v>1.85</v>
      </c>
    </row>
    <row r="2977">
      <c r="A2977" s="282" t="inlineStr">
        <is>
          <t>2018-03-29</t>
        </is>
      </c>
      <c r="B2977" s="240">
        <f>IFERROR(1/P2977-1,B2976)</f>
        <v/>
      </c>
      <c r="C2977" s="240">
        <f>$C$3</f>
        <v/>
      </c>
      <c r="D2977" s="240">
        <f>$D$3</f>
        <v/>
      </c>
      <c r="E2977" s="240">
        <f>$E$3</f>
        <v/>
      </c>
      <c r="F2977" s="241" t="n">
        <v>9.02</v>
      </c>
      <c r="G2977" s="242" t="n">
        <v>8594336</v>
      </c>
      <c r="H2977" s="241" t="n">
        <v>1.92</v>
      </c>
      <c r="I2977" s="241" t="n">
        <v>-5.15</v>
      </c>
      <c r="J2977" s="241" t="n">
        <v>-19.68</v>
      </c>
      <c r="K2977" s="241" t="n">
        <v>4.91</v>
      </c>
      <c r="L2977" s="242" t="n">
        <v>1051800</v>
      </c>
      <c r="M2977" s="241" t="n">
        <v>2.17</v>
      </c>
      <c r="N2977" s="241" t="n">
        <v>-4.08</v>
      </c>
      <c r="O2977" s="241" t="n">
        <v>-4.68</v>
      </c>
      <c r="P2977" s="241" t="n">
        <v>1.84</v>
      </c>
    </row>
    <row r="2978">
      <c r="A2978" s="282" t="inlineStr">
        <is>
          <t>2018-03-30</t>
        </is>
      </c>
      <c r="B2978" s="240">
        <f>IFERROR(1/P2978-1,B2977)</f>
        <v/>
      </c>
      <c r="C2978" s="240">
        <f>$C$3</f>
        <v/>
      </c>
      <c r="D2978" s="240">
        <f>$D$3</f>
        <v/>
      </c>
      <c r="E2978" s="240">
        <f>$E$3</f>
        <v/>
      </c>
      <c r="F2978" s="241" t="n">
        <v>9.02</v>
      </c>
      <c r="G2978" s="242" t="n">
        <v>8735749</v>
      </c>
      <c r="H2978" s="241" t="n">
        <v>0</v>
      </c>
      <c r="I2978" s="241" t="n">
        <v>-5.15</v>
      </c>
      <c r="J2978" s="241" t="n">
        <v>-19.68</v>
      </c>
      <c r="K2978" s="239" t="inlineStr">
        <is>
          <t>--</t>
        </is>
      </c>
      <c r="L2978" s="239" t="inlineStr">
        <is>
          <t>--</t>
        </is>
      </c>
      <c r="M2978" s="239" t="inlineStr">
        <is>
          <t>--</t>
        </is>
      </c>
      <c r="N2978" s="239" t="inlineStr">
        <is>
          <t>--</t>
        </is>
      </c>
      <c r="O2978" s="239" t="inlineStr">
        <is>
          <t>--</t>
        </is>
      </c>
      <c r="P2978" s="239" t="inlineStr">
        <is>
          <t>--</t>
        </is>
      </c>
    </row>
    <row r="2979">
      <c r="A2979" s="282" t="inlineStr">
        <is>
          <t>2018-04-02</t>
        </is>
      </c>
      <c r="B2979" s="240">
        <f>IFERROR(1/P2979-1,B2978)</f>
        <v/>
      </c>
      <c r="C2979" s="240">
        <f>$C$3</f>
        <v/>
      </c>
      <c r="D2979" s="240">
        <f>$D$3</f>
        <v/>
      </c>
      <c r="E2979" s="240">
        <f>$E$3</f>
        <v/>
      </c>
      <c r="F2979" s="241" t="n">
        <v>9.039999999999999</v>
      </c>
      <c r="G2979" s="242" t="n">
        <v>9864206</v>
      </c>
      <c r="H2979" s="241" t="n">
        <v>0.22</v>
      </c>
      <c r="I2979" s="241" t="n">
        <v>-4.84</v>
      </c>
      <c r="J2979" s="241" t="n">
        <v>-19.5</v>
      </c>
      <c r="K2979" s="239" t="inlineStr">
        <is>
          <t>--</t>
        </is>
      </c>
      <c r="L2979" s="239" t="inlineStr">
        <is>
          <t>--</t>
        </is>
      </c>
      <c r="M2979" s="239" t="inlineStr">
        <is>
          <t>--</t>
        </is>
      </c>
      <c r="N2979" s="239" t="inlineStr">
        <is>
          <t>--</t>
        </is>
      </c>
      <c r="O2979" s="239" t="inlineStr">
        <is>
          <t>--</t>
        </is>
      </c>
      <c r="P2979" s="239" t="inlineStr">
        <is>
          <t>--</t>
        </is>
      </c>
    </row>
    <row r="2980">
      <c r="A2980" s="282" t="inlineStr">
        <is>
          <t>2018-04-03</t>
        </is>
      </c>
      <c r="B2980" s="240">
        <f>IFERROR(1/P2980-1,B2979)</f>
        <v/>
      </c>
      <c r="C2980" s="240">
        <f>$C$3</f>
        <v/>
      </c>
      <c r="D2980" s="240">
        <f>$D$3</f>
        <v/>
      </c>
      <c r="E2980" s="240">
        <f>$E$3</f>
        <v/>
      </c>
      <c r="F2980" s="241" t="n">
        <v>9.08</v>
      </c>
      <c r="G2980" s="242" t="n">
        <v>11542261</v>
      </c>
      <c r="H2980" s="241" t="n">
        <v>0.44</v>
      </c>
      <c r="I2980" s="241" t="n">
        <v>-6.1</v>
      </c>
      <c r="J2980" s="241" t="n">
        <v>-19.15</v>
      </c>
      <c r="K2980" s="241" t="n">
        <v>4.84</v>
      </c>
      <c r="L2980" s="242" t="n">
        <v>704600</v>
      </c>
      <c r="M2980" s="241" t="n">
        <v>-1.15</v>
      </c>
      <c r="N2980" s="241" t="n">
        <v>-9.58</v>
      </c>
      <c r="O2980" s="241" t="n">
        <v>-5.77</v>
      </c>
      <c r="P2980" s="241" t="n">
        <v>1.88</v>
      </c>
    </row>
    <row r="2981">
      <c r="A2981" s="282" t="inlineStr">
        <is>
          <t>2018-04-04</t>
        </is>
      </c>
      <c r="B2981" s="240">
        <f>IFERROR(1/P2981-1,B2980)</f>
        <v/>
      </c>
      <c r="C2981" s="240">
        <f>$C$3</f>
        <v/>
      </c>
      <c r="D2981" s="240">
        <f>$D$3</f>
        <v/>
      </c>
      <c r="E2981" s="240">
        <f>$E$3</f>
        <v/>
      </c>
      <c r="F2981" s="241" t="n">
        <v>9.039999999999999</v>
      </c>
      <c r="G2981" s="242" t="n">
        <v>10846864</v>
      </c>
      <c r="H2981" s="241" t="n">
        <v>-0.44</v>
      </c>
      <c r="I2981" s="241" t="n">
        <v>-6.51</v>
      </c>
      <c r="J2981" s="241" t="n">
        <v>-19.5</v>
      </c>
      <c r="K2981" s="241" t="n">
        <v>5.03</v>
      </c>
      <c r="L2981" s="242" t="n">
        <v>1779800</v>
      </c>
      <c r="M2981" s="241" t="n">
        <v>3.97</v>
      </c>
      <c r="N2981" s="241" t="n">
        <v>-5.99</v>
      </c>
      <c r="O2981" s="241" t="n">
        <v>-2.03</v>
      </c>
      <c r="P2981" s="241" t="n">
        <v>1.8</v>
      </c>
    </row>
    <row r="2982">
      <c r="A2982" s="282" t="inlineStr">
        <is>
          <t>2018-04-09</t>
        </is>
      </c>
      <c r="B2982" s="240">
        <f>IFERROR(1/P2982-1,B2981)</f>
        <v/>
      </c>
      <c r="C2982" s="240">
        <f>$C$3</f>
        <v/>
      </c>
      <c r="D2982" s="240">
        <f>$D$3</f>
        <v/>
      </c>
      <c r="E2982" s="240">
        <f>$E$3</f>
        <v/>
      </c>
      <c r="F2982" s="241" t="n">
        <v>9.06</v>
      </c>
      <c r="G2982" s="242" t="n">
        <v>8265734</v>
      </c>
      <c r="H2982" s="241" t="n">
        <v>0.22</v>
      </c>
      <c r="I2982" s="241" t="n">
        <v>-7.55</v>
      </c>
      <c r="J2982" s="241" t="n">
        <v>-19.32</v>
      </c>
      <c r="K2982" s="241" t="n">
        <v>5.07</v>
      </c>
      <c r="L2982" s="242" t="n">
        <v>1145200</v>
      </c>
      <c r="M2982" s="241" t="n">
        <v>0.64</v>
      </c>
      <c r="N2982" s="241" t="n">
        <v>-4.55</v>
      </c>
      <c r="O2982" s="241" t="n">
        <v>-1.72</v>
      </c>
      <c r="P2982" s="241" t="n">
        <v>1.79</v>
      </c>
    </row>
    <row r="2983">
      <c r="A2983" s="282" t="inlineStr">
        <is>
          <t>2018-04-10</t>
        </is>
      </c>
      <c r="B2983" s="240">
        <f>IFERROR(1/P2983-1,B2982)</f>
        <v/>
      </c>
      <c r="C2983" s="240">
        <f>$C$3</f>
        <v/>
      </c>
      <c r="D2983" s="240">
        <f>$D$3</f>
        <v/>
      </c>
      <c r="E2983" s="240">
        <f>$E$3</f>
        <v/>
      </c>
      <c r="F2983" s="241" t="n">
        <v>9.140000000000001</v>
      </c>
      <c r="G2983" s="242" t="n">
        <v>7128537</v>
      </c>
      <c r="H2983" s="241" t="n">
        <v>0.88</v>
      </c>
      <c r="I2983" s="241" t="n">
        <v>-7.68</v>
      </c>
      <c r="J2983" s="241" t="n">
        <v>-18.61</v>
      </c>
      <c r="K2983" s="241" t="n">
        <v>5.12</v>
      </c>
      <c r="L2983" s="242" t="n">
        <v>1193200</v>
      </c>
      <c r="M2983" s="241" t="n">
        <v>1.11</v>
      </c>
      <c r="N2983" s="241" t="n">
        <v>-3.63</v>
      </c>
      <c r="O2983" s="241" t="n">
        <v>-0.62</v>
      </c>
      <c r="P2983" s="241" t="n">
        <v>1.79</v>
      </c>
    </row>
    <row r="2984">
      <c r="A2984" s="282" t="inlineStr">
        <is>
          <t>2018-04-11</t>
        </is>
      </c>
      <c r="B2984" s="240">
        <f>IFERROR(1/P2984-1,B2983)</f>
        <v/>
      </c>
      <c r="C2984" s="240">
        <f>$C$3</f>
        <v/>
      </c>
      <c r="D2984" s="240">
        <f>$D$3</f>
        <v/>
      </c>
      <c r="E2984" s="240">
        <f>$E$3</f>
        <v/>
      </c>
      <c r="F2984" s="241" t="n">
        <v>9.279999999999999</v>
      </c>
      <c r="G2984" s="242" t="n">
        <v>11567808</v>
      </c>
      <c r="H2984" s="241" t="n">
        <v>1.53</v>
      </c>
      <c r="I2984" s="241" t="n">
        <v>-6.26</v>
      </c>
      <c r="J2984" s="241" t="n">
        <v>-17.36</v>
      </c>
      <c r="K2984" s="241" t="n">
        <v>5.33</v>
      </c>
      <c r="L2984" s="242" t="n">
        <v>3744600</v>
      </c>
      <c r="M2984" s="241" t="n">
        <v>4.4</v>
      </c>
      <c r="N2984" s="241" t="n">
        <v>0.61</v>
      </c>
      <c r="O2984" s="241" t="n">
        <v>3.74</v>
      </c>
      <c r="P2984" s="241" t="n">
        <v>1.74</v>
      </c>
    </row>
    <row r="2985">
      <c r="A2985" s="282" t="inlineStr">
        <is>
          <t>2018-04-12</t>
        </is>
      </c>
      <c r="B2985" s="240">
        <f>IFERROR(1/P2985-1,B2984)</f>
        <v/>
      </c>
      <c r="C2985" s="240">
        <f>$C$3</f>
        <v/>
      </c>
      <c r="D2985" s="240">
        <f>$D$3</f>
        <v/>
      </c>
      <c r="E2985" s="240">
        <f>$E$3</f>
        <v/>
      </c>
      <c r="F2985" s="241" t="n">
        <v>9.130000000000001</v>
      </c>
      <c r="G2985" s="242" t="n">
        <v>7410300</v>
      </c>
      <c r="H2985" s="241" t="n">
        <v>-1.62</v>
      </c>
      <c r="I2985" s="241" t="n">
        <v>-7.78</v>
      </c>
      <c r="J2985" s="241" t="n">
        <v>-18.7</v>
      </c>
      <c r="K2985" s="241" t="n">
        <v>5.26</v>
      </c>
      <c r="L2985" s="242" t="n">
        <v>1455200</v>
      </c>
      <c r="M2985" s="241" t="n">
        <v>-1.2</v>
      </c>
      <c r="N2985" s="241" t="n">
        <v>-0.61</v>
      </c>
      <c r="O2985" s="241" t="n">
        <v>2.5</v>
      </c>
      <c r="P2985" s="241" t="n">
        <v>1.74</v>
      </c>
    </row>
    <row r="2986">
      <c r="A2986" s="282" t="inlineStr">
        <is>
          <t>2018-04-13</t>
        </is>
      </c>
      <c r="B2986" s="240">
        <f>IFERROR(1/P2986-1,B2985)</f>
        <v/>
      </c>
      <c r="C2986" s="240">
        <f>$C$3</f>
        <v/>
      </c>
      <c r="D2986" s="240">
        <f>$D$3</f>
        <v/>
      </c>
      <c r="E2986" s="240">
        <f>$E$3</f>
        <v/>
      </c>
      <c r="F2986" s="241" t="n">
        <v>9.130000000000001</v>
      </c>
      <c r="G2986" s="242" t="n">
        <v>5362750</v>
      </c>
      <c r="H2986" s="241" t="n">
        <v>0</v>
      </c>
      <c r="I2986" s="241" t="n">
        <v>-7.96</v>
      </c>
      <c r="J2986" s="241" t="n">
        <v>-18.7</v>
      </c>
      <c r="K2986" s="241" t="n">
        <v>5.22</v>
      </c>
      <c r="L2986" s="242" t="n">
        <v>318600</v>
      </c>
      <c r="M2986" s="241" t="n">
        <v>-0.91</v>
      </c>
      <c r="N2986" s="241" t="n">
        <v>-2.25</v>
      </c>
      <c r="O2986" s="241" t="n">
        <v>1.56</v>
      </c>
      <c r="P2986" s="241" t="n">
        <v>1.75</v>
      </c>
    </row>
    <row r="2987">
      <c r="A2987" s="282" t="inlineStr">
        <is>
          <t>2018-04-16</t>
        </is>
      </c>
      <c r="B2987" s="240">
        <f>IFERROR(1/P2987-1,B2986)</f>
        <v/>
      </c>
      <c r="C2987" s="240">
        <f>$C$3</f>
        <v/>
      </c>
      <c r="D2987" s="240">
        <f>$D$3</f>
        <v/>
      </c>
      <c r="E2987" s="240">
        <f>$E$3</f>
        <v/>
      </c>
      <c r="F2987" s="241" t="n">
        <v>9</v>
      </c>
      <c r="G2987" s="242" t="n">
        <v>7901699</v>
      </c>
      <c r="H2987" s="241" t="n">
        <v>-1.42</v>
      </c>
      <c r="I2987" s="241" t="n">
        <v>-6.54</v>
      </c>
      <c r="J2987" s="241" t="n">
        <v>-19.86</v>
      </c>
      <c r="K2987" s="241" t="n">
        <v>5.05</v>
      </c>
      <c r="L2987" s="242" t="n">
        <v>512400</v>
      </c>
      <c r="M2987" s="241" t="n">
        <v>-3.23</v>
      </c>
      <c r="N2987" s="241" t="n">
        <v>-3.08</v>
      </c>
      <c r="O2987" s="241" t="n">
        <v>-1.72</v>
      </c>
      <c r="P2987" s="241" t="n">
        <v>1.78</v>
      </c>
    </row>
    <row r="2988">
      <c r="A2988" s="282" t="inlineStr">
        <is>
          <t>2018-04-17</t>
        </is>
      </c>
      <c r="B2988" s="240">
        <f>IFERROR(1/P2988-1,B2987)</f>
        <v/>
      </c>
      <c r="C2988" s="240">
        <f>$C$3</f>
        <v/>
      </c>
      <c r="D2988" s="240">
        <f>$D$3</f>
        <v/>
      </c>
      <c r="E2988" s="240">
        <f>$E$3</f>
        <v/>
      </c>
      <c r="F2988" s="241" t="n">
        <v>8.869999999999999</v>
      </c>
      <c r="G2988" s="242" t="n">
        <v>7278344</v>
      </c>
      <c r="H2988" s="241" t="n">
        <v>-1.44</v>
      </c>
      <c r="I2988" s="241" t="n">
        <v>-7.7</v>
      </c>
      <c r="J2988" s="241" t="n">
        <v>-21.02</v>
      </c>
      <c r="K2988" s="241" t="n">
        <v>4.85</v>
      </c>
      <c r="L2988" s="242" t="n">
        <v>1346000</v>
      </c>
      <c r="M2988" s="241" t="n">
        <v>-3.65</v>
      </c>
      <c r="N2988" s="241" t="n">
        <v>-5.3</v>
      </c>
      <c r="O2988" s="241" t="n">
        <v>-5.3</v>
      </c>
      <c r="P2988" s="241" t="n">
        <v>1.83</v>
      </c>
    </row>
    <row r="2989">
      <c r="A2989" s="282" t="inlineStr">
        <is>
          <t>2018-04-18</t>
        </is>
      </c>
      <c r="B2989" s="240">
        <f>IFERROR(1/P2989-1,B2988)</f>
        <v/>
      </c>
      <c r="C2989" s="240">
        <f>$C$3</f>
        <v/>
      </c>
      <c r="D2989" s="240">
        <f>$D$3</f>
        <v/>
      </c>
      <c r="E2989" s="240">
        <f>$E$3</f>
        <v/>
      </c>
      <c r="F2989" s="241" t="n">
        <v>9</v>
      </c>
      <c r="G2989" s="242" t="n">
        <v>7675190</v>
      </c>
      <c r="H2989" s="241" t="n">
        <v>1.47</v>
      </c>
      <c r="I2989" s="241" t="n">
        <v>-6.35</v>
      </c>
      <c r="J2989" s="241" t="n">
        <v>-19.86</v>
      </c>
      <c r="K2989" s="241" t="n">
        <v>4.87</v>
      </c>
      <c r="L2989" s="242" t="n">
        <v>1215600</v>
      </c>
      <c r="M2989" s="241" t="n">
        <v>0.16</v>
      </c>
      <c r="N2989" s="241" t="n">
        <v>-5.15</v>
      </c>
      <c r="O2989" s="241" t="n">
        <v>-5.15</v>
      </c>
      <c r="P2989" s="241" t="n">
        <v>1.85</v>
      </c>
    </row>
    <row r="2990">
      <c r="A2990" s="282" t="inlineStr">
        <is>
          <t>2018-04-19</t>
        </is>
      </c>
      <c r="B2990" s="240">
        <f>IFERROR(1/P2990-1,B2989)</f>
        <v/>
      </c>
      <c r="C2990" s="240">
        <f>$C$3</f>
        <v/>
      </c>
      <c r="D2990" s="240">
        <f>$D$3</f>
        <v/>
      </c>
      <c r="E2990" s="240">
        <f>$E$3</f>
        <v/>
      </c>
      <c r="F2990" s="241" t="n">
        <v>8.9</v>
      </c>
      <c r="G2990" s="242" t="n">
        <v>11417424</v>
      </c>
      <c r="H2990" s="241" t="n">
        <v>-1.11</v>
      </c>
      <c r="I2990" s="241" t="n">
        <v>-7.39</v>
      </c>
      <c r="J2990" s="241" t="n">
        <v>-20.75</v>
      </c>
      <c r="K2990" s="241" t="n">
        <v>4.99</v>
      </c>
      <c r="L2990" s="242" t="n">
        <v>1763040</v>
      </c>
      <c r="M2990" s="241" t="n">
        <v>2.63</v>
      </c>
      <c r="N2990" s="241" t="n">
        <v>-2.65</v>
      </c>
      <c r="O2990" s="241" t="n">
        <v>-2.65</v>
      </c>
      <c r="P2990" s="241" t="n">
        <v>1.78</v>
      </c>
    </row>
    <row r="2991">
      <c r="A2991" s="282" t="inlineStr">
        <is>
          <t>2018-04-20</t>
        </is>
      </c>
      <c r="B2991" s="240">
        <f>IFERROR(1/P2991-1,B2990)</f>
        <v/>
      </c>
      <c r="C2991" s="240">
        <f>$C$3</f>
        <v/>
      </c>
      <c r="D2991" s="240">
        <f>$D$3</f>
        <v/>
      </c>
      <c r="E2991" s="240">
        <f>$E$3</f>
        <v/>
      </c>
      <c r="F2991" s="241" t="n">
        <v>8.779999999999999</v>
      </c>
      <c r="G2991" s="242" t="n">
        <v>8121300</v>
      </c>
      <c r="H2991" s="241" t="n">
        <v>-1.35</v>
      </c>
      <c r="I2991" s="241" t="n">
        <v>-7.68</v>
      </c>
      <c r="J2991" s="241" t="n">
        <v>-21.82</v>
      </c>
      <c r="K2991" s="241" t="n">
        <v>4.89</v>
      </c>
      <c r="L2991" s="242" t="n">
        <v>609600</v>
      </c>
      <c r="M2991" s="241" t="n">
        <v>-2.24</v>
      </c>
      <c r="N2991" s="241" t="n">
        <v>-3.17</v>
      </c>
      <c r="O2991" s="241" t="n">
        <v>-4.84</v>
      </c>
      <c r="P2991" s="241" t="n">
        <v>1.8</v>
      </c>
    </row>
    <row r="2992">
      <c r="A2992" s="282" t="inlineStr">
        <is>
          <t>2018-04-23</t>
        </is>
      </c>
      <c r="B2992" s="240">
        <f>IFERROR(1/P2992-1,B2991)</f>
        <v/>
      </c>
      <c r="C2992" s="240">
        <f>$C$3</f>
        <v/>
      </c>
      <c r="D2992" s="240">
        <f>$D$3</f>
        <v/>
      </c>
      <c r="E2992" s="240">
        <f>$E$3</f>
        <v/>
      </c>
      <c r="F2992" s="241" t="n">
        <v>8.710000000000001</v>
      </c>
      <c r="G2992" s="242" t="n">
        <v>8262151</v>
      </c>
      <c r="H2992" s="241" t="n">
        <v>-0.8</v>
      </c>
      <c r="I2992" s="241" t="n">
        <v>-7.14</v>
      </c>
      <c r="J2992" s="241" t="n">
        <v>-22.44</v>
      </c>
      <c r="K2992" s="241" t="n">
        <v>4.89</v>
      </c>
      <c r="L2992" s="242" t="n">
        <v>506200</v>
      </c>
      <c r="M2992" s="241" t="n">
        <v>-0.33</v>
      </c>
      <c r="N2992" s="241" t="n">
        <v>-0.98</v>
      </c>
      <c r="O2992" s="241" t="n">
        <v>-5.15</v>
      </c>
      <c r="P2992" s="241" t="n">
        <v>1.78</v>
      </c>
    </row>
    <row r="2993">
      <c r="A2993" s="282" t="inlineStr">
        <is>
          <t>2018-04-24</t>
        </is>
      </c>
      <c r="B2993" s="240">
        <f>IFERROR(1/P2993-1,B2992)</f>
        <v/>
      </c>
      <c r="C2993" s="240">
        <f>$C$3</f>
        <v/>
      </c>
      <c r="D2993" s="240">
        <f>$D$3</f>
        <v/>
      </c>
      <c r="E2993" s="240">
        <f>$E$3</f>
        <v/>
      </c>
      <c r="F2993" s="241" t="n">
        <v>8.93</v>
      </c>
      <c r="G2993" s="242" t="n">
        <v>10267905</v>
      </c>
      <c r="H2993" s="241" t="n">
        <v>2.53</v>
      </c>
      <c r="I2993" s="241" t="n">
        <v>1.48</v>
      </c>
      <c r="J2993" s="241" t="n">
        <v>-20.48</v>
      </c>
      <c r="K2993" s="241" t="n">
        <v>4.97</v>
      </c>
      <c r="L2993" s="242" t="n">
        <v>593200</v>
      </c>
      <c r="M2993" s="241" t="n">
        <v>1.32</v>
      </c>
      <c r="N2993" s="241" t="n">
        <v>2.67</v>
      </c>
      <c r="O2993" s="241" t="n">
        <v>-3.9</v>
      </c>
      <c r="P2993" s="241" t="n">
        <v>1.8</v>
      </c>
    </row>
    <row r="2994">
      <c r="A2994" s="282" t="inlineStr">
        <is>
          <t>2018-04-25</t>
        </is>
      </c>
      <c r="B2994" s="240">
        <f>IFERROR(1/P2994-1,B2993)</f>
        <v/>
      </c>
      <c r="C2994" s="240">
        <f>$C$3</f>
        <v/>
      </c>
      <c r="D2994" s="240">
        <f>$D$3</f>
        <v/>
      </c>
      <c r="E2994" s="240">
        <f>$E$3</f>
        <v/>
      </c>
      <c r="F2994" s="241" t="n">
        <v>8.99</v>
      </c>
      <c r="G2994" s="242" t="n">
        <v>9154316</v>
      </c>
      <c r="H2994" s="241" t="n">
        <v>0.67</v>
      </c>
      <c r="I2994" s="241" t="n">
        <v>2.16</v>
      </c>
      <c r="J2994" s="241" t="n">
        <v>-19.95</v>
      </c>
      <c r="K2994" s="241" t="n">
        <v>4.93</v>
      </c>
      <c r="L2994" s="242" t="n">
        <v>817000</v>
      </c>
      <c r="M2994" s="241" t="n">
        <v>-0.32</v>
      </c>
      <c r="N2994" s="241" t="n">
        <v>2.33</v>
      </c>
      <c r="O2994" s="241" t="n">
        <v>-4.21</v>
      </c>
      <c r="P2994" s="241" t="n">
        <v>1.82</v>
      </c>
    </row>
    <row r="2995">
      <c r="A2995" s="282" t="inlineStr">
        <is>
          <t>2018-04-26</t>
        </is>
      </c>
      <c r="B2995" s="240">
        <f>IFERROR(1/P2995-1,B2994)</f>
        <v/>
      </c>
      <c r="C2995" s="240">
        <f>$C$3</f>
        <v/>
      </c>
      <c r="D2995" s="240">
        <f>$D$3</f>
        <v/>
      </c>
      <c r="E2995" s="240">
        <f>$E$3</f>
        <v/>
      </c>
      <c r="F2995" s="241" t="n">
        <v>8.880000000000001</v>
      </c>
      <c r="G2995" s="242" t="n">
        <v>8462996</v>
      </c>
      <c r="H2995" s="241" t="n">
        <v>-1.22</v>
      </c>
      <c r="I2995" s="241" t="n">
        <v>0.91</v>
      </c>
      <c r="J2995" s="241" t="n">
        <v>-20.93</v>
      </c>
      <c r="K2995" s="241" t="n">
        <v>4.82</v>
      </c>
      <c r="L2995" s="242" t="n">
        <v>1072400</v>
      </c>
      <c r="M2995" s="241" t="n">
        <v>-2.61</v>
      </c>
      <c r="N2995" s="241" t="n">
        <v>-0.33</v>
      </c>
      <c r="O2995" s="241" t="n">
        <v>-6.71</v>
      </c>
      <c r="P2995" s="241" t="n">
        <v>1.84</v>
      </c>
    </row>
    <row r="2996">
      <c r="A2996" s="282" t="inlineStr">
        <is>
          <t>2018-04-27</t>
        </is>
      </c>
      <c r="B2996" s="240">
        <f>IFERROR(1/P2996-1,B2995)</f>
        <v/>
      </c>
      <c r="C2996" s="240">
        <f>$C$3</f>
        <v/>
      </c>
      <c r="D2996" s="240">
        <f>$D$3</f>
        <v/>
      </c>
      <c r="E2996" s="240">
        <f>$E$3</f>
        <v/>
      </c>
      <c r="F2996" s="241" t="n">
        <v>8.869999999999999</v>
      </c>
      <c r="G2996" s="242" t="n">
        <v>7171811</v>
      </c>
      <c r="H2996" s="241" t="n">
        <v>-0.11</v>
      </c>
      <c r="I2996" s="241" t="n">
        <v>1.72</v>
      </c>
      <c r="J2996" s="241" t="n">
        <v>-21.02</v>
      </c>
      <c r="K2996" s="241" t="n">
        <v>4.94</v>
      </c>
      <c r="L2996" s="242" t="n">
        <v>508000</v>
      </c>
      <c r="M2996" s="241" t="n">
        <v>2.34</v>
      </c>
      <c r="N2996" s="241" t="n">
        <v>2.17</v>
      </c>
      <c r="O2996" s="241" t="n">
        <v>-4.52</v>
      </c>
      <c r="P2996" s="241" t="n">
        <v>1.79</v>
      </c>
    </row>
    <row r="2997">
      <c r="A2997" s="282" t="inlineStr">
        <is>
          <t>2018-05-02</t>
        </is>
      </c>
      <c r="B2997" s="240">
        <f>IFERROR(1/P2997-1,B2996)</f>
        <v/>
      </c>
      <c r="C2997" s="240">
        <f>$C$3</f>
        <v/>
      </c>
      <c r="D2997" s="240">
        <f>$D$3</f>
        <v/>
      </c>
      <c r="E2997" s="240">
        <f>$E$3</f>
        <v/>
      </c>
      <c r="F2997" s="241" t="n">
        <v>9</v>
      </c>
      <c r="G2997" s="242" t="n">
        <v>13138873</v>
      </c>
      <c r="H2997" s="241" t="n">
        <v>1.47</v>
      </c>
      <c r="I2997" s="241" t="n">
        <v>-0.22</v>
      </c>
      <c r="J2997" s="241" t="n">
        <v>-19.86</v>
      </c>
      <c r="K2997" s="241" t="n">
        <v>4.98</v>
      </c>
      <c r="L2997" s="242" t="n">
        <v>983450</v>
      </c>
      <c r="M2997" s="241" t="n">
        <v>-0.32</v>
      </c>
      <c r="N2997" s="241" t="n">
        <v>0.49</v>
      </c>
      <c r="O2997" s="241" t="n">
        <v>-4.21</v>
      </c>
      <c r="P2997" s="241" t="n">
        <v>1.81</v>
      </c>
    </row>
    <row r="2998">
      <c r="A2998" s="282" t="inlineStr">
        <is>
          <t>2018-05-03</t>
        </is>
      </c>
      <c r="B2998" s="240">
        <f>IFERROR(1/P2998-1,B2997)</f>
        <v/>
      </c>
      <c r="C2998" s="240">
        <f>$C$3</f>
        <v/>
      </c>
      <c r="D2998" s="240">
        <f>$D$3</f>
        <v/>
      </c>
      <c r="E2998" s="240">
        <f>$E$3</f>
        <v/>
      </c>
      <c r="F2998" s="241" t="n">
        <v>9</v>
      </c>
      <c r="G2998" s="242" t="n">
        <v>12209274</v>
      </c>
      <c r="H2998" s="241" t="n">
        <v>0</v>
      </c>
      <c r="I2998" s="241" t="n">
        <v>-0.44</v>
      </c>
      <c r="J2998" s="241" t="n">
        <v>-19.86</v>
      </c>
      <c r="K2998" s="241" t="n">
        <v>4.96</v>
      </c>
      <c r="L2998" s="242" t="n">
        <v>676200</v>
      </c>
      <c r="M2998" s="241" t="n">
        <v>-0.49</v>
      </c>
      <c r="N2998" s="241" t="n">
        <v>0</v>
      </c>
      <c r="O2998" s="241" t="n">
        <v>-4.68</v>
      </c>
      <c r="P2998" s="241" t="n">
        <v>1.81</v>
      </c>
    </row>
    <row r="2999">
      <c r="A2999" s="282" t="inlineStr">
        <is>
          <t>2018-05-04</t>
        </is>
      </c>
      <c r="B2999" s="240">
        <f>IFERROR(1/P2999-1,B2998)</f>
        <v/>
      </c>
      <c r="C2999" s="240">
        <f>$C$3</f>
        <v/>
      </c>
      <c r="D2999" s="240">
        <f>$D$3</f>
        <v/>
      </c>
      <c r="E2999" s="240">
        <f>$E$3</f>
        <v/>
      </c>
      <c r="F2999" s="241" t="n">
        <v>8.99</v>
      </c>
      <c r="G2999" s="242" t="n">
        <v>6887073</v>
      </c>
      <c r="H2999" s="241" t="n">
        <v>-0.11</v>
      </c>
      <c r="I2999" s="241" t="n">
        <v>-0.99</v>
      </c>
      <c r="J2999" s="241" t="n">
        <v>-19.95</v>
      </c>
      <c r="K2999" s="241" t="n">
        <v>4.9</v>
      </c>
      <c r="L2999" s="242" t="n">
        <v>663200</v>
      </c>
      <c r="M2999" s="241" t="n">
        <v>-0.82</v>
      </c>
      <c r="N2999" s="241" t="n">
        <v>0.33</v>
      </c>
      <c r="O2999" s="241" t="n">
        <v>-5.46</v>
      </c>
      <c r="P2999" s="241" t="n">
        <v>1.83</v>
      </c>
    </row>
    <row r="3000">
      <c r="A3000" s="282" t="inlineStr">
        <is>
          <t>2018-05-07</t>
        </is>
      </c>
      <c r="B3000" s="240">
        <f>IFERROR(1/P3000-1,B2999)</f>
        <v/>
      </c>
      <c r="C3000" s="240">
        <f>$C$3</f>
        <v/>
      </c>
      <c r="D3000" s="240">
        <f>$D$3</f>
        <v/>
      </c>
      <c r="E3000" s="240">
        <f>$E$3</f>
        <v/>
      </c>
      <c r="F3000" s="241" t="n">
        <v>9.09</v>
      </c>
      <c r="G3000" s="242" t="n">
        <v>12660370</v>
      </c>
      <c r="H3000" s="241" t="n">
        <v>1.11</v>
      </c>
      <c r="I3000" s="241" t="n">
        <v>0.55</v>
      </c>
      <c r="J3000" s="241" t="n">
        <v>-19.06</v>
      </c>
      <c r="K3000" s="241" t="n">
        <v>4.98</v>
      </c>
      <c r="L3000" s="242" t="n">
        <v>691400</v>
      </c>
      <c r="M3000" s="241" t="n">
        <v>1.49</v>
      </c>
      <c r="N3000" s="241" t="n">
        <v>-1.76</v>
      </c>
      <c r="O3000" s="241" t="n">
        <v>-4.06</v>
      </c>
      <c r="P3000" s="241" t="n">
        <v>1.82</v>
      </c>
    </row>
    <row r="3001">
      <c r="A3001" s="282" t="inlineStr">
        <is>
          <t>2018-05-08</t>
        </is>
      </c>
      <c r="B3001" s="240">
        <f>IFERROR(1/P3001-1,B3000)</f>
        <v/>
      </c>
      <c r="C3001" s="240">
        <f>$C$3</f>
        <v/>
      </c>
      <c r="D3001" s="240">
        <f>$D$3</f>
        <v/>
      </c>
      <c r="E3001" s="240">
        <f>$E$3</f>
        <v/>
      </c>
      <c r="F3001" s="241" t="n">
        <v>9.109999999999999</v>
      </c>
      <c r="G3001" s="242" t="n">
        <v>8248314</v>
      </c>
      <c r="H3001" s="241" t="n">
        <v>0.22</v>
      </c>
      <c r="I3001" s="241" t="n">
        <v>0.77</v>
      </c>
      <c r="J3001" s="241" t="n">
        <v>-18.88</v>
      </c>
      <c r="K3001" s="241" t="n">
        <v>5.02</v>
      </c>
      <c r="L3001" s="242" t="n">
        <v>1760400</v>
      </c>
      <c r="M3001" s="241" t="n">
        <v>0.65</v>
      </c>
      <c r="N3001" s="241" t="n">
        <v>-1.12</v>
      </c>
      <c r="O3001" s="241" t="n">
        <v>-3.43</v>
      </c>
      <c r="P3001" s="241" t="n">
        <v>1.81</v>
      </c>
    </row>
    <row r="3002">
      <c r="A3002" s="282" t="inlineStr">
        <is>
          <t>2018-05-09</t>
        </is>
      </c>
      <c r="B3002" s="240">
        <f>IFERROR(1/P3002-1,B3001)</f>
        <v/>
      </c>
      <c r="C3002" s="240">
        <f>$C$3</f>
        <v/>
      </c>
      <c r="D3002" s="240">
        <f>$D$3</f>
        <v/>
      </c>
      <c r="E3002" s="240">
        <f>$E$3</f>
        <v/>
      </c>
      <c r="F3002" s="241" t="n">
        <v>9.09</v>
      </c>
      <c r="G3002" s="242" t="n">
        <v>7339861</v>
      </c>
      <c r="H3002" s="241" t="n">
        <v>-0.22</v>
      </c>
      <c r="I3002" s="241" t="n">
        <v>0.55</v>
      </c>
      <c r="J3002" s="241" t="n">
        <v>-19.06</v>
      </c>
      <c r="K3002" s="241" t="n">
        <v>4.95</v>
      </c>
      <c r="L3002" s="242" t="n">
        <v>963800</v>
      </c>
      <c r="M3002" s="241" t="n">
        <v>-1.45</v>
      </c>
      <c r="N3002" s="241" t="n">
        <v>-2.56</v>
      </c>
      <c r="O3002" s="241" t="n">
        <v>-4.84</v>
      </c>
      <c r="P3002" s="241" t="n">
        <v>1.84</v>
      </c>
    </row>
    <row r="3003">
      <c r="A3003" s="282" t="inlineStr">
        <is>
          <t>2018-05-10</t>
        </is>
      </c>
      <c r="B3003" s="240">
        <f>IFERROR(1/P3003-1,B3002)</f>
        <v/>
      </c>
      <c r="C3003" s="240">
        <f>$C$3</f>
        <v/>
      </c>
      <c r="D3003" s="240">
        <f>$D$3</f>
        <v/>
      </c>
      <c r="E3003" s="240">
        <f>$E$3</f>
        <v/>
      </c>
      <c r="F3003" s="241" t="n">
        <v>9.1</v>
      </c>
      <c r="G3003" s="242" t="n">
        <v>7253157</v>
      </c>
      <c r="H3003" s="241" t="n">
        <v>0.11</v>
      </c>
      <c r="I3003" s="241" t="n">
        <v>0.44</v>
      </c>
      <c r="J3003" s="241" t="n">
        <v>-18.97</v>
      </c>
      <c r="K3003" s="241" t="n">
        <v>4.96</v>
      </c>
      <c r="L3003" s="242" t="n">
        <v>932200</v>
      </c>
      <c r="M3003" s="241" t="n">
        <v>0</v>
      </c>
      <c r="N3003" s="241" t="n">
        <v>-3.17</v>
      </c>
      <c r="O3003" s="241" t="n">
        <v>-4.84</v>
      </c>
      <c r="P3003" s="241" t="n">
        <v>1.84</v>
      </c>
    </row>
    <row r="3004">
      <c r="A3004" s="282" t="inlineStr">
        <is>
          <t>2018-05-11</t>
        </is>
      </c>
      <c r="B3004" s="240">
        <f>IFERROR(1/P3004-1,B3003)</f>
        <v/>
      </c>
      <c r="C3004" s="240">
        <f>$C$3</f>
        <v/>
      </c>
      <c r="D3004" s="240">
        <f>$D$3</f>
        <v/>
      </c>
      <c r="E3004" s="240">
        <f>$E$3</f>
        <v/>
      </c>
      <c r="F3004" s="241" t="n">
        <v>9.01</v>
      </c>
      <c r="G3004" s="242" t="n">
        <v>7204155</v>
      </c>
      <c r="H3004" s="241" t="n">
        <v>-0.99</v>
      </c>
      <c r="I3004" s="241" t="n">
        <v>-1.42</v>
      </c>
      <c r="J3004" s="241" t="n">
        <v>-19.77</v>
      </c>
      <c r="K3004" s="241" t="n">
        <v>4.83</v>
      </c>
      <c r="L3004" s="242" t="n">
        <v>4213255</v>
      </c>
      <c r="M3004" s="241" t="n">
        <v>-2.13</v>
      </c>
      <c r="N3004" s="241" t="n">
        <v>-6.28</v>
      </c>
      <c r="O3004" s="241" t="n">
        <v>-6.86</v>
      </c>
      <c r="P3004" s="241" t="n">
        <v>1.86</v>
      </c>
    </row>
    <row r="3005">
      <c r="A3005" s="282" t="inlineStr">
        <is>
          <t>2018-05-14</t>
        </is>
      </c>
      <c r="B3005" s="240">
        <f>IFERROR(1/P3005-1,B3004)</f>
        <v/>
      </c>
      <c r="C3005" s="240">
        <f>$C$3</f>
        <v/>
      </c>
      <c r="D3005" s="240">
        <f>$D$3</f>
        <v/>
      </c>
      <c r="E3005" s="240">
        <f>$E$3</f>
        <v/>
      </c>
      <c r="F3005" s="241" t="n">
        <v>9.01</v>
      </c>
      <c r="G3005" s="242" t="n">
        <v>5799433</v>
      </c>
      <c r="H3005" s="241" t="n">
        <v>0</v>
      </c>
      <c r="I3005" s="241" t="n">
        <v>-1.31</v>
      </c>
      <c r="J3005" s="241" t="n">
        <v>-19.77</v>
      </c>
      <c r="K3005" s="241" t="n">
        <v>4.83</v>
      </c>
      <c r="L3005" s="242" t="n">
        <v>2812200</v>
      </c>
      <c r="M3005" s="241" t="n">
        <v>0.17</v>
      </c>
      <c r="N3005" s="241" t="n">
        <v>-8.140000000000001</v>
      </c>
      <c r="O3005" s="241" t="n">
        <v>-6.71</v>
      </c>
      <c r="P3005" s="241" t="n">
        <v>1.87</v>
      </c>
    </row>
    <row r="3006">
      <c r="A3006" s="282" t="inlineStr">
        <is>
          <t>2018-05-15</t>
        </is>
      </c>
      <c r="B3006" s="240">
        <f>IFERROR(1/P3006-1,B3005)</f>
        <v/>
      </c>
      <c r="C3006" s="240">
        <f>$C$3</f>
        <v/>
      </c>
      <c r="D3006" s="240">
        <f>$D$3</f>
        <v/>
      </c>
      <c r="E3006" s="240">
        <f>$E$3</f>
        <v/>
      </c>
      <c r="F3006" s="241" t="n">
        <v>9.1</v>
      </c>
      <c r="G3006" s="242" t="n">
        <v>10236183</v>
      </c>
      <c r="H3006" s="241" t="n">
        <v>1</v>
      </c>
      <c r="I3006" s="241" t="n">
        <v>-0.33</v>
      </c>
      <c r="J3006" s="241" t="n">
        <v>-18.97</v>
      </c>
      <c r="K3006" s="241" t="n">
        <v>4.8</v>
      </c>
      <c r="L3006" s="242" t="n">
        <v>3954200</v>
      </c>
      <c r="M3006" s="241" t="n">
        <v>-0.67</v>
      </c>
      <c r="N3006" s="241" t="n">
        <v>-8.76</v>
      </c>
      <c r="O3006" s="241" t="n">
        <v>-7.33</v>
      </c>
      <c r="P3006" s="241" t="n">
        <v>1.89</v>
      </c>
    </row>
    <row r="3007">
      <c r="A3007" s="282" t="inlineStr">
        <is>
          <t>2018-05-16</t>
        </is>
      </c>
      <c r="B3007" s="240">
        <f>IFERROR(1/P3007-1,B3006)</f>
        <v/>
      </c>
      <c r="C3007" s="240">
        <f>$C$3</f>
        <v/>
      </c>
      <c r="D3007" s="240">
        <f>$D$3</f>
        <v/>
      </c>
      <c r="E3007" s="240">
        <f>$E$3</f>
        <v/>
      </c>
      <c r="F3007" s="241" t="n">
        <v>9.01</v>
      </c>
      <c r="G3007" s="242" t="n">
        <v>7325400</v>
      </c>
      <c r="H3007" s="241" t="n">
        <v>-0.99</v>
      </c>
      <c r="I3007" s="241" t="n">
        <v>-1.31</v>
      </c>
      <c r="J3007" s="241" t="n">
        <v>-19.77</v>
      </c>
      <c r="K3007" s="241" t="n">
        <v>4.8</v>
      </c>
      <c r="L3007" s="242" t="n">
        <v>4174432</v>
      </c>
      <c r="M3007" s="241" t="n">
        <v>-0.51</v>
      </c>
      <c r="N3007" s="241" t="n">
        <v>-9.220000000000001</v>
      </c>
      <c r="O3007" s="241" t="n">
        <v>-7.8</v>
      </c>
      <c r="P3007" s="241" t="n">
        <v>1.88</v>
      </c>
    </row>
    <row r="3008">
      <c r="A3008" s="282" t="inlineStr">
        <is>
          <t>2018-05-17</t>
        </is>
      </c>
      <c r="B3008" s="240">
        <f>IFERROR(1/P3008-1,B3007)</f>
        <v/>
      </c>
      <c r="C3008" s="240">
        <f>$C$3</f>
        <v/>
      </c>
      <c r="D3008" s="240">
        <f>$D$3</f>
        <v/>
      </c>
      <c r="E3008" s="240">
        <f>$E$3</f>
        <v/>
      </c>
      <c r="F3008" s="241" t="n">
        <v>8.98</v>
      </c>
      <c r="G3008" s="242" t="n">
        <v>5922802</v>
      </c>
      <c r="H3008" s="241" t="n">
        <v>-0.33</v>
      </c>
      <c r="I3008" s="241" t="n">
        <v>-0.22</v>
      </c>
      <c r="J3008" s="241" t="n">
        <v>-20.04</v>
      </c>
      <c r="K3008" s="241" t="n">
        <v>4.75</v>
      </c>
      <c r="L3008" s="242" t="n">
        <v>4555654</v>
      </c>
      <c r="M3008" s="241" t="n">
        <v>-1.02</v>
      </c>
      <c r="N3008" s="241" t="n">
        <v>-7.14</v>
      </c>
      <c r="O3008" s="241" t="n">
        <v>-8.74</v>
      </c>
      <c r="P3008" s="241" t="n">
        <v>1.89</v>
      </c>
    </row>
    <row r="3009">
      <c r="A3009" s="282" t="inlineStr">
        <is>
          <t>2018-05-18</t>
        </is>
      </c>
      <c r="B3009" s="240">
        <f>IFERROR(1/P3009-1,B3008)</f>
        <v/>
      </c>
      <c r="C3009" s="240">
        <f>$C$3</f>
        <v/>
      </c>
      <c r="D3009" s="240">
        <f>$D$3</f>
        <v/>
      </c>
      <c r="E3009" s="240">
        <f>$E$3</f>
        <v/>
      </c>
      <c r="F3009" s="241" t="n">
        <v>9.06</v>
      </c>
      <c r="G3009" s="242" t="n">
        <v>10788354</v>
      </c>
      <c r="H3009" s="241" t="n">
        <v>0.89</v>
      </c>
      <c r="I3009" s="241" t="n">
        <v>2.14</v>
      </c>
      <c r="J3009" s="241" t="n">
        <v>-19.32</v>
      </c>
      <c r="K3009" s="241" t="n">
        <v>4.82</v>
      </c>
      <c r="L3009" s="242" t="n">
        <v>4477200</v>
      </c>
      <c r="M3009" s="241" t="n">
        <v>1.54</v>
      </c>
      <c r="N3009" s="241" t="n">
        <v>-2.14</v>
      </c>
      <c r="O3009" s="241" t="n">
        <v>-7.33</v>
      </c>
      <c r="P3009" s="241" t="n">
        <v>1.88</v>
      </c>
    </row>
    <row r="3010">
      <c r="A3010" s="282" t="inlineStr">
        <is>
          <t>2018-05-21</t>
        </is>
      </c>
      <c r="B3010" s="240">
        <f>IFERROR(1/P3010-1,B3009)</f>
        <v/>
      </c>
      <c r="C3010" s="240">
        <f>$C$3</f>
        <v/>
      </c>
      <c r="D3010" s="240">
        <f>$D$3</f>
        <v/>
      </c>
      <c r="E3010" s="240">
        <f>$E$3</f>
        <v/>
      </c>
      <c r="F3010" s="241" t="n">
        <v>9.18</v>
      </c>
      <c r="G3010" s="242" t="n">
        <v>13566282</v>
      </c>
      <c r="H3010" s="241" t="n">
        <v>1.32</v>
      </c>
      <c r="I3010" s="241" t="n">
        <v>4.56</v>
      </c>
      <c r="J3010" s="241" t="n">
        <v>-18.25</v>
      </c>
      <c r="K3010" s="241" t="n">
        <v>4.96</v>
      </c>
      <c r="L3010" s="242" t="n">
        <v>4990400</v>
      </c>
      <c r="M3010" s="241" t="n">
        <v>2.69</v>
      </c>
      <c r="N3010" s="241" t="n">
        <v>0</v>
      </c>
      <c r="O3010" s="241" t="n">
        <v>-4.84</v>
      </c>
      <c r="P3010" s="241" t="n">
        <v>1.85</v>
      </c>
    </row>
    <row r="3011">
      <c r="A3011" s="282" t="inlineStr">
        <is>
          <t>2018-05-22</t>
        </is>
      </c>
      <c r="B3011" s="240">
        <f>IFERROR(1/P3011-1,B3010)</f>
        <v/>
      </c>
      <c r="C3011" s="240">
        <f>$C$3</f>
        <v/>
      </c>
      <c r="D3011" s="240">
        <f>$D$3</f>
        <v/>
      </c>
      <c r="E3011" s="240">
        <f>$E$3</f>
        <v/>
      </c>
      <c r="F3011" s="241" t="n">
        <v>9.279999999999999</v>
      </c>
      <c r="G3011" s="242" t="n">
        <v>13750534</v>
      </c>
      <c r="H3011" s="241" t="n">
        <v>1.09</v>
      </c>
      <c r="I3011" s="241" t="n">
        <v>5.69</v>
      </c>
      <c r="J3011" s="241" t="n">
        <v>-17.36</v>
      </c>
      <c r="K3011" s="239" t="inlineStr">
        <is>
          <t>--</t>
        </is>
      </c>
      <c r="L3011" s="239" t="inlineStr">
        <is>
          <t>--</t>
        </is>
      </c>
      <c r="M3011" s="239" t="inlineStr">
        <is>
          <t>--</t>
        </is>
      </c>
      <c r="N3011" s="239" t="inlineStr">
        <is>
          <t>--</t>
        </is>
      </c>
      <c r="O3011" s="239" t="inlineStr">
        <is>
          <t>--</t>
        </is>
      </c>
      <c r="P3011" s="239" t="inlineStr">
        <is>
          <t>--</t>
        </is>
      </c>
    </row>
    <row r="3012">
      <c r="A3012" s="282" t="inlineStr">
        <is>
          <t>2018-05-23</t>
        </is>
      </c>
      <c r="B3012" s="240">
        <f>IFERROR(1/P3012-1,B3011)</f>
        <v/>
      </c>
      <c r="C3012" s="240">
        <f>$C$3</f>
        <v/>
      </c>
      <c r="D3012" s="240">
        <f>$D$3</f>
        <v/>
      </c>
      <c r="E3012" s="240">
        <f>$E$3</f>
        <v/>
      </c>
      <c r="F3012" s="241" t="n">
        <v>9.19</v>
      </c>
      <c r="G3012" s="242" t="n">
        <v>10476553</v>
      </c>
      <c r="H3012" s="241" t="n">
        <v>-0.97</v>
      </c>
      <c r="I3012" s="241" t="n">
        <v>4.67</v>
      </c>
      <c r="J3012" s="241" t="n">
        <v>-18.17</v>
      </c>
      <c r="K3012" s="241" t="n">
        <v>4.94</v>
      </c>
      <c r="L3012" s="242" t="n">
        <v>2098200</v>
      </c>
      <c r="M3012" s="241" t="n">
        <v>-0.33</v>
      </c>
      <c r="N3012" s="241" t="n">
        <v>-0.33</v>
      </c>
      <c r="O3012" s="241" t="n">
        <v>-5.15</v>
      </c>
      <c r="P3012" s="241" t="n">
        <v>1.86</v>
      </c>
    </row>
    <row r="3013">
      <c r="A3013" s="282" t="inlineStr">
        <is>
          <t>2018-05-24</t>
        </is>
      </c>
      <c r="B3013" s="240">
        <f>IFERROR(1/P3013-1,B3012)</f>
        <v/>
      </c>
      <c r="C3013" s="240">
        <f>$C$3</f>
        <v/>
      </c>
      <c r="D3013" s="240">
        <f>$D$3</f>
        <v/>
      </c>
      <c r="E3013" s="240">
        <f>$E$3</f>
        <v/>
      </c>
      <c r="F3013" s="241" t="n">
        <v>9.130000000000001</v>
      </c>
      <c r="G3013" s="242" t="n">
        <v>7116581</v>
      </c>
      <c r="H3013" s="241" t="n">
        <v>-0.65</v>
      </c>
      <c r="I3013" s="241" t="n">
        <v>4.82</v>
      </c>
      <c r="J3013" s="241" t="n">
        <v>-18.7</v>
      </c>
      <c r="K3013" s="241" t="n">
        <v>4.94</v>
      </c>
      <c r="L3013" s="242" t="n">
        <v>1661400</v>
      </c>
      <c r="M3013" s="241" t="n">
        <v>0</v>
      </c>
      <c r="N3013" s="241" t="n">
        <v>0</v>
      </c>
      <c r="O3013" s="241" t="n">
        <v>-5.15</v>
      </c>
      <c r="P3013" s="241" t="n">
        <v>1.85</v>
      </c>
    </row>
    <row r="3014">
      <c r="A3014" s="282" t="inlineStr">
        <is>
          <t>2018-05-25</t>
        </is>
      </c>
      <c r="B3014" s="240">
        <f>IFERROR(1/P3014-1,B3013)</f>
        <v/>
      </c>
      <c r="C3014" s="240">
        <f>$C$3</f>
        <v/>
      </c>
      <c r="D3014" s="240">
        <f>$D$3</f>
        <v/>
      </c>
      <c r="E3014" s="240">
        <f>$E$3</f>
        <v/>
      </c>
      <c r="F3014" s="241" t="n">
        <v>9.07</v>
      </c>
      <c r="G3014" s="242" t="n">
        <v>6961019</v>
      </c>
      <c r="H3014" s="241" t="n">
        <v>-0.66</v>
      </c>
      <c r="I3014" s="241" t="n">
        <v>1.57</v>
      </c>
      <c r="J3014" s="241" t="n">
        <v>-19.23</v>
      </c>
      <c r="K3014" s="241" t="n">
        <v>4.9</v>
      </c>
      <c r="L3014" s="242" t="n">
        <v>1395400</v>
      </c>
      <c r="M3014" s="241" t="n">
        <v>-0.99</v>
      </c>
      <c r="N3014" s="241" t="n">
        <v>-2.27</v>
      </c>
      <c r="O3014" s="241" t="n">
        <v>-6.08</v>
      </c>
      <c r="P3014" s="241" t="n">
        <v>1.85</v>
      </c>
    </row>
    <row r="3015">
      <c r="A3015" s="282" t="inlineStr">
        <is>
          <t>2018-05-28</t>
        </is>
      </c>
      <c r="B3015" s="240">
        <f>IFERROR(1/P3015-1,B3014)</f>
        <v/>
      </c>
      <c r="C3015" s="240">
        <f>$C$3</f>
        <v/>
      </c>
      <c r="D3015" s="240">
        <f>$D$3</f>
        <v/>
      </c>
      <c r="E3015" s="240">
        <f>$E$3</f>
        <v/>
      </c>
      <c r="F3015" s="241" t="n">
        <v>8.94</v>
      </c>
      <c r="G3015" s="242" t="n">
        <v>6679581</v>
      </c>
      <c r="H3015" s="241" t="n">
        <v>-1.43</v>
      </c>
      <c r="I3015" s="241" t="n">
        <v>0.79</v>
      </c>
      <c r="J3015" s="241" t="n">
        <v>-20.39</v>
      </c>
      <c r="K3015" s="241" t="n">
        <v>4.89</v>
      </c>
      <c r="L3015" s="242" t="n">
        <v>734600</v>
      </c>
      <c r="M3015" s="241" t="n">
        <v>-0.33</v>
      </c>
      <c r="N3015" s="241" t="n">
        <v>-1.96</v>
      </c>
      <c r="O3015" s="241" t="n">
        <v>-6.4</v>
      </c>
      <c r="P3015" s="241" t="n">
        <v>1.83</v>
      </c>
    </row>
    <row r="3016">
      <c r="A3016" s="282" t="inlineStr">
        <is>
          <t>2018-05-29</t>
        </is>
      </c>
      <c r="B3016" s="240">
        <f>IFERROR(1/P3016-1,B3015)</f>
        <v/>
      </c>
      <c r="C3016" s="240">
        <f>$C$3</f>
        <v/>
      </c>
      <c r="D3016" s="240">
        <f>$D$3</f>
        <v/>
      </c>
      <c r="E3016" s="240">
        <f>$E$3</f>
        <v/>
      </c>
      <c r="F3016" s="241" t="n">
        <v>8.9</v>
      </c>
      <c r="G3016" s="242" t="n">
        <v>6265533</v>
      </c>
      <c r="H3016" s="241" t="n">
        <v>-0.45</v>
      </c>
      <c r="I3016" s="241" t="n">
        <v>0.34</v>
      </c>
      <c r="J3016" s="241" t="n">
        <v>-20.75</v>
      </c>
      <c r="K3016" s="241" t="n">
        <v>4.86</v>
      </c>
      <c r="L3016" s="242" t="n">
        <v>1211000</v>
      </c>
      <c r="M3016" s="241" t="n">
        <v>-0.83</v>
      </c>
      <c r="N3016" s="241" t="n">
        <v>-2.78</v>
      </c>
      <c r="O3016" s="241" t="n">
        <v>-7.18</v>
      </c>
      <c r="P3016" s="241" t="n">
        <v>1.83</v>
      </c>
    </row>
    <row r="3017">
      <c r="A3017" s="282" t="inlineStr">
        <is>
          <t>2018-05-30</t>
        </is>
      </c>
      <c r="B3017" s="240">
        <f>IFERROR(1/P3017-1,B3016)</f>
        <v/>
      </c>
      <c r="C3017" s="240">
        <f>$C$3</f>
        <v/>
      </c>
      <c r="D3017" s="240">
        <f>$D$3</f>
        <v/>
      </c>
      <c r="E3017" s="240">
        <f>$E$3</f>
        <v/>
      </c>
      <c r="F3017" s="241" t="n">
        <v>8.550000000000001</v>
      </c>
      <c r="G3017" s="242" t="n">
        <v>13426400</v>
      </c>
      <c r="H3017" s="241" t="n">
        <v>-3.93</v>
      </c>
      <c r="I3017" s="241" t="n">
        <v>-3.61</v>
      </c>
      <c r="J3017" s="241" t="n">
        <v>-23.86</v>
      </c>
      <c r="K3017" s="241" t="n">
        <v>4.74</v>
      </c>
      <c r="L3017" s="242" t="n">
        <v>3294800</v>
      </c>
      <c r="M3017" s="241" t="n">
        <v>-2.69</v>
      </c>
      <c r="N3017" s="241" t="n">
        <v>-5.39</v>
      </c>
      <c r="O3017" s="241" t="n">
        <v>-9.67</v>
      </c>
      <c r="P3017" s="241" t="n">
        <v>1.8</v>
      </c>
    </row>
    <row r="3018">
      <c r="A3018" s="282" t="inlineStr">
        <is>
          <t>2018-05-31</t>
        </is>
      </c>
      <c r="B3018" s="240">
        <f>IFERROR(1/P3018-1,B3017)</f>
        <v/>
      </c>
      <c r="C3018" s="240">
        <f>$C$3</f>
        <v/>
      </c>
      <c r="D3018" s="240">
        <f>$D$3</f>
        <v/>
      </c>
      <c r="E3018" s="240">
        <f>$E$3</f>
        <v/>
      </c>
      <c r="F3018" s="241" t="n">
        <v>8.6</v>
      </c>
      <c r="G3018" s="242" t="n">
        <v>10047670</v>
      </c>
      <c r="H3018" s="241" t="n">
        <v>0.58</v>
      </c>
      <c r="I3018" s="241" t="n">
        <v>-3.04</v>
      </c>
      <c r="J3018" s="241" t="n">
        <v>-23.42</v>
      </c>
      <c r="K3018" s="241" t="n">
        <v>4.86</v>
      </c>
      <c r="L3018" s="242" t="n">
        <v>1628600</v>
      </c>
      <c r="M3018" s="241" t="n">
        <v>2.76</v>
      </c>
      <c r="N3018" s="241" t="n">
        <v>-2.78</v>
      </c>
      <c r="O3018" s="241" t="n">
        <v>-7.18</v>
      </c>
      <c r="P3018" s="241" t="n">
        <v>1.77</v>
      </c>
    </row>
    <row r="3019">
      <c r="A3019" s="282" t="inlineStr">
        <is>
          <t>2018-06-01</t>
        </is>
      </c>
      <c r="B3019" s="240">
        <f>IFERROR(1/P3019-1,B3018)</f>
        <v/>
      </c>
      <c r="C3019" s="240">
        <f>$C$3</f>
        <v/>
      </c>
      <c r="D3019" s="240">
        <f>$D$3</f>
        <v/>
      </c>
      <c r="E3019" s="240">
        <f>$E$3</f>
        <v/>
      </c>
      <c r="F3019" s="241" t="n">
        <v>8.57</v>
      </c>
      <c r="G3019" s="242" t="n">
        <v>6599422</v>
      </c>
      <c r="H3019" s="241" t="n">
        <v>-0.35</v>
      </c>
      <c r="I3019" s="241" t="n">
        <v>-3.38</v>
      </c>
      <c r="J3019" s="241" t="n">
        <v>-23.69</v>
      </c>
      <c r="K3019" s="241" t="n">
        <v>4.8</v>
      </c>
      <c r="L3019" s="242" t="n">
        <v>1625200</v>
      </c>
      <c r="M3019" s="241" t="n">
        <v>-1.18</v>
      </c>
      <c r="N3019" s="241" t="n">
        <v>-4.55</v>
      </c>
      <c r="O3019" s="241" t="n">
        <v>-8.27</v>
      </c>
      <c r="P3019" s="241" t="n">
        <v>1.78</v>
      </c>
    </row>
    <row r="3020">
      <c r="A3020" s="282" t="inlineStr">
        <is>
          <t>2018-06-04</t>
        </is>
      </c>
      <c r="B3020" s="240">
        <f>IFERROR(1/P3020-1,B3019)</f>
        <v/>
      </c>
      <c r="C3020" s="240">
        <f>$C$3</f>
        <v/>
      </c>
      <c r="D3020" s="240">
        <f>$D$3</f>
        <v/>
      </c>
      <c r="E3020" s="240">
        <f>$E$3</f>
        <v/>
      </c>
      <c r="F3020" s="241" t="n">
        <v>8.42</v>
      </c>
      <c r="G3020" s="242" t="n">
        <v>11672332</v>
      </c>
      <c r="H3020" s="241" t="n">
        <v>-1.75</v>
      </c>
      <c r="I3020" s="241" t="n">
        <v>-6.44</v>
      </c>
      <c r="J3020" s="241" t="n">
        <v>-25.02</v>
      </c>
      <c r="K3020" s="241" t="n">
        <v>4.8</v>
      </c>
      <c r="L3020" s="242" t="n">
        <v>782800</v>
      </c>
      <c r="M3020" s="241" t="n">
        <v>-0.34</v>
      </c>
      <c r="N3020" s="241" t="n">
        <v>-4.09</v>
      </c>
      <c r="O3020" s="241" t="n">
        <v>-8.58</v>
      </c>
      <c r="P3020" s="241" t="n">
        <v>1.76</v>
      </c>
    </row>
    <row r="3021">
      <c r="A3021" s="282" t="inlineStr">
        <is>
          <t>2018-06-05</t>
        </is>
      </c>
      <c r="B3021" s="240">
        <f>IFERROR(1/P3021-1,B3020)</f>
        <v/>
      </c>
      <c r="C3021" s="240">
        <f>$C$3</f>
        <v/>
      </c>
      <c r="D3021" s="240">
        <f>$D$3</f>
        <v/>
      </c>
      <c r="E3021" s="240">
        <f>$E$3</f>
        <v/>
      </c>
      <c r="F3021" s="241" t="n">
        <v>8.539999999999999</v>
      </c>
      <c r="G3021" s="242" t="n">
        <v>6473758</v>
      </c>
      <c r="H3021" s="241" t="n">
        <v>1.43</v>
      </c>
      <c r="I3021" s="241" t="n">
        <v>-5.01</v>
      </c>
      <c r="J3021" s="241" t="n">
        <v>-23.95</v>
      </c>
      <c r="K3021" s="241" t="n">
        <v>4.83</v>
      </c>
      <c r="L3021" s="242" t="n">
        <v>2145600</v>
      </c>
      <c r="M3021" s="241" t="n">
        <v>0.85</v>
      </c>
      <c r="N3021" s="241" t="n">
        <v>-2.48</v>
      </c>
      <c r="O3021" s="241" t="n">
        <v>-7.8</v>
      </c>
      <c r="P3021" s="241" t="n">
        <v>1.77</v>
      </c>
    </row>
    <row r="3022">
      <c r="A3022" s="282" t="inlineStr">
        <is>
          <t>2018-06-06</t>
        </is>
      </c>
      <c r="B3022" s="240">
        <f>IFERROR(1/P3022-1,B3021)</f>
        <v/>
      </c>
      <c r="C3022" s="240">
        <f>$C$3</f>
        <v/>
      </c>
      <c r="D3022" s="240">
        <f>$D$3</f>
        <v/>
      </c>
      <c r="E3022" s="240">
        <f>$E$3</f>
        <v/>
      </c>
      <c r="F3022" s="241" t="n">
        <v>8.550000000000001</v>
      </c>
      <c r="G3022" s="242" t="n">
        <v>4721413</v>
      </c>
      <c r="H3022" s="241" t="n">
        <v>0.12</v>
      </c>
      <c r="I3022" s="241" t="n">
        <v>-4.89</v>
      </c>
      <c r="J3022" s="241" t="n">
        <v>-23.86</v>
      </c>
      <c r="K3022" s="241" t="n">
        <v>4.89</v>
      </c>
      <c r="L3022" s="242" t="n">
        <v>1337400</v>
      </c>
      <c r="M3022" s="241" t="n">
        <v>1.35</v>
      </c>
      <c r="N3022" s="241" t="n">
        <v>-1.16</v>
      </c>
      <c r="O3022" s="241" t="n">
        <v>-6.55</v>
      </c>
      <c r="P3022" s="241" t="n">
        <v>1.75</v>
      </c>
    </row>
    <row r="3023">
      <c r="A3023" s="282" t="inlineStr">
        <is>
          <t>2018-06-07</t>
        </is>
      </c>
      <c r="B3023" s="240">
        <f>IFERROR(1/P3023-1,B3022)</f>
        <v/>
      </c>
      <c r="C3023" s="240">
        <f>$C$3</f>
        <v/>
      </c>
      <c r="D3023" s="240">
        <f>$D$3</f>
        <v/>
      </c>
      <c r="E3023" s="240">
        <f>$E$3</f>
        <v/>
      </c>
      <c r="F3023" s="241" t="n">
        <v>8.48</v>
      </c>
      <c r="G3023" s="242" t="n">
        <v>5368572</v>
      </c>
      <c r="H3023" s="241" t="n">
        <v>-0.82</v>
      </c>
      <c r="I3023" s="241" t="n">
        <v>-5.67</v>
      </c>
      <c r="J3023" s="241" t="n">
        <v>-24.49</v>
      </c>
      <c r="K3023" s="241" t="n">
        <v>4.9</v>
      </c>
      <c r="L3023" s="242" t="n">
        <v>1336440</v>
      </c>
      <c r="M3023" s="241" t="n">
        <v>0.33</v>
      </c>
      <c r="N3023" s="241" t="n">
        <v>-0.83</v>
      </c>
      <c r="O3023" s="241" t="n">
        <v>-6.24</v>
      </c>
      <c r="P3023" s="241" t="n">
        <v>1.73</v>
      </c>
    </row>
    <row r="3024">
      <c r="A3024" s="282" t="inlineStr">
        <is>
          <t>2018-06-08</t>
        </is>
      </c>
      <c r="B3024" s="240">
        <f>IFERROR(1/P3024-1,B3023)</f>
        <v/>
      </c>
      <c r="C3024" s="240">
        <f>$C$3</f>
        <v/>
      </c>
      <c r="D3024" s="240">
        <f>$D$3</f>
        <v/>
      </c>
      <c r="E3024" s="240">
        <f>$E$3</f>
        <v/>
      </c>
      <c r="F3024" s="241" t="n">
        <v>8.27</v>
      </c>
      <c r="G3024" s="242" t="n">
        <v>9558124</v>
      </c>
      <c r="H3024" s="241" t="n">
        <v>-2.48</v>
      </c>
      <c r="I3024" s="241" t="n">
        <v>-9.02</v>
      </c>
      <c r="J3024" s="241" t="n">
        <v>-26.36</v>
      </c>
      <c r="K3024" s="241" t="n">
        <v>4.79</v>
      </c>
      <c r="L3024" s="242" t="n">
        <v>1226184</v>
      </c>
      <c r="M3024" s="241" t="n">
        <v>-2.33</v>
      </c>
      <c r="N3024" s="241" t="n">
        <v>-4.55</v>
      </c>
      <c r="O3024" s="241" t="n">
        <v>-8.42</v>
      </c>
      <c r="P3024" s="241" t="n">
        <v>1.73</v>
      </c>
    </row>
    <row r="3025">
      <c r="A3025" s="282" t="inlineStr">
        <is>
          <t>2018-06-11</t>
        </is>
      </c>
      <c r="B3025" s="240">
        <f>IFERROR(1/P3025-1,B3024)</f>
        <v/>
      </c>
      <c r="C3025" s="240">
        <f>$C$3</f>
        <v/>
      </c>
      <c r="D3025" s="240">
        <f>$D$3</f>
        <v/>
      </c>
      <c r="E3025" s="240">
        <f>$E$3</f>
        <v/>
      </c>
      <c r="F3025" s="241" t="n">
        <v>8.31</v>
      </c>
      <c r="G3025" s="242" t="n">
        <v>5563810</v>
      </c>
      <c r="H3025" s="241" t="n">
        <v>0.48</v>
      </c>
      <c r="I3025" s="241" t="n">
        <v>-8.68</v>
      </c>
      <c r="J3025" s="241" t="n">
        <v>-26</v>
      </c>
      <c r="K3025" s="241" t="n">
        <v>4.78</v>
      </c>
      <c r="L3025" s="242" t="n">
        <v>1480800</v>
      </c>
      <c r="M3025" s="241" t="n">
        <v>-0.34</v>
      </c>
      <c r="N3025" s="241" t="n">
        <v>-4.1</v>
      </c>
      <c r="O3025" s="241" t="n">
        <v>-8.74</v>
      </c>
      <c r="P3025" s="241" t="n">
        <v>1.74</v>
      </c>
    </row>
    <row r="3026">
      <c r="A3026" s="282" t="inlineStr">
        <is>
          <t>2018-06-12</t>
        </is>
      </c>
      <c r="B3026" s="240">
        <f>IFERROR(1/P3026-1,B3025)</f>
        <v/>
      </c>
      <c r="C3026" s="240">
        <f>$C$3</f>
        <v/>
      </c>
      <c r="D3026" s="240">
        <f>$D$3</f>
        <v/>
      </c>
      <c r="E3026" s="240">
        <f>$E$3</f>
        <v/>
      </c>
      <c r="F3026" s="241" t="n">
        <v>8.460000000000001</v>
      </c>
      <c r="G3026" s="242" t="n">
        <v>6963134</v>
      </c>
      <c r="H3026" s="241" t="n">
        <v>1.81</v>
      </c>
      <c r="I3026" s="241" t="n">
        <v>-6.1</v>
      </c>
      <c r="J3026" s="241" t="n">
        <v>-24.67</v>
      </c>
      <c r="K3026" s="241" t="n">
        <v>4.87</v>
      </c>
      <c r="L3026" s="242" t="n">
        <v>1494600</v>
      </c>
      <c r="M3026" s="241" t="n">
        <v>1.88</v>
      </c>
      <c r="N3026" s="241" t="n">
        <v>-0.17</v>
      </c>
      <c r="O3026" s="241" t="n">
        <v>-7.02</v>
      </c>
      <c r="P3026" s="241" t="n">
        <v>1.74</v>
      </c>
    </row>
    <row r="3027">
      <c r="A3027" s="282" t="inlineStr">
        <is>
          <t>2018-06-13</t>
        </is>
      </c>
      <c r="B3027" s="240">
        <f>IFERROR(1/P3027-1,B3026)</f>
        <v/>
      </c>
      <c r="C3027" s="240">
        <f>$C$3</f>
        <v/>
      </c>
      <c r="D3027" s="240">
        <f>$D$3</f>
        <v/>
      </c>
      <c r="E3027" s="240">
        <f>$E$3</f>
        <v/>
      </c>
      <c r="F3027" s="241" t="n">
        <v>8.289999999999999</v>
      </c>
      <c r="G3027" s="242" t="n">
        <v>5734844</v>
      </c>
      <c r="H3027" s="241" t="n">
        <v>-2.01</v>
      </c>
      <c r="I3027" s="241" t="n">
        <v>-7.99</v>
      </c>
      <c r="J3027" s="241" t="n">
        <v>-26.18</v>
      </c>
      <c r="K3027" s="241" t="n">
        <v>4.82</v>
      </c>
      <c r="L3027" s="242" t="n">
        <v>765600</v>
      </c>
      <c r="M3027" s="241" t="n">
        <v>-1.01</v>
      </c>
      <c r="N3027" s="241" t="n">
        <v>-1.17</v>
      </c>
      <c r="O3027" s="241" t="n">
        <v>-7.96</v>
      </c>
      <c r="P3027" s="241" t="n">
        <v>1.72</v>
      </c>
    </row>
    <row r="3028">
      <c r="A3028" s="282" t="inlineStr">
        <is>
          <t>2018-06-14</t>
        </is>
      </c>
      <c r="B3028" s="240">
        <f>IFERROR(1/P3028-1,B3027)</f>
        <v/>
      </c>
      <c r="C3028" s="240">
        <f>$C$3</f>
        <v/>
      </c>
      <c r="D3028" s="240">
        <f>$D$3</f>
        <v/>
      </c>
      <c r="E3028" s="240">
        <f>$E$3</f>
        <v/>
      </c>
      <c r="F3028" s="241" t="n">
        <v>8.43</v>
      </c>
      <c r="G3028" s="242" t="n">
        <v>8107885</v>
      </c>
      <c r="H3028" s="241" t="n">
        <v>1.69</v>
      </c>
      <c r="I3028" s="241" t="n">
        <v>-6.44</v>
      </c>
      <c r="J3028" s="241" t="n">
        <v>-24.93</v>
      </c>
      <c r="K3028" s="241" t="n">
        <v>4.78</v>
      </c>
      <c r="L3028" s="242" t="n">
        <v>2230400</v>
      </c>
      <c r="M3028" s="241" t="n">
        <v>-0.68</v>
      </c>
      <c r="N3028" s="241" t="n">
        <v>-1.84</v>
      </c>
      <c r="O3028" s="241" t="n">
        <v>-8.58</v>
      </c>
      <c r="P3028" s="241" t="n">
        <v>1.76</v>
      </c>
    </row>
    <row r="3029">
      <c r="A3029" s="282" t="inlineStr">
        <is>
          <t>2018-06-15</t>
        </is>
      </c>
      <c r="B3029" s="240">
        <f>IFERROR(1/P3029-1,B3028)</f>
        <v/>
      </c>
      <c r="C3029" s="240">
        <f>$C$3</f>
        <v/>
      </c>
      <c r="D3029" s="240">
        <f>$D$3</f>
        <v/>
      </c>
      <c r="E3029" s="240">
        <f>$E$3</f>
        <v/>
      </c>
      <c r="F3029" s="241" t="n">
        <v>8.279999999999999</v>
      </c>
      <c r="G3029" s="242" t="n">
        <v>6836977</v>
      </c>
      <c r="H3029" s="241" t="n">
        <v>-1.78</v>
      </c>
      <c r="I3029" s="241" t="n">
        <v>-8.1</v>
      </c>
      <c r="J3029" s="241" t="n">
        <v>-26.27</v>
      </c>
      <c r="K3029" s="241" t="n">
        <v>4.66</v>
      </c>
      <c r="L3029" s="242" t="n">
        <v>1792800</v>
      </c>
      <c r="M3029" s="241" t="n">
        <v>-2.9</v>
      </c>
      <c r="N3029" s="241" t="n">
        <v>-4.85</v>
      </c>
      <c r="O3029" s="241" t="n">
        <v>-11.23</v>
      </c>
      <c r="P3029" s="241" t="n">
        <v>1.78</v>
      </c>
    </row>
    <row r="3030">
      <c r="A3030" s="282" t="inlineStr">
        <is>
          <t>2018-06-19</t>
        </is>
      </c>
      <c r="B3030" s="240">
        <f>IFERROR(1/P3030-1,B3029)</f>
        <v/>
      </c>
      <c r="C3030" s="240">
        <f>$C$3</f>
        <v/>
      </c>
      <c r="D3030" s="240">
        <f>$D$3</f>
        <v/>
      </c>
      <c r="E3030" s="240">
        <f>$E$3</f>
        <v/>
      </c>
      <c r="F3030" s="241" t="n">
        <v>7.54</v>
      </c>
      <c r="G3030" s="242" t="n">
        <v>16190786</v>
      </c>
      <c r="H3030" s="241" t="n">
        <v>-8.94</v>
      </c>
      <c r="I3030" s="241" t="n">
        <v>-16.78</v>
      </c>
      <c r="J3030" s="241" t="n">
        <v>-32.86</v>
      </c>
      <c r="K3030" s="241" t="n">
        <v>4.44</v>
      </c>
      <c r="L3030" s="242" t="n">
        <v>3161740</v>
      </c>
      <c r="M3030" s="241" t="n">
        <v>-4.57</v>
      </c>
      <c r="N3030" s="241" t="n">
        <v>-8.59</v>
      </c>
      <c r="O3030" s="241" t="n">
        <v>-15.29</v>
      </c>
      <c r="P3030" s="241" t="n">
        <v>1.7</v>
      </c>
    </row>
    <row r="3031">
      <c r="A3031" s="282" t="inlineStr">
        <is>
          <t>2018-06-20</t>
        </is>
      </c>
      <c r="B3031" s="240">
        <f>IFERROR(1/P3031-1,B3030)</f>
        <v/>
      </c>
      <c r="C3031" s="240">
        <f>$C$3</f>
        <v/>
      </c>
      <c r="D3031" s="240">
        <f>$D$3</f>
        <v/>
      </c>
      <c r="E3031" s="240">
        <f>$E$3</f>
        <v/>
      </c>
      <c r="F3031" s="241" t="n">
        <v>7.59</v>
      </c>
      <c r="G3031" s="242" t="n">
        <v>7723154</v>
      </c>
      <c r="H3031" s="241" t="n">
        <v>0.66</v>
      </c>
      <c r="I3031" s="241" t="n">
        <v>-16.23</v>
      </c>
      <c r="J3031" s="241" t="n">
        <v>-32.41</v>
      </c>
      <c r="K3031" s="241" t="n">
        <v>4.49</v>
      </c>
      <c r="L3031" s="242" t="n">
        <v>1239700</v>
      </c>
      <c r="M3031" s="241" t="n">
        <v>0.55</v>
      </c>
      <c r="N3031" s="241" t="n">
        <v>-8.08</v>
      </c>
      <c r="O3031" s="241" t="n">
        <v>-14.82</v>
      </c>
      <c r="P3031" s="241" t="n">
        <v>1.69</v>
      </c>
    </row>
    <row r="3032">
      <c r="A3032" s="282" t="inlineStr">
        <is>
          <t>2018-06-21</t>
        </is>
      </c>
      <c r="B3032" s="240">
        <f>IFERROR(1/P3032-1,B3031)</f>
        <v/>
      </c>
      <c r="C3032" s="240">
        <f>$C$3</f>
        <v/>
      </c>
      <c r="D3032" s="240">
        <f>$D$3</f>
        <v/>
      </c>
      <c r="E3032" s="240">
        <f>$E$3</f>
        <v/>
      </c>
      <c r="F3032" s="241" t="n">
        <v>7.12</v>
      </c>
      <c r="G3032" s="242" t="n">
        <v>16577059</v>
      </c>
      <c r="H3032" s="241" t="n">
        <v>-6.19</v>
      </c>
      <c r="I3032" s="241" t="n">
        <v>-21.41</v>
      </c>
      <c r="J3032" s="241" t="n">
        <v>-36.6</v>
      </c>
      <c r="K3032" s="241" t="n">
        <v>4.31</v>
      </c>
      <c r="L3032" s="242" t="n">
        <v>1984400</v>
      </c>
      <c r="M3032" s="241" t="n">
        <v>-4.21</v>
      </c>
      <c r="N3032" s="241" t="n">
        <v>-11.95</v>
      </c>
      <c r="O3032" s="241" t="n">
        <v>-18.41</v>
      </c>
      <c r="P3032" s="241" t="n">
        <v>1.65</v>
      </c>
    </row>
    <row r="3033">
      <c r="A3033" s="282" t="inlineStr">
        <is>
          <t>2018-06-22</t>
        </is>
      </c>
      <c r="B3033" s="240">
        <f>IFERROR(1/P3033-1,B3032)</f>
        <v/>
      </c>
      <c r="C3033" s="240">
        <f>$C$3</f>
        <v/>
      </c>
      <c r="D3033" s="240">
        <f>$D$3</f>
        <v/>
      </c>
      <c r="E3033" s="240">
        <f>$E$3</f>
        <v/>
      </c>
      <c r="F3033" s="241" t="n">
        <v>7.24</v>
      </c>
      <c r="G3033" s="242" t="n">
        <v>9006030</v>
      </c>
      <c r="H3033" s="241" t="n">
        <v>1.69</v>
      </c>
      <c r="I3033" s="241" t="n">
        <v>-21.13</v>
      </c>
      <c r="J3033" s="241" t="n">
        <v>-35.53</v>
      </c>
      <c r="K3033" s="241" t="n">
        <v>4.39</v>
      </c>
      <c r="L3033" s="242" t="n">
        <v>2487000</v>
      </c>
      <c r="M3033" s="241" t="n">
        <v>1.53</v>
      </c>
      <c r="N3033" s="241" t="n">
        <v>-12.95</v>
      </c>
      <c r="O3033" s="241" t="n">
        <v>-17.16</v>
      </c>
      <c r="P3033" s="241" t="n">
        <v>1.65</v>
      </c>
    </row>
    <row r="3034">
      <c r="A3034" s="282" t="inlineStr">
        <is>
          <t>2018-06-25</t>
        </is>
      </c>
      <c r="B3034" s="240">
        <f>IFERROR(1/P3034-1,B3033)</f>
        <v/>
      </c>
      <c r="C3034" s="240">
        <f>$C$3</f>
        <v/>
      </c>
      <c r="D3034" s="240">
        <f>$D$3</f>
        <v/>
      </c>
      <c r="E3034" s="240">
        <f>$E$3</f>
        <v/>
      </c>
      <c r="F3034" s="241" t="n">
        <v>7.18</v>
      </c>
      <c r="G3034" s="242" t="n">
        <v>8426687</v>
      </c>
      <c r="H3034" s="241" t="n">
        <v>-0.83</v>
      </c>
      <c r="I3034" s="241" t="n">
        <v>-21.36</v>
      </c>
      <c r="J3034" s="241" t="n">
        <v>-36.06</v>
      </c>
      <c r="K3034" s="241" t="n">
        <v>4.31</v>
      </c>
      <c r="L3034" s="242" t="n">
        <v>754600</v>
      </c>
      <c r="M3034" s="241" t="n">
        <v>-1.88</v>
      </c>
      <c r="N3034" s="241" t="n">
        <v>-14.31</v>
      </c>
      <c r="O3034" s="241" t="n">
        <v>-18.72</v>
      </c>
      <c r="P3034" s="241" t="n">
        <v>1.67</v>
      </c>
    </row>
    <row r="3035">
      <c r="A3035" s="282" t="inlineStr">
        <is>
          <t>2018-06-26</t>
        </is>
      </c>
      <c r="B3035" s="240">
        <f>IFERROR(1/P3035-1,B3034)</f>
        <v/>
      </c>
      <c r="C3035" s="240">
        <f>$C$3</f>
        <v/>
      </c>
      <c r="D3035" s="240">
        <f>$D$3</f>
        <v/>
      </c>
      <c r="E3035" s="240">
        <f>$E$3</f>
        <v/>
      </c>
      <c r="F3035" s="241" t="n">
        <v>7.34</v>
      </c>
      <c r="G3035" s="242" t="n">
        <v>9194205</v>
      </c>
      <c r="H3035" s="241" t="n">
        <v>2.23</v>
      </c>
      <c r="I3035" s="241" t="n">
        <v>-19.07</v>
      </c>
      <c r="J3035" s="241" t="n">
        <v>-34.64</v>
      </c>
      <c r="K3035" s="241" t="n">
        <v>4.26</v>
      </c>
      <c r="L3035" s="242" t="n">
        <v>1243790</v>
      </c>
      <c r="M3035" s="241" t="n">
        <v>-1.54</v>
      </c>
      <c r="N3035" s="241" t="n">
        <v>-14.78</v>
      </c>
      <c r="O3035" s="241" t="n">
        <v>-19.97</v>
      </c>
      <c r="P3035" s="241" t="n">
        <v>1.72</v>
      </c>
    </row>
    <row r="3036">
      <c r="A3036" s="282" t="inlineStr">
        <is>
          <t>2018-06-27</t>
        </is>
      </c>
      <c r="B3036" s="240">
        <f>IFERROR(1/P3036-1,B3035)</f>
        <v/>
      </c>
      <c r="C3036" s="240">
        <f>$C$3</f>
        <v/>
      </c>
      <c r="D3036" s="240">
        <f>$D$3</f>
        <v/>
      </c>
      <c r="E3036" s="240">
        <f>$E$3</f>
        <v/>
      </c>
      <c r="F3036" s="241" t="n">
        <v>7.32</v>
      </c>
      <c r="G3036" s="242" t="n">
        <v>6360843</v>
      </c>
      <c r="H3036" s="241" t="n">
        <v>-0.27</v>
      </c>
      <c r="I3036" s="241" t="n">
        <v>-19.29</v>
      </c>
      <c r="J3036" s="241" t="n">
        <v>-34.82</v>
      </c>
      <c r="K3036" s="241" t="n">
        <v>4.23</v>
      </c>
      <c r="L3036" s="242" t="n">
        <v>957200</v>
      </c>
      <c r="M3036" s="241" t="n">
        <v>-1.36</v>
      </c>
      <c r="N3036" s="241" t="n">
        <v>-15.95</v>
      </c>
      <c r="O3036" s="241" t="n">
        <v>-21.06</v>
      </c>
      <c r="P3036" s="241" t="n">
        <v>1.73</v>
      </c>
    </row>
    <row r="3037">
      <c r="A3037" s="282" t="inlineStr">
        <is>
          <t>2018-06-28</t>
        </is>
      </c>
      <c r="B3037" s="240">
        <f>IFERROR(1/P3037-1,B3036)</f>
        <v/>
      </c>
      <c r="C3037" s="240">
        <f>$C$3</f>
        <v/>
      </c>
      <c r="D3037" s="240">
        <f>$D$3</f>
        <v/>
      </c>
      <c r="E3037" s="240">
        <f>$E$3</f>
        <v/>
      </c>
      <c r="F3037" s="241" t="n">
        <v>7.24</v>
      </c>
      <c r="G3037" s="242" t="n">
        <v>8143706</v>
      </c>
      <c r="H3037" s="241" t="n">
        <v>-1.09</v>
      </c>
      <c r="I3037" s="241" t="n">
        <v>-20.18</v>
      </c>
      <c r="J3037" s="241" t="n">
        <v>-35.53</v>
      </c>
      <c r="K3037" s="241" t="n">
        <v>4.23</v>
      </c>
      <c r="L3037" s="242" t="n">
        <v>872600</v>
      </c>
      <c r="M3037" s="241" t="n">
        <v>-0.59</v>
      </c>
      <c r="N3037" s="241" t="n">
        <v>-16.45</v>
      </c>
      <c r="O3037" s="241" t="n">
        <v>-21.53</v>
      </c>
      <c r="P3037" s="241" t="n">
        <v>1.71</v>
      </c>
    </row>
    <row r="3038">
      <c r="A3038" s="282" t="inlineStr">
        <is>
          <t>2018-06-29</t>
        </is>
      </c>
      <c r="B3038" s="240">
        <f>IFERROR(1/P3038-1,B3037)</f>
        <v/>
      </c>
      <c r="C3038" s="240">
        <f>$C$3</f>
        <v/>
      </c>
      <c r="D3038" s="240">
        <f>$D$3</f>
        <v/>
      </c>
      <c r="E3038" s="240">
        <f>$E$3</f>
        <v/>
      </c>
      <c r="F3038" s="241" t="n">
        <v>7.41</v>
      </c>
      <c r="G3038" s="242" t="n">
        <v>6700830</v>
      </c>
      <c r="H3038" s="241" t="n">
        <v>2.35</v>
      </c>
      <c r="I3038" s="241" t="n">
        <v>-17.11</v>
      </c>
      <c r="J3038" s="241" t="n">
        <v>-34.02</v>
      </c>
      <c r="K3038" s="241" t="n">
        <v>4.35</v>
      </c>
      <c r="L3038" s="242" t="n">
        <v>1069810</v>
      </c>
      <c r="M3038" s="241" t="n">
        <v>2.58</v>
      </c>
      <c r="N3038" s="241" t="n">
        <v>-14</v>
      </c>
      <c r="O3038" s="241" t="n">
        <v>-19.5</v>
      </c>
      <c r="P3038" s="241" t="n">
        <v>1.7</v>
      </c>
    </row>
    <row r="3039">
      <c r="A3039" s="282" t="inlineStr">
        <is>
          <t>2018-07-02</t>
        </is>
      </c>
      <c r="B3039" s="240">
        <f>IFERROR(1/P3039-1,B3038)</f>
        <v/>
      </c>
      <c r="C3039" s="240">
        <f>$C$3</f>
        <v/>
      </c>
      <c r="D3039" s="240">
        <f>$D$3</f>
        <v/>
      </c>
      <c r="E3039" s="240">
        <f>$E$3</f>
        <v/>
      </c>
      <c r="F3039" s="241" t="n">
        <v>7.24</v>
      </c>
      <c r="G3039" s="242" t="n">
        <v>8057136</v>
      </c>
      <c r="H3039" s="241" t="n">
        <v>-2.29</v>
      </c>
      <c r="I3039" s="241" t="n">
        <v>-15.52</v>
      </c>
      <c r="J3039" s="241" t="n">
        <v>-35.53</v>
      </c>
      <c r="K3039" s="239" t="inlineStr">
        <is>
          <t>--</t>
        </is>
      </c>
      <c r="L3039" s="239" t="inlineStr">
        <is>
          <t>--</t>
        </is>
      </c>
      <c r="M3039" s="239" t="inlineStr">
        <is>
          <t>--</t>
        </is>
      </c>
      <c r="N3039" s="239" t="inlineStr">
        <is>
          <t>--</t>
        </is>
      </c>
      <c r="O3039" s="239" t="inlineStr">
        <is>
          <t>--</t>
        </is>
      </c>
      <c r="P3039" s="239" t="inlineStr">
        <is>
          <t>--</t>
        </is>
      </c>
    </row>
    <row r="3040">
      <c r="A3040" s="282" t="inlineStr">
        <is>
          <t>2018-07-03</t>
        </is>
      </c>
      <c r="B3040" s="240">
        <f>IFERROR(1/P3040-1,B3039)</f>
        <v/>
      </c>
      <c r="C3040" s="240">
        <f>$C$3</f>
        <v/>
      </c>
      <c r="D3040" s="240">
        <f>$D$3</f>
        <v/>
      </c>
      <c r="E3040" s="240">
        <f>$E$3</f>
        <v/>
      </c>
      <c r="F3040" s="241" t="n">
        <v>7.33</v>
      </c>
      <c r="G3040" s="242" t="n">
        <v>10746221</v>
      </c>
      <c r="H3040" s="241" t="n">
        <v>1.24</v>
      </c>
      <c r="I3040" s="241" t="n">
        <v>-14.47</v>
      </c>
      <c r="J3040" s="241" t="n">
        <v>-34.73</v>
      </c>
      <c r="K3040" s="241" t="n">
        <v>4.26</v>
      </c>
      <c r="L3040" s="242" t="n">
        <v>1690400</v>
      </c>
      <c r="M3040" s="241" t="n">
        <v>-2.52</v>
      </c>
      <c r="N3040" s="241" t="n">
        <v>-14.46</v>
      </c>
      <c r="O3040" s="241" t="n">
        <v>-21.53</v>
      </c>
      <c r="P3040" s="241" t="n">
        <v>1.72</v>
      </c>
    </row>
    <row r="3041">
      <c r="A3041" s="282" t="inlineStr">
        <is>
          <t>2018-07-04</t>
        </is>
      </c>
      <c r="B3041" s="240">
        <f>IFERROR(1/P3041-1,B3040)</f>
        <v/>
      </c>
      <c r="C3041" s="240">
        <f>$C$3</f>
        <v/>
      </c>
      <c r="D3041" s="240">
        <f>$D$3</f>
        <v/>
      </c>
      <c r="E3041" s="240">
        <f>$E$3</f>
        <v/>
      </c>
      <c r="F3041" s="241" t="n">
        <v>7.37</v>
      </c>
      <c r="G3041" s="242" t="n">
        <v>18418254</v>
      </c>
      <c r="H3041" s="241" t="n">
        <v>0.55</v>
      </c>
      <c r="I3041" s="241" t="n">
        <v>-14</v>
      </c>
      <c r="J3041" s="241" t="n">
        <v>-34.37</v>
      </c>
      <c r="K3041" s="241" t="n">
        <v>4.24</v>
      </c>
      <c r="L3041" s="242" t="n">
        <v>858800</v>
      </c>
      <c r="M3041" s="241" t="n">
        <v>-0.8</v>
      </c>
      <c r="N3041" s="241" t="n">
        <v>-15.14</v>
      </c>
      <c r="O3041" s="241" t="n">
        <v>-22.15</v>
      </c>
      <c r="P3041" s="241" t="n">
        <v>1.74</v>
      </c>
    </row>
    <row r="3042">
      <c r="A3042" s="282" t="inlineStr">
        <is>
          <t>2018-07-05</t>
        </is>
      </c>
      <c r="B3042" s="240">
        <f>IFERROR(1/P3042-1,B3041)</f>
        <v/>
      </c>
      <c r="C3042" s="240">
        <f>$C$3</f>
        <v/>
      </c>
      <c r="D3042" s="240">
        <f>$D$3</f>
        <v/>
      </c>
      <c r="E3042" s="240">
        <f>$E$3</f>
        <v/>
      </c>
      <c r="F3042" s="241" t="n">
        <v>7.06</v>
      </c>
      <c r="G3042" s="242" t="n">
        <v>10888400</v>
      </c>
      <c r="H3042" s="241" t="n">
        <v>-4.21</v>
      </c>
      <c r="I3042" s="241" t="n">
        <v>-16.15</v>
      </c>
      <c r="J3042" s="241" t="n">
        <v>-37.13</v>
      </c>
      <c r="K3042" s="241" t="n">
        <v>4.11</v>
      </c>
      <c r="L3042" s="242" t="n">
        <v>1282600</v>
      </c>
      <c r="M3042" s="241" t="n">
        <v>-2.4</v>
      </c>
      <c r="N3042" s="241" t="n">
        <v>-16.89</v>
      </c>
      <c r="O3042" s="241" t="n">
        <v>-24.02</v>
      </c>
      <c r="P3042" s="241" t="n">
        <v>1.72</v>
      </c>
    </row>
    <row r="3043">
      <c r="A3043" s="282" t="inlineStr">
        <is>
          <t>2018-07-06</t>
        </is>
      </c>
      <c r="B3043" s="240">
        <f>IFERROR(1/P3043-1,B3042)</f>
        <v/>
      </c>
      <c r="C3043" s="240">
        <f>$C$3</f>
        <v/>
      </c>
      <c r="D3043" s="240">
        <f>$D$3</f>
        <v/>
      </c>
      <c r="E3043" s="240">
        <f>$E$3</f>
        <v/>
      </c>
      <c r="F3043" s="241" t="n">
        <v>7.06</v>
      </c>
      <c r="G3043" s="242" t="n">
        <v>11895952</v>
      </c>
      <c r="H3043" s="241" t="n">
        <v>0</v>
      </c>
      <c r="I3043" s="241" t="n">
        <v>-17.33</v>
      </c>
      <c r="J3043" s="241" t="n">
        <v>-37.13</v>
      </c>
      <c r="K3043" s="241" t="n">
        <v>4.02</v>
      </c>
      <c r="L3043" s="242" t="n">
        <v>2158000</v>
      </c>
      <c r="M3043" s="241" t="n">
        <v>-2.26</v>
      </c>
      <c r="N3043" s="241" t="n">
        <v>-19.46</v>
      </c>
      <c r="O3043" s="241" t="n">
        <v>-25.74</v>
      </c>
      <c r="P3043" s="241" t="n">
        <v>1.75</v>
      </c>
    </row>
    <row r="3044">
      <c r="A3044" s="282" t="inlineStr">
        <is>
          <t>2018-07-09</t>
        </is>
      </c>
      <c r="B3044" s="240">
        <f>IFERROR(1/P3044-1,B3043)</f>
        <v/>
      </c>
      <c r="C3044" s="240">
        <f>$C$3</f>
        <v/>
      </c>
      <c r="D3044" s="240">
        <f>$D$3</f>
        <v/>
      </c>
      <c r="E3044" s="240">
        <f>$E$3</f>
        <v/>
      </c>
      <c r="F3044" s="241" t="n">
        <v>7.17</v>
      </c>
      <c r="G3044" s="242" t="n">
        <v>8999460</v>
      </c>
      <c r="H3044" s="241" t="n">
        <v>1.56</v>
      </c>
      <c r="I3044" s="241" t="n">
        <v>-13.3</v>
      </c>
      <c r="J3044" s="241" t="n">
        <v>-36.15</v>
      </c>
      <c r="K3044" s="241" t="n">
        <v>4.09</v>
      </c>
      <c r="L3044" s="242" t="n">
        <v>1608400</v>
      </c>
      <c r="M3044" s="241" t="n">
        <v>1.47</v>
      </c>
      <c r="N3044" s="241" t="n">
        <v>-17.72</v>
      </c>
      <c r="O3044" s="241" t="n">
        <v>-24.65</v>
      </c>
      <c r="P3044" s="241" t="n">
        <v>1.75</v>
      </c>
    </row>
    <row r="3045">
      <c r="A3045" s="282" t="inlineStr">
        <is>
          <t>2018-07-10</t>
        </is>
      </c>
      <c r="B3045" s="240">
        <f>IFERROR(1/P3045-1,B3044)</f>
        <v/>
      </c>
      <c r="C3045" s="240">
        <f>$C$3</f>
        <v/>
      </c>
      <c r="D3045" s="240">
        <f>$D$3</f>
        <v/>
      </c>
      <c r="E3045" s="240">
        <f>$E$3</f>
        <v/>
      </c>
      <c r="F3045" s="241" t="n">
        <v>7.18</v>
      </c>
      <c r="G3045" s="242" t="n">
        <v>7565431</v>
      </c>
      <c r="H3045" s="241" t="n">
        <v>0.14</v>
      </c>
      <c r="I3045" s="241" t="n">
        <v>-13.18</v>
      </c>
      <c r="J3045" s="241" t="n">
        <v>-36.06</v>
      </c>
      <c r="K3045" s="241" t="n">
        <v>4.07</v>
      </c>
      <c r="L3045" s="242" t="n">
        <v>1121200</v>
      </c>
      <c r="M3045" s="241" t="n">
        <v>-0.21</v>
      </c>
      <c r="N3045" s="241" t="n">
        <v>-17.89</v>
      </c>
      <c r="O3045" s="241" t="n">
        <v>-24.8</v>
      </c>
      <c r="P3045" s="241" t="n">
        <v>1.76</v>
      </c>
    </row>
    <row r="3046">
      <c r="A3046" s="282" t="inlineStr">
        <is>
          <t>2018-07-11</t>
        </is>
      </c>
      <c r="B3046" s="240">
        <f>IFERROR(1/P3046-1,B3045)</f>
        <v/>
      </c>
      <c r="C3046" s="240">
        <f>$C$3</f>
        <v/>
      </c>
      <c r="D3046" s="240">
        <f>$D$3</f>
        <v/>
      </c>
      <c r="E3046" s="240">
        <f>$E$3</f>
        <v/>
      </c>
      <c r="F3046" s="241" t="n">
        <v>6.94</v>
      </c>
      <c r="G3046" s="242" t="n">
        <v>11989496</v>
      </c>
      <c r="H3046" s="241" t="n">
        <v>-3.34</v>
      </c>
      <c r="I3046" s="241" t="n">
        <v>-16.08</v>
      </c>
      <c r="J3046" s="241" t="n">
        <v>-38.2</v>
      </c>
      <c r="K3046" s="241" t="n">
        <v>3.97</v>
      </c>
      <c r="L3046" s="242" t="n">
        <v>2169100</v>
      </c>
      <c r="M3046" s="241" t="n">
        <v>-2.28</v>
      </c>
      <c r="N3046" s="241" t="n">
        <v>-19.76</v>
      </c>
      <c r="O3046" s="241" t="n">
        <v>-26.52</v>
      </c>
      <c r="P3046" s="241" t="n">
        <v>1.75</v>
      </c>
    </row>
    <row r="3047">
      <c r="A3047" s="282" t="inlineStr">
        <is>
          <t>2018-07-12</t>
        </is>
      </c>
      <c r="B3047" s="240">
        <f>IFERROR(1/P3047-1,B3046)</f>
        <v/>
      </c>
      <c r="C3047" s="240">
        <f>$C$3</f>
        <v/>
      </c>
      <c r="D3047" s="240">
        <f>$D$3</f>
        <v/>
      </c>
      <c r="E3047" s="240">
        <f>$E$3</f>
        <v/>
      </c>
      <c r="F3047" s="241" t="n">
        <v>7.15</v>
      </c>
      <c r="G3047" s="242" t="n">
        <v>11184757</v>
      </c>
      <c r="H3047" s="241" t="n">
        <v>3.03</v>
      </c>
      <c r="I3047" s="241" t="n">
        <v>-13.96</v>
      </c>
      <c r="J3047" s="241" t="n">
        <v>-36.33</v>
      </c>
      <c r="K3047" s="241" t="n">
        <v>4.21</v>
      </c>
      <c r="L3047" s="242" t="n">
        <v>2262400</v>
      </c>
      <c r="M3047" s="241" t="n">
        <v>5.1</v>
      </c>
      <c r="N3047" s="241" t="n">
        <v>-15.38</v>
      </c>
      <c r="O3047" s="241" t="n">
        <v>-22.78</v>
      </c>
      <c r="P3047" s="241" t="n">
        <v>1.7</v>
      </c>
    </row>
    <row r="3048">
      <c r="A3048" s="282" t="inlineStr">
        <is>
          <t>2018-07-13</t>
        </is>
      </c>
      <c r="B3048" s="240">
        <f>IFERROR(1/P3048-1,B3047)</f>
        <v/>
      </c>
      <c r="C3048" s="240">
        <f>$C$3</f>
        <v/>
      </c>
      <c r="D3048" s="240">
        <f>$D$3</f>
        <v/>
      </c>
      <c r="E3048" s="240">
        <f>$E$3</f>
        <v/>
      </c>
      <c r="F3048" s="241" t="n">
        <v>7.15</v>
      </c>
      <c r="G3048" s="242" t="n">
        <v>6736261</v>
      </c>
      <c r="H3048" s="241" t="n">
        <v>0</v>
      </c>
      <c r="I3048" s="241" t="n">
        <v>-15.48</v>
      </c>
      <c r="J3048" s="241" t="n">
        <v>-36.33</v>
      </c>
      <c r="K3048" s="241" t="n">
        <v>4.13</v>
      </c>
      <c r="L3048" s="242" t="n">
        <v>932200</v>
      </c>
      <c r="M3048" s="241" t="n">
        <v>-1.82</v>
      </c>
      <c r="N3048" s="241" t="n">
        <v>-18.46</v>
      </c>
      <c r="O3048" s="241" t="n">
        <v>-24.18</v>
      </c>
      <c r="P3048" s="241" t="n">
        <v>1.73</v>
      </c>
    </row>
    <row r="3049">
      <c r="A3049" s="282" t="inlineStr">
        <is>
          <t>2018-07-16</t>
        </is>
      </c>
      <c r="B3049" s="240">
        <f>IFERROR(1/P3049-1,B3048)</f>
        <v/>
      </c>
      <c r="C3049" s="240">
        <f>$C$3</f>
        <v/>
      </c>
      <c r="D3049" s="240">
        <f>$D$3</f>
        <v/>
      </c>
      <c r="E3049" s="240">
        <f>$E$3</f>
        <v/>
      </c>
      <c r="F3049" s="241" t="n">
        <v>7.14</v>
      </c>
      <c r="G3049" s="242" t="n">
        <v>6233952</v>
      </c>
      <c r="H3049" s="241" t="n">
        <v>-0.14</v>
      </c>
      <c r="I3049" s="241" t="n">
        <v>-13.77</v>
      </c>
      <c r="J3049" s="241" t="n">
        <v>-36.42</v>
      </c>
      <c r="K3049" s="241" t="n">
        <v>4.13</v>
      </c>
      <c r="L3049" s="242" t="n">
        <v>737600</v>
      </c>
      <c r="M3049" s="241" t="n">
        <v>0</v>
      </c>
      <c r="N3049" s="241" t="n">
        <v>-14.59</v>
      </c>
      <c r="O3049" s="241" t="n">
        <v>-24.18</v>
      </c>
      <c r="P3049" s="241" t="n">
        <v>1.73</v>
      </c>
    </row>
    <row r="3050">
      <c r="A3050" s="282" t="inlineStr">
        <is>
          <t>2018-07-17</t>
        </is>
      </c>
      <c r="B3050" s="240">
        <f>IFERROR(1/P3050-1,B3049)</f>
        <v/>
      </c>
      <c r="C3050" s="240">
        <f>$C$3</f>
        <v/>
      </c>
      <c r="D3050" s="240">
        <f>$D$3</f>
        <v/>
      </c>
      <c r="E3050" s="240">
        <f>$E$3</f>
        <v/>
      </c>
      <c r="F3050" s="241" t="n">
        <v>7.14</v>
      </c>
      <c r="G3050" s="242" t="n">
        <v>6768944</v>
      </c>
      <c r="H3050" s="241" t="n">
        <v>0</v>
      </c>
      <c r="I3050" s="241" t="n">
        <v>-13.77</v>
      </c>
      <c r="J3050" s="241" t="n">
        <v>-36.42</v>
      </c>
      <c r="K3050" s="241" t="n">
        <v>4.08</v>
      </c>
      <c r="L3050" s="242" t="n">
        <v>798200</v>
      </c>
      <c r="M3050" s="241" t="n">
        <v>-1.44</v>
      </c>
      <c r="N3050" s="241" t="n">
        <v>-15.82</v>
      </c>
      <c r="O3050" s="241" t="n">
        <v>-25.27</v>
      </c>
      <c r="P3050" s="241" t="n">
        <v>1.75</v>
      </c>
    </row>
    <row r="3051">
      <c r="A3051" s="282" t="inlineStr">
        <is>
          <t>2018-07-18</t>
        </is>
      </c>
      <c r="B3051" s="240">
        <f>IFERROR(1/P3051-1,B3050)</f>
        <v/>
      </c>
      <c r="C3051" s="240">
        <f>$C$3</f>
        <v/>
      </c>
      <c r="D3051" s="240">
        <f>$D$3</f>
        <v/>
      </c>
      <c r="E3051" s="240">
        <f>$E$3</f>
        <v/>
      </c>
      <c r="F3051" s="241" t="n">
        <v>7.2</v>
      </c>
      <c r="G3051" s="242" t="n">
        <v>13034459</v>
      </c>
      <c r="H3051" s="241" t="n">
        <v>0.84</v>
      </c>
      <c r="I3051" s="241" t="n">
        <v>-13.04</v>
      </c>
      <c r="J3051" s="241" t="n">
        <v>-35.89</v>
      </c>
      <c r="K3051" s="241" t="n">
        <v>4.18</v>
      </c>
      <c r="L3051" s="242" t="n">
        <v>1080000</v>
      </c>
      <c r="M3051" s="241" t="n">
        <v>2.3</v>
      </c>
      <c r="N3051" s="241" t="n">
        <v>-13.88</v>
      </c>
      <c r="O3051" s="241" t="n">
        <v>-23.56</v>
      </c>
      <c r="P3051" s="241" t="n">
        <v>1.72</v>
      </c>
    </row>
    <row r="3052">
      <c r="A3052" s="282" t="inlineStr">
        <is>
          <t>2018-07-19</t>
        </is>
      </c>
      <c r="B3052" s="240">
        <f>IFERROR(1/P3052-1,B3051)</f>
        <v/>
      </c>
      <c r="C3052" s="240">
        <f>$C$3</f>
        <v/>
      </c>
      <c r="D3052" s="240">
        <f>$D$3</f>
        <v/>
      </c>
      <c r="E3052" s="240">
        <f>$E$3</f>
        <v/>
      </c>
      <c r="F3052" s="241" t="n">
        <v>7.1</v>
      </c>
      <c r="G3052" s="242" t="n">
        <v>8442977</v>
      </c>
      <c r="H3052" s="241" t="n">
        <v>-1.39</v>
      </c>
      <c r="I3052" s="241" t="n">
        <v>-14.25</v>
      </c>
      <c r="J3052" s="241" t="n">
        <v>-36.78</v>
      </c>
      <c r="K3052" s="241" t="n">
        <v>4.12</v>
      </c>
      <c r="L3052" s="242" t="n">
        <v>655000</v>
      </c>
      <c r="M3052" s="241" t="n">
        <v>-1.63</v>
      </c>
      <c r="N3052" s="241" t="n">
        <v>-15.29</v>
      </c>
      <c r="O3052" s="241" t="n">
        <v>-24.8</v>
      </c>
      <c r="P3052" s="241" t="n">
        <v>1.72</v>
      </c>
    </row>
    <row r="3053">
      <c r="A3053" s="282" t="inlineStr">
        <is>
          <t>2018-07-20</t>
        </is>
      </c>
      <c r="B3053" s="240">
        <f>IFERROR(1/P3053-1,B3052)</f>
        <v/>
      </c>
      <c r="C3053" s="240">
        <f>$C$3</f>
        <v/>
      </c>
      <c r="D3053" s="240">
        <f>$D$3</f>
        <v/>
      </c>
      <c r="E3053" s="240">
        <f>$E$3</f>
        <v/>
      </c>
      <c r="F3053" s="241" t="n">
        <v>7.17</v>
      </c>
      <c r="G3053" s="242" t="n">
        <v>8826767</v>
      </c>
      <c r="H3053" s="241" t="n">
        <v>0.99</v>
      </c>
      <c r="I3053" s="241" t="n">
        <v>-4.91</v>
      </c>
      <c r="J3053" s="241" t="n">
        <v>-36.15</v>
      </c>
      <c r="K3053" s="241" t="n">
        <v>4.16</v>
      </c>
      <c r="L3053" s="242" t="n">
        <v>790400</v>
      </c>
      <c r="M3053" s="241" t="n">
        <v>0.21</v>
      </c>
      <c r="N3053" s="241" t="n">
        <v>-11.05</v>
      </c>
      <c r="O3053" s="241" t="n">
        <v>-24.65</v>
      </c>
      <c r="P3053" s="241" t="n">
        <v>1.72</v>
      </c>
    </row>
    <row r="3054">
      <c r="A3054" s="282" t="inlineStr">
        <is>
          <t>2018-07-23</t>
        </is>
      </c>
      <c r="B3054" s="240">
        <f>IFERROR(1/P3054-1,B3053)</f>
        <v/>
      </c>
      <c r="C3054" s="240">
        <f>$C$3</f>
        <v/>
      </c>
      <c r="D3054" s="240">
        <f>$D$3</f>
        <v/>
      </c>
      <c r="E3054" s="240">
        <f>$E$3</f>
        <v/>
      </c>
      <c r="F3054" s="241" t="n">
        <v>7.3</v>
      </c>
      <c r="G3054" s="242" t="n">
        <v>12970132</v>
      </c>
      <c r="H3054" s="241" t="n">
        <v>1.81</v>
      </c>
      <c r="I3054" s="241" t="n">
        <v>0.83</v>
      </c>
      <c r="J3054" s="241" t="n">
        <v>-35</v>
      </c>
      <c r="K3054" s="241" t="n">
        <v>4.21</v>
      </c>
      <c r="L3054" s="242" t="n">
        <v>921600</v>
      </c>
      <c r="M3054" s="241" t="n">
        <v>1.24</v>
      </c>
      <c r="N3054" s="241" t="n">
        <v>-7.91</v>
      </c>
      <c r="O3054" s="241" t="n">
        <v>-23.71</v>
      </c>
      <c r="P3054" s="241" t="n">
        <v>1.73</v>
      </c>
    </row>
    <row r="3055">
      <c r="A3055" s="282" t="inlineStr">
        <is>
          <t>2018-07-24</t>
        </is>
      </c>
      <c r="B3055" s="240">
        <f>IFERROR(1/P3055-1,B3054)</f>
        <v/>
      </c>
      <c r="C3055" s="240">
        <f>$C$3</f>
        <v/>
      </c>
      <c r="D3055" s="240">
        <f>$D$3</f>
        <v/>
      </c>
      <c r="E3055" s="240">
        <f>$E$3</f>
        <v/>
      </c>
      <c r="F3055" s="241" t="n">
        <v>7.49</v>
      </c>
      <c r="G3055" s="242" t="n">
        <v>17735692</v>
      </c>
      <c r="H3055" s="241" t="n">
        <v>2.6</v>
      </c>
      <c r="I3055" s="241" t="n">
        <v>3.45</v>
      </c>
      <c r="J3055" s="241" t="n">
        <v>-33.3</v>
      </c>
      <c r="K3055" s="241" t="n">
        <v>4.32</v>
      </c>
      <c r="L3055" s="242" t="n">
        <v>2005000</v>
      </c>
      <c r="M3055" s="241" t="n">
        <v>2.04</v>
      </c>
      <c r="N3055" s="241" t="n">
        <v>-6.03</v>
      </c>
      <c r="O3055" s="241" t="n">
        <v>-22.15</v>
      </c>
      <c r="P3055" s="241" t="n">
        <v>1.74</v>
      </c>
    </row>
    <row r="3056">
      <c r="A3056" s="282" t="inlineStr">
        <is>
          <t>2018-07-25</t>
        </is>
      </c>
      <c r="B3056" s="240">
        <f>IFERROR(1/P3056-1,B3055)</f>
        <v/>
      </c>
      <c r="C3056" s="240">
        <f>$C$3</f>
        <v/>
      </c>
      <c r="D3056" s="240">
        <f>$D$3</f>
        <v/>
      </c>
      <c r="E3056" s="240">
        <f>$E$3</f>
        <v/>
      </c>
      <c r="F3056" s="241" t="n">
        <v>7.47</v>
      </c>
      <c r="G3056" s="242" t="n">
        <v>10260535</v>
      </c>
      <c r="H3056" s="241" t="n">
        <v>-0.27</v>
      </c>
      <c r="I3056" s="241" t="n">
        <v>3.18</v>
      </c>
      <c r="J3056" s="241" t="n">
        <v>-33.48</v>
      </c>
      <c r="K3056" s="241" t="n">
        <v>4.3</v>
      </c>
      <c r="L3056" s="242" t="n">
        <v>1239425</v>
      </c>
      <c r="M3056" s="241" t="n">
        <v>-0.6</v>
      </c>
      <c r="N3056" s="241" t="n">
        <v>-6.59</v>
      </c>
      <c r="O3056" s="241" t="n">
        <v>-22.62</v>
      </c>
      <c r="P3056" s="241" t="n">
        <v>1.74</v>
      </c>
    </row>
    <row r="3057">
      <c r="A3057" s="282" t="inlineStr">
        <is>
          <t>2018-07-26</t>
        </is>
      </c>
      <c r="B3057" s="240">
        <f>IFERROR(1/P3057-1,B3056)</f>
        <v/>
      </c>
      <c r="C3057" s="240">
        <f>$C$3</f>
        <v/>
      </c>
      <c r="D3057" s="240">
        <f>$D$3</f>
        <v/>
      </c>
      <c r="E3057" s="240">
        <f>$E$3</f>
        <v/>
      </c>
      <c r="F3057" s="241" t="n">
        <v>7.48</v>
      </c>
      <c r="G3057" s="242" t="n">
        <v>9415139</v>
      </c>
      <c r="H3057" s="241" t="n">
        <v>0.13</v>
      </c>
      <c r="I3057" s="241" t="n">
        <v>4.18</v>
      </c>
      <c r="J3057" s="241" t="n">
        <v>-33.39</v>
      </c>
      <c r="K3057" s="241" t="n">
        <v>4.23</v>
      </c>
      <c r="L3057" s="242" t="n">
        <v>1111600</v>
      </c>
      <c r="M3057" s="241" t="n">
        <v>-1.01</v>
      </c>
      <c r="N3057" s="241" t="n">
        <v>-5.76</v>
      </c>
      <c r="O3057" s="241" t="n">
        <v>-23.4</v>
      </c>
      <c r="P3057" s="241" t="n">
        <v>1.77</v>
      </c>
    </row>
    <row r="3058">
      <c r="A3058" s="282" t="inlineStr">
        <is>
          <t>2018-07-27</t>
        </is>
      </c>
      <c r="B3058" s="240">
        <f>IFERROR(1/P3058-1,B3057)</f>
        <v/>
      </c>
      <c r="C3058" s="240">
        <f>$C$3</f>
        <v/>
      </c>
      <c r="D3058" s="240">
        <f>$D$3</f>
        <v/>
      </c>
      <c r="E3058" s="240">
        <f>$E$3</f>
        <v/>
      </c>
      <c r="F3058" s="241" t="n">
        <v>7.5</v>
      </c>
      <c r="G3058" s="242" t="n">
        <v>9490289</v>
      </c>
      <c r="H3058" s="241" t="n">
        <v>0.27</v>
      </c>
      <c r="I3058" s="241" t="n">
        <v>2.18</v>
      </c>
      <c r="J3058" s="241" t="n">
        <v>-33.21</v>
      </c>
      <c r="K3058" s="241" t="n">
        <v>4.26</v>
      </c>
      <c r="L3058" s="242" t="n">
        <v>386800</v>
      </c>
      <c r="M3058" s="241" t="n">
        <v>0.2</v>
      </c>
      <c r="N3058" s="241" t="n">
        <v>-4.09</v>
      </c>
      <c r="O3058" s="241" t="n">
        <v>-23.24</v>
      </c>
      <c r="P3058" s="241" t="n">
        <v>1.76</v>
      </c>
    </row>
    <row r="3059">
      <c r="A3059" s="282" t="inlineStr">
        <is>
          <t>2018-07-30</t>
        </is>
      </c>
      <c r="B3059" s="240">
        <f>IFERROR(1/P3059-1,B3058)</f>
        <v/>
      </c>
      <c r="C3059" s="240">
        <f>$C$3</f>
        <v/>
      </c>
      <c r="D3059" s="240">
        <f>$D$3</f>
        <v/>
      </c>
      <c r="E3059" s="240">
        <f>$E$3</f>
        <v/>
      </c>
      <c r="F3059" s="241" t="n">
        <v>7.41</v>
      </c>
      <c r="G3059" s="242" t="n">
        <v>13202296</v>
      </c>
      <c r="H3059" s="241" t="n">
        <v>-1.2</v>
      </c>
      <c r="I3059" s="241" t="n">
        <v>0</v>
      </c>
      <c r="J3059" s="241" t="n">
        <v>-34.02</v>
      </c>
      <c r="K3059" s="241" t="n">
        <v>4.26</v>
      </c>
      <c r="L3059" s="242" t="n">
        <v>972400</v>
      </c>
      <c r="M3059" s="241" t="n">
        <v>-0.2</v>
      </c>
      <c r="N3059" s="241" t="n">
        <v>-4.84</v>
      </c>
      <c r="O3059" s="241" t="n">
        <v>-23.4</v>
      </c>
      <c r="P3059" s="241" t="n">
        <v>1.74</v>
      </c>
    </row>
    <row r="3060">
      <c r="A3060" s="282" t="inlineStr">
        <is>
          <t>2018-07-31</t>
        </is>
      </c>
      <c r="B3060" s="240">
        <f>IFERROR(1/P3060-1,B3059)</f>
        <v/>
      </c>
      <c r="C3060" s="240">
        <f>$C$3</f>
        <v/>
      </c>
      <c r="D3060" s="240">
        <f>$D$3</f>
        <v/>
      </c>
      <c r="E3060" s="240">
        <f>$E$3</f>
        <v/>
      </c>
      <c r="F3060" s="241" t="n">
        <v>7.49</v>
      </c>
      <c r="G3060" s="242" t="n">
        <v>8549852</v>
      </c>
      <c r="H3060" s="241" t="n">
        <v>1.08</v>
      </c>
      <c r="I3060" s="241" t="n">
        <v>1.08</v>
      </c>
      <c r="J3060" s="241" t="n">
        <v>-33.3</v>
      </c>
      <c r="K3060" s="241" t="n">
        <v>4.26</v>
      </c>
      <c r="L3060" s="242" t="n">
        <v>721400</v>
      </c>
      <c r="M3060" s="241" t="n">
        <v>-0.2</v>
      </c>
      <c r="N3060" s="241" t="n">
        <v>-5.04</v>
      </c>
      <c r="O3060" s="241" t="n">
        <v>-23.56</v>
      </c>
      <c r="P3060" s="241" t="n">
        <v>1.76</v>
      </c>
    </row>
    <row r="3061">
      <c r="A3061" s="282" t="inlineStr">
        <is>
          <t>2018-08-01</t>
        </is>
      </c>
      <c r="B3061" s="240">
        <f>IFERROR(1/P3061-1,B3060)</f>
        <v/>
      </c>
      <c r="C3061" s="240">
        <f>$C$3</f>
        <v/>
      </c>
      <c r="D3061" s="240">
        <f>$D$3</f>
        <v/>
      </c>
      <c r="E3061" s="240">
        <f>$E$3</f>
        <v/>
      </c>
      <c r="F3061" s="241" t="n">
        <v>7.39</v>
      </c>
      <c r="G3061" s="242" t="n">
        <v>8630676</v>
      </c>
      <c r="H3061" s="241" t="n">
        <v>-1.34</v>
      </c>
      <c r="I3061" s="241" t="n">
        <v>-0.27</v>
      </c>
      <c r="J3061" s="241" t="n">
        <v>-34.19</v>
      </c>
      <c r="K3061" s="241" t="n">
        <v>4.25</v>
      </c>
      <c r="L3061" s="242" t="n">
        <v>526000</v>
      </c>
      <c r="M3061" s="241" t="n">
        <v>-0.2</v>
      </c>
      <c r="N3061" s="241" t="n">
        <v>-5.23</v>
      </c>
      <c r="O3061" s="241" t="n">
        <v>-23.71</v>
      </c>
      <c r="P3061" s="241" t="n">
        <v>1.74</v>
      </c>
    </row>
    <row r="3062">
      <c r="A3062" s="282" t="inlineStr">
        <is>
          <t>2018-08-02</t>
        </is>
      </c>
      <c r="B3062" s="240">
        <f>IFERROR(1/P3062-1,B3061)</f>
        <v/>
      </c>
      <c r="C3062" s="240">
        <f>$C$3</f>
        <v/>
      </c>
      <c r="D3062" s="240">
        <f>$D$3</f>
        <v/>
      </c>
      <c r="E3062" s="240">
        <f>$E$3</f>
        <v/>
      </c>
      <c r="F3062" s="241" t="n">
        <v>7.15</v>
      </c>
      <c r="G3062" s="242" t="n">
        <v>12264698</v>
      </c>
      <c r="H3062" s="241" t="n">
        <v>-3.25</v>
      </c>
      <c r="I3062" s="241" t="n">
        <v>-3.51</v>
      </c>
      <c r="J3062" s="241" t="n">
        <v>-36.33</v>
      </c>
      <c r="K3062" s="241" t="n">
        <v>4.13</v>
      </c>
      <c r="L3062" s="242" t="n">
        <v>1126200</v>
      </c>
      <c r="M3062" s="241" t="n">
        <v>-2.45</v>
      </c>
      <c r="N3062" s="241" t="n">
        <v>-7.56</v>
      </c>
      <c r="O3062" s="241" t="n">
        <v>-25.59</v>
      </c>
      <c r="P3062" s="241" t="n">
        <v>1.73</v>
      </c>
    </row>
    <row r="3063">
      <c r="A3063" s="282" t="inlineStr">
        <is>
          <t>2018-08-03</t>
        </is>
      </c>
      <c r="B3063" s="240">
        <f>IFERROR(1/P3063-1,B3062)</f>
        <v/>
      </c>
      <c r="C3063" s="240">
        <f>$C$3</f>
        <v/>
      </c>
      <c r="D3063" s="240">
        <f>$D$3</f>
        <v/>
      </c>
      <c r="E3063" s="240">
        <f>$E$3</f>
        <v/>
      </c>
      <c r="F3063" s="241" t="n">
        <v>7.11</v>
      </c>
      <c r="G3063" s="242" t="n">
        <v>6427815</v>
      </c>
      <c r="H3063" s="241" t="n">
        <v>-0.5600000000000001</v>
      </c>
      <c r="I3063" s="241" t="n">
        <v>-1.8</v>
      </c>
      <c r="J3063" s="241" t="n">
        <v>-36.69</v>
      </c>
      <c r="K3063" s="241" t="n">
        <v>4.11</v>
      </c>
      <c r="L3063" s="242" t="n">
        <v>577800</v>
      </c>
      <c r="M3063" s="241" t="n">
        <v>-1.05</v>
      </c>
      <c r="N3063" s="241" t="n">
        <v>-8.529999999999999</v>
      </c>
      <c r="O3063" s="241" t="n">
        <v>-26.37</v>
      </c>
      <c r="P3063" s="241" t="n">
        <v>1.73</v>
      </c>
    </row>
    <row r="3064">
      <c r="A3064" s="282" t="inlineStr">
        <is>
          <t>2018-08-06</t>
        </is>
      </c>
      <c r="B3064" s="240">
        <f>IFERROR(1/P3064-1,B3063)</f>
        <v/>
      </c>
      <c r="C3064" s="240">
        <f>$C$3</f>
        <v/>
      </c>
      <c r="D3064" s="240">
        <f>$D$3</f>
        <v/>
      </c>
      <c r="E3064" s="240">
        <f>$E$3</f>
        <v/>
      </c>
      <c r="F3064" s="241" t="n">
        <v>7</v>
      </c>
      <c r="G3064" s="242" t="n">
        <v>7231153</v>
      </c>
      <c r="H3064" s="241" t="n">
        <v>-1.55</v>
      </c>
      <c r="I3064" s="241" t="n">
        <v>-0.85</v>
      </c>
      <c r="J3064" s="241" t="n">
        <v>-37.67</v>
      </c>
      <c r="K3064" s="241" t="n">
        <v>4.06</v>
      </c>
      <c r="L3064" s="242" t="n">
        <v>946400</v>
      </c>
      <c r="M3064" s="241" t="n">
        <v>-1.48</v>
      </c>
      <c r="N3064" s="241" t="n">
        <v>-4.52</v>
      </c>
      <c r="O3064" s="241" t="n">
        <v>-27.46</v>
      </c>
      <c r="P3064" s="241" t="n">
        <v>1.72</v>
      </c>
    </row>
    <row r="3065">
      <c r="A3065" s="282" t="inlineStr">
        <is>
          <t>2018-08-07</t>
        </is>
      </c>
      <c r="B3065" s="240">
        <f>IFERROR(1/P3065-1,B3064)</f>
        <v/>
      </c>
      <c r="C3065" s="240">
        <f>$C$3</f>
        <v/>
      </c>
      <c r="D3065" s="240">
        <f>$D$3</f>
        <v/>
      </c>
      <c r="E3065" s="240">
        <f>$E$3</f>
        <v/>
      </c>
      <c r="F3065" s="241" t="n">
        <v>7.18</v>
      </c>
      <c r="G3065" s="242" t="n">
        <v>8786395</v>
      </c>
      <c r="H3065" s="241" t="n">
        <v>2.57</v>
      </c>
      <c r="I3065" s="241" t="n">
        <v>1.7</v>
      </c>
      <c r="J3065" s="241" t="n">
        <v>-36.06</v>
      </c>
      <c r="K3065" s="241" t="n">
        <v>4.12</v>
      </c>
      <c r="L3065" s="242" t="n">
        <v>899180</v>
      </c>
      <c r="M3065" s="241" t="n">
        <v>1.51</v>
      </c>
      <c r="N3065" s="241" t="n">
        <v>-0.84</v>
      </c>
      <c r="O3065" s="241" t="n">
        <v>-26.37</v>
      </c>
      <c r="P3065" s="241" t="n">
        <v>1.74</v>
      </c>
    </row>
    <row r="3066">
      <c r="A3066" s="282" t="inlineStr">
        <is>
          <t>2018-08-08</t>
        </is>
      </c>
      <c r="B3066" s="240">
        <f>IFERROR(1/P3066-1,B3065)</f>
        <v/>
      </c>
      <c r="C3066" s="240">
        <f>$C$3</f>
        <v/>
      </c>
      <c r="D3066" s="240">
        <f>$D$3</f>
        <v/>
      </c>
      <c r="E3066" s="240">
        <f>$E$3</f>
        <v/>
      </c>
      <c r="F3066" s="241" t="n">
        <v>7.18</v>
      </c>
      <c r="G3066" s="242" t="n">
        <v>14825674</v>
      </c>
      <c r="H3066" s="241" t="n">
        <v>0</v>
      </c>
      <c r="I3066" s="241" t="n">
        <v>1.7</v>
      </c>
      <c r="J3066" s="241" t="n">
        <v>-36.06</v>
      </c>
      <c r="K3066" s="241" t="n">
        <v>4.13</v>
      </c>
      <c r="L3066" s="242" t="n">
        <v>1458600</v>
      </c>
      <c r="M3066" s="241" t="n">
        <v>0.64</v>
      </c>
      <c r="N3066" s="241" t="n">
        <v>-0.21</v>
      </c>
      <c r="O3066" s="241" t="n">
        <v>-25.9</v>
      </c>
      <c r="P3066" s="241" t="n">
        <v>1.74</v>
      </c>
    </row>
    <row r="3067">
      <c r="A3067" s="282" t="inlineStr">
        <is>
          <t>2018-08-09</t>
        </is>
      </c>
      <c r="B3067" s="240">
        <f>IFERROR(1/P3067-1,B3066)</f>
        <v/>
      </c>
      <c r="C3067" s="240">
        <f>$C$3</f>
        <v/>
      </c>
      <c r="D3067" s="240">
        <f>$D$3</f>
        <v/>
      </c>
      <c r="E3067" s="240">
        <f>$E$3</f>
        <v/>
      </c>
      <c r="F3067" s="241" t="n">
        <v>7.29</v>
      </c>
      <c r="G3067" s="242" t="n">
        <v>10617664</v>
      </c>
      <c r="H3067" s="241" t="n">
        <v>1.53</v>
      </c>
      <c r="I3067" s="241" t="n">
        <v>3.26</v>
      </c>
      <c r="J3067" s="241" t="n">
        <v>-35.08</v>
      </c>
      <c r="K3067" s="241" t="n">
        <v>4.24</v>
      </c>
      <c r="L3067" s="242" t="n">
        <v>1713000</v>
      </c>
      <c r="M3067" s="241" t="n">
        <v>2.53</v>
      </c>
      <c r="N3067" s="241" t="n">
        <v>2.31</v>
      </c>
      <c r="O3067" s="241" t="n">
        <v>-24.02</v>
      </c>
      <c r="P3067" s="241" t="n">
        <v>1.72</v>
      </c>
    </row>
    <row r="3068">
      <c r="A3068" s="282" t="inlineStr">
        <is>
          <t>2018-08-10</t>
        </is>
      </c>
      <c r="B3068" s="240">
        <f>IFERROR(1/P3068-1,B3067)</f>
        <v/>
      </c>
      <c r="C3068" s="240">
        <f>$C$3</f>
        <v/>
      </c>
      <c r="D3068" s="240">
        <f>$D$3</f>
        <v/>
      </c>
      <c r="E3068" s="240">
        <f>$E$3</f>
        <v/>
      </c>
      <c r="F3068" s="241" t="n">
        <v>7.32</v>
      </c>
      <c r="G3068" s="242" t="n">
        <v>6490202</v>
      </c>
      <c r="H3068" s="241" t="n">
        <v>0.41</v>
      </c>
      <c r="I3068" s="241" t="n">
        <v>2.09</v>
      </c>
      <c r="J3068" s="241" t="n">
        <v>-34.82</v>
      </c>
      <c r="K3068" s="241" t="n">
        <v>4.21</v>
      </c>
      <c r="L3068" s="242" t="n">
        <v>1205000</v>
      </c>
      <c r="M3068" s="241" t="n">
        <v>-0.82</v>
      </c>
      <c r="N3068" s="241" t="n">
        <v>0</v>
      </c>
      <c r="O3068" s="241" t="n">
        <v>-24.65</v>
      </c>
      <c r="P3068" s="241" t="n">
        <v>1.74</v>
      </c>
    </row>
    <row r="3069">
      <c r="A3069" s="282" t="inlineStr">
        <is>
          <t>2018-08-13</t>
        </is>
      </c>
      <c r="B3069" s="240">
        <f>IFERROR(1/P3069-1,B3068)</f>
        <v/>
      </c>
      <c r="C3069" s="240">
        <f>$C$3</f>
        <v/>
      </c>
      <c r="D3069" s="240">
        <f>$D$3</f>
        <v/>
      </c>
      <c r="E3069" s="240">
        <f>$E$3</f>
        <v/>
      </c>
      <c r="F3069" s="241" t="n">
        <v>7.28</v>
      </c>
      <c r="G3069" s="242" t="n">
        <v>8166285</v>
      </c>
      <c r="H3069" s="241" t="n">
        <v>-0.55</v>
      </c>
      <c r="I3069" s="241" t="n">
        <v>1.82</v>
      </c>
      <c r="J3069" s="241" t="n">
        <v>-35.17</v>
      </c>
      <c r="K3069" s="241" t="n">
        <v>4.16</v>
      </c>
      <c r="L3069" s="242" t="n">
        <v>773800</v>
      </c>
      <c r="M3069" s="241" t="n">
        <v>-1.45</v>
      </c>
      <c r="N3069" s="241" t="n">
        <v>-3.84</v>
      </c>
      <c r="O3069" s="241" t="n">
        <v>-25.74</v>
      </c>
      <c r="P3069" s="241" t="n">
        <v>1.75</v>
      </c>
    </row>
    <row r="3070">
      <c r="A3070" s="282" t="inlineStr">
        <is>
          <t>2018-08-14</t>
        </is>
      </c>
      <c r="B3070" s="240">
        <f>IFERROR(1/P3070-1,B3069)</f>
        <v/>
      </c>
      <c r="C3070" s="240">
        <f>$C$3</f>
        <v/>
      </c>
      <c r="D3070" s="240">
        <f>$D$3</f>
        <v/>
      </c>
      <c r="E3070" s="240">
        <f>$E$3</f>
        <v/>
      </c>
      <c r="F3070" s="241" t="n">
        <v>7.4</v>
      </c>
      <c r="G3070" s="242" t="n">
        <v>11531841</v>
      </c>
      <c r="H3070" s="241" t="n">
        <v>1.65</v>
      </c>
      <c r="I3070" s="241" t="n">
        <v>3.5</v>
      </c>
      <c r="J3070" s="241" t="n">
        <v>-34.11</v>
      </c>
      <c r="K3070" s="241" t="n">
        <v>4.13</v>
      </c>
      <c r="L3070" s="242" t="n">
        <v>1562000</v>
      </c>
      <c r="M3070" s="241" t="n">
        <v>-0.84</v>
      </c>
      <c r="N3070" s="241" t="n">
        <v>-2.88</v>
      </c>
      <c r="O3070" s="241" t="n">
        <v>-26.37</v>
      </c>
      <c r="P3070" s="241" t="n">
        <v>1.79</v>
      </c>
    </row>
    <row r="3071">
      <c r="A3071" s="282" t="inlineStr">
        <is>
          <t>2018-08-15</t>
        </is>
      </c>
      <c r="B3071" s="240">
        <f>IFERROR(1/P3071-1,B3070)</f>
        <v/>
      </c>
      <c r="C3071" s="240">
        <f>$C$3</f>
        <v/>
      </c>
      <c r="D3071" s="240">
        <f>$D$3</f>
        <v/>
      </c>
      <c r="E3071" s="240">
        <f>$E$3</f>
        <v/>
      </c>
      <c r="F3071" s="241" t="n">
        <v>7.2</v>
      </c>
      <c r="G3071" s="242" t="n">
        <v>11743387</v>
      </c>
      <c r="H3071" s="241" t="n">
        <v>-2.7</v>
      </c>
      <c r="I3071" s="241" t="n">
        <v>0.7</v>
      </c>
      <c r="J3071" s="241" t="n">
        <v>-35.89</v>
      </c>
      <c r="K3071" s="241" t="n">
        <v>3.96</v>
      </c>
      <c r="L3071" s="242" t="n">
        <v>2218400</v>
      </c>
      <c r="M3071" s="241" t="n">
        <v>-4.45</v>
      </c>
      <c r="N3071" s="241" t="n">
        <v>-7.2</v>
      </c>
      <c r="O3071" s="241" t="n">
        <v>-29.64</v>
      </c>
      <c r="P3071" s="241" t="n">
        <v>1.82</v>
      </c>
    </row>
    <row r="3072">
      <c r="A3072" s="282" t="inlineStr">
        <is>
          <t>2018-08-16</t>
        </is>
      </c>
      <c r="B3072" s="240">
        <f>IFERROR(1/P3072-1,B3071)</f>
        <v/>
      </c>
      <c r="C3072" s="240">
        <f>$C$3</f>
        <v/>
      </c>
      <c r="D3072" s="240">
        <f>$D$3</f>
        <v/>
      </c>
      <c r="E3072" s="240">
        <f>$E$3</f>
        <v/>
      </c>
      <c r="F3072" s="241" t="n">
        <v>7.14</v>
      </c>
      <c r="G3072" s="242" t="n">
        <v>5837890</v>
      </c>
      <c r="H3072" s="241" t="n">
        <v>-0.83</v>
      </c>
      <c r="I3072" s="241" t="n">
        <v>-0.14</v>
      </c>
      <c r="J3072" s="241" t="n">
        <v>-36.42</v>
      </c>
      <c r="K3072" s="241" t="n">
        <v>3.92</v>
      </c>
      <c r="L3072" s="242" t="n">
        <v>1069600</v>
      </c>
      <c r="M3072" s="241" t="n">
        <v>-1.11</v>
      </c>
      <c r="N3072" s="241" t="n">
        <v>-8.23</v>
      </c>
      <c r="O3072" s="241" t="n">
        <v>-30.42</v>
      </c>
      <c r="P3072" s="241" t="n">
        <v>1.82</v>
      </c>
    </row>
    <row r="3073">
      <c r="A3073" s="282" t="inlineStr">
        <is>
          <t>2018-08-17</t>
        </is>
      </c>
      <c r="B3073" s="240">
        <f>IFERROR(1/P3073-1,B3072)</f>
        <v/>
      </c>
      <c r="C3073" s="240">
        <f>$C$3</f>
        <v/>
      </c>
      <c r="D3073" s="240">
        <f>$D$3</f>
        <v/>
      </c>
      <c r="E3073" s="240">
        <f>$E$3</f>
        <v/>
      </c>
      <c r="F3073" s="241" t="n">
        <v>7.1</v>
      </c>
      <c r="G3073" s="242" t="n">
        <v>6080705</v>
      </c>
      <c r="H3073" s="241" t="n">
        <v>-0.5600000000000001</v>
      </c>
      <c r="I3073" s="241" t="n">
        <v>-0.5600000000000001</v>
      </c>
      <c r="J3073" s="241" t="n">
        <v>-36.78</v>
      </c>
      <c r="K3073" s="241" t="n">
        <v>3.9</v>
      </c>
      <c r="L3073" s="242" t="n">
        <v>737600</v>
      </c>
      <c r="M3073" s="241" t="n">
        <v>-0.45</v>
      </c>
      <c r="N3073" s="241" t="n">
        <v>-8.640000000000001</v>
      </c>
      <c r="O3073" s="241" t="n">
        <v>-30.73</v>
      </c>
      <c r="P3073" s="241" t="n">
        <v>1.82</v>
      </c>
    </row>
    <row r="3074">
      <c r="A3074" s="282" t="inlineStr">
        <is>
          <t>2018-08-20</t>
        </is>
      </c>
      <c r="B3074" s="240">
        <f>IFERROR(1/P3074-1,B3073)</f>
        <v/>
      </c>
      <c r="C3074" s="240">
        <f>$C$3</f>
        <v/>
      </c>
      <c r="D3074" s="240">
        <f>$D$3</f>
        <v/>
      </c>
      <c r="E3074" s="240">
        <f>$E$3</f>
        <v/>
      </c>
      <c r="F3074" s="241" t="n">
        <v>7.18</v>
      </c>
      <c r="G3074" s="242" t="n">
        <v>6706383</v>
      </c>
      <c r="H3074" s="241" t="n">
        <v>1.13</v>
      </c>
      <c r="I3074" s="241" t="n">
        <v>1.13</v>
      </c>
      <c r="J3074" s="241" t="n">
        <v>-36.06</v>
      </c>
      <c r="K3074" s="241" t="n">
        <v>3.9</v>
      </c>
      <c r="L3074" s="242" t="n">
        <v>1029600</v>
      </c>
      <c r="M3074" s="241" t="n">
        <v>0.45</v>
      </c>
      <c r="N3074" s="241" t="n">
        <v>-7.47</v>
      </c>
      <c r="O3074" s="241" t="n">
        <v>-30.42</v>
      </c>
      <c r="P3074" s="241" t="n">
        <v>1.84</v>
      </c>
    </row>
    <row r="3075">
      <c r="A3075" s="282" t="inlineStr">
        <is>
          <t>2018-08-21</t>
        </is>
      </c>
      <c r="B3075" s="240">
        <f>IFERROR(1/P3075-1,B3074)</f>
        <v/>
      </c>
      <c r="C3075" s="240">
        <f>$C$3</f>
        <v/>
      </c>
      <c r="D3075" s="240">
        <f>$D$3</f>
        <v/>
      </c>
      <c r="E3075" s="240">
        <f>$E$3</f>
        <v/>
      </c>
      <c r="F3075" s="241" t="n">
        <v>7.24</v>
      </c>
      <c r="G3075" s="242" t="n">
        <v>5528814</v>
      </c>
      <c r="H3075" s="241" t="n">
        <v>0.84</v>
      </c>
      <c r="I3075" s="241" t="n">
        <v>0.98</v>
      </c>
      <c r="J3075" s="241" t="n">
        <v>-35.53</v>
      </c>
      <c r="K3075" s="241" t="n">
        <v>3.9</v>
      </c>
      <c r="L3075" s="242" t="n">
        <v>858000</v>
      </c>
      <c r="M3075" s="241" t="n">
        <v>0.45</v>
      </c>
      <c r="N3075" s="241" t="n">
        <v>-7.25</v>
      </c>
      <c r="O3075" s="241" t="n">
        <v>-30.11</v>
      </c>
      <c r="P3075" s="241" t="n">
        <v>1.86</v>
      </c>
    </row>
    <row r="3076">
      <c r="A3076" s="282" t="inlineStr">
        <is>
          <t>2018-08-22</t>
        </is>
      </c>
      <c r="B3076" s="240">
        <f>IFERROR(1/P3076-1,B3075)</f>
        <v/>
      </c>
      <c r="C3076" s="240">
        <f>$C$3</f>
        <v/>
      </c>
      <c r="D3076" s="240">
        <f>$D$3</f>
        <v/>
      </c>
      <c r="E3076" s="240">
        <f>$E$3</f>
        <v/>
      </c>
      <c r="F3076" s="241" t="n">
        <v>7.22</v>
      </c>
      <c r="G3076" s="242" t="n">
        <v>4051758</v>
      </c>
      <c r="H3076" s="241" t="n">
        <v>-0.28</v>
      </c>
      <c r="I3076" s="241" t="n">
        <v>0.7</v>
      </c>
      <c r="J3076" s="241" t="n">
        <v>-35.71</v>
      </c>
      <c r="K3076" s="241" t="n">
        <v>3.94</v>
      </c>
      <c r="L3076" s="242" t="n">
        <v>640000</v>
      </c>
      <c r="M3076" s="241" t="n">
        <v>1.12</v>
      </c>
      <c r="N3076" s="241" t="n">
        <v>-6.21</v>
      </c>
      <c r="O3076" s="241" t="n">
        <v>-29.33</v>
      </c>
      <c r="P3076" s="241" t="n">
        <v>1.83</v>
      </c>
    </row>
    <row r="3077">
      <c r="A3077" s="282" t="inlineStr">
        <is>
          <t>2018-08-23</t>
        </is>
      </c>
      <c r="B3077" s="240">
        <f>IFERROR(1/P3077-1,B3076)</f>
        <v/>
      </c>
      <c r="C3077" s="240">
        <f>$C$3</f>
        <v/>
      </c>
      <c r="D3077" s="240">
        <f>$D$3</f>
        <v/>
      </c>
      <c r="E3077" s="240">
        <f>$E$3</f>
        <v/>
      </c>
      <c r="F3077" s="241" t="n">
        <v>7.18</v>
      </c>
      <c r="G3077" s="242" t="n">
        <v>6593335</v>
      </c>
      <c r="H3077" s="241" t="n">
        <v>-0.55</v>
      </c>
      <c r="I3077" s="241" t="n">
        <v>0.14</v>
      </c>
      <c r="J3077" s="241" t="n">
        <v>-36.06</v>
      </c>
      <c r="K3077" s="241" t="n">
        <v>3.92</v>
      </c>
      <c r="L3077" s="242" t="n">
        <v>500800</v>
      </c>
      <c r="M3077" s="241" t="n">
        <v>-0.66</v>
      </c>
      <c r="N3077" s="241" t="n">
        <v>-6.83</v>
      </c>
      <c r="O3077" s="241" t="n">
        <v>-29.8</v>
      </c>
      <c r="P3077" s="241" t="n">
        <v>1.83</v>
      </c>
    </row>
    <row r="3078">
      <c r="A3078" s="282" t="inlineStr">
        <is>
          <t>2018-08-24</t>
        </is>
      </c>
      <c r="B3078" s="240">
        <f>IFERROR(1/P3078-1,B3077)</f>
        <v/>
      </c>
      <c r="C3078" s="240">
        <f>$C$3</f>
        <v/>
      </c>
      <c r="D3078" s="240">
        <f>$D$3</f>
        <v/>
      </c>
      <c r="E3078" s="240">
        <f>$E$3</f>
        <v/>
      </c>
      <c r="F3078" s="241" t="n">
        <v>7.14</v>
      </c>
      <c r="G3078" s="242" t="n">
        <v>5455058</v>
      </c>
      <c r="H3078" s="241" t="n">
        <v>-0.5600000000000001</v>
      </c>
      <c r="I3078" s="241" t="n">
        <v>-2.19</v>
      </c>
      <c r="J3078" s="241" t="n">
        <v>-36.42</v>
      </c>
      <c r="K3078" s="241" t="n">
        <v>3.94</v>
      </c>
      <c r="L3078" s="242" t="n">
        <v>345800</v>
      </c>
      <c r="M3078" s="241" t="n">
        <v>0</v>
      </c>
      <c r="N3078" s="241" t="n">
        <v>-7.98</v>
      </c>
      <c r="O3078" s="241" t="n">
        <v>-29.8</v>
      </c>
      <c r="P3078" s="241" t="n">
        <v>1.81</v>
      </c>
    </row>
    <row r="3079">
      <c r="A3079" s="282" t="inlineStr">
        <is>
          <t>2018-08-27</t>
        </is>
      </c>
      <c r="B3079" s="240">
        <f>IFERROR(1/P3079-1,B3078)</f>
        <v/>
      </c>
      <c r="C3079" s="240">
        <f>$C$3</f>
        <v/>
      </c>
      <c r="D3079" s="240">
        <f>$D$3</f>
        <v/>
      </c>
      <c r="E3079" s="240">
        <f>$E$3</f>
        <v/>
      </c>
      <c r="F3079" s="241" t="n">
        <v>7.29</v>
      </c>
      <c r="G3079" s="242" t="n">
        <v>8969767</v>
      </c>
      <c r="H3079" s="241" t="n">
        <v>2.1</v>
      </c>
      <c r="I3079" s="241" t="n">
        <v>-2.54</v>
      </c>
      <c r="J3079" s="241" t="n">
        <v>-35.08</v>
      </c>
      <c r="K3079" s="241" t="n">
        <v>4</v>
      </c>
      <c r="L3079" s="242" t="n">
        <v>441000</v>
      </c>
      <c r="M3079" s="241" t="n">
        <v>1.78</v>
      </c>
      <c r="N3079" s="241" t="n">
        <v>-6.72</v>
      </c>
      <c r="O3079" s="241" t="n">
        <v>-28.55</v>
      </c>
      <c r="P3079" s="241" t="n">
        <v>1.82</v>
      </c>
    </row>
    <row r="3080">
      <c r="A3080" s="282" t="inlineStr">
        <is>
          <t>2018-08-28</t>
        </is>
      </c>
      <c r="B3080" s="240">
        <f>IFERROR(1/P3080-1,B3079)</f>
        <v/>
      </c>
      <c r="C3080" s="240">
        <f>$C$3</f>
        <v/>
      </c>
      <c r="D3080" s="240">
        <f>$D$3</f>
        <v/>
      </c>
      <c r="E3080" s="240">
        <f>$E$3</f>
        <v/>
      </c>
      <c r="F3080" s="241" t="n">
        <v>7.31</v>
      </c>
      <c r="G3080" s="242" t="n">
        <v>6970700</v>
      </c>
      <c r="H3080" s="241" t="n">
        <v>0.27</v>
      </c>
      <c r="I3080" s="241" t="n">
        <v>-2.53</v>
      </c>
      <c r="J3080" s="241" t="n">
        <v>-34.91</v>
      </c>
      <c r="K3080" s="241" t="n">
        <v>3.93</v>
      </c>
      <c r="L3080" s="242" t="n">
        <v>544600</v>
      </c>
      <c r="M3080" s="241" t="n">
        <v>-1.09</v>
      </c>
      <c r="N3080" s="241" t="n">
        <v>-7.93</v>
      </c>
      <c r="O3080" s="241" t="n">
        <v>-29.33</v>
      </c>
      <c r="P3080" s="241" t="n">
        <v>1.86</v>
      </c>
    </row>
    <row r="3081">
      <c r="A3081" s="282" t="inlineStr">
        <is>
          <t>2018-08-29</t>
        </is>
      </c>
      <c r="B3081" s="240">
        <f>IFERROR(1/P3081-1,B3080)</f>
        <v/>
      </c>
      <c r="C3081" s="240">
        <f>$C$3</f>
        <v/>
      </c>
      <c r="D3081" s="240">
        <f>$D$3</f>
        <v/>
      </c>
      <c r="E3081" s="240">
        <f>$E$3</f>
        <v/>
      </c>
      <c r="F3081" s="241" t="n">
        <v>7.34</v>
      </c>
      <c r="G3081" s="242" t="n">
        <v>5295222</v>
      </c>
      <c r="H3081" s="241" t="n">
        <v>0.41</v>
      </c>
      <c r="I3081" s="241" t="n">
        <v>-2.13</v>
      </c>
      <c r="J3081" s="241" t="n">
        <v>-34.64</v>
      </c>
      <c r="K3081" s="241" t="n">
        <v>4.06</v>
      </c>
      <c r="L3081" s="242" t="n">
        <v>1059600</v>
      </c>
      <c r="M3081" s="241" t="n">
        <v>3.31</v>
      </c>
      <c r="N3081" s="241" t="n">
        <v>-4.88</v>
      </c>
      <c r="O3081" s="241" t="n">
        <v>-26.99</v>
      </c>
      <c r="P3081" s="241" t="n">
        <v>1.81</v>
      </c>
    </row>
    <row r="3082">
      <c r="A3082" s="282" t="inlineStr">
        <is>
          <t>2018-08-30</t>
        </is>
      </c>
      <c r="B3082" s="240">
        <f>IFERROR(1/P3082-1,B3081)</f>
        <v/>
      </c>
      <c r="C3082" s="240">
        <f>$C$3</f>
        <v/>
      </c>
      <c r="D3082" s="240">
        <f>$D$3</f>
        <v/>
      </c>
      <c r="E3082" s="240">
        <f>$E$3</f>
        <v/>
      </c>
      <c r="F3082" s="241" t="n">
        <v>7.25</v>
      </c>
      <c r="G3082" s="242" t="n">
        <v>6614894</v>
      </c>
      <c r="H3082" s="241" t="n">
        <v>-1.23</v>
      </c>
      <c r="I3082" s="241" t="n">
        <v>-3.33</v>
      </c>
      <c r="J3082" s="241" t="n">
        <v>-35.44</v>
      </c>
      <c r="K3082" s="241" t="n">
        <v>4</v>
      </c>
      <c r="L3082" s="242" t="n">
        <v>358600</v>
      </c>
      <c r="M3082" s="241" t="n">
        <v>-1.5</v>
      </c>
      <c r="N3082" s="241" t="n">
        <v>-6.3</v>
      </c>
      <c r="O3082" s="241" t="n">
        <v>-28.08</v>
      </c>
      <c r="P3082" s="241" t="n">
        <v>1.81</v>
      </c>
    </row>
    <row r="3083">
      <c r="A3083" s="282" t="inlineStr">
        <is>
          <t>2018-08-31</t>
        </is>
      </c>
      <c r="B3083" s="240">
        <f>IFERROR(1/P3083-1,B3082)</f>
        <v/>
      </c>
      <c r="C3083" s="240">
        <f>$C$3</f>
        <v/>
      </c>
      <c r="D3083" s="240">
        <f>$D$3</f>
        <v/>
      </c>
      <c r="E3083" s="240">
        <f>$E$3</f>
        <v/>
      </c>
      <c r="F3083" s="241" t="n">
        <v>7.15</v>
      </c>
      <c r="G3083" s="242" t="n">
        <v>7242458</v>
      </c>
      <c r="H3083" s="241" t="n">
        <v>-1.38</v>
      </c>
      <c r="I3083" s="241" t="n">
        <v>-3.51</v>
      </c>
      <c r="J3083" s="241" t="n">
        <v>-36.33</v>
      </c>
      <c r="K3083" s="241" t="n">
        <v>3.78</v>
      </c>
      <c r="L3083" s="242" t="n">
        <v>1132600</v>
      </c>
      <c r="M3083" s="241" t="n">
        <v>-5.64</v>
      </c>
      <c r="N3083" s="241" t="n">
        <v>-11.41</v>
      </c>
      <c r="O3083" s="241" t="n">
        <v>-32.14</v>
      </c>
      <c r="P3083" s="241" t="n">
        <v>1.89</v>
      </c>
    </row>
    <row r="3084">
      <c r="A3084" s="282" t="inlineStr">
        <is>
          <t>2018-09-03</t>
        </is>
      </c>
      <c r="B3084" s="240">
        <f>IFERROR(1/P3084-1,B3083)</f>
        <v/>
      </c>
      <c r="C3084" s="240">
        <f>$C$3</f>
        <v/>
      </c>
      <c r="D3084" s="240">
        <f>$D$3</f>
        <v/>
      </c>
      <c r="E3084" s="240">
        <f>$E$3</f>
        <v/>
      </c>
      <c r="F3084" s="241" t="n">
        <v>7.17</v>
      </c>
      <c r="G3084" s="242" t="n">
        <v>6068293</v>
      </c>
      <c r="H3084" s="241" t="n">
        <v>0.28</v>
      </c>
      <c r="I3084" s="241" t="n">
        <v>0.28</v>
      </c>
      <c r="J3084" s="241" t="n">
        <v>-36.15</v>
      </c>
      <c r="K3084" s="241" t="n">
        <v>3.81</v>
      </c>
      <c r="L3084" s="242" t="n">
        <v>1806600</v>
      </c>
      <c r="M3084" s="241" t="n">
        <v>0.46</v>
      </c>
      <c r="N3084" s="241" t="n">
        <v>-8.390000000000001</v>
      </c>
      <c r="O3084" s="241" t="n">
        <v>-31.83</v>
      </c>
      <c r="P3084" s="241" t="n">
        <v>1.88</v>
      </c>
    </row>
    <row r="3085">
      <c r="A3085" s="282" t="inlineStr">
        <is>
          <t>2018-09-04</t>
        </is>
      </c>
      <c r="B3085" s="240">
        <f>IFERROR(1/P3085-1,B3084)</f>
        <v/>
      </c>
      <c r="C3085" s="240">
        <f>$C$3</f>
        <v/>
      </c>
      <c r="D3085" s="240">
        <f>$D$3</f>
        <v/>
      </c>
      <c r="E3085" s="240">
        <f>$E$3</f>
        <v/>
      </c>
      <c r="F3085" s="241" t="n">
        <v>7.21</v>
      </c>
      <c r="G3085" s="242" t="n">
        <v>7462754</v>
      </c>
      <c r="H3085" s="241" t="n">
        <v>0.5600000000000001</v>
      </c>
      <c r="I3085" s="241" t="n">
        <v>1.41</v>
      </c>
      <c r="J3085" s="241" t="n">
        <v>-35.8</v>
      </c>
      <c r="K3085" s="241" t="n">
        <v>3.8</v>
      </c>
      <c r="L3085" s="242" t="n">
        <v>1241600</v>
      </c>
      <c r="M3085" s="241" t="n">
        <v>0</v>
      </c>
      <c r="N3085" s="241" t="n">
        <v>-7.42</v>
      </c>
      <c r="O3085" s="241" t="n">
        <v>-31.83</v>
      </c>
      <c r="P3085" s="241" t="n">
        <v>1.9</v>
      </c>
    </row>
    <row r="3086">
      <c r="A3086" s="282" t="inlineStr">
        <is>
          <t>2018-09-05</t>
        </is>
      </c>
      <c r="B3086" s="240">
        <f>IFERROR(1/P3086-1,B3085)</f>
        <v/>
      </c>
      <c r="C3086" s="240">
        <f>$C$3</f>
        <v/>
      </c>
      <c r="D3086" s="240">
        <f>$D$3</f>
        <v/>
      </c>
      <c r="E3086" s="240">
        <f>$E$3</f>
        <v/>
      </c>
      <c r="F3086" s="241" t="n">
        <v>7.23</v>
      </c>
      <c r="G3086" s="242" t="n">
        <v>11568404</v>
      </c>
      <c r="H3086" s="241" t="n">
        <v>0.28</v>
      </c>
      <c r="I3086" s="241" t="n">
        <v>1.69</v>
      </c>
      <c r="J3086" s="241" t="n">
        <v>-35.62</v>
      </c>
      <c r="K3086" s="241" t="n">
        <v>3.8</v>
      </c>
      <c r="L3086" s="242" t="n">
        <v>1162600</v>
      </c>
      <c r="M3086" s="241" t="n">
        <v>0</v>
      </c>
      <c r="N3086" s="241" t="n">
        <v>-7.42</v>
      </c>
      <c r="O3086" s="241" t="n">
        <v>-31.83</v>
      </c>
      <c r="P3086" s="241" t="n">
        <v>1.9</v>
      </c>
    </row>
    <row r="3087">
      <c r="A3087" s="282" t="inlineStr">
        <is>
          <t>2018-09-06</t>
        </is>
      </c>
      <c r="B3087" s="240">
        <f>IFERROR(1/P3087-1,B3086)</f>
        <v/>
      </c>
      <c r="C3087" s="240">
        <f>$C$3</f>
        <v/>
      </c>
      <c r="D3087" s="240">
        <f>$D$3</f>
        <v/>
      </c>
      <c r="E3087" s="240">
        <f>$E$3</f>
        <v/>
      </c>
      <c r="F3087" s="241" t="n">
        <v>7.38</v>
      </c>
      <c r="G3087" s="242" t="n">
        <v>16377867</v>
      </c>
      <c r="H3087" s="241" t="n">
        <v>2.07</v>
      </c>
      <c r="I3087" s="241" t="n">
        <v>3.8</v>
      </c>
      <c r="J3087" s="241" t="n">
        <v>-34.28</v>
      </c>
      <c r="K3087" s="241" t="n">
        <v>3.78</v>
      </c>
      <c r="L3087" s="242" t="n">
        <v>687400</v>
      </c>
      <c r="M3087" s="241" t="n">
        <v>-0.46</v>
      </c>
      <c r="N3087" s="241" t="n">
        <v>-7.84</v>
      </c>
      <c r="O3087" s="241" t="n">
        <v>-32.14</v>
      </c>
      <c r="P3087" s="241" t="n">
        <v>1.95</v>
      </c>
    </row>
    <row r="3088">
      <c r="A3088" s="282" t="inlineStr">
        <is>
          <t>2018-09-07</t>
        </is>
      </c>
      <c r="B3088" s="240">
        <f>IFERROR(1/P3088-1,B3087)</f>
        <v/>
      </c>
      <c r="C3088" s="240">
        <f>$C$3</f>
        <v/>
      </c>
      <c r="D3088" s="240">
        <f>$D$3</f>
        <v/>
      </c>
      <c r="E3088" s="240">
        <f>$E$3</f>
        <v/>
      </c>
      <c r="F3088" s="241" t="n">
        <v>7.4</v>
      </c>
      <c r="G3088" s="242" t="n">
        <v>9498315</v>
      </c>
      <c r="H3088" s="241" t="n">
        <v>0.27</v>
      </c>
      <c r="I3088" s="241" t="n">
        <v>5.71</v>
      </c>
      <c r="J3088" s="241" t="n">
        <v>-34.11</v>
      </c>
      <c r="K3088" s="241" t="n">
        <v>3.75</v>
      </c>
      <c r="L3088" s="242" t="n">
        <v>918400</v>
      </c>
      <c r="M3088" s="241" t="n">
        <v>-0.92</v>
      </c>
      <c r="N3088" s="241" t="n">
        <v>-7.31</v>
      </c>
      <c r="O3088" s="241" t="n">
        <v>-32.76</v>
      </c>
      <c r="P3088" s="241" t="n">
        <v>1.98</v>
      </c>
    </row>
    <row r="3089">
      <c r="A3089" s="282" t="inlineStr">
        <is>
          <t>2018-09-10</t>
        </is>
      </c>
      <c r="B3089" s="240">
        <f>IFERROR(1/P3089-1,B3088)</f>
        <v/>
      </c>
      <c r="C3089" s="240">
        <f>$C$3</f>
        <v/>
      </c>
      <c r="D3089" s="240">
        <f>$D$3</f>
        <v/>
      </c>
      <c r="E3089" s="240">
        <f>$E$3</f>
        <v/>
      </c>
      <c r="F3089" s="241" t="n">
        <v>7.34</v>
      </c>
      <c r="G3089" s="242" t="n">
        <v>7943087</v>
      </c>
      <c r="H3089" s="241" t="n">
        <v>-0.8100000000000001</v>
      </c>
      <c r="I3089" s="241" t="n">
        <v>0.6899999999999999</v>
      </c>
      <c r="J3089" s="241" t="n">
        <v>-34.64</v>
      </c>
      <c r="K3089" s="241" t="n">
        <v>3.66</v>
      </c>
      <c r="L3089" s="242" t="n">
        <v>1566836</v>
      </c>
      <c r="M3089" s="241" t="n">
        <v>-2.55</v>
      </c>
      <c r="N3089" s="241" t="n">
        <v>-13.76</v>
      </c>
      <c r="O3089" s="241" t="n">
        <v>-34.48</v>
      </c>
      <c r="P3089" s="241" t="n">
        <v>2.01</v>
      </c>
    </row>
    <row r="3090">
      <c r="A3090" s="282" t="inlineStr">
        <is>
          <t>2018-09-11</t>
        </is>
      </c>
      <c r="B3090" s="240">
        <f>IFERROR(1/P3090-1,B3089)</f>
        <v/>
      </c>
      <c r="C3090" s="240">
        <f>$C$3</f>
        <v/>
      </c>
      <c r="D3090" s="240">
        <f>$D$3</f>
        <v/>
      </c>
      <c r="E3090" s="240">
        <f>$E$3</f>
        <v/>
      </c>
      <c r="F3090" s="241" t="n">
        <v>7.43</v>
      </c>
      <c r="G3090" s="242" t="n">
        <v>8863101</v>
      </c>
      <c r="H3090" s="241" t="n">
        <v>1.23</v>
      </c>
      <c r="I3090" s="241" t="n">
        <v>1.5</v>
      </c>
      <c r="J3090" s="241" t="n">
        <v>-33.84</v>
      </c>
      <c r="K3090" s="241" t="n">
        <v>3.64</v>
      </c>
      <c r="L3090" s="242" t="n">
        <v>839800</v>
      </c>
      <c r="M3090" s="241" t="n">
        <v>-0.71</v>
      </c>
      <c r="N3090" s="241" t="n">
        <v>-13.66</v>
      </c>
      <c r="O3090" s="241" t="n">
        <v>-34.95</v>
      </c>
      <c r="P3090" s="241" t="n">
        <v>2.04</v>
      </c>
    </row>
    <row r="3091">
      <c r="A3091" s="282" t="inlineStr">
        <is>
          <t>2018-09-12</t>
        </is>
      </c>
      <c r="B3091" s="240">
        <f>IFERROR(1/P3091-1,B3090)</f>
        <v/>
      </c>
      <c r="C3091" s="240">
        <f>$C$3</f>
        <v/>
      </c>
      <c r="D3091" s="240">
        <f>$D$3</f>
        <v/>
      </c>
      <c r="E3091" s="240">
        <f>$E$3</f>
        <v/>
      </c>
      <c r="F3091" s="241" t="n">
        <v>7.55</v>
      </c>
      <c r="G3091" s="242" t="n">
        <v>13266282</v>
      </c>
      <c r="H3091" s="241" t="n">
        <v>1.62</v>
      </c>
      <c r="I3091" s="241" t="n">
        <v>3.14</v>
      </c>
      <c r="J3091" s="241" t="n">
        <v>-32.77</v>
      </c>
      <c r="K3091" s="241" t="n">
        <v>3.64</v>
      </c>
      <c r="L3091" s="242" t="n">
        <v>1269600</v>
      </c>
      <c r="M3091" s="241" t="n">
        <v>0</v>
      </c>
      <c r="N3091" s="241" t="n">
        <v>-13.66</v>
      </c>
      <c r="O3091" s="241" t="n">
        <v>-34.95</v>
      </c>
      <c r="P3091" s="241" t="n">
        <v>2.07</v>
      </c>
    </row>
    <row r="3092">
      <c r="A3092" s="282" t="inlineStr">
        <is>
          <t>2018-09-13</t>
        </is>
      </c>
      <c r="B3092" s="240">
        <f>IFERROR(1/P3092-1,B3091)</f>
        <v/>
      </c>
      <c r="C3092" s="240">
        <f>$C$3</f>
        <v/>
      </c>
      <c r="D3092" s="240">
        <f>$D$3</f>
        <v/>
      </c>
      <c r="E3092" s="240">
        <f>$E$3</f>
        <v/>
      </c>
      <c r="F3092" s="241" t="n">
        <v>7.6</v>
      </c>
      <c r="G3092" s="242" t="n">
        <v>8329122</v>
      </c>
      <c r="H3092" s="241" t="n">
        <v>0.66</v>
      </c>
      <c r="I3092" s="241" t="n">
        <v>3.83</v>
      </c>
      <c r="J3092" s="241" t="n">
        <v>-32.32</v>
      </c>
      <c r="K3092" s="241" t="n">
        <v>3.79</v>
      </c>
      <c r="L3092" s="242" t="n">
        <v>1492000</v>
      </c>
      <c r="M3092" s="241" t="n">
        <v>4.08</v>
      </c>
      <c r="N3092" s="241" t="n">
        <v>-10.14</v>
      </c>
      <c r="O3092" s="241" t="n">
        <v>-32.29</v>
      </c>
      <c r="P3092" s="241" t="n">
        <v>2.01</v>
      </c>
    </row>
    <row r="3093">
      <c r="A3093" s="282" t="inlineStr">
        <is>
          <t>2018-09-14</t>
        </is>
      </c>
      <c r="B3093" s="240">
        <f>IFERROR(1/P3093-1,B3092)</f>
        <v/>
      </c>
      <c r="C3093" s="240">
        <f>$C$3</f>
        <v/>
      </c>
      <c r="D3093" s="240">
        <f>$D$3</f>
        <v/>
      </c>
      <c r="E3093" s="240">
        <f>$E$3</f>
        <v/>
      </c>
      <c r="F3093" s="241" t="n">
        <v>7.58</v>
      </c>
      <c r="G3093" s="242" t="n">
        <v>10540777</v>
      </c>
      <c r="H3093" s="241" t="n">
        <v>-0.26</v>
      </c>
      <c r="I3093" s="241" t="n">
        <v>4.12</v>
      </c>
      <c r="J3093" s="241" t="n">
        <v>-32.5</v>
      </c>
      <c r="K3093" s="241" t="n">
        <v>3.92</v>
      </c>
      <c r="L3093" s="242" t="n">
        <v>1015200</v>
      </c>
      <c r="M3093" s="241" t="n">
        <v>3.69</v>
      </c>
      <c r="N3093" s="241" t="n">
        <v>-5.46</v>
      </c>
      <c r="O3093" s="241" t="n">
        <v>-29.8</v>
      </c>
      <c r="P3093" s="241" t="n">
        <v>1.93</v>
      </c>
    </row>
    <row r="3094">
      <c r="A3094" s="282" t="inlineStr">
        <is>
          <t>2018-09-17</t>
        </is>
      </c>
      <c r="B3094" s="240">
        <f>IFERROR(1/P3094-1,B3093)</f>
        <v/>
      </c>
      <c r="C3094" s="240">
        <f>$C$3</f>
        <v/>
      </c>
      <c r="D3094" s="240">
        <f>$D$3</f>
        <v/>
      </c>
      <c r="E3094" s="240">
        <f>$E$3</f>
        <v/>
      </c>
      <c r="F3094" s="241" t="n">
        <v>7.54</v>
      </c>
      <c r="G3094" s="242" t="n">
        <v>9901972</v>
      </c>
      <c r="H3094" s="241" t="n">
        <v>-0.53</v>
      </c>
      <c r="I3094" s="241" t="n">
        <v>5.6</v>
      </c>
      <c r="J3094" s="241" t="n">
        <v>-32.86</v>
      </c>
      <c r="K3094" s="241" t="n">
        <v>3.83</v>
      </c>
      <c r="L3094" s="242" t="n">
        <v>395600</v>
      </c>
      <c r="M3094" s="241" t="n">
        <v>-2.44</v>
      </c>
      <c r="N3094" s="241" t="n">
        <v>-1.57</v>
      </c>
      <c r="O3094" s="241" t="n">
        <v>-31.51</v>
      </c>
      <c r="P3094" s="241" t="n">
        <v>1.97</v>
      </c>
    </row>
    <row r="3095">
      <c r="A3095" s="282" t="inlineStr">
        <is>
          <t>2018-09-18</t>
        </is>
      </c>
      <c r="B3095" s="240">
        <f>IFERROR(1/P3095-1,B3094)</f>
        <v/>
      </c>
      <c r="C3095" s="240">
        <f>$C$3</f>
        <v/>
      </c>
      <c r="D3095" s="240">
        <f>$D$3</f>
        <v/>
      </c>
      <c r="E3095" s="240">
        <f>$E$3</f>
        <v/>
      </c>
      <c r="F3095" s="241" t="n">
        <v>7.76</v>
      </c>
      <c r="G3095" s="242" t="n">
        <v>11234775</v>
      </c>
      <c r="H3095" s="241" t="n">
        <v>2.92</v>
      </c>
      <c r="I3095" s="241" t="n">
        <v>9.300000000000001</v>
      </c>
      <c r="J3095" s="241" t="n">
        <v>-30.9</v>
      </c>
      <c r="K3095" s="241" t="n">
        <v>3.93</v>
      </c>
      <c r="L3095" s="242" t="n">
        <v>724200</v>
      </c>
      <c r="M3095" s="241" t="n">
        <v>2.51</v>
      </c>
      <c r="N3095" s="241" t="n">
        <v>1.35</v>
      </c>
      <c r="O3095" s="241" t="n">
        <v>-29.8</v>
      </c>
      <c r="P3095" s="241" t="n">
        <v>1.97</v>
      </c>
    </row>
    <row r="3096">
      <c r="A3096" s="282" t="inlineStr">
        <is>
          <t>2018-09-19</t>
        </is>
      </c>
      <c r="B3096" s="240">
        <f>IFERROR(1/P3096-1,B3095)</f>
        <v/>
      </c>
      <c r="C3096" s="240">
        <f>$C$3</f>
        <v/>
      </c>
      <c r="D3096" s="240">
        <f>$D$3</f>
        <v/>
      </c>
      <c r="E3096" s="240">
        <f>$E$3</f>
        <v/>
      </c>
      <c r="F3096" s="241" t="n">
        <v>7.73</v>
      </c>
      <c r="G3096" s="242" t="n">
        <v>14170705</v>
      </c>
      <c r="H3096" s="241" t="n">
        <v>-0.39</v>
      </c>
      <c r="I3096" s="241" t="n">
        <v>8.869999999999999</v>
      </c>
      <c r="J3096" s="241" t="n">
        <v>-31.17</v>
      </c>
      <c r="K3096" s="241" t="n">
        <v>3.95</v>
      </c>
      <c r="L3096" s="242" t="n">
        <v>1105600</v>
      </c>
      <c r="M3096" s="241" t="n">
        <v>0.44</v>
      </c>
      <c r="N3096" s="241" t="n">
        <v>1.8</v>
      </c>
      <c r="O3096" s="241" t="n">
        <v>-29.49</v>
      </c>
      <c r="P3096" s="241" t="n">
        <v>1.96</v>
      </c>
    </row>
    <row r="3097">
      <c r="A3097" s="282" t="inlineStr">
        <is>
          <t>2018-09-20</t>
        </is>
      </c>
      <c r="B3097" s="240">
        <f>IFERROR(1/P3097-1,B3096)</f>
        <v/>
      </c>
      <c r="C3097" s="240">
        <f>$C$3</f>
        <v/>
      </c>
      <c r="D3097" s="240">
        <f>$D$3</f>
        <v/>
      </c>
      <c r="E3097" s="240">
        <f>$E$3</f>
        <v/>
      </c>
      <c r="F3097" s="241" t="n">
        <v>7.69</v>
      </c>
      <c r="G3097" s="242" t="n">
        <v>6234218</v>
      </c>
      <c r="H3097" s="241" t="n">
        <v>-0.52</v>
      </c>
      <c r="I3097" s="241" t="n">
        <v>8.31</v>
      </c>
      <c r="J3097" s="241" t="n">
        <v>-31.52</v>
      </c>
      <c r="K3097" s="241" t="n">
        <v>4.04</v>
      </c>
      <c r="L3097" s="242" t="n">
        <v>769400</v>
      </c>
      <c r="M3097" s="241" t="n">
        <v>2.21</v>
      </c>
      <c r="N3097" s="241" t="n">
        <v>4.05</v>
      </c>
      <c r="O3097" s="241" t="n">
        <v>-27.93</v>
      </c>
      <c r="P3097" s="241" t="n">
        <v>1.91</v>
      </c>
    </row>
    <row r="3098">
      <c r="A3098" s="282" t="inlineStr">
        <is>
          <t>2018-09-21</t>
        </is>
      </c>
      <c r="B3098" s="240">
        <f>IFERROR(1/P3098-1,B3097)</f>
        <v/>
      </c>
      <c r="C3098" s="240">
        <f>$C$3</f>
        <v/>
      </c>
      <c r="D3098" s="240">
        <f>$D$3</f>
        <v/>
      </c>
      <c r="E3098" s="240">
        <f>$E$3</f>
        <v/>
      </c>
      <c r="F3098" s="241" t="n">
        <v>7.75</v>
      </c>
      <c r="G3098" s="242" t="n">
        <v>8067803</v>
      </c>
      <c r="H3098" s="241" t="n">
        <v>0.78</v>
      </c>
      <c r="I3098" s="241" t="n">
        <v>7.94</v>
      </c>
      <c r="J3098" s="241" t="n">
        <v>-30.99</v>
      </c>
      <c r="K3098" s="241" t="n">
        <v>3.99</v>
      </c>
      <c r="L3098" s="242" t="n">
        <v>721800</v>
      </c>
      <c r="M3098" s="241" t="n">
        <v>-0.87</v>
      </c>
      <c r="N3098" s="241" t="n">
        <v>2.69</v>
      </c>
      <c r="O3098" s="241" t="n">
        <v>-28.55</v>
      </c>
      <c r="P3098" s="241" t="n">
        <v>1.94</v>
      </c>
    </row>
    <row r="3099">
      <c r="A3099" s="282" t="inlineStr">
        <is>
          <t>2018-09-25</t>
        </is>
      </c>
      <c r="B3099" s="240">
        <f>IFERROR(1/P3099-1,B3098)</f>
        <v/>
      </c>
      <c r="C3099" s="240">
        <f>$C$3</f>
        <v/>
      </c>
      <c r="D3099" s="240">
        <f>$D$3</f>
        <v/>
      </c>
      <c r="E3099" s="240">
        <f>$E$3</f>
        <v/>
      </c>
      <c r="F3099" s="241" t="n">
        <v>7.77</v>
      </c>
      <c r="G3099" s="242" t="n">
        <v>5809046</v>
      </c>
      <c r="H3099" s="241" t="n">
        <v>0.26</v>
      </c>
      <c r="I3099" s="241" t="n">
        <v>8.82</v>
      </c>
      <c r="J3099" s="241" t="n">
        <v>-30.81</v>
      </c>
      <c r="K3099" s="239" t="inlineStr">
        <is>
          <t>--</t>
        </is>
      </c>
      <c r="L3099" s="239" t="inlineStr">
        <is>
          <t>--</t>
        </is>
      </c>
      <c r="M3099" s="239" t="inlineStr">
        <is>
          <t>--</t>
        </is>
      </c>
      <c r="N3099" s="239" t="inlineStr">
        <is>
          <t>--</t>
        </is>
      </c>
      <c r="O3099" s="239" t="inlineStr">
        <is>
          <t>--</t>
        </is>
      </c>
      <c r="P3099" s="239" t="inlineStr">
        <is>
          <t>--</t>
        </is>
      </c>
    </row>
    <row r="3100">
      <c r="A3100" s="282" t="inlineStr">
        <is>
          <t>2018-09-26</t>
        </is>
      </c>
      <c r="B3100" s="240">
        <f>IFERROR(1/P3100-1,B3099)</f>
        <v/>
      </c>
      <c r="C3100" s="240">
        <f>$C$3</f>
        <v/>
      </c>
      <c r="D3100" s="240">
        <f>$D$3</f>
        <v/>
      </c>
      <c r="E3100" s="240">
        <f>$E$3</f>
        <v/>
      </c>
      <c r="F3100" s="241" t="n">
        <v>7.78</v>
      </c>
      <c r="G3100" s="242" t="n">
        <v>9266695</v>
      </c>
      <c r="H3100" s="241" t="n">
        <v>0.13</v>
      </c>
      <c r="I3100" s="241" t="n">
        <v>8.960000000000001</v>
      </c>
      <c r="J3100" s="241" t="n">
        <v>-30.72</v>
      </c>
      <c r="K3100" s="241" t="n">
        <v>4.11</v>
      </c>
      <c r="L3100" s="242" t="n">
        <v>1210800</v>
      </c>
      <c r="M3100" s="241" t="n">
        <v>0.65</v>
      </c>
      <c r="N3100" s="241" t="n">
        <v>4</v>
      </c>
      <c r="O3100" s="241" t="n">
        <v>-26.99</v>
      </c>
      <c r="P3100" s="241" t="n">
        <v>1.89</v>
      </c>
    </row>
    <row r="3101">
      <c r="A3101" s="282" t="inlineStr">
        <is>
          <t>2018-09-27</t>
        </is>
      </c>
      <c r="B3101" s="240">
        <f>IFERROR(1/P3101-1,B3100)</f>
        <v/>
      </c>
      <c r="C3101" s="240">
        <f>$C$3</f>
        <v/>
      </c>
      <c r="D3101" s="240">
        <f>$D$3</f>
        <v/>
      </c>
      <c r="E3101" s="240">
        <f>$E$3</f>
        <v/>
      </c>
      <c r="F3101" s="241" t="n">
        <v>7.75</v>
      </c>
      <c r="G3101" s="242" t="n">
        <v>8019616</v>
      </c>
      <c r="H3101" s="241" t="n">
        <v>-0.39</v>
      </c>
      <c r="I3101" s="241" t="n">
        <v>8.539999999999999</v>
      </c>
      <c r="J3101" s="241" t="n">
        <v>-30.99</v>
      </c>
      <c r="K3101" s="241" t="n">
        <v>4.13</v>
      </c>
      <c r="L3101" s="242" t="n">
        <v>268200</v>
      </c>
      <c r="M3101" s="241" t="n">
        <v>0.43</v>
      </c>
      <c r="N3101" s="241" t="n">
        <v>4.44</v>
      </c>
      <c r="O3101" s="241" t="n">
        <v>-26.68</v>
      </c>
      <c r="P3101" s="241" t="n">
        <v>1.88</v>
      </c>
    </row>
    <row r="3102">
      <c r="A3102" s="282" t="inlineStr">
        <is>
          <t>2018-09-28</t>
        </is>
      </c>
      <c r="B3102" s="240">
        <f>IFERROR(1/P3102-1,B3101)</f>
        <v/>
      </c>
      <c r="C3102" s="240">
        <f>$C$3</f>
        <v/>
      </c>
      <c r="D3102" s="240">
        <f>$D$3</f>
        <v/>
      </c>
      <c r="E3102" s="240">
        <f>$E$3</f>
        <v/>
      </c>
      <c r="F3102" s="241" t="n">
        <v>7.78</v>
      </c>
      <c r="G3102" s="242" t="n">
        <v>5396721</v>
      </c>
      <c r="H3102" s="241" t="n">
        <v>0.39</v>
      </c>
      <c r="I3102" s="241" t="n">
        <v>6.72</v>
      </c>
      <c r="J3102" s="241" t="n">
        <v>-30.72</v>
      </c>
      <c r="K3102" s="241" t="n">
        <v>4.07</v>
      </c>
      <c r="L3102" s="242" t="n">
        <v>434400</v>
      </c>
      <c r="M3102" s="241" t="n">
        <v>-1.49</v>
      </c>
      <c r="N3102" s="241" t="n">
        <v>1.09</v>
      </c>
      <c r="O3102" s="241" t="n">
        <v>-27.77</v>
      </c>
      <c r="P3102" s="241" t="n">
        <v>1.91</v>
      </c>
    </row>
    <row r="3103">
      <c r="A3103" s="282" t="inlineStr">
        <is>
          <t>2018-10-08</t>
        </is>
      </c>
      <c r="B3103" s="240">
        <f>IFERROR(1/P3103-1,B3102)</f>
        <v/>
      </c>
      <c r="C3103" s="240">
        <f>$C$3</f>
        <v/>
      </c>
      <c r="D3103" s="240">
        <f>$D$3</f>
        <v/>
      </c>
      <c r="E3103" s="240">
        <f>$E$3</f>
        <v/>
      </c>
      <c r="F3103" s="241" t="n">
        <v>7.48</v>
      </c>
      <c r="G3103" s="242" t="n">
        <v>8300639</v>
      </c>
      <c r="H3103" s="241" t="n">
        <v>-3.86</v>
      </c>
      <c r="I3103" s="241" t="n">
        <v>1.08</v>
      </c>
      <c r="J3103" s="241" t="n">
        <v>-33.39</v>
      </c>
      <c r="K3103" s="241" t="n">
        <v>3.9</v>
      </c>
      <c r="L3103" s="242" t="n">
        <v>510000</v>
      </c>
      <c r="M3103" s="241" t="n">
        <v>-0.45</v>
      </c>
      <c r="N3103" s="241" t="n">
        <v>2.78</v>
      </c>
      <c r="O3103" s="241" t="n">
        <v>-30.89</v>
      </c>
      <c r="P3103" s="241" t="n">
        <v>1.92</v>
      </c>
    </row>
    <row r="3104">
      <c r="A3104" s="282" t="inlineStr">
        <is>
          <t>2018-10-09</t>
        </is>
      </c>
      <c r="B3104" s="240">
        <f>IFERROR(1/P3104-1,B3103)</f>
        <v/>
      </c>
      <c r="C3104" s="240">
        <f>$C$3</f>
        <v/>
      </c>
      <c r="D3104" s="240">
        <f>$D$3</f>
        <v/>
      </c>
      <c r="E3104" s="240">
        <f>$E$3</f>
        <v/>
      </c>
      <c r="F3104" s="241" t="n">
        <v>7.66</v>
      </c>
      <c r="G3104" s="242" t="n">
        <v>10811002</v>
      </c>
      <c r="H3104" s="241" t="n">
        <v>2.41</v>
      </c>
      <c r="I3104" s="241" t="n">
        <v>3.51</v>
      </c>
      <c r="J3104" s="241" t="n">
        <v>-31.79</v>
      </c>
      <c r="K3104" s="241" t="n">
        <v>3.87</v>
      </c>
      <c r="L3104" s="242" t="n">
        <v>777364</v>
      </c>
      <c r="M3104" s="241" t="n">
        <v>-0.9</v>
      </c>
      <c r="N3104" s="241" t="n">
        <v>1.86</v>
      </c>
      <c r="O3104" s="241" t="n">
        <v>-31.51</v>
      </c>
      <c r="P3104" s="241" t="n">
        <v>1.98</v>
      </c>
    </row>
    <row r="3105">
      <c r="A3105" s="282" t="inlineStr">
        <is>
          <t>2018-10-10</t>
        </is>
      </c>
      <c r="B3105" s="240">
        <f>IFERROR(1/P3105-1,B3104)</f>
        <v/>
      </c>
      <c r="C3105" s="240">
        <f>$C$3</f>
        <v/>
      </c>
      <c r="D3105" s="240">
        <f>$D$3</f>
        <v/>
      </c>
      <c r="E3105" s="240">
        <f>$E$3</f>
        <v/>
      </c>
      <c r="F3105" s="241" t="n">
        <v>7.79</v>
      </c>
      <c r="G3105" s="242" t="n">
        <v>6758643</v>
      </c>
      <c r="H3105" s="241" t="n">
        <v>1.7</v>
      </c>
      <c r="I3105" s="241" t="n">
        <v>5.27</v>
      </c>
      <c r="J3105" s="241" t="n">
        <v>-30.63</v>
      </c>
      <c r="K3105" s="241" t="n">
        <v>3.84</v>
      </c>
      <c r="L3105" s="242" t="n">
        <v>803402</v>
      </c>
      <c r="M3105" s="241" t="n">
        <v>-0.91</v>
      </c>
      <c r="N3105" s="241" t="n">
        <v>0.93</v>
      </c>
      <c r="O3105" s="241" t="n">
        <v>-32.14</v>
      </c>
      <c r="P3105" s="241" t="n">
        <v>2.03</v>
      </c>
    </row>
    <row r="3106">
      <c r="A3106" s="282" t="inlineStr">
        <is>
          <t>2018-10-11</t>
        </is>
      </c>
      <c r="B3106" s="240">
        <f>IFERROR(1/P3106-1,B3105)</f>
        <v/>
      </c>
      <c r="C3106" s="240">
        <f>$C$3</f>
        <v/>
      </c>
      <c r="D3106" s="240">
        <f>$D$3</f>
        <v/>
      </c>
      <c r="E3106" s="240">
        <f>$E$3</f>
        <v/>
      </c>
      <c r="F3106" s="241" t="n">
        <v>7.05</v>
      </c>
      <c r="G3106" s="242" t="n">
        <v>17516881</v>
      </c>
      <c r="H3106" s="241" t="n">
        <v>-9.5</v>
      </c>
      <c r="I3106" s="241" t="n">
        <v>-3.95</v>
      </c>
      <c r="J3106" s="241" t="n">
        <v>-37.22</v>
      </c>
      <c r="K3106" s="241" t="n">
        <v>3.6</v>
      </c>
      <c r="L3106" s="242" t="n">
        <v>1817000</v>
      </c>
      <c r="M3106" s="241" t="n">
        <v>-6.21</v>
      </c>
      <c r="N3106" s="241" t="n">
        <v>-2.86</v>
      </c>
      <c r="O3106" s="241" t="n">
        <v>-36.35</v>
      </c>
      <c r="P3106" s="241" t="n">
        <v>1.96</v>
      </c>
    </row>
    <row r="3107">
      <c r="A3107" s="282" t="inlineStr">
        <is>
          <t>2018-10-12</t>
        </is>
      </c>
      <c r="B3107" s="240">
        <f>IFERROR(1/P3107-1,B3106)</f>
        <v/>
      </c>
      <c r="C3107" s="240">
        <f>$C$3</f>
        <v/>
      </c>
      <c r="D3107" s="240">
        <f>$D$3</f>
        <v/>
      </c>
      <c r="E3107" s="240">
        <f>$E$3</f>
        <v/>
      </c>
      <c r="F3107" s="241" t="n">
        <v>7.04</v>
      </c>
      <c r="G3107" s="242" t="n">
        <v>11359521</v>
      </c>
      <c r="H3107" s="241" t="n">
        <v>-0.14</v>
      </c>
      <c r="I3107" s="241" t="n">
        <v>-5.25</v>
      </c>
      <c r="J3107" s="241" t="n">
        <v>-37.31</v>
      </c>
      <c r="K3107" s="241" t="n">
        <v>3.62</v>
      </c>
      <c r="L3107" s="242" t="n">
        <v>1986200</v>
      </c>
      <c r="M3107" s="241" t="n">
        <v>0.49</v>
      </c>
      <c r="N3107" s="241" t="n">
        <v>-1.68</v>
      </c>
      <c r="O3107" s="241" t="n">
        <v>-36.04</v>
      </c>
      <c r="P3107" s="241" t="n">
        <v>1.95</v>
      </c>
    </row>
    <row r="3108">
      <c r="A3108" s="282" t="inlineStr">
        <is>
          <t>2018-10-15</t>
        </is>
      </c>
      <c r="B3108" s="240">
        <f>IFERROR(1/P3108-1,B3107)</f>
        <v/>
      </c>
      <c r="C3108" s="240">
        <f>$C$3</f>
        <v/>
      </c>
      <c r="D3108" s="240">
        <f>$D$3</f>
        <v/>
      </c>
      <c r="E3108" s="240">
        <f>$E$3</f>
        <v/>
      </c>
      <c r="F3108" s="241" t="n">
        <v>6.81</v>
      </c>
      <c r="G3108" s="242" t="n">
        <v>9128560</v>
      </c>
      <c r="H3108" s="241" t="n">
        <v>-3.27</v>
      </c>
      <c r="I3108" s="241" t="n">
        <v>-10.16</v>
      </c>
      <c r="J3108" s="241" t="n">
        <v>-39.36</v>
      </c>
      <c r="K3108" s="241" t="n">
        <v>3.56</v>
      </c>
      <c r="L3108" s="242" t="n">
        <v>1321800</v>
      </c>
      <c r="M3108" s="241" t="n">
        <v>-1.71</v>
      </c>
      <c r="N3108" s="241" t="n">
        <v>-10.44</v>
      </c>
      <c r="O3108" s="241" t="n">
        <v>-37.13</v>
      </c>
      <c r="P3108" s="241" t="n">
        <v>1.91</v>
      </c>
    </row>
    <row r="3109">
      <c r="A3109" s="282" t="inlineStr">
        <is>
          <t>2018-10-16</t>
        </is>
      </c>
      <c r="B3109" s="240">
        <f>IFERROR(1/P3109-1,B3108)</f>
        <v/>
      </c>
      <c r="C3109" s="240">
        <f>$C$3</f>
        <v/>
      </c>
      <c r="D3109" s="240">
        <f>$D$3</f>
        <v/>
      </c>
      <c r="E3109" s="240">
        <f>$E$3</f>
        <v/>
      </c>
      <c r="F3109" s="241" t="n">
        <v>6.54</v>
      </c>
      <c r="G3109" s="242" t="n">
        <v>11740916</v>
      </c>
      <c r="H3109" s="241" t="n">
        <v>-3.96</v>
      </c>
      <c r="I3109" s="241" t="n">
        <v>-13.72</v>
      </c>
      <c r="J3109" s="241" t="n">
        <v>-41.76</v>
      </c>
      <c r="K3109" s="241" t="n">
        <v>3.49</v>
      </c>
      <c r="L3109" s="242" t="n">
        <v>1410600</v>
      </c>
      <c r="M3109" s="241" t="n">
        <v>-1.74</v>
      </c>
      <c r="N3109" s="241" t="n">
        <v>-12</v>
      </c>
      <c r="O3109" s="241" t="n">
        <v>-38.22</v>
      </c>
      <c r="P3109" s="241" t="n">
        <v>1.87</v>
      </c>
    </row>
    <row r="3110">
      <c r="A3110" s="282" t="inlineStr">
        <is>
          <t>2018-10-17</t>
        </is>
      </c>
      <c r="B3110" s="240">
        <f>IFERROR(1/P3110-1,B3109)</f>
        <v/>
      </c>
      <c r="C3110" s="240">
        <f>$C$3</f>
        <v/>
      </c>
      <c r="D3110" s="240">
        <f>$D$3</f>
        <v/>
      </c>
      <c r="E3110" s="240">
        <f>$E$3</f>
        <v/>
      </c>
      <c r="F3110" s="241" t="n">
        <v>6.65</v>
      </c>
      <c r="G3110" s="242" t="n">
        <v>6873012</v>
      </c>
      <c r="H3110" s="241" t="n">
        <v>1.68</v>
      </c>
      <c r="I3110" s="241" t="n">
        <v>-12.27</v>
      </c>
      <c r="J3110" s="241" t="n">
        <v>-40.78</v>
      </c>
      <c r="K3110" s="239" t="inlineStr">
        <is>
          <t>--</t>
        </is>
      </c>
      <c r="L3110" s="239" t="inlineStr">
        <is>
          <t>--</t>
        </is>
      </c>
      <c r="M3110" s="239" t="inlineStr">
        <is>
          <t>--</t>
        </is>
      </c>
      <c r="N3110" s="239" t="inlineStr">
        <is>
          <t>--</t>
        </is>
      </c>
      <c r="O3110" s="239" t="inlineStr">
        <is>
          <t>--</t>
        </is>
      </c>
      <c r="P3110" s="239" t="inlineStr">
        <is>
          <t>--</t>
        </is>
      </c>
    </row>
    <row r="3111">
      <c r="A3111" s="282" t="inlineStr">
        <is>
          <t>2018-10-18</t>
        </is>
      </c>
      <c r="B3111" s="240">
        <f>IFERROR(1/P3111-1,B3110)</f>
        <v/>
      </c>
      <c r="C3111" s="240">
        <f>$C$3</f>
        <v/>
      </c>
      <c r="D3111" s="240">
        <f>$D$3</f>
        <v/>
      </c>
      <c r="E3111" s="240">
        <f>$E$3</f>
        <v/>
      </c>
      <c r="F3111" s="241" t="n">
        <v>6.51</v>
      </c>
      <c r="G3111" s="242" t="n">
        <v>5957210</v>
      </c>
      <c r="H3111" s="241" t="n">
        <v>-2.11</v>
      </c>
      <c r="I3111" s="241" t="n">
        <v>-13.66</v>
      </c>
      <c r="J3111" s="241" t="n">
        <v>-42.03</v>
      </c>
      <c r="K3111" s="241" t="n">
        <v>3.4</v>
      </c>
      <c r="L3111" s="242" t="n">
        <v>1482600</v>
      </c>
      <c r="M3111" s="241" t="n">
        <v>-2.78</v>
      </c>
      <c r="N3111" s="241" t="n">
        <v>-12.3</v>
      </c>
      <c r="O3111" s="241" t="n">
        <v>-39.94</v>
      </c>
      <c r="P3111" s="241" t="n">
        <v>1.91</v>
      </c>
    </row>
    <row r="3112">
      <c r="A3112" s="282" t="inlineStr">
        <is>
          <t>2018-10-19</t>
        </is>
      </c>
      <c r="B3112" s="240">
        <f>IFERROR(1/P3112-1,B3111)</f>
        <v/>
      </c>
      <c r="C3112" s="240">
        <f>$C$3</f>
        <v/>
      </c>
      <c r="D3112" s="240">
        <f>$D$3</f>
        <v/>
      </c>
      <c r="E3112" s="240">
        <f>$E$3</f>
        <v/>
      </c>
      <c r="F3112" s="241" t="n">
        <v>6.68</v>
      </c>
      <c r="G3112" s="242" t="n">
        <v>7097552</v>
      </c>
      <c r="H3112" s="241" t="n">
        <v>2.61</v>
      </c>
      <c r="I3112" s="241" t="n">
        <v>-13.92</v>
      </c>
      <c r="J3112" s="241" t="n">
        <v>-40.52</v>
      </c>
      <c r="K3112" s="241" t="n">
        <v>3.54</v>
      </c>
      <c r="L3112" s="242" t="n">
        <v>1091800</v>
      </c>
      <c r="M3112" s="241" t="n">
        <v>3.9</v>
      </c>
      <c r="N3112" s="241" t="n">
        <v>-11.11</v>
      </c>
      <c r="O3112" s="241" t="n">
        <v>-37.6</v>
      </c>
      <c r="P3112" s="241" t="n">
        <v>1.89</v>
      </c>
    </row>
    <row r="3113">
      <c r="A3113" s="282" t="inlineStr">
        <is>
          <t>2018-10-22</t>
        </is>
      </c>
      <c r="B3113" s="240">
        <f>IFERROR(1/P3113-1,B3112)</f>
        <v/>
      </c>
      <c r="C3113" s="240">
        <f>$C$3</f>
        <v/>
      </c>
      <c r="D3113" s="240">
        <f>$D$3</f>
        <v/>
      </c>
      <c r="E3113" s="240">
        <f>$E$3</f>
        <v/>
      </c>
      <c r="F3113" s="241" t="n">
        <v>6.91</v>
      </c>
      <c r="G3113" s="242" t="n">
        <v>12166838</v>
      </c>
      <c r="H3113" s="241" t="n">
        <v>3.44</v>
      </c>
      <c r="I3113" s="241" t="n">
        <v>-10.84</v>
      </c>
      <c r="J3113" s="241" t="n">
        <v>-38.47</v>
      </c>
      <c r="K3113" s="241" t="n">
        <v>3.65</v>
      </c>
      <c r="L3113" s="242" t="n">
        <v>992404</v>
      </c>
      <c r="M3113" s="241" t="n">
        <v>3.25</v>
      </c>
      <c r="N3113" s="241" t="n">
        <v>-9.83</v>
      </c>
      <c r="O3113" s="241" t="n">
        <v>-35.57</v>
      </c>
      <c r="P3113" s="241" t="n">
        <v>1.89</v>
      </c>
    </row>
    <row r="3114">
      <c r="A3114" s="282" t="inlineStr">
        <is>
          <t>2018-10-23</t>
        </is>
      </c>
      <c r="B3114" s="240">
        <f>IFERROR(1/P3114-1,B3113)</f>
        <v/>
      </c>
      <c r="C3114" s="240">
        <f>$C$3</f>
        <v/>
      </c>
      <c r="D3114" s="240">
        <f>$D$3</f>
        <v/>
      </c>
      <c r="E3114" s="240">
        <f>$E$3</f>
        <v/>
      </c>
      <c r="F3114" s="241" t="n">
        <v>6.85</v>
      </c>
      <c r="G3114" s="242" t="n">
        <v>9846802</v>
      </c>
      <c r="H3114" s="241" t="n">
        <v>-0.87</v>
      </c>
      <c r="I3114" s="241" t="n">
        <v>-11.61</v>
      </c>
      <c r="J3114" s="241" t="n">
        <v>-39</v>
      </c>
      <c r="K3114" s="241" t="n">
        <v>3.56</v>
      </c>
      <c r="L3114" s="242" t="n">
        <v>907603</v>
      </c>
      <c r="M3114" s="241" t="n">
        <v>-2.66</v>
      </c>
      <c r="N3114" s="241" t="n">
        <v>-12.23</v>
      </c>
      <c r="O3114" s="241" t="n">
        <v>-37.29</v>
      </c>
      <c r="P3114" s="241" t="n">
        <v>1.93</v>
      </c>
    </row>
    <row r="3115">
      <c r="A3115" s="282" t="inlineStr">
        <is>
          <t>2018-10-24</t>
        </is>
      </c>
      <c r="B3115" s="240">
        <f>IFERROR(1/P3115-1,B3114)</f>
        <v/>
      </c>
      <c r="C3115" s="240">
        <f>$C$3</f>
        <v/>
      </c>
      <c r="D3115" s="240">
        <f>$D$3</f>
        <v/>
      </c>
      <c r="E3115" s="240">
        <f>$E$3</f>
        <v/>
      </c>
      <c r="F3115" s="241" t="n">
        <v>6.88</v>
      </c>
      <c r="G3115" s="242" t="n">
        <v>5365471</v>
      </c>
      <c r="H3115" s="241" t="n">
        <v>0.44</v>
      </c>
      <c r="I3115" s="241" t="n">
        <v>-11.23</v>
      </c>
      <c r="J3115" s="241" t="n">
        <v>-38.74</v>
      </c>
      <c r="K3115" s="241" t="n">
        <v>3.55</v>
      </c>
      <c r="L3115" s="242" t="n">
        <v>720005</v>
      </c>
      <c r="M3115" s="241" t="n">
        <v>-0.25</v>
      </c>
      <c r="N3115" s="241" t="n">
        <v>-12.45</v>
      </c>
      <c r="O3115" s="241" t="n">
        <v>-37.44</v>
      </c>
      <c r="P3115" s="241" t="n">
        <v>1.94</v>
      </c>
    </row>
    <row r="3116">
      <c r="A3116" s="282" t="inlineStr">
        <is>
          <t>2018-10-25</t>
        </is>
      </c>
      <c r="B3116" s="240">
        <f>IFERROR(1/P3116-1,B3115)</f>
        <v/>
      </c>
      <c r="C3116" s="240">
        <f>$C$3</f>
        <v/>
      </c>
      <c r="D3116" s="240">
        <f>$D$3</f>
        <v/>
      </c>
      <c r="E3116" s="240">
        <f>$E$3</f>
        <v/>
      </c>
      <c r="F3116" s="241" t="n">
        <v>6.81</v>
      </c>
      <c r="G3116" s="242" t="n">
        <v>6652346</v>
      </c>
      <c r="H3116" s="241" t="n">
        <v>-1.02</v>
      </c>
      <c r="I3116" s="241" t="n">
        <v>-12.13</v>
      </c>
      <c r="J3116" s="241" t="n">
        <v>-39.36</v>
      </c>
      <c r="K3116" s="241" t="n">
        <v>3.53</v>
      </c>
      <c r="L3116" s="242" t="n">
        <v>540002</v>
      </c>
      <c r="M3116" s="241" t="n">
        <v>-0.5</v>
      </c>
      <c r="N3116" s="241" t="n">
        <v>-14.19</v>
      </c>
      <c r="O3116" s="241" t="n">
        <v>-37.75</v>
      </c>
      <c r="P3116" s="241" t="n">
        <v>1.93</v>
      </c>
    </row>
    <row r="3117">
      <c r="A3117" s="282" t="inlineStr">
        <is>
          <t>2018-10-26</t>
        </is>
      </c>
      <c r="B3117" s="240">
        <f>IFERROR(1/P3117-1,B3116)</f>
        <v/>
      </c>
      <c r="C3117" s="240">
        <f>$C$3</f>
        <v/>
      </c>
      <c r="D3117" s="240">
        <f>$D$3</f>
        <v/>
      </c>
      <c r="E3117" s="240">
        <f>$E$3</f>
        <v/>
      </c>
      <c r="F3117" s="241" t="n">
        <v>6.86</v>
      </c>
      <c r="G3117" s="242" t="n">
        <v>6831442</v>
      </c>
      <c r="H3117" s="241" t="n">
        <v>0.73</v>
      </c>
      <c r="I3117" s="241" t="n">
        <v>-11.71</v>
      </c>
      <c r="J3117" s="241" t="n">
        <v>-38.91</v>
      </c>
      <c r="K3117" s="241" t="n">
        <v>3.52</v>
      </c>
      <c r="L3117" s="242" t="n">
        <v>347806</v>
      </c>
      <c r="M3117" s="241" t="n">
        <v>-0.5</v>
      </c>
      <c r="N3117" s="241" t="n">
        <v>-14.62</v>
      </c>
      <c r="O3117" s="241" t="n">
        <v>-38.07</v>
      </c>
      <c r="P3117" s="241" t="n">
        <v>1.95</v>
      </c>
    </row>
    <row r="3118">
      <c r="A3118" s="282" t="inlineStr">
        <is>
          <t>2018-10-29</t>
        </is>
      </c>
      <c r="B3118" s="240">
        <f>IFERROR(1/P3118-1,B3117)</f>
        <v/>
      </c>
      <c r="C3118" s="240">
        <f>$C$3</f>
        <v/>
      </c>
      <c r="D3118" s="240">
        <f>$D$3</f>
        <v/>
      </c>
      <c r="E3118" s="240">
        <f>$E$3</f>
        <v/>
      </c>
      <c r="F3118" s="241" t="n">
        <v>6.75</v>
      </c>
      <c r="G3118" s="242" t="n">
        <v>4712106</v>
      </c>
      <c r="H3118" s="241" t="n">
        <v>-1.6</v>
      </c>
      <c r="I3118" s="241" t="n">
        <v>-13.24</v>
      </c>
      <c r="J3118" s="241" t="n">
        <v>-39.89</v>
      </c>
      <c r="K3118" s="241" t="n">
        <v>3.47</v>
      </c>
      <c r="L3118" s="242" t="n">
        <v>302200</v>
      </c>
      <c r="M3118" s="241" t="n">
        <v>-1.26</v>
      </c>
      <c r="N3118" s="241" t="n">
        <v>-15.33</v>
      </c>
      <c r="O3118" s="241" t="n">
        <v>-38.85</v>
      </c>
      <c r="P3118" s="241" t="n">
        <v>1.95</v>
      </c>
    </row>
    <row r="3119">
      <c r="A3119" s="282" t="inlineStr">
        <is>
          <t>2018-10-30</t>
        </is>
      </c>
      <c r="B3119" s="240">
        <f>IFERROR(1/P3119-1,B3118)</f>
        <v/>
      </c>
      <c r="C3119" s="240">
        <f>$C$3</f>
        <v/>
      </c>
      <c r="D3119" s="240">
        <f>$D$3</f>
        <v/>
      </c>
      <c r="E3119" s="240">
        <f>$E$3</f>
        <v/>
      </c>
      <c r="F3119" s="241" t="n">
        <v>6.94</v>
      </c>
      <c r="G3119" s="242" t="n">
        <v>7385821</v>
      </c>
      <c r="H3119" s="241" t="n">
        <v>2.81</v>
      </c>
      <c r="I3119" s="241" t="n">
        <v>-10.8</v>
      </c>
      <c r="J3119" s="241" t="n">
        <v>-38.2</v>
      </c>
      <c r="K3119" s="241" t="n">
        <v>3.56</v>
      </c>
      <c r="L3119" s="242" t="n">
        <v>594012</v>
      </c>
      <c r="M3119" s="241" t="n">
        <v>2.3</v>
      </c>
      <c r="N3119" s="241" t="n">
        <v>-13.39</v>
      </c>
      <c r="O3119" s="241" t="n">
        <v>-37.44</v>
      </c>
      <c r="P3119" s="241" t="n">
        <v>1.95</v>
      </c>
    </row>
    <row r="3120">
      <c r="A3120" s="282" t="inlineStr">
        <is>
          <t>2018-10-31</t>
        </is>
      </c>
      <c r="B3120" s="240">
        <f>IFERROR(1/P3120-1,B3119)</f>
        <v/>
      </c>
      <c r="C3120" s="240">
        <f>$C$3</f>
        <v/>
      </c>
      <c r="D3120" s="240">
        <f>$D$3</f>
        <v/>
      </c>
      <c r="E3120" s="240">
        <f>$E$3</f>
        <v/>
      </c>
      <c r="F3120" s="241" t="n">
        <v>7.22</v>
      </c>
      <c r="G3120" s="242" t="n">
        <v>14894288</v>
      </c>
      <c r="H3120" s="241" t="n">
        <v>4.03</v>
      </c>
      <c r="I3120" s="241" t="n">
        <v>-7.2</v>
      </c>
      <c r="J3120" s="241" t="n">
        <v>-35.71</v>
      </c>
      <c r="K3120" s="241" t="n">
        <v>3.74</v>
      </c>
      <c r="L3120" s="242" t="n">
        <v>1852422</v>
      </c>
      <c r="M3120" s="241" t="n">
        <v>4.99</v>
      </c>
      <c r="N3120" s="241" t="n">
        <v>-9.07</v>
      </c>
      <c r="O3120" s="241" t="n">
        <v>-34.32</v>
      </c>
      <c r="P3120" s="241" t="n">
        <v>1.93</v>
      </c>
    </row>
    <row r="3121">
      <c r="A3121" s="282" t="inlineStr">
        <is>
          <t>2018-11-01</t>
        </is>
      </c>
      <c r="B3121" s="240">
        <f>IFERROR(1/P3121-1,B3120)</f>
        <v/>
      </c>
      <c r="C3121" s="240">
        <f>$C$3</f>
        <v/>
      </c>
      <c r="D3121" s="240">
        <f>$D$3</f>
        <v/>
      </c>
      <c r="E3121" s="240">
        <f>$E$3</f>
        <v/>
      </c>
      <c r="F3121" s="241" t="n">
        <v>7.28</v>
      </c>
      <c r="G3121" s="242" t="n">
        <v>13175939</v>
      </c>
      <c r="H3121" s="241" t="n">
        <v>0.83</v>
      </c>
      <c r="I3121" s="241" t="n">
        <v>-6.43</v>
      </c>
      <c r="J3121" s="241" t="n">
        <v>-35.17</v>
      </c>
      <c r="K3121" s="241" t="n">
        <v>3.75</v>
      </c>
      <c r="L3121" s="242" t="n">
        <v>707420</v>
      </c>
      <c r="M3121" s="241" t="n">
        <v>0.24</v>
      </c>
      <c r="N3121" s="241" t="n">
        <v>-8.859999999999999</v>
      </c>
      <c r="O3121" s="241" t="n">
        <v>-34.17</v>
      </c>
      <c r="P3121" s="241" t="n">
        <v>1.94</v>
      </c>
    </row>
    <row r="3122">
      <c r="A3122" s="282" t="inlineStr">
        <is>
          <t>2018-11-02</t>
        </is>
      </c>
      <c r="B3122" s="240">
        <f>IFERROR(1/P3122-1,B3121)</f>
        <v/>
      </c>
      <c r="C3122" s="240">
        <f>$C$3</f>
        <v/>
      </c>
      <c r="D3122" s="240">
        <f>$D$3</f>
        <v/>
      </c>
      <c r="E3122" s="240">
        <f>$E$3</f>
        <v/>
      </c>
      <c r="F3122" s="241" t="n">
        <v>7.42</v>
      </c>
      <c r="G3122" s="242" t="n">
        <v>12083581</v>
      </c>
      <c r="H3122" s="241" t="n">
        <v>1.92</v>
      </c>
      <c r="I3122" s="241" t="n">
        <v>-4.63</v>
      </c>
      <c r="J3122" s="241" t="n">
        <v>-33.93</v>
      </c>
      <c r="K3122" s="241" t="n">
        <v>3.86</v>
      </c>
      <c r="L3122" s="242" t="n">
        <v>1348212</v>
      </c>
      <c r="M3122" s="241" t="n">
        <v>3.32</v>
      </c>
      <c r="N3122" s="241" t="n">
        <v>-5.83</v>
      </c>
      <c r="O3122" s="241" t="n">
        <v>-31.98</v>
      </c>
      <c r="P3122" s="241" t="n">
        <v>1.92</v>
      </c>
    </row>
    <row r="3123">
      <c r="A3123" s="282" t="inlineStr">
        <is>
          <t>2018-11-05</t>
        </is>
      </c>
      <c r="B3123" s="240">
        <f>IFERROR(1/P3123-1,B3122)</f>
        <v/>
      </c>
      <c r="C3123" s="240">
        <f>$C$3</f>
        <v/>
      </c>
      <c r="D3123" s="240">
        <f>$D$3</f>
        <v/>
      </c>
      <c r="E3123" s="240">
        <f>$E$3</f>
        <v/>
      </c>
      <c r="F3123" s="241" t="n">
        <v>7.48</v>
      </c>
      <c r="G3123" s="242" t="n">
        <v>9653134</v>
      </c>
      <c r="H3123" s="241" t="n">
        <v>0.8100000000000001</v>
      </c>
      <c r="I3123" s="241" t="n">
        <v>-3.86</v>
      </c>
      <c r="J3123" s="241" t="n">
        <v>-33.39</v>
      </c>
      <c r="K3123" s="241" t="n">
        <v>3.83</v>
      </c>
      <c r="L3123" s="242" t="n">
        <v>672800</v>
      </c>
      <c r="M3123" s="241" t="n">
        <v>-0.46</v>
      </c>
      <c r="N3123" s="241" t="n">
        <v>-3.77</v>
      </c>
      <c r="O3123" s="241" t="n">
        <v>-32.29</v>
      </c>
      <c r="P3123" s="241" t="n">
        <v>1.96</v>
      </c>
    </row>
    <row r="3124">
      <c r="A3124" s="282" t="inlineStr">
        <is>
          <t>2018-11-06</t>
        </is>
      </c>
      <c r="B3124" s="240">
        <f>IFERROR(1/P3124-1,B3123)</f>
        <v/>
      </c>
      <c r="C3124" s="240">
        <f>$C$3</f>
        <v/>
      </c>
      <c r="D3124" s="240">
        <f>$D$3</f>
        <v/>
      </c>
      <c r="E3124" s="240">
        <f>$E$3</f>
        <v/>
      </c>
      <c r="F3124" s="241" t="n">
        <v>7.54</v>
      </c>
      <c r="G3124" s="242" t="n">
        <v>10902587</v>
      </c>
      <c r="H3124" s="241" t="n">
        <v>0.8</v>
      </c>
      <c r="I3124" s="241" t="n">
        <v>-3.08</v>
      </c>
      <c r="J3124" s="241" t="n">
        <v>-32.86</v>
      </c>
      <c r="K3124" s="241" t="n">
        <v>3.94</v>
      </c>
      <c r="L3124" s="242" t="n">
        <v>1286001</v>
      </c>
      <c r="M3124" s="241" t="n">
        <v>3</v>
      </c>
      <c r="N3124" s="241" t="n">
        <v>0.45</v>
      </c>
      <c r="O3124" s="241" t="n">
        <v>-30.27</v>
      </c>
      <c r="P3124" s="241" t="n">
        <v>1.91</v>
      </c>
    </row>
    <row r="3125">
      <c r="A3125" s="282" t="inlineStr">
        <is>
          <t>2018-11-07</t>
        </is>
      </c>
      <c r="B3125" s="240">
        <f>IFERROR(1/P3125-1,B3124)</f>
        <v/>
      </c>
      <c r="C3125" s="240">
        <f>$C$3</f>
        <v/>
      </c>
      <c r="D3125" s="240">
        <f>$D$3</f>
        <v/>
      </c>
      <c r="E3125" s="240">
        <f>$E$3</f>
        <v/>
      </c>
      <c r="F3125" s="241" t="n">
        <v>7.59</v>
      </c>
      <c r="G3125" s="242" t="n">
        <v>11420435</v>
      </c>
      <c r="H3125" s="241" t="n">
        <v>0.66</v>
      </c>
      <c r="I3125" s="241" t="n">
        <v>-2.44</v>
      </c>
      <c r="J3125" s="241" t="n">
        <v>-32.41</v>
      </c>
      <c r="K3125" s="241" t="n">
        <v>3.97</v>
      </c>
      <c r="L3125" s="242" t="n">
        <v>999001</v>
      </c>
      <c r="M3125" s="241" t="n">
        <v>0.67</v>
      </c>
      <c r="N3125" s="241" t="n">
        <v>1.12</v>
      </c>
      <c r="O3125" s="241" t="n">
        <v>-29.8</v>
      </c>
      <c r="P3125" s="241" t="n">
        <v>1.91</v>
      </c>
    </row>
    <row r="3126">
      <c r="A3126" s="282" t="inlineStr">
        <is>
          <t>2018-11-08</t>
        </is>
      </c>
      <c r="B3126" s="240">
        <f>IFERROR(1/P3126-1,B3125)</f>
        <v/>
      </c>
      <c r="C3126" s="240">
        <f>$C$3</f>
        <v/>
      </c>
      <c r="D3126" s="240">
        <f>$D$3</f>
        <v/>
      </c>
      <c r="E3126" s="240">
        <f>$E$3</f>
        <v/>
      </c>
      <c r="F3126" s="241" t="n">
        <v>7.49</v>
      </c>
      <c r="G3126" s="242" t="n">
        <v>6093496</v>
      </c>
      <c r="H3126" s="241" t="n">
        <v>-1.32</v>
      </c>
      <c r="I3126" s="241" t="n">
        <v>-3.73</v>
      </c>
      <c r="J3126" s="241" t="n">
        <v>-33.3</v>
      </c>
      <c r="K3126" s="241" t="n">
        <v>3.99</v>
      </c>
      <c r="L3126" s="242" t="n">
        <v>751003</v>
      </c>
      <c r="M3126" s="241" t="n">
        <v>0.44</v>
      </c>
      <c r="N3126" s="241" t="n">
        <v>1.57</v>
      </c>
      <c r="O3126" s="241" t="n">
        <v>-29.49</v>
      </c>
      <c r="P3126" s="241" t="n">
        <v>1.88</v>
      </c>
    </row>
    <row r="3127">
      <c r="A3127" s="282" t="inlineStr">
        <is>
          <t>2018-11-09</t>
        </is>
      </c>
      <c r="B3127" s="240">
        <f>IFERROR(1/P3127-1,B3126)</f>
        <v/>
      </c>
      <c r="C3127" s="240">
        <f>$C$3</f>
        <v/>
      </c>
      <c r="D3127" s="240">
        <f>$D$3</f>
        <v/>
      </c>
      <c r="E3127" s="240">
        <f>$E$3</f>
        <v/>
      </c>
      <c r="F3127" s="241" t="n">
        <v>7.53</v>
      </c>
      <c r="G3127" s="242" t="n">
        <v>8226622</v>
      </c>
      <c r="H3127" s="241" t="n">
        <v>0.53</v>
      </c>
      <c r="I3127" s="241" t="n">
        <v>0.67</v>
      </c>
      <c r="J3127" s="241" t="n">
        <v>-32.95</v>
      </c>
      <c r="K3127" s="241" t="n">
        <v>3.9</v>
      </c>
      <c r="L3127" s="242" t="n">
        <v>1129206</v>
      </c>
      <c r="M3127" s="241" t="n">
        <v>-2.43</v>
      </c>
      <c r="N3127" s="241" t="n">
        <v>-0.45</v>
      </c>
      <c r="O3127" s="241" t="n">
        <v>-31.2</v>
      </c>
      <c r="P3127" s="241" t="n">
        <v>1.93</v>
      </c>
    </row>
    <row r="3128">
      <c r="A3128" s="282" t="inlineStr">
        <is>
          <t>2018-11-12</t>
        </is>
      </c>
      <c r="B3128" s="240">
        <f>IFERROR(1/P3128-1,B3127)</f>
        <v/>
      </c>
      <c r="C3128" s="240">
        <f>$C$3</f>
        <v/>
      </c>
      <c r="D3128" s="240">
        <f>$D$3</f>
        <v/>
      </c>
      <c r="E3128" s="240">
        <f>$E$3</f>
        <v/>
      </c>
      <c r="F3128" s="241" t="n">
        <v>7.66</v>
      </c>
      <c r="G3128" s="242" t="n">
        <v>10205463</v>
      </c>
      <c r="H3128" s="241" t="n">
        <v>1.73</v>
      </c>
      <c r="I3128" s="241" t="n">
        <v>8.65</v>
      </c>
      <c r="J3128" s="241" t="n">
        <v>-31.79</v>
      </c>
      <c r="K3128" s="241" t="n">
        <v>3.99</v>
      </c>
      <c r="L3128" s="242" t="n">
        <v>809902</v>
      </c>
      <c r="M3128" s="241" t="n">
        <v>2.04</v>
      </c>
      <c r="N3128" s="241" t="n">
        <v>10.29</v>
      </c>
      <c r="O3128" s="241" t="n">
        <v>-29.8</v>
      </c>
      <c r="P3128" s="241" t="n">
        <v>1.92</v>
      </c>
    </row>
    <row r="3129">
      <c r="A3129" s="282" t="inlineStr">
        <is>
          <t>2018-11-13</t>
        </is>
      </c>
      <c r="B3129" s="240">
        <f>IFERROR(1/P3129-1,B3128)</f>
        <v/>
      </c>
      <c r="C3129" s="240">
        <f>$C$3</f>
        <v/>
      </c>
      <c r="D3129" s="240">
        <f>$D$3</f>
        <v/>
      </c>
      <c r="E3129" s="240">
        <f>$E$3</f>
        <v/>
      </c>
      <c r="F3129" s="241" t="n">
        <v>7.66</v>
      </c>
      <c r="G3129" s="242" t="n">
        <v>13486900</v>
      </c>
      <c r="H3129" s="241" t="n">
        <v>0</v>
      </c>
      <c r="I3129" s="241" t="n">
        <v>8.81</v>
      </c>
      <c r="J3129" s="241" t="n">
        <v>-31.79</v>
      </c>
      <c r="K3129" s="241" t="n">
        <v>4.03</v>
      </c>
      <c r="L3129" s="242" t="n">
        <v>1232200</v>
      </c>
      <c r="M3129" s="241" t="n">
        <v>0.89</v>
      </c>
      <c r="N3129" s="241" t="n">
        <v>10.73</v>
      </c>
      <c r="O3129" s="241" t="n">
        <v>-29.17</v>
      </c>
      <c r="P3129" s="241" t="n">
        <v>1.9</v>
      </c>
    </row>
    <row r="3130">
      <c r="A3130" s="282" t="inlineStr">
        <is>
          <t>2018-11-14</t>
        </is>
      </c>
      <c r="B3130" s="240">
        <f>IFERROR(1/P3130-1,B3129)</f>
        <v/>
      </c>
      <c r="C3130" s="240">
        <f>$C$3</f>
        <v/>
      </c>
      <c r="D3130" s="240">
        <f>$D$3</f>
        <v/>
      </c>
      <c r="E3130" s="240">
        <f>$E$3</f>
        <v/>
      </c>
      <c r="F3130" s="241" t="n">
        <v>7.92</v>
      </c>
      <c r="G3130" s="242" t="n">
        <v>23292207</v>
      </c>
      <c r="H3130" s="241" t="n">
        <v>3.39</v>
      </c>
      <c r="I3130" s="241" t="n">
        <v>12.5</v>
      </c>
      <c r="J3130" s="241" t="n">
        <v>-29.47</v>
      </c>
      <c r="K3130" s="241" t="n">
        <v>4.01</v>
      </c>
      <c r="L3130" s="242" t="n">
        <v>993004</v>
      </c>
      <c r="M3130" s="241" t="n">
        <v>-0.44</v>
      </c>
      <c r="N3130" s="241" t="n">
        <v>10.24</v>
      </c>
      <c r="O3130" s="241" t="n">
        <v>-29.49</v>
      </c>
      <c r="P3130" s="241" t="n">
        <v>1.98</v>
      </c>
    </row>
    <row r="3131">
      <c r="A3131" s="282" t="inlineStr">
        <is>
          <t>2018-11-15</t>
        </is>
      </c>
      <c r="B3131" s="240">
        <f>IFERROR(1/P3131-1,B3130)</f>
        <v/>
      </c>
      <c r="C3131" s="240">
        <f>$C$3</f>
        <v/>
      </c>
      <c r="D3131" s="240">
        <f>$D$3</f>
        <v/>
      </c>
      <c r="E3131" s="240">
        <f>$E$3</f>
        <v/>
      </c>
      <c r="F3131" s="241" t="n">
        <v>8</v>
      </c>
      <c r="G3131" s="242" t="n">
        <v>14759769</v>
      </c>
      <c r="H3131" s="241" t="n">
        <v>1.01</v>
      </c>
      <c r="I3131" s="241" t="n">
        <v>13.64</v>
      </c>
      <c r="J3131" s="241" t="n">
        <v>-28.76</v>
      </c>
      <c r="K3131" s="241" t="n">
        <v>4.07</v>
      </c>
      <c r="L3131" s="242" t="n">
        <v>620616</v>
      </c>
      <c r="M3131" s="241" t="n">
        <v>1.55</v>
      </c>
      <c r="N3131" s="241" t="n">
        <v>11.95</v>
      </c>
      <c r="O3131" s="241" t="n">
        <v>-28.39</v>
      </c>
      <c r="P3131" s="241" t="n">
        <v>1.97</v>
      </c>
    </row>
    <row r="3132">
      <c r="A3132" s="282" t="inlineStr">
        <is>
          <t>2018-11-16</t>
        </is>
      </c>
      <c r="B3132" s="240">
        <f>IFERROR(1/P3132-1,B3131)</f>
        <v/>
      </c>
      <c r="C3132" s="240">
        <f>$C$3</f>
        <v/>
      </c>
      <c r="D3132" s="240">
        <f>$D$3</f>
        <v/>
      </c>
      <c r="E3132" s="240">
        <f>$E$3</f>
        <v/>
      </c>
      <c r="F3132" s="241" t="n">
        <v>8</v>
      </c>
      <c r="G3132" s="242" t="n">
        <v>11411258</v>
      </c>
      <c r="H3132" s="241" t="n">
        <v>0</v>
      </c>
      <c r="I3132" s="241" t="n">
        <v>17.47</v>
      </c>
      <c r="J3132" s="241" t="n">
        <v>-28.76</v>
      </c>
      <c r="K3132" s="241" t="n">
        <v>4.15</v>
      </c>
      <c r="L3132" s="242" t="n">
        <v>1028205</v>
      </c>
      <c r="M3132" s="241" t="n">
        <v>1.96</v>
      </c>
      <c r="N3132" s="241" t="n">
        <v>16.13</v>
      </c>
      <c r="O3132" s="241" t="n">
        <v>-26.99</v>
      </c>
      <c r="P3132" s="241" t="n">
        <v>1.93</v>
      </c>
    </row>
    <row r="3133">
      <c r="A3133" s="282" t="inlineStr">
        <is>
          <t>2018-11-19</t>
        </is>
      </c>
      <c r="B3133" s="240">
        <f>IFERROR(1/P3133-1,B3132)</f>
        <v/>
      </c>
      <c r="C3133" s="240">
        <f>$C$3</f>
        <v/>
      </c>
      <c r="D3133" s="240">
        <f>$D$3</f>
        <v/>
      </c>
      <c r="E3133" s="240">
        <f>$E$3</f>
        <v/>
      </c>
      <c r="F3133" s="241" t="n">
        <v>7.97</v>
      </c>
      <c r="G3133" s="242" t="n">
        <v>7541160</v>
      </c>
      <c r="H3133" s="241" t="n">
        <v>-0.38</v>
      </c>
      <c r="I3133" s="241" t="n">
        <v>22.43</v>
      </c>
      <c r="J3133" s="241" t="n">
        <v>-29.03</v>
      </c>
      <c r="K3133" s="241" t="n">
        <v>4.1</v>
      </c>
      <c r="L3133" s="242" t="n">
        <v>996007</v>
      </c>
      <c r="M3133" s="241" t="n">
        <v>-0.85</v>
      </c>
      <c r="N3133" s="241" t="n">
        <v>20.52</v>
      </c>
      <c r="O3133" s="241" t="n">
        <v>-27.61</v>
      </c>
      <c r="P3133" s="241" t="n">
        <v>1.94</v>
      </c>
    </row>
    <row r="3134">
      <c r="A3134" s="282" t="inlineStr">
        <is>
          <t>2018-11-20</t>
        </is>
      </c>
      <c r="B3134" s="240">
        <f>IFERROR(1/P3134-1,B3133)</f>
        <v/>
      </c>
      <c r="C3134" s="240">
        <f>$C$3</f>
        <v/>
      </c>
      <c r="D3134" s="240">
        <f>$D$3</f>
        <v/>
      </c>
      <c r="E3134" s="240">
        <f>$E$3</f>
        <v/>
      </c>
      <c r="F3134" s="241" t="n">
        <v>7.79</v>
      </c>
      <c r="G3134" s="242" t="n">
        <v>11335373</v>
      </c>
      <c r="H3134" s="241" t="n">
        <v>-2.26</v>
      </c>
      <c r="I3134" s="241" t="n">
        <v>16.62</v>
      </c>
      <c r="J3134" s="241" t="n">
        <v>-30.63</v>
      </c>
      <c r="K3134" s="241" t="n">
        <v>4.05</v>
      </c>
      <c r="L3134" s="242" t="n">
        <v>470200</v>
      </c>
      <c r="M3134" s="241" t="n">
        <v>-1.29</v>
      </c>
      <c r="N3134" s="241" t="n">
        <v>14.5</v>
      </c>
      <c r="O3134" s="241" t="n">
        <v>-28.55</v>
      </c>
      <c r="P3134" s="241" t="n">
        <v>1.92</v>
      </c>
    </row>
    <row r="3135">
      <c r="A3135" s="282" t="inlineStr">
        <is>
          <t>2018-11-21</t>
        </is>
      </c>
      <c r="B3135" s="240">
        <f>IFERROR(1/P3135-1,B3134)</f>
        <v/>
      </c>
      <c r="C3135" s="240">
        <f>$C$3</f>
        <v/>
      </c>
      <c r="D3135" s="240">
        <f>$D$3</f>
        <v/>
      </c>
      <c r="E3135" s="240">
        <f>$E$3</f>
        <v/>
      </c>
      <c r="F3135" s="241" t="n">
        <v>7.85</v>
      </c>
      <c r="G3135" s="242" t="n">
        <v>6404415</v>
      </c>
      <c r="H3135" s="241" t="n">
        <v>0.77</v>
      </c>
      <c r="I3135" s="241" t="n">
        <v>17.52</v>
      </c>
      <c r="J3135" s="241" t="n">
        <v>-30.1</v>
      </c>
      <c r="K3135" s="241" t="n">
        <v>4.06</v>
      </c>
      <c r="L3135" s="242" t="n">
        <v>391619</v>
      </c>
      <c r="M3135" s="241" t="n">
        <v>0</v>
      </c>
      <c r="N3135" s="241" t="n">
        <v>14.5</v>
      </c>
      <c r="O3135" s="241" t="n">
        <v>-28.55</v>
      </c>
      <c r="P3135" s="241" t="n">
        <v>1.93</v>
      </c>
    </row>
    <row r="3136">
      <c r="A3136" s="282" t="inlineStr">
        <is>
          <t>2018-11-22</t>
        </is>
      </c>
      <c r="B3136" s="240">
        <f>IFERROR(1/P3136-1,B3135)</f>
        <v/>
      </c>
      <c r="C3136" s="240">
        <f>$C$3</f>
        <v/>
      </c>
      <c r="D3136" s="240">
        <f>$D$3</f>
        <v/>
      </c>
      <c r="E3136" s="240">
        <f>$E$3</f>
        <v/>
      </c>
      <c r="F3136" s="241" t="n">
        <v>7.9</v>
      </c>
      <c r="G3136" s="242" t="n">
        <v>7169024</v>
      </c>
      <c r="H3136" s="241" t="n">
        <v>0.64</v>
      </c>
      <c r="I3136" s="241" t="n">
        <v>18.26</v>
      </c>
      <c r="J3136" s="241" t="n">
        <v>-29.65</v>
      </c>
      <c r="K3136" s="241" t="n">
        <v>4.01</v>
      </c>
      <c r="L3136" s="242" t="n">
        <v>650002</v>
      </c>
      <c r="M3136" s="241" t="n">
        <v>-1.09</v>
      </c>
      <c r="N3136" s="241" t="n">
        <v>13.25</v>
      </c>
      <c r="O3136" s="241" t="n">
        <v>-29.33</v>
      </c>
      <c r="P3136" s="241" t="n">
        <v>1.97</v>
      </c>
    </row>
    <row r="3137">
      <c r="A3137" s="282" t="inlineStr">
        <is>
          <t>2018-11-23</t>
        </is>
      </c>
      <c r="B3137" s="240">
        <f>IFERROR(1/P3137-1,B3136)</f>
        <v/>
      </c>
      <c r="C3137" s="240">
        <f>$C$3</f>
        <v/>
      </c>
      <c r="D3137" s="240">
        <f>$D$3</f>
        <v/>
      </c>
      <c r="E3137" s="240">
        <f>$E$3</f>
        <v/>
      </c>
      <c r="F3137" s="241" t="n">
        <v>7.74</v>
      </c>
      <c r="G3137" s="242" t="n">
        <v>11604164</v>
      </c>
      <c r="H3137" s="241" t="n">
        <v>-2.03</v>
      </c>
      <c r="I3137" s="241" t="n">
        <v>12.01</v>
      </c>
      <c r="J3137" s="241" t="n">
        <v>-31.08</v>
      </c>
      <c r="K3137" s="241" t="n">
        <v>3.9</v>
      </c>
      <c r="L3137" s="242" t="n">
        <v>448200</v>
      </c>
      <c r="M3137" s="241" t="n">
        <v>-2.65</v>
      </c>
      <c r="N3137" s="241" t="n">
        <v>6.78</v>
      </c>
      <c r="O3137" s="241" t="n">
        <v>-31.2</v>
      </c>
      <c r="P3137" s="241" t="n">
        <v>1.98</v>
      </c>
    </row>
    <row r="3138">
      <c r="A3138" s="282" t="inlineStr">
        <is>
          <t>2018-11-26</t>
        </is>
      </c>
      <c r="B3138" s="240">
        <f>IFERROR(1/P3138-1,B3137)</f>
        <v/>
      </c>
      <c r="C3138" s="240">
        <f>$C$3</f>
        <v/>
      </c>
      <c r="D3138" s="240">
        <f>$D$3</f>
        <v/>
      </c>
      <c r="E3138" s="240">
        <f>$E$3</f>
        <v/>
      </c>
      <c r="F3138" s="241" t="n">
        <v>8.109999999999999</v>
      </c>
      <c r="G3138" s="242" t="n">
        <v>16518208</v>
      </c>
      <c r="H3138" s="241" t="n">
        <v>4.78</v>
      </c>
      <c r="I3138" s="241" t="n">
        <v>19.09</v>
      </c>
      <c r="J3138" s="241" t="n">
        <v>-27.78</v>
      </c>
      <c r="K3138" s="241" t="n">
        <v>4</v>
      </c>
      <c r="L3138" s="242" t="n">
        <v>1093800</v>
      </c>
      <c r="M3138" s="241" t="n">
        <v>2.27</v>
      </c>
      <c r="N3138" s="241" t="n">
        <v>13.03</v>
      </c>
      <c r="O3138" s="241" t="n">
        <v>-29.64</v>
      </c>
      <c r="P3138" s="241" t="n">
        <v>2.03</v>
      </c>
    </row>
    <row r="3139">
      <c r="A3139" s="282" t="inlineStr">
        <is>
          <t>2018-11-27</t>
        </is>
      </c>
      <c r="B3139" s="240">
        <f>IFERROR(1/P3139-1,B3138)</f>
        <v/>
      </c>
      <c r="C3139" s="240">
        <f>$C$3</f>
        <v/>
      </c>
      <c r="D3139" s="240">
        <f>$D$3</f>
        <v/>
      </c>
      <c r="E3139" s="240">
        <f>$E$3</f>
        <v/>
      </c>
      <c r="F3139" s="241" t="n">
        <v>7.99</v>
      </c>
      <c r="G3139" s="242" t="n">
        <v>11080982</v>
      </c>
      <c r="H3139" s="241" t="n">
        <v>-1.48</v>
      </c>
      <c r="I3139" s="241" t="n">
        <v>16.47</v>
      </c>
      <c r="J3139" s="241" t="n">
        <v>-28.85</v>
      </c>
      <c r="K3139" s="241" t="n">
        <v>3.96</v>
      </c>
      <c r="L3139" s="242" t="n">
        <v>389001</v>
      </c>
      <c r="M3139" s="241" t="n">
        <v>-1.11</v>
      </c>
      <c r="N3139" s="241" t="n">
        <v>12.34</v>
      </c>
      <c r="O3139" s="241" t="n">
        <v>-30.42</v>
      </c>
      <c r="P3139" s="241" t="n">
        <v>2.02</v>
      </c>
    </row>
    <row r="3140">
      <c r="A3140" s="282" t="inlineStr">
        <is>
          <t>2018-11-28</t>
        </is>
      </c>
      <c r="B3140" s="240">
        <f>IFERROR(1/P3140-1,B3139)</f>
        <v/>
      </c>
      <c r="C3140" s="240">
        <f>$C$3</f>
        <v/>
      </c>
      <c r="D3140" s="240">
        <f>$D$3</f>
        <v/>
      </c>
      <c r="E3140" s="240">
        <f>$E$3</f>
        <v/>
      </c>
      <c r="F3140" s="241" t="n">
        <v>7.97</v>
      </c>
      <c r="G3140" s="242" t="n">
        <v>7301500</v>
      </c>
      <c r="H3140" s="241" t="n">
        <v>-0.25</v>
      </c>
      <c r="I3140" s="241" t="n">
        <v>16.18</v>
      </c>
      <c r="J3140" s="241" t="n">
        <v>-29.03</v>
      </c>
      <c r="K3140" s="241" t="n">
        <v>4.04</v>
      </c>
      <c r="L3140" s="242" t="n">
        <v>766000</v>
      </c>
      <c r="M3140" s="241" t="n">
        <v>2.02</v>
      </c>
      <c r="N3140" s="241" t="n">
        <v>14.61</v>
      </c>
      <c r="O3140" s="241" t="n">
        <v>-29.02</v>
      </c>
      <c r="P3140" s="241" t="n">
        <v>1.97</v>
      </c>
    </row>
    <row r="3141">
      <c r="A3141" s="282" t="inlineStr">
        <is>
          <t>2018-11-29</t>
        </is>
      </c>
      <c r="B3141" s="240">
        <f>IFERROR(1/P3141-1,B3140)</f>
        <v/>
      </c>
      <c r="C3141" s="240">
        <f>$C$3</f>
        <v/>
      </c>
      <c r="D3141" s="240">
        <f>$D$3</f>
        <v/>
      </c>
      <c r="E3141" s="240">
        <f>$E$3</f>
        <v/>
      </c>
      <c r="F3141" s="241" t="n">
        <v>7.76</v>
      </c>
      <c r="G3141" s="242" t="n">
        <v>9779976</v>
      </c>
      <c r="H3141" s="241" t="n">
        <v>-2.63</v>
      </c>
      <c r="I3141" s="241" t="n">
        <v>13.12</v>
      </c>
      <c r="J3141" s="241" t="n">
        <v>-30.9</v>
      </c>
      <c r="K3141" s="241" t="n">
        <v>3.99</v>
      </c>
      <c r="L3141" s="242" t="n">
        <v>408001</v>
      </c>
      <c r="M3141" s="241" t="n">
        <v>-1.1</v>
      </c>
      <c r="N3141" s="241" t="n">
        <v>13.35</v>
      </c>
      <c r="O3141" s="241" t="n">
        <v>-29.8</v>
      </c>
      <c r="P3141" s="241" t="n">
        <v>1.95</v>
      </c>
    </row>
    <row r="3142">
      <c r="A3142" s="282" t="inlineStr">
        <is>
          <t>2018-11-30</t>
        </is>
      </c>
      <c r="B3142" s="240">
        <f>IFERROR(1/P3142-1,B3141)</f>
        <v/>
      </c>
      <c r="C3142" s="240">
        <f>$C$3</f>
        <v/>
      </c>
      <c r="D3142" s="240">
        <f>$D$3</f>
        <v/>
      </c>
      <c r="E3142" s="240">
        <f>$E$3</f>
        <v/>
      </c>
      <c r="F3142" s="241" t="n">
        <v>7.62</v>
      </c>
      <c r="G3142" s="242" t="n">
        <v>21064034</v>
      </c>
      <c r="H3142" s="241" t="n">
        <v>-1.8</v>
      </c>
      <c r="I3142" s="241" t="n">
        <v>12.89</v>
      </c>
      <c r="J3142" s="241" t="n">
        <v>-32.15</v>
      </c>
      <c r="K3142" s="241" t="n">
        <v>3.92</v>
      </c>
      <c r="L3142" s="242" t="n">
        <v>431600</v>
      </c>
      <c r="M3142" s="241" t="n">
        <v>-1.78</v>
      </c>
      <c r="N3142" s="241" t="n">
        <v>12.76</v>
      </c>
      <c r="O3142" s="241" t="n">
        <v>-31.05</v>
      </c>
      <c r="P3142" s="241" t="n">
        <v>1.94</v>
      </c>
    </row>
    <row r="3143">
      <c r="A3143" s="282" t="inlineStr">
        <is>
          <t>2018-12-03</t>
        </is>
      </c>
      <c r="B3143" s="240">
        <f>IFERROR(1/P3143-1,B3142)</f>
        <v/>
      </c>
      <c r="C3143" s="240">
        <f>$C$3</f>
        <v/>
      </c>
      <c r="D3143" s="240">
        <f>$D$3</f>
        <v/>
      </c>
      <c r="E3143" s="240">
        <f>$E$3</f>
        <v/>
      </c>
      <c r="F3143" s="241" t="n">
        <v>8.039999999999999</v>
      </c>
      <c r="G3143" s="242" t="n">
        <v>22103886</v>
      </c>
      <c r="H3143" s="241" t="n">
        <v>5.51</v>
      </c>
      <c r="I3143" s="241" t="n">
        <v>8.359999999999999</v>
      </c>
      <c r="J3143" s="241" t="n">
        <v>-28.41</v>
      </c>
      <c r="K3143" s="241" t="n">
        <v>4.06</v>
      </c>
      <c r="L3143" s="242" t="n">
        <v>1095600</v>
      </c>
      <c r="M3143" s="241" t="n">
        <v>3.39</v>
      </c>
      <c r="N3143" s="241" t="n">
        <v>4.82</v>
      </c>
      <c r="O3143" s="241" t="n">
        <v>-28.71</v>
      </c>
      <c r="P3143" s="241" t="n">
        <v>1.98</v>
      </c>
    </row>
    <row r="3144">
      <c r="A3144" s="282" t="inlineStr">
        <is>
          <t>2018-12-04</t>
        </is>
      </c>
      <c r="B3144" s="240">
        <f>IFERROR(1/P3144-1,B3143)</f>
        <v/>
      </c>
      <c r="C3144" s="240">
        <f>$C$3</f>
        <v/>
      </c>
      <c r="D3144" s="240">
        <f>$D$3</f>
        <v/>
      </c>
      <c r="E3144" s="240">
        <f>$E$3</f>
        <v/>
      </c>
      <c r="F3144" s="241" t="n">
        <v>8.15</v>
      </c>
      <c r="G3144" s="242" t="n">
        <v>11824385</v>
      </c>
      <c r="H3144" s="241" t="n">
        <v>1.37</v>
      </c>
      <c r="I3144" s="241" t="n">
        <v>9.84</v>
      </c>
      <c r="J3144" s="241" t="n">
        <v>-27.43</v>
      </c>
      <c r="K3144" s="241" t="n">
        <v>4.13</v>
      </c>
      <c r="L3144" s="242" t="n">
        <v>1109600</v>
      </c>
      <c r="M3144" s="241" t="n">
        <v>2.41</v>
      </c>
      <c r="N3144" s="241" t="n">
        <v>7.34</v>
      </c>
      <c r="O3144" s="241" t="n">
        <v>-26.99</v>
      </c>
      <c r="P3144" s="241" t="n">
        <v>1.97</v>
      </c>
    </row>
    <row r="3145">
      <c r="A3145" s="282" t="inlineStr">
        <is>
          <t>2018-12-05</t>
        </is>
      </c>
      <c r="B3145" s="240">
        <f>IFERROR(1/P3145-1,B3144)</f>
        <v/>
      </c>
      <c r="C3145" s="240">
        <f>$C$3</f>
        <v/>
      </c>
      <c r="D3145" s="240">
        <f>$D$3</f>
        <v/>
      </c>
      <c r="E3145" s="240">
        <f>$E$3</f>
        <v/>
      </c>
      <c r="F3145" s="241" t="n">
        <v>8.01</v>
      </c>
      <c r="G3145" s="242" t="n">
        <v>9296654</v>
      </c>
      <c r="H3145" s="241" t="n">
        <v>-1.72</v>
      </c>
      <c r="I3145" s="241" t="n">
        <v>7.95</v>
      </c>
      <c r="J3145" s="241" t="n">
        <v>-28.67</v>
      </c>
      <c r="K3145" s="241" t="n">
        <v>4.04</v>
      </c>
      <c r="L3145" s="242" t="n">
        <v>332200</v>
      </c>
      <c r="M3145" s="241" t="n">
        <v>-1.5</v>
      </c>
      <c r="N3145" s="241" t="n">
        <v>5.73</v>
      </c>
      <c r="O3145" s="241" t="n">
        <v>-28.08</v>
      </c>
      <c r="P3145" s="241" t="n">
        <v>1.98</v>
      </c>
    </row>
    <row r="3146">
      <c r="A3146" s="282" t="inlineStr">
        <is>
          <t>2018-12-06</t>
        </is>
      </c>
      <c r="B3146" s="240">
        <f>IFERROR(1/P3146-1,B3145)</f>
        <v/>
      </c>
      <c r="C3146" s="240">
        <f>$C$3</f>
        <v/>
      </c>
      <c r="D3146" s="240">
        <f>$D$3</f>
        <v/>
      </c>
      <c r="E3146" s="240">
        <f>$E$3</f>
        <v/>
      </c>
      <c r="F3146" s="241" t="n">
        <v>7.82</v>
      </c>
      <c r="G3146" s="242" t="n">
        <v>7796276</v>
      </c>
      <c r="H3146" s="241" t="n">
        <v>-2.37</v>
      </c>
      <c r="I3146" s="241" t="n">
        <v>4.55</v>
      </c>
      <c r="J3146" s="241" t="n">
        <v>-30.37</v>
      </c>
      <c r="K3146" s="241" t="n">
        <v>3.92</v>
      </c>
      <c r="L3146" s="242" t="n">
        <v>560800</v>
      </c>
      <c r="M3146" s="241" t="n">
        <v>-3.25</v>
      </c>
      <c r="N3146" s="241" t="n">
        <v>2.77</v>
      </c>
      <c r="O3146" s="241" t="n">
        <v>-30.42</v>
      </c>
      <c r="P3146" s="241" t="n">
        <v>2</v>
      </c>
    </row>
    <row r="3147">
      <c r="A3147" s="282" t="inlineStr">
        <is>
          <t>2018-12-07</t>
        </is>
      </c>
      <c r="B3147" s="240">
        <f>IFERROR(1/P3147-1,B3146)</f>
        <v/>
      </c>
      <c r="C3147" s="240">
        <f>$C$3</f>
        <v/>
      </c>
      <c r="D3147" s="240">
        <f>$D$3</f>
        <v/>
      </c>
      <c r="E3147" s="240">
        <f>$E$3</f>
        <v/>
      </c>
      <c r="F3147" s="241" t="n">
        <v>7.84</v>
      </c>
      <c r="G3147" s="242" t="n">
        <v>5572000</v>
      </c>
      <c r="H3147" s="241" t="n">
        <v>0.26</v>
      </c>
      <c r="I3147" s="241" t="n">
        <v>3.98</v>
      </c>
      <c r="J3147" s="241" t="n">
        <v>-30.19</v>
      </c>
      <c r="K3147" s="241" t="n">
        <v>3.95</v>
      </c>
      <c r="L3147" s="242" t="n">
        <v>437200</v>
      </c>
      <c r="M3147" s="241" t="n">
        <v>0.67</v>
      </c>
      <c r="N3147" s="241" t="n">
        <v>0.45</v>
      </c>
      <c r="O3147" s="241" t="n">
        <v>-29.95</v>
      </c>
      <c r="P3147" s="241" t="n">
        <v>1.99</v>
      </c>
    </row>
    <row r="3148">
      <c r="A3148" s="282" t="inlineStr">
        <is>
          <t>2018-12-10</t>
        </is>
      </c>
      <c r="B3148" s="240">
        <f>IFERROR(1/P3148-1,B3147)</f>
        <v/>
      </c>
      <c r="C3148" s="240">
        <f>$C$3</f>
        <v/>
      </c>
      <c r="D3148" s="240">
        <f>$D$3</f>
        <v/>
      </c>
      <c r="E3148" s="240">
        <f>$E$3</f>
        <v/>
      </c>
      <c r="F3148" s="241" t="n">
        <v>7.74</v>
      </c>
      <c r="G3148" s="242" t="n">
        <v>6766454</v>
      </c>
      <c r="H3148" s="241" t="n">
        <v>-1.28</v>
      </c>
      <c r="I3148" s="241" t="n">
        <v>2.79</v>
      </c>
      <c r="J3148" s="241" t="n">
        <v>-31.08</v>
      </c>
      <c r="K3148" s="241" t="n">
        <v>3.9</v>
      </c>
      <c r="L3148" s="242" t="n">
        <v>1514000</v>
      </c>
      <c r="M3148" s="241" t="n">
        <v>-1.11</v>
      </c>
      <c r="N3148" s="241" t="n">
        <v>0.68</v>
      </c>
      <c r="O3148" s="241" t="n">
        <v>-30.73</v>
      </c>
      <c r="P3148" s="241" t="n">
        <v>1.98</v>
      </c>
    </row>
    <row r="3149">
      <c r="A3149" s="282" t="inlineStr">
        <is>
          <t>2018-12-11</t>
        </is>
      </c>
      <c r="B3149" s="240">
        <f>IFERROR(1/P3149-1,B3148)</f>
        <v/>
      </c>
      <c r="C3149" s="240">
        <f>$C$3</f>
        <v/>
      </c>
      <c r="D3149" s="240">
        <f>$D$3</f>
        <v/>
      </c>
      <c r="E3149" s="240">
        <f>$E$3</f>
        <v/>
      </c>
      <c r="F3149" s="241" t="n">
        <v>7.86</v>
      </c>
      <c r="G3149" s="242" t="n">
        <v>5744342</v>
      </c>
      <c r="H3149" s="241" t="n">
        <v>1.55</v>
      </c>
      <c r="I3149" s="241" t="n">
        <v>4.38</v>
      </c>
      <c r="J3149" s="241" t="n">
        <v>-30.01</v>
      </c>
      <c r="K3149" s="241" t="n">
        <v>3.95</v>
      </c>
      <c r="L3149" s="242" t="n">
        <v>320008</v>
      </c>
      <c r="M3149" s="241" t="n">
        <v>0.68</v>
      </c>
      <c r="N3149" s="241" t="n">
        <v>1.36</v>
      </c>
      <c r="O3149" s="241" t="n">
        <v>-30.27</v>
      </c>
      <c r="P3149" s="241" t="n">
        <v>1.99</v>
      </c>
    </row>
    <row r="3150">
      <c r="A3150" s="282" t="inlineStr">
        <is>
          <t>2018-12-12</t>
        </is>
      </c>
      <c r="B3150" s="240">
        <f>IFERROR(1/P3150-1,B3149)</f>
        <v/>
      </c>
      <c r="C3150" s="240">
        <f>$C$3</f>
        <v/>
      </c>
      <c r="D3150" s="240">
        <f>$D$3</f>
        <v/>
      </c>
      <c r="E3150" s="240">
        <f>$E$3</f>
        <v/>
      </c>
      <c r="F3150" s="241" t="n">
        <v>7.9</v>
      </c>
      <c r="G3150" s="242" t="n">
        <v>3444076</v>
      </c>
      <c r="H3150" s="241" t="n">
        <v>0.51</v>
      </c>
      <c r="I3150" s="241" t="n">
        <v>4.91</v>
      </c>
      <c r="J3150" s="241" t="n">
        <v>-29.65</v>
      </c>
      <c r="K3150" s="241" t="n">
        <v>4.02</v>
      </c>
      <c r="L3150" s="242" t="n">
        <v>475600</v>
      </c>
      <c r="M3150" s="241" t="n">
        <v>1.79</v>
      </c>
      <c r="N3150" s="241" t="n">
        <v>3.17</v>
      </c>
      <c r="O3150" s="241" t="n">
        <v>-29.02</v>
      </c>
      <c r="P3150" s="241" t="n">
        <v>1.97</v>
      </c>
    </row>
    <row r="3151">
      <c r="A3151" s="282" t="inlineStr">
        <is>
          <t>2018-12-13</t>
        </is>
      </c>
      <c r="B3151" s="240">
        <f>IFERROR(1/P3151-1,B3150)</f>
        <v/>
      </c>
      <c r="C3151" s="240">
        <f>$C$3</f>
        <v/>
      </c>
      <c r="D3151" s="240">
        <f>$D$3</f>
        <v/>
      </c>
      <c r="E3151" s="240">
        <f>$E$3</f>
        <v/>
      </c>
      <c r="F3151" s="241" t="n">
        <v>8.050000000000001</v>
      </c>
      <c r="G3151" s="242" t="n">
        <v>12228902</v>
      </c>
      <c r="H3151" s="241" t="n">
        <v>1.9</v>
      </c>
      <c r="I3151" s="241" t="n">
        <v>5.09</v>
      </c>
      <c r="J3151" s="241" t="n">
        <v>-28.32</v>
      </c>
      <c r="K3151" s="241" t="n">
        <v>4.1</v>
      </c>
      <c r="L3151" s="242" t="n">
        <v>749200</v>
      </c>
      <c r="M3151" s="241" t="n">
        <v>2.42</v>
      </c>
      <c r="N3151" s="241" t="n">
        <v>3.56</v>
      </c>
      <c r="O3151" s="241" t="n">
        <v>-27.3</v>
      </c>
      <c r="P3151" s="241" t="n">
        <v>1.96</v>
      </c>
    </row>
    <row r="3152">
      <c r="A3152" s="282" t="inlineStr">
        <is>
          <t>2018-12-14</t>
        </is>
      </c>
      <c r="B3152" s="240">
        <f>IFERROR(1/P3152-1,B3151)</f>
        <v/>
      </c>
      <c r="C3152" s="240">
        <f>$C$3</f>
        <v/>
      </c>
      <c r="D3152" s="240">
        <f>$D$3</f>
        <v/>
      </c>
      <c r="E3152" s="240">
        <f>$E$3</f>
        <v/>
      </c>
      <c r="F3152" s="241" t="n">
        <v>7.92</v>
      </c>
      <c r="G3152" s="242" t="n">
        <v>6914355</v>
      </c>
      <c r="H3152" s="241" t="n">
        <v>-1.61</v>
      </c>
      <c r="I3152" s="241" t="n">
        <v>3.39</v>
      </c>
      <c r="J3152" s="241" t="n">
        <v>-29.47</v>
      </c>
      <c r="K3152" s="241" t="n">
        <v>4.01</v>
      </c>
      <c r="L3152" s="242" t="n">
        <v>294800</v>
      </c>
      <c r="M3152" s="241" t="n">
        <v>-2.15</v>
      </c>
      <c r="N3152" s="241" t="n">
        <v>0.44</v>
      </c>
      <c r="O3152" s="241" t="n">
        <v>-28.86</v>
      </c>
      <c r="P3152" s="241" t="n">
        <v>1.97</v>
      </c>
    </row>
    <row r="3153">
      <c r="A3153" s="282" t="inlineStr">
        <is>
          <t>2018-12-17</t>
        </is>
      </c>
      <c r="B3153" s="240">
        <f>IFERROR(1/P3153-1,B3152)</f>
        <v/>
      </c>
      <c r="C3153" s="240">
        <f>$C$3</f>
        <v/>
      </c>
      <c r="D3153" s="240">
        <f>$D$3</f>
        <v/>
      </c>
      <c r="E3153" s="240">
        <f>$E$3</f>
        <v/>
      </c>
      <c r="F3153" s="241" t="n">
        <v>7.84</v>
      </c>
      <c r="G3153" s="242" t="n">
        <v>7472789</v>
      </c>
      <c r="H3153" s="241" t="n">
        <v>-1.01</v>
      </c>
      <c r="I3153" s="241" t="n">
        <v>-2</v>
      </c>
      <c r="J3153" s="241" t="n">
        <v>-30.19</v>
      </c>
      <c r="K3153" s="241" t="n">
        <v>4.01</v>
      </c>
      <c r="L3153" s="242" t="n">
        <v>231600</v>
      </c>
      <c r="M3153" s="241" t="n">
        <v>-0.22</v>
      </c>
      <c r="N3153" s="241" t="n">
        <v>-2.78</v>
      </c>
      <c r="O3153" s="241" t="n">
        <v>-29.02</v>
      </c>
      <c r="P3153" s="241" t="n">
        <v>1.95</v>
      </c>
    </row>
    <row r="3154">
      <c r="A3154" s="282" t="inlineStr">
        <is>
          <t>2018-12-18</t>
        </is>
      </c>
      <c r="B3154" s="240">
        <f>IFERROR(1/P3154-1,B3153)</f>
        <v/>
      </c>
      <c r="C3154" s="240">
        <f>$C$3</f>
        <v/>
      </c>
      <c r="D3154" s="240">
        <f>$D$3</f>
        <v/>
      </c>
      <c r="E3154" s="240">
        <f>$E$3</f>
        <v/>
      </c>
      <c r="F3154" s="241" t="n">
        <v>7.97</v>
      </c>
      <c r="G3154" s="242" t="n">
        <v>8166111</v>
      </c>
      <c r="H3154" s="241" t="n">
        <v>1.66</v>
      </c>
      <c r="I3154" s="241" t="n">
        <v>-0.38</v>
      </c>
      <c r="J3154" s="241" t="n">
        <v>-29.03</v>
      </c>
      <c r="K3154" s="241" t="n">
        <v>4.03</v>
      </c>
      <c r="L3154" s="242" t="n">
        <v>768600</v>
      </c>
      <c r="M3154" s="241" t="n">
        <v>0.44</v>
      </c>
      <c r="N3154" s="241" t="n">
        <v>-2.35</v>
      </c>
      <c r="O3154" s="241" t="n">
        <v>-28.71</v>
      </c>
      <c r="P3154" s="241" t="n">
        <v>1.98</v>
      </c>
    </row>
    <row r="3155">
      <c r="A3155" s="282" t="inlineStr">
        <is>
          <t>2018-12-19</t>
        </is>
      </c>
      <c r="B3155" s="240">
        <f>IFERROR(1/P3155-1,B3154)</f>
        <v/>
      </c>
      <c r="C3155" s="240">
        <f>$C$3</f>
        <v/>
      </c>
      <c r="D3155" s="240">
        <f>$D$3</f>
        <v/>
      </c>
      <c r="E3155" s="240">
        <f>$E$3</f>
        <v/>
      </c>
      <c r="F3155" s="241" t="n">
        <v>7.69</v>
      </c>
      <c r="G3155" s="242" t="n">
        <v>8226784</v>
      </c>
      <c r="H3155" s="241" t="n">
        <v>-3.51</v>
      </c>
      <c r="I3155" s="241" t="n">
        <v>-3.88</v>
      </c>
      <c r="J3155" s="241" t="n">
        <v>-31.52</v>
      </c>
      <c r="K3155" s="241" t="n">
        <v>3.91</v>
      </c>
      <c r="L3155" s="242" t="n">
        <v>309200</v>
      </c>
      <c r="M3155" s="241" t="n">
        <v>-2.84</v>
      </c>
      <c r="N3155" s="241" t="n">
        <v>-5.13</v>
      </c>
      <c r="O3155" s="241" t="n">
        <v>-30.73</v>
      </c>
      <c r="P3155" s="241" t="n">
        <v>1.97</v>
      </c>
    </row>
    <row r="3156">
      <c r="A3156" s="282" t="inlineStr">
        <is>
          <t>2018-12-20</t>
        </is>
      </c>
      <c r="B3156" s="240">
        <f>IFERROR(1/P3156-1,B3155)</f>
        <v/>
      </c>
      <c r="C3156" s="240">
        <f>$C$3</f>
        <v/>
      </c>
      <c r="D3156" s="240">
        <f>$D$3</f>
        <v/>
      </c>
      <c r="E3156" s="240">
        <f>$E$3</f>
        <v/>
      </c>
      <c r="F3156" s="241" t="n">
        <v>7.72</v>
      </c>
      <c r="G3156" s="242" t="n">
        <v>4605495</v>
      </c>
      <c r="H3156" s="241" t="n">
        <v>0.39</v>
      </c>
      <c r="I3156" s="241" t="n">
        <v>-3.14</v>
      </c>
      <c r="J3156" s="241" t="n">
        <v>-31.26</v>
      </c>
      <c r="K3156" s="241" t="n">
        <v>3.9</v>
      </c>
      <c r="L3156" s="242" t="n">
        <v>425200</v>
      </c>
      <c r="M3156" s="241" t="n">
        <v>-0.23</v>
      </c>
      <c r="N3156" s="241" t="n">
        <v>-4.53</v>
      </c>
      <c r="O3156" s="241" t="n">
        <v>-30.89</v>
      </c>
      <c r="P3156" s="241" t="n">
        <v>1.98</v>
      </c>
    </row>
    <row r="3157">
      <c r="A3157" s="282" t="inlineStr">
        <is>
          <t>2018-12-21</t>
        </is>
      </c>
      <c r="B3157" s="240">
        <f>IFERROR(1/P3157-1,B3156)</f>
        <v/>
      </c>
      <c r="C3157" s="240">
        <f>$C$3</f>
        <v/>
      </c>
      <c r="D3157" s="240">
        <f>$D$3</f>
        <v/>
      </c>
      <c r="E3157" s="240">
        <f>$E$3</f>
        <v/>
      </c>
      <c r="F3157" s="241" t="n">
        <v>7.84</v>
      </c>
      <c r="G3157" s="242" t="n">
        <v>6597040</v>
      </c>
      <c r="H3157" s="241" t="n">
        <v>1.55</v>
      </c>
      <c r="I3157" s="241" t="n">
        <v>0.64</v>
      </c>
      <c r="J3157" s="241" t="n">
        <v>-30.19</v>
      </c>
      <c r="K3157" s="241" t="n">
        <v>4</v>
      </c>
      <c r="L3157" s="242" t="n">
        <v>718564</v>
      </c>
      <c r="M3157" s="241" t="n">
        <v>2.71</v>
      </c>
      <c r="N3157" s="241" t="n">
        <v>-0.66</v>
      </c>
      <c r="O3157" s="241" t="n">
        <v>-29.02</v>
      </c>
      <c r="P3157" s="241" t="n">
        <v>1.96</v>
      </c>
    </row>
    <row r="3158">
      <c r="A3158" s="282" t="inlineStr">
        <is>
          <t>2018-12-24</t>
        </is>
      </c>
      <c r="B3158" s="240">
        <f>IFERROR(1/P3158-1,B3157)</f>
        <v/>
      </c>
      <c r="C3158" s="240">
        <f>$C$3</f>
        <v/>
      </c>
      <c r="D3158" s="240">
        <f>$D$3</f>
        <v/>
      </c>
      <c r="E3158" s="240">
        <f>$E$3</f>
        <v/>
      </c>
      <c r="F3158" s="241" t="n">
        <v>7.8</v>
      </c>
      <c r="G3158" s="242" t="n">
        <v>5706033</v>
      </c>
      <c r="H3158" s="241" t="n">
        <v>-0.51</v>
      </c>
      <c r="I3158" s="241" t="n">
        <v>0.78</v>
      </c>
      <c r="J3158" s="241" t="n">
        <v>-30.54</v>
      </c>
      <c r="K3158" s="241" t="n">
        <v>3.91</v>
      </c>
      <c r="L3158" s="242" t="n">
        <v>163560</v>
      </c>
      <c r="M3158" s="241" t="n">
        <v>-2.42</v>
      </c>
      <c r="N3158" s="241" t="n">
        <v>0.68</v>
      </c>
      <c r="O3158" s="241" t="n">
        <v>-30.73</v>
      </c>
      <c r="P3158" s="241" t="n">
        <v>1.99</v>
      </c>
    </row>
    <row r="3159">
      <c r="A3159" s="282" t="inlineStr">
        <is>
          <t>2018-12-25</t>
        </is>
      </c>
      <c r="B3159" s="240">
        <f>IFERROR(1/P3159-1,B3158)</f>
        <v/>
      </c>
      <c r="C3159" s="240">
        <f>$C$3</f>
        <v/>
      </c>
      <c r="D3159" s="240">
        <f>$D$3</f>
        <v/>
      </c>
      <c r="E3159" s="240">
        <f>$E$3</f>
        <v/>
      </c>
      <c r="F3159" s="241" t="n">
        <v>7.4</v>
      </c>
      <c r="G3159" s="242" t="n">
        <v>16600594</v>
      </c>
      <c r="H3159" s="241" t="n">
        <v>-5.13</v>
      </c>
      <c r="I3159" s="241" t="n">
        <v>-4.39</v>
      </c>
      <c r="J3159" s="241" t="n">
        <v>-34.11</v>
      </c>
      <c r="K3159" s="239" t="inlineStr">
        <is>
          <t>--</t>
        </is>
      </c>
      <c r="L3159" s="239" t="inlineStr">
        <is>
          <t>--</t>
        </is>
      </c>
      <c r="M3159" s="239" t="inlineStr">
        <is>
          <t>--</t>
        </is>
      </c>
      <c r="N3159" s="239" t="inlineStr">
        <is>
          <t>--</t>
        </is>
      </c>
      <c r="O3159" s="239" t="inlineStr">
        <is>
          <t>--</t>
        </is>
      </c>
      <c r="P3159" s="239" t="inlineStr">
        <is>
          <t>--</t>
        </is>
      </c>
    </row>
    <row r="3160">
      <c r="A3160" s="282" t="inlineStr">
        <is>
          <t>2018-12-26</t>
        </is>
      </c>
      <c r="B3160" s="240">
        <f>IFERROR(1/P3160-1,B3159)</f>
        <v/>
      </c>
      <c r="C3160" s="240">
        <f>$C$3</f>
        <v/>
      </c>
      <c r="D3160" s="240">
        <f>$D$3</f>
        <v/>
      </c>
      <c r="E3160" s="240">
        <f>$E$3</f>
        <v/>
      </c>
      <c r="F3160" s="241" t="n">
        <v>7.76</v>
      </c>
      <c r="G3160" s="242" t="n">
        <v>15166405</v>
      </c>
      <c r="H3160" s="241" t="n">
        <v>4.86</v>
      </c>
      <c r="I3160" s="241" t="n">
        <v>0.26</v>
      </c>
      <c r="J3160" s="241" t="n">
        <v>-30.9</v>
      </c>
      <c r="K3160" s="239" t="inlineStr">
        <is>
          <t>--</t>
        </is>
      </c>
      <c r="L3160" s="239" t="inlineStr">
        <is>
          <t>--</t>
        </is>
      </c>
      <c r="M3160" s="239" t="inlineStr">
        <is>
          <t>--</t>
        </is>
      </c>
      <c r="N3160" s="239" t="inlineStr">
        <is>
          <t>--</t>
        </is>
      </c>
      <c r="O3160" s="239" t="inlineStr">
        <is>
          <t>--</t>
        </is>
      </c>
      <c r="P3160" s="239" t="inlineStr">
        <is>
          <t>--</t>
        </is>
      </c>
    </row>
    <row r="3161">
      <c r="A3161" s="282" t="inlineStr">
        <is>
          <t>2018-12-27</t>
        </is>
      </c>
      <c r="B3161" s="240">
        <f>IFERROR(1/P3161-1,B3160)</f>
        <v/>
      </c>
      <c r="C3161" s="240">
        <f>$C$3</f>
        <v/>
      </c>
      <c r="D3161" s="240">
        <f>$D$3</f>
        <v/>
      </c>
      <c r="E3161" s="240">
        <f>$E$3</f>
        <v/>
      </c>
      <c r="F3161" s="241" t="n">
        <v>7.8</v>
      </c>
      <c r="G3161" s="242" t="n">
        <v>8803426</v>
      </c>
      <c r="H3161" s="241" t="n">
        <v>0.52</v>
      </c>
      <c r="I3161" s="241" t="n">
        <v>-3.82</v>
      </c>
      <c r="J3161" s="241" t="n">
        <v>-30.54</v>
      </c>
      <c r="K3161" s="241" t="n">
        <v>4</v>
      </c>
      <c r="L3161" s="242" t="n">
        <v>1162200</v>
      </c>
      <c r="M3161" s="241" t="n">
        <v>2.48</v>
      </c>
      <c r="N3161" s="241" t="n">
        <v>0.89</v>
      </c>
      <c r="O3161" s="241" t="n">
        <v>-29.02</v>
      </c>
      <c r="P3161" s="241" t="n">
        <v>1.95</v>
      </c>
    </row>
    <row r="3162">
      <c r="A3162" s="282" t="inlineStr">
        <is>
          <t>2018-12-28</t>
        </is>
      </c>
      <c r="B3162" s="240">
        <f>IFERROR(1/P3162-1,B3161)</f>
        <v/>
      </c>
      <c r="C3162" s="240">
        <f>$C$3</f>
        <v/>
      </c>
      <c r="D3162" s="240">
        <f>$D$3</f>
        <v/>
      </c>
      <c r="E3162" s="240">
        <f>$E$3</f>
        <v/>
      </c>
      <c r="F3162" s="241" t="n">
        <v>7.89</v>
      </c>
      <c r="G3162" s="242" t="n">
        <v>8002270</v>
      </c>
      <c r="H3162" s="241" t="n">
        <v>1.15</v>
      </c>
      <c r="I3162" s="241" t="n">
        <v>-1.25</v>
      </c>
      <c r="J3162" s="241" t="n">
        <v>-29.74</v>
      </c>
      <c r="K3162" s="241" t="n">
        <v>3.95</v>
      </c>
      <c r="L3162" s="242" t="n">
        <v>166518</v>
      </c>
      <c r="M3162" s="241" t="n">
        <v>-0.88</v>
      </c>
      <c r="N3162" s="241" t="n">
        <v>1.12</v>
      </c>
      <c r="O3162" s="241" t="n">
        <v>-29.64</v>
      </c>
      <c r="P3162" s="241" t="n">
        <v>2</v>
      </c>
    </row>
    <row r="3163">
      <c r="A3163" s="282" t="inlineStr">
        <is>
          <t>2019-01-02</t>
        </is>
      </c>
      <c r="B3163" s="240">
        <f>IFERROR(1/P3163-1,B3162)</f>
        <v/>
      </c>
      <c r="C3163" s="240">
        <f>$C$3</f>
        <v/>
      </c>
      <c r="D3163" s="240">
        <f>$D$3</f>
        <v/>
      </c>
      <c r="E3163" s="240">
        <f>$E$3</f>
        <v/>
      </c>
      <c r="F3163" s="241" t="n">
        <v>7.88</v>
      </c>
      <c r="G3163" s="242" t="n">
        <v>8356500</v>
      </c>
      <c r="H3163" s="241" t="n">
        <v>-0.13</v>
      </c>
      <c r="I3163" s="241" t="n">
        <v>3.41</v>
      </c>
      <c r="J3163" s="241" t="n">
        <v>-0.13</v>
      </c>
      <c r="K3163" s="241" t="n">
        <v>3.98</v>
      </c>
      <c r="L3163" s="242" t="n">
        <v>426938</v>
      </c>
      <c r="M3163" s="241" t="n">
        <v>-1.52</v>
      </c>
      <c r="N3163" s="241" t="n">
        <v>2.94</v>
      </c>
      <c r="O3163" s="241" t="n">
        <v>-1.52</v>
      </c>
      <c r="P3163" s="241" t="n">
        <v>1.98</v>
      </c>
    </row>
    <row r="3164">
      <c r="A3164" s="282" t="inlineStr">
        <is>
          <t>2019-01-03</t>
        </is>
      </c>
      <c r="B3164" s="240">
        <f>IFERROR(1/P3164-1,B3163)</f>
        <v/>
      </c>
      <c r="C3164" s="240">
        <f>$C$3</f>
        <v/>
      </c>
      <c r="D3164" s="240">
        <f>$D$3</f>
        <v/>
      </c>
      <c r="E3164" s="240">
        <f>$E$3</f>
        <v/>
      </c>
      <c r="F3164" s="241" t="n">
        <v>7.77</v>
      </c>
      <c r="G3164" s="242" t="n">
        <v>7242114</v>
      </c>
      <c r="H3164" s="241" t="n">
        <v>-1.4</v>
      </c>
      <c r="I3164" s="241" t="n">
        <v>1.97</v>
      </c>
      <c r="J3164" s="241" t="n">
        <v>-1.52</v>
      </c>
      <c r="K3164" s="241" t="n">
        <v>3.92</v>
      </c>
      <c r="L3164" s="242" t="n">
        <v>875192</v>
      </c>
      <c r="M3164" s="241" t="n">
        <v>-1.76</v>
      </c>
      <c r="N3164" s="241" t="n">
        <v>1.13</v>
      </c>
      <c r="O3164" s="241" t="n">
        <v>-3.25</v>
      </c>
      <c r="P3164" s="241" t="n">
        <v>1.98</v>
      </c>
    </row>
    <row r="3165">
      <c r="A3165" s="282" t="inlineStr">
        <is>
          <t>2019-01-04</t>
        </is>
      </c>
      <c r="B3165" s="240">
        <f>IFERROR(1/P3165-1,B3164)</f>
        <v/>
      </c>
      <c r="C3165" s="240">
        <f>$C$3</f>
        <v/>
      </c>
      <c r="D3165" s="240">
        <f>$D$3</f>
        <v/>
      </c>
      <c r="E3165" s="240">
        <f>$E$3</f>
        <v/>
      </c>
      <c r="F3165" s="241" t="n">
        <v>8.17</v>
      </c>
      <c r="G3165" s="242" t="n">
        <v>17378859</v>
      </c>
      <c r="H3165" s="241" t="n">
        <v>5.15</v>
      </c>
      <c r="I3165" s="241" t="n">
        <v>1.62</v>
      </c>
      <c r="J3165" s="241" t="n">
        <v>3.55</v>
      </c>
      <c r="K3165" s="241" t="n">
        <v>4.1</v>
      </c>
      <c r="L3165" s="242" t="n">
        <v>1701363</v>
      </c>
      <c r="M3165" s="241" t="n">
        <v>4.7</v>
      </c>
      <c r="N3165" s="241" t="n">
        <v>2.41</v>
      </c>
      <c r="O3165" s="241" t="n">
        <v>1.3</v>
      </c>
      <c r="P3165" s="241" t="n">
        <v>1.99</v>
      </c>
    </row>
    <row r="3166">
      <c r="A3166" s="282" t="inlineStr">
        <is>
          <t>2019-01-07</t>
        </is>
      </c>
      <c r="B3166" s="240">
        <f>IFERROR(1/P3166-1,B3165)</f>
        <v/>
      </c>
      <c r="C3166" s="240">
        <f>$C$3</f>
        <v/>
      </c>
      <c r="D3166" s="240">
        <f>$D$3</f>
        <v/>
      </c>
      <c r="E3166" s="240">
        <f>$E$3</f>
        <v/>
      </c>
      <c r="F3166" s="241" t="n">
        <v>8.4</v>
      </c>
      <c r="G3166" s="242" t="n">
        <v>19278660</v>
      </c>
      <c r="H3166" s="241" t="n">
        <v>2.82</v>
      </c>
      <c r="I3166" s="241" t="n">
        <v>7.42</v>
      </c>
      <c r="J3166" s="241" t="n">
        <v>6.46</v>
      </c>
      <c r="K3166" s="241" t="n">
        <v>4.29</v>
      </c>
      <c r="L3166" s="242" t="n">
        <v>2047001</v>
      </c>
      <c r="M3166" s="241" t="n">
        <v>4.7</v>
      </c>
      <c r="N3166" s="241" t="n">
        <v>9.869999999999999</v>
      </c>
      <c r="O3166" s="241" t="n">
        <v>6.06</v>
      </c>
      <c r="P3166" s="241" t="n">
        <v>1.96</v>
      </c>
    </row>
    <row r="3167">
      <c r="A3167" s="282" t="inlineStr">
        <is>
          <t>2019-01-08</t>
        </is>
      </c>
      <c r="B3167" s="240">
        <f>IFERROR(1/P3167-1,B3166)</f>
        <v/>
      </c>
      <c r="C3167" s="240">
        <f>$C$3</f>
        <v/>
      </c>
      <c r="D3167" s="240">
        <f>$D$3</f>
        <v/>
      </c>
      <c r="E3167" s="240">
        <f>$E$3</f>
        <v/>
      </c>
      <c r="F3167" s="241" t="n">
        <v>8.4</v>
      </c>
      <c r="G3167" s="242" t="n">
        <v>14633742</v>
      </c>
      <c r="H3167" s="241" t="n">
        <v>0</v>
      </c>
      <c r="I3167" s="241" t="n">
        <v>7.14</v>
      </c>
      <c r="J3167" s="241" t="n">
        <v>6.46</v>
      </c>
      <c r="K3167" s="241" t="n">
        <v>4.27</v>
      </c>
      <c r="L3167" s="242" t="n">
        <v>994140</v>
      </c>
      <c r="M3167" s="241" t="n">
        <v>-0.2</v>
      </c>
      <c r="N3167" s="241" t="n">
        <v>8.91</v>
      </c>
      <c r="O3167" s="241" t="n">
        <v>5.84</v>
      </c>
      <c r="P3167" s="241" t="n">
        <v>1.97</v>
      </c>
    </row>
    <row r="3168">
      <c r="A3168" s="282" t="inlineStr">
        <is>
          <t>2019-01-09</t>
        </is>
      </c>
      <c r="B3168" s="240">
        <f>IFERROR(1/P3168-1,B3167)</f>
        <v/>
      </c>
      <c r="C3168" s="240">
        <f>$C$3</f>
        <v/>
      </c>
      <c r="D3168" s="240">
        <f>$D$3</f>
        <v/>
      </c>
      <c r="E3168" s="240">
        <f>$E$3</f>
        <v/>
      </c>
      <c r="F3168" s="241" t="n">
        <v>8.34</v>
      </c>
      <c r="G3168" s="242" t="n">
        <v>11138955</v>
      </c>
      <c r="H3168" s="241" t="n">
        <v>-0.71</v>
      </c>
      <c r="I3168" s="241" t="n">
        <v>6.38</v>
      </c>
      <c r="J3168" s="241" t="n">
        <v>5.7</v>
      </c>
      <c r="K3168" s="241" t="n">
        <v>4.24</v>
      </c>
      <c r="L3168" s="242" t="n">
        <v>701800</v>
      </c>
      <c r="M3168" s="241" t="n">
        <v>-0.82</v>
      </c>
      <c r="N3168" s="241" t="n">
        <v>8.02</v>
      </c>
      <c r="O3168" s="241" t="n">
        <v>4.98</v>
      </c>
      <c r="P3168" s="241" t="n">
        <v>1.97</v>
      </c>
    </row>
    <row r="3169">
      <c r="A3169" s="282" t="inlineStr">
        <is>
          <t>2019-01-10</t>
        </is>
      </c>
      <c r="B3169" s="240">
        <f>IFERROR(1/P3169-1,B3168)</f>
        <v/>
      </c>
      <c r="C3169" s="240">
        <f>$C$3</f>
        <v/>
      </c>
      <c r="D3169" s="240">
        <f>$D$3</f>
        <v/>
      </c>
      <c r="E3169" s="240">
        <f>$E$3</f>
        <v/>
      </c>
      <c r="F3169" s="241" t="n">
        <v>8.380000000000001</v>
      </c>
      <c r="G3169" s="242" t="n">
        <v>10604908</v>
      </c>
      <c r="H3169" s="241" t="n">
        <v>0.48</v>
      </c>
      <c r="I3169" s="241" t="n">
        <v>6.89</v>
      </c>
      <c r="J3169" s="241" t="n">
        <v>6.21</v>
      </c>
      <c r="K3169" s="241" t="n">
        <v>4.29</v>
      </c>
      <c r="L3169" s="242" t="n">
        <v>619560</v>
      </c>
      <c r="M3169" s="241" t="n">
        <v>1.65</v>
      </c>
      <c r="N3169" s="241" t="n">
        <v>9.800000000000001</v>
      </c>
      <c r="O3169" s="241" t="n">
        <v>6.71</v>
      </c>
      <c r="P3169" s="241" t="n">
        <v>1.95</v>
      </c>
    </row>
    <row r="3170">
      <c r="A3170" s="282" t="inlineStr">
        <is>
          <t>2019-01-11</t>
        </is>
      </c>
      <c r="B3170" s="240">
        <f>IFERROR(1/P3170-1,B3169)</f>
        <v/>
      </c>
      <c r="C3170" s="240">
        <f>$C$3</f>
        <v/>
      </c>
      <c r="D3170" s="240">
        <f>$D$3</f>
        <v/>
      </c>
      <c r="E3170" s="240">
        <f>$E$3</f>
        <v/>
      </c>
      <c r="F3170" s="241" t="n">
        <v>8.5</v>
      </c>
      <c r="G3170" s="242" t="n">
        <v>11573179</v>
      </c>
      <c r="H3170" s="241" t="n">
        <v>1.43</v>
      </c>
      <c r="I3170" s="241" t="n">
        <v>9.82</v>
      </c>
      <c r="J3170" s="241" t="n">
        <v>7.73</v>
      </c>
      <c r="K3170" s="241" t="n">
        <v>4.43</v>
      </c>
      <c r="L3170" s="242" t="n">
        <v>1078238</v>
      </c>
      <c r="M3170" s="241" t="n">
        <v>3.65</v>
      </c>
      <c r="N3170" s="241" t="n">
        <v>15.09</v>
      </c>
      <c r="O3170" s="241" t="n">
        <v>10.61</v>
      </c>
      <c r="P3170" s="241" t="n">
        <v>1.92</v>
      </c>
    </row>
    <row r="3171">
      <c r="A3171" s="282" t="inlineStr">
        <is>
          <t>2019-01-14</t>
        </is>
      </c>
      <c r="B3171" s="240">
        <f>IFERROR(1/P3171-1,B3170)</f>
        <v/>
      </c>
      <c r="C3171" s="240">
        <f>$C$3</f>
        <v/>
      </c>
      <c r="D3171" s="240">
        <f>$D$3</f>
        <v/>
      </c>
      <c r="E3171" s="240">
        <f>$E$3</f>
        <v/>
      </c>
      <c r="F3171" s="241" t="n">
        <v>8.529999999999999</v>
      </c>
      <c r="G3171" s="242" t="n">
        <v>17657523</v>
      </c>
      <c r="H3171" s="241" t="n">
        <v>0.35</v>
      </c>
      <c r="I3171" s="241" t="n">
        <v>5.96</v>
      </c>
      <c r="J3171" s="241" t="n">
        <v>8.109999999999999</v>
      </c>
      <c r="K3171" s="241" t="n">
        <v>4.44</v>
      </c>
      <c r="L3171" s="242" t="n">
        <v>1065400</v>
      </c>
      <c r="M3171" s="241" t="n">
        <v>0.78</v>
      </c>
      <c r="N3171" s="241" t="n">
        <v>10.52</v>
      </c>
      <c r="O3171" s="241" t="n">
        <v>11.47</v>
      </c>
      <c r="P3171" s="241" t="n">
        <v>1.92</v>
      </c>
    </row>
    <row r="3172">
      <c r="A3172" s="282" t="inlineStr">
        <is>
          <t>2019-01-15</t>
        </is>
      </c>
      <c r="B3172" s="240">
        <f>IFERROR(1/P3172-1,B3171)</f>
        <v/>
      </c>
      <c r="C3172" s="240">
        <f>$C$3</f>
        <v/>
      </c>
      <c r="D3172" s="240">
        <f>$D$3</f>
        <v/>
      </c>
      <c r="E3172" s="240">
        <f>$E$3</f>
        <v/>
      </c>
      <c r="F3172" s="241" t="n">
        <v>8.66</v>
      </c>
      <c r="G3172" s="242" t="n">
        <v>11673402</v>
      </c>
      <c r="H3172" s="241" t="n">
        <v>1.52</v>
      </c>
      <c r="I3172" s="241" t="n">
        <v>9.34</v>
      </c>
      <c r="J3172" s="241" t="n">
        <v>9.76</v>
      </c>
      <c r="K3172" s="241" t="n">
        <v>4.48</v>
      </c>
      <c r="L3172" s="242" t="n">
        <v>1159000</v>
      </c>
      <c r="M3172" s="241" t="n">
        <v>0.97</v>
      </c>
      <c r="N3172" s="241" t="n">
        <v>14.04</v>
      </c>
      <c r="O3172" s="241" t="n">
        <v>12.55</v>
      </c>
      <c r="P3172" s="241" t="n">
        <v>1.93</v>
      </c>
    </row>
    <row r="3173">
      <c r="A3173" s="282" t="inlineStr">
        <is>
          <t>2019-01-16</t>
        </is>
      </c>
      <c r="B3173" s="240">
        <f>IFERROR(1/P3173-1,B3172)</f>
        <v/>
      </c>
      <c r="C3173" s="240">
        <f>$C$3</f>
        <v/>
      </c>
      <c r="D3173" s="240">
        <f>$D$3</f>
        <v/>
      </c>
      <c r="E3173" s="240">
        <f>$E$3</f>
        <v/>
      </c>
      <c r="F3173" s="241" t="n">
        <v>8.550000000000001</v>
      </c>
      <c r="G3173" s="242" t="n">
        <v>8827664</v>
      </c>
      <c r="H3173" s="241" t="n">
        <v>-1.27</v>
      </c>
      <c r="I3173" s="241" t="n">
        <v>7.95</v>
      </c>
      <c r="J3173" s="241" t="n">
        <v>8.369999999999999</v>
      </c>
      <c r="K3173" s="241" t="n">
        <v>4.46</v>
      </c>
      <c r="L3173" s="242" t="n">
        <v>604200</v>
      </c>
      <c r="M3173" s="241" t="n">
        <v>-0.58</v>
      </c>
      <c r="N3173" s="241" t="n">
        <v>13.38</v>
      </c>
      <c r="O3173" s="241" t="n">
        <v>11.9</v>
      </c>
      <c r="P3173" s="241" t="n">
        <v>1.92</v>
      </c>
    </row>
    <row r="3174">
      <c r="A3174" s="282" t="inlineStr">
        <is>
          <t>2019-01-17</t>
        </is>
      </c>
      <c r="B3174" s="240">
        <f>IFERROR(1/P3174-1,B3173)</f>
        <v/>
      </c>
      <c r="C3174" s="240">
        <f>$C$3</f>
        <v/>
      </c>
      <c r="D3174" s="240">
        <f>$D$3</f>
        <v/>
      </c>
      <c r="E3174" s="240">
        <f>$E$3</f>
        <v/>
      </c>
      <c r="F3174" s="241" t="n">
        <v>8.5</v>
      </c>
      <c r="G3174" s="242" t="n">
        <v>9734232</v>
      </c>
      <c r="H3174" s="241" t="n">
        <v>-0.58</v>
      </c>
      <c r="I3174" s="241" t="n">
        <v>7.32</v>
      </c>
      <c r="J3174" s="241" t="n">
        <v>7.73</v>
      </c>
      <c r="K3174" s="241" t="n">
        <v>4.34</v>
      </c>
      <c r="L3174" s="242" t="n">
        <v>913400</v>
      </c>
      <c r="M3174" s="241" t="n">
        <v>-2.51</v>
      </c>
      <c r="N3174" s="241" t="n">
        <v>10.53</v>
      </c>
      <c r="O3174" s="241" t="n">
        <v>9.09</v>
      </c>
      <c r="P3174" s="241" t="n">
        <v>1.96</v>
      </c>
    </row>
    <row r="3175">
      <c r="A3175" s="282" t="inlineStr">
        <is>
          <t>2019-01-18</t>
        </is>
      </c>
      <c r="B3175" s="240">
        <f>IFERROR(1/P3175-1,B3174)</f>
        <v/>
      </c>
      <c r="C3175" s="240">
        <f>$C$3</f>
        <v/>
      </c>
      <c r="D3175" s="240">
        <f>$D$3</f>
        <v/>
      </c>
      <c r="E3175" s="240">
        <f>$E$3</f>
        <v/>
      </c>
      <c r="F3175" s="241" t="n">
        <v>8.49</v>
      </c>
      <c r="G3175" s="242" t="n">
        <v>7459107</v>
      </c>
      <c r="H3175" s="241" t="n">
        <v>-0.12</v>
      </c>
      <c r="I3175" s="241" t="n">
        <v>8.289999999999999</v>
      </c>
      <c r="J3175" s="241" t="n">
        <v>7.6</v>
      </c>
      <c r="K3175" s="241" t="n">
        <v>4.43</v>
      </c>
      <c r="L3175" s="242" t="n">
        <v>724899</v>
      </c>
      <c r="M3175" s="241" t="n">
        <v>1.98</v>
      </c>
      <c r="N3175" s="241" t="n">
        <v>12.97</v>
      </c>
      <c r="O3175" s="241" t="n">
        <v>11.26</v>
      </c>
      <c r="P3175" s="241" t="n">
        <v>1.91</v>
      </c>
    </row>
    <row r="3176">
      <c r="A3176" s="282" t="inlineStr">
        <is>
          <t>2019-01-21</t>
        </is>
      </c>
      <c r="B3176" s="240">
        <f>IFERROR(1/P3176-1,B3175)</f>
        <v/>
      </c>
      <c r="C3176" s="240">
        <f>$C$3</f>
        <v/>
      </c>
      <c r="D3176" s="240">
        <f>$D$3</f>
        <v/>
      </c>
      <c r="E3176" s="240">
        <f>$E$3</f>
        <v/>
      </c>
      <c r="F3176" s="241" t="n">
        <v>8.58</v>
      </c>
      <c r="G3176" s="242" t="n">
        <v>7658222</v>
      </c>
      <c r="H3176" s="241" t="n">
        <v>1.06</v>
      </c>
      <c r="I3176" s="241" t="n">
        <v>11.14</v>
      </c>
      <c r="J3176" s="241" t="n">
        <v>8.75</v>
      </c>
      <c r="K3176" s="241" t="n">
        <v>4.41</v>
      </c>
      <c r="L3176" s="242" t="n">
        <v>205200</v>
      </c>
      <c r="M3176" s="241" t="n">
        <v>-0.78</v>
      </c>
      <c r="N3176" s="241" t="n">
        <v>15.12</v>
      </c>
      <c r="O3176" s="241" t="n">
        <v>10.39</v>
      </c>
      <c r="P3176" s="241" t="n">
        <v>1.95</v>
      </c>
    </row>
    <row r="3177">
      <c r="A3177" s="282" t="inlineStr">
        <is>
          <t>2019-01-22</t>
        </is>
      </c>
      <c r="B3177" s="240">
        <f>IFERROR(1/P3177-1,B3176)</f>
        <v/>
      </c>
      <c r="C3177" s="240">
        <f>$C$3</f>
        <v/>
      </c>
      <c r="D3177" s="240">
        <f>$D$3</f>
        <v/>
      </c>
      <c r="E3177" s="240">
        <f>$E$3</f>
        <v/>
      </c>
      <c r="F3177" s="241" t="n">
        <v>8.4</v>
      </c>
      <c r="G3177" s="242" t="n">
        <v>6802685</v>
      </c>
      <c r="H3177" s="241" t="n">
        <v>-2.1</v>
      </c>
      <c r="I3177" s="241" t="n">
        <v>7.14</v>
      </c>
      <c r="J3177" s="241" t="n">
        <v>6.46</v>
      </c>
      <c r="K3177" s="241" t="n">
        <v>4.43</v>
      </c>
      <c r="L3177" s="242" t="n">
        <v>449000</v>
      </c>
      <c r="M3177" s="241" t="n">
        <v>0.39</v>
      </c>
      <c r="N3177" s="241" t="n">
        <v>12.53</v>
      </c>
      <c r="O3177" s="241" t="n">
        <v>10.82</v>
      </c>
      <c r="P3177" s="241" t="n">
        <v>1.9</v>
      </c>
    </row>
    <row r="3178">
      <c r="A3178" s="282" t="inlineStr">
        <is>
          <t>2019-01-23</t>
        </is>
      </c>
      <c r="B3178" s="240">
        <f>IFERROR(1/P3178-1,B3177)</f>
        <v/>
      </c>
      <c r="C3178" s="240">
        <f>$C$3</f>
        <v/>
      </c>
      <c r="D3178" s="240">
        <f>$D$3</f>
        <v/>
      </c>
      <c r="E3178" s="240">
        <f>$E$3</f>
        <v/>
      </c>
      <c r="F3178" s="241" t="n">
        <v>8.59</v>
      </c>
      <c r="G3178" s="242" t="n">
        <v>10042498</v>
      </c>
      <c r="H3178" s="241" t="n">
        <v>2.26</v>
      </c>
      <c r="I3178" s="241" t="n">
        <v>9.57</v>
      </c>
      <c r="J3178" s="241" t="n">
        <v>8.869999999999999</v>
      </c>
      <c r="K3178" s="241" t="n">
        <v>4.45</v>
      </c>
      <c r="L3178" s="242" t="n">
        <v>447400</v>
      </c>
      <c r="M3178" s="241" t="n">
        <v>0.39</v>
      </c>
      <c r="N3178" s="241" t="n">
        <v>12.97</v>
      </c>
      <c r="O3178" s="241" t="n">
        <v>11.26</v>
      </c>
      <c r="P3178" s="241" t="n">
        <v>1.93</v>
      </c>
    </row>
    <row r="3179">
      <c r="A3179" s="282" t="inlineStr">
        <is>
          <t>2019-01-24</t>
        </is>
      </c>
      <c r="B3179" s="240">
        <f>IFERROR(1/P3179-1,B3178)</f>
        <v/>
      </c>
      <c r="C3179" s="240">
        <f>$C$3</f>
        <v/>
      </c>
      <c r="D3179" s="240">
        <f>$D$3</f>
        <v/>
      </c>
      <c r="E3179" s="240">
        <f>$E$3</f>
        <v/>
      </c>
      <c r="F3179" s="241" t="n">
        <v>8.58</v>
      </c>
      <c r="G3179" s="242" t="n">
        <v>7867402</v>
      </c>
      <c r="H3179" s="241" t="n">
        <v>-0.12</v>
      </c>
      <c r="I3179" s="241" t="n">
        <v>9.44</v>
      </c>
      <c r="J3179" s="241" t="n">
        <v>8.75</v>
      </c>
      <c r="K3179" s="241" t="n">
        <v>4.71</v>
      </c>
      <c r="L3179" s="242" t="n">
        <v>2006800</v>
      </c>
      <c r="M3179" s="241" t="n">
        <v>6.03</v>
      </c>
      <c r="N3179" s="241" t="n">
        <v>19.78</v>
      </c>
      <c r="O3179" s="241" t="n">
        <v>17.97</v>
      </c>
      <c r="P3179" s="241" t="n">
        <v>1.82</v>
      </c>
    </row>
    <row r="3180">
      <c r="A3180" s="282" t="inlineStr">
        <is>
          <t>2019-01-25</t>
        </is>
      </c>
      <c r="B3180" s="240">
        <f>IFERROR(1/P3180-1,B3179)</f>
        <v/>
      </c>
      <c r="C3180" s="240">
        <f>$C$3</f>
        <v/>
      </c>
      <c r="D3180" s="240">
        <f>$D$3</f>
        <v/>
      </c>
      <c r="E3180" s="240">
        <f>$E$3</f>
        <v/>
      </c>
      <c r="F3180" s="241" t="n">
        <v>9.06</v>
      </c>
      <c r="G3180" s="242" t="n">
        <v>47580669</v>
      </c>
      <c r="H3180" s="241" t="n">
        <v>5.59</v>
      </c>
      <c r="I3180" s="241" t="n">
        <v>16.15</v>
      </c>
      <c r="J3180" s="241" t="n">
        <v>14.83</v>
      </c>
      <c r="K3180" s="241" t="n">
        <v>4.76</v>
      </c>
      <c r="L3180" s="242" t="n">
        <v>3683200</v>
      </c>
      <c r="M3180" s="241" t="n">
        <v>0.92</v>
      </c>
      <c r="N3180" s="241" t="n">
        <v>23.87</v>
      </c>
      <c r="O3180" s="241" t="n">
        <v>19.05</v>
      </c>
      <c r="P3180" s="241" t="n">
        <v>1.9</v>
      </c>
    </row>
    <row r="3181">
      <c r="A3181" s="282" t="inlineStr">
        <is>
          <t>2019-01-28</t>
        </is>
      </c>
      <c r="B3181" s="240">
        <f>IFERROR(1/P3181-1,B3180)</f>
        <v/>
      </c>
      <c r="C3181" s="240">
        <f>$C$3</f>
        <v/>
      </c>
      <c r="D3181" s="240">
        <f>$D$3</f>
        <v/>
      </c>
      <c r="E3181" s="240">
        <f>$E$3</f>
        <v/>
      </c>
      <c r="F3181" s="241" t="n">
        <v>9.33</v>
      </c>
      <c r="G3181" s="242" t="n">
        <v>44514719</v>
      </c>
      <c r="H3181" s="241" t="n">
        <v>2.98</v>
      </c>
      <c r="I3181" s="241" t="n">
        <v>19.62</v>
      </c>
      <c r="J3181" s="241" t="n">
        <v>18.25</v>
      </c>
      <c r="K3181" s="241" t="n">
        <v>4.87</v>
      </c>
      <c r="L3181" s="242" t="n">
        <v>3699800</v>
      </c>
      <c r="M3181" s="241" t="n">
        <v>2.91</v>
      </c>
      <c r="N3181" s="241" t="n">
        <v>24.4</v>
      </c>
      <c r="O3181" s="241" t="n">
        <v>22.51</v>
      </c>
      <c r="P3181" s="241" t="n">
        <v>1.92</v>
      </c>
    </row>
    <row r="3182">
      <c r="A3182" s="282" t="inlineStr">
        <is>
          <t>2019-01-29</t>
        </is>
      </c>
      <c r="B3182" s="240">
        <f>IFERROR(1/P3182-1,B3181)</f>
        <v/>
      </c>
      <c r="C3182" s="240">
        <f>$C$3</f>
        <v/>
      </c>
      <c r="D3182" s="240">
        <f>$D$3</f>
        <v/>
      </c>
      <c r="E3182" s="240">
        <f>$E$3</f>
        <v/>
      </c>
      <c r="F3182" s="241" t="n">
        <v>9.34</v>
      </c>
      <c r="G3182" s="242" t="n">
        <v>27416243</v>
      </c>
      <c r="H3182" s="241" t="n">
        <v>0.11</v>
      </c>
      <c r="I3182" s="241" t="n">
        <v>18.38</v>
      </c>
      <c r="J3182" s="241" t="n">
        <v>18.38</v>
      </c>
      <c r="K3182" s="241" t="n">
        <v>4.84</v>
      </c>
      <c r="L3182" s="242" t="n">
        <v>2090800</v>
      </c>
      <c r="M3182" s="241" t="n">
        <v>-0.35</v>
      </c>
      <c r="N3182" s="241" t="n">
        <v>25.06</v>
      </c>
      <c r="O3182" s="241" t="n">
        <v>22.08</v>
      </c>
      <c r="P3182" s="241" t="n">
        <v>1.93</v>
      </c>
    </row>
    <row r="3183">
      <c r="A3183" s="282" t="inlineStr">
        <is>
          <t>2019-01-30</t>
        </is>
      </c>
      <c r="B3183" s="240">
        <f>IFERROR(1/P3183-1,B3182)</f>
        <v/>
      </c>
      <c r="C3183" s="240">
        <f>$C$3</f>
        <v/>
      </c>
      <c r="D3183" s="240">
        <f>$D$3</f>
        <v/>
      </c>
      <c r="E3183" s="240">
        <f>$E$3</f>
        <v/>
      </c>
      <c r="F3183" s="241" t="n">
        <v>9.390000000000001</v>
      </c>
      <c r="G3183" s="242" t="n">
        <v>22922818</v>
      </c>
      <c r="H3183" s="241" t="n">
        <v>0.54</v>
      </c>
      <c r="I3183" s="241" t="n">
        <v>19.01</v>
      </c>
      <c r="J3183" s="241" t="n">
        <v>19.01</v>
      </c>
      <c r="K3183" s="241" t="n">
        <v>5.01</v>
      </c>
      <c r="L3183" s="242" t="n">
        <v>3096600</v>
      </c>
      <c r="M3183" s="241" t="n">
        <v>3.55</v>
      </c>
      <c r="N3183" s="241" t="n">
        <v>29.49</v>
      </c>
      <c r="O3183" s="241" t="n">
        <v>26.41</v>
      </c>
      <c r="P3183" s="241" t="n">
        <v>1.87</v>
      </c>
    </row>
    <row r="3184">
      <c r="A3184" s="282" t="inlineStr">
        <is>
          <t>2019-01-31</t>
        </is>
      </c>
      <c r="B3184" s="240">
        <f>IFERROR(1/P3184-1,B3183)</f>
        <v/>
      </c>
      <c r="C3184" s="240">
        <f>$C$3</f>
        <v/>
      </c>
      <c r="D3184" s="240">
        <f>$D$3</f>
        <v/>
      </c>
      <c r="E3184" s="240">
        <f>$E$3</f>
        <v/>
      </c>
      <c r="F3184" s="241" t="n">
        <v>9.26</v>
      </c>
      <c r="G3184" s="242" t="n">
        <v>19645690</v>
      </c>
      <c r="H3184" s="241" t="n">
        <v>-1.38</v>
      </c>
      <c r="I3184" s="241" t="n">
        <v>17.36</v>
      </c>
      <c r="J3184" s="241" t="n">
        <v>17.36</v>
      </c>
      <c r="K3184" s="241" t="n">
        <v>5</v>
      </c>
      <c r="L3184" s="242" t="n">
        <v>1771699</v>
      </c>
      <c r="M3184" s="241" t="n">
        <v>0.17</v>
      </c>
      <c r="N3184" s="241" t="n">
        <v>29.71</v>
      </c>
      <c r="O3184" s="241" t="n">
        <v>26.62</v>
      </c>
      <c r="P3184" s="241" t="n">
        <v>1.85</v>
      </c>
    </row>
    <row r="3185">
      <c r="A3185" s="282" t="inlineStr">
        <is>
          <t>2019-02-01</t>
        </is>
      </c>
      <c r="B3185" s="240">
        <f>IFERROR(1/P3185-1,B3184)</f>
        <v/>
      </c>
      <c r="C3185" s="240">
        <f>$C$3</f>
        <v/>
      </c>
      <c r="D3185" s="240">
        <f>$D$3</f>
        <v/>
      </c>
      <c r="E3185" s="240">
        <f>$E$3</f>
        <v/>
      </c>
      <c r="F3185" s="241" t="n">
        <v>9.27</v>
      </c>
      <c r="G3185" s="242" t="n">
        <v>15077040</v>
      </c>
      <c r="H3185" s="241" t="n">
        <v>0.11</v>
      </c>
      <c r="I3185" s="241" t="n">
        <v>17.49</v>
      </c>
      <c r="J3185" s="241" t="n">
        <v>17.49</v>
      </c>
      <c r="K3185" s="241" t="n">
        <v>5.06</v>
      </c>
      <c r="L3185" s="242" t="n">
        <v>1671002</v>
      </c>
      <c r="M3185" s="241" t="n">
        <v>1.2</v>
      </c>
      <c r="N3185" s="241" t="n">
        <v>28.14</v>
      </c>
      <c r="O3185" s="241" t="n">
        <v>28.14</v>
      </c>
      <c r="P3185" s="241" t="n">
        <v>1.83</v>
      </c>
    </row>
    <row r="3186">
      <c r="A3186" s="282" t="inlineStr">
        <is>
          <t>2019-02-11</t>
        </is>
      </c>
      <c r="B3186" s="240">
        <f>IFERROR(1/P3186-1,B3185)</f>
        <v/>
      </c>
      <c r="C3186" s="240">
        <f>$C$3</f>
        <v/>
      </c>
      <c r="D3186" s="240">
        <f>$D$3</f>
        <v/>
      </c>
      <c r="E3186" s="240">
        <f>$E$3</f>
        <v/>
      </c>
      <c r="F3186" s="241" t="n">
        <v>9.56</v>
      </c>
      <c r="G3186" s="242" t="n">
        <v>19704596</v>
      </c>
      <c r="H3186" s="241" t="n">
        <v>3.13</v>
      </c>
      <c r="I3186" s="241" t="n">
        <v>14.08</v>
      </c>
      <c r="J3186" s="241" t="n">
        <v>21.17</v>
      </c>
      <c r="K3186" s="241" t="n">
        <v>5.3</v>
      </c>
      <c r="L3186" s="242" t="n">
        <v>3486609</v>
      </c>
      <c r="M3186" s="241" t="n">
        <v>-2.99</v>
      </c>
      <c r="N3186" s="241" t="n">
        <v>24.95</v>
      </c>
      <c r="O3186" s="241" t="n">
        <v>33.33</v>
      </c>
      <c r="P3186" s="241" t="n">
        <v>1.8</v>
      </c>
    </row>
    <row r="3187">
      <c r="A3187" s="282" t="inlineStr">
        <is>
          <t>2019-02-12</t>
        </is>
      </c>
      <c r="B3187" s="240">
        <f>IFERROR(1/P3187-1,B3186)</f>
        <v/>
      </c>
      <c r="C3187" s="240">
        <f>$C$3</f>
        <v/>
      </c>
      <c r="D3187" s="240">
        <f>$D$3</f>
        <v/>
      </c>
      <c r="E3187" s="240">
        <f>$E$3</f>
        <v/>
      </c>
      <c r="F3187" s="241" t="n">
        <v>9.48</v>
      </c>
      <c r="G3187" s="242" t="n">
        <v>14844164</v>
      </c>
      <c r="H3187" s="241" t="n">
        <v>-0.84</v>
      </c>
      <c r="I3187" s="241" t="n">
        <v>11.53</v>
      </c>
      <c r="J3187" s="241" t="n">
        <v>20.15</v>
      </c>
      <c r="K3187" s="241" t="n">
        <v>5.22</v>
      </c>
      <c r="L3187" s="242" t="n">
        <v>4011340</v>
      </c>
      <c r="M3187" s="241" t="n">
        <v>-1.95</v>
      </c>
      <c r="N3187" s="241" t="n">
        <v>18.2</v>
      </c>
      <c r="O3187" s="241" t="n">
        <v>30.74</v>
      </c>
      <c r="P3187" s="241" t="n">
        <v>1.82</v>
      </c>
    </row>
    <row r="3188">
      <c r="A3188" s="282" t="inlineStr">
        <is>
          <t>2019-02-13</t>
        </is>
      </c>
      <c r="B3188" s="240">
        <f>IFERROR(1/P3188-1,B3187)</f>
        <v/>
      </c>
      <c r="C3188" s="240">
        <f>$C$3</f>
        <v/>
      </c>
      <c r="D3188" s="240">
        <f>$D$3</f>
        <v/>
      </c>
      <c r="E3188" s="240">
        <f>$E$3</f>
        <v/>
      </c>
      <c r="F3188" s="241" t="n">
        <v>9.529999999999999</v>
      </c>
      <c r="G3188" s="242" t="n">
        <v>15819042</v>
      </c>
      <c r="H3188" s="241" t="n">
        <v>0.53</v>
      </c>
      <c r="I3188" s="241" t="n">
        <v>12.12</v>
      </c>
      <c r="J3188" s="241" t="n">
        <v>20.79</v>
      </c>
      <c r="K3188" s="241" t="n">
        <v>5.29</v>
      </c>
      <c r="L3188" s="242" t="n">
        <v>4992400</v>
      </c>
      <c r="M3188" s="241" t="n">
        <v>1.66</v>
      </c>
      <c r="N3188" s="241" t="n">
        <v>20.16</v>
      </c>
      <c r="O3188" s="241" t="n">
        <v>32.9</v>
      </c>
      <c r="P3188" s="241" t="n">
        <v>1.8</v>
      </c>
    </row>
    <row r="3189">
      <c r="A3189" s="282" t="inlineStr">
        <is>
          <t>2019-02-14</t>
        </is>
      </c>
      <c r="B3189" s="240">
        <f>IFERROR(1/P3189-1,B3188)</f>
        <v/>
      </c>
      <c r="C3189" s="240">
        <f>$C$3</f>
        <v/>
      </c>
      <c r="D3189" s="240">
        <f>$D$3</f>
        <v/>
      </c>
      <c r="E3189" s="240">
        <f>$E$3</f>
        <v/>
      </c>
      <c r="F3189" s="241" t="n">
        <v>9.640000000000001</v>
      </c>
      <c r="G3189" s="242" t="n">
        <v>17126526</v>
      </c>
      <c r="H3189" s="241" t="n">
        <v>1.15</v>
      </c>
      <c r="I3189" s="241" t="n">
        <v>13.41</v>
      </c>
      <c r="J3189" s="241" t="n">
        <v>22.18</v>
      </c>
      <c r="K3189" s="241" t="n">
        <v>5.39</v>
      </c>
      <c r="L3189" s="242" t="n">
        <v>2000400</v>
      </c>
      <c r="M3189" s="241" t="n">
        <v>1.63</v>
      </c>
      <c r="N3189" s="241" t="n">
        <v>22.11</v>
      </c>
      <c r="O3189" s="241" t="n">
        <v>35.06</v>
      </c>
      <c r="P3189" s="241" t="n">
        <v>1.79</v>
      </c>
    </row>
    <row r="3190">
      <c r="A3190" s="282" t="inlineStr">
        <is>
          <t>2019-02-15</t>
        </is>
      </c>
      <c r="B3190" s="240">
        <f>IFERROR(1/P3190-1,B3189)</f>
        <v/>
      </c>
      <c r="C3190" s="240">
        <f>$C$3</f>
        <v/>
      </c>
      <c r="D3190" s="240">
        <f>$D$3</f>
        <v/>
      </c>
      <c r="E3190" s="240">
        <f>$E$3</f>
        <v/>
      </c>
      <c r="F3190" s="241" t="n">
        <v>9.48</v>
      </c>
      <c r="G3190" s="242" t="n">
        <v>12761972</v>
      </c>
      <c r="H3190" s="241" t="n">
        <v>-1.66</v>
      </c>
      <c r="I3190" s="241" t="n">
        <v>11.14</v>
      </c>
      <c r="J3190" s="241" t="n">
        <v>20.15</v>
      </c>
      <c r="K3190" s="241" t="n">
        <v>5.27</v>
      </c>
      <c r="L3190" s="242" t="n">
        <v>1794800</v>
      </c>
      <c r="M3190" s="241" t="n">
        <v>-1.92</v>
      </c>
      <c r="N3190" s="241" t="n">
        <v>18.84</v>
      </c>
      <c r="O3190" s="241" t="n">
        <v>32.47</v>
      </c>
      <c r="P3190" s="241" t="n">
        <v>1.8</v>
      </c>
    </row>
    <row r="3191">
      <c r="A3191" s="282" t="inlineStr">
        <is>
          <t>2019-02-18</t>
        </is>
      </c>
      <c r="B3191" s="240">
        <f>IFERROR(1/P3191-1,B3190)</f>
        <v/>
      </c>
      <c r="C3191" s="240">
        <f>$C$3</f>
        <v/>
      </c>
      <c r="D3191" s="240">
        <f>$D$3</f>
        <v/>
      </c>
      <c r="E3191" s="240">
        <f>$E$3</f>
        <v/>
      </c>
      <c r="F3191" s="241" t="n">
        <v>9.74</v>
      </c>
      <c r="G3191" s="242" t="n">
        <v>18697321</v>
      </c>
      <c r="H3191" s="241" t="n">
        <v>2.74</v>
      </c>
      <c r="I3191" s="241" t="n">
        <v>14.59</v>
      </c>
      <c r="J3191" s="241" t="n">
        <v>23.45</v>
      </c>
      <c r="K3191" s="241" t="n">
        <v>5.31</v>
      </c>
      <c r="L3191" s="242" t="n">
        <v>1587170</v>
      </c>
      <c r="M3191" s="241" t="n">
        <v>0.65</v>
      </c>
      <c r="N3191" s="241" t="n">
        <v>22.22</v>
      </c>
      <c r="O3191" s="241" t="n">
        <v>33.33</v>
      </c>
      <c r="P3191" s="241" t="n">
        <v>1.83</v>
      </c>
    </row>
    <row r="3192">
      <c r="A3192" s="282" t="inlineStr">
        <is>
          <t>2019-02-19</t>
        </is>
      </c>
      <c r="B3192" s="240">
        <f>IFERROR(1/P3192-1,B3191)</f>
        <v/>
      </c>
      <c r="C3192" s="240">
        <f>$C$3</f>
        <v/>
      </c>
      <c r="D3192" s="240">
        <f>$D$3</f>
        <v/>
      </c>
      <c r="E3192" s="240">
        <f>$E$3</f>
        <v/>
      </c>
      <c r="F3192" s="241" t="n">
        <v>9.51</v>
      </c>
      <c r="G3192" s="242" t="n">
        <v>18000534</v>
      </c>
      <c r="H3192" s="241" t="n">
        <v>-2.36</v>
      </c>
      <c r="I3192" s="241" t="n">
        <v>12.01</v>
      </c>
      <c r="J3192" s="241" t="n">
        <v>20.53</v>
      </c>
      <c r="K3192" s="241" t="n">
        <v>5.13</v>
      </c>
      <c r="L3192" s="242" t="n">
        <v>1603000</v>
      </c>
      <c r="M3192" s="241" t="n">
        <v>-3.41</v>
      </c>
      <c r="N3192" s="241" t="n">
        <v>15.76</v>
      </c>
      <c r="O3192" s="241" t="n">
        <v>28.79</v>
      </c>
      <c r="P3192" s="241" t="n">
        <v>1.85</v>
      </c>
    </row>
    <row r="3193">
      <c r="A3193" s="282" t="inlineStr">
        <is>
          <t>2019-02-20</t>
        </is>
      </c>
      <c r="B3193" s="240">
        <f>IFERROR(1/P3193-1,B3192)</f>
        <v/>
      </c>
      <c r="C3193" s="240">
        <f>$C$3</f>
        <v/>
      </c>
      <c r="D3193" s="240">
        <f>$D$3</f>
        <v/>
      </c>
      <c r="E3193" s="240">
        <f>$E$3</f>
        <v/>
      </c>
      <c r="F3193" s="241" t="n">
        <v>9.369999999999999</v>
      </c>
      <c r="G3193" s="242" t="n">
        <v>15637722</v>
      </c>
      <c r="H3193" s="241" t="n">
        <v>-1.47</v>
      </c>
      <c r="I3193" s="241" t="n">
        <v>10.37</v>
      </c>
      <c r="J3193" s="241" t="n">
        <v>18.76</v>
      </c>
      <c r="K3193" s="241" t="n">
        <v>5.09</v>
      </c>
      <c r="L3193" s="242" t="n">
        <v>3179525</v>
      </c>
      <c r="M3193" s="241" t="n">
        <v>-0.67</v>
      </c>
      <c r="N3193" s="241" t="n">
        <v>14.98</v>
      </c>
      <c r="O3193" s="241" t="n">
        <v>27.92</v>
      </c>
      <c r="P3193" s="241" t="n">
        <v>1.84</v>
      </c>
    </row>
    <row r="3194">
      <c r="A3194" s="282" t="inlineStr">
        <is>
          <t>2019-02-21</t>
        </is>
      </c>
      <c r="B3194" s="240">
        <f>IFERROR(1/P3194-1,B3193)</f>
        <v/>
      </c>
      <c r="C3194" s="240">
        <f>$C$3</f>
        <v/>
      </c>
      <c r="D3194" s="240">
        <f>$D$3</f>
        <v/>
      </c>
      <c r="E3194" s="240">
        <f>$E$3</f>
        <v/>
      </c>
      <c r="F3194" s="241" t="n">
        <v>9.23</v>
      </c>
      <c r="G3194" s="242" t="n">
        <v>15115463</v>
      </c>
      <c r="H3194" s="241" t="n">
        <v>-1.49</v>
      </c>
      <c r="I3194" s="241" t="n">
        <v>8.720000000000001</v>
      </c>
      <c r="J3194" s="241" t="n">
        <v>16.98</v>
      </c>
      <c r="K3194" s="241" t="n">
        <v>5.16</v>
      </c>
      <c r="L3194" s="242" t="n">
        <v>1465200</v>
      </c>
      <c r="M3194" s="241" t="n">
        <v>1.86</v>
      </c>
      <c r="N3194" s="241" t="n">
        <v>17.12</v>
      </c>
      <c r="O3194" s="241" t="n">
        <v>30.3</v>
      </c>
      <c r="P3194" s="241" t="n">
        <v>1.79</v>
      </c>
    </row>
    <row r="3195">
      <c r="A3195" s="282" t="inlineStr">
        <is>
          <t>2019-02-22</t>
        </is>
      </c>
      <c r="B3195" s="240">
        <f>IFERROR(1/P3195-1,B3194)</f>
        <v/>
      </c>
      <c r="C3195" s="240">
        <f>$C$3</f>
        <v/>
      </c>
      <c r="D3195" s="240">
        <f>$D$3</f>
        <v/>
      </c>
      <c r="E3195" s="240">
        <f>$E$3</f>
        <v/>
      </c>
      <c r="F3195" s="241" t="n">
        <v>9.380000000000001</v>
      </c>
      <c r="G3195" s="242" t="n">
        <v>12417756</v>
      </c>
      <c r="H3195" s="241" t="n">
        <v>1.63</v>
      </c>
      <c r="I3195" s="241" t="n">
        <v>9.32</v>
      </c>
      <c r="J3195" s="241" t="n">
        <v>18.88</v>
      </c>
      <c r="K3195" s="241" t="n">
        <v>5.25</v>
      </c>
      <c r="L3195" s="242" t="n">
        <v>1592900</v>
      </c>
      <c r="M3195" s="241" t="n">
        <v>1.83</v>
      </c>
      <c r="N3195" s="241" t="n">
        <v>20.2</v>
      </c>
      <c r="O3195" s="241" t="n">
        <v>32.68</v>
      </c>
      <c r="P3195" s="241" t="n">
        <v>1.79</v>
      </c>
    </row>
    <row r="3196">
      <c r="A3196" s="282" t="inlineStr">
        <is>
          <t>2019-02-25</t>
        </is>
      </c>
      <c r="B3196" s="240">
        <f>IFERROR(1/P3196-1,B3195)</f>
        <v/>
      </c>
      <c r="C3196" s="240">
        <f>$C$3</f>
        <v/>
      </c>
      <c r="D3196" s="240">
        <f>$D$3</f>
        <v/>
      </c>
      <c r="E3196" s="240">
        <f>$E$3</f>
        <v/>
      </c>
      <c r="F3196" s="241" t="n">
        <v>9.81</v>
      </c>
      <c r="G3196" s="242" t="n">
        <v>26446153</v>
      </c>
      <c r="H3196" s="241" t="n">
        <v>4.58</v>
      </c>
      <c r="I3196" s="241" t="n">
        <v>14.34</v>
      </c>
      <c r="J3196" s="241" t="n">
        <v>24.33</v>
      </c>
      <c r="K3196" s="241" t="n">
        <v>5.28</v>
      </c>
      <c r="L3196" s="242" t="n">
        <v>3191600</v>
      </c>
      <c r="M3196" s="241" t="n">
        <v>0.65</v>
      </c>
      <c r="N3196" s="241" t="n">
        <v>13.21</v>
      </c>
      <c r="O3196" s="241" t="n">
        <v>33.55</v>
      </c>
      <c r="P3196" s="241" t="n">
        <v>1.86</v>
      </c>
    </row>
    <row r="3197">
      <c r="A3197" s="282" t="inlineStr">
        <is>
          <t>2019-02-26</t>
        </is>
      </c>
      <c r="B3197" s="240">
        <f>IFERROR(1/P3197-1,B3196)</f>
        <v/>
      </c>
      <c r="C3197" s="240">
        <f>$C$3</f>
        <v/>
      </c>
      <c r="D3197" s="240">
        <f>$D$3</f>
        <v/>
      </c>
      <c r="E3197" s="240">
        <f>$E$3</f>
        <v/>
      </c>
      <c r="F3197" s="241" t="n">
        <v>9.93</v>
      </c>
      <c r="G3197" s="242" t="n">
        <v>33680195</v>
      </c>
      <c r="H3197" s="241" t="n">
        <v>1.22</v>
      </c>
      <c r="I3197" s="241" t="n">
        <v>9.6</v>
      </c>
      <c r="J3197" s="241" t="n">
        <v>25.86</v>
      </c>
      <c r="K3197" s="241" t="n">
        <v>5.33</v>
      </c>
      <c r="L3197" s="242" t="n">
        <v>2871800</v>
      </c>
      <c r="M3197" s="241" t="n">
        <v>1.3</v>
      </c>
      <c r="N3197" s="241" t="n">
        <v>13.64</v>
      </c>
      <c r="O3197" s="241" t="n">
        <v>35.28</v>
      </c>
      <c r="P3197" s="241" t="n">
        <v>1.86</v>
      </c>
    </row>
    <row r="3198">
      <c r="A3198" s="282" t="inlineStr">
        <is>
          <t>2019-02-27</t>
        </is>
      </c>
      <c r="B3198" s="240">
        <f>IFERROR(1/P3198-1,B3197)</f>
        <v/>
      </c>
      <c r="C3198" s="240">
        <f>$C$3</f>
        <v/>
      </c>
      <c r="D3198" s="240">
        <f>$D$3</f>
        <v/>
      </c>
      <c r="E3198" s="240">
        <f>$E$3</f>
        <v/>
      </c>
      <c r="F3198" s="241" t="n">
        <v>9.74</v>
      </c>
      <c r="G3198" s="242" t="n">
        <v>19510959</v>
      </c>
      <c r="H3198" s="241" t="n">
        <v>-1.91</v>
      </c>
      <c r="I3198" s="241" t="n">
        <v>7.51</v>
      </c>
      <c r="J3198" s="241" t="n">
        <v>23.45</v>
      </c>
      <c r="K3198" s="241" t="n">
        <v>5.17</v>
      </c>
      <c r="L3198" s="242" t="n">
        <v>1663600</v>
      </c>
      <c r="M3198" s="241" t="n">
        <v>-2.88</v>
      </c>
      <c r="N3198" s="241" t="n">
        <v>10.36</v>
      </c>
      <c r="O3198" s="241" t="n">
        <v>31.39</v>
      </c>
      <c r="P3198" s="241" t="n">
        <v>1.88</v>
      </c>
    </row>
    <row r="3199">
      <c r="A3199" s="282" t="inlineStr">
        <is>
          <t>2019-02-28</t>
        </is>
      </c>
      <c r="B3199" s="240">
        <f>IFERROR(1/P3199-1,B3198)</f>
        <v/>
      </c>
      <c r="C3199" s="240">
        <f>$C$3</f>
        <v/>
      </c>
      <c r="D3199" s="240">
        <f>$D$3</f>
        <v/>
      </c>
      <c r="E3199" s="240">
        <f>$E$3</f>
        <v/>
      </c>
      <c r="F3199" s="241" t="n">
        <v>9.859999999999999</v>
      </c>
      <c r="G3199" s="242" t="n">
        <v>12820971</v>
      </c>
      <c r="H3199" s="241" t="n">
        <v>1.23</v>
      </c>
      <c r="I3199" s="241" t="n">
        <v>8.83</v>
      </c>
      <c r="J3199" s="241" t="n">
        <v>24.97</v>
      </c>
      <c r="K3199" s="241" t="n">
        <v>5.18</v>
      </c>
      <c r="L3199" s="242" t="n">
        <v>1784600</v>
      </c>
      <c r="M3199" s="241" t="n">
        <v>0.16</v>
      </c>
      <c r="N3199" s="241" t="n">
        <v>10.55</v>
      </c>
      <c r="O3199" s="241" t="n">
        <v>31.6</v>
      </c>
      <c r="P3199" s="241" t="n">
        <v>1.9</v>
      </c>
    </row>
    <row r="3200">
      <c r="A3200" s="282" t="inlineStr">
        <is>
          <t>2019-03-01</t>
        </is>
      </c>
      <c r="B3200" s="240">
        <f>IFERROR(1/P3200-1,B3199)</f>
        <v/>
      </c>
      <c r="C3200" s="240">
        <f>$C$3</f>
        <v/>
      </c>
      <c r="D3200" s="240">
        <f>$D$3</f>
        <v/>
      </c>
      <c r="E3200" s="240">
        <f>$E$3</f>
        <v/>
      </c>
      <c r="F3200" s="241" t="n">
        <v>9.82</v>
      </c>
      <c r="G3200" s="242" t="n">
        <v>12675252</v>
      </c>
      <c r="H3200" s="241" t="n">
        <v>-0.41</v>
      </c>
      <c r="I3200" s="241" t="n">
        <v>6.05</v>
      </c>
      <c r="J3200" s="241" t="n">
        <v>24.46</v>
      </c>
      <c r="K3200" s="241" t="n">
        <v>5.24</v>
      </c>
      <c r="L3200" s="242" t="n">
        <v>1276300</v>
      </c>
      <c r="M3200" s="241" t="n">
        <v>0.99</v>
      </c>
      <c r="N3200" s="241" t="n">
        <v>4.96</v>
      </c>
      <c r="O3200" s="241" t="n">
        <v>32.9</v>
      </c>
      <c r="P3200" s="241" t="n">
        <v>1.88</v>
      </c>
    </row>
    <row r="3201">
      <c r="A3201" s="282" t="inlineStr">
        <is>
          <t>2019-03-04</t>
        </is>
      </c>
      <c r="B3201" s="240">
        <f>IFERROR(1/P3201-1,B3200)</f>
        <v/>
      </c>
      <c r="C3201" s="240">
        <f>$C$3</f>
        <v/>
      </c>
      <c r="D3201" s="240">
        <f>$D$3</f>
        <v/>
      </c>
      <c r="E3201" s="240">
        <f>$E$3</f>
        <v/>
      </c>
      <c r="F3201" s="241" t="n">
        <v>9.970000000000001</v>
      </c>
      <c r="G3201" s="242" t="n">
        <v>24651628</v>
      </c>
      <c r="H3201" s="241" t="n">
        <v>1.53</v>
      </c>
      <c r="I3201" s="241" t="n">
        <v>7.55</v>
      </c>
      <c r="J3201" s="241" t="n">
        <v>26.36</v>
      </c>
      <c r="K3201" s="241" t="n">
        <v>5.36</v>
      </c>
      <c r="L3201" s="242" t="n">
        <v>3589800</v>
      </c>
      <c r="M3201" s="241" t="n">
        <v>2.28</v>
      </c>
      <c r="N3201" s="241" t="n">
        <v>6.08</v>
      </c>
      <c r="O3201" s="241" t="n">
        <v>35.93</v>
      </c>
      <c r="P3201" s="241" t="n">
        <v>1.86</v>
      </c>
    </row>
    <row r="3202">
      <c r="A3202" s="282" t="inlineStr">
        <is>
          <t>2019-03-05</t>
        </is>
      </c>
      <c r="B3202" s="240">
        <f>IFERROR(1/P3202-1,B3201)</f>
        <v/>
      </c>
      <c r="C3202" s="240">
        <f>$C$3</f>
        <v/>
      </c>
      <c r="D3202" s="240">
        <f>$D$3</f>
        <v/>
      </c>
      <c r="E3202" s="240">
        <f>$E$3</f>
        <v/>
      </c>
      <c r="F3202" s="241" t="n">
        <v>10.22</v>
      </c>
      <c r="G3202" s="242" t="n">
        <v>21446783</v>
      </c>
      <c r="H3202" s="241" t="n">
        <v>2.51</v>
      </c>
      <c r="I3202" s="241" t="n">
        <v>10.25</v>
      </c>
      <c r="J3202" s="241" t="n">
        <v>29.53</v>
      </c>
      <c r="K3202" s="241" t="n">
        <v>5.65</v>
      </c>
      <c r="L3202" s="242" t="n">
        <v>4912000</v>
      </c>
      <c r="M3202" s="241" t="n">
        <v>5.41</v>
      </c>
      <c r="N3202" s="241" t="n">
        <v>9.42</v>
      </c>
      <c r="O3202" s="241" t="n">
        <v>43.29</v>
      </c>
      <c r="P3202" s="241" t="n">
        <v>1.81</v>
      </c>
    </row>
    <row r="3203">
      <c r="A3203" s="282" t="inlineStr">
        <is>
          <t>2019-03-06</t>
        </is>
      </c>
      <c r="B3203" s="240">
        <f>IFERROR(1/P3203-1,B3202)</f>
        <v/>
      </c>
      <c r="C3203" s="240">
        <f>$C$3</f>
        <v/>
      </c>
      <c r="D3203" s="240">
        <f>$D$3</f>
        <v/>
      </c>
      <c r="E3203" s="240">
        <f>$E$3</f>
        <v/>
      </c>
      <c r="F3203" s="241" t="n">
        <v>10.62</v>
      </c>
      <c r="G3203" s="242" t="n">
        <v>33482322</v>
      </c>
      <c r="H3203" s="241" t="n">
        <v>3.91</v>
      </c>
      <c r="I3203" s="241" t="n">
        <v>14.56</v>
      </c>
      <c r="J3203" s="241" t="n">
        <v>34.6</v>
      </c>
      <c r="K3203" s="241" t="n">
        <v>5.72</v>
      </c>
      <c r="L3203" s="242" t="n">
        <v>2733273</v>
      </c>
      <c r="M3203" s="241" t="n">
        <v>1.21</v>
      </c>
      <c r="N3203" s="241" t="n">
        <v>10.74</v>
      </c>
      <c r="O3203" s="241" t="n">
        <v>45.02</v>
      </c>
      <c r="P3203" s="241" t="n">
        <v>1.86</v>
      </c>
    </row>
    <row r="3204">
      <c r="A3204" s="282" t="inlineStr">
        <is>
          <t>2019-03-07</t>
        </is>
      </c>
      <c r="B3204" s="240">
        <f>IFERROR(1/P3204-1,B3203)</f>
        <v/>
      </c>
      <c r="C3204" s="240">
        <f>$C$3</f>
        <v/>
      </c>
      <c r="D3204" s="240">
        <f>$D$3</f>
        <v/>
      </c>
      <c r="E3204" s="240">
        <f>$E$3</f>
        <v/>
      </c>
      <c r="F3204" s="241" t="n">
        <v>10.46</v>
      </c>
      <c r="G3204" s="242" t="n">
        <v>25391670</v>
      </c>
      <c r="H3204" s="241" t="n">
        <v>-1.51</v>
      </c>
      <c r="I3204" s="241" t="n">
        <v>12.84</v>
      </c>
      <c r="J3204" s="241" t="n">
        <v>32.57</v>
      </c>
      <c r="K3204" s="241" t="n">
        <v>5.6</v>
      </c>
      <c r="L3204" s="242" t="n">
        <v>2098800</v>
      </c>
      <c r="M3204" s="241" t="n">
        <v>-2.24</v>
      </c>
      <c r="N3204" s="241" t="n">
        <v>8.26</v>
      </c>
      <c r="O3204" s="241" t="n">
        <v>41.77</v>
      </c>
      <c r="P3204" s="241" t="n">
        <v>1.87</v>
      </c>
    </row>
    <row r="3205">
      <c r="A3205" s="282" t="inlineStr">
        <is>
          <t>2019-03-08</t>
        </is>
      </c>
      <c r="B3205" s="240">
        <f>IFERROR(1/P3205-1,B3204)</f>
        <v/>
      </c>
      <c r="C3205" s="240">
        <f>$C$3</f>
        <v/>
      </c>
      <c r="D3205" s="240">
        <f>$D$3</f>
        <v/>
      </c>
      <c r="E3205" s="240">
        <f>$E$3</f>
        <v/>
      </c>
      <c r="F3205" s="241" t="n">
        <v>9.84</v>
      </c>
      <c r="G3205" s="242" t="n">
        <v>25829094</v>
      </c>
      <c r="H3205" s="241" t="n">
        <v>-5.93</v>
      </c>
      <c r="I3205" s="241" t="n">
        <v>6.15</v>
      </c>
      <c r="J3205" s="241" t="n">
        <v>24.71</v>
      </c>
      <c r="K3205" s="241" t="n">
        <v>5.26</v>
      </c>
      <c r="L3205" s="242" t="n">
        <v>2123532</v>
      </c>
      <c r="M3205" s="241" t="n">
        <v>-6.26</v>
      </c>
      <c r="N3205" s="241" t="n">
        <v>1.49</v>
      </c>
      <c r="O3205" s="241" t="n">
        <v>32.9</v>
      </c>
      <c r="P3205" s="241" t="n">
        <v>1.87</v>
      </c>
    </row>
    <row r="3206">
      <c r="A3206" s="282" t="inlineStr">
        <is>
          <t>2019-03-11</t>
        </is>
      </c>
      <c r="B3206" s="240">
        <f>IFERROR(1/P3206-1,B3205)</f>
        <v/>
      </c>
      <c r="C3206" s="240">
        <f>$C$3</f>
        <v/>
      </c>
      <c r="D3206" s="240">
        <f>$D$3</f>
        <v/>
      </c>
      <c r="E3206" s="240">
        <f>$E$3</f>
        <v/>
      </c>
      <c r="F3206" s="241" t="n">
        <v>10.6</v>
      </c>
      <c r="G3206" s="242" t="n">
        <v>39444174</v>
      </c>
      <c r="H3206" s="241" t="n">
        <v>7.72</v>
      </c>
      <c r="I3206" s="241" t="n">
        <v>14.35</v>
      </c>
      <c r="J3206" s="241" t="n">
        <v>34.35</v>
      </c>
      <c r="K3206" s="241" t="n">
        <v>5.53</v>
      </c>
      <c r="L3206" s="242" t="n">
        <v>1755400</v>
      </c>
      <c r="M3206" s="241" t="n">
        <v>5.21</v>
      </c>
      <c r="N3206" s="241" t="n">
        <v>1.73</v>
      </c>
      <c r="O3206" s="241" t="n">
        <v>39.83</v>
      </c>
      <c r="P3206" s="241" t="n">
        <v>1.92</v>
      </c>
    </row>
    <row r="3207">
      <c r="A3207" s="282" t="inlineStr">
        <is>
          <t>2019-03-12</t>
        </is>
      </c>
      <c r="B3207" s="240">
        <f>IFERROR(1/P3207-1,B3206)</f>
        <v/>
      </c>
      <c r="C3207" s="240">
        <f>$C$3</f>
        <v/>
      </c>
      <c r="D3207" s="240">
        <f>$D$3</f>
        <v/>
      </c>
      <c r="E3207" s="240">
        <f>$E$3</f>
        <v/>
      </c>
      <c r="F3207" s="241" t="n">
        <v>10.52</v>
      </c>
      <c r="G3207" s="242" t="n">
        <v>43184179</v>
      </c>
      <c r="H3207" s="241" t="n">
        <v>-0.75</v>
      </c>
      <c r="I3207" s="241" t="n">
        <v>10.04</v>
      </c>
      <c r="J3207" s="241" t="n">
        <v>33.33</v>
      </c>
      <c r="K3207" s="241" t="n">
        <v>5.54</v>
      </c>
      <c r="L3207" s="242" t="n">
        <v>1685800</v>
      </c>
      <c r="M3207" s="241" t="n">
        <v>0.31</v>
      </c>
      <c r="N3207" s="241" t="n">
        <v>5.19</v>
      </c>
      <c r="O3207" s="241" t="n">
        <v>40.26</v>
      </c>
      <c r="P3207" s="241" t="n">
        <v>1.9</v>
      </c>
    </row>
    <row r="3208">
      <c r="A3208" s="282" t="inlineStr">
        <is>
          <t>2019-03-13</t>
        </is>
      </c>
      <c r="B3208" s="240">
        <f>IFERROR(1/P3208-1,B3207)</f>
        <v/>
      </c>
      <c r="C3208" s="240">
        <f>$C$3</f>
        <v/>
      </c>
      <c r="D3208" s="240">
        <f>$D$3</f>
        <v/>
      </c>
      <c r="E3208" s="240">
        <f>$E$3</f>
        <v/>
      </c>
      <c r="F3208" s="241" t="n">
        <v>10.28</v>
      </c>
      <c r="G3208" s="242" t="n">
        <v>21012078</v>
      </c>
      <c r="H3208" s="241" t="n">
        <v>-2.28</v>
      </c>
      <c r="I3208" s="241" t="n">
        <v>8.44</v>
      </c>
      <c r="J3208" s="241" t="n">
        <v>30.29</v>
      </c>
      <c r="K3208" s="241" t="n">
        <v>5.5</v>
      </c>
      <c r="L3208" s="242" t="n">
        <v>724000</v>
      </c>
      <c r="M3208" s="241" t="n">
        <v>-0.77</v>
      </c>
      <c r="N3208" s="241" t="n">
        <v>6.46</v>
      </c>
      <c r="O3208" s="241" t="n">
        <v>39.18</v>
      </c>
      <c r="P3208" s="241" t="n">
        <v>1.87</v>
      </c>
    </row>
    <row r="3209">
      <c r="A3209" s="282" t="inlineStr">
        <is>
          <t>2019-03-14</t>
        </is>
      </c>
      <c r="B3209" s="240">
        <f>IFERROR(1/P3209-1,B3208)</f>
        <v/>
      </c>
      <c r="C3209" s="240">
        <f>$C$3</f>
        <v/>
      </c>
      <c r="D3209" s="240">
        <f>$D$3</f>
        <v/>
      </c>
      <c r="E3209" s="240">
        <f>$E$3</f>
        <v/>
      </c>
      <c r="F3209" s="241" t="n">
        <v>10.38</v>
      </c>
      <c r="G3209" s="242" t="n">
        <v>21205148</v>
      </c>
      <c r="H3209" s="241" t="n">
        <v>0.97</v>
      </c>
      <c r="I3209" s="241" t="n">
        <v>8.92</v>
      </c>
      <c r="J3209" s="241" t="n">
        <v>31.56</v>
      </c>
      <c r="K3209" s="241" t="n">
        <v>5.54</v>
      </c>
      <c r="L3209" s="242" t="n">
        <v>2180400</v>
      </c>
      <c r="M3209" s="241" t="n">
        <v>0.93</v>
      </c>
      <c r="N3209" s="241" t="n">
        <v>5.7</v>
      </c>
      <c r="O3209" s="241" t="n">
        <v>40.48</v>
      </c>
      <c r="P3209" s="241" t="n">
        <v>1.87</v>
      </c>
    </row>
    <row r="3210">
      <c r="A3210" s="282" t="inlineStr">
        <is>
          <t>2019-03-15</t>
        </is>
      </c>
      <c r="B3210" s="240">
        <f>IFERROR(1/P3210-1,B3209)</f>
        <v/>
      </c>
      <c r="C3210" s="240">
        <f>$C$3</f>
        <v/>
      </c>
      <c r="D3210" s="240">
        <f>$D$3</f>
        <v/>
      </c>
      <c r="E3210" s="240">
        <f>$E$3</f>
        <v/>
      </c>
      <c r="F3210" s="241" t="n">
        <v>10.27</v>
      </c>
      <c r="G3210" s="242" t="n">
        <v>18118761</v>
      </c>
      <c r="H3210" s="241" t="n">
        <v>-1.06</v>
      </c>
      <c r="I3210" s="241" t="n">
        <v>6.54</v>
      </c>
      <c r="J3210" s="241" t="n">
        <v>30.16</v>
      </c>
      <c r="K3210" s="241" t="n">
        <v>5.57</v>
      </c>
      <c r="L3210" s="242" t="n">
        <v>1399600</v>
      </c>
      <c r="M3210" s="241" t="n">
        <v>0.31</v>
      </c>
      <c r="N3210" s="241" t="n">
        <v>4.33</v>
      </c>
      <c r="O3210" s="241" t="n">
        <v>40.91</v>
      </c>
      <c r="P3210" s="241" t="n">
        <v>1.84</v>
      </c>
    </row>
    <row r="3211">
      <c r="A3211" s="282" t="inlineStr">
        <is>
          <t>2019-03-18</t>
        </is>
      </c>
      <c r="B3211" s="240">
        <f>IFERROR(1/P3211-1,B3210)</f>
        <v/>
      </c>
      <c r="C3211" s="240">
        <f>$C$3</f>
        <v/>
      </c>
      <c r="D3211" s="240">
        <f>$D$3</f>
        <v/>
      </c>
      <c r="E3211" s="240">
        <f>$E$3</f>
        <v/>
      </c>
      <c r="F3211" s="241" t="n">
        <v>10.68</v>
      </c>
      <c r="G3211" s="242" t="n">
        <v>21973119</v>
      </c>
      <c r="H3211" s="241" t="n">
        <v>3.99</v>
      </c>
      <c r="I3211" s="241" t="n">
        <v>12.66</v>
      </c>
      <c r="J3211" s="241" t="n">
        <v>35.36</v>
      </c>
      <c r="K3211" s="241" t="n">
        <v>5.73</v>
      </c>
      <c r="L3211" s="242" t="n">
        <v>2206200</v>
      </c>
      <c r="M3211" s="241" t="n">
        <v>2.92</v>
      </c>
      <c r="N3211" s="241" t="n">
        <v>9.48</v>
      </c>
      <c r="O3211" s="241" t="n">
        <v>45.02</v>
      </c>
      <c r="P3211" s="241" t="n">
        <v>1.87</v>
      </c>
    </row>
    <row r="3212">
      <c r="A3212" s="282" t="inlineStr">
        <is>
          <t>2019-03-19</t>
        </is>
      </c>
      <c r="B3212" s="240">
        <f>IFERROR(1/P3212-1,B3211)</f>
        <v/>
      </c>
      <c r="C3212" s="240">
        <f>$C$3</f>
        <v/>
      </c>
      <c r="D3212" s="240">
        <f>$D$3</f>
        <v/>
      </c>
      <c r="E3212" s="240">
        <f>$E$3</f>
        <v/>
      </c>
      <c r="F3212" s="241" t="n">
        <v>11</v>
      </c>
      <c r="G3212" s="242" t="n">
        <v>53188039</v>
      </c>
      <c r="H3212" s="241" t="n">
        <v>3</v>
      </c>
      <c r="I3212" s="241" t="n">
        <v>12.94</v>
      </c>
      <c r="J3212" s="241" t="n">
        <v>39.42</v>
      </c>
      <c r="K3212" s="241" t="n">
        <v>5.87</v>
      </c>
      <c r="L3212" s="242" t="n">
        <v>3649200</v>
      </c>
      <c r="M3212" s="241" t="n">
        <v>2.54</v>
      </c>
      <c r="N3212" s="241" t="n">
        <v>11.53</v>
      </c>
      <c r="O3212" s="241" t="n">
        <v>48.7</v>
      </c>
      <c r="P3212" s="241" t="n">
        <v>1.87</v>
      </c>
    </row>
    <row r="3213">
      <c r="A3213" s="282" t="inlineStr">
        <is>
          <t>2019-03-20</t>
        </is>
      </c>
      <c r="B3213" s="240">
        <f>IFERROR(1/P3213-1,B3212)</f>
        <v/>
      </c>
      <c r="C3213" s="240">
        <f>$C$3</f>
        <v/>
      </c>
      <c r="D3213" s="240">
        <f>$D$3</f>
        <v/>
      </c>
      <c r="E3213" s="240">
        <f>$E$3</f>
        <v/>
      </c>
      <c r="F3213" s="241" t="n">
        <v>10.81</v>
      </c>
      <c r="G3213" s="242" t="n">
        <v>24014486</v>
      </c>
      <c r="H3213" s="241" t="n">
        <v>-1.73</v>
      </c>
      <c r="I3213" s="241" t="n">
        <v>13.67</v>
      </c>
      <c r="J3213" s="241" t="n">
        <v>37.01</v>
      </c>
      <c r="K3213" s="241" t="n">
        <v>5.79</v>
      </c>
      <c r="L3213" s="242" t="n">
        <v>1934800</v>
      </c>
      <c r="M3213" s="241" t="n">
        <v>-1.46</v>
      </c>
      <c r="N3213" s="241" t="n">
        <v>13.78</v>
      </c>
      <c r="O3213" s="241" t="n">
        <v>46.54</v>
      </c>
      <c r="P3213" s="241" t="n">
        <v>1.87</v>
      </c>
    </row>
    <row r="3214">
      <c r="A3214" s="282" t="inlineStr">
        <is>
          <t>2019-03-21</t>
        </is>
      </c>
      <c r="B3214" s="240">
        <f>IFERROR(1/P3214-1,B3213)</f>
        <v/>
      </c>
      <c r="C3214" s="240">
        <f>$C$3</f>
        <v/>
      </c>
      <c r="D3214" s="240">
        <f>$D$3</f>
        <v/>
      </c>
      <c r="E3214" s="240">
        <f>$E$3</f>
        <v/>
      </c>
      <c r="F3214" s="241" t="n">
        <v>10.88</v>
      </c>
      <c r="G3214" s="242" t="n">
        <v>23466232</v>
      </c>
      <c r="H3214" s="241" t="n">
        <v>0.65</v>
      </c>
      <c r="I3214" s="241" t="n">
        <v>16.12</v>
      </c>
      <c r="J3214" s="241" t="n">
        <v>37.9</v>
      </c>
      <c r="K3214" s="241" t="n">
        <v>5.75</v>
      </c>
      <c r="L3214" s="242" t="n">
        <v>1257600</v>
      </c>
      <c r="M3214" s="241" t="n">
        <v>-0.3</v>
      </c>
      <c r="N3214" s="241" t="n">
        <v>14.21</v>
      </c>
      <c r="O3214" s="241" t="n">
        <v>46.1</v>
      </c>
      <c r="P3214" s="241" t="n">
        <v>1.89</v>
      </c>
    </row>
    <row r="3215">
      <c r="A3215" s="282" t="inlineStr">
        <is>
          <t>2019-03-22</t>
        </is>
      </c>
      <c r="B3215" s="240">
        <f>IFERROR(1/P3215-1,B3214)</f>
        <v/>
      </c>
      <c r="C3215" s="240">
        <f>$C$3</f>
        <v/>
      </c>
      <c r="D3215" s="240">
        <f>$D$3</f>
        <v/>
      </c>
      <c r="E3215" s="240">
        <f>$E$3</f>
        <v/>
      </c>
      <c r="F3215" s="241" t="n">
        <v>10.83</v>
      </c>
      <c r="G3215" s="242" t="n">
        <v>19658317</v>
      </c>
      <c r="H3215" s="241" t="n">
        <v>-0.46</v>
      </c>
      <c r="I3215" s="241" t="n">
        <v>17.33</v>
      </c>
      <c r="J3215" s="241" t="n">
        <v>37.26</v>
      </c>
      <c r="K3215" s="241" t="n">
        <v>5.7</v>
      </c>
      <c r="L3215" s="242" t="n">
        <v>2133698</v>
      </c>
      <c r="M3215" s="241" t="n">
        <v>-1.04</v>
      </c>
      <c r="N3215" s="241" t="n">
        <v>10.96</v>
      </c>
      <c r="O3215" s="241" t="n">
        <v>44.59</v>
      </c>
      <c r="P3215" s="241" t="n">
        <v>1.9</v>
      </c>
    </row>
    <row r="3216">
      <c r="A3216" s="282" t="inlineStr">
        <is>
          <t>2019-03-25</t>
        </is>
      </c>
      <c r="B3216" s="240">
        <f>IFERROR(1/P3216-1,B3215)</f>
        <v/>
      </c>
      <c r="C3216" s="240">
        <f>$C$3</f>
        <v/>
      </c>
      <c r="D3216" s="240">
        <f>$D$3</f>
        <v/>
      </c>
      <c r="E3216" s="240">
        <f>$E$3</f>
        <v/>
      </c>
      <c r="F3216" s="241" t="n">
        <v>10.56</v>
      </c>
      <c r="G3216" s="242" t="n">
        <v>17903030</v>
      </c>
      <c r="H3216" s="241" t="n">
        <v>-2.49</v>
      </c>
      <c r="I3216" s="241" t="n">
        <v>12.58</v>
      </c>
      <c r="J3216" s="241" t="n">
        <v>33.84</v>
      </c>
      <c r="K3216" s="241" t="n">
        <v>5.56</v>
      </c>
      <c r="L3216" s="242" t="n">
        <v>1248000</v>
      </c>
      <c r="M3216" s="241" t="n">
        <v>-2.69</v>
      </c>
      <c r="N3216" s="241" t="n">
        <v>6.04</v>
      </c>
      <c r="O3216" s="241" t="n">
        <v>40.69</v>
      </c>
      <c r="P3216" s="241" t="n">
        <v>1.9</v>
      </c>
    </row>
    <row r="3217">
      <c r="A3217" s="282" t="inlineStr">
        <is>
          <t>2019-03-26</t>
        </is>
      </c>
      <c r="B3217" s="240">
        <f>IFERROR(1/P3217-1,B3216)</f>
        <v/>
      </c>
      <c r="C3217" s="240">
        <f>$C$3</f>
        <v/>
      </c>
      <c r="D3217" s="240">
        <f>$D$3</f>
        <v/>
      </c>
      <c r="E3217" s="240">
        <f>$E$3</f>
        <v/>
      </c>
      <c r="F3217" s="241" t="n">
        <v>10.3</v>
      </c>
      <c r="G3217" s="242" t="n">
        <v>18947653</v>
      </c>
      <c r="H3217" s="241" t="n">
        <v>-2.46</v>
      </c>
      <c r="I3217" s="241" t="n">
        <v>4.99</v>
      </c>
      <c r="J3217" s="241" t="n">
        <v>30.55</v>
      </c>
      <c r="K3217" s="241" t="n">
        <v>5.43</v>
      </c>
      <c r="L3217" s="242" t="n">
        <v>1280800</v>
      </c>
      <c r="M3217" s="241" t="n">
        <v>-2.15</v>
      </c>
      <c r="N3217" s="241" t="n">
        <v>3.08</v>
      </c>
      <c r="O3217" s="241" t="n">
        <v>37.66</v>
      </c>
      <c r="P3217" s="241" t="n">
        <v>1.9</v>
      </c>
    </row>
    <row r="3218">
      <c r="A3218" s="282" t="inlineStr">
        <is>
          <t>2019-03-27</t>
        </is>
      </c>
      <c r="B3218" s="240">
        <f>IFERROR(1/P3218-1,B3217)</f>
        <v/>
      </c>
      <c r="C3218" s="240">
        <f>$C$3</f>
        <v/>
      </c>
      <c r="D3218" s="240">
        <f>$D$3</f>
        <v/>
      </c>
      <c r="E3218" s="240">
        <f>$E$3</f>
        <v/>
      </c>
      <c r="F3218" s="241" t="n">
        <v>10.46</v>
      </c>
      <c r="G3218" s="242" t="n">
        <v>13388809</v>
      </c>
      <c r="H3218" s="241" t="n">
        <v>1.55</v>
      </c>
      <c r="I3218" s="241" t="n">
        <v>5.34</v>
      </c>
      <c r="J3218" s="241" t="n">
        <v>32.57</v>
      </c>
      <c r="K3218" s="241" t="n">
        <v>5.47</v>
      </c>
      <c r="L3218" s="242" t="n">
        <v>689200</v>
      </c>
      <c r="M3218" s="241" t="n">
        <v>0.47</v>
      </c>
      <c r="N3218" s="241" t="n">
        <v>2.24</v>
      </c>
      <c r="O3218" s="241" t="n">
        <v>38.31</v>
      </c>
      <c r="P3218" s="241" t="n">
        <v>1.91</v>
      </c>
    </row>
    <row r="3219">
      <c r="A3219" s="282" t="inlineStr">
        <is>
          <t>2019-03-28</t>
        </is>
      </c>
      <c r="B3219" s="240">
        <f>IFERROR(1/P3219-1,B3218)</f>
        <v/>
      </c>
      <c r="C3219" s="240">
        <f>$C$3</f>
        <v/>
      </c>
      <c r="D3219" s="240">
        <f>$D$3</f>
        <v/>
      </c>
      <c r="E3219" s="240">
        <f>$E$3</f>
        <v/>
      </c>
      <c r="F3219" s="241" t="n">
        <v>10.21</v>
      </c>
      <c r="G3219" s="242" t="n">
        <v>12364125</v>
      </c>
      <c r="H3219" s="241" t="n">
        <v>-2.39</v>
      </c>
      <c r="I3219" s="241" t="n">
        <v>4.83</v>
      </c>
      <c r="J3219" s="241" t="n">
        <v>29.4</v>
      </c>
      <c r="K3219" s="241" t="n">
        <v>5.35</v>
      </c>
      <c r="L3219" s="242" t="n">
        <v>1282000</v>
      </c>
      <c r="M3219" s="241" t="n">
        <v>-2.35</v>
      </c>
      <c r="N3219" s="241" t="n">
        <v>2.8</v>
      </c>
      <c r="O3219" s="241" t="n">
        <v>35.06</v>
      </c>
      <c r="P3219" s="241" t="n">
        <v>1.91</v>
      </c>
    </row>
    <row r="3220">
      <c r="A3220" s="282" t="inlineStr">
        <is>
          <t>2019-03-29</t>
        </is>
      </c>
      <c r="B3220" s="240">
        <f>IFERROR(1/P3220-1,B3219)</f>
        <v/>
      </c>
      <c r="C3220" s="240">
        <f>$C$3</f>
        <v/>
      </c>
      <c r="D3220" s="240">
        <f>$D$3</f>
        <v/>
      </c>
      <c r="E3220" s="240">
        <f>$E$3</f>
        <v/>
      </c>
      <c r="F3220" s="241" t="n">
        <v>10.61</v>
      </c>
      <c r="G3220" s="242" t="n">
        <v>14306648</v>
      </c>
      <c r="H3220" s="241" t="n">
        <v>3.92</v>
      </c>
      <c r="I3220" s="241" t="n">
        <v>8.93</v>
      </c>
      <c r="J3220" s="241" t="n">
        <v>34.47</v>
      </c>
      <c r="K3220" s="241" t="n">
        <v>5.46</v>
      </c>
      <c r="L3220" s="242" t="n">
        <v>1272230</v>
      </c>
      <c r="M3220" s="241" t="n">
        <v>2.08</v>
      </c>
      <c r="N3220" s="241" t="n">
        <v>4.94</v>
      </c>
      <c r="O3220" s="241" t="n">
        <v>37.88</v>
      </c>
      <c r="P3220" s="241" t="n">
        <v>1.94</v>
      </c>
    </row>
    <row r="3221">
      <c r="A3221" s="282" t="inlineStr">
        <is>
          <t>2019-04-01</t>
        </is>
      </c>
      <c r="B3221" s="240">
        <f>IFERROR(1/P3221-1,B3220)</f>
        <v/>
      </c>
      <c r="C3221" s="240">
        <f>$C$3</f>
        <v/>
      </c>
      <c r="D3221" s="240">
        <f>$D$3</f>
        <v/>
      </c>
      <c r="E3221" s="240">
        <f>$E$3</f>
        <v/>
      </c>
      <c r="F3221" s="241" t="n">
        <v>11.08</v>
      </c>
      <c r="G3221" s="242" t="n">
        <v>34187619</v>
      </c>
      <c r="H3221" s="241" t="n">
        <v>4.43</v>
      </c>
      <c r="I3221" s="241" t="n">
        <v>12.37</v>
      </c>
      <c r="J3221" s="241" t="n">
        <v>40.43</v>
      </c>
      <c r="K3221" s="241" t="n">
        <v>5.74</v>
      </c>
      <c r="L3221" s="242" t="n">
        <v>3151200</v>
      </c>
      <c r="M3221" s="241" t="n">
        <v>5.18</v>
      </c>
      <c r="N3221" s="241" t="n">
        <v>10.2</v>
      </c>
      <c r="O3221" s="241" t="n">
        <v>45.02</v>
      </c>
      <c r="P3221" s="241" t="n">
        <v>1.93</v>
      </c>
    </row>
    <row r="3222">
      <c r="A3222" s="282" t="inlineStr">
        <is>
          <t>2019-04-02</t>
        </is>
      </c>
      <c r="B3222" s="240">
        <f>IFERROR(1/P3222-1,B3221)</f>
        <v/>
      </c>
      <c r="C3222" s="240">
        <f>$C$3</f>
        <v/>
      </c>
      <c r="D3222" s="240">
        <f>$D$3</f>
        <v/>
      </c>
      <c r="E3222" s="240">
        <f>$E$3</f>
        <v/>
      </c>
      <c r="F3222" s="241" t="n">
        <v>10.89</v>
      </c>
      <c r="G3222" s="242" t="n">
        <v>31983633</v>
      </c>
      <c r="H3222" s="241" t="n">
        <v>-1.71</v>
      </c>
      <c r="I3222" s="241" t="n">
        <v>10.9</v>
      </c>
      <c r="J3222" s="241" t="n">
        <v>38.02</v>
      </c>
      <c r="K3222" s="241" t="n">
        <v>5.81</v>
      </c>
      <c r="L3222" s="242" t="n">
        <v>3680000</v>
      </c>
      <c r="M3222" s="241" t="n">
        <v>1.34</v>
      </c>
      <c r="N3222" s="241" t="n">
        <v>10.59</v>
      </c>
      <c r="O3222" s="241" t="n">
        <v>46.97</v>
      </c>
      <c r="P3222" s="241" t="n">
        <v>1.87</v>
      </c>
    </row>
    <row r="3223">
      <c r="A3223" s="282" t="inlineStr">
        <is>
          <t>2019-04-03</t>
        </is>
      </c>
      <c r="B3223" s="240">
        <f>IFERROR(1/P3223-1,B3222)</f>
        <v/>
      </c>
      <c r="C3223" s="240">
        <f>$C$3</f>
        <v/>
      </c>
      <c r="D3223" s="240">
        <f>$D$3</f>
        <v/>
      </c>
      <c r="E3223" s="240">
        <f>$E$3</f>
        <v/>
      </c>
      <c r="F3223" s="241" t="n">
        <v>10.85</v>
      </c>
      <c r="G3223" s="242" t="n">
        <v>25287087</v>
      </c>
      <c r="H3223" s="241" t="n">
        <v>-0.37</v>
      </c>
      <c r="I3223" s="241" t="n">
        <v>10.49</v>
      </c>
      <c r="J3223" s="241" t="n">
        <v>37.52</v>
      </c>
      <c r="K3223" s="241" t="n">
        <v>5.74</v>
      </c>
      <c r="L3223" s="242" t="n">
        <v>1437000</v>
      </c>
      <c r="M3223" s="241" t="n">
        <v>-1.33</v>
      </c>
      <c r="N3223" s="241" t="n">
        <v>9.119999999999999</v>
      </c>
      <c r="O3223" s="241" t="n">
        <v>45.02</v>
      </c>
      <c r="P3223" s="241" t="n">
        <v>1.89</v>
      </c>
    </row>
    <row r="3224">
      <c r="A3224" s="282" t="inlineStr">
        <is>
          <t>2019-04-04</t>
        </is>
      </c>
      <c r="B3224" s="240">
        <f>IFERROR(1/P3224-1,B3223)</f>
        <v/>
      </c>
      <c r="C3224" s="240">
        <f>$C$3</f>
        <v/>
      </c>
      <c r="D3224" s="240">
        <f>$D$3</f>
        <v/>
      </c>
      <c r="E3224" s="240">
        <f>$E$3</f>
        <v/>
      </c>
      <c r="F3224" s="241" t="n">
        <v>10.82</v>
      </c>
      <c r="G3224" s="242" t="n">
        <v>23179978</v>
      </c>
      <c r="H3224" s="241" t="n">
        <v>-0.28</v>
      </c>
      <c r="I3224" s="241" t="n">
        <v>10.18</v>
      </c>
      <c r="J3224" s="241" t="n">
        <v>37.14</v>
      </c>
      <c r="K3224" s="241" t="n">
        <v>5.57</v>
      </c>
      <c r="L3224" s="242" t="n">
        <v>1369000</v>
      </c>
      <c r="M3224" s="241" t="n">
        <v>-2.69</v>
      </c>
      <c r="N3224" s="241" t="n">
        <v>6.19</v>
      </c>
      <c r="O3224" s="241" t="n">
        <v>41.13</v>
      </c>
      <c r="P3224" s="241" t="n">
        <v>1.94</v>
      </c>
    </row>
    <row r="3225">
      <c r="A3225" s="282" t="inlineStr">
        <is>
          <t>2019-04-08</t>
        </is>
      </c>
      <c r="B3225" s="240">
        <f>IFERROR(1/P3225-1,B3224)</f>
        <v/>
      </c>
      <c r="C3225" s="240">
        <f>$C$3</f>
        <v/>
      </c>
      <c r="D3225" s="240">
        <f>$D$3</f>
        <v/>
      </c>
      <c r="E3225" s="240">
        <f>$E$3</f>
        <v/>
      </c>
      <c r="F3225" s="241" t="n">
        <v>10.62</v>
      </c>
      <c r="G3225" s="242" t="n">
        <v>29420806</v>
      </c>
      <c r="H3225" s="241" t="n">
        <v>-1.85</v>
      </c>
      <c r="I3225" s="241" t="n">
        <v>1.53</v>
      </c>
      <c r="J3225" s="241" t="n">
        <v>34.6</v>
      </c>
      <c r="K3225" s="241" t="n">
        <v>5.39</v>
      </c>
      <c r="L3225" s="242" t="n">
        <v>2638350</v>
      </c>
      <c r="M3225" s="241" t="n">
        <v>-3.37</v>
      </c>
      <c r="N3225" s="241" t="n">
        <v>-3.82</v>
      </c>
      <c r="O3225" s="241" t="n">
        <v>36.36</v>
      </c>
      <c r="P3225" s="241" t="n">
        <v>1.97</v>
      </c>
    </row>
    <row r="3226">
      <c r="A3226" s="282" t="inlineStr">
        <is>
          <t>2019-04-09</t>
        </is>
      </c>
      <c r="B3226" s="240">
        <f>IFERROR(1/P3226-1,B3225)</f>
        <v/>
      </c>
      <c r="C3226" s="240">
        <f>$C$3</f>
        <v/>
      </c>
      <c r="D3226" s="240">
        <f>$D$3</f>
        <v/>
      </c>
      <c r="E3226" s="240">
        <f>$E$3</f>
        <v/>
      </c>
      <c r="F3226" s="241" t="n">
        <v>10.68</v>
      </c>
      <c r="G3226" s="242" t="n">
        <v>25426383</v>
      </c>
      <c r="H3226" s="241" t="n">
        <v>0.5600000000000001</v>
      </c>
      <c r="I3226" s="241" t="n">
        <v>8.539999999999999</v>
      </c>
      <c r="J3226" s="241" t="n">
        <v>35.36</v>
      </c>
      <c r="K3226" s="241" t="n">
        <v>5.38</v>
      </c>
      <c r="L3226" s="242" t="n">
        <v>1379400</v>
      </c>
      <c r="M3226" s="241" t="n">
        <v>-0.16</v>
      </c>
      <c r="N3226" s="241" t="n">
        <v>2.44</v>
      </c>
      <c r="O3226" s="241" t="n">
        <v>36.15</v>
      </c>
      <c r="P3226" s="241" t="n">
        <v>1.98</v>
      </c>
    </row>
    <row r="3227">
      <c r="A3227" s="282" t="inlineStr">
        <is>
          <t>2019-04-10</t>
        </is>
      </c>
      <c r="B3227" s="240">
        <f>IFERROR(1/P3227-1,B3226)</f>
        <v/>
      </c>
      <c r="C3227" s="240">
        <f>$C$3</f>
        <v/>
      </c>
      <c r="D3227" s="240">
        <f>$D$3</f>
        <v/>
      </c>
      <c r="E3227" s="240">
        <f>$E$3</f>
        <v/>
      </c>
      <c r="F3227" s="241" t="n">
        <v>11.75</v>
      </c>
      <c r="G3227" s="242" t="n">
        <v>65426020</v>
      </c>
      <c r="H3227" s="241" t="n">
        <v>10.02</v>
      </c>
      <c r="I3227" s="241" t="n">
        <v>19.41</v>
      </c>
      <c r="J3227" s="241" t="n">
        <v>48.92</v>
      </c>
      <c r="K3227" s="241" t="n">
        <v>6.08</v>
      </c>
      <c r="L3227" s="242" t="n">
        <v>9973200</v>
      </c>
      <c r="M3227" s="241" t="n">
        <v>12.88</v>
      </c>
      <c r="N3227" s="241" t="n">
        <v>15.64</v>
      </c>
      <c r="O3227" s="241" t="n">
        <v>53.68</v>
      </c>
      <c r="P3227" s="241" t="n">
        <v>1.93</v>
      </c>
    </row>
    <row r="3228">
      <c r="A3228" s="282" t="inlineStr">
        <is>
          <t>2019-04-11</t>
        </is>
      </c>
      <c r="B3228" s="240">
        <f>IFERROR(1/P3228-1,B3227)</f>
        <v/>
      </c>
      <c r="C3228" s="240">
        <f>$C$3</f>
        <v/>
      </c>
      <c r="D3228" s="240">
        <f>$D$3</f>
        <v/>
      </c>
      <c r="E3228" s="240">
        <f>$E$3</f>
        <v/>
      </c>
      <c r="F3228" s="241" t="n">
        <v>12.93</v>
      </c>
      <c r="G3228" s="242" t="n">
        <v>104536305</v>
      </c>
      <c r="H3228" s="241" t="n">
        <v>10.04</v>
      </c>
      <c r="I3228" s="241" t="n">
        <v>31.4</v>
      </c>
      <c r="J3228" s="241" t="n">
        <v>63.88</v>
      </c>
      <c r="K3228" s="241" t="n">
        <v>6.1</v>
      </c>
      <c r="L3228" s="242" t="n">
        <v>19590336</v>
      </c>
      <c r="M3228" s="241" t="n">
        <v>0.42</v>
      </c>
      <c r="N3228" s="241" t="n">
        <v>16.12</v>
      </c>
      <c r="O3228" s="241" t="n">
        <v>54.33</v>
      </c>
      <c r="P3228" s="241" t="n">
        <v>2.12</v>
      </c>
    </row>
    <row r="3229">
      <c r="A3229" s="282" t="inlineStr">
        <is>
          <t>2019-04-12</t>
        </is>
      </c>
      <c r="B3229" s="240">
        <f>IFERROR(1/P3229-1,B3228)</f>
        <v/>
      </c>
      <c r="C3229" s="240">
        <f>$C$3</f>
        <v/>
      </c>
      <c r="D3229" s="240">
        <f>$D$3</f>
        <v/>
      </c>
      <c r="E3229" s="240">
        <f>$E$3</f>
        <v/>
      </c>
      <c r="F3229" s="241" t="n">
        <v>14.22</v>
      </c>
      <c r="G3229" s="242" t="n">
        <v>98884885</v>
      </c>
      <c r="H3229" s="241" t="n">
        <v>9.98</v>
      </c>
      <c r="I3229" s="241" t="n">
        <v>34.15</v>
      </c>
      <c r="J3229" s="241" t="n">
        <v>80.23</v>
      </c>
      <c r="K3229" s="241" t="n">
        <v>6.39</v>
      </c>
      <c r="L3229" s="242" t="n">
        <v>14528000</v>
      </c>
      <c r="M3229" s="241" t="n">
        <v>4.63</v>
      </c>
      <c r="N3229" s="241" t="n">
        <v>15.48</v>
      </c>
      <c r="O3229" s="241" t="n">
        <v>61.47</v>
      </c>
      <c r="P3229" s="241" t="n">
        <v>2.22</v>
      </c>
    </row>
    <row r="3230">
      <c r="A3230" s="282" t="inlineStr">
        <is>
          <t>2019-04-15</t>
        </is>
      </c>
      <c r="B3230" s="240">
        <f>IFERROR(1/P3230-1,B3229)</f>
        <v/>
      </c>
      <c r="C3230" s="240">
        <f>$C$3</f>
        <v/>
      </c>
      <c r="D3230" s="240">
        <f>$D$3</f>
        <v/>
      </c>
      <c r="E3230" s="240">
        <f>$E$3</f>
        <v/>
      </c>
      <c r="F3230" s="241" t="n">
        <v>13.86</v>
      </c>
      <c r="G3230" s="242" t="n">
        <v>264709194</v>
      </c>
      <c r="H3230" s="241" t="n">
        <v>-2.53</v>
      </c>
      <c r="I3230" s="241" t="n">
        <v>33.53</v>
      </c>
      <c r="J3230" s="241" t="n">
        <v>75.67</v>
      </c>
      <c r="K3230" s="241" t="n">
        <v>5.87</v>
      </c>
      <c r="L3230" s="242" t="n">
        <v>9294200</v>
      </c>
      <c r="M3230" s="241" t="n">
        <v>-8.039999999999999</v>
      </c>
      <c r="N3230" s="241" t="n">
        <v>5.7</v>
      </c>
      <c r="O3230" s="241" t="n">
        <v>48.48</v>
      </c>
      <c r="P3230" s="241" t="n">
        <v>2.36</v>
      </c>
    </row>
    <row r="3231">
      <c r="A3231" s="282" t="inlineStr">
        <is>
          <t>2019-04-16</t>
        </is>
      </c>
      <c r="B3231" s="240">
        <f>IFERROR(1/P3231-1,B3230)</f>
        <v/>
      </c>
      <c r="C3231" s="240">
        <f>$C$3</f>
        <v/>
      </c>
      <c r="D3231" s="240">
        <f>$D$3</f>
        <v/>
      </c>
      <c r="E3231" s="240">
        <f>$E$3</f>
        <v/>
      </c>
      <c r="F3231" s="241" t="n">
        <v>14.26</v>
      </c>
      <c r="G3231" s="242" t="n">
        <v>193752649</v>
      </c>
      <c r="H3231" s="241" t="n">
        <v>2.89</v>
      </c>
      <c r="I3231" s="241" t="n">
        <v>38.85</v>
      </c>
      <c r="J3231" s="241" t="n">
        <v>80.73999999999999</v>
      </c>
      <c r="K3231" s="241" t="n">
        <v>5.9</v>
      </c>
      <c r="L3231" s="242" t="n">
        <v>4024836</v>
      </c>
      <c r="M3231" s="241" t="n">
        <v>0.44</v>
      </c>
      <c r="N3231" s="241" t="n">
        <v>5.84</v>
      </c>
      <c r="O3231" s="241" t="n">
        <v>49.13</v>
      </c>
      <c r="P3231" s="241" t="n">
        <v>2.42</v>
      </c>
    </row>
    <row r="3232">
      <c r="A3232" s="282" t="inlineStr">
        <is>
          <t>2019-04-17</t>
        </is>
      </c>
      <c r="B3232" s="240">
        <f>IFERROR(1/P3232-1,B3231)</f>
        <v/>
      </c>
      <c r="C3232" s="240">
        <f>$C$3</f>
        <v/>
      </c>
      <c r="D3232" s="240">
        <f>$D$3</f>
        <v/>
      </c>
      <c r="E3232" s="240">
        <f>$E$3</f>
        <v/>
      </c>
      <c r="F3232" s="241" t="n">
        <v>15.69</v>
      </c>
      <c r="G3232" s="242" t="n">
        <v>259008942</v>
      </c>
      <c r="H3232" s="241" t="n">
        <v>10.03</v>
      </c>
      <c r="I3232" s="241" t="n">
        <v>52.78</v>
      </c>
      <c r="J3232" s="241" t="n">
        <v>98.86</v>
      </c>
      <c r="K3232" s="241" t="n">
        <v>6.03</v>
      </c>
      <c r="L3232" s="242" t="n">
        <v>7721722</v>
      </c>
      <c r="M3232" s="241" t="n">
        <v>2.32</v>
      </c>
      <c r="N3232" s="241" t="n">
        <v>8.289999999999999</v>
      </c>
      <c r="O3232" s="241" t="n">
        <v>52.6</v>
      </c>
      <c r="P3232" s="241" t="n">
        <v>2.6</v>
      </c>
    </row>
    <row r="3233">
      <c r="A3233" s="282" t="inlineStr">
        <is>
          <t>2019-04-18</t>
        </is>
      </c>
      <c r="B3233" s="240">
        <f>IFERROR(1/P3233-1,B3232)</f>
        <v/>
      </c>
      <c r="C3233" s="240">
        <f>$C$3</f>
        <v/>
      </c>
      <c r="D3233" s="240">
        <f>$D$3</f>
        <v/>
      </c>
      <c r="E3233" s="240">
        <f>$E$3</f>
        <v/>
      </c>
      <c r="F3233" s="241" t="n">
        <v>14.3</v>
      </c>
      <c r="G3233" s="242" t="n">
        <v>229118866</v>
      </c>
      <c r="H3233" s="241" t="n">
        <v>-8.859999999999999</v>
      </c>
      <c r="I3233" s="241" t="n">
        <v>39.24</v>
      </c>
      <c r="J3233" s="241" t="n">
        <v>81.23999999999999</v>
      </c>
      <c r="K3233" s="241" t="n">
        <v>5.74</v>
      </c>
      <c r="L3233" s="242" t="n">
        <v>3910200</v>
      </c>
      <c r="M3233" s="241" t="n">
        <v>-4.54</v>
      </c>
      <c r="N3233" s="241" t="n">
        <v>3.38</v>
      </c>
      <c r="O3233" s="241" t="n">
        <v>45.67</v>
      </c>
      <c r="P3233" s="241" t="n">
        <v>2.49</v>
      </c>
    </row>
    <row r="3234">
      <c r="A3234" s="282" t="inlineStr">
        <is>
          <t>2019-04-19</t>
        </is>
      </c>
      <c r="B3234" s="240">
        <f>IFERROR(1/P3234-1,B3233)</f>
        <v/>
      </c>
      <c r="C3234" s="240">
        <f>$C$3</f>
        <v/>
      </c>
      <c r="D3234" s="240">
        <f>$D$3</f>
        <v/>
      </c>
      <c r="E3234" s="240">
        <f>$E$3</f>
        <v/>
      </c>
      <c r="F3234" s="241" t="n">
        <v>13.95</v>
      </c>
      <c r="G3234" s="242" t="n">
        <v>137669274</v>
      </c>
      <c r="H3234" s="241" t="n">
        <v>-2.45</v>
      </c>
      <c r="I3234" s="241" t="n">
        <v>30.62</v>
      </c>
      <c r="J3234" s="241" t="n">
        <v>76.81</v>
      </c>
      <c r="K3234" s="239" t="inlineStr">
        <is>
          <t>--</t>
        </is>
      </c>
      <c r="L3234" s="239" t="inlineStr">
        <is>
          <t>--</t>
        </is>
      </c>
      <c r="M3234" s="239" t="inlineStr">
        <is>
          <t>--</t>
        </is>
      </c>
      <c r="N3234" s="239" t="inlineStr">
        <is>
          <t>--</t>
        </is>
      </c>
      <c r="O3234" s="239" t="inlineStr">
        <is>
          <t>--</t>
        </is>
      </c>
      <c r="P3234" s="239" t="inlineStr">
        <is>
          <t>--</t>
        </is>
      </c>
    </row>
    <row r="3235">
      <c r="A3235" s="282" t="inlineStr">
        <is>
          <t>2019-04-22</t>
        </is>
      </c>
      <c r="B3235" s="240">
        <f>IFERROR(1/P3235-1,B3234)</f>
        <v/>
      </c>
      <c r="C3235" s="240">
        <f>$C$3</f>
        <v/>
      </c>
      <c r="D3235" s="240">
        <f>$D$3</f>
        <v/>
      </c>
      <c r="E3235" s="240">
        <f>$E$3</f>
        <v/>
      </c>
      <c r="F3235" s="241" t="n">
        <v>14.26</v>
      </c>
      <c r="G3235" s="242" t="n">
        <v>119307846</v>
      </c>
      <c r="H3235" s="241" t="n">
        <v>2.22</v>
      </c>
      <c r="I3235" s="241" t="n">
        <v>31.07</v>
      </c>
      <c r="J3235" s="241" t="n">
        <v>80.73999999999999</v>
      </c>
      <c r="K3235" s="239" t="inlineStr">
        <is>
          <t>--</t>
        </is>
      </c>
      <c r="L3235" s="239" t="inlineStr">
        <is>
          <t>--</t>
        </is>
      </c>
      <c r="M3235" s="239" t="inlineStr">
        <is>
          <t>--</t>
        </is>
      </c>
      <c r="N3235" s="239" t="inlineStr">
        <is>
          <t>--</t>
        </is>
      </c>
      <c r="O3235" s="239" t="inlineStr">
        <is>
          <t>--</t>
        </is>
      </c>
      <c r="P3235" s="239" t="inlineStr">
        <is>
          <t>--</t>
        </is>
      </c>
    </row>
    <row r="3236">
      <c r="A3236" s="282" t="inlineStr">
        <is>
          <t>2019-04-23</t>
        </is>
      </c>
      <c r="B3236" s="240">
        <f>IFERROR(1/P3236-1,B3235)</f>
        <v/>
      </c>
      <c r="C3236" s="240">
        <f>$C$3</f>
        <v/>
      </c>
      <c r="D3236" s="240">
        <f>$D$3</f>
        <v/>
      </c>
      <c r="E3236" s="240">
        <f>$E$3</f>
        <v/>
      </c>
      <c r="F3236" s="241" t="n">
        <v>13.09</v>
      </c>
      <c r="G3236" s="242" t="n">
        <v>114113939</v>
      </c>
      <c r="H3236" s="241" t="n">
        <v>-8.199999999999999</v>
      </c>
      <c r="I3236" s="241" t="n">
        <v>20.87</v>
      </c>
      <c r="J3236" s="241" t="n">
        <v>65.91</v>
      </c>
      <c r="K3236" s="241" t="n">
        <v>5.44</v>
      </c>
      <c r="L3236" s="242" t="n">
        <v>3355918</v>
      </c>
      <c r="M3236" s="241" t="n">
        <v>-5.5</v>
      </c>
      <c r="N3236" s="241" t="n">
        <v>-4.79</v>
      </c>
      <c r="O3236" s="241" t="n">
        <v>37.66</v>
      </c>
      <c r="P3236" s="241" t="n">
        <v>2.41</v>
      </c>
    </row>
    <row r="3237">
      <c r="A3237" s="282" t="inlineStr">
        <is>
          <t>2019-04-24</t>
        </is>
      </c>
      <c r="B3237" s="240">
        <f>IFERROR(1/P3237-1,B3236)</f>
        <v/>
      </c>
      <c r="C3237" s="240">
        <f>$C$3</f>
        <v/>
      </c>
      <c r="D3237" s="240">
        <f>$D$3</f>
        <v/>
      </c>
      <c r="E3237" s="240">
        <f>$E$3</f>
        <v/>
      </c>
      <c r="F3237" s="241" t="n">
        <v>13.4</v>
      </c>
      <c r="G3237" s="242" t="n">
        <v>88766395</v>
      </c>
      <c r="H3237" s="241" t="n">
        <v>2.37</v>
      </c>
      <c r="I3237" s="241" t="n">
        <v>23.73</v>
      </c>
      <c r="J3237" s="241" t="n">
        <v>69.84</v>
      </c>
      <c r="K3237" s="241" t="n">
        <v>5.48</v>
      </c>
      <c r="L3237" s="242" t="n">
        <v>2998400</v>
      </c>
      <c r="M3237" s="241" t="n">
        <v>0.47</v>
      </c>
      <c r="N3237" s="241" t="n">
        <v>-4.34</v>
      </c>
      <c r="O3237" s="241" t="n">
        <v>38.31</v>
      </c>
      <c r="P3237" s="241" t="n">
        <v>2.45</v>
      </c>
    </row>
    <row r="3238">
      <c r="A3238" s="282" t="inlineStr">
        <is>
          <t>2019-04-25</t>
        </is>
      </c>
      <c r="B3238" s="240">
        <f>IFERROR(1/P3238-1,B3237)</f>
        <v/>
      </c>
      <c r="C3238" s="240">
        <f>$C$3</f>
        <v/>
      </c>
      <c r="D3238" s="240">
        <f>$D$3</f>
        <v/>
      </c>
      <c r="E3238" s="240">
        <f>$E$3</f>
        <v/>
      </c>
      <c r="F3238" s="241" t="n">
        <v>12.26</v>
      </c>
      <c r="G3238" s="242" t="n">
        <v>109120467</v>
      </c>
      <c r="H3238" s="241" t="n">
        <v>-8.51</v>
      </c>
      <c r="I3238" s="241" t="n">
        <v>13.2</v>
      </c>
      <c r="J3238" s="241" t="n">
        <v>55.39</v>
      </c>
      <c r="K3238" s="241" t="n">
        <v>5.17</v>
      </c>
      <c r="L3238" s="242" t="n">
        <v>3955072</v>
      </c>
      <c r="M3238" s="241" t="n">
        <v>-5.79</v>
      </c>
      <c r="N3238" s="241" t="n">
        <v>-9.880000000000001</v>
      </c>
      <c r="O3238" s="241" t="n">
        <v>30.3</v>
      </c>
      <c r="P3238" s="241" t="n">
        <v>2.37</v>
      </c>
    </row>
    <row r="3239">
      <c r="A3239" s="282" t="inlineStr">
        <is>
          <t>2019-04-26</t>
        </is>
      </c>
      <c r="B3239" s="240">
        <f>IFERROR(1/P3239-1,B3238)</f>
        <v/>
      </c>
      <c r="C3239" s="240">
        <f>$C$3</f>
        <v/>
      </c>
      <c r="D3239" s="240">
        <f>$D$3</f>
        <v/>
      </c>
      <c r="E3239" s="240">
        <f>$E$3</f>
        <v/>
      </c>
      <c r="F3239" s="241" t="n">
        <v>12.13</v>
      </c>
      <c r="G3239" s="242" t="n">
        <v>57345828</v>
      </c>
      <c r="H3239" s="241" t="n">
        <v>-1.06</v>
      </c>
      <c r="I3239" s="241" t="n">
        <v>14.87</v>
      </c>
      <c r="J3239" s="241" t="n">
        <v>53.74</v>
      </c>
      <c r="K3239" s="241" t="n">
        <v>5.11</v>
      </c>
      <c r="L3239" s="242" t="n">
        <v>1630600</v>
      </c>
      <c r="M3239" s="241" t="n">
        <v>-1.16</v>
      </c>
      <c r="N3239" s="241" t="n">
        <v>-8.460000000000001</v>
      </c>
      <c r="O3239" s="241" t="n">
        <v>28.79</v>
      </c>
      <c r="P3239" s="241" t="n">
        <v>2.38</v>
      </c>
    </row>
    <row r="3240">
      <c r="A3240" s="282" t="inlineStr">
        <is>
          <t>2019-04-29</t>
        </is>
      </c>
      <c r="B3240" s="240">
        <f>IFERROR(1/P3240-1,B3239)</f>
        <v/>
      </c>
      <c r="C3240" s="240">
        <f>$C$3</f>
        <v/>
      </c>
      <c r="D3240" s="240">
        <f>$D$3</f>
        <v/>
      </c>
      <c r="E3240" s="240">
        <f>$E$3</f>
        <v/>
      </c>
      <c r="F3240" s="241" t="n">
        <v>11.51</v>
      </c>
      <c r="G3240" s="242" t="n">
        <v>64110822</v>
      </c>
      <c r="H3240" s="241" t="n">
        <v>-5.11</v>
      </c>
      <c r="I3240" s="241" t="n">
        <v>12.73</v>
      </c>
      <c r="J3240" s="241" t="n">
        <v>45.88</v>
      </c>
      <c r="K3240" s="241" t="n">
        <v>5.03</v>
      </c>
      <c r="L3240" s="242" t="n">
        <v>1022800</v>
      </c>
      <c r="M3240" s="241" t="n">
        <v>-1.51</v>
      </c>
      <c r="N3240" s="241" t="n">
        <v>-6.09</v>
      </c>
      <c r="O3240" s="241" t="n">
        <v>26.84</v>
      </c>
      <c r="P3240" s="241" t="n">
        <v>2.29</v>
      </c>
    </row>
    <row r="3241">
      <c r="A3241" s="282" t="inlineStr">
        <is>
          <t>2019-04-30</t>
        </is>
      </c>
      <c r="B3241" s="240">
        <f>IFERROR(1/P3241-1,B3240)</f>
        <v/>
      </c>
      <c r="C3241" s="240">
        <f>$C$3</f>
        <v/>
      </c>
      <c r="D3241" s="240">
        <f>$D$3</f>
        <v/>
      </c>
      <c r="E3241" s="240">
        <f>$E$3</f>
        <v/>
      </c>
      <c r="F3241" s="241" t="n">
        <v>11.96</v>
      </c>
      <c r="G3241" s="242" t="n">
        <v>56686486</v>
      </c>
      <c r="H3241" s="241" t="n">
        <v>3.91</v>
      </c>
      <c r="I3241" s="241" t="n">
        <v>12.72</v>
      </c>
      <c r="J3241" s="241" t="n">
        <v>51.58</v>
      </c>
      <c r="K3241" s="241" t="n">
        <v>5.14</v>
      </c>
      <c r="L3241" s="242" t="n">
        <v>2164600</v>
      </c>
      <c r="M3241" s="241" t="n">
        <v>2.22</v>
      </c>
      <c r="N3241" s="241" t="n">
        <v>-5.97</v>
      </c>
      <c r="O3241" s="241" t="n">
        <v>29.65</v>
      </c>
      <c r="P3241" s="241" t="n">
        <v>2.33</v>
      </c>
    </row>
    <row r="3242">
      <c r="A3242" s="282" t="inlineStr">
        <is>
          <t>2019-05-06</t>
        </is>
      </c>
      <c r="B3242" s="240">
        <f>IFERROR(1/P3242-1,B3241)</f>
        <v/>
      </c>
      <c r="C3242" s="240">
        <f>$C$3</f>
        <v/>
      </c>
      <c r="D3242" s="240">
        <f>$D$3</f>
        <v/>
      </c>
      <c r="E3242" s="240">
        <f>$E$3</f>
        <v/>
      </c>
      <c r="F3242" s="241" t="n">
        <v>10.76</v>
      </c>
      <c r="G3242" s="242" t="n">
        <v>68328883</v>
      </c>
      <c r="H3242" s="241" t="n">
        <v>-10.03</v>
      </c>
      <c r="I3242" s="241" t="n">
        <v>-0.55</v>
      </c>
      <c r="J3242" s="241" t="n">
        <v>36.38</v>
      </c>
      <c r="K3242" s="241" t="n">
        <v>4.7</v>
      </c>
      <c r="L3242" s="242" t="n">
        <v>3449400</v>
      </c>
      <c r="M3242" s="241" t="n">
        <v>-4.86</v>
      </c>
      <c r="N3242" s="241" t="n">
        <v>-15.95</v>
      </c>
      <c r="O3242" s="241" t="n">
        <v>18.61</v>
      </c>
      <c r="P3242" s="241" t="n">
        <v>2.29</v>
      </c>
    </row>
    <row r="3243">
      <c r="A3243" s="282" t="inlineStr">
        <is>
          <t>2019-05-07</t>
        </is>
      </c>
      <c r="B3243" s="240">
        <f>IFERROR(1/P3243-1,B3242)</f>
        <v/>
      </c>
      <c r="C3243" s="240">
        <f>$C$3</f>
        <v/>
      </c>
      <c r="D3243" s="240">
        <f>$D$3</f>
        <v/>
      </c>
      <c r="E3243" s="240">
        <f>$E$3</f>
        <v/>
      </c>
      <c r="F3243" s="241" t="n">
        <v>11.08</v>
      </c>
      <c r="G3243" s="242" t="n">
        <v>62909725</v>
      </c>
      <c r="H3243" s="241" t="n">
        <v>2.97</v>
      </c>
      <c r="I3243" s="241" t="n">
        <v>2.4</v>
      </c>
      <c r="J3243" s="241" t="n">
        <v>40.43</v>
      </c>
      <c r="K3243" s="241" t="n">
        <v>4.77</v>
      </c>
      <c r="L3243" s="242" t="n">
        <v>2465000</v>
      </c>
      <c r="M3243" s="241" t="n">
        <v>0.91</v>
      </c>
      <c r="N3243" s="241" t="n">
        <v>-15.18</v>
      </c>
      <c r="O3243" s="241" t="n">
        <v>19.7</v>
      </c>
      <c r="P3243" s="241" t="n">
        <v>2.33</v>
      </c>
    </row>
    <row r="3244">
      <c r="A3244" s="282" t="inlineStr">
        <is>
          <t>2019-05-08</t>
        </is>
      </c>
      <c r="B3244" s="240">
        <f>IFERROR(1/P3244-1,B3243)</f>
        <v/>
      </c>
      <c r="C3244" s="240">
        <f>$C$3</f>
        <v/>
      </c>
      <c r="D3244" s="240">
        <f>$D$3</f>
        <v/>
      </c>
      <c r="E3244" s="240">
        <f>$E$3</f>
        <v/>
      </c>
      <c r="F3244" s="241" t="n">
        <v>10.86</v>
      </c>
      <c r="G3244" s="242" t="n">
        <v>54395950</v>
      </c>
      <c r="H3244" s="241" t="n">
        <v>-1.99</v>
      </c>
      <c r="I3244" s="241" t="n">
        <v>0.37</v>
      </c>
      <c r="J3244" s="241" t="n">
        <v>37.64</v>
      </c>
      <c r="K3244" s="241" t="n">
        <v>4.69</v>
      </c>
      <c r="L3244" s="242" t="n">
        <v>1211427</v>
      </c>
      <c r="M3244" s="241" t="n">
        <v>-1.63</v>
      </c>
      <c r="N3244" s="241" t="n">
        <v>-16.56</v>
      </c>
      <c r="O3244" s="241" t="n">
        <v>17.75</v>
      </c>
      <c r="P3244" s="241" t="n">
        <v>2.32</v>
      </c>
    </row>
    <row r="3245">
      <c r="A3245" s="282" t="inlineStr">
        <is>
          <t>2019-05-09</t>
        </is>
      </c>
      <c r="B3245" s="240">
        <f>IFERROR(1/P3245-1,B3244)</f>
        <v/>
      </c>
      <c r="C3245" s="240">
        <f>$C$3</f>
        <v/>
      </c>
      <c r="D3245" s="240">
        <f>$D$3</f>
        <v/>
      </c>
      <c r="E3245" s="240">
        <f>$E$3</f>
        <v/>
      </c>
      <c r="F3245" s="241" t="n">
        <v>10.74</v>
      </c>
      <c r="G3245" s="242" t="n">
        <v>39497994</v>
      </c>
      <c r="H3245" s="241" t="n">
        <v>-1.1</v>
      </c>
      <c r="I3245" s="241" t="n">
        <v>1.13</v>
      </c>
      <c r="J3245" s="241" t="n">
        <v>36.12</v>
      </c>
      <c r="K3245" s="241" t="n">
        <v>4.59</v>
      </c>
      <c r="L3245" s="242" t="n">
        <v>1551011</v>
      </c>
      <c r="M3245" s="241" t="n">
        <v>-2.21</v>
      </c>
      <c r="N3245" s="241" t="n">
        <v>-15.56</v>
      </c>
      <c r="O3245" s="241" t="n">
        <v>15.15</v>
      </c>
      <c r="P3245" s="241" t="n">
        <v>2.34</v>
      </c>
    </row>
    <row r="3246">
      <c r="A3246" s="282" t="inlineStr">
        <is>
          <t>2019-05-10</t>
        </is>
      </c>
      <c r="B3246" s="240">
        <f>IFERROR(1/P3246-1,B3245)</f>
        <v/>
      </c>
      <c r="C3246" s="240">
        <f>$C$3</f>
        <v/>
      </c>
      <c r="D3246" s="240">
        <f>$D$3</f>
        <v/>
      </c>
      <c r="E3246" s="240">
        <f>$E$3</f>
        <v/>
      </c>
      <c r="F3246" s="241" t="n">
        <v>11.25</v>
      </c>
      <c r="G3246" s="242" t="n">
        <v>64840976</v>
      </c>
      <c r="H3246" s="241" t="n">
        <v>4.75</v>
      </c>
      <c r="I3246" s="241" t="n">
        <v>5.34</v>
      </c>
      <c r="J3246" s="241" t="n">
        <v>42.59</v>
      </c>
      <c r="K3246" s="241" t="n">
        <v>4.76</v>
      </c>
      <c r="L3246" s="242" t="n">
        <v>1835800</v>
      </c>
      <c r="M3246" s="241" t="n">
        <v>3.38</v>
      </c>
      <c r="N3246" s="241" t="n">
        <v>-12.56</v>
      </c>
      <c r="O3246" s="241" t="n">
        <v>19.05</v>
      </c>
      <c r="P3246" s="241" t="n">
        <v>2.36</v>
      </c>
    </row>
    <row r="3247">
      <c r="A3247" s="282" t="inlineStr">
        <is>
          <t>2019-05-13</t>
        </is>
      </c>
      <c r="B3247" s="240">
        <f>IFERROR(1/P3247-1,B3246)</f>
        <v/>
      </c>
      <c r="C3247" s="240">
        <f>$C$3</f>
        <v/>
      </c>
      <c r="D3247" s="240">
        <f>$D$3</f>
        <v/>
      </c>
      <c r="E3247" s="240">
        <f>$E$3</f>
        <v/>
      </c>
      <c r="F3247" s="241" t="n">
        <v>10.89</v>
      </c>
      <c r="G3247" s="242" t="n">
        <v>47200659</v>
      </c>
      <c r="H3247" s="241" t="n">
        <v>-3.2</v>
      </c>
      <c r="I3247" s="241" t="n">
        <v>-23.42</v>
      </c>
      <c r="J3247" s="241" t="n">
        <v>38.02</v>
      </c>
      <c r="K3247" s="239" t="inlineStr">
        <is>
          <t>--</t>
        </is>
      </c>
      <c r="L3247" s="239" t="inlineStr">
        <is>
          <t>--</t>
        </is>
      </c>
      <c r="M3247" s="239" t="inlineStr">
        <is>
          <t>--</t>
        </is>
      </c>
      <c r="N3247" s="239" t="inlineStr">
        <is>
          <t>--</t>
        </is>
      </c>
      <c r="O3247" s="239" t="inlineStr">
        <is>
          <t>--</t>
        </is>
      </c>
      <c r="P3247" s="239" t="inlineStr">
        <is>
          <t>--</t>
        </is>
      </c>
    </row>
    <row r="3248">
      <c r="A3248" s="282" t="inlineStr">
        <is>
          <t>2019-05-14</t>
        </is>
      </c>
      <c r="B3248" s="240">
        <f>IFERROR(1/P3248-1,B3247)</f>
        <v/>
      </c>
      <c r="C3248" s="240">
        <f>$C$3</f>
        <v/>
      </c>
      <c r="D3248" s="240">
        <f>$D$3</f>
        <v/>
      </c>
      <c r="E3248" s="240">
        <f>$E$3</f>
        <v/>
      </c>
      <c r="F3248" s="241" t="n">
        <v>10.82</v>
      </c>
      <c r="G3248" s="242" t="n">
        <v>36829213</v>
      </c>
      <c r="H3248" s="241" t="n">
        <v>-0.64</v>
      </c>
      <c r="I3248" s="241" t="n">
        <v>-23.91</v>
      </c>
      <c r="J3248" s="241" t="n">
        <v>37.14</v>
      </c>
      <c r="K3248" s="241" t="n">
        <v>4.64</v>
      </c>
      <c r="L3248" s="242" t="n">
        <v>2595680</v>
      </c>
      <c r="M3248" s="241" t="n">
        <v>-3.09</v>
      </c>
      <c r="N3248" s="241" t="n">
        <v>-28.55</v>
      </c>
      <c r="O3248" s="241" t="n">
        <v>15.37</v>
      </c>
      <c r="P3248" s="241" t="n">
        <v>2.33</v>
      </c>
    </row>
    <row r="3249">
      <c r="A3249" s="282" t="inlineStr">
        <is>
          <t>2019-05-15</t>
        </is>
      </c>
      <c r="B3249" s="240">
        <f>IFERROR(1/P3249-1,B3248)</f>
        <v/>
      </c>
      <c r="C3249" s="240">
        <f>$C$3</f>
        <v/>
      </c>
      <c r="D3249" s="240">
        <f>$D$3</f>
        <v/>
      </c>
      <c r="E3249" s="240">
        <f>$E$3</f>
        <v/>
      </c>
      <c r="F3249" s="241" t="n">
        <v>11.27</v>
      </c>
      <c r="G3249" s="242" t="n">
        <v>62931250</v>
      </c>
      <c r="H3249" s="241" t="n">
        <v>4.16</v>
      </c>
      <c r="I3249" s="241" t="n">
        <v>-20.75</v>
      </c>
      <c r="J3249" s="241" t="n">
        <v>42.84</v>
      </c>
      <c r="K3249" s="241" t="n">
        <v>4.76</v>
      </c>
      <c r="L3249" s="242" t="n">
        <v>1477000</v>
      </c>
      <c r="M3249" s="241" t="n">
        <v>2.06</v>
      </c>
      <c r="N3249" s="241" t="n">
        <v>-27.08</v>
      </c>
      <c r="O3249" s="241" t="n">
        <v>17.75</v>
      </c>
      <c r="P3249" s="241" t="n">
        <v>2.37</v>
      </c>
    </row>
    <row r="3250">
      <c r="A3250" s="282" t="inlineStr">
        <is>
          <t>2019-05-16</t>
        </is>
      </c>
      <c r="B3250" s="240">
        <f>IFERROR(1/P3250-1,B3249)</f>
        <v/>
      </c>
      <c r="C3250" s="240">
        <f>$C$3</f>
        <v/>
      </c>
      <c r="D3250" s="240">
        <f>$D$3</f>
        <v/>
      </c>
      <c r="E3250" s="240">
        <f>$E$3</f>
        <v/>
      </c>
      <c r="F3250" s="241" t="n">
        <v>11.17</v>
      </c>
      <c r="G3250" s="242" t="n">
        <v>46219188</v>
      </c>
      <c r="H3250" s="241" t="n">
        <v>-0.89</v>
      </c>
      <c r="I3250" s="241" t="n">
        <v>-19.41</v>
      </c>
      <c r="J3250" s="241" t="n">
        <v>41.57</v>
      </c>
      <c r="K3250" s="241" t="n">
        <v>4.81</v>
      </c>
      <c r="L3250" s="242" t="n">
        <v>1362200</v>
      </c>
      <c r="M3250" s="241" t="n">
        <v>1.1</v>
      </c>
      <c r="N3250" s="241" t="n">
        <v>-19.83</v>
      </c>
      <c r="O3250" s="241" t="n">
        <v>19.05</v>
      </c>
      <c r="P3250" s="241" t="n">
        <v>2.32</v>
      </c>
    </row>
    <row r="3251">
      <c r="A3251" s="282" t="inlineStr">
        <is>
          <t>2019-05-17</t>
        </is>
      </c>
      <c r="B3251" s="240">
        <f>IFERROR(1/P3251-1,B3250)</f>
        <v/>
      </c>
      <c r="C3251" s="240">
        <f>$C$3</f>
        <v/>
      </c>
      <c r="D3251" s="240">
        <f>$D$3</f>
        <v/>
      </c>
      <c r="E3251" s="240">
        <f>$E$3</f>
        <v/>
      </c>
      <c r="F3251" s="241" t="n">
        <v>10.38</v>
      </c>
      <c r="G3251" s="242" t="n">
        <v>66487177</v>
      </c>
      <c r="H3251" s="241" t="n">
        <v>-7.07</v>
      </c>
      <c r="I3251" s="241" t="n">
        <v>-27.21</v>
      </c>
      <c r="J3251" s="241" t="n">
        <v>31.56</v>
      </c>
      <c r="K3251" s="241" t="n">
        <v>4.97</v>
      </c>
      <c r="L3251" s="242" t="n">
        <v>2972000</v>
      </c>
      <c r="M3251" s="241" t="n">
        <v>2.91</v>
      </c>
      <c r="N3251" s="241" t="n">
        <v>-17.85</v>
      </c>
      <c r="O3251" s="241" t="n">
        <v>22.51</v>
      </c>
      <c r="P3251" s="241" t="n">
        <v>2.09</v>
      </c>
    </row>
    <row r="3252">
      <c r="A3252" s="282" t="inlineStr">
        <is>
          <t>2019-05-20</t>
        </is>
      </c>
      <c r="B3252" s="240">
        <f>IFERROR(1/P3252-1,B3251)</f>
        <v/>
      </c>
      <c r="C3252" s="240">
        <f>$C$3</f>
        <v/>
      </c>
      <c r="D3252" s="240">
        <f>$D$3</f>
        <v/>
      </c>
      <c r="E3252" s="240">
        <f>$E$3</f>
        <v/>
      </c>
      <c r="F3252" s="241" t="n">
        <v>10.28</v>
      </c>
      <c r="G3252" s="242" t="n">
        <v>35854514</v>
      </c>
      <c r="H3252" s="241" t="n">
        <v>-0.96</v>
      </c>
      <c r="I3252" s="241" t="n">
        <v>-26.31</v>
      </c>
      <c r="J3252" s="241" t="n">
        <v>30.29</v>
      </c>
      <c r="K3252" s="241" t="n">
        <v>4.57</v>
      </c>
      <c r="L3252" s="242" t="n">
        <v>2825800</v>
      </c>
      <c r="M3252" s="241" t="n">
        <v>-8.130000000000001</v>
      </c>
      <c r="N3252" s="241" t="n">
        <v>-22.73</v>
      </c>
      <c r="O3252" s="241" t="n">
        <v>12.55</v>
      </c>
      <c r="P3252" s="241" t="n">
        <v>2.25</v>
      </c>
    </row>
    <row r="3253">
      <c r="A3253" s="282" t="inlineStr">
        <is>
          <t>2019-05-21</t>
        </is>
      </c>
      <c r="B3253" s="240">
        <f>IFERROR(1/P3253-1,B3252)</f>
        <v/>
      </c>
      <c r="C3253" s="240">
        <f>$C$3</f>
        <v/>
      </c>
      <c r="D3253" s="240">
        <f>$D$3</f>
        <v/>
      </c>
      <c r="E3253" s="240">
        <f>$E$3</f>
        <v/>
      </c>
      <c r="F3253" s="241" t="n">
        <v>10.51</v>
      </c>
      <c r="G3253" s="242" t="n">
        <v>33047710</v>
      </c>
      <c r="H3253" s="241" t="n">
        <v>2.24</v>
      </c>
      <c r="I3253" s="241" t="n">
        <v>-24.66</v>
      </c>
      <c r="J3253" s="241" t="n">
        <v>33.21</v>
      </c>
      <c r="K3253" s="241" t="n">
        <v>4.59</v>
      </c>
      <c r="L3253" s="242" t="n">
        <v>1458200</v>
      </c>
      <c r="M3253" s="241" t="n">
        <v>0.38</v>
      </c>
      <c r="N3253" s="241" t="n">
        <v>-22.44</v>
      </c>
      <c r="O3253" s="241" t="n">
        <v>12.99</v>
      </c>
      <c r="P3253" s="241" t="n">
        <v>2.29</v>
      </c>
    </row>
    <row r="3254">
      <c r="A3254" s="282" t="inlineStr">
        <is>
          <t>2019-05-22</t>
        </is>
      </c>
      <c r="B3254" s="240">
        <f>IFERROR(1/P3254-1,B3253)</f>
        <v/>
      </c>
      <c r="C3254" s="240">
        <f>$C$3</f>
        <v/>
      </c>
      <c r="D3254" s="240">
        <f>$D$3</f>
        <v/>
      </c>
      <c r="E3254" s="240">
        <f>$E$3</f>
        <v/>
      </c>
      <c r="F3254" s="241" t="n">
        <v>10.29</v>
      </c>
      <c r="G3254" s="242" t="n">
        <v>31126975</v>
      </c>
      <c r="H3254" s="241" t="n">
        <v>-2.09</v>
      </c>
      <c r="I3254" s="241" t="n">
        <v>-26.24</v>
      </c>
      <c r="J3254" s="241" t="n">
        <v>30.42</v>
      </c>
      <c r="K3254" s="241" t="n">
        <v>4.62</v>
      </c>
      <c r="L3254" s="242" t="n">
        <v>966600</v>
      </c>
      <c r="M3254" s="241" t="n">
        <v>0.77</v>
      </c>
      <c r="N3254" s="241" t="n">
        <v>-21.84</v>
      </c>
      <c r="O3254" s="241" t="n">
        <v>13.85</v>
      </c>
      <c r="P3254" s="241" t="n">
        <v>2.23</v>
      </c>
    </row>
    <row r="3255">
      <c r="A3255" s="282" t="inlineStr">
        <is>
          <t>2019-05-23</t>
        </is>
      </c>
      <c r="B3255" s="240">
        <f>IFERROR(1/P3255-1,B3254)</f>
        <v/>
      </c>
      <c r="C3255" s="240">
        <f>$C$3</f>
        <v/>
      </c>
      <c r="D3255" s="240">
        <f>$D$3</f>
        <v/>
      </c>
      <c r="E3255" s="240">
        <f>$E$3</f>
        <v/>
      </c>
      <c r="F3255" s="241" t="n">
        <v>10.05</v>
      </c>
      <c r="G3255" s="242" t="n">
        <v>30455808</v>
      </c>
      <c r="H3255" s="241" t="n">
        <v>-2.33</v>
      </c>
      <c r="I3255" s="241" t="n">
        <v>-29.52</v>
      </c>
      <c r="J3255" s="241" t="n">
        <v>27.38</v>
      </c>
      <c r="K3255" s="241" t="n">
        <v>4.52</v>
      </c>
      <c r="L3255" s="242" t="n">
        <v>1011600</v>
      </c>
      <c r="M3255" s="241" t="n">
        <v>-2.28</v>
      </c>
      <c r="N3255" s="241" t="n">
        <v>-23.63</v>
      </c>
      <c r="O3255" s="241" t="n">
        <v>11.26</v>
      </c>
      <c r="P3255" s="241" t="n">
        <v>2.22</v>
      </c>
    </row>
    <row r="3256">
      <c r="A3256" s="282" t="inlineStr">
        <is>
          <t>2019-05-24</t>
        </is>
      </c>
      <c r="B3256" s="240">
        <f>IFERROR(1/P3256-1,B3255)</f>
        <v/>
      </c>
      <c r="C3256" s="240">
        <f>$C$3</f>
        <v/>
      </c>
      <c r="D3256" s="240">
        <f>$D$3</f>
        <v/>
      </c>
      <c r="E3256" s="240">
        <f>$E$3</f>
        <v/>
      </c>
      <c r="F3256" s="241" t="n">
        <v>10.14</v>
      </c>
      <c r="G3256" s="242" t="n">
        <v>28511476</v>
      </c>
      <c r="H3256" s="241" t="n">
        <v>0.9</v>
      </c>
      <c r="I3256" s="241" t="n">
        <v>-22.54</v>
      </c>
      <c r="J3256" s="241" t="n">
        <v>28.52</v>
      </c>
      <c r="K3256" s="241" t="n">
        <v>4.44</v>
      </c>
      <c r="L3256" s="242" t="n">
        <v>1786600</v>
      </c>
      <c r="M3256" s="241" t="n">
        <v>-1.75</v>
      </c>
      <c r="N3256" s="241" t="n">
        <v>-20.6</v>
      </c>
      <c r="O3256" s="241" t="n">
        <v>9.31</v>
      </c>
      <c r="P3256" s="241" t="n">
        <v>2.28</v>
      </c>
    </row>
    <row r="3257">
      <c r="A3257" s="282" t="inlineStr">
        <is>
          <t>2019-05-27</t>
        </is>
      </c>
      <c r="B3257" s="240">
        <f>IFERROR(1/P3257-1,B3256)</f>
        <v/>
      </c>
      <c r="C3257" s="240">
        <f>$C$3</f>
        <v/>
      </c>
      <c r="D3257" s="240">
        <f>$D$3</f>
        <v/>
      </c>
      <c r="E3257" s="240">
        <f>$E$3</f>
        <v/>
      </c>
      <c r="F3257" s="241" t="n">
        <v>10.94</v>
      </c>
      <c r="G3257" s="242" t="n">
        <v>65123562</v>
      </c>
      <c r="H3257" s="241" t="n">
        <v>7.89</v>
      </c>
      <c r="I3257" s="241" t="n">
        <v>-9.81</v>
      </c>
      <c r="J3257" s="241" t="n">
        <v>38.66</v>
      </c>
      <c r="K3257" s="241" t="n">
        <v>4.53</v>
      </c>
      <c r="L3257" s="242" t="n">
        <v>2522000</v>
      </c>
      <c r="M3257" s="241" t="n">
        <v>2.18</v>
      </c>
      <c r="N3257" s="241" t="n">
        <v>-13.28</v>
      </c>
      <c r="O3257" s="241" t="n">
        <v>11.69</v>
      </c>
      <c r="P3257" s="241" t="n">
        <v>2.41</v>
      </c>
    </row>
    <row r="3258">
      <c r="A3258" s="282" t="inlineStr">
        <is>
          <t>2019-05-28</t>
        </is>
      </c>
      <c r="B3258" s="240">
        <f>IFERROR(1/P3258-1,B3257)</f>
        <v/>
      </c>
      <c r="C3258" s="240">
        <f>$C$3</f>
        <v/>
      </c>
      <c r="D3258" s="240">
        <f>$D$3</f>
        <v/>
      </c>
      <c r="E3258" s="240">
        <f>$E$3</f>
        <v/>
      </c>
      <c r="F3258" s="241" t="n">
        <v>10.71</v>
      </c>
      <c r="G3258" s="242" t="n">
        <v>49329194</v>
      </c>
      <c r="H3258" s="241" t="n">
        <v>-2.1</v>
      </c>
      <c r="I3258" s="241" t="n">
        <v>-11.71</v>
      </c>
      <c r="J3258" s="241" t="n">
        <v>35.74</v>
      </c>
      <c r="K3258" s="241" t="n">
        <v>4.58</v>
      </c>
      <c r="L3258" s="242" t="n">
        <v>1023202</v>
      </c>
      <c r="M3258" s="241" t="n">
        <v>0.97</v>
      </c>
      <c r="N3258" s="241" t="n">
        <v>-12.44</v>
      </c>
      <c r="O3258" s="241" t="n">
        <v>12.77</v>
      </c>
      <c r="P3258" s="241" t="n">
        <v>2.34</v>
      </c>
    </row>
    <row r="3259">
      <c r="A3259" s="282" t="inlineStr">
        <is>
          <t>2019-05-29</t>
        </is>
      </c>
      <c r="B3259" s="240">
        <f>IFERROR(1/P3259-1,B3258)</f>
        <v/>
      </c>
      <c r="C3259" s="240">
        <f>$C$3</f>
        <v/>
      </c>
      <c r="D3259" s="240">
        <f>$D$3</f>
        <v/>
      </c>
      <c r="E3259" s="240">
        <f>$E$3</f>
        <v/>
      </c>
      <c r="F3259" s="241" t="n">
        <v>10.59</v>
      </c>
      <c r="G3259" s="242" t="n">
        <v>27512467</v>
      </c>
      <c r="H3259" s="241" t="n">
        <v>-1.12</v>
      </c>
      <c r="I3259" s="241" t="n">
        <v>-12.7</v>
      </c>
      <c r="J3259" s="241" t="n">
        <v>34.22</v>
      </c>
      <c r="K3259" s="241" t="n">
        <v>4.62</v>
      </c>
      <c r="L3259" s="242" t="n">
        <v>1055800</v>
      </c>
      <c r="M3259" s="241" t="n">
        <v>0.96</v>
      </c>
      <c r="N3259" s="241" t="n">
        <v>-11.6</v>
      </c>
      <c r="O3259" s="241" t="n">
        <v>13.85</v>
      </c>
      <c r="P3259" s="241" t="n">
        <v>2.29</v>
      </c>
    </row>
    <row r="3260">
      <c r="A3260" s="282" t="inlineStr">
        <is>
          <t>2019-05-30</t>
        </is>
      </c>
      <c r="B3260" s="240">
        <f>IFERROR(1/P3260-1,B3259)</f>
        <v/>
      </c>
      <c r="C3260" s="240">
        <f>$C$3</f>
        <v/>
      </c>
      <c r="D3260" s="240">
        <f>$D$3</f>
        <v/>
      </c>
      <c r="E3260" s="240">
        <f>$E$3</f>
        <v/>
      </c>
      <c r="F3260" s="241" t="n">
        <v>10.4</v>
      </c>
      <c r="G3260" s="242" t="n">
        <v>25997653</v>
      </c>
      <c r="H3260" s="241" t="n">
        <v>-1.79</v>
      </c>
      <c r="I3260" s="241" t="n">
        <v>-9.640000000000001</v>
      </c>
      <c r="J3260" s="241" t="n">
        <v>31.81</v>
      </c>
      <c r="K3260" s="241" t="n">
        <v>4.54</v>
      </c>
      <c r="L3260" s="242" t="n">
        <v>856600</v>
      </c>
      <c r="M3260" s="241" t="n">
        <v>-1.9</v>
      </c>
      <c r="N3260" s="241" t="n">
        <v>-11.95</v>
      </c>
      <c r="O3260" s="241" t="n">
        <v>11.69</v>
      </c>
      <c r="P3260" s="241" t="n">
        <v>2.29</v>
      </c>
    </row>
    <row r="3261">
      <c r="A3261" s="282" t="inlineStr">
        <is>
          <t>2019-05-31</t>
        </is>
      </c>
      <c r="B3261" s="240">
        <f>IFERROR(1/P3261-1,B3260)</f>
        <v/>
      </c>
      <c r="C3261" s="240">
        <f>$C$3</f>
        <v/>
      </c>
      <c r="D3261" s="240">
        <f>$D$3</f>
        <v/>
      </c>
      <c r="E3261" s="240">
        <f>$E$3</f>
        <v/>
      </c>
      <c r="F3261" s="241" t="n">
        <v>10.3</v>
      </c>
      <c r="G3261" s="242" t="n">
        <v>28636803</v>
      </c>
      <c r="H3261" s="241" t="n">
        <v>-0.96</v>
      </c>
      <c r="I3261" s="241" t="n">
        <v>-10.51</v>
      </c>
      <c r="J3261" s="241" t="n">
        <v>30.55</v>
      </c>
      <c r="K3261" s="241" t="n">
        <v>4.5</v>
      </c>
      <c r="L3261" s="242" t="n">
        <v>457000</v>
      </c>
      <c r="M3261" s="241" t="n">
        <v>-0.78</v>
      </c>
      <c r="N3261" s="241" t="n">
        <v>-12.63</v>
      </c>
      <c r="O3261" s="241" t="n">
        <v>10.82</v>
      </c>
      <c r="P3261" s="241" t="n">
        <v>2.29</v>
      </c>
    </row>
    <row r="3262">
      <c r="A3262" s="282" t="inlineStr">
        <is>
          <t>2019-06-03</t>
        </is>
      </c>
      <c r="B3262" s="240">
        <f>IFERROR(1/P3262-1,B3261)</f>
        <v/>
      </c>
      <c r="C3262" s="240">
        <f>$C$3</f>
        <v/>
      </c>
      <c r="D3262" s="240">
        <f>$D$3</f>
        <v/>
      </c>
      <c r="E3262" s="240">
        <f>$E$3</f>
        <v/>
      </c>
      <c r="F3262" s="241" t="n">
        <v>10.12</v>
      </c>
      <c r="G3262" s="242" t="n">
        <v>26147200</v>
      </c>
      <c r="H3262" s="241" t="n">
        <v>-1.75</v>
      </c>
      <c r="I3262" s="241" t="n">
        <v>-15.38</v>
      </c>
      <c r="J3262" s="241" t="n">
        <v>28.26</v>
      </c>
      <c r="K3262" s="241" t="n">
        <v>4.48</v>
      </c>
      <c r="L3262" s="242" t="n">
        <v>1555800</v>
      </c>
      <c r="M3262" s="241" t="n">
        <v>-0.39</v>
      </c>
      <c r="N3262" s="241" t="n">
        <v>-9.57</v>
      </c>
      <c r="O3262" s="241" t="n">
        <v>10.39</v>
      </c>
      <c r="P3262" s="241" t="n">
        <v>2.26</v>
      </c>
    </row>
    <row r="3263">
      <c r="A3263" s="282" t="inlineStr">
        <is>
          <t>2019-06-04</t>
        </is>
      </c>
      <c r="B3263" s="240">
        <f>IFERROR(1/P3263-1,B3262)</f>
        <v/>
      </c>
      <c r="C3263" s="240">
        <f>$C$3</f>
        <v/>
      </c>
      <c r="D3263" s="240">
        <f>$D$3</f>
        <v/>
      </c>
      <c r="E3263" s="240">
        <f>$E$3</f>
        <v/>
      </c>
      <c r="F3263" s="241" t="n">
        <v>10.1</v>
      </c>
      <c r="G3263" s="242" t="n">
        <v>18840313</v>
      </c>
      <c r="H3263" s="241" t="n">
        <v>-0.2</v>
      </c>
      <c r="I3263" s="241" t="n">
        <v>-15.55</v>
      </c>
      <c r="J3263" s="241" t="n">
        <v>28.01</v>
      </c>
      <c r="K3263" s="241" t="n">
        <v>4.51</v>
      </c>
      <c r="L3263" s="242" t="n">
        <v>609030</v>
      </c>
      <c r="M3263" s="241" t="n">
        <v>0.78</v>
      </c>
      <c r="N3263" s="241" t="n">
        <v>-10.76</v>
      </c>
      <c r="O3263" s="241" t="n">
        <v>11.26</v>
      </c>
      <c r="P3263" s="241" t="n">
        <v>2.24</v>
      </c>
    </row>
    <row r="3264">
      <c r="A3264" s="282" t="inlineStr">
        <is>
          <t>2019-06-05</t>
        </is>
      </c>
      <c r="B3264" s="240">
        <f>IFERROR(1/P3264-1,B3263)</f>
        <v/>
      </c>
      <c r="C3264" s="240">
        <f>$C$3</f>
        <v/>
      </c>
      <c r="D3264" s="240">
        <f>$D$3</f>
        <v/>
      </c>
      <c r="E3264" s="240">
        <f>$E$3</f>
        <v/>
      </c>
      <c r="F3264" s="241" t="n">
        <v>10.09</v>
      </c>
      <c r="G3264" s="242" t="n">
        <v>16760706</v>
      </c>
      <c r="H3264" s="241" t="n">
        <v>-0.1</v>
      </c>
      <c r="I3264" s="241" t="n">
        <v>-15.64</v>
      </c>
      <c r="J3264" s="241" t="n">
        <v>27.88</v>
      </c>
      <c r="K3264" s="241" t="n">
        <v>4.58</v>
      </c>
      <c r="L3264" s="242" t="n">
        <v>1093000</v>
      </c>
      <c r="M3264" s="241" t="n">
        <v>1.36</v>
      </c>
      <c r="N3264" s="241" t="n">
        <v>-9.550000000000001</v>
      </c>
      <c r="O3264" s="241" t="n">
        <v>12.77</v>
      </c>
      <c r="P3264" s="241" t="n">
        <v>2.2</v>
      </c>
    </row>
    <row r="3265">
      <c r="A3265" s="282" t="inlineStr">
        <is>
          <t>2019-06-06</t>
        </is>
      </c>
      <c r="B3265" s="240">
        <f>IFERROR(1/P3265-1,B3264)</f>
        <v/>
      </c>
      <c r="C3265" s="240">
        <f>$C$3</f>
        <v/>
      </c>
      <c r="D3265" s="240">
        <f>$D$3</f>
        <v/>
      </c>
      <c r="E3265" s="240">
        <f>$E$3</f>
        <v/>
      </c>
      <c r="F3265" s="241" t="n">
        <v>10.03</v>
      </c>
      <c r="G3265" s="242" t="n">
        <v>30500467</v>
      </c>
      <c r="H3265" s="241" t="n">
        <v>-0.59</v>
      </c>
      <c r="I3265" s="241" t="n">
        <v>-16.14</v>
      </c>
      <c r="J3265" s="241" t="n">
        <v>27.12</v>
      </c>
      <c r="K3265" s="241" t="n">
        <v>4.49</v>
      </c>
      <c r="L3265" s="242" t="n">
        <v>1095200</v>
      </c>
      <c r="M3265" s="241" t="n">
        <v>-1.92</v>
      </c>
      <c r="N3265" s="241" t="n">
        <v>-11.28</v>
      </c>
      <c r="O3265" s="241" t="n">
        <v>10.61</v>
      </c>
      <c r="P3265" s="241" t="n">
        <v>2.23</v>
      </c>
    </row>
    <row r="3266">
      <c r="A3266" s="282" t="inlineStr">
        <is>
          <t>2019-06-10</t>
        </is>
      </c>
      <c r="B3266" s="240">
        <f>IFERROR(1/P3266-1,B3265)</f>
        <v/>
      </c>
      <c r="C3266" s="240">
        <f>$C$3</f>
        <v/>
      </c>
      <c r="D3266" s="240">
        <f>$D$3</f>
        <v/>
      </c>
      <c r="E3266" s="240">
        <f>$E$3</f>
        <v/>
      </c>
      <c r="F3266" s="241" t="n">
        <v>10.1</v>
      </c>
      <c r="G3266" s="242" t="n">
        <v>19124028</v>
      </c>
      <c r="H3266" s="241" t="n">
        <v>0.7</v>
      </c>
      <c r="I3266" s="241" t="n">
        <v>-5.96</v>
      </c>
      <c r="J3266" s="241" t="n">
        <v>28.01</v>
      </c>
      <c r="K3266" s="241" t="n">
        <v>4.6</v>
      </c>
      <c r="L3266" s="242" t="n">
        <v>1018400</v>
      </c>
      <c r="M3266" s="241" t="n">
        <v>2.35</v>
      </c>
      <c r="N3266" s="241" t="n">
        <v>-1.69</v>
      </c>
      <c r="O3266" s="241" t="n">
        <v>13.2</v>
      </c>
      <c r="P3266" s="241" t="n">
        <v>2.2</v>
      </c>
    </row>
    <row r="3267">
      <c r="A3267" s="282" t="inlineStr">
        <is>
          <t>2019-06-11</t>
        </is>
      </c>
      <c r="B3267" s="240">
        <f>IFERROR(1/P3267-1,B3266)</f>
        <v/>
      </c>
      <c r="C3267" s="240">
        <f>$C$3</f>
        <v/>
      </c>
      <c r="D3267" s="240">
        <f>$D$3</f>
        <v/>
      </c>
      <c r="E3267" s="240">
        <f>$E$3</f>
        <v/>
      </c>
      <c r="F3267" s="241" t="n">
        <v>10.48</v>
      </c>
      <c r="G3267" s="242" t="n">
        <v>42995544</v>
      </c>
      <c r="H3267" s="241" t="n">
        <v>3.76</v>
      </c>
      <c r="I3267" s="241" t="n">
        <v>-6.84</v>
      </c>
      <c r="J3267" s="241" t="n">
        <v>32.83</v>
      </c>
      <c r="K3267" s="241" t="n">
        <v>4.7</v>
      </c>
      <c r="L3267" s="242" t="n">
        <v>2034600</v>
      </c>
      <c r="M3267" s="241" t="n">
        <v>2.29</v>
      </c>
      <c r="N3267" s="241" t="n">
        <v>-2.73</v>
      </c>
      <c r="O3267" s="241" t="n">
        <v>15.8</v>
      </c>
      <c r="P3267" s="241" t="n">
        <v>2.23</v>
      </c>
    </row>
    <row r="3268">
      <c r="A3268" s="282" t="inlineStr">
        <is>
          <t>2019-06-12</t>
        </is>
      </c>
      <c r="B3268" s="240">
        <f>IFERROR(1/P3268-1,B3267)</f>
        <v/>
      </c>
      <c r="C3268" s="240">
        <f>$C$3</f>
        <v/>
      </c>
      <c r="D3268" s="240">
        <f>$D$3</f>
        <v/>
      </c>
      <c r="E3268" s="240">
        <f>$E$3</f>
        <v/>
      </c>
      <c r="F3268" s="241" t="n">
        <v>10.38</v>
      </c>
      <c r="G3268" s="242" t="n">
        <v>29987159</v>
      </c>
      <c r="H3268" s="241" t="n">
        <v>-0.95</v>
      </c>
      <c r="I3268" s="241" t="n">
        <v>-7.73</v>
      </c>
      <c r="J3268" s="241" t="n">
        <v>31.56</v>
      </c>
      <c r="K3268" s="241" t="n">
        <v>4.59</v>
      </c>
      <c r="L3268" s="242" t="n">
        <v>643800</v>
      </c>
      <c r="M3268" s="241" t="n">
        <v>-2.43</v>
      </c>
      <c r="N3268" s="241" t="n">
        <v>-5.09</v>
      </c>
      <c r="O3268" s="241" t="n">
        <v>12.99</v>
      </c>
      <c r="P3268" s="241" t="n">
        <v>2.26</v>
      </c>
    </row>
    <row r="3269">
      <c r="A3269" s="282" t="inlineStr">
        <is>
          <t>2019-06-13</t>
        </is>
      </c>
      <c r="B3269" s="240">
        <f>IFERROR(1/P3269-1,B3268)</f>
        <v/>
      </c>
      <c r="C3269" s="240">
        <f>$C$3</f>
        <v/>
      </c>
      <c r="D3269" s="240">
        <f>$D$3</f>
        <v/>
      </c>
      <c r="E3269" s="240">
        <f>$E$3</f>
        <v/>
      </c>
      <c r="F3269" s="241" t="n">
        <v>10.77</v>
      </c>
      <c r="G3269" s="242" t="n">
        <v>52663851</v>
      </c>
      <c r="H3269" s="241" t="n">
        <v>3.76</v>
      </c>
      <c r="I3269" s="241" t="n">
        <v>-4.27</v>
      </c>
      <c r="J3269" s="241" t="n">
        <v>36.5</v>
      </c>
      <c r="K3269" s="241" t="n">
        <v>4.69</v>
      </c>
      <c r="L3269" s="242" t="n">
        <v>1816800</v>
      </c>
      <c r="M3269" s="241" t="n">
        <v>1.92</v>
      </c>
      <c r="N3269" s="241" t="n">
        <v>-3.27</v>
      </c>
      <c r="O3269" s="241" t="n">
        <v>15.15</v>
      </c>
      <c r="P3269" s="241" t="n">
        <v>2.3</v>
      </c>
    </row>
    <row r="3270">
      <c r="A3270" s="282" t="inlineStr">
        <is>
          <t>2019-06-14</t>
        </is>
      </c>
      <c r="B3270" s="240">
        <f>IFERROR(1/P3270-1,B3269)</f>
        <v/>
      </c>
      <c r="C3270" s="240">
        <f>$C$3</f>
        <v/>
      </c>
      <c r="D3270" s="240">
        <f>$D$3</f>
        <v/>
      </c>
      <c r="E3270" s="240">
        <f>$E$3</f>
        <v/>
      </c>
      <c r="F3270" s="241" t="n">
        <v>10.28</v>
      </c>
      <c r="G3270" s="242" t="n">
        <v>40870887</v>
      </c>
      <c r="H3270" s="241" t="n">
        <v>-4.55</v>
      </c>
      <c r="I3270" s="241" t="n">
        <v>-5.6</v>
      </c>
      <c r="J3270" s="241" t="n">
        <v>30.29</v>
      </c>
      <c r="K3270" s="241" t="n">
        <v>4.46</v>
      </c>
      <c r="L3270" s="242" t="n">
        <v>1026682</v>
      </c>
      <c r="M3270" s="241" t="n">
        <v>-4.7</v>
      </c>
      <c r="N3270" s="241" t="n">
        <v>-7.82</v>
      </c>
      <c r="O3270" s="241" t="n">
        <v>9.74</v>
      </c>
      <c r="P3270" s="241" t="n">
        <v>2.3</v>
      </c>
    </row>
    <row r="3271">
      <c r="A3271" s="282" t="inlineStr">
        <is>
          <t>2019-06-17</t>
        </is>
      </c>
      <c r="B3271" s="240">
        <f>IFERROR(1/P3271-1,B3270)</f>
        <v/>
      </c>
      <c r="C3271" s="240">
        <f>$C$3</f>
        <v/>
      </c>
      <c r="D3271" s="240">
        <f>$D$3</f>
        <v/>
      </c>
      <c r="E3271" s="240">
        <f>$E$3</f>
        <v/>
      </c>
      <c r="F3271" s="241" t="n">
        <v>10.36</v>
      </c>
      <c r="G3271" s="242" t="n">
        <v>16723993</v>
      </c>
      <c r="H3271" s="241" t="n">
        <v>0.78</v>
      </c>
      <c r="I3271" s="241" t="n">
        <v>-7.25</v>
      </c>
      <c r="J3271" s="241" t="n">
        <v>31.31</v>
      </c>
      <c r="K3271" s="241" t="n">
        <v>4.46</v>
      </c>
      <c r="L3271" s="242" t="n">
        <v>494200</v>
      </c>
      <c r="M3271" s="241" t="n">
        <v>0</v>
      </c>
      <c r="N3271" s="241" t="n">
        <v>-7.82</v>
      </c>
      <c r="O3271" s="241" t="n">
        <v>9.74</v>
      </c>
      <c r="P3271" s="241" t="n">
        <v>2.32</v>
      </c>
    </row>
    <row r="3272">
      <c r="A3272" s="282" t="inlineStr">
        <is>
          <t>2019-06-18</t>
        </is>
      </c>
      <c r="B3272" s="240">
        <f>IFERROR(1/P3272-1,B3271)</f>
        <v/>
      </c>
      <c r="C3272" s="240">
        <f>$C$3</f>
        <v/>
      </c>
      <c r="D3272" s="240">
        <f>$D$3</f>
        <v/>
      </c>
      <c r="E3272" s="240">
        <f>$E$3</f>
        <v/>
      </c>
      <c r="F3272" s="241" t="n">
        <v>10.39</v>
      </c>
      <c r="G3272" s="242" t="n">
        <v>13069163</v>
      </c>
      <c r="H3272" s="241" t="n">
        <v>0.29</v>
      </c>
      <c r="I3272" s="241" t="n">
        <v>0.1</v>
      </c>
      <c r="J3272" s="241" t="n">
        <v>31.69</v>
      </c>
      <c r="K3272" s="241" t="n">
        <v>4.46</v>
      </c>
      <c r="L3272" s="242" t="n">
        <v>462400</v>
      </c>
      <c r="M3272" s="241" t="n">
        <v>0</v>
      </c>
      <c r="N3272" s="241" t="n">
        <v>-10.42</v>
      </c>
      <c r="O3272" s="241" t="n">
        <v>9.74</v>
      </c>
      <c r="P3272" s="241" t="n">
        <v>2.33</v>
      </c>
    </row>
    <row r="3273">
      <c r="A3273" s="282" t="inlineStr">
        <is>
          <t>2019-06-19</t>
        </is>
      </c>
      <c r="B3273" s="240">
        <f>IFERROR(1/P3273-1,B3272)</f>
        <v/>
      </c>
      <c r="C3273" s="240">
        <f>$C$3</f>
        <v/>
      </c>
      <c r="D3273" s="240">
        <f>$D$3</f>
        <v/>
      </c>
      <c r="E3273" s="240">
        <f>$E$3</f>
        <v/>
      </c>
      <c r="F3273" s="241" t="n">
        <v>10.45</v>
      </c>
      <c r="G3273" s="242" t="n">
        <v>27058657</v>
      </c>
      <c r="H3273" s="241" t="n">
        <v>0.58</v>
      </c>
      <c r="I3273" s="241" t="n">
        <v>0.67</v>
      </c>
      <c r="J3273" s="241" t="n">
        <v>32.45</v>
      </c>
      <c r="K3273" s="241" t="n">
        <v>4.63</v>
      </c>
      <c r="L3273" s="242" t="n">
        <v>1613600</v>
      </c>
      <c r="M3273" s="241" t="n">
        <v>3.75</v>
      </c>
      <c r="N3273" s="241" t="n">
        <v>-7.07</v>
      </c>
      <c r="O3273" s="241" t="n">
        <v>13.85</v>
      </c>
      <c r="P3273" s="241" t="n">
        <v>2.26</v>
      </c>
    </row>
    <row r="3274">
      <c r="A3274" s="282" t="inlineStr">
        <is>
          <t>2019-06-20</t>
        </is>
      </c>
      <c r="B3274" s="240">
        <f>IFERROR(1/P3274-1,B3273)</f>
        <v/>
      </c>
      <c r="C3274" s="240">
        <f>$C$3</f>
        <v/>
      </c>
      <c r="D3274" s="240">
        <f>$D$3</f>
        <v/>
      </c>
      <c r="E3274" s="240">
        <f>$E$3</f>
        <v/>
      </c>
      <c r="F3274" s="241" t="n">
        <v>10.71</v>
      </c>
      <c r="G3274" s="242" t="n">
        <v>37384073</v>
      </c>
      <c r="H3274" s="241" t="n">
        <v>2.49</v>
      </c>
      <c r="I3274" s="241" t="n">
        <v>3.18</v>
      </c>
      <c r="J3274" s="241" t="n">
        <v>35.74</v>
      </c>
      <c r="K3274" s="241" t="n">
        <v>4.68</v>
      </c>
      <c r="L3274" s="242" t="n">
        <v>1004600</v>
      </c>
      <c r="M3274" s="241" t="n">
        <v>1.14</v>
      </c>
      <c r="N3274" s="241" t="n">
        <v>-6.01</v>
      </c>
      <c r="O3274" s="241" t="n">
        <v>15.15</v>
      </c>
      <c r="P3274" s="241" t="n">
        <v>2.29</v>
      </c>
    </row>
    <row r="3275">
      <c r="A3275" s="282" t="inlineStr">
        <is>
          <t>2019-06-21</t>
        </is>
      </c>
      <c r="B3275" s="240">
        <f>IFERROR(1/P3275-1,B3274)</f>
        <v/>
      </c>
      <c r="C3275" s="240">
        <f>$C$3</f>
        <v/>
      </c>
      <c r="D3275" s="240">
        <f>$D$3</f>
        <v/>
      </c>
      <c r="E3275" s="240">
        <f>$E$3</f>
        <v/>
      </c>
      <c r="F3275" s="241" t="n">
        <v>10.87</v>
      </c>
      <c r="G3275" s="242" t="n">
        <v>37849101</v>
      </c>
      <c r="H3275" s="241" t="n">
        <v>1.49</v>
      </c>
      <c r="I3275" s="241" t="n">
        <v>5.74</v>
      </c>
      <c r="J3275" s="241" t="n">
        <v>37.77</v>
      </c>
      <c r="K3275" s="241" t="n">
        <v>4.66</v>
      </c>
      <c r="L3275" s="242" t="n">
        <v>981540</v>
      </c>
      <c r="M3275" s="241" t="n">
        <v>0</v>
      </c>
      <c r="N3275" s="241" t="n">
        <v>2.31</v>
      </c>
      <c r="O3275" s="241" t="n">
        <v>15.15</v>
      </c>
      <c r="P3275" s="241" t="n">
        <v>2.33</v>
      </c>
    </row>
    <row r="3276">
      <c r="A3276" s="282" t="inlineStr">
        <is>
          <t>2019-06-24</t>
        </is>
      </c>
      <c r="B3276" s="240">
        <f>IFERROR(1/P3276-1,B3275)</f>
        <v/>
      </c>
      <c r="C3276" s="240">
        <f>$C$3</f>
        <v/>
      </c>
      <c r="D3276" s="240">
        <f>$D$3</f>
        <v/>
      </c>
      <c r="E3276" s="240">
        <f>$E$3</f>
        <v/>
      </c>
      <c r="F3276" s="241" t="n">
        <v>10.74</v>
      </c>
      <c r="G3276" s="242" t="n">
        <v>24617686</v>
      </c>
      <c r="H3276" s="241" t="n">
        <v>-1.2</v>
      </c>
      <c r="I3276" s="241" t="n">
        <v>6.87</v>
      </c>
      <c r="J3276" s="241" t="n">
        <v>36.12</v>
      </c>
      <c r="K3276" s="241" t="n">
        <v>4.61</v>
      </c>
      <c r="L3276" s="242" t="n">
        <v>1081400</v>
      </c>
      <c r="M3276" s="241" t="n">
        <v>-1.13</v>
      </c>
      <c r="N3276" s="241" t="n">
        <v>2.33</v>
      </c>
      <c r="O3276" s="241" t="n">
        <v>13.85</v>
      </c>
      <c r="P3276" s="241" t="n">
        <v>2.33</v>
      </c>
    </row>
    <row r="3277">
      <c r="A3277" s="282" t="inlineStr">
        <is>
          <t>2019-06-25</t>
        </is>
      </c>
      <c r="B3277" s="240">
        <f>IFERROR(1/P3277-1,B3276)</f>
        <v/>
      </c>
      <c r="C3277" s="240">
        <f>$C$3</f>
        <v/>
      </c>
      <c r="D3277" s="240">
        <f>$D$3</f>
        <v/>
      </c>
      <c r="E3277" s="240">
        <f>$E$3</f>
        <v/>
      </c>
      <c r="F3277" s="241" t="n">
        <v>10.58</v>
      </c>
      <c r="G3277" s="242" t="n">
        <v>22173207</v>
      </c>
      <c r="H3277" s="241" t="n">
        <v>-1.49</v>
      </c>
      <c r="I3277" s="241" t="n">
        <v>4.34</v>
      </c>
      <c r="J3277" s="241" t="n">
        <v>34.09</v>
      </c>
      <c r="K3277" s="241" t="n">
        <v>4.46</v>
      </c>
      <c r="L3277" s="242" t="n">
        <v>1165800</v>
      </c>
      <c r="M3277" s="241" t="n">
        <v>-3.42</v>
      </c>
      <c r="N3277" s="241" t="n">
        <v>0.59</v>
      </c>
      <c r="O3277" s="241" t="n">
        <v>9.960000000000001</v>
      </c>
      <c r="P3277" s="241" t="n">
        <v>2.37</v>
      </c>
    </row>
    <row r="3278">
      <c r="A3278" s="282" t="inlineStr">
        <is>
          <t>2019-06-26</t>
        </is>
      </c>
      <c r="B3278" s="240">
        <f>IFERROR(1/P3278-1,B3277)</f>
        <v/>
      </c>
      <c r="C3278" s="240">
        <f>$C$3</f>
        <v/>
      </c>
      <c r="D3278" s="240">
        <f>$D$3</f>
        <v/>
      </c>
      <c r="E3278" s="240">
        <f>$E$3</f>
        <v/>
      </c>
      <c r="F3278" s="241" t="n">
        <v>10.6</v>
      </c>
      <c r="G3278" s="242" t="n">
        <v>11695902</v>
      </c>
      <c r="H3278" s="241" t="n">
        <v>0.19</v>
      </c>
      <c r="I3278" s="241" t="n">
        <v>4.54</v>
      </c>
      <c r="J3278" s="241" t="n">
        <v>34.35</v>
      </c>
      <c r="K3278" s="241" t="n">
        <v>4.52</v>
      </c>
      <c r="L3278" s="242" t="n">
        <v>546000</v>
      </c>
      <c r="M3278" s="241" t="n">
        <v>1.18</v>
      </c>
      <c r="N3278" s="241" t="n">
        <v>1.78</v>
      </c>
      <c r="O3278" s="241" t="n">
        <v>11.26</v>
      </c>
      <c r="P3278" s="241" t="n">
        <v>2.34</v>
      </c>
    </row>
    <row r="3279">
      <c r="A3279" s="282" t="inlineStr">
        <is>
          <t>2019-06-27</t>
        </is>
      </c>
      <c r="B3279" s="240">
        <f>IFERROR(1/P3279-1,B3278)</f>
        <v/>
      </c>
      <c r="C3279" s="240">
        <f>$C$3</f>
        <v/>
      </c>
      <c r="D3279" s="240">
        <f>$D$3</f>
        <v/>
      </c>
      <c r="E3279" s="240">
        <f>$E$3</f>
        <v/>
      </c>
      <c r="F3279" s="241" t="n">
        <v>10.75</v>
      </c>
      <c r="G3279" s="242" t="n">
        <v>28672144</v>
      </c>
      <c r="H3279" s="241" t="n">
        <v>1.42</v>
      </c>
      <c r="I3279" s="241" t="n">
        <v>6.02</v>
      </c>
      <c r="J3279" s="241" t="n">
        <v>36.25</v>
      </c>
      <c r="K3279" s="241" t="n">
        <v>4.62</v>
      </c>
      <c r="L3279" s="242" t="n">
        <v>756800</v>
      </c>
      <c r="M3279" s="241" t="n">
        <v>2.14</v>
      </c>
      <c r="N3279" s="241" t="n">
        <v>3.96</v>
      </c>
      <c r="O3279" s="241" t="n">
        <v>13.64</v>
      </c>
      <c r="P3279" s="241" t="n">
        <v>2.33</v>
      </c>
    </row>
    <row r="3280">
      <c r="A3280" s="282" t="inlineStr">
        <is>
          <t>2019-06-28</t>
        </is>
      </c>
      <c r="B3280" s="240">
        <f>IFERROR(1/P3280-1,B3279)</f>
        <v/>
      </c>
      <c r="C3280" s="240">
        <f>$C$3</f>
        <v/>
      </c>
      <c r="D3280" s="240">
        <f>$D$3</f>
        <v/>
      </c>
      <c r="E3280" s="240">
        <f>$E$3</f>
        <v/>
      </c>
      <c r="F3280" s="241" t="n">
        <v>10.62</v>
      </c>
      <c r="G3280" s="242" t="n">
        <v>18227407</v>
      </c>
      <c r="H3280" s="241" t="n">
        <v>-1.21</v>
      </c>
      <c r="I3280" s="241" t="n">
        <v>-2.92</v>
      </c>
      <c r="J3280" s="241" t="n">
        <v>34.6</v>
      </c>
      <c r="K3280" s="241" t="n">
        <v>4.49</v>
      </c>
      <c r="L3280" s="242" t="n">
        <v>1145996</v>
      </c>
      <c r="M3280" s="241" t="n">
        <v>-2.86</v>
      </c>
      <c r="N3280" s="241" t="n">
        <v>-1.16</v>
      </c>
      <c r="O3280" s="241" t="n">
        <v>10.39</v>
      </c>
      <c r="P3280" s="241" t="n">
        <v>2.37</v>
      </c>
    </row>
    <row r="3281">
      <c r="A3281" s="282" t="inlineStr">
        <is>
          <t>2019-07-01</t>
        </is>
      </c>
      <c r="B3281" s="240">
        <f>IFERROR(1/P3281-1,B3280)</f>
        <v/>
      </c>
      <c r="C3281" s="240">
        <f>$C$3</f>
        <v/>
      </c>
      <c r="D3281" s="240">
        <f>$D$3</f>
        <v/>
      </c>
      <c r="E3281" s="240">
        <f>$E$3</f>
        <v/>
      </c>
      <c r="F3281" s="241" t="n">
        <v>10.99</v>
      </c>
      <c r="G3281" s="242" t="n">
        <v>42936739</v>
      </c>
      <c r="H3281" s="241" t="n">
        <v>3.48</v>
      </c>
      <c r="I3281" s="241" t="n">
        <v>6.7</v>
      </c>
      <c r="J3281" s="241" t="n">
        <v>39.29</v>
      </c>
      <c r="K3281" s="239" t="inlineStr">
        <is>
          <t>--</t>
        </is>
      </c>
      <c r="L3281" s="239" t="inlineStr">
        <is>
          <t>--</t>
        </is>
      </c>
      <c r="M3281" s="239" t="inlineStr">
        <is>
          <t>--</t>
        </is>
      </c>
      <c r="N3281" s="239" t="inlineStr">
        <is>
          <t>--</t>
        </is>
      </c>
      <c r="O3281" s="239" t="inlineStr">
        <is>
          <t>--</t>
        </is>
      </c>
      <c r="P3281" s="239" t="inlineStr">
        <is>
          <t>--</t>
        </is>
      </c>
    </row>
    <row r="3282">
      <c r="A3282" s="282" t="inlineStr">
        <is>
          <t>2019-07-02</t>
        </is>
      </c>
      <c r="B3282" s="240">
        <f>IFERROR(1/P3282-1,B3281)</f>
        <v/>
      </c>
      <c r="C3282" s="240">
        <f>$C$3</f>
        <v/>
      </c>
      <c r="D3282" s="240">
        <f>$D$3</f>
        <v/>
      </c>
      <c r="E3282" s="240">
        <f>$E$3</f>
        <v/>
      </c>
      <c r="F3282" s="241" t="n">
        <v>11.02</v>
      </c>
      <c r="G3282" s="242" t="n">
        <v>31280683</v>
      </c>
      <c r="H3282" s="241" t="n">
        <v>0.27</v>
      </c>
      <c r="I3282" s="241" t="n">
        <v>6.99</v>
      </c>
      <c r="J3282" s="241" t="n">
        <v>39.67</v>
      </c>
      <c r="K3282" s="241" t="n">
        <v>4.55</v>
      </c>
      <c r="L3282" s="242" t="n">
        <v>2121984</v>
      </c>
      <c r="M3282" s="241" t="n">
        <v>1.76</v>
      </c>
      <c r="N3282" s="241" t="n">
        <v>1.37</v>
      </c>
      <c r="O3282" s="241" t="n">
        <v>12.34</v>
      </c>
      <c r="P3282" s="241" t="n">
        <v>2.42</v>
      </c>
    </row>
    <row r="3283">
      <c r="A3283" s="282" t="inlineStr">
        <is>
          <t>2019-07-03</t>
        </is>
      </c>
      <c r="B3283" s="240">
        <f>IFERROR(1/P3283-1,B3282)</f>
        <v/>
      </c>
      <c r="C3283" s="240">
        <f>$C$3</f>
        <v/>
      </c>
      <c r="D3283" s="240">
        <f>$D$3</f>
        <v/>
      </c>
      <c r="E3283" s="240">
        <f>$E$3</f>
        <v/>
      </c>
      <c r="F3283" s="241" t="n">
        <v>10.81</v>
      </c>
      <c r="G3283" s="242" t="n">
        <v>22407083</v>
      </c>
      <c r="H3283" s="241" t="n">
        <v>-1.91</v>
      </c>
      <c r="I3283" s="241" t="n">
        <v>4.95</v>
      </c>
      <c r="J3283" s="241" t="n">
        <v>37.01</v>
      </c>
      <c r="K3283" s="241" t="n">
        <v>4.49</v>
      </c>
      <c r="L3283" s="242" t="n">
        <v>1358030</v>
      </c>
      <c r="M3283" s="241" t="n">
        <v>-1.73</v>
      </c>
      <c r="N3283" s="241" t="n">
        <v>-0.39</v>
      </c>
      <c r="O3283" s="241" t="n">
        <v>10.39</v>
      </c>
      <c r="P3283" s="241" t="n">
        <v>2.41</v>
      </c>
    </row>
    <row r="3284">
      <c r="A3284" s="282" t="inlineStr">
        <is>
          <t>2019-07-04</t>
        </is>
      </c>
      <c r="B3284" s="240">
        <f>IFERROR(1/P3284-1,B3283)</f>
        <v/>
      </c>
      <c r="C3284" s="240">
        <f>$C$3</f>
        <v/>
      </c>
      <c r="D3284" s="240">
        <f>$D$3</f>
        <v/>
      </c>
      <c r="E3284" s="240">
        <f>$E$3</f>
        <v/>
      </c>
      <c r="F3284" s="241" t="n">
        <v>10.73</v>
      </c>
      <c r="G3284" s="242" t="n">
        <v>18155770</v>
      </c>
      <c r="H3284" s="241" t="n">
        <v>-0.74</v>
      </c>
      <c r="I3284" s="241" t="n">
        <v>6.03</v>
      </c>
      <c r="J3284" s="241" t="n">
        <v>35.99</v>
      </c>
      <c r="K3284" s="241" t="n">
        <v>4.53</v>
      </c>
      <c r="L3284" s="242" t="n">
        <v>415200</v>
      </c>
      <c r="M3284" s="241" t="n">
        <v>0.78</v>
      </c>
      <c r="N3284" s="241" t="n">
        <v>0.78</v>
      </c>
      <c r="O3284" s="241" t="n">
        <v>11.26</v>
      </c>
      <c r="P3284" s="241" t="n">
        <v>2.37</v>
      </c>
    </row>
    <row r="3285">
      <c r="A3285" s="282" t="inlineStr">
        <is>
          <t>2019-07-05</t>
        </is>
      </c>
      <c r="B3285" s="240">
        <f>IFERROR(1/P3285-1,B3284)</f>
        <v/>
      </c>
      <c r="C3285" s="240">
        <f>$C$3</f>
        <v/>
      </c>
      <c r="D3285" s="240">
        <f>$D$3</f>
        <v/>
      </c>
      <c r="E3285" s="240">
        <f>$E$3</f>
        <v/>
      </c>
      <c r="F3285" s="241" t="n">
        <v>10.77</v>
      </c>
      <c r="G3285" s="242" t="n">
        <v>14391161</v>
      </c>
      <c r="H3285" s="241" t="n">
        <v>0.37</v>
      </c>
      <c r="I3285" s="241" t="n">
        <v>6.63</v>
      </c>
      <c r="J3285" s="241" t="n">
        <v>36.5</v>
      </c>
      <c r="K3285" s="241" t="n">
        <v>4.5</v>
      </c>
      <c r="L3285" s="242" t="n">
        <v>977200</v>
      </c>
      <c r="M3285" s="241" t="n">
        <v>-0.78</v>
      </c>
      <c r="N3285" s="241" t="n">
        <v>-0.78</v>
      </c>
      <c r="O3285" s="241" t="n">
        <v>10.39</v>
      </c>
      <c r="P3285" s="241" t="n">
        <v>2.39</v>
      </c>
    </row>
    <row r="3286">
      <c r="A3286" s="282" t="inlineStr">
        <is>
          <t>2019-07-08</t>
        </is>
      </c>
      <c r="B3286" s="240">
        <f>IFERROR(1/P3286-1,B3285)</f>
        <v/>
      </c>
      <c r="C3286" s="240">
        <f>$C$3</f>
        <v/>
      </c>
      <c r="D3286" s="240">
        <f>$D$3</f>
        <v/>
      </c>
      <c r="E3286" s="240">
        <f>$E$3</f>
        <v/>
      </c>
      <c r="F3286" s="241" t="n">
        <v>10.2</v>
      </c>
      <c r="G3286" s="242" t="n">
        <v>28630955</v>
      </c>
      <c r="H3286" s="241" t="n">
        <v>-5.29</v>
      </c>
      <c r="I3286" s="241" t="n">
        <v>1.69</v>
      </c>
      <c r="J3286" s="241" t="n">
        <v>29.28</v>
      </c>
      <c r="K3286" s="241" t="n">
        <v>4.4</v>
      </c>
      <c r="L3286" s="242" t="n">
        <v>1392056</v>
      </c>
      <c r="M3286" s="241" t="n">
        <v>-2.35</v>
      </c>
      <c r="N3286" s="241" t="n">
        <v>-2.54</v>
      </c>
      <c r="O3286" s="241" t="n">
        <v>7.79</v>
      </c>
      <c r="P3286" s="241" t="n">
        <v>2.32</v>
      </c>
    </row>
    <row r="3287">
      <c r="A3287" s="282" t="inlineStr">
        <is>
          <t>2019-07-09</t>
        </is>
      </c>
      <c r="B3287" s="240">
        <f>IFERROR(1/P3287-1,B3286)</f>
        <v/>
      </c>
      <c r="C3287" s="240">
        <f>$C$3</f>
        <v/>
      </c>
      <c r="D3287" s="240">
        <f>$D$3</f>
        <v/>
      </c>
      <c r="E3287" s="240">
        <f>$E$3</f>
        <v/>
      </c>
      <c r="F3287" s="241" t="n">
        <v>10.25</v>
      </c>
      <c r="G3287" s="242" t="n">
        <v>12690092</v>
      </c>
      <c r="H3287" s="241" t="n">
        <v>0.49</v>
      </c>
      <c r="I3287" s="241" t="n">
        <v>2.19</v>
      </c>
      <c r="J3287" s="241" t="n">
        <v>29.91</v>
      </c>
      <c r="K3287" s="241" t="n">
        <v>4.36</v>
      </c>
      <c r="L3287" s="242" t="n">
        <v>1032800</v>
      </c>
      <c r="M3287" s="241" t="n">
        <v>-0.8</v>
      </c>
      <c r="N3287" s="241" t="n">
        <v>-3.33</v>
      </c>
      <c r="O3287" s="241" t="n">
        <v>6.93</v>
      </c>
      <c r="P3287" s="241" t="n">
        <v>2.35</v>
      </c>
    </row>
    <row r="3288">
      <c r="A3288" s="282" t="inlineStr">
        <is>
          <t>2019-07-10</t>
        </is>
      </c>
      <c r="B3288" s="240">
        <f>IFERROR(1/P3288-1,B3287)</f>
        <v/>
      </c>
      <c r="C3288" s="240">
        <f>$C$3</f>
        <v/>
      </c>
      <c r="D3288" s="240">
        <f>$D$3</f>
        <v/>
      </c>
      <c r="E3288" s="240">
        <f>$E$3</f>
        <v/>
      </c>
      <c r="F3288" s="241" t="n">
        <v>10.1</v>
      </c>
      <c r="G3288" s="242" t="n">
        <v>12611437</v>
      </c>
      <c r="H3288" s="241" t="n">
        <v>-1.46</v>
      </c>
      <c r="I3288" s="241" t="n">
        <v>0.7</v>
      </c>
      <c r="J3288" s="241" t="n">
        <v>28.01</v>
      </c>
      <c r="K3288" s="241" t="n">
        <v>4.2</v>
      </c>
      <c r="L3288" s="242" t="n">
        <v>970800</v>
      </c>
      <c r="M3288" s="241" t="n">
        <v>-1.14</v>
      </c>
      <c r="N3288" s="241" t="n">
        <v>-4.43</v>
      </c>
      <c r="O3288" s="241" t="n">
        <v>5.71</v>
      </c>
      <c r="P3288" s="241" t="n">
        <v>2.41</v>
      </c>
    </row>
    <row r="3289">
      <c r="A3289" s="282" t="inlineStr">
        <is>
          <t>2019-07-11</t>
        </is>
      </c>
      <c r="B3289" s="240">
        <f>IFERROR(1/P3289-1,B3288)</f>
        <v/>
      </c>
      <c r="C3289" s="240">
        <f>$C$3</f>
        <v/>
      </c>
      <c r="D3289" s="240">
        <f>$D$3</f>
        <v/>
      </c>
      <c r="E3289" s="240">
        <f>$E$3</f>
        <v/>
      </c>
      <c r="F3289" s="241" t="n">
        <v>10.11</v>
      </c>
      <c r="G3289" s="242" t="n">
        <v>11097634</v>
      </c>
      <c r="H3289" s="241" t="n">
        <v>0.1</v>
      </c>
      <c r="I3289" s="241" t="n">
        <v>0.1</v>
      </c>
      <c r="J3289" s="241" t="n">
        <v>28.14</v>
      </c>
      <c r="K3289" s="241" t="n">
        <v>4.22</v>
      </c>
      <c r="L3289" s="242" t="n">
        <v>706602</v>
      </c>
      <c r="M3289" s="241" t="n">
        <v>0.84</v>
      </c>
      <c r="N3289" s="241" t="n">
        <v>-5.84</v>
      </c>
      <c r="O3289" s="241" t="n">
        <v>6.6</v>
      </c>
      <c r="P3289" s="241" t="n">
        <v>2.4</v>
      </c>
    </row>
    <row r="3290">
      <c r="A3290" s="282" t="inlineStr">
        <is>
          <t>2019-07-12</t>
        </is>
      </c>
      <c r="B3290" s="240">
        <f>IFERROR(1/P3290-1,B3289)</f>
        <v/>
      </c>
      <c r="C3290" s="240">
        <f>$C$3</f>
        <v/>
      </c>
      <c r="D3290" s="240">
        <f>$D$3</f>
        <v/>
      </c>
      <c r="E3290" s="240">
        <f>$E$3</f>
        <v/>
      </c>
      <c r="F3290" s="241" t="n">
        <v>10.12</v>
      </c>
      <c r="G3290" s="242" t="n">
        <v>12173240</v>
      </c>
      <c r="H3290" s="241" t="n">
        <v>0.1</v>
      </c>
      <c r="I3290" s="241" t="n">
        <v>-3.44</v>
      </c>
      <c r="J3290" s="241" t="n">
        <v>28.26</v>
      </c>
      <c r="K3290" s="241" t="n">
        <v>4.33</v>
      </c>
      <c r="L3290" s="242" t="n">
        <v>1017200</v>
      </c>
      <c r="M3290" s="241" t="n">
        <v>2.71</v>
      </c>
      <c r="N3290" s="241" t="n">
        <v>-5.45</v>
      </c>
      <c r="O3290" s="241" t="n">
        <v>9.48</v>
      </c>
      <c r="P3290" s="241" t="n">
        <v>2.34</v>
      </c>
    </row>
    <row r="3291">
      <c r="A3291" s="282" t="inlineStr">
        <is>
          <t>2019-07-15</t>
        </is>
      </c>
      <c r="B3291" s="240">
        <f>IFERROR(1/P3291-1,B3290)</f>
        <v/>
      </c>
      <c r="C3291" s="240">
        <f>$C$3</f>
        <v/>
      </c>
      <c r="D3291" s="240">
        <f>$D$3</f>
        <v/>
      </c>
      <c r="E3291" s="240">
        <f>$E$3</f>
        <v/>
      </c>
      <c r="F3291" s="241" t="n">
        <v>10.26</v>
      </c>
      <c r="G3291" s="242" t="n">
        <v>18315098</v>
      </c>
      <c r="H3291" s="241" t="n">
        <v>1.38</v>
      </c>
      <c r="I3291" s="241" t="n">
        <v>-0.19</v>
      </c>
      <c r="J3291" s="241" t="n">
        <v>30.04</v>
      </c>
      <c r="K3291" s="241" t="n">
        <v>4.3</v>
      </c>
      <c r="L3291" s="242" t="n">
        <v>352200</v>
      </c>
      <c r="M3291" s="241" t="n">
        <v>-0.61</v>
      </c>
      <c r="N3291" s="241" t="n">
        <v>-0.84</v>
      </c>
      <c r="O3291" s="241" t="n">
        <v>8.82</v>
      </c>
      <c r="P3291" s="241" t="n">
        <v>2.39</v>
      </c>
    </row>
    <row r="3292">
      <c r="A3292" s="282" t="inlineStr">
        <is>
          <t>2019-07-16</t>
        </is>
      </c>
      <c r="B3292" s="240">
        <f>IFERROR(1/P3292-1,B3291)</f>
        <v/>
      </c>
      <c r="C3292" s="240">
        <f>$C$3</f>
        <v/>
      </c>
      <c r="D3292" s="240">
        <f>$D$3</f>
        <v/>
      </c>
      <c r="E3292" s="240">
        <f>$E$3</f>
        <v/>
      </c>
      <c r="F3292" s="241" t="n">
        <v>10.27</v>
      </c>
      <c r="G3292" s="242" t="n">
        <v>10288961</v>
      </c>
      <c r="H3292" s="241" t="n">
        <v>0.1</v>
      </c>
      <c r="I3292" s="241" t="n">
        <v>-0.1</v>
      </c>
      <c r="J3292" s="241" t="n">
        <v>30.16</v>
      </c>
      <c r="K3292" s="241" t="n">
        <v>4.29</v>
      </c>
      <c r="L3292" s="242" t="n">
        <v>202200</v>
      </c>
      <c r="M3292" s="241" t="n">
        <v>-0.2</v>
      </c>
      <c r="N3292" s="241" t="n">
        <v>-1.04</v>
      </c>
      <c r="O3292" s="241" t="n">
        <v>8.6</v>
      </c>
      <c r="P3292" s="241" t="n">
        <v>2.39</v>
      </c>
    </row>
    <row r="3293">
      <c r="A3293" s="282" t="inlineStr">
        <is>
          <t>2019-07-17</t>
        </is>
      </c>
      <c r="B3293" s="240">
        <f>IFERROR(1/P3293-1,B3292)</f>
        <v/>
      </c>
      <c r="C3293" s="240">
        <f>$C$3</f>
        <v/>
      </c>
      <c r="D3293" s="240">
        <f>$D$3</f>
        <v/>
      </c>
      <c r="E3293" s="240">
        <f>$E$3</f>
        <v/>
      </c>
      <c r="F3293" s="241" t="n">
        <v>10.37</v>
      </c>
      <c r="G3293" s="242" t="n">
        <v>19290406</v>
      </c>
      <c r="H3293" s="241" t="n">
        <v>0.97</v>
      </c>
      <c r="I3293" s="241" t="n">
        <v>0.88</v>
      </c>
      <c r="J3293" s="241" t="n">
        <v>31.43</v>
      </c>
      <c r="K3293" s="241" t="n">
        <v>4.32</v>
      </c>
      <c r="L3293" s="242" t="n">
        <v>570970</v>
      </c>
      <c r="M3293" s="241" t="n">
        <v>0.41</v>
      </c>
      <c r="N3293" s="241" t="n">
        <v>-0.64</v>
      </c>
      <c r="O3293" s="241" t="n">
        <v>9.039999999999999</v>
      </c>
      <c r="P3293" s="241" t="n">
        <v>2.4</v>
      </c>
    </row>
    <row r="3294">
      <c r="A3294" s="282" t="inlineStr">
        <is>
          <t>2019-07-18</t>
        </is>
      </c>
      <c r="B3294" s="240">
        <f>IFERROR(1/P3294-1,B3293)</f>
        <v/>
      </c>
      <c r="C3294" s="240">
        <f>$C$3</f>
        <v/>
      </c>
      <c r="D3294" s="240">
        <f>$D$3</f>
        <v/>
      </c>
      <c r="E3294" s="240">
        <f>$E$3</f>
        <v/>
      </c>
      <c r="F3294" s="241" t="n">
        <v>10.1</v>
      </c>
      <c r="G3294" s="242" t="n">
        <v>13729081</v>
      </c>
      <c r="H3294" s="241" t="n">
        <v>-2.6</v>
      </c>
      <c r="I3294" s="241" t="n">
        <v>-2.51</v>
      </c>
      <c r="J3294" s="241" t="n">
        <v>28.01</v>
      </c>
      <c r="K3294" s="241" t="n">
        <v>4.25</v>
      </c>
      <c r="L3294" s="242" t="n">
        <v>578250</v>
      </c>
      <c r="M3294" s="241" t="n">
        <v>-1.63</v>
      </c>
      <c r="N3294" s="241" t="n">
        <v>-2.26</v>
      </c>
      <c r="O3294" s="241" t="n">
        <v>7.26</v>
      </c>
      <c r="P3294" s="241" t="n">
        <v>2.38</v>
      </c>
    </row>
    <row r="3295">
      <c r="A3295" s="282" t="inlineStr">
        <is>
          <t>2019-07-19</t>
        </is>
      </c>
      <c r="B3295" s="240">
        <f>IFERROR(1/P3295-1,B3294)</f>
        <v/>
      </c>
      <c r="C3295" s="240">
        <f>$C$3</f>
        <v/>
      </c>
      <c r="D3295" s="240">
        <f>$D$3</f>
        <v/>
      </c>
      <c r="E3295" s="240">
        <f>$E$3</f>
        <v/>
      </c>
      <c r="F3295" s="241" t="n">
        <v>10.25</v>
      </c>
      <c r="G3295" s="242" t="n">
        <v>16295801</v>
      </c>
      <c r="H3295" s="241" t="n">
        <v>1.49</v>
      </c>
      <c r="I3295" s="241" t="n">
        <v>-1.35</v>
      </c>
      <c r="J3295" s="241" t="n">
        <v>29.91</v>
      </c>
      <c r="K3295" s="241" t="n">
        <v>4.3</v>
      </c>
      <c r="L3295" s="242" t="n">
        <v>694800</v>
      </c>
      <c r="M3295" s="241" t="n">
        <v>1.45</v>
      </c>
      <c r="N3295" s="241" t="n">
        <v>-0.84</v>
      </c>
      <c r="O3295" s="241" t="n">
        <v>8.82</v>
      </c>
      <c r="P3295" s="241" t="n">
        <v>2.38</v>
      </c>
    </row>
    <row r="3296">
      <c r="A3296" s="282" t="inlineStr">
        <is>
          <t>2019-07-22</t>
        </is>
      </c>
      <c r="B3296" s="240">
        <f>IFERROR(1/P3296-1,B3295)</f>
        <v/>
      </c>
      <c r="C3296" s="240">
        <f>$C$3</f>
        <v/>
      </c>
      <c r="D3296" s="240">
        <f>$D$3</f>
        <v/>
      </c>
      <c r="E3296" s="240">
        <f>$E$3</f>
        <v/>
      </c>
      <c r="F3296" s="241" t="n">
        <v>10.14</v>
      </c>
      <c r="G3296" s="242" t="n">
        <v>13351157</v>
      </c>
      <c r="H3296" s="241" t="n">
        <v>-1.07</v>
      </c>
      <c r="I3296" s="241" t="n">
        <v>-6.72</v>
      </c>
      <c r="J3296" s="241" t="n">
        <v>28.52</v>
      </c>
      <c r="K3296" s="241" t="n">
        <v>4.21</v>
      </c>
      <c r="L3296" s="242" t="n">
        <v>539200</v>
      </c>
      <c r="M3296" s="241" t="n">
        <v>-2.45</v>
      </c>
      <c r="N3296" s="241" t="n">
        <v>-7.81</v>
      </c>
      <c r="O3296" s="241" t="n">
        <v>6.15</v>
      </c>
      <c r="P3296" s="241" t="n">
        <v>2.41</v>
      </c>
    </row>
    <row r="3297">
      <c r="A3297" s="282" t="inlineStr">
        <is>
          <t>2019-07-23</t>
        </is>
      </c>
      <c r="B3297" s="240">
        <f>IFERROR(1/P3297-1,B3296)</f>
        <v/>
      </c>
      <c r="C3297" s="240">
        <f>$C$3</f>
        <v/>
      </c>
      <c r="D3297" s="240">
        <f>$D$3</f>
        <v/>
      </c>
      <c r="E3297" s="240">
        <f>$E$3</f>
        <v/>
      </c>
      <c r="F3297" s="241" t="n">
        <v>10.19</v>
      </c>
      <c r="G3297" s="242" t="n">
        <v>8806773</v>
      </c>
      <c r="H3297" s="241" t="n">
        <v>0.49</v>
      </c>
      <c r="I3297" s="241" t="n">
        <v>-6.26</v>
      </c>
      <c r="J3297" s="241" t="n">
        <v>29.15</v>
      </c>
      <c r="K3297" s="241" t="n">
        <v>4.22</v>
      </c>
      <c r="L3297" s="242" t="n">
        <v>788600</v>
      </c>
      <c r="M3297" s="241" t="n">
        <v>0.21</v>
      </c>
      <c r="N3297" s="241" t="n">
        <v>-7.62</v>
      </c>
      <c r="O3297" s="241" t="n">
        <v>6.38</v>
      </c>
      <c r="P3297" s="241" t="n">
        <v>2.41</v>
      </c>
    </row>
    <row r="3298">
      <c r="A3298" s="282" t="inlineStr">
        <is>
          <t>2019-07-24</t>
        </is>
      </c>
      <c r="B3298" s="240">
        <f>IFERROR(1/P3298-1,B3297)</f>
        <v/>
      </c>
      <c r="C3298" s="240">
        <f>$C$3</f>
        <v/>
      </c>
      <c r="D3298" s="240">
        <f>$D$3</f>
        <v/>
      </c>
      <c r="E3298" s="240">
        <f>$E$3</f>
        <v/>
      </c>
      <c r="F3298" s="241" t="n">
        <v>10.33</v>
      </c>
      <c r="G3298" s="242" t="n">
        <v>14798811</v>
      </c>
      <c r="H3298" s="241" t="n">
        <v>1.37</v>
      </c>
      <c r="I3298" s="241" t="n">
        <v>-4.97</v>
      </c>
      <c r="J3298" s="241" t="n">
        <v>30.93</v>
      </c>
      <c r="K3298" s="241" t="n">
        <v>4.19</v>
      </c>
      <c r="L3298" s="242" t="n">
        <v>1913800</v>
      </c>
      <c r="M3298" s="241" t="n">
        <v>-0.84</v>
      </c>
      <c r="N3298" s="241" t="n">
        <v>-8.390000000000001</v>
      </c>
      <c r="O3298" s="241" t="n">
        <v>5.49</v>
      </c>
      <c r="P3298" s="241" t="n">
        <v>2.47</v>
      </c>
    </row>
    <row r="3299">
      <c r="A3299" s="282" t="inlineStr">
        <is>
          <t>2019-07-25</t>
        </is>
      </c>
      <c r="B3299" s="240">
        <f>IFERROR(1/P3299-1,B3298)</f>
        <v/>
      </c>
      <c r="C3299" s="240">
        <f>$C$3</f>
        <v/>
      </c>
      <c r="D3299" s="240">
        <f>$D$3</f>
        <v/>
      </c>
      <c r="E3299" s="240">
        <f>$E$3</f>
        <v/>
      </c>
      <c r="F3299" s="241" t="n">
        <v>10.28</v>
      </c>
      <c r="G3299" s="242" t="n">
        <v>8613195</v>
      </c>
      <c r="H3299" s="241" t="n">
        <v>-0.48</v>
      </c>
      <c r="I3299" s="241" t="n">
        <v>-4.28</v>
      </c>
      <c r="J3299" s="241" t="n">
        <v>30.29</v>
      </c>
      <c r="K3299" s="241" t="n">
        <v>4.29</v>
      </c>
      <c r="L3299" s="242" t="n">
        <v>825352</v>
      </c>
      <c r="M3299" s="241" t="n">
        <v>2.74</v>
      </c>
      <c r="N3299" s="241" t="n">
        <v>-4.81</v>
      </c>
      <c r="O3299" s="241" t="n">
        <v>8.369999999999999</v>
      </c>
      <c r="P3299" s="241" t="n">
        <v>2.39</v>
      </c>
    </row>
    <row r="3300">
      <c r="A3300" s="282" t="inlineStr">
        <is>
          <t>2019-07-26</t>
        </is>
      </c>
      <c r="B3300" s="240">
        <f>IFERROR(1/P3300-1,B3299)</f>
        <v/>
      </c>
      <c r="C3300" s="240">
        <f>$C$3</f>
        <v/>
      </c>
      <c r="D3300" s="240">
        <f>$D$3</f>
        <v/>
      </c>
      <c r="E3300" s="240">
        <f>$E$3</f>
        <v/>
      </c>
      <c r="F3300" s="241" t="n">
        <v>10.26</v>
      </c>
      <c r="G3300" s="242" t="n">
        <v>9446046</v>
      </c>
      <c r="H3300" s="241" t="n">
        <v>-0.19</v>
      </c>
      <c r="I3300" s="241" t="n">
        <v>-3.02</v>
      </c>
      <c r="J3300" s="241" t="n">
        <v>30.04</v>
      </c>
      <c r="K3300" s="241" t="n">
        <v>4.32</v>
      </c>
      <c r="L3300" s="242" t="n">
        <v>819800</v>
      </c>
      <c r="M3300" s="241" t="n">
        <v>0.61</v>
      </c>
      <c r="N3300" s="241" t="n">
        <v>-0.83</v>
      </c>
      <c r="O3300" s="241" t="n">
        <v>9.039999999999999</v>
      </c>
      <c r="P3300" s="241" t="n">
        <v>2.37</v>
      </c>
    </row>
    <row r="3301">
      <c r="A3301" s="282" t="inlineStr">
        <is>
          <t>2019-07-29</t>
        </is>
      </c>
      <c r="B3301" s="240">
        <f>IFERROR(1/P3301-1,B3300)</f>
        <v/>
      </c>
      <c r="C3301" s="240">
        <f>$C$3</f>
        <v/>
      </c>
      <c r="D3301" s="240">
        <f>$D$3</f>
        <v/>
      </c>
      <c r="E3301" s="240">
        <f>$E$3</f>
        <v/>
      </c>
      <c r="F3301" s="241" t="n">
        <v>10.25</v>
      </c>
      <c r="G3301" s="242" t="n">
        <v>8370677</v>
      </c>
      <c r="H3301" s="241" t="n">
        <v>-0.1</v>
      </c>
      <c r="I3301" s="241" t="n">
        <v>-3.48</v>
      </c>
      <c r="J3301" s="241" t="n">
        <v>29.91</v>
      </c>
      <c r="K3301" s="241" t="n">
        <v>4.3</v>
      </c>
      <c r="L3301" s="242" t="n">
        <v>642232</v>
      </c>
      <c r="M3301" s="241" t="n">
        <v>-0.61</v>
      </c>
      <c r="N3301" s="241" t="n">
        <v>-1.83</v>
      </c>
      <c r="O3301" s="241" t="n">
        <v>8.369999999999999</v>
      </c>
      <c r="P3301" s="241" t="n">
        <v>2.39</v>
      </c>
    </row>
    <row r="3302">
      <c r="A3302" s="282" t="inlineStr">
        <is>
          <t>2019-07-30</t>
        </is>
      </c>
      <c r="B3302" s="240">
        <f>IFERROR(1/P3302-1,B3301)</f>
        <v/>
      </c>
      <c r="C3302" s="240">
        <f>$C$3</f>
        <v/>
      </c>
      <c r="D3302" s="240">
        <f>$D$3</f>
        <v/>
      </c>
      <c r="E3302" s="240">
        <f>$E$3</f>
        <v/>
      </c>
      <c r="F3302" s="241" t="n">
        <v>10.28</v>
      </c>
      <c r="G3302" s="242" t="n">
        <v>12270698</v>
      </c>
      <c r="H3302" s="241" t="n">
        <v>0.29</v>
      </c>
      <c r="I3302" s="241" t="n">
        <v>-3.2</v>
      </c>
      <c r="J3302" s="241" t="n">
        <v>30.29</v>
      </c>
      <c r="K3302" s="241" t="n">
        <v>4.31</v>
      </c>
      <c r="L3302" s="242" t="n">
        <v>1355600</v>
      </c>
      <c r="M3302" s="241" t="n">
        <v>0.2</v>
      </c>
      <c r="N3302" s="241" t="n">
        <v>-1.62</v>
      </c>
      <c r="O3302" s="241" t="n">
        <v>8.6</v>
      </c>
      <c r="P3302" s="241" t="n">
        <v>2.39</v>
      </c>
    </row>
    <row r="3303">
      <c r="A3303" s="282" t="inlineStr">
        <is>
          <t>2019-07-31</t>
        </is>
      </c>
      <c r="B3303" s="240">
        <f>IFERROR(1/P3303-1,B3302)</f>
        <v/>
      </c>
      <c r="C3303" s="240">
        <f>$C$3</f>
        <v/>
      </c>
      <c r="D3303" s="240">
        <f>$D$3</f>
        <v/>
      </c>
      <c r="E3303" s="240">
        <f>$E$3</f>
        <v/>
      </c>
      <c r="F3303" s="241" t="n">
        <v>10.16</v>
      </c>
      <c r="G3303" s="242" t="n">
        <v>10173701</v>
      </c>
      <c r="H3303" s="241" t="n">
        <v>-1.17</v>
      </c>
      <c r="I3303" s="241" t="n">
        <v>-4.33</v>
      </c>
      <c r="J3303" s="241" t="n">
        <v>28.77</v>
      </c>
      <c r="K3303" s="241" t="n">
        <v>4.15</v>
      </c>
      <c r="L3303" s="242" t="n">
        <v>883200</v>
      </c>
      <c r="M3303" s="241" t="n">
        <v>-3.48</v>
      </c>
      <c r="N3303" s="241" t="n">
        <v>-5.04</v>
      </c>
      <c r="O3303" s="241" t="n">
        <v>4.82</v>
      </c>
      <c r="P3303" s="241" t="n">
        <v>2.45</v>
      </c>
    </row>
    <row r="3304">
      <c r="A3304" s="282" t="inlineStr">
        <is>
          <t>2019-08-01</t>
        </is>
      </c>
      <c r="B3304" s="240">
        <f>IFERROR(1/P3304-1,B3303)</f>
        <v/>
      </c>
      <c r="C3304" s="240">
        <f>$C$3</f>
        <v/>
      </c>
      <c r="D3304" s="240">
        <f>$D$3</f>
        <v/>
      </c>
      <c r="E3304" s="240">
        <f>$E$3</f>
        <v/>
      </c>
      <c r="F3304" s="241" t="n">
        <v>10.04</v>
      </c>
      <c r="G3304" s="242" t="n">
        <v>13542257</v>
      </c>
      <c r="H3304" s="241" t="n">
        <v>-1.18</v>
      </c>
      <c r="I3304" s="241" t="n">
        <v>-5.46</v>
      </c>
      <c r="J3304" s="241" t="n">
        <v>27.25</v>
      </c>
      <c r="K3304" s="241" t="n">
        <v>4.14</v>
      </c>
      <c r="L3304" s="242" t="n">
        <v>1962694</v>
      </c>
      <c r="M3304" s="241" t="n">
        <v>-0.42</v>
      </c>
      <c r="N3304" s="241" t="n">
        <v>-5.45</v>
      </c>
      <c r="O3304" s="241" t="n">
        <v>4.38</v>
      </c>
      <c r="P3304" s="241" t="n">
        <v>2.43</v>
      </c>
    </row>
    <row r="3305">
      <c r="A3305" s="282" t="inlineStr">
        <is>
          <t>2019-08-02</t>
        </is>
      </c>
      <c r="B3305" s="240">
        <f>IFERROR(1/P3305-1,B3304)</f>
        <v/>
      </c>
      <c r="C3305" s="240">
        <f>$C$3</f>
        <v/>
      </c>
      <c r="D3305" s="240">
        <f>$D$3</f>
        <v/>
      </c>
      <c r="E3305" s="240">
        <f>$E$3</f>
        <v/>
      </c>
      <c r="F3305" s="241" t="n">
        <v>9.58</v>
      </c>
      <c r="G3305" s="242" t="n">
        <v>32690762</v>
      </c>
      <c r="H3305" s="241" t="n">
        <v>-4.58</v>
      </c>
      <c r="I3305" s="241" t="n">
        <v>-12.83</v>
      </c>
      <c r="J3305" s="241" t="n">
        <v>21.42</v>
      </c>
      <c r="K3305" s="241" t="n">
        <v>3.97</v>
      </c>
      <c r="L3305" s="242" t="n">
        <v>2446090</v>
      </c>
      <c r="M3305" s="241" t="n">
        <v>-4.26</v>
      </c>
      <c r="N3305" s="241" t="n">
        <v>-9.470000000000001</v>
      </c>
      <c r="O3305" s="241" t="n">
        <v>-0.06</v>
      </c>
      <c r="P3305" s="241" t="n">
        <v>2.41</v>
      </c>
    </row>
    <row r="3306">
      <c r="A3306" s="282" t="inlineStr">
        <is>
          <t>2019-08-05</t>
        </is>
      </c>
      <c r="B3306" s="240">
        <f>IFERROR(1/P3306-1,B3305)</f>
        <v/>
      </c>
      <c r="C3306" s="240">
        <f>$C$3</f>
        <v/>
      </c>
      <c r="D3306" s="240">
        <f>$D$3</f>
        <v/>
      </c>
      <c r="E3306" s="240">
        <f>$E$3</f>
        <v/>
      </c>
      <c r="F3306" s="241" t="n">
        <v>9.390000000000001</v>
      </c>
      <c r="G3306" s="242" t="n">
        <v>15077591</v>
      </c>
      <c r="H3306" s="241" t="n">
        <v>-1.98</v>
      </c>
      <c r="I3306" s="241" t="n">
        <v>-12.49</v>
      </c>
      <c r="J3306" s="241" t="n">
        <v>19.01</v>
      </c>
      <c r="K3306" s="241" t="n">
        <v>3.87</v>
      </c>
      <c r="L3306" s="242" t="n">
        <v>1755600</v>
      </c>
      <c r="M3306" s="241" t="n">
        <v>-2.89</v>
      </c>
      <c r="N3306" s="241" t="n">
        <v>-12.77</v>
      </c>
      <c r="O3306" s="241" t="n">
        <v>-2.95</v>
      </c>
      <c r="P3306" s="241" t="n">
        <v>2.43</v>
      </c>
    </row>
    <row r="3307">
      <c r="A3307" s="282" t="inlineStr">
        <is>
          <t>2019-08-06</t>
        </is>
      </c>
      <c r="B3307" s="240">
        <f>IFERROR(1/P3307-1,B3306)</f>
        <v/>
      </c>
      <c r="C3307" s="240">
        <f>$C$3</f>
        <v/>
      </c>
      <c r="D3307" s="240">
        <f>$D$3</f>
        <v/>
      </c>
      <c r="E3307" s="240">
        <f>$E$3</f>
        <v/>
      </c>
      <c r="F3307" s="241" t="n">
        <v>9.029999999999999</v>
      </c>
      <c r="G3307" s="242" t="n">
        <v>24196146</v>
      </c>
      <c r="H3307" s="241" t="n">
        <v>-3.83</v>
      </c>
      <c r="I3307" s="241" t="n">
        <v>-16.16</v>
      </c>
      <c r="J3307" s="241" t="n">
        <v>14.45</v>
      </c>
      <c r="K3307" s="241" t="n">
        <v>3.78</v>
      </c>
      <c r="L3307" s="242" t="n">
        <v>2421400</v>
      </c>
      <c r="M3307" s="241" t="n">
        <v>-2.75</v>
      </c>
      <c r="N3307" s="241" t="n">
        <v>-14.5</v>
      </c>
      <c r="O3307" s="241" t="n">
        <v>-5.62</v>
      </c>
      <c r="P3307" s="241" t="n">
        <v>2.39</v>
      </c>
    </row>
    <row r="3308">
      <c r="A3308" s="282" t="inlineStr">
        <is>
          <t>2019-08-07</t>
        </is>
      </c>
      <c r="B3308" s="240">
        <f>IFERROR(1/P3308-1,B3307)</f>
        <v/>
      </c>
      <c r="C3308" s="240">
        <f>$C$3</f>
        <v/>
      </c>
      <c r="D3308" s="240">
        <f>$D$3</f>
        <v/>
      </c>
      <c r="E3308" s="240">
        <f>$E$3</f>
        <v/>
      </c>
      <c r="F3308" s="241" t="n">
        <v>9.01</v>
      </c>
      <c r="G3308" s="242" t="n">
        <v>10016616</v>
      </c>
      <c r="H3308" s="241" t="n">
        <v>-0.22</v>
      </c>
      <c r="I3308" s="241" t="n">
        <v>-16.34</v>
      </c>
      <c r="J3308" s="241" t="n">
        <v>14.2</v>
      </c>
      <c r="K3308" s="241" t="n">
        <v>3.8</v>
      </c>
      <c r="L3308" s="242" t="n">
        <v>738600</v>
      </c>
      <c r="M3308" s="241" t="n">
        <v>0.24</v>
      </c>
      <c r="N3308" s="241" t="n">
        <v>-14.3</v>
      </c>
      <c r="O3308" s="241" t="n">
        <v>-5.39</v>
      </c>
      <c r="P3308" s="241" t="n">
        <v>2.37</v>
      </c>
    </row>
    <row r="3309">
      <c r="A3309" s="282" t="inlineStr">
        <is>
          <t>2019-08-08</t>
        </is>
      </c>
      <c r="B3309" s="240">
        <f>IFERROR(1/P3309-1,B3308)</f>
        <v/>
      </c>
      <c r="C3309" s="240">
        <f>$C$3</f>
        <v/>
      </c>
      <c r="D3309" s="240">
        <f>$D$3</f>
        <v/>
      </c>
      <c r="E3309" s="240">
        <f>$E$3</f>
        <v/>
      </c>
      <c r="F3309" s="241" t="n">
        <v>9.06</v>
      </c>
      <c r="G3309" s="242" t="n">
        <v>9166029</v>
      </c>
      <c r="H3309" s="241" t="n">
        <v>0.55</v>
      </c>
      <c r="I3309" s="241" t="n">
        <v>-15.88</v>
      </c>
      <c r="J3309" s="241" t="n">
        <v>14.83</v>
      </c>
      <c r="K3309" s="241" t="n">
        <v>3.85</v>
      </c>
      <c r="L3309" s="242" t="n">
        <v>938400</v>
      </c>
      <c r="M3309" s="241" t="n">
        <v>1.17</v>
      </c>
      <c r="N3309" s="241" t="n">
        <v>-13.29</v>
      </c>
      <c r="O3309" s="241" t="n">
        <v>-4.28</v>
      </c>
      <c r="P3309" s="241" t="n">
        <v>2.35</v>
      </c>
    </row>
    <row r="3310">
      <c r="A3310" s="282" t="inlineStr">
        <is>
          <t>2019-08-09</t>
        </is>
      </c>
      <c r="B3310" s="240">
        <f>IFERROR(1/P3310-1,B3309)</f>
        <v/>
      </c>
      <c r="C3310" s="240">
        <f>$C$3</f>
        <v/>
      </c>
      <c r="D3310" s="240">
        <f>$D$3</f>
        <v/>
      </c>
      <c r="E3310" s="240">
        <f>$E$3</f>
        <v/>
      </c>
      <c r="F3310" s="241" t="n">
        <v>8.92</v>
      </c>
      <c r="G3310" s="242" t="n">
        <v>11155246</v>
      </c>
      <c r="H3310" s="241" t="n">
        <v>-1.55</v>
      </c>
      <c r="I3310" s="241" t="n">
        <v>-12.55</v>
      </c>
      <c r="J3310" s="241" t="n">
        <v>13.05</v>
      </c>
      <c r="K3310" s="241" t="n">
        <v>3.8</v>
      </c>
      <c r="L3310" s="242" t="n">
        <v>536200</v>
      </c>
      <c r="M3310" s="241" t="n">
        <v>-1.39</v>
      </c>
      <c r="N3310" s="241" t="n">
        <v>-12.44</v>
      </c>
      <c r="O3310" s="241" t="n">
        <v>-5.62</v>
      </c>
      <c r="P3310" s="241" t="n">
        <v>2.35</v>
      </c>
    </row>
    <row r="3311">
      <c r="A3311" s="282" t="inlineStr">
        <is>
          <t>2019-08-12</t>
        </is>
      </c>
      <c r="B3311" s="240">
        <f>IFERROR(1/P3311-1,B3310)</f>
        <v/>
      </c>
      <c r="C3311" s="240">
        <f>$C$3</f>
        <v/>
      </c>
      <c r="D3311" s="240">
        <f>$D$3</f>
        <v/>
      </c>
      <c r="E3311" s="240">
        <f>$E$3</f>
        <v/>
      </c>
      <c r="F3311" s="241" t="n">
        <v>9.06</v>
      </c>
      <c r="G3311" s="242" t="n">
        <v>8255388</v>
      </c>
      <c r="H3311" s="241" t="n">
        <v>1.57</v>
      </c>
      <c r="I3311" s="241" t="n">
        <v>-10.39</v>
      </c>
      <c r="J3311" s="241" t="n">
        <v>14.83</v>
      </c>
      <c r="K3311" s="241" t="n">
        <v>3.83</v>
      </c>
      <c r="L3311" s="242" t="n">
        <v>481004</v>
      </c>
      <c r="M3311" s="241" t="n">
        <v>0.71</v>
      </c>
      <c r="N3311" s="241" t="n">
        <v>-10.83</v>
      </c>
      <c r="O3311" s="241" t="n">
        <v>-4.95</v>
      </c>
      <c r="P3311" s="241" t="n">
        <v>2.36</v>
      </c>
    </row>
    <row r="3312">
      <c r="A3312" s="282" t="inlineStr">
        <is>
          <t>2019-08-13</t>
        </is>
      </c>
      <c r="B3312" s="240">
        <f>IFERROR(1/P3312-1,B3311)</f>
        <v/>
      </c>
      <c r="C3312" s="240">
        <f>$C$3</f>
        <v/>
      </c>
      <c r="D3312" s="240">
        <f>$D$3</f>
        <v/>
      </c>
      <c r="E3312" s="240">
        <f>$E$3</f>
        <v/>
      </c>
      <c r="F3312" s="241" t="n">
        <v>9.02</v>
      </c>
      <c r="G3312" s="242" t="n">
        <v>6398851</v>
      </c>
      <c r="H3312" s="241" t="n">
        <v>-0.44</v>
      </c>
      <c r="I3312" s="241" t="n">
        <v>-10.87</v>
      </c>
      <c r="J3312" s="241" t="n">
        <v>14.32</v>
      </c>
      <c r="K3312" s="241" t="n">
        <v>3.71</v>
      </c>
      <c r="L3312" s="242" t="n">
        <v>1098600</v>
      </c>
      <c r="M3312" s="241" t="n">
        <v>-3.27</v>
      </c>
      <c r="N3312" s="241" t="n">
        <v>-16.02</v>
      </c>
      <c r="O3312" s="241" t="n">
        <v>-8.06</v>
      </c>
      <c r="P3312" s="241" t="n">
        <v>2.43</v>
      </c>
    </row>
    <row r="3313">
      <c r="A3313" s="282" t="inlineStr">
        <is>
          <t>2019-08-14</t>
        </is>
      </c>
      <c r="B3313" s="240">
        <f>IFERROR(1/P3313-1,B3312)</f>
        <v/>
      </c>
      <c r="C3313" s="240">
        <f>$C$3</f>
        <v/>
      </c>
      <c r="D3313" s="240">
        <f>$D$3</f>
        <v/>
      </c>
      <c r="E3313" s="240">
        <f>$E$3</f>
        <v/>
      </c>
      <c r="F3313" s="241" t="n">
        <v>9.039999999999999</v>
      </c>
      <c r="G3313" s="242" t="n">
        <v>8679301</v>
      </c>
      <c r="H3313" s="241" t="n">
        <v>0.22</v>
      </c>
      <c r="I3313" s="241" t="n">
        <v>-10.67</v>
      </c>
      <c r="J3313" s="241" t="n">
        <v>14.58</v>
      </c>
      <c r="K3313" s="241" t="n">
        <v>3.74</v>
      </c>
      <c r="L3313" s="242" t="n">
        <v>617200</v>
      </c>
      <c r="M3313" s="241" t="n">
        <v>0.72</v>
      </c>
      <c r="N3313" s="241" t="n">
        <v>-15.42</v>
      </c>
      <c r="O3313" s="241" t="n">
        <v>-7.39</v>
      </c>
      <c r="P3313" s="241" t="n">
        <v>2.42</v>
      </c>
    </row>
    <row r="3314">
      <c r="A3314" s="282" t="inlineStr">
        <is>
          <t>2019-08-15</t>
        </is>
      </c>
      <c r="B3314" s="240">
        <f>IFERROR(1/P3314-1,B3313)</f>
        <v/>
      </c>
      <c r="C3314" s="240">
        <f>$C$3</f>
        <v/>
      </c>
      <c r="D3314" s="240">
        <f>$D$3</f>
        <v/>
      </c>
      <c r="E3314" s="240">
        <f>$E$3</f>
        <v/>
      </c>
      <c r="F3314" s="241" t="n">
        <v>9.06</v>
      </c>
      <c r="G3314" s="242" t="n">
        <v>11220885</v>
      </c>
      <c r="H3314" s="241" t="n">
        <v>0.22</v>
      </c>
      <c r="I3314" s="241" t="n">
        <v>-10.47</v>
      </c>
      <c r="J3314" s="241" t="n">
        <v>14.83</v>
      </c>
      <c r="K3314" s="241" t="n">
        <v>3.85</v>
      </c>
      <c r="L3314" s="242" t="n">
        <v>1157000</v>
      </c>
      <c r="M3314" s="241" t="n">
        <v>2.88</v>
      </c>
      <c r="N3314" s="241" t="n">
        <v>-12.98</v>
      </c>
      <c r="O3314" s="241" t="n">
        <v>-4.73</v>
      </c>
      <c r="P3314" s="241" t="n">
        <v>2.36</v>
      </c>
    </row>
    <row r="3315">
      <c r="A3315" s="282" t="inlineStr">
        <is>
          <t>2019-08-16</t>
        </is>
      </c>
      <c r="B3315" s="240">
        <f>IFERROR(1/P3315-1,B3314)</f>
        <v/>
      </c>
      <c r="C3315" s="240">
        <f>$C$3</f>
        <v/>
      </c>
      <c r="D3315" s="240">
        <f>$D$3</f>
        <v/>
      </c>
      <c r="E3315" s="240">
        <f>$E$3</f>
        <v/>
      </c>
      <c r="F3315" s="241" t="n">
        <v>9.039999999999999</v>
      </c>
      <c r="G3315" s="242" t="n">
        <v>9940583</v>
      </c>
      <c r="H3315" s="241" t="n">
        <v>-0.22</v>
      </c>
      <c r="I3315" s="241" t="n">
        <v>-11.89</v>
      </c>
      <c r="J3315" s="241" t="n">
        <v>14.58</v>
      </c>
      <c r="K3315" s="241" t="n">
        <v>3.85</v>
      </c>
      <c r="L3315" s="242" t="n">
        <v>553366</v>
      </c>
      <c r="M3315" s="241" t="n">
        <v>0</v>
      </c>
      <c r="N3315" s="241" t="n">
        <v>-12.45</v>
      </c>
      <c r="O3315" s="241" t="n">
        <v>-4.73</v>
      </c>
      <c r="P3315" s="241" t="n">
        <v>2.35</v>
      </c>
    </row>
    <row r="3316">
      <c r="A3316" s="282" t="inlineStr">
        <is>
          <t>2019-08-19</t>
        </is>
      </c>
      <c r="B3316" s="240">
        <f>IFERROR(1/P3316-1,B3315)</f>
        <v/>
      </c>
      <c r="C3316" s="240">
        <f>$C$3</f>
        <v/>
      </c>
      <c r="D3316" s="240">
        <f>$D$3</f>
        <v/>
      </c>
      <c r="E3316" s="240">
        <f>$E$3</f>
        <v/>
      </c>
      <c r="F3316" s="241" t="n">
        <v>9.69</v>
      </c>
      <c r="G3316" s="242" t="n">
        <v>29272128</v>
      </c>
      <c r="H3316" s="241" t="n">
        <v>7.19</v>
      </c>
      <c r="I3316" s="241" t="n">
        <v>-4.06</v>
      </c>
      <c r="J3316" s="241" t="n">
        <v>22.81</v>
      </c>
      <c r="K3316" s="241" t="n">
        <v>4.1</v>
      </c>
      <c r="L3316" s="242" t="n">
        <v>1329800</v>
      </c>
      <c r="M3316" s="241" t="n">
        <v>6.53</v>
      </c>
      <c r="N3316" s="241" t="n">
        <v>-5.38</v>
      </c>
      <c r="O3316" s="241" t="n">
        <v>1.49</v>
      </c>
      <c r="P3316" s="241" t="n">
        <v>2.36</v>
      </c>
    </row>
    <row r="3317">
      <c r="A3317" s="282" t="inlineStr">
        <is>
          <t>2019-08-20</t>
        </is>
      </c>
      <c r="B3317" s="240">
        <f>IFERROR(1/P3317-1,B3316)</f>
        <v/>
      </c>
      <c r="C3317" s="240">
        <f>$C$3</f>
        <v/>
      </c>
      <c r="D3317" s="240">
        <f>$D$3</f>
        <v/>
      </c>
      <c r="E3317" s="240">
        <f>$E$3</f>
        <v/>
      </c>
      <c r="F3317" s="241" t="n">
        <v>9.43</v>
      </c>
      <c r="G3317" s="242" t="n">
        <v>19933683</v>
      </c>
      <c r="H3317" s="241" t="n">
        <v>-2.68</v>
      </c>
      <c r="I3317" s="241" t="n">
        <v>-8</v>
      </c>
      <c r="J3317" s="241" t="n">
        <v>19.52</v>
      </c>
      <c r="K3317" s="241" t="n">
        <v>3.96</v>
      </c>
      <c r="L3317" s="242" t="n">
        <v>788708</v>
      </c>
      <c r="M3317" s="241" t="n">
        <v>-3.5</v>
      </c>
      <c r="N3317" s="241" t="n">
        <v>-10</v>
      </c>
      <c r="O3317" s="241" t="n">
        <v>-2.06</v>
      </c>
      <c r="P3317" s="241" t="n">
        <v>2.38</v>
      </c>
    </row>
    <row r="3318">
      <c r="A3318" s="282" t="inlineStr">
        <is>
          <t>2019-08-21</t>
        </is>
      </c>
      <c r="B3318" s="240">
        <f>IFERROR(1/P3318-1,B3317)</f>
        <v/>
      </c>
      <c r="C3318" s="240">
        <f>$C$3</f>
        <v/>
      </c>
      <c r="D3318" s="240">
        <f>$D$3</f>
        <v/>
      </c>
      <c r="E3318" s="240">
        <f>$E$3</f>
        <v/>
      </c>
      <c r="F3318" s="241" t="n">
        <v>9.449999999999999</v>
      </c>
      <c r="G3318" s="242" t="n">
        <v>8375105</v>
      </c>
      <c r="H3318" s="241" t="n">
        <v>0.21</v>
      </c>
      <c r="I3318" s="241" t="n">
        <v>-7.8</v>
      </c>
      <c r="J3318" s="241" t="n">
        <v>19.77</v>
      </c>
      <c r="K3318" s="241" t="n">
        <v>3.93</v>
      </c>
      <c r="L3318" s="242" t="n">
        <v>398200</v>
      </c>
      <c r="M3318" s="241" t="n">
        <v>-0.68</v>
      </c>
      <c r="N3318" s="241" t="n">
        <v>-10.61</v>
      </c>
      <c r="O3318" s="241" t="n">
        <v>-2.73</v>
      </c>
      <c r="P3318" s="241" t="n">
        <v>2.4</v>
      </c>
    </row>
    <row r="3319">
      <c r="A3319" s="282" t="inlineStr">
        <is>
          <t>2019-08-22</t>
        </is>
      </c>
      <c r="B3319" s="240">
        <f>IFERROR(1/P3319-1,B3318)</f>
        <v/>
      </c>
      <c r="C3319" s="240">
        <f>$C$3</f>
        <v/>
      </c>
      <c r="D3319" s="240">
        <f>$D$3</f>
        <v/>
      </c>
      <c r="E3319" s="240">
        <f>$E$3</f>
        <v/>
      </c>
      <c r="F3319" s="241" t="n">
        <v>9.550000000000001</v>
      </c>
      <c r="G3319" s="242" t="n">
        <v>12215475</v>
      </c>
      <c r="H3319" s="241" t="n">
        <v>1.06</v>
      </c>
      <c r="I3319" s="241" t="n">
        <v>-6.83</v>
      </c>
      <c r="J3319" s="241" t="n">
        <v>21.04</v>
      </c>
      <c r="K3319" s="241" t="n">
        <v>3.98</v>
      </c>
      <c r="L3319" s="242" t="n">
        <v>537800</v>
      </c>
      <c r="M3319" s="241" t="n">
        <v>1.14</v>
      </c>
      <c r="N3319" s="241" t="n">
        <v>-9.59</v>
      </c>
      <c r="O3319" s="241" t="n">
        <v>-1.62</v>
      </c>
      <c r="P3319" s="241" t="n">
        <v>2.4</v>
      </c>
    </row>
    <row r="3320">
      <c r="A3320" s="282" t="inlineStr">
        <is>
          <t>2019-08-23</t>
        </is>
      </c>
      <c r="B3320" s="240">
        <f>IFERROR(1/P3320-1,B3319)</f>
        <v/>
      </c>
      <c r="C3320" s="240">
        <f>$C$3</f>
        <v/>
      </c>
      <c r="D3320" s="240">
        <f>$D$3</f>
        <v/>
      </c>
      <c r="E3320" s="240">
        <f>$E$3</f>
        <v/>
      </c>
      <c r="F3320" s="241" t="n">
        <v>9.470000000000001</v>
      </c>
      <c r="G3320" s="242" t="n">
        <v>8904813</v>
      </c>
      <c r="H3320" s="241" t="n">
        <v>-0.84</v>
      </c>
      <c r="I3320" s="241" t="n">
        <v>-6.61</v>
      </c>
      <c r="J3320" s="241" t="n">
        <v>20.03</v>
      </c>
      <c r="K3320" s="241" t="n">
        <v>3.96</v>
      </c>
      <c r="L3320" s="242" t="n">
        <v>659830</v>
      </c>
      <c r="M3320" s="241" t="n">
        <v>-0.68</v>
      </c>
      <c r="N3320" s="241" t="n">
        <v>-7.95</v>
      </c>
      <c r="O3320" s="241" t="n">
        <v>-2.29</v>
      </c>
      <c r="P3320" s="241" t="n">
        <v>2.39</v>
      </c>
    </row>
    <row r="3321">
      <c r="A3321" s="282" t="inlineStr">
        <is>
          <t>2019-08-26</t>
        </is>
      </c>
      <c r="B3321" s="240">
        <f>IFERROR(1/P3321-1,B3320)</f>
        <v/>
      </c>
      <c r="C3321" s="240">
        <f>$C$3</f>
        <v/>
      </c>
      <c r="D3321" s="240">
        <f>$D$3</f>
        <v/>
      </c>
      <c r="E3321" s="240">
        <f>$E$3</f>
        <v/>
      </c>
      <c r="F3321" s="241" t="n">
        <v>9.210000000000001</v>
      </c>
      <c r="G3321" s="242" t="n">
        <v>9005724</v>
      </c>
      <c r="H3321" s="241" t="n">
        <v>-1.6</v>
      </c>
      <c r="I3321" s="241" t="n">
        <v>-9.359999999999999</v>
      </c>
      <c r="J3321" s="241" t="n">
        <v>18.1</v>
      </c>
      <c r="K3321" s="241" t="n">
        <v>3.84</v>
      </c>
      <c r="L3321" s="242" t="n">
        <v>751800</v>
      </c>
      <c r="M3321" s="241" t="n">
        <v>-2.95</v>
      </c>
      <c r="N3321" s="241" t="n">
        <v>-12.5</v>
      </c>
      <c r="O3321" s="241" t="n">
        <v>-5.17</v>
      </c>
      <c r="P3321" s="241" t="n">
        <v>2.4</v>
      </c>
    </row>
    <row r="3322">
      <c r="A3322" s="282" t="inlineStr">
        <is>
          <t>2019-08-27</t>
        </is>
      </c>
      <c r="B3322" s="240">
        <f>IFERROR(1/P3322-1,B3321)</f>
        <v/>
      </c>
      <c r="C3322" s="240">
        <f>$C$3</f>
        <v/>
      </c>
      <c r="D3322" s="240">
        <f>$D$3</f>
        <v/>
      </c>
      <c r="E3322" s="240">
        <f>$E$3</f>
        <v/>
      </c>
      <c r="F3322" s="241" t="n">
        <v>9.4</v>
      </c>
      <c r="G3322" s="242" t="n">
        <v>16865477</v>
      </c>
      <c r="H3322" s="241" t="n">
        <v>2.06</v>
      </c>
      <c r="I3322" s="241" t="n">
        <v>-7.31</v>
      </c>
      <c r="J3322" s="241" t="n">
        <v>20.54</v>
      </c>
      <c r="K3322" s="241" t="n">
        <v>3.88</v>
      </c>
      <c r="L3322" s="242" t="n">
        <v>1209910</v>
      </c>
      <c r="M3322" s="241" t="n">
        <v>0.7</v>
      </c>
      <c r="N3322" s="241" t="n">
        <v>-12.42</v>
      </c>
      <c r="O3322" s="241" t="n">
        <v>-4.51</v>
      </c>
      <c r="P3322" s="241" t="n">
        <v>2.42</v>
      </c>
    </row>
    <row r="3323">
      <c r="A3323" s="282" t="inlineStr">
        <is>
          <t>2019-08-28</t>
        </is>
      </c>
      <c r="B3323" s="240">
        <f>IFERROR(1/P3323-1,B3322)</f>
        <v/>
      </c>
      <c r="C3323" s="240">
        <f>$C$3</f>
        <v/>
      </c>
      <c r="D3323" s="240">
        <f>$D$3</f>
        <v/>
      </c>
      <c r="E3323" s="240">
        <f>$E$3</f>
        <v/>
      </c>
      <c r="F3323" s="241" t="n">
        <v>9.48</v>
      </c>
      <c r="G3323" s="242" t="n">
        <v>11223846</v>
      </c>
      <c r="H3323" s="241" t="n">
        <v>0.85</v>
      </c>
      <c r="I3323" s="241" t="n">
        <v>-6.52</v>
      </c>
      <c r="J3323" s="241" t="n">
        <v>21.56</v>
      </c>
      <c r="K3323" s="241" t="n">
        <v>3.92</v>
      </c>
      <c r="L3323" s="242" t="n">
        <v>268000</v>
      </c>
      <c r="M3323" s="241" t="n">
        <v>0.93</v>
      </c>
      <c r="N3323" s="241" t="n">
        <v>-11.61</v>
      </c>
      <c r="O3323" s="241" t="n">
        <v>-3.62</v>
      </c>
      <c r="P3323" s="241" t="n">
        <v>2.42</v>
      </c>
    </row>
    <row r="3324">
      <c r="A3324" s="282" t="inlineStr">
        <is>
          <t>2019-08-29</t>
        </is>
      </c>
      <c r="B3324" s="240">
        <f>IFERROR(1/P3324-1,B3323)</f>
        <v/>
      </c>
      <c r="C3324" s="240">
        <f>$C$3</f>
        <v/>
      </c>
      <c r="D3324" s="240">
        <f>$D$3</f>
        <v/>
      </c>
      <c r="E3324" s="240">
        <f>$E$3</f>
        <v/>
      </c>
      <c r="F3324" s="241" t="n">
        <v>9.42</v>
      </c>
      <c r="G3324" s="242" t="n">
        <v>8245541</v>
      </c>
      <c r="H3324" s="241" t="n">
        <v>-0.63</v>
      </c>
      <c r="I3324" s="241" t="n">
        <v>-7.11</v>
      </c>
      <c r="J3324" s="241" t="n">
        <v>20.79</v>
      </c>
      <c r="K3324" s="241" t="n">
        <v>3.9</v>
      </c>
      <c r="L3324" s="242" t="n">
        <v>622000</v>
      </c>
      <c r="M3324" s="241" t="n">
        <v>-0.46</v>
      </c>
      <c r="N3324" s="241" t="n">
        <v>-12.02</v>
      </c>
      <c r="O3324" s="241" t="n">
        <v>-4.06</v>
      </c>
      <c r="P3324" s="241" t="n">
        <v>2.41</v>
      </c>
    </row>
    <row r="3325">
      <c r="A3325" s="282" t="inlineStr">
        <is>
          <t>2019-08-30</t>
        </is>
      </c>
      <c r="B3325" s="240">
        <f>IFERROR(1/P3325-1,B3324)</f>
        <v/>
      </c>
      <c r="C3325" s="240">
        <f>$C$3</f>
        <v/>
      </c>
      <c r="D3325" s="240">
        <f>$D$3</f>
        <v/>
      </c>
      <c r="E3325" s="240">
        <f>$E$3</f>
        <v/>
      </c>
      <c r="F3325" s="241" t="n">
        <v>9.390000000000001</v>
      </c>
      <c r="G3325" s="242" t="n">
        <v>10298263</v>
      </c>
      <c r="H3325" s="241" t="n">
        <v>-0.32</v>
      </c>
      <c r="I3325" s="241" t="n">
        <v>-7.31</v>
      </c>
      <c r="J3325" s="241" t="n">
        <v>20.41</v>
      </c>
      <c r="K3325" s="241" t="n">
        <v>3.91</v>
      </c>
      <c r="L3325" s="242" t="n">
        <v>1053200</v>
      </c>
      <c r="M3325" s="241" t="n">
        <v>0.23</v>
      </c>
      <c r="N3325" s="241" t="n">
        <v>-11.27</v>
      </c>
      <c r="O3325" s="241" t="n">
        <v>-3.84</v>
      </c>
      <c r="P3325" s="241" t="n">
        <v>2.4</v>
      </c>
    </row>
    <row r="3326">
      <c r="A3326" s="282" t="inlineStr">
        <is>
          <t>2019-09-02</t>
        </is>
      </c>
      <c r="B3326" s="240">
        <f>IFERROR(1/P3326-1,B3325)</f>
        <v/>
      </c>
      <c r="C3326" s="240">
        <f>$C$3</f>
        <v/>
      </c>
      <c r="D3326" s="240">
        <f>$D$3</f>
        <v/>
      </c>
      <c r="E3326" s="240">
        <f>$E$3</f>
        <v/>
      </c>
      <c r="F3326" s="241" t="n">
        <v>9.69</v>
      </c>
      <c r="G3326" s="242" t="n">
        <v>26189568</v>
      </c>
      <c r="H3326" s="241" t="n">
        <v>3.19</v>
      </c>
      <c r="I3326" s="241" t="n">
        <v>-2.35</v>
      </c>
      <c r="J3326" s="241" t="n">
        <v>24.26</v>
      </c>
      <c r="K3326" s="241" t="n">
        <v>4.08</v>
      </c>
      <c r="L3326" s="242" t="n">
        <v>1654000</v>
      </c>
      <c r="M3326" s="241" t="n">
        <v>4.16</v>
      </c>
      <c r="N3326" s="241" t="n">
        <v>-4.04</v>
      </c>
      <c r="O3326" s="241" t="n">
        <v>0.16</v>
      </c>
      <c r="P3326" s="241" t="n">
        <v>2.38</v>
      </c>
    </row>
    <row r="3327">
      <c r="A3327" s="282" t="inlineStr">
        <is>
          <t>2019-09-03</t>
        </is>
      </c>
      <c r="B3327" s="240">
        <f>IFERROR(1/P3327-1,B3326)</f>
        <v/>
      </c>
      <c r="C3327" s="240">
        <f>$C$3</f>
        <v/>
      </c>
      <c r="D3327" s="240">
        <f>$D$3</f>
        <v/>
      </c>
      <c r="E3327" s="240">
        <f>$E$3</f>
        <v/>
      </c>
      <c r="F3327" s="241" t="n">
        <v>9.619999999999999</v>
      </c>
      <c r="G3327" s="242" t="n">
        <v>15858014</v>
      </c>
      <c r="H3327" s="241" t="n">
        <v>-0.72</v>
      </c>
      <c r="I3327" s="241" t="n">
        <v>1.6</v>
      </c>
      <c r="J3327" s="241" t="n">
        <v>23.36</v>
      </c>
      <c r="K3327" s="241" t="n">
        <v>3.99</v>
      </c>
      <c r="L3327" s="242" t="n">
        <v>928579</v>
      </c>
      <c r="M3327" s="241" t="n">
        <v>-2.22</v>
      </c>
      <c r="N3327" s="241" t="n">
        <v>-2</v>
      </c>
      <c r="O3327" s="241" t="n">
        <v>-2.06</v>
      </c>
      <c r="P3327" s="241" t="n">
        <v>2.41</v>
      </c>
    </row>
    <row r="3328">
      <c r="A3328" s="282" t="inlineStr">
        <is>
          <t>2019-09-04</t>
        </is>
      </c>
      <c r="B3328" s="240">
        <f>IFERROR(1/P3328-1,B3327)</f>
        <v/>
      </c>
      <c r="C3328" s="240">
        <f>$C$3</f>
        <v/>
      </c>
      <c r="D3328" s="240">
        <f>$D$3</f>
        <v/>
      </c>
      <c r="E3328" s="240">
        <f>$E$3</f>
        <v/>
      </c>
      <c r="F3328" s="241" t="n">
        <v>9.710000000000001</v>
      </c>
      <c r="G3328" s="242" t="n">
        <v>14966613</v>
      </c>
      <c r="H3328" s="241" t="n">
        <v>0.9399999999999999</v>
      </c>
      <c r="I3328" s="241" t="n">
        <v>2.55</v>
      </c>
      <c r="J3328" s="241" t="n">
        <v>24.51</v>
      </c>
      <c r="K3328" s="241" t="n">
        <v>4.04</v>
      </c>
      <c r="L3328" s="242" t="n">
        <v>906800</v>
      </c>
      <c r="M3328" s="241" t="n">
        <v>1.36</v>
      </c>
      <c r="N3328" s="241" t="n">
        <v>-0.67</v>
      </c>
      <c r="O3328" s="241" t="n">
        <v>-0.73</v>
      </c>
      <c r="P3328" s="241" t="n">
        <v>2.4</v>
      </c>
    </row>
    <row r="3329">
      <c r="A3329" s="282" t="inlineStr">
        <is>
          <t>2019-09-05</t>
        </is>
      </c>
      <c r="B3329" s="240">
        <f>IFERROR(1/P3329-1,B3328)</f>
        <v/>
      </c>
      <c r="C3329" s="240">
        <f>$C$3</f>
        <v/>
      </c>
      <c r="D3329" s="240">
        <f>$D$3</f>
        <v/>
      </c>
      <c r="E3329" s="240">
        <f>$E$3</f>
        <v/>
      </c>
      <c r="F3329" s="241" t="n">
        <v>9.76</v>
      </c>
      <c r="G3329" s="242" t="n">
        <v>28726393</v>
      </c>
      <c r="H3329" s="241" t="n">
        <v>0.51</v>
      </c>
      <c r="I3329" s="241" t="n">
        <v>3.08</v>
      </c>
      <c r="J3329" s="241" t="n">
        <v>25.15</v>
      </c>
      <c r="K3329" s="241" t="n">
        <v>4.21</v>
      </c>
      <c r="L3329" s="242" t="n">
        <v>2760806</v>
      </c>
      <c r="M3329" s="241" t="n">
        <v>4.25</v>
      </c>
      <c r="N3329" s="241" t="n">
        <v>3.56</v>
      </c>
      <c r="O3329" s="241" t="n">
        <v>3.49</v>
      </c>
      <c r="P3329" s="241" t="n">
        <v>2.32</v>
      </c>
    </row>
    <row r="3330">
      <c r="A3330" s="282" t="inlineStr">
        <is>
          <t>2019-09-06</t>
        </is>
      </c>
      <c r="B3330" s="240">
        <f>IFERROR(1/P3330-1,B3329)</f>
        <v/>
      </c>
      <c r="C3330" s="240">
        <f>$C$3</f>
        <v/>
      </c>
      <c r="D3330" s="240">
        <f>$D$3</f>
        <v/>
      </c>
      <c r="E3330" s="240">
        <f>$E$3</f>
        <v/>
      </c>
      <c r="F3330" s="241" t="n">
        <v>9.74</v>
      </c>
      <c r="G3330" s="242" t="n">
        <v>13603471</v>
      </c>
      <c r="H3330" s="241" t="n">
        <v>-0.2</v>
      </c>
      <c r="I3330" s="241" t="n">
        <v>4.95</v>
      </c>
      <c r="J3330" s="241" t="n">
        <v>24.9</v>
      </c>
      <c r="K3330" s="241" t="n">
        <v>4.38</v>
      </c>
      <c r="L3330" s="242" t="n">
        <v>2299200</v>
      </c>
      <c r="M3330" s="241" t="n">
        <v>3.86</v>
      </c>
      <c r="N3330" s="241" t="n">
        <v>10.76</v>
      </c>
      <c r="O3330" s="241" t="n">
        <v>7.49</v>
      </c>
      <c r="P3330" s="241" t="n">
        <v>2.23</v>
      </c>
    </row>
    <row r="3331">
      <c r="A3331" s="282" t="inlineStr">
        <is>
          <t>2019-09-09</t>
        </is>
      </c>
      <c r="B3331" s="240">
        <f>IFERROR(1/P3331-1,B3330)</f>
        <v/>
      </c>
      <c r="C3331" s="240">
        <f>$C$3</f>
        <v/>
      </c>
      <c r="D3331" s="240">
        <f>$D$3</f>
        <v/>
      </c>
      <c r="E3331" s="240">
        <f>$E$3</f>
        <v/>
      </c>
      <c r="F3331" s="241" t="n">
        <v>10.05</v>
      </c>
      <c r="G3331" s="242" t="n">
        <v>23256030</v>
      </c>
      <c r="H3331" s="241" t="n">
        <v>3.18</v>
      </c>
      <c r="I3331" s="241" t="n">
        <v>12.23</v>
      </c>
      <c r="J3331" s="241" t="n">
        <v>28.87</v>
      </c>
      <c r="K3331" s="241" t="n">
        <v>4.35</v>
      </c>
      <c r="L3331" s="242" t="n">
        <v>899400</v>
      </c>
      <c r="M3331" s="241" t="n">
        <v>-0.62</v>
      </c>
      <c r="N3331" s="241" t="n">
        <v>11.6</v>
      </c>
      <c r="O3331" s="241" t="n">
        <v>6.82</v>
      </c>
      <c r="P3331" s="241" t="n">
        <v>2.31</v>
      </c>
    </row>
    <row r="3332">
      <c r="A3332" s="282" t="inlineStr">
        <is>
          <t>2019-09-10</t>
        </is>
      </c>
      <c r="B3332" s="240">
        <f>IFERROR(1/P3332-1,B3331)</f>
        <v/>
      </c>
      <c r="C3332" s="240">
        <f>$C$3</f>
        <v/>
      </c>
      <c r="D3332" s="240">
        <f>$D$3</f>
        <v/>
      </c>
      <c r="E3332" s="240">
        <f>$E$3</f>
        <v/>
      </c>
      <c r="F3332" s="241" t="n">
        <v>10.06</v>
      </c>
      <c r="G3332" s="242" t="n">
        <v>20136423</v>
      </c>
      <c r="H3332" s="241" t="n">
        <v>0.1</v>
      </c>
      <c r="I3332" s="241" t="n">
        <v>14.11</v>
      </c>
      <c r="J3332" s="241" t="n">
        <v>29</v>
      </c>
      <c r="K3332" s="241" t="n">
        <v>4.42</v>
      </c>
      <c r="L3332" s="242" t="n">
        <v>1516400</v>
      </c>
      <c r="M3332" s="241" t="n">
        <v>1.66</v>
      </c>
      <c r="N3332" s="241" t="n">
        <v>15.06</v>
      </c>
      <c r="O3332" s="241" t="n">
        <v>8.6</v>
      </c>
      <c r="P3332" s="241" t="n">
        <v>2.28</v>
      </c>
    </row>
    <row r="3333">
      <c r="A3333" s="282" t="inlineStr">
        <is>
          <t>2019-09-11</t>
        </is>
      </c>
      <c r="B3333" s="240">
        <f>IFERROR(1/P3333-1,B3332)</f>
        <v/>
      </c>
      <c r="C3333" s="240">
        <f>$C$3</f>
        <v/>
      </c>
      <c r="D3333" s="240">
        <f>$D$3</f>
        <v/>
      </c>
      <c r="E3333" s="240">
        <f>$E$3</f>
        <v/>
      </c>
      <c r="F3333" s="241" t="n">
        <v>10.15</v>
      </c>
      <c r="G3333" s="242" t="n">
        <v>25877698</v>
      </c>
      <c r="H3333" s="241" t="n">
        <v>0.89</v>
      </c>
      <c r="I3333" s="241" t="n">
        <v>15.13</v>
      </c>
      <c r="J3333" s="241" t="n">
        <v>30.16</v>
      </c>
      <c r="K3333" s="241" t="n">
        <v>4.39</v>
      </c>
      <c r="L3333" s="242" t="n">
        <v>468000</v>
      </c>
      <c r="M3333" s="241" t="n">
        <v>-0.61</v>
      </c>
      <c r="N3333" s="241" t="n">
        <v>14.35</v>
      </c>
      <c r="O3333" s="241" t="n">
        <v>7.93</v>
      </c>
      <c r="P3333" s="241" t="n">
        <v>2.31</v>
      </c>
    </row>
    <row r="3334">
      <c r="A3334" s="282" t="inlineStr">
        <is>
          <t>2019-09-12</t>
        </is>
      </c>
      <c r="B3334" s="240">
        <f>IFERROR(1/P3334-1,B3333)</f>
        <v/>
      </c>
      <c r="C3334" s="240">
        <f>$C$3</f>
        <v/>
      </c>
      <c r="D3334" s="240">
        <f>$D$3</f>
        <v/>
      </c>
      <c r="E3334" s="240">
        <f>$E$3</f>
        <v/>
      </c>
      <c r="F3334" s="241" t="n">
        <v>10.12</v>
      </c>
      <c r="G3334" s="242" t="n">
        <v>14220559</v>
      </c>
      <c r="H3334" s="241" t="n">
        <v>-0.3</v>
      </c>
      <c r="I3334" s="241" t="n">
        <v>14.79</v>
      </c>
      <c r="J3334" s="241" t="n">
        <v>29.77</v>
      </c>
      <c r="K3334" s="241" t="n">
        <v>4.31</v>
      </c>
      <c r="L3334" s="242" t="n">
        <v>752600</v>
      </c>
      <c r="M3334" s="241" t="n">
        <v>-1.85</v>
      </c>
      <c r="N3334" s="241" t="n">
        <v>12.24</v>
      </c>
      <c r="O3334" s="241" t="n">
        <v>5.93</v>
      </c>
      <c r="P3334" s="241" t="n">
        <v>2.35</v>
      </c>
    </row>
    <row r="3335">
      <c r="A3335" s="282" t="inlineStr">
        <is>
          <t>2019-09-16</t>
        </is>
      </c>
      <c r="B3335" s="240">
        <f>IFERROR(1/P3335-1,B3334)</f>
        <v/>
      </c>
      <c r="C3335" s="240">
        <f>$C$3</f>
        <v/>
      </c>
      <c r="D3335" s="240">
        <f>$D$3</f>
        <v/>
      </c>
      <c r="E3335" s="240">
        <f>$E$3</f>
        <v/>
      </c>
      <c r="F3335" s="241" t="n">
        <v>10.01</v>
      </c>
      <c r="G3335" s="242" t="n">
        <v>17340190</v>
      </c>
      <c r="H3335" s="241" t="n">
        <v>-1.09</v>
      </c>
      <c r="I3335" s="241" t="n">
        <v>11.78</v>
      </c>
      <c r="J3335" s="241" t="n">
        <v>28.36</v>
      </c>
      <c r="K3335" s="241" t="n">
        <v>4.4</v>
      </c>
      <c r="L3335" s="242" t="n">
        <v>1072894</v>
      </c>
      <c r="M3335" s="241" t="n">
        <v>-2.21</v>
      </c>
      <c r="N3335" s="241" t="n">
        <v>13.52</v>
      </c>
      <c r="O3335" s="241" t="n">
        <v>8.15</v>
      </c>
      <c r="P3335" s="241" t="n">
        <v>2.28</v>
      </c>
    </row>
    <row r="3336">
      <c r="A3336" s="282" t="inlineStr">
        <is>
          <t>2019-09-17</t>
        </is>
      </c>
      <c r="B3336" s="240">
        <f>IFERROR(1/P3336-1,B3335)</f>
        <v/>
      </c>
      <c r="C3336" s="240">
        <f>$C$3</f>
        <v/>
      </c>
      <c r="D3336" s="240">
        <f>$D$3</f>
        <v/>
      </c>
      <c r="E3336" s="240">
        <f>$E$3</f>
        <v/>
      </c>
      <c r="F3336" s="241" t="n">
        <v>9.699999999999999</v>
      </c>
      <c r="G3336" s="242" t="n">
        <v>21785337</v>
      </c>
      <c r="H3336" s="241" t="n">
        <v>-3.1</v>
      </c>
      <c r="I3336" s="241" t="n">
        <v>8.56</v>
      </c>
      <c r="J3336" s="241" t="n">
        <v>24.39</v>
      </c>
      <c r="K3336" s="241" t="n">
        <v>4.23</v>
      </c>
      <c r="L3336" s="242" t="n">
        <v>1210151</v>
      </c>
      <c r="M3336" s="241" t="n">
        <v>-3.9</v>
      </c>
      <c r="N3336" s="241" t="n">
        <v>9.09</v>
      </c>
      <c r="O3336" s="241" t="n">
        <v>3.93</v>
      </c>
      <c r="P3336" s="241" t="n">
        <v>2.29</v>
      </c>
    </row>
    <row r="3337">
      <c r="A3337" s="282" t="inlineStr">
        <is>
          <t>2019-09-18</t>
        </is>
      </c>
      <c r="B3337" s="240">
        <f>IFERROR(1/P3337-1,B3336)</f>
        <v/>
      </c>
      <c r="C3337" s="240">
        <f>$C$3</f>
        <v/>
      </c>
      <c r="D3337" s="240">
        <f>$D$3</f>
        <v/>
      </c>
      <c r="E3337" s="240">
        <f>$E$3</f>
        <v/>
      </c>
      <c r="F3337" s="241" t="n">
        <v>9.609999999999999</v>
      </c>
      <c r="G3337" s="242" t="n">
        <v>11132272</v>
      </c>
      <c r="H3337" s="241" t="n">
        <v>-0.93</v>
      </c>
      <c r="I3337" s="241" t="n">
        <v>7.55</v>
      </c>
      <c r="J3337" s="241" t="n">
        <v>23.23</v>
      </c>
      <c r="K3337" s="241" t="n">
        <v>4.23</v>
      </c>
      <c r="L3337" s="242" t="n">
        <v>347000</v>
      </c>
      <c r="M3337" s="241" t="n">
        <v>0</v>
      </c>
      <c r="N3337" s="241" t="n">
        <v>9.09</v>
      </c>
      <c r="O3337" s="241" t="n">
        <v>3.93</v>
      </c>
      <c r="P3337" s="241" t="n">
        <v>2.27</v>
      </c>
    </row>
    <row r="3338">
      <c r="A3338" s="282" t="inlineStr">
        <is>
          <t>2019-09-19</t>
        </is>
      </c>
      <c r="B3338" s="240">
        <f>IFERROR(1/P3338-1,B3337)</f>
        <v/>
      </c>
      <c r="C3338" s="240">
        <f>$C$3</f>
        <v/>
      </c>
      <c r="D3338" s="240">
        <f>$D$3</f>
        <v/>
      </c>
      <c r="E3338" s="240">
        <f>$E$3</f>
        <v/>
      </c>
      <c r="F3338" s="241" t="n">
        <v>9.74</v>
      </c>
      <c r="G3338" s="242" t="n">
        <v>10708906</v>
      </c>
      <c r="H3338" s="241" t="n">
        <v>1.35</v>
      </c>
      <c r="I3338" s="241" t="n">
        <v>9.01</v>
      </c>
      <c r="J3338" s="241" t="n">
        <v>24.9</v>
      </c>
      <c r="K3338" s="241" t="n">
        <v>4.25</v>
      </c>
      <c r="L3338" s="242" t="n">
        <v>446000</v>
      </c>
      <c r="M3338" s="241" t="n">
        <v>0.43</v>
      </c>
      <c r="N3338" s="241" t="n">
        <v>9.56</v>
      </c>
      <c r="O3338" s="241" t="n">
        <v>4.38</v>
      </c>
      <c r="P3338" s="241" t="n">
        <v>2.29</v>
      </c>
    </row>
    <row r="3339">
      <c r="A3339" s="282" t="inlineStr">
        <is>
          <t>2019-09-20</t>
        </is>
      </c>
      <c r="B3339" s="240">
        <f>IFERROR(1/P3339-1,B3338)</f>
        <v/>
      </c>
      <c r="C3339" s="240">
        <f>$C$3</f>
        <v/>
      </c>
      <c r="D3339" s="240">
        <f>$D$3</f>
        <v/>
      </c>
      <c r="E3339" s="240">
        <f>$E$3</f>
        <v/>
      </c>
      <c r="F3339" s="241" t="n">
        <v>9.710000000000001</v>
      </c>
      <c r="G3339" s="242" t="n">
        <v>12914758</v>
      </c>
      <c r="H3339" s="241" t="n">
        <v>-0.31</v>
      </c>
      <c r="I3339" s="241" t="n">
        <v>1.38</v>
      </c>
      <c r="J3339" s="241" t="n">
        <v>24.51</v>
      </c>
      <c r="K3339" s="241" t="n">
        <v>4.16</v>
      </c>
      <c r="L3339" s="242" t="n">
        <v>722600</v>
      </c>
      <c r="M3339" s="241" t="n">
        <v>-1.91</v>
      </c>
      <c r="N3339" s="241" t="n">
        <v>0.88</v>
      </c>
      <c r="O3339" s="241" t="n">
        <v>2.38</v>
      </c>
      <c r="P3339" s="241" t="n">
        <v>2.33</v>
      </c>
    </row>
    <row r="3340">
      <c r="A3340" s="282" t="inlineStr">
        <is>
          <t>2019-09-23</t>
        </is>
      </c>
      <c r="B3340" s="240">
        <f>IFERROR(1/P3340-1,B3339)</f>
        <v/>
      </c>
      <c r="C3340" s="240">
        <f>$C$3</f>
        <v/>
      </c>
      <c r="D3340" s="240">
        <f>$D$3</f>
        <v/>
      </c>
      <c r="E3340" s="240">
        <f>$E$3</f>
        <v/>
      </c>
      <c r="F3340" s="241" t="n">
        <v>9.48</v>
      </c>
      <c r="G3340" s="242" t="n">
        <v>13459063</v>
      </c>
      <c r="H3340" s="241" t="n">
        <v>-2.37</v>
      </c>
      <c r="I3340" s="241" t="n">
        <v>0.43</v>
      </c>
      <c r="J3340" s="241" t="n">
        <v>21.56</v>
      </c>
      <c r="K3340" s="241" t="n">
        <v>4.11</v>
      </c>
      <c r="L3340" s="242" t="n">
        <v>745597</v>
      </c>
      <c r="M3340" s="241" t="n">
        <v>-1.3</v>
      </c>
      <c r="N3340" s="241" t="n">
        <v>2.71</v>
      </c>
      <c r="O3340" s="241" t="n">
        <v>1.05</v>
      </c>
      <c r="P3340" s="241" t="n">
        <v>2.31</v>
      </c>
    </row>
    <row r="3341">
      <c r="A3341" s="282" t="inlineStr">
        <is>
          <t>2019-09-24</t>
        </is>
      </c>
      <c r="B3341" s="240">
        <f>IFERROR(1/P3341-1,B3340)</f>
        <v/>
      </c>
      <c r="C3341" s="240">
        <f>$C$3</f>
        <v/>
      </c>
      <c r="D3341" s="240">
        <f>$D$3</f>
        <v/>
      </c>
      <c r="E3341" s="240">
        <f>$E$3</f>
        <v/>
      </c>
      <c r="F3341" s="241" t="n">
        <v>9.48</v>
      </c>
      <c r="G3341" s="242" t="n">
        <v>10037090</v>
      </c>
      <c r="H3341" s="241" t="n">
        <v>0</v>
      </c>
      <c r="I3341" s="241" t="n">
        <v>1.28</v>
      </c>
      <c r="J3341" s="241" t="n">
        <v>21.56</v>
      </c>
      <c r="K3341" s="241" t="n">
        <v>4.03</v>
      </c>
      <c r="L3341" s="242" t="n">
        <v>908000</v>
      </c>
      <c r="M3341" s="241" t="n">
        <v>-1.76</v>
      </c>
      <c r="N3341" s="241" t="n">
        <v>1.59</v>
      </c>
      <c r="O3341" s="241" t="n">
        <v>-0.73</v>
      </c>
      <c r="P3341" s="241" t="n">
        <v>2.35</v>
      </c>
    </row>
    <row r="3342">
      <c r="A3342" s="282" t="inlineStr">
        <is>
          <t>2019-09-25</t>
        </is>
      </c>
      <c r="B3342" s="240">
        <f>IFERROR(1/P3342-1,B3341)</f>
        <v/>
      </c>
      <c r="C3342" s="240">
        <f>$C$3</f>
        <v/>
      </c>
      <c r="D3342" s="240">
        <f>$D$3</f>
        <v/>
      </c>
      <c r="E3342" s="240">
        <f>$E$3</f>
        <v/>
      </c>
      <c r="F3342" s="241" t="n">
        <v>9.300000000000001</v>
      </c>
      <c r="G3342" s="242" t="n">
        <v>11344317</v>
      </c>
      <c r="H3342" s="241" t="n">
        <v>-1.9</v>
      </c>
      <c r="I3342" s="241" t="n">
        <v>-0.64</v>
      </c>
      <c r="J3342" s="241" t="n">
        <v>19.26</v>
      </c>
      <c r="K3342" s="241" t="n">
        <v>3.96</v>
      </c>
      <c r="L3342" s="242" t="n">
        <v>784400</v>
      </c>
      <c r="M3342" s="241" t="n">
        <v>-1.79</v>
      </c>
      <c r="N3342" s="241" t="n">
        <v>-0.23</v>
      </c>
      <c r="O3342" s="241" t="n">
        <v>-2.51</v>
      </c>
      <c r="P3342" s="241" t="n">
        <v>2.35</v>
      </c>
    </row>
    <row r="3343">
      <c r="A3343" s="282" t="inlineStr">
        <is>
          <t>2019-09-26</t>
        </is>
      </c>
      <c r="B3343" s="240">
        <f>IFERROR(1/P3343-1,B3342)</f>
        <v/>
      </c>
      <c r="C3343" s="240">
        <f>$C$3</f>
        <v/>
      </c>
      <c r="D3343" s="240">
        <f>$D$3</f>
        <v/>
      </c>
      <c r="E3343" s="240">
        <f>$E$3</f>
        <v/>
      </c>
      <c r="F3343" s="241" t="n">
        <v>9.09</v>
      </c>
      <c r="G3343" s="242" t="n">
        <v>10918800</v>
      </c>
      <c r="H3343" s="241" t="n">
        <v>-2.26</v>
      </c>
      <c r="I3343" s="241" t="n">
        <v>-2.88</v>
      </c>
      <c r="J3343" s="241" t="n">
        <v>16.56</v>
      </c>
      <c r="K3343" s="241" t="n">
        <v>3.89</v>
      </c>
      <c r="L3343" s="242" t="n">
        <v>958600</v>
      </c>
      <c r="M3343" s="241" t="n">
        <v>-1.82</v>
      </c>
      <c r="N3343" s="241" t="n">
        <v>-2.05</v>
      </c>
      <c r="O3343" s="241" t="n">
        <v>-4.28</v>
      </c>
      <c r="P3343" s="241" t="n">
        <v>2.34</v>
      </c>
    </row>
    <row r="3344">
      <c r="A3344" s="282" t="inlineStr">
        <is>
          <t>2019-09-27</t>
        </is>
      </c>
      <c r="B3344" s="240">
        <f>IFERROR(1/P3344-1,B3343)</f>
        <v/>
      </c>
      <c r="C3344" s="240">
        <f>$C$3</f>
        <v/>
      </c>
      <c r="D3344" s="240">
        <f>$D$3</f>
        <v/>
      </c>
      <c r="E3344" s="240">
        <f>$E$3</f>
        <v/>
      </c>
      <c r="F3344" s="241" t="n">
        <v>9.16</v>
      </c>
      <c r="G3344" s="242" t="n">
        <v>8032634</v>
      </c>
      <c r="H3344" s="241" t="n">
        <v>0.77</v>
      </c>
      <c r="I3344" s="241" t="n">
        <v>-0.54</v>
      </c>
      <c r="J3344" s="241" t="n">
        <v>17.46</v>
      </c>
      <c r="K3344" s="241" t="n">
        <v>3.88</v>
      </c>
      <c r="L3344" s="242" t="n">
        <v>244630</v>
      </c>
      <c r="M3344" s="241" t="n">
        <v>-0.23</v>
      </c>
      <c r="N3344" s="241" t="n">
        <v>0.7</v>
      </c>
      <c r="O3344" s="241" t="n">
        <v>-4.51</v>
      </c>
      <c r="P3344" s="241" t="n">
        <v>2.36</v>
      </c>
    </row>
    <row r="3345">
      <c r="A3345" s="282" t="inlineStr">
        <is>
          <t>2019-09-30</t>
        </is>
      </c>
      <c r="B3345" s="240">
        <f>IFERROR(1/P3345-1,B3344)</f>
        <v/>
      </c>
      <c r="C3345" s="240">
        <f>$C$3</f>
        <v/>
      </c>
      <c r="D3345" s="240">
        <f>$D$3</f>
        <v/>
      </c>
      <c r="E3345" s="240">
        <f>$E$3</f>
        <v/>
      </c>
      <c r="F3345" s="241" t="n">
        <v>9.210000000000001</v>
      </c>
      <c r="G3345" s="242" t="n">
        <v>9236625</v>
      </c>
      <c r="H3345" s="241" t="n">
        <v>0.55</v>
      </c>
      <c r="I3345" s="241" t="n">
        <v>-2.23</v>
      </c>
      <c r="J3345" s="241" t="n">
        <v>18.1</v>
      </c>
      <c r="K3345" s="241" t="n">
        <v>3.93</v>
      </c>
      <c r="L3345" s="242" t="n">
        <v>367800</v>
      </c>
      <c r="M3345" s="241" t="n">
        <v>1.4</v>
      </c>
      <c r="N3345" s="241" t="n">
        <v>0.93</v>
      </c>
      <c r="O3345" s="241" t="n">
        <v>-3.17</v>
      </c>
      <c r="P3345" s="241" t="n">
        <v>2.34</v>
      </c>
    </row>
    <row r="3346">
      <c r="A3346" s="282" t="inlineStr">
        <is>
          <t>2019-10-08</t>
        </is>
      </c>
      <c r="B3346" s="240">
        <f>IFERROR(1/P3346-1,B3345)</f>
        <v/>
      </c>
      <c r="C3346" s="240">
        <f>$C$3</f>
        <v/>
      </c>
      <c r="D3346" s="240">
        <f>$D$3</f>
        <v/>
      </c>
      <c r="E3346" s="240">
        <f>$E$3</f>
        <v/>
      </c>
      <c r="F3346" s="241" t="n">
        <v>9.119999999999999</v>
      </c>
      <c r="G3346" s="242" t="n">
        <v>9219398</v>
      </c>
      <c r="H3346" s="241" t="n">
        <v>-0.98</v>
      </c>
      <c r="I3346" s="241" t="n">
        <v>-6.37</v>
      </c>
      <c r="J3346" s="241" t="n">
        <v>16.95</v>
      </c>
      <c r="K3346" s="241" t="n">
        <v>3.91</v>
      </c>
      <c r="L3346" s="242" t="n">
        <v>1009200</v>
      </c>
      <c r="M3346" s="241" t="n">
        <v>1.17</v>
      </c>
      <c r="N3346" s="241" t="n">
        <v>-10.33</v>
      </c>
      <c r="O3346" s="241" t="n">
        <v>-3.62</v>
      </c>
      <c r="P3346" s="241" t="n">
        <v>2.33</v>
      </c>
    </row>
    <row r="3347">
      <c r="A3347" s="282" t="inlineStr">
        <is>
          <t>2019-10-09</t>
        </is>
      </c>
      <c r="B3347" s="240">
        <f>IFERROR(1/P3347-1,B3346)</f>
        <v/>
      </c>
      <c r="C3347" s="240">
        <f>$C$3</f>
        <v/>
      </c>
      <c r="D3347" s="240">
        <f>$D$3</f>
        <v/>
      </c>
      <c r="E3347" s="240">
        <f>$E$3</f>
        <v/>
      </c>
      <c r="F3347" s="241" t="n">
        <v>9.19</v>
      </c>
      <c r="G3347" s="242" t="n">
        <v>6773092</v>
      </c>
      <c r="H3347" s="241" t="n">
        <v>0.77</v>
      </c>
      <c r="I3347" s="241" t="n">
        <v>-5.65</v>
      </c>
      <c r="J3347" s="241" t="n">
        <v>17.85</v>
      </c>
      <c r="K3347" s="241" t="n">
        <v>3.95</v>
      </c>
      <c r="L3347" s="242" t="n">
        <v>475400</v>
      </c>
      <c r="M3347" s="241" t="n">
        <v>0.92</v>
      </c>
      <c r="N3347" s="241" t="n">
        <v>-9.5</v>
      </c>
      <c r="O3347" s="241" t="n">
        <v>-2.73</v>
      </c>
      <c r="P3347" s="241" t="n">
        <v>2.33</v>
      </c>
    </row>
    <row r="3348">
      <c r="A3348" s="282" t="inlineStr">
        <is>
          <t>2019-10-10</t>
        </is>
      </c>
      <c r="B3348" s="240">
        <f>IFERROR(1/P3348-1,B3347)</f>
        <v/>
      </c>
      <c r="C3348" s="240">
        <f>$C$3</f>
        <v/>
      </c>
      <c r="D3348" s="240">
        <f>$D$3</f>
        <v/>
      </c>
      <c r="E3348" s="240">
        <f>$E$3</f>
        <v/>
      </c>
      <c r="F3348" s="241" t="n">
        <v>9.279999999999999</v>
      </c>
      <c r="G3348" s="242" t="n">
        <v>7338946</v>
      </c>
      <c r="H3348" s="241" t="n">
        <v>0.98</v>
      </c>
      <c r="I3348" s="241" t="n">
        <v>-7.66</v>
      </c>
      <c r="J3348" s="241" t="n">
        <v>19</v>
      </c>
      <c r="K3348" s="241" t="n">
        <v>4</v>
      </c>
      <c r="L3348" s="242" t="n">
        <v>462400</v>
      </c>
      <c r="M3348" s="241" t="n">
        <v>1.37</v>
      </c>
      <c r="N3348" s="241" t="n">
        <v>-7.69</v>
      </c>
      <c r="O3348" s="241" t="n">
        <v>-1.4</v>
      </c>
      <c r="P3348" s="241" t="n">
        <v>2.32</v>
      </c>
    </row>
    <row r="3349">
      <c r="A3349" s="282" t="inlineStr">
        <is>
          <t>2019-10-11</t>
        </is>
      </c>
      <c r="B3349" s="240">
        <f>IFERROR(1/P3349-1,B3348)</f>
        <v/>
      </c>
      <c r="C3349" s="240">
        <f>$C$3</f>
        <v/>
      </c>
      <c r="D3349" s="240">
        <f>$D$3</f>
        <v/>
      </c>
      <c r="E3349" s="240">
        <f>$E$3</f>
        <v/>
      </c>
      <c r="F3349" s="241" t="n">
        <v>9.31</v>
      </c>
      <c r="G3349" s="242" t="n">
        <v>8760492</v>
      </c>
      <c r="H3349" s="241" t="n">
        <v>0.32</v>
      </c>
      <c r="I3349" s="241" t="n">
        <v>-7.46</v>
      </c>
      <c r="J3349" s="241" t="n">
        <v>19.38</v>
      </c>
      <c r="K3349" s="241" t="n">
        <v>4.04</v>
      </c>
      <c r="L3349" s="242" t="n">
        <v>668400</v>
      </c>
      <c r="M3349" s="241" t="n">
        <v>0.9</v>
      </c>
      <c r="N3349" s="241" t="n">
        <v>-8.380000000000001</v>
      </c>
      <c r="O3349" s="241" t="n">
        <v>-0.51</v>
      </c>
      <c r="P3349" s="241" t="n">
        <v>2.3</v>
      </c>
    </row>
    <row r="3350">
      <c r="A3350" s="282" t="inlineStr">
        <is>
          <t>2019-10-14</t>
        </is>
      </c>
      <c r="B3350" s="240">
        <f>IFERROR(1/P3350-1,B3349)</f>
        <v/>
      </c>
      <c r="C3350" s="240">
        <f>$C$3</f>
        <v/>
      </c>
      <c r="D3350" s="240">
        <f>$D$3</f>
        <v/>
      </c>
      <c r="E3350" s="240">
        <f>$E$3</f>
        <v/>
      </c>
      <c r="F3350" s="241" t="n">
        <v>9.44</v>
      </c>
      <c r="G3350" s="242" t="n">
        <v>11447593</v>
      </c>
      <c r="H3350" s="241" t="n">
        <v>1.4</v>
      </c>
      <c r="I3350" s="241" t="n">
        <v>-6.72</v>
      </c>
      <c r="J3350" s="241" t="n">
        <v>21.05</v>
      </c>
      <c r="K3350" s="241" t="n">
        <v>4.11</v>
      </c>
      <c r="L3350" s="242" t="n">
        <v>682200</v>
      </c>
      <c r="M3350" s="241" t="n">
        <v>1.79</v>
      </c>
      <c r="N3350" s="241" t="n">
        <v>-8.43</v>
      </c>
      <c r="O3350" s="241" t="n">
        <v>1.27</v>
      </c>
      <c r="P3350" s="241" t="n">
        <v>2.3</v>
      </c>
    </row>
    <row r="3351">
      <c r="A3351" s="282" t="inlineStr">
        <is>
          <t>2019-10-15</t>
        </is>
      </c>
      <c r="B3351" s="240">
        <f>IFERROR(1/P3351-1,B3350)</f>
        <v/>
      </c>
      <c r="C3351" s="240">
        <f>$C$3</f>
        <v/>
      </c>
      <c r="D3351" s="240">
        <f>$D$3</f>
        <v/>
      </c>
      <c r="E3351" s="240">
        <f>$E$3</f>
        <v/>
      </c>
      <c r="F3351" s="241" t="n">
        <v>9.32</v>
      </c>
      <c r="G3351" s="242" t="n">
        <v>7357448</v>
      </c>
      <c r="H3351" s="241" t="n">
        <v>-1.27</v>
      </c>
      <c r="I3351" s="241" t="n">
        <v>-7.91</v>
      </c>
      <c r="J3351" s="241" t="n">
        <v>19.51</v>
      </c>
      <c r="K3351" s="241" t="n">
        <v>4</v>
      </c>
      <c r="L3351" s="242" t="n">
        <v>474617</v>
      </c>
      <c r="M3351" s="241" t="n">
        <v>-2.63</v>
      </c>
      <c r="N3351" s="241" t="n">
        <v>-10.84</v>
      </c>
      <c r="O3351" s="241" t="n">
        <v>-1.4</v>
      </c>
      <c r="P3351" s="241" t="n">
        <v>2.33</v>
      </c>
    </row>
    <row r="3352">
      <c r="A3352" s="282" t="inlineStr">
        <is>
          <t>2019-10-16</t>
        </is>
      </c>
      <c r="B3352" s="240">
        <f>IFERROR(1/P3352-1,B3351)</f>
        <v/>
      </c>
      <c r="C3352" s="240">
        <f>$C$3</f>
        <v/>
      </c>
      <c r="D3352" s="240">
        <f>$D$3</f>
        <v/>
      </c>
      <c r="E3352" s="240">
        <f>$E$3</f>
        <v/>
      </c>
      <c r="F3352" s="241" t="n">
        <v>9.27</v>
      </c>
      <c r="G3352" s="242" t="n">
        <v>6178697</v>
      </c>
      <c r="H3352" s="241" t="n">
        <v>-0.54</v>
      </c>
      <c r="I3352" s="241" t="n">
        <v>-8.4</v>
      </c>
      <c r="J3352" s="241" t="n">
        <v>18.87</v>
      </c>
      <c r="K3352" s="241" t="n">
        <v>4.04</v>
      </c>
      <c r="L3352" s="242" t="n">
        <v>480800</v>
      </c>
      <c r="M3352" s="241" t="n">
        <v>0.9</v>
      </c>
      <c r="N3352" s="241" t="n">
        <v>-10.04</v>
      </c>
      <c r="O3352" s="241" t="n">
        <v>-0.51</v>
      </c>
      <c r="P3352" s="241" t="n">
        <v>2.29</v>
      </c>
    </row>
    <row r="3353">
      <c r="A3353" s="282" t="inlineStr">
        <is>
          <t>2019-10-17</t>
        </is>
      </c>
      <c r="B3353" s="240">
        <f>IFERROR(1/P3353-1,B3352)</f>
        <v/>
      </c>
      <c r="C3353" s="240">
        <f>$C$3</f>
        <v/>
      </c>
      <c r="D3353" s="240">
        <f>$D$3</f>
        <v/>
      </c>
      <c r="E3353" s="240">
        <f>$E$3</f>
        <v/>
      </c>
      <c r="F3353" s="241" t="n">
        <v>9.32</v>
      </c>
      <c r="G3353" s="242" t="n">
        <v>6175232</v>
      </c>
      <c r="H3353" s="241" t="n">
        <v>0.54</v>
      </c>
      <c r="I3353" s="241" t="n">
        <v>-6.89</v>
      </c>
      <c r="J3353" s="241" t="n">
        <v>19.51</v>
      </c>
      <c r="K3353" s="241" t="n">
        <v>4.12</v>
      </c>
      <c r="L3353" s="242" t="n">
        <v>589568</v>
      </c>
      <c r="M3353" s="241" t="n">
        <v>1.79</v>
      </c>
      <c r="N3353" s="241" t="n">
        <v>-6.37</v>
      </c>
      <c r="O3353" s="241" t="n">
        <v>1.27</v>
      </c>
      <c r="P3353" s="241" t="n">
        <v>2.26</v>
      </c>
    </row>
    <row r="3354">
      <c r="A3354" s="282" t="inlineStr">
        <is>
          <t>2019-10-18</t>
        </is>
      </c>
      <c r="B3354" s="240">
        <f>IFERROR(1/P3354-1,B3353)</f>
        <v/>
      </c>
      <c r="C3354" s="240">
        <f>$C$3</f>
        <v/>
      </c>
      <c r="D3354" s="240">
        <f>$D$3</f>
        <v/>
      </c>
      <c r="E3354" s="240">
        <f>$E$3</f>
        <v/>
      </c>
      <c r="F3354" s="241" t="n">
        <v>9.17</v>
      </c>
      <c r="G3354" s="242" t="n">
        <v>7164444</v>
      </c>
      <c r="H3354" s="241" t="n">
        <v>-1.61</v>
      </c>
      <c r="I3354" s="241" t="n">
        <v>-5.46</v>
      </c>
      <c r="J3354" s="241" t="n">
        <v>17.59</v>
      </c>
      <c r="K3354" s="241" t="n">
        <v>4.01</v>
      </c>
      <c r="L3354" s="242" t="n">
        <v>787836</v>
      </c>
      <c r="M3354" s="241" t="n">
        <v>-2.41</v>
      </c>
      <c r="N3354" s="241" t="n">
        <v>-4.91</v>
      </c>
      <c r="O3354" s="241" t="n">
        <v>-1.18</v>
      </c>
      <c r="P3354" s="241" t="n">
        <v>2.29</v>
      </c>
    </row>
    <row r="3355">
      <c r="A3355" s="282" t="inlineStr">
        <is>
          <t>2019-10-21</t>
        </is>
      </c>
      <c r="B3355" s="240">
        <f>IFERROR(1/P3355-1,B3354)</f>
        <v/>
      </c>
      <c r="C3355" s="240">
        <f>$C$3</f>
        <v/>
      </c>
      <c r="D3355" s="240">
        <f>$D$3</f>
        <v/>
      </c>
      <c r="E3355" s="240">
        <f>$E$3</f>
        <v/>
      </c>
      <c r="F3355" s="241" t="n">
        <v>9.220000000000001</v>
      </c>
      <c r="G3355" s="242" t="n">
        <v>6260801</v>
      </c>
      <c r="H3355" s="241" t="n">
        <v>0.55</v>
      </c>
      <c r="I3355" s="241" t="n">
        <v>-5.05</v>
      </c>
      <c r="J3355" s="241" t="n">
        <v>18.23</v>
      </c>
      <c r="K3355" s="241" t="n">
        <v>3.98</v>
      </c>
      <c r="L3355" s="242" t="n">
        <v>219600</v>
      </c>
      <c r="M3355" s="241" t="n">
        <v>-0.67</v>
      </c>
      <c r="N3355" s="241" t="n">
        <v>-4.12</v>
      </c>
      <c r="O3355" s="241" t="n">
        <v>-1.84</v>
      </c>
      <c r="P3355" s="241" t="n">
        <v>2.31</v>
      </c>
    </row>
    <row r="3356">
      <c r="A3356" s="282" t="inlineStr">
        <is>
          <t>2019-10-22</t>
        </is>
      </c>
      <c r="B3356" s="240">
        <f>IFERROR(1/P3356-1,B3355)</f>
        <v/>
      </c>
      <c r="C3356" s="240">
        <f>$C$3</f>
        <v/>
      </c>
      <c r="D3356" s="240">
        <f>$D$3</f>
        <v/>
      </c>
      <c r="E3356" s="240">
        <f>$E$3</f>
        <v/>
      </c>
      <c r="F3356" s="241" t="n">
        <v>9.25</v>
      </c>
      <c r="G3356" s="242" t="n">
        <v>4697785</v>
      </c>
      <c r="H3356" s="241" t="n">
        <v>0.33</v>
      </c>
      <c r="I3356" s="241" t="n">
        <v>-4.74</v>
      </c>
      <c r="J3356" s="241" t="n">
        <v>18.61</v>
      </c>
      <c r="K3356" s="241" t="n">
        <v>4.03</v>
      </c>
      <c r="L3356" s="242" t="n">
        <v>179950</v>
      </c>
      <c r="M3356" s="241" t="n">
        <v>1.13</v>
      </c>
      <c r="N3356" s="241" t="n">
        <v>-3.04</v>
      </c>
      <c r="O3356" s="241" t="n">
        <v>-0.73</v>
      </c>
      <c r="P3356" s="241" t="n">
        <v>2.3</v>
      </c>
    </row>
    <row r="3357">
      <c r="A3357" s="282" t="inlineStr">
        <is>
          <t>2019-10-23</t>
        </is>
      </c>
      <c r="B3357" s="240">
        <f>IFERROR(1/P3357-1,B3356)</f>
        <v/>
      </c>
      <c r="C3357" s="240">
        <f>$C$3</f>
        <v/>
      </c>
      <c r="D3357" s="240">
        <f>$D$3</f>
        <v/>
      </c>
      <c r="E3357" s="240">
        <f>$E$3</f>
        <v/>
      </c>
      <c r="F3357" s="241" t="n">
        <v>9.109999999999999</v>
      </c>
      <c r="G3357" s="242" t="n">
        <v>6816736</v>
      </c>
      <c r="H3357" s="241" t="n">
        <v>-1.51</v>
      </c>
      <c r="I3357" s="241" t="n">
        <v>-6.18</v>
      </c>
      <c r="J3357" s="241" t="n">
        <v>16.82</v>
      </c>
      <c r="K3357" s="241" t="n">
        <v>3.98</v>
      </c>
      <c r="L3357" s="242" t="n">
        <v>174200</v>
      </c>
      <c r="M3357" s="241" t="n">
        <v>-1.34</v>
      </c>
      <c r="N3357" s="241" t="n">
        <v>-4.34</v>
      </c>
      <c r="O3357" s="241" t="n">
        <v>-2.06</v>
      </c>
      <c r="P3357" s="241" t="n">
        <v>2.29</v>
      </c>
    </row>
    <row r="3358">
      <c r="A3358" s="282" t="inlineStr">
        <is>
          <t>2019-10-24</t>
        </is>
      </c>
      <c r="B3358" s="240">
        <f>IFERROR(1/P3358-1,B3357)</f>
        <v/>
      </c>
      <c r="C3358" s="240">
        <f>$C$3</f>
        <v/>
      </c>
      <c r="D3358" s="240">
        <f>$D$3</f>
        <v/>
      </c>
      <c r="E3358" s="240">
        <f>$E$3</f>
        <v/>
      </c>
      <c r="F3358" s="241" t="n">
        <v>9.130000000000001</v>
      </c>
      <c r="G3358" s="242" t="n">
        <v>5554204</v>
      </c>
      <c r="H3358" s="241" t="n">
        <v>0.22</v>
      </c>
      <c r="I3358" s="241" t="n">
        <v>-3.69</v>
      </c>
      <c r="J3358" s="241" t="n">
        <v>17.08</v>
      </c>
      <c r="K3358" s="241" t="n">
        <v>4.05</v>
      </c>
      <c r="L3358" s="242" t="n">
        <v>168140</v>
      </c>
      <c r="M3358" s="241" t="n">
        <v>1.81</v>
      </c>
      <c r="N3358" s="241" t="n">
        <v>-1.32</v>
      </c>
      <c r="O3358" s="241" t="n">
        <v>-0.29</v>
      </c>
      <c r="P3358" s="241" t="n">
        <v>2.25</v>
      </c>
    </row>
    <row r="3359">
      <c r="A3359" s="282" t="inlineStr">
        <is>
          <t>2019-10-25</t>
        </is>
      </c>
      <c r="B3359" s="240">
        <f>IFERROR(1/P3359-1,B3358)</f>
        <v/>
      </c>
      <c r="C3359" s="240">
        <f>$C$3</f>
        <v/>
      </c>
      <c r="D3359" s="240">
        <f>$D$3</f>
        <v/>
      </c>
      <c r="E3359" s="240">
        <f>$E$3</f>
        <v/>
      </c>
      <c r="F3359" s="241" t="n">
        <v>9.18</v>
      </c>
      <c r="G3359" s="242" t="n">
        <v>7199535</v>
      </c>
      <c r="H3359" s="241" t="n">
        <v>0.55</v>
      </c>
      <c r="I3359" s="241" t="n">
        <v>-3.16</v>
      </c>
      <c r="J3359" s="241" t="n">
        <v>17.72</v>
      </c>
      <c r="K3359" s="241" t="n">
        <v>4.12</v>
      </c>
      <c r="L3359" s="242" t="n">
        <v>351600</v>
      </c>
      <c r="M3359" s="241" t="n">
        <v>1.56</v>
      </c>
      <c r="N3359" s="241" t="n">
        <v>2.01</v>
      </c>
      <c r="O3359" s="241" t="n">
        <v>1.27</v>
      </c>
      <c r="P3359" s="241" t="n">
        <v>2.23</v>
      </c>
    </row>
    <row r="3360">
      <c r="A3360" s="282" t="inlineStr">
        <is>
          <t>2019-10-28</t>
        </is>
      </c>
      <c r="B3360" s="240">
        <f>IFERROR(1/P3360-1,B3359)</f>
        <v/>
      </c>
      <c r="C3360" s="240">
        <f>$C$3</f>
        <v/>
      </c>
      <c r="D3360" s="240">
        <f>$D$3</f>
        <v/>
      </c>
      <c r="E3360" s="240">
        <f>$E$3</f>
        <v/>
      </c>
      <c r="F3360" s="241" t="n">
        <v>9.300000000000001</v>
      </c>
      <c r="G3360" s="242" t="n">
        <v>9832809</v>
      </c>
      <c r="H3360" s="241" t="n">
        <v>1.31</v>
      </c>
      <c r="I3360" s="241" t="n">
        <v>1.53</v>
      </c>
      <c r="J3360" s="241" t="n">
        <v>19.26</v>
      </c>
      <c r="K3360" s="241" t="n">
        <v>4.13</v>
      </c>
      <c r="L3360" s="242" t="n">
        <v>325400</v>
      </c>
      <c r="M3360" s="241" t="n">
        <v>0.22</v>
      </c>
      <c r="N3360" s="241" t="n">
        <v>6.28</v>
      </c>
      <c r="O3360" s="241" t="n">
        <v>1.49</v>
      </c>
      <c r="P3360" s="241" t="n">
        <v>2.25</v>
      </c>
    </row>
    <row r="3361">
      <c r="A3361" s="282" t="inlineStr">
        <is>
          <t>2019-10-29</t>
        </is>
      </c>
      <c r="B3361" s="240">
        <f>IFERROR(1/P3361-1,B3360)</f>
        <v/>
      </c>
      <c r="C3361" s="240">
        <f>$C$3</f>
        <v/>
      </c>
      <c r="D3361" s="240">
        <f>$D$3</f>
        <v/>
      </c>
      <c r="E3361" s="240">
        <f>$E$3</f>
        <v/>
      </c>
      <c r="F3361" s="241" t="n">
        <v>9.109999999999999</v>
      </c>
      <c r="G3361" s="242" t="n">
        <v>8674432</v>
      </c>
      <c r="H3361" s="241" t="n">
        <v>-2.04</v>
      </c>
      <c r="I3361" s="241" t="n">
        <v>-0.55</v>
      </c>
      <c r="J3361" s="241" t="n">
        <v>16.82</v>
      </c>
      <c r="K3361" s="241" t="n">
        <v>4.05</v>
      </c>
      <c r="L3361" s="242" t="n">
        <v>748480</v>
      </c>
      <c r="M3361" s="241" t="n">
        <v>-1.53</v>
      </c>
      <c r="N3361" s="241" t="n">
        <v>4.65</v>
      </c>
      <c r="O3361" s="241" t="n">
        <v>-0.06</v>
      </c>
      <c r="P3361" s="241" t="n">
        <v>2.25</v>
      </c>
    </row>
    <row r="3362">
      <c r="A3362" s="282" t="inlineStr">
        <is>
          <t>2019-10-30</t>
        </is>
      </c>
      <c r="B3362" s="240">
        <f>IFERROR(1/P3362-1,B3361)</f>
        <v/>
      </c>
      <c r="C3362" s="240">
        <f>$C$3</f>
        <v/>
      </c>
      <c r="D3362" s="240">
        <f>$D$3</f>
        <v/>
      </c>
      <c r="E3362" s="240">
        <f>$E$3</f>
        <v/>
      </c>
      <c r="F3362" s="241" t="n">
        <v>8.94</v>
      </c>
      <c r="G3362" s="242" t="n">
        <v>10121902</v>
      </c>
      <c r="H3362" s="241" t="n">
        <v>-1.87</v>
      </c>
      <c r="I3362" s="241" t="n">
        <v>-2.4</v>
      </c>
      <c r="J3362" s="241" t="n">
        <v>14.64</v>
      </c>
      <c r="K3362" s="241" t="n">
        <v>3.98</v>
      </c>
      <c r="L3362" s="242" t="n">
        <v>777800</v>
      </c>
      <c r="M3362" s="241" t="n">
        <v>-1.78</v>
      </c>
      <c r="N3362" s="241" t="n">
        <v>2.79</v>
      </c>
      <c r="O3362" s="241" t="n">
        <v>-1.84</v>
      </c>
      <c r="P3362" s="241" t="n">
        <v>2.25</v>
      </c>
    </row>
    <row r="3363">
      <c r="A3363" s="282" t="inlineStr">
        <is>
          <t>2019-10-31</t>
        </is>
      </c>
      <c r="B3363" s="240">
        <f>IFERROR(1/P3363-1,B3362)</f>
        <v/>
      </c>
      <c r="C3363" s="240">
        <f>$C$3</f>
        <v/>
      </c>
      <c r="D3363" s="240">
        <f>$D$3</f>
        <v/>
      </c>
      <c r="E3363" s="240">
        <f>$E$3</f>
        <v/>
      </c>
      <c r="F3363" s="241" t="n">
        <v>8.84</v>
      </c>
      <c r="G3363" s="242" t="n">
        <v>8518814</v>
      </c>
      <c r="H3363" s="241" t="n">
        <v>-1.12</v>
      </c>
      <c r="I3363" s="241" t="n">
        <v>-3.49</v>
      </c>
      <c r="J3363" s="241" t="n">
        <v>13.36</v>
      </c>
      <c r="K3363" s="241" t="n">
        <v>3.98</v>
      </c>
      <c r="L3363" s="242" t="n">
        <v>960403</v>
      </c>
      <c r="M3363" s="241" t="n">
        <v>0</v>
      </c>
      <c r="N3363" s="241" t="n">
        <v>2.79</v>
      </c>
      <c r="O3363" s="241" t="n">
        <v>-1.84</v>
      </c>
      <c r="P3363" s="241" t="n">
        <v>2.22</v>
      </c>
    </row>
    <row r="3364">
      <c r="A3364" s="282" t="inlineStr">
        <is>
          <t>2019-11-01</t>
        </is>
      </c>
      <c r="B3364" s="240">
        <f>IFERROR(1/P3364-1,B3363)</f>
        <v/>
      </c>
      <c r="C3364" s="240">
        <f>$C$3</f>
        <v/>
      </c>
      <c r="D3364" s="240">
        <f>$D$3</f>
        <v/>
      </c>
      <c r="E3364" s="240">
        <f>$E$3</f>
        <v/>
      </c>
      <c r="F3364" s="241" t="n">
        <v>8.9</v>
      </c>
      <c r="G3364" s="242" t="n">
        <v>7796377</v>
      </c>
      <c r="H3364" s="241" t="n">
        <v>0.68</v>
      </c>
      <c r="I3364" s="241" t="n">
        <v>-3.37</v>
      </c>
      <c r="J3364" s="241" t="n">
        <v>14.13</v>
      </c>
      <c r="K3364" s="241" t="n">
        <v>4</v>
      </c>
      <c r="L3364" s="242" t="n">
        <v>692950</v>
      </c>
      <c r="M3364" s="241" t="n">
        <v>0.68</v>
      </c>
      <c r="N3364" s="241" t="n">
        <v>2.06</v>
      </c>
      <c r="O3364" s="241" t="n">
        <v>-1.18</v>
      </c>
      <c r="P3364" s="241" t="n">
        <v>2.23</v>
      </c>
    </row>
    <row r="3365">
      <c r="A3365" s="282" t="inlineStr">
        <is>
          <t>2019-11-04</t>
        </is>
      </c>
      <c r="B3365" s="240">
        <f>IFERROR(1/P3365-1,B3364)</f>
        <v/>
      </c>
      <c r="C3365" s="240">
        <f>$C$3</f>
        <v/>
      </c>
      <c r="D3365" s="240">
        <f>$D$3</f>
        <v/>
      </c>
      <c r="E3365" s="240">
        <f>$E$3</f>
        <v/>
      </c>
      <c r="F3365" s="241" t="n">
        <v>8.92</v>
      </c>
      <c r="G3365" s="242" t="n">
        <v>7276092</v>
      </c>
      <c r="H3365" s="241" t="n">
        <v>0.22</v>
      </c>
      <c r="I3365" s="241" t="n">
        <v>-3.15</v>
      </c>
      <c r="J3365" s="241" t="n">
        <v>14.38</v>
      </c>
      <c r="K3365" s="241" t="n">
        <v>4</v>
      </c>
      <c r="L3365" s="242" t="n">
        <v>1127400</v>
      </c>
      <c r="M3365" s="241" t="n">
        <v>0.22</v>
      </c>
      <c r="N3365" s="241" t="n">
        <v>4.69</v>
      </c>
      <c r="O3365" s="241" t="n">
        <v>-0.95</v>
      </c>
      <c r="P3365" s="241" t="n">
        <v>2.23</v>
      </c>
    </row>
    <row r="3366">
      <c r="A3366" s="282" t="inlineStr">
        <is>
          <t>2019-11-05</t>
        </is>
      </c>
      <c r="B3366" s="240">
        <f>IFERROR(1/P3366-1,B3365)</f>
        <v/>
      </c>
      <c r="C3366" s="240">
        <f>$C$3</f>
        <v/>
      </c>
      <c r="D3366" s="240">
        <f>$D$3</f>
        <v/>
      </c>
      <c r="E3366" s="240">
        <f>$E$3</f>
        <v/>
      </c>
      <c r="F3366" s="241" t="n">
        <v>9</v>
      </c>
      <c r="G3366" s="242" t="n">
        <v>7680033</v>
      </c>
      <c r="H3366" s="241" t="n">
        <v>0.9</v>
      </c>
      <c r="I3366" s="241" t="n">
        <v>-2.28</v>
      </c>
      <c r="J3366" s="241" t="n">
        <v>15.41</v>
      </c>
      <c r="K3366" s="241" t="n">
        <v>4.04</v>
      </c>
      <c r="L3366" s="242" t="n">
        <v>3995600</v>
      </c>
      <c r="M3366" s="241" t="n">
        <v>0.9</v>
      </c>
      <c r="N3366" s="241" t="n">
        <v>4.9</v>
      </c>
      <c r="O3366" s="241" t="n">
        <v>-0.06</v>
      </c>
      <c r="P3366" s="241" t="n">
        <v>2.23</v>
      </c>
    </row>
    <row r="3367">
      <c r="A3367" s="282" t="inlineStr">
        <is>
          <t>2019-11-06</t>
        </is>
      </c>
      <c r="B3367" s="240">
        <f>IFERROR(1/P3367-1,B3366)</f>
        <v/>
      </c>
      <c r="C3367" s="240">
        <f>$C$3</f>
        <v/>
      </c>
      <c r="D3367" s="240">
        <f>$D$3</f>
        <v/>
      </c>
      <c r="E3367" s="240">
        <f>$E$3</f>
        <v/>
      </c>
      <c r="F3367" s="241" t="n">
        <v>8.869999999999999</v>
      </c>
      <c r="G3367" s="242" t="n">
        <v>8802448</v>
      </c>
      <c r="H3367" s="241" t="n">
        <v>-1.44</v>
      </c>
      <c r="I3367" s="241" t="n">
        <v>-3.69</v>
      </c>
      <c r="J3367" s="241" t="n">
        <v>13.74</v>
      </c>
      <c r="K3367" s="241" t="n">
        <v>3.96</v>
      </c>
      <c r="L3367" s="242" t="n">
        <v>1470200</v>
      </c>
      <c r="M3367" s="241" t="n">
        <v>-1.56</v>
      </c>
      <c r="N3367" s="241" t="n">
        <v>3.26</v>
      </c>
      <c r="O3367" s="241" t="n">
        <v>-1.62</v>
      </c>
      <c r="P3367" s="241" t="n">
        <v>2.24</v>
      </c>
    </row>
    <row r="3368">
      <c r="A3368" s="282" t="inlineStr">
        <is>
          <t>2019-11-07</t>
        </is>
      </c>
      <c r="B3368" s="240">
        <f>IFERROR(1/P3368-1,B3367)</f>
        <v/>
      </c>
      <c r="C3368" s="240">
        <f>$C$3</f>
        <v/>
      </c>
      <c r="D3368" s="240">
        <f>$D$3</f>
        <v/>
      </c>
      <c r="E3368" s="240">
        <f>$E$3</f>
        <v/>
      </c>
      <c r="F3368" s="241" t="n">
        <v>8.9</v>
      </c>
      <c r="G3368" s="242" t="n">
        <v>4850335</v>
      </c>
      <c r="H3368" s="241" t="n">
        <v>0.34</v>
      </c>
      <c r="I3368" s="241" t="n">
        <v>-3.37</v>
      </c>
      <c r="J3368" s="241" t="n">
        <v>14.13</v>
      </c>
      <c r="K3368" s="241" t="n">
        <v>3.96</v>
      </c>
      <c r="L3368" s="242" t="n">
        <v>676300</v>
      </c>
      <c r="M3368" s="241" t="n">
        <v>0</v>
      </c>
      <c r="N3368" s="241" t="n">
        <v>3.26</v>
      </c>
      <c r="O3368" s="241" t="n">
        <v>-1.62</v>
      </c>
      <c r="P3368" s="241" t="n">
        <v>2.25</v>
      </c>
    </row>
    <row r="3369">
      <c r="A3369" s="282" t="inlineStr">
        <is>
          <t>2019-11-08</t>
        </is>
      </c>
      <c r="B3369" s="240">
        <f>IFERROR(1/P3369-1,B3368)</f>
        <v/>
      </c>
      <c r="C3369" s="240">
        <f>$C$3</f>
        <v/>
      </c>
      <c r="D3369" s="240">
        <f>$D$3</f>
        <v/>
      </c>
      <c r="E3369" s="240">
        <f>$E$3</f>
        <v/>
      </c>
      <c r="F3369" s="241" t="n">
        <v>8.970000000000001</v>
      </c>
      <c r="G3369" s="242" t="n">
        <v>10396589</v>
      </c>
      <c r="H3369" s="241" t="n">
        <v>0.79</v>
      </c>
      <c r="I3369" s="241" t="n">
        <v>-2.61</v>
      </c>
      <c r="J3369" s="241" t="n">
        <v>15.02</v>
      </c>
      <c r="K3369" s="241" t="n">
        <v>4.01</v>
      </c>
      <c r="L3369" s="242" t="n">
        <v>1137118</v>
      </c>
      <c r="M3369" s="241" t="n">
        <v>1.35</v>
      </c>
      <c r="N3369" s="241" t="n">
        <v>4.66</v>
      </c>
      <c r="O3369" s="241" t="n">
        <v>-0.29</v>
      </c>
      <c r="P3369" s="241" t="n">
        <v>2.23</v>
      </c>
    </row>
    <row r="3370">
      <c r="A3370" s="282" t="inlineStr">
        <is>
          <t>2019-11-11</t>
        </is>
      </c>
      <c r="B3370" s="240">
        <f>IFERROR(1/P3370-1,B3369)</f>
        <v/>
      </c>
      <c r="C3370" s="240">
        <f>$C$3</f>
        <v/>
      </c>
      <c r="D3370" s="240">
        <f>$D$3</f>
        <v/>
      </c>
      <c r="E3370" s="240">
        <f>$E$3</f>
        <v/>
      </c>
      <c r="F3370" s="241" t="n">
        <v>8.74</v>
      </c>
      <c r="G3370" s="242" t="n">
        <v>10357430</v>
      </c>
      <c r="H3370" s="241" t="n">
        <v>-2.56</v>
      </c>
      <c r="I3370" s="241" t="n">
        <v>-5.82</v>
      </c>
      <c r="J3370" s="241" t="n">
        <v>12.07</v>
      </c>
      <c r="K3370" s="241" t="n">
        <v>3.88</v>
      </c>
      <c r="L3370" s="242" t="n">
        <v>1335200</v>
      </c>
      <c r="M3370" s="241" t="n">
        <v>-3.34</v>
      </c>
      <c r="N3370" s="241" t="n">
        <v>-2.25</v>
      </c>
      <c r="O3370" s="241" t="n">
        <v>-3.62</v>
      </c>
      <c r="P3370" s="241" t="n">
        <v>2.25</v>
      </c>
    </row>
    <row r="3371">
      <c r="A3371" s="282" t="inlineStr">
        <is>
          <t>2019-11-12</t>
        </is>
      </c>
      <c r="B3371" s="240">
        <f>IFERROR(1/P3371-1,B3370)</f>
        <v/>
      </c>
      <c r="C3371" s="240">
        <f>$C$3</f>
        <v/>
      </c>
      <c r="D3371" s="240">
        <f>$D$3</f>
        <v/>
      </c>
      <c r="E3371" s="240">
        <f>$E$3</f>
        <v/>
      </c>
      <c r="F3371" s="241" t="n">
        <v>8.69</v>
      </c>
      <c r="G3371" s="242" t="n">
        <v>6707030</v>
      </c>
      <c r="H3371" s="241" t="n">
        <v>-0.57</v>
      </c>
      <c r="I3371" s="241" t="n">
        <v>-6.66</v>
      </c>
      <c r="J3371" s="241" t="n">
        <v>11.43</v>
      </c>
      <c r="K3371" s="241" t="n">
        <v>3.83</v>
      </c>
      <c r="L3371" s="242" t="n">
        <v>1253400</v>
      </c>
      <c r="M3371" s="241" t="n">
        <v>-1.38</v>
      </c>
      <c r="N3371" s="241" t="n">
        <v>-4.46</v>
      </c>
      <c r="O3371" s="241" t="n">
        <v>-4.95</v>
      </c>
      <c r="P3371" s="241" t="n">
        <v>2.27</v>
      </c>
    </row>
    <row r="3372">
      <c r="A3372" s="282" t="inlineStr">
        <is>
          <t>2019-11-13</t>
        </is>
      </c>
      <c r="B3372" s="240">
        <f>IFERROR(1/P3372-1,B3371)</f>
        <v/>
      </c>
      <c r="C3372" s="240">
        <f>$C$3</f>
        <v/>
      </c>
      <c r="D3372" s="240">
        <f>$D$3</f>
        <v/>
      </c>
      <c r="E3372" s="240">
        <f>$E$3</f>
        <v/>
      </c>
      <c r="F3372" s="241" t="n">
        <v>8.550000000000001</v>
      </c>
      <c r="G3372" s="242" t="n">
        <v>7208386</v>
      </c>
      <c r="H3372" s="241" t="n">
        <v>-1.61</v>
      </c>
      <c r="I3372" s="241" t="n">
        <v>-8.16</v>
      </c>
      <c r="J3372" s="241" t="n">
        <v>9.640000000000001</v>
      </c>
      <c r="K3372" s="241" t="n">
        <v>3.8</v>
      </c>
      <c r="L3372" s="242" t="n">
        <v>666000</v>
      </c>
      <c r="M3372" s="241" t="n">
        <v>-0.7</v>
      </c>
      <c r="N3372" s="241" t="n">
        <v>-5.13</v>
      </c>
      <c r="O3372" s="241" t="n">
        <v>-5.62</v>
      </c>
      <c r="P3372" s="241" t="n">
        <v>2.25</v>
      </c>
    </row>
    <row r="3373">
      <c r="A3373" s="282" t="inlineStr">
        <is>
          <t>2019-11-14</t>
        </is>
      </c>
      <c r="B3373" s="240">
        <f>IFERROR(1/P3373-1,B3372)</f>
        <v/>
      </c>
      <c r="C3373" s="240">
        <f>$C$3</f>
        <v/>
      </c>
      <c r="D3373" s="240">
        <f>$D$3</f>
        <v/>
      </c>
      <c r="E3373" s="240">
        <f>$E$3</f>
        <v/>
      </c>
      <c r="F3373" s="241" t="n">
        <v>8.630000000000001</v>
      </c>
      <c r="G3373" s="242" t="n">
        <v>6466985</v>
      </c>
      <c r="H3373" s="241" t="n">
        <v>0.9399999999999999</v>
      </c>
      <c r="I3373" s="241" t="n">
        <v>-7.3</v>
      </c>
      <c r="J3373" s="241" t="n">
        <v>10.66</v>
      </c>
      <c r="K3373" s="241" t="n">
        <v>3.79</v>
      </c>
      <c r="L3373" s="242" t="n">
        <v>1238800</v>
      </c>
      <c r="M3373" s="241" t="n">
        <v>-0.47</v>
      </c>
      <c r="N3373" s="241" t="n">
        <v>-5.58</v>
      </c>
      <c r="O3373" s="241" t="n">
        <v>-6.06</v>
      </c>
      <c r="P3373" s="241" t="n">
        <v>2.28</v>
      </c>
    </row>
    <row r="3374">
      <c r="A3374" s="282" t="inlineStr">
        <is>
          <t>2019-11-15</t>
        </is>
      </c>
      <c r="B3374" s="240">
        <f>IFERROR(1/P3374-1,B3373)</f>
        <v/>
      </c>
      <c r="C3374" s="240">
        <f>$C$3</f>
        <v/>
      </c>
      <c r="D3374" s="240">
        <f>$D$3</f>
        <v/>
      </c>
      <c r="E3374" s="240">
        <f>$E$3</f>
        <v/>
      </c>
      <c r="F3374" s="241" t="n">
        <v>8.59</v>
      </c>
      <c r="G3374" s="242" t="n">
        <v>5577125</v>
      </c>
      <c r="H3374" s="241" t="n">
        <v>-0.46</v>
      </c>
      <c r="I3374" s="241" t="n">
        <v>-9</v>
      </c>
      <c r="J3374" s="241" t="n">
        <v>10.15</v>
      </c>
      <c r="K3374" s="241" t="n">
        <v>3.68</v>
      </c>
      <c r="L3374" s="242" t="n">
        <v>1266524</v>
      </c>
      <c r="M3374" s="241" t="n">
        <v>-2.84</v>
      </c>
      <c r="N3374" s="241" t="n">
        <v>-9.869999999999999</v>
      </c>
      <c r="O3374" s="241" t="n">
        <v>-8.73</v>
      </c>
      <c r="P3374" s="241" t="n">
        <v>2.33</v>
      </c>
    </row>
    <row r="3375">
      <c r="A3375" s="282" t="inlineStr">
        <is>
          <t>2019-11-18</t>
        </is>
      </c>
      <c r="B3375" s="240">
        <f>IFERROR(1/P3375-1,B3374)</f>
        <v/>
      </c>
      <c r="C3375" s="240">
        <f>$C$3</f>
        <v/>
      </c>
      <c r="D3375" s="240">
        <f>$D$3</f>
        <v/>
      </c>
      <c r="E3375" s="240">
        <f>$E$3</f>
        <v/>
      </c>
      <c r="F3375" s="241" t="n">
        <v>8.609999999999999</v>
      </c>
      <c r="G3375" s="242" t="n">
        <v>5150338</v>
      </c>
      <c r="H3375" s="241" t="n">
        <v>0.23</v>
      </c>
      <c r="I3375" s="241" t="n">
        <v>-7.62</v>
      </c>
      <c r="J3375" s="241" t="n">
        <v>10.41</v>
      </c>
      <c r="K3375" s="241" t="n">
        <v>3.69</v>
      </c>
      <c r="L3375" s="242" t="n">
        <v>1447200</v>
      </c>
      <c r="M3375" s="241" t="n">
        <v>0.24</v>
      </c>
      <c r="N3375" s="241" t="n">
        <v>-9.65</v>
      </c>
      <c r="O3375" s="241" t="n">
        <v>-8.5</v>
      </c>
      <c r="P3375" s="241" t="n">
        <v>2.34</v>
      </c>
    </row>
    <row r="3376">
      <c r="A3376" s="282" t="inlineStr">
        <is>
          <t>2019-11-19</t>
        </is>
      </c>
      <c r="B3376" s="240">
        <f>IFERROR(1/P3376-1,B3375)</f>
        <v/>
      </c>
      <c r="C3376" s="240">
        <f>$C$3</f>
        <v/>
      </c>
      <c r="D3376" s="240">
        <f>$D$3</f>
        <v/>
      </c>
      <c r="E3376" s="240">
        <f>$E$3</f>
        <v/>
      </c>
      <c r="F3376" s="241" t="n">
        <v>8.720000000000001</v>
      </c>
      <c r="G3376" s="242" t="n">
        <v>4663963</v>
      </c>
      <c r="H3376" s="241" t="n">
        <v>1.28</v>
      </c>
      <c r="I3376" s="241" t="n">
        <v>-4.91</v>
      </c>
      <c r="J3376" s="241" t="n">
        <v>11.82</v>
      </c>
      <c r="K3376" s="241" t="n">
        <v>3.69</v>
      </c>
      <c r="L3376" s="242" t="n">
        <v>1576124</v>
      </c>
      <c r="M3376" s="241" t="n">
        <v>0</v>
      </c>
      <c r="N3376" s="241" t="n">
        <v>-7.42</v>
      </c>
      <c r="O3376" s="241" t="n">
        <v>-8.5</v>
      </c>
      <c r="P3376" s="241" t="n">
        <v>2.37</v>
      </c>
    </row>
    <row r="3377">
      <c r="A3377" s="282" t="inlineStr">
        <is>
          <t>2019-11-20</t>
        </is>
      </c>
      <c r="B3377" s="240">
        <f>IFERROR(1/P3377-1,B3376)</f>
        <v/>
      </c>
      <c r="C3377" s="240">
        <f>$C$3</f>
        <v/>
      </c>
      <c r="D3377" s="240">
        <f>$D$3</f>
        <v/>
      </c>
      <c r="E3377" s="240">
        <f>$E$3</f>
        <v/>
      </c>
      <c r="F3377" s="241" t="n">
        <v>8.609999999999999</v>
      </c>
      <c r="G3377" s="242" t="n">
        <v>4375062</v>
      </c>
      <c r="H3377" s="241" t="n">
        <v>-1.26</v>
      </c>
      <c r="I3377" s="241" t="n">
        <v>-6.11</v>
      </c>
      <c r="J3377" s="241" t="n">
        <v>10.41</v>
      </c>
      <c r="K3377" s="241" t="n">
        <v>3.69</v>
      </c>
      <c r="L3377" s="242" t="n">
        <v>571916</v>
      </c>
      <c r="M3377" s="241" t="n">
        <v>0</v>
      </c>
      <c r="N3377" s="241" t="n">
        <v>-7.42</v>
      </c>
      <c r="O3377" s="241" t="n">
        <v>-8.5</v>
      </c>
      <c r="P3377" s="241" t="n">
        <v>2.33</v>
      </c>
    </row>
    <row r="3378">
      <c r="A3378" s="282" t="inlineStr">
        <is>
          <t>2019-11-21</t>
        </is>
      </c>
      <c r="B3378" s="240">
        <f>IFERROR(1/P3378-1,B3377)</f>
        <v/>
      </c>
      <c r="C3378" s="240">
        <f>$C$3</f>
        <v/>
      </c>
      <c r="D3378" s="240">
        <f>$D$3</f>
        <v/>
      </c>
      <c r="E3378" s="240">
        <f>$E$3</f>
        <v/>
      </c>
      <c r="F3378" s="241" t="n">
        <v>8.67</v>
      </c>
      <c r="G3378" s="242" t="n">
        <v>3707028</v>
      </c>
      <c r="H3378" s="241" t="n">
        <v>0.7</v>
      </c>
      <c r="I3378" s="241" t="n">
        <v>-5.45</v>
      </c>
      <c r="J3378" s="241" t="n">
        <v>11.18</v>
      </c>
      <c r="K3378" s="241" t="n">
        <v>3.69</v>
      </c>
      <c r="L3378" s="242" t="n">
        <v>496200</v>
      </c>
      <c r="M3378" s="241" t="n">
        <v>-0.24</v>
      </c>
      <c r="N3378" s="241" t="n">
        <v>-7.64</v>
      </c>
      <c r="O3378" s="241" t="n">
        <v>-8.73</v>
      </c>
      <c r="P3378" s="241" t="n">
        <v>2.35</v>
      </c>
    </row>
    <row r="3379">
      <c r="A3379" s="282" t="inlineStr">
        <is>
          <t>2019-11-22</t>
        </is>
      </c>
      <c r="B3379" s="240">
        <f>IFERROR(1/P3379-1,B3378)</f>
        <v/>
      </c>
      <c r="C3379" s="240">
        <f>$C$3</f>
        <v/>
      </c>
      <c r="D3379" s="240">
        <f>$D$3</f>
        <v/>
      </c>
      <c r="E3379" s="240">
        <f>$E$3</f>
        <v/>
      </c>
      <c r="F3379" s="241" t="n">
        <v>8.76</v>
      </c>
      <c r="G3379" s="242" t="n">
        <v>7740194</v>
      </c>
      <c r="H3379" s="241" t="n">
        <v>1.04</v>
      </c>
      <c r="I3379" s="241" t="n">
        <v>-4.99</v>
      </c>
      <c r="J3379" s="241" t="n">
        <v>12.33</v>
      </c>
      <c r="K3379" s="241" t="n">
        <v>3.72</v>
      </c>
      <c r="L3379" s="242" t="n">
        <v>610200</v>
      </c>
      <c r="M3379" s="241" t="n">
        <v>0.73</v>
      </c>
      <c r="N3379" s="241" t="n">
        <v>-6.33</v>
      </c>
      <c r="O3379" s="241" t="n">
        <v>-8.06</v>
      </c>
      <c r="P3379" s="241" t="n">
        <v>2.35</v>
      </c>
    </row>
    <row r="3380">
      <c r="A3380" s="282" t="inlineStr">
        <is>
          <t>2019-11-25</t>
        </is>
      </c>
      <c r="B3380" s="240">
        <f>IFERROR(1/P3380-1,B3379)</f>
        <v/>
      </c>
      <c r="C3380" s="240">
        <f>$C$3</f>
        <v/>
      </c>
      <c r="D3380" s="240">
        <f>$D$3</f>
        <v/>
      </c>
      <c r="E3380" s="240">
        <f>$E$3</f>
        <v/>
      </c>
      <c r="F3380" s="241" t="n">
        <v>8.880000000000001</v>
      </c>
      <c r="G3380" s="242" t="n">
        <v>7180688</v>
      </c>
      <c r="H3380" s="241" t="n">
        <v>1.37</v>
      </c>
      <c r="I3380" s="241" t="n">
        <v>-2.74</v>
      </c>
      <c r="J3380" s="241" t="n">
        <v>13.87</v>
      </c>
      <c r="K3380" s="241" t="n">
        <v>3.79</v>
      </c>
      <c r="L3380" s="242" t="n">
        <v>351000</v>
      </c>
      <c r="M3380" s="241" t="n">
        <v>1.69</v>
      </c>
      <c r="N3380" s="241" t="n">
        <v>-6.24</v>
      </c>
      <c r="O3380" s="241" t="n">
        <v>-6.5</v>
      </c>
      <c r="P3380" s="241" t="n">
        <v>2.35</v>
      </c>
    </row>
    <row r="3381">
      <c r="A3381" s="282" t="inlineStr">
        <is>
          <t>2019-11-26</t>
        </is>
      </c>
      <c r="B3381" s="240">
        <f>IFERROR(1/P3381-1,B3380)</f>
        <v/>
      </c>
      <c r="C3381" s="240">
        <f>$C$3</f>
        <v/>
      </c>
      <c r="D3381" s="240">
        <f>$D$3</f>
        <v/>
      </c>
      <c r="E3381" s="240">
        <f>$E$3</f>
        <v/>
      </c>
      <c r="F3381" s="241" t="n">
        <v>8.9</v>
      </c>
      <c r="G3381" s="242" t="n">
        <v>7593703</v>
      </c>
      <c r="H3381" s="241" t="n">
        <v>0.23</v>
      </c>
      <c r="I3381" s="241" t="n">
        <v>-3.05</v>
      </c>
      <c r="J3381" s="241" t="n">
        <v>14.13</v>
      </c>
      <c r="K3381" s="241" t="n">
        <v>3.79</v>
      </c>
      <c r="L3381" s="242" t="n">
        <v>394200</v>
      </c>
      <c r="M3381" s="241" t="n">
        <v>0.24</v>
      </c>
      <c r="N3381" s="241" t="n">
        <v>-7.46</v>
      </c>
      <c r="O3381" s="241" t="n">
        <v>-6.28</v>
      </c>
      <c r="P3381" s="241" t="n">
        <v>2.35</v>
      </c>
    </row>
    <row r="3382">
      <c r="A3382" s="282" t="inlineStr">
        <is>
          <t>2019-11-27</t>
        </is>
      </c>
      <c r="B3382" s="240">
        <f>IFERROR(1/P3382-1,B3381)</f>
        <v/>
      </c>
      <c r="C3382" s="240">
        <f>$C$3</f>
        <v/>
      </c>
      <c r="D3382" s="240">
        <f>$D$3</f>
        <v/>
      </c>
      <c r="E3382" s="240">
        <f>$E$3</f>
        <v/>
      </c>
      <c r="F3382" s="241" t="n">
        <v>8.869999999999999</v>
      </c>
      <c r="G3382" s="242" t="n">
        <v>6361411</v>
      </c>
      <c r="H3382" s="241" t="n">
        <v>-0.34</v>
      </c>
      <c r="I3382" s="241" t="n">
        <v>-3.38</v>
      </c>
      <c r="J3382" s="241" t="n">
        <v>13.74</v>
      </c>
      <c r="K3382" s="241" t="n">
        <v>3.78</v>
      </c>
      <c r="L3382" s="242" t="n">
        <v>1149800</v>
      </c>
      <c r="M3382" s="241" t="n">
        <v>-0.24</v>
      </c>
      <c r="N3382" s="241" t="n">
        <v>-7.68</v>
      </c>
      <c r="O3382" s="241" t="n">
        <v>-6.5</v>
      </c>
      <c r="P3382" s="241" t="n">
        <v>2.34</v>
      </c>
    </row>
    <row r="3383">
      <c r="A3383" s="282" t="inlineStr">
        <is>
          <t>2019-11-28</t>
        </is>
      </c>
      <c r="B3383" s="240">
        <f>IFERROR(1/P3383-1,B3382)</f>
        <v/>
      </c>
      <c r="C3383" s="240">
        <f>$C$3</f>
        <v/>
      </c>
      <c r="D3383" s="240">
        <f>$D$3</f>
        <v/>
      </c>
      <c r="E3383" s="240">
        <f>$E$3</f>
        <v/>
      </c>
      <c r="F3383" s="241" t="n">
        <v>8.859999999999999</v>
      </c>
      <c r="G3383" s="242" t="n">
        <v>3925113</v>
      </c>
      <c r="H3383" s="241" t="n">
        <v>-0.11</v>
      </c>
      <c r="I3383" s="241" t="n">
        <v>-3.49</v>
      </c>
      <c r="J3383" s="241" t="n">
        <v>13.61</v>
      </c>
      <c r="K3383" s="241" t="n">
        <v>3.74</v>
      </c>
      <c r="L3383" s="242" t="n">
        <v>681600</v>
      </c>
      <c r="M3383" s="241" t="n">
        <v>-0.95</v>
      </c>
      <c r="N3383" s="241" t="n">
        <v>-8.550000000000001</v>
      </c>
      <c r="O3383" s="241" t="n">
        <v>-7.39</v>
      </c>
      <c r="P3383" s="241" t="n">
        <v>2.37</v>
      </c>
    </row>
    <row r="3384">
      <c r="A3384" s="282" t="inlineStr">
        <is>
          <t>2019-11-29</t>
        </is>
      </c>
      <c r="B3384" s="240">
        <f>IFERROR(1/P3384-1,B3383)</f>
        <v/>
      </c>
      <c r="C3384" s="240">
        <f>$C$3</f>
        <v/>
      </c>
      <c r="D3384" s="240">
        <f>$D$3</f>
        <v/>
      </c>
      <c r="E3384" s="240">
        <f>$E$3</f>
        <v/>
      </c>
      <c r="F3384" s="241" t="n">
        <v>8.890000000000001</v>
      </c>
      <c r="G3384" s="242" t="n">
        <v>5003984</v>
      </c>
      <c r="H3384" s="241" t="n">
        <v>0.34</v>
      </c>
      <c r="I3384" s="241" t="n">
        <v>-4.41</v>
      </c>
      <c r="J3384" s="241" t="n">
        <v>14</v>
      </c>
      <c r="K3384" s="241" t="n">
        <v>3.77</v>
      </c>
      <c r="L3384" s="242" t="n">
        <v>483800</v>
      </c>
      <c r="M3384" s="241" t="n">
        <v>0.72</v>
      </c>
      <c r="N3384" s="241" t="n">
        <v>-8.1</v>
      </c>
      <c r="O3384" s="241" t="n">
        <v>-6.73</v>
      </c>
      <c r="P3384" s="241" t="n">
        <v>2.36</v>
      </c>
    </row>
    <row r="3385">
      <c r="A3385" s="282" t="inlineStr">
        <is>
          <t>2019-12-02</t>
        </is>
      </c>
      <c r="B3385" s="240">
        <f>IFERROR(1/P3385-1,B3384)</f>
        <v/>
      </c>
      <c r="C3385" s="240">
        <f>$C$3</f>
        <v/>
      </c>
      <c r="D3385" s="240">
        <f>$D$3</f>
        <v/>
      </c>
      <c r="E3385" s="240">
        <f>$E$3</f>
        <v/>
      </c>
      <c r="F3385" s="241" t="n">
        <v>8.84</v>
      </c>
      <c r="G3385" s="242" t="n">
        <v>4584172</v>
      </c>
      <c r="H3385" s="241" t="n">
        <v>-0.5600000000000001</v>
      </c>
      <c r="I3385" s="241" t="n">
        <v>-0.67</v>
      </c>
      <c r="J3385" s="241" t="n">
        <v>13.36</v>
      </c>
      <c r="K3385" s="241" t="n">
        <v>3.79</v>
      </c>
      <c r="L3385" s="242" t="n">
        <v>549600</v>
      </c>
      <c r="M3385" s="241" t="n">
        <v>0.48</v>
      </c>
      <c r="N3385" s="241" t="n">
        <v>-5.17</v>
      </c>
      <c r="O3385" s="241" t="n">
        <v>-6.28</v>
      </c>
      <c r="P3385" s="241" t="n">
        <v>2.33</v>
      </c>
    </row>
    <row r="3386">
      <c r="A3386" s="282" t="inlineStr">
        <is>
          <t>2019-12-03</t>
        </is>
      </c>
      <c r="B3386" s="240">
        <f>IFERROR(1/P3386-1,B3385)</f>
        <v/>
      </c>
      <c r="C3386" s="240">
        <f>$C$3</f>
        <v/>
      </c>
      <c r="D3386" s="240">
        <f>$D$3</f>
        <v/>
      </c>
      <c r="E3386" s="240">
        <f>$E$3</f>
        <v/>
      </c>
      <c r="F3386" s="241" t="n">
        <v>8.890000000000001</v>
      </c>
      <c r="G3386" s="242" t="n">
        <v>4635823</v>
      </c>
      <c r="H3386" s="241" t="n">
        <v>0.57</v>
      </c>
      <c r="I3386" s="241" t="n">
        <v>-0.11</v>
      </c>
      <c r="J3386" s="241" t="n">
        <v>14</v>
      </c>
      <c r="K3386" s="241" t="n">
        <v>3.75</v>
      </c>
      <c r="L3386" s="242" t="n">
        <v>764900</v>
      </c>
      <c r="M3386" s="241" t="n">
        <v>-0.95</v>
      </c>
      <c r="N3386" s="241" t="n">
        <v>-6.07</v>
      </c>
      <c r="O3386" s="241" t="n">
        <v>-7.17</v>
      </c>
      <c r="P3386" s="241" t="n">
        <v>2.37</v>
      </c>
    </row>
    <row r="3387">
      <c r="A3387" s="282" t="inlineStr">
        <is>
          <t>2019-12-04</t>
        </is>
      </c>
      <c r="B3387" s="240">
        <f>IFERROR(1/P3387-1,B3386)</f>
        <v/>
      </c>
      <c r="C3387" s="240">
        <f>$C$3</f>
        <v/>
      </c>
      <c r="D3387" s="240">
        <f>$D$3</f>
        <v/>
      </c>
      <c r="E3387" s="240">
        <f>$E$3</f>
        <v/>
      </c>
      <c r="F3387" s="241" t="n">
        <v>8.949999999999999</v>
      </c>
      <c r="G3387" s="242" t="n">
        <v>4953802</v>
      </c>
      <c r="H3387" s="241" t="n">
        <v>0.67</v>
      </c>
      <c r="I3387" s="241" t="n">
        <v>0.5600000000000001</v>
      </c>
      <c r="J3387" s="241" t="n">
        <v>14.77</v>
      </c>
      <c r="K3387" s="241" t="n">
        <v>3.74</v>
      </c>
      <c r="L3387" s="242" t="n">
        <v>747600</v>
      </c>
      <c r="M3387" s="241" t="n">
        <v>-0.48</v>
      </c>
      <c r="N3387" s="241" t="n">
        <v>-6.52</v>
      </c>
      <c r="O3387" s="241" t="n">
        <v>-7.62</v>
      </c>
      <c r="P3387" s="241" t="n">
        <v>2.39</v>
      </c>
    </row>
    <row r="3388">
      <c r="A3388" s="282" t="inlineStr">
        <is>
          <t>2019-12-05</t>
        </is>
      </c>
      <c r="B3388" s="240">
        <f>IFERROR(1/P3388-1,B3387)</f>
        <v/>
      </c>
      <c r="C3388" s="240">
        <f>$C$3</f>
        <v/>
      </c>
      <c r="D3388" s="240">
        <f>$D$3</f>
        <v/>
      </c>
      <c r="E3388" s="240">
        <f>$E$3</f>
        <v/>
      </c>
      <c r="F3388" s="241" t="n">
        <v>9.029999999999999</v>
      </c>
      <c r="G3388" s="242" t="n">
        <v>6726804</v>
      </c>
      <c r="H3388" s="241" t="n">
        <v>0.89</v>
      </c>
      <c r="I3388" s="241" t="n">
        <v>1.23</v>
      </c>
      <c r="J3388" s="241" t="n">
        <v>15.79</v>
      </c>
      <c r="K3388" s="241" t="n">
        <v>3.78</v>
      </c>
      <c r="L3388" s="242" t="n">
        <v>538116</v>
      </c>
      <c r="M3388" s="241" t="n">
        <v>0.96</v>
      </c>
      <c r="N3388" s="241" t="n">
        <v>-5.83</v>
      </c>
      <c r="O3388" s="241" t="n">
        <v>-6.73</v>
      </c>
      <c r="P3388" s="241" t="n">
        <v>2.39</v>
      </c>
    </row>
    <row r="3389">
      <c r="A3389" s="282" t="inlineStr">
        <is>
          <t>2019-12-06</t>
        </is>
      </c>
      <c r="B3389" s="240">
        <f>IFERROR(1/P3389-1,B3388)</f>
        <v/>
      </c>
      <c r="C3389" s="240">
        <f>$C$3</f>
        <v/>
      </c>
      <c r="D3389" s="240">
        <f>$D$3</f>
        <v/>
      </c>
      <c r="E3389" s="240">
        <f>$E$3</f>
        <v/>
      </c>
      <c r="F3389" s="241" t="n">
        <v>9.039999999999999</v>
      </c>
      <c r="G3389" s="242" t="n">
        <v>4032600</v>
      </c>
      <c r="H3389" s="241" t="n">
        <v>0.11</v>
      </c>
      <c r="I3389" s="241" t="n">
        <v>0.44</v>
      </c>
      <c r="J3389" s="241" t="n">
        <v>15.92</v>
      </c>
      <c r="K3389" s="241" t="n">
        <v>3.78</v>
      </c>
      <c r="L3389" s="242" t="n">
        <v>933180</v>
      </c>
      <c r="M3389" s="241" t="n">
        <v>0</v>
      </c>
      <c r="N3389" s="241" t="n">
        <v>-6.67</v>
      </c>
      <c r="O3389" s="241" t="n">
        <v>-6.73</v>
      </c>
      <c r="P3389" s="241" t="n">
        <v>2.39</v>
      </c>
    </row>
    <row r="3390">
      <c r="A3390" s="282" t="inlineStr">
        <is>
          <t>2019-12-09</t>
        </is>
      </c>
      <c r="B3390" s="240">
        <f>IFERROR(1/P3390-1,B3389)</f>
        <v/>
      </c>
      <c r="C3390" s="240">
        <f>$C$3</f>
        <v/>
      </c>
      <c r="D3390" s="240">
        <f>$D$3</f>
        <v/>
      </c>
      <c r="E3390" s="240">
        <f>$E$3</f>
        <v/>
      </c>
      <c r="F3390" s="241" t="n">
        <v>9.039999999999999</v>
      </c>
      <c r="G3390" s="242" t="n">
        <v>4023976</v>
      </c>
      <c r="H3390" s="241" t="n">
        <v>0</v>
      </c>
      <c r="I3390" s="241" t="n">
        <v>0.78</v>
      </c>
      <c r="J3390" s="241" t="n">
        <v>15.92</v>
      </c>
      <c r="K3390" s="241" t="n">
        <v>3.78</v>
      </c>
      <c r="L3390" s="242" t="n">
        <v>637600</v>
      </c>
      <c r="M3390" s="241" t="n">
        <v>0</v>
      </c>
      <c r="N3390" s="241" t="n">
        <v>-6.46</v>
      </c>
      <c r="O3390" s="241" t="n">
        <v>-6.73</v>
      </c>
      <c r="P3390" s="241" t="n">
        <v>2.39</v>
      </c>
    </row>
    <row r="3391">
      <c r="A3391" s="282" t="inlineStr">
        <is>
          <t>2019-12-10</t>
        </is>
      </c>
      <c r="B3391" s="240">
        <f>IFERROR(1/P3391-1,B3390)</f>
        <v/>
      </c>
      <c r="C3391" s="240">
        <f>$C$3</f>
        <v/>
      </c>
      <c r="D3391" s="240">
        <f>$D$3</f>
        <v/>
      </c>
      <c r="E3391" s="240">
        <f>$E$3</f>
        <v/>
      </c>
      <c r="F3391" s="241" t="n">
        <v>9</v>
      </c>
      <c r="G3391" s="242" t="n">
        <v>4984980</v>
      </c>
      <c r="H3391" s="241" t="n">
        <v>-0.44</v>
      </c>
      <c r="I3391" s="241" t="n">
        <v>0.33</v>
      </c>
      <c r="J3391" s="241" t="n">
        <v>15.41</v>
      </c>
      <c r="K3391" s="241" t="n">
        <v>3.77</v>
      </c>
      <c r="L3391" s="242" t="n">
        <v>499400</v>
      </c>
      <c r="M3391" s="241" t="n">
        <v>-0.24</v>
      </c>
      <c r="N3391" s="241" t="n">
        <v>-6.68</v>
      </c>
      <c r="O3391" s="241" t="n">
        <v>-6.95</v>
      </c>
      <c r="P3391" s="241" t="n">
        <v>2.39</v>
      </c>
    </row>
    <row r="3392">
      <c r="A3392" s="282" t="inlineStr">
        <is>
          <t>2019-12-11</t>
        </is>
      </c>
      <c r="B3392" s="240">
        <f>IFERROR(1/P3392-1,B3391)</f>
        <v/>
      </c>
      <c r="C3392" s="240">
        <f>$C$3</f>
        <v/>
      </c>
      <c r="D3392" s="240">
        <f>$D$3</f>
        <v/>
      </c>
      <c r="E3392" s="240">
        <f>$E$3</f>
        <v/>
      </c>
      <c r="F3392" s="241" t="n">
        <v>8.94</v>
      </c>
      <c r="G3392" s="242" t="n">
        <v>4637682</v>
      </c>
      <c r="H3392" s="241" t="n">
        <v>-0.67</v>
      </c>
      <c r="I3392" s="241" t="n">
        <v>-0.33</v>
      </c>
      <c r="J3392" s="241" t="n">
        <v>14.64</v>
      </c>
      <c r="K3392" s="241" t="n">
        <v>3.79</v>
      </c>
      <c r="L3392" s="242" t="n">
        <v>458000</v>
      </c>
      <c r="M3392" s="241" t="n">
        <v>0.48</v>
      </c>
      <c r="N3392" s="241" t="n">
        <v>-6.24</v>
      </c>
      <c r="O3392" s="241" t="n">
        <v>-6.5</v>
      </c>
      <c r="P3392" s="241" t="n">
        <v>2.36</v>
      </c>
    </row>
    <row r="3393">
      <c r="A3393" s="282" t="inlineStr">
        <is>
          <t>2019-12-12</t>
        </is>
      </c>
      <c r="B3393" s="240">
        <f>IFERROR(1/P3393-1,B3392)</f>
        <v/>
      </c>
      <c r="C3393" s="240">
        <f>$C$3</f>
        <v/>
      </c>
      <c r="D3393" s="240">
        <f>$D$3</f>
        <v/>
      </c>
      <c r="E3393" s="240">
        <f>$E$3</f>
        <v/>
      </c>
      <c r="F3393" s="241" t="n">
        <v>8.94</v>
      </c>
      <c r="G3393" s="242" t="n">
        <v>7527575</v>
      </c>
      <c r="H3393" s="241" t="n">
        <v>0</v>
      </c>
      <c r="I3393" s="241" t="n">
        <v>2.29</v>
      </c>
      <c r="J3393" s="241" t="n">
        <v>14.64</v>
      </c>
      <c r="K3393" s="241" t="n">
        <v>3.82</v>
      </c>
      <c r="L3393" s="242" t="n">
        <v>607000</v>
      </c>
      <c r="M3393" s="241" t="n">
        <v>0.95</v>
      </c>
      <c r="N3393" s="241" t="n">
        <v>-2.07</v>
      </c>
      <c r="O3393" s="241" t="n">
        <v>-5.62</v>
      </c>
      <c r="P3393" s="241" t="n">
        <v>2.34</v>
      </c>
    </row>
    <row r="3394">
      <c r="A3394" s="282" t="inlineStr">
        <is>
          <t>2019-12-13</t>
        </is>
      </c>
      <c r="B3394" s="240">
        <f>IFERROR(1/P3394-1,B3393)</f>
        <v/>
      </c>
      <c r="C3394" s="240">
        <f>$C$3</f>
        <v/>
      </c>
      <c r="D3394" s="240">
        <f>$D$3</f>
        <v/>
      </c>
      <c r="E3394" s="240">
        <f>$E$3</f>
        <v/>
      </c>
      <c r="F3394" s="241" t="n">
        <v>9</v>
      </c>
      <c r="G3394" s="242" t="n">
        <v>9104611</v>
      </c>
      <c r="H3394" s="241" t="n">
        <v>0.67</v>
      </c>
      <c r="I3394" s="241" t="n">
        <v>3.57</v>
      </c>
      <c r="J3394" s="241" t="n">
        <v>15.41</v>
      </c>
      <c r="K3394" s="241" t="n">
        <v>3.9</v>
      </c>
      <c r="L3394" s="242" t="n">
        <v>772200</v>
      </c>
      <c r="M3394" s="241" t="n">
        <v>2.12</v>
      </c>
      <c r="N3394" s="241" t="n">
        <v>1.4</v>
      </c>
      <c r="O3394" s="241" t="n">
        <v>-3.62</v>
      </c>
      <c r="P3394" s="241" t="n">
        <v>2.31</v>
      </c>
    </row>
    <row r="3395">
      <c r="A3395" s="282" t="inlineStr">
        <is>
          <t>2019-12-16</t>
        </is>
      </c>
      <c r="B3395" s="240">
        <f>IFERROR(1/P3395-1,B3394)</f>
        <v/>
      </c>
      <c r="C3395" s="240">
        <f>$C$3</f>
        <v/>
      </c>
      <c r="D3395" s="240">
        <f>$D$3</f>
        <v/>
      </c>
      <c r="E3395" s="240">
        <f>$E$3</f>
        <v/>
      </c>
      <c r="F3395" s="241" t="n">
        <v>9.15</v>
      </c>
      <c r="G3395" s="242" t="n">
        <v>12752496</v>
      </c>
      <c r="H3395" s="241" t="n">
        <v>1.67</v>
      </c>
      <c r="I3395" s="241" t="n">
        <v>6.52</v>
      </c>
      <c r="J3395" s="241" t="n">
        <v>17.33</v>
      </c>
      <c r="K3395" s="241" t="n">
        <v>3.81</v>
      </c>
      <c r="L3395" s="242" t="n">
        <v>3161400</v>
      </c>
      <c r="M3395" s="241" t="n">
        <v>-2.07</v>
      </c>
      <c r="N3395" s="241" t="n">
        <v>3.41</v>
      </c>
      <c r="O3395" s="241" t="n">
        <v>-5.62</v>
      </c>
      <c r="P3395" s="241" t="n">
        <v>2.4</v>
      </c>
    </row>
    <row r="3396">
      <c r="A3396" s="282" t="inlineStr">
        <is>
          <t>2019-12-17</t>
        </is>
      </c>
      <c r="B3396" s="240">
        <f>IFERROR(1/P3396-1,B3395)</f>
        <v/>
      </c>
      <c r="C3396" s="240">
        <f>$C$3</f>
        <v/>
      </c>
      <c r="D3396" s="240">
        <f>$D$3</f>
        <v/>
      </c>
      <c r="E3396" s="240">
        <f>$E$3</f>
        <v/>
      </c>
      <c r="F3396" s="241" t="n">
        <v>9.24</v>
      </c>
      <c r="G3396" s="242" t="n">
        <v>12313010</v>
      </c>
      <c r="H3396" s="241" t="n">
        <v>0.98</v>
      </c>
      <c r="I3396" s="241" t="n">
        <v>7.57</v>
      </c>
      <c r="J3396" s="241" t="n">
        <v>18.49</v>
      </c>
      <c r="K3396" s="241" t="n">
        <v>3.93</v>
      </c>
      <c r="L3396" s="242" t="n">
        <v>1396325</v>
      </c>
      <c r="M3396" s="241" t="n">
        <v>3.06</v>
      </c>
      <c r="N3396" s="241" t="n">
        <v>6.57</v>
      </c>
      <c r="O3396" s="241" t="n">
        <v>-2.73</v>
      </c>
      <c r="P3396" s="241" t="n">
        <v>2.35</v>
      </c>
    </row>
    <row r="3397">
      <c r="A3397" s="282" t="inlineStr">
        <is>
          <t>2019-12-18</t>
        </is>
      </c>
      <c r="B3397" s="240">
        <f>IFERROR(1/P3397-1,B3396)</f>
        <v/>
      </c>
      <c r="C3397" s="240">
        <f>$C$3</f>
        <v/>
      </c>
      <c r="D3397" s="240">
        <f>$D$3</f>
        <v/>
      </c>
      <c r="E3397" s="240">
        <f>$E$3</f>
        <v/>
      </c>
      <c r="F3397" s="241" t="n">
        <v>9.300000000000001</v>
      </c>
      <c r="G3397" s="242" t="n">
        <v>12441239</v>
      </c>
      <c r="H3397" s="241" t="n">
        <v>0.65</v>
      </c>
      <c r="I3397" s="241" t="n">
        <v>8.27</v>
      </c>
      <c r="J3397" s="241" t="n">
        <v>19.26</v>
      </c>
      <c r="K3397" s="241" t="n">
        <v>4</v>
      </c>
      <c r="L3397" s="242" t="n">
        <v>1739000</v>
      </c>
      <c r="M3397" s="241" t="n">
        <v>1.6</v>
      </c>
      <c r="N3397" s="241" t="n">
        <v>8.27</v>
      </c>
      <c r="O3397" s="241" t="n">
        <v>-1.18</v>
      </c>
      <c r="P3397" s="241" t="n">
        <v>2.33</v>
      </c>
    </row>
    <row r="3398">
      <c r="A3398" s="282" t="inlineStr">
        <is>
          <t>2019-12-19</t>
        </is>
      </c>
      <c r="B3398" s="240">
        <f>IFERROR(1/P3398-1,B3397)</f>
        <v/>
      </c>
      <c r="C3398" s="240">
        <f>$C$3</f>
        <v/>
      </c>
      <c r="D3398" s="240">
        <f>$D$3</f>
        <v/>
      </c>
      <c r="E3398" s="240">
        <f>$E$3</f>
        <v/>
      </c>
      <c r="F3398" s="241" t="n">
        <v>9.41</v>
      </c>
      <c r="G3398" s="242" t="n">
        <v>11444272</v>
      </c>
      <c r="H3398" s="241" t="n">
        <v>1.18</v>
      </c>
      <c r="I3398" s="241" t="n">
        <v>9.289999999999999</v>
      </c>
      <c r="J3398" s="241" t="n">
        <v>20.67</v>
      </c>
      <c r="K3398" s="241" t="n">
        <v>4.2</v>
      </c>
      <c r="L3398" s="242" t="n">
        <v>3814940</v>
      </c>
      <c r="M3398" s="241" t="n">
        <v>4.94</v>
      </c>
      <c r="N3398" s="241" t="n">
        <v>13.35</v>
      </c>
      <c r="O3398" s="241" t="n">
        <v>3.71</v>
      </c>
      <c r="P3398" s="241" t="n">
        <v>2.24</v>
      </c>
    </row>
    <row r="3399">
      <c r="A3399" s="282" t="inlineStr">
        <is>
          <t>2019-12-20</t>
        </is>
      </c>
      <c r="B3399" s="240">
        <f>IFERROR(1/P3399-1,B3398)</f>
        <v/>
      </c>
      <c r="C3399" s="240">
        <f>$C$3</f>
        <v/>
      </c>
      <c r="D3399" s="240">
        <f>$D$3</f>
        <v/>
      </c>
      <c r="E3399" s="240">
        <f>$E$3</f>
        <v/>
      </c>
      <c r="F3399" s="241" t="n">
        <v>9.35</v>
      </c>
      <c r="G3399" s="242" t="n">
        <v>10039369</v>
      </c>
      <c r="H3399" s="241" t="n">
        <v>-0.64</v>
      </c>
      <c r="I3399" s="241" t="n">
        <v>7.22</v>
      </c>
      <c r="J3399" s="241" t="n">
        <v>19.9</v>
      </c>
      <c r="K3399" s="241" t="n">
        <v>4.18</v>
      </c>
      <c r="L3399" s="242" t="n">
        <v>2583600</v>
      </c>
      <c r="M3399" s="241" t="n">
        <v>-0.21</v>
      </c>
      <c r="N3399" s="241" t="n">
        <v>13.11</v>
      </c>
      <c r="O3399" s="241" t="n">
        <v>3.49</v>
      </c>
      <c r="P3399" s="241" t="n">
        <v>2.23</v>
      </c>
    </row>
    <row r="3400">
      <c r="A3400" s="282" t="inlineStr">
        <is>
          <t>2019-12-23</t>
        </is>
      </c>
      <c r="B3400" s="240">
        <f>IFERROR(1/P3400-1,B3399)</f>
        <v/>
      </c>
      <c r="C3400" s="240">
        <f>$C$3</f>
        <v/>
      </c>
      <c r="D3400" s="240">
        <f>$D$3</f>
        <v/>
      </c>
      <c r="E3400" s="240">
        <f>$E$3</f>
        <v/>
      </c>
      <c r="F3400" s="241" t="n">
        <v>9.039999999999999</v>
      </c>
      <c r="G3400" s="242" t="n">
        <v>10015572</v>
      </c>
      <c r="H3400" s="241" t="n">
        <v>-3.32</v>
      </c>
      <c r="I3400" s="241" t="n">
        <v>3.2</v>
      </c>
      <c r="J3400" s="241" t="n">
        <v>15.92</v>
      </c>
      <c r="K3400" s="241" t="n">
        <v>4.05</v>
      </c>
      <c r="L3400" s="242" t="n">
        <v>1315800</v>
      </c>
      <c r="M3400" s="241" t="n">
        <v>-3.43</v>
      </c>
      <c r="N3400" s="241" t="n">
        <v>8.699999999999999</v>
      </c>
      <c r="O3400" s="241" t="n">
        <v>-0.06</v>
      </c>
      <c r="P3400" s="241" t="n">
        <v>2.23</v>
      </c>
    </row>
    <row r="3401">
      <c r="A3401" s="282" t="inlineStr">
        <is>
          <t>2019-12-24</t>
        </is>
      </c>
      <c r="B3401" s="240">
        <f>IFERROR(1/P3401-1,B3400)</f>
        <v/>
      </c>
      <c r="C3401" s="240">
        <f>$C$3</f>
        <v/>
      </c>
      <c r="D3401" s="240">
        <f>$D$3</f>
        <v/>
      </c>
      <c r="E3401" s="240">
        <f>$E$3</f>
        <v/>
      </c>
      <c r="F3401" s="241" t="n">
        <v>9.210000000000001</v>
      </c>
      <c r="G3401" s="242" t="n">
        <v>6900002</v>
      </c>
      <c r="H3401" s="241" t="n">
        <v>1.88</v>
      </c>
      <c r="I3401" s="241" t="n">
        <v>5.14</v>
      </c>
      <c r="J3401" s="241" t="n">
        <v>18.1</v>
      </c>
      <c r="K3401" s="241" t="n">
        <v>4.11</v>
      </c>
      <c r="L3401" s="242" t="n">
        <v>616400</v>
      </c>
      <c r="M3401" s="241" t="n">
        <v>1.33</v>
      </c>
      <c r="N3401" s="241" t="n">
        <v>10.14</v>
      </c>
      <c r="O3401" s="241" t="n">
        <v>1.27</v>
      </c>
      <c r="P3401" s="241" t="n">
        <v>2.24</v>
      </c>
    </row>
    <row r="3402">
      <c r="A3402" s="282" t="inlineStr">
        <is>
          <t>2019-12-25</t>
        </is>
      </c>
      <c r="B3402" s="240">
        <f>IFERROR(1/P3402-1,B3401)</f>
        <v/>
      </c>
      <c r="C3402" s="240">
        <f>$C$3</f>
        <v/>
      </c>
      <c r="D3402" s="240">
        <f>$D$3</f>
        <v/>
      </c>
      <c r="E3402" s="240">
        <f>$E$3</f>
        <v/>
      </c>
      <c r="F3402" s="241" t="n">
        <v>9.130000000000001</v>
      </c>
      <c r="G3402" s="242" t="n">
        <v>7036032</v>
      </c>
      <c r="H3402" s="241" t="n">
        <v>-0.87</v>
      </c>
      <c r="I3402" s="241" t="n">
        <v>4.22</v>
      </c>
      <c r="J3402" s="241" t="n">
        <v>17.08</v>
      </c>
      <c r="K3402" s="239" t="inlineStr">
        <is>
          <t>--</t>
        </is>
      </c>
      <c r="L3402" s="239" t="inlineStr">
        <is>
          <t>--</t>
        </is>
      </c>
      <c r="M3402" s="239" t="inlineStr">
        <is>
          <t>--</t>
        </is>
      </c>
      <c r="N3402" s="239" t="inlineStr">
        <is>
          <t>--</t>
        </is>
      </c>
      <c r="O3402" s="239" t="inlineStr">
        <is>
          <t>--</t>
        </is>
      </c>
      <c r="P3402" s="239" t="inlineStr">
        <is>
          <t>--</t>
        </is>
      </c>
    </row>
    <row r="3403">
      <c r="A3403" s="282" t="inlineStr">
        <is>
          <t>2019-12-26</t>
        </is>
      </c>
      <c r="B3403" s="240">
        <f>IFERROR(1/P3403-1,B3402)</f>
        <v/>
      </c>
      <c r="C3403" s="240">
        <f>$C$3</f>
        <v/>
      </c>
      <c r="D3403" s="240">
        <f>$D$3</f>
        <v/>
      </c>
      <c r="E3403" s="240">
        <f>$E$3</f>
        <v/>
      </c>
      <c r="F3403" s="241" t="n">
        <v>9.279999999999999</v>
      </c>
      <c r="G3403" s="242" t="n">
        <v>9571483</v>
      </c>
      <c r="H3403" s="241" t="n">
        <v>1.64</v>
      </c>
      <c r="I3403" s="241" t="n">
        <v>4.5</v>
      </c>
      <c r="J3403" s="241" t="n">
        <v>19</v>
      </c>
      <c r="K3403" s="239" t="inlineStr">
        <is>
          <t>--</t>
        </is>
      </c>
      <c r="L3403" s="239" t="inlineStr">
        <is>
          <t>--</t>
        </is>
      </c>
      <c r="M3403" s="239" t="inlineStr">
        <is>
          <t>--</t>
        </is>
      </c>
      <c r="N3403" s="239" t="inlineStr">
        <is>
          <t>--</t>
        </is>
      </c>
      <c r="O3403" s="239" t="inlineStr">
        <is>
          <t>--</t>
        </is>
      </c>
      <c r="P3403" s="239" t="inlineStr">
        <is>
          <t>--</t>
        </is>
      </c>
    </row>
    <row r="3404">
      <c r="A3404" s="282" t="inlineStr">
        <is>
          <t>2019-12-27</t>
        </is>
      </c>
      <c r="B3404" s="240">
        <f>IFERROR(1/P3404-1,B3403)</f>
        <v/>
      </c>
      <c r="C3404" s="240">
        <f>$C$3</f>
        <v/>
      </c>
      <c r="D3404" s="240">
        <f>$D$3</f>
        <v/>
      </c>
      <c r="E3404" s="240">
        <f>$E$3</f>
        <v/>
      </c>
      <c r="F3404" s="241" t="n">
        <v>9.140000000000001</v>
      </c>
      <c r="G3404" s="242" t="n">
        <v>11705640</v>
      </c>
      <c r="H3404" s="241" t="n">
        <v>-1.51</v>
      </c>
      <c r="I3404" s="241" t="n">
        <v>2.7</v>
      </c>
      <c r="J3404" s="241" t="n">
        <v>17.2</v>
      </c>
      <c r="K3404" s="241" t="n">
        <v>4.19</v>
      </c>
      <c r="L3404" s="242" t="n">
        <v>1236332</v>
      </c>
      <c r="M3404" s="241" t="n">
        <v>2.41</v>
      </c>
      <c r="N3404" s="241" t="n">
        <v>10.66</v>
      </c>
      <c r="O3404" s="241" t="n">
        <v>3.71</v>
      </c>
      <c r="P3404" s="241" t="n">
        <v>2.18</v>
      </c>
    </row>
    <row r="3405">
      <c r="A3405" s="282" t="inlineStr">
        <is>
          <t>2019-12-30</t>
        </is>
      </c>
      <c r="B3405" s="240">
        <f>IFERROR(1/P3405-1,B3404)</f>
        <v/>
      </c>
      <c r="C3405" s="240">
        <f>$C$3</f>
        <v/>
      </c>
      <c r="D3405" s="240">
        <f>$D$3</f>
        <v/>
      </c>
      <c r="E3405" s="240">
        <f>$E$3</f>
        <v/>
      </c>
      <c r="F3405" s="241" t="n">
        <v>9.17</v>
      </c>
      <c r="G3405" s="242" t="n">
        <v>9580033</v>
      </c>
      <c r="H3405" s="241" t="n">
        <v>0.33</v>
      </c>
      <c r="I3405" s="241" t="n">
        <v>3.15</v>
      </c>
      <c r="J3405" s="241" t="n">
        <v>17.59</v>
      </c>
      <c r="K3405" s="241" t="n">
        <v>4.2</v>
      </c>
      <c r="L3405" s="242" t="n">
        <v>1853200</v>
      </c>
      <c r="M3405" s="241" t="n">
        <v>0.43</v>
      </c>
      <c r="N3405" s="241" t="n">
        <v>11.67</v>
      </c>
      <c r="O3405" s="241" t="n">
        <v>4.15</v>
      </c>
      <c r="P3405" s="241" t="n">
        <v>2.18</v>
      </c>
    </row>
    <row r="3406">
      <c r="A3406" s="282" t="inlineStr">
        <is>
          <t>2019-12-31</t>
        </is>
      </c>
      <c r="B3406" s="240">
        <f>IFERROR(1/P3406-1,B3405)</f>
        <v/>
      </c>
      <c r="C3406" s="240">
        <f>$C$3</f>
        <v/>
      </c>
      <c r="D3406" s="240">
        <f>$D$3</f>
        <v/>
      </c>
      <c r="E3406" s="240">
        <f>$E$3</f>
        <v/>
      </c>
      <c r="F3406" s="241" t="n">
        <v>9.19</v>
      </c>
      <c r="G3406" s="242" t="n">
        <v>5341351</v>
      </c>
      <c r="H3406" s="241" t="n">
        <v>0.22</v>
      </c>
      <c r="I3406" s="241" t="n">
        <v>3.37</v>
      </c>
      <c r="J3406" s="241" t="n">
        <v>17.85</v>
      </c>
      <c r="K3406" s="241" t="n">
        <v>4.21</v>
      </c>
      <c r="L3406" s="242" t="n">
        <v>592200</v>
      </c>
      <c r="M3406" s="241" t="n">
        <v>0.21</v>
      </c>
      <c r="N3406" s="241" t="n">
        <v>11.9</v>
      </c>
      <c r="O3406" s="241" t="n">
        <v>4.38</v>
      </c>
      <c r="P3406" s="241" t="n">
        <v>2.18</v>
      </c>
    </row>
    <row r="3407">
      <c r="A3407" s="282" t="inlineStr">
        <is>
          <t>2020-01-02</t>
        </is>
      </c>
      <c r="B3407" s="240">
        <f>IFERROR(1/P3407-1,B3406)</f>
        <v/>
      </c>
      <c r="C3407" s="240">
        <f>$C$3</f>
        <v/>
      </c>
      <c r="D3407" s="240">
        <f>$D$3</f>
        <v/>
      </c>
      <c r="E3407" s="240">
        <f>$E$3</f>
        <v/>
      </c>
      <c r="F3407" s="241" t="n">
        <v>9.35</v>
      </c>
      <c r="G3407" s="242" t="n">
        <v>14812152</v>
      </c>
      <c r="H3407" s="241" t="n">
        <v>1.74</v>
      </c>
      <c r="I3407" s="241" t="n">
        <v>5.17</v>
      </c>
      <c r="J3407" s="241" t="n">
        <v>1.74</v>
      </c>
      <c r="K3407" s="241" t="n">
        <v>4.37</v>
      </c>
      <c r="L3407" s="242" t="n">
        <v>2875000</v>
      </c>
      <c r="M3407" s="241" t="n">
        <v>4.04</v>
      </c>
      <c r="N3407" s="241" t="n">
        <v>16.43</v>
      </c>
      <c r="O3407" s="241" t="n">
        <v>4.04</v>
      </c>
      <c r="P3407" s="241" t="n">
        <v>2.14</v>
      </c>
    </row>
    <row r="3408">
      <c r="A3408" s="282" t="inlineStr">
        <is>
          <t>2020-01-03</t>
        </is>
      </c>
      <c r="B3408" s="240">
        <f>IFERROR(1/P3408-1,B3407)</f>
        <v/>
      </c>
      <c r="C3408" s="240">
        <f>$C$3</f>
        <v/>
      </c>
      <c r="D3408" s="240">
        <f>$D$3</f>
        <v/>
      </c>
      <c r="E3408" s="240">
        <f>$E$3</f>
        <v/>
      </c>
      <c r="F3408" s="241" t="n">
        <v>9.5</v>
      </c>
      <c r="G3408" s="242" t="n">
        <v>16184923</v>
      </c>
      <c r="H3408" s="241" t="n">
        <v>1.6</v>
      </c>
      <c r="I3408" s="241" t="n">
        <v>7.47</v>
      </c>
      <c r="J3408" s="241" t="n">
        <v>3.37</v>
      </c>
      <c r="K3408" s="241" t="n">
        <v>4.36</v>
      </c>
      <c r="L3408" s="242" t="n">
        <v>1546000</v>
      </c>
      <c r="M3408" s="241" t="n">
        <v>-0.41</v>
      </c>
      <c r="N3408" s="241" t="n">
        <v>15.4</v>
      </c>
      <c r="O3408" s="241" t="n">
        <v>3.62</v>
      </c>
      <c r="P3408" s="241" t="n">
        <v>2.18</v>
      </c>
    </row>
    <row r="3409">
      <c r="A3409" s="282" t="inlineStr">
        <is>
          <t>2020-01-06</t>
        </is>
      </c>
      <c r="B3409" s="240">
        <f>IFERROR(1/P3409-1,B3408)</f>
        <v/>
      </c>
      <c r="C3409" s="240">
        <f>$C$3</f>
        <v/>
      </c>
      <c r="D3409" s="240">
        <f>$D$3</f>
        <v/>
      </c>
      <c r="E3409" s="240">
        <f>$E$3</f>
        <v/>
      </c>
      <c r="F3409" s="241" t="n">
        <v>9.52</v>
      </c>
      <c r="G3409" s="242" t="n">
        <v>26423000</v>
      </c>
      <c r="H3409" s="241" t="n">
        <v>0.21</v>
      </c>
      <c r="I3409" s="241" t="n">
        <v>5.43</v>
      </c>
      <c r="J3409" s="241" t="n">
        <v>3.59</v>
      </c>
      <c r="K3409" s="241" t="n">
        <v>4.28</v>
      </c>
      <c r="L3409" s="242" t="n">
        <v>1627400</v>
      </c>
      <c r="M3409" s="241" t="n">
        <v>-1.85</v>
      </c>
      <c r="N3409" s="241" t="n">
        <v>13.81</v>
      </c>
      <c r="O3409" s="241" t="n">
        <v>1.7</v>
      </c>
      <c r="P3409" s="241" t="n">
        <v>2.22</v>
      </c>
    </row>
    <row r="3410">
      <c r="A3410" s="282" t="inlineStr">
        <is>
          <t>2020-01-07</t>
        </is>
      </c>
      <c r="B3410" s="240">
        <f>IFERROR(1/P3410-1,B3409)</f>
        <v/>
      </c>
      <c r="C3410" s="240">
        <f>$C$3</f>
        <v/>
      </c>
      <c r="D3410" s="240">
        <f>$D$3</f>
        <v/>
      </c>
      <c r="E3410" s="240">
        <f>$E$3</f>
        <v/>
      </c>
      <c r="F3410" s="241" t="n">
        <v>9.539999999999999</v>
      </c>
      <c r="G3410" s="242" t="n">
        <v>14826328</v>
      </c>
      <c r="H3410" s="241" t="n">
        <v>0.21</v>
      </c>
      <c r="I3410" s="241" t="n">
        <v>5.53</v>
      </c>
      <c r="J3410" s="241" t="n">
        <v>3.81</v>
      </c>
      <c r="K3410" s="241" t="n">
        <v>4.31</v>
      </c>
      <c r="L3410" s="242" t="n">
        <v>828800</v>
      </c>
      <c r="M3410" s="241" t="n">
        <v>0.63</v>
      </c>
      <c r="N3410" s="241" t="n">
        <v>14.52</v>
      </c>
      <c r="O3410" s="241" t="n">
        <v>2.34</v>
      </c>
      <c r="P3410" s="241" t="n">
        <v>2.21</v>
      </c>
    </row>
    <row r="3411">
      <c r="A3411" s="282" t="inlineStr">
        <is>
          <t>2020-01-08</t>
        </is>
      </c>
      <c r="B3411" s="240">
        <f>IFERROR(1/P3411-1,B3410)</f>
        <v/>
      </c>
      <c r="C3411" s="240">
        <f>$C$3</f>
        <v/>
      </c>
      <c r="D3411" s="240">
        <f>$D$3</f>
        <v/>
      </c>
      <c r="E3411" s="240">
        <f>$E$3</f>
        <v/>
      </c>
      <c r="F3411" s="241" t="n">
        <v>9.27</v>
      </c>
      <c r="G3411" s="242" t="n">
        <v>19059388</v>
      </c>
      <c r="H3411" s="241" t="n">
        <v>-2.83</v>
      </c>
      <c r="I3411" s="241" t="n">
        <v>2.54</v>
      </c>
      <c r="J3411" s="241" t="n">
        <v>0.87</v>
      </c>
      <c r="K3411" s="241" t="n">
        <v>4.13</v>
      </c>
      <c r="L3411" s="242" t="n">
        <v>2211404</v>
      </c>
      <c r="M3411" s="241" t="n">
        <v>-3.95</v>
      </c>
      <c r="N3411" s="241" t="n">
        <v>10</v>
      </c>
      <c r="O3411" s="241" t="n">
        <v>-1.7</v>
      </c>
      <c r="P3411" s="241" t="n">
        <v>2.25</v>
      </c>
    </row>
    <row r="3412">
      <c r="A3412" s="282" t="inlineStr">
        <is>
          <t>2020-01-09</t>
        </is>
      </c>
      <c r="B3412" s="240">
        <f>IFERROR(1/P3412-1,B3411)</f>
        <v/>
      </c>
      <c r="C3412" s="240">
        <f>$C$3</f>
        <v/>
      </c>
      <c r="D3412" s="240">
        <f>$D$3</f>
        <v/>
      </c>
      <c r="E3412" s="240">
        <f>$E$3</f>
        <v/>
      </c>
      <c r="F3412" s="241" t="n">
        <v>9.449999999999999</v>
      </c>
      <c r="G3412" s="242" t="n">
        <v>13538394</v>
      </c>
      <c r="H3412" s="241" t="n">
        <v>1.94</v>
      </c>
      <c r="I3412" s="241" t="n">
        <v>4.54</v>
      </c>
      <c r="J3412" s="241" t="n">
        <v>2.83</v>
      </c>
      <c r="K3412" s="241" t="n">
        <v>4.23</v>
      </c>
      <c r="L3412" s="242" t="n">
        <v>739600</v>
      </c>
      <c r="M3412" s="241" t="n">
        <v>2.38</v>
      </c>
      <c r="N3412" s="241" t="n">
        <v>12.62</v>
      </c>
      <c r="O3412" s="241" t="n">
        <v>0.64</v>
      </c>
      <c r="P3412" s="241" t="n">
        <v>2.24</v>
      </c>
    </row>
    <row r="3413">
      <c r="A3413" s="282" t="inlineStr">
        <is>
          <t>2020-01-10</t>
        </is>
      </c>
      <c r="B3413" s="240">
        <f>IFERROR(1/P3413-1,B3412)</f>
        <v/>
      </c>
      <c r="C3413" s="240">
        <f>$C$3</f>
        <v/>
      </c>
      <c r="D3413" s="240">
        <f>$D$3</f>
        <v/>
      </c>
      <c r="E3413" s="240">
        <f>$E$3</f>
        <v/>
      </c>
      <c r="F3413" s="241" t="n">
        <v>9.32</v>
      </c>
      <c r="G3413" s="242" t="n">
        <v>10421547</v>
      </c>
      <c r="H3413" s="241" t="n">
        <v>-1.38</v>
      </c>
      <c r="I3413" s="241" t="n">
        <v>3.1</v>
      </c>
      <c r="J3413" s="241" t="n">
        <v>1.41</v>
      </c>
      <c r="K3413" s="241" t="n">
        <v>4.13</v>
      </c>
      <c r="L3413" s="242" t="n">
        <v>1446570</v>
      </c>
      <c r="M3413" s="241" t="n">
        <v>-2.33</v>
      </c>
      <c r="N3413" s="241" t="n">
        <v>10</v>
      </c>
      <c r="O3413" s="241" t="n">
        <v>-1.7</v>
      </c>
      <c r="P3413" s="241" t="n">
        <v>2.26</v>
      </c>
    </row>
    <row r="3414">
      <c r="A3414" s="282" t="inlineStr">
        <is>
          <t>2020-01-13</t>
        </is>
      </c>
      <c r="B3414" s="240">
        <f>IFERROR(1/P3414-1,B3413)</f>
        <v/>
      </c>
      <c r="C3414" s="240">
        <f>$C$3</f>
        <v/>
      </c>
      <c r="D3414" s="240">
        <f>$D$3</f>
        <v/>
      </c>
      <c r="E3414" s="240">
        <f>$E$3</f>
        <v/>
      </c>
      <c r="F3414" s="241" t="n">
        <v>9.49</v>
      </c>
      <c r="G3414" s="242" t="n">
        <v>11671235</v>
      </c>
      <c r="H3414" s="241" t="n">
        <v>1.82</v>
      </c>
      <c r="I3414" s="241" t="n">
        <v>6.15</v>
      </c>
      <c r="J3414" s="241" t="n">
        <v>3.26</v>
      </c>
      <c r="K3414" s="241" t="n">
        <v>4.35</v>
      </c>
      <c r="L3414" s="242" t="n">
        <v>3573000</v>
      </c>
      <c r="M3414" s="241" t="n">
        <v>5.63</v>
      </c>
      <c r="N3414" s="241" t="n">
        <v>14.82</v>
      </c>
      <c r="O3414" s="241" t="n">
        <v>3.83</v>
      </c>
      <c r="P3414" s="241" t="n">
        <v>2.18</v>
      </c>
    </row>
    <row r="3415">
      <c r="A3415" s="282" t="inlineStr">
        <is>
          <t>2020-01-14</t>
        </is>
      </c>
      <c r="B3415" s="240">
        <f>IFERROR(1/P3415-1,B3414)</f>
        <v/>
      </c>
      <c r="C3415" s="240">
        <f>$C$3</f>
        <v/>
      </c>
      <c r="D3415" s="240">
        <f>$D$3</f>
        <v/>
      </c>
      <c r="E3415" s="240">
        <f>$E$3</f>
        <v/>
      </c>
      <c r="F3415" s="241" t="n">
        <v>9.43</v>
      </c>
      <c r="G3415" s="242" t="n">
        <v>10876435</v>
      </c>
      <c r="H3415" s="241" t="n">
        <v>-0.63</v>
      </c>
      <c r="I3415" s="241" t="n">
        <v>4.78</v>
      </c>
      <c r="J3415" s="241" t="n">
        <v>2.61</v>
      </c>
      <c r="K3415" s="241" t="n">
        <v>4.25</v>
      </c>
      <c r="L3415" s="242" t="n">
        <v>1069760</v>
      </c>
      <c r="M3415" s="241" t="n">
        <v>-1.84</v>
      </c>
      <c r="N3415" s="241" t="n">
        <v>10.37</v>
      </c>
      <c r="O3415" s="241" t="n">
        <v>1.91</v>
      </c>
      <c r="P3415" s="241" t="n">
        <v>2.22</v>
      </c>
    </row>
    <row r="3416">
      <c r="A3416" s="282" t="inlineStr">
        <is>
          <t>2020-01-15</t>
        </is>
      </c>
      <c r="B3416" s="240">
        <f>IFERROR(1/P3416-1,B3415)</f>
        <v/>
      </c>
      <c r="C3416" s="240">
        <f>$C$3</f>
        <v/>
      </c>
      <c r="D3416" s="240">
        <f>$D$3</f>
        <v/>
      </c>
      <c r="E3416" s="240">
        <f>$E$3</f>
        <v/>
      </c>
      <c r="F3416" s="241" t="n">
        <v>9.359999999999999</v>
      </c>
      <c r="G3416" s="242" t="n">
        <v>7301509</v>
      </c>
      <c r="H3416" s="241" t="n">
        <v>-0.74</v>
      </c>
      <c r="I3416" s="241" t="n">
        <v>4</v>
      </c>
      <c r="J3416" s="241" t="n">
        <v>1.85</v>
      </c>
      <c r="K3416" s="241" t="n">
        <v>4.27</v>
      </c>
      <c r="L3416" s="242" t="n">
        <v>1080800</v>
      </c>
      <c r="M3416" s="241" t="n">
        <v>0.63</v>
      </c>
      <c r="N3416" s="241" t="n">
        <v>11.06</v>
      </c>
      <c r="O3416" s="241" t="n">
        <v>2.55</v>
      </c>
      <c r="P3416" s="241" t="n">
        <v>2.19</v>
      </c>
    </row>
    <row r="3417">
      <c r="A3417" s="282" t="inlineStr">
        <is>
          <t>2020-01-16</t>
        </is>
      </c>
      <c r="B3417" s="240">
        <f>IFERROR(1/P3417-1,B3416)</f>
        <v/>
      </c>
      <c r="C3417" s="240">
        <f>$C$3</f>
        <v/>
      </c>
      <c r="D3417" s="240">
        <f>$D$3</f>
        <v/>
      </c>
      <c r="E3417" s="240">
        <f>$E$3</f>
        <v/>
      </c>
      <c r="F3417" s="241" t="n">
        <v>9.35</v>
      </c>
      <c r="G3417" s="242" t="n">
        <v>6900999</v>
      </c>
      <c r="H3417" s="241" t="n">
        <v>-0.11</v>
      </c>
      <c r="I3417" s="241" t="n">
        <v>3.89</v>
      </c>
      <c r="J3417" s="241" t="n">
        <v>1.74</v>
      </c>
      <c r="K3417" s="241" t="n">
        <v>4.22</v>
      </c>
      <c r="L3417" s="242" t="n">
        <v>1086434</v>
      </c>
      <c r="M3417" s="241" t="n">
        <v>-1.04</v>
      </c>
      <c r="N3417" s="241" t="n">
        <v>9.91</v>
      </c>
      <c r="O3417" s="241" t="n">
        <v>1.49</v>
      </c>
      <c r="P3417" s="241" t="n">
        <v>2.21</v>
      </c>
    </row>
    <row r="3418">
      <c r="A3418" s="282" t="inlineStr">
        <is>
          <t>2020-01-17</t>
        </is>
      </c>
      <c r="B3418" s="240">
        <f>IFERROR(1/P3418-1,B3417)</f>
        <v/>
      </c>
      <c r="C3418" s="240">
        <f>$C$3</f>
        <v/>
      </c>
      <c r="D3418" s="240">
        <f>$D$3</f>
        <v/>
      </c>
      <c r="E3418" s="240">
        <f>$E$3</f>
        <v/>
      </c>
      <c r="F3418" s="241" t="n">
        <v>9.279999999999999</v>
      </c>
      <c r="G3418" s="242" t="n">
        <v>7758135</v>
      </c>
      <c r="H3418" s="241" t="n">
        <v>-0.75</v>
      </c>
      <c r="I3418" s="241" t="n">
        <v>1.42</v>
      </c>
      <c r="J3418" s="241" t="n">
        <v>0.98</v>
      </c>
      <c r="K3418" s="241" t="n">
        <v>4.24</v>
      </c>
      <c r="L3418" s="242" t="n">
        <v>550262</v>
      </c>
      <c r="M3418" s="241" t="n">
        <v>0.42</v>
      </c>
      <c r="N3418" s="241" t="n">
        <v>12.71</v>
      </c>
      <c r="O3418" s="241" t="n">
        <v>1.91</v>
      </c>
      <c r="P3418" s="241" t="n">
        <v>2.19</v>
      </c>
    </row>
    <row r="3419">
      <c r="A3419" s="282" t="inlineStr">
        <is>
          <t>2020-01-20</t>
        </is>
      </c>
      <c r="B3419" s="240">
        <f>IFERROR(1/P3419-1,B3418)</f>
        <v/>
      </c>
      <c r="C3419" s="240">
        <f>$C$3</f>
        <v/>
      </c>
      <c r="D3419" s="240">
        <f>$D$3</f>
        <v/>
      </c>
      <c r="E3419" s="240">
        <f>$E$3</f>
        <v/>
      </c>
      <c r="F3419" s="241" t="n">
        <v>9.449999999999999</v>
      </c>
      <c r="G3419" s="242" t="n">
        <v>13179883</v>
      </c>
      <c r="H3419" s="241" t="n">
        <v>1.83</v>
      </c>
      <c r="I3419" s="241" t="n">
        <v>0.43</v>
      </c>
      <c r="J3419" s="241" t="n">
        <v>2.83</v>
      </c>
      <c r="K3419" s="241" t="n">
        <v>4.26</v>
      </c>
      <c r="L3419" s="242" t="n">
        <v>639800</v>
      </c>
      <c r="M3419" s="241" t="n">
        <v>0.63</v>
      </c>
      <c r="N3419" s="241" t="n">
        <v>3.21</v>
      </c>
      <c r="O3419" s="241" t="n">
        <v>2.55</v>
      </c>
      <c r="P3419" s="241" t="n">
        <v>2.22</v>
      </c>
    </row>
    <row r="3420">
      <c r="A3420" s="282" t="inlineStr">
        <is>
          <t>2020-01-21</t>
        </is>
      </c>
      <c r="B3420" s="240">
        <f>IFERROR(1/P3420-1,B3419)</f>
        <v/>
      </c>
      <c r="C3420" s="240">
        <f>$C$3</f>
        <v/>
      </c>
      <c r="D3420" s="240">
        <f>$D$3</f>
        <v/>
      </c>
      <c r="E3420" s="240">
        <f>$E$3</f>
        <v/>
      </c>
      <c r="F3420" s="241" t="n">
        <v>9.32</v>
      </c>
      <c r="G3420" s="242" t="n">
        <v>9776117</v>
      </c>
      <c r="H3420" s="241" t="n">
        <v>-1.38</v>
      </c>
      <c r="I3420" s="241" t="n">
        <v>-0.32</v>
      </c>
      <c r="J3420" s="241" t="n">
        <v>1.41</v>
      </c>
      <c r="K3420" s="241" t="n">
        <v>4.03</v>
      </c>
      <c r="L3420" s="242" t="n">
        <v>1967578</v>
      </c>
      <c r="M3420" s="241" t="n">
        <v>-5.39</v>
      </c>
      <c r="N3420" s="241" t="n">
        <v>-2.15</v>
      </c>
      <c r="O3420" s="241" t="n">
        <v>-2.98</v>
      </c>
      <c r="P3420" s="241" t="n">
        <v>2.32</v>
      </c>
    </row>
    <row r="3421">
      <c r="A3421" s="282" t="inlineStr">
        <is>
          <t>2020-01-22</t>
        </is>
      </c>
      <c r="B3421" s="240">
        <f>IFERROR(1/P3421-1,B3420)</f>
        <v/>
      </c>
      <c r="C3421" s="240">
        <f>$C$3</f>
        <v/>
      </c>
      <c r="D3421" s="240">
        <f>$D$3</f>
        <v/>
      </c>
      <c r="E3421" s="240">
        <f>$E$3</f>
        <v/>
      </c>
      <c r="F3421" s="241" t="n">
        <v>9.279999999999999</v>
      </c>
      <c r="G3421" s="242" t="n">
        <v>9737586</v>
      </c>
      <c r="H3421" s="241" t="n">
        <v>-0.43</v>
      </c>
      <c r="I3421" s="241" t="n">
        <v>-0.75</v>
      </c>
      <c r="J3421" s="241" t="n">
        <v>0.98</v>
      </c>
      <c r="K3421" s="241" t="n">
        <v>4.08</v>
      </c>
      <c r="L3421" s="242" t="n">
        <v>830600</v>
      </c>
      <c r="M3421" s="241" t="n">
        <v>0.88</v>
      </c>
      <c r="N3421" s="241" t="n">
        <v>-1.29</v>
      </c>
      <c r="O3421" s="241" t="n">
        <v>-2.13</v>
      </c>
      <c r="P3421" s="241" t="n">
        <v>2.28</v>
      </c>
    </row>
    <row r="3422">
      <c r="A3422" s="282" t="inlineStr">
        <is>
          <t>2020-01-23</t>
        </is>
      </c>
      <c r="B3422" s="240">
        <f>IFERROR(1/P3422-1,B3421)</f>
        <v/>
      </c>
      <c r="C3422" s="240">
        <f>$C$3</f>
        <v/>
      </c>
      <c r="D3422" s="240">
        <f>$D$3</f>
        <v/>
      </c>
      <c r="E3422" s="240">
        <f>$E$3</f>
        <v/>
      </c>
      <c r="F3422" s="241" t="n">
        <v>8.880000000000001</v>
      </c>
      <c r="G3422" s="242" t="n">
        <v>16418621</v>
      </c>
      <c r="H3422" s="241" t="n">
        <v>-4.31</v>
      </c>
      <c r="I3422" s="241" t="n">
        <v>-5.03</v>
      </c>
      <c r="J3422" s="241" t="n">
        <v>-3.37</v>
      </c>
      <c r="K3422" s="241" t="n">
        <v>3.85</v>
      </c>
      <c r="L3422" s="242" t="n">
        <v>495400</v>
      </c>
      <c r="M3422" s="241" t="n">
        <v>-5.43</v>
      </c>
      <c r="N3422" s="241" t="n">
        <v>-6.65</v>
      </c>
      <c r="O3422" s="241" t="n">
        <v>-7.45</v>
      </c>
      <c r="P3422" s="241" t="n">
        <v>2.3</v>
      </c>
    </row>
    <row r="3423">
      <c r="A3423" s="282" t="inlineStr">
        <is>
          <t>2020-02-03</t>
        </is>
      </c>
      <c r="B3423" s="240">
        <f>IFERROR(1/P3423-1,B3422)</f>
        <v/>
      </c>
      <c r="C3423" s="240">
        <f>$C$3</f>
        <v/>
      </c>
      <c r="D3423" s="240">
        <f>$D$3</f>
        <v/>
      </c>
      <c r="E3423" s="240">
        <f>$E$3</f>
        <v/>
      </c>
      <c r="F3423" s="241" t="n">
        <v>7.99</v>
      </c>
      <c r="G3423" s="242" t="n">
        <v>4455000</v>
      </c>
      <c r="H3423" s="241" t="n">
        <v>-10.02</v>
      </c>
      <c r="I3423" s="241" t="n">
        <v>-14.55</v>
      </c>
      <c r="J3423" s="241" t="n">
        <v>-13.06</v>
      </c>
      <c r="K3423" s="241" t="n">
        <v>3.5</v>
      </c>
      <c r="L3423" s="242" t="n">
        <v>4282575</v>
      </c>
      <c r="M3423" s="241" t="n">
        <v>-3.69</v>
      </c>
      <c r="N3423" s="241" t="n">
        <v>-19.84</v>
      </c>
      <c r="O3423" s="241" t="n">
        <v>-16.6</v>
      </c>
      <c r="P3423" s="241" t="n">
        <v>2.29</v>
      </c>
    </row>
    <row r="3424">
      <c r="A3424" s="282" t="inlineStr">
        <is>
          <t>2020-02-04</t>
        </is>
      </c>
      <c r="B3424" s="240">
        <f>IFERROR(1/P3424-1,B3423)</f>
        <v/>
      </c>
      <c r="C3424" s="240">
        <f>$C$3</f>
        <v/>
      </c>
      <c r="D3424" s="240">
        <f>$D$3</f>
        <v/>
      </c>
      <c r="E3424" s="240">
        <f>$E$3</f>
        <v/>
      </c>
      <c r="F3424" s="241" t="n">
        <v>7.75</v>
      </c>
      <c r="G3424" s="242" t="n">
        <v>25472712</v>
      </c>
      <c r="H3424" s="241" t="n">
        <v>-3</v>
      </c>
      <c r="I3424" s="241" t="n">
        <v>-18.42</v>
      </c>
      <c r="J3424" s="241" t="n">
        <v>-15.67</v>
      </c>
      <c r="K3424" s="241" t="n">
        <v>3.61</v>
      </c>
      <c r="L3424" s="242" t="n">
        <v>1040200</v>
      </c>
      <c r="M3424" s="241" t="n">
        <v>2.55</v>
      </c>
      <c r="N3424" s="241" t="n">
        <v>-17.45</v>
      </c>
      <c r="O3424" s="241" t="n">
        <v>-14.47</v>
      </c>
      <c r="P3424" s="241" t="n">
        <v>2.15</v>
      </c>
    </row>
    <row r="3425">
      <c r="A3425" s="282" t="inlineStr">
        <is>
          <t>2020-02-05</t>
        </is>
      </c>
      <c r="B3425" s="240">
        <f>IFERROR(1/P3425-1,B3424)</f>
        <v/>
      </c>
      <c r="C3425" s="240">
        <f>$C$3</f>
        <v/>
      </c>
      <c r="D3425" s="240">
        <f>$D$3</f>
        <v/>
      </c>
      <c r="E3425" s="240">
        <f>$E$3</f>
        <v/>
      </c>
      <c r="F3425" s="241" t="n">
        <v>7.79</v>
      </c>
      <c r="G3425" s="242" t="n">
        <v>17769445</v>
      </c>
      <c r="H3425" s="241" t="n">
        <v>0.52</v>
      </c>
      <c r="I3425" s="241" t="n">
        <v>-18</v>
      </c>
      <c r="J3425" s="241" t="n">
        <v>-15.23</v>
      </c>
      <c r="K3425" s="241" t="n">
        <v>3.61</v>
      </c>
      <c r="L3425" s="242" t="n">
        <v>1577376</v>
      </c>
      <c r="M3425" s="241" t="n">
        <v>0</v>
      </c>
      <c r="N3425" s="241" t="n">
        <v>-17.45</v>
      </c>
      <c r="O3425" s="241" t="n">
        <v>-14.47</v>
      </c>
      <c r="P3425" s="241" t="n">
        <v>2.16</v>
      </c>
    </row>
    <row r="3426">
      <c r="A3426" s="282" t="inlineStr">
        <is>
          <t>2020-02-06</t>
        </is>
      </c>
      <c r="B3426" s="240">
        <f>IFERROR(1/P3426-1,B3425)</f>
        <v/>
      </c>
      <c r="C3426" s="240">
        <f>$C$3</f>
        <v/>
      </c>
      <c r="D3426" s="240">
        <f>$D$3</f>
        <v/>
      </c>
      <c r="E3426" s="240">
        <f>$E$3</f>
        <v/>
      </c>
      <c r="F3426" s="241" t="n">
        <v>7.88</v>
      </c>
      <c r="G3426" s="242" t="n">
        <v>15241178</v>
      </c>
      <c r="H3426" s="241" t="n">
        <v>1.16</v>
      </c>
      <c r="I3426" s="241" t="n">
        <v>-17.05</v>
      </c>
      <c r="J3426" s="241" t="n">
        <v>-14.25</v>
      </c>
      <c r="K3426" s="241" t="n">
        <v>3.72</v>
      </c>
      <c r="L3426" s="242" t="n">
        <v>1440800</v>
      </c>
      <c r="M3426" s="241" t="n">
        <v>2.74</v>
      </c>
      <c r="N3426" s="241" t="n">
        <v>-15.2</v>
      </c>
      <c r="O3426" s="241" t="n">
        <v>-12.13</v>
      </c>
      <c r="P3426" s="241" t="n">
        <v>2.12</v>
      </c>
    </row>
    <row r="3427">
      <c r="A3427" s="282" t="inlineStr">
        <is>
          <t>2020-02-07</t>
        </is>
      </c>
      <c r="B3427" s="240">
        <f>IFERROR(1/P3427-1,B3426)</f>
        <v/>
      </c>
      <c r="C3427" s="240">
        <f>$C$3</f>
        <v/>
      </c>
      <c r="D3427" s="240">
        <f>$D$3</f>
        <v/>
      </c>
      <c r="E3427" s="240">
        <f>$E$3</f>
        <v/>
      </c>
      <c r="F3427" s="241" t="n">
        <v>8.029999999999999</v>
      </c>
      <c r="G3427" s="242" t="n">
        <v>14587875</v>
      </c>
      <c r="H3427" s="241" t="n">
        <v>1.9</v>
      </c>
      <c r="I3427" s="241" t="n">
        <v>-15.65</v>
      </c>
      <c r="J3427" s="241" t="n">
        <v>-12.62</v>
      </c>
      <c r="K3427" s="241" t="n">
        <v>3.73</v>
      </c>
      <c r="L3427" s="242" t="n">
        <v>752800</v>
      </c>
      <c r="M3427" s="241" t="n">
        <v>0.48</v>
      </c>
      <c r="N3427" s="241" t="n">
        <v>-13.18</v>
      </c>
      <c r="O3427" s="241" t="n">
        <v>-11.7</v>
      </c>
      <c r="P3427" s="241" t="n">
        <v>2.15</v>
      </c>
    </row>
    <row r="3428">
      <c r="A3428" s="282" t="inlineStr">
        <is>
          <t>2020-02-10</t>
        </is>
      </c>
      <c r="B3428" s="240">
        <f>IFERROR(1/P3428-1,B3427)</f>
        <v/>
      </c>
      <c r="C3428" s="240">
        <f>$C$3</f>
        <v/>
      </c>
      <c r="D3428" s="240">
        <f>$D$3</f>
        <v/>
      </c>
      <c r="E3428" s="240">
        <f>$E$3</f>
        <v/>
      </c>
      <c r="F3428" s="241" t="n">
        <v>8.27</v>
      </c>
      <c r="G3428" s="242" t="n">
        <v>18069300</v>
      </c>
      <c r="H3428" s="241" t="n">
        <v>2.99</v>
      </c>
      <c r="I3428" s="241" t="n">
        <v>-12.49</v>
      </c>
      <c r="J3428" s="241" t="n">
        <v>-10.01</v>
      </c>
      <c r="K3428" s="241" t="n">
        <v>3.72</v>
      </c>
      <c r="L3428" s="242" t="n">
        <v>648600</v>
      </c>
      <c r="M3428" s="241" t="n">
        <v>-0.48</v>
      </c>
      <c r="N3428" s="241" t="n">
        <v>-12.69</v>
      </c>
      <c r="O3428" s="241" t="n">
        <v>-12.13</v>
      </c>
      <c r="P3428" s="241" t="n">
        <v>2.23</v>
      </c>
    </row>
    <row r="3429">
      <c r="A3429" s="282" t="inlineStr">
        <is>
          <t>2020-02-11</t>
        </is>
      </c>
      <c r="B3429" s="240">
        <f>IFERROR(1/P3429-1,B3428)</f>
        <v/>
      </c>
      <c r="C3429" s="240">
        <f>$C$3</f>
        <v/>
      </c>
      <c r="D3429" s="240">
        <f>$D$3</f>
        <v/>
      </c>
      <c r="E3429" s="240">
        <f>$E$3</f>
        <v/>
      </c>
      <c r="F3429" s="241" t="n">
        <v>8.31</v>
      </c>
      <c r="G3429" s="242" t="n">
        <v>21629482</v>
      </c>
      <c r="H3429" s="241" t="n">
        <v>0.48</v>
      </c>
      <c r="I3429" s="241" t="n">
        <v>-10.84</v>
      </c>
      <c r="J3429" s="241" t="n">
        <v>-9.58</v>
      </c>
      <c r="K3429" s="241" t="n">
        <v>3.78</v>
      </c>
      <c r="L3429" s="242" t="n">
        <v>1056800</v>
      </c>
      <c r="M3429" s="241" t="n">
        <v>1.69</v>
      </c>
      <c r="N3429" s="241" t="n">
        <v>-9.09</v>
      </c>
      <c r="O3429" s="241" t="n">
        <v>-10.64</v>
      </c>
      <c r="P3429" s="241" t="n">
        <v>2.2</v>
      </c>
    </row>
    <row r="3430">
      <c r="A3430" s="282" t="inlineStr">
        <is>
          <t>2020-02-12</t>
        </is>
      </c>
      <c r="B3430" s="240">
        <f>IFERROR(1/P3430-1,B3429)</f>
        <v/>
      </c>
      <c r="C3430" s="240">
        <f>$C$3</f>
        <v/>
      </c>
      <c r="D3430" s="240">
        <f>$D$3</f>
        <v/>
      </c>
      <c r="E3430" s="240">
        <f>$E$3</f>
        <v/>
      </c>
      <c r="F3430" s="241" t="n">
        <v>8.41</v>
      </c>
      <c r="G3430" s="242" t="n">
        <v>13321399</v>
      </c>
      <c r="H3430" s="241" t="n">
        <v>1.2</v>
      </c>
      <c r="I3430" s="241" t="n">
        <v>-9.76</v>
      </c>
      <c r="J3430" s="241" t="n">
        <v>-8.49</v>
      </c>
      <c r="K3430" s="241" t="n">
        <v>3.82</v>
      </c>
      <c r="L3430" s="242" t="n">
        <v>966288</v>
      </c>
      <c r="M3430" s="241" t="n">
        <v>1.43</v>
      </c>
      <c r="N3430" s="241" t="n">
        <v>-7.79</v>
      </c>
      <c r="O3430" s="241" t="n">
        <v>-9.359999999999999</v>
      </c>
      <c r="P3430" s="241" t="n">
        <v>2.2</v>
      </c>
    </row>
    <row r="3431">
      <c r="A3431" s="282" t="inlineStr">
        <is>
          <t>2020-02-13</t>
        </is>
      </c>
      <c r="B3431" s="240">
        <f>IFERROR(1/P3431-1,B3430)</f>
        <v/>
      </c>
      <c r="C3431" s="240">
        <f>$C$3</f>
        <v/>
      </c>
      <c r="D3431" s="240">
        <f>$D$3</f>
        <v/>
      </c>
      <c r="E3431" s="240">
        <f>$E$3</f>
        <v/>
      </c>
      <c r="F3431" s="241" t="n">
        <v>8.609999999999999</v>
      </c>
      <c r="G3431" s="242" t="n">
        <v>24158117</v>
      </c>
      <c r="H3431" s="241" t="n">
        <v>2.38</v>
      </c>
      <c r="I3431" s="241" t="n">
        <v>-7.62</v>
      </c>
      <c r="J3431" s="241" t="n">
        <v>-6.31</v>
      </c>
      <c r="K3431" s="241" t="n">
        <v>3.82</v>
      </c>
      <c r="L3431" s="242" t="n">
        <v>943200</v>
      </c>
      <c r="M3431" s="241" t="n">
        <v>-0.23</v>
      </c>
      <c r="N3431" s="241" t="n">
        <v>-8.01</v>
      </c>
      <c r="O3431" s="241" t="n">
        <v>-9.57</v>
      </c>
      <c r="P3431" s="241" t="n">
        <v>2.26</v>
      </c>
    </row>
    <row r="3432">
      <c r="A3432" s="282" t="inlineStr">
        <is>
          <t>2020-02-14</t>
        </is>
      </c>
      <c r="B3432" s="240">
        <f>IFERROR(1/P3432-1,B3431)</f>
        <v/>
      </c>
      <c r="C3432" s="240">
        <f>$C$3</f>
        <v/>
      </c>
      <c r="D3432" s="240">
        <f>$D$3</f>
        <v/>
      </c>
      <c r="E3432" s="240">
        <f>$E$3</f>
        <v/>
      </c>
      <c r="F3432" s="241" t="n">
        <v>9.02</v>
      </c>
      <c r="G3432" s="242" t="n">
        <v>31798395</v>
      </c>
      <c r="H3432" s="241" t="n">
        <v>4.76</v>
      </c>
      <c r="I3432" s="241" t="n">
        <v>-4.95</v>
      </c>
      <c r="J3432" s="241" t="n">
        <v>-1.85</v>
      </c>
      <c r="K3432" s="241" t="n">
        <v>3.97</v>
      </c>
      <c r="L3432" s="242" t="n">
        <v>1561000</v>
      </c>
      <c r="M3432" s="241" t="n">
        <v>4</v>
      </c>
      <c r="N3432" s="241" t="n">
        <v>-9.43</v>
      </c>
      <c r="O3432" s="241" t="n">
        <v>-5.96</v>
      </c>
      <c r="P3432" s="241" t="n">
        <v>2.27</v>
      </c>
    </row>
    <row r="3433">
      <c r="A3433" s="282" t="inlineStr">
        <is>
          <t>2020-02-17</t>
        </is>
      </c>
      <c r="B3433" s="240">
        <f>IFERROR(1/P3433-1,B3432)</f>
        <v/>
      </c>
      <c r="C3433" s="240">
        <f>$C$3</f>
        <v/>
      </c>
      <c r="D3433" s="240">
        <f>$D$3</f>
        <v/>
      </c>
      <c r="E3433" s="240">
        <f>$E$3</f>
        <v/>
      </c>
      <c r="F3433" s="241" t="n">
        <v>9.34</v>
      </c>
      <c r="G3433" s="242" t="n">
        <v>41410273</v>
      </c>
      <c r="H3433" s="241" t="n">
        <v>3.55</v>
      </c>
      <c r="I3433" s="241" t="n">
        <v>-0.11</v>
      </c>
      <c r="J3433" s="241" t="n">
        <v>1.63</v>
      </c>
      <c r="K3433" s="241" t="n">
        <v>4.12</v>
      </c>
      <c r="L3433" s="242" t="n">
        <v>2440600</v>
      </c>
      <c r="M3433" s="241" t="n">
        <v>3.85</v>
      </c>
      <c r="N3433" s="241" t="n">
        <v>-3.77</v>
      </c>
      <c r="O3433" s="241" t="n">
        <v>-2.34</v>
      </c>
      <c r="P3433" s="241" t="n">
        <v>2.26</v>
      </c>
    </row>
    <row r="3434">
      <c r="A3434" s="282" t="inlineStr">
        <is>
          <t>2020-02-18</t>
        </is>
      </c>
      <c r="B3434" s="240">
        <f>IFERROR(1/P3434-1,B3433)</f>
        <v/>
      </c>
      <c r="C3434" s="240">
        <f>$C$3</f>
        <v/>
      </c>
      <c r="D3434" s="240">
        <f>$D$3</f>
        <v/>
      </c>
      <c r="E3434" s="240">
        <f>$E$3</f>
        <v/>
      </c>
      <c r="F3434" s="241" t="n">
        <v>9.630000000000001</v>
      </c>
      <c r="G3434" s="242" t="n">
        <v>46627432</v>
      </c>
      <c r="H3434" s="241" t="n">
        <v>3.1</v>
      </c>
      <c r="I3434" s="241" t="n">
        <v>3.77</v>
      </c>
      <c r="J3434" s="241" t="n">
        <v>4.79</v>
      </c>
      <c r="K3434" s="241" t="n">
        <v>4.13</v>
      </c>
      <c r="L3434" s="242" t="n">
        <v>1635800</v>
      </c>
      <c r="M3434" s="241" t="n">
        <v>0.22</v>
      </c>
      <c r="N3434" s="241" t="n">
        <v>-3.97</v>
      </c>
      <c r="O3434" s="241" t="n">
        <v>-2.13</v>
      </c>
      <c r="P3434" s="241" t="n">
        <v>2.33</v>
      </c>
    </row>
    <row r="3435">
      <c r="A3435" s="282" t="inlineStr">
        <is>
          <t>2020-02-19</t>
        </is>
      </c>
      <c r="B3435" s="240">
        <f>IFERROR(1/P3435-1,B3434)</f>
        <v/>
      </c>
      <c r="C3435" s="240">
        <f>$C$3</f>
        <v/>
      </c>
      <c r="D3435" s="240">
        <f>$D$3</f>
        <v/>
      </c>
      <c r="E3435" s="240">
        <f>$E$3</f>
        <v/>
      </c>
      <c r="F3435" s="241" t="n">
        <v>9.84</v>
      </c>
      <c r="G3435" s="242" t="n">
        <v>45653062</v>
      </c>
      <c r="H3435" s="241" t="n">
        <v>2.18</v>
      </c>
      <c r="I3435" s="241" t="n">
        <v>6.03</v>
      </c>
      <c r="J3435" s="241" t="n">
        <v>7.07</v>
      </c>
      <c r="K3435" s="241" t="n">
        <v>4.17</v>
      </c>
      <c r="L3435" s="242" t="n">
        <v>1426200</v>
      </c>
      <c r="M3435" s="241" t="n">
        <v>0.65</v>
      </c>
      <c r="N3435" s="241" t="n">
        <v>-3.34</v>
      </c>
      <c r="O3435" s="241" t="n">
        <v>-1.49</v>
      </c>
      <c r="P3435" s="241" t="n">
        <v>2.36</v>
      </c>
    </row>
    <row r="3436">
      <c r="A3436" s="282" t="inlineStr">
        <is>
          <t>2020-02-20</t>
        </is>
      </c>
      <c r="B3436" s="240">
        <f>IFERROR(1/P3436-1,B3435)</f>
        <v/>
      </c>
      <c r="C3436" s="240">
        <f>$C$3</f>
        <v/>
      </c>
      <c r="D3436" s="240">
        <f>$D$3</f>
        <v/>
      </c>
      <c r="E3436" s="240">
        <f>$E$3</f>
        <v/>
      </c>
      <c r="F3436" s="241" t="n">
        <v>10.51</v>
      </c>
      <c r="G3436" s="242" t="n">
        <v>68869327</v>
      </c>
      <c r="H3436" s="241" t="n">
        <v>6.81</v>
      </c>
      <c r="I3436" s="241" t="n">
        <v>13.25</v>
      </c>
      <c r="J3436" s="241" t="n">
        <v>14.36</v>
      </c>
      <c r="K3436" s="241" t="n">
        <v>4.33</v>
      </c>
      <c r="L3436" s="242" t="n">
        <v>3170400</v>
      </c>
      <c r="M3436" s="241" t="n">
        <v>3.89</v>
      </c>
      <c r="N3436" s="241" t="n">
        <v>0.42</v>
      </c>
      <c r="O3436" s="241" t="n">
        <v>2.34</v>
      </c>
      <c r="P3436" s="241" t="n">
        <v>2.43</v>
      </c>
    </row>
    <row r="3437">
      <c r="A3437" s="282" t="inlineStr">
        <is>
          <t>2020-02-21</t>
        </is>
      </c>
      <c r="B3437" s="240">
        <f>IFERROR(1/P3437-1,B3436)</f>
        <v/>
      </c>
      <c r="C3437" s="240">
        <f>$C$3</f>
        <v/>
      </c>
      <c r="D3437" s="240">
        <f>$D$3</f>
        <v/>
      </c>
      <c r="E3437" s="240">
        <f>$E$3</f>
        <v/>
      </c>
      <c r="F3437" s="241" t="n">
        <v>10.21</v>
      </c>
      <c r="G3437" s="242" t="n">
        <v>64446623</v>
      </c>
      <c r="H3437" s="241" t="n">
        <v>-2.85</v>
      </c>
      <c r="I3437" s="241" t="n">
        <v>8.039999999999999</v>
      </c>
      <c r="J3437" s="241" t="n">
        <v>11.1</v>
      </c>
      <c r="K3437" s="241" t="n">
        <v>4.19</v>
      </c>
      <c r="L3437" s="242" t="n">
        <v>2493600</v>
      </c>
      <c r="M3437" s="241" t="n">
        <v>-3.53</v>
      </c>
      <c r="N3437" s="241" t="n">
        <v>-3.73</v>
      </c>
      <c r="O3437" s="241" t="n">
        <v>-1.28</v>
      </c>
      <c r="P3437" s="241" t="n">
        <v>2.44</v>
      </c>
    </row>
    <row r="3438">
      <c r="A3438" s="282" t="inlineStr">
        <is>
          <t>2020-02-24</t>
        </is>
      </c>
      <c r="B3438" s="240">
        <f>IFERROR(1/P3438-1,B3437)</f>
        <v/>
      </c>
      <c r="C3438" s="240">
        <f>$C$3</f>
        <v/>
      </c>
      <c r="D3438" s="240">
        <f>$D$3</f>
        <v/>
      </c>
      <c r="E3438" s="240">
        <f>$E$3</f>
        <v/>
      </c>
      <c r="F3438" s="241" t="n">
        <v>10.28</v>
      </c>
      <c r="G3438" s="242" t="n">
        <v>47210850</v>
      </c>
      <c r="H3438" s="241" t="n">
        <v>0.6899999999999999</v>
      </c>
      <c r="I3438" s="241" t="n">
        <v>15.77</v>
      </c>
      <c r="J3438" s="241" t="n">
        <v>11.86</v>
      </c>
      <c r="K3438" s="241" t="n">
        <v>4.15</v>
      </c>
      <c r="L3438" s="242" t="n">
        <v>1525600</v>
      </c>
      <c r="M3438" s="241" t="n">
        <v>-0.86</v>
      </c>
      <c r="N3438" s="241" t="n">
        <v>5.75</v>
      </c>
      <c r="O3438" s="241" t="n">
        <v>-2.13</v>
      </c>
      <c r="P3438" s="241" t="n">
        <v>2.48</v>
      </c>
    </row>
    <row r="3439">
      <c r="A3439" s="282" t="inlineStr">
        <is>
          <t>2020-02-25</t>
        </is>
      </c>
      <c r="B3439" s="240">
        <f>IFERROR(1/P3439-1,B3438)</f>
        <v/>
      </c>
      <c r="C3439" s="240">
        <f>$C$3</f>
        <v/>
      </c>
      <c r="D3439" s="240">
        <f>$D$3</f>
        <v/>
      </c>
      <c r="E3439" s="240">
        <f>$E$3</f>
        <v/>
      </c>
      <c r="F3439" s="241" t="n">
        <v>10.12</v>
      </c>
      <c r="G3439" s="242" t="n">
        <v>50591930</v>
      </c>
      <c r="H3439" s="241" t="n">
        <v>-1.56</v>
      </c>
      <c r="I3439" s="241" t="n">
        <v>13.96</v>
      </c>
      <c r="J3439" s="241" t="n">
        <v>10.12</v>
      </c>
      <c r="K3439" s="241" t="n">
        <v>4.14</v>
      </c>
      <c r="L3439" s="242" t="n">
        <v>1780200</v>
      </c>
      <c r="M3439" s="241" t="n">
        <v>-0.22</v>
      </c>
      <c r="N3439" s="241" t="n">
        <v>3.85</v>
      </c>
      <c r="O3439" s="241" t="n">
        <v>-2.34</v>
      </c>
      <c r="P3439" s="241" t="n">
        <v>2.45</v>
      </c>
    </row>
    <row r="3440">
      <c r="A3440" s="282" t="inlineStr">
        <is>
          <t>2020-02-26</t>
        </is>
      </c>
      <c r="B3440" s="240">
        <f>IFERROR(1/P3440-1,B3439)</f>
        <v/>
      </c>
      <c r="C3440" s="240">
        <f>$C$3</f>
        <v/>
      </c>
      <c r="D3440" s="240">
        <f>$D$3</f>
        <v/>
      </c>
      <c r="E3440" s="240">
        <f>$E$3</f>
        <v/>
      </c>
      <c r="F3440" s="241" t="n">
        <v>9.789999999999999</v>
      </c>
      <c r="G3440" s="242" t="n">
        <v>35697060</v>
      </c>
      <c r="H3440" s="241" t="n">
        <v>-3.26</v>
      </c>
      <c r="I3440" s="241" t="n">
        <v>10.25</v>
      </c>
      <c r="J3440" s="241" t="n">
        <v>6.53</v>
      </c>
      <c r="K3440" s="241" t="n">
        <v>4.07</v>
      </c>
      <c r="L3440" s="242" t="n">
        <v>1683400</v>
      </c>
      <c r="M3440" s="241" t="n">
        <v>-1.53</v>
      </c>
      <c r="N3440" s="241" t="n">
        <v>2.26</v>
      </c>
      <c r="O3440" s="241" t="n">
        <v>-3.83</v>
      </c>
      <c r="P3440" s="241" t="n">
        <v>2.41</v>
      </c>
    </row>
    <row r="3441">
      <c r="A3441" s="282" t="inlineStr">
        <is>
          <t>2020-02-27</t>
        </is>
      </c>
      <c r="B3441" s="240">
        <f>IFERROR(1/P3441-1,B3440)</f>
        <v/>
      </c>
      <c r="C3441" s="240">
        <f>$C$3</f>
        <v/>
      </c>
      <c r="D3441" s="240">
        <f>$D$3</f>
        <v/>
      </c>
      <c r="E3441" s="240">
        <f>$E$3</f>
        <v/>
      </c>
      <c r="F3441" s="241" t="n">
        <v>9.699999999999999</v>
      </c>
      <c r="G3441" s="242" t="n">
        <v>26377219</v>
      </c>
      <c r="H3441" s="241" t="n">
        <v>-0.92</v>
      </c>
      <c r="I3441" s="241" t="n">
        <v>9.23</v>
      </c>
      <c r="J3441" s="241" t="n">
        <v>5.55</v>
      </c>
      <c r="K3441" s="241" t="n">
        <v>4.06</v>
      </c>
      <c r="L3441" s="242" t="n">
        <v>705422</v>
      </c>
      <c r="M3441" s="241" t="n">
        <v>-0.22</v>
      </c>
      <c r="N3441" s="241" t="n">
        <v>2.04</v>
      </c>
      <c r="O3441" s="241" t="n">
        <v>-4.04</v>
      </c>
      <c r="P3441" s="241" t="n">
        <v>2.39</v>
      </c>
    </row>
    <row r="3442">
      <c r="A3442" s="282" t="inlineStr">
        <is>
          <t>2020-02-28</t>
        </is>
      </c>
      <c r="B3442" s="240">
        <f>IFERROR(1/P3442-1,B3441)</f>
        <v/>
      </c>
      <c r="C3442" s="240">
        <f>$C$3</f>
        <v/>
      </c>
      <c r="D3442" s="240">
        <f>$D$3</f>
        <v/>
      </c>
      <c r="E3442" s="240">
        <f>$E$3</f>
        <v/>
      </c>
      <c r="F3442" s="241" t="n">
        <v>9.25</v>
      </c>
      <c r="G3442" s="242" t="n">
        <v>36329875</v>
      </c>
      <c r="H3442" s="241" t="n">
        <v>-4.64</v>
      </c>
      <c r="I3442" s="241" t="n">
        <v>4.17</v>
      </c>
      <c r="J3442" s="241" t="n">
        <v>0.65</v>
      </c>
      <c r="K3442" s="241" t="n">
        <v>3.9</v>
      </c>
      <c r="L3442" s="242" t="n">
        <v>1695800</v>
      </c>
      <c r="M3442" s="241" t="n">
        <v>-3.77</v>
      </c>
      <c r="N3442" s="241" t="n">
        <v>-1.81</v>
      </c>
      <c r="O3442" s="241" t="n">
        <v>-7.66</v>
      </c>
      <c r="P3442" s="241" t="n">
        <v>2.37</v>
      </c>
    </row>
    <row r="3443">
      <c r="A3443" s="282" t="inlineStr">
        <is>
          <t>2020-03-02</t>
        </is>
      </c>
      <c r="B3443" s="240">
        <f>IFERROR(1/P3443-1,B3442)</f>
        <v/>
      </c>
      <c r="C3443" s="240">
        <f>$C$3</f>
        <v/>
      </c>
      <c r="D3443" s="240">
        <f>$D$3</f>
        <v/>
      </c>
      <c r="E3443" s="240">
        <f>$E$3</f>
        <v/>
      </c>
      <c r="F3443" s="241" t="n">
        <v>9.640000000000001</v>
      </c>
      <c r="G3443" s="242" t="n">
        <v>29490918</v>
      </c>
      <c r="H3443" s="241" t="n">
        <v>4.22</v>
      </c>
      <c r="I3443" s="241" t="n">
        <v>8.56</v>
      </c>
      <c r="J3443" s="241" t="n">
        <v>4.9</v>
      </c>
      <c r="K3443" s="241" t="n">
        <v>3.99</v>
      </c>
      <c r="L3443" s="242" t="n">
        <v>1282400</v>
      </c>
      <c r="M3443" s="241" t="n">
        <v>2.53</v>
      </c>
      <c r="N3443" s="241" t="n">
        <v>9.34</v>
      </c>
      <c r="O3443" s="241" t="n">
        <v>-5.32</v>
      </c>
      <c r="P3443" s="241" t="n">
        <v>2.42</v>
      </c>
    </row>
    <row r="3444">
      <c r="A3444" s="282" t="inlineStr">
        <is>
          <t>2020-03-03</t>
        </is>
      </c>
      <c r="B3444" s="240">
        <f>IFERROR(1/P3444-1,B3443)</f>
        <v/>
      </c>
      <c r="C3444" s="240">
        <f>$C$3</f>
        <v/>
      </c>
      <c r="D3444" s="240">
        <f>$D$3</f>
        <v/>
      </c>
      <c r="E3444" s="240">
        <f>$E$3</f>
        <v/>
      </c>
      <c r="F3444" s="241" t="n">
        <v>10.06</v>
      </c>
      <c r="G3444" s="242" t="n">
        <v>39198277</v>
      </c>
      <c r="H3444" s="241" t="n">
        <v>4.36</v>
      </c>
      <c r="I3444" s="241" t="n">
        <v>13.29</v>
      </c>
      <c r="J3444" s="241" t="n">
        <v>9.470000000000001</v>
      </c>
      <c r="K3444" s="241" t="n">
        <v>4.02</v>
      </c>
      <c r="L3444" s="242" t="n">
        <v>965600</v>
      </c>
      <c r="M3444" s="241" t="n">
        <v>1.12</v>
      </c>
      <c r="N3444" s="241" t="n">
        <v>10.57</v>
      </c>
      <c r="O3444" s="241" t="n">
        <v>-4.26</v>
      </c>
      <c r="P3444" s="241" t="n">
        <v>2.5</v>
      </c>
    </row>
    <row r="3445">
      <c r="A3445" s="282" t="inlineStr">
        <is>
          <t>2020-03-04</t>
        </is>
      </c>
      <c r="B3445" s="240">
        <f>IFERROR(1/P3445-1,B3444)</f>
        <v/>
      </c>
      <c r="C3445" s="240">
        <f>$C$3</f>
        <v/>
      </c>
      <c r="D3445" s="240">
        <f>$D$3</f>
        <v/>
      </c>
      <c r="E3445" s="240">
        <f>$E$3</f>
        <v/>
      </c>
      <c r="F3445" s="241" t="n">
        <v>9.98</v>
      </c>
      <c r="G3445" s="242" t="n">
        <v>23040842</v>
      </c>
      <c r="H3445" s="241" t="n">
        <v>-0.8</v>
      </c>
      <c r="I3445" s="241" t="n">
        <v>24.91</v>
      </c>
      <c r="J3445" s="241" t="n">
        <v>8.6</v>
      </c>
      <c r="K3445" s="241" t="n">
        <v>3.99</v>
      </c>
      <c r="L3445" s="242" t="n">
        <v>454400</v>
      </c>
      <c r="M3445" s="241" t="n">
        <v>-0.89</v>
      </c>
      <c r="N3445" s="241" t="n">
        <v>13.78</v>
      </c>
      <c r="O3445" s="241" t="n">
        <v>-5.11</v>
      </c>
      <c r="P3445" s="241" t="n">
        <v>2.5</v>
      </c>
    </row>
    <row r="3446">
      <c r="A3446" s="282" t="inlineStr">
        <is>
          <t>2020-03-05</t>
        </is>
      </c>
      <c r="B3446" s="240">
        <f>IFERROR(1/P3446-1,B3445)</f>
        <v/>
      </c>
      <c r="C3446" s="240">
        <f>$C$3</f>
        <v/>
      </c>
      <c r="D3446" s="240">
        <f>$D$3</f>
        <v/>
      </c>
      <c r="E3446" s="240">
        <f>$E$3</f>
        <v/>
      </c>
      <c r="F3446" s="241" t="n">
        <v>10.11</v>
      </c>
      <c r="G3446" s="242" t="n">
        <v>27545167</v>
      </c>
      <c r="H3446" s="241" t="n">
        <v>1.3</v>
      </c>
      <c r="I3446" s="241" t="n">
        <v>30.45</v>
      </c>
      <c r="J3446" s="241" t="n">
        <v>10.01</v>
      </c>
      <c r="K3446" s="241" t="n">
        <v>4.06</v>
      </c>
      <c r="L3446" s="242" t="n">
        <v>1193000</v>
      </c>
      <c r="M3446" s="241" t="n">
        <v>2.02</v>
      </c>
      <c r="N3446" s="241" t="n">
        <v>13.18</v>
      </c>
      <c r="O3446" s="241" t="n">
        <v>-3.19</v>
      </c>
      <c r="P3446" s="241" t="n">
        <v>2.49</v>
      </c>
    </row>
    <row r="3447">
      <c r="A3447" s="282" t="inlineStr">
        <is>
          <t>2020-03-06</t>
        </is>
      </c>
      <c r="B3447" s="240">
        <f>IFERROR(1/P3447-1,B3446)</f>
        <v/>
      </c>
      <c r="C3447" s="240">
        <f>$C$3</f>
        <v/>
      </c>
      <c r="D3447" s="240">
        <f>$D$3</f>
        <v/>
      </c>
      <c r="E3447" s="240">
        <f>$E$3</f>
        <v/>
      </c>
      <c r="F3447" s="241" t="n">
        <v>9.91</v>
      </c>
      <c r="G3447" s="242" t="n">
        <v>19670152</v>
      </c>
      <c r="H3447" s="241" t="n">
        <v>-1.98</v>
      </c>
      <c r="I3447" s="241" t="n">
        <v>27.21</v>
      </c>
      <c r="J3447" s="241" t="n">
        <v>7.83</v>
      </c>
      <c r="K3447" s="241" t="n">
        <v>3.97</v>
      </c>
      <c r="L3447" s="242" t="n">
        <v>675400</v>
      </c>
      <c r="M3447" s="241" t="n">
        <v>-2.2</v>
      </c>
      <c r="N3447" s="241" t="n">
        <v>10.7</v>
      </c>
      <c r="O3447" s="241" t="n">
        <v>-5.32</v>
      </c>
      <c r="P3447" s="241" t="n">
        <v>2.5</v>
      </c>
    </row>
    <row r="3448">
      <c r="A3448" s="282" t="inlineStr">
        <is>
          <t>2020-03-09</t>
        </is>
      </c>
      <c r="B3448" s="240">
        <f>IFERROR(1/P3448-1,B3447)</f>
        <v/>
      </c>
      <c r="C3448" s="240">
        <f>$C$3</f>
        <v/>
      </c>
      <c r="D3448" s="240">
        <f>$D$3</f>
        <v/>
      </c>
      <c r="E3448" s="240">
        <f>$E$3</f>
        <v/>
      </c>
      <c r="F3448" s="241" t="n">
        <v>9.470000000000001</v>
      </c>
      <c r="G3448" s="242" t="n">
        <v>26183874</v>
      </c>
      <c r="H3448" s="241" t="n">
        <v>-4.44</v>
      </c>
      <c r="I3448" s="241" t="n">
        <v>17.93</v>
      </c>
      <c r="J3448" s="241" t="n">
        <v>3.05</v>
      </c>
      <c r="K3448" s="241" t="n">
        <v>3.74</v>
      </c>
      <c r="L3448" s="242" t="n">
        <v>1553583</v>
      </c>
      <c r="M3448" s="241" t="n">
        <v>-5.84</v>
      </c>
      <c r="N3448" s="241" t="n">
        <v>0.96</v>
      </c>
      <c r="O3448" s="241" t="n">
        <v>-10.85</v>
      </c>
      <c r="P3448" s="241" t="n">
        <v>2.53</v>
      </c>
    </row>
    <row r="3449">
      <c r="A3449" s="282" t="inlineStr">
        <is>
          <t>2020-03-10</t>
        </is>
      </c>
      <c r="B3449" s="240">
        <f>IFERROR(1/P3449-1,B3448)</f>
        <v/>
      </c>
      <c r="C3449" s="240">
        <f>$C$3</f>
        <v/>
      </c>
      <c r="D3449" s="240">
        <f>$D$3</f>
        <v/>
      </c>
      <c r="E3449" s="240">
        <f>$E$3</f>
        <v/>
      </c>
      <c r="F3449" s="241" t="n">
        <v>9.81</v>
      </c>
      <c r="G3449" s="242" t="n">
        <v>26685023</v>
      </c>
      <c r="H3449" s="241" t="n">
        <v>3.59</v>
      </c>
      <c r="I3449" s="241" t="n">
        <v>22.17</v>
      </c>
      <c r="J3449" s="241" t="n">
        <v>6.75</v>
      </c>
      <c r="K3449" s="241" t="n">
        <v>3.86</v>
      </c>
      <c r="L3449" s="242" t="n">
        <v>1834200</v>
      </c>
      <c r="M3449" s="241" t="n">
        <v>3.1</v>
      </c>
      <c r="N3449" s="241" t="n">
        <v>4.1</v>
      </c>
      <c r="O3449" s="241" t="n">
        <v>-8.09</v>
      </c>
      <c r="P3449" s="241" t="n">
        <v>2.54</v>
      </c>
    </row>
    <row r="3450">
      <c r="A3450" s="282" t="inlineStr">
        <is>
          <t>2020-03-11</t>
        </is>
      </c>
      <c r="B3450" s="240">
        <f>IFERROR(1/P3450-1,B3449)</f>
        <v/>
      </c>
      <c r="C3450" s="240">
        <f>$C$3</f>
        <v/>
      </c>
      <c r="D3450" s="240">
        <f>$D$3</f>
        <v/>
      </c>
      <c r="E3450" s="240">
        <f>$E$3</f>
        <v/>
      </c>
      <c r="F3450" s="241" t="n">
        <v>9.57</v>
      </c>
      <c r="G3450" s="242" t="n">
        <v>15924711</v>
      </c>
      <c r="H3450" s="241" t="n">
        <v>-2.45</v>
      </c>
      <c r="I3450" s="241" t="n">
        <v>15.72</v>
      </c>
      <c r="J3450" s="241" t="n">
        <v>4.13</v>
      </c>
      <c r="K3450" s="241" t="n">
        <v>3.9</v>
      </c>
      <c r="L3450" s="242" t="n">
        <v>607400</v>
      </c>
      <c r="M3450" s="241" t="n">
        <v>0.6899999999999999</v>
      </c>
      <c r="N3450" s="241" t="n">
        <v>5.33</v>
      </c>
      <c r="O3450" s="241" t="n">
        <v>-7.45</v>
      </c>
      <c r="P3450" s="241" t="n">
        <v>2.46</v>
      </c>
    </row>
    <row r="3451">
      <c r="A3451" s="282" t="inlineStr">
        <is>
          <t>2020-03-12</t>
        </is>
      </c>
      <c r="B3451" s="240">
        <f>IFERROR(1/P3451-1,B3450)</f>
        <v/>
      </c>
      <c r="C3451" s="240">
        <f>$C$3</f>
        <v/>
      </c>
      <c r="D3451" s="240">
        <f>$D$3</f>
        <v/>
      </c>
      <c r="E3451" s="240">
        <f>$E$3</f>
        <v/>
      </c>
      <c r="F3451" s="241" t="n">
        <v>9.41</v>
      </c>
      <c r="G3451" s="242" t="n">
        <v>13255578</v>
      </c>
      <c r="H3451" s="241" t="n">
        <v>-1.67</v>
      </c>
      <c r="I3451" s="241" t="n">
        <v>13.24</v>
      </c>
      <c r="J3451" s="241" t="n">
        <v>2.39</v>
      </c>
      <c r="K3451" s="241" t="n">
        <v>3.65</v>
      </c>
      <c r="L3451" s="242" t="n">
        <v>5067000</v>
      </c>
      <c r="M3451" s="241" t="n">
        <v>-6.44</v>
      </c>
      <c r="N3451" s="241" t="n">
        <v>-3.1</v>
      </c>
      <c r="O3451" s="241" t="n">
        <v>-13.4</v>
      </c>
      <c r="P3451" s="241" t="n">
        <v>2.58</v>
      </c>
    </row>
    <row r="3452">
      <c r="A3452" s="282" t="inlineStr">
        <is>
          <t>2020-03-13</t>
        </is>
      </c>
      <c r="B3452" s="240">
        <f>IFERROR(1/P3452-1,B3451)</f>
        <v/>
      </c>
      <c r="C3452" s="240">
        <f>$C$3</f>
        <v/>
      </c>
      <c r="D3452" s="240">
        <f>$D$3</f>
        <v/>
      </c>
      <c r="E3452" s="240">
        <f>$E$3</f>
        <v/>
      </c>
      <c r="F3452" s="241" t="n">
        <v>9.31</v>
      </c>
      <c r="G3452" s="242" t="n">
        <v>18415622</v>
      </c>
      <c r="H3452" s="241" t="n">
        <v>-1.06</v>
      </c>
      <c r="I3452" s="241" t="n">
        <v>10.7</v>
      </c>
      <c r="J3452" s="241" t="n">
        <v>1.31</v>
      </c>
      <c r="K3452" s="241" t="n">
        <v>3.78</v>
      </c>
      <c r="L3452" s="242" t="n">
        <v>3367000</v>
      </c>
      <c r="M3452" s="241" t="n">
        <v>3.19</v>
      </c>
      <c r="N3452" s="241" t="n">
        <v>-1.41</v>
      </c>
      <c r="O3452" s="241" t="n">
        <v>-10.64</v>
      </c>
      <c r="P3452" s="241" t="n">
        <v>2.46</v>
      </c>
    </row>
    <row r="3453">
      <c r="A3453" s="282" t="inlineStr">
        <is>
          <t>2020-03-16</t>
        </is>
      </c>
      <c r="B3453" s="240">
        <f>IFERROR(1/P3453-1,B3452)</f>
        <v/>
      </c>
      <c r="C3453" s="240">
        <f>$C$3</f>
        <v/>
      </c>
      <c r="D3453" s="240">
        <f>$D$3</f>
        <v/>
      </c>
      <c r="E3453" s="240">
        <f>$E$3</f>
        <v/>
      </c>
      <c r="F3453" s="241" t="n">
        <v>8.789999999999999</v>
      </c>
      <c r="G3453" s="242" t="n">
        <v>25439932</v>
      </c>
      <c r="H3453" s="241" t="n">
        <v>-5.59</v>
      </c>
      <c r="I3453" s="241" t="n">
        <v>-2.55</v>
      </c>
      <c r="J3453" s="241" t="n">
        <v>-4.35</v>
      </c>
      <c r="K3453" s="241" t="n">
        <v>3.6</v>
      </c>
      <c r="L3453" s="242" t="n">
        <v>1447200</v>
      </c>
      <c r="M3453" s="241" t="n">
        <v>-5</v>
      </c>
      <c r="N3453" s="241" t="n">
        <v>-9.73</v>
      </c>
      <c r="O3453" s="241" t="n">
        <v>-15.11</v>
      </c>
      <c r="P3453" s="241" t="n">
        <v>2.44</v>
      </c>
    </row>
    <row r="3454">
      <c r="A3454" s="282" t="inlineStr">
        <is>
          <t>2020-03-17</t>
        </is>
      </c>
      <c r="B3454" s="240">
        <f>IFERROR(1/P3454-1,B3453)</f>
        <v/>
      </c>
      <c r="C3454" s="240">
        <f>$C$3</f>
        <v/>
      </c>
      <c r="D3454" s="240">
        <f>$D$3</f>
        <v/>
      </c>
      <c r="E3454" s="240">
        <f>$E$3</f>
        <v/>
      </c>
      <c r="F3454" s="241" t="n">
        <v>8.83</v>
      </c>
      <c r="G3454" s="242" t="n">
        <v>16502202</v>
      </c>
      <c r="H3454" s="241" t="n">
        <v>0.46</v>
      </c>
      <c r="I3454" s="241" t="n">
        <v>-2.11</v>
      </c>
      <c r="J3454" s="241" t="n">
        <v>-3.92</v>
      </c>
      <c r="K3454" s="241" t="n">
        <v>3.53</v>
      </c>
      <c r="L3454" s="242" t="n">
        <v>3069609</v>
      </c>
      <c r="M3454" s="241" t="n">
        <v>-2</v>
      </c>
      <c r="N3454" s="241" t="n">
        <v>-11.54</v>
      </c>
      <c r="O3454" s="241" t="n">
        <v>-16.81</v>
      </c>
      <c r="P3454" s="241" t="n">
        <v>2.5</v>
      </c>
    </row>
    <row r="3455">
      <c r="A3455" s="282" t="inlineStr">
        <is>
          <t>2020-03-18</t>
        </is>
      </c>
      <c r="B3455" s="240">
        <f>IFERROR(1/P3455-1,B3454)</f>
        <v/>
      </c>
      <c r="C3455" s="240">
        <f>$C$3</f>
        <v/>
      </c>
      <c r="D3455" s="240">
        <f>$D$3</f>
        <v/>
      </c>
      <c r="E3455" s="240">
        <f>$E$3</f>
        <v/>
      </c>
      <c r="F3455" s="241" t="n">
        <v>8.69</v>
      </c>
      <c r="G3455" s="242" t="n">
        <v>15509869</v>
      </c>
      <c r="H3455" s="241" t="n">
        <v>-1.59</v>
      </c>
      <c r="I3455" s="241" t="n">
        <v>-6.96</v>
      </c>
      <c r="J3455" s="241" t="n">
        <v>-5.44</v>
      </c>
      <c r="K3455" s="241" t="n">
        <v>3.49</v>
      </c>
      <c r="L3455" s="242" t="n">
        <v>2940200</v>
      </c>
      <c r="M3455" s="241" t="n">
        <v>-1.53</v>
      </c>
      <c r="N3455" s="241" t="n">
        <v>-16.12</v>
      </c>
      <c r="O3455" s="241" t="n">
        <v>-18.09</v>
      </c>
      <c r="P3455" s="241" t="n">
        <v>2.49</v>
      </c>
    </row>
    <row r="3456">
      <c r="A3456" s="282" t="inlineStr">
        <is>
          <t>2020-03-19</t>
        </is>
      </c>
      <c r="B3456" s="240">
        <f>IFERROR(1/P3456-1,B3455)</f>
        <v/>
      </c>
      <c r="C3456" s="240">
        <f>$C$3</f>
        <v/>
      </c>
      <c r="D3456" s="240">
        <f>$D$3</f>
        <v/>
      </c>
      <c r="E3456" s="240">
        <f>$E$3</f>
        <v/>
      </c>
      <c r="F3456" s="241" t="n">
        <v>8.970000000000001</v>
      </c>
      <c r="G3456" s="242" t="n">
        <v>17574350</v>
      </c>
      <c r="H3456" s="241" t="n">
        <v>3.22</v>
      </c>
      <c r="I3456" s="241" t="n">
        <v>-6.85</v>
      </c>
      <c r="J3456" s="241" t="n">
        <v>-2.39</v>
      </c>
      <c r="K3456" s="241" t="n">
        <v>3.48</v>
      </c>
      <c r="L3456" s="242" t="n">
        <v>3322000</v>
      </c>
      <c r="M3456" s="241" t="n">
        <v>-0.52</v>
      </c>
      <c r="N3456" s="241" t="n">
        <v>-16.74</v>
      </c>
      <c r="O3456" s="241" t="n">
        <v>-18.51</v>
      </c>
      <c r="P3456" s="241" t="n">
        <v>2.58</v>
      </c>
    </row>
    <row r="3457">
      <c r="A3457" s="282" t="inlineStr">
        <is>
          <t>2020-03-20</t>
        </is>
      </c>
      <c r="B3457" s="240">
        <f>IFERROR(1/P3457-1,B3456)</f>
        <v/>
      </c>
      <c r="C3457" s="240">
        <f>$C$3</f>
        <v/>
      </c>
      <c r="D3457" s="240">
        <f>$D$3</f>
        <v/>
      </c>
      <c r="E3457" s="240">
        <f>$E$3</f>
        <v/>
      </c>
      <c r="F3457" s="241" t="n">
        <v>9</v>
      </c>
      <c r="G3457" s="242" t="n">
        <v>11340093</v>
      </c>
      <c r="H3457" s="241" t="n">
        <v>0.33</v>
      </c>
      <c r="I3457" s="241" t="n">
        <v>-8.539999999999999</v>
      </c>
      <c r="J3457" s="241" t="n">
        <v>-2.07</v>
      </c>
      <c r="K3457" s="241" t="n">
        <v>3.47</v>
      </c>
      <c r="L3457" s="242" t="n">
        <v>3755800</v>
      </c>
      <c r="M3457" s="241" t="n">
        <v>-1.04</v>
      </c>
      <c r="N3457" s="241" t="n">
        <v>-18.14</v>
      </c>
      <c r="O3457" s="241" t="n">
        <v>-19.36</v>
      </c>
      <c r="P3457" s="241" t="n">
        <v>2.59</v>
      </c>
    </row>
    <row r="3458">
      <c r="A3458" s="282" t="inlineStr">
        <is>
          <t>2020-03-23</t>
        </is>
      </c>
      <c r="B3458" s="240">
        <f>IFERROR(1/P3458-1,B3457)</f>
        <v/>
      </c>
      <c r="C3458" s="240">
        <f>$C$3</f>
        <v/>
      </c>
      <c r="D3458" s="240">
        <f>$D$3</f>
        <v/>
      </c>
      <c r="E3458" s="240">
        <f>$E$3</f>
        <v/>
      </c>
      <c r="F3458" s="241" t="n">
        <v>8.630000000000001</v>
      </c>
      <c r="G3458" s="242" t="n">
        <v>13471272</v>
      </c>
      <c r="H3458" s="241" t="n">
        <v>-4.11</v>
      </c>
      <c r="I3458" s="241" t="n">
        <v>-15.47</v>
      </c>
      <c r="J3458" s="241" t="n">
        <v>-6.09</v>
      </c>
      <c r="K3458" s="241" t="n">
        <v>3.31</v>
      </c>
      <c r="L3458" s="242" t="n">
        <v>2413400</v>
      </c>
      <c r="M3458" s="241" t="n">
        <v>-4.49</v>
      </c>
      <c r="N3458" s="241" t="n">
        <v>-21.98</v>
      </c>
      <c r="O3458" s="241" t="n">
        <v>-22.98</v>
      </c>
      <c r="P3458" s="241" t="n">
        <v>2.61</v>
      </c>
    </row>
    <row r="3459">
      <c r="A3459" s="282" t="inlineStr">
        <is>
          <t>2020-03-24</t>
        </is>
      </c>
      <c r="B3459" s="240">
        <f>IFERROR(1/P3459-1,B3458)</f>
        <v/>
      </c>
      <c r="C3459" s="240">
        <f>$C$3</f>
        <v/>
      </c>
      <c r="D3459" s="240">
        <f>$D$3</f>
        <v/>
      </c>
      <c r="E3459" s="240">
        <f>$E$3</f>
        <v/>
      </c>
      <c r="F3459" s="241" t="n">
        <v>8.82</v>
      </c>
      <c r="G3459" s="242" t="n">
        <v>10646350</v>
      </c>
      <c r="H3459" s="241" t="n">
        <v>2.2</v>
      </c>
      <c r="I3459" s="241" t="n">
        <v>-13.61</v>
      </c>
      <c r="J3459" s="241" t="n">
        <v>-4.03</v>
      </c>
      <c r="K3459" s="241" t="n">
        <v>3.37</v>
      </c>
      <c r="L3459" s="242" t="n">
        <v>1944770</v>
      </c>
      <c r="M3459" s="241" t="n">
        <v>1.66</v>
      </c>
      <c r="N3459" s="241" t="n">
        <v>-20.69</v>
      </c>
      <c r="O3459" s="241" t="n">
        <v>-21.7</v>
      </c>
      <c r="P3459" s="241" t="n">
        <v>2.62</v>
      </c>
    </row>
    <row r="3460">
      <c r="A3460" s="282" t="inlineStr">
        <is>
          <t>2020-03-25</t>
        </is>
      </c>
      <c r="B3460" s="240">
        <f>IFERROR(1/P3460-1,B3459)</f>
        <v/>
      </c>
      <c r="C3460" s="240">
        <f>$C$3</f>
        <v/>
      </c>
      <c r="D3460" s="240">
        <f>$D$3</f>
        <v/>
      </c>
      <c r="E3460" s="240">
        <f>$E$3</f>
        <v/>
      </c>
      <c r="F3460" s="241" t="n">
        <v>9</v>
      </c>
      <c r="G3460" s="242" t="n">
        <v>14532625</v>
      </c>
      <c r="H3460" s="241" t="n">
        <v>2.04</v>
      </c>
      <c r="I3460" s="241" t="n">
        <v>-12.45</v>
      </c>
      <c r="J3460" s="241" t="n">
        <v>-2.07</v>
      </c>
      <c r="K3460" s="241" t="n">
        <v>3.47</v>
      </c>
      <c r="L3460" s="242" t="n">
        <v>2170600</v>
      </c>
      <c r="M3460" s="241" t="n">
        <v>3.26</v>
      </c>
      <c r="N3460" s="241" t="n">
        <v>-17.39</v>
      </c>
      <c r="O3460" s="241" t="n">
        <v>-19.15</v>
      </c>
      <c r="P3460" s="241" t="n">
        <v>2.6</v>
      </c>
    </row>
    <row r="3461">
      <c r="A3461" s="282" t="inlineStr">
        <is>
          <t>2020-03-26</t>
        </is>
      </c>
      <c r="B3461" s="240">
        <f>IFERROR(1/P3461-1,B3460)</f>
        <v/>
      </c>
      <c r="C3461" s="240">
        <f>$C$3</f>
        <v/>
      </c>
      <c r="D3461" s="240">
        <f>$D$3</f>
        <v/>
      </c>
      <c r="E3461" s="240">
        <f>$E$3</f>
        <v/>
      </c>
      <c r="F3461" s="241" t="n">
        <v>8.779999999999999</v>
      </c>
      <c r="G3461" s="242" t="n">
        <v>10153602</v>
      </c>
      <c r="H3461" s="241" t="n">
        <v>-2.44</v>
      </c>
      <c r="I3461" s="241" t="n">
        <v>-13.24</v>
      </c>
      <c r="J3461" s="241" t="n">
        <v>-4.46</v>
      </c>
      <c r="K3461" s="241" t="n">
        <v>3.46</v>
      </c>
      <c r="L3461" s="242" t="n">
        <v>904081</v>
      </c>
      <c r="M3461" s="241" t="n">
        <v>-0.26</v>
      </c>
      <c r="N3461" s="241" t="n">
        <v>-17.43</v>
      </c>
      <c r="O3461" s="241" t="n">
        <v>-19.36</v>
      </c>
      <c r="P3461" s="241" t="n">
        <v>2.54</v>
      </c>
    </row>
    <row r="3462">
      <c r="A3462" s="282" t="inlineStr">
        <is>
          <t>2020-03-27</t>
        </is>
      </c>
      <c r="B3462" s="240">
        <f>IFERROR(1/P3462-1,B3461)</f>
        <v/>
      </c>
      <c r="C3462" s="240">
        <f>$C$3</f>
        <v/>
      </c>
      <c r="D3462" s="240">
        <f>$D$3</f>
        <v/>
      </c>
      <c r="E3462" s="240">
        <f>$E$3</f>
        <v/>
      </c>
      <c r="F3462" s="241" t="n">
        <v>8.76</v>
      </c>
      <c r="G3462" s="242" t="n">
        <v>7686958</v>
      </c>
      <c r="H3462" s="241" t="n">
        <v>-0.23</v>
      </c>
      <c r="I3462" s="241" t="n">
        <v>-10.52</v>
      </c>
      <c r="J3462" s="241" t="n">
        <v>-4.68</v>
      </c>
      <c r="K3462" s="241" t="n">
        <v>3.49</v>
      </c>
      <c r="L3462" s="242" t="n">
        <v>1279800</v>
      </c>
      <c r="M3462" s="241" t="n">
        <v>1.32</v>
      </c>
      <c r="N3462" s="241" t="n">
        <v>-15.04</v>
      </c>
      <c r="O3462" s="241" t="n">
        <v>-18.3</v>
      </c>
      <c r="P3462" s="241" t="n">
        <v>2.51</v>
      </c>
    </row>
    <row r="3463">
      <c r="A3463" s="282" t="inlineStr">
        <is>
          <t>2020-03-30</t>
        </is>
      </c>
      <c r="B3463" s="240">
        <f>IFERROR(1/P3463-1,B3462)</f>
        <v/>
      </c>
      <c r="C3463" s="240">
        <f>$C$3</f>
        <v/>
      </c>
      <c r="D3463" s="240">
        <f>$D$3</f>
        <v/>
      </c>
      <c r="E3463" s="240">
        <f>$E$3</f>
        <v/>
      </c>
      <c r="F3463" s="241" t="n">
        <v>8.470000000000001</v>
      </c>
      <c r="G3463" s="242" t="n">
        <v>11035030</v>
      </c>
      <c r="H3463" s="241" t="n">
        <v>-3.31</v>
      </c>
      <c r="I3463" s="241" t="n">
        <v>-8.43</v>
      </c>
      <c r="J3463" s="241" t="n">
        <v>-7.83</v>
      </c>
      <c r="K3463" s="241" t="n">
        <v>3.38</v>
      </c>
      <c r="L3463" s="242" t="n">
        <v>3277732</v>
      </c>
      <c r="M3463" s="241" t="n">
        <v>-3.13</v>
      </c>
      <c r="N3463" s="241" t="n">
        <v>-14.29</v>
      </c>
      <c r="O3463" s="241" t="n">
        <v>-20.85</v>
      </c>
      <c r="P3463" s="241" t="n">
        <v>2.51</v>
      </c>
    </row>
    <row r="3464">
      <c r="A3464" s="282" t="inlineStr">
        <is>
          <t>2020-03-31</t>
        </is>
      </c>
      <c r="B3464" s="240">
        <f>IFERROR(1/P3464-1,B3463)</f>
        <v/>
      </c>
      <c r="C3464" s="240">
        <f>$C$3</f>
        <v/>
      </c>
      <c r="D3464" s="240">
        <f>$D$3</f>
        <v/>
      </c>
      <c r="E3464" s="240">
        <f>$E$3</f>
        <v/>
      </c>
      <c r="F3464" s="241" t="n">
        <v>8.44</v>
      </c>
      <c r="G3464" s="242" t="n">
        <v>5610305</v>
      </c>
      <c r="H3464" s="241" t="n">
        <v>-0.35</v>
      </c>
      <c r="I3464" s="241" t="n">
        <v>-8.76</v>
      </c>
      <c r="J3464" s="241" t="n">
        <v>-8.16</v>
      </c>
      <c r="K3464" s="241" t="n">
        <v>3.5</v>
      </c>
      <c r="L3464" s="242" t="n">
        <v>1323000</v>
      </c>
      <c r="M3464" s="241" t="n">
        <v>2.96</v>
      </c>
      <c r="N3464" s="241" t="n">
        <v>-11.75</v>
      </c>
      <c r="O3464" s="241" t="n">
        <v>-18.51</v>
      </c>
      <c r="P3464" s="241" t="n">
        <v>2.41</v>
      </c>
    </row>
    <row r="3465">
      <c r="A3465" s="282" t="inlineStr">
        <is>
          <t>2020-04-01</t>
        </is>
      </c>
      <c r="B3465" s="240">
        <f>IFERROR(1/P3465-1,B3464)</f>
        <v/>
      </c>
      <c r="C3465" s="240">
        <f>$C$3</f>
        <v/>
      </c>
      <c r="D3465" s="240">
        <f>$D$3</f>
        <v/>
      </c>
      <c r="E3465" s="240">
        <f>$E$3</f>
        <v/>
      </c>
      <c r="F3465" s="241" t="n">
        <v>8.31</v>
      </c>
      <c r="G3465" s="242" t="n">
        <v>8888423</v>
      </c>
      <c r="H3465" s="241" t="n">
        <v>-1.54</v>
      </c>
      <c r="I3465" s="241" t="n">
        <v>-10.16</v>
      </c>
      <c r="J3465" s="241" t="n">
        <v>-9.58</v>
      </c>
      <c r="K3465" s="241" t="n">
        <v>3.45</v>
      </c>
      <c r="L3465" s="242" t="n">
        <v>1320600</v>
      </c>
      <c r="M3465" s="241" t="n">
        <v>-1.31</v>
      </c>
      <c r="N3465" s="241" t="n">
        <v>-12.9</v>
      </c>
      <c r="O3465" s="241" t="n">
        <v>-19.57</v>
      </c>
      <c r="P3465" s="241" t="n">
        <v>2.41</v>
      </c>
    </row>
    <row r="3466">
      <c r="A3466" s="282" t="inlineStr">
        <is>
          <t>2020-04-02</t>
        </is>
      </c>
      <c r="B3466" s="240">
        <f>IFERROR(1/P3466-1,B3465)</f>
        <v/>
      </c>
      <c r="C3466" s="240">
        <f>$C$3</f>
        <v/>
      </c>
      <c r="D3466" s="240">
        <f>$D$3</f>
        <v/>
      </c>
      <c r="E3466" s="240">
        <f>$E$3</f>
        <v/>
      </c>
      <c r="F3466" s="241" t="n">
        <v>8.539999999999999</v>
      </c>
      <c r="G3466" s="242" t="n">
        <v>7654730</v>
      </c>
      <c r="H3466" s="241" t="n">
        <v>2.77</v>
      </c>
      <c r="I3466" s="241" t="n">
        <v>-7.68</v>
      </c>
      <c r="J3466" s="241" t="n">
        <v>-7.07</v>
      </c>
      <c r="K3466" s="241" t="n">
        <v>3.52</v>
      </c>
      <c r="L3466" s="242" t="n">
        <v>572600</v>
      </c>
      <c r="M3466" s="241" t="n">
        <v>1.59</v>
      </c>
      <c r="N3466" s="241" t="n">
        <v>-11.52</v>
      </c>
      <c r="O3466" s="241" t="n">
        <v>-18.3</v>
      </c>
      <c r="P3466" s="241" t="n">
        <v>2.43</v>
      </c>
    </row>
    <row r="3467">
      <c r="A3467" s="282" t="inlineStr">
        <is>
          <t>2020-04-03</t>
        </is>
      </c>
      <c r="B3467" s="240">
        <f>IFERROR(1/P3467-1,B3466)</f>
        <v/>
      </c>
      <c r="C3467" s="240">
        <f>$C$3</f>
        <v/>
      </c>
      <c r="D3467" s="240">
        <f>$D$3</f>
        <v/>
      </c>
      <c r="E3467" s="240">
        <f>$E$3</f>
        <v/>
      </c>
      <c r="F3467" s="241" t="n">
        <v>8.48</v>
      </c>
      <c r="G3467" s="242" t="n">
        <v>6000004</v>
      </c>
      <c r="H3467" s="241" t="n">
        <v>-0.7</v>
      </c>
      <c r="I3467" s="241" t="n">
        <v>-12.03</v>
      </c>
      <c r="J3467" s="241" t="n">
        <v>-7.73</v>
      </c>
      <c r="K3467" s="241" t="n">
        <v>3.51</v>
      </c>
      <c r="L3467" s="242" t="n">
        <v>248000</v>
      </c>
      <c r="M3467" s="241" t="n">
        <v>-0.26</v>
      </c>
      <c r="N3467" s="241" t="n">
        <v>-13.93</v>
      </c>
      <c r="O3467" s="241" t="n">
        <v>-18.51</v>
      </c>
      <c r="P3467" s="241" t="n">
        <v>2.41</v>
      </c>
    </row>
    <row r="3468">
      <c r="A3468" s="282" t="inlineStr">
        <is>
          <t>2020-04-07</t>
        </is>
      </c>
      <c r="B3468" s="240">
        <f>IFERROR(1/P3468-1,B3467)</f>
        <v/>
      </c>
      <c r="C3468" s="240">
        <f>$C$3</f>
        <v/>
      </c>
      <c r="D3468" s="240">
        <f>$D$3</f>
        <v/>
      </c>
      <c r="E3468" s="240">
        <f>$E$3</f>
        <v/>
      </c>
      <c r="F3468" s="241" t="n">
        <v>8.67</v>
      </c>
      <c r="G3468" s="242" t="n">
        <v>8975614</v>
      </c>
      <c r="H3468" s="241" t="n">
        <v>2.24</v>
      </c>
      <c r="I3468" s="241" t="n">
        <v>-12.51</v>
      </c>
      <c r="J3468" s="241" t="n">
        <v>-5.66</v>
      </c>
      <c r="K3468" s="241" t="n">
        <v>3.59</v>
      </c>
      <c r="L3468" s="242" t="n">
        <v>2308000</v>
      </c>
      <c r="M3468" s="241" t="n">
        <v>2.08</v>
      </c>
      <c r="N3468" s="241" t="n">
        <v>-11.91</v>
      </c>
      <c r="O3468" s="241" t="n">
        <v>-16.6</v>
      </c>
      <c r="P3468" s="241" t="n">
        <v>2.42</v>
      </c>
    </row>
    <row r="3469">
      <c r="A3469" s="282" t="inlineStr">
        <is>
          <t>2020-04-08</t>
        </is>
      </c>
      <c r="B3469" s="240">
        <f>IFERROR(1/P3469-1,B3468)</f>
        <v/>
      </c>
      <c r="C3469" s="240">
        <f>$C$3</f>
        <v/>
      </c>
      <c r="D3469" s="240">
        <f>$D$3</f>
        <v/>
      </c>
      <c r="E3469" s="240">
        <f>$E$3</f>
        <v/>
      </c>
      <c r="F3469" s="241" t="n">
        <v>8.640000000000001</v>
      </c>
      <c r="G3469" s="242" t="n">
        <v>6085661</v>
      </c>
      <c r="H3469" s="241" t="n">
        <v>-0.35</v>
      </c>
      <c r="I3469" s="241" t="n">
        <v>-12.82</v>
      </c>
      <c r="J3469" s="241" t="n">
        <v>-5.98</v>
      </c>
      <c r="K3469" s="241" t="n">
        <v>3.55</v>
      </c>
      <c r="L3469" s="242" t="n">
        <v>1039200</v>
      </c>
      <c r="M3469" s="241" t="n">
        <v>-0.26</v>
      </c>
      <c r="N3469" s="241" t="n">
        <v>-12.13</v>
      </c>
      <c r="O3469" s="241" t="n">
        <v>-16.81</v>
      </c>
      <c r="P3469" s="241" t="n">
        <v>2.43</v>
      </c>
    </row>
    <row r="3470">
      <c r="A3470" s="282" t="inlineStr">
        <is>
          <t>2020-04-09</t>
        </is>
      </c>
      <c r="B3470" s="240">
        <f>IFERROR(1/P3470-1,B3469)</f>
        <v/>
      </c>
      <c r="C3470" s="240">
        <f>$C$3</f>
        <v/>
      </c>
      <c r="D3470" s="240">
        <f>$D$3</f>
        <v/>
      </c>
      <c r="E3470" s="240">
        <f>$E$3</f>
        <v/>
      </c>
      <c r="F3470" s="241" t="n">
        <v>8.699999999999999</v>
      </c>
      <c r="G3470" s="242" t="n">
        <v>7379693</v>
      </c>
      <c r="H3470" s="241" t="n">
        <v>0.6899999999999999</v>
      </c>
      <c r="I3470" s="241" t="n">
        <v>-12.21</v>
      </c>
      <c r="J3470" s="241" t="n">
        <v>-5.33</v>
      </c>
      <c r="K3470" s="241" t="n">
        <v>3.61</v>
      </c>
      <c r="L3470" s="242" t="n">
        <v>1094000</v>
      </c>
      <c r="M3470" s="241" t="n">
        <v>1.53</v>
      </c>
      <c r="N3470" s="241" t="n">
        <v>-10.79</v>
      </c>
      <c r="O3470" s="241" t="n">
        <v>-15.53</v>
      </c>
      <c r="P3470" s="241" t="n">
        <v>2.41</v>
      </c>
    </row>
    <row r="3471">
      <c r="A3471" s="282" t="inlineStr">
        <is>
          <t>2020-04-10</t>
        </is>
      </c>
      <c r="B3471" s="240">
        <f>IFERROR(1/P3471-1,B3470)</f>
        <v/>
      </c>
      <c r="C3471" s="240">
        <f>$C$3</f>
        <v/>
      </c>
      <c r="D3471" s="240">
        <f>$D$3</f>
        <v/>
      </c>
      <c r="E3471" s="240">
        <f>$E$3</f>
        <v/>
      </c>
      <c r="F3471" s="241" t="n">
        <v>8.539999999999999</v>
      </c>
      <c r="G3471" s="242" t="n">
        <v>6905527</v>
      </c>
      <c r="H3471" s="241" t="n">
        <v>-1.84</v>
      </c>
      <c r="I3471" s="241" t="n">
        <v>-9.82</v>
      </c>
      <c r="J3471" s="241" t="n">
        <v>-7.07</v>
      </c>
      <c r="K3471" s="239" t="inlineStr">
        <is>
          <t>--</t>
        </is>
      </c>
      <c r="L3471" s="239" t="inlineStr">
        <is>
          <t>--</t>
        </is>
      </c>
      <c r="M3471" s="239" t="inlineStr">
        <is>
          <t>--</t>
        </is>
      </c>
      <c r="N3471" s="239" t="inlineStr">
        <is>
          <t>--</t>
        </is>
      </c>
      <c r="O3471" s="239" t="inlineStr">
        <is>
          <t>--</t>
        </is>
      </c>
      <c r="P3471" s="239" t="inlineStr">
        <is>
          <t>--</t>
        </is>
      </c>
    </row>
    <row r="3472">
      <c r="A3472" s="282" t="inlineStr">
        <is>
          <t>2020-04-13</t>
        </is>
      </c>
      <c r="B3472" s="240">
        <f>IFERROR(1/P3472-1,B3471)</f>
        <v/>
      </c>
      <c r="C3472" s="240">
        <f>$C$3</f>
        <v/>
      </c>
      <c r="D3472" s="240">
        <f>$D$3</f>
        <v/>
      </c>
      <c r="E3472" s="240">
        <f>$E$3</f>
        <v/>
      </c>
      <c r="F3472" s="241" t="n">
        <v>8.51</v>
      </c>
      <c r="G3472" s="242" t="n">
        <v>4595022</v>
      </c>
      <c r="H3472" s="241" t="n">
        <v>-0.35</v>
      </c>
      <c r="I3472" s="241" t="n">
        <v>-9.56</v>
      </c>
      <c r="J3472" s="241" t="n">
        <v>-7.4</v>
      </c>
      <c r="K3472" s="239" t="inlineStr">
        <is>
          <t>--</t>
        </is>
      </c>
      <c r="L3472" s="239" t="inlineStr">
        <is>
          <t>--</t>
        </is>
      </c>
      <c r="M3472" s="239" t="inlineStr">
        <is>
          <t>--</t>
        </is>
      </c>
      <c r="N3472" s="239" t="inlineStr">
        <is>
          <t>--</t>
        </is>
      </c>
      <c r="O3472" s="239" t="inlineStr">
        <is>
          <t>--</t>
        </is>
      </c>
      <c r="P3472" s="239" t="inlineStr">
        <is>
          <t>--</t>
        </is>
      </c>
    </row>
    <row r="3473">
      <c r="A3473" s="282" t="inlineStr">
        <is>
          <t>2020-04-14</t>
        </is>
      </c>
      <c r="B3473" s="240">
        <f>IFERROR(1/P3473-1,B3472)</f>
        <v/>
      </c>
      <c r="C3473" s="240">
        <f>$C$3</f>
        <v/>
      </c>
      <c r="D3473" s="240">
        <f>$D$3</f>
        <v/>
      </c>
      <c r="E3473" s="240">
        <f>$E$3</f>
        <v/>
      </c>
      <c r="F3473" s="241" t="n">
        <v>8.630000000000001</v>
      </c>
      <c r="G3473" s="242" t="n">
        <v>6898566</v>
      </c>
      <c r="H3473" s="241" t="n">
        <v>1.41</v>
      </c>
      <c r="I3473" s="241" t="n">
        <v>-7.3</v>
      </c>
      <c r="J3473" s="241" t="n">
        <v>-6.09</v>
      </c>
      <c r="K3473" s="241" t="n">
        <v>3.66</v>
      </c>
      <c r="L3473" s="242" t="n">
        <v>1441200</v>
      </c>
      <c r="M3473" s="241" t="n">
        <v>1.51</v>
      </c>
      <c r="N3473" s="241" t="n">
        <v>-4.05</v>
      </c>
      <c r="O3473" s="241" t="n">
        <v>-14.26</v>
      </c>
      <c r="P3473" s="241" t="n">
        <v>2.36</v>
      </c>
    </row>
    <row r="3474">
      <c r="A3474" s="282" t="inlineStr">
        <is>
          <t>2020-04-15</t>
        </is>
      </c>
      <c r="B3474" s="240">
        <f>IFERROR(1/P3474-1,B3473)</f>
        <v/>
      </c>
      <c r="C3474" s="240">
        <f>$C$3</f>
        <v/>
      </c>
      <c r="D3474" s="240">
        <f>$D$3</f>
        <v/>
      </c>
      <c r="E3474" s="240">
        <f>$E$3</f>
        <v/>
      </c>
      <c r="F3474" s="241" t="n">
        <v>8.81</v>
      </c>
      <c r="G3474" s="242" t="n">
        <v>15110810</v>
      </c>
      <c r="H3474" s="241" t="n">
        <v>2.09</v>
      </c>
      <c r="I3474" s="241" t="n">
        <v>-5.37</v>
      </c>
      <c r="J3474" s="241" t="n">
        <v>-4.13</v>
      </c>
      <c r="K3474" s="241" t="n">
        <v>3.64</v>
      </c>
      <c r="L3474" s="242" t="n">
        <v>1545000</v>
      </c>
      <c r="M3474" s="241" t="n">
        <v>-0.5</v>
      </c>
      <c r="N3474" s="241" t="n">
        <v>-4.52</v>
      </c>
      <c r="O3474" s="241" t="n">
        <v>-14.68</v>
      </c>
      <c r="P3474" s="241" t="n">
        <v>2.42</v>
      </c>
    </row>
    <row r="3475">
      <c r="A3475" s="282" t="inlineStr">
        <is>
          <t>2020-04-16</t>
        </is>
      </c>
      <c r="B3475" s="240">
        <f>IFERROR(1/P3475-1,B3474)</f>
        <v/>
      </c>
      <c r="C3475" s="240">
        <f>$C$3</f>
        <v/>
      </c>
      <c r="D3475" s="240">
        <f>$D$3</f>
        <v/>
      </c>
      <c r="E3475" s="240">
        <f>$E$3</f>
        <v/>
      </c>
      <c r="F3475" s="241" t="n">
        <v>9.09</v>
      </c>
      <c r="G3475" s="242" t="n">
        <v>19955183</v>
      </c>
      <c r="H3475" s="241" t="n">
        <v>3.18</v>
      </c>
      <c r="I3475" s="241" t="n">
        <v>-2.36</v>
      </c>
      <c r="J3475" s="241" t="n">
        <v>-1.09</v>
      </c>
      <c r="K3475" s="241" t="n">
        <v>3.67</v>
      </c>
      <c r="L3475" s="242" t="n">
        <v>634400</v>
      </c>
      <c r="M3475" s="241" t="n">
        <v>0.25</v>
      </c>
      <c r="N3475" s="241" t="n">
        <v>-4.29</v>
      </c>
      <c r="O3475" s="241" t="n">
        <v>-14.47</v>
      </c>
      <c r="P3475" s="241" t="n">
        <v>2.48</v>
      </c>
    </row>
    <row r="3476">
      <c r="A3476" s="282" t="inlineStr">
        <is>
          <t>2020-04-17</t>
        </is>
      </c>
      <c r="B3476" s="240">
        <f>IFERROR(1/P3476-1,B3475)</f>
        <v/>
      </c>
      <c r="C3476" s="240">
        <f>$C$3</f>
        <v/>
      </c>
      <c r="D3476" s="240">
        <f>$D$3</f>
        <v/>
      </c>
      <c r="E3476" s="240">
        <f>$E$3</f>
        <v/>
      </c>
      <c r="F3476" s="241" t="n">
        <v>8.92</v>
      </c>
      <c r="G3476" s="242" t="n">
        <v>16798599</v>
      </c>
      <c r="H3476" s="241" t="n">
        <v>-1.87</v>
      </c>
      <c r="I3476" s="241" t="n">
        <v>1.48</v>
      </c>
      <c r="J3476" s="241" t="n">
        <v>-2.94</v>
      </c>
      <c r="K3476" s="241" t="n">
        <v>3.69</v>
      </c>
      <c r="L3476" s="242" t="n">
        <v>1490800</v>
      </c>
      <c r="M3476" s="241" t="n">
        <v>0.5</v>
      </c>
      <c r="N3476" s="241" t="n">
        <v>1.25</v>
      </c>
      <c r="O3476" s="241" t="n">
        <v>-14.04</v>
      </c>
      <c r="P3476" s="241" t="n">
        <v>2.42</v>
      </c>
    </row>
    <row r="3477">
      <c r="A3477" s="282" t="inlineStr">
        <is>
          <t>2020-04-20</t>
        </is>
      </c>
      <c r="B3477" s="240">
        <f>IFERROR(1/P3477-1,B3476)</f>
        <v/>
      </c>
      <c r="C3477" s="240">
        <f>$C$3</f>
        <v/>
      </c>
      <c r="D3477" s="240">
        <f>$D$3</f>
        <v/>
      </c>
      <c r="E3477" s="240">
        <f>$E$3</f>
        <v/>
      </c>
      <c r="F3477" s="241" t="n">
        <v>9.07</v>
      </c>
      <c r="G3477" s="242" t="n">
        <v>11301806</v>
      </c>
      <c r="H3477" s="241" t="n">
        <v>1.68</v>
      </c>
      <c r="I3477" s="241" t="n">
        <v>1.11</v>
      </c>
      <c r="J3477" s="241" t="n">
        <v>-1.31</v>
      </c>
      <c r="K3477" s="241" t="n">
        <v>3.9</v>
      </c>
      <c r="L3477" s="242" t="n">
        <v>4511400</v>
      </c>
      <c r="M3477" s="241" t="n">
        <v>5.94</v>
      </c>
      <c r="N3477" s="241" t="n">
        <v>11.75</v>
      </c>
      <c r="O3477" s="241" t="n">
        <v>-8.94</v>
      </c>
      <c r="P3477" s="241" t="n">
        <v>2.32</v>
      </c>
    </row>
    <row r="3478">
      <c r="A3478" s="282" t="inlineStr">
        <is>
          <t>2020-04-21</t>
        </is>
      </c>
      <c r="B3478" s="240">
        <f>IFERROR(1/P3478-1,B3477)</f>
        <v/>
      </c>
      <c r="C3478" s="240">
        <f>$C$3</f>
        <v/>
      </c>
      <c r="D3478" s="240">
        <f>$D$3</f>
        <v/>
      </c>
      <c r="E3478" s="240">
        <f>$E$3</f>
        <v/>
      </c>
      <c r="F3478" s="241" t="n">
        <v>8.83</v>
      </c>
      <c r="G3478" s="242" t="n">
        <v>10407793</v>
      </c>
      <c r="H3478" s="241" t="n">
        <v>-2.65</v>
      </c>
      <c r="I3478" s="241" t="n">
        <v>-1.89</v>
      </c>
      <c r="J3478" s="241" t="n">
        <v>-3.92</v>
      </c>
      <c r="K3478" s="241" t="n">
        <v>3.73</v>
      </c>
      <c r="L3478" s="242" t="n">
        <v>1337400</v>
      </c>
      <c r="M3478" s="241" t="n">
        <v>-4.44</v>
      </c>
      <c r="N3478" s="241" t="n">
        <v>7.92</v>
      </c>
      <c r="O3478" s="241" t="n">
        <v>-12.98</v>
      </c>
      <c r="P3478" s="241" t="n">
        <v>2.36</v>
      </c>
    </row>
    <row r="3479">
      <c r="A3479" s="282" t="inlineStr">
        <is>
          <t>2020-04-22</t>
        </is>
      </c>
      <c r="B3479" s="240">
        <f>IFERROR(1/P3479-1,B3478)</f>
        <v/>
      </c>
      <c r="C3479" s="240">
        <f>$C$3</f>
        <v/>
      </c>
      <c r="D3479" s="240">
        <f>$D$3</f>
        <v/>
      </c>
      <c r="E3479" s="240">
        <f>$E$3</f>
        <v/>
      </c>
      <c r="F3479" s="241" t="n">
        <v>8.970000000000001</v>
      </c>
      <c r="G3479" s="242" t="n">
        <v>9273126</v>
      </c>
      <c r="H3479" s="241" t="n">
        <v>1.59</v>
      </c>
      <c r="I3479" s="241" t="n">
        <v>-0.33</v>
      </c>
      <c r="J3479" s="241" t="n">
        <v>-2.39</v>
      </c>
      <c r="K3479" s="241" t="n">
        <v>3.77</v>
      </c>
      <c r="L3479" s="242" t="n">
        <v>418600</v>
      </c>
      <c r="M3479" s="241" t="n">
        <v>0.73</v>
      </c>
      <c r="N3479" s="241" t="n">
        <v>8.710000000000001</v>
      </c>
      <c r="O3479" s="241" t="n">
        <v>-12.34</v>
      </c>
      <c r="P3479" s="241" t="n">
        <v>2.38</v>
      </c>
    </row>
    <row r="3480">
      <c r="A3480" s="282" t="inlineStr">
        <is>
          <t>2020-04-23</t>
        </is>
      </c>
      <c r="B3480" s="240">
        <f>IFERROR(1/P3480-1,B3479)</f>
        <v/>
      </c>
      <c r="C3480" s="240">
        <f>$C$3</f>
        <v/>
      </c>
      <c r="D3480" s="240">
        <f>$D$3</f>
        <v/>
      </c>
      <c r="E3480" s="240">
        <f>$E$3</f>
        <v/>
      </c>
      <c r="F3480" s="241" t="n">
        <v>8.9</v>
      </c>
      <c r="G3480" s="242" t="n">
        <v>7362415</v>
      </c>
      <c r="H3480" s="241" t="n">
        <v>-0.78</v>
      </c>
      <c r="I3480" s="241" t="n">
        <v>-1.11</v>
      </c>
      <c r="J3480" s="241" t="n">
        <v>-3.16</v>
      </c>
      <c r="K3480" s="241" t="n">
        <v>3.71</v>
      </c>
      <c r="L3480" s="242" t="n">
        <v>826200</v>
      </c>
      <c r="M3480" s="241" t="n">
        <v>-1.46</v>
      </c>
      <c r="N3480" s="241" t="n">
        <v>7.12</v>
      </c>
      <c r="O3480" s="241" t="n">
        <v>-13.62</v>
      </c>
      <c r="P3480" s="241" t="n">
        <v>2.4</v>
      </c>
    </row>
    <row r="3481">
      <c r="A3481" s="282" t="inlineStr">
        <is>
          <t>2020-04-24</t>
        </is>
      </c>
      <c r="B3481" s="240">
        <f>IFERROR(1/P3481-1,B3480)</f>
        <v/>
      </c>
      <c r="C3481" s="240">
        <f>$C$3</f>
        <v/>
      </c>
      <c r="D3481" s="240">
        <f>$D$3</f>
        <v/>
      </c>
      <c r="E3481" s="240">
        <f>$E$3</f>
        <v/>
      </c>
      <c r="F3481" s="241" t="n">
        <v>8.74</v>
      </c>
      <c r="G3481" s="242" t="n">
        <v>21719627</v>
      </c>
      <c r="H3481" s="241" t="n">
        <v>-1.8</v>
      </c>
      <c r="I3481" s="241" t="n">
        <v>1.27</v>
      </c>
      <c r="J3481" s="241" t="n">
        <v>-4.9</v>
      </c>
      <c r="K3481" s="241" t="n">
        <v>3.68</v>
      </c>
      <c r="L3481" s="242" t="n">
        <v>1384800</v>
      </c>
      <c r="M3481" s="241" t="n">
        <v>-0.74</v>
      </c>
      <c r="N3481" s="241" t="n">
        <v>11.33</v>
      </c>
      <c r="O3481" s="241" t="n">
        <v>-14.26</v>
      </c>
      <c r="P3481" s="241" t="n">
        <v>2.37</v>
      </c>
    </row>
    <row r="3482">
      <c r="A3482" s="282" t="inlineStr">
        <is>
          <t>2020-04-27</t>
        </is>
      </c>
      <c r="B3482" s="240">
        <f>IFERROR(1/P3482-1,B3481)</f>
        <v/>
      </c>
      <c r="C3482" s="240">
        <f>$C$3</f>
        <v/>
      </c>
      <c r="D3482" s="240">
        <f>$D$3</f>
        <v/>
      </c>
      <c r="E3482" s="240">
        <f>$E$3</f>
        <v/>
      </c>
      <c r="F3482" s="241" t="n">
        <v>8.41</v>
      </c>
      <c r="G3482" s="242" t="n">
        <v>15766699</v>
      </c>
      <c r="H3482" s="241" t="n">
        <v>-3.78</v>
      </c>
      <c r="I3482" s="241" t="n">
        <v>-4.21</v>
      </c>
      <c r="J3482" s="241" t="n">
        <v>-8.49</v>
      </c>
      <c r="K3482" s="241" t="n">
        <v>3.69</v>
      </c>
      <c r="L3482" s="242" t="n">
        <v>1149800</v>
      </c>
      <c r="M3482" s="241" t="n">
        <v>0.25</v>
      </c>
      <c r="N3482" s="241" t="n">
        <v>6.6</v>
      </c>
      <c r="O3482" s="241" t="n">
        <v>-14.04</v>
      </c>
      <c r="P3482" s="241" t="n">
        <v>2.28</v>
      </c>
    </row>
    <row r="3483">
      <c r="A3483" s="282" t="inlineStr">
        <is>
          <t>2020-04-28</t>
        </is>
      </c>
      <c r="B3483" s="240">
        <f>IFERROR(1/P3483-1,B3482)</f>
        <v/>
      </c>
      <c r="C3483" s="240">
        <f>$C$3</f>
        <v/>
      </c>
      <c r="D3483" s="240">
        <f>$D$3</f>
        <v/>
      </c>
      <c r="E3483" s="240">
        <f>$E$3</f>
        <v/>
      </c>
      <c r="F3483" s="241" t="n">
        <v>8.109999999999999</v>
      </c>
      <c r="G3483" s="242" t="n">
        <v>19897999</v>
      </c>
      <c r="H3483" s="241" t="n">
        <v>-3.57</v>
      </c>
      <c r="I3483" s="241" t="n">
        <v>-7.42</v>
      </c>
      <c r="J3483" s="241" t="n">
        <v>-11.75</v>
      </c>
      <c r="K3483" s="241" t="n">
        <v>3.69</v>
      </c>
      <c r="L3483" s="242" t="n">
        <v>235600</v>
      </c>
      <c r="M3483" s="241" t="n">
        <v>0.25</v>
      </c>
      <c r="N3483" s="241" t="n">
        <v>5.47</v>
      </c>
      <c r="O3483" s="241" t="n">
        <v>-13.83</v>
      </c>
      <c r="P3483" s="241" t="n">
        <v>2.19</v>
      </c>
    </row>
    <row r="3484">
      <c r="A3484" s="282" t="inlineStr">
        <is>
          <t>2020-04-29</t>
        </is>
      </c>
      <c r="B3484" s="240">
        <f>IFERROR(1/P3484-1,B3483)</f>
        <v/>
      </c>
      <c r="C3484" s="240">
        <f>$C$3</f>
        <v/>
      </c>
      <c r="D3484" s="240">
        <f>$D$3</f>
        <v/>
      </c>
      <c r="E3484" s="240">
        <f>$E$3</f>
        <v/>
      </c>
      <c r="F3484" s="241" t="n">
        <v>8.220000000000001</v>
      </c>
      <c r="G3484" s="242" t="n">
        <v>13180066</v>
      </c>
      <c r="H3484" s="241" t="n">
        <v>1.36</v>
      </c>
      <c r="I3484" s="241" t="n">
        <v>-6.16</v>
      </c>
      <c r="J3484" s="241" t="n">
        <v>-10.55</v>
      </c>
      <c r="K3484" s="241" t="n">
        <v>3.78</v>
      </c>
      <c r="L3484" s="242" t="n">
        <v>496600</v>
      </c>
      <c r="M3484" s="241" t="n">
        <v>2.22</v>
      </c>
      <c r="N3484" s="241" t="n">
        <v>7.81</v>
      </c>
      <c r="O3484" s="241" t="n">
        <v>-11.91</v>
      </c>
      <c r="P3484" s="241" t="n">
        <v>2.18</v>
      </c>
    </row>
    <row r="3485">
      <c r="A3485" s="282" t="inlineStr">
        <is>
          <t>2020-04-30</t>
        </is>
      </c>
      <c r="B3485" s="240">
        <f>IFERROR(1/P3485-1,B3484)</f>
        <v/>
      </c>
      <c r="C3485" s="240">
        <f>$C$3</f>
        <v/>
      </c>
      <c r="D3485" s="240">
        <f>$D$3</f>
        <v/>
      </c>
      <c r="E3485" s="240">
        <f>$E$3</f>
        <v/>
      </c>
      <c r="F3485" s="241" t="n">
        <v>8.609999999999999</v>
      </c>
      <c r="G3485" s="242" t="n">
        <v>20455697</v>
      </c>
      <c r="H3485" s="241" t="n">
        <v>4.74</v>
      </c>
      <c r="I3485" s="241" t="n">
        <v>-1.71</v>
      </c>
      <c r="J3485" s="241" t="n">
        <v>-6.31</v>
      </c>
      <c r="K3485" s="239" t="inlineStr">
        <is>
          <t>--</t>
        </is>
      </c>
      <c r="L3485" s="239" t="inlineStr">
        <is>
          <t>--</t>
        </is>
      </c>
      <c r="M3485" s="239" t="inlineStr">
        <is>
          <t>--</t>
        </is>
      </c>
      <c r="N3485" s="239" t="inlineStr">
        <is>
          <t>--</t>
        </is>
      </c>
      <c r="O3485" s="239" t="inlineStr">
        <is>
          <t>--</t>
        </is>
      </c>
      <c r="P3485" s="239" t="inlineStr">
        <is>
          <t>--</t>
        </is>
      </c>
    </row>
    <row r="3486">
      <c r="A3486" s="282" t="inlineStr">
        <is>
          <t>2020-05-06</t>
        </is>
      </c>
      <c r="B3486" s="240">
        <f>IFERROR(1/P3486-1,B3485)</f>
        <v/>
      </c>
      <c r="C3486" s="240">
        <f>$C$3</f>
        <v/>
      </c>
      <c r="D3486" s="240">
        <f>$D$3</f>
        <v/>
      </c>
      <c r="E3486" s="240">
        <f>$E$3</f>
        <v/>
      </c>
      <c r="F3486" s="241" t="n">
        <v>9.199999999999999</v>
      </c>
      <c r="G3486" s="242" t="n">
        <v>32720934</v>
      </c>
      <c r="H3486" s="241" t="n">
        <v>6.85</v>
      </c>
      <c r="I3486" s="241" t="n">
        <v>8.49</v>
      </c>
      <c r="J3486" s="241" t="n">
        <v>0.11</v>
      </c>
      <c r="K3486" s="241" t="n">
        <v>3.75</v>
      </c>
      <c r="L3486" s="242" t="n">
        <v>759400</v>
      </c>
      <c r="M3486" s="241" t="n">
        <v>4.31</v>
      </c>
      <c r="N3486" s="241" t="n">
        <v>7.31</v>
      </c>
      <c r="O3486" s="241" t="n">
        <v>-12.55</v>
      </c>
      <c r="P3486" s="241" t="n">
        <v>2.46</v>
      </c>
    </row>
    <row r="3487">
      <c r="A3487" s="282" t="inlineStr">
        <is>
          <t>2020-05-07</t>
        </is>
      </c>
      <c r="B3487" s="240">
        <f>IFERROR(1/P3487-1,B3486)</f>
        <v/>
      </c>
      <c r="C3487" s="240">
        <f>$C$3</f>
        <v/>
      </c>
      <c r="D3487" s="240">
        <f>$D$3</f>
        <v/>
      </c>
      <c r="E3487" s="240">
        <f>$E$3</f>
        <v/>
      </c>
      <c r="F3487" s="241" t="n">
        <v>9.220000000000001</v>
      </c>
      <c r="G3487" s="242" t="n">
        <v>23136050</v>
      </c>
      <c r="H3487" s="241" t="n">
        <v>0.22</v>
      </c>
      <c r="I3487" s="241" t="n">
        <v>8.73</v>
      </c>
      <c r="J3487" s="241" t="n">
        <v>0.33</v>
      </c>
      <c r="K3487" s="241" t="n">
        <v>3.74</v>
      </c>
      <c r="L3487" s="242" t="n">
        <v>954600</v>
      </c>
      <c r="M3487" s="241" t="n">
        <v>-0.49</v>
      </c>
      <c r="N3487" s="241" t="n">
        <v>6.51</v>
      </c>
      <c r="O3487" s="241" t="n">
        <v>-12.98</v>
      </c>
      <c r="P3487" s="241" t="n">
        <v>2.46</v>
      </c>
    </row>
    <row r="3488">
      <c r="A3488" s="282" t="inlineStr">
        <is>
          <t>2020-05-08</t>
        </is>
      </c>
      <c r="B3488" s="240">
        <f>IFERROR(1/P3488-1,B3487)</f>
        <v/>
      </c>
      <c r="C3488" s="240">
        <f>$C$3</f>
        <v/>
      </c>
      <c r="D3488" s="240">
        <f>$D$3</f>
        <v/>
      </c>
      <c r="E3488" s="240">
        <f>$E$3</f>
        <v/>
      </c>
      <c r="F3488" s="241" t="n">
        <v>9.369999999999999</v>
      </c>
      <c r="G3488" s="242" t="n">
        <v>18415891</v>
      </c>
      <c r="H3488" s="241" t="n">
        <v>1.63</v>
      </c>
      <c r="I3488" s="241" t="n">
        <v>8.07</v>
      </c>
      <c r="J3488" s="241" t="n">
        <v>1.96</v>
      </c>
      <c r="K3488" s="241" t="n">
        <v>3.77</v>
      </c>
      <c r="L3488" s="242" t="n">
        <v>955400</v>
      </c>
      <c r="M3488" s="241" t="n">
        <v>0.98</v>
      </c>
      <c r="N3488" s="241" t="n">
        <v>5.36</v>
      </c>
      <c r="O3488" s="241" t="n">
        <v>-12.13</v>
      </c>
      <c r="P3488" s="241" t="n">
        <v>2.48</v>
      </c>
    </row>
    <row r="3489">
      <c r="A3489" s="282" t="inlineStr">
        <is>
          <t>2020-05-11</t>
        </is>
      </c>
      <c r="B3489" s="240">
        <f>IFERROR(1/P3489-1,B3488)</f>
        <v/>
      </c>
      <c r="C3489" s="240">
        <f>$C$3</f>
        <v/>
      </c>
      <c r="D3489" s="240">
        <f>$D$3</f>
        <v/>
      </c>
      <c r="E3489" s="240">
        <f>$E$3</f>
        <v/>
      </c>
      <c r="F3489" s="241" t="n">
        <v>9.34</v>
      </c>
      <c r="G3489" s="242" t="n">
        <v>18681662</v>
      </c>
      <c r="H3489" s="241" t="n">
        <v>-0.32</v>
      </c>
      <c r="I3489" s="241" t="n">
        <v>9.369999999999999</v>
      </c>
      <c r="J3489" s="241" t="n">
        <v>1.63</v>
      </c>
      <c r="K3489" s="241" t="n">
        <v>3.79</v>
      </c>
      <c r="L3489" s="242" t="n">
        <v>683600</v>
      </c>
      <c r="M3489" s="241" t="n">
        <v>0.48</v>
      </c>
      <c r="N3489" s="241" t="n">
        <v>4.53</v>
      </c>
      <c r="O3489" s="241" t="n">
        <v>-11.7</v>
      </c>
      <c r="P3489" s="241" t="n">
        <v>2.46</v>
      </c>
    </row>
    <row r="3490">
      <c r="A3490" s="282" t="inlineStr">
        <is>
          <t>2020-05-12</t>
        </is>
      </c>
      <c r="B3490" s="240">
        <f>IFERROR(1/P3490-1,B3489)</f>
        <v/>
      </c>
      <c r="C3490" s="240">
        <f>$C$3</f>
        <v/>
      </c>
      <c r="D3490" s="240">
        <f>$D$3</f>
        <v/>
      </c>
      <c r="E3490" s="240">
        <f>$E$3</f>
        <v/>
      </c>
      <c r="F3490" s="241" t="n">
        <v>9.34</v>
      </c>
      <c r="G3490" s="242" t="n">
        <v>12561488</v>
      </c>
      <c r="H3490" s="241" t="n">
        <v>0</v>
      </c>
      <c r="I3490" s="241" t="n">
        <v>9.369999999999999</v>
      </c>
      <c r="J3490" s="241" t="n">
        <v>1.63</v>
      </c>
      <c r="K3490" s="241" t="n">
        <v>3.77</v>
      </c>
      <c r="L3490" s="242" t="n">
        <v>317800</v>
      </c>
      <c r="M3490" s="241" t="n">
        <v>-0.72</v>
      </c>
      <c r="N3490" s="241" t="n">
        <v>3.78</v>
      </c>
      <c r="O3490" s="241" t="n">
        <v>-12.34</v>
      </c>
      <c r="P3490" s="241" t="n">
        <v>2.48</v>
      </c>
    </row>
    <row r="3491">
      <c r="A3491" s="282" t="inlineStr">
        <is>
          <t>2020-05-13</t>
        </is>
      </c>
      <c r="B3491" s="240">
        <f>IFERROR(1/P3491-1,B3490)</f>
        <v/>
      </c>
      <c r="C3491" s="240">
        <f>$C$3</f>
        <v/>
      </c>
      <c r="D3491" s="240">
        <f>$D$3</f>
        <v/>
      </c>
      <c r="E3491" s="240">
        <f>$E$3</f>
        <v/>
      </c>
      <c r="F3491" s="241" t="n">
        <v>9.300000000000001</v>
      </c>
      <c r="G3491" s="242" t="n">
        <v>8808278</v>
      </c>
      <c r="H3491" s="241" t="n">
        <v>-0.43</v>
      </c>
      <c r="I3491" s="241" t="n">
        <v>8.9</v>
      </c>
      <c r="J3491" s="241" t="n">
        <v>1.2</v>
      </c>
      <c r="K3491" s="241" t="n">
        <v>3.74</v>
      </c>
      <c r="L3491" s="242" t="n">
        <v>816761</v>
      </c>
      <c r="M3491" s="241" t="n">
        <v>-0.73</v>
      </c>
      <c r="N3491" s="241" t="n">
        <v>3.02</v>
      </c>
      <c r="O3491" s="241" t="n">
        <v>-12.98</v>
      </c>
      <c r="P3491" s="241" t="n">
        <v>2.49</v>
      </c>
    </row>
    <row r="3492">
      <c r="A3492" s="282" t="inlineStr">
        <is>
          <t>2020-05-14</t>
        </is>
      </c>
      <c r="B3492" s="240">
        <f>IFERROR(1/P3492-1,B3491)</f>
        <v/>
      </c>
      <c r="C3492" s="240">
        <f>$C$3</f>
        <v/>
      </c>
      <c r="D3492" s="240">
        <f>$D$3</f>
        <v/>
      </c>
      <c r="E3492" s="240">
        <f>$E$3</f>
        <v/>
      </c>
      <c r="F3492" s="241" t="n">
        <v>9.199999999999999</v>
      </c>
      <c r="G3492" s="242" t="n">
        <v>9940264</v>
      </c>
      <c r="H3492" s="241" t="n">
        <v>-1.08</v>
      </c>
      <c r="I3492" s="241" t="n">
        <v>8.109999999999999</v>
      </c>
      <c r="J3492" s="241" t="n">
        <v>0.11</v>
      </c>
      <c r="K3492" s="241" t="n">
        <v>3.68</v>
      </c>
      <c r="L3492" s="242" t="n">
        <v>633600</v>
      </c>
      <c r="M3492" s="241" t="n">
        <v>-1.71</v>
      </c>
      <c r="N3492" s="241" t="n">
        <v>1.26</v>
      </c>
      <c r="O3492" s="241" t="n">
        <v>-14.47</v>
      </c>
      <c r="P3492" s="241" t="n">
        <v>2.5</v>
      </c>
    </row>
    <row r="3493">
      <c r="A3493" s="282" t="inlineStr">
        <is>
          <t>2020-05-15</t>
        </is>
      </c>
      <c r="B3493" s="240">
        <f>IFERROR(1/P3493-1,B3492)</f>
        <v/>
      </c>
      <c r="C3493" s="240">
        <f>$C$3</f>
        <v/>
      </c>
      <c r="D3493" s="240">
        <f>$D$3</f>
        <v/>
      </c>
      <c r="E3493" s="240">
        <f>$E$3</f>
        <v/>
      </c>
      <c r="F3493" s="241" t="n">
        <v>9.15</v>
      </c>
      <c r="G3493" s="242" t="n">
        <v>11999014</v>
      </c>
      <c r="H3493" s="241" t="n">
        <v>-0.54</v>
      </c>
      <c r="I3493" s="241" t="n">
        <v>6.03</v>
      </c>
      <c r="J3493" s="241" t="n">
        <v>-0.44</v>
      </c>
      <c r="K3493" s="241" t="n">
        <v>3.61</v>
      </c>
      <c r="L3493" s="242" t="n">
        <v>2267800</v>
      </c>
      <c r="M3493" s="241" t="n">
        <v>-1.74</v>
      </c>
      <c r="N3493" s="241" t="n">
        <v>-1.99</v>
      </c>
      <c r="O3493" s="241" t="n">
        <v>-15.96</v>
      </c>
      <c r="P3493" s="241" t="n">
        <v>2.53</v>
      </c>
    </row>
    <row r="3494">
      <c r="A3494" s="282" t="inlineStr">
        <is>
          <t>2020-05-18</t>
        </is>
      </c>
      <c r="B3494" s="240">
        <f>IFERROR(1/P3494-1,B3493)</f>
        <v/>
      </c>
      <c r="C3494" s="240">
        <f>$C$3</f>
        <v/>
      </c>
      <c r="D3494" s="240">
        <f>$D$3</f>
        <v/>
      </c>
      <c r="E3494" s="240">
        <f>$E$3</f>
        <v/>
      </c>
      <c r="F3494" s="241" t="n">
        <v>9.359999999999999</v>
      </c>
      <c r="G3494" s="242" t="n">
        <v>18840023</v>
      </c>
      <c r="H3494" s="241" t="n">
        <v>2.3</v>
      </c>
      <c r="I3494" s="241" t="n">
        <v>4.93</v>
      </c>
      <c r="J3494" s="241" t="n">
        <v>1.85</v>
      </c>
      <c r="K3494" s="241" t="n">
        <v>3.67</v>
      </c>
      <c r="L3494" s="242" t="n">
        <v>2320400</v>
      </c>
      <c r="M3494" s="241" t="n">
        <v>1.27</v>
      </c>
      <c r="N3494" s="241" t="n">
        <v>-0.99</v>
      </c>
      <c r="O3494" s="241" t="n">
        <v>-14.89</v>
      </c>
      <c r="P3494" s="241" t="n">
        <v>2.55</v>
      </c>
    </row>
    <row r="3495">
      <c r="A3495" s="282" t="inlineStr">
        <is>
          <t>2020-05-19</t>
        </is>
      </c>
      <c r="B3495" s="240">
        <f>IFERROR(1/P3495-1,B3494)</f>
        <v/>
      </c>
      <c r="C3495" s="240">
        <f>$C$3</f>
        <v/>
      </c>
      <c r="D3495" s="240">
        <f>$D$3</f>
        <v/>
      </c>
      <c r="E3495" s="240">
        <f>$E$3</f>
        <v/>
      </c>
      <c r="F3495" s="241" t="n">
        <v>9.25</v>
      </c>
      <c r="G3495" s="242" t="n">
        <v>13693492</v>
      </c>
      <c r="H3495" s="241" t="n">
        <v>-1.18</v>
      </c>
      <c r="I3495" s="241" t="n">
        <v>3.7</v>
      </c>
      <c r="J3495" s="241" t="n">
        <v>0.65</v>
      </c>
      <c r="K3495" s="241" t="n">
        <v>3.65</v>
      </c>
      <c r="L3495" s="242" t="n">
        <v>1874624</v>
      </c>
      <c r="M3495" s="241" t="n">
        <v>-0.25</v>
      </c>
      <c r="N3495" s="241" t="n">
        <v>-1.24</v>
      </c>
      <c r="O3495" s="241" t="n">
        <v>-15.11</v>
      </c>
      <c r="P3495" s="241" t="n">
        <v>2.53</v>
      </c>
    </row>
    <row r="3496">
      <c r="A3496" s="282" t="inlineStr">
        <is>
          <t>2020-05-20</t>
        </is>
      </c>
      <c r="B3496" s="240">
        <f>IFERROR(1/P3496-1,B3495)</f>
        <v/>
      </c>
      <c r="C3496" s="240">
        <f>$C$3</f>
        <v/>
      </c>
      <c r="D3496" s="240">
        <f>$D$3</f>
        <v/>
      </c>
      <c r="E3496" s="240">
        <f>$E$3</f>
        <v/>
      </c>
      <c r="F3496" s="241" t="n">
        <v>9.23</v>
      </c>
      <c r="G3496" s="242" t="n">
        <v>9781885</v>
      </c>
      <c r="H3496" s="241" t="n">
        <v>-0.22</v>
      </c>
      <c r="I3496" s="241" t="n">
        <v>3.48</v>
      </c>
      <c r="J3496" s="241" t="n">
        <v>0.44</v>
      </c>
      <c r="K3496" s="241" t="n">
        <v>3.66</v>
      </c>
      <c r="L3496" s="242" t="n">
        <v>910200</v>
      </c>
      <c r="M3496" s="241" t="n">
        <v>0.25</v>
      </c>
      <c r="N3496" s="241" t="n">
        <v>-0.99</v>
      </c>
      <c r="O3496" s="241" t="n">
        <v>-14.89</v>
      </c>
      <c r="P3496" s="241" t="n">
        <v>2.52</v>
      </c>
    </row>
    <row r="3497">
      <c r="A3497" s="282" t="inlineStr">
        <is>
          <t>2020-05-21</t>
        </is>
      </c>
      <c r="B3497" s="240">
        <f>IFERROR(1/P3497-1,B3496)</f>
        <v/>
      </c>
      <c r="C3497" s="240">
        <f>$C$3</f>
        <v/>
      </c>
      <c r="D3497" s="240">
        <f>$D$3</f>
        <v/>
      </c>
      <c r="E3497" s="240">
        <f>$E$3</f>
        <v/>
      </c>
      <c r="F3497" s="241" t="n">
        <v>9.210000000000001</v>
      </c>
      <c r="G3497" s="242" t="n">
        <v>10071731</v>
      </c>
      <c r="H3497" s="241" t="n">
        <v>-0.22</v>
      </c>
      <c r="I3497" s="241" t="n">
        <v>1.54</v>
      </c>
      <c r="J3497" s="241" t="n">
        <v>0.22</v>
      </c>
      <c r="K3497" s="241" t="n">
        <v>3.62</v>
      </c>
      <c r="L3497" s="242" t="n">
        <v>862000</v>
      </c>
      <c r="M3497" s="241" t="n">
        <v>-1</v>
      </c>
      <c r="N3497" s="241" t="n">
        <v>-7.48</v>
      </c>
      <c r="O3497" s="241" t="n">
        <v>-15.74</v>
      </c>
      <c r="P3497" s="241" t="n">
        <v>2.54</v>
      </c>
    </row>
    <row r="3498">
      <c r="A3498" s="282" t="inlineStr">
        <is>
          <t>2020-05-22</t>
        </is>
      </c>
      <c r="B3498" s="240">
        <f>IFERROR(1/P3498-1,B3497)</f>
        <v/>
      </c>
      <c r="C3498" s="240">
        <f>$C$3</f>
        <v/>
      </c>
      <c r="D3498" s="240">
        <f>$D$3</f>
        <v/>
      </c>
      <c r="E3498" s="240">
        <f>$E$3</f>
        <v/>
      </c>
      <c r="F3498" s="241" t="n">
        <v>9</v>
      </c>
      <c r="G3498" s="242" t="n">
        <v>9262344</v>
      </c>
      <c r="H3498" s="241" t="n">
        <v>-2.28</v>
      </c>
      <c r="I3498" s="241" t="n">
        <v>1.93</v>
      </c>
      <c r="J3498" s="241" t="n">
        <v>-2.07</v>
      </c>
      <c r="K3498" s="241" t="n">
        <v>3.49</v>
      </c>
      <c r="L3498" s="242" t="n">
        <v>1797600</v>
      </c>
      <c r="M3498" s="241" t="n">
        <v>-3.54</v>
      </c>
      <c r="N3498" s="241" t="n">
        <v>-6.6</v>
      </c>
      <c r="O3498" s="241" t="n">
        <v>-18.72</v>
      </c>
      <c r="P3498" s="241" t="n">
        <v>2.58</v>
      </c>
    </row>
    <row r="3499">
      <c r="A3499" s="282" t="inlineStr">
        <is>
          <t>2020-05-25</t>
        </is>
      </c>
      <c r="B3499" s="240">
        <f>IFERROR(1/P3499-1,B3498)</f>
        <v/>
      </c>
      <c r="C3499" s="240">
        <f>$C$3</f>
        <v/>
      </c>
      <c r="D3499" s="240">
        <f>$D$3</f>
        <v/>
      </c>
      <c r="E3499" s="240">
        <f>$E$3</f>
        <v/>
      </c>
      <c r="F3499" s="241" t="n">
        <v>8.85</v>
      </c>
      <c r="G3499" s="242" t="n">
        <v>8430693</v>
      </c>
      <c r="H3499" s="241" t="n">
        <v>-1.67</v>
      </c>
      <c r="I3499" s="241" t="n">
        <v>1.26</v>
      </c>
      <c r="J3499" s="241" t="n">
        <v>-3.7</v>
      </c>
      <c r="K3499" s="241" t="n">
        <v>3.54</v>
      </c>
      <c r="L3499" s="242" t="n">
        <v>676400</v>
      </c>
      <c r="M3499" s="241" t="n">
        <v>1.05</v>
      </c>
      <c r="N3499" s="241" t="n">
        <v>-4.22</v>
      </c>
      <c r="O3499" s="241" t="n">
        <v>-17.87</v>
      </c>
      <c r="P3499" s="241" t="n">
        <v>2.5</v>
      </c>
    </row>
    <row r="3500">
      <c r="A3500" s="282" t="inlineStr">
        <is>
          <t>2020-05-26</t>
        </is>
      </c>
      <c r="B3500" s="240">
        <f>IFERROR(1/P3500-1,B3499)</f>
        <v/>
      </c>
      <c r="C3500" s="240">
        <f>$C$3</f>
        <v/>
      </c>
      <c r="D3500" s="240">
        <f>$D$3</f>
        <v/>
      </c>
      <c r="E3500" s="240">
        <f>$E$3</f>
        <v/>
      </c>
      <c r="F3500" s="241" t="n">
        <v>9.050000000000001</v>
      </c>
      <c r="G3500" s="242" t="n">
        <v>7493835</v>
      </c>
      <c r="H3500" s="241" t="n">
        <v>2.26</v>
      </c>
      <c r="I3500" s="241" t="n">
        <v>3.55</v>
      </c>
      <c r="J3500" s="241" t="n">
        <v>-1.52</v>
      </c>
      <c r="K3500" s="241" t="n">
        <v>3.54</v>
      </c>
      <c r="L3500" s="242" t="n">
        <v>896000</v>
      </c>
      <c r="M3500" s="241" t="n">
        <v>-0.26</v>
      </c>
      <c r="N3500" s="241" t="n">
        <v>-4.47</v>
      </c>
      <c r="O3500" s="241" t="n">
        <v>-18.09</v>
      </c>
      <c r="P3500" s="241" t="n">
        <v>2.56</v>
      </c>
    </row>
    <row r="3501">
      <c r="A3501" s="282" t="inlineStr">
        <is>
          <t>2020-05-27</t>
        </is>
      </c>
      <c r="B3501" s="240">
        <f>IFERROR(1/P3501-1,B3500)</f>
        <v/>
      </c>
      <c r="C3501" s="240">
        <f>$C$3</f>
        <v/>
      </c>
      <c r="D3501" s="240">
        <f>$D$3</f>
        <v/>
      </c>
      <c r="E3501" s="240">
        <f>$E$3</f>
        <v/>
      </c>
      <c r="F3501" s="241" t="n">
        <v>8.880000000000001</v>
      </c>
      <c r="G3501" s="242" t="n">
        <v>7454457</v>
      </c>
      <c r="H3501" s="241" t="n">
        <v>-1.88</v>
      </c>
      <c r="I3501" s="241" t="n">
        <v>1.6</v>
      </c>
      <c r="J3501" s="241" t="n">
        <v>-3.37</v>
      </c>
      <c r="K3501" s="241" t="n">
        <v>3.53</v>
      </c>
      <c r="L3501" s="242" t="n">
        <v>494600</v>
      </c>
      <c r="M3501" s="241" t="n">
        <v>0</v>
      </c>
      <c r="N3501" s="241" t="n">
        <v>-4.47</v>
      </c>
      <c r="O3501" s="241" t="n">
        <v>-18.09</v>
      </c>
      <c r="P3501" s="241" t="n">
        <v>2.52</v>
      </c>
    </row>
    <row r="3502">
      <c r="A3502" s="282" t="inlineStr">
        <is>
          <t>2020-05-28</t>
        </is>
      </c>
      <c r="B3502" s="240">
        <f>IFERROR(1/P3502-1,B3501)</f>
        <v/>
      </c>
      <c r="C3502" s="240">
        <f>$C$3</f>
        <v/>
      </c>
      <c r="D3502" s="240">
        <f>$D$3</f>
        <v/>
      </c>
      <c r="E3502" s="240">
        <f>$E$3</f>
        <v/>
      </c>
      <c r="F3502" s="241" t="n">
        <v>8.83</v>
      </c>
      <c r="G3502" s="242" t="n">
        <v>6919250</v>
      </c>
      <c r="H3502" s="241" t="n">
        <v>-0.5600000000000001</v>
      </c>
      <c r="I3502" s="241" t="n">
        <v>4.99</v>
      </c>
      <c r="J3502" s="241" t="n">
        <v>-3.92</v>
      </c>
      <c r="K3502" s="241" t="n">
        <v>3.48</v>
      </c>
      <c r="L3502" s="242" t="n">
        <v>848400</v>
      </c>
      <c r="M3502" s="241" t="n">
        <v>-1.56</v>
      </c>
      <c r="N3502" s="241" t="n">
        <v>-6.19</v>
      </c>
      <c r="O3502" s="241" t="n">
        <v>-19.36</v>
      </c>
      <c r="P3502" s="241" t="n">
        <v>2.53</v>
      </c>
    </row>
    <row r="3503">
      <c r="A3503" s="282" t="inlineStr">
        <is>
          <t>2020-05-29</t>
        </is>
      </c>
      <c r="B3503" s="240">
        <f>IFERROR(1/P3503-1,B3502)</f>
        <v/>
      </c>
      <c r="C3503" s="240">
        <f>$C$3</f>
        <v/>
      </c>
      <c r="D3503" s="240">
        <f>$D$3</f>
        <v/>
      </c>
      <c r="E3503" s="240">
        <f>$E$3</f>
        <v/>
      </c>
      <c r="F3503" s="241" t="n">
        <v>8.76</v>
      </c>
      <c r="G3503" s="242" t="n">
        <v>7702697</v>
      </c>
      <c r="H3503" s="241" t="n">
        <v>-0.79</v>
      </c>
      <c r="I3503" s="241" t="n">
        <v>8.01</v>
      </c>
      <c r="J3503" s="241" t="n">
        <v>-4.68</v>
      </c>
      <c r="K3503" s="241" t="n">
        <v>3.47</v>
      </c>
      <c r="L3503" s="242" t="n">
        <v>955800</v>
      </c>
      <c r="M3503" s="241" t="n">
        <v>-0.53</v>
      </c>
      <c r="N3503" s="241" t="n">
        <v>-6.91</v>
      </c>
      <c r="O3503" s="241" t="n">
        <v>-19.79</v>
      </c>
      <c r="P3503" s="241" t="n">
        <v>2.53</v>
      </c>
    </row>
    <row r="3504">
      <c r="A3504" s="282" t="inlineStr">
        <is>
          <t>2020-06-01</t>
        </is>
      </c>
      <c r="B3504" s="240">
        <f>IFERROR(1/P3504-1,B3503)</f>
        <v/>
      </c>
      <c r="C3504" s="240">
        <f>$C$3</f>
        <v/>
      </c>
      <c r="D3504" s="240">
        <f>$D$3</f>
        <v/>
      </c>
      <c r="E3504" s="240">
        <f>$E$3</f>
        <v/>
      </c>
      <c r="F3504" s="241" t="n">
        <v>9.02</v>
      </c>
      <c r="G3504" s="242" t="n">
        <v>11181482</v>
      </c>
      <c r="H3504" s="241" t="n">
        <v>2.97</v>
      </c>
      <c r="I3504" s="241" t="n">
        <v>4.76</v>
      </c>
      <c r="J3504" s="241" t="n">
        <v>-1.85</v>
      </c>
      <c r="K3504" s="241" t="n">
        <v>3.55</v>
      </c>
      <c r="L3504" s="242" t="n">
        <v>1312300</v>
      </c>
      <c r="M3504" s="241" t="n">
        <v>2.39</v>
      </c>
      <c r="N3504" s="241" t="n">
        <v>-6.76</v>
      </c>
      <c r="O3504" s="241" t="n">
        <v>-17.87</v>
      </c>
      <c r="P3504" s="241" t="n">
        <v>2.54</v>
      </c>
    </row>
    <row r="3505">
      <c r="A3505" s="282" t="inlineStr">
        <is>
          <t>2020-06-02</t>
        </is>
      </c>
      <c r="B3505" s="240">
        <f>IFERROR(1/P3505-1,B3504)</f>
        <v/>
      </c>
      <c r="C3505" s="240">
        <f>$C$3</f>
        <v/>
      </c>
      <c r="D3505" s="240">
        <f>$D$3</f>
        <v/>
      </c>
      <c r="E3505" s="240">
        <f>$E$3</f>
        <v/>
      </c>
      <c r="F3505" s="241" t="n">
        <v>9.199999999999999</v>
      </c>
      <c r="G3505" s="242" t="n">
        <v>12757407</v>
      </c>
      <c r="H3505" s="241" t="n">
        <v>2</v>
      </c>
      <c r="I3505" s="241" t="n">
        <v>6.85</v>
      </c>
      <c r="J3505" s="241" t="n">
        <v>0.11</v>
      </c>
      <c r="K3505" s="241" t="n">
        <v>3.66</v>
      </c>
      <c r="L3505" s="242" t="n">
        <v>2273400</v>
      </c>
      <c r="M3505" s="241" t="n">
        <v>3.37</v>
      </c>
      <c r="N3505" s="241" t="n">
        <v>-3.62</v>
      </c>
      <c r="O3505" s="241" t="n">
        <v>-15.11</v>
      </c>
      <c r="P3505" s="241" t="n">
        <v>2.51</v>
      </c>
    </row>
    <row r="3506">
      <c r="A3506" s="282" t="inlineStr">
        <is>
          <t>2020-06-03</t>
        </is>
      </c>
      <c r="B3506" s="240">
        <f>IFERROR(1/P3506-1,B3505)</f>
        <v/>
      </c>
      <c r="C3506" s="240">
        <f>$C$3</f>
        <v/>
      </c>
      <c r="D3506" s="240">
        <f>$D$3</f>
        <v/>
      </c>
      <c r="E3506" s="240">
        <f>$E$3</f>
        <v/>
      </c>
      <c r="F3506" s="241" t="n">
        <v>9.06</v>
      </c>
      <c r="G3506" s="242" t="n">
        <v>8171966</v>
      </c>
      <c r="H3506" s="241" t="n">
        <v>-1.52</v>
      </c>
      <c r="I3506" s="241" t="n">
        <v>5.23</v>
      </c>
      <c r="J3506" s="241" t="n">
        <v>-1.41</v>
      </c>
      <c r="K3506" s="241" t="n">
        <v>3.66</v>
      </c>
      <c r="L3506" s="242" t="n">
        <v>708000</v>
      </c>
      <c r="M3506" s="241" t="n">
        <v>0</v>
      </c>
      <c r="N3506" s="241" t="n">
        <v>-3.62</v>
      </c>
      <c r="O3506" s="241" t="n">
        <v>-15.11</v>
      </c>
      <c r="P3506" s="241" t="n">
        <v>2.48</v>
      </c>
    </row>
    <row r="3507">
      <c r="A3507" s="282" t="inlineStr">
        <is>
          <t>2020-06-04</t>
        </is>
      </c>
      <c r="B3507" s="240">
        <f>IFERROR(1/P3507-1,B3506)</f>
        <v/>
      </c>
      <c r="C3507" s="240">
        <f>$C$3</f>
        <v/>
      </c>
      <c r="D3507" s="240">
        <f>$D$3</f>
        <v/>
      </c>
      <c r="E3507" s="240">
        <f>$E$3</f>
        <v/>
      </c>
      <c r="F3507" s="241" t="n">
        <v>9.15</v>
      </c>
      <c r="G3507" s="242" t="n">
        <v>8822503</v>
      </c>
      <c r="H3507" s="241" t="n">
        <v>0.99</v>
      </c>
      <c r="I3507" s="241" t="n">
        <v>6.27</v>
      </c>
      <c r="J3507" s="241" t="n">
        <v>-0.44</v>
      </c>
      <c r="K3507" s="241" t="n">
        <v>3.67</v>
      </c>
      <c r="L3507" s="242" t="n">
        <v>581800</v>
      </c>
      <c r="M3507" s="241" t="n">
        <v>0.25</v>
      </c>
      <c r="N3507" s="241" t="n">
        <v>-3.38</v>
      </c>
      <c r="O3507" s="241" t="n">
        <v>-14.89</v>
      </c>
      <c r="P3507" s="241" t="n">
        <v>2.5</v>
      </c>
    </row>
    <row r="3508">
      <c r="A3508" s="282" t="inlineStr">
        <is>
          <t>2020-06-05</t>
        </is>
      </c>
      <c r="B3508" s="240">
        <f>IFERROR(1/P3508-1,B3507)</f>
        <v/>
      </c>
      <c r="C3508" s="240">
        <f>$C$3</f>
        <v/>
      </c>
      <c r="D3508" s="240">
        <f>$D$3</f>
        <v/>
      </c>
      <c r="E3508" s="240">
        <f>$E$3</f>
        <v/>
      </c>
      <c r="F3508" s="241" t="n">
        <v>9.31</v>
      </c>
      <c r="G3508" s="242" t="n">
        <v>24681197</v>
      </c>
      <c r="H3508" s="241" t="n">
        <v>1.75</v>
      </c>
      <c r="I3508" s="241" t="n">
        <v>8.130000000000001</v>
      </c>
      <c r="J3508" s="241" t="n">
        <v>1.31</v>
      </c>
      <c r="K3508" s="241" t="n">
        <v>3.75</v>
      </c>
      <c r="L3508" s="242" t="n">
        <v>2047660</v>
      </c>
      <c r="M3508" s="241" t="n">
        <v>2.25</v>
      </c>
      <c r="N3508" s="241" t="n">
        <v>6.23</v>
      </c>
      <c r="O3508" s="241" t="n">
        <v>-12.98</v>
      </c>
      <c r="P3508" s="241" t="n">
        <v>2.49</v>
      </c>
    </row>
    <row r="3509">
      <c r="A3509" s="282" t="inlineStr">
        <is>
          <t>2020-06-08</t>
        </is>
      </c>
      <c r="B3509" s="240">
        <f>IFERROR(1/P3509-1,B3508)</f>
        <v/>
      </c>
      <c r="C3509" s="240">
        <f>$C$3</f>
        <v/>
      </c>
      <c r="D3509" s="240">
        <f>$D$3</f>
        <v/>
      </c>
      <c r="E3509" s="240">
        <f>$E$3</f>
        <v/>
      </c>
      <c r="F3509" s="241" t="n">
        <v>9.039999999999999</v>
      </c>
      <c r="G3509" s="242" t="n">
        <v>18942282</v>
      </c>
      <c r="H3509" s="241" t="n">
        <v>-2.9</v>
      </c>
      <c r="I3509" s="241" t="n">
        <v>-1.95</v>
      </c>
      <c r="J3509" s="241" t="n">
        <v>-1.63</v>
      </c>
      <c r="K3509" s="241" t="n">
        <v>3.78</v>
      </c>
      <c r="L3509" s="242" t="n">
        <v>2065050</v>
      </c>
      <c r="M3509" s="241" t="n">
        <v>0.98</v>
      </c>
      <c r="N3509" s="241" t="n">
        <v>0.98</v>
      </c>
      <c r="O3509" s="241" t="n">
        <v>-12.13</v>
      </c>
      <c r="P3509" s="241" t="n">
        <v>2.39</v>
      </c>
    </row>
    <row r="3510">
      <c r="A3510" s="282" t="inlineStr">
        <is>
          <t>2020-06-09</t>
        </is>
      </c>
      <c r="B3510" s="240">
        <f>IFERROR(1/P3510-1,B3509)</f>
        <v/>
      </c>
      <c r="C3510" s="240">
        <f>$C$3</f>
        <v/>
      </c>
      <c r="D3510" s="240">
        <f>$D$3</f>
        <v/>
      </c>
      <c r="E3510" s="240">
        <f>$E$3</f>
        <v/>
      </c>
      <c r="F3510" s="241" t="n">
        <v>9.109999999999999</v>
      </c>
      <c r="G3510" s="242" t="n">
        <v>11392569</v>
      </c>
      <c r="H3510" s="241" t="n">
        <v>0.77</v>
      </c>
      <c r="I3510" s="241" t="n">
        <v>-2.77</v>
      </c>
      <c r="J3510" s="241" t="n">
        <v>-0.87</v>
      </c>
      <c r="K3510" s="241" t="n">
        <v>3.8</v>
      </c>
      <c r="L3510" s="242" t="n">
        <v>1802400</v>
      </c>
      <c r="M3510" s="241" t="n">
        <v>0.97</v>
      </c>
      <c r="N3510" s="241" t="n">
        <v>0.97</v>
      </c>
      <c r="O3510" s="241" t="n">
        <v>-11.28</v>
      </c>
      <c r="P3510" s="241" t="n">
        <v>2.39</v>
      </c>
    </row>
    <row r="3511">
      <c r="A3511" s="282" t="inlineStr">
        <is>
          <t>2020-06-10</t>
        </is>
      </c>
      <c r="B3511" s="240">
        <f>IFERROR(1/P3511-1,B3510)</f>
        <v/>
      </c>
      <c r="C3511" s="240">
        <f>$C$3</f>
        <v/>
      </c>
      <c r="D3511" s="240">
        <f>$D$3</f>
        <v/>
      </c>
      <c r="E3511" s="240">
        <f>$E$3</f>
        <v/>
      </c>
      <c r="F3511" s="241" t="n">
        <v>8.970000000000001</v>
      </c>
      <c r="G3511" s="242" t="n">
        <v>10440211</v>
      </c>
      <c r="H3511" s="241" t="n">
        <v>-1.54</v>
      </c>
      <c r="I3511" s="241" t="n">
        <v>-4.27</v>
      </c>
      <c r="J3511" s="241" t="n">
        <v>-2.39</v>
      </c>
      <c r="K3511" s="241" t="n">
        <v>3.8</v>
      </c>
      <c r="L3511" s="242" t="n">
        <v>980200</v>
      </c>
      <c r="M3511" s="241" t="n">
        <v>-0.24</v>
      </c>
      <c r="N3511" s="241" t="n">
        <v>0.73</v>
      </c>
      <c r="O3511" s="241" t="n">
        <v>-11.49</v>
      </c>
      <c r="P3511" s="241" t="n">
        <v>2.36</v>
      </c>
    </row>
    <row r="3512">
      <c r="A3512" s="282" t="inlineStr">
        <is>
          <t>2020-06-11</t>
        </is>
      </c>
      <c r="B3512" s="240">
        <f>IFERROR(1/P3512-1,B3511)</f>
        <v/>
      </c>
      <c r="C3512" s="240">
        <f>$C$3</f>
        <v/>
      </c>
      <c r="D3512" s="240">
        <f>$D$3</f>
        <v/>
      </c>
      <c r="E3512" s="240">
        <f>$E$3</f>
        <v/>
      </c>
      <c r="F3512" s="241" t="n">
        <v>9.01</v>
      </c>
      <c r="G3512" s="242" t="n">
        <v>15874376</v>
      </c>
      <c r="H3512" s="241" t="n">
        <v>0.45</v>
      </c>
      <c r="I3512" s="241" t="n">
        <v>-3.84</v>
      </c>
      <c r="J3512" s="241" t="n">
        <v>-1.96</v>
      </c>
      <c r="K3512" s="241" t="n">
        <v>3.68</v>
      </c>
      <c r="L3512" s="242" t="n">
        <v>1071000</v>
      </c>
      <c r="M3512" s="241" t="n">
        <v>-2.88</v>
      </c>
      <c r="N3512" s="241" t="n">
        <v>-2.18</v>
      </c>
      <c r="O3512" s="241" t="n">
        <v>-14.04</v>
      </c>
      <c r="P3512" s="241" t="n">
        <v>2.45</v>
      </c>
    </row>
    <row r="3513">
      <c r="A3513" s="282" t="inlineStr">
        <is>
          <t>2020-06-12</t>
        </is>
      </c>
      <c r="B3513" s="240">
        <f>IFERROR(1/P3513-1,B3512)</f>
        <v/>
      </c>
      <c r="C3513" s="240">
        <f>$C$3</f>
        <v/>
      </c>
      <c r="D3513" s="240">
        <f>$D$3</f>
        <v/>
      </c>
      <c r="E3513" s="240">
        <f>$E$3</f>
        <v/>
      </c>
      <c r="F3513" s="241" t="n">
        <v>9.27</v>
      </c>
      <c r="G3513" s="242" t="n">
        <v>29449831</v>
      </c>
      <c r="H3513" s="241" t="n">
        <v>2.89</v>
      </c>
      <c r="I3513" s="241" t="n">
        <v>-0.75</v>
      </c>
      <c r="J3513" s="241" t="n">
        <v>0.87</v>
      </c>
      <c r="K3513" s="241" t="n">
        <v>3.73</v>
      </c>
      <c r="L3513" s="242" t="n">
        <v>1965200</v>
      </c>
      <c r="M3513" s="241" t="n">
        <v>0.99</v>
      </c>
      <c r="N3513" s="241" t="n">
        <v>-1.69</v>
      </c>
      <c r="O3513" s="241" t="n">
        <v>-13.19</v>
      </c>
      <c r="P3513" s="241" t="n">
        <v>2.48</v>
      </c>
    </row>
    <row r="3514">
      <c r="A3514" s="282" t="inlineStr">
        <is>
          <t>2020-06-15</t>
        </is>
      </c>
      <c r="B3514" s="240">
        <f>IFERROR(1/P3514-1,B3513)</f>
        <v/>
      </c>
      <c r="C3514" s="240">
        <f>$C$3</f>
        <v/>
      </c>
      <c r="D3514" s="240">
        <f>$D$3</f>
        <v/>
      </c>
      <c r="E3514" s="240">
        <f>$E$3</f>
        <v/>
      </c>
      <c r="F3514" s="241" t="n">
        <v>9.119999999999999</v>
      </c>
      <c r="G3514" s="242" t="n">
        <v>23716311</v>
      </c>
      <c r="H3514" s="241" t="n">
        <v>-1.62</v>
      </c>
      <c r="I3514" s="241" t="n">
        <v>-0.87</v>
      </c>
      <c r="J3514" s="241" t="n">
        <v>-0.76</v>
      </c>
      <c r="K3514" s="241" t="n">
        <v>3.67</v>
      </c>
      <c r="L3514" s="242" t="n">
        <v>739400</v>
      </c>
      <c r="M3514" s="241" t="n">
        <v>-1.72</v>
      </c>
      <c r="N3514" s="241" t="n">
        <v>-0.25</v>
      </c>
      <c r="O3514" s="241" t="n">
        <v>-14.68</v>
      </c>
      <c r="P3514" s="241" t="n">
        <v>2.49</v>
      </c>
    </row>
    <row r="3515">
      <c r="A3515" s="282" t="inlineStr">
        <is>
          <t>2020-06-16</t>
        </is>
      </c>
      <c r="B3515" s="240">
        <f>IFERROR(1/P3515-1,B3514)</f>
        <v/>
      </c>
      <c r="C3515" s="240">
        <f>$C$3</f>
        <v/>
      </c>
      <c r="D3515" s="240">
        <f>$D$3</f>
        <v/>
      </c>
      <c r="E3515" s="240">
        <f>$E$3</f>
        <v/>
      </c>
      <c r="F3515" s="241" t="n">
        <v>9.199999999999999</v>
      </c>
      <c r="G3515" s="242" t="n">
        <v>12755128</v>
      </c>
      <c r="H3515" s="241" t="n">
        <v>0.88</v>
      </c>
      <c r="I3515" s="241" t="n">
        <v>0.55</v>
      </c>
      <c r="J3515" s="241" t="n">
        <v>0.11</v>
      </c>
      <c r="K3515" s="241" t="n">
        <v>3.74</v>
      </c>
      <c r="L3515" s="242" t="n">
        <v>808400</v>
      </c>
      <c r="M3515" s="241" t="n">
        <v>2.24</v>
      </c>
      <c r="N3515" s="241" t="n">
        <v>3.8</v>
      </c>
      <c r="O3515" s="241" t="n">
        <v>-12.77</v>
      </c>
      <c r="P3515" s="241" t="n">
        <v>2.46</v>
      </c>
    </row>
    <row r="3516">
      <c r="A3516" s="282" t="inlineStr">
        <is>
          <t>2020-06-17</t>
        </is>
      </c>
      <c r="B3516" s="240">
        <f>IFERROR(1/P3516-1,B3515)</f>
        <v/>
      </c>
      <c r="C3516" s="240">
        <f>$C$3</f>
        <v/>
      </c>
      <c r="D3516" s="240">
        <f>$D$3</f>
        <v/>
      </c>
      <c r="E3516" s="240">
        <f>$E$3</f>
        <v/>
      </c>
      <c r="F3516" s="241" t="n">
        <v>9.140000000000001</v>
      </c>
      <c r="G3516" s="242" t="n">
        <v>11561676</v>
      </c>
      <c r="H3516" s="241" t="n">
        <v>-0.65</v>
      </c>
      <c r="I3516" s="241" t="n">
        <v>-0.11</v>
      </c>
      <c r="J3516" s="241" t="n">
        <v>-0.54</v>
      </c>
      <c r="K3516" s="241" t="n">
        <v>3.72</v>
      </c>
      <c r="L3516" s="242" t="n">
        <v>705600</v>
      </c>
      <c r="M3516" s="241" t="n">
        <v>-0.73</v>
      </c>
      <c r="N3516" s="241" t="n">
        <v>3.04</v>
      </c>
      <c r="O3516" s="241" t="n">
        <v>-13.4</v>
      </c>
      <c r="P3516" s="241" t="n">
        <v>2.46</v>
      </c>
    </row>
    <row r="3517">
      <c r="A3517" s="282" t="inlineStr">
        <is>
          <t>2020-06-18</t>
        </is>
      </c>
      <c r="B3517" s="240">
        <f>IFERROR(1/P3517-1,B3516)</f>
        <v/>
      </c>
      <c r="C3517" s="240">
        <f>$C$3</f>
        <v/>
      </c>
      <c r="D3517" s="240">
        <f>$D$3</f>
        <v/>
      </c>
      <c r="E3517" s="240">
        <f>$E$3</f>
        <v/>
      </c>
      <c r="F3517" s="241" t="n">
        <v>9.09</v>
      </c>
      <c r="G3517" s="242" t="n">
        <v>8318970</v>
      </c>
      <c r="H3517" s="241" t="n">
        <v>-0.55</v>
      </c>
      <c r="I3517" s="241" t="n">
        <v>-0.66</v>
      </c>
      <c r="J3517" s="241" t="n">
        <v>-1.09</v>
      </c>
      <c r="K3517" s="241" t="n">
        <v>3.79</v>
      </c>
      <c r="L3517" s="242" t="n">
        <v>974000</v>
      </c>
      <c r="M3517" s="241" t="n">
        <v>1.72</v>
      </c>
      <c r="N3517" s="241" t="n">
        <v>4.81</v>
      </c>
      <c r="O3517" s="241" t="n">
        <v>-11.91</v>
      </c>
      <c r="P3517" s="241" t="n">
        <v>2.4</v>
      </c>
    </row>
    <row r="3518">
      <c r="A3518" s="282" t="inlineStr">
        <is>
          <t>2020-06-19</t>
        </is>
      </c>
      <c r="B3518" s="240">
        <f>IFERROR(1/P3518-1,B3517)</f>
        <v/>
      </c>
      <c r="C3518" s="240">
        <f>$C$3</f>
        <v/>
      </c>
      <c r="D3518" s="240">
        <f>$D$3</f>
        <v/>
      </c>
      <c r="E3518" s="240">
        <f>$E$3</f>
        <v/>
      </c>
      <c r="F3518" s="241" t="n">
        <v>9.16</v>
      </c>
      <c r="G3518" s="242" t="n">
        <v>17951628</v>
      </c>
      <c r="H3518" s="241" t="n">
        <v>0.77</v>
      </c>
      <c r="I3518" s="241" t="n">
        <v>-2.14</v>
      </c>
      <c r="J3518" s="241" t="n">
        <v>-0.33</v>
      </c>
      <c r="K3518" s="241" t="n">
        <v>3.72</v>
      </c>
      <c r="L3518" s="242" t="n">
        <v>1156204</v>
      </c>
      <c r="M3518" s="241" t="n">
        <v>-1.69</v>
      </c>
      <c r="N3518" s="241" t="n">
        <v>1.75</v>
      </c>
      <c r="O3518" s="241" t="n">
        <v>-13.4</v>
      </c>
      <c r="P3518" s="241" t="n">
        <v>2.46</v>
      </c>
    </row>
    <row r="3519">
      <c r="A3519" s="282" t="inlineStr">
        <is>
          <t>2020-06-22</t>
        </is>
      </c>
      <c r="B3519" s="240">
        <f>IFERROR(1/P3519-1,B3518)</f>
        <v/>
      </c>
      <c r="C3519" s="240">
        <f>$C$3</f>
        <v/>
      </c>
      <c r="D3519" s="240">
        <f>$D$3</f>
        <v/>
      </c>
      <c r="E3519" s="240">
        <f>$E$3</f>
        <v/>
      </c>
      <c r="F3519" s="241" t="n">
        <v>9.109999999999999</v>
      </c>
      <c r="G3519" s="242" t="n">
        <v>15279323</v>
      </c>
      <c r="H3519" s="241" t="n">
        <v>-0.55</v>
      </c>
      <c r="I3519" s="241" t="n">
        <v>-1.09</v>
      </c>
      <c r="J3519" s="241" t="n">
        <v>-0.87</v>
      </c>
      <c r="K3519" s="241" t="n">
        <v>3.71</v>
      </c>
      <c r="L3519" s="242" t="n">
        <v>1383396</v>
      </c>
      <c r="M3519" s="241" t="n">
        <v>-0.25</v>
      </c>
      <c r="N3519" s="241" t="n">
        <v>2.53</v>
      </c>
      <c r="O3519" s="241" t="n">
        <v>-13.62</v>
      </c>
      <c r="P3519" s="241" t="n">
        <v>2.45</v>
      </c>
    </row>
    <row r="3520">
      <c r="A3520" s="282" t="inlineStr">
        <is>
          <t>2020-06-23</t>
        </is>
      </c>
      <c r="B3520" s="240">
        <f>IFERROR(1/P3520-1,B3519)</f>
        <v/>
      </c>
      <c r="C3520" s="240">
        <f>$C$3</f>
        <v/>
      </c>
      <c r="D3520" s="240">
        <f>$D$3</f>
        <v/>
      </c>
      <c r="E3520" s="240">
        <f>$E$3</f>
        <v/>
      </c>
      <c r="F3520" s="241" t="n">
        <v>9.029999999999999</v>
      </c>
      <c r="G3520" s="242" t="n">
        <v>11413935</v>
      </c>
      <c r="H3520" s="241" t="n">
        <v>-0.88</v>
      </c>
      <c r="I3520" s="241" t="n">
        <v>0.33</v>
      </c>
      <c r="J3520" s="241" t="n">
        <v>-1.74</v>
      </c>
      <c r="K3520" s="241" t="n">
        <v>3.75</v>
      </c>
      <c r="L3520" s="242" t="n">
        <v>486730</v>
      </c>
      <c r="M3520" s="241" t="n">
        <v>1.23</v>
      </c>
      <c r="N3520" s="241" t="n">
        <v>7.59</v>
      </c>
      <c r="O3520" s="241" t="n">
        <v>-12.55</v>
      </c>
      <c r="P3520" s="241" t="n">
        <v>2.41</v>
      </c>
    </row>
    <row r="3521">
      <c r="A3521" s="282" t="inlineStr">
        <is>
          <t>2020-06-24</t>
        </is>
      </c>
      <c r="B3521" s="240">
        <f>IFERROR(1/P3521-1,B3520)</f>
        <v/>
      </c>
      <c r="C3521" s="240">
        <f>$C$3</f>
        <v/>
      </c>
      <c r="D3521" s="240">
        <f>$D$3</f>
        <v/>
      </c>
      <c r="E3521" s="240">
        <f>$E$3</f>
        <v/>
      </c>
      <c r="F3521" s="241" t="n">
        <v>8.970000000000001</v>
      </c>
      <c r="G3521" s="242" t="n">
        <v>10441452</v>
      </c>
      <c r="H3521" s="241" t="n">
        <v>-0.66</v>
      </c>
      <c r="I3521" s="241" t="n">
        <v>-0.33</v>
      </c>
      <c r="J3521" s="241" t="n">
        <v>-2.39</v>
      </c>
      <c r="K3521" s="241" t="n">
        <v>3.69</v>
      </c>
      <c r="L3521" s="242" t="n">
        <v>688592</v>
      </c>
      <c r="M3521" s="241" t="n">
        <v>-1.46</v>
      </c>
      <c r="N3521" s="241" t="n">
        <v>6.02</v>
      </c>
      <c r="O3521" s="241" t="n">
        <v>-13.83</v>
      </c>
      <c r="P3521" s="241" t="n">
        <v>2.43</v>
      </c>
    </row>
    <row r="3522">
      <c r="A3522" s="282" t="inlineStr">
        <is>
          <t>2020-06-29</t>
        </is>
      </c>
      <c r="B3522" s="240">
        <f>IFERROR(1/P3522-1,B3521)</f>
        <v/>
      </c>
      <c r="C3522" s="240">
        <f>$C$3</f>
        <v/>
      </c>
      <c r="D3522" s="240">
        <f>$D$3</f>
        <v/>
      </c>
      <c r="E3522" s="240">
        <f>$E$3</f>
        <v/>
      </c>
      <c r="F3522" s="241" t="n">
        <v>8.800000000000001</v>
      </c>
      <c r="G3522" s="242" t="n">
        <v>11121362</v>
      </c>
      <c r="H3522" s="241" t="n">
        <v>-1.9</v>
      </c>
      <c r="I3522" s="241" t="n">
        <v>-0.34</v>
      </c>
      <c r="J3522" s="241" t="n">
        <v>-4.24</v>
      </c>
      <c r="K3522" s="241" t="n">
        <v>3.7</v>
      </c>
      <c r="L3522" s="242" t="n">
        <v>1706000</v>
      </c>
      <c r="M3522" s="241" t="n">
        <v>1.25</v>
      </c>
      <c r="N3522" s="241" t="n">
        <v>6.86</v>
      </c>
      <c r="O3522" s="241" t="n">
        <v>-13.83</v>
      </c>
      <c r="P3522" s="241" t="n">
        <v>2.38</v>
      </c>
    </row>
    <row r="3523">
      <c r="A3523" s="282" t="inlineStr">
        <is>
          <t>2020-06-30</t>
        </is>
      </c>
      <c r="B3523" s="240">
        <f>IFERROR(1/P3523-1,B3522)</f>
        <v/>
      </c>
      <c r="C3523" s="240">
        <f>$C$3</f>
        <v/>
      </c>
      <c r="D3523" s="240">
        <f>$D$3</f>
        <v/>
      </c>
      <c r="E3523" s="240">
        <f>$E$3</f>
        <v/>
      </c>
      <c r="F3523" s="241" t="n">
        <v>8.85</v>
      </c>
      <c r="G3523" s="242" t="n">
        <v>11137582</v>
      </c>
      <c r="H3523" s="241" t="n">
        <v>0.57</v>
      </c>
      <c r="I3523" s="241" t="n">
        <v>1.03</v>
      </c>
      <c r="J3523" s="241" t="n">
        <v>-3.7</v>
      </c>
      <c r="K3523" s="241" t="n">
        <v>3.7</v>
      </c>
      <c r="L3523" s="242" t="n">
        <v>878800</v>
      </c>
      <c r="M3523" s="241" t="n">
        <v>0</v>
      </c>
      <c r="N3523" s="241" t="n">
        <v>7.43</v>
      </c>
      <c r="O3523" s="241" t="n">
        <v>-13.83</v>
      </c>
      <c r="P3523" s="241" t="n">
        <v>2.39</v>
      </c>
    </row>
    <row r="3524">
      <c r="A3524" s="282" t="inlineStr">
        <is>
          <t>2020-07-01</t>
        </is>
      </c>
      <c r="B3524" s="240">
        <f>IFERROR(1/P3524-1,B3523)</f>
        <v/>
      </c>
      <c r="C3524" s="240">
        <f>$C$3</f>
        <v/>
      </c>
      <c r="D3524" s="240">
        <f>$D$3</f>
        <v/>
      </c>
      <c r="E3524" s="240">
        <f>$E$3</f>
        <v/>
      </c>
      <c r="F3524" s="241" t="n">
        <v>8.92</v>
      </c>
      <c r="G3524" s="242" t="n">
        <v>12015077</v>
      </c>
      <c r="H3524" s="241" t="n">
        <v>0.79</v>
      </c>
      <c r="I3524" s="241" t="n">
        <v>1.83</v>
      </c>
      <c r="J3524" s="241" t="n">
        <v>-2.94</v>
      </c>
      <c r="K3524" s="239" t="inlineStr">
        <is>
          <t>--</t>
        </is>
      </c>
      <c r="L3524" s="239" t="inlineStr">
        <is>
          <t>--</t>
        </is>
      </c>
      <c r="M3524" s="239" t="inlineStr">
        <is>
          <t>--</t>
        </is>
      </c>
      <c r="N3524" s="239" t="inlineStr">
        <is>
          <t>--</t>
        </is>
      </c>
      <c r="O3524" s="239" t="inlineStr">
        <is>
          <t>--</t>
        </is>
      </c>
      <c r="P3524" s="239" t="inlineStr">
        <is>
          <t>--</t>
        </is>
      </c>
    </row>
    <row r="3525">
      <c r="A3525" s="282" t="inlineStr">
        <is>
          <t>2020-07-02</t>
        </is>
      </c>
      <c r="B3525" s="240">
        <f>IFERROR(1/P3525-1,B3524)</f>
        <v/>
      </c>
      <c r="C3525" s="240">
        <f>$C$3</f>
        <v/>
      </c>
      <c r="D3525" s="240">
        <f>$D$3</f>
        <v/>
      </c>
      <c r="E3525" s="240">
        <f>$E$3</f>
        <v/>
      </c>
      <c r="F3525" s="241" t="n">
        <v>9.140000000000001</v>
      </c>
      <c r="G3525" s="242" t="n">
        <v>21084156</v>
      </c>
      <c r="H3525" s="241" t="n">
        <v>2.47</v>
      </c>
      <c r="I3525" s="241" t="n">
        <v>1.33</v>
      </c>
      <c r="J3525" s="241" t="n">
        <v>-0.54</v>
      </c>
      <c r="K3525" s="241" t="n">
        <v>3.77</v>
      </c>
      <c r="L3525" s="242" t="n">
        <v>1095400</v>
      </c>
      <c r="M3525" s="241" t="n">
        <v>2.22</v>
      </c>
      <c r="N3525" s="241" t="n">
        <v>7.25</v>
      </c>
      <c r="O3525" s="241" t="n">
        <v>-11.91</v>
      </c>
      <c r="P3525" s="241" t="n">
        <v>2.42</v>
      </c>
    </row>
    <row r="3526">
      <c r="A3526" s="282" t="inlineStr">
        <is>
          <t>2020-07-03</t>
        </is>
      </c>
      <c r="B3526" s="240">
        <f>IFERROR(1/P3526-1,B3525)</f>
        <v/>
      </c>
      <c r="C3526" s="240">
        <f>$C$3</f>
        <v/>
      </c>
      <c r="D3526" s="240">
        <f>$D$3</f>
        <v/>
      </c>
      <c r="E3526" s="240">
        <f>$E$3</f>
        <v/>
      </c>
      <c r="F3526" s="241" t="n">
        <v>9.289999999999999</v>
      </c>
      <c r="G3526" s="242" t="n">
        <v>25310897</v>
      </c>
      <c r="H3526" s="241" t="n">
        <v>1.64</v>
      </c>
      <c r="I3526" s="241" t="n">
        <v>0.98</v>
      </c>
      <c r="J3526" s="241" t="n">
        <v>1.09</v>
      </c>
      <c r="K3526" s="241" t="n">
        <v>3.86</v>
      </c>
      <c r="L3526" s="242" t="n">
        <v>1604600</v>
      </c>
      <c r="M3526" s="241" t="n">
        <v>2.17</v>
      </c>
      <c r="N3526" s="241" t="n">
        <v>6.01</v>
      </c>
      <c r="O3526" s="241" t="n">
        <v>-10</v>
      </c>
      <c r="P3526" s="241" t="n">
        <v>2.41</v>
      </c>
    </row>
    <row r="3527">
      <c r="A3527" s="282" t="inlineStr">
        <is>
          <t>2020-07-06</t>
        </is>
      </c>
      <c r="B3527" s="240">
        <f>IFERROR(1/P3527-1,B3526)</f>
        <v/>
      </c>
      <c r="C3527" s="240">
        <f>$C$3</f>
        <v/>
      </c>
      <c r="D3527" s="240">
        <f>$D$3</f>
        <v/>
      </c>
      <c r="E3527" s="240">
        <f>$E$3</f>
        <v/>
      </c>
      <c r="F3527" s="241" t="n">
        <v>9.68</v>
      </c>
      <c r="G3527" s="242" t="n">
        <v>38583317</v>
      </c>
      <c r="H3527" s="241" t="n">
        <v>4.2</v>
      </c>
      <c r="I3527" s="241" t="n">
        <v>3.97</v>
      </c>
      <c r="J3527" s="241" t="n">
        <v>5.33</v>
      </c>
      <c r="K3527" s="241" t="n">
        <v>4.14</v>
      </c>
      <c r="L3527" s="242" t="n">
        <v>3737200</v>
      </c>
      <c r="M3527" s="241" t="n">
        <v>7.33</v>
      </c>
      <c r="N3527" s="241" t="n">
        <v>11</v>
      </c>
      <c r="O3527" s="241" t="n">
        <v>-3.4</v>
      </c>
      <c r="P3527" s="241" t="n">
        <v>2.34</v>
      </c>
    </row>
    <row r="3528">
      <c r="A3528" s="282" t="inlineStr">
        <is>
          <t>2020-07-07</t>
        </is>
      </c>
      <c r="B3528" s="240">
        <f>IFERROR(1/P3528-1,B3527)</f>
        <v/>
      </c>
      <c r="C3528" s="240">
        <f>$C$3</f>
        <v/>
      </c>
      <c r="D3528" s="240">
        <f>$D$3</f>
        <v/>
      </c>
      <c r="E3528" s="240">
        <f>$E$3</f>
        <v/>
      </c>
      <c r="F3528" s="241" t="n">
        <v>9.619999999999999</v>
      </c>
      <c r="G3528" s="242" t="n">
        <v>38483505</v>
      </c>
      <c r="H3528" s="241" t="n">
        <v>-0.62</v>
      </c>
      <c r="I3528" s="241" t="n">
        <v>3.33</v>
      </c>
      <c r="J3528" s="241" t="n">
        <v>4.68</v>
      </c>
      <c r="K3528" s="241" t="n">
        <v>4.08</v>
      </c>
      <c r="L3528" s="242" t="n">
        <v>4882276</v>
      </c>
      <c r="M3528" s="241" t="n">
        <v>-0.88</v>
      </c>
      <c r="N3528" s="241" t="n">
        <v>10.02</v>
      </c>
      <c r="O3528" s="241" t="n">
        <v>-4.26</v>
      </c>
      <c r="P3528" s="241" t="n">
        <v>2.36</v>
      </c>
    </row>
    <row r="3529">
      <c r="A3529" s="282" t="inlineStr">
        <is>
          <t>2020-07-08</t>
        </is>
      </c>
      <c r="B3529" s="240">
        <f>IFERROR(1/P3529-1,B3528)</f>
        <v/>
      </c>
      <c r="C3529" s="240">
        <f>$C$3</f>
        <v/>
      </c>
      <c r="D3529" s="240">
        <f>$D$3</f>
        <v/>
      </c>
      <c r="E3529" s="240">
        <f>$E$3</f>
        <v/>
      </c>
      <c r="F3529" s="241" t="n">
        <v>9.869999999999999</v>
      </c>
      <c r="G3529" s="242" t="n">
        <v>31689027</v>
      </c>
      <c r="H3529" s="241" t="n">
        <v>2.6</v>
      </c>
      <c r="I3529" s="241" t="n">
        <v>6.01</v>
      </c>
      <c r="J3529" s="241" t="n">
        <v>7.4</v>
      </c>
      <c r="K3529" s="241" t="n">
        <v>4.32</v>
      </c>
      <c r="L3529" s="242" t="n">
        <v>4201800</v>
      </c>
      <c r="M3529" s="241" t="n">
        <v>6</v>
      </c>
      <c r="N3529" s="241" t="n">
        <v>16.63</v>
      </c>
      <c r="O3529" s="241" t="n">
        <v>1.49</v>
      </c>
      <c r="P3529" s="241" t="n">
        <v>2.28</v>
      </c>
    </row>
    <row r="3530">
      <c r="A3530" s="282" t="inlineStr">
        <is>
          <t>2020-07-09</t>
        </is>
      </c>
      <c r="B3530" s="240">
        <f>IFERROR(1/P3530-1,B3529)</f>
        <v/>
      </c>
      <c r="C3530" s="240">
        <f>$C$3</f>
        <v/>
      </c>
      <c r="D3530" s="240">
        <f>$D$3</f>
        <v/>
      </c>
      <c r="E3530" s="240">
        <f>$E$3</f>
        <v/>
      </c>
      <c r="F3530" s="241" t="n">
        <v>10.23</v>
      </c>
      <c r="G3530" s="242" t="n">
        <v>44490648</v>
      </c>
      <c r="H3530" s="241" t="n">
        <v>3.65</v>
      </c>
      <c r="I3530" s="241" t="n">
        <v>13.16</v>
      </c>
      <c r="J3530" s="241" t="n">
        <v>11.32</v>
      </c>
      <c r="K3530" s="241" t="n">
        <v>4.26</v>
      </c>
      <c r="L3530" s="242" t="n">
        <v>6422200</v>
      </c>
      <c r="M3530" s="241" t="n">
        <v>3.61</v>
      </c>
      <c r="N3530" s="241" t="n">
        <v>19.67</v>
      </c>
      <c r="O3530" s="241" t="n">
        <v>5.16</v>
      </c>
      <c r="P3530" s="241" t="n">
        <v>2.4</v>
      </c>
    </row>
    <row r="3531">
      <c r="A3531" s="282" t="inlineStr">
        <is>
          <t>2020-07-10</t>
        </is>
      </c>
      <c r="B3531" s="240">
        <f>IFERROR(1/P3531-1,B3530)</f>
        <v/>
      </c>
      <c r="C3531" s="240">
        <f>$C$3</f>
        <v/>
      </c>
      <c r="D3531" s="240">
        <f>$D$3</f>
        <v/>
      </c>
      <c r="E3531" s="240">
        <f>$E$3</f>
        <v/>
      </c>
      <c r="F3531" s="241" t="n">
        <v>9.99</v>
      </c>
      <c r="G3531" s="242" t="n">
        <v>34501825</v>
      </c>
      <c r="H3531" s="241" t="n">
        <v>-2.35</v>
      </c>
      <c r="I3531" s="241" t="n">
        <v>9.66</v>
      </c>
      <c r="J3531" s="241" t="n">
        <v>8.710000000000001</v>
      </c>
      <c r="K3531" s="241" t="n">
        <v>4.03</v>
      </c>
      <c r="L3531" s="242" t="n">
        <v>3448600</v>
      </c>
      <c r="M3531" s="241" t="n">
        <v>-5.31</v>
      </c>
      <c r="N3531" s="241" t="n">
        <v>12.23</v>
      </c>
      <c r="O3531" s="241" t="n">
        <v>-0.42</v>
      </c>
      <c r="P3531" s="241" t="n">
        <v>2.48</v>
      </c>
    </row>
    <row r="3532">
      <c r="A3532" s="282" t="inlineStr">
        <is>
          <t>2020-07-13</t>
        </is>
      </c>
      <c r="B3532" s="240">
        <f>IFERROR(1/P3532-1,B3531)</f>
        <v/>
      </c>
      <c r="C3532" s="240">
        <f>$C$3</f>
        <v/>
      </c>
      <c r="D3532" s="240">
        <f>$D$3</f>
        <v/>
      </c>
      <c r="E3532" s="240">
        <f>$E$3</f>
        <v/>
      </c>
      <c r="F3532" s="241" t="n">
        <v>10.29</v>
      </c>
      <c r="G3532" s="242" t="n">
        <v>32004396</v>
      </c>
      <c r="H3532" s="241" t="n">
        <v>3</v>
      </c>
      <c r="I3532" s="241" t="n">
        <v>11</v>
      </c>
      <c r="J3532" s="241" t="n">
        <v>11.97</v>
      </c>
      <c r="K3532" s="241" t="n">
        <v>4.17</v>
      </c>
      <c r="L3532" s="242" t="n">
        <v>3602600</v>
      </c>
      <c r="M3532" s="241" t="n">
        <v>3.59</v>
      </c>
      <c r="N3532" s="241" t="n">
        <v>18.82</v>
      </c>
      <c r="O3532" s="241" t="n">
        <v>3.15</v>
      </c>
      <c r="P3532" s="241" t="n">
        <v>2.47</v>
      </c>
    </row>
    <row r="3533">
      <c r="A3533" s="282" t="inlineStr">
        <is>
          <t>2020-07-14</t>
        </is>
      </c>
      <c r="B3533" s="240">
        <f>IFERROR(1/P3533-1,B3532)</f>
        <v/>
      </c>
      <c r="C3533" s="240">
        <f>$C$3</f>
        <v/>
      </c>
      <c r="D3533" s="240">
        <f>$D$3</f>
        <v/>
      </c>
      <c r="E3533" s="240">
        <f>$E$3</f>
        <v/>
      </c>
      <c r="F3533" s="241" t="n">
        <v>10.17</v>
      </c>
      <c r="G3533" s="242" t="n">
        <v>31942778</v>
      </c>
      <c r="H3533" s="241" t="n">
        <v>-1.17</v>
      </c>
      <c r="I3533" s="241" t="n">
        <v>9.710000000000001</v>
      </c>
      <c r="J3533" s="241" t="n">
        <v>10.66</v>
      </c>
      <c r="K3533" s="241" t="n">
        <v>3.99</v>
      </c>
      <c r="L3533" s="242" t="n">
        <v>2996800</v>
      </c>
      <c r="M3533" s="241" t="n">
        <v>-4.33</v>
      </c>
      <c r="N3533" s="241" t="n">
        <v>13.68</v>
      </c>
      <c r="O3533" s="241" t="n">
        <v>-1.32</v>
      </c>
      <c r="P3533" s="241" t="n">
        <v>2.55</v>
      </c>
    </row>
    <row r="3534">
      <c r="A3534" s="282" t="inlineStr">
        <is>
          <t>2020-07-15</t>
        </is>
      </c>
      <c r="B3534" s="240">
        <f>IFERROR(1/P3534-1,B3533)</f>
        <v/>
      </c>
      <c r="C3534" s="240">
        <f>$C$3</f>
        <v/>
      </c>
      <c r="D3534" s="240">
        <f>$D$3</f>
        <v/>
      </c>
      <c r="E3534" s="240">
        <f>$E$3</f>
        <v/>
      </c>
      <c r="F3534" s="241" t="n">
        <v>9.99</v>
      </c>
      <c r="G3534" s="242" t="n">
        <v>28667777</v>
      </c>
      <c r="H3534" s="241" t="n">
        <v>-1.77</v>
      </c>
      <c r="I3534" s="241" t="n">
        <v>7.77</v>
      </c>
      <c r="J3534" s="241" t="n">
        <v>8.710000000000001</v>
      </c>
      <c r="K3534" s="241" t="n">
        <v>3.93</v>
      </c>
      <c r="L3534" s="242" t="n">
        <v>2792000</v>
      </c>
      <c r="M3534" s="241" t="n">
        <v>-1.58</v>
      </c>
      <c r="N3534" s="241" t="n">
        <v>11.88</v>
      </c>
      <c r="O3534" s="241" t="n">
        <v>-2.88</v>
      </c>
      <c r="P3534" s="241" t="n">
        <v>2.54</v>
      </c>
    </row>
    <row r="3535">
      <c r="A3535" s="282" t="inlineStr">
        <is>
          <t>2020-07-16</t>
        </is>
      </c>
      <c r="B3535" s="240">
        <f>IFERROR(1/P3535-1,B3534)</f>
        <v/>
      </c>
      <c r="C3535" s="240">
        <f>$C$3</f>
        <v/>
      </c>
      <c r="D3535" s="240">
        <f>$D$3</f>
        <v/>
      </c>
      <c r="E3535" s="240">
        <f>$E$3</f>
        <v/>
      </c>
      <c r="F3535" s="241" t="n">
        <v>9.65</v>
      </c>
      <c r="G3535" s="242" t="n">
        <v>29560453</v>
      </c>
      <c r="H3535" s="241" t="n">
        <v>-3.4</v>
      </c>
      <c r="I3535" s="241" t="n">
        <v>5.81</v>
      </c>
      <c r="J3535" s="241" t="n">
        <v>5.01</v>
      </c>
      <c r="K3535" s="241" t="n">
        <v>3.82</v>
      </c>
      <c r="L3535" s="242" t="n">
        <v>4047400</v>
      </c>
      <c r="M3535" s="241" t="n">
        <v>-2.53</v>
      </c>
      <c r="N3535" s="241" t="n">
        <v>10.95</v>
      </c>
      <c r="O3535" s="241" t="n">
        <v>-5.34</v>
      </c>
      <c r="P3535" s="241" t="n">
        <v>2.52</v>
      </c>
    </row>
    <row r="3536">
      <c r="A3536" s="282" t="inlineStr">
        <is>
          <t>2020-07-17</t>
        </is>
      </c>
      <c r="B3536" s="240">
        <f>IFERROR(1/P3536-1,B3535)</f>
        <v/>
      </c>
      <c r="C3536" s="240">
        <f>$C$3</f>
        <v/>
      </c>
      <c r="D3536" s="240">
        <f>$D$3</f>
        <v/>
      </c>
      <c r="E3536" s="240">
        <f>$E$3</f>
        <v/>
      </c>
      <c r="F3536" s="241" t="n">
        <v>9.529999999999999</v>
      </c>
      <c r="G3536" s="242" t="n">
        <v>22398982</v>
      </c>
      <c r="H3536" s="241" t="n">
        <v>-1.24</v>
      </c>
      <c r="I3536" s="241" t="n">
        <v>3.59</v>
      </c>
      <c r="J3536" s="241" t="n">
        <v>3.7</v>
      </c>
      <c r="K3536" s="241" t="n">
        <v>3.81</v>
      </c>
      <c r="L3536" s="242" t="n">
        <v>1577600</v>
      </c>
      <c r="M3536" s="241" t="n">
        <v>-0.47</v>
      </c>
      <c r="N3536" s="241" t="n">
        <v>8.01</v>
      </c>
      <c r="O3536" s="241" t="n">
        <v>-5.78</v>
      </c>
      <c r="P3536" s="241" t="n">
        <v>2.5</v>
      </c>
    </row>
    <row r="3537">
      <c r="A3537" s="282" t="inlineStr">
        <is>
          <t>2020-07-20</t>
        </is>
      </c>
      <c r="B3537" s="240">
        <f>IFERROR(1/P3537-1,B3536)</f>
        <v/>
      </c>
      <c r="C3537" s="240">
        <f>$C$3</f>
        <v/>
      </c>
      <c r="D3537" s="240">
        <f>$D$3</f>
        <v/>
      </c>
      <c r="E3537" s="240">
        <f>$E$3</f>
        <v/>
      </c>
      <c r="F3537" s="241" t="n">
        <v>10.08</v>
      </c>
      <c r="G3537" s="242" t="n">
        <v>30436986</v>
      </c>
      <c r="H3537" s="241" t="n">
        <v>5.77</v>
      </c>
      <c r="I3537" s="241" t="n">
        <v>10.04</v>
      </c>
      <c r="J3537" s="241" t="n">
        <v>9.68</v>
      </c>
      <c r="K3537" s="241" t="n">
        <v>4</v>
      </c>
      <c r="L3537" s="242" t="n">
        <v>2486400</v>
      </c>
      <c r="M3537" s="241" t="n">
        <v>4.98</v>
      </c>
      <c r="N3537" s="241" t="n">
        <v>14.22</v>
      </c>
      <c r="O3537" s="241" t="n">
        <v>-1.09</v>
      </c>
      <c r="P3537" s="241" t="n">
        <v>2.52</v>
      </c>
    </row>
    <row r="3538">
      <c r="A3538" s="282" t="inlineStr">
        <is>
          <t>2020-07-21</t>
        </is>
      </c>
      <c r="B3538" s="240">
        <f>IFERROR(1/P3538-1,B3537)</f>
        <v/>
      </c>
      <c r="C3538" s="240">
        <f>$C$3</f>
        <v/>
      </c>
      <c r="D3538" s="240">
        <f>$D$3</f>
        <v/>
      </c>
      <c r="E3538" s="240">
        <f>$E$3</f>
        <v/>
      </c>
      <c r="F3538" s="241" t="n">
        <v>10.07</v>
      </c>
      <c r="G3538" s="242" t="n">
        <v>25934735</v>
      </c>
      <c r="H3538" s="241" t="n">
        <v>-0.1</v>
      </c>
      <c r="I3538" s="241" t="n">
        <v>9.93</v>
      </c>
      <c r="J3538" s="241" t="n">
        <v>9.58</v>
      </c>
      <c r="K3538" s="241" t="n">
        <v>4.01</v>
      </c>
      <c r="L3538" s="242" t="n">
        <v>1486400</v>
      </c>
      <c r="M3538" s="241" t="n">
        <v>0.45</v>
      </c>
      <c r="N3538" s="241" t="n">
        <v>14.73</v>
      </c>
      <c r="O3538" s="241" t="n">
        <v>-0.65</v>
      </c>
      <c r="P3538" s="241" t="n">
        <v>2.51</v>
      </c>
    </row>
    <row r="3539">
      <c r="A3539" s="282" t="inlineStr">
        <is>
          <t>2020-07-22</t>
        </is>
      </c>
      <c r="B3539" s="240">
        <f>IFERROR(1/P3539-1,B3538)</f>
        <v/>
      </c>
      <c r="C3539" s="240">
        <f>$C$3</f>
        <v/>
      </c>
      <c r="D3539" s="240">
        <f>$D$3</f>
        <v/>
      </c>
      <c r="E3539" s="240">
        <f>$E$3</f>
        <v/>
      </c>
      <c r="F3539" s="241" t="n">
        <v>9.98</v>
      </c>
      <c r="G3539" s="242" t="n">
        <v>25458058</v>
      </c>
      <c r="H3539" s="241" t="n">
        <v>-0.89</v>
      </c>
      <c r="I3539" s="241" t="n">
        <v>8.949999999999999</v>
      </c>
      <c r="J3539" s="241" t="n">
        <v>8.6</v>
      </c>
      <c r="K3539" s="241" t="n">
        <v>3.95</v>
      </c>
      <c r="L3539" s="242" t="n">
        <v>1528600</v>
      </c>
      <c r="M3539" s="241" t="n">
        <v>-1.35</v>
      </c>
      <c r="N3539" s="241" t="n">
        <v>13.18</v>
      </c>
      <c r="O3539" s="241" t="n">
        <v>-1.99</v>
      </c>
      <c r="P3539" s="241" t="n">
        <v>2.53</v>
      </c>
    </row>
    <row r="3540">
      <c r="A3540" s="282" t="inlineStr">
        <is>
          <t>2020-07-23</t>
        </is>
      </c>
      <c r="B3540" s="240">
        <f>IFERROR(1/P3540-1,B3539)</f>
        <v/>
      </c>
      <c r="C3540" s="240">
        <f>$C$3</f>
        <v/>
      </c>
      <c r="D3540" s="240">
        <f>$D$3</f>
        <v/>
      </c>
      <c r="E3540" s="240">
        <f>$E$3</f>
        <v/>
      </c>
      <c r="F3540" s="241" t="n">
        <v>10.01</v>
      </c>
      <c r="G3540" s="242" t="n">
        <v>22060739</v>
      </c>
      <c r="H3540" s="241" t="n">
        <v>0.3</v>
      </c>
      <c r="I3540" s="241" t="n">
        <v>9.880000000000001</v>
      </c>
      <c r="J3540" s="241" t="n">
        <v>8.92</v>
      </c>
      <c r="K3540" s="241" t="n">
        <v>3.9</v>
      </c>
      <c r="L3540" s="242" t="n">
        <v>1891000</v>
      </c>
      <c r="M3540" s="241" t="n">
        <v>-1.59</v>
      </c>
      <c r="N3540" s="241" t="n">
        <v>11.65</v>
      </c>
      <c r="O3540" s="241" t="n">
        <v>-3.55</v>
      </c>
      <c r="P3540" s="241" t="n">
        <v>2.57</v>
      </c>
    </row>
    <row r="3541">
      <c r="A3541" s="282" t="inlineStr">
        <is>
          <t>2020-07-24</t>
        </is>
      </c>
      <c r="B3541" s="240">
        <f>IFERROR(1/P3541-1,B3540)</f>
        <v/>
      </c>
      <c r="C3541" s="240">
        <f>$C$3</f>
        <v/>
      </c>
      <c r="D3541" s="240">
        <f>$D$3</f>
        <v/>
      </c>
      <c r="E3541" s="240">
        <f>$E$3</f>
        <v/>
      </c>
      <c r="F3541" s="241" t="n">
        <v>9.640000000000001</v>
      </c>
      <c r="G3541" s="242" t="n">
        <v>24605457</v>
      </c>
      <c r="H3541" s="241" t="n">
        <v>-3.7</v>
      </c>
      <c r="I3541" s="241" t="n">
        <v>6.76</v>
      </c>
      <c r="J3541" s="241" t="n">
        <v>4.9</v>
      </c>
      <c r="K3541" s="241" t="n">
        <v>3.76</v>
      </c>
      <c r="L3541" s="242" t="n">
        <v>2670600</v>
      </c>
      <c r="M3541" s="241" t="n">
        <v>-3.47</v>
      </c>
      <c r="N3541" s="241" t="n">
        <v>6.47</v>
      </c>
      <c r="O3541" s="241" t="n">
        <v>-6.9</v>
      </c>
      <c r="P3541" s="241" t="n">
        <v>2.56</v>
      </c>
    </row>
    <row r="3542">
      <c r="A3542" s="282" t="inlineStr">
        <is>
          <t>2020-07-27</t>
        </is>
      </c>
      <c r="B3542" s="240">
        <f>IFERROR(1/P3542-1,B3541)</f>
        <v/>
      </c>
      <c r="C3542" s="240">
        <f>$C$3</f>
        <v/>
      </c>
      <c r="D3542" s="240">
        <f>$D$3</f>
        <v/>
      </c>
      <c r="E3542" s="240">
        <f>$E$3</f>
        <v/>
      </c>
      <c r="F3542" s="241" t="n">
        <v>9.67</v>
      </c>
      <c r="G3542" s="242" t="n">
        <v>14333535</v>
      </c>
      <c r="H3542" s="241" t="n">
        <v>0.31</v>
      </c>
      <c r="I3542" s="241" t="n">
        <v>7.8</v>
      </c>
      <c r="J3542" s="241" t="n">
        <v>5.22</v>
      </c>
      <c r="K3542" s="241" t="n">
        <v>3.76</v>
      </c>
      <c r="L3542" s="242" t="n">
        <v>1006000</v>
      </c>
      <c r="M3542" s="241" t="n">
        <v>-0.24</v>
      </c>
      <c r="N3542" s="241" t="n">
        <v>9.130000000000001</v>
      </c>
      <c r="O3542" s="241" t="n">
        <v>-7.12</v>
      </c>
      <c r="P3542" s="241" t="n">
        <v>2.57</v>
      </c>
    </row>
    <row r="3543">
      <c r="A3543" s="282" t="inlineStr">
        <is>
          <t>2020-07-28</t>
        </is>
      </c>
      <c r="B3543" s="240">
        <f>IFERROR(1/P3543-1,B3542)</f>
        <v/>
      </c>
      <c r="C3543" s="240">
        <f>$C$3</f>
        <v/>
      </c>
      <c r="D3543" s="240">
        <f>$D$3</f>
        <v/>
      </c>
      <c r="E3543" s="240">
        <f>$E$3</f>
        <v/>
      </c>
      <c r="F3543" s="241" t="n">
        <v>9.57</v>
      </c>
      <c r="G3543" s="242" t="n">
        <v>16835045</v>
      </c>
      <c r="H3543" s="241" t="n">
        <v>-1.03</v>
      </c>
      <c r="I3543" s="241" t="n">
        <v>6.69</v>
      </c>
      <c r="J3543" s="241" t="n">
        <v>4.13</v>
      </c>
      <c r="K3543" s="241" t="n">
        <v>3.77</v>
      </c>
      <c r="L3543" s="242" t="n">
        <v>700200</v>
      </c>
      <c r="M3543" s="241" t="n">
        <v>0.48</v>
      </c>
      <c r="N3543" s="241" t="n">
        <v>9.66</v>
      </c>
      <c r="O3543" s="241" t="n">
        <v>-6.68</v>
      </c>
      <c r="P3543" s="241" t="n">
        <v>2.54</v>
      </c>
    </row>
    <row r="3544">
      <c r="A3544" s="282" t="inlineStr">
        <is>
          <t>2020-07-29</t>
        </is>
      </c>
      <c r="B3544" s="240">
        <f>IFERROR(1/P3544-1,B3543)</f>
        <v/>
      </c>
      <c r="C3544" s="240">
        <f>$C$3</f>
        <v/>
      </c>
      <c r="D3544" s="240">
        <f>$D$3</f>
        <v/>
      </c>
      <c r="E3544" s="240">
        <f>$E$3</f>
        <v/>
      </c>
      <c r="F3544" s="241" t="n">
        <v>9.76</v>
      </c>
      <c r="G3544" s="242" t="n">
        <v>15479206</v>
      </c>
      <c r="H3544" s="241" t="n">
        <v>1.99</v>
      </c>
      <c r="I3544" s="241" t="n">
        <v>8.81</v>
      </c>
      <c r="J3544" s="241" t="n">
        <v>6.2</v>
      </c>
      <c r="K3544" s="241" t="n">
        <v>3.79</v>
      </c>
      <c r="L3544" s="242" t="n">
        <v>944400</v>
      </c>
      <c r="M3544" s="241" t="n">
        <v>0.48</v>
      </c>
      <c r="N3544" s="241" t="n">
        <v>10.18</v>
      </c>
      <c r="O3544" s="241" t="n">
        <v>-6.23</v>
      </c>
      <c r="P3544" s="241" t="n">
        <v>2.57</v>
      </c>
    </row>
    <row r="3545">
      <c r="A3545" s="282" t="inlineStr">
        <is>
          <t>2020-07-30</t>
        </is>
      </c>
      <c r="B3545" s="240">
        <f>IFERROR(1/P3545-1,B3544)</f>
        <v/>
      </c>
      <c r="C3545" s="240">
        <f>$C$3</f>
        <v/>
      </c>
      <c r="D3545" s="240">
        <f>$D$3</f>
        <v/>
      </c>
      <c r="E3545" s="240">
        <f>$E$3</f>
        <v/>
      </c>
      <c r="F3545" s="241" t="n">
        <v>9.92</v>
      </c>
      <c r="G3545" s="242" t="n">
        <v>22690434</v>
      </c>
      <c r="H3545" s="241" t="n">
        <v>1.64</v>
      </c>
      <c r="I3545" s="241" t="n">
        <v>12.73</v>
      </c>
      <c r="J3545" s="241" t="n">
        <v>7.94</v>
      </c>
      <c r="K3545" s="241" t="n">
        <v>3.81</v>
      </c>
      <c r="L3545" s="242" t="n">
        <v>1161800</v>
      </c>
      <c r="M3545" s="241" t="n">
        <v>0.48</v>
      </c>
      <c r="N3545" s="241" t="n">
        <v>9.34</v>
      </c>
      <c r="O3545" s="241" t="n">
        <v>-5.78</v>
      </c>
      <c r="P3545" s="241" t="n">
        <v>2.61</v>
      </c>
    </row>
    <row r="3546">
      <c r="A3546" s="282" t="inlineStr">
        <is>
          <t>2020-07-31</t>
        </is>
      </c>
      <c r="B3546" s="240">
        <f>IFERROR(1/P3546-1,B3545)</f>
        <v/>
      </c>
      <c r="C3546" s="240">
        <f>$C$3</f>
        <v/>
      </c>
      <c r="D3546" s="240">
        <f>$D$3</f>
        <v/>
      </c>
      <c r="E3546" s="240">
        <f>$E$3</f>
        <v/>
      </c>
      <c r="F3546" s="241" t="n">
        <v>10.36</v>
      </c>
      <c r="G3546" s="242" t="n">
        <v>56214235</v>
      </c>
      <c r="H3546" s="241" t="n">
        <v>4.44</v>
      </c>
      <c r="I3546" s="241" t="n">
        <v>17.73</v>
      </c>
      <c r="J3546" s="241" t="n">
        <v>12.73</v>
      </c>
      <c r="K3546" s="241" t="n">
        <v>3.98</v>
      </c>
      <c r="L3546" s="242" t="n">
        <v>2922800</v>
      </c>
      <c r="M3546" s="241" t="n">
        <v>4.74</v>
      </c>
      <c r="N3546" s="241" t="n">
        <v>14.52</v>
      </c>
      <c r="O3546" s="241" t="n">
        <v>-1.32</v>
      </c>
      <c r="P3546" s="241" t="n">
        <v>2.6</v>
      </c>
    </row>
    <row r="3547">
      <c r="A3547" s="282" t="inlineStr">
        <is>
          <t>2020-08-03</t>
        </is>
      </c>
      <c r="B3547" s="240">
        <f>IFERROR(1/P3547-1,B3546)</f>
        <v/>
      </c>
      <c r="C3547" s="240">
        <f>$C$3</f>
        <v/>
      </c>
      <c r="D3547" s="240">
        <f>$D$3</f>
        <v/>
      </c>
      <c r="E3547" s="240">
        <f>$E$3</f>
        <v/>
      </c>
      <c r="F3547" s="241" t="n">
        <v>10.65</v>
      </c>
      <c r="G3547" s="242" t="n">
        <v>52730709</v>
      </c>
      <c r="H3547" s="241" t="n">
        <v>2.8</v>
      </c>
      <c r="I3547" s="241" t="n">
        <v>16.52</v>
      </c>
      <c r="J3547" s="241" t="n">
        <v>15.89</v>
      </c>
      <c r="K3547" s="241" t="n">
        <v>4.11</v>
      </c>
      <c r="L3547" s="242" t="n">
        <v>2851800</v>
      </c>
      <c r="M3547" s="241" t="n">
        <v>2.94</v>
      </c>
      <c r="N3547" s="241" t="n">
        <v>15.33</v>
      </c>
      <c r="O3547" s="241" t="n">
        <v>1.59</v>
      </c>
      <c r="P3547" s="241" t="n">
        <v>2.59</v>
      </c>
    </row>
    <row r="3548">
      <c r="A3548" s="282" t="inlineStr">
        <is>
          <t>2020-08-04</t>
        </is>
      </c>
      <c r="B3548" s="240">
        <f>IFERROR(1/P3548-1,B3547)</f>
        <v/>
      </c>
      <c r="C3548" s="240">
        <f>$C$3</f>
        <v/>
      </c>
      <c r="D3548" s="240">
        <f>$D$3</f>
        <v/>
      </c>
      <c r="E3548" s="240">
        <f>$E$3</f>
        <v/>
      </c>
      <c r="F3548" s="241" t="n">
        <v>10.41</v>
      </c>
      <c r="G3548" s="242" t="n">
        <v>32462187</v>
      </c>
      <c r="H3548" s="241" t="n">
        <v>-2.25</v>
      </c>
      <c r="I3548" s="241" t="n">
        <v>12.06</v>
      </c>
      <c r="J3548" s="241" t="n">
        <v>13.28</v>
      </c>
      <c r="K3548" s="241" t="n">
        <v>4.02</v>
      </c>
      <c r="L3548" s="242" t="n">
        <v>1656800</v>
      </c>
      <c r="M3548" s="241" t="n">
        <v>-1.98</v>
      </c>
      <c r="N3548" s="241" t="n">
        <v>10.64</v>
      </c>
      <c r="O3548" s="241" t="n">
        <v>-0.42</v>
      </c>
      <c r="P3548" s="241" t="n">
        <v>2.59</v>
      </c>
    </row>
    <row r="3549">
      <c r="A3549" s="282" t="inlineStr">
        <is>
          <t>2020-08-05</t>
        </is>
      </c>
      <c r="B3549" s="240">
        <f>IFERROR(1/P3549-1,B3548)</f>
        <v/>
      </c>
      <c r="C3549" s="240">
        <f>$C$3</f>
        <v/>
      </c>
      <c r="D3549" s="240">
        <f>$D$3</f>
        <v/>
      </c>
      <c r="E3549" s="240">
        <f>$E$3</f>
        <v/>
      </c>
      <c r="F3549" s="241" t="n">
        <v>10.3</v>
      </c>
      <c r="G3549" s="242" t="n">
        <v>22652447</v>
      </c>
      <c r="H3549" s="241" t="n">
        <v>-1.06</v>
      </c>
      <c r="I3549" s="241" t="n">
        <v>10.87</v>
      </c>
      <c r="J3549" s="241" t="n">
        <v>12.08</v>
      </c>
      <c r="K3549" s="241" t="n">
        <v>4.04</v>
      </c>
      <c r="L3549" s="242" t="n">
        <v>597800</v>
      </c>
      <c r="M3549" s="241" t="n">
        <v>0.67</v>
      </c>
      <c r="N3549" s="241" t="n">
        <v>11.38</v>
      </c>
      <c r="O3549" s="241" t="n">
        <v>0.25</v>
      </c>
      <c r="P3549" s="241" t="n">
        <v>2.55</v>
      </c>
    </row>
    <row r="3550">
      <c r="A3550" s="282" t="inlineStr">
        <is>
          <t>2020-08-06</t>
        </is>
      </c>
      <c r="B3550" s="240">
        <f>IFERROR(1/P3550-1,B3549)</f>
        <v/>
      </c>
      <c r="C3550" s="240">
        <f>$C$3</f>
        <v/>
      </c>
      <c r="D3550" s="240">
        <f>$D$3</f>
        <v/>
      </c>
      <c r="E3550" s="240">
        <f>$E$3</f>
        <v/>
      </c>
      <c r="F3550" s="241" t="n">
        <v>10.25</v>
      </c>
      <c r="G3550" s="242" t="n">
        <v>24615092</v>
      </c>
      <c r="H3550" s="241" t="n">
        <v>-0.49</v>
      </c>
      <c r="I3550" s="241" t="n">
        <v>10.33</v>
      </c>
      <c r="J3550" s="241" t="n">
        <v>11.53</v>
      </c>
      <c r="K3550" s="241" t="n">
        <v>3.97</v>
      </c>
      <c r="L3550" s="242" t="n">
        <v>1370000</v>
      </c>
      <c r="M3550" s="241" t="n">
        <v>-1.34</v>
      </c>
      <c r="N3550" s="241" t="n">
        <v>9.9</v>
      </c>
      <c r="O3550" s="241" t="n">
        <v>-1.09</v>
      </c>
      <c r="P3550" s="241" t="n">
        <v>2.58</v>
      </c>
    </row>
    <row r="3551">
      <c r="A3551" s="282" t="inlineStr">
        <is>
          <t>2020-08-07</t>
        </is>
      </c>
      <c r="B3551" s="240">
        <f>IFERROR(1/P3551-1,B3550)</f>
        <v/>
      </c>
      <c r="C3551" s="240">
        <f>$C$3</f>
        <v/>
      </c>
      <c r="D3551" s="240">
        <f>$D$3</f>
        <v/>
      </c>
      <c r="E3551" s="240">
        <f>$E$3</f>
        <v/>
      </c>
      <c r="F3551" s="241" t="n">
        <v>10.22</v>
      </c>
      <c r="G3551" s="242" t="n">
        <v>24955958</v>
      </c>
      <c r="H3551" s="241" t="n">
        <v>-0.29</v>
      </c>
      <c r="I3551" s="241" t="n">
        <v>5.58</v>
      </c>
      <c r="J3551" s="241" t="n">
        <v>11.21</v>
      </c>
      <c r="K3551" s="241" t="n">
        <v>3.93</v>
      </c>
      <c r="L3551" s="242" t="n">
        <v>1666600</v>
      </c>
      <c r="M3551" s="241" t="n">
        <v>-0.9</v>
      </c>
      <c r="N3551" s="241" t="n">
        <v>1.47</v>
      </c>
      <c r="O3551" s="241" t="n">
        <v>-1.99</v>
      </c>
      <c r="P3551" s="241" t="n">
        <v>2.6</v>
      </c>
    </row>
    <row r="3552">
      <c r="A3552" s="282" t="inlineStr">
        <is>
          <t>2020-08-10</t>
        </is>
      </c>
      <c r="B3552" s="240">
        <f>IFERROR(1/P3552-1,B3551)</f>
        <v/>
      </c>
      <c r="C3552" s="240">
        <f>$C$3</f>
        <v/>
      </c>
      <c r="D3552" s="240">
        <f>$D$3</f>
        <v/>
      </c>
      <c r="E3552" s="240">
        <f>$E$3</f>
        <v/>
      </c>
      <c r="F3552" s="241" t="n">
        <v>10.25</v>
      </c>
      <c r="G3552" s="242" t="n">
        <v>27215457</v>
      </c>
      <c r="H3552" s="241" t="n">
        <v>0.29</v>
      </c>
      <c r="I3552" s="241" t="n">
        <v>0.2</v>
      </c>
      <c r="J3552" s="241" t="n">
        <v>11.53</v>
      </c>
      <c r="K3552" s="241" t="n">
        <v>3.95</v>
      </c>
      <c r="L3552" s="242" t="n">
        <v>1930678</v>
      </c>
      <c r="M3552" s="241" t="n">
        <v>0</v>
      </c>
      <c r="N3552" s="241" t="n">
        <v>-6.79</v>
      </c>
      <c r="O3552" s="241" t="n">
        <v>-1.99</v>
      </c>
      <c r="P3552" s="241" t="n">
        <v>2.6</v>
      </c>
    </row>
    <row r="3553">
      <c r="A3553" s="282" t="inlineStr">
        <is>
          <t>2020-08-11</t>
        </is>
      </c>
      <c r="B3553" s="240">
        <f>IFERROR(1/P3553-1,B3552)</f>
        <v/>
      </c>
      <c r="C3553" s="240">
        <f>$C$3</f>
        <v/>
      </c>
      <c r="D3553" s="240">
        <f>$D$3</f>
        <v/>
      </c>
      <c r="E3553" s="240">
        <f>$E$3</f>
        <v/>
      </c>
      <c r="F3553" s="241" t="n">
        <v>10.07</v>
      </c>
      <c r="G3553" s="242" t="n">
        <v>37661354</v>
      </c>
      <c r="H3553" s="241" t="n">
        <v>-1.76</v>
      </c>
      <c r="I3553" s="241" t="n">
        <v>0.8</v>
      </c>
      <c r="J3553" s="241" t="n">
        <v>9.58</v>
      </c>
      <c r="K3553" s="241" t="n">
        <v>3.95</v>
      </c>
      <c r="L3553" s="242" t="n">
        <v>2019000</v>
      </c>
      <c r="M3553" s="241" t="n">
        <v>0</v>
      </c>
      <c r="N3553" s="241" t="n">
        <v>-1.57</v>
      </c>
      <c r="O3553" s="241" t="n">
        <v>-1.99</v>
      </c>
      <c r="P3553" s="241" t="n">
        <v>2.55</v>
      </c>
    </row>
    <row r="3554">
      <c r="A3554" s="282" t="inlineStr">
        <is>
          <t>2020-08-12</t>
        </is>
      </c>
      <c r="B3554" s="240">
        <f>IFERROR(1/P3554-1,B3553)</f>
        <v/>
      </c>
      <c r="C3554" s="240">
        <f>$C$3</f>
        <v/>
      </c>
      <c r="D3554" s="240">
        <f>$D$3</f>
        <v/>
      </c>
      <c r="E3554" s="240">
        <f>$E$3</f>
        <v/>
      </c>
      <c r="F3554" s="241" t="n">
        <v>9.869999999999999</v>
      </c>
      <c r="G3554" s="242" t="n">
        <v>32142644</v>
      </c>
      <c r="H3554" s="241" t="n">
        <v>-1.99</v>
      </c>
      <c r="I3554" s="241" t="n">
        <v>-1.2</v>
      </c>
      <c r="J3554" s="241" t="n">
        <v>7.4</v>
      </c>
      <c r="K3554" s="241" t="n">
        <v>3.93</v>
      </c>
      <c r="L3554" s="242" t="n">
        <v>1301300</v>
      </c>
      <c r="M3554" s="241" t="n">
        <v>-0.23</v>
      </c>
      <c r="N3554" s="241" t="n">
        <v>-1.79</v>
      </c>
      <c r="O3554" s="241" t="n">
        <v>-2.21</v>
      </c>
      <c r="P3554" s="241" t="n">
        <v>2.51</v>
      </c>
    </row>
    <row r="3555">
      <c r="A3555" s="282" t="inlineStr">
        <is>
          <t>2020-08-13</t>
        </is>
      </c>
      <c r="B3555" s="240">
        <f>IFERROR(1/P3555-1,B3554)</f>
        <v/>
      </c>
      <c r="C3555" s="240">
        <f>$C$3</f>
        <v/>
      </c>
      <c r="D3555" s="240">
        <f>$D$3</f>
        <v/>
      </c>
      <c r="E3555" s="240">
        <f>$E$3</f>
        <v/>
      </c>
      <c r="F3555" s="241" t="n">
        <v>10.15</v>
      </c>
      <c r="G3555" s="242" t="n">
        <v>27855829</v>
      </c>
      <c r="H3555" s="241" t="n">
        <v>2.84</v>
      </c>
      <c r="I3555" s="241" t="n">
        <v>1.6</v>
      </c>
      <c r="J3555" s="241" t="n">
        <v>10.45</v>
      </c>
      <c r="K3555" s="241" t="n">
        <v>4.03</v>
      </c>
      <c r="L3555" s="242" t="n">
        <v>2035200</v>
      </c>
      <c r="M3555" s="241" t="n">
        <v>2.74</v>
      </c>
      <c r="N3555" s="241" t="n">
        <v>0.9</v>
      </c>
      <c r="O3555" s="241" t="n">
        <v>0.47</v>
      </c>
      <c r="P3555" s="241" t="n">
        <v>2.52</v>
      </c>
    </row>
    <row r="3556">
      <c r="A3556" s="282" t="inlineStr">
        <is>
          <t>2020-08-14</t>
        </is>
      </c>
      <c r="B3556" s="240">
        <f>IFERROR(1/P3556-1,B3555)</f>
        <v/>
      </c>
      <c r="C3556" s="240">
        <f>$C$3</f>
        <v/>
      </c>
      <c r="D3556" s="240">
        <f>$D$3</f>
        <v/>
      </c>
      <c r="E3556" s="240">
        <f>$E$3</f>
        <v/>
      </c>
      <c r="F3556" s="241" t="n">
        <v>10.06</v>
      </c>
      <c r="G3556" s="242" t="n">
        <v>19505878</v>
      </c>
      <c r="H3556" s="241" t="n">
        <v>-0.89</v>
      </c>
      <c r="I3556" s="241" t="n">
        <v>-2.24</v>
      </c>
      <c r="J3556" s="241" t="n">
        <v>9.470000000000001</v>
      </c>
      <c r="K3556" s="241" t="n">
        <v>3.98</v>
      </c>
      <c r="L3556" s="242" t="n">
        <v>982800</v>
      </c>
      <c r="M3556" s="241" t="n">
        <v>-1.33</v>
      </c>
      <c r="N3556" s="241" t="n">
        <v>-3.9</v>
      </c>
      <c r="O3556" s="241" t="n">
        <v>-0.87</v>
      </c>
      <c r="P3556" s="241" t="n">
        <v>2.53</v>
      </c>
    </row>
    <row r="3557">
      <c r="A3557" s="282" t="inlineStr">
        <is>
          <t>2020-08-17</t>
        </is>
      </c>
      <c r="B3557" s="240">
        <f>IFERROR(1/P3557-1,B3556)</f>
        <v/>
      </c>
      <c r="C3557" s="240">
        <f>$C$3</f>
        <v/>
      </c>
      <c r="D3557" s="240">
        <f>$D$3</f>
        <v/>
      </c>
      <c r="E3557" s="240">
        <f>$E$3</f>
        <v/>
      </c>
      <c r="F3557" s="241" t="n">
        <v>10.26</v>
      </c>
      <c r="G3557" s="242" t="n">
        <v>26024736</v>
      </c>
      <c r="H3557" s="241" t="n">
        <v>1.99</v>
      </c>
      <c r="I3557" s="241" t="n">
        <v>6.32</v>
      </c>
      <c r="J3557" s="241" t="n">
        <v>11.64</v>
      </c>
      <c r="K3557" s="241" t="n">
        <v>4.01</v>
      </c>
      <c r="L3557" s="242" t="n">
        <v>1360400</v>
      </c>
      <c r="M3557" s="241" t="n">
        <v>0.9</v>
      </c>
      <c r="N3557" s="241" t="n">
        <v>5.66</v>
      </c>
      <c r="O3557" s="241" t="n">
        <v>0.02</v>
      </c>
      <c r="P3557" s="241" t="n">
        <v>2.56</v>
      </c>
    </row>
    <row r="3558">
      <c r="A3558" s="282" t="inlineStr">
        <is>
          <t>2020-08-18</t>
        </is>
      </c>
      <c r="B3558" s="240">
        <f>IFERROR(1/P3558-1,B3557)</f>
        <v/>
      </c>
      <c r="C3558" s="240">
        <f>$C$3</f>
        <v/>
      </c>
      <c r="D3558" s="240">
        <f>$D$3</f>
        <v/>
      </c>
      <c r="E3558" s="240">
        <f>$E$3</f>
        <v/>
      </c>
      <c r="F3558" s="241" t="n">
        <v>10.43</v>
      </c>
      <c r="G3558" s="242" t="n">
        <v>37631775</v>
      </c>
      <c r="H3558" s="241" t="n">
        <v>1.66</v>
      </c>
      <c r="I3558" s="241" t="n">
        <v>9.44</v>
      </c>
      <c r="J3558" s="241" t="n">
        <v>13.49</v>
      </c>
      <c r="K3558" s="241" t="n">
        <v>4.1</v>
      </c>
      <c r="L3558" s="242" t="n">
        <v>2660400</v>
      </c>
      <c r="M3558" s="241" t="n">
        <v>2.23</v>
      </c>
      <c r="N3558" s="241" t="n">
        <v>8.529999999999999</v>
      </c>
      <c r="O3558" s="241" t="n">
        <v>2.26</v>
      </c>
      <c r="P3558" s="241" t="n">
        <v>2.55</v>
      </c>
    </row>
    <row r="3559">
      <c r="A3559" s="282" t="inlineStr">
        <is>
          <t>2020-08-19</t>
        </is>
      </c>
      <c r="B3559" s="240">
        <f>IFERROR(1/P3559-1,B3558)</f>
        <v/>
      </c>
      <c r="C3559" s="240">
        <f>$C$3</f>
        <v/>
      </c>
      <c r="D3559" s="240">
        <f>$D$3</f>
        <v/>
      </c>
      <c r="E3559" s="240">
        <f>$E$3</f>
        <v/>
      </c>
      <c r="F3559" s="241" t="n">
        <v>10.34</v>
      </c>
      <c r="G3559" s="242" t="n">
        <v>34773229</v>
      </c>
      <c r="H3559" s="241" t="n">
        <v>-0.86</v>
      </c>
      <c r="I3559" s="241" t="n">
        <v>8.5</v>
      </c>
      <c r="J3559" s="241" t="n">
        <v>12.51</v>
      </c>
      <c r="K3559" s="241" t="n">
        <v>4.01</v>
      </c>
      <c r="L3559" s="242" t="n">
        <v>1340400</v>
      </c>
      <c r="M3559" s="241" t="n">
        <v>-1.97</v>
      </c>
      <c r="N3559" s="241" t="n">
        <v>6.4</v>
      </c>
      <c r="O3559" s="241" t="n">
        <v>0.25</v>
      </c>
      <c r="P3559" s="241" t="n">
        <v>2.58</v>
      </c>
    </row>
    <row r="3560">
      <c r="A3560" s="282" t="inlineStr">
        <is>
          <t>2020-08-20</t>
        </is>
      </c>
      <c r="B3560" s="240">
        <f>IFERROR(1/P3560-1,B3559)</f>
        <v/>
      </c>
      <c r="C3560" s="240">
        <f>$C$3</f>
        <v/>
      </c>
      <c r="D3560" s="240">
        <f>$D$3</f>
        <v/>
      </c>
      <c r="E3560" s="240">
        <f>$E$3</f>
        <v/>
      </c>
      <c r="F3560" s="241" t="n">
        <v>10.18</v>
      </c>
      <c r="G3560" s="242" t="n">
        <v>23698040</v>
      </c>
      <c r="H3560" s="241" t="n">
        <v>-1.55</v>
      </c>
      <c r="I3560" s="241" t="n">
        <v>6.82</v>
      </c>
      <c r="J3560" s="241" t="n">
        <v>10.77</v>
      </c>
      <c r="K3560" s="241" t="n">
        <v>4</v>
      </c>
      <c r="L3560" s="242" t="n">
        <v>3347400</v>
      </c>
      <c r="M3560" s="241" t="n">
        <v>-0.22</v>
      </c>
      <c r="N3560" s="241" t="n">
        <v>6.16</v>
      </c>
      <c r="O3560" s="241" t="n">
        <v>0.02</v>
      </c>
      <c r="P3560" s="241" t="n">
        <v>2.54</v>
      </c>
    </row>
    <row r="3561">
      <c r="A3561" s="282" t="inlineStr">
        <is>
          <t>2020-08-21</t>
        </is>
      </c>
      <c r="B3561" s="240">
        <f>IFERROR(1/P3561-1,B3560)</f>
        <v/>
      </c>
      <c r="C3561" s="240">
        <f>$C$3</f>
        <v/>
      </c>
      <c r="D3561" s="240">
        <f>$D$3</f>
        <v/>
      </c>
      <c r="E3561" s="240">
        <f>$E$3</f>
        <v/>
      </c>
      <c r="F3561" s="241" t="n">
        <v>10.17</v>
      </c>
      <c r="G3561" s="242" t="n">
        <v>18077535</v>
      </c>
      <c r="H3561" s="241" t="n">
        <v>-0.1</v>
      </c>
      <c r="I3561" s="241" t="n">
        <v>0.89</v>
      </c>
      <c r="J3561" s="241" t="n">
        <v>10.66</v>
      </c>
      <c r="K3561" s="241" t="n">
        <v>4.08</v>
      </c>
      <c r="L3561" s="242" t="n">
        <v>2128800</v>
      </c>
      <c r="M3561" s="241" t="n">
        <v>2.23</v>
      </c>
      <c r="N3561" s="241" t="n">
        <v>3.39</v>
      </c>
      <c r="O3561" s="241" t="n">
        <v>2.26</v>
      </c>
      <c r="P3561" s="241" t="n">
        <v>2.49</v>
      </c>
    </row>
    <row r="3562">
      <c r="A3562" s="282" t="inlineStr">
        <is>
          <t>2020-08-24</t>
        </is>
      </c>
      <c r="B3562" s="240">
        <f>IFERROR(1/P3562-1,B3561)</f>
        <v/>
      </c>
      <c r="C3562" s="240">
        <f>$C$3</f>
        <v/>
      </c>
      <c r="D3562" s="240">
        <f>$D$3</f>
        <v/>
      </c>
      <c r="E3562" s="240">
        <f>$E$3</f>
        <v/>
      </c>
      <c r="F3562" s="241" t="n">
        <v>9.94</v>
      </c>
      <c r="G3562" s="242" t="n">
        <v>13090965</v>
      </c>
      <c r="H3562" s="241" t="n">
        <v>-0.3</v>
      </c>
      <c r="I3562" s="241" t="n">
        <v>1.29</v>
      </c>
      <c r="J3562" s="241" t="n">
        <v>10.33</v>
      </c>
      <c r="K3562" s="241" t="n">
        <v>4.09</v>
      </c>
      <c r="L3562" s="242" t="n">
        <v>940600</v>
      </c>
      <c r="M3562" s="241" t="n">
        <v>0</v>
      </c>
      <c r="N3562" s="241" t="n">
        <v>6.02</v>
      </c>
      <c r="O3562" s="241" t="n">
        <v>2.26</v>
      </c>
      <c r="P3562" s="241" t="n">
        <v>2.43</v>
      </c>
    </row>
    <row r="3563">
      <c r="A3563" s="282" t="inlineStr">
        <is>
          <t>2020-08-25</t>
        </is>
      </c>
      <c r="B3563" s="240">
        <f>IFERROR(1/P3563-1,B3562)</f>
        <v/>
      </c>
      <c r="C3563" s="240">
        <f>$C$3</f>
        <v/>
      </c>
      <c r="D3563" s="240">
        <f>$D$3</f>
        <v/>
      </c>
      <c r="E3563" s="240">
        <f>$E$3</f>
        <v/>
      </c>
      <c r="F3563" s="241" t="n">
        <v>9.779999999999999</v>
      </c>
      <c r="G3563" s="242" t="n">
        <v>20431387</v>
      </c>
      <c r="H3563" s="241" t="n">
        <v>-1.61</v>
      </c>
      <c r="I3563" s="241" t="n">
        <v>3.49</v>
      </c>
      <c r="J3563" s="241" t="n">
        <v>8.550000000000001</v>
      </c>
      <c r="K3563" s="241" t="n">
        <v>3.96</v>
      </c>
      <c r="L3563" s="242" t="n">
        <v>1189600</v>
      </c>
      <c r="M3563" s="241" t="n">
        <v>-3.06</v>
      </c>
      <c r="N3563" s="241" t="n">
        <v>6.47</v>
      </c>
      <c r="O3563" s="241" t="n">
        <v>-0.87</v>
      </c>
      <c r="P3563" s="241" t="n">
        <v>2.47</v>
      </c>
    </row>
    <row r="3564">
      <c r="A3564" s="282" t="inlineStr">
        <is>
          <t>2020-08-26</t>
        </is>
      </c>
      <c r="B3564" s="240">
        <f>IFERROR(1/P3564-1,B3563)</f>
        <v/>
      </c>
      <c r="C3564" s="240">
        <f>$C$3</f>
        <v/>
      </c>
      <c r="D3564" s="240">
        <f>$D$3</f>
        <v/>
      </c>
      <c r="E3564" s="240">
        <f>$E$3</f>
        <v/>
      </c>
      <c r="F3564" s="241" t="n">
        <v>9.68</v>
      </c>
      <c r="G3564" s="242" t="n">
        <v>16455046</v>
      </c>
      <c r="H3564" s="241" t="n">
        <v>-1.02</v>
      </c>
      <c r="I3564" s="241" t="n">
        <v>2.43</v>
      </c>
      <c r="J3564" s="241" t="n">
        <v>7.44</v>
      </c>
      <c r="K3564" s="241" t="n">
        <v>3.89</v>
      </c>
      <c r="L3564" s="242" t="n">
        <v>1693200</v>
      </c>
      <c r="M3564" s="241" t="n">
        <v>-1.8</v>
      </c>
      <c r="N3564" s="241" t="n">
        <v>4.56</v>
      </c>
      <c r="O3564" s="241" t="n">
        <v>-2.66</v>
      </c>
      <c r="P3564" s="241" t="n">
        <v>2.49</v>
      </c>
    </row>
    <row r="3565">
      <c r="A3565" s="282" t="inlineStr">
        <is>
          <t>2020-08-27</t>
        </is>
      </c>
      <c r="B3565" s="240">
        <f>IFERROR(1/P3565-1,B3564)</f>
        <v/>
      </c>
      <c r="C3565" s="240">
        <f>$C$3</f>
        <v/>
      </c>
      <c r="D3565" s="240">
        <f>$D$3</f>
        <v/>
      </c>
      <c r="E3565" s="240">
        <f>$E$3</f>
        <v/>
      </c>
      <c r="F3565" s="241" t="n">
        <v>9.84</v>
      </c>
      <c r="G3565" s="242" t="n">
        <v>10139004</v>
      </c>
      <c r="H3565" s="241" t="n">
        <v>1.65</v>
      </c>
      <c r="I3565" s="241" t="n">
        <v>4.12</v>
      </c>
      <c r="J3565" s="241" t="n">
        <v>9.220000000000001</v>
      </c>
      <c r="K3565" s="241" t="n">
        <v>3.93</v>
      </c>
      <c r="L3565" s="242" t="n">
        <v>1171400</v>
      </c>
      <c r="M3565" s="241" t="n">
        <v>1.38</v>
      </c>
      <c r="N3565" s="241" t="n">
        <v>6</v>
      </c>
      <c r="O3565" s="241" t="n">
        <v>-1.32</v>
      </c>
      <c r="P3565" s="241" t="n">
        <v>2.5</v>
      </c>
    </row>
    <row r="3566">
      <c r="A3566" s="282" t="inlineStr">
        <is>
          <t>2020-08-28</t>
        </is>
      </c>
      <c r="B3566" s="240">
        <f>IFERROR(1/P3566-1,B3565)</f>
        <v/>
      </c>
      <c r="C3566" s="240">
        <f>$C$3</f>
        <v/>
      </c>
      <c r="D3566" s="240">
        <f>$D$3</f>
        <v/>
      </c>
      <c r="E3566" s="240">
        <f>$E$3</f>
        <v/>
      </c>
      <c r="F3566" s="241" t="n">
        <v>10.11</v>
      </c>
      <c r="G3566" s="242" t="n">
        <v>22881042</v>
      </c>
      <c r="H3566" s="241" t="n">
        <v>2.74</v>
      </c>
      <c r="I3566" s="241" t="n">
        <v>6.65</v>
      </c>
      <c r="J3566" s="241" t="n">
        <v>12.22</v>
      </c>
      <c r="K3566" s="241" t="n">
        <v>4.04</v>
      </c>
      <c r="L3566" s="242" t="n">
        <v>2907800</v>
      </c>
      <c r="M3566" s="241" t="n">
        <v>2.71</v>
      </c>
      <c r="N3566" s="241" t="n">
        <v>9.130000000000001</v>
      </c>
      <c r="O3566" s="241" t="n">
        <v>1.36</v>
      </c>
      <c r="P3566" s="241" t="n">
        <v>2.51</v>
      </c>
    </row>
    <row r="3567">
      <c r="A3567" s="282" t="inlineStr">
        <is>
          <t>2020-08-31</t>
        </is>
      </c>
      <c r="B3567" s="240">
        <f>IFERROR(1/P3567-1,B3566)</f>
        <v/>
      </c>
      <c r="C3567" s="240">
        <f>$C$3</f>
        <v/>
      </c>
      <c r="D3567" s="240">
        <f>$D$3</f>
        <v/>
      </c>
      <c r="E3567" s="240">
        <f>$E$3</f>
        <v/>
      </c>
      <c r="F3567" s="241" t="n">
        <v>10.01</v>
      </c>
      <c r="G3567" s="242" t="n">
        <v>22502574</v>
      </c>
      <c r="H3567" s="241" t="n">
        <v>-0.99</v>
      </c>
      <c r="I3567" s="241" t="n">
        <v>2.93</v>
      </c>
      <c r="J3567" s="241" t="n">
        <v>11.11</v>
      </c>
      <c r="K3567" s="241" t="n">
        <v>3.89</v>
      </c>
      <c r="L3567" s="242" t="n">
        <v>999200</v>
      </c>
      <c r="M3567" s="241" t="n">
        <v>-3.08</v>
      </c>
      <c r="N3567" s="241" t="n">
        <v>4.27</v>
      </c>
      <c r="O3567" s="241" t="n">
        <v>-1.76</v>
      </c>
      <c r="P3567" s="241" t="n">
        <v>2.57</v>
      </c>
    </row>
    <row r="3568">
      <c r="A3568" s="282" t="inlineStr">
        <is>
          <t>2020-09-01</t>
        </is>
      </c>
      <c r="B3568" s="240">
        <f>IFERROR(1/P3568-1,B3567)</f>
        <v/>
      </c>
      <c r="C3568" s="240">
        <f>$C$3</f>
        <v/>
      </c>
      <c r="D3568" s="240">
        <f>$D$3</f>
        <v/>
      </c>
      <c r="E3568" s="240">
        <f>$E$3</f>
        <v/>
      </c>
      <c r="F3568" s="241" t="n">
        <v>10.3</v>
      </c>
      <c r="G3568" s="242" t="n">
        <v>28717900</v>
      </c>
      <c r="H3568" s="241" t="n">
        <v>2.9</v>
      </c>
      <c r="I3568" s="241" t="n">
        <v>1.42</v>
      </c>
      <c r="J3568" s="241" t="n">
        <v>14.33</v>
      </c>
      <c r="K3568" s="241" t="n">
        <v>3.95</v>
      </c>
      <c r="L3568" s="242" t="n">
        <v>1263400</v>
      </c>
      <c r="M3568" s="241" t="n">
        <v>1.59</v>
      </c>
      <c r="N3568" s="241" t="n">
        <v>1.13</v>
      </c>
      <c r="O3568" s="241" t="n">
        <v>-0.2</v>
      </c>
      <c r="P3568" s="241" t="n">
        <v>2.61</v>
      </c>
    </row>
    <row r="3569">
      <c r="A3569" s="282" t="inlineStr">
        <is>
          <t>2020-09-02</t>
        </is>
      </c>
      <c r="B3569" s="240">
        <f>IFERROR(1/P3569-1,B3568)</f>
        <v/>
      </c>
      <c r="C3569" s="240">
        <f>$C$3</f>
        <v/>
      </c>
      <c r="D3569" s="240">
        <f>$D$3</f>
        <v/>
      </c>
      <c r="E3569" s="240">
        <f>$E$3</f>
        <v/>
      </c>
      <c r="F3569" s="241" t="n">
        <v>10.25</v>
      </c>
      <c r="G3569" s="242" t="n">
        <v>21144286</v>
      </c>
      <c r="H3569" s="241" t="n">
        <v>-0.49</v>
      </c>
      <c r="I3569" s="241" t="n">
        <v>0.92</v>
      </c>
      <c r="J3569" s="241" t="n">
        <v>13.77</v>
      </c>
      <c r="K3569" s="241" t="n">
        <v>3.9</v>
      </c>
      <c r="L3569" s="242" t="n">
        <v>1246600</v>
      </c>
      <c r="M3569" s="241" t="n">
        <v>-1.12</v>
      </c>
      <c r="N3569" s="241" t="n">
        <v>0</v>
      </c>
      <c r="O3569" s="241" t="n">
        <v>-1.32</v>
      </c>
      <c r="P3569" s="241" t="n">
        <v>2.63</v>
      </c>
    </row>
    <row r="3570">
      <c r="A3570" s="282" t="inlineStr">
        <is>
          <t>2020-09-03</t>
        </is>
      </c>
      <c r="B3570" s="240">
        <f>IFERROR(1/P3570-1,B3569)</f>
        <v/>
      </c>
      <c r="C3570" s="240">
        <f>$C$3</f>
        <v/>
      </c>
      <c r="D3570" s="240">
        <f>$D$3</f>
        <v/>
      </c>
      <c r="E3570" s="240">
        <f>$E$3</f>
        <v/>
      </c>
      <c r="F3570" s="241" t="n">
        <v>10.23</v>
      </c>
      <c r="G3570" s="242" t="n">
        <v>35818096</v>
      </c>
      <c r="H3570" s="241" t="n">
        <v>-0.2</v>
      </c>
      <c r="I3570" s="241" t="n">
        <v>0.73</v>
      </c>
      <c r="J3570" s="241" t="n">
        <v>13.55</v>
      </c>
      <c r="K3570" s="241" t="n">
        <v>4</v>
      </c>
      <c r="L3570" s="242" t="n">
        <v>4045000</v>
      </c>
      <c r="M3570" s="241" t="n">
        <v>2.71</v>
      </c>
      <c r="N3570" s="241" t="n">
        <v>2.71</v>
      </c>
      <c r="O3570" s="241" t="n">
        <v>1.36</v>
      </c>
      <c r="P3570" s="241" t="n">
        <v>2.56</v>
      </c>
    </row>
    <row r="3571">
      <c r="A3571" s="282" t="inlineStr">
        <is>
          <t>2020-09-04</t>
        </is>
      </c>
      <c r="B3571" s="240">
        <f>IFERROR(1/P3571-1,B3570)</f>
        <v/>
      </c>
      <c r="C3571" s="240">
        <f>$C$3</f>
        <v/>
      </c>
      <c r="D3571" s="240">
        <f>$D$3</f>
        <v/>
      </c>
      <c r="E3571" s="240">
        <f>$E$3</f>
        <v/>
      </c>
      <c r="F3571" s="241" t="n">
        <v>10.31</v>
      </c>
      <c r="G3571" s="242" t="n">
        <v>24557483</v>
      </c>
      <c r="H3571" s="241" t="n">
        <v>0.78</v>
      </c>
      <c r="I3571" s="241" t="n">
        <v>-1.25</v>
      </c>
      <c r="J3571" s="241" t="n">
        <v>14.44</v>
      </c>
      <c r="K3571" s="241" t="n">
        <v>4.09</v>
      </c>
      <c r="L3571" s="242" t="n">
        <v>2012200</v>
      </c>
      <c r="M3571" s="241" t="n">
        <v>2.2</v>
      </c>
      <c r="N3571" s="241" t="n">
        <v>1.98</v>
      </c>
      <c r="O3571" s="241" t="n">
        <v>3.59</v>
      </c>
      <c r="P3571" s="241" t="n">
        <v>2.52</v>
      </c>
    </row>
    <row r="3572">
      <c r="A3572" s="282" t="inlineStr">
        <is>
          <t>2020-09-07</t>
        </is>
      </c>
      <c r="B3572" s="240">
        <f>IFERROR(1/P3572-1,B3571)</f>
        <v/>
      </c>
      <c r="C3572" s="240">
        <f>$C$3</f>
        <v/>
      </c>
      <c r="D3572" s="240">
        <f>$D$3</f>
        <v/>
      </c>
      <c r="E3572" s="240">
        <f>$E$3</f>
        <v/>
      </c>
      <c r="F3572" s="241" t="n">
        <v>10.34</v>
      </c>
      <c r="G3572" s="242" t="n">
        <v>38828132</v>
      </c>
      <c r="H3572" s="241" t="n">
        <v>0.29</v>
      </c>
      <c r="I3572" s="241" t="n">
        <v>2.9</v>
      </c>
      <c r="J3572" s="241" t="n">
        <v>14.77</v>
      </c>
      <c r="K3572" s="241" t="n">
        <v>4.31</v>
      </c>
      <c r="L3572" s="242" t="n">
        <v>6580000</v>
      </c>
      <c r="M3572" s="241" t="n">
        <v>5.39</v>
      </c>
      <c r="N3572" s="241" t="n">
        <v>10.38</v>
      </c>
      <c r="O3572" s="241" t="n">
        <v>9.18</v>
      </c>
      <c r="P3572" s="241" t="n">
        <v>2.4</v>
      </c>
    </row>
    <row r="3573">
      <c r="A3573" s="282" t="inlineStr">
        <is>
          <t>2020-09-08</t>
        </is>
      </c>
      <c r="B3573" s="240">
        <f>IFERROR(1/P3573-1,B3572)</f>
        <v/>
      </c>
      <c r="C3573" s="240">
        <f>$C$3</f>
        <v/>
      </c>
      <c r="D3573" s="240">
        <f>$D$3</f>
        <v/>
      </c>
      <c r="E3573" s="240">
        <f>$E$3</f>
        <v/>
      </c>
      <c r="F3573" s="241" t="n">
        <v>10.42</v>
      </c>
      <c r="G3573" s="242" t="n">
        <v>25676663</v>
      </c>
      <c r="H3573" s="241" t="n">
        <v>0.77</v>
      </c>
      <c r="I3573" s="241" t="n">
        <v>4</v>
      </c>
      <c r="J3573" s="241" t="n">
        <v>15.66</v>
      </c>
      <c r="K3573" s="241" t="n">
        <v>4.25</v>
      </c>
      <c r="L3573" s="242" t="n">
        <v>3274800</v>
      </c>
      <c r="M3573" s="241" t="n">
        <v>-1.43</v>
      </c>
      <c r="N3573" s="241" t="n">
        <v>9.789999999999999</v>
      </c>
      <c r="O3573" s="241" t="n">
        <v>7.61</v>
      </c>
      <c r="P3573" s="241" t="n">
        <v>2.45</v>
      </c>
    </row>
    <row r="3574">
      <c r="A3574" s="282" t="inlineStr">
        <is>
          <t>2020-09-09</t>
        </is>
      </c>
      <c r="B3574" s="240">
        <f>IFERROR(1/P3574-1,B3573)</f>
        <v/>
      </c>
      <c r="C3574" s="240">
        <f>$C$3</f>
        <v/>
      </c>
      <c r="D3574" s="240">
        <f>$D$3</f>
        <v/>
      </c>
      <c r="E3574" s="240">
        <f>$E$3</f>
        <v/>
      </c>
      <c r="F3574" s="241" t="n">
        <v>10.12</v>
      </c>
      <c r="G3574" s="242" t="n">
        <v>31682820</v>
      </c>
      <c r="H3574" s="241" t="n">
        <v>-2.88</v>
      </c>
      <c r="I3574" s="241" t="n">
        <v>1.01</v>
      </c>
      <c r="J3574" s="241" t="n">
        <v>12.33</v>
      </c>
      <c r="K3574" s="241" t="n">
        <v>4.32</v>
      </c>
      <c r="L3574" s="242" t="n">
        <v>3163400</v>
      </c>
      <c r="M3574" s="241" t="n">
        <v>1.45</v>
      </c>
      <c r="N3574" s="241" t="n">
        <v>11.39</v>
      </c>
      <c r="O3574" s="241" t="n">
        <v>9.18</v>
      </c>
      <c r="P3574" s="241" t="n">
        <v>2.34</v>
      </c>
    </row>
    <row r="3575">
      <c r="A3575" s="282" t="inlineStr">
        <is>
          <t>2020-09-10</t>
        </is>
      </c>
      <c r="B3575" s="240">
        <f>IFERROR(1/P3575-1,B3574)</f>
        <v/>
      </c>
      <c r="C3575" s="240">
        <f>$C$3</f>
        <v/>
      </c>
      <c r="D3575" s="240">
        <f>$D$3</f>
        <v/>
      </c>
      <c r="E3575" s="240">
        <f>$E$3</f>
        <v/>
      </c>
      <c r="F3575" s="241" t="n">
        <v>9.890000000000001</v>
      </c>
      <c r="G3575" s="242" t="n">
        <v>26290161</v>
      </c>
      <c r="H3575" s="241" t="n">
        <v>-2.27</v>
      </c>
      <c r="I3575" s="241" t="n">
        <v>-1.29</v>
      </c>
      <c r="J3575" s="241" t="n">
        <v>9.779999999999999</v>
      </c>
      <c r="K3575" s="241" t="n">
        <v>4.43</v>
      </c>
      <c r="L3575" s="242" t="n">
        <v>6143600</v>
      </c>
      <c r="M3575" s="241" t="n">
        <v>2.66</v>
      </c>
      <c r="N3575" s="241" t="n">
        <v>14.35</v>
      </c>
      <c r="O3575" s="241" t="n">
        <v>12.08</v>
      </c>
      <c r="P3575" s="241" t="n">
        <v>2.23</v>
      </c>
    </row>
    <row r="3576">
      <c r="A3576" s="282" t="inlineStr">
        <is>
          <t>2020-09-11</t>
        </is>
      </c>
      <c r="B3576" s="240">
        <f>IFERROR(1/P3576-1,B3575)</f>
        <v/>
      </c>
      <c r="C3576" s="240">
        <f>$C$3</f>
        <v/>
      </c>
      <c r="D3576" s="240">
        <f>$D$3</f>
        <v/>
      </c>
      <c r="E3576" s="240">
        <f>$E$3</f>
        <v/>
      </c>
      <c r="F3576" s="241" t="n">
        <v>9.94</v>
      </c>
      <c r="G3576" s="242" t="n">
        <v>21866357</v>
      </c>
      <c r="H3576" s="241" t="n">
        <v>0.51</v>
      </c>
      <c r="I3576" s="241" t="n">
        <v>-1.08</v>
      </c>
      <c r="J3576" s="241" t="n">
        <v>10.33</v>
      </c>
      <c r="K3576" s="241" t="n">
        <v>4.43</v>
      </c>
      <c r="L3576" s="242" t="n">
        <v>3407400</v>
      </c>
      <c r="M3576" s="241" t="n">
        <v>0</v>
      </c>
      <c r="N3576" s="241" t="n">
        <v>14.35</v>
      </c>
      <c r="O3576" s="241" t="n">
        <v>12.08</v>
      </c>
      <c r="P3576" s="241" t="n">
        <v>2.24</v>
      </c>
    </row>
    <row r="3577">
      <c r="A3577" s="282" t="inlineStr">
        <is>
          <t>2020-09-14</t>
        </is>
      </c>
      <c r="B3577" s="240">
        <f>IFERROR(1/P3577-1,B3576)</f>
        <v/>
      </c>
      <c r="C3577" s="240">
        <f>$C$3</f>
        <v/>
      </c>
      <c r="D3577" s="240">
        <f>$D$3</f>
        <v/>
      </c>
      <c r="E3577" s="240">
        <f>$E$3</f>
        <v/>
      </c>
      <c r="F3577" s="241" t="n">
        <v>10.35</v>
      </c>
      <c r="G3577" s="242" t="n">
        <v>34877051</v>
      </c>
      <c r="H3577" s="241" t="n">
        <v>4.12</v>
      </c>
      <c r="I3577" s="241" t="n">
        <v>4.02</v>
      </c>
      <c r="J3577" s="241" t="n">
        <v>14.88</v>
      </c>
      <c r="K3577" s="241" t="n">
        <v>4.65</v>
      </c>
      <c r="L3577" s="242" t="n">
        <v>5414400</v>
      </c>
      <c r="M3577" s="241" t="n">
        <v>4.98</v>
      </c>
      <c r="N3577" s="241" t="n">
        <v>17.11</v>
      </c>
      <c r="O3577" s="241" t="n">
        <v>17.66</v>
      </c>
      <c r="P3577" s="241" t="n">
        <v>2.23</v>
      </c>
    </row>
    <row r="3578">
      <c r="A3578" s="282" t="inlineStr">
        <is>
          <t>2020-09-15</t>
        </is>
      </c>
      <c r="B3578" s="240">
        <f>IFERROR(1/P3578-1,B3577)</f>
        <v/>
      </c>
      <c r="C3578" s="240">
        <f>$C$3</f>
        <v/>
      </c>
      <c r="D3578" s="240">
        <f>$D$3</f>
        <v/>
      </c>
      <c r="E3578" s="240">
        <f>$E$3</f>
        <v/>
      </c>
      <c r="F3578" s="241" t="n">
        <v>10.35</v>
      </c>
      <c r="G3578" s="242" t="n">
        <v>21046518</v>
      </c>
      <c r="H3578" s="241" t="n">
        <v>0</v>
      </c>
      <c r="I3578" s="241" t="n">
        <v>4.95</v>
      </c>
      <c r="J3578" s="241" t="n">
        <v>14.88</v>
      </c>
      <c r="K3578" s="241" t="n">
        <v>4.59</v>
      </c>
      <c r="L3578" s="242" t="n">
        <v>2621800</v>
      </c>
      <c r="M3578" s="241" t="n">
        <v>-1.14</v>
      </c>
      <c r="N3578" s="241" t="n">
        <v>17.34</v>
      </c>
      <c r="O3578" s="241" t="n">
        <v>16.32</v>
      </c>
      <c r="P3578" s="241" t="n">
        <v>2.26</v>
      </c>
    </row>
    <row r="3579">
      <c r="A3579" s="282" t="inlineStr">
        <is>
          <t>2020-09-16</t>
        </is>
      </c>
      <c r="B3579" s="240">
        <f>IFERROR(1/P3579-1,B3578)</f>
        <v/>
      </c>
      <c r="C3579" s="240">
        <f>$C$3</f>
        <v/>
      </c>
      <c r="D3579" s="240">
        <f>$D$3</f>
        <v/>
      </c>
      <c r="E3579" s="240">
        <f>$E$3</f>
        <v/>
      </c>
      <c r="F3579" s="241" t="n">
        <v>11.11</v>
      </c>
      <c r="G3579" s="242" t="n">
        <v>95810685</v>
      </c>
      <c r="H3579" s="241" t="n">
        <v>7.34</v>
      </c>
      <c r="I3579" s="241" t="n">
        <v>12.65</v>
      </c>
      <c r="J3579" s="241" t="n">
        <v>23.32</v>
      </c>
      <c r="K3579" s="241" t="n">
        <v>4.83</v>
      </c>
      <c r="L3579" s="242" t="n">
        <v>10474218</v>
      </c>
      <c r="M3579" s="241" t="n">
        <v>5.95</v>
      </c>
      <c r="N3579" s="241" t="n">
        <v>24.32</v>
      </c>
      <c r="O3579" s="241" t="n">
        <v>23.24</v>
      </c>
      <c r="P3579" s="241" t="n">
        <v>2.3</v>
      </c>
    </row>
    <row r="3580">
      <c r="A3580" s="282" t="inlineStr">
        <is>
          <t>2020-09-17</t>
        </is>
      </c>
      <c r="B3580" s="240">
        <f>IFERROR(1/P3580-1,B3579)</f>
        <v/>
      </c>
      <c r="C3580" s="240">
        <f>$C$3</f>
        <v/>
      </c>
      <c r="D3580" s="240">
        <f>$D$3</f>
        <v/>
      </c>
      <c r="E3580" s="240">
        <f>$E$3</f>
        <v/>
      </c>
      <c r="F3580" s="241" t="n">
        <v>11.05</v>
      </c>
      <c r="G3580" s="242" t="n">
        <v>64675254</v>
      </c>
      <c r="H3580" s="241" t="n">
        <v>-0.54</v>
      </c>
      <c r="I3580" s="241" t="n">
        <v>12.04</v>
      </c>
      <c r="J3580" s="241" t="n">
        <v>22.65</v>
      </c>
      <c r="K3580" s="241" t="n">
        <v>4.91</v>
      </c>
      <c r="L3580" s="242" t="n">
        <v>5116200</v>
      </c>
      <c r="M3580" s="241" t="n">
        <v>1.81</v>
      </c>
      <c r="N3580" s="241" t="n">
        <v>26.58</v>
      </c>
      <c r="O3580" s="241" t="n">
        <v>25.47</v>
      </c>
      <c r="P3580" s="241" t="n">
        <v>2.25</v>
      </c>
    </row>
    <row r="3581">
      <c r="A3581" s="282" t="inlineStr">
        <is>
          <t>2020-09-18</t>
        </is>
      </c>
      <c r="B3581" s="240">
        <f>IFERROR(1/P3581-1,B3580)</f>
        <v/>
      </c>
      <c r="C3581" s="240">
        <f>$C$3</f>
        <v/>
      </c>
      <c r="D3581" s="240">
        <f>$D$3</f>
        <v/>
      </c>
      <c r="E3581" s="240">
        <f>$E$3</f>
        <v/>
      </c>
      <c r="F3581" s="241" t="n">
        <v>11.1</v>
      </c>
      <c r="G3581" s="242" t="n">
        <v>55339644</v>
      </c>
      <c r="H3581" s="241" t="n">
        <v>0.45</v>
      </c>
      <c r="I3581" s="241" t="n">
        <v>10.36</v>
      </c>
      <c r="J3581" s="241" t="n">
        <v>23.21</v>
      </c>
      <c r="K3581" s="241" t="n">
        <v>5.1</v>
      </c>
      <c r="L3581" s="242" t="n">
        <v>6935580</v>
      </c>
      <c r="M3581" s="241" t="n">
        <v>4.09</v>
      </c>
      <c r="N3581" s="241" t="n">
        <v>30.58</v>
      </c>
      <c r="O3581" s="241" t="n">
        <v>30.61</v>
      </c>
      <c r="P3581" s="241" t="n">
        <v>2.18</v>
      </c>
    </row>
    <row r="3582">
      <c r="A3582" s="282" t="inlineStr">
        <is>
          <t>2020-09-21</t>
        </is>
      </c>
      <c r="B3582" s="240">
        <f>IFERROR(1/P3582-1,B3581)</f>
        <v/>
      </c>
      <c r="C3582" s="240">
        <f>$C$3</f>
        <v/>
      </c>
      <c r="D3582" s="240">
        <f>$D$3</f>
        <v/>
      </c>
      <c r="E3582" s="240">
        <f>$E$3</f>
        <v/>
      </c>
      <c r="F3582" s="241" t="n">
        <v>11.02</v>
      </c>
      <c r="G3582" s="242" t="n">
        <v>48722795</v>
      </c>
      <c r="H3582" s="241" t="n">
        <v>-0.72</v>
      </c>
      <c r="I3582" s="241" t="n">
        <v>10.42</v>
      </c>
      <c r="J3582" s="241" t="n">
        <v>22.32</v>
      </c>
      <c r="K3582" s="241" t="n">
        <v>5.01</v>
      </c>
      <c r="L3582" s="242" t="n">
        <v>6669600</v>
      </c>
      <c r="M3582" s="241" t="n">
        <v>-1.88</v>
      </c>
      <c r="N3582" s="241" t="n">
        <v>28.13</v>
      </c>
      <c r="O3582" s="241" t="n">
        <v>28.15</v>
      </c>
      <c r="P3582" s="241" t="n">
        <v>2.2</v>
      </c>
    </row>
    <row r="3583">
      <c r="A3583" s="282" t="inlineStr">
        <is>
          <t>2020-09-22</t>
        </is>
      </c>
      <c r="B3583" s="240">
        <f>IFERROR(1/P3583-1,B3582)</f>
        <v/>
      </c>
      <c r="C3583" s="240">
        <f>$C$3</f>
        <v/>
      </c>
      <c r="D3583" s="240">
        <f>$D$3</f>
        <v/>
      </c>
      <c r="E3583" s="240">
        <f>$E$3</f>
        <v/>
      </c>
      <c r="F3583" s="241" t="n">
        <v>10.92</v>
      </c>
      <c r="G3583" s="242" t="n">
        <v>38365611</v>
      </c>
      <c r="H3583" s="241" t="n">
        <v>-0.91</v>
      </c>
      <c r="I3583" s="241" t="n">
        <v>9.529999999999999</v>
      </c>
      <c r="J3583" s="241" t="n">
        <v>21.21</v>
      </c>
      <c r="K3583" s="241" t="n">
        <v>5.17</v>
      </c>
      <c r="L3583" s="242" t="n">
        <v>5877200</v>
      </c>
      <c r="M3583" s="241" t="n">
        <v>2.79</v>
      </c>
      <c r="N3583" s="241" t="n">
        <v>28.82</v>
      </c>
      <c r="O3583" s="241" t="n">
        <v>31.73</v>
      </c>
      <c r="P3583" s="241" t="n">
        <v>2.11</v>
      </c>
    </row>
    <row r="3584">
      <c r="A3584" s="282" t="inlineStr">
        <is>
          <t>2020-09-23</t>
        </is>
      </c>
      <c r="B3584" s="240">
        <f>IFERROR(1/P3584-1,B3583)</f>
        <v/>
      </c>
      <c r="C3584" s="240">
        <f>$C$3</f>
        <v/>
      </c>
      <c r="D3584" s="240">
        <f>$D$3</f>
        <v/>
      </c>
      <c r="E3584" s="240">
        <f>$E$3</f>
        <v/>
      </c>
      <c r="F3584" s="241" t="n">
        <v>10.98</v>
      </c>
      <c r="G3584" s="242" t="n">
        <v>40362747</v>
      </c>
      <c r="H3584" s="241" t="n">
        <v>0.55</v>
      </c>
      <c r="I3584" s="241" t="n">
        <v>10.13</v>
      </c>
      <c r="J3584" s="241" t="n">
        <v>21.87</v>
      </c>
      <c r="K3584" s="241" t="n">
        <v>4.99</v>
      </c>
      <c r="L3584" s="242" t="n">
        <v>5134400</v>
      </c>
      <c r="M3584" s="241" t="n">
        <v>-3.56</v>
      </c>
      <c r="N3584" s="241" t="n">
        <v>24.24</v>
      </c>
      <c r="O3584" s="241" t="n">
        <v>27.04</v>
      </c>
      <c r="P3584" s="241" t="n">
        <v>2.2</v>
      </c>
    </row>
    <row r="3585">
      <c r="A3585" s="282" t="inlineStr">
        <is>
          <t>2020-09-24</t>
        </is>
      </c>
      <c r="B3585" s="240">
        <f>IFERROR(1/P3585-1,B3584)</f>
        <v/>
      </c>
      <c r="C3585" s="240">
        <f>$C$3</f>
        <v/>
      </c>
      <c r="D3585" s="240">
        <f>$D$3</f>
        <v/>
      </c>
      <c r="E3585" s="240">
        <f>$E$3</f>
        <v/>
      </c>
      <c r="F3585" s="241" t="n">
        <v>10.8</v>
      </c>
      <c r="G3585" s="242" t="n">
        <v>32525104</v>
      </c>
      <c r="H3585" s="241" t="n">
        <v>-1.64</v>
      </c>
      <c r="I3585" s="241" t="n">
        <v>8.32</v>
      </c>
      <c r="J3585" s="241" t="n">
        <v>19.88</v>
      </c>
      <c r="K3585" s="241" t="n">
        <v>4.87</v>
      </c>
      <c r="L3585" s="242" t="n">
        <v>4939800</v>
      </c>
      <c r="M3585" s="241" t="n">
        <v>-2.46</v>
      </c>
      <c r="N3585" s="241" t="n">
        <v>21.18</v>
      </c>
      <c r="O3585" s="241" t="n">
        <v>23.91</v>
      </c>
      <c r="P3585" s="241" t="n">
        <v>2.22</v>
      </c>
    </row>
    <row r="3586">
      <c r="A3586" s="282" t="inlineStr">
        <is>
          <t>2020-09-25</t>
        </is>
      </c>
      <c r="B3586" s="240">
        <f>IFERROR(1/P3586-1,B3585)</f>
        <v/>
      </c>
      <c r="C3586" s="240">
        <f>$C$3</f>
        <v/>
      </c>
      <c r="D3586" s="240">
        <f>$D$3</f>
        <v/>
      </c>
      <c r="E3586" s="240">
        <f>$E$3</f>
        <v/>
      </c>
      <c r="F3586" s="241" t="n">
        <v>10.64</v>
      </c>
      <c r="G3586" s="242" t="n">
        <v>29486650</v>
      </c>
      <c r="H3586" s="241" t="n">
        <v>-1.48</v>
      </c>
      <c r="I3586" s="241" t="n">
        <v>7.04</v>
      </c>
      <c r="J3586" s="241" t="n">
        <v>18.1</v>
      </c>
      <c r="K3586" s="241" t="n">
        <v>4.83</v>
      </c>
      <c r="L3586" s="242" t="n">
        <v>3533200</v>
      </c>
      <c r="M3586" s="241" t="n">
        <v>-0.9</v>
      </c>
      <c r="N3586" s="241" t="n">
        <v>20.09</v>
      </c>
      <c r="O3586" s="241" t="n">
        <v>22.8</v>
      </c>
      <c r="P3586" s="241" t="n">
        <v>2.2</v>
      </c>
    </row>
    <row r="3587">
      <c r="A3587" s="282" t="inlineStr">
        <is>
          <t>2020-09-28</t>
        </is>
      </c>
      <c r="B3587" s="240">
        <f>IFERROR(1/P3587-1,B3586)</f>
        <v/>
      </c>
      <c r="C3587" s="240">
        <f>$C$3</f>
        <v/>
      </c>
      <c r="D3587" s="240">
        <f>$D$3</f>
        <v/>
      </c>
      <c r="E3587" s="240">
        <f>$E$3</f>
        <v/>
      </c>
      <c r="F3587" s="241" t="n">
        <v>10.62</v>
      </c>
      <c r="G3587" s="242" t="n">
        <v>20971852</v>
      </c>
      <c r="H3587" s="241" t="n">
        <v>-0.19</v>
      </c>
      <c r="I3587" s="241" t="n">
        <v>7.93</v>
      </c>
      <c r="J3587" s="241" t="n">
        <v>17.88</v>
      </c>
      <c r="K3587" s="241" t="n">
        <v>5.18</v>
      </c>
      <c r="L3587" s="242" t="n">
        <v>5570800</v>
      </c>
      <c r="M3587" s="241" t="n">
        <v>6.91</v>
      </c>
      <c r="N3587" s="241" t="n">
        <v>33.03</v>
      </c>
      <c r="O3587" s="241" t="n">
        <v>31.28</v>
      </c>
      <c r="P3587" s="241" t="n">
        <v>2.05</v>
      </c>
    </row>
    <row r="3588">
      <c r="A3588" s="282" t="inlineStr">
        <is>
          <t>2020-09-29</t>
        </is>
      </c>
      <c r="B3588" s="240">
        <f>IFERROR(1/P3588-1,B3587)</f>
        <v/>
      </c>
      <c r="C3588" s="240">
        <f>$C$3</f>
        <v/>
      </c>
      <c r="D3588" s="240">
        <f>$D$3</f>
        <v/>
      </c>
      <c r="E3588" s="240">
        <f>$E$3</f>
        <v/>
      </c>
      <c r="F3588" s="241" t="n">
        <v>10.93</v>
      </c>
      <c r="G3588" s="242" t="n">
        <v>26360678</v>
      </c>
      <c r="H3588" s="241" t="n">
        <v>2.92</v>
      </c>
      <c r="I3588" s="241" t="n">
        <v>8.109999999999999</v>
      </c>
      <c r="J3588" s="241" t="n">
        <v>21.32</v>
      </c>
      <c r="K3588" s="241" t="n">
        <v>5.12</v>
      </c>
      <c r="L3588" s="242" t="n">
        <v>1547600</v>
      </c>
      <c r="M3588" s="241" t="n">
        <v>-1.02</v>
      </c>
      <c r="N3588" s="241" t="n">
        <v>28.19</v>
      </c>
      <c r="O3588" s="241" t="n">
        <v>29.94</v>
      </c>
      <c r="P3588" s="241" t="n">
        <v>2.13</v>
      </c>
    </row>
    <row r="3589">
      <c r="A3589" s="282" t="inlineStr">
        <is>
          <t>2020-09-30</t>
        </is>
      </c>
      <c r="B3589" s="240">
        <f>IFERROR(1/P3589-1,B3588)</f>
        <v/>
      </c>
      <c r="C3589" s="240">
        <f>$C$3</f>
        <v/>
      </c>
      <c r="D3589" s="240">
        <f>$D$3</f>
        <v/>
      </c>
      <c r="E3589" s="240">
        <f>$E$3</f>
        <v/>
      </c>
      <c r="F3589" s="241" t="n">
        <v>10.16</v>
      </c>
      <c r="G3589" s="242" t="n">
        <v>52739783</v>
      </c>
      <c r="H3589" s="241" t="n">
        <v>-7.04</v>
      </c>
      <c r="I3589" s="241" t="n">
        <v>0.49</v>
      </c>
      <c r="J3589" s="241" t="n">
        <v>12.77</v>
      </c>
      <c r="K3589" s="241" t="n">
        <v>5.06</v>
      </c>
      <c r="L3589" s="242" t="n">
        <v>1683000</v>
      </c>
      <c r="M3589" s="241" t="n">
        <v>-1.03</v>
      </c>
      <c r="N3589" s="241" t="n">
        <v>26.87</v>
      </c>
      <c r="O3589" s="241" t="n">
        <v>28.6</v>
      </c>
      <c r="P3589" s="241" t="n">
        <v>2.01</v>
      </c>
    </row>
    <row r="3590">
      <c r="A3590" s="282" t="inlineStr">
        <is>
          <t>2020-10-09</t>
        </is>
      </c>
      <c r="B3590" s="240">
        <f>IFERROR(1/P3590-1,B3589)</f>
        <v/>
      </c>
      <c r="C3590" s="240">
        <f>$C$3</f>
        <v/>
      </c>
      <c r="D3590" s="240">
        <f>$D$3</f>
        <v/>
      </c>
      <c r="E3590" s="240">
        <f>$E$3</f>
        <v/>
      </c>
      <c r="F3590" s="241" t="n">
        <v>11.18</v>
      </c>
      <c r="G3590" s="242" t="n">
        <v>42613740</v>
      </c>
      <c r="H3590" s="241" t="n">
        <v>10.04</v>
      </c>
      <c r="I3590" s="241" t="n">
        <v>7.29</v>
      </c>
      <c r="J3590" s="241" t="n">
        <v>24.09</v>
      </c>
      <c r="K3590" s="241" t="n">
        <v>5.97</v>
      </c>
      <c r="L3590" s="242" t="n">
        <v>9640400</v>
      </c>
      <c r="M3590" s="241" t="n">
        <v>-1.44</v>
      </c>
      <c r="N3590" s="241" t="n">
        <v>41.7</v>
      </c>
      <c r="O3590" s="241" t="n">
        <v>52.49</v>
      </c>
      <c r="P3590" s="241" t="n">
        <v>1.87</v>
      </c>
    </row>
    <row r="3591">
      <c r="A3591" s="282" t="inlineStr">
        <is>
          <t>2020-10-12</t>
        </is>
      </c>
      <c r="B3591" s="240">
        <f>IFERROR(1/P3591-1,B3590)</f>
        <v/>
      </c>
      <c r="C3591" s="240">
        <f>$C$3</f>
        <v/>
      </c>
      <c r="D3591" s="240">
        <f>$D$3</f>
        <v/>
      </c>
      <c r="E3591" s="240">
        <f>$E$3</f>
        <v/>
      </c>
      <c r="F3591" s="241" t="n">
        <v>11.64</v>
      </c>
      <c r="G3591" s="242" t="n">
        <v>74659051</v>
      </c>
      <c r="H3591" s="241" t="n">
        <v>4.11</v>
      </c>
      <c r="I3591" s="241" t="n">
        <v>17.1</v>
      </c>
      <c r="J3591" s="241" t="n">
        <v>29.2</v>
      </c>
      <c r="K3591" s="241" t="n">
        <v>6.11</v>
      </c>
      <c r="L3591" s="242" t="n">
        <v>14705600</v>
      </c>
      <c r="M3591" s="241" t="n">
        <v>3.22</v>
      </c>
      <c r="N3591" s="241" t="n">
        <v>40.44</v>
      </c>
      <c r="O3591" s="241" t="n">
        <v>57.4</v>
      </c>
      <c r="P3591" s="241" t="n">
        <v>1.91</v>
      </c>
    </row>
    <row r="3592">
      <c r="A3592" s="282" t="inlineStr">
        <is>
          <t>2020-10-13</t>
        </is>
      </c>
      <c r="B3592" s="240">
        <f>IFERROR(1/P3592-1,B3591)</f>
        <v/>
      </c>
      <c r="C3592" s="240">
        <f>$C$3</f>
        <v/>
      </c>
      <c r="D3592" s="240">
        <f>$D$3</f>
        <v/>
      </c>
      <c r="E3592" s="240">
        <f>$E$3</f>
        <v/>
      </c>
      <c r="F3592" s="241" t="n">
        <v>11.65</v>
      </c>
      <c r="G3592" s="242" t="n">
        <v>39314865</v>
      </c>
      <c r="H3592" s="241" t="n">
        <v>0.09</v>
      </c>
      <c r="I3592" s="241" t="n">
        <v>17.2</v>
      </c>
      <c r="J3592" s="241" t="n">
        <v>29.31</v>
      </c>
      <c r="K3592" s="239" t="inlineStr">
        <is>
          <t>--</t>
        </is>
      </c>
      <c r="L3592" s="239" t="inlineStr">
        <is>
          <t>--</t>
        </is>
      </c>
      <c r="M3592" s="239" t="inlineStr">
        <is>
          <t>--</t>
        </is>
      </c>
      <c r="N3592" s="239" t="inlineStr">
        <is>
          <t>--</t>
        </is>
      </c>
      <c r="O3592" s="239" t="inlineStr">
        <is>
          <t>--</t>
        </is>
      </c>
      <c r="P3592" s="239" t="inlineStr">
        <is>
          <t>--</t>
        </is>
      </c>
    </row>
    <row r="3593">
      <c r="A3593" s="282" t="inlineStr">
        <is>
          <t>2020-10-14</t>
        </is>
      </c>
      <c r="B3593" s="240">
        <f>IFERROR(1/P3593-1,B3592)</f>
        <v/>
      </c>
      <c r="C3593" s="240">
        <f>$C$3</f>
        <v/>
      </c>
      <c r="D3593" s="240">
        <f>$D$3</f>
        <v/>
      </c>
      <c r="E3593" s="240">
        <f>$E$3</f>
        <v/>
      </c>
      <c r="F3593" s="241" t="n">
        <v>11.74</v>
      </c>
      <c r="G3593" s="242" t="n">
        <v>47722345</v>
      </c>
      <c r="H3593" s="241" t="n">
        <v>0.77</v>
      </c>
      <c r="I3593" s="241" t="n">
        <v>18.11</v>
      </c>
      <c r="J3593" s="241" t="n">
        <v>30.31</v>
      </c>
      <c r="K3593" s="241" t="n">
        <v>6.12</v>
      </c>
      <c r="L3593" s="242" t="n">
        <v>7704200</v>
      </c>
      <c r="M3593" s="241" t="n">
        <v>-0.28</v>
      </c>
      <c r="N3593" s="241" t="n">
        <v>40.04</v>
      </c>
      <c r="O3593" s="241" t="n">
        <v>56.95</v>
      </c>
      <c r="P3593" s="241" t="n">
        <v>1.92</v>
      </c>
    </row>
    <row r="3594">
      <c r="A3594" s="282" t="inlineStr">
        <is>
          <t>2020-10-15</t>
        </is>
      </c>
      <c r="B3594" s="240">
        <f>IFERROR(1/P3594-1,B3593)</f>
        <v/>
      </c>
      <c r="C3594" s="240">
        <f>$C$3</f>
        <v/>
      </c>
      <c r="D3594" s="240">
        <f>$D$3</f>
        <v/>
      </c>
      <c r="E3594" s="240">
        <f>$E$3</f>
        <v/>
      </c>
      <c r="F3594" s="241" t="n">
        <v>11.45</v>
      </c>
      <c r="G3594" s="242" t="n">
        <v>44589680</v>
      </c>
      <c r="H3594" s="241" t="n">
        <v>-2.47</v>
      </c>
      <c r="I3594" s="241" t="n">
        <v>10.63</v>
      </c>
      <c r="J3594" s="241" t="n">
        <v>27.09</v>
      </c>
      <c r="K3594" s="241" t="n">
        <v>5.82</v>
      </c>
      <c r="L3594" s="242" t="n">
        <v>5468200</v>
      </c>
      <c r="M3594" s="241" t="n">
        <v>-4.69</v>
      </c>
      <c r="N3594" s="241" t="n">
        <v>27.13</v>
      </c>
      <c r="O3594" s="241" t="n">
        <v>49.59</v>
      </c>
      <c r="P3594" s="241" t="n">
        <v>1.97</v>
      </c>
    </row>
    <row r="3595">
      <c r="A3595" s="282" t="inlineStr">
        <is>
          <t>2020-10-16</t>
        </is>
      </c>
      <c r="B3595" s="240">
        <f>IFERROR(1/P3595-1,B3594)</f>
        <v/>
      </c>
      <c r="C3595" s="240">
        <f>$C$3</f>
        <v/>
      </c>
      <c r="D3595" s="240">
        <f>$D$3</f>
        <v/>
      </c>
      <c r="E3595" s="240">
        <f>$E$3</f>
        <v/>
      </c>
      <c r="F3595" s="241" t="n">
        <v>11.43</v>
      </c>
      <c r="G3595" s="242" t="n">
        <v>29336224</v>
      </c>
      <c r="H3595" s="241" t="n">
        <v>-0.17</v>
      </c>
      <c r="I3595" s="241" t="n">
        <v>10.43</v>
      </c>
      <c r="J3595" s="241" t="n">
        <v>26.87</v>
      </c>
      <c r="K3595" s="241" t="n">
        <v>5.88</v>
      </c>
      <c r="L3595" s="242" t="n">
        <v>3430400</v>
      </c>
      <c r="M3595" s="241" t="n">
        <v>1.04</v>
      </c>
      <c r="N3595" s="241" t="n">
        <v>29.94</v>
      </c>
      <c r="O3595" s="241" t="n">
        <v>51.15</v>
      </c>
      <c r="P3595" s="241" t="n">
        <v>1.94</v>
      </c>
    </row>
    <row r="3596">
      <c r="A3596" s="282" t="inlineStr">
        <is>
          <t>2020-10-19</t>
        </is>
      </c>
      <c r="B3596" s="240">
        <f>IFERROR(1/P3596-1,B3595)</f>
        <v/>
      </c>
      <c r="C3596" s="240">
        <f>$C$3</f>
        <v/>
      </c>
      <c r="D3596" s="240">
        <f>$D$3</f>
        <v/>
      </c>
      <c r="E3596" s="240">
        <f>$E$3</f>
        <v/>
      </c>
      <c r="F3596" s="241" t="n">
        <v>11.16</v>
      </c>
      <c r="G3596" s="242" t="n">
        <v>44129113</v>
      </c>
      <c r="H3596" s="241" t="n">
        <v>-2.36</v>
      </c>
      <c r="I3596" s="241" t="n">
        <v>0.54</v>
      </c>
      <c r="J3596" s="241" t="n">
        <v>23.87</v>
      </c>
      <c r="K3596" s="241" t="n">
        <v>5.39</v>
      </c>
      <c r="L3596" s="242" t="n">
        <v>4661375</v>
      </c>
      <c r="M3596" s="241" t="n">
        <v>-7.98</v>
      </c>
      <c r="N3596" s="241" t="n">
        <v>6.5</v>
      </c>
      <c r="O3596" s="241" t="n">
        <v>39.09</v>
      </c>
      <c r="P3596" s="241" t="n">
        <v>2.07</v>
      </c>
    </row>
    <row r="3597">
      <c r="A3597" s="282" t="inlineStr">
        <is>
          <t>2020-10-20</t>
        </is>
      </c>
      <c r="B3597" s="240">
        <f>IFERROR(1/P3597-1,B3596)</f>
        <v/>
      </c>
      <c r="C3597" s="240">
        <f>$C$3</f>
        <v/>
      </c>
      <c r="D3597" s="240">
        <f>$D$3</f>
        <v/>
      </c>
      <c r="E3597" s="240">
        <f>$E$3</f>
        <v/>
      </c>
      <c r="F3597" s="241" t="n">
        <v>11.32</v>
      </c>
      <c r="G3597" s="242" t="n">
        <v>24362814</v>
      </c>
      <c r="H3597" s="241" t="n">
        <v>1.43</v>
      </c>
      <c r="I3597" s="241" t="n">
        <v>1.98</v>
      </c>
      <c r="J3597" s="241" t="n">
        <v>25.65</v>
      </c>
      <c r="K3597" s="241" t="n">
        <v>5.68</v>
      </c>
      <c r="L3597" s="242" t="n">
        <v>6688150</v>
      </c>
      <c r="M3597" s="241" t="n">
        <v>5.62</v>
      </c>
      <c r="N3597" s="241" t="n">
        <v>12.48</v>
      </c>
      <c r="O3597" s="241" t="n">
        <v>46.91</v>
      </c>
      <c r="P3597" s="241" t="n">
        <v>1.99</v>
      </c>
    </row>
    <row r="3598">
      <c r="A3598" s="282" t="inlineStr">
        <is>
          <t>2020-10-21</t>
        </is>
      </c>
      <c r="B3598" s="240">
        <f>IFERROR(1/P3598-1,B3597)</f>
        <v/>
      </c>
      <c r="C3598" s="240">
        <f>$C$3</f>
        <v/>
      </c>
      <c r="D3598" s="240">
        <f>$D$3</f>
        <v/>
      </c>
      <c r="E3598" s="240">
        <f>$E$3</f>
        <v/>
      </c>
      <c r="F3598" s="241" t="n">
        <v>10.98</v>
      </c>
      <c r="G3598" s="242" t="n">
        <v>31289673</v>
      </c>
      <c r="H3598" s="241" t="n">
        <v>-3</v>
      </c>
      <c r="I3598" s="241" t="n">
        <v>-1.08</v>
      </c>
      <c r="J3598" s="241" t="n">
        <v>21.87</v>
      </c>
      <c r="K3598" s="241" t="n">
        <v>5.39</v>
      </c>
      <c r="L3598" s="242" t="n">
        <v>2402400</v>
      </c>
      <c r="M3598" s="241" t="n">
        <v>-4.86</v>
      </c>
      <c r="N3598" s="241" t="n">
        <v>7.01</v>
      </c>
      <c r="O3598" s="241" t="n">
        <v>39.76</v>
      </c>
      <c r="P3598" s="241" t="n">
        <v>2.04</v>
      </c>
    </row>
    <row r="3599">
      <c r="A3599" s="282" t="inlineStr">
        <is>
          <t>2020-10-22</t>
        </is>
      </c>
      <c r="B3599" s="240">
        <f>IFERROR(1/P3599-1,B3598)</f>
        <v/>
      </c>
      <c r="C3599" s="240">
        <f>$C$3</f>
        <v/>
      </c>
      <c r="D3599" s="240">
        <f>$D$3</f>
        <v/>
      </c>
      <c r="E3599" s="240">
        <f>$E$3</f>
        <v/>
      </c>
      <c r="F3599" s="241" t="n">
        <v>10.96</v>
      </c>
      <c r="G3599" s="242" t="n">
        <v>18655158</v>
      </c>
      <c r="H3599" s="241" t="n">
        <v>-0.18</v>
      </c>
      <c r="I3599" s="241" t="n">
        <v>-0.54</v>
      </c>
      <c r="J3599" s="241" t="n">
        <v>21.65</v>
      </c>
      <c r="K3599" s="241" t="n">
        <v>5.32</v>
      </c>
      <c r="L3599" s="242" t="n">
        <v>2531400</v>
      </c>
      <c r="M3599" s="241" t="n">
        <v>-0.96</v>
      </c>
      <c r="N3599" s="241" t="n">
        <v>8.01</v>
      </c>
      <c r="O3599" s="241" t="n">
        <v>38.42</v>
      </c>
      <c r="P3599" s="241" t="n">
        <v>2.06</v>
      </c>
    </row>
    <row r="3600">
      <c r="A3600" s="282" t="inlineStr">
        <is>
          <t>2020-10-23</t>
        </is>
      </c>
      <c r="B3600" s="240">
        <f>IFERROR(1/P3600-1,B3599)</f>
        <v/>
      </c>
      <c r="C3600" s="240">
        <f>$C$3</f>
        <v/>
      </c>
      <c r="D3600" s="240">
        <f>$D$3</f>
        <v/>
      </c>
      <c r="E3600" s="240">
        <f>$E$3</f>
        <v/>
      </c>
      <c r="F3600" s="241" t="n">
        <v>10.75</v>
      </c>
      <c r="G3600" s="242" t="n">
        <v>22146591</v>
      </c>
      <c r="H3600" s="241" t="n">
        <v>-1.92</v>
      </c>
      <c r="I3600" s="241" t="n">
        <v>-1.56</v>
      </c>
      <c r="J3600" s="241" t="n">
        <v>19.32</v>
      </c>
      <c r="K3600" s="241" t="n">
        <v>5.34</v>
      </c>
      <c r="L3600" s="242" t="n">
        <v>2612400</v>
      </c>
      <c r="M3600" s="241" t="n">
        <v>0.16</v>
      </c>
      <c r="N3600" s="241" t="n">
        <v>5.25</v>
      </c>
      <c r="O3600" s="241" t="n">
        <v>38.65</v>
      </c>
      <c r="P3600" s="241" t="n">
        <v>2.01</v>
      </c>
    </row>
    <row r="3601">
      <c r="A3601" s="282" t="inlineStr">
        <is>
          <t>2020-10-26</t>
        </is>
      </c>
      <c r="B3601" s="240">
        <f>IFERROR(1/P3601-1,B3600)</f>
        <v/>
      </c>
      <c r="C3601" s="240">
        <f>$C$3</f>
        <v/>
      </c>
      <c r="D3601" s="240">
        <f>$D$3</f>
        <v/>
      </c>
      <c r="E3601" s="240">
        <f>$E$3</f>
        <v/>
      </c>
      <c r="F3601" s="241" t="n">
        <v>10.9</v>
      </c>
      <c r="G3601" s="242" t="n">
        <v>16978370</v>
      </c>
      <c r="H3601" s="241" t="n">
        <v>1.4</v>
      </c>
      <c r="I3601" s="241" t="n">
        <v>2.44</v>
      </c>
      <c r="J3601" s="241" t="n">
        <v>20.99</v>
      </c>
      <c r="K3601" s="239" t="inlineStr">
        <is>
          <t>--</t>
        </is>
      </c>
      <c r="L3601" s="239" t="inlineStr">
        <is>
          <t>--</t>
        </is>
      </c>
      <c r="M3601" s="239" t="inlineStr">
        <is>
          <t>--</t>
        </is>
      </c>
      <c r="N3601" s="239" t="inlineStr">
        <is>
          <t>--</t>
        </is>
      </c>
      <c r="O3601" s="239" t="inlineStr">
        <is>
          <t>--</t>
        </is>
      </c>
      <c r="P3601" s="239" t="inlineStr">
        <is>
          <t>--</t>
        </is>
      </c>
    </row>
    <row r="3602">
      <c r="A3602" s="282" t="inlineStr">
        <is>
          <t>2020-10-27</t>
        </is>
      </c>
      <c r="B3602" s="240">
        <f>IFERROR(1/P3602-1,B3601)</f>
        <v/>
      </c>
      <c r="C3602" s="240">
        <f>$C$3</f>
        <v/>
      </c>
      <c r="D3602" s="240">
        <f>$D$3</f>
        <v/>
      </c>
      <c r="E3602" s="240">
        <f>$E$3</f>
        <v/>
      </c>
      <c r="F3602" s="241" t="n">
        <v>10.81</v>
      </c>
      <c r="G3602" s="242" t="n">
        <v>17002764</v>
      </c>
      <c r="H3602" s="241" t="n">
        <v>-0.83</v>
      </c>
      <c r="I3602" s="241" t="n">
        <v>1.6</v>
      </c>
      <c r="J3602" s="241" t="n">
        <v>19.99</v>
      </c>
      <c r="K3602" s="241" t="n">
        <v>5.17</v>
      </c>
      <c r="L3602" s="242" t="n">
        <v>3039000</v>
      </c>
      <c r="M3602" s="241" t="n">
        <v>-3.7</v>
      </c>
      <c r="N3602" s="241" t="n">
        <v>8.73</v>
      </c>
      <c r="O3602" s="241" t="n">
        <v>33.51</v>
      </c>
      <c r="P3602" s="241" t="n">
        <v>2.09</v>
      </c>
    </row>
    <row r="3603">
      <c r="A3603" s="282" t="inlineStr">
        <is>
          <t>2020-10-28</t>
        </is>
      </c>
      <c r="B3603" s="240">
        <f>IFERROR(1/P3603-1,B3602)</f>
        <v/>
      </c>
      <c r="C3603" s="240">
        <f>$C$3</f>
        <v/>
      </c>
      <c r="D3603" s="240">
        <f>$D$3</f>
        <v/>
      </c>
      <c r="E3603" s="240">
        <f>$E$3</f>
        <v/>
      </c>
      <c r="F3603" s="241" t="n">
        <v>10.98</v>
      </c>
      <c r="G3603" s="242" t="n">
        <v>24424487</v>
      </c>
      <c r="H3603" s="241" t="n">
        <v>1.57</v>
      </c>
      <c r="I3603" s="241" t="n">
        <v>3.2</v>
      </c>
      <c r="J3603" s="241" t="n">
        <v>21.87</v>
      </c>
      <c r="K3603" s="241" t="n">
        <v>5.06</v>
      </c>
      <c r="L3603" s="242" t="n">
        <v>5235600</v>
      </c>
      <c r="M3603" s="241" t="n">
        <v>-2.34</v>
      </c>
      <c r="N3603" s="241" t="n">
        <v>6.18</v>
      </c>
      <c r="O3603" s="241" t="n">
        <v>30.39</v>
      </c>
      <c r="P3603" s="241" t="n">
        <v>2.17</v>
      </c>
    </row>
    <row r="3604">
      <c r="A3604" s="282" t="inlineStr">
        <is>
          <t>2020-10-29</t>
        </is>
      </c>
      <c r="B3604" s="240">
        <f>IFERROR(1/P3604-1,B3603)</f>
        <v/>
      </c>
      <c r="C3604" s="240">
        <f>$C$3</f>
        <v/>
      </c>
      <c r="D3604" s="240">
        <f>$D$3</f>
        <v/>
      </c>
      <c r="E3604" s="240">
        <f>$E$3</f>
        <v/>
      </c>
      <c r="F3604" s="241" t="n">
        <v>11.25</v>
      </c>
      <c r="G3604" s="242" t="n">
        <v>36781170</v>
      </c>
      <c r="H3604" s="241" t="n">
        <v>2.46</v>
      </c>
      <c r="I3604" s="241" t="n">
        <v>5.93</v>
      </c>
      <c r="J3604" s="241" t="n">
        <v>24.87</v>
      </c>
      <c r="K3604" s="241" t="n">
        <v>5.34</v>
      </c>
      <c r="L3604" s="242" t="n">
        <v>3718670</v>
      </c>
      <c r="M3604" s="241" t="n">
        <v>5.31</v>
      </c>
      <c r="N3604" s="241" t="n">
        <v>4.59</v>
      </c>
      <c r="O3604" s="241" t="n">
        <v>37.31</v>
      </c>
      <c r="P3604" s="241" t="n">
        <v>2.11</v>
      </c>
    </row>
    <row r="3605">
      <c r="A3605" s="282" t="inlineStr">
        <is>
          <t>2020-10-30</t>
        </is>
      </c>
      <c r="B3605" s="240">
        <f>IFERROR(1/P3605-1,B3604)</f>
        <v/>
      </c>
      <c r="C3605" s="240">
        <f>$C$3</f>
        <v/>
      </c>
      <c r="D3605" s="240">
        <f>$D$3</f>
        <v/>
      </c>
      <c r="E3605" s="240">
        <f>$E$3</f>
        <v/>
      </c>
      <c r="F3605" s="241" t="n">
        <v>10.6</v>
      </c>
      <c r="G3605" s="242" t="n">
        <v>61016673</v>
      </c>
      <c r="H3605" s="241" t="n">
        <v>-5.78</v>
      </c>
      <c r="I3605" s="241" t="n">
        <v>-3.02</v>
      </c>
      <c r="J3605" s="241" t="n">
        <v>17.66</v>
      </c>
      <c r="K3605" s="241" t="n">
        <v>4.68</v>
      </c>
      <c r="L3605" s="242" t="n">
        <v>6402670</v>
      </c>
      <c r="M3605" s="241" t="n">
        <v>-12.2</v>
      </c>
      <c r="N3605" s="241" t="n">
        <v>-7.22</v>
      </c>
      <c r="O3605" s="241" t="n">
        <v>20.56</v>
      </c>
      <c r="P3605" s="241" t="n">
        <v>2.26</v>
      </c>
    </row>
    <row r="3606">
      <c r="A3606" s="282" t="inlineStr">
        <is>
          <t>2020-11-02</t>
        </is>
      </c>
      <c r="B3606" s="240">
        <f>IFERROR(1/P3606-1,B3605)</f>
        <v/>
      </c>
      <c r="C3606" s="240">
        <f>$C$3</f>
        <v/>
      </c>
      <c r="D3606" s="240">
        <f>$D$3</f>
        <v/>
      </c>
      <c r="E3606" s="240">
        <f>$E$3</f>
        <v/>
      </c>
      <c r="F3606" s="241" t="n">
        <v>10.49</v>
      </c>
      <c r="G3606" s="242" t="n">
        <v>26300897</v>
      </c>
      <c r="H3606" s="241" t="n">
        <v>-1.04</v>
      </c>
      <c r="I3606" s="241" t="n">
        <v>3.25</v>
      </c>
      <c r="J3606" s="241" t="n">
        <v>16.44</v>
      </c>
      <c r="K3606" s="241" t="n">
        <v>4.75</v>
      </c>
      <c r="L3606" s="242" t="n">
        <v>1583400</v>
      </c>
      <c r="M3606" s="241" t="n">
        <v>1.67</v>
      </c>
      <c r="N3606" s="241" t="n">
        <v>-4.69</v>
      </c>
      <c r="O3606" s="241" t="n">
        <v>22.57</v>
      </c>
      <c r="P3606" s="241" t="n">
        <v>2.21</v>
      </c>
    </row>
    <row r="3607">
      <c r="A3607" s="282" t="inlineStr">
        <is>
          <t>2020-11-03</t>
        </is>
      </c>
      <c r="B3607" s="240">
        <f>IFERROR(1/P3607-1,B3606)</f>
        <v/>
      </c>
      <c r="C3607" s="240">
        <f>$C$3</f>
        <v/>
      </c>
      <c r="D3607" s="240">
        <f>$D$3</f>
        <v/>
      </c>
      <c r="E3607" s="240">
        <f>$E$3</f>
        <v/>
      </c>
      <c r="F3607" s="241" t="n">
        <v>10.65</v>
      </c>
      <c r="G3607" s="242" t="n">
        <v>24907960</v>
      </c>
      <c r="H3607" s="241" t="n">
        <v>1.53</v>
      </c>
      <c r="I3607" s="241" t="n">
        <v>4.82</v>
      </c>
      <c r="J3607" s="241" t="n">
        <v>18.21</v>
      </c>
      <c r="K3607" s="241" t="n">
        <v>4.8</v>
      </c>
      <c r="L3607" s="242" t="n">
        <v>1611000</v>
      </c>
      <c r="M3607" s="241" t="n">
        <v>1.27</v>
      </c>
      <c r="N3607" s="241" t="n">
        <v>-3.47</v>
      </c>
      <c r="O3607" s="241" t="n">
        <v>24.14</v>
      </c>
      <c r="P3607" s="241" t="n">
        <v>2.22</v>
      </c>
    </row>
    <row r="3608">
      <c r="A3608" s="282" t="inlineStr">
        <is>
          <t>2020-11-04</t>
        </is>
      </c>
      <c r="B3608" s="240">
        <f>IFERROR(1/P3608-1,B3607)</f>
        <v/>
      </c>
      <c r="C3608" s="240">
        <f>$C$3</f>
        <v/>
      </c>
      <c r="D3608" s="240">
        <f>$D$3</f>
        <v/>
      </c>
      <c r="E3608" s="240">
        <f>$E$3</f>
        <v/>
      </c>
      <c r="F3608" s="241" t="n">
        <v>10.32</v>
      </c>
      <c r="G3608" s="242" t="n">
        <v>29135122</v>
      </c>
      <c r="H3608" s="241" t="n">
        <v>-3.1</v>
      </c>
      <c r="I3608" s="241" t="n">
        <v>1.57</v>
      </c>
      <c r="J3608" s="241" t="n">
        <v>14.55</v>
      </c>
      <c r="K3608" s="241" t="n">
        <v>4.71</v>
      </c>
      <c r="L3608" s="242" t="n">
        <v>1201600</v>
      </c>
      <c r="M3608" s="241" t="n">
        <v>-1.62</v>
      </c>
      <c r="N3608" s="241" t="n">
        <v>-5.03</v>
      </c>
      <c r="O3608" s="241" t="n">
        <v>22.13</v>
      </c>
      <c r="P3608" s="241" t="n">
        <v>2.19</v>
      </c>
    </row>
    <row r="3609">
      <c r="A3609" s="282" t="inlineStr">
        <is>
          <t>2020-11-05</t>
        </is>
      </c>
      <c r="B3609" s="240">
        <f>IFERROR(1/P3609-1,B3608)</f>
        <v/>
      </c>
      <c r="C3609" s="240">
        <f>$C$3</f>
        <v/>
      </c>
      <c r="D3609" s="240">
        <f>$D$3</f>
        <v/>
      </c>
      <c r="E3609" s="240">
        <f>$E$3</f>
        <v/>
      </c>
      <c r="F3609" s="241" t="n">
        <v>10.66</v>
      </c>
      <c r="G3609" s="242" t="n">
        <v>28903702</v>
      </c>
      <c r="H3609" s="241" t="n">
        <v>3.29</v>
      </c>
      <c r="I3609" s="241" t="n">
        <v>4.92</v>
      </c>
      <c r="J3609" s="241" t="n">
        <v>18.32</v>
      </c>
      <c r="K3609" s="241" t="n">
        <v>4.9</v>
      </c>
      <c r="L3609" s="242" t="n">
        <v>1225600</v>
      </c>
      <c r="M3609" s="241" t="n">
        <v>3.84</v>
      </c>
      <c r="N3609" s="241" t="n">
        <v>-1.39</v>
      </c>
      <c r="O3609" s="241" t="n">
        <v>26.81</v>
      </c>
      <c r="P3609" s="241" t="n">
        <v>2.18</v>
      </c>
    </row>
    <row r="3610">
      <c r="A3610" s="282" t="inlineStr">
        <is>
          <t>2020-11-06</t>
        </is>
      </c>
      <c r="B3610" s="240">
        <f>IFERROR(1/P3610-1,B3609)</f>
        <v/>
      </c>
      <c r="C3610" s="240">
        <f>$C$3</f>
        <v/>
      </c>
      <c r="D3610" s="240">
        <f>$D$3</f>
        <v/>
      </c>
      <c r="E3610" s="240">
        <f>$E$3</f>
        <v/>
      </c>
      <c r="F3610" s="241" t="n">
        <v>10.48</v>
      </c>
      <c r="G3610" s="242" t="n">
        <v>20514470</v>
      </c>
      <c r="H3610" s="241" t="n">
        <v>-1.69</v>
      </c>
      <c r="I3610" s="241" t="n">
        <v>3.15</v>
      </c>
      <c r="J3610" s="241" t="n">
        <v>16.32</v>
      </c>
      <c r="K3610" s="241" t="n">
        <v>4.75</v>
      </c>
      <c r="L3610" s="242" t="n">
        <v>1189800</v>
      </c>
      <c r="M3610" s="241" t="n">
        <v>-2.11</v>
      </c>
      <c r="N3610" s="241" t="n">
        <v>-6.4</v>
      </c>
      <c r="O3610" s="241" t="n">
        <v>24.14</v>
      </c>
      <c r="P3610" s="241" t="n">
        <v>2.2</v>
      </c>
    </row>
    <row r="3611">
      <c r="A3611" s="282" t="inlineStr">
        <is>
          <t>2020-11-09</t>
        </is>
      </c>
      <c r="B3611" s="240">
        <f>IFERROR(1/P3611-1,B3610)</f>
        <v/>
      </c>
      <c r="C3611" s="240">
        <f>$C$3</f>
        <v/>
      </c>
      <c r="D3611" s="240">
        <f>$D$3</f>
        <v/>
      </c>
      <c r="E3611" s="240">
        <f>$E$3</f>
        <v/>
      </c>
      <c r="F3611" s="241" t="n">
        <v>10.88</v>
      </c>
      <c r="G3611" s="242" t="n">
        <v>30466627</v>
      </c>
      <c r="H3611" s="241" t="n">
        <v>3.82</v>
      </c>
      <c r="I3611" s="241" t="n">
        <v>7.09</v>
      </c>
      <c r="J3611" s="241" t="n">
        <v>20.76</v>
      </c>
      <c r="K3611" s="241" t="n">
        <v>4.96</v>
      </c>
      <c r="L3611" s="242" t="n">
        <v>2363200</v>
      </c>
      <c r="M3611" s="241" t="n">
        <v>4.68</v>
      </c>
      <c r="N3611" s="241" t="n">
        <v>-16.02</v>
      </c>
      <c r="O3611" s="241" t="n">
        <v>29.94</v>
      </c>
      <c r="P3611" s="241" t="n">
        <v>2.19</v>
      </c>
    </row>
    <row r="3612">
      <c r="A3612" s="282" t="inlineStr">
        <is>
          <t>2020-11-10</t>
        </is>
      </c>
      <c r="B3612" s="240">
        <f>IFERROR(1/P3612-1,B3611)</f>
        <v/>
      </c>
      <c r="C3612" s="240">
        <f>$C$3</f>
        <v/>
      </c>
      <c r="D3612" s="240">
        <f>$D$3</f>
        <v/>
      </c>
      <c r="E3612" s="240">
        <f>$E$3</f>
        <v/>
      </c>
      <c r="F3612" s="241" t="n">
        <v>10.61</v>
      </c>
      <c r="G3612" s="242" t="n">
        <v>24802607</v>
      </c>
      <c r="H3612" s="241" t="n">
        <v>-2.48</v>
      </c>
      <c r="I3612" s="241" t="n">
        <v>-5.1</v>
      </c>
      <c r="J3612" s="241" t="n">
        <v>17.77</v>
      </c>
      <c r="K3612" s="241" t="n">
        <v>4.78</v>
      </c>
      <c r="L3612" s="242" t="n">
        <v>2596800</v>
      </c>
      <c r="M3612" s="241" t="n">
        <v>-3.44</v>
      </c>
      <c r="N3612" s="241" t="n">
        <v>-17.72</v>
      </c>
      <c r="O3612" s="241" t="n">
        <v>25.47</v>
      </c>
      <c r="P3612" s="241" t="n">
        <v>2.22</v>
      </c>
    </row>
    <row r="3613">
      <c r="A3613" s="282" t="inlineStr">
        <is>
          <t>2020-11-11</t>
        </is>
      </c>
      <c r="B3613" s="240">
        <f>IFERROR(1/P3613-1,B3612)</f>
        <v/>
      </c>
      <c r="C3613" s="240">
        <f>$C$3</f>
        <v/>
      </c>
      <c r="D3613" s="240">
        <f>$D$3</f>
        <v/>
      </c>
      <c r="E3613" s="240">
        <f>$E$3</f>
        <v/>
      </c>
      <c r="F3613" s="241" t="n">
        <v>10.53</v>
      </c>
      <c r="G3613" s="242" t="n">
        <v>19722392</v>
      </c>
      <c r="H3613" s="241" t="n">
        <v>-0.75</v>
      </c>
      <c r="I3613" s="241" t="n">
        <v>-5.81</v>
      </c>
      <c r="J3613" s="241" t="n">
        <v>16.88</v>
      </c>
      <c r="K3613" s="241" t="n">
        <v>4.75</v>
      </c>
      <c r="L3613" s="242" t="n">
        <v>1607922</v>
      </c>
      <c r="M3613" s="241" t="n">
        <v>-0.71</v>
      </c>
      <c r="N3613" s="241" t="n">
        <v>-18.3</v>
      </c>
      <c r="O3613" s="241" t="n">
        <v>24.58</v>
      </c>
      <c r="P3613" s="241" t="n">
        <v>2.21</v>
      </c>
    </row>
    <row r="3614">
      <c r="A3614" s="282" t="inlineStr">
        <is>
          <t>2020-11-12</t>
        </is>
      </c>
      <c r="B3614" s="240">
        <f>IFERROR(1/P3614-1,B3613)</f>
        <v/>
      </c>
      <c r="C3614" s="240">
        <f>$C$3</f>
        <v/>
      </c>
      <c r="D3614" s="240">
        <f>$D$3</f>
        <v/>
      </c>
      <c r="E3614" s="240">
        <f>$E$3</f>
        <v/>
      </c>
      <c r="F3614" s="241" t="n">
        <v>10.36</v>
      </c>
      <c r="G3614" s="242" t="n">
        <v>16435866</v>
      </c>
      <c r="H3614" s="241" t="n">
        <v>-1.61</v>
      </c>
      <c r="I3614" s="241" t="n">
        <v>-7.33</v>
      </c>
      <c r="J3614" s="241" t="n">
        <v>14.99</v>
      </c>
      <c r="K3614" s="241" t="n">
        <v>4.79</v>
      </c>
      <c r="L3614" s="242" t="n">
        <v>790200</v>
      </c>
      <c r="M3614" s="241" t="n">
        <v>0.54</v>
      </c>
      <c r="N3614" s="241" t="n">
        <v>-17.86</v>
      </c>
      <c r="O3614" s="241" t="n">
        <v>25.25</v>
      </c>
      <c r="P3614" s="241" t="n">
        <v>2.16</v>
      </c>
    </row>
    <row r="3615">
      <c r="A3615" s="282" t="inlineStr">
        <is>
          <t>2020-11-13</t>
        </is>
      </c>
      <c r="B3615" s="240">
        <f>IFERROR(1/P3615-1,B3614)</f>
        <v/>
      </c>
      <c r="C3615" s="240">
        <f>$C$3</f>
        <v/>
      </c>
      <c r="D3615" s="240">
        <f>$D$3</f>
        <v/>
      </c>
      <c r="E3615" s="240">
        <f>$E$3</f>
        <v/>
      </c>
      <c r="F3615" s="241" t="n">
        <v>10.24</v>
      </c>
      <c r="G3615" s="242" t="n">
        <v>15905624</v>
      </c>
      <c r="H3615" s="241" t="n">
        <v>-1.16</v>
      </c>
      <c r="I3615" s="241" t="n">
        <v>-12.03</v>
      </c>
      <c r="J3615" s="241" t="n">
        <v>13.66</v>
      </c>
      <c r="K3615" s="241" t="n">
        <v>4.62</v>
      </c>
      <c r="L3615" s="242" t="n">
        <v>2619200</v>
      </c>
      <c r="M3615" s="241" t="n">
        <v>-3.57</v>
      </c>
      <c r="N3615" s="241" t="n">
        <v>-23.26</v>
      </c>
      <c r="O3615" s="241" t="n">
        <v>20.79</v>
      </c>
      <c r="P3615" s="241" t="n">
        <v>2.21</v>
      </c>
    </row>
    <row r="3616">
      <c r="A3616" s="282" t="inlineStr">
        <is>
          <t>2020-11-16</t>
        </is>
      </c>
      <c r="B3616" s="240">
        <f>IFERROR(1/P3616-1,B3615)</f>
        <v/>
      </c>
      <c r="C3616" s="240">
        <f>$C$3</f>
        <v/>
      </c>
      <c r="D3616" s="240">
        <f>$D$3</f>
        <v/>
      </c>
      <c r="E3616" s="240">
        <f>$E$3</f>
        <v/>
      </c>
      <c r="F3616" s="241" t="n">
        <v>10.39</v>
      </c>
      <c r="G3616" s="242" t="n">
        <v>17687271</v>
      </c>
      <c r="H3616" s="241" t="n">
        <v>1.46</v>
      </c>
      <c r="I3616" s="241" t="n">
        <v>-9.26</v>
      </c>
      <c r="J3616" s="241" t="n">
        <v>15.33</v>
      </c>
      <c r="K3616" s="241" t="n">
        <v>4.7</v>
      </c>
      <c r="L3616" s="242" t="n">
        <v>916000</v>
      </c>
      <c r="M3616" s="241" t="n">
        <v>2.03</v>
      </c>
      <c r="N3616" s="241" t="n">
        <v>-17.61</v>
      </c>
      <c r="O3616" s="241" t="n">
        <v>23.24</v>
      </c>
      <c r="P3616" s="241" t="n">
        <v>2.21</v>
      </c>
    </row>
    <row r="3617">
      <c r="A3617" s="282" t="inlineStr">
        <is>
          <t>2020-11-17</t>
        </is>
      </c>
      <c r="B3617" s="240">
        <f>IFERROR(1/P3617-1,B3616)</f>
        <v/>
      </c>
      <c r="C3617" s="240">
        <f>$C$3</f>
        <v/>
      </c>
      <c r="D3617" s="240">
        <f>$D$3</f>
        <v/>
      </c>
      <c r="E3617" s="240">
        <f>$E$3</f>
        <v/>
      </c>
      <c r="F3617" s="241" t="n">
        <v>10.31</v>
      </c>
      <c r="G3617" s="242" t="n">
        <v>13027201</v>
      </c>
      <c r="H3617" s="241" t="n">
        <v>-0.77</v>
      </c>
      <c r="I3617" s="241" t="n">
        <v>-9.800000000000001</v>
      </c>
      <c r="J3617" s="241" t="n">
        <v>14.44</v>
      </c>
      <c r="K3617" s="241" t="n">
        <v>4.62</v>
      </c>
      <c r="L3617" s="242" t="n">
        <v>909500</v>
      </c>
      <c r="M3617" s="241" t="n">
        <v>-1.27</v>
      </c>
      <c r="N3617" s="241" t="n">
        <v>-19.5</v>
      </c>
      <c r="O3617" s="241" t="n">
        <v>21.68</v>
      </c>
      <c r="P3617" s="241" t="n">
        <v>2.23</v>
      </c>
    </row>
    <row r="3618">
      <c r="A3618" s="282" t="inlineStr">
        <is>
          <t>2020-11-18</t>
        </is>
      </c>
      <c r="B3618" s="240">
        <f>IFERROR(1/P3618-1,B3617)</f>
        <v/>
      </c>
      <c r="C3618" s="240">
        <f>$C$3</f>
        <v/>
      </c>
      <c r="D3618" s="240">
        <f>$D$3</f>
        <v/>
      </c>
      <c r="E3618" s="240">
        <f>$E$3</f>
        <v/>
      </c>
      <c r="F3618" s="241" t="n">
        <v>10.43</v>
      </c>
      <c r="G3618" s="242" t="n">
        <v>16751905</v>
      </c>
      <c r="H3618" s="241" t="n">
        <v>1.16</v>
      </c>
      <c r="I3618" s="241" t="n">
        <v>-8.75</v>
      </c>
      <c r="J3618" s="241" t="n">
        <v>15.77</v>
      </c>
      <c r="K3618" s="241" t="n">
        <v>4.72</v>
      </c>
      <c r="L3618" s="242" t="n">
        <v>1412800</v>
      </c>
      <c r="M3618" s="241" t="n">
        <v>2.39</v>
      </c>
      <c r="N3618" s="241" t="n">
        <v>-17.58</v>
      </c>
      <c r="O3618" s="241" t="n">
        <v>24.58</v>
      </c>
      <c r="P3618" s="241" t="n">
        <v>2.21</v>
      </c>
    </row>
    <row r="3619">
      <c r="A3619" s="282" t="inlineStr">
        <is>
          <t>2020-11-19</t>
        </is>
      </c>
      <c r="B3619" s="240">
        <f>IFERROR(1/P3619-1,B3618)</f>
        <v/>
      </c>
      <c r="C3619" s="240">
        <f>$C$3</f>
        <v/>
      </c>
      <c r="D3619" s="240">
        <f>$D$3</f>
        <v/>
      </c>
      <c r="E3619" s="240">
        <f>$E$3</f>
        <v/>
      </c>
      <c r="F3619" s="241" t="n">
        <v>10.37</v>
      </c>
      <c r="G3619" s="242" t="n">
        <v>11459201</v>
      </c>
      <c r="H3619" s="241" t="n">
        <v>-0.58</v>
      </c>
      <c r="I3619" s="241" t="n">
        <v>-9.27</v>
      </c>
      <c r="J3619" s="241" t="n">
        <v>15.1</v>
      </c>
      <c r="K3619" s="241" t="n">
        <v>4.64</v>
      </c>
      <c r="L3619" s="242" t="n">
        <v>1030000</v>
      </c>
      <c r="M3619" s="241" t="n">
        <v>-1.61</v>
      </c>
      <c r="N3619" s="241" t="n">
        <v>-18.91</v>
      </c>
      <c r="O3619" s="241" t="n">
        <v>22.57</v>
      </c>
      <c r="P3619" s="241" t="n">
        <v>2.24</v>
      </c>
    </row>
    <row r="3620">
      <c r="A3620" s="282" t="inlineStr">
        <is>
          <t>2020-11-20</t>
        </is>
      </c>
      <c r="B3620" s="240">
        <f>IFERROR(1/P3620-1,B3619)</f>
        <v/>
      </c>
      <c r="C3620" s="240">
        <f>$C$3</f>
        <v/>
      </c>
      <c r="D3620" s="240">
        <f>$D$3</f>
        <v/>
      </c>
      <c r="E3620" s="240">
        <f>$E$3</f>
        <v/>
      </c>
      <c r="F3620" s="241" t="n">
        <v>10.32</v>
      </c>
      <c r="G3620" s="242" t="n">
        <v>15899404</v>
      </c>
      <c r="H3620" s="241" t="n">
        <v>-0.48</v>
      </c>
      <c r="I3620" s="241" t="n">
        <v>-7.53</v>
      </c>
      <c r="J3620" s="241" t="n">
        <v>14.55</v>
      </c>
      <c r="K3620" s="241" t="n">
        <v>4.51</v>
      </c>
      <c r="L3620" s="242" t="n">
        <v>7014600</v>
      </c>
      <c r="M3620" s="241" t="n">
        <v>-3.1</v>
      </c>
      <c r="N3620" s="241" t="n">
        <v>-14.61</v>
      </c>
      <c r="O3620" s="241" t="n">
        <v>18.78</v>
      </c>
      <c r="P3620" s="241" t="n">
        <v>2.29</v>
      </c>
    </row>
    <row r="3621">
      <c r="A3621" s="282" t="inlineStr">
        <is>
          <t>2020-11-23</t>
        </is>
      </c>
      <c r="B3621" s="240">
        <f>IFERROR(1/P3621-1,B3620)</f>
        <v/>
      </c>
      <c r="C3621" s="240">
        <f>$C$3</f>
        <v/>
      </c>
      <c r="D3621" s="240">
        <f>$D$3</f>
        <v/>
      </c>
      <c r="E3621" s="240">
        <f>$E$3</f>
        <v/>
      </c>
      <c r="F3621" s="241" t="n">
        <v>10.55</v>
      </c>
      <c r="G3621" s="242" t="n">
        <v>23642837</v>
      </c>
      <c r="H3621" s="241" t="n">
        <v>2.23</v>
      </c>
      <c r="I3621" s="241" t="n">
        <v>-3.74</v>
      </c>
      <c r="J3621" s="241" t="n">
        <v>17.1</v>
      </c>
      <c r="K3621" s="241" t="n">
        <v>4.92</v>
      </c>
      <c r="L3621" s="242" t="n">
        <v>4356200</v>
      </c>
      <c r="M3621" s="241" t="n">
        <v>9.02</v>
      </c>
      <c r="N3621" s="241" t="n">
        <v>-6.45</v>
      </c>
      <c r="O3621" s="241" t="n">
        <v>29.49</v>
      </c>
      <c r="P3621" s="241" t="n">
        <v>2.15</v>
      </c>
    </row>
    <row r="3622">
      <c r="A3622" s="282" t="inlineStr">
        <is>
          <t>2020-11-24</t>
        </is>
      </c>
      <c r="B3622" s="240">
        <f>IFERROR(1/P3622-1,B3621)</f>
        <v/>
      </c>
      <c r="C3622" s="240">
        <f>$C$3</f>
        <v/>
      </c>
      <c r="D3622" s="240">
        <f>$D$3</f>
        <v/>
      </c>
      <c r="E3622" s="240">
        <f>$E$3</f>
        <v/>
      </c>
      <c r="F3622" s="241" t="n">
        <v>10.64</v>
      </c>
      <c r="G3622" s="242" t="n">
        <v>23555527</v>
      </c>
      <c r="H3622" s="241" t="n">
        <v>0.85</v>
      </c>
      <c r="I3622" s="241" t="n">
        <v>-1.02</v>
      </c>
      <c r="J3622" s="241" t="n">
        <v>18.1</v>
      </c>
      <c r="K3622" s="241" t="n">
        <v>5.01</v>
      </c>
      <c r="L3622" s="242" t="n">
        <v>4686200</v>
      </c>
      <c r="M3622" s="241" t="n">
        <v>1.72</v>
      </c>
      <c r="N3622" s="241" t="n">
        <v>-4.99</v>
      </c>
      <c r="O3622" s="241" t="n">
        <v>31.73</v>
      </c>
      <c r="P3622" s="241" t="n">
        <v>2.12</v>
      </c>
    </row>
    <row r="3623">
      <c r="A3623" s="282" t="inlineStr">
        <is>
          <t>2020-11-25</t>
        </is>
      </c>
      <c r="B3623" s="240">
        <f>IFERROR(1/P3623-1,B3622)</f>
        <v/>
      </c>
      <c r="C3623" s="240">
        <f>$C$3</f>
        <v/>
      </c>
      <c r="D3623" s="240">
        <f>$D$3</f>
        <v/>
      </c>
      <c r="E3623" s="240">
        <f>$E$3</f>
        <v/>
      </c>
      <c r="F3623" s="241" t="n">
        <v>10.92</v>
      </c>
      <c r="G3623" s="242" t="n">
        <v>54763512</v>
      </c>
      <c r="H3623" s="241" t="n">
        <v>2.63</v>
      </c>
      <c r="I3623" s="241" t="n">
        <v>1.58</v>
      </c>
      <c r="J3623" s="241" t="n">
        <v>21.21</v>
      </c>
      <c r="K3623" s="241" t="n">
        <v>5.06</v>
      </c>
      <c r="L3623" s="242" t="n">
        <v>4299600</v>
      </c>
      <c r="M3623" s="241" t="n">
        <v>1.19</v>
      </c>
      <c r="N3623" s="241" t="n">
        <v>-3.86</v>
      </c>
      <c r="O3623" s="241" t="n">
        <v>33.29</v>
      </c>
      <c r="P3623" s="241" t="n">
        <v>2.16</v>
      </c>
    </row>
    <row r="3624">
      <c r="A3624" s="282" t="inlineStr">
        <is>
          <t>2020-11-26</t>
        </is>
      </c>
      <c r="B3624" s="240">
        <f>IFERROR(1/P3624-1,B3623)</f>
        <v/>
      </c>
      <c r="C3624" s="240">
        <f>$C$3</f>
        <v/>
      </c>
      <c r="D3624" s="240">
        <f>$D$3</f>
        <v/>
      </c>
      <c r="E3624" s="240">
        <f>$E$3</f>
        <v/>
      </c>
      <c r="F3624" s="241" t="n">
        <v>10.86</v>
      </c>
      <c r="G3624" s="242" t="n">
        <v>27493895</v>
      </c>
      <c r="H3624" s="241" t="n">
        <v>-0.55</v>
      </c>
      <c r="I3624" s="241" t="n">
        <v>1.02</v>
      </c>
      <c r="J3624" s="241" t="n">
        <v>20.54</v>
      </c>
      <c r="K3624" s="241" t="n">
        <v>4.94</v>
      </c>
      <c r="L3624" s="242" t="n">
        <v>1667400</v>
      </c>
      <c r="M3624" s="241" t="n">
        <v>-2.51</v>
      </c>
      <c r="N3624" s="241" t="n">
        <v>-6.28</v>
      </c>
      <c r="O3624" s="241" t="n">
        <v>29.94</v>
      </c>
      <c r="P3624" s="241" t="n">
        <v>2.2</v>
      </c>
    </row>
    <row r="3625">
      <c r="A3625" s="282" t="inlineStr">
        <is>
          <t>2020-11-27</t>
        </is>
      </c>
      <c r="B3625" s="240">
        <f>IFERROR(1/P3625-1,B3624)</f>
        <v/>
      </c>
      <c r="C3625" s="240">
        <f>$C$3</f>
        <v/>
      </c>
      <c r="D3625" s="240">
        <f>$D$3</f>
        <v/>
      </c>
      <c r="E3625" s="240">
        <f>$E$3</f>
        <v/>
      </c>
      <c r="F3625" s="241" t="n">
        <v>10.89</v>
      </c>
      <c r="G3625" s="242" t="n">
        <v>20982089</v>
      </c>
      <c r="H3625" s="241" t="n">
        <v>0.28</v>
      </c>
      <c r="I3625" s="241" t="n">
        <v>-0.09</v>
      </c>
      <c r="J3625" s="241" t="n">
        <v>20.88</v>
      </c>
      <c r="K3625" s="241" t="n">
        <v>5.25</v>
      </c>
      <c r="L3625" s="242" t="n">
        <v>3268000</v>
      </c>
      <c r="M3625" s="241" t="n">
        <v>6.36</v>
      </c>
      <c r="N3625" s="241" t="n">
        <v>-0.32</v>
      </c>
      <c r="O3625" s="241" t="n">
        <v>38.2</v>
      </c>
      <c r="P3625" s="241" t="n">
        <v>2.07</v>
      </c>
    </row>
    <row r="3626">
      <c r="A3626" s="282" t="inlineStr">
        <is>
          <t>2020-11-30</t>
        </is>
      </c>
      <c r="B3626" s="240">
        <f>IFERROR(1/P3626-1,B3625)</f>
        <v/>
      </c>
      <c r="C3626" s="240">
        <f>$C$3</f>
        <v/>
      </c>
      <c r="D3626" s="240">
        <f>$D$3</f>
        <v/>
      </c>
      <c r="E3626" s="240">
        <f>$E$3</f>
        <v/>
      </c>
      <c r="F3626" s="241" t="n">
        <v>10.62</v>
      </c>
      <c r="G3626" s="242" t="n">
        <v>34147789</v>
      </c>
      <c r="H3626" s="241" t="n">
        <v>-2.48</v>
      </c>
      <c r="I3626" s="241" t="n">
        <v>-5.6</v>
      </c>
      <c r="J3626" s="241" t="n">
        <v>17.88</v>
      </c>
      <c r="K3626" s="241" t="n">
        <v>4.91</v>
      </c>
      <c r="L3626" s="242" t="n">
        <v>3368600</v>
      </c>
      <c r="M3626" s="241" t="n">
        <v>-6.62</v>
      </c>
      <c r="N3626" s="241" t="n">
        <v>-6.02</v>
      </c>
      <c r="O3626" s="241" t="n">
        <v>29.05</v>
      </c>
      <c r="P3626" s="241" t="n">
        <v>2.17</v>
      </c>
    </row>
    <row r="3627">
      <c r="A3627" s="282" t="inlineStr">
        <is>
          <t>2020-12-01</t>
        </is>
      </c>
      <c r="B3627" s="240">
        <f>IFERROR(1/P3627-1,B3626)</f>
        <v/>
      </c>
      <c r="C3627" s="240">
        <f>$C$3</f>
        <v/>
      </c>
      <c r="D3627" s="240">
        <f>$D$3</f>
        <v/>
      </c>
      <c r="E3627" s="240">
        <f>$E$3</f>
        <v/>
      </c>
      <c r="F3627" s="241" t="n">
        <v>10.91</v>
      </c>
      <c r="G3627" s="242" t="n">
        <v>28197219</v>
      </c>
      <c r="H3627" s="241" t="n">
        <v>2.73</v>
      </c>
      <c r="I3627" s="241" t="n">
        <v>2.92</v>
      </c>
      <c r="J3627" s="241" t="n">
        <v>21.1</v>
      </c>
      <c r="K3627" s="241" t="n">
        <v>5.05</v>
      </c>
      <c r="L3627" s="242" t="n">
        <v>2043000</v>
      </c>
      <c r="M3627" s="241" t="n">
        <v>2.77</v>
      </c>
      <c r="N3627" s="241" t="n">
        <v>10</v>
      </c>
      <c r="O3627" s="241" t="n">
        <v>32.62</v>
      </c>
      <c r="P3627" s="241" t="n">
        <v>2.16</v>
      </c>
    </row>
    <row r="3628">
      <c r="A3628" s="282" t="inlineStr">
        <is>
          <t>2020-12-02</t>
        </is>
      </c>
      <c r="B3628" s="240">
        <f>IFERROR(1/P3628-1,B3627)</f>
        <v/>
      </c>
      <c r="C3628" s="240">
        <f>$C$3</f>
        <v/>
      </c>
      <c r="D3628" s="240">
        <f>$D$3</f>
        <v/>
      </c>
      <c r="E3628" s="240">
        <f>$E$3</f>
        <v/>
      </c>
      <c r="F3628" s="241" t="n">
        <v>10.88</v>
      </c>
      <c r="G3628" s="242" t="n">
        <v>29223885</v>
      </c>
      <c r="H3628" s="241" t="n">
        <v>-0.28</v>
      </c>
      <c r="I3628" s="241" t="n">
        <v>2.64</v>
      </c>
      <c r="J3628" s="241" t="n">
        <v>20.76</v>
      </c>
      <c r="K3628" s="241" t="n">
        <v>5.26</v>
      </c>
      <c r="L3628" s="242" t="n">
        <v>6154800</v>
      </c>
      <c r="M3628" s="241" t="n">
        <v>4.71</v>
      </c>
      <c r="N3628" s="241" t="n">
        <v>15.19</v>
      </c>
      <c r="O3628" s="241" t="n">
        <v>38.87</v>
      </c>
      <c r="P3628" s="241" t="n">
        <v>2.07</v>
      </c>
    </row>
    <row r="3629">
      <c r="A3629" s="282" t="inlineStr">
        <is>
          <t>2020-12-03</t>
        </is>
      </c>
      <c r="B3629" s="240">
        <f>IFERROR(1/P3629-1,B3628)</f>
        <v/>
      </c>
      <c r="C3629" s="240">
        <f>$C$3</f>
        <v/>
      </c>
      <c r="D3629" s="240">
        <f>$D$3</f>
        <v/>
      </c>
      <c r="E3629" s="240">
        <f>$E$3</f>
        <v/>
      </c>
      <c r="F3629" s="241" t="n">
        <v>10.66</v>
      </c>
      <c r="G3629" s="242" t="n">
        <v>20797241</v>
      </c>
      <c r="H3629" s="241" t="n">
        <v>-2.02</v>
      </c>
      <c r="I3629" s="241" t="n">
        <v>1.62</v>
      </c>
      <c r="J3629" s="241" t="n">
        <v>18.32</v>
      </c>
      <c r="K3629" s="241" t="n">
        <v>5.11</v>
      </c>
      <c r="L3629" s="242" t="n">
        <v>4083400</v>
      </c>
      <c r="M3629" s="241" t="n">
        <v>-2.89</v>
      </c>
      <c r="N3629" s="241" t="n">
        <v>10.02</v>
      </c>
      <c r="O3629" s="241" t="n">
        <v>34.85</v>
      </c>
      <c r="P3629" s="241" t="n">
        <v>2.09</v>
      </c>
    </row>
    <row r="3630">
      <c r="A3630" s="282" t="inlineStr">
        <is>
          <t>2020-12-04</t>
        </is>
      </c>
      <c r="B3630" s="240">
        <f>IFERROR(1/P3630-1,B3629)</f>
        <v/>
      </c>
      <c r="C3630" s="240">
        <f>$C$3</f>
        <v/>
      </c>
      <c r="D3630" s="240">
        <f>$D$3</f>
        <v/>
      </c>
      <c r="E3630" s="240">
        <f>$E$3</f>
        <v/>
      </c>
      <c r="F3630" s="241" t="n">
        <v>10.58</v>
      </c>
      <c r="G3630" s="242" t="n">
        <v>15542551</v>
      </c>
      <c r="H3630" s="241" t="n">
        <v>-0.75</v>
      </c>
      <c r="I3630" s="241" t="n">
        <v>-0.66</v>
      </c>
      <c r="J3630" s="241" t="n">
        <v>17.43</v>
      </c>
      <c r="K3630" s="241" t="n">
        <v>4.88</v>
      </c>
      <c r="L3630" s="242" t="n">
        <v>3023000</v>
      </c>
      <c r="M3630" s="241" t="n">
        <v>-4.3</v>
      </c>
      <c r="N3630" s="241" t="n">
        <v>3.96</v>
      </c>
      <c r="O3630" s="241" t="n">
        <v>29.05</v>
      </c>
      <c r="P3630" s="241" t="n">
        <v>2.17</v>
      </c>
    </row>
    <row r="3631">
      <c r="A3631" s="282" t="inlineStr">
        <is>
          <t>2020-12-07</t>
        </is>
      </c>
      <c r="B3631" s="240">
        <f>IFERROR(1/P3631-1,B3630)</f>
        <v/>
      </c>
      <c r="C3631" s="240">
        <f>$C$3</f>
        <v/>
      </c>
      <c r="D3631" s="240">
        <f>$D$3</f>
        <v/>
      </c>
      <c r="E3631" s="240">
        <f>$E$3</f>
        <v/>
      </c>
      <c r="F3631" s="241" t="n">
        <v>10.57</v>
      </c>
      <c r="G3631" s="242" t="n">
        <v>16400500</v>
      </c>
      <c r="H3631" s="241" t="n">
        <v>-0.09</v>
      </c>
      <c r="I3631" s="241" t="n">
        <v>0.86</v>
      </c>
      <c r="J3631" s="241" t="n">
        <v>17.32</v>
      </c>
      <c r="K3631" s="241" t="n">
        <v>4.76</v>
      </c>
      <c r="L3631" s="242" t="n">
        <v>2173200</v>
      </c>
      <c r="M3631" s="241" t="n">
        <v>-2.25</v>
      </c>
      <c r="N3631" s="241" t="n">
        <v>1.62</v>
      </c>
      <c r="O3631" s="241" t="n">
        <v>26.14</v>
      </c>
      <c r="P3631" s="241" t="n">
        <v>2.22</v>
      </c>
    </row>
    <row r="3632">
      <c r="A3632" s="282" t="inlineStr">
        <is>
          <t>2020-12-08</t>
        </is>
      </c>
      <c r="B3632" s="240">
        <f>IFERROR(1/P3632-1,B3631)</f>
        <v/>
      </c>
      <c r="C3632" s="240">
        <f>$C$3</f>
        <v/>
      </c>
      <c r="D3632" s="240">
        <f>$D$3</f>
        <v/>
      </c>
      <c r="E3632" s="240">
        <f>$E$3</f>
        <v/>
      </c>
      <c r="F3632" s="241" t="n">
        <v>10.69</v>
      </c>
      <c r="G3632" s="242" t="n">
        <v>18462327</v>
      </c>
      <c r="H3632" s="241" t="n">
        <v>1.14</v>
      </c>
      <c r="I3632" s="241" t="n">
        <v>2</v>
      </c>
      <c r="J3632" s="241" t="n">
        <v>18.66</v>
      </c>
      <c r="K3632" s="241" t="n">
        <v>4.86</v>
      </c>
      <c r="L3632" s="242" t="n">
        <v>2100600</v>
      </c>
      <c r="M3632" s="241" t="n">
        <v>2.12</v>
      </c>
      <c r="N3632" s="241" t="n">
        <v>3.78</v>
      </c>
      <c r="O3632" s="241" t="n">
        <v>28.82</v>
      </c>
      <c r="P3632" s="241" t="n">
        <v>2.2</v>
      </c>
    </row>
    <row r="3633">
      <c r="A3633" s="282" t="inlineStr">
        <is>
          <t>2020-12-09</t>
        </is>
      </c>
      <c r="B3633" s="240">
        <f>IFERROR(1/P3633-1,B3632)</f>
        <v/>
      </c>
      <c r="C3633" s="240">
        <f>$C$3</f>
        <v/>
      </c>
      <c r="D3633" s="240">
        <f>$D$3</f>
        <v/>
      </c>
      <c r="E3633" s="240">
        <f>$E$3</f>
        <v/>
      </c>
      <c r="F3633" s="241" t="n">
        <v>10.25</v>
      </c>
      <c r="G3633" s="242" t="n">
        <v>31720201</v>
      </c>
      <c r="H3633" s="241" t="n">
        <v>-4.12</v>
      </c>
      <c r="I3633" s="241" t="n">
        <v>-2.19</v>
      </c>
      <c r="J3633" s="241" t="n">
        <v>13.77</v>
      </c>
      <c r="K3633" s="241" t="n">
        <v>4.67</v>
      </c>
      <c r="L3633" s="242" t="n">
        <v>3896158</v>
      </c>
      <c r="M3633" s="241" t="n">
        <v>-3.99</v>
      </c>
      <c r="N3633" s="241" t="n">
        <v>-0.36</v>
      </c>
      <c r="O3633" s="241" t="n">
        <v>23.69</v>
      </c>
      <c r="P3633" s="241" t="n">
        <v>2.2</v>
      </c>
    </row>
    <row r="3634">
      <c r="A3634" s="282" t="inlineStr">
        <is>
          <t>2020-12-10</t>
        </is>
      </c>
      <c r="B3634" s="240">
        <f>IFERROR(1/P3634-1,B3633)</f>
        <v/>
      </c>
      <c r="C3634" s="240">
        <f>$C$3</f>
        <v/>
      </c>
      <c r="D3634" s="240">
        <f>$D$3</f>
        <v/>
      </c>
      <c r="E3634" s="240">
        <f>$E$3</f>
        <v/>
      </c>
      <c r="F3634" s="241" t="n">
        <v>10.19</v>
      </c>
      <c r="G3634" s="242" t="n">
        <v>14665792</v>
      </c>
      <c r="H3634" s="241" t="n">
        <v>-0.59</v>
      </c>
      <c r="I3634" s="241" t="n">
        <v>-6.34</v>
      </c>
      <c r="J3634" s="241" t="n">
        <v>13.11</v>
      </c>
      <c r="K3634" s="241" t="n">
        <v>4.6</v>
      </c>
      <c r="L3634" s="242" t="n">
        <v>1058600</v>
      </c>
      <c r="M3634" s="241" t="n">
        <v>-1.62</v>
      </c>
      <c r="N3634" s="241" t="n">
        <v>-6.36</v>
      </c>
      <c r="O3634" s="241" t="n">
        <v>21.68</v>
      </c>
      <c r="P3634" s="241" t="n">
        <v>2.21</v>
      </c>
    </row>
    <row r="3635">
      <c r="A3635" s="282" t="inlineStr">
        <is>
          <t>2020-12-11</t>
        </is>
      </c>
      <c r="B3635" s="240">
        <f>IFERROR(1/P3635-1,B3634)</f>
        <v/>
      </c>
      <c r="C3635" s="240">
        <f>$C$3</f>
        <v/>
      </c>
      <c r="D3635" s="240">
        <f>$D$3</f>
        <v/>
      </c>
      <c r="E3635" s="240">
        <f>$E$3</f>
        <v/>
      </c>
      <c r="F3635" s="241" t="n">
        <v>9.9</v>
      </c>
      <c r="G3635" s="242" t="n">
        <v>28760480</v>
      </c>
      <c r="H3635" s="241" t="n">
        <v>-2.85</v>
      </c>
      <c r="I3635" s="241" t="n">
        <v>-6.69</v>
      </c>
      <c r="J3635" s="241" t="n">
        <v>9.890000000000001</v>
      </c>
      <c r="K3635" s="241" t="n">
        <v>4.55</v>
      </c>
      <c r="L3635" s="242" t="n">
        <v>2025800</v>
      </c>
      <c r="M3635" s="241" t="n">
        <v>-1.1</v>
      </c>
      <c r="N3635" s="241" t="n">
        <v>-4.09</v>
      </c>
      <c r="O3635" s="241" t="n">
        <v>20.34</v>
      </c>
      <c r="P3635" s="241" t="n">
        <v>2.18</v>
      </c>
    </row>
    <row r="3636">
      <c r="A3636" s="282" t="inlineStr">
        <is>
          <t>2020-12-14</t>
        </is>
      </c>
      <c r="B3636" s="240">
        <f>IFERROR(1/P3636-1,B3635)</f>
        <v/>
      </c>
      <c r="C3636" s="240">
        <f>$C$3</f>
        <v/>
      </c>
      <c r="D3636" s="240">
        <f>$D$3</f>
        <v/>
      </c>
      <c r="E3636" s="240">
        <f>$E$3</f>
        <v/>
      </c>
      <c r="F3636" s="241" t="n">
        <v>10.01</v>
      </c>
      <c r="G3636" s="242" t="n">
        <v>11261420</v>
      </c>
      <c r="H3636" s="241" t="n">
        <v>1.11</v>
      </c>
      <c r="I3636" s="241" t="n">
        <v>-2.25</v>
      </c>
      <c r="J3636" s="241" t="n">
        <v>11.11</v>
      </c>
      <c r="K3636" s="241" t="n">
        <v>4.71</v>
      </c>
      <c r="L3636" s="242" t="n">
        <v>1858400</v>
      </c>
      <c r="M3636" s="241" t="n">
        <v>3.52</v>
      </c>
      <c r="N3636" s="241" t="n">
        <v>3.14</v>
      </c>
      <c r="O3636" s="241" t="n">
        <v>24.58</v>
      </c>
      <c r="P3636" s="241" t="n">
        <v>2.13</v>
      </c>
    </row>
    <row r="3637">
      <c r="A3637" s="282" t="inlineStr">
        <is>
          <t>2020-12-15</t>
        </is>
      </c>
      <c r="B3637" s="240">
        <f>IFERROR(1/P3637-1,B3636)</f>
        <v/>
      </c>
      <c r="C3637" s="240">
        <f>$C$3</f>
        <v/>
      </c>
      <c r="D3637" s="240">
        <f>$D$3</f>
        <v/>
      </c>
      <c r="E3637" s="240">
        <f>$E$3</f>
        <v/>
      </c>
      <c r="F3637" s="241" t="n">
        <v>9.98</v>
      </c>
      <c r="G3637" s="242" t="n">
        <v>8530268</v>
      </c>
      <c r="H3637" s="241" t="n">
        <v>-0.3</v>
      </c>
      <c r="I3637" s="241" t="n">
        <v>-2.54</v>
      </c>
      <c r="J3637" s="241" t="n">
        <v>10.77</v>
      </c>
      <c r="K3637" s="241" t="n">
        <v>4.56</v>
      </c>
      <c r="L3637" s="242" t="n">
        <v>1573200</v>
      </c>
      <c r="M3637" s="241" t="n">
        <v>-3.23</v>
      </c>
      <c r="N3637" s="241" t="n">
        <v>-0.18</v>
      </c>
      <c r="O3637" s="241" t="n">
        <v>20.56</v>
      </c>
      <c r="P3637" s="241" t="n">
        <v>2.19</v>
      </c>
    </row>
    <row r="3638">
      <c r="A3638" s="282" t="inlineStr">
        <is>
          <t>2020-12-16</t>
        </is>
      </c>
      <c r="B3638" s="240">
        <f>IFERROR(1/P3638-1,B3637)</f>
        <v/>
      </c>
      <c r="C3638" s="240">
        <f>$C$3</f>
        <v/>
      </c>
      <c r="D3638" s="240">
        <f>$D$3</f>
        <v/>
      </c>
      <c r="E3638" s="240">
        <f>$E$3</f>
        <v/>
      </c>
      <c r="F3638" s="241" t="n">
        <v>9.949999999999999</v>
      </c>
      <c r="G3638" s="242" t="n">
        <v>9012962</v>
      </c>
      <c r="H3638" s="241" t="n">
        <v>-0.3</v>
      </c>
      <c r="I3638" s="241" t="n">
        <v>-2.83</v>
      </c>
      <c r="J3638" s="241" t="n">
        <v>10.44</v>
      </c>
      <c r="K3638" s="241" t="n">
        <v>4.53</v>
      </c>
      <c r="L3638" s="242" t="n">
        <v>855600</v>
      </c>
      <c r="M3638" s="241" t="n">
        <v>-0.5600000000000001</v>
      </c>
      <c r="N3638" s="241" t="n">
        <v>-0.74</v>
      </c>
      <c r="O3638" s="241" t="n">
        <v>19.89</v>
      </c>
      <c r="P3638" s="241" t="n">
        <v>2.2</v>
      </c>
    </row>
    <row r="3639">
      <c r="A3639" s="282" t="inlineStr">
        <is>
          <t>2020-12-17</t>
        </is>
      </c>
      <c r="B3639" s="240">
        <f>IFERROR(1/P3639-1,B3638)</f>
        <v/>
      </c>
      <c r="C3639" s="240">
        <f>$C$3</f>
        <v/>
      </c>
      <c r="D3639" s="240">
        <f>$D$3</f>
        <v/>
      </c>
      <c r="E3639" s="240">
        <f>$E$3</f>
        <v/>
      </c>
      <c r="F3639" s="241" t="n">
        <v>10.01</v>
      </c>
      <c r="G3639" s="242" t="n">
        <v>16141791</v>
      </c>
      <c r="H3639" s="241" t="n">
        <v>0.6</v>
      </c>
      <c r="I3639" s="241" t="n">
        <v>-3.66</v>
      </c>
      <c r="J3639" s="241" t="n">
        <v>11.11</v>
      </c>
      <c r="K3639" s="241" t="n">
        <v>4.5</v>
      </c>
      <c r="L3639" s="242" t="n">
        <v>2940200</v>
      </c>
      <c r="M3639" s="241" t="n">
        <v>-0.5600000000000001</v>
      </c>
      <c r="N3639" s="241" t="n">
        <v>-3.26</v>
      </c>
      <c r="O3639" s="241" t="n">
        <v>19.22</v>
      </c>
      <c r="P3639" s="241" t="n">
        <v>2.22</v>
      </c>
    </row>
    <row r="3640">
      <c r="A3640" s="282" t="inlineStr">
        <is>
          <t>2020-12-18</t>
        </is>
      </c>
      <c r="B3640" s="240">
        <f>IFERROR(1/P3640-1,B3639)</f>
        <v/>
      </c>
      <c r="C3640" s="240">
        <f>$C$3</f>
        <v/>
      </c>
      <c r="D3640" s="240">
        <f>$D$3</f>
        <v/>
      </c>
      <c r="E3640" s="240">
        <f>$E$3</f>
        <v/>
      </c>
      <c r="F3640" s="241" t="n">
        <v>10.03</v>
      </c>
      <c r="G3640" s="242" t="n">
        <v>13406809</v>
      </c>
      <c r="H3640" s="241" t="n">
        <v>0.2</v>
      </c>
      <c r="I3640" s="241" t="n">
        <v>-2.72</v>
      </c>
      <c r="J3640" s="241" t="n">
        <v>11.33</v>
      </c>
      <c r="K3640" s="241" t="n">
        <v>4.57</v>
      </c>
      <c r="L3640" s="242" t="n">
        <v>1593000</v>
      </c>
      <c r="M3640" s="241" t="n">
        <v>1.5</v>
      </c>
      <c r="N3640" s="241" t="n">
        <v>-0.55</v>
      </c>
      <c r="O3640" s="241" t="n">
        <v>21.01</v>
      </c>
      <c r="P3640" s="241" t="n">
        <v>2.2</v>
      </c>
    </row>
    <row r="3641">
      <c r="A3641" s="282" t="inlineStr">
        <is>
          <t>2020-12-21</t>
        </is>
      </c>
      <c r="B3641" s="240">
        <f>IFERROR(1/P3641-1,B3640)</f>
        <v/>
      </c>
      <c r="C3641" s="240">
        <f>$C$3</f>
        <v/>
      </c>
      <c r="D3641" s="240">
        <f>$D$3</f>
        <v/>
      </c>
      <c r="E3641" s="240">
        <f>$E$3</f>
        <v/>
      </c>
      <c r="F3641" s="241" t="n">
        <v>10.37</v>
      </c>
      <c r="G3641" s="242" t="n">
        <v>22180512</v>
      </c>
      <c r="H3641" s="241" t="n">
        <v>3.39</v>
      </c>
      <c r="I3641" s="241" t="n">
        <v>0.48</v>
      </c>
      <c r="J3641" s="241" t="n">
        <v>15.1</v>
      </c>
      <c r="K3641" s="241" t="n">
        <v>4.98</v>
      </c>
      <c r="L3641" s="242" t="n">
        <v>6188000</v>
      </c>
      <c r="M3641" s="241" t="n">
        <v>8.67</v>
      </c>
      <c r="N3641" s="241" t="n">
        <v>10.71</v>
      </c>
      <c r="O3641" s="241" t="n">
        <v>31.5</v>
      </c>
      <c r="P3641" s="241" t="n">
        <v>2.08</v>
      </c>
    </row>
    <row r="3642">
      <c r="A3642" s="282" t="inlineStr">
        <is>
          <t>2020-12-22</t>
        </is>
      </c>
      <c r="B3642" s="240">
        <f>IFERROR(1/P3642-1,B3641)</f>
        <v/>
      </c>
      <c r="C3642" s="240">
        <f>$C$3</f>
        <v/>
      </c>
      <c r="D3642" s="240">
        <f>$D$3</f>
        <v/>
      </c>
      <c r="E3642" s="240">
        <f>$E$3</f>
        <v/>
      </c>
      <c r="F3642" s="241" t="n">
        <v>10.2</v>
      </c>
      <c r="G3642" s="242" t="n">
        <v>26738882</v>
      </c>
      <c r="H3642" s="241" t="n">
        <v>-1.64</v>
      </c>
      <c r="I3642" s="241" t="n">
        <v>-1.16</v>
      </c>
      <c r="J3642" s="241" t="n">
        <v>13.22</v>
      </c>
      <c r="K3642" s="241" t="n">
        <v>4.67</v>
      </c>
      <c r="L3642" s="242" t="n">
        <v>4111000</v>
      </c>
      <c r="M3642" s="241" t="n">
        <v>-5.94</v>
      </c>
      <c r="N3642" s="241" t="n">
        <v>4.14</v>
      </c>
      <c r="O3642" s="241" t="n">
        <v>23.69</v>
      </c>
      <c r="P3642" s="241" t="n">
        <v>2.18</v>
      </c>
    </row>
    <row r="3643">
      <c r="A3643" s="282" t="inlineStr">
        <is>
          <t>2020-12-23</t>
        </is>
      </c>
      <c r="B3643" s="240">
        <f>IFERROR(1/P3643-1,B3642)</f>
        <v/>
      </c>
      <c r="C3643" s="240">
        <f>$C$3</f>
        <v/>
      </c>
      <c r="D3643" s="240">
        <f>$D$3</f>
        <v/>
      </c>
      <c r="E3643" s="240">
        <f>$E$3</f>
        <v/>
      </c>
      <c r="F3643" s="241" t="n">
        <v>10.53</v>
      </c>
      <c r="G3643" s="242" t="n">
        <v>28228561</v>
      </c>
      <c r="H3643" s="241" t="n">
        <v>3.24</v>
      </c>
      <c r="I3643" s="241" t="n">
        <v>2.03</v>
      </c>
      <c r="J3643" s="241" t="n">
        <v>16.88</v>
      </c>
      <c r="K3643" s="241" t="n">
        <v>4.83</v>
      </c>
      <c r="L3643" s="242" t="n">
        <v>2076400</v>
      </c>
      <c r="M3643" s="241" t="n">
        <v>3.07</v>
      </c>
      <c r="N3643" s="241" t="n">
        <v>7.33</v>
      </c>
      <c r="O3643" s="241" t="n">
        <v>27.48</v>
      </c>
      <c r="P3643" s="241" t="n">
        <v>2.18</v>
      </c>
    </row>
    <row r="3644">
      <c r="A3644" s="282" t="inlineStr">
        <is>
          <t>2020-12-24</t>
        </is>
      </c>
      <c r="B3644" s="240">
        <f>IFERROR(1/P3644-1,B3643)</f>
        <v/>
      </c>
      <c r="C3644" s="240">
        <f>$C$3</f>
        <v/>
      </c>
      <c r="D3644" s="240">
        <f>$D$3</f>
        <v/>
      </c>
      <c r="E3644" s="240">
        <f>$E$3</f>
        <v/>
      </c>
      <c r="F3644" s="241" t="n">
        <v>10.44</v>
      </c>
      <c r="G3644" s="242" t="n">
        <v>15523992</v>
      </c>
      <c r="H3644" s="241" t="n">
        <v>-0.85</v>
      </c>
      <c r="I3644" s="241" t="n">
        <v>-1.04</v>
      </c>
      <c r="J3644" s="241" t="n">
        <v>15.88</v>
      </c>
      <c r="K3644" s="241" t="n">
        <v>4.81</v>
      </c>
      <c r="L3644" s="242" t="n">
        <v>689600</v>
      </c>
      <c r="M3644" s="241" t="n">
        <v>-0.18</v>
      </c>
      <c r="N3644" s="241" t="n">
        <v>-1.72</v>
      </c>
      <c r="O3644" s="241" t="n">
        <v>27.26</v>
      </c>
      <c r="P3644" s="241" t="n">
        <v>2.17</v>
      </c>
    </row>
    <row r="3645">
      <c r="A3645" s="282" t="inlineStr">
        <is>
          <t>2020-12-25</t>
        </is>
      </c>
      <c r="B3645" s="240">
        <f>IFERROR(1/P3645-1,B3644)</f>
        <v/>
      </c>
      <c r="C3645" s="240">
        <f>$C$3</f>
        <v/>
      </c>
      <c r="D3645" s="240">
        <f>$D$3</f>
        <v/>
      </c>
      <c r="E3645" s="240">
        <f>$E$3</f>
        <v/>
      </c>
      <c r="F3645" s="241" t="n">
        <v>10.56</v>
      </c>
      <c r="G3645" s="242" t="n">
        <v>24689133</v>
      </c>
      <c r="H3645" s="241" t="n">
        <v>1.15</v>
      </c>
      <c r="I3645" s="241" t="n">
        <v>-0.75</v>
      </c>
      <c r="J3645" s="241" t="n">
        <v>17.21</v>
      </c>
      <c r="K3645" s="239" t="inlineStr">
        <is>
          <t>--</t>
        </is>
      </c>
      <c r="L3645" s="239" t="inlineStr">
        <is>
          <t>--</t>
        </is>
      </c>
      <c r="M3645" s="239" t="inlineStr">
        <is>
          <t>--</t>
        </is>
      </c>
      <c r="N3645" s="239" t="inlineStr">
        <is>
          <t>--</t>
        </is>
      </c>
      <c r="O3645" s="239" t="inlineStr">
        <is>
          <t>--</t>
        </is>
      </c>
      <c r="P3645" s="239" t="inlineStr">
        <is>
          <t>--</t>
        </is>
      </c>
    </row>
    <row r="3646">
      <c r="A3646" s="282" t="inlineStr">
        <is>
          <t>2020-12-28</t>
        </is>
      </c>
      <c r="B3646" s="240">
        <f>IFERROR(1/P3646-1,B3645)</f>
        <v/>
      </c>
      <c r="C3646" s="240">
        <f>$C$3</f>
        <v/>
      </c>
      <c r="D3646" s="240">
        <f>$D$3</f>
        <v/>
      </c>
      <c r="E3646" s="240">
        <f>$E$3</f>
        <v/>
      </c>
      <c r="F3646" s="241" t="n">
        <v>10.44</v>
      </c>
      <c r="G3646" s="242" t="n">
        <v>20391933</v>
      </c>
      <c r="H3646" s="241" t="n">
        <v>-1.14</v>
      </c>
      <c r="I3646" s="241" t="n">
        <v>-4.13</v>
      </c>
      <c r="J3646" s="241" t="n">
        <v>15.88</v>
      </c>
      <c r="K3646" s="241" t="n">
        <v>4.77</v>
      </c>
      <c r="L3646" s="242" t="n">
        <v>1981600</v>
      </c>
      <c r="M3646" s="241" t="n">
        <v>-0.53</v>
      </c>
      <c r="N3646" s="241" t="n">
        <v>-8.4</v>
      </c>
      <c r="O3646" s="241" t="n">
        <v>26.59</v>
      </c>
      <c r="P3646" s="241" t="n">
        <v>2.19</v>
      </c>
    </row>
    <row r="3647">
      <c r="A3647" s="282" t="inlineStr">
        <is>
          <t>2020-12-29</t>
        </is>
      </c>
      <c r="B3647" s="240">
        <f>IFERROR(1/P3647-1,B3646)</f>
        <v/>
      </c>
      <c r="C3647" s="240">
        <f>$C$3</f>
        <v/>
      </c>
      <c r="D3647" s="240">
        <f>$D$3</f>
        <v/>
      </c>
      <c r="E3647" s="240">
        <f>$E$3</f>
        <v/>
      </c>
      <c r="F3647" s="241" t="n">
        <v>9.970000000000001</v>
      </c>
      <c r="G3647" s="242" t="n">
        <v>26785727</v>
      </c>
      <c r="H3647" s="241" t="n">
        <v>-4.5</v>
      </c>
      <c r="I3647" s="241" t="n">
        <v>-8.449999999999999</v>
      </c>
      <c r="J3647" s="241" t="n">
        <v>10.66</v>
      </c>
      <c r="K3647" s="241" t="n">
        <v>4.74</v>
      </c>
      <c r="L3647" s="242" t="n">
        <v>1191600</v>
      </c>
      <c r="M3647" s="241" t="n">
        <v>-0.88</v>
      </c>
      <c r="N3647" s="241" t="n">
        <v>-9.210000000000001</v>
      </c>
      <c r="O3647" s="241" t="n">
        <v>25.47</v>
      </c>
      <c r="P3647" s="241" t="n">
        <v>2.1</v>
      </c>
    </row>
    <row r="3648">
      <c r="A3648" s="282" t="inlineStr">
        <is>
          <t>2020-12-30</t>
        </is>
      </c>
      <c r="B3648" s="240">
        <f>IFERROR(1/P3648-1,B3647)</f>
        <v/>
      </c>
      <c r="C3648" s="240">
        <f>$C$3</f>
        <v/>
      </c>
      <c r="D3648" s="240">
        <f>$D$3</f>
        <v/>
      </c>
      <c r="E3648" s="240">
        <f>$E$3</f>
        <v/>
      </c>
      <c r="F3648" s="241" t="n">
        <v>9.94</v>
      </c>
      <c r="G3648" s="242" t="n">
        <v>19613521</v>
      </c>
      <c r="H3648" s="241" t="n">
        <v>-0.3</v>
      </c>
      <c r="I3648" s="241" t="n">
        <v>-8.720000000000001</v>
      </c>
      <c r="J3648" s="241" t="n">
        <v>10.33</v>
      </c>
      <c r="K3648" s="241" t="n">
        <v>4.75</v>
      </c>
      <c r="L3648" s="242" t="n">
        <v>1714684</v>
      </c>
      <c r="M3648" s="241" t="n">
        <v>0.36</v>
      </c>
      <c r="N3648" s="241" t="n">
        <v>-8.890000000000001</v>
      </c>
      <c r="O3648" s="241" t="n">
        <v>25.92</v>
      </c>
      <c r="P3648" s="241" t="n">
        <v>2.09</v>
      </c>
    </row>
    <row r="3649">
      <c r="A3649" s="282" t="inlineStr">
        <is>
          <t>2020-12-31</t>
        </is>
      </c>
      <c r="B3649" s="240">
        <f>IFERROR(1/P3649-1,B3648)</f>
        <v/>
      </c>
      <c r="C3649" s="240">
        <f>$C$3</f>
        <v/>
      </c>
      <c r="D3649" s="240">
        <f>$D$3</f>
        <v/>
      </c>
      <c r="E3649" s="240">
        <f>$E$3</f>
        <v/>
      </c>
      <c r="F3649" s="241" t="n">
        <v>9.970000000000001</v>
      </c>
      <c r="G3649" s="242" t="n">
        <v>26522059</v>
      </c>
      <c r="H3649" s="241" t="n">
        <v>0.3</v>
      </c>
      <c r="I3649" s="241" t="n">
        <v>-8.449999999999999</v>
      </c>
      <c r="J3649" s="241" t="n">
        <v>10.66</v>
      </c>
      <c r="K3649" s="241" t="n">
        <v>4.77</v>
      </c>
      <c r="L3649" s="242" t="n">
        <v>798600</v>
      </c>
      <c r="M3649" s="241" t="n">
        <v>0.53</v>
      </c>
      <c r="N3649" s="241" t="n">
        <v>-8.4</v>
      </c>
      <c r="O3649" s="241" t="n">
        <v>26.59</v>
      </c>
      <c r="P3649" s="241" t="n">
        <v>2.09</v>
      </c>
    </row>
    <row r="3650">
      <c r="A3650" s="282" t="inlineStr">
        <is>
          <t>2021-01-04</t>
        </is>
      </c>
      <c r="B3650" s="240">
        <f>IFERROR(1/P3650-1,B3649)</f>
        <v/>
      </c>
      <c r="C3650" s="240">
        <f>$C$3</f>
        <v/>
      </c>
      <c r="D3650" s="240">
        <f>$D$3</f>
        <v/>
      </c>
      <c r="E3650" s="240">
        <f>$E$3</f>
        <v/>
      </c>
      <c r="F3650" s="241" t="n">
        <v>10.78</v>
      </c>
      <c r="G3650" s="242" t="n">
        <v>98955280</v>
      </c>
      <c r="H3650" s="241" t="n">
        <v>8.119999999999999</v>
      </c>
      <c r="I3650" s="241" t="n">
        <v>1.13</v>
      </c>
      <c r="J3650" s="241" t="n">
        <v>8.119999999999999</v>
      </c>
      <c r="K3650" s="241" t="n">
        <v>5.15</v>
      </c>
      <c r="L3650" s="242" t="n">
        <v>10792600</v>
      </c>
      <c r="M3650" s="241" t="n">
        <v>7.58</v>
      </c>
      <c r="N3650" s="241" t="n">
        <v>0.99</v>
      </c>
      <c r="O3650" s="241" t="n">
        <v>7.58</v>
      </c>
      <c r="P3650" s="241" t="n">
        <v>2.09</v>
      </c>
    </row>
    <row r="3651">
      <c r="A3651" s="282" t="inlineStr">
        <is>
          <t>2021-01-05</t>
        </is>
      </c>
      <c r="B3651" s="240">
        <f>IFERROR(1/P3651-1,B3650)</f>
        <v/>
      </c>
      <c r="C3651" s="240">
        <f>$C$3</f>
        <v/>
      </c>
      <c r="D3651" s="240">
        <f>$D$3</f>
        <v/>
      </c>
      <c r="E3651" s="240">
        <f>$E$3</f>
        <v/>
      </c>
      <c r="F3651" s="241" t="n">
        <v>10.74</v>
      </c>
      <c r="G3651" s="242" t="n">
        <v>64231331</v>
      </c>
      <c r="H3651" s="241" t="n">
        <v>-0.37</v>
      </c>
      <c r="I3651" s="241" t="n">
        <v>1.51</v>
      </c>
      <c r="J3651" s="241" t="n">
        <v>7.72</v>
      </c>
      <c r="K3651" s="241" t="n">
        <v>4.84</v>
      </c>
      <c r="L3651" s="242" t="n">
        <v>10364265</v>
      </c>
      <c r="M3651" s="241" t="n">
        <v>-5.08</v>
      </c>
      <c r="N3651" s="241" t="n">
        <v>0.17</v>
      </c>
      <c r="O3651" s="241" t="n">
        <v>2.12</v>
      </c>
      <c r="P3651" s="241" t="n">
        <v>2.22</v>
      </c>
    </row>
    <row r="3652">
      <c r="A3652" s="282" t="inlineStr">
        <is>
          <t>2021-01-06</t>
        </is>
      </c>
      <c r="B3652" s="240">
        <f>IFERROR(1/P3652-1,B3651)</f>
        <v/>
      </c>
      <c r="C3652" s="240">
        <f>$C$3</f>
        <v/>
      </c>
      <c r="D3652" s="240">
        <f>$D$3</f>
        <v/>
      </c>
      <c r="E3652" s="240">
        <f>$E$3</f>
        <v/>
      </c>
      <c r="F3652" s="241" t="n">
        <v>10.65</v>
      </c>
      <c r="G3652" s="242" t="n">
        <v>29985898</v>
      </c>
      <c r="H3652" s="241" t="n">
        <v>-0.84</v>
      </c>
      <c r="I3652" s="241" t="n">
        <v>0.66</v>
      </c>
      <c r="J3652" s="241" t="n">
        <v>6.82</v>
      </c>
      <c r="K3652" s="241" t="n">
        <v>4.82</v>
      </c>
      <c r="L3652" s="242" t="n">
        <v>4651143</v>
      </c>
      <c r="M3652" s="241" t="n">
        <v>0</v>
      </c>
      <c r="N3652" s="241" t="n">
        <v>0.17</v>
      </c>
      <c r="O3652" s="241" t="n">
        <v>2.12</v>
      </c>
      <c r="P3652" s="241" t="n">
        <v>2.21</v>
      </c>
    </row>
    <row r="3653">
      <c r="A3653" s="282" t="inlineStr">
        <is>
          <t>2021-01-07</t>
        </is>
      </c>
      <c r="B3653" s="240">
        <f>IFERROR(1/P3653-1,B3652)</f>
        <v/>
      </c>
      <c r="C3653" s="240">
        <f>$C$3</f>
        <v/>
      </c>
      <c r="D3653" s="240">
        <f>$D$3</f>
        <v/>
      </c>
      <c r="E3653" s="240">
        <f>$E$3</f>
        <v/>
      </c>
      <c r="F3653" s="241" t="n">
        <v>10.7</v>
      </c>
      <c r="G3653" s="242" t="n">
        <v>41002494</v>
      </c>
      <c r="H3653" s="241" t="n">
        <v>0.47</v>
      </c>
      <c r="I3653" s="241" t="n">
        <v>1.13</v>
      </c>
      <c r="J3653" s="241" t="n">
        <v>7.32</v>
      </c>
      <c r="K3653" s="241" t="n">
        <v>4.97</v>
      </c>
      <c r="L3653" s="242" t="n">
        <v>3369612</v>
      </c>
      <c r="M3653" s="241" t="n">
        <v>2.94</v>
      </c>
      <c r="N3653" s="241" t="n">
        <v>3.11</v>
      </c>
      <c r="O3653" s="241" t="n">
        <v>5.11</v>
      </c>
      <c r="P3653" s="241" t="n">
        <v>2.15</v>
      </c>
    </row>
    <row r="3654">
      <c r="A3654" s="282" t="inlineStr">
        <is>
          <t>2021-01-08</t>
        </is>
      </c>
      <c r="B3654" s="240">
        <f>IFERROR(1/P3654-1,B3653)</f>
        <v/>
      </c>
      <c r="C3654" s="240">
        <f>$C$3</f>
        <v/>
      </c>
      <c r="D3654" s="240">
        <f>$D$3</f>
        <v/>
      </c>
      <c r="E3654" s="240">
        <f>$E$3</f>
        <v/>
      </c>
      <c r="F3654" s="241" t="n">
        <v>10.83</v>
      </c>
      <c r="G3654" s="242" t="n">
        <v>61319806</v>
      </c>
      <c r="H3654" s="241" t="n">
        <v>1.22</v>
      </c>
      <c r="I3654" s="241" t="n">
        <v>2.46</v>
      </c>
      <c r="J3654" s="241" t="n">
        <v>8.630000000000001</v>
      </c>
      <c r="K3654" s="241" t="n">
        <v>5.31</v>
      </c>
      <c r="L3654" s="242" t="n">
        <v>11106400</v>
      </c>
      <c r="M3654" s="241" t="n">
        <v>6.71</v>
      </c>
      <c r="N3654" s="241" t="n">
        <v>12.57</v>
      </c>
      <c r="O3654" s="241" t="n">
        <v>12.17</v>
      </c>
      <c r="P3654" s="241" t="n">
        <v>2.04</v>
      </c>
    </row>
    <row r="3655">
      <c r="A3655" s="282" t="inlineStr">
        <is>
          <t>2021-01-11</t>
        </is>
      </c>
      <c r="B3655" s="240">
        <f>IFERROR(1/P3655-1,B3654)</f>
        <v/>
      </c>
      <c r="C3655" s="240">
        <f>$C$3</f>
        <v/>
      </c>
      <c r="D3655" s="240">
        <f>$D$3</f>
        <v/>
      </c>
      <c r="E3655" s="240">
        <f>$E$3</f>
        <v/>
      </c>
      <c r="F3655" s="241" t="n">
        <v>10.3</v>
      </c>
      <c r="G3655" s="242" t="n">
        <v>45737173</v>
      </c>
      <c r="H3655" s="241" t="n">
        <v>-4.89</v>
      </c>
      <c r="I3655" s="241" t="n">
        <v>1.08</v>
      </c>
      <c r="J3655" s="241" t="n">
        <v>3.31</v>
      </c>
      <c r="K3655" s="241" t="n">
        <v>5.1</v>
      </c>
      <c r="L3655" s="242" t="n">
        <v>7421611</v>
      </c>
      <c r="M3655" s="241" t="n">
        <v>-3.93</v>
      </c>
      <c r="N3655" s="241" t="n">
        <v>12.11</v>
      </c>
      <c r="O3655" s="241" t="n">
        <v>7.76</v>
      </c>
      <c r="P3655" s="241" t="n">
        <v>2.02</v>
      </c>
    </row>
    <row r="3656">
      <c r="A3656" s="282" t="inlineStr">
        <is>
          <t>2021-01-12</t>
        </is>
      </c>
      <c r="B3656" s="240">
        <f>IFERROR(1/P3656-1,B3655)</f>
        <v/>
      </c>
      <c r="C3656" s="240">
        <f>$C$3</f>
        <v/>
      </c>
      <c r="D3656" s="240">
        <f>$D$3</f>
        <v/>
      </c>
      <c r="E3656" s="240">
        <f>$E$3</f>
        <v/>
      </c>
      <c r="F3656" s="241" t="n">
        <v>10.32</v>
      </c>
      <c r="G3656" s="242" t="n">
        <v>29837877</v>
      </c>
      <c r="H3656" s="241" t="n">
        <v>0.19</v>
      </c>
      <c r="I3656" s="241" t="n">
        <v>4.24</v>
      </c>
      <c r="J3656" s="241" t="n">
        <v>3.51</v>
      </c>
      <c r="K3656" s="241" t="n">
        <v>5.23</v>
      </c>
      <c r="L3656" s="242" t="n">
        <v>4110000</v>
      </c>
      <c r="M3656" s="241" t="n">
        <v>2.46</v>
      </c>
      <c r="N3656" s="241" t="n">
        <v>16.14</v>
      </c>
      <c r="O3656" s="241" t="n">
        <v>10.41</v>
      </c>
      <c r="P3656" s="241" t="n">
        <v>1.97</v>
      </c>
    </row>
    <row r="3657">
      <c r="A3657" s="282" t="inlineStr">
        <is>
          <t>2021-01-13</t>
        </is>
      </c>
      <c r="B3657" s="240">
        <f>IFERROR(1/P3657-1,B3656)</f>
        <v/>
      </c>
      <c r="C3657" s="240">
        <f>$C$3</f>
        <v/>
      </c>
      <c r="D3657" s="240">
        <f>$D$3</f>
        <v/>
      </c>
      <c r="E3657" s="240">
        <f>$E$3</f>
        <v/>
      </c>
      <c r="F3657" s="241" t="n">
        <v>11.35</v>
      </c>
      <c r="G3657" s="242" t="n">
        <v>114671973</v>
      </c>
      <c r="H3657" s="241" t="n">
        <v>9.98</v>
      </c>
      <c r="I3657" s="241" t="n">
        <v>14.65</v>
      </c>
      <c r="J3657" s="241" t="n">
        <v>13.84</v>
      </c>
      <c r="K3657" s="241" t="n">
        <v>5.67</v>
      </c>
      <c r="L3657" s="242" t="n">
        <v>14285600</v>
      </c>
      <c r="M3657" s="241" t="n">
        <v>8.630000000000001</v>
      </c>
      <c r="N3657" s="241" t="n">
        <v>26.16</v>
      </c>
      <c r="O3657" s="241" t="n">
        <v>19.93</v>
      </c>
      <c r="P3657" s="241" t="n">
        <v>2</v>
      </c>
    </row>
    <row r="3658">
      <c r="A3658" s="282" t="inlineStr">
        <is>
          <t>2021-01-14</t>
        </is>
      </c>
      <c r="B3658" s="240">
        <f>IFERROR(1/P3658-1,B3657)</f>
        <v/>
      </c>
      <c r="C3658" s="240">
        <f>$C$3</f>
        <v/>
      </c>
      <c r="D3658" s="240">
        <f>$D$3</f>
        <v/>
      </c>
      <c r="E3658" s="240">
        <f>$E$3</f>
        <v/>
      </c>
      <c r="F3658" s="241" t="n">
        <v>11.57</v>
      </c>
      <c r="G3658" s="242" t="n">
        <v>131365402</v>
      </c>
      <c r="H3658" s="241" t="n">
        <v>1.94</v>
      </c>
      <c r="I3658" s="241" t="n">
        <v>16.87</v>
      </c>
      <c r="J3658" s="241" t="n">
        <v>16.05</v>
      </c>
      <c r="K3658" s="241" t="n">
        <v>5.62</v>
      </c>
      <c r="L3658" s="242" t="n">
        <v>10530608</v>
      </c>
      <c r="M3658" s="241" t="n">
        <v>-1.03</v>
      </c>
      <c r="N3658" s="241" t="n">
        <v>24.86</v>
      </c>
      <c r="O3658" s="241" t="n">
        <v>18.69</v>
      </c>
      <c r="P3658" s="241" t="n">
        <v>2.06</v>
      </c>
    </row>
    <row r="3659">
      <c r="A3659" s="282" t="inlineStr">
        <is>
          <t>2021-01-15</t>
        </is>
      </c>
      <c r="B3659" s="240">
        <f>IFERROR(1/P3659-1,B3658)</f>
        <v/>
      </c>
      <c r="C3659" s="240">
        <f>$C$3</f>
        <v/>
      </c>
      <c r="D3659" s="240">
        <f>$D$3</f>
        <v/>
      </c>
      <c r="E3659" s="240">
        <f>$E$3</f>
        <v/>
      </c>
      <c r="F3659" s="241" t="n">
        <v>11.05</v>
      </c>
      <c r="G3659" s="242" t="n">
        <v>81622633</v>
      </c>
      <c r="H3659" s="241" t="n">
        <v>-4.49</v>
      </c>
      <c r="I3659" s="241" t="n">
        <v>10.39</v>
      </c>
      <c r="J3659" s="241" t="n">
        <v>10.83</v>
      </c>
      <c r="K3659" s="241" t="n">
        <v>5.49</v>
      </c>
      <c r="L3659" s="242" t="n">
        <v>5168400</v>
      </c>
      <c r="M3659" s="241" t="n">
        <v>-2.23</v>
      </c>
      <c r="N3659" s="241" t="n">
        <v>17.92</v>
      </c>
      <c r="O3659" s="241" t="n">
        <v>16.05</v>
      </c>
      <c r="P3659" s="241" t="n">
        <v>2.01</v>
      </c>
    </row>
    <row r="3660">
      <c r="A3660" s="282" t="inlineStr">
        <is>
          <t>2021-01-18</t>
        </is>
      </c>
      <c r="B3660" s="240">
        <f>IFERROR(1/P3660-1,B3659)</f>
        <v/>
      </c>
      <c r="C3660" s="240">
        <f>$C$3</f>
        <v/>
      </c>
      <c r="D3660" s="240">
        <f>$D$3</f>
        <v/>
      </c>
      <c r="E3660" s="240">
        <f>$E$3</f>
        <v/>
      </c>
      <c r="F3660" s="241" t="n">
        <v>11.46</v>
      </c>
      <c r="G3660" s="242" t="n">
        <v>69552957</v>
      </c>
      <c r="H3660" s="241" t="n">
        <v>3.71</v>
      </c>
      <c r="I3660" s="241" t="n">
        <v>14.49</v>
      </c>
      <c r="J3660" s="241" t="n">
        <v>14.94</v>
      </c>
      <c r="K3660" s="241" t="n">
        <v>5.66</v>
      </c>
      <c r="L3660" s="242" t="n">
        <v>6734800</v>
      </c>
      <c r="M3660" s="241" t="n">
        <v>2.89</v>
      </c>
      <c r="N3660" s="241" t="n">
        <v>26.78</v>
      </c>
      <c r="O3660" s="241" t="n">
        <v>19.4</v>
      </c>
      <c r="P3660" s="241" t="n">
        <v>2.02</v>
      </c>
    </row>
    <row r="3661">
      <c r="A3661" s="282" t="inlineStr">
        <is>
          <t>2021-01-19</t>
        </is>
      </c>
      <c r="B3661" s="240">
        <f>IFERROR(1/P3661-1,B3660)</f>
        <v/>
      </c>
      <c r="C3661" s="240">
        <f>$C$3</f>
        <v/>
      </c>
      <c r="D3661" s="240">
        <f>$D$3</f>
        <v/>
      </c>
      <c r="E3661" s="240">
        <f>$E$3</f>
        <v/>
      </c>
      <c r="F3661" s="241" t="n">
        <v>11.06</v>
      </c>
      <c r="G3661" s="242" t="n">
        <v>54986823</v>
      </c>
      <c r="H3661" s="241" t="n">
        <v>-3.49</v>
      </c>
      <c r="I3661" s="241" t="n">
        <v>10.27</v>
      </c>
      <c r="J3661" s="241" t="n">
        <v>10.93</v>
      </c>
      <c r="K3661" s="241" t="n">
        <v>5.56</v>
      </c>
      <c r="L3661" s="242" t="n">
        <v>5731600</v>
      </c>
      <c r="M3661" s="241" t="n">
        <v>-1.92</v>
      </c>
      <c r="N3661" s="241" t="n">
        <v>22.51</v>
      </c>
      <c r="O3661" s="241" t="n">
        <v>17.11</v>
      </c>
      <c r="P3661" s="241" t="n">
        <v>1.99</v>
      </c>
    </row>
    <row r="3662">
      <c r="A3662" s="282" t="inlineStr">
        <is>
          <t>2021-01-20</t>
        </is>
      </c>
      <c r="B3662" s="240">
        <f>IFERROR(1/P3662-1,B3661)</f>
        <v/>
      </c>
      <c r="C3662" s="240">
        <f>$C$3</f>
        <v/>
      </c>
      <c r="D3662" s="240">
        <f>$D$3</f>
        <v/>
      </c>
      <c r="E3662" s="240">
        <f>$E$3</f>
        <v/>
      </c>
      <c r="F3662" s="241" t="n">
        <v>11.15</v>
      </c>
      <c r="G3662" s="242" t="n">
        <v>35663262</v>
      </c>
      <c r="H3662" s="241" t="n">
        <v>0.8100000000000001</v>
      </c>
      <c r="I3662" s="241" t="n">
        <v>11.17</v>
      </c>
      <c r="J3662" s="241" t="n">
        <v>11.84</v>
      </c>
      <c r="K3662" s="241" t="n">
        <v>5.85</v>
      </c>
      <c r="L3662" s="242" t="n">
        <v>8645000</v>
      </c>
      <c r="M3662" s="241" t="n">
        <v>5.42</v>
      </c>
      <c r="N3662" s="241" t="n">
        <v>29.15</v>
      </c>
      <c r="O3662" s="241" t="n">
        <v>23.46</v>
      </c>
      <c r="P3662" s="241" t="n">
        <v>1.9</v>
      </c>
    </row>
    <row r="3663">
      <c r="A3663" s="282" t="inlineStr">
        <is>
          <t>2021-01-21</t>
        </is>
      </c>
      <c r="B3663" s="240">
        <f>IFERROR(1/P3663-1,B3662)</f>
        <v/>
      </c>
      <c r="C3663" s="240">
        <f>$C$3</f>
        <v/>
      </c>
      <c r="D3663" s="240">
        <f>$D$3</f>
        <v/>
      </c>
      <c r="E3663" s="240">
        <f>$E$3</f>
        <v/>
      </c>
      <c r="F3663" s="241" t="n">
        <v>11.34</v>
      </c>
      <c r="G3663" s="242" t="n">
        <v>49536370</v>
      </c>
      <c r="H3663" s="241" t="n">
        <v>1.7</v>
      </c>
      <c r="I3663" s="241" t="n">
        <v>13.06</v>
      </c>
      <c r="J3663" s="241" t="n">
        <v>13.74</v>
      </c>
      <c r="K3663" s="241" t="n">
        <v>5.89</v>
      </c>
      <c r="L3663" s="242" t="n">
        <v>7395400</v>
      </c>
      <c r="M3663" s="241" t="n">
        <v>0.86</v>
      </c>
      <c r="N3663" s="241" t="n">
        <v>30.26</v>
      </c>
      <c r="O3663" s="241" t="n">
        <v>24.52</v>
      </c>
      <c r="P3663" s="241" t="n">
        <v>1.92</v>
      </c>
    </row>
    <row r="3664">
      <c r="A3664" s="282" t="inlineStr">
        <is>
          <t>2021-01-22</t>
        </is>
      </c>
      <c r="B3664" s="240">
        <f>IFERROR(1/P3664-1,B3663)</f>
        <v/>
      </c>
      <c r="C3664" s="240">
        <f>$C$3</f>
        <v/>
      </c>
      <c r="D3664" s="240">
        <f>$D$3</f>
        <v/>
      </c>
      <c r="E3664" s="240">
        <f>$E$3</f>
        <v/>
      </c>
      <c r="F3664" s="241" t="n">
        <v>11.58</v>
      </c>
      <c r="G3664" s="242" t="n">
        <v>78741446</v>
      </c>
      <c r="H3664" s="241" t="n">
        <v>2.12</v>
      </c>
      <c r="I3664" s="241" t="n">
        <v>11.67</v>
      </c>
      <c r="J3664" s="241" t="n">
        <v>16.15</v>
      </c>
      <c r="K3664" s="241" t="n">
        <v>5.79</v>
      </c>
      <c r="L3664" s="242" t="n">
        <v>4544260</v>
      </c>
      <c r="M3664" s="241" t="n">
        <v>-1.7</v>
      </c>
      <c r="N3664" s="241" t="n">
        <v>17.83</v>
      </c>
      <c r="O3664" s="241" t="n">
        <v>22.4</v>
      </c>
      <c r="P3664" s="241" t="n">
        <v>2</v>
      </c>
    </row>
    <row r="3665">
      <c r="A3665" s="282" t="inlineStr">
        <is>
          <t>2021-01-25</t>
        </is>
      </c>
      <c r="B3665" s="240">
        <f>IFERROR(1/P3665-1,B3664)</f>
        <v/>
      </c>
      <c r="C3665" s="240">
        <f>$C$3</f>
        <v/>
      </c>
      <c r="D3665" s="240">
        <f>$D$3</f>
        <v/>
      </c>
      <c r="E3665" s="240">
        <f>$E$3</f>
        <v/>
      </c>
      <c r="F3665" s="241" t="n">
        <v>12.74</v>
      </c>
      <c r="G3665" s="242" t="n">
        <v>105228496</v>
      </c>
      <c r="H3665" s="241" t="n">
        <v>10.02</v>
      </c>
      <c r="I3665" s="241" t="n">
        <v>22.03</v>
      </c>
      <c r="J3665" s="241" t="n">
        <v>27.78</v>
      </c>
      <c r="K3665" s="241" t="n">
        <v>6.62</v>
      </c>
      <c r="L3665" s="242" t="n">
        <v>24563754</v>
      </c>
      <c r="M3665" s="241" t="n">
        <v>14.12</v>
      </c>
      <c r="N3665" s="241" t="n">
        <v>38.95</v>
      </c>
      <c r="O3665" s="241" t="n">
        <v>39.68</v>
      </c>
      <c r="P3665" s="241" t="n">
        <v>1.92</v>
      </c>
    </row>
    <row r="3666">
      <c r="A3666" s="282" t="inlineStr">
        <is>
          <t>2021-01-26</t>
        </is>
      </c>
      <c r="B3666" s="240">
        <f>IFERROR(1/P3666-1,B3665)</f>
        <v/>
      </c>
      <c r="C3666" s="240">
        <f>$C$3</f>
        <v/>
      </c>
      <c r="D3666" s="240">
        <f>$D$3</f>
        <v/>
      </c>
      <c r="E3666" s="240">
        <f>$E$3</f>
        <v/>
      </c>
      <c r="F3666" s="241" t="n">
        <v>12.35</v>
      </c>
      <c r="G3666" s="242" t="n">
        <v>117468185</v>
      </c>
      <c r="H3666" s="241" t="n">
        <v>-3.06</v>
      </c>
      <c r="I3666" s="241" t="n">
        <v>16.95</v>
      </c>
      <c r="J3666" s="241" t="n">
        <v>23.87</v>
      </c>
      <c r="K3666" s="241" t="n">
        <v>6.63</v>
      </c>
      <c r="L3666" s="242" t="n">
        <v>10357872</v>
      </c>
      <c r="M3666" s="241" t="n">
        <v>0.13</v>
      </c>
      <c r="N3666" s="241" t="n">
        <v>39.12</v>
      </c>
      <c r="O3666" s="241" t="n">
        <v>39.86</v>
      </c>
      <c r="P3666" s="241" t="n">
        <v>1.86</v>
      </c>
    </row>
    <row r="3667">
      <c r="A3667" s="282" t="inlineStr">
        <is>
          <t>2021-01-27</t>
        </is>
      </c>
      <c r="B3667" s="240">
        <f>IFERROR(1/P3667-1,B3666)</f>
        <v/>
      </c>
      <c r="C3667" s="240">
        <f>$C$3</f>
        <v/>
      </c>
      <c r="D3667" s="240">
        <f>$D$3</f>
        <v/>
      </c>
      <c r="E3667" s="240">
        <f>$E$3</f>
        <v/>
      </c>
      <c r="F3667" s="241" t="n">
        <v>12.9</v>
      </c>
      <c r="G3667" s="242" t="n">
        <v>100520868</v>
      </c>
      <c r="H3667" s="241" t="n">
        <v>4.45</v>
      </c>
      <c r="I3667" s="241" t="n">
        <v>22.16</v>
      </c>
      <c r="J3667" s="241" t="n">
        <v>29.39</v>
      </c>
      <c r="K3667" s="241" t="n">
        <v>6.68</v>
      </c>
      <c r="L3667" s="242" t="n">
        <v>13934184</v>
      </c>
      <c r="M3667" s="241" t="n">
        <v>1.01</v>
      </c>
      <c r="N3667" s="241" t="n">
        <v>40.53</v>
      </c>
      <c r="O3667" s="241" t="n">
        <v>41.27</v>
      </c>
      <c r="P3667" s="241" t="n">
        <v>1.93</v>
      </c>
    </row>
    <row r="3668">
      <c r="A3668" s="282" t="inlineStr">
        <is>
          <t>2021-01-28</t>
        </is>
      </c>
      <c r="B3668" s="240">
        <f>IFERROR(1/P3668-1,B3667)</f>
        <v/>
      </c>
      <c r="C3668" s="240">
        <f>$C$3</f>
        <v/>
      </c>
      <c r="D3668" s="240">
        <f>$D$3</f>
        <v/>
      </c>
      <c r="E3668" s="240">
        <f>$E$3</f>
        <v/>
      </c>
      <c r="F3668" s="241" t="n">
        <v>12.1</v>
      </c>
      <c r="G3668" s="242" t="n">
        <v>84312372</v>
      </c>
      <c r="H3668" s="241" t="n">
        <v>-6.2</v>
      </c>
      <c r="I3668" s="241" t="n">
        <v>14.58</v>
      </c>
      <c r="J3668" s="241" t="n">
        <v>21.36</v>
      </c>
      <c r="K3668" s="241" t="n">
        <v>6.18</v>
      </c>
      <c r="L3668" s="242" t="n">
        <v>9877200</v>
      </c>
      <c r="M3668" s="241" t="n">
        <v>-7.74</v>
      </c>
      <c r="N3668" s="241" t="n">
        <v>29.65</v>
      </c>
      <c r="O3668" s="241" t="n">
        <v>30.34</v>
      </c>
      <c r="P3668" s="241" t="n">
        <v>1.96</v>
      </c>
    </row>
    <row r="3669">
      <c r="A3669" s="282" t="inlineStr">
        <is>
          <t>2021-01-29</t>
        </is>
      </c>
      <c r="B3669" s="240">
        <f>IFERROR(1/P3669-1,B3668)</f>
        <v/>
      </c>
      <c r="C3669" s="240">
        <f>$C$3</f>
        <v/>
      </c>
      <c r="D3669" s="240">
        <f>$D$3</f>
        <v/>
      </c>
      <c r="E3669" s="240">
        <f>$E$3</f>
        <v/>
      </c>
      <c r="F3669" s="241" t="n">
        <v>12.48</v>
      </c>
      <c r="G3669" s="242" t="n">
        <v>71681150</v>
      </c>
      <c r="H3669" s="241" t="n">
        <v>3.14</v>
      </c>
      <c r="I3669" s="241" t="n">
        <v>19.54</v>
      </c>
      <c r="J3669" s="241" t="n">
        <v>25.18</v>
      </c>
      <c r="K3669" s="241" t="n">
        <v>6.21</v>
      </c>
      <c r="L3669" s="242" t="n">
        <v>8189600</v>
      </c>
      <c r="M3669" s="241" t="n">
        <v>0.68</v>
      </c>
      <c r="N3669" s="241" t="n">
        <v>31.22</v>
      </c>
      <c r="O3669" s="241" t="n">
        <v>31.22</v>
      </c>
      <c r="P3669" s="241" t="n">
        <v>2.01</v>
      </c>
    </row>
    <row r="3670">
      <c r="A3670" s="282" t="inlineStr">
        <is>
          <t>2021-02-01</t>
        </is>
      </c>
      <c r="B3670" s="240">
        <f>IFERROR(1/P3670-1,B3669)</f>
        <v/>
      </c>
      <c r="C3670" s="240">
        <f>$C$3</f>
        <v/>
      </c>
      <c r="D3670" s="240">
        <f>$D$3</f>
        <v/>
      </c>
      <c r="E3670" s="240">
        <f>$E$3</f>
        <v/>
      </c>
      <c r="F3670" s="241" t="n">
        <v>13.25</v>
      </c>
      <c r="G3670" s="242" t="n">
        <v>90088958</v>
      </c>
      <c r="H3670" s="241" t="n">
        <v>6.17</v>
      </c>
      <c r="I3670" s="241" t="n">
        <v>32.9</v>
      </c>
      <c r="J3670" s="241" t="n">
        <v>32.9</v>
      </c>
      <c r="K3670" s="241" t="n">
        <v>6.58</v>
      </c>
      <c r="L3670" s="242" t="n">
        <v>9236600</v>
      </c>
      <c r="M3670" s="241" t="n">
        <v>6.05</v>
      </c>
      <c r="N3670" s="241" t="n">
        <v>39.15</v>
      </c>
      <c r="O3670" s="241" t="n">
        <v>39.15</v>
      </c>
      <c r="P3670" s="241" t="n">
        <v>2.01</v>
      </c>
    </row>
    <row r="3671">
      <c r="A3671" s="282" t="inlineStr">
        <is>
          <t>2021-02-02</t>
        </is>
      </c>
      <c r="B3671" s="240">
        <f>IFERROR(1/P3671-1,B3670)</f>
        <v/>
      </c>
      <c r="C3671" s="240">
        <f>$C$3</f>
        <v/>
      </c>
      <c r="D3671" s="240">
        <f>$D$3</f>
        <v/>
      </c>
      <c r="E3671" s="240">
        <f>$E$3</f>
        <v/>
      </c>
      <c r="F3671" s="241" t="n">
        <v>13.17</v>
      </c>
      <c r="G3671" s="242" t="n">
        <v>81905107</v>
      </c>
      <c r="H3671" s="241" t="n">
        <v>-0.6</v>
      </c>
      <c r="I3671" s="241" t="n">
        <v>32.1</v>
      </c>
      <c r="J3671" s="241" t="n">
        <v>32.1</v>
      </c>
      <c r="K3671" s="241" t="n">
        <v>6.7</v>
      </c>
      <c r="L3671" s="242" t="n">
        <v>9930800</v>
      </c>
      <c r="M3671" s="241" t="n">
        <v>1.77</v>
      </c>
      <c r="N3671" s="241" t="n">
        <v>41.62</v>
      </c>
      <c r="O3671" s="241" t="n">
        <v>41.62</v>
      </c>
      <c r="P3671" s="241" t="n">
        <v>1.96</v>
      </c>
    </row>
    <row r="3672">
      <c r="A3672" s="282" t="inlineStr">
        <is>
          <t>2021-02-03</t>
        </is>
      </c>
      <c r="B3672" s="240">
        <f>IFERROR(1/P3672-1,B3671)</f>
        <v/>
      </c>
      <c r="C3672" s="240">
        <f>$C$3</f>
        <v/>
      </c>
      <c r="D3672" s="240">
        <f>$D$3</f>
        <v/>
      </c>
      <c r="E3672" s="240">
        <f>$E$3</f>
        <v/>
      </c>
      <c r="F3672" s="241" t="n">
        <v>13.39</v>
      </c>
      <c r="G3672" s="242" t="n">
        <v>94278423</v>
      </c>
      <c r="H3672" s="241" t="n">
        <v>1.67</v>
      </c>
      <c r="I3672" s="241" t="n">
        <v>34.3</v>
      </c>
      <c r="J3672" s="241" t="n">
        <v>34.3</v>
      </c>
      <c r="K3672" s="241" t="n">
        <v>6.9</v>
      </c>
      <c r="L3672" s="242" t="n">
        <v>13136800</v>
      </c>
      <c r="M3672" s="241" t="n">
        <v>2.99</v>
      </c>
      <c r="N3672" s="241" t="n">
        <v>45.86</v>
      </c>
      <c r="O3672" s="241" t="n">
        <v>45.86</v>
      </c>
      <c r="P3672" s="241" t="n">
        <v>1.94</v>
      </c>
    </row>
    <row r="3673">
      <c r="A3673" s="282" t="inlineStr">
        <is>
          <t>2021-02-04</t>
        </is>
      </c>
      <c r="B3673" s="240">
        <f>IFERROR(1/P3673-1,B3672)</f>
        <v/>
      </c>
      <c r="C3673" s="240">
        <f>$C$3</f>
        <v/>
      </c>
      <c r="D3673" s="240">
        <f>$D$3</f>
        <v/>
      </c>
      <c r="E3673" s="240">
        <f>$E$3</f>
        <v/>
      </c>
      <c r="F3673" s="241" t="n">
        <v>13.2</v>
      </c>
      <c r="G3673" s="242" t="n">
        <v>91935899</v>
      </c>
      <c r="H3673" s="241" t="n">
        <v>-1.42</v>
      </c>
      <c r="I3673" s="241" t="n">
        <v>32.4</v>
      </c>
      <c r="J3673" s="241" t="n">
        <v>32.4</v>
      </c>
      <c r="K3673" s="241" t="n">
        <v>6.97</v>
      </c>
      <c r="L3673" s="242" t="n">
        <v>12308000</v>
      </c>
      <c r="M3673" s="241" t="n">
        <v>1.09</v>
      </c>
      <c r="N3673" s="241" t="n">
        <v>47.44</v>
      </c>
      <c r="O3673" s="241" t="n">
        <v>47.44</v>
      </c>
      <c r="P3673" s="241" t="n">
        <v>1.89</v>
      </c>
    </row>
    <row r="3674">
      <c r="A3674" s="282" t="inlineStr">
        <is>
          <t>2021-02-05</t>
        </is>
      </c>
      <c r="B3674" s="240">
        <f>IFERROR(1/P3674-1,B3673)</f>
        <v/>
      </c>
      <c r="C3674" s="240">
        <f>$C$3</f>
        <v/>
      </c>
      <c r="D3674" s="240">
        <f>$D$3</f>
        <v/>
      </c>
      <c r="E3674" s="240">
        <f>$E$3</f>
        <v/>
      </c>
      <c r="F3674" s="241" t="n">
        <v>11.88</v>
      </c>
      <c r="G3674" s="242" t="n">
        <v>127023684</v>
      </c>
      <c r="H3674" s="241" t="n">
        <v>-10</v>
      </c>
      <c r="I3674" s="241" t="n">
        <v>10.2</v>
      </c>
      <c r="J3674" s="241" t="n">
        <v>19.16</v>
      </c>
      <c r="K3674" s="241" t="n">
        <v>6</v>
      </c>
      <c r="L3674" s="242" t="n">
        <v>20346800</v>
      </c>
      <c r="M3674" s="241" t="n">
        <v>-14</v>
      </c>
      <c r="N3674" s="241" t="n">
        <v>17.87</v>
      </c>
      <c r="O3674" s="241" t="n">
        <v>26.81</v>
      </c>
      <c r="P3674" s="241" t="n">
        <v>1.98</v>
      </c>
    </row>
    <row r="3675">
      <c r="A3675" s="282" t="inlineStr">
        <is>
          <t>2021-02-08</t>
        </is>
      </c>
      <c r="B3675" s="240">
        <f>IFERROR(1/P3675-1,B3674)</f>
        <v/>
      </c>
      <c r="C3675" s="240">
        <f>$C$3</f>
        <v/>
      </c>
      <c r="D3675" s="240">
        <f>$D$3</f>
        <v/>
      </c>
      <c r="E3675" s="240">
        <f>$E$3</f>
        <v/>
      </c>
      <c r="F3675" s="241" t="n">
        <v>11.46</v>
      </c>
      <c r="G3675" s="242" t="n">
        <v>68519586</v>
      </c>
      <c r="H3675" s="241" t="n">
        <v>-3.54</v>
      </c>
      <c r="I3675" s="241" t="n">
        <v>7.1</v>
      </c>
      <c r="J3675" s="241" t="n">
        <v>14.94</v>
      </c>
      <c r="K3675" s="241" t="n">
        <v>6.09</v>
      </c>
      <c r="L3675" s="242" t="n">
        <v>8685500</v>
      </c>
      <c r="M3675" s="241" t="n">
        <v>1.53</v>
      </c>
      <c r="N3675" s="241" t="n">
        <v>22.48</v>
      </c>
      <c r="O3675" s="241" t="n">
        <v>28.75</v>
      </c>
      <c r="P3675" s="241" t="n">
        <v>1.88</v>
      </c>
    </row>
    <row r="3676">
      <c r="A3676" s="282" t="inlineStr">
        <is>
          <t>2021-02-09</t>
        </is>
      </c>
      <c r="B3676" s="240">
        <f>IFERROR(1/P3676-1,B3675)</f>
        <v/>
      </c>
      <c r="C3676" s="240">
        <f>$C$3</f>
        <v/>
      </c>
      <c r="D3676" s="240">
        <f>$D$3</f>
        <v/>
      </c>
      <c r="E3676" s="240">
        <f>$E$3</f>
        <v/>
      </c>
      <c r="F3676" s="241" t="n">
        <v>12.15</v>
      </c>
      <c r="G3676" s="242" t="n">
        <v>64331711</v>
      </c>
      <c r="H3676" s="241" t="n">
        <v>6.02</v>
      </c>
      <c r="I3676" s="241" t="n">
        <v>12.19</v>
      </c>
      <c r="J3676" s="241" t="n">
        <v>21.87</v>
      </c>
      <c r="K3676" s="241" t="n">
        <v>6.26</v>
      </c>
      <c r="L3676" s="242" t="n">
        <v>3310000</v>
      </c>
      <c r="M3676" s="241" t="n">
        <v>3.01</v>
      </c>
      <c r="N3676" s="241" t="n">
        <v>18.24</v>
      </c>
      <c r="O3676" s="241" t="n">
        <v>32.63</v>
      </c>
      <c r="P3676" s="241" t="n">
        <v>1.94</v>
      </c>
    </row>
    <row r="3677">
      <c r="A3677" s="282" t="inlineStr">
        <is>
          <t>2021-02-10</t>
        </is>
      </c>
      <c r="B3677" s="240">
        <f>IFERROR(1/P3677-1,B3676)</f>
        <v/>
      </c>
      <c r="C3677" s="240">
        <f>$C$3</f>
        <v/>
      </c>
      <c r="D3677" s="240">
        <f>$D$3</f>
        <v/>
      </c>
      <c r="E3677" s="240">
        <f>$E$3</f>
        <v/>
      </c>
      <c r="F3677" s="241" t="n">
        <v>11.94</v>
      </c>
      <c r="G3677" s="242" t="n">
        <v>49523750</v>
      </c>
      <c r="H3677" s="241" t="n">
        <v>-1.73</v>
      </c>
      <c r="I3677" s="241" t="n">
        <v>10.25</v>
      </c>
      <c r="J3677" s="241" t="n">
        <v>19.76</v>
      </c>
      <c r="K3677" s="241" t="n">
        <v>6.4</v>
      </c>
      <c r="L3677" s="242" t="n">
        <v>3824400</v>
      </c>
      <c r="M3677" s="241" t="n">
        <v>2.39</v>
      </c>
      <c r="N3677" s="241" t="n">
        <v>21.07</v>
      </c>
      <c r="O3677" s="241" t="n">
        <v>35.8</v>
      </c>
      <c r="P3677" s="241" t="n">
        <v>1.87</v>
      </c>
    </row>
    <row r="3678">
      <c r="A3678" s="282" t="inlineStr">
        <is>
          <t>2021-02-18</t>
        </is>
      </c>
      <c r="B3678" s="240">
        <f>IFERROR(1/P3678-1,B3677)</f>
        <v/>
      </c>
      <c r="C3678" s="240">
        <f>$C$3</f>
        <v/>
      </c>
      <c r="D3678" s="240">
        <f>$D$3</f>
        <v/>
      </c>
      <c r="E3678" s="240">
        <f>$E$3</f>
        <v/>
      </c>
      <c r="F3678" s="241" t="n">
        <v>12.06</v>
      </c>
      <c r="G3678" s="242" t="n">
        <v>57886184</v>
      </c>
      <c r="H3678" s="241" t="n">
        <v>1</v>
      </c>
      <c r="I3678" s="241" t="n">
        <v>9.140000000000001</v>
      </c>
      <c r="J3678" s="241" t="n">
        <v>20.96</v>
      </c>
      <c r="K3678" s="241" t="n">
        <v>6.48</v>
      </c>
      <c r="L3678" s="242" t="n">
        <v>7289100</v>
      </c>
      <c r="M3678" s="241" t="n">
        <v>-5.01</v>
      </c>
      <c r="N3678" s="241" t="n">
        <v>18.24</v>
      </c>
      <c r="O3678" s="241" t="n">
        <v>37.21</v>
      </c>
      <c r="P3678" s="241" t="n">
        <v>1.86</v>
      </c>
    </row>
    <row r="3679">
      <c r="A3679" s="282" t="inlineStr">
        <is>
          <t>2021-02-19</t>
        </is>
      </c>
      <c r="B3679" s="240">
        <f>IFERROR(1/P3679-1,B3678)</f>
        <v/>
      </c>
      <c r="C3679" s="240">
        <f>$C$3</f>
        <v/>
      </c>
      <c r="D3679" s="240">
        <f>$D$3</f>
        <v/>
      </c>
      <c r="E3679" s="240">
        <f>$E$3</f>
        <v/>
      </c>
      <c r="F3679" s="241" t="n">
        <v>12.59</v>
      </c>
      <c r="G3679" s="242" t="n">
        <v>52045644</v>
      </c>
      <c r="H3679" s="241" t="n">
        <v>4.39</v>
      </c>
      <c r="I3679" s="241" t="n">
        <v>9.859999999999999</v>
      </c>
      <c r="J3679" s="241" t="n">
        <v>26.28</v>
      </c>
      <c r="K3679" s="241" t="n">
        <v>6.69</v>
      </c>
      <c r="L3679" s="242" t="n">
        <v>6308800</v>
      </c>
      <c r="M3679" s="241" t="n">
        <v>3.21</v>
      </c>
      <c r="N3679" s="241" t="n">
        <v>18.61</v>
      </c>
      <c r="O3679" s="241" t="n">
        <v>41.62</v>
      </c>
      <c r="P3679" s="241" t="n">
        <v>1.88</v>
      </c>
    </row>
    <row r="3680">
      <c r="A3680" s="282" t="inlineStr">
        <is>
          <t>2021-02-22</t>
        </is>
      </c>
      <c r="B3680" s="240">
        <f>IFERROR(1/P3680-1,B3679)</f>
        <v/>
      </c>
      <c r="C3680" s="240">
        <f>$C$3</f>
        <v/>
      </c>
      <c r="D3680" s="240">
        <f>$D$3</f>
        <v/>
      </c>
      <c r="E3680" s="240">
        <f>$E$3</f>
        <v/>
      </c>
      <c r="F3680" s="241" t="n">
        <v>12.57</v>
      </c>
      <c r="G3680" s="242" t="n">
        <v>68458995</v>
      </c>
      <c r="H3680" s="241" t="n">
        <v>-0.16</v>
      </c>
      <c r="I3680" s="241" t="n">
        <v>10.85</v>
      </c>
      <c r="J3680" s="241" t="n">
        <v>26.08</v>
      </c>
      <c r="K3680" s="241" t="n">
        <v>6.26</v>
      </c>
      <c r="L3680" s="242" t="n">
        <v>6732060</v>
      </c>
      <c r="M3680" s="241" t="n">
        <v>-6.35</v>
      </c>
      <c r="N3680" s="241" t="n">
        <v>6.52</v>
      </c>
      <c r="O3680" s="241" t="n">
        <v>32.63</v>
      </c>
      <c r="P3680" s="241" t="n">
        <v>2.01</v>
      </c>
    </row>
    <row r="3681">
      <c r="A3681" s="282" t="inlineStr">
        <is>
          <t>2021-02-23</t>
        </is>
      </c>
      <c r="B3681" s="240">
        <f>IFERROR(1/P3681-1,B3680)</f>
        <v/>
      </c>
      <c r="C3681" s="240">
        <f>$C$3</f>
        <v/>
      </c>
      <c r="D3681" s="240">
        <f>$D$3</f>
        <v/>
      </c>
      <c r="E3681" s="240">
        <f>$E$3</f>
        <v/>
      </c>
      <c r="F3681" s="241" t="n">
        <v>12.96</v>
      </c>
      <c r="G3681" s="242" t="n">
        <v>63333387</v>
      </c>
      <c r="H3681" s="241" t="n">
        <v>3.1</v>
      </c>
      <c r="I3681" s="241" t="n">
        <v>11.92</v>
      </c>
      <c r="J3681" s="241" t="n">
        <v>29.99</v>
      </c>
      <c r="K3681" s="241" t="n">
        <v>6.32</v>
      </c>
      <c r="L3681" s="242" t="n">
        <v>4588400</v>
      </c>
      <c r="M3681" s="241" t="n">
        <v>1.06</v>
      </c>
      <c r="N3681" s="241" t="n">
        <v>9.51</v>
      </c>
      <c r="O3681" s="241" t="n">
        <v>34.04</v>
      </c>
      <c r="P3681" s="241" t="n">
        <v>2.05</v>
      </c>
    </row>
    <row r="3682">
      <c r="A3682" s="282" t="inlineStr">
        <is>
          <t>2021-02-24</t>
        </is>
      </c>
      <c r="B3682" s="240">
        <f>IFERROR(1/P3682-1,B3681)</f>
        <v/>
      </c>
      <c r="C3682" s="240">
        <f>$C$3</f>
        <v/>
      </c>
      <c r="D3682" s="240">
        <f>$D$3</f>
        <v/>
      </c>
      <c r="E3682" s="240">
        <f>$E$3</f>
        <v/>
      </c>
      <c r="F3682" s="241" t="n">
        <v>12.62</v>
      </c>
      <c r="G3682" s="242" t="n">
        <v>62679301</v>
      </c>
      <c r="H3682" s="241" t="n">
        <v>-2.62</v>
      </c>
      <c r="I3682" s="241" t="n">
        <v>8.98</v>
      </c>
      <c r="J3682" s="241" t="n">
        <v>26.58</v>
      </c>
      <c r="K3682" s="241" t="n">
        <v>5.92</v>
      </c>
      <c r="L3682" s="242" t="n">
        <v>10029200</v>
      </c>
      <c r="M3682" s="241" t="n">
        <v>-6.58</v>
      </c>
      <c r="N3682" s="241" t="n">
        <v>2.31</v>
      </c>
      <c r="O3682" s="241" t="n">
        <v>25.22</v>
      </c>
      <c r="P3682" s="241" t="n">
        <v>2.13</v>
      </c>
    </row>
    <row r="3683">
      <c r="A3683" s="282" t="inlineStr">
        <is>
          <t>2021-02-25</t>
        </is>
      </c>
      <c r="B3683" s="240">
        <f>IFERROR(1/P3683-1,B3682)</f>
        <v/>
      </c>
      <c r="C3683" s="240">
        <f>$C$3</f>
        <v/>
      </c>
      <c r="D3683" s="240">
        <f>$D$3</f>
        <v/>
      </c>
      <c r="E3683" s="240">
        <f>$E$3</f>
        <v/>
      </c>
      <c r="F3683" s="241" t="n">
        <v>12.1</v>
      </c>
      <c r="G3683" s="242" t="n">
        <v>44856139</v>
      </c>
      <c r="H3683" s="241" t="n">
        <v>-4.12</v>
      </c>
      <c r="I3683" s="241" t="n">
        <v>4.49</v>
      </c>
      <c r="J3683" s="241" t="n">
        <v>21.36</v>
      </c>
      <c r="K3683" s="241" t="n">
        <v>6.01</v>
      </c>
      <c r="L3683" s="242" t="n">
        <v>4285600</v>
      </c>
      <c r="M3683" s="241" t="n">
        <v>1.69</v>
      </c>
      <c r="N3683" s="241" t="n">
        <v>4.03</v>
      </c>
      <c r="O3683" s="241" t="n">
        <v>27.34</v>
      </c>
      <c r="P3683" s="241" t="n">
        <v>2.01</v>
      </c>
    </row>
    <row r="3684">
      <c r="A3684" s="282" t="inlineStr">
        <is>
          <t>2021-02-26</t>
        </is>
      </c>
      <c r="B3684" s="240">
        <f>IFERROR(1/P3684-1,B3683)</f>
        <v/>
      </c>
      <c r="C3684" s="240">
        <f>$C$3</f>
        <v/>
      </c>
      <c r="D3684" s="240">
        <f>$D$3</f>
        <v/>
      </c>
      <c r="E3684" s="240">
        <f>$E$3</f>
        <v/>
      </c>
      <c r="F3684" s="241" t="n">
        <v>11.85</v>
      </c>
      <c r="G3684" s="242" t="n">
        <v>36997530</v>
      </c>
      <c r="H3684" s="241" t="n">
        <v>-2.07</v>
      </c>
      <c r="I3684" s="241" t="n">
        <v>-6.99</v>
      </c>
      <c r="J3684" s="241" t="n">
        <v>18.86</v>
      </c>
      <c r="K3684" s="241" t="n">
        <v>5.74</v>
      </c>
      <c r="L3684" s="242" t="n">
        <v>6590000</v>
      </c>
      <c r="M3684" s="241" t="n">
        <v>-4.71</v>
      </c>
      <c r="N3684" s="241" t="n">
        <v>-13.13</v>
      </c>
      <c r="O3684" s="241" t="n">
        <v>21.34</v>
      </c>
      <c r="P3684" s="241" t="n">
        <v>2.06</v>
      </c>
    </row>
    <row r="3685">
      <c r="A3685" s="282" t="inlineStr">
        <is>
          <t>2021-03-01</t>
        </is>
      </c>
      <c r="B3685" s="240">
        <f>IFERROR(1/P3685-1,B3684)</f>
        <v/>
      </c>
      <c r="C3685" s="240">
        <f>$C$3</f>
        <v/>
      </c>
      <c r="D3685" s="240">
        <f>$D$3</f>
        <v/>
      </c>
      <c r="E3685" s="240">
        <f>$E$3</f>
        <v/>
      </c>
      <c r="F3685" s="241" t="n">
        <v>12.12</v>
      </c>
      <c r="G3685" s="242" t="n">
        <v>28941842</v>
      </c>
      <c r="H3685" s="241" t="n">
        <v>2.28</v>
      </c>
      <c r="I3685" s="241" t="n">
        <v>-2.88</v>
      </c>
      <c r="J3685" s="241" t="n">
        <v>21.56</v>
      </c>
      <c r="K3685" s="241" t="n">
        <v>5.93</v>
      </c>
      <c r="L3685" s="242" t="n">
        <v>2849268</v>
      </c>
      <c r="M3685" s="241" t="n">
        <v>3.2</v>
      </c>
      <c r="N3685" s="241" t="n">
        <v>-4.57</v>
      </c>
      <c r="O3685" s="241" t="n">
        <v>25.22</v>
      </c>
      <c r="P3685" s="241" t="n">
        <v>2.04</v>
      </c>
    </row>
    <row r="3686">
      <c r="A3686" s="282" t="inlineStr">
        <is>
          <t>2021-03-02</t>
        </is>
      </c>
      <c r="B3686" s="240">
        <f>IFERROR(1/P3686-1,B3685)</f>
        <v/>
      </c>
      <c r="C3686" s="240">
        <f>$C$3</f>
        <v/>
      </c>
      <c r="D3686" s="240">
        <f>$D$3</f>
        <v/>
      </c>
      <c r="E3686" s="240">
        <f>$E$3</f>
        <v/>
      </c>
      <c r="F3686" s="241" t="n">
        <v>12.38</v>
      </c>
      <c r="G3686" s="242" t="n">
        <v>41406995</v>
      </c>
      <c r="H3686" s="241" t="n">
        <v>2.15</v>
      </c>
      <c r="I3686" s="241" t="n">
        <v>-6.57</v>
      </c>
      <c r="J3686" s="241" t="n">
        <v>24.17</v>
      </c>
      <c r="K3686" s="241" t="n">
        <v>5.9</v>
      </c>
      <c r="L3686" s="242" t="n">
        <v>2690200</v>
      </c>
      <c r="M3686" s="241" t="n">
        <v>-0.28</v>
      </c>
      <c r="N3686" s="241" t="n">
        <v>-10.27</v>
      </c>
      <c r="O3686" s="241" t="n">
        <v>24.87</v>
      </c>
      <c r="P3686" s="241" t="n">
        <v>2.1</v>
      </c>
    </row>
    <row r="3687">
      <c r="A3687" s="282" t="inlineStr">
        <is>
          <t>2021-03-03</t>
        </is>
      </c>
      <c r="B3687" s="240">
        <f>IFERROR(1/P3687-1,B3686)</f>
        <v/>
      </c>
      <c r="C3687" s="240">
        <f>$C$3</f>
        <v/>
      </c>
      <c r="D3687" s="240">
        <f>$D$3</f>
        <v/>
      </c>
      <c r="E3687" s="240">
        <f>$E$3</f>
        <v/>
      </c>
      <c r="F3687" s="241" t="n">
        <v>12.37</v>
      </c>
      <c r="G3687" s="242" t="n">
        <v>33375531</v>
      </c>
      <c r="H3687" s="241" t="n">
        <v>-0.08</v>
      </c>
      <c r="I3687" s="241" t="n">
        <v>-6.07</v>
      </c>
      <c r="J3687" s="241" t="n">
        <v>24.07</v>
      </c>
      <c r="K3687" s="241" t="n">
        <v>5.97</v>
      </c>
      <c r="L3687" s="242" t="n">
        <v>2311000</v>
      </c>
      <c r="M3687" s="241" t="n">
        <v>1.27</v>
      </c>
      <c r="N3687" s="241" t="n">
        <v>-10.71</v>
      </c>
      <c r="O3687" s="241" t="n">
        <v>26.45</v>
      </c>
      <c r="P3687" s="241" t="n">
        <v>2.07</v>
      </c>
    </row>
    <row r="3688">
      <c r="A3688" s="282" t="inlineStr">
        <is>
          <t>2021-03-04</t>
        </is>
      </c>
      <c r="B3688" s="240">
        <f>IFERROR(1/P3688-1,B3687)</f>
        <v/>
      </c>
      <c r="C3688" s="240">
        <f>$C$3</f>
        <v/>
      </c>
      <c r="D3688" s="240">
        <f>$D$3</f>
        <v/>
      </c>
      <c r="E3688" s="240">
        <f>$E$3</f>
        <v/>
      </c>
      <c r="F3688" s="241" t="n">
        <v>11.91</v>
      </c>
      <c r="G3688" s="242" t="n">
        <v>39456229</v>
      </c>
      <c r="H3688" s="241" t="n">
        <v>-3.72</v>
      </c>
      <c r="I3688" s="241" t="n">
        <v>-11.05</v>
      </c>
      <c r="J3688" s="241" t="n">
        <v>19.46</v>
      </c>
      <c r="K3688" s="241" t="n">
        <v>5.7</v>
      </c>
      <c r="L3688" s="242" t="n">
        <v>4412771</v>
      </c>
      <c r="M3688" s="241" t="n">
        <v>-4.74</v>
      </c>
      <c r="N3688" s="241" t="n">
        <v>-17.41</v>
      </c>
      <c r="O3688" s="241" t="n">
        <v>20.46</v>
      </c>
      <c r="P3688" s="241" t="n">
        <v>2.09</v>
      </c>
    </row>
    <row r="3689">
      <c r="A3689" s="282" t="inlineStr">
        <is>
          <t>2021-03-05</t>
        </is>
      </c>
      <c r="B3689" s="240">
        <f>IFERROR(1/P3689-1,B3688)</f>
        <v/>
      </c>
      <c r="C3689" s="240">
        <f>$C$3</f>
        <v/>
      </c>
      <c r="D3689" s="240">
        <f>$D$3</f>
        <v/>
      </c>
      <c r="E3689" s="240">
        <f>$E$3</f>
        <v/>
      </c>
      <c r="F3689" s="241" t="n">
        <v>12.12</v>
      </c>
      <c r="G3689" s="242" t="n">
        <v>32923291</v>
      </c>
      <c r="H3689" s="241" t="n">
        <v>1.76</v>
      </c>
      <c r="I3689" s="241" t="n">
        <v>-8.18</v>
      </c>
      <c r="J3689" s="241" t="n">
        <v>21.56</v>
      </c>
      <c r="K3689" s="241" t="n">
        <v>5.84</v>
      </c>
      <c r="L3689" s="242" t="n">
        <v>3403400</v>
      </c>
      <c r="M3689" s="241" t="n">
        <v>2.2</v>
      </c>
      <c r="N3689" s="241" t="n">
        <v>-16.51</v>
      </c>
      <c r="O3689" s="241" t="n">
        <v>23.1</v>
      </c>
      <c r="P3689" s="241" t="n">
        <v>2.08</v>
      </c>
    </row>
    <row r="3690">
      <c r="A3690" s="282" t="inlineStr">
        <is>
          <t>2021-03-08</t>
        </is>
      </c>
      <c r="B3690" s="240">
        <f>IFERROR(1/P3690-1,B3689)</f>
        <v/>
      </c>
      <c r="C3690" s="240">
        <f>$C$3</f>
        <v/>
      </c>
      <c r="D3690" s="240">
        <f>$D$3</f>
        <v/>
      </c>
      <c r="E3690" s="240">
        <f>$E$3</f>
        <v/>
      </c>
      <c r="F3690" s="241" t="n">
        <v>12.73</v>
      </c>
      <c r="G3690" s="242" t="n">
        <v>124348456</v>
      </c>
      <c r="H3690" s="241" t="n">
        <v>5.03</v>
      </c>
      <c r="I3690" s="241" t="n">
        <v>7.15</v>
      </c>
      <c r="J3690" s="241" t="n">
        <v>27.68</v>
      </c>
      <c r="K3690" s="241" t="n">
        <v>5.78</v>
      </c>
      <c r="L3690" s="242" t="n">
        <v>14367835</v>
      </c>
      <c r="M3690" s="241" t="n">
        <v>-0.72</v>
      </c>
      <c r="N3690" s="241" t="n">
        <v>-3.62</v>
      </c>
      <c r="O3690" s="241" t="n">
        <v>22.22</v>
      </c>
      <c r="P3690" s="241" t="n">
        <v>2.2</v>
      </c>
    </row>
    <row r="3691">
      <c r="A3691" s="282" t="inlineStr">
        <is>
          <t>2021-03-09</t>
        </is>
      </c>
      <c r="B3691" s="240">
        <f>IFERROR(1/P3691-1,B3690)</f>
        <v/>
      </c>
      <c r="C3691" s="240">
        <f>$C$3</f>
        <v/>
      </c>
      <c r="D3691" s="240">
        <f>$D$3</f>
        <v/>
      </c>
      <c r="E3691" s="240">
        <f>$E$3</f>
        <v/>
      </c>
      <c r="F3691" s="241" t="n">
        <v>11.8</v>
      </c>
      <c r="G3691" s="242" t="n">
        <v>94231807</v>
      </c>
      <c r="H3691" s="241" t="n">
        <v>-7.31</v>
      </c>
      <c r="I3691" s="241" t="n">
        <v>2.97</v>
      </c>
      <c r="J3691" s="241" t="n">
        <v>18.36</v>
      </c>
      <c r="K3691" s="241" t="n">
        <v>6.02</v>
      </c>
      <c r="L3691" s="242" t="n">
        <v>8518600</v>
      </c>
      <c r="M3691" s="241" t="n">
        <v>3.32</v>
      </c>
      <c r="N3691" s="241" t="n">
        <v>-1.92</v>
      </c>
      <c r="O3691" s="241" t="n">
        <v>26.28</v>
      </c>
      <c r="P3691" s="241" t="n">
        <v>1.96</v>
      </c>
    </row>
    <row r="3692">
      <c r="A3692" s="282" t="inlineStr">
        <is>
          <t>2021-03-10</t>
        </is>
      </c>
      <c r="B3692" s="240">
        <f>IFERROR(1/P3692-1,B3691)</f>
        <v/>
      </c>
      <c r="C3692" s="240">
        <f>$C$3</f>
        <v/>
      </c>
      <c r="D3692" s="240">
        <f>$D$3</f>
        <v/>
      </c>
      <c r="E3692" s="240">
        <f>$E$3</f>
        <v/>
      </c>
      <c r="F3692" s="241" t="n">
        <v>11.77</v>
      </c>
      <c r="G3692" s="242" t="n">
        <v>33010475</v>
      </c>
      <c r="H3692" s="241" t="n">
        <v>-0.25</v>
      </c>
      <c r="I3692" s="241" t="n">
        <v>-3.13</v>
      </c>
      <c r="J3692" s="241" t="n">
        <v>18.05</v>
      </c>
      <c r="K3692" s="241" t="n">
        <v>5.87</v>
      </c>
      <c r="L3692" s="242" t="n">
        <v>3374000</v>
      </c>
      <c r="M3692" s="241" t="n">
        <v>-2.23</v>
      </c>
      <c r="N3692" s="241" t="n">
        <v>-6.91</v>
      </c>
      <c r="O3692" s="241" t="n">
        <v>23.46</v>
      </c>
      <c r="P3692" s="241" t="n">
        <v>2</v>
      </c>
    </row>
    <row r="3693">
      <c r="A3693" s="282" t="inlineStr">
        <is>
          <t>2021-03-11</t>
        </is>
      </c>
      <c r="B3693" s="240">
        <f>IFERROR(1/P3693-1,B3692)</f>
        <v/>
      </c>
      <c r="C3693" s="240">
        <f>$C$3</f>
        <v/>
      </c>
      <c r="D3693" s="240">
        <f>$D$3</f>
        <v/>
      </c>
      <c r="E3693" s="240">
        <f>$E$3</f>
        <v/>
      </c>
      <c r="F3693" s="241" t="n">
        <v>12</v>
      </c>
      <c r="G3693" s="242" t="n">
        <v>36593752</v>
      </c>
      <c r="H3693" s="241" t="n">
        <v>1.95</v>
      </c>
      <c r="I3693" s="241" t="n">
        <v>0.5</v>
      </c>
      <c r="J3693" s="241" t="n">
        <v>20.36</v>
      </c>
      <c r="K3693" s="241" t="n">
        <v>6.13</v>
      </c>
      <c r="L3693" s="242" t="n">
        <v>4344000</v>
      </c>
      <c r="M3693" s="241" t="n">
        <v>4.57</v>
      </c>
      <c r="N3693" s="241" t="n">
        <v>-4.94</v>
      </c>
      <c r="O3693" s="241" t="n">
        <v>29.1</v>
      </c>
      <c r="P3693" s="241" t="n">
        <v>1.96</v>
      </c>
    </row>
    <row r="3694">
      <c r="A3694" s="282" t="inlineStr">
        <is>
          <t>2021-03-12</t>
        </is>
      </c>
      <c r="B3694" s="240">
        <f>IFERROR(1/P3694-1,B3693)</f>
        <v/>
      </c>
      <c r="C3694" s="240">
        <f>$C$3</f>
        <v/>
      </c>
      <c r="D3694" s="240">
        <f>$D$3</f>
        <v/>
      </c>
      <c r="E3694" s="240">
        <f>$E$3</f>
        <v/>
      </c>
      <c r="F3694" s="241" t="n">
        <v>12.85</v>
      </c>
      <c r="G3694" s="242" t="n">
        <v>91612252</v>
      </c>
      <c r="H3694" s="241" t="n">
        <v>7.08</v>
      </c>
      <c r="I3694" s="241" t="n">
        <v>7.62</v>
      </c>
      <c r="J3694" s="241" t="n">
        <v>28.89</v>
      </c>
      <c r="K3694" s="241" t="n">
        <v>6.19</v>
      </c>
      <c r="L3694" s="242" t="n">
        <v>8910700</v>
      </c>
      <c r="M3694" s="241" t="n">
        <v>1.23</v>
      </c>
      <c r="N3694" s="241" t="n">
        <v>-1.98</v>
      </c>
      <c r="O3694" s="241" t="n">
        <v>30.69</v>
      </c>
      <c r="P3694" s="241" t="n">
        <v>2.07</v>
      </c>
    </row>
    <row r="3695">
      <c r="A3695" s="282" t="inlineStr">
        <is>
          <t>2021-03-15</t>
        </is>
      </c>
      <c r="B3695" s="240">
        <f>IFERROR(1/P3695-1,B3694)</f>
        <v/>
      </c>
      <c r="C3695" s="240">
        <f>$C$3</f>
        <v/>
      </c>
      <c r="D3695" s="240">
        <f>$D$3</f>
        <v/>
      </c>
      <c r="E3695" s="240">
        <f>$E$3</f>
        <v/>
      </c>
      <c r="F3695" s="241" t="n">
        <v>12.8</v>
      </c>
      <c r="G3695" s="242" t="n">
        <v>65471222</v>
      </c>
      <c r="H3695" s="241" t="n">
        <v>-0.39</v>
      </c>
      <c r="I3695" s="241" t="n">
        <v>7.2</v>
      </c>
      <c r="J3695" s="241" t="n">
        <v>28.39</v>
      </c>
      <c r="K3695" s="241" t="n">
        <v>6.33</v>
      </c>
      <c r="L3695" s="242" t="n">
        <v>5981200</v>
      </c>
      <c r="M3695" s="241" t="n">
        <v>2.02</v>
      </c>
      <c r="N3695" s="241" t="n">
        <v>0</v>
      </c>
      <c r="O3695" s="241" t="n">
        <v>33.33</v>
      </c>
      <c r="P3695" s="241" t="n">
        <v>2.02</v>
      </c>
    </row>
    <row r="3696">
      <c r="A3696" s="282" t="inlineStr">
        <is>
          <t>2021-03-16</t>
        </is>
      </c>
      <c r="B3696" s="240">
        <f>IFERROR(1/P3696-1,B3695)</f>
        <v/>
      </c>
      <c r="C3696" s="240">
        <f>$C$3</f>
        <v/>
      </c>
      <c r="D3696" s="240">
        <f>$D$3</f>
        <v/>
      </c>
      <c r="E3696" s="240">
        <f>$E$3</f>
        <v/>
      </c>
      <c r="F3696" s="241" t="n">
        <v>12.9</v>
      </c>
      <c r="G3696" s="242" t="n">
        <v>60422962</v>
      </c>
      <c r="H3696" s="241" t="n">
        <v>0.78</v>
      </c>
      <c r="I3696" s="241" t="n">
        <v>8.039999999999999</v>
      </c>
      <c r="J3696" s="241" t="n">
        <v>29.39</v>
      </c>
      <c r="K3696" s="241" t="n">
        <v>6.47</v>
      </c>
      <c r="L3696" s="242" t="n">
        <v>4543200</v>
      </c>
      <c r="M3696" s="241" t="n">
        <v>2.12</v>
      </c>
      <c r="N3696" s="241" t="n">
        <v>2.12</v>
      </c>
      <c r="O3696" s="241" t="n">
        <v>36.16</v>
      </c>
      <c r="P3696" s="241" t="n">
        <v>2</v>
      </c>
    </row>
    <row r="3697">
      <c r="A3697" s="282" t="inlineStr">
        <is>
          <t>2021-03-17</t>
        </is>
      </c>
      <c r="B3697" s="240">
        <f>IFERROR(1/P3697-1,B3696)</f>
        <v/>
      </c>
      <c r="C3697" s="240">
        <f>$C$3</f>
        <v/>
      </c>
      <c r="D3697" s="240">
        <f>$D$3</f>
        <v/>
      </c>
      <c r="E3697" s="240">
        <f>$E$3</f>
        <v/>
      </c>
      <c r="F3697" s="241" t="n">
        <v>12.67</v>
      </c>
      <c r="G3697" s="242" t="n">
        <v>46182156</v>
      </c>
      <c r="H3697" s="241" t="n">
        <v>-1.78</v>
      </c>
      <c r="I3697" s="241" t="n">
        <v>6.11</v>
      </c>
      <c r="J3697" s="241" t="n">
        <v>27.08</v>
      </c>
      <c r="K3697" s="241" t="n">
        <v>6.28</v>
      </c>
      <c r="L3697" s="242" t="n">
        <v>2529287</v>
      </c>
      <c r="M3697" s="241" t="n">
        <v>-2.85</v>
      </c>
      <c r="N3697" s="241" t="n">
        <v>-10.71</v>
      </c>
      <c r="O3697" s="241" t="n">
        <v>32.28</v>
      </c>
      <c r="P3697" s="241" t="n">
        <v>2.02</v>
      </c>
    </row>
    <row r="3698">
      <c r="A3698" s="282" t="inlineStr">
        <is>
          <t>2021-03-18</t>
        </is>
      </c>
      <c r="B3698" s="240">
        <f>IFERROR(1/P3698-1,B3697)</f>
        <v/>
      </c>
      <c r="C3698" s="240">
        <f>$C$3</f>
        <v/>
      </c>
      <c r="D3698" s="240">
        <f>$D$3</f>
        <v/>
      </c>
      <c r="E3698" s="240">
        <f>$E$3</f>
        <v/>
      </c>
      <c r="F3698" s="241" t="n">
        <v>13.04</v>
      </c>
      <c r="G3698" s="242" t="n">
        <v>63456159</v>
      </c>
      <c r="H3698" s="241" t="n">
        <v>2.92</v>
      </c>
      <c r="I3698" s="241" t="n">
        <v>9.210000000000001</v>
      </c>
      <c r="J3698" s="241" t="n">
        <v>30.79</v>
      </c>
      <c r="K3698" s="241" t="n">
        <v>6.33</v>
      </c>
      <c r="L3698" s="242" t="n">
        <v>3461800</v>
      </c>
      <c r="M3698" s="241" t="n">
        <v>1.07</v>
      </c>
      <c r="N3698" s="241" t="n">
        <v>-7.45</v>
      </c>
      <c r="O3698" s="241" t="n">
        <v>33.69</v>
      </c>
      <c r="P3698" s="241" t="n">
        <v>2.06</v>
      </c>
    </row>
    <row r="3699">
      <c r="A3699" s="282" t="inlineStr">
        <is>
          <t>2021-03-19</t>
        </is>
      </c>
      <c r="B3699" s="240">
        <f>IFERROR(1/P3699-1,B3698)</f>
        <v/>
      </c>
      <c r="C3699" s="240">
        <f>$C$3</f>
        <v/>
      </c>
      <c r="D3699" s="240">
        <f>$D$3</f>
        <v/>
      </c>
      <c r="E3699" s="240">
        <f>$E$3</f>
        <v/>
      </c>
      <c r="F3699" s="241" t="n">
        <v>12.97</v>
      </c>
      <c r="G3699" s="242" t="n">
        <v>69342091</v>
      </c>
      <c r="H3699" s="241" t="n">
        <v>-0.54</v>
      </c>
      <c r="I3699" s="241" t="n">
        <v>7.55</v>
      </c>
      <c r="J3699" s="241" t="n">
        <v>30.09</v>
      </c>
      <c r="K3699" s="241" t="n">
        <v>6.42</v>
      </c>
      <c r="L3699" s="242" t="n">
        <v>4685800</v>
      </c>
      <c r="M3699" s="241" t="n">
        <v>1.06</v>
      </c>
      <c r="N3699" s="241" t="n">
        <v>-1.54</v>
      </c>
      <c r="O3699" s="241" t="n">
        <v>35.1</v>
      </c>
      <c r="P3699" s="241" t="n">
        <v>2.02</v>
      </c>
    </row>
    <row r="3700">
      <c r="A3700" s="282" t="inlineStr">
        <is>
          <t>2021-03-22</t>
        </is>
      </c>
      <c r="B3700" s="240">
        <f>IFERROR(1/P3700-1,B3699)</f>
        <v/>
      </c>
      <c r="C3700" s="240">
        <f>$C$3</f>
        <v/>
      </c>
      <c r="D3700" s="240">
        <f>$D$3</f>
        <v/>
      </c>
      <c r="E3700" s="240">
        <f>$E$3</f>
        <v/>
      </c>
      <c r="F3700" s="241" t="n">
        <v>13.67</v>
      </c>
      <c r="G3700" s="242" t="n">
        <v>84908161</v>
      </c>
      <c r="H3700" s="241" t="n">
        <v>5.4</v>
      </c>
      <c r="I3700" s="241" t="n">
        <v>8.58</v>
      </c>
      <c r="J3700" s="241" t="n">
        <v>37.11</v>
      </c>
      <c r="K3700" s="241" t="n">
        <v>6.71</v>
      </c>
      <c r="L3700" s="242" t="n">
        <v>8965600</v>
      </c>
      <c r="M3700" s="241" t="n">
        <v>4.44</v>
      </c>
      <c r="N3700" s="241" t="n">
        <v>-0.37</v>
      </c>
      <c r="O3700" s="241" t="n">
        <v>41.09</v>
      </c>
      <c r="P3700" s="241" t="n">
        <v>2.04</v>
      </c>
    </row>
    <row r="3701">
      <c r="A3701" s="282" t="inlineStr">
        <is>
          <t>2021-03-23</t>
        </is>
      </c>
      <c r="B3701" s="240">
        <f>IFERROR(1/P3701-1,B3700)</f>
        <v/>
      </c>
      <c r="C3701" s="240">
        <f>$C$3</f>
        <v/>
      </c>
      <c r="D3701" s="240">
        <f>$D$3</f>
        <v/>
      </c>
      <c r="E3701" s="240">
        <f>$E$3</f>
        <v/>
      </c>
      <c r="F3701" s="241" t="n">
        <v>12.86</v>
      </c>
      <c r="G3701" s="242" t="n">
        <v>78353424</v>
      </c>
      <c r="H3701" s="241" t="n">
        <v>-5.93</v>
      </c>
      <c r="I3701" s="241" t="n">
        <v>2.31</v>
      </c>
      <c r="J3701" s="241" t="n">
        <v>28.99</v>
      </c>
      <c r="K3701" s="241" t="n">
        <v>6.26</v>
      </c>
      <c r="L3701" s="242" t="n">
        <v>6815800</v>
      </c>
      <c r="M3701" s="241" t="n">
        <v>-6.63</v>
      </c>
      <c r="N3701" s="241" t="n">
        <v>-0.66</v>
      </c>
      <c r="O3701" s="241" t="n">
        <v>31.75</v>
      </c>
      <c r="P3701" s="241" t="n">
        <v>2.06</v>
      </c>
    </row>
    <row r="3702">
      <c r="A3702" s="282" t="inlineStr">
        <is>
          <t>2021-03-24</t>
        </is>
      </c>
      <c r="B3702" s="240">
        <f>IFERROR(1/P3702-1,B3701)</f>
        <v/>
      </c>
      <c r="C3702" s="240">
        <f>$C$3</f>
        <v/>
      </c>
      <c r="D3702" s="240">
        <f>$D$3</f>
        <v/>
      </c>
      <c r="E3702" s="240">
        <f>$E$3</f>
        <v/>
      </c>
      <c r="F3702" s="241" t="n">
        <v>12.7</v>
      </c>
      <c r="G3702" s="242" t="n">
        <v>42543450</v>
      </c>
      <c r="H3702" s="241" t="n">
        <v>-1.24</v>
      </c>
      <c r="I3702" s="241" t="n">
        <v>-2.01</v>
      </c>
      <c r="J3702" s="241" t="n">
        <v>27.38</v>
      </c>
      <c r="K3702" s="241" t="n">
        <v>5.98</v>
      </c>
      <c r="L3702" s="242" t="n">
        <v>4090400</v>
      </c>
      <c r="M3702" s="241" t="n">
        <v>-4.69</v>
      </c>
      <c r="N3702" s="241" t="n">
        <v>-6.32</v>
      </c>
      <c r="O3702" s="241" t="n">
        <v>25.57</v>
      </c>
      <c r="P3702" s="241" t="n">
        <v>2.12</v>
      </c>
    </row>
    <row r="3703">
      <c r="A3703" s="282" t="inlineStr">
        <is>
          <t>2021-03-25</t>
        </is>
      </c>
      <c r="B3703" s="240">
        <f>IFERROR(1/P3703-1,B3702)</f>
        <v/>
      </c>
      <c r="C3703" s="240">
        <f>$C$3</f>
        <v/>
      </c>
      <c r="D3703" s="240">
        <f>$D$3</f>
        <v/>
      </c>
      <c r="E3703" s="240">
        <f>$E$3</f>
        <v/>
      </c>
      <c r="F3703" s="241" t="n">
        <v>12.17</v>
      </c>
      <c r="G3703" s="242" t="n">
        <v>46762341</v>
      </c>
      <c r="H3703" s="241" t="n">
        <v>-4.17</v>
      </c>
      <c r="I3703" s="241" t="n">
        <v>-3.57</v>
      </c>
      <c r="J3703" s="241" t="n">
        <v>22.07</v>
      </c>
      <c r="K3703" s="241" t="n">
        <v>5.85</v>
      </c>
      <c r="L3703" s="242" t="n">
        <v>3214100</v>
      </c>
      <c r="M3703" s="241" t="n">
        <v>-2.25</v>
      </c>
      <c r="N3703" s="241" t="n">
        <v>-1.97</v>
      </c>
      <c r="O3703" s="241" t="n">
        <v>22.75</v>
      </c>
      <c r="P3703" s="241" t="n">
        <v>2.08</v>
      </c>
    </row>
    <row r="3704">
      <c r="A3704" s="282" t="inlineStr">
        <is>
          <t>2021-03-26</t>
        </is>
      </c>
      <c r="B3704" s="240">
        <f>IFERROR(1/P3704-1,B3703)</f>
        <v/>
      </c>
      <c r="C3704" s="240">
        <f>$C$3</f>
        <v/>
      </c>
      <c r="D3704" s="240">
        <f>$D$3</f>
        <v/>
      </c>
      <c r="E3704" s="240">
        <f>$E$3</f>
        <v/>
      </c>
      <c r="F3704" s="241" t="n">
        <v>12.67</v>
      </c>
      <c r="G3704" s="242" t="n">
        <v>44697895</v>
      </c>
      <c r="H3704" s="241" t="n">
        <v>4.11</v>
      </c>
      <c r="I3704" s="241" t="n">
        <v>4.71</v>
      </c>
      <c r="J3704" s="241" t="n">
        <v>27.08</v>
      </c>
      <c r="K3704" s="241" t="n">
        <v>6.03</v>
      </c>
      <c r="L3704" s="242" t="n">
        <v>3428400</v>
      </c>
      <c r="M3704" s="241" t="n">
        <v>3.02</v>
      </c>
      <c r="N3704" s="241" t="n">
        <v>-0.6899999999999999</v>
      </c>
      <c r="O3704" s="241" t="n">
        <v>26.45</v>
      </c>
      <c r="P3704" s="241" t="n">
        <v>2.1</v>
      </c>
    </row>
    <row r="3705">
      <c r="A3705" s="282" t="inlineStr">
        <is>
          <t>2021-03-29</t>
        </is>
      </c>
      <c r="B3705" s="240">
        <f>IFERROR(1/P3705-1,B3704)</f>
        <v/>
      </c>
      <c r="C3705" s="240">
        <f>$C$3</f>
        <v/>
      </c>
      <c r="D3705" s="240">
        <f>$D$3</f>
        <v/>
      </c>
      <c r="E3705" s="240">
        <f>$E$3</f>
        <v/>
      </c>
      <c r="F3705" s="241" t="n">
        <v>12.73</v>
      </c>
      <c r="G3705" s="242" t="n">
        <v>36033219</v>
      </c>
      <c r="H3705" s="241" t="n">
        <v>0.47</v>
      </c>
      <c r="I3705" s="241" t="n">
        <v>7.43</v>
      </c>
      <c r="J3705" s="241" t="n">
        <v>27.68</v>
      </c>
      <c r="K3705" s="241" t="n">
        <v>6.05</v>
      </c>
      <c r="L3705" s="242" t="n">
        <v>2791000</v>
      </c>
      <c r="M3705" s="241" t="n">
        <v>0.28</v>
      </c>
      <c r="N3705" s="241" t="n">
        <v>4.51</v>
      </c>
      <c r="O3705" s="241" t="n">
        <v>26.81</v>
      </c>
      <c r="P3705" s="241" t="n">
        <v>2.1</v>
      </c>
    </row>
    <row r="3706">
      <c r="A3706" s="282" t="inlineStr">
        <is>
          <t>2021-03-30</t>
        </is>
      </c>
      <c r="B3706" s="240">
        <f>IFERROR(1/P3706-1,B3705)</f>
        <v/>
      </c>
      <c r="C3706" s="240">
        <f>$C$3</f>
        <v/>
      </c>
      <c r="D3706" s="240">
        <f>$D$3</f>
        <v/>
      </c>
      <c r="E3706" s="240">
        <f>$E$3</f>
        <v/>
      </c>
      <c r="F3706" s="241" t="n">
        <v>12.51</v>
      </c>
      <c r="G3706" s="242" t="n">
        <v>30579742</v>
      </c>
      <c r="H3706" s="241" t="n">
        <v>-1.73</v>
      </c>
      <c r="I3706" s="241" t="n">
        <v>5.57</v>
      </c>
      <c r="J3706" s="241" t="n">
        <v>25.48</v>
      </c>
      <c r="K3706" s="241" t="n">
        <v>6.13</v>
      </c>
      <c r="L3706" s="242" t="n">
        <v>2871200</v>
      </c>
      <c r="M3706" s="241" t="n">
        <v>0.97</v>
      </c>
      <c r="N3706" s="241" t="n">
        <v>5.52</v>
      </c>
      <c r="O3706" s="241" t="n">
        <v>28.04</v>
      </c>
      <c r="P3706" s="241" t="n">
        <v>2.04</v>
      </c>
    </row>
    <row r="3707">
      <c r="A3707" s="282" t="inlineStr">
        <is>
          <t>2021-03-31</t>
        </is>
      </c>
      <c r="B3707" s="240">
        <f>IFERROR(1/P3707-1,B3706)</f>
        <v/>
      </c>
      <c r="C3707" s="240">
        <f>$C$3</f>
        <v/>
      </c>
      <c r="D3707" s="240">
        <f>$D$3</f>
        <v/>
      </c>
      <c r="E3707" s="240">
        <f>$E$3</f>
        <v/>
      </c>
      <c r="F3707" s="241" t="n">
        <v>12.71</v>
      </c>
      <c r="G3707" s="242" t="n">
        <v>43038264</v>
      </c>
      <c r="H3707" s="241" t="n">
        <v>1.6</v>
      </c>
      <c r="I3707" s="241" t="n">
        <v>7.26</v>
      </c>
      <c r="J3707" s="241" t="n">
        <v>27.48</v>
      </c>
      <c r="K3707" s="241" t="n">
        <v>6.06</v>
      </c>
      <c r="L3707" s="242" t="n">
        <v>3374200</v>
      </c>
      <c r="M3707" s="241" t="n">
        <v>-1.24</v>
      </c>
      <c r="N3707" s="241" t="n">
        <v>4.22</v>
      </c>
      <c r="O3707" s="241" t="n">
        <v>26.45</v>
      </c>
      <c r="P3707" s="241" t="n">
        <v>2.1</v>
      </c>
    </row>
    <row r="3708">
      <c r="A3708" s="282" t="inlineStr">
        <is>
          <t>2021-04-01</t>
        </is>
      </c>
      <c r="B3708" s="240">
        <f>IFERROR(1/P3708-1,B3707)</f>
        <v/>
      </c>
      <c r="C3708" s="240">
        <f>$C$3</f>
        <v/>
      </c>
      <c r="D3708" s="240">
        <f>$D$3</f>
        <v/>
      </c>
      <c r="E3708" s="240">
        <f>$E$3</f>
        <v/>
      </c>
      <c r="F3708" s="241" t="n">
        <v>12.82</v>
      </c>
      <c r="G3708" s="242" t="n">
        <v>40133513</v>
      </c>
      <c r="H3708" s="241" t="n">
        <v>0.87</v>
      </c>
      <c r="I3708" s="241" t="n">
        <v>8.19</v>
      </c>
      <c r="J3708" s="241" t="n">
        <v>28.59</v>
      </c>
      <c r="K3708" s="241" t="n">
        <v>6.41</v>
      </c>
      <c r="L3708" s="242" t="n">
        <v>6289600</v>
      </c>
      <c r="M3708" s="241" t="n">
        <v>6</v>
      </c>
      <c r="N3708" s="241" t="n">
        <v>10.47</v>
      </c>
      <c r="O3708" s="241" t="n">
        <v>34.04</v>
      </c>
      <c r="P3708" s="241" t="n">
        <v>2</v>
      </c>
    </row>
    <row r="3709">
      <c r="A3709" s="282" t="inlineStr">
        <is>
          <t>2021-04-02</t>
        </is>
      </c>
      <c r="B3709" s="240">
        <f>IFERROR(1/P3709-1,B3708)</f>
        <v/>
      </c>
      <c r="C3709" s="240">
        <f>$C$3</f>
        <v/>
      </c>
      <c r="D3709" s="240">
        <f>$D$3</f>
        <v/>
      </c>
      <c r="E3709" s="240">
        <f>$E$3</f>
        <v/>
      </c>
      <c r="F3709" s="241" t="n">
        <v>12.51</v>
      </c>
      <c r="G3709" s="242" t="n">
        <v>39456408</v>
      </c>
      <c r="H3709" s="241" t="n">
        <v>-2.42</v>
      </c>
      <c r="I3709" s="241" t="n">
        <v>3.22</v>
      </c>
      <c r="J3709" s="241" t="n">
        <v>25.48</v>
      </c>
      <c r="K3709" s="239" t="inlineStr">
        <is>
          <t>--</t>
        </is>
      </c>
      <c r="L3709" s="239" t="inlineStr">
        <is>
          <t>--</t>
        </is>
      </c>
      <c r="M3709" s="239" t="inlineStr">
        <is>
          <t>--</t>
        </is>
      </c>
      <c r="N3709" s="239" t="inlineStr">
        <is>
          <t>--</t>
        </is>
      </c>
      <c r="O3709" s="239" t="inlineStr">
        <is>
          <t>--</t>
        </is>
      </c>
      <c r="P3709" s="239" t="inlineStr">
        <is>
          <t>--</t>
        </is>
      </c>
    </row>
    <row r="3710">
      <c r="A3710" s="282" t="inlineStr">
        <is>
          <t>2021-04-06</t>
        </is>
      </c>
      <c r="B3710" s="240">
        <f>IFERROR(1/P3710-1,B3709)</f>
        <v/>
      </c>
      <c r="C3710" s="240">
        <f>$C$3</f>
        <v/>
      </c>
      <c r="D3710" s="240">
        <f>$D$3</f>
        <v/>
      </c>
      <c r="E3710" s="240">
        <f>$E$3</f>
        <v/>
      </c>
      <c r="F3710" s="241" t="n">
        <v>13.04</v>
      </c>
      <c r="G3710" s="242" t="n">
        <v>62298635</v>
      </c>
      <c r="H3710" s="241" t="n">
        <v>4.24</v>
      </c>
      <c r="I3710" s="241" t="n">
        <v>7.59</v>
      </c>
      <c r="J3710" s="241" t="n">
        <v>30.79</v>
      </c>
      <c r="K3710" s="239" t="inlineStr">
        <is>
          <t>--</t>
        </is>
      </c>
      <c r="L3710" s="239" t="inlineStr">
        <is>
          <t>--</t>
        </is>
      </c>
      <c r="M3710" s="239" t="inlineStr">
        <is>
          <t>--</t>
        </is>
      </c>
      <c r="N3710" s="239" t="inlineStr">
        <is>
          <t>--</t>
        </is>
      </c>
      <c r="O3710" s="239" t="inlineStr">
        <is>
          <t>--</t>
        </is>
      </c>
      <c r="P3710" s="239" t="inlineStr">
        <is>
          <t>--</t>
        </is>
      </c>
    </row>
    <row r="3711">
      <c r="A3711" s="282" t="inlineStr">
        <is>
          <t>2021-04-07</t>
        </is>
      </c>
      <c r="B3711" s="240">
        <f>IFERROR(1/P3711-1,B3710)</f>
        <v/>
      </c>
      <c r="C3711" s="240">
        <f>$C$3</f>
        <v/>
      </c>
      <c r="D3711" s="240">
        <f>$D$3</f>
        <v/>
      </c>
      <c r="E3711" s="240">
        <f>$E$3</f>
        <v/>
      </c>
      <c r="F3711" s="241" t="n">
        <v>13.18</v>
      </c>
      <c r="G3711" s="242" t="n">
        <v>55881865</v>
      </c>
      <c r="H3711" s="241" t="n">
        <v>1.07</v>
      </c>
      <c r="I3711" s="241" t="n">
        <v>8.75</v>
      </c>
      <c r="J3711" s="241" t="n">
        <v>32.2</v>
      </c>
      <c r="K3711" s="241" t="n">
        <v>6.36</v>
      </c>
      <c r="L3711" s="242" t="n">
        <v>2779000</v>
      </c>
      <c r="M3711" s="241" t="n">
        <v>-0.39</v>
      </c>
      <c r="N3711" s="241" t="n">
        <v>8.449999999999999</v>
      </c>
      <c r="O3711" s="241" t="n">
        <v>33.51</v>
      </c>
      <c r="P3711" s="241" t="n">
        <v>2.07</v>
      </c>
    </row>
    <row r="3712">
      <c r="A3712" s="282" t="inlineStr">
        <is>
          <t>2021-04-08</t>
        </is>
      </c>
      <c r="B3712" s="240">
        <f>IFERROR(1/P3712-1,B3711)</f>
        <v/>
      </c>
      <c r="C3712" s="240">
        <f>$C$3</f>
        <v/>
      </c>
      <c r="D3712" s="240">
        <f>$D$3</f>
        <v/>
      </c>
      <c r="E3712" s="240">
        <f>$E$3</f>
        <v/>
      </c>
      <c r="F3712" s="241" t="n">
        <v>13</v>
      </c>
      <c r="G3712" s="242" t="n">
        <v>35841176</v>
      </c>
      <c r="H3712" s="241" t="n">
        <v>-1.37</v>
      </c>
      <c r="I3712" s="241" t="n">
        <v>7.26</v>
      </c>
      <c r="J3712" s="241" t="n">
        <v>30.39</v>
      </c>
      <c r="K3712" s="241" t="n">
        <v>6.13</v>
      </c>
      <c r="L3712" s="242" t="n">
        <v>3792800</v>
      </c>
      <c r="M3712" s="241" t="n">
        <v>-3.7</v>
      </c>
      <c r="N3712" s="241" t="n">
        <v>4.44</v>
      </c>
      <c r="O3712" s="241" t="n">
        <v>28.57</v>
      </c>
      <c r="P3712" s="241" t="n">
        <v>2.12</v>
      </c>
    </row>
    <row r="3713">
      <c r="A3713" s="282" t="inlineStr">
        <is>
          <t>2021-04-09</t>
        </is>
      </c>
      <c r="B3713" s="240">
        <f>IFERROR(1/P3713-1,B3712)</f>
        <v/>
      </c>
      <c r="C3713" s="240">
        <f>$C$3</f>
        <v/>
      </c>
      <c r="D3713" s="240">
        <f>$D$3</f>
        <v/>
      </c>
      <c r="E3713" s="240">
        <f>$E$3</f>
        <v/>
      </c>
      <c r="F3713" s="241" t="n">
        <v>13.01</v>
      </c>
      <c r="G3713" s="242" t="n">
        <v>51559956</v>
      </c>
      <c r="H3713" s="241" t="n">
        <v>0.08</v>
      </c>
      <c r="I3713" s="241" t="n">
        <v>2.2</v>
      </c>
      <c r="J3713" s="241" t="n">
        <v>30.49</v>
      </c>
      <c r="K3713" s="241" t="n">
        <v>6.08</v>
      </c>
      <c r="L3713" s="242" t="n">
        <v>3424600</v>
      </c>
      <c r="M3713" s="241" t="n">
        <v>-0.82</v>
      </c>
      <c r="N3713" s="241" t="n">
        <v>4.33</v>
      </c>
      <c r="O3713" s="241" t="n">
        <v>27.51</v>
      </c>
      <c r="P3713" s="241" t="n">
        <v>2.14</v>
      </c>
    </row>
    <row r="3714">
      <c r="A3714" s="282" t="inlineStr">
        <is>
          <t>2021-04-12</t>
        </is>
      </c>
      <c r="B3714" s="240">
        <f>IFERROR(1/P3714-1,B3713)</f>
        <v/>
      </c>
      <c r="C3714" s="240">
        <f>$C$3</f>
        <v/>
      </c>
      <c r="D3714" s="240">
        <f>$D$3</f>
        <v/>
      </c>
      <c r="E3714" s="240">
        <f>$E$3</f>
        <v/>
      </c>
      <c r="F3714" s="241" t="n">
        <v>12.51</v>
      </c>
      <c r="G3714" s="242" t="n">
        <v>49994405</v>
      </c>
      <c r="H3714" s="241" t="n">
        <v>-3.84</v>
      </c>
      <c r="I3714" s="241" t="n">
        <v>4.25</v>
      </c>
      <c r="J3714" s="241" t="n">
        <v>25.48</v>
      </c>
      <c r="K3714" s="241" t="n">
        <v>5.89</v>
      </c>
      <c r="L3714" s="242" t="n">
        <v>4377600</v>
      </c>
      <c r="M3714" s="241" t="n">
        <v>-3.32</v>
      </c>
      <c r="N3714" s="241" t="n">
        <v>-4.51</v>
      </c>
      <c r="O3714" s="241" t="n">
        <v>23.28</v>
      </c>
      <c r="P3714" s="241" t="n">
        <v>2.12</v>
      </c>
    </row>
    <row r="3715">
      <c r="A3715" s="282" t="inlineStr">
        <is>
          <t>2021-04-13</t>
        </is>
      </c>
      <c r="B3715" s="240">
        <f>IFERROR(1/P3715-1,B3714)</f>
        <v/>
      </c>
      <c r="C3715" s="240">
        <f>$C$3</f>
        <v/>
      </c>
      <c r="D3715" s="240">
        <f>$D$3</f>
        <v/>
      </c>
      <c r="E3715" s="240">
        <f>$E$3</f>
        <v/>
      </c>
      <c r="F3715" s="241" t="n">
        <v>12.06</v>
      </c>
      <c r="G3715" s="242" t="n">
        <v>40825941</v>
      </c>
      <c r="H3715" s="241" t="n">
        <v>-3.6</v>
      </c>
      <c r="I3715" s="241" t="n">
        <v>-6.15</v>
      </c>
      <c r="J3715" s="241" t="n">
        <v>20.96</v>
      </c>
      <c r="K3715" s="241" t="n">
        <v>5.9</v>
      </c>
      <c r="L3715" s="242" t="n">
        <v>9970630</v>
      </c>
      <c r="M3715" s="241" t="n">
        <v>0.29</v>
      </c>
      <c r="N3715" s="241" t="n">
        <v>-5.4</v>
      </c>
      <c r="O3715" s="241" t="n">
        <v>23.63</v>
      </c>
      <c r="P3715" s="241" t="n">
        <v>2.04</v>
      </c>
    </row>
    <row r="3716">
      <c r="A3716" s="282" t="inlineStr">
        <is>
          <t>2021-04-14</t>
        </is>
      </c>
      <c r="B3716" s="240">
        <f>IFERROR(1/P3716-1,B3715)</f>
        <v/>
      </c>
      <c r="C3716" s="240">
        <f>$C$3</f>
        <v/>
      </c>
      <c r="D3716" s="240">
        <f>$D$3</f>
        <v/>
      </c>
      <c r="E3716" s="240">
        <f>$E$3</f>
        <v/>
      </c>
      <c r="F3716" s="241" t="n">
        <v>12.2</v>
      </c>
      <c r="G3716" s="242" t="n">
        <v>22673242</v>
      </c>
      <c r="H3716" s="241" t="n">
        <v>1.16</v>
      </c>
      <c r="I3716" s="241" t="n">
        <v>-5.06</v>
      </c>
      <c r="J3716" s="241" t="n">
        <v>22.37</v>
      </c>
      <c r="K3716" s="241" t="n">
        <v>5.79</v>
      </c>
      <c r="L3716" s="242" t="n">
        <v>4043018</v>
      </c>
      <c r="M3716" s="241" t="n">
        <v>-1.71</v>
      </c>
      <c r="N3716" s="241" t="n">
        <v>-7.02</v>
      </c>
      <c r="O3716" s="241" t="n">
        <v>21.52</v>
      </c>
      <c r="P3716" s="241" t="n">
        <v>2.11</v>
      </c>
    </row>
    <row r="3717">
      <c r="A3717" s="282" t="inlineStr">
        <is>
          <t>2021-04-15</t>
        </is>
      </c>
      <c r="B3717" s="240">
        <f>IFERROR(1/P3717-1,B3716)</f>
        <v/>
      </c>
      <c r="C3717" s="240">
        <f>$C$3</f>
        <v/>
      </c>
      <c r="D3717" s="240">
        <f>$D$3</f>
        <v/>
      </c>
      <c r="E3717" s="240">
        <f>$E$3</f>
        <v/>
      </c>
      <c r="F3717" s="241" t="n">
        <v>12.01</v>
      </c>
      <c r="G3717" s="242" t="n">
        <v>29443767</v>
      </c>
      <c r="H3717" s="241" t="n">
        <v>-1.56</v>
      </c>
      <c r="I3717" s="241" t="n">
        <v>-6.54</v>
      </c>
      <c r="J3717" s="241" t="n">
        <v>20.46</v>
      </c>
      <c r="K3717" s="241" t="n">
        <v>5.72</v>
      </c>
      <c r="L3717" s="242" t="n">
        <v>2840600</v>
      </c>
      <c r="M3717" s="241" t="n">
        <v>-1.31</v>
      </c>
      <c r="N3717" s="241" t="n">
        <v>-8.23</v>
      </c>
      <c r="O3717" s="241" t="n">
        <v>19.93</v>
      </c>
      <c r="P3717" s="241" t="n">
        <v>2.1</v>
      </c>
    </row>
    <row r="3718">
      <c r="A3718" s="282" t="inlineStr">
        <is>
          <t>2021-04-16</t>
        </is>
      </c>
      <c r="B3718" s="240">
        <f>IFERROR(1/P3718-1,B3717)</f>
        <v/>
      </c>
      <c r="C3718" s="240">
        <f>$C$3</f>
        <v/>
      </c>
      <c r="D3718" s="240">
        <f>$D$3</f>
        <v/>
      </c>
      <c r="E3718" s="240">
        <f>$E$3</f>
        <v/>
      </c>
      <c r="F3718" s="241" t="n">
        <v>12.07</v>
      </c>
      <c r="G3718" s="242" t="n">
        <v>22519454</v>
      </c>
      <c r="H3718" s="241" t="n">
        <v>0.5</v>
      </c>
      <c r="I3718" s="241" t="n">
        <v>-5.7</v>
      </c>
      <c r="J3718" s="241" t="n">
        <v>21.06</v>
      </c>
      <c r="K3718" s="241" t="n">
        <v>5.76</v>
      </c>
      <c r="L3718" s="242" t="n">
        <v>3229126</v>
      </c>
      <c r="M3718" s="241" t="n">
        <v>0.74</v>
      </c>
      <c r="N3718" s="241" t="n">
        <v>-9.390000000000001</v>
      </c>
      <c r="O3718" s="241" t="n">
        <v>20.81</v>
      </c>
      <c r="P3718" s="241" t="n">
        <v>2.1</v>
      </c>
    </row>
    <row r="3719">
      <c r="A3719" s="282" t="inlineStr">
        <is>
          <t>2021-04-19</t>
        </is>
      </c>
      <c r="B3719" s="240">
        <f>IFERROR(1/P3719-1,B3718)</f>
        <v/>
      </c>
      <c r="C3719" s="240">
        <f>$C$3</f>
        <v/>
      </c>
      <c r="D3719" s="240">
        <f>$D$3</f>
        <v/>
      </c>
      <c r="E3719" s="240">
        <f>$E$3</f>
        <v/>
      </c>
      <c r="F3719" s="241" t="n">
        <v>12.2</v>
      </c>
      <c r="G3719" s="242" t="n">
        <v>22162385</v>
      </c>
      <c r="H3719" s="241" t="n">
        <v>1.08</v>
      </c>
      <c r="I3719" s="241" t="n">
        <v>-6.44</v>
      </c>
      <c r="J3719" s="241" t="n">
        <v>22.37</v>
      </c>
      <c r="K3719" s="241" t="n">
        <v>5.88</v>
      </c>
      <c r="L3719" s="242" t="n">
        <v>2384682</v>
      </c>
      <c r="M3719" s="241" t="n">
        <v>2.19</v>
      </c>
      <c r="N3719" s="241" t="n">
        <v>-7.65</v>
      </c>
      <c r="O3719" s="241" t="n">
        <v>23.46</v>
      </c>
      <c r="P3719" s="241" t="n">
        <v>2.08</v>
      </c>
    </row>
    <row r="3720">
      <c r="A3720" s="282" t="inlineStr">
        <is>
          <t>2021-04-20</t>
        </is>
      </c>
      <c r="B3720" s="240">
        <f>IFERROR(1/P3720-1,B3719)</f>
        <v/>
      </c>
      <c r="C3720" s="240">
        <f>$C$3</f>
        <v/>
      </c>
      <c r="D3720" s="240">
        <f>$D$3</f>
        <v/>
      </c>
      <c r="E3720" s="240">
        <f>$E$3</f>
        <v/>
      </c>
      <c r="F3720" s="241" t="n">
        <v>11.95</v>
      </c>
      <c r="G3720" s="242" t="n">
        <v>25133830</v>
      </c>
      <c r="H3720" s="241" t="n">
        <v>-2.05</v>
      </c>
      <c r="I3720" s="241" t="n">
        <v>-7.86</v>
      </c>
      <c r="J3720" s="241" t="n">
        <v>19.86</v>
      </c>
      <c r="K3720" s="241" t="n">
        <v>5.87</v>
      </c>
      <c r="L3720" s="242" t="n">
        <v>1370309</v>
      </c>
      <c r="M3720" s="241" t="n">
        <v>0</v>
      </c>
      <c r="N3720" s="241" t="n">
        <v>-8.619999999999999</v>
      </c>
      <c r="O3720" s="241" t="n">
        <v>23.46</v>
      </c>
      <c r="P3720" s="241" t="n">
        <v>2.04</v>
      </c>
    </row>
    <row r="3721">
      <c r="A3721" s="282" t="inlineStr">
        <is>
          <t>2021-04-21</t>
        </is>
      </c>
      <c r="B3721" s="240">
        <f>IFERROR(1/P3721-1,B3720)</f>
        <v/>
      </c>
      <c r="C3721" s="240">
        <f>$C$3</f>
        <v/>
      </c>
      <c r="D3721" s="240">
        <f>$D$3</f>
        <v/>
      </c>
      <c r="E3721" s="240">
        <f>$E$3</f>
        <v/>
      </c>
      <c r="F3721" s="241" t="n">
        <v>11.88</v>
      </c>
      <c r="G3721" s="242" t="n">
        <v>24313313</v>
      </c>
      <c r="H3721" s="241" t="n">
        <v>-0.59</v>
      </c>
      <c r="I3721" s="241" t="n">
        <v>-8.4</v>
      </c>
      <c r="J3721" s="241" t="n">
        <v>19.16</v>
      </c>
      <c r="K3721" s="241" t="n">
        <v>5.81</v>
      </c>
      <c r="L3721" s="242" t="n">
        <v>1019400</v>
      </c>
      <c r="M3721" s="241" t="n">
        <v>-1</v>
      </c>
      <c r="N3721" s="241" t="n">
        <v>-9.529999999999999</v>
      </c>
      <c r="O3721" s="241" t="n">
        <v>22.22</v>
      </c>
      <c r="P3721" s="241" t="n">
        <v>2.05</v>
      </c>
    </row>
    <row r="3722">
      <c r="A3722" s="282" t="inlineStr">
        <is>
          <t>2021-04-22</t>
        </is>
      </c>
      <c r="B3722" s="240">
        <f>IFERROR(1/P3722-1,B3721)</f>
        <v/>
      </c>
      <c r="C3722" s="240">
        <f>$C$3</f>
        <v/>
      </c>
      <c r="D3722" s="240">
        <f>$D$3</f>
        <v/>
      </c>
      <c r="E3722" s="240">
        <f>$E$3</f>
        <v/>
      </c>
      <c r="F3722" s="241" t="n">
        <v>11.9</v>
      </c>
      <c r="G3722" s="242" t="n">
        <v>18793545</v>
      </c>
      <c r="H3722" s="241" t="n">
        <v>0.17</v>
      </c>
      <c r="I3722" s="241" t="n">
        <v>-8.25</v>
      </c>
      <c r="J3722" s="241" t="n">
        <v>19.36</v>
      </c>
      <c r="K3722" s="241" t="n">
        <v>5.78</v>
      </c>
      <c r="L3722" s="242" t="n">
        <v>1085318</v>
      </c>
      <c r="M3722" s="241" t="n">
        <v>-0.29</v>
      </c>
      <c r="N3722" s="241" t="n">
        <v>-9.789999999999999</v>
      </c>
      <c r="O3722" s="241" t="n">
        <v>21.87</v>
      </c>
      <c r="P3722" s="241" t="n">
        <v>2.06</v>
      </c>
    </row>
    <row r="3723">
      <c r="A3723" s="282" t="inlineStr">
        <is>
          <t>2021-04-23</t>
        </is>
      </c>
      <c r="B3723" s="240">
        <f>IFERROR(1/P3723-1,B3722)</f>
        <v/>
      </c>
      <c r="C3723" s="240">
        <f>$C$3</f>
        <v/>
      </c>
      <c r="D3723" s="240">
        <f>$D$3</f>
        <v/>
      </c>
      <c r="E3723" s="240">
        <f>$E$3</f>
        <v/>
      </c>
      <c r="F3723" s="241" t="n">
        <v>12.05</v>
      </c>
      <c r="G3723" s="242" t="n">
        <v>21903477</v>
      </c>
      <c r="H3723" s="241" t="n">
        <v>1.26</v>
      </c>
      <c r="I3723" s="241" t="n">
        <v>-11.85</v>
      </c>
      <c r="J3723" s="241" t="n">
        <v>20.86</v>
      </c>
      <c r="K3723" s="241" t="n">
        <v>5.87</v>
      </c>
      <c r="L3723" s="242" t="n">
        <v>1150400</v>
      </c>
      <c r="M3723" s="241" t="n">
        <v>1.45</v>
      </c>
      <c r="N3723" s="241" t="n">
        <v>-12.38</v>
      </c>
      <c r="O3723" s="241" t="n">
        <v>23.63</v>
      </c>
      <c r="P3723" s="241" t="n">
        <v>2.05</v>
      </c>
    </row>
    <row r="3724">
      <c r="A3724" s="282" t="inlineStr">
        <is>
          <t>2021-04-26</t>
        </is>
      </c>
      <c r="B3724" s="240">
        <f>IFERROR(1/P3724-1,B3723)</f>
        <v/>
      </c>
      <c r="C3724" s="240">
        <f>$C$3</f>
        <v/>
      </c>
      <c r="D3724" s="240">
        <f>$D$3</f>
        <v/>
      </c>
      <c r="E3724" s="240">
        <f>$E$3</f>
        <v/>
      </c>
      <c r="F3724" s="241" t="n">
        <v>11.72</v>
      </c>
      <c r="G3724" s="242" t="n">
        <v>31215450</v>
      </c>
      <c r="H3724" s="241" t="n">
        <v>-2.74</v>
      </c>
      <c r="I3724" s="241" t="n">
        <v>-3.7</v>
      </c>
      <c r="J3724" s="241" t="n">
        <v>17.55</v>
      </c>
      <c r="K3724" s="241" t="n">
        <v>5.72</v>
      </c>
      <c r="L3724" s="242" t="n">
        <v>1762600</v>
      </c>
      <c r="M3724" s="241" t="n">
        <v>-2.43</v>
      </c>
      <c r="N3724" s="241" t="n">
        <v>-1.72</v>
      </c>
      <c r="O3724" s="241" t="n">
        <v>20.63</v>
      </c>
      <c r="P3724" s="241" t="n">
        <v>2.05</v>
      </c>
    </row>
    <row r="3725">
      <c r="A3725" s="282" t="inlineStr">
        <is>
          <t>2021-04-27</t>
        </is>
      </c>
      <c r="B3725" s="240">
        <f>IFERROR(1/P3725-1,B3724)</f>
        <v/>
      </c>
      <c r="C3725" s="240">
        <f>$C$3</f>
        <v/>
      </c>
      <c r="D3725" s="240">
        <f>$D$3</f>
        <v/>
      </c>
      <c r="E3725" s="240">
        <f>$E$3</f>
        <v/>
      </c>
      <c r="F3725" s="241" t="n">
        <v>11.31</v>
      </c>
      <c r="G3725" s="242" t="n">
        <v>32048656</v>
      </c>
      <c r="H3725" s="241" t="n">
        <v>-3.5</v>
      </c>
      <c r="I3725" s="241" t="n">
        <v>-10.73</v>
      </c>
      <c r="J3725" s="241" t="n">
        <v>13.44</v>
      </c>
      <c r="K3725" s="241" t="n">
        <v>5.61</v>
      </c>
      <c r="L3725" s="242" t="n">
        <v>4036056</v>
      </c>
      <c r="M3725" s="241" t="n">
        <v>-2.05</v>
      </c>
      <c r="N3725" s="241" t="n">
        <v>-6.56</v>
      </c>
      <c r="O3725" s="241" t="n">
        <v>18.17</v>
      </c>
      <c r="P3725" s="241" t="n">
        <v>2.02</v>
      </c>
    </row>
    <row r="3726">
      <c r="A3726" s="282" t="inlineStr">
        <is>
          <t>2021-04-28</t>
        </is>
      </c>
      <c r="B3726" s="240">
        <f>IFERROR(1/P3726-1,B3725)</f>
        <v/>
      </c>
      <c r="C3726" s="240">
        <f>$C$3</f>
        <v/>
      </c>
      <c r="D3726" s="240">
        <f>$D$3</f>
        <v/>
      </c>
      <c r="E3726" s="240">
        <f>$E$3</f>
        <v/>
      </c>
      <c r="F3726" s="241" t="n">
        <v>11.38</v>
      </c>
      <c r="G3726" s="242" t="n">
        <v>14134928</v>
      </c>
      <c r="H3726" s="241" t="n">
        <v>0.62</v>
      </c>
      <c r="I3726" s="241" t="n">
        <v>-10.18</v>
      </c>
      <c r="J3726" s="241" t="n">
        <v>14.14</v>
      </c>
      <c r="K3726" s="241" t="n">
        <v>5.56</v>
      </c>
      <c r="L3726" s="242" t="n">
        <v>3689895</v>
      </c>
      <c r="M3726" s="241" t="n">
        <v>-0.6</v>
      </c>
      <c r="N3726" s="241" t="n">
        <v>-7.11</v>
      </c>
      <c r="O3726" s="241" t="n">
        <v>17.46</v>
      </c>
      <c r="P3726" s="241" t="n">
        <v>2.05</v>
      </c>
    </row>
    <row r="3727">
      <c r="A3727" s="282" t="inlineStr">
        <is>
          <t>2021-04-29</t>
        </is>
      </c>
      <c r="B3727" s="240">
        <f>IFERROR(1/P3727-1,B3726)</f>
        <v/>
      </c>
      <c r="C3727" s="240">
        <f>$C$3</f>
        <v/>
      </c>
      <c r="D3727" s="240">
        <f>$D$3</f>
        <v/>
      </c>
      <c r="E3727" s="240">
        <f>$E$3</f>
        <v/>
      </c>
      <c r="F3727" s="241" t="n">
        <v>11.4</v>
      </c>
      <c r="G3727" s="242" t="n">
        <v>15121553</v>
      </c>
      <c r="H3727" s="241" t="n">
        <v>0.18</v>
      </c>
      <c r="I3727" s="241" t="n">
        <v>-10.02</v>
      </c>
      <c r="J3727" s="241" t="n">
        <v>14.34</v>
      </c>
      <c r="K3727" s="241" t="n">
        <v>5.64</v>
      </c>
      <c r="L3727" s="242" t="n">
        <v>1003800</v>
      </c>
      <c r="M3727" s="241" t="n">
        <v>1.5</v>
      </c>
      <c r="N3727" s="241" t="n">
        <v>-5.72</v>
      </c>
      <c r="O3727" s="241" t="n">
        <v>19.22</v>
      </c>
      <c r="P3727" s="241" t="n">
        <v>2.02</v>
      </c>
    </row>
    <row r="3728">
      <c r="A3728" s="282" t="inlineStr">
        <is>
          <t>2021-04-30</t>
        </is>
      </c>
      <c r="B3728" s="240">
        <f>IFERROR(1/P3728-1,B3727)</f>
        <v/>
      </c>
      <c r="C3728" s="240">
        <f>$C$3</f>
        <v/>
      </c>
      <c r="D3728" s="240">
        <f>$D$3</f>
        <v/>
      </c>
      <c r="E3728" s="240">
        <f>$E$3</f>
        <v/>
      </c>
      <c r="F3728" s="241" t="n">
        <v>11.39</v>
      </c>
      <c r="G3728" s="242" t="n">
        <v>20701634</v>
      </c>
      <c r="H3728" s="241" t="n">
        <v>-0.09</v>
      </c>
      <c r="I3728" s="241" t="n">
        <v>-10.53</v>
      </c>
      <c r="J3728" s="241" t="n">
        <v>14.24</v>
      </c>
      <c r="K3728" s="241" t="n">
        <v>5.44</v>
      </c>
      <c r="L3728" s="242" t="n">
        <v>2682644</v>
      </c>
      <c r="M3728" s="241" t="n">
        <v>-3.4</v>
      </c>
      <c r="N3728" s="241" t="n">
        <v>-9.18</v>
      </c>
      <c r="O3728" s="241" t="n">
        <v>15.17</v>
      </c>
      <c r="P3728" s="241" t="n">
        <v>2.09</v>
      </c>
    </row>
    <row r="3729">
      <c r="A3729" s="282" t="inlineStr">
        <is>
          <t>2021-05-06</t>
        </is>
      </c>
      <c r="B3729" s="240">
        <f>IFERROR(1/P3729-1,B3728)</f>
        <v/>
      </c>
      <c r="C3729" s="240">
        <f>$C$3</f>
        <v/>
      </c>
      <c r="D3729" s="240">
        <f>$D$3</f>
        <v/>
      </c>
      <c r="E3729" s="240">
        <f>$E$3</f>
        <v/>
      </c>
      <c r="F3729" s="241" t="n">
        <v>11.43</v>
      </c>
      <c r="G3729" s="242" t="n">
        <v>19555518</v>
      </c>
      <c r="H3729" s="241" t="n">
        <v>0.35</v>
      </c>
      <c r="I3729" s="241" t="n">
        <v>-8.630000000000001</v>
      </c>
      <c r="J3729" s="241" t="n">
        <v>14.64</v>
      </c>
      <c r="K3729" s="241" t="n">
        <v>5.79</v>
      </c>
      <c r="L3729" s="242" t="n">
        <v>2024800</v>
      </c>
      <c r="M3729" s="241" t="n">
        <v>-0.86</v>
      </c>
      <c r="N3729" s="241" t="n">
        <v>-8.82</v>
      </c>
      <c r="O3729" s="241" t="n">
        <v>22.22</v>
      </c>
      <c r="P3729" s="241" t="n">
        <v>1.97</v>
      </c>
    </row>
    <row r="3730">
      <c r="A3730" s="282" t="inlineStr">
        <is>
          <t>2021-05-07</t>
        </is>
      </c>
      <c r="B3730" s="240">
        <f>IFERROR(1/P3730-1,B3729)</f>
        <v/>
      </c>
      <c r="C3730" s="240">
        <f>$C$3</f>
        <v/>
      </c>
      <c r="D3730" s="240">
        <f>$D$3</f>
        <v/>
      </c>
      <c r="E3730" s="240">
        <f>$E$3</f>
        <v/>
      </c>
      <c r="F3730" s="241" t="n">
        <v>11.45</v>
      </c>
      <c r="G3730" s="242" t="n">
        <v>22255246</v>
      </c>
      <c r="H3730" s="241" t="n">
        <v>0.17</v>
      </c>
      <c r="I3730" s="241" t="n">
        <v>-12.19</v>
      </c>
      <c r="J3730" s="241" t="n">
        <v>14.84</v>
      </c>
      <c r="K3730" s="241" t="n">
        <v>5.64</v>
      </c>
      <c r="L3730" s="242" t="n">
        <v>1405800</v>
      </c>
      <c r="M3730" s="241" t="n">
        <v>-2.31</v>
      </c>
      <c r="N3730" s="241" t="n">
        <v>-10.92</v>
      </c>
      <c r="O3730" s="241" t="n">
        <v>19.4</v>
      </c>
      <c r="P3730" s="241" t="n">
        <v>2.03</v>
      </c>
    </row>
    <row r="3731">
      <c r="A3731" s="282" t="inlineStr">
        <is>
          <t>2021-05-10</t>
        </is>
      </c>
      <c r="B3731" s="240">
        <f>IFERROR(1/P3731-1,B3730)</f>
        <v/>
      </c>
      <c r="C3731" s="240">
        <f>$C$3</f>
        <v/>
      </c>
      <c r="D3731" s="240">
        <f>$D$3</f>
        <v/>
      </c>
      <c r="E3731" s="240">
        <f>$E$3</f>
        <v/>
      </c>
      <c r="F3731" s="241" t="n">
        <v>11.13</v>
      </c>
      <c r="G3731" s="242" t="n">
        <v>26639067</v>
      </c>
      <c r="H3731" s="241" t="n">
        <v>-2.79</v>
      </c>
      <c r="I3731" s="241" t="n">
        <v>-14.45</v>
      </c>
      <c r="J3731" s="241" t="n">
        <v>11.63</v>
      </c>
      <c r="K3731" s="241" t="n">
        <v>5.63</v>
      </c>
      <c r="L3731" s="242" t="n">
        <v>685200</v>
      </c>
      <c r="M3731" s="241" t="n">
        <v>0.3</v>
      </c>
      <c r="N3731" s="241" t="n">
        <v>-6.09</v>
      </c>
      <c r="O3731" s="241" t="n">
        <v>19.75</v>
      </c>
      <c r="P3731" s="241" t="n">
        <v>1.98</v>
      </c>
    </row>
    <row r="3732">
      <c r="A3732" s="282" t="inlineStr">
        <is>
          <t>2021-05-11</t>
        </is>
      </c>
      <c r="B3732" s="240">
        <f>IFERROR(1/P3732-1,B3731)</f>
        <v/>
      </c>
      <c r="C3732" s="240">
        <f>$C$3</f>
        <v/>
      </c>
      <c r="D3732" s="240">
        <f>$D$3</f>
        <v/>
      </c>
      <c r="E3732" s="240">
        <f>$E$3</f>
        <v/>
      </c>
      <c r="F3732" s="241" t="n">
        <v>11.29</v>
      </c>
      <c r="G3732" s="242" t="n">
        <v>19753258</v>
      </c>
      <c r="H3732" s="241" t="n">
        <v>1.44</v>
      </c>
      <c r="I3732" s="241" t="n">
        <v>-13.22</v>
      </c>
      <c r="J3732" s="241" t="n">
        <v>13.24</v>
      </c>
      <c r="K3732" s="241" t="n">
        <v>5.54</v>
      </c>
      <c r="L3732" s="242" t="n">
        <v>1887600</v>
      </c>
      <c r="M3732" s="241" t="n">
        <v>-1.33</v>
      </c>
      <c r="N3732" s="241" t="n">
        <v>-7.33</v>
      </c>
      <c r="O3732" s="241" t="n">
        <v>18.17</v>
      </c>
      <c r="P3732" s="241" t="n">
        <v>2.04</v>
      </c>
    </row>
    <row r="3733">
      <c r="A3733" s="282" t="inlineStr">
        <is>
          <t>2021-05-12</t>
        </is>
      </c>
      <c r="B3733" s="240">
        <f>IFERROR(1/P3733-1,B3732)</f>
        <v/>
      </c>
      <c r="C3733" s="240">
        <f>$C$3</f>
        <v/>
      </c>
      <c r="D3733" s="240">
        <f>$D$3</f>
        <v/>
      </c>
      <c r="E3733" s="240">
        <f>$E$3</f>
        <v/>
      </c>
      <c r="F3733" s="241" t="n">
        <v>11.24</v>
      </c>
      <c r="G3733" s="242" t="n">
        <v>13298263</v>
      </c>
      <c r="H3733" s="241" t="n">
        <v>-0.44</v>
      </c>
      <c r="I3733" s="241" t="n">
        <v>-13.6</v>
      </c>
      <c r="J3733" s="241" t="n">
        <v>12.74</v>
      </c>
      <c r="K3733" s="241" t="n">
        <v>5.55</v>
      </c>
      <c r="L3733" s="242" t="n">
        <v>1281800</v>
      </c>
      <c r="M3733" s="241" t="n">
        <v>0.15</v>
      </c>
      <c r="N3733" s="241" t="n">
        <v>-7.19</v>
      </c>
      <c r="O3733" s="241" t="n">
        <v>18.34</v>
      </c>
      <c r="P3733" s="241" t="n">
        <v>2.02</v>
      </c>
    </row>
    <row r="3734">
      <c r="A3734" s="282" t="inlineStr">
        <is>
          <t>2021-05-13</t>
        </is>
      </c>
      <c r="B3734" s="240">
        <f>IFERROR(1/P3734-1,B3733)</f>
        <v/>
      </c>
      <c r="C3734" s="240">
        <f>$C$3</f>
        <v/>
      </c>
      <c r="D3734" s="240">
        <f>$D$3</f>
        <v/>
      </c>
      <c r="E3734" s="240">
        <f>$E$3</f>
        <v/>
      </c>
      <c r="F3734" s="241" t="n">
        <v>11.03</v>
      </c>
      <c r="G3734" s="242" t="n">
        <v>18882075</v>
      </c>
      <c r="H3734" s="241" t="n">
        <v>-1.87</v>
      </c>
      <c r="I3734" s="241" t="n">
        <v>-11.83</v>
      </c>
      <c r="J3734" s="241" t="n">
        <v>10.63</v>
      </c>
      <c r="K3734" s="241" t="n">
        <v>5.44</v>
      </c>
      <c r="L3734" s="242" t="n">
        <v>1935400</v>
      </c>
      <c r="M3734" s="241" t="n">
        <v>-2.53</v>
      </c>
      <c r="N3734" s="241" t="n">
        <v>-6.44</v>
      </c>
      <c r="O3734" s="241" t="n">
        <v>15.34</v>
      </c>
      <c r="P3734" s="241" t="n">
        <v>2.03</v>
      </c>
    </row>
    <row r="3735">
      <c r="A3735" s="282" t="inlineStr">
        <is>
          <t>2021-05-14</t>
        </is>
      </c>
      <c r="B3735" s="240">
        <f>IFERROR(1/P3735-1,B3734)</f>
        <v/>
      </c>
      <c r="C3735" s="240">
        <f>$C$3</f>
        <v/>
      </c>
      <c r="D3735" s="240">
        <f>$D$3</f>
        <v/>
      </c>
      <c r="E3735" s="240">
        <f>$E$3</f>
        <v/>
      </c>
      <c r="F3735" s="241" t="n">
        <v>11.26</v>
      </c>
      <c r="G3735" s="242" t="n">
        <v>18497082</v>
      </c>
      <c r="H3735" s="241" t="n">
        <v>2.09</v>
      </c>
      <c r="I3735" s="241" t="n">
        <v>-6.63</v>
      </c>
      <c r="J3735" s="241" t="n">
        <v>12.94</v>
      </c>
      <c r="K3735" s="241" t="n">
        <v>5.47</v>
      </c>
      <c r="L3735" s="242" t="n">
        <v>1961200</v>
      </c>
      <c r="M3735" s="241" t="n">
        <v>0.61</v>
      </c>
      <c r="N3735" s="241" t="n">
        <v>-6.13</v>
      </c>
      <c r="O3735" s="241" t="n">
        <v>16.05</v>
      </c>
      <c r="P3735" s="241" t="n">
        <v>2.06</v>
      </c>
    </row>
    <row r="3736">
      <c r="A3736" s="282" t="inlineStr">
        <is>
          <t>2021-05-17</t>
        </is>
      </c>
      <c r="B3736" s="240">
        <f>IFERROR(1/P3736-1,B3735)</f>
        <v/>
      </c>
      <c r="C3736" s="240">
        <f>$C$3</f>
        <v/>
      </c>
      <c r="D3736" s="240">
        <f>$D$3</f>
        <v/>
      </c>
      <c r="E3736" s="240">
        <f>$E$3</f>
        <v/>
      </c>
      <c r="F3736" s="241" t="n">
        <v>11.35</v>
      </c>
      <c r="G3736" s="242" t="n">
        <v>21427300</v>
      </c>
      <c r="H3736" s="241" t="n">
        <v>0.8</v>
      </c>
      <c r="I3736" s="241" t="n">
        <v>-5.97</v>
      </c>
      <c r="J3736" s="241" t="n">
        <v>13.84</v>
      </c>
      <c r="K3736" s="241" t="n">
        <v>5.55</v>
      </c>
      <c r="L3736" s="242" t="n">
        <v>1285400</v>
      </c>
      <c r="M3736" s="241" t="n">
        <v>1.82</v>
      </c>
      <c r="N3736" s="241" t="n">
        <v>-2.19</v>
      </c>
      <c r="O3736" s="241" t="n">
        <v>18.17</v>
      </c>
      <c r="P3736" s="241" t="n">
        <v>2.05</v>
      </c>
    </row>
    <row r="3737">
      <c r="A3737" s="282" t="inlineStr">
        <is>
          <t>2021-05-18</t>
        </is>
      </c>
      <c r="B3737" s="240">
        <f>IFERROR(1/P3737-1,B3736)</f>
        <v/>
      </c>
      <c r="C3737" s="240">
        <f>$C$3</f>
        <v/>
      </c>
      <c r="D3737" s="240">
        <f>$D$3</f>
        <v/>
      </c>
      <c r="E3737" s="240">
        <f>$E$3</f>
        <v/>
      </c>
      <c r="F3737" s="241" t="n">
        <v>11.29</v>
      </c>
      <c r="G3737" s="242" t="n">
        <v>13841949</v>
      </c>
      <c r="H3737" s="241" t="n">
        <v>-0.53</v>
      </c>
      <c r="I3737" s="241" t="n">
        <v>-6.46</v>
      </c>
      <c r="J3737" s="241" t="n">
        <v>13.24</v>
      </c>
      <c r="K3737" s="241" t="n">
        <v>5.66</v>
      </c>
      <c r="L3737" s="242" t="n">
        <v>1495456</v>
      </c>
      <c r="M3737" s="241" t="n">
        <v>1.94</v>
      </c>
      <c r="N3737" s="241" t="n">
        <v>-0.29</v>
      </c>
      <c r="O3737" s="241" t="n">
        <v>20.46</v>
      </c>
      <c r="P3737" s="241" t="n">
        <v>1.99</v>
      </c>
    </row>
    <row r="3738">
      <c r="A3738" s="282" t="inlineStr">
        <is>
          <t>2021-05-19</t>
        </is>
      </c>
      <c r="B3738" s="240">
        <f>IFERROR(1/P3738-1,B3737)</f>
        <v/>
      </c>
      <c r="C3738" s="240">
        <f>$C$3</f>
        <v/>
      </c>
      <c r="D3738" s="240">
        <f>$D$3</f>
        <v/>
      </c>
      <c r="E3738" s="240">
        <f>$E$3</f>
        <v/>
      </c>
      <c r="F3738" s="241" t="n">
        <v>11.58</v>
      </c>
      <c r="G3738" s="242" t="n">
        <v>22638308</v>
      </c>
      <c r="H3738" s="241" t="n">
        <v>2.57</v>
      </c>
      <c r="I3738" s="241" t="n">
        <v>-4.06</v>
      </c>
      <c r="J3738" s="241" t="n">
        <v>16.15</v>
      </c>
      <c r="K3738" s="239" t="inlineStr">
        <is>
          <t>--</t>
        </is>
      </c>
      <c r="L3738" s="239" t="inlineStr">
        <is>
          <t>--</t>
        </is>
      </c>
      <c r="M3738" s="239" t="inlineStr">
        <is>
          <t>--</t>
        </is>
      </c>
      <c r="N3738" s="239" t="inlineStr">
        <is>
          <t>--</t>
        </is>
      </c>
      <c r="O3738" s="239" t="inlineStr">
        <is>
          <t>--</t>
        </is>
      </c>
      <c r="P3738" s="239" t="inlineStr">
        <is>
          <t>--</t>
        </is>
      </c>
    </row>
    <row r="3739">
      <c r="A3739" s="282" t="inlineStr">
        <is>
          <t>2021-05-20</t>
        </is>
      </c>
      <c r="B3739" s="240">
        <f>IFERROR(1/P3739-1,B3738)</f>
        <v/>
      </c>
      <c r="C3739" s="240">
        <f>$C$3</f>
        <v/>
      </c>
      <c r="D3739" s="240">
        <f>$D$3</f>
        <v/>
      </c>
      <c r="E3739" s="240">
        <f>$E$3</f>
        <v/>
      </c>
      <c r="F3739" s="241" t="n">
        <v>11.52</v>
      </c>
      <c r="G3739" s="242" t="n">
        <v>15763789</v>
      </c>
      <c r="H3739" s="241" t="n">
        <v>-0.52</v>
      </c>
      <c r="I3739" s="241" t="n">
        <v>-5.57</v>
      </c>
      <c r="J3739" s="241" t="n">
        <v>15.55</v>
      </c>
      <c r="K3739" s="241" t="n">
        <v>5.57</v>
      </c>
      <c r="L3739" s="242" t="n">
        <v>1069300</v>
      </c>
      <c r="M3739" s="241" t="n">
        <v>-1.76</v>
      </c>
      <c r="N3739" s="241" t="n">
        <v>-4.14</v>
      </c>
      <c r="O3739" s="241" t="n">
        <v>18.34</v>
      </c>
      <c r="P3739" s="241" t="n">
        <v>2.07</v>
      </c>
    </row>
    <row r="3740">
      <c r="A3740" s="282" t="inlineStr">
        <is>
          <t>2021-05-21</t>
        </is>
      </c>
      <c r="B3740" s="240">
        <f>IFERROR(1/P3740-1,B3739)</f>
        <v/>
      </c>
      <c r="C3740" s="240">
        <f>$C$3</f>
        <v/>
      </c>
      <c r="D3740" s="240">
        <f>$D$3</f>
        <v/>
      </c>
      <c r="E3740" s="240">
        <f>$E$3</f>
        <v/>
      </c>
      <c r="F3740" s="241" t="n">
        <v>11.46</v>
      </c>
      <c r="G3740" s="242" t="n">
        <v>16546839</v>
      </c>
      <c r="H3740" s="241" t="n">
        <v>-0.52</v>
      </c>
      <c r="I3740" s="241" t="n">
        <v>-4.1</v>
      </c>
      <c r="J3740" s="241" t="n">
        <v>14.94</v>
      </c>
      <c r="K3740" s="241" t="n">
        <v>5.63</v>
      </c>
      <c r="L3740" s="242" t="n">
        <v>2302827</v>
      </c>
      <c r="M3740" s="241" t="n">
        <v>1.34</v>
      </c>
      <c r="N3740" s="241" t="n">
        <v>-2.86</v>
      </c>
      <c r="O3740" s="241" t="n">
        <v>19.93</v>
      </c>
      <c r="P3740" s="241" t="n">
        <v>2.03</v>
      </c>
    </row>
    <row r="3741">
      <c r="A3741" s="282" t="inlineStr">
        <is>
          <t>2021-05-24</t>
        </is>
      </c>
      <c r="B3741" s="240">
        <f>IFERROR(1/P3741-1,B3740)</f>
        <v/>
      </c>
      <c r="C3741" s="240">
        <f>$C$3</f>
        <v/>
      </c>
      <c r="D3741" s="240">
        <f>$D$3</f>
        <v/>
      </c>
      <c r="E3741" s="240">
        <f>$E$3</f>
        <v/>
      </c>
      <c r="F3741" s="241" t="n">
        <v>11.2</v>
      </c>
      <c r="G3741" s="242" t="n">
        <v>17663536</v>
      </c>
      <c r="H3741" s="241" t="n">
        <v>-2.27</v>
      </c>
      <c r="I3741" s="241" t="n">
        <v>-7.05</v>
      </c>
      <c r="J3741" s="241" t="n">
        <v>12.34</v>
      </c>
      <c r="K3741" s="241" t="n">
        <v>5.6</v>
      </c>
      <c r="L3741" s="242" t="n">
        <v>1435400</v>
      </c>
      <c r="M3741" s="241" t="n">
        <v>-0.74</v>
      </c>
      <c r="N3741" s="241" t="n">
        <v>-3.71</v>
      </c>
      <c r="O3741" s="241" t="n">
        <v>19.05</v>
      </c>
      <c r="P3741" s="241" t="n">
        <v>2</v>
      </c>
    </row>
    <row r="3742">
      <c r="A3742" s="282" t="inlineStr">
        <is>
          <t>2021-05-25</t>
        </is>
      </c>
      <c r="B3742" s="240">
        <f>IFERROR(1/P3742-1,B3741)</f>
        <v/>
      </c>
      <c r="C3742" s="240">
        <f>$C$3</f>
        <v/>
      </c>
      <c r="D3742" s="240">
        <f>$D$3</f>
        <v/>
      </c>
      <c r="E3742" s="240">
        <f>$E$3</f>
        <v/>
      </c>
      <c r="F3742" s="241" t="n">
        <v>11.39</v>
      </c>
      <c r="G3742" s="242" t="n">
        <v>17266516</v>
      </c>
      <c r="H3742" s="241" t="n">
        <v>1.7</v>
      </c>
      <c r="I3742" s="241" t="n">
        <v>-5.48</v>
      </c>
      <c r="J3742" s="241" t="n">
        <v>14.24</v>
      </c>
      <c r="K3742" s="241" t="n">
        <v>5.65</v>
      </c>
      <c r="L3742" s="242" t="n">
        <v>1168000</v>
      </c>
      <c r="M3742" s="241" t="n">
        <v>1.04</v>
      </c>
      <c r="N3742" s="241" t="n">
        <v>-2.71</v>
      </c>
      <c r="O3742" s="241" t="n">
        <v>20.28</v>
      </c>
      <c r="P3742" s="241" t="n">
        <v>2.02</v>
      </c>
    </row>
    <row r="3743">
      <c r="A3743" s="282" t="inlineStr">
        <is>
          <t>2021-05-26</t>
        </is>
      </c>
      <c r="B3743" s="240">
        <f>IFERROR(1/P3743-1,B3742)</f>
        <v/>
      </c>
      <c r="C3743" s="240">
        <f>$C$3</f>
        <v/>
      </c>
      <c r="D3743" s="240">
        <f>$D$3</f>
        <v/>
      </c>
      <c r="E3743" s="240">
        <f>$E$3</f>
        <v/>
      </c>
      <c r="F3743" s="241" t="n">
        <v>11.38</v>
      </c>
      <c r="G3743" s="242" t="n">
        <v>16039496</v>
      </c>
      <c r="H3743" s="241" t="n">
        <v>-0.09</v>
      </c>
      <c r="I3743" s="241" t="n">
        <v>-5.56</v>
      </c>
      <c r="J3743" s="241" t="n">
        <v>14.14</v>
      </c>
      <c r="K3743" s="241" t="n">
        <v>5.65</v>
      </c>
      <c r="L3743" s="242" t="n">
        <v>1298800</v>
      </c>
      <c r="M3743" s="241" t="n">
        <v>0.29</v>
      </c>
      <c r="N3743" s="241" t="n">
        <v>-2.43</v>
      </c>
      <c r="O3743" s="241" t="n">
        <v>20.63</v>
      </c>
      <c r="P3743" s="241" t="n">
        <v>2.01</v>
      </c>
    </row>
    <row r="3744">
      <c r="A3744" s="282" t="inlineStr">
        <is>
          <t>2021-05-27</t>
        </is>
      </c>
      <c r="B3744" s="240">
        <f>IFERROR(1/P3744-1,B3743)</f>
        <v/>
      </c>
      <c r="C3744" s="240">
        <f>$C$3</f>
        <v/>
      </c>
      <c r="D3744" s="240">
        <f>$D$3</f>
        <v/>
      </c>
      <c r="E3744" s="240">
        <f>$E$3</f>
        <v/>
      </c>
      <c r="F3744" s="241" t="n">
        <v>11.5</v>
      </c>
      <c r="G3744" s="242" t="n">
        <v>17741087</v>
      </c>
      <c r="H3744" s="241" t="n">
        <v>1.05</v>
      </c>
      <c r="I3744" s="241" t="n">
        <v>-1.88</v>
      </c>
      <c r="J3744" s="241" t="n">
        <v>15.35</v>
      </c>
      <c r="K3744" s="241" t="n">
        <v>5.7</v>
      </c>
      <c r="L3744" s="242" t="n">
        <v>1404800</v>
      </c>
      <c r="M3744" s="241" t="n">
        <v>1.02</v>
      </c>
      <c r="N3744" s="241" t="n">
        <v>1.02</v>
      </c>
      <c r="O3744" s="241" t="n">
        <v>21.87</v>
      </c>
      <c r="P3744" s="241" t="n">
        <v>2.02</v>
      </c>
    </row>
    <row r="3745">
      <c r="A3745" s="282" t="inlineStr">
        <is>
          <t>2021-05-28</t>
        </is>
      </c>
      <c r="B3745" s="240">
        <f>IFERROR(1/P3745-1,B3744)</f>
        <v/>
      </c>
      <c r="C3745" s="240">
        <f>$C$3</f>
        <v/>
      </c>
      <c r="D3745" s="240">
        <f>$D$3</f>
        <v/>
      </c>
      <c r="E3745" s="240">
        <f>$E$3</f>
        <v/>
      </c>
      <c r="F3745" s="241" t="n">
        <v>11.42</v>
      </c>
      <c r="G3745" s="242" t="n">
        <v>16310603</v>
      </c>
      <c r="H3745" s="241" t="n">
        <v>-0.7</v>
      </c>
      <c r="I3745" s="241" t="n">
        <v>0.97</v>
      </c>
      <c r="J3745" s="241" t="n">
        <v>14.54</v>
      </c>
      <c r="K3745" s="241" t="n">
        <v>5.8</v>
      </c>
      <c r="L3745" s="242" t="n">
        <v>2496700</v>
      </c>
      <c r="M3745" s="241" t="n">
        <v>2.03</v>
      </c>
      <c r="N3745" s="241" t="n">
        <v>5.22</v>
      </c>
      <c r="O3745" s="241" t="n">
        <v>24.34</v>
      </c>
      <c r="P3745" s="241" t="n">
        <v>1.97</v>
      </c>
    </row>
    <row r="3746">
      <c r="A3746" s="282" t="inlineStr">
        <is>
          <t>2021-05-31</t>
        </is>
      </c>
      <c r="B3746" s="240">
        <f>IFERROR(1/P3746-1,B3745)</f>
        <v/>
      </c>
      <c r="C3746" s="240">
        <f>$C$3</f>
        <v/>
      </c>
      <c r="D3746" s="240">
        <f>$D$3</f>
        <v/>
      </c>
      <c r="E3746" s="240">
        <f>$E$3</f>
        <v/>
      </c>
      <c r="F3746" s="241" t="n">
        <v>11.2</v>
      </c>
      <c r="G3746" s="242" t="n">
        <v>26263698</v>
      </c>
      <c r="H3746" s="241" t="n">
        <v>-1.93</v>
      </c>
      <c r="I3746" s="241" t="n">
        <v>-1.75</v>
      </c>
      <c r="J3746" s="241" t="n">
        <v>12.34</v>
      </c>
      <c r="K3746" s="241" t="n">
        <v>5.55</v>
      </c>
      <c r="L3746" s="242" t="n">
        <v>4147800</v>
      </c>
      <c r="M3746" s="241" t="n">
        <v>-3.97</v>
      </c>
      <c r="N3746" s="241" t="n">
        <v>0.15</v>
      </c>
      <c r="O3746" s="241" t="n">
        <v>19.4</v>
      </c>
      <c r="P3746" s="241" t="n">
        <v>2.02</v>
      </c>
    </row>
    <row r="3747">
      <c r="A3747" s="282" t="inlineStr">
        <is>
          <t>2021-06-01</t>
        </is>
      </c>
      <c r="B3747" s="240">
        <f>IFERROR(1/P3747-1,B3746)</f>
        <v/>
      </c>
      <c r="C3747" s="240">
        <f>$C$3</f>
        <v/>
      </c>
      <c r="D3747" s="240">
        <f>$D$3</f>
        <v/>
      </c>
      <c r="E3747" s="240">
        <f>$E$3</f>
        <v/>
      </c>
      <c r="F3747" s="241" t="n">
        <v>11.15</v>
      </c>
      <c r="G3747" s="242" t="n">
        <v>15187157</v>
      </c>
      <c r="H3747" s="241" t="n">
        <v>-0.45</v>
      </c>
      <c r="I3747" s="241" t="n">
        <v>-2.11</v>
      </c>
      <c r="J3747" s="241" t="n">
        <v>11.84</v>
      </c>
      <c r="K3747" s="241" t="n">
        <v>5.43</v>
      </c>
      <c r="L3747" s="242" t="n">
        <v>3091720</v>
      </c>
      <c r="M3747" s="241" t="n">
        <v>-2.07</v>
      </c>
      <c r="N3747" s="241" t="n">
        <v>1.53</v>
      </c>
      <c r="O3747" s="241" t="n">
        <v>16.93</v>
      </c>
      <c r="P3747" s="241" t="n">
        <v>2.05</v>
      </c>
    </row>
    <row r="3748">
      <c r="A3748" s="282" t="inlineStr">
        <is>
          <t>2021-06-02</t>
        </is>
      </c>
      <c r="B3748" s="240">
        <f>IFERROR(1/P3748-1,B3747)</f>
        <v/>
      </c>
      <c r="C3748" s="240">
        <f>$C$3</f>
        <v/>
      </c>
      <c r="D3748" s="240">
        <f>$D$3</f>
        <v/>
      </c>
      <c r="E3748" s="240">
        <f>$E$3</f>
        <v/>
      </c>
      <c r="F3748" s="241" t="n">
        <v>11.2</v>
      </c>
      <c r="G3748" s="242" t="n">
        <v>25497570</v>
      </c>
      <c r="H3748" s="241" t="n">
        <v>0.45</v>
      </c>
      <c r="I3748" s="241" t="n">
        <v>-1.67</v>
      </c>
      <c r="J3748" s="241" t="n">
        <v>12.34</v>
      </c>
      <c r="K3748" s="241" t="n">
        <v>5.49</v>
      </c>
      <c r="L3748" s="242" t="n">
        <v>1695800</v>
      </c>
      <c r="M3748" s="241" t="n">
        <v>0.75</v>
      </c>
      <c r="N3748" s="241" t="n">
        <v>2.3</v>
      </c>
      <c r="O3748" s="241" t="n">
        <v>17.81</v>
      </c>
      <c r="P3748" s="241" t="n">
        <v>2.04</v>
      </c>
    </row>
    <row r="3749">
      <c r="A3749" s="282" t="inlineStr">
        <is>
          <t>2021-06-03</t>
        </is>
      </c>
      <c r="B3749" s="240">
        <f>IFERROR(1/P3749-1,B3748)</f>
        <v/>
      </c>
      <c r="C3749" s="240">
        <f>$C$3</f>
        <v/>
      </c>
      <c r="D3749" s="240">
        <f>$D$3</f>
        <v/>
      </c>
      <c r="E3749" s="240">
        <f>$E$3</f>
        <v/>
      </c>
      <c r="F3749" s="241" t="n">
        <v>11.03</v>
      </c>
      <c r="G3749" s="242" t="n">
        <v>21414257</v>
      </c>
      <c r="H3749" s="241" t="n">
        <v>-1.52</v>
      </c>
      <c r="I3749" s="241" t="n">
        <v>-3.16</v>
      </c>
      <c r="J3749" s="241" t="n">
        <v>10.63</v>
      </c>
      <c r="K3749" s="241" t="n">
        <v>5.52</v>
      </c>
      <c r="L3749" s="242" t="n">
        <v>1104667</v>
      </c>
      <c r="M3749" s="241" t="n">
        <v>0.45</v>
      </c>
      <c r="N3749" s="241" t="n">
        <v>2.76</v>
      </c>
      <c r="O3749" s="241" t="n">
        <v>18.34</v>
      </c>
      <c r="P3749" s="241" t="n">
        <v>2</v>
      </c>
    </row>
    <row r="3750">
      <c r="A3750" s="282" t="inlineStr">
        <is>
          <t>2021-06-04</t>
        </is>
      </c>
      <c r="B3750" s="240">
        <f>IFERROR(1/P3750-1,B3749)</f>
        <v/>
      </c>
      <c r="C3750" s="240">
        <f>$C$3</f>
        <v/>
      </c>
      <c r="D3750" s="240">
        <f>$D$3</f>
        <v/>
      </c>
      <c r="E3750" s="240">
        <f>$E$3</f>
        <v/>
      </c>
      <c r="F3750" s="241" t="n">
        <v>10.69</v>
      </c>
      <c r="G3750" s="242" t="n">
        <v>34534606</v>
      </c>
      <c r="H3750" s="241" t="n">
        <v>-3.08</v>
      </c>
      <c r="I3750" s="241" t="n">
        <v>-6.15</v>
      </c>
      <c r="J3750" s="241" t="n">
        <v>7.22</v>
      </c>
      <c r="K3750" s="241" t="n">
        <v>5.45</v>
      </c>
      <c r="L3750" s="242" t="n">
        <v>1634200</v>
      </c>
      <c r="M3750" s="241" t="n">
        <v>-1.64</v>
      </c>
      <c r="N3750" s="241" t="n">
        <v>-4.35</v>
      </c>
      <c r="O3750" s="241" t="n">
        <v>16.4</v>
      </c>
      <c r="P3750" s="241" t="n">
        <v>1.96</v>
      </c>
    </row>
    <row r="3751">
      <c r="A3751" s="282" t="inlineStr">
        <is>
          <t>2021-06-07</t>
        </is>
      </c>
      <c r="B3751" s="240">
        <f>IFERROR(1/P3751-1,B3750)</f>
        <v/>
      </c>
      <c r="C3751" s="240">
        <f>$C$3</f>
        <v/>
      </c>
      <c r="D3751" s="240">
        <f>$D$3</f>
        <v/>
      </c>
      <c r="E3751" s="240">
        <f>$E$3</f>
        <v/>
      </c>
      <c r="F3751" s="241" t="n">
        <v>10.71</v>
      </c>
      <c r="G3751" s="242" t="n">
        <v>20032366</v>
      </c>
      <c r="H3751" s="241" t="n">
        <v>0.19</v>
      </c>
      <c r="I3751" s="241" t="n">
        <v>-6.3</v>
      </c>
      <c r="J3751" s="241" t="n">
        <v>7.42</v>
      </c>
      <c r="K3751" s="241" t="n">
        <v>5.37</v>
      </c>
      <c r="L3751" s="242" t="n">
        <v>1965600</v>
      </c>
      <c r="M3751" s="241" t="n">
        <v>-1.36</v>
      </c>
      <c r="N3751" s="241" t="n">
        <v>-6.06</v>
      </c>
      <c r="O3751" s="241" t="n">
        <v>14.81</v>
      </c>
      <c r="P3751" s="241" t="n">
        <v>2</v>
      </c>
    </row>
    <row r="3752">
      <c r="A3752" s="282" t="inlineStr">
        <is>
          <t>2021-06-08</t>
        </is>
      </c>
      <c r="B3752" s="240">
        <f>IFERROR(1/P3752-1,B3751)</f>
        <v/>
      </c>
      <c r="C3752" s="240">
        <f>$C$3</f>
        <v/>
      </c>
      <c r="D3752" s="240">
        <f>$D$3</f>
        <v/>
      </c>
      <c r="E3752" s="240">
        <f>$E$3</f>
        <v/>
      </c>
      <c r="F3752" s="241" t="n">
        <v>10.55</v>
      </c>
      <c r="G3752" s="242" t="n">
        <v>19512122</v>
      </c>
      <c r="H3752" s="241" t="n">
        <v>-1.49</v>
      </c>
      <c r="I3752" s="241" t="n">
        <v>-7.86</v>
      </c>
      <c r="J3752" s="241" t="n">
        <v>5.82</v>
      </c>
      <c r="K3752" s="241" t="n">
        <v>5.35</v>
      </c>
      <c r="L3752" s="242" t="n">
        <v>1292800</v>
      </c>
      <c r="M3752" s="241" t="n">
        <v>-0.15</v>
      </c>
      <c r="N3752" s="241" t="n">
        <v>-3.99</v>
      </c>
      <c r="O3752" s="241" t="n">
        <v>14.64</v>
      </c>
      <c r="P3752" s="241" t="n">
        <v>1.97</v>
      </c>
    </row>
    <row r="3753">
      <c r="A3753" s="282" t="inlineStr">
        <is>
          <t>2021-06-09</t>
        </is>
      </c>
      <c r="B3753" s="240">
        <f>IFERROR(1/P3753-1,B3752)</f>
        <v/>
      </c>
      <c r="C3753" s="240">
        <f>$C$3</f>
        <v/>
      </c>
      <c r="D3753" s="240">
        <f>$D$3</f>
        <v/>
      </c>
      <c r="E3753" s="240">
        <f>$E$3</f>
        <v/>
      </c>
      <c r="F3753" s="241" t="n">
        <v>10.63</v>
      </c>
      <c r="G3753" s="242" t="n">
        <v>19028374</v>
      </c>
      <c r="H3753" s="241" t="n">
        <v>0.76</v>
      </c>
      <c r="I3753" s="241" t="n">
        <v>-7.16</v>
      </c>
      <c r="J3753" s="241" t="n">
        <v>6.62</v>
      </c>
      <c r="K3753" s="241" t="n">
        <v>5.44</v>
      </c>
      <c r="L3753" s="242" t="n">
        <v>1125800</v>
      </c>
      <c r="M3753" s="241" t="n">
        <v>1.54</v>
      </c>
      <c r="N3753" s="241" t="n">
        <v>-2.51</v>
      </c>
      <c r="O3753" s="241" t="n">
        <v>16.4</v>
      </c>
      <c r="P3753" s="241" t="n">
        <v>1.95</v>
      </c>
    </row>
    <row r="3754">
      <c r="A3754" s="282" t="inlineStr">
        <is>
          <t>2021-06-10</t>
        </is>
      </c>
      <c r="B3754" s="240">
        <f>IFERROR(1/P3754-1,B3753)</f>
        <v/>
      </c>
      <c r="C3754" s="240">
        <f>$C$3</f>
        <v/>
      </c>
      <c r="D3754" s="240">
        <f>$D$3</f>
        <v/>
      </c>
      <c r="E3754" s="240">
        <f>$E$3</f>
        <v/>
      </c>
      <c r="F3754" s="241" t="n">
        <v>10.67</v>
      </c>
      <c r="G3754" s="242" t="n">
        <v>19513211</v>
      </c>
      <c r="H3754" s="241" t="n">
        <v>0.38</v>
      </c>
      <c r="I3754" s="241" t="n">
        <v>-6.81</v>
      </c>
      <c r="J3754" s="241" t="n">
        <v>7.02</v>
      </c>
      <c r="K3754" s="241" t="n">
        <v>5.52</v>
      </c>
      <c r="L3754" s="242" t="n">
        <v>1319800</v>
      </c>
      <c r="M3754" s="241" t="n">
        <v>1.52</v>
      </c>
      <c r="N3754" s="241" t="n">
        <v>-1.03</v>
      </c>
      <c r="O3754" s="241" t="n">
        <v>18.17</v>
      </c>
      <c r="P3754" s="241" t="n">
        <v>1.93</v>
      </c>
    </row>
    <row r="3755">
      <c r="A3755" s="282" t="inlineStr">
        <is>
          <t>2021-06-11</t>
        </is>
      </c>
      <c r="B3755" s="240">
        <f>IFERROR(1/P3755-1,B3754)</f>
        <v/>
      </c>
      <c r="C3755" s="240">
        <f>$C$3</f>
        <v/>
      </c>
      <c r="D3755" s="240">
        <f>$D$3</f>
        <v/>
      </c>
      <c r="E3755" s="240">
        <f>$E$3</f>
        <v/>
      </c>
      <c r="F3755" s="241" t="n">
        <v>10.71</v>
      </c>
      <c r="G3755" s="242" t="n">
        <v>23489460</v>
      </c>
      <c r="H3755" s="241" t="n">
        <v>0.37</v>
      </c>
      <c r="I3755" s="241" t="n">
        <v>-3.77</v>
      </c>
      <c r="J3755" s="241" t="n">
        <v>7.42</v>
      </c>
      <c r="K3755" s="241" t="n">
        <v>5.63</v>
      </c>
      <c r="L3755" s="242" t="n">
        <v>2395510</v>
      </c>
      <c r="M3755" s="241" t="n">
        <v>2.09</v>
      </c>
      <c r="N3755" s="241" t="n">
        <v>0.74</v>
      </c>
      <c r="O3755" s="241" t="n">
        <v>20.63</v>
      </c>
      <c r="P3755" s="241" t="n">
        <v>1.9</v>
      </c>
    </row>
    <row r="3756">
      <c r="A3756" s="282" t="inlineStr">
        <is>
          <t>2021-06-15</t>
        </is>
      </c>
      <c r="B3756" s="240">
        <f>IFERROR(1/P3756-1,B3755)</f>
        <v/>
      </c>
      <c r="C3756" s="240">
        <f>$C$3</f>
        <v/>
      </c>
      <c r="D3756" s="240">
        <f>$D$3</f>
        <v/>
      </c>
      <c r="E3756" s="240">
        <f>$E$3</f>
        <v/>
      </c>
      <c r="F3756" s="241" t="n">
        <v>10.77</v>
      </c>
      <c r="G3756" s="242" t="n">
        <v>17741585</v>
      </c>
      <c r="H3756" s="241" t="n">
        <v>0.5600000000000001</v>
      </c>
      <c r="I3756" s="241" t="n">
        <v>-4.35</v>
      </c>
      <c r="J3756" s="241" t="n">
        <v>8.02</v>
      </c>
      <c r="K3756" s="241" t="n">
        <v>5.59</v>
      </c>
      <c r="L3756" s="242" t="n">
        <v>1016000</v>
      </c>
      <c r="M3756" s="241" t="n">
        <v>-1.02</v>
      </c>
      <c r="N3756" s="241" t="n">
        <v>2.89</v>
      </c>
      <c r="O3756" s="241" t="n">
        <v>19.4</v>
      </c>
      <c r="P3756" s="241" t="n">
        <v>1.93</v>
      </c>
    </row>
    <row r="3757">
      <c r="A3757" s="282" t="inlineStr">
        <is>
          <t>2021-06-16</t>
        </is>
      </c>
      <c r="B3757" s="240">
        <f>IFERROR(1/P3757-1,B3756)</f>
        <v/>
      </c>
      <c r="C3757" s="240">
        <f>$C$3</f>
        <v/>
      </c>
      <c r="D3757" s="240">
        <f>$D$3</f>
        <v/>
      </c>
      <c r="E3757" s="240">
        <f>$E$3</f>
        <v/>
      </c>
      <c r="F3757" s="241" t="n">
        <v>10.67</v>
      </c>
      <c r="G3757" s="242" t="n">
        <v>16515031</v>
      </c>
      <c r="H3757" s="241" t="n">
        <v>-0.93</v>
      </c>
      <c r="I3757" s="241" t="n">
        <v>-5.24</v>
      </c>
      <c r="J3757" s="241" t="n">
        <v>7.02</v>
      </c>
      <c r="K3757" s="241" t="n">
        <v>5.35</v>
      </c>
      <c r="L3757" s="242" t="n">
        <v>2508200</v>
      </c>
      <c r="M3757" s="241" t="n">
        <v>-4.28</v>
      </c>
      <c r="N3757" s="241" t="n">
        <v>-1.52</v>
      </c>
      <c r="O3757" s="241" t="n">
        <v>14.29</v>
      </c>
      <c r="P3757" s="241" t="n">
        <v>1.99</v>
      </c>
    </row>
    <row r="3758">
      <c r="A3758" s="282" t="inlineStr">
        <is>
          <t>2021-06-17</t>
        </is>
      </c>
      <c r="B3758" s="240">
        <f>IFERROR(1/P3758-1,B3757)</f>
        <v/>
      </c>
      <c r="C3758" s="240">
        <f>$C$3</f>
        <v/>
      </c>
      <c r="D3758" s="240">
        <f>$D$3</f>
        <v/>
      </c>
      <c r="E3758" s="240">
        <f>$E$3</f>
        <v/>
      </c>
      <c r="F3758" s="241" t="n">
        <v>10.79</v>
      </c>
      <c r="G3758" s="242" t="n">
        <v>13268550</v>
      </c>
      <c r="H3758" s="241" t="n">
        <v>1.12</v>
      </c>
      <c r="I3758" s="241" t="n">
        <v>-4.17</v>
      </c>
      <c r="J3758" s="241" t="n">
        <v>8.220000000000001</v>
      </c>
      <c r="K3758" s="241" t="n">
        <v>5.31</v>
      </c>
      <c r="L3758" s="242" t="n">
        <v>1408000</v>
      </c>
      <c r="M3758" s="241" t="n">
        <v>-1.08</v>
      </c>
      <c r="N3758" s="241" t="n">
        <v>-2.58</v>
      </c>
      <c r="O3758" s="241" t="n">
        <v>13.05</v>
      </c>
      <c r="P3758" s="241" t="n">
        <v>2.03</v>
      </c>
    </row>
    <row r="3759">
      <c r="A3759" s="282" t="inlineStr">
        <is>
          <t>2021-06-18</t>
        </is>
      </c>
      <c r="B3759" s="240">
        <f>IFERROR(1/P3759-1,B3758)</f>
        <v/>
      </c>
      <c r="C3759" s="240">
        <f>$C$3</f>
        <v/>
      </c>
      <c r="D3759" s="240">
        <f>$D$3</f>
        <v/>
      </c>
      <c r="E3759" s="240">
        <f>$E$3</f>
        <v/>
      </c>
      <c r="F3759" s="241" t="n">
        <v>10.71</v>
      </c>
      <c r="G3759" s="242" t="n">
        <v>14927765</v>
      </c>
      <c r="H3759" s="241" t="n">
        <v>-0.74</v>
      </c>
      <c r="I3759" s="241" t="n">
        <v>-5.64</v>
      </c>
      <c r="J3759" s="241" t="n">
        <v>7.42</v>
      </c>
      <c r="K3759" s="241" t="n">
        <v>5.28</v>
      </c>
      <c r="L3759" s="242" t="n">
        <v>1418080</v>
      </c>
      <c r="M3759" s="241" t="n">
        <v>-0.62</v>
      </c>
      <c r="N3759" s="241" t="n">
        <v>-4.93</v>
      </c>
      <c r="O3759" s="241" t="n">
        <v>12.35</v>
      </c>
      <c r="P3759" s="241" t="n">
        <v>2.03</v>
      </c>
    </row>
    <row r="3760">
      <c r="A3760" s="282" t="inlineStr">
        <is>
          <t>2021-06-21</t>
        </is>
      </c>
      <c r="B3760" s="240">
        <f>IFERROR(1/P3760-1,B3759)</f>
        <v/>
      </c>
      <c r="C3760" s="240">
        <f>$C$3</f>
        <v/>
      </c>
      <c r="D3760" s="240">
        <f>$D$3</f>
        <v/>
      </c>
      <c r="E3760" s="240">
        <f>$E$3</f>
        <v/>
      </c>
      <c r="F3760" s="241" t="n">
        <v>10.58</v>
      </c>
      <c r="G3760" s="242" t="n">
        <v>19325179</v>
      </c>
      <c r="H3760" s="241" t="n">
        <v>-1.21</v>
      </c>
      <c r="I3760" s="241" t="n">
        <v>-8.16</v>
      </c>
      <c r="J3760" s="241" t="n">
        <v>6.12</v>
      </c>
      <c r="K3760" s="241" t="n">
        <v>5.3</v>
      </c>
      <c r="L3760" s="242" t="n">
        <v>1695080</v>
      </c>
      <c r="M3760" s="241" t="n">
        <v>0</v>
      </c>
      <c r="N3760" s="241" t="n">
        <v>-5.07</v>
      </c>
      <c r="O3760" s="241" t="n">
        <v>12.35</v>
      </c>
      <c r="P3760" s="241" t="n">
        <v>2</v>
      </c>
    </row>
    <row r="3761">
      <c r="A3761" s="282" t="inlineStr">
        <is>
          <t>2021-06-22</t>
        </is>
      </c>
      <c r="B3761" s="240">
        <f>IFERROR(1/P3761-1,B3760)</f>
        <v/>
      </c>
      <c r="C3761" s="240">
        <f>$C$3</f>
        <v/>
      </c>
      <c r="D3761" s="240">
        <f>$D$3</f>
        <v/>
      </c>
      <c r="E3761" s="240">
        <f>$E$3</f>
        <v/>
      </c>
      <c r="F3761" s="241" t="n">
        <v>10.74</v>
      </c>
      <c r="G3761" s="242" t="n">
        <v>24939941</v>
      </c>
      <c r="H3761" s="241" t="n">
        <v>1.51</v>
      </c>
      <c r="I3761" s="241" t="n">
        <v>-6.28</v>
      </c>
      <c r="J3761" s="241" t="n">
        <v>7.72</v>
      </c>
      <c r="K3761" s="241" t="n">
        <v>5.32</v>
      </c>
      <c r="L3761" s="242" t="n">
        <v>1973600</v>
      </c>
      <c r="M3761" s="241" t="n">
        <v>0.31</v>
      </c>
      <c r="N3761" s="241" t="n">
        <v>-6.03</v>
      </c>
      <c r="O3761" s="241" t="n">
        <v>12.7</v>
      </c>
      <c r="P3761" s="241" t="n">
        <v>2.02</v>
      </c>
    </row>
    <row r="3762">
      <c r="A3762" s="282" t="inlineStr">
        <is>
          <t>2021-06-23</t>
        </is>
      </c>
      <c r="B3762" s="240">
        <f>IFERROR(1/P3762-1,B3761)</f>
        <v/>
      </c>
      <c r="C3762" s="240">
        <f>$C$3</f>
        <v/>
      </c>
      <c r="D3762" s="240">
        <f>$D$3</f>
        <v/>
      </c>
      <c r="E3762" s="240">
        <f>$E$3</f>
        <v/>
      </c>
      <c r="F3762" s="241" t="n">
        <v>10.72</v>
      </c>
      <c r="G3762" s="242" t="n">
        <v>16953414</v>
      </c>
      <c r="H3762" s="241" t="n">
        <v>-0.19</v>
      </c>
      <c r="I3762" s="241" t="n">
        <v>-6.46</v>
      </c>
      <c r="J3762" s="241" t="n">
        <v>7.52</v>
      </c>
      <c r="K3762" s="241" t="n">
        <v>5.19</v>
      </c>
      <c r="L3762" s="242" t="n">
        <v>3061824</v>
      </c>
      <c r="M3762" s="241" t="n">
        <v>-2.35</v>
      </c>
      <c r="N3762" s="241" t="n">
        <v>-8.24</v>
      </c>
      <c r="O3762" s="241" t="n">
        <v>10.05</v>
      </c>
      <c r="P3762" s="241" t="n">
        <v>2.06</v>
      </c>
    </row>
    <row r="3763">
      <c r="A3763" s="282" t="inlineStr">
        <is>
          <t>2021-06-24</t>
        </is>
      </c>
      <c r="B3763" s="240">
        <f>IFERROR(1/P3763-1,B3762)</f>
        <v/>
      </c>
      <c r="C3763" s="240">
        <f>$C$3</f>
        <v/>
      </c>
      <c r="D3763" s="240">
        <f>$D$3</f>
        <v/>
      </c>
      <c r="E3763" s="240">
        <f>$E$3</f>
        <v/>
      </c>
      <c r="F3763" s="241" t="n">
        <v>10.96</v>
      </c>
      <c r="G3763" s="242" t="n">
        <v>33379386</v>
      </c>
      <c r="H3763" s="241" t="n">
        <v>2.24</v>
      </c>
      <c r="I3763" s="241" t="n">
        <v>-4.36</v>
      </c>
      <c r="J3763" s="241" t="n">
        <v>9.93</v>
      </c>
      <c r="K3763" s="241" t="n">
        <v>5.32</v>
      </c>
      <c r="L3763" s="242" t="n">
        <v>4996200</v>
      </c>
      <c r="M3763" s="241" t="n">
        <v>2.08</v>
      </c>
      <c r="N3763" s="241" t="n">
        <v>-6.32</v>
      </c>
      <c r="O3763" s="241" t="n">
        <v>12.35</v>
      </c>
      <c r="P3763" s="241" t="n">
        <v>2.06</v>
      </c>
    </row>
    <row r="3764">
      <c r="A3764" s="282" t="inlineStr">
        <is>
          <t>2021-06-25</t>
        </is>
      </c>
      <c r="B3764" s="240">
        <f>IFERROR(1/P3764-1,B3763)</f>
        <v/>
      </c>
      <c r="C3764" s="240">
        <f>$C$3</f>
        <v/>
      </c>
      <c r="D3764" s="240">
        <f>$D$3</f>
        <v/>
      </c>
      <c r="E3764" s="240">
        <f>$E$3</f>
        <v/>
      </c>
      <c r="F3764" s="241" t="n">
        <v>11.02</v>
      </c>
      <c r="G3764" s="242" t="n">
        <v>20830174</v>
      </c>
      <c r="H3764" s="241" t="n">
        <v>0.55</v>
      </c>
      <c r="I3764" s="241" t="n">
        <v>-1.61</v>
      </c>
      <c r="J3764" s="241" t="n">
        <v>10.53</v>
      </c>
      <c r="K3764" s="241" t="n">
        <v>5.46</v>
      </c>
      <c r="L3764" s="242" t="n">
        <v>1568000</v>
      </c>
      <c r="M3764" s="241" t="n">
        <v>2.67</v>
      </c>
      <c r="N3764" s="241" t="n">
        <v>-3.11</v>
      </c>
      <c r="O3764" s="241" t="n">
        <v>15.34</v>
      </c>
      <c r="P3764" s="241" t="n">
        <v>2.02</v>
      </c>
    </row>
    <row r="3765">
      <c r="A3765" s="282" t="inlineStr">
        <is>
          <t>2021-06-28</t>
        </is>
      </c>
      <c r="B3765" s="240">
        <f>IFERROR(1/P3765-1,B3764)</f>
        <v/>
      </c>
      <c r="C3765" s="240">
        <f>$C$3</f>
        <v/>
      </c>
      <c r="D3765" s="240">
        <f>$D$3</f>
        <v/>
      </c>
      <c r="E3765" s="240">
        <f>$E$3</f>
        <v/>
      </c>
      <c r="F3765" s="241" t="n">
        <v>11.01</v>
      </c>
      <c r="G3765" s="242" t="n">
        <v>15987106</v>
      </c>
      <c r="H3765" s="241" t="n">
        <v>-0.09</v>
      </c>
      <c r="I3765" s="241" t="n">
        <v>-4.26</v>
      </c>
      <c r="J3765" s="241" t="n">
        <v>10.43</v>
      </c>
      <c r="K3765" s="241" t="n">
        <v>5.35</v>
      </c>
      <c r="L3765" s="242" t="n">
        <v>2140600</v>
      </c>
      <c r="M3765" s="241" t="n">
        <v>-1.68</v>
      </c>
      <c r="N3765" s="241" t="n">
        <v>-6.95</v>
      </c>
      <c r="O3765" s="241" t="n">
        <v>13.4</v>
      </c>
      <c r="P3765" s="241" t="n">
        <v>2.06</v>
      </c>
    </row>
    <row r="3766">
      <c r="A3766" s="282" t="inlineStr">
        <is>
          <t>2021-06-29</t>
        </is>
      </c>
      <c r="B3766" s="240">
        <f>IFERROR(1/P3766-1,B3765)</f>
        <v/>
      </c>
      <c r="C3766" s="240">
        <f>$C$3</f>
        <v/>
      </c>
      <c r="D3766" s="240">
        <f>$D$3</f>
        <v/>
      </c>
      <c r="E3766" s="240">
        <f>$E$3</f>
        <v/>
      </c>
      <c r="F3766" s="241" t="n">
        <v>10.95</v>
      </c>
      <c r="G3766" s="242" t="n">
        <v>23923080</v>
      </c>
      <c r="H3766" s="241" t="n">
        <v>-0.55</v>
      </c>
      <c r="I3766" s="241" t="n">
        <v>-4.12</v>
      </c>
      <c r="J3766" s="241" t="n">
        <v>9.83</v>
      </c>
      <c r="K3766" s="241" t="n">
        <v>5.33</v>
      </c>
      <c r="L3766" s="242" t="n">
        <v>912136</v>
      </c>
      <c r="M3766" s="241" t="n">
        <v>-0.31</v>
      </c>
      <c r="N3766" s="241" t="n">
        <v>-9.08</v>
      </c>
      <c r="O3766" s="241" t="n">
        <v>13.05</v>
      </c>
      <c r="P3766" s="241" t="n">
        <v>2.05</v>
      </c>
    </row>
    <row r="3767">
      <c r="A3767" s="282" t="inlineStr">
        <is>
          <t>2021-06-30</t>
        </is>
      </c>
      <c r="B3767" s="240">
        <f>IFERROR(1/P3767-1,B3766)</f>
        <v/>
      </c>
      <c r="C3767" s="240">
        <f>$C$3</f>
        <v/>
      </c>
      <c r="D3767" s="240">
        <f>$D$3</f>
        <v/>
      </c>
      <c r="E3767" s="240">
        <f>$E$3</f>
        <v/>
      </c>
      <c r="F3767" s="241" t="n">
        <v>10.97</v>
      </c>
      <c r="G3767" s="242" t="n">
        <v>17813736</v>
      </c>
      <c r="H3767" s="241" t="n">
        <v>0.18</v>
      </c>
      <c r="I3767" s="241" t="n">
        <v>-3.94</v>
      </c>
      <c r="J3767" s="241" t="n">
        <v>10.03</v>
      </c>
      <c r="K3767" s="241" t="n">
        <v>5.18</v>
      </c>
      <c r="L3767" s="242" t="n">
        <v>2396600</v>
      </c>
      <c r="M3767" s="241" t="n">
        <v>-2.96</v>
      </c>
      <c r="N3767" s="241" t="n">
        <v>-11.77</v>
      </c>
      <c r="O3767" s="241" t="n">
        <v>9.699999999999999</v>
      </c>
      <c r="P3767" s="241" t="n">
        <v>2.12</v>
      </c>
    </row>
    <row r="3768">
      <c r="A3768" s="282" t="inlineStr">
        <is>
          <t>2021-07-01</t>
        </is>
      </c>
      <c r="B3768" s="240">
        <f>IFERROR(1/P3768-1,B3767)</f>
        <v/>
      </c>
      <c r="C3768" s="240">
        <f>$C$3</f>
        <v/>
      </c>
      <c r="D3768" s="240">
        <f>$D$3</f>
        <v/>
      </c>
      <c r="E3768" s="240">
        <f>$E$3</f>
        <v/>
      </c>
      <c r="F3768" s="241" t="n">
        <v>10.66</v>
      </c>
      <c r="G3768" s="242" t="n">
        <v>17494274</v>
      </c>
      <c r="H3768" s="241" t="n">
        <v>-2.83</v>
      </c>
      <c r="I3768" s="241" t="n">
        <v>-4.82</v>
      </c>
      <c r="J3768" s="241" t="n">
        <v>6.92</v>
      </c>
      <c r="K3768" s="239" t="inlineStr">
        <is>
          <t>--</t>
        </is>
      </c>
      <c r="L3768" s="239" t="inlineStr">
        <is>
          <t>--</t>
        </is>
      </c>
      <c r="M3768" s="239" t="inlineStr">
        <is>
          <t>--</t>
        </is>
      </c>
      <c r="N3768" s="239" t="inlineStr">
        <is>
          <t>--</t>
        </is>
      </c>
      <c r="O3768" s="239" t="inlineStr">
        <is>
          <t>--</t>
        </is>
      </c>
      <c r="P3768" s="239" t="inlineStr">
        <is>
          <t>--</t>
        </is>
      </c>
    </row>
    <row r="3769">
      <c r="A3769" s="282" t="inlineStr">
        <is>
          <t>2021-07-02</t>
        </is>
      </c>
      <c r="B3769" s="240">
        <f>IFERROR(1/P3769-1,B3768)</f>
        <v/>
      </c>
      <c r="C3769" s="240">
        <f>$C$3</f>
        <v/>
      </c>
      <c r="D3769" s="240">
        <f>$D$3</f>
        <v/>
      </c>
      <c r="E3769" s="240">
        <f>$E$3</f>
        <v/>
      </c>
      <c r="F3769" s="241" t="n">
        <v>10.41</v>
      </c>
      <c r="G3769" s="242" t="n">
        <v>20672659</v>
      </c>
      <c r="H3769" s="241" t="n">
        <v>-2.35</v>
      </c>
      <c r="I3769" s="241" t="n">
        <v>-6.64</v>
      </c>
      <c r="J3769" s="241" t="n">
        <v>4.41</v>
      </c>
      <c r="K3769" s="241" t="n">
        <v>5.1</v>
      </c>
      <c r="L3769" s="242" t="n">
        <v>1899400</v>
      </c>
      <c r="M3769" s="241" t="n">
        <v>-1.61</v>
      </c>
      <c r="N3769" s="241" t="n">
        <v>-7.69</v>
      </c>
      <c r="O3769" s="241" t="n">
        <v>7.94</v>
      </c>
      <c r="P3769" s="241" t="n">
        <v>2.04</v>
      </c>
    </row>
    <row r="3770">
      <c r="A3770" s="282" t="inlineStr">
        <is>
          <t>2021-07-05</t>
        </is>
      </c>
      <c r="B3770" s="240">
        <f>IFERROR(1/P3770-1,B3769)</f>
        <v/>
      </c>
      <c r="C3770" s="240">
        <f>$C$3</f>
        <v/>
      </c>
      <c r="D3770" s="240">
        <f>$D$3</f>
        <v/>
      </c>
      <c r="E3770" s="240">
        <f>$E$3</f>
        <v/>
      </c>
      <c r="F3770" s="241" t="n">
        <v>10.28</v>
      </c>
      <c r="G3770" s="242" t="n">
        <v>21861179</v>
      </c>
      <c r="H3770" s="241" t="n">
        <v>-1.25</v>
      </c>
      <c r="I3770" s="241" t="n">
        <v>-3.84</v>
      </c>
      <c r="J3770" s="241" t="n">
        <v>3.11</v>
      </c>
      <c r="K3770" s="241" t="n">
        <v>4.96</v>
      </c>
      <c r="L3770" s="242" t="n">
        <v>1989400</v>
      </c>
      <c r="M3770" s="241" t="n">
        <v>-2.78</v>
      </c>
      <c r="N3770" s="241" t="n">
        <v>-9.85</v>
      </c>
      <c r="O3770" s="241" t="n">
        <v>4.94</v>
      </c>
      <c r="P3770" s="241" t="n">
        <v>2.07</v>
      </c>
    </row>
    <row r="3771">
      <c r="A3771" s="282" t="inlineStr">
        <is>
          <t>2021-07-06</t>
        </is>
      </c>
      <c r="B3771" s="240">
        <f>IFERROR(1/P3771-1,B3770)</f>
        <v/>
      </c>
      <c r="C3771" s="240">
        <f>$C$3</f>
        <v/>
      </c>
      <c r="D3771" s="240">
        <f>$D$3</f>
        <v/>
      </c>
      <c r="E3771" s="240">
        <f>$E$3</f>
        <v/>
      </c>
      <c r="F3771" s="241" t="n">
        <v>10.41</v>
      </c>
      <c r="G3771" s="242" t="n">
        <v>13982703</v>
      </c>
      <c r="H3771" s="241" t="n">
        <v>1.26</v>
      </c>
      <c r="I3771" s="241" t="n">
        <v>-2.62</v>
      </c>
      <c r="J3771" s="241" t="n">
        <v>4.41</v>
      </c>
      <c r="K3771" s="241" t="n">
        <v>4.91</v>
      </c>
      <c r="L3771" s="242" t="n">
        <v>1657000</v>
      </c>
      <c r="M3771" s="241" t="n">
        <v>-0.84</v>
      </c>
      <c r="N3771" s="241" t="n">
        <v>-10.61</v>
      </c>
      <c r="O3771" s="241" t="n">
        <v>4.06</v>
      </c>
      <c r="P3771" s="241" t="n">
        <v>2.12</v>
      </c>
    </row>
    <row r="3772">
      <c r="A3772" s="282" t="inlineStr">
        <is>
          <t>2021-07-07</t>
        </is>
      </c>
      <c r="B3772" s="240">
        <f>IFERROR(1/P3772-1,B3771)</f>
        <v/>
      </c>
      <c r="C3772" s="240">
        <f>$C$3</f>
        <v/>
      </c>
      <c r="D3772" s="240">
        <f>$D$3</f>
        <v/>
      </c>
      <c r="E3772" s="240">
        <f>$E$3</f>
        <v/>
      </c>
      <c r="F3772" s="241" t="n">
        <v>10.48</v>
      </c>
      <c r="G3772" s="242" t="n">
        <v>17334448</v>
      </c>
      <c r="H3772" s="241" t="n">
        <v>0.67</v>
      </c>
      <c r="I3772" s="241" t="n">
        <v>-1.96</v>
      </c>
      <c r="J3772" s="241" t="n">
        <v>5.12</v>
      </c>
      <c r="K3772" s="241" t="n">
        <v>5.05</v>
      </c>
      <c r="L3772" s="242" t="n">
        <v>1759770</v>
      </c>
      <c r="M3772" s="241" t="n">
        <v>2.71</v>
      </c>
      <c r="N3772" s="241" t="n">
        <v>-8.18</v>
      </c>
      <c r="O3772" s="241" t="n">
        <v>6.88</v>
      </c>
      <c r="P3772" s="241" t="n">
        <v>2.07</v>
      </c>
    </row>
    <row r="3773">
      <c r="A3773" s="282" t="inlineStr">
        <is>
          <t>2021-07-08</t>
        </is>
      </c>
      <c r="B3773" s="240">
        <f>IFERROR(1/P3773-1,B3772)</f>
        <v/>
      </c>
      <c r="C3773" s="240">
        <f>$C$3</f>
        <v/>
      </c>
      <c r="D3773" s="240">
        <f>$D$3</f>
        <v/>
      </c>
      <c r="E3773" s="240">
        <f>$E$3</f>
        <v/>
      </c>
      <c r="F3773" s="241" t="n">
        <v>10.58</v>
      </c>
      <c r="G3773" s="242" t="n">
        <v>22176613</v>
      </c>
      <c r="H3773" s="241" t="n">
        <v>0.95</v>
      </c>
      <c r="I3773" s="241" t="n">
        <v>-1.21</v>
      </c>
      <c r="J3773" s="241" t="n">
        <v>6.12</v>
      </c>
      <c r="K3773" s="241" t="n">
        <v>4.91</v>
      </c>
      <c r="L3773" s="242" t="n">
        <v>2145600</v>
      </c>
      <c r="M3773" s="241" t="n">
        <v>-2.64</v>
      </c>
      <c r="N3773" s="241" t="n">
        <v>-9.369999999999999</v>
      </c>
      <c r="O3773" s="241" t="n">
        <v>4.06</v>
      </c>
      <c r="P3773" s="241" t="n">
        <v>2.15</v>
      </c>
    </row>
    <row r="3774">
      <c r="A3774" s="282" t="inlineStr">
        <is>
          <t>2021-07-09</t>
        </is>
      </c>
      <c r="B3774" s="240">
        <f>IFERROR(1/P3774-1,B3773)</f>
        <v/>
      </c>
      <c r="C3774" s="240">
        <f>$C$3</f>
        <v/>
      </c>
      <c r="D3774" s="240">
        <f>$D$3</f>
        <v/>
      </c>
      <c r="E3774" s="240">
        <f>$E$3</f>
        <v/>
      </c>
      <c r="F3774" s="241" t="n">
        <v>10.66</v>
      </c>
      <c r="G3774" s="242" t="n">
        <v>16933828</v>
      </c>
      <c r="H3774" s="241" t="n">
        <v>0.76</v>
      </c>
      <c r="I3774" s="241" t="n">
        <v>1.04</v>
      </c>
      <c r="J3774" s="241" t="n">
        <v>6.92</v>
      </c>
      <c r="K3774" s="241" t="n">
        <v>4.94</v>
      </c>
      <c r="L3774" s="242" t="n">
        <v>917700</v>
      </c>
      <c r="M3774" s="241" t="n">
        <v>0.51</v>
      </c>
      <c r="N3774" s="241" t="n">
        <v>-8.77</v>
      </c>
      <c r="O3774" s="241" t="n">
        <v>4.59</v>
      </c>
      <c r="P3774" s="241" t="n">
        <v>2.16</v>
      </c>
    </row>
    <row r="3775">
      <c r="A3775" s="282" t="inlineStr">
        <is>
          <t>2021-07-12</t>
        </is>
      </c>
      <c r="B3775" s="240">
        <f>IFERROR(1/P3775-1,B3774)</f>
        <v/>
      </c>
      <c r="C3775" s="240">
        <f>$C$3</f>
        <v/>
      </c>
      <c r="D3775" s="240">
        <f>$D$3</f>
        <v/>
      </c>
      <c r="E3775" s="240">
        <f>$E$3</f>
        <v/>
      </c>
      <c r="F3775" s="241" t="n">
        <v>10.75</v>
      </c>
      <c r="G3775" s="242" t="n">
        <v>21245031</v>
      </c>
      <c r="H3775" s="241" t="n">
        <v>0.84</v>
      </c>
      <c r="I3775" s="241" t="n">
        <v>0.37</v>
      </c>
      <c r="J3775" s="241" t="n">
        <v>7.82</v>
      </c>
      <c r="K3775" s="241" t="n">
        <v>5.01</v>
      </c>
      <c r="L3775" s="242" t="n">
        <v>917800</v>
      </c>
      <c r="M3775" s="241" t="n">
        <v>1.35</v>
      </c>
      <c r="N3775" s="241" t="n">
        <v>-12.13</v>
      </c>
      <c r="O3775" s="241" t="n">
        <v>6</v>
      </c>
      <c r="P3775" s="241" t="n">
        <v>2.14</v>
      </c>
    </row>
    <row r="3776">
      <c r="A3776" s="282" t="inlineStr">
        <is>
          <t>2021-07-13</t>
        </is>
      </c>
      <c r="B3776" s="240">
        <f>IFERROR(1/P3776-1,B3775)</f>
        <v/>
      </c>
      <c r="C3776" s="240">
        <f>$C$3</f>
        <v/>
      </c>
      <c r="D3776" s="240">
        <f>$D$3</f>
        <v/>
      </c>
      <c r="E3776" s="240">
        <f>$E$3</f>
        <v/>
      </c>
      <c r="F3776" s="241" t="n">
        <v>11</v>
      </c>
      <c r="G3776" s="242" t="n">
        <v>26016669</v>
      </c>
      <c r="H3776" s="241" t="n">
        <v>2.33</v>
      </c>
      <c r="I3776" s="241" t="n">
        <v>2.71</v>
      </c>
      <c r="J3776" s="241" t="n">
        <v>10.33</v>
      </c>
      <c r="K3776" s="241" t="n">
        <v>5.11</v>
      </c>
      <c r="L3776" s="242" t="n">
        <v>1249000</v>
      </c>
      <c r="M3776" s="241" t="n">
        <v>2</v>
      </c>
      <c r="N3776" s="241" t="n">
        <v>-10.38</v>
      </c>
      <c r="O3776" s="241" t="n">
        <v>8.109999999999999</v>
      </c>
      <c r="P3776" s="241" t="n">
        <v>2.15</v>
      </c>
    </row>
    <row r="3777">
      <c r="A3777" s="282" t="inlineStr">
        <is>
          <t>2021-07-14</t>
        </is>
      </c>
      <c r="B3777" s="240">
        <f>IFERROR(1/P3777-1,B3776)</f>
        <v/>
      </c>
      <c r="C3777" s="240">
        <f>$C$3</f>
        <v/>
      </c>
      <c r="D3777" s="240">
        <f>$D$3</f>
        <v/>
      </c>
      <c r="E3777" s="240">
        <f>$E$3</f>
        <v/>
      </c>
      <c r="F3777" s="241" t="n">
        <v>10.79</v>
      </c>
      <c r="G3777" s="242" t="n">
        <v>17412121</v>
      </c>
      <c r="H3777" s="241" t="n">
        <v>-1.91</v>
      </c>
      <c r="I3777" s="241" t="n">
        <v>0.75</v>
      </c>
      <c r="J3777" s="241" t="n">
        <v>8.220000000000001</v>
      </c>
      <c r="K3777" s="241" t="n">
        <v>5.05</v>
      </c>
      <c r="L3777" s="242" t="n">
        <v>1006200</v>
      </c>
      <c r="M3777" s="241" t="n">
        <v>-1.31</v>
      </c>
      <c r="N3777" s="241" t="n">
        <v>-11.55</v>
      </c>
      <c r="O3777" s="241" t="n">
        <v>6.7</v>
      </c>
      <c r="P3777" s="241" t="n">
        <v>2.14</v>
      </c>
    </row>
    <row r="3778">
      <c r="A3778" s="282" t="inlineStr">
        <is>
          <t>2021-07-15</t>
        </is>
      </c>
      <c r="B3778" s="240">
        <f>IFERROR(1/P3778-1,B3777)</f>
        <v/>
      </c>
      <c r="C3778" s="240">
        <f>$C$3</f>
        <v/>
      </c>
      <c r="D3778" s="240">
        <f>$D$3</f>
        <v/>
      </c>
      <c r="E3778" s="240">
        <f>$E$3</f>
        <v/>
      </c>
      <c r="F3778" s="241" t="n">
        <v>10.97</v>
      </c>
      <c r="G3778" s="242" t="n">
        <v>19848819</v>
      </c>
      <c r="H3778" s="241" t="n">
        <v>1.67</v>
      </c>
      <c r="I3778" s="241" t="n">
        <v>2.43</v>
      </c>
      <c r="J3778" s="241" t="n">
        <v>10.03</v>
      </c>
      <c r="K3778" s="241" t="n">
        <v>4.93</v>
      </c>
      <c r="L3778" s="242" t="n">
        <v>2104400</v>
      </c>
      <c r="M3778" s="241" t="n">
        <v>1.48</v>
      </c>
      <c r="N3778" s="241" t="n">
        <v>-10.24</v>
      </c>
      <c r="O3778" s="241" t="n">
        <v>8.279999999999999</v>
      </c>
      <c r="P3778" s="241" t="n">
        <v>2.23</v>
      </c>
    </row>
    <row r="3779">
      <c r="A3779" s="282" t="inlineStr">
        <is>
          <t>2021-07-16</t>
        </is>
      </c>
      <c r="B3779" s="240">
        <f>IFERROR(1/P3779-1,B3778)</f>
        <v/>
      </c>
      <c r="C3779" s="240">
        <f>$C$3</f>
        <v/>
      </c>
      <c r="D3779" s="240">
        <f>$D$3</f>
        <v/>
      </c>
      <c r="E3779" s="240">
        <f>$E$3</f>
        <v/>
      </c>
      <c r="F3779" s="241" t="n">
        <v>10.89</v>
      </c>
      <c r="G3779" s="242" t="n">
        <v>19725211</v>
      </c>
      <c r="H3779" s="241" t="n">
        <v>-0.73</v>
      </c>
      <c r="I3779" s="241" t="n">
        <v>1.11</v>
      </c>
      <c r="J3779" s="241" t="n">
        <v>9.23</v>
      </c>
      <c r="K3779" s="241" t="n">
        <v>4.88</v>
      </c>
      <c r="L3779" s="242" t="n">
        <v>1423000</v>
      </c>
      <c r="M3779" s="241" t="n">
        <v>-1.01</v>
      </c>
      <c r="N3779" s="241" t="n">
        <v>-10.24</v>
      </c>
      <c r="O3779" s="241" t="n">
        <v>7.18</v>
      </c>
      <c r="P3779" s="241" t="n">
        <v>2.23</v>
      </c>
    </row>
    <row r="3780">
      <c r="A3780" s="282" t="inlineStr">
        <is>
          <t>2021-07-19</t>
        </is>
      </c>
      <c r="B3780" s="240">
        <f>IFERROR(1/P3780-1,B3779)</f>
        <v/>
      </c>
      <c r="C3780" s="240">
        <f>$C$3</f>
        <v/>
      </c>
      <c r="D3780" s="240">
        <f>$D$3</f>
        <v/>
      </c>
      <c r="E3780" s="240">
        <f>$E$3</f>
        <v/>
      </c>
      <c r="F3780" s="241" t="n">
        <v>11.08</v>
      </c>
      <c r="G3780" s="242" t="n">
        <v>30874231</v>
      </c>
      <c r="H3780" s="241" t="n">
        <v>1.74</v>
      </c>
      <c r="I3780" s="241" t="n">
        <v>3.45</v>
      </c>
      <c r="J3780" s="241" t="n">
        <v>11.13</v>
      </c>
      <c r="K3780" s="241" t="n">
        <v>4.79</v>
      </c>
      <c r="L3780" s="242" t="n">
        <v>892500</v>
      </c>
      <c r="M3780" s="241" t="n">
        <v>-1.88</v>
      </c>
      <c r="N3780" s="241" t="n">
        <v>-6.39</v>
      </c>
      <c r="O3780" s="241" t="n">
        <v>5.17</v>
      </c>
      <c r="P3780" s="241" t="n">
        <v>2.31</v>
      </c>
    </row>
    <row r="3781">
      <c r="A3781" s="282" t="inlineStr">
        <is>
          <t>2021-07-20</t>
        </is>
      </c>
      <c r="B3781" s="240">
        <f>IFERROR(1/P3781-1,B3780)</f>
        <v/>
      </c>
      <c r="C3781" s="240">
        <f>$C$3</f>
        <v/>
      </c>
      <c r="D3781" s="240">
        <f>$D$3</f>
        <v/>
      </c>
      <c r="E3781" s="240">
        <f>$E$3</f>
        <v/>
      </c>
      <c r="F3781" s="241" t="n">
        <v>11.13</v>
      </c>
      <c r="G3781" s="242" t="n">
        <v>24375690</v>
      </c>
      <c r="H3781" s="241" t="n">
        <v>0.45</v>
      </c>
      <c r="I3781" s="241" t="n">
        <v>3.92</v>
      </c>
      <c r="J3781" s="241" t="n">
        <v>11.63</v>
      </c>
      <c r="K3781" s="241" t="n">
        <v>4.72</v>
      </c>
      <c r="L3781" s="242" t="n">
        <v>1034800</v>
      </c>
      <c r="M3781" s="241" t="n">
        <v>-1.57</v>
      </c>
      <c r="N3781" s="241" t="n">
        <v>-7.85</v>
      </c>
      <c r="O3781" s="241" t="n">
        <v>3.52</v>
      </c>
      <c r="P3781" s="241" t="n">
        <v>2.36</v>
      </c>
    </row>
    <row r="3782">
      <c r="A3782" s="282" t="inlineStr">
        <is>
          <t>2021-07-21</t>
        </is>
      </c>
      <c r="B3782" s="240">
        <f>IFERROR(1/P3782-1,B3781)</f>
        <v/>
      </c>
      <c r="C3782" s="240">
        <f>$C$3</f>
        <v/>
      </c>
      <c r="D3782" s="240">
        <f>$D$3</f>
        <v/>
      </c>
      <c r="E3782" s="240">
        <f>$E$3</f>
        <v/>
      </c>
      <c r="F3782" s="241" t="n">
        <v>11.05</v>
      </c>
      <c r="G3782" s="242" t="n">
        <v>20551918</v>
      </c>
      <c r="H3782" s="241" t="n">
        <v>-0.72</v>
      </c>
      <c r="I3782" s="241" t="n">
        <v>3.17</v>
      </c>
      <c r="J3782" s="241" t="n">
        <v>10.83</v>
      </c>
      <c r="K3782" s="241" t="n">
        <v>4.75</v>
      </c>
      <c r="L3782" s="242" t="n">
        <v>886800</v>
      </c>
      <c r="M3782" s="241" t="n">
        <v>0.53</v>
      </c>
      <c r="N3782" s="241" t="n">
        <v>-7.37</v>
      </c>
      <c r="O3782" s="241" t="n">
        <v>4.07</v>
      </c>
      <c r="P3782" s="241" t="n">
        <v>2.33</v>
      </c>
    </row>
    <row r="3783">
      <c r="A3783" s="282" t="inlineStr">
        <is>
          <t>2021-07-22</t>
        </is>
      </c>
      <c r="B3783" s="240">
        <f>IFERROR(1/P3783-1,B3782)</f>
        <v/>
      </c>
      <c r="C3783" s="240">
        <f>$C$3</f>
        <v/>
      </c>
      <c r="D3783" s="240">
        <f>$D$3</f>
        <v/>
      </c>
      <c r="E3783" s="240">
        <f>$E$3</f>
        <v/>
      </c>
      <c r="F3783" s="241" t="n">
        <v>11.29</v>
      </c>
      <c r="G3783" s="242" t="n">
        <v>32658703</v>
      </c>
      <c r="H3783" s="241" t="n">
        <v>2.17</v>
      </c>
      <c r="I3783" s="241" t="n">
        <v>6.71</v>
      </c>
      <c r="J3783" s="241" t="n">
        <v>13.24</v>
      </c>
      <c r="K3783" s="241" t="n">
        <v>5.03</v>
      </c>
      <c r="L3783" s="242" t="n">
        <v>3302200</v>
      </c>
      <c r="M3783" s="241" t="n">
        <v>6.33</v>
      </c>
      <c r="N3783" s="241" t="n">
        <v>-1.51</v>
      </c>
      <c r="O3783" s="241" t="n">
        <v>10.65</v>
      </c>
      <c r="P3783" s="241" t="n">
        <v>2.24</v>
      </c>
    </row>
    <row r="3784">
      <c r="A3784" s="282" t="inlineStr">
        <is>
          <t>2021-07-23</t>
        </is>
      </c>
      <c r="B3784" s="240">
        <f>IFERROR(1/P3784-1,B3783)</f>
        <v/>
      </c>
      <c r="C3784" s="240">
        <f>$C$3</f>
        <v/>
      </c>
      <c r="D3784" s="240">
        <f>$D$3</f>
        <v/>
      </c>
      <c r="E3784" s="240">
        <f>$E$3</f>
        <v/>
      </c>
      <c r="F3784" s="241" t="n">
        <v>11.41</v>
      </c>
      <c r="G3784" s="242" t="n">
        <v>38914866</v>
      </c>
      <c r="H3784" s="241" t="n">
        <v>1.06</v>
      </c>
      <c r="I3784" s="241" t="n">
        <v>6.24</v>
      </c>
      <c r="J3784" s="241" t="n">
        <v>14.44</v>
      </c>
      <c r="K3784" s="241" t="n">
        <v>5.15</v>
      </c>
      <c r="L3784" s="242" t="n">
        <v>2809200</v>
      </c>
      <c r="M3784" s="241" t="n">
        <v>2.31</v>
      </c>
      <c r="N3784" s="241" t="n">
        <v>0.46</v>
      </c>
      <c r="O3784" s="241" t="n">
        <v>13.21</v>
      </c>
      <c r="P3784" s="241" t="n">
        <v>2.22</v>
      </c>
    </row>
    <row r="3785">
      <c r="A3785" s="282" t="inlineStr">
        <is>
          <t>2021-07-26</t>
        </is>
      </c>
      <c r="B3785" s="240">
        <f>IFERROR(1/P3785-1,B3784)</f>
        <v/>
      </c>
      <c r="C3785" s="240">
        <f>$C$3</f>
        <v/>
      </c>
      <c r="D3785" s="240">
        <f>$D$3</f>
        <v/>
      </c>
      <c r="E3785" s="240">
        <f>$E$3</f>
        <v/>
      </c>
      <c r="F3785" s="241" t="n">
        <v>11.29</v>
      </c>
      <c r="G3785" s="242" t="n">
        <v>34006283</v>
      </c>
      <c r="H3785" s="241" t="n">
        <v>-1.05</v>
      </c>
      <c r="I3785" s="241" t="n">
        <v>2.45</v>
      </c>
      <c r="J3785" s="241" t="n">
        <v>13.24</v>
      </c>
      <c r="K3785" s="241" t="n">
        <v>5.03</v>
      </c>
      <c r="L3785" s="242" t="n">
        <v>2656204</v>
      </c>
      <c r="M3785" s="241" t="n">
        <v>-2.58</v>
      </c>
      <c r="N3785" s="241" t="n">
        <v>-4.38</v>
      </c>
      <c r="O3785" s="241" t="n">
        <v>10.29</v>
      </c>
      <c r="P3785" s="241" t="n">
        <v>2.25</v>
      </c>
    </row>
    <row r="3786">
      <c r="A3786" s="282" t="inlineStr">
        <is>
          <t>2021-07-27</t>
        </is>
      </c>
      <c r="B3786" s="240">
        <f>IFERROR(1/P3786-1,B3785)</f>
        <v/>
      </c>
      <c r="C3786" s="240">
        <f>$C$3</f>
        <v/>
      </c>
      <c r="D3786" s="240">
        <f>$D$3</f>
        <v/>
      </c>
      <c r="E3786" s="240">
        <f>$E$3</f>
        <v/>
      </c>
      <c r="F3786" s="241" t="n">
        <v>11.31</v>
      </c>
      <c r="G3786" s="242" t="n">
        <v>49641942</v>
      </c>
      <c r="H3786" s="241" t="n">
        <v>0.18</v>
      </c>
      <c r="I3786" s="241" t="n">
        <v>2.63</v>
      </c>
      <c r="J3786" s="241" t="n">
        <v>13.44</v>
      </c>
      <c r="K3786" s="241" t="n">
        <v>5</v>
      </c>
      <c r="L3786" s="242" t="n">
        <v>4532900</v>
      </c>
      <c r="M3786" s="241" t="n">
        <v>-0.33</v>
      </c>
      <c r="N3786" s="241" t="n">
        <v>-4.7</v>
      </c>
      <c r="O3786" s="241" t="n">
        <v>9.92</v>
      </c>
      <c r="P3786" s="241" t="n">
        <v>2.26</v>
      </c>
    </row>
    <row r="3787">
      <c r="A3787" s="282" t="inlineStr">
        <is>
          <t>2021-07-28</t>
        </is>
      </c>
      <c r="B3787" s="240">
        <f>IFERROR(1/P3787-1,B3786)</f>
        <v/>
      </c>
      <c r="C3787" s="240">
        <f>$C$3</f>
        <v/>
      </c>
      <c r="D3787" s="240">
        <f>$D$3</f>
        <v/>
      </c>
      <c r="E3787" s="240">
        <f>$E$3</f>
        <v/>
      </c>
      <c r="F3787" s="241" t="n">
        <v>11.05</v>
      </c>
      <c r="G3787" s="242" t="n">
        <v>35776050</v>
      </c>
      <c r="H3787" s="241" t="n">
        <v>-2.3</v>
      </c>
      <c r="I3787" s="241" t="n">
        <v>0.27</v>
      </c>
      <c r="J3787" s="241" t="n">
        <v>10.83</v>
      </c>
      <c r="K3787" s="241" t="n">
        <v>5.01</v>
      </c>
      <c r="L3787" s="242" t="n">
        <v>2433000</v>
      </c>
      <c r="M3787" s="241" t="n">
        <v>-0.17</v>
      </c>
      <c r="N3787" s="241" t="n">
        <v>-4.86</v>
      </c>
      <c r="O3787" s="241" t="n">
        <v>9.74</v>
      </c>
      <c r="P3787" s="241" t="n">
        <v>2.21</v>
      </c>
    </row>
    <row r="3788">
      <c r="A3788" s="282" t="inlineStr">
        <is>
          <t>2021-07-29</t>
        </is>
      </c>
      <c r="B3788" s="240">
        <f>IFERROR(1/P3788-1,B3787)</f>
        <v/>
      </c>
      <c r="C3788" s="240">
        <f>$C$3</f>
        <v/>
      </c>
      <c r="D3788" s="240">
        <f>$D$3</f>
        <v/>
      </c>
      <c r="E3788" s="240">
        <f>$E$3</f>
        <v/>
      </c>
      <c r="F3788" s="241" t="n">
        <v>11.46</v>
      </c>
      <c r="G3788" s="242" t="n">
        <v>39732178</v>
      </c>
      <c r="H3788" s="241" t="n">
        <v>3.71</v>
      </c>
      <c r="I3788" s="241" t="n">
        <v>4.09</v>
      </c>
      <c r="J3788" s="241" t="n">
        <v>14.94</v>
      </c>
      <c r="K3788" s="241" t="n">
        <v>5.2</v>
      </c>
      <c r="L3788" s="242" t="n">
        <v>6155800</v>
      </c>
      <c r="M3788" s="241" t="n">
        <v>3.83</v>
      </c>
      <c r="N3788" s="241" t="n">
        <v>0.48</v>
      </c>
      <c r="O3788" s="241" t="n">
        <v>13.95</v>
      </c>
      <c r="P3788" s="241" t="n">
        <v>2.2</v>
      </c>
    </row>
    <row r="3789">
      <c r="A3789" s="282" t="inlineStr">
        <is>
          <t>2021-07-30</t>
        </is>
      </c>
      <c r="B3789" s="240">
        <f>IFERROR(1/P3789-1,B3788)</f>
        <v/>
      </c>
      <c r="C3789" s="240">
        <f>$C$3</f>
        <v/>
      </c>
      <c r="D3789" s="240">
        <f>$D$3</f>
        <v/>
      </c>
      <c r="E3789" s="240">
        <f>$E$3</f>
        <v/>
      </c>
      <c r="F3789" s="241" t="n">
        <v>11.65</v>
      </c>
      <c r="G3789" s="242" t="n">
        <v>55192934</v>
      </c>
      <c r="H3789" s="241" t="n">
        <v>3.28</v>
      </c>
      <c r="I3789" s="241" t="n">
        <v>8.09</v>
      </c>
      <c r="J3789" s="241" t="n">
        <v>18.72</v>
      </c>
      <c r="K3789" s="241" t="n">
        <v>5.46</v>
      </c>
      <c r="L3789" s="242" t="n">
        <v>8339444</v>
      </c>
      <c r="M3789" s="241" t="n">
        <v>5.46</v>
      </c>
      <c r="N3789" s="241" t="n">
        <v>6.29</v>
      </c>
      <c r="O3789" s="241" t="n">
        <v>20.17</v>
      </c>
      <c r="P3789" s="241" t="n">
        <v>2.13</v>
      </c>
    </row>
    <row r="3790">
      <c r="A3790" s="282" t="inlineStr">
        <is>
          <t>2021-08-02</t>
        </is>
      </c>
      <c r="B3790" s="240">
        <f>IFERROR(1/P3790-1,B3789)</f>
        <v/>
      </c>
      <c r="C3790" s="240">
        <f>$C$3</f>
        <v/>
      </c>
      <c r="D3790" s="240">
        <f>$D$3</f>
        <v/>
      </c>
      <c r="E3790" s="240">
        <f>$E$3</f>
        <v/>
      </c>
      <c r="F3790" s="241" t="n">
        <v>11.63</v>
      </c>
      <c r="G3790" s="242" t="n">
        <v>59202272</v>
      </c>
      <c r="H3790" s="241" t="n">
        <v>-0.17</v>
      </c>
      <c r="I3790" s="241" t="n">
        <v>10.84</v>
      </c>
      <c r="J3790" s="241" t="n">
        <v>18.51</v>
      </c>
      <c r="K3790" s="241" t="n">
        <v>5.66</v>
      </c>
      <c r="L3790" s="242" t="n">
        <v>8978800</v>
      </c>
      <c r="M3790" s="241" t="n">
        <v>3.5</v>
      </c>
      <c r="N3790" s="241" t="n">
        <v>13.37</v>
      </c>
      <c r="O3790" s="241" t="n">
        <v>24.37</v>
      </c>
      <c r="P3790" s="241" t="n">
        <v>2.06</v>
      </c>
    </row>
    <row r="3791">
      <c r="A3791" s="282" t="inlineStr">
        <is>
          <t>2021-08-03</t>
        </is>
      </c>
      <c r="B3791" s="240">
        <f>IFERROR(1/P3791-1,B3790)</f>
        <v/>
      </c>
      <c r="C3791" s="240">
        <f>$C$3</f>
        <v/>
      </c>
      <c r="D3791" s="240">
        <f>$D$3</f>
        <v/>
      </c>
      <c r="E3791" s="240">
        <f>$E$3</f>
        <v/>
      </c>
      <c r="F3791" s="241" t="n">
        <v>11.68</v>
      </c>
      <c r="G3791" s="242" t="n">
        <v>44375062</v>
      </c>
      <c r="H3791" s="241" t="n">
        <v>0.43</v>
      </c>
      <c r="I3791" s="241" t="n">
        <v>13.99</v>
      </c>
      <c r="J3791" s="241" t="n">
        <v>19.02</v>
      </c>
      <c r="K3791" s="241" t="n">
        <v>5.7</v>
      </c>
      <c r="L3791" s="242" t="n">
        <v>5364400</v>
      </c>
      <c r="M3791" s="241" t="n">
        <v>0.88</v>
      </c>
      <c r="N3791" s="241" t="n">
        <v>16.24</v>
      </c>
      <c r="O3791" s="241" t="n">
        <v>25.47</v>
      </c>
      <c r="P3791" s="241" t="n">
        <v>2.05</v>
      </c>
    </row>
    <row r="3792">
      <c r="A3792" s="282" t="inlineStr">
        <is>
          <t>2021-08-04</t>
        </is>
      </c>
      <c r="B3792" s="240">
        <f>IFERROR(1/P3792-1,B3791)</f>
        <v/>
      </c>
      <c r="C3792" s="240">
        <f>$C$3</f>
        <v/>
      </c>
      <c r="D3792" s="240">
        <f>$D$3</f>
        <v/>
      </c>
      <c r="E3792" s="240">
        <f>$E$3</f>
        <v/>
      </c>
      <c r="F3792" s="241" t="n">
        <v>11.61</v>
      </c>
      <c r="G3792" s="242" t="n">
        <v>35475627</v>
      </c>
      <c r="H3792" s="241" t="n">
        <v>-0.6</v>
      </c>
      <c r="I3792" s="241" t="n">
        <v>13.31</v>
      </c>
      <c r="J3792" s="241" t="n">
        <v>18.31</v>
      </c>
      <c r="K3792" s="241" t="n">
        <v>5.7</v>
      </c>
      <c r="L3792" s="242" t="n">
        <v>3795400</v>
      </c>
      <c r="M3792" s="241" t="n">
        <v>0</v>
      </c>
      <c r="N3792" s="241" t="n">
        <v>16.24</v>
      </c>
      <c r="O3792" s="241" t="n">
        <v>25.47</v>
      </c>
      <c r="P3792" s="241" t="n">
        <v>2.04</v>
      </c>
    </row>
    <row r="3793">
      <c r="A3793" s="282" t="inlineStr">
        <is>
          <t>2021-08-05</t>
        </is>
      </c>
      <c r="B3793" s="240">
        <f>IFERROR(1/P3793-1,B3792)</f>
        <v/>
      </c>
      <c r="C3793" s="240">
        <f>$C$3</f>
        <v/>
      </c>
      <c r="D3793" s="240">
        <f>$D$3</f>
        <v/>
      </c>
      <c r="E3793" s="240">
        <f>$E$3</f>
        <v/>
      </c>
      <c r="F3793" s="241" t="n">
        <v>11.93</v>
      </c>
      <c r="G3793" s="242" t="n">
        <v>52840613</v>
      </c>
      <c r="H3793" s="241" t="n">
        <v>2.76</v>
      </c>
      <c r="I3793" s="241" t="n">
        <v>16.43</v>
      </c>
      <c r="J3793" s="241" t="n">
        <v>21.57</v>
      </c>
      <c r="K3793" s="241" t="n">
        <v>5.94</v>
      </c>
      <c r="L3793" s="242" t="n">
        <v>6073200</v>
      </c>
      <c r="M3793" s="241" t="n">
        <v>4.08</v>
      </c>
      <c r="N3793" s="241" t="n">
        <v>20.99</v>
      </c>
      <c r="O3793" s="241" t="n">
        <v>30.59</v>
      </c>
      <c r="P3793" s="241" t="n">
        <v>2.01</v>
      </c>
    </row>
    <row r="3794">
      <c r="A3794" s="282" t="inlineStr">
        <is>
          <t>2021-08-06</t>
        </is>
      </c>
      <c r="B3794" s="240">
        <f>IFERROR(1/P3794-1,B3793)</f>
        <v/>
      </c>
      <c r="C3794" s="240">
        <f>$C$3</f>
        <v/>
      </c>
      <c r="D3794" s="240">
        <f>$D$3</f>
        <v/>
      </c>
      <c r="E3794" s="240">
        <f>$E$3</f>
        <v/>
      </c>
      <c r="F3794" s="241" t="n">
        <v>11.94</v>
      </c>
      <c r="G3794" s="242" t="n">
        <v>69465806</v>
      </c>
      <c r="H3794" s="241" t="n">
        <v>0.08</v>
      </c>
      <c r="I3794" s="241" t="n">
        <v>18</v>
      </c>
      <c r="J3794" s="241" t="n">
        <v>21.67</v>
      </c>
      <c r="K3794" s="241" t="n">
        <v>5.88</v>
      </c>
      <c r="L3794" s="242" t="n">
        <v>6230600</v>
      </c>
      <c r="M3794" s="241" t="n">
        <v>-0.84</v>
      </c>
      <c r="N3794" s="241" t="n">
        <v>23.4</v>
      </c>
      <c r="O3794" s="241" t="n">
        <v>29.49</v>
      </c>
      <c r="P3794" s="241" t="n">
        <v>2.03</v>
      </c>
    </row>
    <row r="3795">
      <c r="A3795" s="282" t="inlineStr">
        <is>
          <t>2021-08-09</t>
        </is>
      </c>
      <c r="B3795" s="240">
        <f>IFERROR(1/P3795-1,B3794)</f>
        <v/>
      </c>
      <c r="C3795" s="240">
        <f>$C$3</f>
        <v/>
      </c>
      <c r="D3795" s="240">
        <f>$D$3</f>
        <v/>
      </c>
      <c r="E3795" s="240">
        <f>$E$3</f>
        <v/>
      </c>
      <c r="F3795" s="241" t="n">
        <v>12.09</v>
      </c>
      <c r="G3795" s="242" t="n">
        <v>44717339</v>
      </c>
      <c r="H3795" s="241" t="n">
        <v>1.26</v>
      </c>
      <c r="I3795" s="241" t="n">
        <v>16.1</v>
      </c>
      <c r="J3795" s="241" t="n">
        <v>23.2</v>
      </c>
      <c r="K3795" s="241" t="n">
        <v>5.89</v>
      </c>
      <c r="L3795" s="242" t="n">
        <v>2713600</v>
      </c>
      <c r="M3795" s="241" t="n">
        <v>-0.14</v>
      </c>
      <c r="N3795" s="241" t="n">
        <v>24.27</v>
      </c>
      <c r="O3795" s="241" t="n">
        <v>29.31</v>
      </c>
      <c r="P3795" s="241" t="n">
        <v>2.05</v>
      </c>
    </row>
    <row r="3796">
      <c r="A3796" s="282" t="inlineStr">
        <is>
          <t>2021-08-10</t>
        </is>
      </c>
      <c r="B3796" s="240">
        <f>IFERROR(1/P3796-1,B3795)</f>
        <v/>
      </c>
      <c r="C3796" s="240">
        <f>$C$3</f>
        <v/>
      </c>
      <c r="D3796" s="240">
        <f>$D$3</f>
        <v/>
      </c>
      <c r="E3796" s="240">
        <f>$E$3</f>
        <v/>
      </c>
      <c r="F3796" s="241" t="n">
        <v>12.34</v>
      </c>
      <c r="G3796" s="242" t="n">
        <v>50920425</v>
      </c>
      <c r="H3796" s="241" t="n">
        <v>2.07</v>
      </c>
      <c r="I3796" s="241" t="n">
        <v>17.61</v>
      </c>
      <c r="J3796" s="241" t="n">
        <v>25.75</v>
      </c>
      <c r="K3796" s="241" t="n">
        <v>5.9</v>
      </c>
      <c r="L3796" s="242" t="n">
        <v>3204000</v>
      </c>
      <c r="M3796" s="241" t="n">
        <v>0.14</v>
      </c>
      <c r="N3796" s="241" t="n">
        <v>23.82</v>
      </c>
      <c r="O3796" s="241" t="n">
        <v>29.49</v>
      </c>
      <c r="P3796" s="241" t="n">
        <v>2.09</v>
      </c>
    </row>
    <row r="3797">
      <c r="A3797" s="282" t="inlineStr">
        <is>
          <t>2021-08-11</t>
        </is>
      </c>
      <c r="B3797" s="240">
        <f>IFERROR(1/P3797-1,B3796)</f>
        <v/>
      </c>
      <c r="C3797" s="240">
        <f>$C$3</f>
        <v/>
      </c>
      <c r="D3797" s="240">
        <f>$D$3</f>
        <v/>
      </c>
      <c r="E3797" s="240">
        <f>$E$3</f>
        <v/>
      </c>
      <c r="F3797" s="241" t="n">
        <v>12.96</v>
      </c>
      <c r="G3797" s="242" t="n">
        <v>89386059</v>
      </c>
      <c r="H3797" s="241" t="n">
        <v>5.02</v>
      </c>
      <c r="I3797" s="241" t="n">
        <v>23.52</v>
      </c>
      <c r="J3797" s="241" t="n">
        <v>32.06</v>
      </c>
      <c r="K3797" s="241" t="n">
        <v>6.26</v>
      </c>
      <c r="L3797" s="242" t="n">
        <v>9263779</v>
      </c>
      <c r="M3797" s="241" t="n">
        <v>6.07</v>
      </c>
      <c r="N3797" s="241" t="n">
        <v>31.34</v>
      </c>
      <c r="O3797" s="241" t="n">
        <v>37.36</v>
      </c>
      <c r="P3797" s="241" t="n">
        <v>2.07</v>
      </c>
    </row>
    <row r="3798">
      <c r="A3798" s="282" t="inlineStr">
        <is>
          <t>2021-08-12</t>
        </is>
      </c>
      <c r="B3798" s="240">
        <f>IFERROR(1/P3798-1,B3797)</f>
        <v/>
      </c>
      <c r="C3798" s="240">
        <f>$C$3</f>
        <v/>
      </c>
      <c r="D3798" s="240">
        <f>$D$3</f>
        <v/>
      </c>
      <c r="E3798" s="240">
        <f>$E$3</f>
        <v/>
      </c>
      <c r="F3798" s="241" t="n">
        <v>12.84</v>
      </c>
      <c r="G3798" s="242" t="n">
        <v>59920077</v>
      </c>
      <c r="H3798" s="241" t="n">
        <v>-0.93</v>
      </c>
      <c r="I3798" s="241" t="n">
        <v>22.37</v>
      </c>
      <c r="J3798" s="241" t="n">
        <v>30.84</v>
      </c>
      <c r="K3798" s="241" t="n">
        <v>6.21</v>
      </c>
      <c r="L3798" s="242" t="n">
        <v>7318900</v>
      </c>
      <c r="M3798" s="241" t="n">
        <v>-0.67</v>
      </c>
      <c r="N3798" s="241" t="n">
        <v>30.46</v>
      </c>
      <c r="O3798" s="241" t="n">
        <v>36.44</v>
      </c>
      <c r="P3798" s="241" t="n">
        <v>2.07</v>
      </c>
    </row>
    <row r="3799">
      <c r="A3799" s="282" t="inlineStr">
        <is>
          <t>2021-08-13</t>
        </is>
      </c>
      <c r="B3799" s="240">
        <f>IFERROR(1/P3799-1,B3798)</f>
        <v/>
      </c>
      <c r="C3799" s="240">
        <f>$C$3</f>
        <v/>
      </c>
      <c r="D3799" s="240">
        <f>$D$3</f>
        <v/>
      </c>
      <c r="E3799" s="240">
        <f>$E$3</f>
        <v/>
      </c>
      <c r="F3799" s="241" t="n">
        <v>13.17</v>
      </c>
      <c r="G3799" s="242" t="n">
        <v>65420312</v>
      </c>
      <c r="H3799" s="241" t="n">
        <v>2.57</v>
      </c>
      <c r="I3799" s="241" t="n">
        <v>24.47</v>
      </c>
      <c r="J3799" s="241" t="n">
        <v>34.2</v>
      </c>
      <c r="K3799" s="241" t="n">
        <v>6.19</v>
      </c>
      <c r="L3799" s="242" t="n">
        <v>5323400</v>
      </c>
      <c r="M3799" s="241" t="n">
        <v>-0.4</v>
      </c>
      <c r="N3799" s="241" t="n">
        <v>28.21</v>
      </c>
      <c r="O3799" s="241" t="n">
        <v>35.89</v>
      </c>
      <c r="P3799" s="241" t="n">
        <v>2.13</v>
      </c>
    </row>
    <row r="3800">
      <c r="A3800" s="282" t="inlineStr">
        <is>
          <t>2021-08-16</t>
        </is>
      </c>
      <c r="B3800" s="240">
        <f>IFERROR(1/P3800-1,B3799)</f>
        <v/>
      </c>
      <c r="C3800" s="240">
        <f>$C$3</f>
        <v/>
      </c>
      <c r="D3800" s="240">
        <f>$D$3</f>
        <v/>
      </c>
      <c r="E3800" s="240">
        <f>$E$3</f>
        <v/>
      </c>
      <c r="F3800" s="241" t="n">
        <v>13.37</v>
      </c>
      <c r="G3800" s="242" t="n">
        <v>64642848</v>
      </c>
      <c r="H3800" s="241" t="n">
        <v>1.52</v>
      </c>
      <c r="I3800" s="241" t="n">
        <v>23.82</v>
      </c>
      <c r="J3800" s="241" t="n">
        <v>36.24</v>
      </c>
      <c r="K3800" s="241" t="n">
        <v>6.09</v>
      </c>
      <c r="L3800" s="242" t="n">
        <v>3989200</v>
      </c>
      <c r="M3800" s="241" t="n">
        <v>-1.35</v>
      </c>
      <c r="N3800" s="241" t="n">
        <v>23.82</v>
      </c>
      <c r="O3800" s="241" t="n">
        <v>34.07</v>
      </c>
      <c r="P3800" s="241" t="n">
        <v>2.19</v>
      </c>
    </row>
    <row r="3801">
      <c r="A3801" s="282" t="inlineStr">
        <is>
          <t>2021-08-17</t>
        </is>
      </c>
      <c r="B3801" s="240">
        <f>IFERROR(1/P3801-1,B3800)</f>
        <v/>
      </c>
      <c r="C3801" s="240">
        <f>$C$3</f>
        <v/>
      </c>
      <c r="D3801" s="240">
        <f>$D$3</f>
        <v/>
      </c>
      <c r="E3801" s="240">
        <f>$E$3</f>
        <v/>
      </c>
      <c r="F3801" s="241" t="n">
        <v>14.16</v>
      </c>
      <c r="G3801" s="242" t="n">
        <v>179880429</v>
      </c>
      <c r="H3801" s="241" t="n">
        <v>5.91</v>
      </c>
      <c r="I3801" s="241" t="n">
        <v>32.1</v>
      </c>
      <c r="J3801" s="241" t="n">
        <v>44.29</v>
      </c>
      <c r="K3801" s="241" t="n">
        <v>6.69</v>
      </c>
      <c r="L3801" s="242" t="n">
        <v>24738600</v>
      </c>
      <c r="M3801" s="241" t="n">
        <v>9.69</v>
      </c>
      <c r="N3801" s="241" t="n">
        <v>37.2</v>
      </c>
      <c r="O3801" s="241" t="n">
        <v>47.05</v>
      </c>
      <c r="P3801" s="241" t="n">
        <v>2.12</v>
      </c>
    </row>
    <row r="3802">
      <c r="A3802" s="282" t="inlineStr">
        <is>
          <t>2021-08-18</t>
        </is>
      </c>
      <c r="B3802" s="240">
        <f>IFERROR(1/P3802-1,B3801)</f>
        <v/>
      </c>
      <c r="C3802" s="240">
        <f>$C$3</f>
        <v/>
      </c>
      <c r="D3802" s="240">
        <f>$D$3</f>
        <v/>
      </c>
      <c r="E3802" s="240">
        <f>$E$3</f>
        <v/>
      </c>
      <c r="F3802" s="241" t="n">
        <v>15.58</v>
      </c>
      <c r="G3802" s="242" t="n">
        <v>181542181</v>
      </c>
      <c r="H3802" s="241" t="n">
        <v>10.03</v>
      </c>
      <c r="I3802" s="241" t="n">
        <v>45.35</v>
      </c>
      <c r="J3802" s="241" t="n">
        <v>58.76</v>
      </c>
      <c r="K3802" s="241" t="n">
        <v>7.85</v>
      </c>
      <c r="L3802" s="242" t="n">
        <v>50342900</v>
      </c>
      <c r="M3802" s="241" t="n">
        <v>17.29</v>
      </c>
      <c r="N3802" s="241" t="n">
        <v>60.92</v>
      </c>
      <c r="O3802" s="241" t="n">
        <v>72.47</v>
      </c>
      <c r="P3802" s="241" t="n">
        <v>1.98</v>
      </c>
    </row>
    <row r="3803">
      <c r="A3803" s="282" t="inlineStr">
        <is>
          <t>2021-08-19</t>
        </is>
      </c>
      <c r="B3803" s="240">
        <f>IFERROR(1/P3803-1,B3802)</f>
        <v/>
      </c>
      <c r="C3803" s="240">
        <f>$C$3</f>
        <v/>
      </c>
      <c r="D3803" s="240">
        <f>$D$3</f>
        <v/>
      </c>
      <c r="E3803" s="240">
        <f>$E$3</f>
        <v/>
      </c>
      <c r="F3803" s="241" t="n">
        <v>15.44</v>
      </c>
      <c r="G3803" s="242" t="n">
        <v>164923899</v>
      </c>
      <c r="H3803" s="241" t="n">
        <v>-0.9</v>
      </c>
      <c r="I3803" s="241" t="n">
        <v>44.04</v>
      </c>
      <c r="J3803" s="241" t="n">
        <v>57.34</v>
      </c>
      <c r="K3803" s="241" t="n">
        <v>8.279999999999999</v>
      </c>
      <c r="L3803" s="242" t="n">
        <v>31450200</v>
      </c>
      <c r="M3803" s="241" t="n">
        <v>5.41</v>
      </c>
      <c r="N3803" s="241" t="n">
        <v>69.62</v>
      </c>
      <c r="O3803" s="241" t="n">
        <v>81.8</v>
      </c>
      <c r="P3803" s="241" t="n">
        <v>1.87</v>
      </c>
    </row>
    <row r="3804">
      <c r="A3804" s="282" t="inlineStr">
        <is>
          <t>2021-08-20</t>
        </is>
      </c>
      <c r="B3804" s="240">
        <f>IFERROR(1/P3804-1,B3803)</f>
        <v/>
      </c>
      <c r="C3804" s="240">
        <f>$C$3</f>
        <v/>
      </c>
      <c r="D3804" s="240">
        <f>$D$3</f>
        <v/>
      </c>
      <c r="E3804" s="240">
        <f>$E$3</f>
        <v/>
      </c>
      <c r="F3804" s="241" t="n">
        <v>16.66</v>
      </c>
      <c r="G3804" s="242" t="n">
        <v>237188118</v>
      </c>
      <c r="H3804" s="241" t="n">
        <v>7.9</v>
      </c>
      <c r="I3804" s="241" t="n">
        <v>52.76</v>
      </c>
      <c r="J3804" s="241" t="n">
        <v>69.77</v>
      </c>
      <c r="K3804" s="241" t="n">
        <v>8.300000000000001</v>
      </c>
      <c r="L3804" s="242" t="n">
        <v>42318800</v>
      </c>
      <c r="M3804" s="241" t="n">
        <v>0.1</v>
      </c>
      <c r="N3804" s="241" t="n">
        <v>73.04000000000001</v>
      </c>
      <c r="O3804" s="241" t="n">
        <v>81.98999999999999</v>
      </c>
      <c r="P3804" s="241" t="n">
        <v>2.01</v>
      </c>
    </row>
    <row r="3805">
      <c r="A3805" s="282" t="inlineStr">
        <is>
          <t>2021-08-23</t>
        </is>
      </c>
      <c r="B3805" s="240">
        <f>IFERROR(1/P3805-1,B3804)</f>
        <v/>
      </c>
      <c r="C3805" s="240">
        <f>$C$3</f>
        <v/>
      </c>
      <c r="D3805" s="240">
        <f>$D$3</f>
        <v/>
      </c>
      <c r="E3805" s="240">
        <f>$E$3</f>
        <v/>
      </c>
      <c r="F3805" s="241" t="n">
        <v>16.65</v>
      </c>
      <c r="G3805" s="242" t="n">
        <v>181895510</v>
      </c>
      <c r="H3805" s="241" t="n">
        <v>-0.06</v>
      </c>
      <c r="I3805" s="241" t="n">
        <v>49.83</v>
      </c>
      <c r="J3805" s="241" t="n">
        <v>69.67</v>
      </c>
      <c r="K3805" s="241" t="n">
        <v>8.890000000000001</v>
      </c>
      <c r="L3805" s="242" t="n">
        <v>22063381</v>
      </c>
      <c r="M3805" s="241" t="n">
        <v>7.14</v>
      </c>
      <c r="N3805" s="241" t="n">
        <v>76.2</v>
      </c>
      <c r="O3805" s="241" t="n">
        <v>94.97</v>
      </c>
      <c r="P3805" s="241" t="n">
        <v>1.87</v>
      </c>
    </row>
    <row r="3806">
      <c r="A3806" s="282" t="inlineStr">
        <is>
          <t>2021-08-24</t>
        </is>
      </c>
      <c r="B3806" s="240">
        <f>IFERROR(1/P3806-1,B3805)</f>
        <v/>
      </c>
      <c r="C3806" s="240">
        <f>$C$3</f>
        <v/>
      </c>
      <c r="D3806" s="240">
        <f>$D$3</f>
        <v/>
      </c>
      <c r="E3806" s="240">
        <f>$E$3</f>
        <v/>
      </c>
      <c r="F3806" s="241" t="n">
        <v>15.5</v>
      </c>
      <c r="G3806" s="242" t="n">
        <v>151247442</v>
      </c>
      <c r="H3806" s="241" t="n">
        <v>-6.91</v>
      </c>
      <c r="I3806" s="241" t="n">
        <v>38.01</v>
      </c>
      <c r="J3806" s="241" t="n">
        <v>57.95</v>
      </c>
      <c r="K3806" s="241" t="n">
        <v>8.32</v>
      </c>
      <c r="L3806" s="242" t="n">
        <v>15739037</v>
      </c>
      <c r="M3806" s="241" t="n">
        <v>-6.19</v>
      </c>
      <c r="N3806" s="241" t="n">
        <v>61.55</v>
      </c>
      <c r="O3806" s="241" t="n">
        <v>82.90000000000001</v>
      </c>
      <c r="P3806" s="241" t="n">
        <v>1.86</v>
      </c>
    </row>
    <row r="3807">
      <c r="A3807" s="282" t="inlineStr">
        <is>
          <t>2021-08-25</t>
        </is>
      </c>
      <c r="B3807" s="240">
        <f>IFERROR(1/P3807-1,B3806)</f>
        <v/>
      </c>
      <c r="C3807" s="240">
        <f>$C$3</f>
        <v/>
      </c>
      <c r="D3807" s="240">
        <f>$D$3</f>
        <v/>
      </c>
      <c r="E3807" s="240">
        <f>$E$3</f>
        <v/>
      </c>
      <c r="F3807" s="241" t="n">
        <v>15.67</v>
      </c>
      <c r="G3807" s="242" t="n">
        <v>95955720</v>
      </c>
      <c r="H3807" s="241" t="n">
        <v>1.1</v>
      </c>
      <c r="I3807" s="241" t="n">
        <v>39.53</v>
      </c>
      <c r="J3807" s="241" t="n">
        <v>59.68</v>
      </c>
      <c r="K3807" s="241" t="n">
        <v>8.300000000000001</v>
      </c>
      <c r="L3807" s="242" t="n">
        <v>12838000</v>
      </c>
      <c r="M3807" s="241" t="n">
        <v>-0.1</v>
      </c>
      <c r="N3807" s="241" t="n">
        <v>61.39</v>
      </c>
      <c r="O3807" s="241" t="n">
        <v>82.72</v>
      </c>
      <c r="P3807" s="241" t="n">
        <v>1.89</v>
      </c>
    </row>
    <row r="3808">
      <c r="A3808" s="282" t="inlineStr">
        <is>
          <t>2021-08-26</t>
        </is>
      </c>
      <c r="B3808" s="240">
        <f>IFERROR(1/P3808-1,B3807)</f>
        <v/>
      </c>
      <c r="C3808" s="240">
        <f>$C$3</f>
        <v/>
      </c>
      <c r="D3808" s="240">
        <f>$D$3</f>
        <v/>
      </c>
      <c r="E3808" s="240">
        <f>$E$3</f>
        <v/>
      </c>
      <c r="F3808" s="241" t="n">
        <v>15.46</v>
      </c>
      <c r="G3808" s="242" t="n">
        <v>99235197</v>
      </c>
      <c r="H3808" s="241" t="n">
        <v>-1.34</v>
      </c>
      <c r="I3808" s="241" t="n">
        <v>37.66</v>
      </c>
      <c r="J3808" s="241" t="n">
        <v>57.54</v>
      </c>
      <c r="K3808" s="241" t="n">
        <v>8.25</v>
      </c>
      <c r="L3808" s="242" t="n">
        <v>14137000</v>
      </c>
      <c r="M3808" s="241" t="n">
        <v>-0.7</v>
      </c>
      <c r="N3808" s="241" t="n">
        <v>60.26</v>
      </c>
      <c r="O3808" s="241" t="n">
        <v>81.44</v>
      </c>
      <c r="P3808" s="241" t="n">
        <v>1.87</v>
      </c>
    </row>
    <row r="3809">
      <c r="A3809" s="282" t="inlineStr">
        <is>
          <t>2021-08-27</t>
        </is>
      </c>
      <c r="B3809" s="240">
        <f>IFERROR(1/P3809-1,B3808)</f>
        <v/>
      </c>
      <c r="C3809" s="240">
        <f>$C$3</f>
        <v/>
      </c>
      <c r="D3809" s="240">
        <f>$D$3</f>
        <v/>
      </c>
      <c r="E3809" s="240">
        <f>$E$3</f>
        <v/>
      </c>
      <c r="F3809" s="241" t="n">
        <v>15.14</v>
      </c>
      <c r="G3809" s="242" t="n">
        <v>100557936</v>
      </c>
      <c r="H3809" s="241" t="n">
        <v>-2.07</v>
      </c>
      <c r="I3809" s="241" t="n">
        <v>36.24</v>
      </c>
      <c r="J3809" s="241" t="n">
        <v>54.28</v>
      </c>
      <c r="K3809" s="241" t="n">
        <v>8.08</v>
      </c>
      <c r="L3809" s="242" t="n">
        <v>7641800</v>
      </c>
      <c r="M3809" s="241" t="n">
        <v>-2.22</v>
      </c>
      <c r="N3809" s="241" t="n">
        <v>60.86</v>
      </c>
      <c r="O3809" s="241" t="n">
        <v>77.41</v>
      </c>
      <c r="P3809" s="241" t="n">
        <v>1.87</v>
      </c>
    </row>
    <row r="3810">
      <c r="A3810" s="282" t="inlineStr">
        <is>
          <t>2021-08-30</t>
        </is>
      </c>
      <c r="B3810" s="240">
        <f>IFERROR(1/P3810-1,B3809)</f>
        <v/>
      </c>
      <c r="C3810" s="240">
        <f>$C$3</f>
        <v/>
      </c>
      <c r="D3810" s="240">
        <f>$D$3</f>
        <v/>
      </c>
      <c r="E3810" s="240">
        <f>$E$3</f>
        <v/>
      </c>
      <c r="F3810" s="241" t="n">
        <v>15.85</v>
      </c>
      <c r="G3810" s="242" t="n">
        <v>106839938</v>
      </c>
      <c r="H3810" s="241" t="n">
        <v>4.69</v>
      </c>
      <c r="I3810" s="241" t="n">
        <v>40.51</v>
      </c>
      <c r="J3810" s="241" t="n">
        <v>61.51</v>
      </c>
      <c r="K3810" s="241" t="n">
        <v>8.67</v>
      </c>
      <c r="L3810" s="242" t="n">
        <v>14728000</v>
      </c>
      <c r="M3810" s="241" t="n">
        <v>7.63</v>
      </c>
      <c r="N3810" s="241" t="n">
        <v>67.58</v>
      </c>
      <c r="O3810" s="241" t="n">
        <v>90.95</v>
      </c>
      <c r="P3810" s="241" t="n">
        <v>1.83</v>
      </c>
    </row>
    <row r="3811">
      <c r="A3811" s="282" t="inlineStr">
        <is>
          <t>2021-08-31</t>
        </is>
      </c>
      <c r="B3811" s="240">
        <f>IFERROR(1/P3811-1,B3810)</f>
        <v/>
      </c>
      <c r="C3811" s="240">
        <f>$C$3</f>
        <v/>
      </c>
      <c r="D3811" s="240">
        <f>$D$3</f>
        <v/>
      </c>
      <c r="E3811" s="240">
        <f>$E$3</f>
        <v/>
      </c>
      <c r="F3811" s="241" t="n">
        <v>15.83</v>
      </c>
      <c r="G3811" s="242" t="n">
        <v>77530235</v>
      </c>
      <c r="H3811" s="241" t="n">
        <v>-0.13</v>
      </c>
      <c r="I3811" s="241" t="n">
        <v>35.88</v>
      </c>
      <c r="J3811" s="241" t="n">
        <v>61.31</v>
      </c>
      <c r="K3811" s="241" t="n">
        <v>8.859999999999999</v>
      </c>
      <c r="L3811" s="242" t="n">
        <v>10508864</v>
      </c>
      <c r="M3811" s="241" t="n">
        <v>2.11</v>
      </c>
      <c r="N3811" s="241" t="n">
        <v>62.25</v>
      </c>
      <c r="O3811" s="241" t="n">
        <v>94.97</v>
      </c>
      <c r="P3811" s="241" t="n">
        <v>1.79</v>
      </c>
    </row>
    <row r="3812">
      <c r="A3812" s="282" t="inlineStr">
        <is>
          <t>2021-09-01</t>
        </is>
      </c>
      <c r="B3812" s="240">
        <f>IFERROR(1/P3812-1,B3811)</f>
        <v/>
      </c>
      <c r="C3812" s="240">
        <f>$C$3</f>
        <v/>
      </c>
      <c r="D3812" s="240">
        <f>$D$3</f>
        <v/>
      </c>
      <c r="E3812" s="240">
        <f>$E$3</f>
        <v/>
      </c>
      <c r="F3812" s="241" t="n">
        <v>15.17</v>
      </c>
      <c r="G3812" s="242" t="n">
        <v>90584777</v>
      </c>
      <c r="H3812" s="241" t="n">
        <v>-4.17</v>
      </c>
      <c r="I3812" s="241" t="n">
        <v>30.21</v>
      </c>
      <c r="J3812" s="241" t="n">
        <v>54.58</v>
      </c>
      <c r="K3812" s="241" t="n">
        <v>8.42</v>
      </c>
      <c r="L3812" s="242" t="n">
        <v>10722800</v>
      </c>
      <c r="M3812" s="241" t="n">
        <v>-5.07</v>
      </c>
      <c r="N3812" s="241" t="n">
        <v>54.03</v>
      </c>
      <c r="O3812" s="241" t="n">
        <v>85.09</v>
      </c>
      <c r="P3812" s="241" t="n">
        <v>1.8</v>
      </c>
    </row>
    <row r="3813">
      <c r="A3813" s="282" t="inlineStr">
        <is>
          <t>2021-09-02</t>
        </is>
      </c>
      <c r="B3813" s="240">
        <f>IFERROR(1/P3813-1,B3812)</f>
        <v/>
      </c>
      <c r="C3813" s="240">
        <f>$C$3</f>
        <v/>
      </c>
      <c r="D3813" s="240">
        <f>$D$3</f>
        <v/>
      </c>
      <c r="E3813" s="240">
        <f>$E$3</f>
        <v/>
      </c>
      <c r="F3813" s="241" t="n">
        <v>16.69</v>
      </c>
      <c r="G3813" s="242" t="n">
        <v>131203941</v>
      </c>
      <c r="H3813" s="241" t="n">
        <v>10.02</v>
      </c>
      <c r="I3813" s="241" t="n">
        <v>43.26</v>
      </c>
      <c r="J3813" s="241" t="n">
        <v>70.06999999999999</v>
      </c>
      <c r="K3813" s="241" t="n">
        <v>9.970000000000001</v>
      </c>
      <c r="L3813" s="242" t="n">
        <v>22105700</v>
      </c>
      <c r="M3813" s="241" t="n">
        <v>18.58</v>
      </c>
      <c r="N3813" s="241" t="n">
        <v>82.65000000000001</v>
      </c>
      <c r="O3813" s="241" t="n">
        <v>119.48</v>
      </c>
      <c r="P3813" s="241" t="n">
        <v>1.67</v>
      </c>
    </row>
    <row r="3814">
      <c r="A3814" s="282" t="inlineStr">
        <is>
          <t>2021-09-03</t>
        </is>
      </c>
      <c r="B3814" s="240">
        <f>IFERROR(1/P3814-1,B3813)</f>
        <v/>
      </c>
      <c r="C3814" s="240">
        <f>$C$3</f>
        <v/>
      </c>
      <c r="D3814" s="240">
        <f>$D$3</f>
        <v/>
      </c>
      <c r="E3814" s="240">
        <f>$E$3</f>
        <v/>
      </c>
      <c r="F3814" s="241" t="n">
        <v>16.5</v>
      </c>
      <c r="G3814" s="242" t="n">
        <v>139425179</v>
      </c>
      <c r="H3814" s="241" t="n">
        <v>-1.14</v>
      </c>
      <c r="I3814" s="241" t="n">
        <v>41.87</v>
      </c>
      <c r="J3814" s="241" t="n">
        <v>68.14</v>
      </c>
      <c r="K3814" s="241" t="n">
        <v>10.11</v>
      </c>
      <c r="L3814" s="242" t="n">
        <v>16946900</v>
      </c>
      <c r="M3814" s="241" t="n">
        <v>1.33</v>
      </c>
      <c r="N3814" s="241" t="n">
        <v>78.81999999999999</v>
      </c>
      <c r="O3814" s="241" t="n">
        <v>122.41</v>
      </c>
      <c r="P3814" s="241" t="n">
        <v>1.63</v>
      </c>
    </row>
    <row r="3815">
      <c r="A3815" s="282" t="inlineStr">
        <is>
          <t>2021-09-06</t>
        </is>
      </c>
      <c r="B3815" s="240">
        <f>IFERROR(1/P3815-1,B3814)</f>
        <v/>
      </c>
      <c r="C3815" s="240">
        <f>$C$3</f>
        <v/>
      </c>
      <c r="D3815" s="240">
        <f>$D$3</f>
        <v/>
      </c>
      <c r="E3815" s="240">
        <f>$E$3</f>
        <v/>
      </c>
      <c r="F3815" s="241" t="n">
        <v>15.86</v>
      </c>
      <c r="G3815" s="242" t="n">
        <v>100567177</v>
      </c>
      <c r="H3815" s="241" t="n">
        <v>-3.88</v>
      </c>
      <c r="I3815" s="241" t="n">
        <v>32.94</v>
      </c>
      <c r="J3815" s="241" t="n">
        <v>61.62</v>
      </c>
      <c r="K3815" s="241" t="n">
        <v>10.1</v>
      </c>
      <c r="L3815" s="242" t="n">
        <v>14108000</v>
      </c>
      <c r="M3815" s="241" t="n">
        <v>0</v>
      </c>
      <c r="N3815" s="241" t="n">
        <v>70.31</v>
      </c>
      <c r="O3815" s="241" t="n">
        <v>122.41</v>
      </c>
      <c r="P3815" s="241" t="n">
        <v>1.57</v>
      </c>
    </row>
    <row r="3816">
      <c r="A3816" s="282" t="inlineStr">
        <is>
          <t>2021-09-07</t>
        </is>
      </c>
      <c r="B3816" s="240">
        <f>IFERROR(1/P3816-1,B3815)</f>
        <v/>
      </c>
      <c r="C3816" s="240">
        <f>$C$3</f>
        <v/>
      </c>
      <c r="D3816" s="240">
        <f>$D$3</f>
        <v/>
      </c>
      <c r="E3816" s="240">
        <f>$E$3</f>
        <v/>
      </c>
      <c r="F3816" s="241" t="n">
        <v>16.1</v>
      </c>
      <c r="G3816" s="242" t="n">
        <v>76605464</v>
      </c>
      <c r="H3816" s="241" t="n">
        <v>1.51</v>
      </c>
      <c r="I3816" s="241" t="n">
        <v>34.84</v>
      </c>
      <c r="J3816" s="241" t="n">
        <v>64.06</v>
      </c>
      <c r="K3816" s="241" t="n">
        <v>10.86</v>
      </c>
      <c r="L3816" s="242" t="n">
        <v>16786800</v>
      </c>
      <c r="M3816" s="241" t="n">
        <v>7.57</v>
      </c>
      <c r="N3816" s="241" t="n">
        <v>84.75</v>
      </c>
      <c r="O3816" s="241" t="n">
        <v>139.23</v>
      </c>
      <c r="P3816" s="241" t="n">
        <v>1.48</v>
      </c>
    </row>
    <row r="3817">
      <c r="A3817" s="282" t="inlineStr">
        <is>
          <t>2021-09-08</t>
        </is>
      </c>
      <c r="B3817" s="240">
        <f>IFERROR(1/P3817-1,B3816)</f>
        <v/>
      </c>
      <c r="C3817" s="240">
        <f>$C$3</f>
        <v/>
      </c>
      <c r="D3817" s="240">
        <f>$D$3</f>
        <v/>
      </c>
      <c r="E3817" s="240">
        <f>$E$3</f>
        <v/>
      </c>
      <c r="F3817" s="241" t="n">
        <v>17.71</v>
      </c>
      <c r="G3817" s="242" t="n">
        <v>123029739</v>
      </c>
      <c r="H3817" s="241" t="n">
        <v>10</v>
      </c>
      <c r="I3817" s="241" t="n">
        <v>48.33</v>
      </c>
      <c r="J3817" s="241" t="n">
        <v>80.47</v>
      </c>
      <c r="K3817" s="241" t="n">
        <v>11.25</v>
      </c>
      <c r="L3817" s="242" t="n">
        <v>21595400</v>
      </c>
      <c r="M3817" s="241" t="n">
        <v>3.36</v>
      </c>
      <c r="N3817" s="241" t="n">
        <v>90.95999999999999</v>
      </c>
      <c r="O3817" s="241" t="n">
        <v>147.28</v>
      </c>
      <c r="P3817" s="241" t="n">
        <v>1.57</v>
      </c>
    </row>
    <row r="3818">
      <c r="A3818" s="282" t="inlineStr">
        <is>
          <t>2021-09-09</t>
        </is>
      </c>
      <c r="B3818" s="240">
        <f>IFERROR(1/P3818-1,B3817)</f>
        <v/>
      </c>
      <c r="C3818" s="240">
        <f>$C$3</f>
        <v/>
      </c>
      <c r="D3818" s="240">
        <f>$D$3</f>
        <v/>
      </c>
      <c r="E3818" s="240">
        <f>$E$3</f>
        <v/>
      </c>
      <c r="F3818" s="241" t="n">
        <v>18.01</v>
      </c>
      <c r="G3818" s="242" t="n">
        <v>137504938</v>
      </c>
      <c r="H3818" s="241" t="n">
        <v>1.69</v>
      </c>
      <c r="I3818" s="241" t="n">
        <v>50.84</v>
      </c>
      <c r="J3818" s="241" t="n">
        <v>83.52</v>
      </c>
      <c r="K3818" s="241" t="n">
        <v>11.1</v>
      </c>
      <c r="L3818" s="242" t="n">
        <v>12045600</v>
      </c>
      <c r="M3818" s="241" t="n">
        <v>-1.18</v>
      </c>
      <c r="N3818" s="241" t="n">
        <v>88.7</v>
      </c>
      <c r="O3818" s="241" t="n">
        <v>144.35</v>
      </c>
      <c r="P3818" s="241" t="n">
        <v>1.62</v>
      </c>
    </row>
    <row r="3819">
      <c r="A3819" s="282" t="inlineStr">
        <is>
          <t>2021-09-10</t>
        </is>
      </c>
      <c r="B3819" s="240">
        <f>IFERROR(1/P3819-1,B3818)</f>
        <v/>
      </c>
      <c r="C3819" s="240">
        <f>$C$3</f>
        <v/>
      </c>
      <c r="D3819" s="240">
        <f>$D$3</f>
        <v/>
      </c>
      <c r="E3819" s="240">
        <f>$E$3</f>
        <v/>
      </c>
      <c r="F3819" s="241" t="n">
        <v>17.28</v>
      </c>
      <c r="G3819" s="242" t="n">
        <v>131164081</v>
      </c>
      <c r="H3819" s="241" t="n">
        <v>-4.05</v>
      </c>
      <c r="I3819" s="241" t="n">
        <v>42.93</v>
      </c>
      <c r="J3819" s="241" t="n">
        <v>76.09</v>
      </c>
      <c r="K3819" s="241" t="n">
        <v>11.17</v>
      </c>
      <c r="L3819" s="242" t="n">
        <v>9731400</v>
      </c>
      <c r="M3819" s="241" t="n">
        <v>0.75</v>
      </c>
      <c r="N3819" s="241" t="n">
        <v>90.38</v>
      </c>
      <c r="O3819" s="241" t="n">
        <v>146.18</v>
      </c>
      <c r="P3819" s="241" t="n">
        <v>1.55</v>
      </c>
    </row>
    <row r="3820">
      <c r="A3820" s="282" t="inlineStr">
        <is>
          <t>2021-09-13</t>
        </is>
      </c>
      <c r="B3820" s="240">
        <f>IFERROR(1/P3820-1,B3819)</f>
        <v/>
      </c>
      <c r="C3820" s="240">
        <f>$C$3</f>
        <v/>
      </c>
      <c r="D3820" s="240">
        <f>$D$3</f>
        <v/>
      </c>
      <c r="E3820" s="240">
        <f>$E$3</f>
        <v/>
      </c>
      <c r="F3820" s="241" t="n">
        <v>17.2</v>
      </c>
      <c r="G3820" s="242" t="n">
        <v>66552139</v>
      </c>
      <c r="H3820" s="241" t="n">
        <v>-0.46</v>
      </c>
      <c r="I3820" s="241" t="n">
        <v>33.96</v>
      </c>
      <c r="J3820" s="241" t="n">
        <v>75.27</v>
      </c>
      <c r="K3820" s="241" t="n">
        <v>10.76</v>
      </c>
      <c r="L3820" s="242" t="n">
        <v>8732800</v>
      </c>
      <c r="M3820" s="241" t="n">
        <v>-3.57</v>
      </c>
      <c r="N3820" s="241" t="n">
        <v>73.98999999999999</v>
      </c>
      <c r="O3820" s="241" t="n">
        <v>137.4</v>
      </c>
      <c r="P3820" s="241" t="n">
        <v>1.6</v>
      </c>
    </row>
    <row r="3821">
      <c r="A3821" s="282" t="inlineStr">
        <is>
          <t>2021-09-14</t>
        </is>
      </c>
      <c r="B3821" s="240">
        <f>IFERROR(1/P3821-1,B3820)</f>
        <v/>
      </c>
      <c r="C3821" s="240">
        <f>$C$3</f>
        <v/>
      </c>
      <c r="D3821" s="240">
        <f>$D$3</f>
        <v/>
      </c>
      <c r="E3821" s="240">
        <f>$E$3</f>
        <v/>
      </c>
      <c r="F3821" s="241" t="n">
        <v>16.68</v>
      </c>
      <c r="G3821" s="242" t="n">
        <v>67136816</v>
      </c>
      <c r="H3821" s="241" t="n">
        <v>-3.02</v>
      </c>
      <c r="I3821" s="241" t="n">
        <v>26.65</v>
      </c>
      <c r="J3821" s="241" t="n">
        <v>69.97</v>
      </c>
      <c r="K3821" s="241" t="n">
        <v>10.3</v>
      </c>
      <c r="L3821" s="242" t="n">
        <v>8826400</v>
      </c>
      <c r="M3821" s="241" t="n">
        <v>-4.31</v>
      </c>
      <c r="N3821" s="241" t="n">
        <v>67.16</v>
      </c>
      <c r="O3821" s="241" t="n">
        <v>127.16</v>
      </c>
      <c r="P3821" s="241" t="n">
        <v>1.62</v>
      </c>
    </row>
    <row r="3822">
      <c r="A3822" s="282" t="inlineStr">
        <is>
          <t>2021-09-15</t>
        </is>
      </c>
      <c r="B3822" s="240">
        <f>IFERROR(1/P3822-1,B3821)</f>
        <v/>
      </c>
      <c r="C3822" s="240">
        <f>$C$3</f>
        <v/>
      </c>
      <c r="D3822" s="240">
        <f>$D$3</f>
        <v/>
      </c>
      <c r="E3822" s="240">
        <f>$E$3</f>
        <v/>
      </c>
      <c r="F3822" s="241" t="n">
        <v>17.51</v>
      </c>
      <c r="G3822" s="242" t="n">
        <v>82599341</v>
      </c>
      <c r="H3822" s="241" t="n">
        <v>4.98</v>
      </c>
      <c r="I3822" s="241" t="n">
        <v>32.95</v>
      </c>
      <c r="J3822" s="241" t="n">
        <v>78.43000000000001</v>
      </c>
      <c r="K3822" s="241" t="n">
        <v>10.43</v>
      </c>
      <c r="L3822" s="242" t="n">
        <v>6287800</v>
      </c>
      <c r="M3822" s="241" t="n">
        <v>1.29</v>
      </c>
      <c r="N3822" s="241" t="n">
        <v>69.31</v>
      </c>
      <c r="O3822" s="241" t="n">
        <v>130.09</v>
      </c>
      <c r="P3822" s="241" t="n">
        <v>1.68</v>
      </c>
    </row>
    <row r="3823">
      <c r="A3823" s="282" t="inlineStr">
        <is>
          <t>2021-09-16</t>
        </is>
      </c>
      <c r="B3823" s="240">
        <f>IFERROR(1/P3823-1,B3822)</f>
        <v/>
      </c>
      <c r="C3823" s="240">
        <f>$C$3</f>
        <v/>
      </c>
      <c r="D3823" s="240">
        <f>$D$3</f>
        <v/>
      </c>
      <c r="E3823" s="240">
        <f>$E$3</f>
        <v/>
      </c>
      <c r="F3823" s="241" t="n">
        <v>16.31</v>
      </c>
      <c r="G3823" s="242" t="n">
        <v>79933429</v>
      </c>
      <c r="H3823" s="241" t="n">
        <v>-6.85</v>
      </c>
      <c r="I3823" s="241" t="n">
        <v>23.84</v>
      </c>
      <c r="J3823" s="241" t="n">
        <v>66.2</v>
      </c>
      <c r="K3823" s="241" t="n">
        <v>9.85</v>
      </c>
      <c r="L3823" s="242" t="n">
        <v>12708200</v>
      </c>
      <c r="M3823" s="241" t="n">
        <v>-5.25</v>
      </c>
      <c r="N3823" s="241" t="n">
        <v>60.43</v>
      </c>
      <c r="O3823" s="241" t="n">
        <v>118.02</v>
      </c>
      <c r="P3823" s="241" t="n">
        <v>1.66</v>
      </c>
    </row>
    <row r="3824">
      <c r="A3824" s="282" t="inlineStr">
        <is>
          <t>2021-09-17</t>
        </is>
      </c>
      <c r="B3824" s="240">
        <f>IFERROR(1/P3824-1,B3823)</f>
        <v/>
      </c>
      <c r="C3824" s="240">
        <f>$C$3</f>
        <v/>
      </c>
      <c r="D3824" s="240">
        <f>$D$3</f>
        <v/>
      </c>
      <c r="E3824" s="240">
        <f>$E$3</f>
        <v/>
      </c>
      <c r="F3824" s="241" t="n">
        <v>17.02</v>
      </c>
      <c r="G3824" s="242" t="n">
        <v>86390183</v>
      </c>
      <c r="H3824" s="241" t="n">
        <v>4.35</v>
      </c>
      <c r="I3824" s="241" t="n">
        <v>27.3</v>
      </c>
      <c r="J3824" s="241" t="n">
        <v>73.44</v>
      </c>
      <c r="K3824" s="241" t="n">
        <v>9.57</v>
      </c>
      <c r="L3824" s="242" t="n">
        <v>10454126</v>
      </c>
      <c r="M3824" s="241" t="n">
        <v>-3.19</v>
      </c>
      <c r="N3824" s="241" t="n">
        <v>57.44</v>
      </c>
      <c r="O3824" s="241" t="n">
        <v>111.07</v>
      </c>
      <c r="P3824" s="241" t="n">
        <v>1.78</v>
      </c>
    </row>
    <row r="3825">
      <c r="A3825" s="282" t="inlineStr">
        <is>
          <t>2021-09-22</t>
        </is>
      </c>
      <c r="B3825" s="240">
        <f>IFERROR(1/P3825-1,B3824)</f>
        <v/>
      </c>
      <c r="C3825" s="240">
        <f>$C$3</f>
        <v/>
      </c>
      <c r="D3825" s="240">
        <f>$D$3</f>
        <v/>
      </c>
      <c r="E3825" s="240">
        <f>$E$3</f>
        <v/>
      </c>
      <c r="F3825" s="241" t="n">
        <v>18.72</v>
      </c>
      <c r="G3825" s="242" t="n">
        <v>96739877</v>
      </c>
      <c r="H3825" s="241" t="n">
        <v>9.99</v>
      </c>
      <c r="I3825" s="241" t="n">
        <v>12.36</v>
      </c>
      <c r="J3825" s="241" t="n">
        <v>90.76000000000001</v>
      </c>
      <c r="K3825" s="239" t="inlineStr">
        <is>
          <t>--</t>
        </is>
      </c>
      <c r="L3825" s="239" t="inlineStr">
        <is>
          <t>--</t>
        </is>
      </c>
      <c r="M3825" s="239" t="inlineStr">
        <is>
          <t>--</t>
        </is>
      </c>
      <c r="N3825" s="239" t="inlineStr">
        <is>
          <t>--</t>
        </is>
      </c>
      <c r="O3825" s="239" t="inlineStr">
        <is>
          <t>--</t>
        </is>
      </c>
      <c r="P3825" s="239" t="inlineStr">
        <is>
          <t>--</t>
        </is>
      </c>
    </row>
    <row r="3826">
      <c r="A3826" s="282" t="inlineStr">
        <is>
          <t>2021-09-23</t>
        </is>
      </c>
      <c r="B3826" s="240">
        <f>IFERROR(1/P3826-1,B3825)</f>
        <v/>
      </c>
      <c r="C3826" s="240">
        <f>$C$3</f>
        <v/>
      </c>
      <c r="D3826" s="240">
        <f>$D$3</f>
        <v/>
      </c>
      <c r="E3826" s="240">
        <f>$E$3</f>
        <v/>
      </c>
      <c r="F3826" s="241" t="n">
        <v>20.17</v>
      </c>
      <c r="G3826" s="242" t="n">
        <v>147865973</v>
      </c>
      <c r="H3826" s="241" t="n">
        <v>7.75</v>
      </c>
      <c r="I3826" s="241" t="n">
        <v>21.07</v>
      </c>
      <c r="J3826" s="241" t="n">
        <v>105.54</v>
      </c>
      <c r="K3826" s="241" t="n">
        <v>11.86</v>
      </c>
      <c r="L3826" s="242" t="n">
        <v>26829800</v>
      </c>
      <c r="M3826" s="241" t="n">
        <v>13.54</v>
      </c>
      <c r="N3826" s="241" t="n">
        <v>43.32</v>
      </c>
      <c r="O3826" s="241" t="n">
        <v>160.82</v>
      </c>
      <c r="P3826" s="241" t="n">
        <v>1.7</v>
      </c>
    </row>
    <row r="3827">
      <c r="A3827" s="282" t="inlineStr">
        <is>
          <t>2021-09-24</t>
        </is>
      </c>
      <c r="B3827" s="240">
        <f>IFERROR(1/P3827-1,B3826)</f>
        <v/>
      </c>
      <c r="C3827" s="240">
        <f>$C$3</f>
        <v/>
      </c>
      <c r="D3827" s="240">
        <f>$D$3</f>
        <v/>
      </c>
      <c r="E3827" s="240">
        <f>$E$3</f>
        <v/>
      </c>
      <c r="F3827" s="241" t="n">
        <v>19.29</v>
      </c>
      <c r="G3827" s="242" t="n">
        <v>87462982</v>
      </c>
      <c r="H3827" s="241" t="n">
        <v>-4.36</v>
      </c>
      <c r="I3827" s="241" t="n">
        <v>15.86</v>
      </c>
      <c r="J3827" s="241" t="n">
        <v>96.56999999999999</v>
      </c>
      <c r="K3827" s="241" t="n">
        <v>10.87</v>
      </c>
      <c r="L3827" s="242" t="n">
        <v>9570000</v>
      </c>
      <c r="M3827" s="241" t="n">
        <v>-8.130000000000001</v>
      </c>
      <c r="N3827" s="241" t="n">
        <v>22.89</v>
      </c>
      <c r="O3827" s="241" t="n">
        <v>139.6</v>
      </c>
      <c r="P3827" s="241" t="n">
        <v>1.77</v>
      </c>
    </row>
    <row r="3828">
      <c r="A3828" s="282" t="inlineStr">
        <is>
          <t>2021-09-27</t>
        </is>
      </c>
      <c r="B3828" s="240">
        <f>IFERROR(1/P3828-1,B3827)</f>
        <v/>
      </c>
      <c r="C3828" s="240">
        <f>$C$3</f>
        <v/>
      </c>
      <c r="D3828" s="240">
        <f>$D$3</f>
        <v/>
      </c>
      <c r="E3828" s="240">
        <f>$E$3</f>
        <v/>
      </c>
      <c r="F3828" s="241" t="n">
        <v>17.36</v>
      </c>
      <c r="G3828" s="242" t="n">
        <v>99554541</v>
      </c>
      <c r="H3828" s="241" t="n">
        <v>-10.01</v>
      </c>
      <c r="I3828" s="241" t="n">
        <v>12.29</v>
      </c>
      <c r="J3828" s="241" t="n">
        <v>76.90000000000001</v>
      </c>
      <c r="K3828" s="241" t="n">
        <v>10.55</v>
      </c>
      <c r="L3828" s="242" t="n">
        <v>14746200</v>
      </c>
      <c r="M3828" s="241" t="n">
        <v>-3.05</v>
      </c>
      <c r="N3828" s="241" t="n">
        <v>28.02</v>
      </c>
      <c r="O3828" s="241" t="n">
        <v>132.28</v>
      </c>
      <c r="P3828" s="241" t="n">
        <v>1.64</v>
      </c>
    </row>
    <row r="3829">
      <c r="A3829" s="282" t="inlineStr">
        <is>
          <t>2021-09-28</t>
        </is>
      </c>
      <c r="B3829" s="240">
        <f>IFERROR(1/P3829-1,B3828)</f>
        <v/>
      </c>
      <c r="C3829" s="240">
        <f>$C$3</f>
        <v/>
      </c>
      <c r="D3829" s="240">
        <f>$D$3</f>
        <v/>
      </c>
      <c r="E3829" s="240">
        <f>$E$3</f>
        <v/>
      </c>
      <c r="F3829" s="241" t="n">
        <v>17.91</v>
      </c>
      <c r="G3829" s="242" t="n">
        <v>71891627</v>
      </c>
      <c r="H3829" s="241" t="n">
        <v>3.17</v>
      </c>
      <c r="I3829" s="241" t="n">
        <v>18.3</v>
      </c>
      <c r="J3829" s="241" t="n">
        <v>82.51000000000001</v>
      </c>
      <c r="K3829" s="241" t="n">
        <v>10.44</v>
      </c>
      <c r="L3829" s="242" t="n">
        <v>5761485</v>
      </c>
      <c r="M3829" s="241" t="n">
        <v>-0.9399999999999999</v>
      </c>
      <c r="N3829" s="241" t="n">
        <v>29.69</v>
      </c>
      <c r="O3829" s="241" t="n">
        <v>130.09</v>
      </c>
      <c r="P3829" s="241" t="n">
        <v>1.72</v>
      </c>
    </row>
    <row r="3830">
      <c r="A3830" s="282" t="inlineStr">
        <is>
          <t>2021-09-29</t>
        </is>
      </c>
      <c r="B3830" s="240">
        <f>IFERROR(1/P3830-1,B3829)</f>
        <v/>
      </c>
      <c r="C3830" s="240">
        <f>$C$3</f>
        <v/>
      </c>
      <c r="D3830" s="240">
        <f>$D$3</f>
        <v/>
      </c>
      <c r="E3830" s="240">
        <f>$E$3</f>
        <v/>
      </c>
      <c r="F3830" s="241" t="n">
        <v>17.29</v>
      </c>
      <c r="G3830" s="242" t="n">
        <v>59971926</v>
      </c>
      <c r="H3830" s="241" t="n">
        <v>-3.46</v>
      </c>
      <c r="I3830" s="241" t="n">
        <v>14.2</v>
      </c>
      <c r="J3830" s="241" t="n">
        <v>76.19</v>
      </c>
      <c r="K3830" s="241" t="n">
        <v>10.2</v>
      </c>
      <c r="L3830" s="242" t="n">
        <v>6411600</v>
      </c>
      <c r="M3830" s="241" t="n">
        <v>-2.38</v>
      </c>
      <c r="N3830" s="241" t="n">
        <v>26.6</v>
      </c>
      <c r="O3830" s="241" t="n">
        <v>124.6</v>
      </c>
      <c r="P3830" s="241" t="n">
        <v>1.69</v>
      </c>
    </row>
    <row r="3831">
      <c r="A3831" s="282" t="inlineStr">
        <is>
          <t>2021-09-30</t>
        </is>
      </c>
      <c r="B3831" s="240">
        <f>IFERROR(1/P3831-1,B3830)</f>
        <v/>
      </c>
      <c r="C3831" s="240">
        <f>$C$3</f>
        <v/>
      </c>
      <c r="D3831" s="240">
        <f>$D$3</f>
        <v/>
      </c>
      <c r="E3831" s="240">
        <f>$E$3</f>
        <v/>
      </c>
      <c r="F3831" s="241" t="n">
        <v>18.3</v>
      </c>
      <c r="G3831" s="242" t="n">
        <v>69658931</v>
      </c>
      <c r="H3831" s="241" t="n">
        <v>5.84</v>
      </c>
      <c r="I3831" s="241" t="n">
        <v>20.87</v>
      </c>
      <c r="J3831" s="241" t="n">
        <v>86.48</v>
      </c>
      <c r="K3831" s="241" t="n">
        <v>10.73</v>
      </c>
      <c r="L3831" s="242" t="n">
        <v>5945585</v>
      </c>
      <c r="M3831" s="241" t="n">
        <v>4.89</v>
      </c>
      <c r="N3831" s="241" t="n">
        <v>32.78</v>
      </c>
      <c r="O3831" s="241" t="n">
        <v>135.57</v>
      </c>
      <c r="P3831" s="241" t="n">
        <v>1.71</v>
      </c>
    </row>
    <row r="3832">
      <c r="A3832" s="282" t="inlineStr">
        <is>
          <t>2021-10-08</t>
        </is>
      </c>
      <c r="B3832" s="240">
        <f>IFERROR(1/P3832-1,B3831)</f>
        <v/>
      </c>
      <c r="C3832" s="240">
        <f>$C$3</f>
        <v/>
      </c>
      <c r="D3832" s="240">
        <f>$D$3</f>
        <v/>
      </c>
      <c r="E3832" s="240">
        <f>$E$3</f>
        <v/>
      </c>
      <c r="F3832" s="241" t="n">
        <v>16.47</v>
      </c>
      <c r="G3832" s="242" t="n">
        <v>96399650</v>
      </c>
      <c r="H3832" s="241" t="n">
        <v>-10</v>
      </c>
      <c r="I3832" s="241" t="n">
        <v>2.3</v>
      </c>
      <c r="J3832" s="241" t="n">
        <v>67.83</v>
      </c>
      <c r="K3832" s="241" t="n">
        <v>9.31</v>
      </c>
      <c r="L3832" s="242" t="n">
        <v>13035620</v>
      </c>
      <c r="M3832" s="241" t="n">
        <v>-10.81</v>
      </c>
      <c r="N3832" s="241" t="n">
        <v>-14.22</v>
      </c>
      <c r="O3832" s="241" t="n">
        <v>105.21</v>
      </c>
      <c r="P3832" s="241" t="n">
        <v>1.77</v>
      </c>
    </row>
    <row r="3833">
      <c r="A3833" s="282" t="inlineStr">
        <is>
          <t>2021-10-11</t>
        </is>
      </c>
      <c r="B3833" s="240">
        <f>IFERROR(1/P3833-1,B3832)</f>
        <v/>
      </c>
      <c r="C3833" s="240">
        <f>$C$3</f>
        <v/>
      </c>
      <c r="D3833" s="240">
        <f>$D$3</f>
        <v/>
      </c>
      <c r="E3833" s="240">
        <f>$E$3</f>
        <v/>
      </c>
      <c r="F3833" s="241" t="n">
        <v>15.32</v>
      </c>
      <c r="G3833" s="242" t="n">
        <v>81626328</v>
      </c>
      <c r="H3833" s="241" t="n">
        <v>-6.98</v>
      </c>
      <c r="I3833" s="241" t="n">
        <v>-11.34</v>
      </c>
      <c r="J3833" s="241" t="n">
        <v>56.11</v>
      </c>
      <c r="K3833" s="241" t="n">
        <v>8.65</v>
      </c>
      <c r="L3833" s="242" t="n">
        <v>10149400</v>
      </c>
      <c r="M3833" s="241" t="n">
        <v>-6.95</v>
      </c>
      <c r="N3833" s="241" t="n">
        <v>-22.44</v>
      </c>
      <c r="O3833" s="241" t="n">
        <v>90.95</v>
      </c>
      <c r="P3833" s="241" t="n">
        <v>1.77</v>
      </c>
    </row>
    <row r="3834">
      <c r="A3834" s="282" t="inlineStr">
        <is>
          <t>2021-10-12</t>
        </is>
      </c>
      <c r="B3834" s="240">
        <f>IFERROR(1/P3834-1,B3833)</f>
        <v/>
      </c>
      <c r="C3834" s="240">
        <f>$C$3</f>
        <v/>
      </c>
      <c r="D3834" s="240">
        <f>$D$3</f>
        <v/>
      </c>
      <c r="E3834" s="240">
        <f>$E$3</f>
        <v/>
      </c>
      <c r="F3834" s="241" t="n">
        <v>14.97</v>
      </c>
      <c r="G3834" s="242" t="n">
        <v>59498886</v>
      </c>
      <c r="H3834" s="241" t="n">
        <v>-2.28</v>
      </c>
      <c r="I3834" s="241" t="n">
        <v>-13.37</v>
      </c>
      <c r="J3834" s="241" t="n">
        <v>52.55</v>
      </c>
      <c r="K3834" s="241" t="n">
        <v>8.710000000000001</v>
      </c>
      <c r="L3834" s="242" t="n">
        <v>9785800</v>
      </c>
      <c r="M3834" s="241" t="n">
        <v>0.77</v>
      </c>
      <c r="N3834" s="241" t="n">
        <v>-21.84</v>
      </c>
      <c r="O3834" s="241" t="n">
        <v>92.41</v>
      </c>
      <c r="P3834" s="241" t="n">
        <v>1.72</v>
      </c>
    </row>
    <row r="3835">
      <c r="A3835" s="282" t="inlineStr">
        <is>
          <t>2021-10-13</t>
        </is>
      </c>
      <c r="B3835" s="240">
        <f>IFERROR(1/P3835-1,B3834)</f>
        <v/>
      </c>
      <c r="C3835" s="240">
        <f>$C$3</f>
        <v/>
      </c>
      <c r="D3835" s="240">
        <f>$D$3</f>
        <v/>
      </c>
      <c r="E3835" s="240">
        <f>$E$3</f>
        <v/>
      </c>
      <c r="F3835" s="241" t="n">
        <v>15.17</v>
      </c>
      <c r="G3835" s="242" t="n">
        <v>46888572</v>
      </c>
      <c r="H3835" s="241" t="n">
        <v>1.34</v>
      </c>
      <c r="I3835" s="241" t="n">
        <v>-12.21</v>
      </c>
      <c r="J3835" s="241" t="n">
        <v>54.58</v>
      </c>
      <c r="K3835" s="239" t="inlineStr">
        <is>
          <t>--</t>
        </is>
      </c>
      <c r="L3835" s="239" t="inlineStr">
        <is>
          <t>--</t>
        </is>
      </c>
      <c r="M3835" s="239" t="inlineStr">
        <is>
          <t>--</t>
        </is>
      </c>
      <c r="N3835" s="239" t="inlineStr">
        <is>
          <t>--</t>
        </is>
      </c>
      <c r="O3835" s="239" t="inlineStr">
        <is>
          <t>--</t>
        </is>
      </c>
      <c r="P3835" s="239" t="inlineStr">
        <is>
          <t>--</t>
        </is>
      </c>
    </row>
    <row r="3836">
      <c r="A3836" s="282" t="inlineStr">
        <is>
          <t>2021-10-14</t>
        </is>
      </c>
      <c r="B3836" s="240">
        <f>IFERROR(1/P3836-1,B3835)</f>
        <v/>
      </c>
      <c r="C3836" s="240">
        <f>$C$3</f>
        <v/>
      </c>
      <c r="D3836" s="240">
        <f>$D$3</f>
        <v/>
      </c>
      <c r="E3836" s="240">
        <f>$E$3</f>
        <v/>
      </c>
      <c r="F3836" s="241" t="n">
        <v>15.6</v>
      </c>
      <c r="G3836" s="242" t="n">
        <v>50487814</v>
      </c>
      <c r="H3836" s="241" t="n">
        <v>2.83</v>
      </c>
      <c r="I3836" s="241" t="n">
        <v>-9.300000000000001</v>
      </c>
      <c r="J3836" s="241" t="n">
        <v>58.97</v>
      </c>
      <c r="K3836" s="239" t="inlineStr">
        <is>
          <t>--</t>
        </is>
      </c>
      <c r="L3836" s="239" t="inlineStr">
        <is>
          <t>--</t>
        </is>
      </c>
      <c r="M3836" s="239" t="inlineStr">
        <is>
          <t>--</t>
        </is>
      </c>
      <c r="N3836" s="239" t="inlineStr">
        <is>
          <t>--</t>
        </is>
      </c>
      <c r="O3836" s="239" t="inlineStr">
        <is>
          <t>--</t>
        </is>
      </c>
      <c r="P3836" s="239" t="inlineStr">
        <is>
          <t>--</t>
        </is>
      </c>
    </row>
    <row r="3837">
      <c r="A3837" s="282" t="inlineStr">
        <is>
          <t>2021-10-15</t>
        </is>
      </c>
      <c r="B3837" s="240">
        <f>IFERROR(1/P3837-1,B3836)</f>
        <v/>
      </c>
      <c r="C3837" s="240">
        <f>$C$3</f>
        <v/>
      </c>
      <c r="D3837" s="240">
        <f>$D$3</f>
        <v/>
      </c>
      <c r="E3837" s="240">
        <f>$E$3</f>
        <v/>
      </c>
      <c r="F3837" s="241" t="n">
        <v>15.55</v>
      </c>
      <c r="G3837" s="242" t="n">
        <v>37125861</v>
      </c>
      <c r="H3837" s="241" t="n">
        <v>-0.32</v>
      </c>
      <c r="I3837" s="241" t="n">
        <v>-6.77</v>
      </c>
      <c r="J3837" s="241" t="n">
        <v>58.46</v>
      </c>
      <c r="K3837" s="241" t="n">
        <v>8.66</v>
      </c>
      <c r="L3837" s="242" t="n">
        <v>4980800</v>
      </c>
      <c r="M3837" s="241" t="n">
        <v>-0.57</v>
      </c>
      <c r="N3837" s="241" t="n">
        <v>-15.78</v>
      </c>
      <c r="O3837" s="241" t="n">
        <v>91.31</v>
      </c>
      <c r="P3837" s="241" t="n">
        <v>1.8</v>
      </c>
    </row>
    <row r="3838">
      <c r="A3838" s="282" t="inlineStr">
        <is>
          <t>2021-10-18</t>
        </is>
      </c>
      <c r="B3838" s="240">
        <f>IFERROR(1/P3838-1,B3837)</f>
        <v/>
      </c>
      <c r="C3838" s="240">
        <f>$C$3</f>
        <v/>
      </c>
      <c r="D3838" s="240">
        <f>$D$3</f>
        <v/>
      </c>
      <c r="E3838" s="240">
        <f>$E$3</f>
        <v/>
      </c>
      <c r="F3838" s="241" t="n">
        <v>15.82</v>
      </c>
      <c r="G3838" s="242" t="n">
        <v>39295223</v>
      </c>
      <c r="H3838" s="241" t="n">
        <v>1.74</v>
      </c>
      <c r="I3838" s="241" t="n">
        <v>-7.05</v>
      </c>
      <c r="J3838" s="241" t="n">
        <v>61.21</v>
      </c>
      <c r="K3838" s="241" t="n">
        <v>8.880000000000001</v>
      </c>
      <c r="L3838" s="242" t="n">
        <v>5129600</v>
      </c>
      <c r="M3838" s="241" t="n">
        <v>2.68</v>
      </c>
      <c r="N3838" s="241" t="n">
        <v>-6.93</v>
      </c>
      <c r="O3838" s="241" t="n">
        <v>96.43000000000001</v>
      </c>
      <c r="P3838" s="241" t="n">
        <v>1.78</v>
      </c>
    </row>
    <row r="3839">
      <c r="A3839" s="282" t="inlineStr">
        <is>
          <t>2021-10-19</t>
        </is>
      </c>
      <c r="B3839" s="240">
        <f>IFERROR(1/P3839-1,B3838)</f>
        <v/>
      </c>
      <c r="C3839" s="240">
        <f>$C$3</f>
        <v/>
      </c>
      <c r="D3839" s="240">
        <f>$D$3</f>
        <v/>
      </c>
      <c r="E3839" s="240">
        <f>$E$3</f>
        <v/>
      </c>
      <c r="F3839" s="241" t="n">
        <v>16.1</v>
      </c>
      <c r="G3839" s="242" t="n">
        <v>36226619</v>
      </c>
      <c r="H3839" s="241" t="n">
        <v>1.77</v>
      </c>
      <c r="I3839" s="241" t="n">
        <v>-5.41</v>
      </c>
      <c r="J3839" s="241" t="n">
        <v>64.06</v>
      </c>
      <c r="K3839" s="241" t="n">
        <v>9.34</v>
      </c>
      <c r="L3839" s="242" t="n">
        <v>6912200</v>
      </c>
      <c r="M3839" s="241" t="n">
        <v>5.21</v>
      </c>
      <c r="N3839" s="241" t="n">
        <v>-2.08</v>
      </c>
      <c r="O3839" s="241" t="n">
        <v>106.68</v>
      </c>
      <c r="P3839" s="241" t="n">
        <v>1.72</v>
      </c>
    </row>
    <row r="3840">
      <c r="A3840" s="282" t="inlineStr">
        <is>
          <t>2021-10-20</t>
        </is>
      </c>
      <c r="B3840" s="240">
        <f>IFERROR(1/P3840-1,B3839)</f>
        <v/>
      </c>
      <c r="C3840" s="240">
        <f>$C$3</f>
        <v/>
      </c>
      <c r="D3840" s="240">
        <f>$D$3</f>
        <v/>
      </c>
      <c r="E3840" s="240">
        <f>$E$3</f>
        <v/>
      </c>
      <c r="F3840" s="241" t="n">
        <v>16.22</v>
      </c>
      <c r="G3840" s="242" t="n">
        <v>34701274</v>
      </c>
      <c r="H3840" s="241" t="n">
        <v>0.75</v>
      </c>
      <c r="I3840" s="241" t="n">
        <v>-4.7</v>
      </c>
      <c r="J3840" s="241" t="n">
        <v>65.28</v>
      </c>
      <c r="K3840" s="241" t="n">
        <v>9.26</v>
      </c>
      <c r="L3840" s="242" t="n">
        <v>6058400</v>
      </c>
      <c r="M3840" s="241" t="n">
        <v>-0.53</v>
      </c>
      <c r="N3840" s="241" t="n">
        <v>-2.6</v>
      </c>
      <c r="O3840" s="241" t="n">
        <v>105.58</v>
      </c>
      <c r="P3840" s="241" t="n">
        <v>1.75</v>
      </c>
    </row>
    <row r="3841">
      <c r="A3841" s="282" t="inlineStr">
        <is>
          <t>2021-10-21</t>
        </is>
      </c>
      <c r="B3841" s="240">
        <f>IFERROR(1/P3841-1,B3840)</f>
        <v/>
      </c>
      <c r="C3841" s="240">
        <f>$C$3</f>
        <v/>
      </c>
      <c r="D3841" s="240">
        <f>$D$3</f>
        <v/>
      </c>
      <c r="E3841" s="240">
        <f>$E$3</f>
        <v/>
      </c>
      <c r="F3841" s="241" t="n">
        <v>16.22</v>
      </c>
      <c r="G3841" s="242" t="n">
        <v>33322045</v>
      </c>
      <c r="H3841" s="241" t="n">
        <v>0</v>
      </c>
      <c r="I3841" s="241" t="n">
        <v>-4.7</v>
      </c>
      <c r="J3841" s="241" t="n">
        <v>65.28</v>
      </c>
      <c r="K3841" s="241" t="n">
        <v>9.199999999999999</v>
      </c>
      <c r="L3841" s="242" t="n">
        <v>3422100</v>
      </c>
      <c r="M3841" s="241" t="n">
        <v>-0.36</v>
      </c>
      <c r="N3841" s="241" t="n">
        <v>-6.67</v>
      </c>
      <c r="O3841" s="241" t="n">
        <v>104.85</v>
      </c>
      <c r="P3841" s="241" t="n">
        <v>1.76</v>
      </c>
    </row>
    <row r="3842">
      <c r="A3842" s="282" t="inlineStr">
        <is>
          <t>2021-10-22</t>
        </is>
      </c>
      <c r="B3842" s="240">
        <f>IFERROR(1/P3842-1,B3841)</f>
        <v/>
      </c>
      <c r="C3842" s="240">
        <f>$C$3</f>
        <v/>
      </c>
      <c r="D3842" s="240">
        <f>$D$3</f>
        <v/>
      </c>
      <c r="E3842" s="240">
        <f>$E$3</f>
        <v/>
      </c>
      <c r="F3842" s="241" t="n">
        <v>15.81</v>
      </c>
      <c r="G3842" s="242" t="n">
        <v>34535175</v>
      </c>
      <c r="H3842" s="241" t="n">
        <v>-2.53</v>
      </c>
      <c r="I3842" s="241" t="n">
        <v>-7.11</v>
      </c>
      <c r="J3842" s="241" t="n">
        <v>61.11</v>
      </c>
      <c r="K3842" s="241" t="n">
        <v>8.800000000000001</v>
      </c>
      <c r="L3842" s="242" t="n">
        <v>7165000</v>
      </c>
      <c r="M3842" s="241" t="n">
        <v>-4.64</v>
      </c>
      <c r="N3842" s="241" t="n">
        <v>-14.97</v>
      </c>
      <c r="O3842" s="241" t="n">
        <v>95.34</v>
      </c>
      <c r="P3842" s="241" t="n">
        <v>1.8</v>
      </c>
    </row>
    <row r="3843">
      <c r="A3843" s="282" t="inlineStr">
        <is>
          <t>2021-10-25</t>
        </is>
      </c>
      <c r="B3843" s="240">
        <f>IFERROR(1/P3843-1,B3842)</f>
        <v/>
      </c>
      <c r="C3843" s="240">
        <f>$C$3</f>
        <v/>
      </c>
      <c r="D3843" s="240">
        <f>$D$3</f>
        <v/>
      </c>
      <c r="E3843" s="240">
        <f>$E$3</f>
        <v/>
      </c>
      <c r="F3843" s="241" t="n">
        <v>17.39</v>
      </c>
      <c r="G3843" s="242" t="n">
        <v>54132902</v>
      </c>
      <c r="H3843" s="241" t="n">
        <v>9.99</v>
      </c>
      <c r="I3843" s="241" t="n">
        <v>-9.85</v>
      </c>
      <c r="J3843" s="241" t="n">
        <v>77.20999999999999</v>
      </c>
      <c r="K3843" s="241" t="n">
        <v>9.720000000000001</v>
      </c>
      <c r="L3843" s="242" t="n">
        <v>8925800</v>
      </c>
      <c r="M3843" s="241" t="n">
        <v>10.67</v>
      </c>
      <c r="N3843" s="241" t="n">
        <v>-9.77</v>
      </c>
      <c r="O3843" s="241" t="n">
        <v>116.19</v>
      </c>
      <c r="P3843" s="241" t="n">
        <v>1.79</v>
      </c>
    </row>
    <row r="3844">
      <c r="A3844" s="282" t="inlineStr">
        <is>
          <t>2021-10-26</t>
        </is>
      </c>
      <c r="B3844" s="240">
        <f>IFERROR(1/P3844-1,B3843)</f>
        <v/>
      </c>
      <c r="C3844" s="240">
        <f>$C$3</f>
        <v/>
      </c>
      <c r="D3844" s="240">
        <f>$D$3</f>
        <v/>
      </c>
      <c r="E3844" s="240">
        <f>$E$3</f>
        <v/>
      </c>
      <c r="F3844" s="241" t="n">
        <v>17.68</v>
      </c>
      <c r="G3844" s="242" t="n">
        <v>82735406</v>
      </c>
      <c r="H3844" s="241" t="n">
        <v>1.67</v>
      </c>
      <c r="I3844" s="241" t="n">
        <v>-8.35</v>
      </c>
      <c r="J3844" s="241" t="n">
        <v>80.16</v>
      </c>
      <c r="K3844" s="241" t="n">
        <v>9.859999999999999</v>
      </c>
      <c r="L3844" s="242" t="n">
        <v>8516600</v>
      </c>
      <c r="M3844" s="241" t="n">
        <v>1.52</v>
      </c>
      <c r="N3844" s="241" t="n">
        <v>-8.4</v>
      </c>
      <c r="O3844" s="241" t="n">
        <v>119.48</v>
      </c>
      <c r="P3844" s="241" t="n">
        <v>1.79</v>
      </c>
    </row>
    <row r="3845">
      <c r="A3845" s="282" t="inlineStr">
        <is>
          <t>2021-10-27</t>
        </is>
      </c>
      <c r="B3845" s="240">
        <f>IFERROR(1/P3845-1,B3844)</f>
        <v/>
      </c>
      <c r="C3845" s="240">
        <f>$C$3</f>
        <v/>
      </c>
      <c r="D3845" s="240">
        <f>$D$3</f>
        <v/>
      </c>
      <c r="E3845" s="240">
        <f>$E$3</f>
        <v/>
      </c>
      <c r="F3845" s="241" t="n">
        <v>17.99</v>
      </c>
      <c r="G3845" s="242" t="n">
        <v>63346112</v>
      </c>
      <c r="H3845" s="241" t="n">
        <v>1.75</v>
      </c>
      <c r="I3845" s="241" t="n">
        <v>-6.74</v>
      </c>
      <c r="J3845" s="241" t="n">
        <v>83.31999999999999</v>
      </c>
      <c r="K3845" s="241" t="n">
        <v>10.1</v>
      </c>
      <c r="L3845" s="242" t="n">
        <v>4844710</v>
      </c>
      <c r="M3845" s="241" t="n">
        <v>2.5</v>
      </c>
      <c r="N3845" s="241" t="n">
        <v>-6.11</v>
      </c>
      <c r="O3845" s="241" t="n">
        <v>124.97</v>
      </c>
      <c r="P3845" s="241" t="n">
        <v>1.78</v>
      </c>
    </row>
    <row r="3846">
      <c r="A3846" s="282" t="inlineStr">
        <is>
          <t>2021-10-28</t>
        </is>
      </c>
      <c r="B3846" s="240">
        <f>IFERROR(1/P3846-1,B3845)</f>
        <v/>
      </c>
      <c r="C3846" s="240">
        <f>$C$3</f>
        <v/>
      </c>
      <c r="D3846" s="240">
        <f>$D$3</f>
        <v/>
      </c>
      <c r="E3846" s="240">
        <f>$E$3</f>
        <v/>
      </c>
      <c r="F3846" s="241" t="n">
        <v>18.75</v>
      </c>
      <c r="G3846" s="242" t="n">
        <v>99579978</v>
      </c>
      <c r="H3846" s="241" t="n">
        <v>4.22</v>
      </c>
      <c r="I3846" s="241" t="n">
        <v>8.01</v>
      </c>
      <c r="J3846" s="241" t="n">
        <v>91.06999999999999</v>
      </c>
      <c r="K3846" s="241" t="n">
        <v>10.18</v>
      </c>
      <c r="L3846" s="242" t="n">
        <v>9227886</v>
      </c>
      <c r="M3846" s="241" t="n">
        <v>0.65</v>
      </c>
      <c r="N3846" s="241" t="n">
        <v>-2.52</v>
      </c>
      <c r="O3846" s="241" t="n">
        <v>126.43</v>
      </c>
      <c r="P3846" s="241" t="n">
        <v>1.84</v>
      </c>
    </row>
    <row r="3847">
      <c r="A3847" s="282" t="inlineStr">
        <is>
          <t>2021-10-29</t>
        </is>
      </c>
      <c r="B3847" s="240">
        <f>IFERROR(1/P3847-1,B3846)</f>
        <v/>
      </c>
      <c r="C3847" s="240">
        <f>$C$3</f>
        <v/>
      </c>
      <c r="D3847" s="240">
        <f>$D$3</f>
        <v/>
      </c>
      <c r="E3847" s="240">
        <f>$E$3</f>
        <v/>
      </c>
      <c r="F3847" s="241" t="n">
        <v>18.15</v>
      </c>
      <c r="G3847" s="242" t="n">
        <v>76423908</v>
      </c>
      <c r="H3847" s="241" t="n">
        <v>-3.2</v>
      </c>
      <c r="I3847" s="241" t="n">
        <v>1.34</v>
      </c>
      <c r="J3847" s="241" t="n">
        <v>84.95</v>
      </c>
      <c r="K3847" s="241" t="n">
        <v>10.22</v>
      </c>
      <c r="L3847" s="242" t="n">
        <v>3741714</v>
      </c>
      <c r="M3847" s="241" t="n">
        <v>0.48</v>
      </c>
      <c r="N3847" s="241" t="n">
        <v>-1.11</v>
      </c>
      <c r="O3847" s="241" t="n">
        <v>127.53</v>
      </c>
      <c r="P3847" s="241" t="n">
        <v>1.78</v>
      </c>
    </row>
    <row r="3848">
      <c r="A3848" s="282" t="inlineStr">
        <is>
          <t>2021-11-01</t>
        </is>
      </c>
      <c r="B3848" s="240">
        <f>IFERROR(1/P3848-1,B3847)</f>
        <v/>
      </c>
      <c r="C3848" s="240">
        <f>$C$3</f>
        <v/>
      </c>
      <c r="D3848" s="240">
        <f>$D$3</f>
        <v/>
      </c>
      <c r="E3848" s="240">
        <f>$E$3</f>
        <v/>
      </c>
      <c r="F3848" s="241" t="n">
        <v>17.79</v>
      </c>
      <c r="G3848" s="242" t="n">
        <v>63926106</v>
      </c>
      <c r="H3848" s="241" t="n">
        <v>-1.98</v>
      </c>
      <c r="I3848" s="241" t="n">
        <v>-2.79</v>
      </c>
      <c r="J3848" s="241" t="n">
        <v>81.28</v>
      </c>
      <c r="K3848" s="241" t="n">
        <v>9.69</v>
      </c>
      <c r="L3848" s="242" t="n">
        <v>7474290</v>
      </c>
      <c r="M3848" s="241" t="n">
        <v>-5.63</v>
      </c>
      <c r="N3848" s="241" t="n">
        <v>-8.85</v>
      </c>
      <c r="O3848" s="241" t="n">
        <v>114.72</v>
      </c>
      <c r="P3848" s="241" t="n">
        <v>1.84</v>
      </c>
    </row>
    <row r="3849">
      <c r="A3849" s="282" t="inlineStr">
        <is>
          <t>2021-11-02</t>
        </is>
      </c>
      <c r="B3849" s="240">
        <f>IFERROR(1/P3849-1,B3848)</f>
        <v/>
      </c>
      <c r="C3849" s="240">
        <f>$C$3</f>
        <v/>
      </c>
      <c r="D3849" s="240">
        <f>$D$3</f>
        <v/>
      </c>
      <c r="E3849" s="240">
        <f>$E$3</f>
        <v/>
      </c>
      <c r="F3849" s="241" t="n">
        <v>17.95</v>
      </c>
      <c r="G3849" s="242" t="n">
        <v>73598594</v>
      </c>
      <c r="H3849" s="241" t="n">
        <v>0.9</v>
      </c>
      <c r="I3849" s="241" t="n">
        <v>-1.91</v>
      </c>
      <c r="J3849" s="241" t="n">
        <v>82.91</v>
      </c>
      <c r="K3849" s="241" t="n">
        <v>9.369999999999999</v>
      </c>
      <c r="L3849" s="242" t="n">
        <v>10714400</v>
      </c>
      <c r="M3849" s="241" t="n">
        <v>-2.9</v>
      </c>
      <c r="N3849" s="241" t="n">
        <v>-11.49</v>
      </c>
      <c r="O3849" s="241" t="n">
        <v>108.51</v>
      </c>
      <c r="P3849" s="241" t="n">
        <v>1.92</v>
      </c>
    </row>
    <row r="3850">
      <c r="A3850" s="282" t="inlineStr">
        <is>
          <t>2021-11-03</t>
        </is>
      </c>
      <c r="B3850" s="240">
        <f>IFERROR(1/P3850-1,B3849)</f>
        <v/>
      </c>
      <c r="C3850" s="240">
        <f>$C$3</f>
        <v/>
      </c>
      <c r="D3850" s="240">
        <f>$D$3</f>
        <v/>
      </c>
      <c r="E3850" s="240">
        <f>$E$3</f>
        <v/>
      </c>
      <c r="F3850" s="241" t="n">
        <v>19.23</v>
      </c>
      <c r="G3850" s="242" t="n">
        <v>106139187</v>
      </c>
      <c r="H3850" s="241" t="n">
        <v>7.13</v>
      </c>
      <c r="I3850" s="241" t="n">
        <v>5.08</v>
      </c>
      <c r="J3850" s="241" t="n">
        <v>95.95999999999999</v>
      </c>
      <c r="K3850" s="241" t="n">
        <v>9.93</v>
      </c>
      <c r="L3850" s="242" t="n">
        <v>8528400</v>
      </c>
      <c r="M3850" s="241" t="n">
        <v>5.79</v>
      </c>
      <c r="N3850" s="241" t="n">
        <v>-6.37</v>
      </c>
      <c r="O3850" s="241" t="n">
        <v>120.58</v>
      </c>
      <c r="P3850" s="241" t="n">
        <v>1.94</v>
      </c>
    </row>
    <row r="3851">
      <c r="A3851" s="282" t="inlineStr">
        <is>
          <t>2021-11-04</t>
        </is>
      </c>
      <c r="B3851" s="240">
        <f>IFERROR(1/P3851-1,B3850)</f>
        <v/>
      </c>
      <c r="C3851" s="240">
        <f>$C$3</f>
        <v/>
      </c>
      <c r="D3851" s="240">
        <f>$D$3</f>
        <v/>
      </c>
      <c r="E3851" s="240">
        <f>$E$3</f>
        <v/>
      </c>
      <c r="F3851" s="241" t="n">
        <v>19.75</v>
      </c>
      <c r="G3851" s="242" t="n">
        <v>95583485</v>
      </c>
      <c r="H3851" s="241" t="n">
        <v>2.7</v>
      </c>
      <c r="I3851" s="241" t="n">
        <v>7.92</v>
      </c>
      <c r="J3851" s="241" t="n">
        <v>101.26</v>
      </c>
      <c r="K3851" s="241" t="n">
        <v>10.76</v>
      </c>
      <c r="L3851" s="242" t="n">
        <v>10076904</v>
      </c>
      <c r="M3851" s="241" t="n">
        <v>8.619999999999999</v>
      </c>
      <c r="N3851" s="241" t="n">
        <v>1.71</v>
      </c>
      <c r="O3851" s="241" t="n">
        <v>139.6</v>
      </c>
      <c r="P3851" s="241" t="n">
        <v>1.84</v>
      </c>
    </row>
    <row r="3852">
      <c r="A3852" s="282" t="inlineStr">
        <is>
          <t>2021-11-05</t>
        </is>
      </c>
      <c r="B3852" s="240">
        <f>IFERROR(1/P3852-1,B3851)</f>
        <v/>
      </c>
      <c r="C3852" s="240">
        <f>$C$3</f>
        <v/>
      </c>
      <c r="D3852" s="240">
        <f>$D$3</f>
        <v/>
      </c>
      <c r="E3852" s="240">
        <f>$E$3</f>
        <v/>
      </c>
      <c r="F3852" s="241" t="n">
        <v>18.5</v>
      </c>
      <c r="G3852" s="242" t="n">
        <v>74416544</v>
      </c>
      <c r="H3852" s="241" t="n">
        <v>-6.33</v>
      </c>
      <c r="I3852" s="241" t="n">
        <v>1.09</v>
      </c>
      <c r="J3852" s="241" t="n">
        <v>88.52</v>
      </c>
      <c r="K3852" s="241" t="n">
        <v>10.32</v>
      </c>
      <c r="L3852" s="242" t="n">
        <v>6119700</v>
      </c>
      <c r="M3852" s="241" t="n">
        <v>-4.12</v>
      </c>
      <c r="N3852" s="241" t="n">
        <v>5.72</v>
      </c>
      <c r="O3852" s="241" t="n">
        <v>129.72</v>
      </c>
      <c r="P3852" s="241" t="n">
        <v>1.79</v>
      </c>
    </row>
    <row r="3853">
      <c r="A3853" s="282" t="inlineStr">
        <is>
          <t>2021-11-08</t>
        </is>
      </c>
      <c r="B3853" s="240">
        <f>IFERROR(1/P3853-1,B3852)</f>
        <v/>
      </c>
      <c r="C3853" s="240">
        <f>$C$3</f>
        <v/>
      </c>
      <c r="D3853" s="240">
        <f>$D$3</f>
        <v/>
      </c>
      <c r="E3853" s="240">
        <f>$E$3</f>
        <v/>
      </c>
      <c r="F3853" s="241" t="n">
        <v>18.25</v>
      </c>
      <c r="G3853" s="242" t="n">
        <v>47127784</v>
      </c>
      <c r="H3853" s="241" t="n">
        <v>-1.35</v>
      </c>
      <c r="I3853" s="241" t="n">
        <v>-0.27</v>
      </c>
      <c r="J3853" s="241" t="n">
        <v>85.97</v>
      </c>
      <c r="K3853" s="241" t="n">
        <v>10.06</v>
      </c>
      <c r="L3853" s="242" t="n">
        <v>4548200</v>
      </c>
      <c r="M3853" s="241" t="n">
        <v>-2.55</v>
      </c>
      <c r="N3853" s="241" t="n">
        <v>-2.7</v>
      </c>
      <c r="O3853" s="241" t="n">
        <v>123.87</v>
      </c>
      <c r="P3853" s="241" t="n">
        <v>1.81</v>
      </c>
    </row>
    <row r="3854">
      <c r="A3854" s="282" t="inlineStr">
        <is>
          <t>2021-11-09</t>
        </is>
      </c>
      <c r="B3854" s="240">
        <f>IFERROR(1/P3854-1,B3853)</f>
        <v/>
      </c>
      <c r="C3854" s="240">
        <f>$C$3</f>
        <v/>
      </c>
      <c r="D3854" s="240">
        <f>$D$3</f>
        <v/>
      </c>
      <c r="E3854" s="240">
        <f>$E$3</f>
        <v/>
      </c>
      <c r="F3854" s="241" t="n">
        <v>18.75</v>
      </c>
      <c r="G3854" s="242" t="n">
        <v>49156504</v>
      </c>
      <c r="H3854" s="241" t="n">
        <v>2.74</v>
      </c>
      <c r="I3854" s="241" t="n">
        <v>13.84</v>
      </c>
      <c r="J3854" s="241" t="n">
        <v>91.06999999999999</v>
      </c>
      <c r="K3854" s="241" t="n">
        <v>10.29</v>
      </c>
      <c r="L3854" s="242" t="n">
        <v>4095600</v>
      </c>
      <c r="M3854" s="241" t="n">
        <v>2.45</v>
      </c>
      <c r="N3854" s="241" t="n">
        <v>11.76</v>
      </c>
      <c r="O3854" s="241" t="n">
        <v>129.36</v>
      </c>
      <c r="P3854" s="241" t="n">
        <v>1.82</v>
      </c>
    </row>
    <row r="3855">
      <c r="A3855" s="282" t="inlineStr">
        <is>
          <t>2021-11-10</t>
        </is>
      </c>
      <c r="B3855" s="240">
        <f>IFERROR(1/P3855-1,B3854)</f>
        <v/>
      </c>
      <c r="C3855" s="240">
        <f>$C$3</f>
        <v/>
      </c>
      <c r="D3855" s="240">
        <f>$D$3</f>
        <v/>
      </c>
      <c r="E3855" s="240">
        <f>$E$3</f>
        <v/>
      </c>
      <c r="F3855" s="241" t="n">
        <v>18.24</v>
      </c>
      <c r="G3855" s="242" t="n">
        <v>42959736</v>
      </c>
      <c r="H3855" s="241" t="n">
        <v>-2.72</v>
      </c>
      <c r="I3855" s="241" t="n">
        <v>10.75</v>
      </c>
      <c r="J3855" s="241" t="n">
        <v>85.87</v>
      </c>
      <c r="K3855" s="241" t="n">
        <v>9.949999999999999</v>
      </c>
      <c r="L3855" s="242" t="n">
        <v>5366400</v>
      </c>
      <c r="M3855" s="241" t="n">
        <v>-3.35</v>
      </c>
      <c r="N3855" s="241" t="n">
        <v>8.02</v>
      </c>
      <c r="O3855" s="241" t="n">
        <v>121.67</v>
      </c>
      <c r="P3855" s="241" t="n">
        <v>1.83</v>
      </c>
    </row>
    <row r="3856">
      <c r="A3856" s="282" t="inlineStr">
        <is>
          <t>2021-11-11</t>
        </is>
      </c>
      <c r="B3856" s="240">
        <f>IFERROR(1/P3856-1,B3855)</f>
        <v/>
      </c>
      <c r="C3856" s="240">
        <f>$C$3</f>
        <v/>
      </c>
      <c r="D3856" s="240">
        <f>$D$3</f>
        <v/>
      </c>
      <c r="E3856" s="240">
        <f>$E$3</f>
        <v/>
      </c>
      <c r="F3856" s="241" t="n">
        <v>18.3</v>
      </c>
      <c r="G3856" s="242" t="n">
        <v>42259028</v>
      </c>
      <c r="H3856" s="241" t="n">
        <v>0.33</v>
      </c>
      <c r="I3856" s="241" t="n">
        <v>11.11</v>
      </c>
      <c r="J3856" s="241" t="n">
        <v>86.48</v>
      </c>
      <c r="K3856" s="241" t="n">
        <v>10.21</v>
      </c>
      <c r="L3856" s="242" t="n">
        <v>3585200</v>
      </c>
      <c r="M3856" s="241" t="n">
        <v>2.31</v>
      </c>
      <c r="N3856" s="241" t="n">
        <v>10.52</v>
      </c>
      <c r="O3856" s="241" t="n">
        <v>126.8</v>
      </c>
      <c r="P3856" s="241" t="n">
        <v>1.79</v>
      </c>
    </row>
    <row r="3857">
      <c r="A3857" s="282" t="inlineStr">
        <is>
          <t>2021-11-12</t>
        </is>
      </c>
      <c r="B3857" s="240">
        <f>IFERROR(1/P3857-1,B3856)</f>
        <v/>
      </c>
      <c r="C3857" s="240">
        <f>$C$3</f>
        <v/>
      </c>
      <c r="D3857" s="240">
        <f>$D$3</f>
        <v/>
      </c>
      <c r="E3857" s="240">
        <f>$E$3</f>
        <v/>
      </c>
      <c r="F3857" s="241" t="n">
        <v>19.12</v>
      </c>
      <c r="G3857" s="242" t="n">
        <v>51900638</v>
      </c>
      <c r="H3857" s="241" t="n">
        <v>4.48</v>
      </c>
      <c r="I3857" s="241" t="n">
        <v>24.8</v>
      </c>
      <c r="J3857" s="241" t="n">
        <v>94.84</v>
      </c>
      <c r="K3857" s="241" t="n">
        <v>10.34</v>
      </c>
      <c r="L3857" s="242" t="n">
        <v>4385600</v>
      </c>
      <c r="M3857" s="241" t="n">
        <v>1.45</v>
      </c>
      <c r="N3857" s="241" t="n">
        <v>20.5</v>
      </c>
      <c r="O3857" s="241" t="n">
        <v>130.09</v>
      </c>
      <c r="P3857" s="241" t="n">
        <v>1.85</v>
      </c>
    </row>
    <row r="3858">
      <c r="A3858" s="282" t="inlineStr">
        <is>
          <t>2021-11-15</t>
        </is>
      </c>
      <c r="B3858" s="240">
        <f>IFERROR(1/P3858-1,B3857)</f>
        <v/>
      </c>
      <c r="C3858" s="240">
        <f>$C$3</f>
        <v/>
      </c>
      <c r="D3858" s="240">
        <f>$D$3</f>
        <v/>
      </c>
      <c r="E3858" s="240">
        <f>$E$3</f>
        <v/>
      </c>
      <c r="F3858" s="241" t="n">
        <v>17.76</v>
      </c>
      <c r="G3858" s="242" t="n">
        <v>65346146</v>
      </c>
      <c r="H3858" s="241" t="n">
        <v>-7.11</v>
      </c>
      <c r="I3858" s="241" t="n">
        <v>13.85</v>
      </c>
      <c r="J3858" s="241" t="n">
        <v>80.98</v>
      </c>
      <c r="K3858" s="241" t="n">
        <v>9.710000000000001</v>
      </c>
      <c r="L3858" s="242" t="n">
        <v>7174000</v>
      </c>
      <c r="M3858" s="241" t="n">
        <v>-5.88</v>
      </c>
      <c r="N3858" s="241" t="n">
        <v>12.55</v>
      </c>
      <c r="O3858" s="241" t="n">
        <v>116.55</v>
      </c>
      <c r="P3858" s="241" t="n">
        <v>1.83</v>
      </c>
    </row>
    <row r="3859">
      <c r="A3859" s="282" t="inlineStr">
        <is>
          <t>2021-11-16</t>
        </is>
      </c>
      <c r="B3859" s="240">
        <f>IFERROR(1/P3859-1,B3858)</f>
        <v/>
      </c>
      <c r="C3859" s="240">
        <f>$C$3</f>
        <v/>
      </c>
      <c r="D3859" s="240">
        <f>$D$3</f>
        <v/>
      </c>
      <c r="E3859" s="240">
        <f>$E$3</f>
        <v/>
      </c>
      <c r="F3859" s="241" t="n">
        <v>17.18</v>
      </c>
      <c r="G3859" s="242" t="n">
        <v>53257213</v>
      </c>
      <c r="H3859" s="241" t="n">
        <v>-3.27</v>
      </c>
      <c r="I3859" s="241" t="n">
        <v>10.48</v>
      </c>
      <c r="J3859" s="241" t="n">
        <v>75.06999999999999</v>
      </c>
      <c r="K3859" s="241" t="n">
        <v>9.16</v>
      </c>
      <c r="L3859" s="242" t="n">
        <v>7312690</v>
      </c>
      <c r="M3859" s="241" t="n">
        <v>-5.74</v>
      </c>
      <c r="N3859" s="241" t="n">
        <v>6.69</v>
      </c>
      <c r="O3859" s="241" t="n">
        <v>104.12</v>
      </c>
      <c r="P3859" s="241" t="n">
        <v>1.88</v>
      </c>
    </row>
    <row r="3860">
      <c r="A3860" s="282" t="inlineStr">
        <is>
          <t>2021-11-17</t>
        </is>
      </c>
      <c r="B3860" s="240">
        <f>IFERROR(1/P3860-1,B3859)</f>
        <v/>
      </c>
      <c r="C3860" s="240">
        <f>$C$3</f>
        <v/>
      </c>
      <c r="D3860" s="240">
        <f>$D$3</f>
        <v/>
      </c>
      <c r="E3860" s="240">
        <f>$E$3</f>
        <v/>
      </c>
      <c r="F3860" s="241" t="n">
        <v>17.2</v>
      </c>
      <c r="G3860" s="242" t="n">
        <v>50963457</v>
      </c>
      <c r="H3860" s="241" t="n">
        <v>0.12</v>
      </c>
      <c r="I3860" s="241" t="n">
        <v>10.61</v>
      </c>
      <c r="J3860" s="241" t="n">
        <v>75.27</v>
      </c>
      <c r="K3860" s="241" t="n">
        <v>8.92</v>
      </c>
      <c r="L3860" s="242" t="n">
        <v>14419300</v>
      </c>
      <c r="M3860" s="241" t="n">
        <v>-2.69</v>
      </c>
      <c r="N3860" s="241" t="n">
        <v>3.82</v>
      </c>
      <c r="O3860" s="241" t="n">
        <v>98.63</v>
      </c>
      <c r="P3860" s="241" t="n">
        <v>1.93</v>
      </c>
    </row>
    <row r="3861">
      <c r="A3861" s="282" t="inlineStr">
        <is>
          <t>2021-11-18</t>
        </is>
      </c>
      <c r="B3861" s="240">
        <f>IFERROR(1/P3861-1,B3860)</f>
        <v/>
      </c>
      <c r="C3861" s="240">
        <f>$C$3</f>
        <v/>
      </c>
      <c r="D3861" s="240">
        <f>$D$3</f>
        <v/>
      </c>
      <c r="E3861" s="240">
        <f>$E$3</f>
        <v/>
      </c>
      <c r="F3861" s="241" t="n">
        <v>17.48</v>
      </c>
      <c r="G3861" s="242" t="n">
        <v>48304644</v>
      </c>
      <c r="H3861" s="241" t="n">
        <v>1.63</v>
      </c>
      <c r="I3861" s="241" t="n">
        <v>12.41</v>
      </c>
      <c r="J3861" s="241" t="n">
        <v>78.12</v>
      </c>
      <c r="K3861" s="241" t="n">
        <v>9.08</v>
      </c>
      <c r="L3861" s="242" t="n">
        <v>9274954</v>
      </c>
      <c r="M3861" s="241" t="n">
        <v>2.03</v>
      </c>
      <c r="N3861" s="241" t="n">
        <v>5.93</v>
      </c>
      <c r="O3861" s="241" t="n">
        <v>102.65</v>
      </c>
      <c r="P3861" s="241" t="n">
        <v>1.93</v>
      </c>
    </row>
    <row r="3862">
      <c r="A3862" s="282" t="inlineStr">
        <is>
          <t>2021-11-19</t>
        </is>
      </c>
      <c r="B3862" s="240">
        <f>IFERROR(1/P3862-1,B3861)</f>
        <v/>
      </c>
      <c r="C3862" s="240">
        <f>$C$3</f>
        <v/>
      </c>
      <c r="D3862" s="240">
        <f>$D$3</f>
        <v/>
      </c>
      <c r="E3862" s="240">
        <f>$E$3</f>
        <v/>
      </c>
      <c r="F3862" s="241" t="n">
        <v>19.23</v>
      </c>
      <c r="G3862" s="242" t="n">
        <v>82261051</v>
      </c>
      <c r="H3862" s="241" t="n">
        <v>10.01</v>
      </c>
      <c r="I3862" s="241" t="n">
        <v>21.55</v>
      </c>
      <c r="J3862" s="241" t="n">
        <v>95.95999999999999</v>
      </c>
      <c r="K3862" s="241" t="n">
        <v>9.539999999999999</v>
      </c>
      <c r="L3862" s="242" t="n">
        <v>10610600</v>
      </c>
      <c r="M3862" s="241" t="n">
        <v>5.05</v>
      </c>
      <c r="N3862" s="241" t="n">
        <v>8.380000000000001</v>
      </c>
      <c r="O3862" s="241" t="n">
        <v>112.9</v>
      </c>
      <c r="P3862" s="241" t="n">
        <v>2.02</v>
      </c>
    </row>
    <row r="3863">
      <c r="A3863" s="282" t="inlineStr">
        <is>
          <t>2021-11-22</t>
        </is>
      </c>
      <c r="B3863" s="240">
        <f>IFERROR(1/P3863-1,B3862)</f>
        <v/>
      </c>
      <c r="C3863" s="240">
        <f>$C$3</f>
        <v/>
      </c>
      <c r="D3863" s="240">
        <f>$D$3</f>
        <v/>
      </c>
      <c r="E3863" s="240">
        <f>$E$3</f>
        <v/>
      </c>
      <c r="F3863" s="241" t="n">
        <v>19.57</v>
      </c>
      <c r="G3863" s="242" t="n">
        <v>116198236</v>
      </c>
      <c r="H3863" s="241" t="n">
        <v>1.77</v>
      </c>
      <c r="I3863" s="241" t="n">
        <v>20.65</v>
      </c>
      <c r="J3863" s="241" t="n">
        <v>99.42</v>
      </c>
      <c r="K3863" s="241" t="n">
        <v>9.59</v>
      </c>
      <c r="L3863" s="242" t="n">
        <v>8009000</v>
      </c>
      <c r="M3863" s="241" t="n">
        <v>0.34</v>
      </c>
      <c r="N3863" s="241" t="n">
        <v>4.29</v>
      </c>
      <c r="O3863" s="241" t="n">
        <v>113.63</v>
      </c>
      <c r="P3863" s="241" t="n">
        <v>2.04</v>
      </c>
    </row>
    <row r="3864">
      <c r="A3864" s="282" t="inlineStr">
        <is>
          <t>2021-11-23</t>
        </is>
      </c>
      <c r="B3864" s="240">
        <f>IFERROR(1/P3864-1,B3863)</f>
        <v/>
      </c>
      <c r="C3864" s="240">
        <f>$C$3</f>
        <v/>
      </c>
      <c r="D3864" s="240">
        <f>$D$3</f>
        <v/>
      </c>
      <c r="E3864" s="240">
        <f>$E$3</f>
        <v/>
      </c>
      <c r="F3864" s="241" t="n">
        <v>19.85</v>
      </c>
      <c r="G3864" s="242" t="n">
        <v>91812557</v>
      </c>
      <c r="H3864" s="241" t="n">
        <v>1.43</v>
      </c>
      <c r="I3864" s="241" t="n">
        <v>25.55</v>
      </c>
      <c r="J3864" s="241" t="n">
        <v>102.27</v>
      </c>
      <c r="K3864" s="241" t="n">
        <v>9.699999999999999</v>
      </c>
      <c r="L3864" s="242" t="n">
        <v>6785600</v>
      </c>
      <c r="M3864" s="241" t="n">
        <v>1.2</v>
      </c>
      <c r="N3864" s="241" t="n">
        <v>10.67</v>
      </c>
      <c r="O3864" s="241" t="n">
        <v>116.19</v>
      </c>
      <c r="P3864" s="241" t="n">
        <v>2.05</v>
      </c>
    </row>
    <row r="3865">
      <c r="A3865" s="282" t="inlineStr">
        <is>
          <t>2021-11-24</t>
        </is>
      </c>
      <c r="B3865" s="240">
        <f>IFERROR(1/P3865-1,B3864)</f>
        <v/>
      </c>
      <c r="C3865" s="240">
        <f>$C$3</f>
        <v/>
      </c>
      <c r="D3865" s="240">
        <f>$D$3</f>
        <v/>
      </c>
      <c r="E3865" s="240">
        <f>$E$3</f>
        <v/>
      </c>
      <c r="F3865" s="241" t="n">
        <v>19.45</v>
      </c>
      <c r="G3865" s="242" t="n">
        <v>58519777</v>
      </c>
      <c r="H3865" s="241" t="n">
        <v>-2.02</v>
      </c>
      <c r="I3865" s="241" t="n">
        <v>23.02</v>
      </c>
      <c r="J3865" s="241" t="n">
        <v>98.2</v>
      </c>
      <c r="K3865" s="241" t="n">
        <v>9.68</v>
      </c>
      <c r="L3865" s="242" t="n">
        <v>2332400</v>
      </c>
      <c r="M3865" s="241" t="n">
        <v>-0.17</v>
      </c>
      <c r="N3865" s="241" t="n">
        <v>10.49</v>
      </c>
      <c r="O3865" s="241" t="n">
        <v>115.82</v>
      </c>
      <c r="P3865" s="241" t="n">
        <v>2.01</v>
      </c>
    </row>
    <row r="3866">
      <c r="A3866" s="282" t="inlineStr">
        <is>
          <t>2021-11-25</t>
        </is>
      </c>
      <c r="B3866" s="240">
        <f>IFERROR(1/P3866-1,B3865)</f>
        <v/>
      </c>
      <c r="C3866" s="240">
        <f>$C$3</f>
        <v/>
      </c>
      <c r="D3866" s="240">
        <f>$D$3</f>
        <v/>
      </c>
      <c r="E3866" s="240">
        <f>$E$3</f>
        <v/>
      </c>
      <c r="F3866" s="241" t="n">
        <v>20.12</v>
      </c>
      <c r="G3866" s="242" t="n">
        <v>87869859</v>
      </c>
      <c r="H3866" s="241" t="n">
        <v>3.44</v>
      </c>
      <c r="I3866" s="241" t="n">
        <v>27.26</v>
      </c>
      <c r="J3866" s="241" t="n">
        <v>105.03</v>
      </c>
      <c r="K3866" s="241" t="n">
        <v>9.880000000000001</v>
      </c>
      <c r="L3866" s="242" t="n">
        <v>4012200</v>
      </c>
      <c r="M3866" s="241" t="n">
        <v>2.03</v>
      </c>
      <c r="N3866" s="241" t="n">
        <v>12.73</v>
      </c>
      <c r="O3866" s="241" t="n">
        <v>120.21</v>
      </c>
      <c r="P3866" s="241" t="n">
        <v>2.04</v>
      </c>
    </row>
    <row r="3867">
      <c r="A3867" s="282" t="inlineStr">
        <is>
          <t>2021-11-26</t>
        </is>
      </c>
      <c r="B3867" s="240">
        <f>IFERROR(1/P3867-1,B3866)</f>
        <v/>
      </c>
      <c r="C3867" s="240">
        <f>$C$3</f>
        <v/>
      </c>
      <c r="D3867" s="240">
        <f>$D$3</f>
        <v/>
      </c>
      <c r="E3867" s="240">
        <f>$E$3</f>
        <v/>
      </c>
      <c r="F3867" s="241" t="n">
        <v>20.2</v>
      </c>
      <c r="G3867" s="242" t="n">
        <v>58112521</v>
      </c>
      <c r="H3867" s="241" t="n">
        <v>0.4</v>
      </c>
      <c r="I3867" s="241" t="n">
        <v>16.16</v>
      </c>
      <c r="J3867" s="241" t="n">
        <v>105.84</v>
      </c>
      <c r="K3867" s="241" t="n">
        <v>9.58</v>
      </c>
      <c r="L3867" s="242" t="n">
        <v>2492796</v>
      </c>
      <c r="M3867" s="241" t="n">
        <v>-2.99</v>
      </c>
      <c r="N3867" s="241" t="n">
        <v>-1.18</v>
      </c>
      <c r="O3867" s="241" t="n">
        <v>113.63</v>
      </c>
      <c r="P3867" s="241" t="n">
        <v>2.11</v>
      </c>
    </row>
    <row r="3868">
      <c r="A3868" s="282" t="inlineStr">
        <is>
          <t>2021-11-29</t>
        </is>
      </c>
      <c r="B3868" s="240">
        <f>IFERROR(1/P3868-1,B3867)</f>
        <v/>
      </c>
      <c r="C3868" s="240">
        <f>$C$3</f>
        <v/>
      </c>
      <c r="D3868" s="240">
        <f>$D$3</f>
        <v/>
      </c>
      <c r="E3868" s="240">
        <f>$E$3</f>
        <v/>
      </c>
      <c r="F3868" s="241" t="n">
        <v>20.99</v>
      </c>
      <c r="G3868" s="242" t="n">
        <v>87675577</v>
      </c>
      <c r="H3868" s="241" t="n">
        <v>3.91</v>
      </c>
      <c r="I3868" s="241" t="n">
        <v>11.95</v>
      </c>
      <c r="J3868" s="241" t="n">
        <v>113.89</v>
      </c>
      <c r="K3868" s="241" t="n">
        <v>10.3</v>
      </c>
      <c r="L3868" s="242" t="n">
        <v>9023800</v>
      </c>
      <c r="M3868" s="241" t="n">
        <v>7.71</v>
      </c>
      <c r="N3868" s="241" t="n">
        <v>1.62</v>
      </c>
      <c r="O3868" s="241" t="n">
        <v>130.09</v>
      </c>
      <c r="P3868" s="241" t="n">
        <v>2.04</v>
      </c>
    </row>
    <row r="3869">
      <c r="A3869" s="282" t="inlineStr">
        <is>
          <t>2021-11-30</t>
        </is>
      </c>
      <c r="B3869" s="240">
        <f>IFERROR(1/P3869-1,B3868)</f>
        <v/>
      </c>
      <c r="C3869" s="240">
        <f>$C$3</f>
        <v/>
      </c>
      <c r="D3869" s="240">
        <f>$D$3</f>
        <v/>
      </c>
      <c r="E3869" s="240">
        <f>$E$3</f>
        <v/>
      </c>
      <c r="F3869" s="241" t="n">
        <v>20.4</v>
      </c>
      <c r="G3869" s="242" t="n">
        <v>72721068</v>
      </c>
      <c r="H3869" s="241" t="n">
        <v>-2.81</v>
      </c>
      <c r="I3869" s="241" t="n">
        <v>12.4</v>
      </c>
      <c r="J3869" s="241" t="n">
        <v>107.88</v>
      </c>
      <c r="K3869" s="241" t="n">
        <v>10.21</v>
      </c>
      <c r="L3869" s="242" t="n">
        <v>3637250</v>
      </c>
      <c r="M3869" s="241" t="n">
        <v>-0.79</v>
      </c>
      <c r="N3869" s="241" t="n">
        <v>0.32</v>
      </c>
      <c r="O3869" s="241" t="n">
        <v>128.26</v>
      </c>
      <c r="P3869" s="241" t="n">
        <v>2</v>
      </c>
    </row>
    <row r="3870">
      <c r="A3870" s="282" t="inlineStr">
        <is>
          <t>2021-12-01</t>
        </is>
      </c>
      <c r="B3870" s="240">
        <f>IFERROR(1/P3870-1,B3869)</f>
        <v/>
      </c>
      <c r="C3870" s="240">
        <f>$C$3</f>
        <v/>
      </c>
      <c r="D3870" s="240">
        <f>$D$3</f>
        <v/>
      </c>
      <c r="E3870" s="240">
        <f>$E$3</f>
        <v/>
      </c>
      <c r="F3870" s="241" t="n">
        <v>20.19</v>
      </c>
      <c r="G3870" s="242" t="n">
        <v>49703955</v>
      </c>
      <c r="H3870" s="241" t="n">
        <v>-1.03</v>
      </c>
      <c r="I3870" s="241" t="n">
        <v>11.24</v>
      </c>
      <c r="J3870" s="241" t="n">
        <v>105.74</v>
      </c>
      <c r="K3870" s="241" t="n">
        <v>10.13</v>
      </c>
      <c r="L3870" s="242" t="n">
        <v>3552800</v>
      </c>
      <c r="M3870" s="241" t="n">
        <v>-0.64</v>
      </c>
      <c r="N3870" s="241" t="n">
        <v>-0.32</v>
      </c>
      <c r="O3870" s="241" t="n">
        <v>126.8</v>
      </c>
      <c r="P3870" s="241" t="n">
        <v>1.99</v>
      </c>
    </row>
    <row r="3871">
      <c r="A3871" s="282" t="inlineStr">
        <is>
          <t>2021-12-02</t>
        </is>
      </c>
      <c r="B3871" s="240">
        <f>IFERROR(1/P3871-1,B3870)</f>
        <v/>
      </c>
      <c r="C3871" s="240">
        <f>$C$3</f>
        <v/>
      </c>
      <c r="D3871" s="240">
        <f>$D$3</f>
        <v/>
      </c>
      <c r="E3871" s="240">
        <f>$E$3</f>
        <v/>
      </c>
      <c r="F3871" s="241" t="n">
        <v>20.66</v>
      </c>
      <c r="G3871" s="242" t="n">
        <v>66188908</v>
      </c>
      <c r="H3871" s="241" t="n">
        <v>2.33</v>
      </c>
      <c r="I3871" s="241" t="n">
        <v>16.13</v>
      </c>
      <c r="J3871" s="241" t="n">
        <v>110.53</v>
      </c>
      <c r="K3871" s="241" t="n">
        <v>10.22</v>
      </c>
      <c r="L3871" s="242" t="n">
        <v>4813000</v>
      </c>
      <c r="M3871" s="241" t="n">
        <v>0.8100000000000001</v>
      </c>
      <c r="N3871" s="241" t="n">
        <v>6.47</v>
      </c>
      <c r="O3871" s="241" t="n">
        <v>128.62</v>
      </c>
      <c r="P3871" s="241" t="n">
        <v>2.02</v>
      </c>
    </row>
    <row r="3872">
      <c r="A3872" s="282" t="inlineStr">
        <is>
          <t>2021-12-03</t>
        </is>
      </c>
      <c r="B3872" s="240">
        <f>IFERROR(1/P3872-1,B3871)</f>
        <v/>
      </c>
      <c r="C3872" s="240">
        <f>$C$3</f>
        <v/>
      </c>
      <c r="D3872" s="240">
        <f>$D$3</f>
        <v/>
      </c>
      <c r="E3872" s="240">
        <f>$E$3</f>
        <v/>
      </c>
      <c r="F3872" s="241" t="n">
        <v>21.91</v>
      </c>
      <c r="G3872" s="242" t="n">
        <v>91968893</v>
      </c>
      <c r="H3872" s="241" t="n">
        <v>6.05</v>
      </c>
      <c r="I3872" s="241" t="n">
        <v>22.06</v>
      </c>
      <c r="J3872" s="241" t="n">
        <v>123.27</v>
      </c>
      <c r="K3872" s="241" t="n">
        <v>11.08</v>
      </c>
      <c r="L3872" s="242" t="n">
        <v>10569200</v>
      </c>
      <c r="M3872" s="241" t="n">
        <v>8.32</v>
      </c>
      <c r="N3872" s="241" t="n">
        <v>18.77</v>
      </c>
      <c r="O3872" s="241" t="n">
        <v>147.65</v>
      </c>
      <c r="P3872" s="241" t="n">
        <v>1.98</v>
      </c>
    </row>
    <row r="3873">
      <c r="A3873" s="282" t="inlineStr">
        <is>
          <t>2021-12-06</t>
        </is>
      </c>
      <c r="B3873" s="240">
        <f>IFERROR(1/P3873-1,B3872)</f>
        <v/>
      </c>
      <c r="C3873" s="240">
        <f>$C$3</f>
        <v/>
      </c>
      <c r="D3873" s="240">
        <f>$D$3</f>
        <v/>
      </c>
      <c r="E3873" s="240">
        <f>$E$3</f>
        <v/>
      </c>
      <c r="F3873" s="241" t="n">
        <v>21.8</v>
      </c>
      <c r="G3873" s="242" t="n">
        <v>65573724</v>
      </c>
      <c r="H3873" s="241" t="n">
        <v>-0.5</v>
      </c>
      <c r="I3873" s="241" t="n">
        <v>17.84</v>
      </c>
      <c r="J3873" s="241" t="n">
        <v>122.15</v>
      </c>
      <c r="K3873" s="241" t="n">
        <v>10.74</v>
      </c>
      <c r="L3873" s="242" t="n">
        <v>5033000</v>
      </c>
      <c r="M3873" s="241" t="n">
        <v>-2.95</v>
      </c>
      <c r="N3873" s="241" t="n">
        <v>4.62</v>
      </c>
      <c r="O3873" s="241" t="n">
        <v>140.33</v>
      </c>
      <c r="P3873" s="241" t="n">
        <v>2.03</v>
      </c>
    </row>
    <row r="3874">
      <c r="A3874" s="282" t="inlineStr">
        <is>
          <t>2021-12-07</t>
        </is>
      </c>
      <c r="B3874" s="240">
        <f>IFERROR(1/P3874-1,B3873)</f>
        <v/>
      </c>
      <c r="C3874" s="240">
        <f>$C$3</f>
        <v/>
      </c>
      <c r="D3874" s="240">
        <f>$D$3</f>
        <v/>
      </c>
      <c r="E3874" s="240">
        <f>$E$3</f>
        <v/>
      </c>
      <c r="F3874" s="241" t="n">
        <v>22.09</v>
      </c>
      <c r="G3874" s="242" t="n">
        <v>64216450</v>
      </c>
      <c r="H3874" s="241" t="n">
        <v>1.33</v>
      </c>
      <c r="I3874" s="241" t="n">
        <v>19.41</v>
      </c>
      <c r="J3874" s="241" t="n">
        <v>125.1</v>
      </c>
      <c r="K3874" s="241" t="n">
        <v>11.03</v>
      </c>
      <c r="L3874" s="242" t="n">
        <v>6122800</v>
      </c>
      <c r="M3874" s="241" t="n">
        <v>2.74</v>
      </c>
      <c r="N3874" s="241" t="n">
        <v>7.48</v>
      </c>
      <c r="O3874" s="241" t="n">
        <v>146.91</v>
      </c>
      <c r="P3874" s="241" t="n">
        <v>2</v>
      </c>
    </row>
    <row r="3875">
      <c r="A3875" s="282" t="inlineStr">
        <is>
          <t>2021-12-08</t>
        </is>
      </c>
      <c r="B3875" s="240">
        <f>IFERROR(1/P3875-1,B3874)</f>
        <v/>
      </c>
      <c r="C3875" s="240">
        <f>$C$3</f>
        <v/>
      </c>
      <c r="D3875" s="240">
        <f>$D$3</f>
        <v/>
      </c>
      <c r="E3875" s="240">
        <f>$E$3</f>
        <v/>
      </c>
      <c r="F3875" s="241" t="n">
        <v>21.38</v>
      </c>
      <c r="G3875" s="242" t="n">
        <v>82182562</v>
      </c>
      <c r="H3875" s="241" t="n">
        <v>-3.21</v>
      </c>
      <c r="I3875" s="241" t="n">
        <v>15.57</v>
      </c>
      <c r="J3875" s="241" t="n">
        <v>117.87</v>
      </c>
      <c r="K3875" s="241" t="n">
        <v>10.89</v>
      </c>
      <c r="L3875" s="242" t="n">
        <v>6815400</v>
      </c>
      <c r="M3875" s="241" t="n">
        <v>-1.19</v>
      </c>
      <c r="N3875" s="241" t="n">
        <v>6.21</v>
      </c>
      <c r="O3875" s="241" t="n">
        <v>143.99</v>
      </c>
      <c r="P3875" s="241" t="n">
        <v>1.96</v>
      </c>
    </row>
    <row r="3876">
      <c r="A3876" s="282" t="inlineStr">
        <is>
          <t>2021-12-09</t>
        </is>
      </c>
      <c r="B3876" s="240">
        <f>IFERROR(1/P3876-1,B3875)</f>
        <v/>
      </c>
      <c r="C3876" s="240">
        <f>$C$3</f>
        <v/>
      </c>
      <c r="D3876" s="240">
        <f>$D$3</f>
        <v/>
      </c>
      <c r="E3876" s="240">
        <f>$E$3</f>
        <v/>
      </c>
      <c r="F3876" s="241" t="n">
        <v>21.45</v>
      </c>
      <c r="G3876" s="242" t="n">
        <v>50274515</v>
      </c>
      <c r="H3876" s="241" t="n">
        <v>0.33</v>
      </c>
      <c r="I3876" s="241" t="n">
        <v>17.53</v>
      </c>
      <c r="J3876" s="241" t="n">
        <v>118.58</v>
      </c>
      <c r="K3876" s="241" t="n">
        <v>11.25</v>
      </c>
      <c r="L3876" s="242" t="n">
        <v>5067800</v>
      </c>
      <c r="M3876" s="241" t="n">
        <v>3.6</v>
      </c>
      <c r="N3876" s="241" t="n">
        <v>12.91</v>
      </c>
      <c r="O3876" s="241" t="n">
        <v>152.77</v>
      </c>
      <c r="P3876" s="241" t="n">
        <v>1.91</v>
      </c>
    </row>
    <row r="3877">
      <c r="A3877" s="282" t="inlineStr">
        <is>
          <t>2021-12-10</t>
        </is>
      </c>
      <c r="B3877" s="240">
        <f>IFERROR(1/P3877-1,B3876)</f>
        <v/>
      </c>
      <c r="C3877" s="240">
        <f>$C$3</f>
        <v/>
      </c>
      <c r="D3877" s="240">
        <f>$D$3</f>
        <v/>
      </c>
      <c r="E3877" s="240">
        <f>$E$3</f>
        <v/>
      </c>
      <c r="F3877" s="241" t="n">
        <v>20.33</v>
      </c>
      <c r="G3877" s="242" t="n">
        <v>73021056</v>
      </c>
      <c r="H3877" s="241" t="n">
        <v>-5.22</v>
      </c>
      <c r="I3877" s="241" t="n">
        <v>8.43</v>
      </c>
      <c r="J3877" s="241" t="n">
        <v>107.17</v>
      </c>
      <c r="K3877" s="241" t="n">
        <v>10.55</v>
      </c>
      <c r="L3877" s="242" t="n">
        <v>5134200</v>
      </c>
      <c r="M3877" s="241" t="n">
        <v>-6.51</v>
      </c>
      <c r="N3877" s="241" t="n">
        <v>3.03</v>
      </c>
      <c r="O3877" s="241" t="n">
        <v>136.31</v>
      </c>
      <c r="P3877" s="241" t="n">
        <v>1.93</v>
      </c>
    </row>
    <row r="3878">
      <c r="A3878" s="282" t="inlineStr">
        <is>
          <t>2021-12-13</t>
        </is>
      </c>
      <c r="B3878" s="240">
        <f>IFERROR(1/P3878-1,B3877)</f>
        <v/>
      </c>
      <c r="C3878" s="240">
        <f>$C$3</f>
        <v/>
      </c>
      <c r="D3878" s="240">
        <f>$D$3</f>
        <v/>
      </c>
      <c r="E3878" s="240">
        <f>$E$3</f>
        <v/>
      </c>
      <c r="F3878" s="241" t="n">
        <v>21.27</v>
      </c>
      <c r="G3878" s="242" t="n">
        <v>65122079</v>
      </c>
      <c r="H3878" s="241" t="n">
        <v>4.62</v>
      </c>
      <c r="I3878" s="241" t="n">
        <v>11.24</v>
      </c>
      <c r="J3878" s="241" t="n">
        <v>116.74</v>
      </c>
      <c r="K3878" s="241" t="n">
        <v>10.91</v>
      </c>
      <c r="L3878" s="242" t="n">
        <v>4517800</v>
      </c>
      <c r="M3878" s="241" t="n">
        <v>3.41</v>
      </c>
      <c r="N3878" s="241" t="n">
        <v>6.2</v>
      </c>
      <c r="O3878" s="241" t="n">
        <v>144.35</v>
      </c>
      <c r="P3878" s="241" t="n">
        <v>1.95</v>
      </c>
    </row>
    <row r="3879">
      <c r="A3879" s="282" t="inlineStr">
        <is>
          <t>2021-12-14</t>
        </is>
      </c>
      <c r="B3879" s="240">
        <f>IFERROR(1/P3879-1,B3878)</f>
        <v/>
      </c>
      <c r="C3879" s="240">
        <f>$C$3</f>
        <v/>
      </c>
      <c r="D3879" s="240">
        <f>$D$3</f>
        <v/>
      </c>
      <c r="E3879" s="240">
        <f>$E$3</f>
        <v/>
      </c>
      <c r="F3879" s="241" t="n">
        <v>21.02</v>
      </c>
      <c r="G3879" s="242" t="n">
        <v>38804025</v>
      </c>
      <c r="H3879" s="241" t="n">
        <v>-1.18</v>
      </c>
      <c r="I3879" s="241" t="n">
        <v>9.94</v>
      </c>
      <c r="J3879" s="241" t="n">
        <v>114.2</v>
      </c>
      <c r="K3879" s="241" t="n">
        <v>10.79</v>
      </c>
      <c r="L3879" s="242" t="n">
        <v>2243000</v>
      </c>
      <c r="M3879" s="241" t="n">
        <v>-1.05</v>
      </c>
      <c r="N3879" s="241" t="n">
        <v>5.09</v>
      </c>
      <c r="O3879" s="241" t="n">
        <v>141.79</v>
      </c>
      <c r="P3879" s="241" t="n">
        <v>1.95</v>
      </c>
    </row>
    <row r="3880">
      <c r="A3880" s="282" t="inlineStr">
        <is>
          <t>2021-12-15</t>
        </is>
      </c>
      <c r="B3880" s="240">
        <f>IFERROR(1/P3880-1,B3879)</f>
        <v/>
      </c>
      <c r="C3880" s="240">
        <f>$C$3</f>
        <v/>
      </c>
      <c r="D3880" s="240">
        <f>$D$3</f>
        <v/>
      </c>
      <c r="E3880" s="240">
        <f>$E$3</f>
        <v/>
      </c>
      <c r="F3880" s="241" t="n">
        <v>21.79</v>
      </c>
      <c r="G3880" s="242" t="n">
        <v>76235765</v>
      </c>
      <c r="H3880" s="241" t="n">
        <v>3.66</v>
      </c>
      <c r="I3880" s="241" t="n">
        <v>13.96</v>
      </c>
      <c r="J3880" s="241" t="n">
        <v>122.04</v>
      </c>
      <c r="K3880" s="241" t="n">
        <v>10.86</v>
      </c>
      <c r="L3880" s="242" t="n">
        <v>4623900</v>
      </c>
      <c r="M3880" s="241" t="n">
        <v>0.61</v>
      </c>
      <c r="N3880" s="241" t="n">
        <v>5.72</v>
      </c>
      <c r="O3880" s="241" t="n">
        <v>143.26</v>
      </c>
      <c r="P3880" s="241" t="n">
        <v>2.01</v>
      </c>
    </row>
    <row r="3881">
      <c r="A3881" s="282" t="inlineStr">
        <is>
          <t>2021-12-16</t>
        </is>
      </c>
      <c r="B3881" s="240">
        <f>IFERROR(1/P3881-1,B3880)</f>
        <v/>
      </c>
      <c r="C3881" s="240">
        <f>$C$3</f>
        <v/>
      </c>
      <c r="D3881" s="240">
        <f>$D$3</f>
        <v/>
      </c>
      <c r="E3881" s="240">
        <f>$E$3</f>
        <v/>
      </c>
      <c r="F3881" s="241" t="n">
        <v>22.42</v>
      </c>
      <c r="G3881" s="242" t="n">
        <v>61253577</v>
      </c>
      <c r="H3881" s="241" t="n">
        <v>2.89</v>
      </c>
      <c r="I3881" s="241" t="n">
        <v>26.24</v>
      </c>
      <c r="J3881" s="241" t="n">
        <v>128.46</v>
      </c>
      <c r="K3881" s="241" t="n">
        <v>11.83</v>
      </c>
      <c r="L3881" s="242" t="n">
        <v>10465149</v>
      </c>
      <c r="M3881" s="241" t="n">
        <v>9.02</v>
      </c>
      <c r="N3881" s="241" t="n">
        <v>22.47</v>
      </c>
      <c r="O3881" s="241" t="n">
        <v>165.2</v>
      </c>
      <c r="P3881" s="241" t="n">
        <v>1.9</v>
      </c>
    </row>
    <row r="3882">
      <c r="A3882" s="282" t="inlineStr">
        <is>
          <t>2021-12-17</t>
        </is>
      </c>
      <c r="B3882" s="240">
        <f>IFERROR(1/P3882-1,B3881)</f>
        <v/>
      </c>
      <c r="C3882" s="240">
        <f>$C$3</f>
        <v/>
      </c>
      <c r="D3882" s="240">
        <f>$D$3</f>
        <v/>
      </c>
      <c r="E3882" s="240">
        <f>$E$3</f>
        <v/>
      </c>
      <c r="F3882" s="241" t="n">
        <v>21.91</v>
      </c>
      <c r="G3882" s="242" t="n">
        <v>65221907</v>
      </c>
      <c r="H3882" s="241" t="n">
        <v>-2.27</v>
      </c>
      <c r="I3882" s="241" t="n">
        <v>27.53</v>
      </c>
      <c r="J3882" s="241" t="n">
        <v>123.27</v>
      </c>
      <c r="K3882" s="241" t="n">
        <v>11.31</v>
      </c>
      <c r="L3882" s="242" t="n">
        <v>7567600</v>
      </c>
      <c r="M3882" s="241" t="n">
        <v>-4.41</v>
      </c>
      <c r="N3882" s="241" t="n">
        <v>24.19</v>
      </c>
      <c r="O3882" s="241" t="n">
        <v>153.5</v>
      </c>
      <c r="P3882" s="241" t="n">
        <v>1.94</v>
      </c>
    </row>
    <row r="3883">
      <c r="A3883" s="282" t="inlineStr">
        <is>
          <t>2021-12-20</t>
        </is>
      </c>
      <c r="B3883" s="240">
        <f>IFERROR(1/P3883-1,B3882)</f>
        <v/>
      </c>
      <c r="C3883" s="240">
        <f>$C$3</f>
        <v/>
      </c>
      <c r="D3883" s="240">
        <f>$D$3</f>
        <v/>
      </c>
      <c r="E3883" s="240">
        <f>$E$3</f>
        <v/>
      </c>
      <c r="F3883" s="241" t="n">
        <v>20.91</v>
      </c>
      <c r="G3883" s="242" t="n">
        <v>58097742</v>
      </c>
      <c r="H3883" s="241" t="n">
        <v>-4.56</v>
      </c>
      <c r="I3883" s="241" t="n">
        <v>8.74</v>
      </c>
      <c r="J3883" s="241" t="n">
        <v>113.08</v>
      </c>
      <c r="K3883" s="241" t="n">
        <v>10.47</v>
      </c>
      <c r="L3883" s="242" t="n">
        <v>7282200</v>
      </c>
      <c r="M3883" s="241" t="n">
        <v>-7.79</v>
      </c>
      <c r="N3883" s="241" t="n">
        <v>9.789999999999999</v>
      </c>
      <c r="O3883" s="241" t="n">
        <v>133.75</v>
      </c>
      <c r="P3883" s="241" t="n">
        <v>2</v>
      </c>
    </row>
    <row r="3884">
      <c r="A3884" s="282" t="inlineStr">
        <is>
          <t>2021-12-21</t>
        </is>
      </c>
      <c r="B3884" s="240">
        <f>IFERROR(1/P3884-1,B3883)</f>
        <v/>
      </c>
      <c r="C3884" s="240">
        <f>$C$3</f>
        <v/>
      </c>
      <c r="D3884" s="240">
        <f>$D$3</f>
        <v/>
      </c>
      <c r="E3884" s="240">
        <f>$E$3</f>
        <v/>
      </c>
      <c r="F3884" s="241" t="n">
        <v>21.11</v>
      </c>
      <c r="G3884" s="242" t="n">
        <v>35279434</v>
      </c>
      <c r="H3884" s="241" t="n">
        <v>0.96</v>
      </c>
      <c r="I3884" s="241" t="n">
        <v>9.779999999999999</v>
      </c>
      <c r="J3884" s="241" t="n">
        <v>115.11</v>
      </c>
      <c r="K3884" s="241" t="n">
        <v>10.36</v>
      </c>
      <c r="L3884" s="242" t="n">
        <v>4325598</v>
      </c>
      <c r="M3884" s="241" t="n">
        <v>-0.78</v>
      </c>
      <c r="N3884" s="241" t="n">
        <v>8.93</v>
      </c>
      <c r="O3884" s="241" t="n">
        <v>131.92</v>
      </c>
      <c r="P3884" s="241" t="n">
        <v>2.04</v>
      </c>
    </row>
    <row r="3885">
      <c r="A3885" s="282" t="inlineStr">
        <is>
          <t>2021-12-22</t>
        </is>
      </c>
      <c r="B3885" s="240">
        <f>IFERROR(1/P3885-1,B3884)</f>
        <v/>
      </c>
      <c r="C3885" s="240">
        <f>$C$3</f>
        <v/>
      </c>
      <c r="D3885" s="240">
        <f>$D$3</f>
        <v/>
      </c>
      <c r="E3885" s="240">
        <f>$E$3</f>
        <v/>
      </c>
      <c r="F3885" s="241" t="n">
        <v>20.67</v>
      </c>
      <c r="G3885" s="242" t="n">
        <v>29426616</v>
      </c>
      <c r="H3885" s="241" t="n">
        <v>-2.08</v>
      </c>
      <c r="I3885" s="241" t="n">
        <v>7.49</v>
      </c>
      <c r="J3885" s="241" t="n">
        <v>110.63</v>
      </c>
      <c r="K3885" s="241" t="n">
        <v>10.09</v>
      </c>
      <c r="L3885" s="242" t="n">
        <v>2852477</v>
      </c>
      <c r="M3885" s="241" t="n">
        <v>-2.52</v>
      </c>
      <c r="N3885" s="241" t="n">
        <v>6.19</v>
      </c>
      <c r="O3885" s="241" t="n">
        <v>126.06</v>
      </c>
      <c r="P3885" s="241" t="n">
        <v>2.05</v>
      </c>
    </row>
    <row r="3886">
      <c r="A3886" s="282" t="inlineStr">
        <is>
          <t>2021-12-23</t>
        </is>
      </c>
      <c r="B3886" s="240">
        <f>IFERROR(1/P3886-1,B3885)</f>
        <v/>
      </c>
      <c r="C3886" s="240">
        <f>$C$3</f>
        <v/>
      </c>
      <c r="D3886" s="240">
        <f>$D$3</f>
        <v/>
      </c>
      <c r="E3886" s="240">
        <f>$E$3</f>
        <v/>
      </c>
      <c r="F3886" s="241" t="n">
        <v>21.99</v>
      </c>
      <c r="G3886" s="242" t="n">
        <v>55007693</v>
      </c>
      <c r="H3886" s="241" t="n">
        <v>6.39</v>
      </c>
      <c r="I3886" s="241" t="n">
        <v>12.37</v>
      </c>
      <c r="J3886" s="241" t="n">
        <v>124.08</v>
      </c>
      <c r="K3886" s="241" t="n">
        <v>10.9</v>
      </c>
      <c r="L3886" s="242" t="n">
        <v>4725000</v>
      </c>
      <c r="M3886" s="241" t="n">
        <v>8.09</v>
      </c>
      <c r="N3886" s="241" t="n">
        <v>14.38</v>
      </c>
      <c r="O3886" s="241" t="n">
        <v>144.35</v>
      </c>
      <c r="P3886" s="241" t="n">
        <v>2.02</v>
      </c>
    </row>
    <row r="3887">
      <c r="A3887" s="282" t="inlineStr">
        <is>
          <t>2021-12-24</t>
        </is>
      </c>
      <c r="B3887" s="240">
        <f>IFERROR(1/P3887-1,B3886)</f>
        <v/>
      </c>
      <c r="C3887" s="240">
        <f>$C$3</f>
        <v/>
      </c>
      <c r="D3887" s="240">
        <f>$D$3</f>
        <v/>
      </c>
      <c r="E3887" s="240">
        <f>$E$3</f>
        <v/>
      </c>
      <c r="F3887" s="241" t="n">
        <v>21.19</v>
      </c>
      <c r="G3887" s="242" t="n">
        <v>35382537</v>
      </c>
      <c r="H3887" s="241" t="n">
        <v>-3.64</v>
      </c>
      <c r="I3887" s="241" t="n">
        <v>6.75</v>
      </c>
      <c r="J3887" s="241" t="n">
        <v>115.93</v>
      </c>
      <c r="K3887" s="241" t="n">
        <v>10.81</v>
      </c>
      <c r="L3887" s="242" t="n">
        <v>1301400</v>
      </c>
      <c r="M3887" s="241" t="n">
        <v>-0.9</v>
      </c>
      <c r="N3887" s="241" t="n">
        <v>12.01</v>
      </c>
      <c r="O3887" s="241" t="n">
        <v>142.16</v>
      </c>
      <c r="P3887" s="241" t="n">
        <v>1.96</v>
      </c>
    </row>
    <row r="3888">
      <c r="A3888" s="282" t="inlineStr">
        <is>
          <t>2021-12-27</t>
        </is>
      </c>
      <c r="B3888" s="240">
        <f>IFERROR(1/P3888-1,B3887)</f>
        <v/>
      </c>
      <c r="C3888" s="240">
        <f>$C$3</f>
        <v/>
      </c>
      <c r="D3888" s="240">
        <f>$D$3</f>
        <v/>
      </c>
      <c r="E3888" s="240">
        <f>$E$3</f>
        <v/>
      </c>
      <c r="F3888" s="241" t="n">
        <v>21.61</v>
      </c>
      <c r="G3888" s="242" t="n">
        <v>50762265</v>
      </c>
      <c r="H3888" s="241" t="n">
        <v>1.98</v>
      </c>
      <c r="I3888" s="241" t="n">
        <v>6.98</v>
      </c>
      <c r="J3888" s="241" t="n">
        <v>120.21</v>
      </c>
      <c r="K3888" s="239" t="inlineStr">
        <is>
          <t>--</t>
        </is>
      </c>
      <c r="L3888" s="239" t="inlineStr">
        <is>
          <t>--</t>
        </is>
      </c>
      <c r="M3888" s="239" t="inlineStr">
        <is>
          <t>--</t>
        </is>
      </c>
      <c r="N3888" s="239" t="inlineStr">
        <is>
          <t>--</t>
        </is>
      </c>
      <c r="O3888" s="239" t="inlineStr">
        <is>
          <t>--</t>
        </is>
      </c>
      <c r="P3888" s="239" t="inlineStr">
        <is>
          <t>--</t>
        </is>
      </c>
    </row>
    <row r="3889">
      <c r="A3889" s="282" t="inlineStr">
        <is>
          <t>2021-12-28</t>
        </is>
      </c>
      <c r="B3889" s="240">
        <f>IFERROR(1/P3889-1,B3888)</f>
        <v/>
      </c>
      <c r="C3889" s="240">
        <f>$C$3</f>
        <v/>
      </c>
      <c r="D3889" s="240">
        <f>$D$3</f>
        <v/>
      </c>
      <c r="E3889" s="240">
        <f>$E$3</f>
        <v/>
      </c>
      <c r="F3889" s="241" t="n">
        <v>20.64</v>
      </c>
      <c r="G3889" s="242" t="n">
        <v>65556820</v>
      </c>
      <c r="H3889" s="241" t="n">
        <v>-4.49</v>
      </c>
      <c r="I3889" s="241" t="n">
        <v>2.18</v>
      </c>
      <c r="J3889" s="241" t="n">
        <v>110.32</v>
      </c>
      <c r="K3889" s="241" t="n">
        <v>10.48</v>
      </c>
      <c r="L3889" s="242" t="n">
        <v>2823600</v>
      </c>
      <c r="M3889" s="241" t="n">
        <v>-3.17</v>
      </c>
      <c r="N3889" s="241" t="n">
        <v>9.76</v>
      </c>
      <c r="O3889" s="241" t="n">
        <v>134.48</v>
      </c>
      <c r="P3889" s="241" t="n">
        <v>1.97</v>
      </c>
    </row>
    <row r="3890">
      <c r="A3890" s="282" t="inlineStr">
        <is>
          <t>2021-12-29</t>
        </is>
      </c>
      <c r="B3890" s="240">
        <f>IFERROR(1/P3890-1,B3889)</f>
        <v/>
      </c>
      <c r="C3890" s="240">
        <f>$C$3</f>
        <v/>
      </c>
      <c r="D3890" s="240">
        <f>$D$3</f>
        <v/>
      </c>
      <c r="E3890" s="240">
        <f>$E$3</f>
        <v/>
      </c>
      <c r="F3890" s="241" t="n">
        <v>20.4</v>
      </c>
      <c r="G3890" s="242" t="n">
        <v>39590625</v>
      </c>
      <c r="H3890" s="241" t="n">
        <v>-1.16</v>
      </c>
      <c r="I3890" s="241" t="n">
        <v>0.99</v>
      </c>
      <c r="J3890" s="241" t="n">
        <v>107.88</v>
      </c>
      <c r="K3890" s="241" t="n">
        <v>10.3</v>
      </c>
      <c r="L3890" s="242" t="n">
        <v>1514400</v>
      </c>
      <c r="M3890" s="241" t="n">
        <v>-1.72</v>
      </c>
      <c r="N3890" s="241" t="n">
        <v>7.88</v>
      </c>
      <c r="O3890" s="241" t="n">
        <v>130.45</v>
      </c>
      <c r="P3890" s="241" t="n">
        <v>1.98</v>
      </c>
    </row>
    <row r="3891">
      <c r="A3891" s="282" t="inlineStr">
        <is>
          <t>2021-12-30</t>
        </is>
      </c>
      <c r="B3891" s="240">
        <f>IFERROR(1/P3891-1,B3890)</f>
        <v/>
      </c>
      <c r="C3891" s="240">
        <f>$C$3</f>
        <v/>
      </c>
      <c r="D3891" s="240">
        <f>$D$3</f>
        <v/>
      </c>
      <c r="E3891" s="240">
        <f>$E$3</f>
        <v/>
      </c>
      <c r="F3891" s="241" t="n">
        <v>21.7</v>
      </c>
      <c r="G3891" s="242" t="n">
        <v>78240610</v>
      </c>
      <c r="H3891" s="241" t="n">
        <v>6.37</v>
      </c>
      <c r="I3891" s="241" t="n">
        <v>3.38</v>
      </c>
      <c r="J3891" s="241" t="n">
        <v>121.13</v>
      </c>
      <c r="K3891" s="241" t="n">
        <v>10.7</v>
      </c>
      <c r="L3891" s="242" t="n">
        <v>2153000</v>
      </c>
      <c r="M3891" s="241" t="n">
        <v>3.97</v>
      </c>
      <c r="N3891" s="241" t="n">
        <v>4.13</v>
      </c>
      <c r="O3891" s="241" t="n">
        <v>139.6</v>
      </c>
      <c r="P3891" s="241" t="n">
        <v>2.03</v>
      </c>
    </row>
    <row r="3892">
      <c r="A3892" s="282" t="inlineStr">
        <is>
          <t>2021-12-31</t>
        </is>
      </c>
      <c r="B3892" s="240">
        <f>IFERROR(1/P3892-1,B3891)</f>
        <v/>
      </c>
      <c r="C3892" s="240">
        <f>$C$3</f>
        <v/>
      </c>
      <c r="D3892" s="240">
        <f>$D$3</f>
        <v/>
      </c>
      <c r="E3892" s="240">
        <f>$E$3</f>
        <v/>
      </c>
      <c r="F3892" s="241" t="n">
        <v>21.42</v>
      </c>
      <c r="G3892" s="242" t="n">
        <v>37843973</v>
      </c>
      <c r="H3892" s="241" t="n">
        <v>-1.29</v>
      </c>
      <c r="I3892" s="241" t="n">
        <v>2.05</v>
      </c>
      <c r="J3892" s="241" t="n">
        <v>118.27</v>
      </c>
      <c r="K3892" s="241" t="n">
        <v>10.73</v>
      </c>
      <c r="L3892" s="242" t="n">
        <v>1268800</v>
      </c>
      <c r="M3892" s="241" t="n">
        <v>0.15</v>
      </c>
      <c r="N3892" s="241" t="n">
        <v>4.29</v>
      </c>
      <c r="O3892" s="241" t="n">
        <v>139.96</v>
      </c>
      <c r="P3892" s="241" t="n">
        <v>2</v>
      </c>
    </row>
    <row r="3893">
      <c r="A3893" s="282" t="inlineStr">
        <is>
          <t>2022-01-04</t>
        </is>
      </c>
      <c r="B3893" s="240">
        <f>IFERROR(1/P3893-1,B3892)</f>
        <v/>
      </c>
      <c r="C3893" s="240">
        <f>$C$3</f>
        <v/>
      </c>
      <c r="D3893" s="240">
        <f>$D$3</f>
        <v/>
      </c>
      <c r="E3893" s="240">
        <f>$E$3</f>
        <v/>
      </c>
      <c r="F3893" s="241" t="n">
        <v>20.63</v>
      </c>
      <c r="G3893" s="242" t="n">
        <v>52210577</v>
      </c>
      <c r="H3893" s="241" t="n">
        <v>-3.69</v>
      </c>
      <c r="I3893" s="241" t="n">
        <v>-5.84</v>
      </c>
      <c r="J3893" s="241" t="n">
        <v>-3.69</v>
      </c>
      <c r="K3893" s="241" t="n">
        <v>10.54</v>
      </c>
      <c r="L3893" s="242" t="n">
        <v>11371800</v>
      </c>
      <c r="M3893" s="241" t="n">
        <v>-7.47</v>
      </c>
      <c r="N3893" s="241" t="n">
        <v>-4.87</v>
      </c>
      <c r="O3893" s="241" t="n">
        <v>-1.83</v>
      </c>
      <c r="P3893" s="241" t="n">
        <v>1.96</v>
      </c>
    </row>
    <row r="3894">
      <c r="A3894" s="282" t="inlineStr">
        <is>
          <t>2022-01-05</t>
        </is>
      </c>
      <c r="B3894" s="240">
        <f>IFERROR(1/P3894-1,B3893)</f>
        <v/>
      </c>
      <c r="C3894" s="240">
        <f>$C$3</f>
        <v/>
      </c>
      <c r="D3894" s="240">
        <f>$D$3</f>
        <v/>
      </c>
      <c r="E3894" s="240">
        <f>$E$3</f>
        <v/>
      </c>
      <c r="F3894" s="241" t="n">
        <v>19.94</v>
      </c>
      <c r="G3894" s="242" t="n">
        <v>53335905</v>
      </c>
      <c r="H3894" s="241" t="n">
        <v>-3.34</v>
      </c>
      <c r="I3894" s="241" t="n">
        <v>-8.99</v>
      </c>
      <c r="J3894" s="241" t="n">
        <v>-6.91</v>
      </c>
      <c r="K3894" s="241" t="n">
        <v>9.98</v>
      </c>
      <c r="L3894" s="242" t="n">
        <v>5891200</v>
      </c>
      <c r="M3894" s="241" t="n">
        <v>-5.28</v>
      </c>
      <c r="N3894" s="241" t="n">
        <v>-9.9</v>
      </c>
      <c r="O3894" s="241" t="n">
        <v>-7.01</v>
      </c>
      <c r="P3894" s="241" t="n">
        <v>2</v>
      </c>
    </row>
    <row r="3895">
      <c r="A3895" s="282" t="inlineStr">
        <is>
          <t>2022-01-06</t>
        </is>
      </c>
      <c r="B3895" s="240">
        <f>IFERROR(1/P3895-1,B3894)</f>
        <v/>
      </c>
      <c r="C3895" s="240">
        <f>$C$3</f>
        <v/>
      </c>
      <c r="D3895" s="240">
        <f>$D$3</f>
        <v/>
      </c>
      <c r="E3895" s="240">
        <f>$E$3</f>
        <v/>
      </c>
      <c r="F3895" s="241" t="n">
        <v>20.99</v>
      </c>
      <c r="G3895" s="242" t="n">
        <v>60841123</v>
      </c>
      <c r="H3895" s="241" t="n">
        <v>5.27</v>
      </c>
      <c r="I3895" s="241" t="n">
        <v>-4.2</v>
      </c>
      <c r="J3895" s="241" t="n">
        <v>-2.01</v>
      </c>
      <c r="K3895" s="241" t="n">
        <v>10.46</v>
      </c>
      <c r="L3895" s="242" t="n">
        <v>7214200</v>
      </c>
      <c r="M3895" s="241" t="n">
        <v>4.92</v>
      </c>
      <c r="N3895" s="241" t="n">
        <v>-5.47</v>
      </c>
      <c r="O3895" s="241" t="n">
        <v>-2.44</v>
      </c>
      <c r="P3895" s="241" t="n">
        <v>2.01</v>
      </c>
    </row>
    <row r="3896">
      <c r="A3896" s="282" t="inlineStr">
        <is>
          <t>2022-01-07</t>
        </is>
      </c>
      <c r="B3896" s="240">
        <f>IFERROR(1/P3896-1,B3895)</f>
        <v/>
      </c>
      <c r="C3896" s="240">
        <f>$C$3</f>
        <v/>
      </c>
      <c r="D3896" s="240">
        <f>$D$3</f>
        <v/>
      </c>
      <c r="E3896" s="240">
        <f>$E$3</f>
        <v/>
      </c>
      <c r="F3896" s="241" t="n">
        <v>20.1</v>
      </c>
      <c r="G3896" s="242" t="n">
        <v>46983545</v>
      </c>
      <c r="H3896" s="241" t="n">
        <v>-4.24</v>
      </c>
      <c r="I3896" s="241" t="n">
        <v>-7.8</v>
      </c>
      <c r="J3896" s="241" t="n">
        <v>-6.16</v>
      </c>
      <c r="K3896" s="241" t="n">
        <v>10.21</v>
      </c>
      <c r="L3896" s="242" t="n">
        <v>6683983</v>
      </c>
      <c r="M3896" s="241" t="n">
        <v>-2.34</v>
      </c>
      <c r="N3896" s="241" t="n">
        <v>-4.87</v>
      </c>
      <c r="O3896" s="241" t="n">
        <v>-4.73</v>
      </c>
      <c r="P3896" s="241" t="n">
        <v>1.97</v>
      </c>
    </row>
    <row r="3897">
      <c r="A3897" s="282" t="inlineStr">
        <is>
          <t>2022-01-10</t>
        </is>
      </c>
      <c r="B3897" s="240">
        <f>IFERROR(1/P3897-1,B3896)</f>
        <v/>
      </c>
      <c r="C3897" s="240">
        <f>$C$3</f>
        <v/>
      </c>
      <c r="D3897" s="240">
        <f>$D$3</f>
        <v/>
      </c>
      <c r="E3897" s="240">
        <f>$E$3</f>
        <v/>
      </c>
      <c r="F3897" s="241" t="n">
        <v>19.71</v>
      </c>
      <c r="G3897" s="242" t="n">
        <v>36710728</v>
      </c>
      <c r="H3897" s="241" t="n">
        <v>-1.94</v>
      </c>
      <c r="I3897" s="241" t="n">
        <v>-8.109999999999999</v>
      </c>
      <c r="J3897" s="241" t="n">
        <v>-7.98</v>
      </c>
      <c r="K3897" s="241" t="n">
        <v>10.02</v>
      </c>
      <c r="L3897" s="242" t="n">
        <v>3098600</v>
      </c>
      <c r="M3897" s="241" t="n">
        <v>-1.76</v>
      </c>
      <c r="N3897" s="241" t="n">
        <v>-11.14</v>
      </c>
      <c r="O3897" s="241" t="n">
        <v>-6.4</v>
      </c>
      <c r="P3897" s="241" t="n">
        <v>1.97</v>
      </c>
    </row>
    <row r="3898">
      <c r="A3898" s="282" t="inlineStr">
        <is>
          <t>2022-01-11</t>
        </is>
      </c>
      <c r="B3898" s="240">
        <f>IFERROR(1/P3898-1,B3897)</f>
        <v/>
      </c>
      <c r="C3898" s="240">
        <f>$C$3</f>
        <v/>
      </c>
      <c r="D3898" s="240">
        <f>$D$3</f>
        <v/>
      </c>
      <c r="E3898" s="240">
        <f>$E$3</f>
        <v/>
      </c>
      <c r="F3898" s="241" t="n">
        <v>19.93</v>
      </c>
      <c r="G3898" s="242" t="n">
        <v>28241211</v>
      </c>
      <c r="H3898" s="241" t="n">
        <v>1.12</v>
      </c>
      <c r="I3898" s="241" t="n">
        <v>-1.97</v>
      </c>
      <c r="J3898" s="241" t="n">
        <v>-6.96</v>
      </c>
      <c r="K3898" s="241" t="n">
        <v>9.93</v>
      </c>
      <c r="L3898" s="242" t="n">
        <v>2935200</v>
      </c>
      <c r="M3898" s="241" t="n">
        <v>-0.98</v>
      </c>
      <c r="N3898" s="241" t="n">
        <v>-5.88</v>
      </c>
      <c r="O3898" s="241" t="n">
        <v>-7.32</v>
      </c>
      <c r="P3898" s="241" t="n">
        <v>2.01</v>
      </c>
    </row>
    <row r="3899">
      <c r="A3899" s="282" t="inlineStr">
        <is>
          <t>2022-01-12</t>
        </is>
      </c>
      <c r="B3899" s="240">
        <f>IFERROR(1/P3899-1,B3898)</f>
        <v/>
      </c>
      <c r="C3899" s="240">
        <f>$C$3</f>
        <v/>
      </c>
      <c r="D3899" s="240">
        <f>$D$3</f>
        <v/>
      </c>
      <c r="E3899" s="240">
        <f>$E$3</f>
        <v/>
      </c>
      <c r="F3899" s="241" t="n">
        <v>20.14</v>
      </c>
      <c r="G3899" s="242" t="n">
        <v>22383702</v>
      </c>
      <c r="H3899" s="241" t="n">
        <v>1.05</v>
      </c>
      <c r="I3899" s="241" t="n">
        <v>-0.93</v>
      </c>
      <c r="J3899" s="241" t="n">
        <v>-5.98</v>
      </c>
      <c r="K3899" s="241" t="n">
        <v>10.14</v>
      </c>
      <c r="L3899" s="242" t="n">
        <v>4020400</v>
      </c>
      <c r="M3899" s="241" t="n">
        <v>2.14</v>
      </c>
      <c r="N3899" s="241" t="n">
        <v>-3.87</v>
      </c>
      <c r="O3899" s="241" t="n">
        <v>-5.34</v>
      </c>
      <c r="P3899" s="241" t="n">
        <v>1.99</v>
      </c>
    </row>
    <row r="3900">
      <c r="A3900" s="282" t="inlineStr">
        <is>
          <t>2022-01-13</t>
        </is>
      </c>
      <c r="B3900" s="240">
        <f>IFERROR(1/P3900-1,B3899)</f>
        <v/>
      </c>
      <c r="C3900" s="240">
        <f>$C$3</f>
        <v/>
      </c>
      <c r="D3900" s="240">
        <f>$D$3</f>
        <v/>
      </c>
      <c r="E3900" s="240">
        <f>$E$3</f>
        <v/>
      </c>
      <c r="F3900" s="241" t="n">
        <v>18.22</v>
      </c>
      <c r="G3900" s="242" t="n">
        <v>66491111</v>
      </c>
      <c r="H3900" s="241" t="n">
        <v>-9.529999999999999</v>
      </c>
      <c r="I3900" s="241" t="n">
        <v>-10.38</v>
      </c>
      <c r="J3900" s="241" t="n">
        <v>-14.94</v>
      </c>
      <c r="K3900" s="241" t="n">
        <v>9.210000000000001</v>
      </c>
      <c r="L3900" s="242" t="n">
        <v>13052600</v>
      </c>
      <c r="M3900" s="241" t="n">
        <v>-9.02</v>
      </c>
      <c r="N3900" s="241" t="n">
        <v>-12.54</v>
      </c>
      <c r="O3900" s="241" t="n">
        <v>-13.87</v>
      </c>
      <c r="P3900" s="241" t="n">
        <v>1.98</v>
      </c>
    </row>
    <row r="3901">
      <c r="A3901" s="282" t="inlineStr">
        <is>
          <t>2022-01-14</t>
        </is>
      </c>
      <c r="B3901" s="240">
        <f>IFERROR(1/P3901-1,B3900)</f>
        <v/>
      </c>
      <c r="C3901" s="240">
        <f>$C$3</f>
        <v/>
      </c>
      <c r="D3901" s="240">
        <f>$D$3</f>
        <v/>
      </c>
      <c r="E3901" s="240">
        <f>$E$3</f>
        <v/>
      </c>
      <c r="F3901" s="241" t="n">
        <v>17.77</v>
      </c>
      <c r="G3901" s="242" t="n">
        <v>47768775</v>
      </c>
      <c r="H3901" s="241" t="n">
        <v>-2.47</v>
      </c>
      <c r="I3901" s="241" t="n">
        <v>-16.46</v>
      </c>
      <c r="J3901" s="241" t="n">
        <v>-17.04</v>
      </c>
      <c r="K3901" s="241" t="n">
        <v>9.24</v>
      </c>
      <c r="L3901" s="242" t="n">
        <v>6835200</v>
      </c>
      <c r="M3901" s="241" t="n">
        <v>0</v>
      </c>
      <c r="N3901" s="241" t="n">
        <v>-15.42</v>
      </c>
      <c r="O3901" s="241" t="n">
        <v>-13.87</v>
      </c>
      <c r="P3901" s="241" t="n">
        <v>1.92</v>
      </c>
    </row>
    <row r="3902">
      <c r="A3902" s="282" t="inlineStr">
        <is>
          <t>2022-01-17</t>
        </is>
      </c>
      <c r="B3902" s="240">
        <f>IFERROR(1/P3902-1,B3901)</f>
        <v/>
      </c>
      <c r="C3902" s="240">
        <f>$C$3</f>
        <v/>
      </c>
      <c r="D3902" s="240">
        <f>$D$3</f>
        <v/>
      </c>
      <c r="E3902" s="240">
        <f>$E$3</f>
        <v/>
      </c>
      <c r="F3902" s="241" t="n">
        <v>18.22</v>
      </c>
      <c r="G3902" s="242" t="n">
        <v>32228013</v>
      </c>
      <c r="H3902" s="241" t="n">
        <v>2.53</v>
      </c>
      <c r="I3902" s="241" t="n">
        <v>-18.73</v>
      </c>
      <c r="J3902" s="241" t="n">
        <v>-14.94</v>
      </c>
      <c r="K3902" s="241" t="n">
        <v>9.25</v>
      </c>
      <c r="L3902" s="242" t="n">
        <v>2125200</v>
      </c>
      <c r="M3902" s="241" t="n">
        <v>0.18</v>
      </c>
      <c r="N3902" s="241" t="n">
        <v>-21.93</v>
      </c>
      <c r="O3902" s="241" t="n">
        <v>-13.72</v>
      </c>
      <c r="P3902" s="241" t="n">
        <v>1.97</v>
      </c>
    </row>
    <row r="3903">
      <c r="A3903" s="282" t="inlineStr">
        <is>
          <t>2022-01-18</t>
        </is>
      </c>
      <c r="B3903" s="240">
        <f>IFERROR(1/P3903-1,B3902)</f>
        <v/>
      </c>
      <c r="C3903" s="240">
        <f>$C$3</f>
        <v/>
      </c>
      <c r="D3903" s="240">
        <f>$D$3</f>
        <v/>
      </c>
      <c r="E3903" s="240">
        <f>$E$3</f>
        <v/>
      </c>
      <c r="F3903" s="241" t="n">
        <v>18.81</v>
      </c>
      <c r="G3903" s="242" t="n">
        <v>40913441</v>
      </c>
      <c r="H3903" s="241" t="n">
        <v>3.24</v>
      </c>
      <c r="I3903" s="241" t="n">
        <v>-14.15</v>
      </c>
      <c r="J3903" s="241" t="n">
        <v>-12.18</v>
      </c>
      <c r="K3903" s="241" t="n">
        <v>9.43</v>
      </c>
      <c r="L3903" s="242" t="n">
        <v>4398800</v>
      </c>
      <c r="M3903" s="241" t="n">
        <v>2.12</v>
      </c>
      <c r="N3903" s="241" t="n">
        <v>-16.59</v>
      </c>
      <c r="O3903" s="241" t="n">
        <v>-11.89</v>
      </c>
      <c r="P3903" s="241" t="n">
        <v>2</v>
      </c>
    </row>
    <row r="3904">
      <c r="A3904" s="282" t="inlineStr">
        <is>
          <t>2022-01-19</t>
        </is>
      </c>
      <c r="B3904" s="240">
        <f>IFERROR(1/P3904-1,B3903)</f>
        <v/>
      </c>
      <c r="C3904" s="240">
        <f>$C$3</f>
        <v/>
      </c>
      <c r="D3904" s="240">
        <f>$D$3</f>
        <v/>
      </c>
      <c r="E3904" s="240">
        <f>$E$3</f>
        <v/>
      </c>
      <c r="F3904" s="241" t="n">
        <v>18.8</v>
      </c>
      <c r="G3904" s="242" t="n">
        <v>25672388</v>
      </c>
      <c r="H3904" s="241" t="n">
        <v>-0.05</v>
      </c>
      <c r="I3904" s="241" t="n">
        <v>-14.19</v>
      </c>
      <c r="J3904" s="241" t="n">
        <v>-12.23</v>
      </c>
      <c r="K3904" s="241" t="n">
        <v>9.31</v>
      </c>
      <c r="L3904" s="242" t="n">
        <v>3559400</v>
      </c>
      <c r="M3904" s="241" t="n">
        <v>-1.38</v>
      </c>
      <c r="N3904" s="241" t="n">
        <v>-17.75</v>
      </c>
      <c r="O3904" s="241" t="n">
        <v>-13.11</v>
      </c>
      <c r="P3904" s="241" t="n">
        <v>2.02</v>
      </c>
    </row>
    <row r="3905">
      <c r="A3905" s="282" t="inlineStr">
        <is>
          <t>2022-01-20</t>
        </is>
      </c>
      <c r="B3905" s="240">
        <f>IFERROR(1/P3905-1,B3904)</f>
        <v/>
      </c>
      <c r="C3905" s="240">
        <f>$C$3</f>
        <v/>
      </c>
      <c r="D3905" s="240">
        <f>$D$3</f>
        <v/>
      </c>
      <c r="E3905" s="240">
        <f>$E$3</f>
        <v/>
      </c>
      <c r="F3905" s="241" t="n">
        <v>18.68</v>
      </c>
      <c r="G3905" s="242" t="n">
        <v>20377567</v>
      </c>
      <c r="H3905" s="241" t="n">
        <v>-0.64</v>
      </c>
      <c r="I3905" s="241" t="n">
        <v>-14.74</v>
      </c>
      <c r="J3905" s="241" t="n">
        <v>-12.79</v>
      </c>
      <c r="K3905" s="241" t="n">
        <v>9.210000000000001</v>
      </c>
      <c r="L3905" s="242" t="n">
        <v>3525400</v>
      </c>
      <c r="M3905" s="241" t="n">
        <v>-0.88</v>
      </c>
      <c r="N3905" s="241" t="n">
        <v>-18.47</v>
      </c>
      <c r="O3905" s="241" t="n">
        <v>-13.87</v>
      </c>
      <c r="P3905" s="241" t="n">
        <v>2.03</v>
      </c>
    </row>
    <row r="3906">
      <c r="A3906" s="282" t="inlineStr">
        <is>
          <t>2022-01-21</t>
        </is>
      </c>
      <c r="B3906" s="240">
        <f>IFERROR(1/P3906-1,B3905)</f>
        <v/>
      </c>
      <c r="C3906" s="240">
        <f>$C$3</f>
        <v/>
      </c>
      <c r="D3906" s="240">
        <f>$D$3</f>
        <v/>
      </c>
      <c r="E3906" s="240">
        <f>$E$3</f>
        <v/>
      </c>
      <c r="F3906" s="241" t="n">
        <v>18.32</v>
      </c>
      <c r="G3906" s="242" t="n">
        <v>18229631</v>
      </c>
      <c r="H3906" s="241" t="n">
        <v>-1.93</v>
      </c>
      <c r="I3906" s="241" t="n">
        <v>-12.39</v>
      </c>
      <c r="J3906" s="241" t="n">
        <v>-14.47</v>
      </c>
      <c r="K3906" s="241" t="n">
        <v>9.16</v>
      </c>
      <c r="L3906" s="242" t="n">
        <v>2293200</v>
      </c>
      <c r="M3906" s="241" t="n">
        <v>-0.53</v>
      </c>
      <c r="N3906" s="241" t="n">
        <v>-12.05</v>
      </c>
      <c r="O3906" s="241" t="n">
        <v>-14.33</v>
      </c>
      <c r="P3906" s="241" t="n">
        <v>2</v>
      </c>
    </row>
    <row r="3907">
      <c r="A3907" s="282" t="inlineStr">
        <is>
          <t>2022-01-24</t>
        </is>
      </c>
      <c r="B3907" s="240">
        <f>IFERROR(1/P3907-1,B3906)</f>
        <v/>
      </c>
      <c r="C3907" s="240">
        <f>$C$3</f>
        <v/>
      </c>
      <c r="D3907" s="240">
        <f>$D$3</f>
        <v/>
      </c>
      <c r="E3907" s="240">
        <f>$E$3</f>
        <v/>
      </c>
      <c r="F3907" s="241" t="n">
        <v>18.74</v>
      </c>
      <c r="G3907" s="242" t="n">
        <v>17366564</v>
      </c>
      <c r="H3907" s="241" t="n">
        <v>2.29</v>
      </c>
      <c r="I3907" s="241" t="n">
        <v>-14.78</v>
      </c>
      <c r="J3907" s="241" t="n">
        <v>-12.51</v>
      </c>
      <c r="K3907" s="241" t="n">
        <v>8.880000000000001</v>
      </c>
      <c r="L3907" s="242" t="n">
        <v>5582800</v>
      </c>
      <c r="M3907" s="241" t="n">
        <v>-3.02</v>
      </c>
      <c r="N3907" s="241" t="n">
        <v>-18.41</v>
      </c>
      <c r="O3907" s="241" t="n">
        <v>-16.92</v>
      </c>
      <c r="P3907" s="241" t="n">
        <v>2.11</v>
      </c>
    </row>
    <row r="3908">
      <c r="A3908" s="282" t="inlineStr">
        <is>
          <t>2022-01-25</t>
        </is>
      </c>
      <c r="B3908" s="240">
        <f>IFERROR(1/P3908-1,B3907)</f>
        <v/>
      </c>
      <c r="C3908" s="240">
        <f>$C$3</f>
        <v/>
      </c>
      <c r="D3908" s="240">
        <f>$D$3</f>
        <v/>
      </c>
      <c r="E3908" s="240">
        <f>$E$3</f>
        <v/>
      </c>
      <c r="F3908" s="241" t="n">
        <v>17.8</v>
      </c>
      <c r="G3908" s="242" t="n">
        <v>23408767</v>
      </c>
      <c r="H3908" s="241" t="n">
        <v>-5.02</v>
      </c>
      <c r="I3908" s="241" t="n">
        <v>-16</v>
      </c>
      <c r="J3908" s="241" t="n">
        <v>-16.9</v>
      </c>
      <c r="K3908" s="241" t="n">
        <v>8.75</v>
      </c>
      <c r="L3908" s="242" t="n">
        <v>7648161</v>
      </c>
      <c r="M3908" s="241" t="n">
        <v>-1.47</v>
      </c>
      <c r="N3908" s="241" t="n">
        <v>-18.88</v>
      </c>
      <c r="O3908" s="241" t="n">
        <v>-18.14</v>
      </c>
      <c r="P3908" s="241" t="n">
        <v>2.03</v>
      </c>
    </row>
    <row r="3909">
      <c r="A3909" s="282" t="inlineStr">
        <is>
          <t>2022-01-26</t>
        </is>
      </c>
      <c r="B3909" s="240">
        <f>IFERROR(1/P3909-1,B3908)</f>
        <v/>
      </c>
      <c r="C3909" s="240">
        <f>$C$3</f>
        <v/>
      </c>
      <c r="D3909" s="240">
        <f>$D$3</f>
        <v/>
      </c>
      <c r="E3909" s="240">
        <f>$E$3</f>
        <v/>
      </c>
      <c r="F3909" s="241" t="n">
        <v>18.22</v>
      </c>
      <c r="G3909" s="242" t="n">
        <v>30332250</v>
      </c>
      <c r="H3909" s="241" t="n">
        <v>2.36</v>
      </c>
      <c r="I3909" s="241" t="n">
        <v>-14.02</v>
      </c>
      <c r="J3909" s="241" t="n">
        <v>-14.94</v>
      </c>
      <c r="K3909" s="241" t="n">
        <v>8.869999999999999</v>
      </c>
      <c r="L3909" s="242" t="n">
        <v>4269200</v>
      </c>
      <c r="M3909" s="241" t="n">
        <v>1.68</v>
      </c>
      <c r="N3909" s="241" t="n">
        <v>-17.52</v>
      </c>
      <c r="O3909" s="241" t="n">
        <v>-16.77</v>
      </c>
      <c r="P3909" s="241" t="n">
        <v>2.05</v>
      </c>
    </row>
    <row r="3910">
      <c r="A3910" s="282" t="inlineStr">
        <is>
          <t>2022-01-27</t>
        </is>
      </c>
      <c r="B3910" s="240">
        <f>IFERROR(1/P3910-1,B3909)</f>
        <v/>
      </c>
      <c r="C3910" s="240">
        <f>$C$3</f>
        <v/>
      </c>
      <c r="D3910" s="240">
        <f>$D$3</f>
        <v/>
      </c>
      <c r="E3910" s="240">
        <f>$E$3</f>
        <v/>
      </c>
      <c r="F3910" s="241" t="n">
        <v>17.67</v>
      </c>
      <c r="G3910" s="242" t="n">
        <v>22070897</v>
      </c>
      <c r="H3910" s="241" t="n">
        <v>-3.02</v>
      </c>
      <c r="I3910" s="241" t="n">
        <v>-16.61</v>
      </c>
      <c r="J3910" s="241" t="n">
        <v>-17.51</v>
      </c>
      <c r="K3910" s="241" t="n">
        <v>8.58</v>
      </c>
      <c r="L3910" s="242" t="n">
        <v>1532200</v>
      </c>
      <c r="M3910" s="241" t="n">
        <v>-3.48</v>
      </c>
      <c r="N3910" s="241" t="n">
        <v>-20.39</v>
      </c>
      <c r="O3910" s="241" t="n">
        <v>-19.66</v>
      </c>
      <c r="P3910" s="241" t="n">
        <v>2.06</v>
      </c>
    </row>
    <row r="3911">
      <c r="A3911" s="282" t="inlineStr">
        <is>
          <t>2022-01-28</t>
        </is>
      </c>
      <c r="B3911" s="240">
        <f>IFERROR(1/P3911-1,B3910)</f>
        <v/>
      </c>
      <c r="C3911" s="240">
        <f>$C$3</f>
        <v/>
      </c>
      <c r="D3911" s="240">
        <f>$D$3</f>
        <v/>
      </c>
      <c r="E3911" s="240">
        <f>$E$3</f>
        <v/>
      </c>
      <c r="F3911" s="241" t="n">
        <v>17.15</v>
      </c>
      <c r="G3911" s="242" t="n">
        <v>27969603</v>
      </c>
      <c r="H3911" s="241" t="n">
        <v>-2.94</v>
      </c>
      <c r="I3911" s="241" t="n">
        <v>-20.64</v>
      </c>
      <c r="J3911" s="241" t="n">
        <v>-19.93</v>
      </c>
      <c r="K3911" s="241" t="n">
        <v>8.44</v>
      </c>
      <c r="L3911" s="242" t="n">
        <v>3186245</v>
      </c>
      <c r="M3911" s="241" t="n">
        <v>-2.09</v>
      </c>
      <c r="N3911" s="241" t="n">
        <v>-22.05</v>
      </c>
      <c r="O3911" s="241" t="n">
        <v>-21.34</v>
      </c>
      <c r="P3911" s="241" t="n">
        <v>2.03</v>
      </c>
    </row>
    <row r="3912">
      <c r="A3912" s="282" t="inlineStr">
        <is>
          <t>2022-02-07</t>
        </is>
      </c>
      <c r="B3912" s="240">
        <f>IFERROR(1/P3912-1,B3911)</f>
        <v/>
      </c>
      <c r="C3912" s="240">
        <f>$C$3</f>
        <v/>
      </c>
      <c r="D3912" s="240">
        <f>$D$3</f>
        <v/>
      </c>
      <c r="E3912" s="240">
        <f>$E$3</f>
        <v/>
      </c>
      <c r="F3912" s="241" t="n">
        <v>17.53</v>
      </c>
      <c r="G3912" s="242" t="n">
        <v>22951377</v>
      </c>
      <c r="H3912" s="241" t="n">
        <v>2.22</v>
      </c>
      <c r="I3912" s="241" t="n">
        <v>-16.48</v>
      </c>
      <c r="J3912" s="241" t="n">
        <v>-18.16</v>
      </c>
      <c r="K3912" s="241" t="n">
        <v>9.19</v>
      </c>
      <c r="L3912" s="242" t="n">
        <v>4354400</v>
      </c>
      <c r="M3912" s="241" t="n">
        <v>3.68</v>
      </c>
      <c r="N3912" s="241" t="n">
        <v>-12.03</v>
      </c>
      <c r="O3912" s="241" t="n">
        <v>-14.18</v>
      </c>
      <c r="P3912" s="241" t="n">
        <v>1.91</v>
      </c>
    </row>
    <row r="3913">
      <c r="A3913" s="282" t="inlineStr">
        <is>
          <t>2022-02-08</t>
        </is>
      </c>
      <c r="B3913" s="240">
        <f>IFERROR(1/P3913-1,B3912)</f>
        <v/>
      </c>
      <c r="C3913" s="240">
        <f>$C$3</f>
        <v/>
      </c>
      <c r="D3913" s="240">
        <f>$D$3</f>
        <v/>
      </c>
      <c r="E3913" s="240">
        <f>$E$3</f>
        <v/>
      </c>
      <c r="F3913" s="241" t="n">
        <v>17.75</v>
      </c>
      <c r="G3913" s="242" t="n">
        <v>21657685</v>
      </c>
      <c r="H3913" s="241" t="n">
        <v>1.25</v>
      </c>
      <c r="I3913" s="241" t="n">
        <v>-11.69</v>
      </c>
      <c r="J3913" s="241" t="n">
        <v>-17.13</v>
      </c>
      <c r="K3913" s="241" t="n">
        <v>9.199999999999999</v>
      </c>
      <c r="L3913" s="242" t="n">
        <v>2409400</v>
      </c>
      <c r="M3913" s="241" t="n">
        <v>0.18</v>
      </c>
      <c r="N3913" s="241" t="n">
        <v>-9.76</v>
      </c>
      <c r="O3913" s="241" t="n">
        <v>-14.02</v>
      </c>
      <c r="P3913" s="241" t="n">
        <v>1.93</v>
      </c>
    </row>
    <row r="3914">
      <c r="A3914" s="282" t="inlineStr">
        <is>
          <t>2022-02-09</t>
        </is>
      </c>
      <c r="B3914" s="240">
        <f>IFERROR(1/P3914-1,B3913)</f>
        <v/>
      </c>
      <c r="C3914" s="240">
        <f>$C$3</f>
        <v/>
      </c>
      <c r="D3914" s="240">
        <f>$D$3</f>
        <v/>
      </c>
      <c r="E3914" s="240">
        <f>$E$3</f>
        <v/>
      </c>
      <c r="F3914" s="241" t="n">
        <v>17.94</v>
      </c>
      <c r="G3914" s="242" t="n">
        <v>19122960</v>
      </c>
      <c r="H3914" s="241" t="n">
        <v>1.07</v>
      </c>
      <c r="I3914" s="241" t="n">
        <v>-10.75</v>
      </c>
      <c r="J3914" s="241" t="n">
        <v>-16.25</v>
      </c>
      <c r="K3914" s="241" t="n">
        <v>9.15</v>
      </c>
      <c r="L3914" s="242" t="n">
        <v>2712045</v>
      </c>
      <c r="M3914" s="241" t="n">
        <v>-0.71</v>
      </c>
      <c r="N3914" s="241" t="n">
        <v>-10.4</v>
      </c>
      <c r="O3914" s="241" t="n">
        <v>-14.63</v>
      </c>
      <c r="P3914" s="241" t="n">
        <v>1.96</v>
      </c>
    </row>
    <row r="3915">
      <c r="A3915" s="282" t="inlineStr">
        <is>
          <t>2022-02-10</t>
        </is>
      </c>
      <c r="B3915" s="240">
        <f>IFERROR(1/P3915-1,B3914)</f>
        <v/>
      </c>
      <c r="C3915" s="240">
        <f>$C$3</f>
        <v/>
      </c>
      <c r="D3915" s="240">
        <f>$D$3</f>
        <v/>
      </c>
      <c r="E3915" s="240">
        <f>$E$3</f>
        <v/>
      </c>
      <c r="F3915" s="241" t="n">
        <v>17.46</v>
      </c>
      <c r="G3915" s="242" t="n">
        <v>24736849</v>
      </c>
      <c r="H3915" s="241" t="n">
        <v>-2.68</v>
      </c>
      <c r="I3915" s="241" t="n">
        <v>-13.13</v>
      </c>
      <c r="J3915" s="241" t="n">
        <v>-18.49</v>
      </c>
      <c r="K3915" s="241" t="n">
        <v>9.17</v>
      </c>
      <c r="L3915" s="242" t="n">
        <v>1705094</v>
      </c>
      <c r="M3915" s="241" t="n">
        <v>0.36</v>
      </c>
      <c r="N3915" s="241" t="n">
        <v>-10.08</v>
      </c>
      <c r="O3915" s="241" t="n">
        <v>-14.33</v>
      </c>
      <c r="P3915" s="241" t="n">
        <v>1.9</v>
      </c>
    </row>
    <row r="3916">
      <c r="A3916" s="282" t="inlineStr">
        <is>
          <t>2022-02-11</t>
        </is>
      </c>
      <c r="B3916" s="240">
        <f>IFERROR(1/P3916-1,B3915)</f>
        <v/>
      </c>
      <c r="C3916" s="240">
        <f>$C$3</f>
        <v/>
      </c>
      <c r="D3916" s="240">
        <f>$D$3</f>
        <v/>
      </c>
      <c r="E3916" s="240">
        <f>$E$3</f>
        <v/>
      </c>
      <c r="F3916" s="241" t="n">
        <v>16.55</v>
      </c>
      <c r="G3916" s="242" t="n">
        <v>46908306</v>
      </c>
      <c r="H3916" s="241" t="n">
        <v>-5.21</v>
      </c>
      <c r="I3916" s="241" t="n">
        <v>-16.03</v>
      </c>
      <c r="J3916" s="241" t="n">
        <v>-22.74</v>
      </c>
      <c r="K3916" s="241" t="n">
        <v>9.06</v>
      </c>
      <c r="L3916" s="242" t="n">
        <v>5487930</v>
      </c>
      <c r="M3916" s="241" t="n">
        <v>-1.25</v>
      </c>
      <c r="N3916" s="241" t="n">
        <v>-9.609999999999999</v>
      </c>
      <c r="O3916" s="241" t="n">
        <v>-15.4</v>
      </c>
      <c r="P3916" s="241" t="n">
        <v>1.83</v>
      </c>
    </row>
    <row r="3917">
      <c r="A3917" s="282" t="inlineStr">
        <is>
          <t>2022-02-14</t>
        </is>
      </c>
      <c r="B3917" s="240">
        <f>IFERROR(1/P3917-1,B3916)</f>
        <v/>
      </c>
      <c r="C3917" s="240">
        <f>$C$3</f>
        <v/>
      </c>
      <c r="D3917" s="240">
        <f>$D$3</f>
        <v/>
      </c>
      <c r="E3917" s="240">
        <f>$E$3</f>
        <v/>
      </c>
      <c r="F3917" s="241" t="n">
        <v>15.99</v>
      </c>
      <c r="G3917" s="242" t="n">
        <v>43872280</v>
      </c>
      <c r="H3917" s="241" t="n">
        <v>-3.38</v>
      </c>
      <c r="I3917" s="241" t="n">
        <v>-12.24</v>
      </c>
      <c r="J3917" s="241" t="n">
        <v>-25.35</v>
      </c>
      <c r="K3917" s="241" t="n">
        <v>8.77</v>
      </c>
      <c r="L3917" s="242" t="n">
        <v>2174600</v>
      </c>
      <c r="M3917" s="241" t="n">
        <v>-3.24</v>
      </c>
      <c r="N3917" s="241" t="n">
        <v>-4.96</v>
      </c>
      <c r="O3917" s="241" t="n">
        <v>-18.14</v>
      </c>
      <c r="P3917" s="241" t="n">
        <v>1.82</v>
      </c>
    </row>
    <row r="3918">
      <c r="A3918" s="282" t="inlineStr">
        <is>
          <t>2022-02-15</t>
        </is>
      </c>
      <c r="B3918" s="240">
        <f>IFERROR(1/P3918-1,B3917)</f>
        <v/>
      </c>
      <c r="C3918" s="240">
        <f>$C$3</f>
        <v/>
      </c>
      <c r="D3918" s="240">
        <f>$D$3</f>
        <v/>
      </c>
      <c r="E3918" s="240">
        <f>$E$3</f>
        <v/>
      </c>
      <c r="F3918" s="241" t="n">
        <v>16.26</v>
      </c>
      <c r="G3918" s="242" t="n">
        <v>30744610</v>
      </c>
      <c r="H3918" s="241" t="n">
        <v>1.69</v>
      </c>
      <c r="I3918" s="241" t="n">
        <v>-8.5</v>
      </c>
      <c r="J3918" s="241" t="n">
        <v>-24.09</v>
      </c>
      <c r="K3918" s="241" t="n">
        <v>8.49</v>
      </c>
      <c r="L3918" s="242" t="n">
        <v>5204200</v>
      </c>
      <c r="M3918" s="241" t="n">
        <v>-2.98</v>
      </c>
      <c r="N3918" s="241" t="n">
        <v>-7.79</v>
      </c>
      <c r="O3918" s="241" t="n">
        <v>-20.58</v>
      </c>
      <c r="P3918" s="241" t="n">
        <v>1.91</v>
      </c>
    </row>
    <row r="3919">
      <c r="A3919" s="282" t="inlineStr">
        <is>
          <t>2022-02-16</t>
        </is>
      </c>
      <c r="B3919" s="240">
        <f>IFERROR(1/P3919-1,B3918)</f>
        <v/>
      </c>
      <c r="C3919" s="240">
        <f>$C$3</f>
        <v/>
      </c>
      <c r="D3919" s="240">
        <f>$D$3</f>
        <v/>
      </c>
      <c r="E3919" s="240">
        <f>$E$3</f>
        <v/>
      </c>
      <c r="F3919" s="241" t="n">
        <v>16.21</v>
      </c>
      <c r="G3919" s="242" t="n">
        <v>27903067</v>
      </c>
      <c r="H3919" s="241" t="n">
        <v>-0.31</v>
      </c>
      <c r="I3919" s="241" t="n">
        <v>-8.779999999999999</v>
      </c>
      <c r="J3919" s="241" t="n">
        <v>-24.32</v>
      </c>
      <c r="K3919" s="241" t="n">
        <v>8.31</v>
      </c>
      <c r="L3919" s="242" t="n">
        <v>2897400</v>
      </c>
      <c r="M3919" s="241" t="n">
        <v>-1.92</v>
      </c>
      <c r="N3919" s="241" t="n">
        <v>-9.56</v>
      </c>
      <c r="O3919" s="241" t="n">
        <v>-22.1</v>
      </c>
      <c r="P3919" s="241" t="n">
        <v>1.95</v>
      </c>
    </row>
    <row r="3920">
      <c r="A3920" s="282" t="inlineStr">
        <is>
          <t>2022-02-17</t>
        </is>
      </c>
      <c r="B3920" s="240">
        <f>IFERROR(1/P3920-1,B3919)</f>
        <v/>
      </c>
      <c r="C3920" s="240">
        <f>$C$3</f>
        <v/>
      </c>
      <c r="D3920" s="240">
        <f>$D$3</f>
        <v/>
      </c>
      <c r="E3920" s="240">
        <f>$E$3</f>
        <v/>
      </c>
      <c r="F3920" s="241" t="n">
        <v>16.17</v>
      </c>
      <c r="G3920" s="242" t="n">
        <v>41965982</v>
      </c>
      <c r="H3920" s="241" t="n">
        <v>-0.25</v>
      </c>
      <c r="I3920" s="241" t="n">
        <v>-9</v>
      </c>
      <c r="J3920" s="241" t="n">
        <v>-24.51</v>
      </c>
      <c r="K3920" s="241" t="n">
        <v>8.34</v>
      </c>
      <c r="L3920" s="242" t="n">
        <v>4733200</v>
      </c>
      <c r="M3920" s="241" t="n">
        <v>0.59</v>
      </c>
      <c r="N3920" s="241" t="n">
        <v>-9.029999999999999</v>
      </c>
      <c r="O3920" s="241" t="n">
        <v>-21.65</v>
      </c>
      <c r="P3920" s="241" t="n">
        <v>1.94</v>
      </c>
    </row>
    <row r="3921">
      <c r="A3921" s="282" t="inlineStr">
        <is>
          <t>2022-02-18</t>
        </is>
      </c>
      <c r="B3921" s="240">
        <f>IFERROR(1/P3921-1,B3920)</f>
        <v/>
      </c>
      <c r="C3921" s="240">
        <f>$C$3</f>
        <v/>
      </c>
      <c r="D3921" s="240">
        <f>$D$3</f>
        <v/>
      </c>
      <c r="E3921" s="240">
        <f>$E$3</f>
        <v/>
      </c>
      <c r="F3921" s="241" t="n">
        <v>16.01</v>
      </c>
      <c r="G3921" s="242" t="n">
        <v>22511962</v>
      </c>
      <c r="H3921" s="241" t="n">
        <v>-0.99</v>
      </c>
      <c r="I3921" s="241" t="n">
        <v>-12.13</v>
      </c>
      <c r="J3921" s="241" t="n">
        <v>-25.26</v>
      </c>
      <c r="K3921" s="241" t="n">
        <v>8</v>
      </c>
      <c r="L3921" s="242" t="n">
        <v>4514800</v>
      </c>
      <c r="M3921" s="241" t="n">
        <v>-4.18</v>
      </c>
      <c r="N3921" s="241" t="n">
        <v>-12.99</v>
      </c>
      <c r="O3921" s="241" t="n">
        <v>-24.92</v>
      </c>
      <c r="P3921" s="241" t="n">
        <v>2</v>
      </c>
    </row>
    <row r="3922">
      <c r="A3922" s="282" t="inlineStr">
        <is>
          <t>2022-02-21</t>
        </is>
      </c>
      <c r="B3922" s="240">
        <f>IFERROR(1/P3922-1,B3921)</f>
        <v/>
      </c>
      <c r="C3922" s="240">
        <f>$C$3</f>
        <v/>
      </c>
      <c r="D3922" s="240">
        <f>$D$3</f>
        <v/>
      </c>
      <c r="E3922" s="240">
        <f>$E$3</f>
        <v/>
      </c>
      <c r="F3922" s="241" t="n">
        <v>16.01</v>
      </c>
      <c r="G3922" s="242" t="n">
        <v>24578456</v>
      </c>
      <c r="H3922" s="241" t="n">
        <v>0</v>
      </c>
      <c r="I3922" s="241" t="n">
        <v>-14.29</v>
      </c>
      <c r="J3922" s="241" t="n">
        <v>-25.26</v>
      </c>
      <c r="K3922" s="241" t="n">
        <v>7.85</v>
      </c>
      <c r="L3922" s="242" t="n">
        <v>3964800</v>
      </c>
      <c r="M3922" s="241" t="n">
        <v>-1.93</v>
      </c>
      <c r="N3922" s="241" t="n">
        <v>-14.51</v>
      </c>
      <c r="O3922" s="241" t="n">
        <v>-26.37</v>
      </c>
      <c r="P3922" s="241" t="n">
        <v>2.04</v>
      </c>
    </row>
    <row r="3923">
      <c r="A3923" s="282" t="inlineStr">
        <is>
          <t>2022-02-22</t>
        </is>
      </c>
      <c r="B3923" s="240">
        <f>IFERROR(1/P3923-1,B3922)</f>
        <v/>
      </c>
      <c r="C3923" s="240">
        <f>$C$3</f>
        <v/>
      </c>
      <c r="D3923" s="240">
        <f>$D$3</f>
        <v/>
      </c>
      <c r="E3923" s="240">
        <f>$E$3</f>
        <v/>
      </c>
      <c r="F3923" s="241" t="n">
        <v>15.61</v>
      </c>
      <c r="G3923" s="242" t="n">
        <v>29959222</v>
      </c>
      <c r="H3923" s="241" t="n">
        <v>-2.5</v>
      </c>
      <c r="I3923" s="241" t="n">
        <v>-14.79</v>
      </c>
      <c r="J3923" s="241" t="n">
        <v>-27.12</v>
      </c>
      <c r="K3923" s="241" t="n">
        <v>7.6</v>
      </c>
      <c r="L3923" s="242" t="n">
        <v>4317600</v>
      </c>
      <c r="M3923" s="241" t="n">
        <v>-3.31</v>
      </c>
      <c r="N3923" s="241" t="n">
        <v>-16.9</v>
      </c>
      <c r="O3923" s="241" t="n">
        <v>-28.81</v>
      </c>
      <c r="P3923" s="241" t="n">
        <v>2.05</v>
      </c>
    </row>
    <row r="3924">
      <c r="A3924" s="282" t="inlineStr">
        <is>
          <t>2022-02-23</t>
        </is>
      </c>
      <c r="B3924" s="240">
        <f>IFERROR(1/P3924-1,B3923)</f>
        <v/>
      </c>
      <c r="C3924" s="240">
        <f>$C$3</f>
        <v/>
      </c>
      <c r="D3924" s="240">
        <f>$D$3</f>
        <v/>
      </c>
      <c r="E3924" s="240">
        <f>$E$3</f>
        <v/>
      </c>
      <c r="F3924" s="241" t="n">
        <v>16.22</v>
      </c>
      <c r="G3924" s="242" t="n">
        <v>48865050</v>
      </c>
      <c r="H3924" s="241" t="n">
        <v>3.91</v>
      </c>
      <c r="I3924" s="241" t="n">
        <v>-11.46</v>
      </c>
      <c r="J3924" s="241" t="n">
        <v>-24.28</v>
      </c>
      <c r="K3924" s="241" t="n">
        <v>8.050000000000001</v>
      </c>
      <c r="L3924" s="242" t="n">
        <v>4537249</v>
      </c>
      <c r="M3924" s="241" t="n">
        <v>6.21</v>
      </c>
      <c r="N3924" s="241" t="n">
        <v>-11.74</v>
      </c>
      <c r="O3924" s="241" t="n">
        <v>-24.39</v>
      </c>
      <c r="P3924" s="241" t="n">
        <v>2.02</v>
      </c>
    </row>
    <row r="3925">
      <c r="A3925" s="282" t="inlineStr">
        <is>
          <t>2022-02-24</t>
        </is>
      </c>
      <c r="B3925" s="240">
        <f>IFERROR(1/P3925-1,B3924)</f>
        <v/>
      </c>
      <c r="C3925" s="240">
        <f>$C$3</f>
        <v/>
      </c>
      <c r="D3925" s="240">
        <f>$D$3</f>
        <v/>
      </c>
      <c r="E3925" s="240">
        <f>$E$3</f>
        <v/>
      </c>
      <c r="F3925" s="241" t="n">
        <v>16.02</v>
      </c>
      <c r="G3925" s="242" t="n">
        <v>47102010</v>
      </c>
      <c r="H3925" s="241" t="n">
        <v>-1.23</v>
      </c>
      <c r="I3925" s="241" t="n">
        <v>-12.55</v>
      </c>
      <c r="J3925" s="241" t="n">
        <v>-25.21</v>
      </c>
      <c r="K3925" s="241" t="n">
        <v>7.86</v>
      </c>
      <c r="L3925" s="242" t="n">
        <v>4884400</v>
      </c>
      <c r="M3925" s="241" t="n">
        <v>-2.22</v>
      </c>
      <c r="N3925" s="241" t="n">
        <v>-13.7</v>
      </c>
      <c r="O3925" s="241" t="n">
        <v>-26.07</v>
      </c>
      <c r="P3925" s="241" t="n">
        <v>2.04</v>
      </c>
    </row>
    <row r="3926">
      <c r="A3926" s="282" t="inlineStr">
        <is>
          <t>2022-02-25</t>
        </is>
      </c>
      <c r="B3926" s="240">
        <f>IFERROR(1/P3926-1,B3925)</f>
        <v/>
      </c>
      <c r="C3926" s="240">
        <f>$C$3</f>
        <v/>
      </c>
      <c r="D3926" s="240">
        <f>$D$3</f>
        <v/>
      </c>
      <c r="E3926" s="240">
        <f>$E$3</f>
        <v/>
      </c>
      <c r="F3926" s="241" t="n">
        <v>16.39</v>
      </c>
      <c r="G3926" s="242" t="n">
        <v>35545426</v>
      </c>
      <c r="H3926" s="241" t="n">
        <v>2.31</v>
      </c>
      <c r="I3926" s="241" t="n">
        <v>-12.54</v>
      </c>
      <c r="J3926" s="241" t="n">
        <v>-23.48</v>
      </c>
      <c r="K3926" s="241" t="n">
        <v>8.07</v>
      </c>
      <c r="L3926" s="242" t="n">
        <v>3389600</v>
      </c>
      <c r="M3926" s="241" t="n">
        <v>2.58</v>
      </c>
      <c r="N3926" s="241" t="n">
        <v>-8.720000000000001</v>
      </c>
      <c r="O3926" s="241" t="n">
        <v>-24.16</v>
      </c>
      <c r="P3926" s="241" t="n">
        <v>2.03</v>
      </c>
    </row>
    <row r="3927">
      <c r="A3927" s="282" t="inlineStr">
        <is>
          <t>2022-02-28</t>
        </is>
      </c>
      <c r="B3927" s="240">
        <f>IFERROR(1/P3927-1,B3926)</f>
        <v/>
      </c>
      <c r="C3927" s="240">
        <f>$C$3</f>
        <v/>
      </c>
      <c r="D3927" s="240">
        <f>$D$3</f>
        <v/>
      </c>
      <c r="E3927" s="240">
        <f>$E$3</f>
        <v/>
      </c>
      <c r="F3927" s="241" t="n">
        <v>16.26</v>
      </c>
      <c r="G3927" s="242" t="n">
        <v>29711990</v>
      </c>
      <c r="H3927" s="241" t="n">
        <v>-0.79</v>
      </c>
      <c r="I3927" s="241" t="n">
        <v>-7.98</v>
      </c>
      <c r="J3927" s="241" t="n">
        <v>-24.09</v>
      </c>
      <c r="K3927" s="241" t="n">
        <v>7.92</v>
      </c>
      <c r="L3927" s="242" t="n">
        <v>1411400</v>
      </c>
      <c r="M3927" s="241" t="n">
        <v>-1.61</v>
      </c>
      <c r="N3927" s="241" t="n">
        <v>-7.12</v>
      </c>
      <c r="O3927" s="241" t="n">
        <v>-25.38</v>
      </c>
      <c r="P3927" s="241" t="n">
        <v>2.05</v>
      </c>
    </row>
    <row r="3928">
      <c r="A3928" s="282" t="inlineStr">
        <is>
          <t>2022-03-01</t>
        </is>
      </c>
      <c r="B3928" s="240">
        <f>IFERROR(1/P3928-1,B3927)</f>
        <v/>
      </c>
      <c r="C3928" s="240">
        <f>$C$3</f>
        <v/>
      </c>
      <c r="D3928" s="240">
        <f>$D$3</f>
        <v/>
      </c>
      <c r="E3928" s="240">
        <f>$E$3</f>
        <v/>
      </c>
      <c r="F3928" s="241" t="n">
        <v>16.31</v>
      </c>
      <c r="G3928" s="242" t="n">
        <v>29767021</v>
      </c>
      <c r="H3928" s="241" t="n">
        <v>0.31</v>
      </c>
      <c r="I3928" s="241" t="n">
        <v>-4.9</v>
      </c>
      <c r="J3928" s="241" t="n">
        <v>-23.86</v>
      </c>
      <c r="K3928" s="241" t="n">
        <v>8</v>
      </c>
      <c r="L3928" s="242" t="n">
        <v>1897796</v>
      </c>
      <c r="M3928" s="241" t="n">
        <v>1.33</v>
      </c>
      <c r="N3928" s="241" t="n">
        <v>-5.52</v>
      </c>
      <c r="O3928" s="241" t="n">
        <v>-24.39</v>
      </c>
      <c r="P3928" s="241" t="n">
        <v>2.04</v>
      </c>
    </row>
    <row r="3929">
      <c r="A3929" s="282" t="inlineStr">
        <is>
          <t>2022-03-02</t>
        </is>
      </c>
      <c r="B3929" s="240">
        <f>IFERROR(1/P3929-1,B3928)</f>
        <v/>
      </c>
      <c r="C3929" s="240">
        <f>$C$3</f>
        <v/>
      </c>
      <c r="D3929" s="240">
        <f>$D$3</f>
        <v/>
      </c>
      <c r="E3929" s="240">
        <f>$E$3</f>
        <v/>
      </c>
      <c r="F3929" s="241" t="n">
        <v>16.36</v>
      </c>
      <c r="G3929" s="242" t="n">
        <v>23304701</v>
      </c>
      <c r="H3929" s="241" t="n">
        <v>0.31</v>
      </c>
      <c r="I3929" s="241" t="n">
        <v>-4.61</v>
      </c>
      <c r="J3929" s="241" t="n">
        <v>-23.62</v>
      </c>
      <c r="K3929" s="241" t="n">
        <v>7.86</v>
      </c>
      <c r="L3929" s="242" t="n">
        <v>1745049</v>
      </c>
      <c r="M3929" s="241" t="n">
        <v>-2.22</v>
      </c>
      <c r="N3929" s="241" t="n">
        <v>-7.62</v>
      </c>
      <c r="O3929" s="241" t="n">
        <v>-26.07</v>
      </c>
      <c r="P3929" s="241" t="n">
        <v>2.08</v>
      </c>
    </row>
    <row r="3930">
      <c r="A3930" s="282" t="inlineStr">
        <is>
          <t>2022-03-03</t>
        </is>
      </c>
      <c r="B3930" s="240">
        <f>IFERROR(1/P3930-1,B3929)</f>
        <v/>
      </c>
      <c r="C3930" s="240">
        <f>$C$3</f>
        <v/>
      </c>
      <c r="D3930" s="240">
        <f>$D$3</f>
        <v/>
      </c>
      <c r="E3930" s="240">
        <f>$E$3</f>
        <v/>
      </c>
      <c r="F3930" s="241" t="n">
        <v>16.28</v>
      </c>
      <c r="G3930" s="242" t="n">
        <v>27180336</v>
      </c>
      <c r="H3930" s="241" t="n">
        <v>-0.49</v>
      </c>
      <c r="I3930" s="241" t="n">
        <v>-5.07</v>
      </c>
      <c r="J3930" s="241" t="n">
        <v>-24</v>
      </c>
      <c r="K3930" s="241" t="n">
        <v>7.93</v>
      </c>
      <c r="L3930" s="242" t="n">
        <v>2334400</v>
      </c>
      <c r="M3930" s="241" t="n">
        <v>1.34</v>
      </c>
      <c r="N3930" s="241" t="n">
        <v>-6.38</v>
      </c>
      <c r="O3930" s="241" t="n">
        <v>-25.08</v>
      </c>
      <c r="P3930" s="241" t="n">
        <v>2.05</v>
      </c>
    </row>
    <row r="3931">
      <c r="A3931" s="282" t="inlineStr">
        <is>
          <t>2022-03-04</t>
        </is>
      </c>
      <c r="B3931" s="240">
        <f>IFERROR(1/P3931-1,B3930)</f>
        <v/>
      </c>
      <c r="C3931" s="240">
        <f>$C$3</f>
        <v/>
      </c>
      <c r="D3931" s="240">
        <f>$D$3</f>
        <v/>
      </c>
      <c r="E3931" s="240">
        <f>$E$3</f>
        <v/>
      </c>
      <c r="F3931" s="241" t="n">
        <v>15.87</v>
      </c>
      <c r="G3931" s="242" t="n">
        <v>22688136</v>
      </c>
      <c r="H3931" s="241" t="n">
        <v>-2.52</v>
      </c>
      <c r="I3931" s="241" t="n">
        <v>-7.46</v>
      </c>
      <c r="J3931" s="241" t="n">
        <v>-25.91</v>
      </c>
      <c r="K3931" s="241" t="n">
        <v>7.63</v>
      </c>
      <c r="L3931" s="242" t="n">
        <v>1629200</v>
      </c>
      <c r="M3931" s="241" t="n">
        <v>-4.07</v>
      </c>
      <c r="N3931" s="241" t="n">
        <v>-10.19</v>
      </c>
      <c r="O3931" s="241" t="n">
        <v>-28.13</v>
      </c>
      <c r="P3931" s="241" t="n">
        <v>2.08</v>
      </c>
    </row>
    <row r="3932">
      <c r="A3932" s="282" t="inlineStr">
        <is>
          <t>2022-03-07</t>
        </is>
      </c>
      <c r="B3932" s="240">
        <f>IFERROR(1/P3932-1,B3931)</f>
        <v/>
      </c>
      <c r="C3932" s="240">
        <f>$C$3</f>
        <v/>
      </c>
      <c r="D3932" s="240">
        <f>$D$3</f>
        <v/>
      </c>
      <c r="E3932" s="240">
        <f>$E$3</f>
        <v/>
      </c>
      <c r="F3932" s="241" t="n">
        <v>15.48</v>
      </c>
      <c r="G3932" s="242" t="n">
        <v>24998817</v>
      </c>
      <c r="H3932" s="241" t="n">
        <v>-2.46</v>
      </c>
      <c r="I3932" s="241" t="n">
        <v>-9.74</v>
      </c>
      <c r="J3932" s="241" t="n">
        <v>-27.73</v>
      </c>
      <c r="K3932" s="241" t="n">
        <v>7.37</v>
      </c>
      <c r="L3932" s="242" t="n">
        <v>3107800</v>
      </c>
      <c r="M3932" s="241" t="n">
        <v>-3.82</v>
      </c>
      <c r="N3932" s="241" t="n">
        <v>-16.48</v>
      </c>
      <c r="O3932" s="241" t="n">
        <v>-30.87</v>
      </c>
      <c r="P3932" s="241" t="n">
        <v>2.1</v>
      </c>
    </row>
    <row r="3933">
      <c r="A3933" s="282" t="inlineStr">
        <is>
          <t>2022-03-08</t>
        </is>
      </c>
      <c r="B3933" s="240">
        <f>IFERROR(1/P3933-1,B3932)</f>
        <v/>
      </c>
      <c r="C3933" s="240">
        <f>$C$3</f>
        <v/>
      </c>
      <c r="D3933" s="240">
        <f>$D$3</f>
        <v/>
      </c>
      <c r="E3933" s="240">
        <f>$E$3</f>
        <v/>
      </c>
      <c r="F3933" s="241" t="n">
        <v>14.76</v>
      </c>
      <c r="G3933" s="242" t="n">
        <v>31974061</v>
      </c>
      <c r="H3933" s="241" t="n">
        <v>-4.65</v>
      </c>
      <c r="I3933" s="241" t="n">
        <v>-15.8</v>
      </c>
      <c r="J3933" s="241" t="n">
        <v>-31.09</v>
      </c>
      <c r="K3933" s="241" t="n">
        <v>6.93</v>
      </c>
      <c r="L3933" s="242" t="n">
        <v>3844649</v>
      </c>
      <c r="M3933" s="241" t="n">
        <v>-5.51</v>
      </c>
      <c r="N3933" s="241" t="n">
        <v>-23.89</v>
      </c>
      <c r="O3933" s="241" t="n">
        <v>-34.68</v>
      </c>
      <c r="P3933" s="241" t="n">
        <v>2.13</v>
      </c>
    </row>
    <row r="3934">
      <c r="A3934" s="282" t="inlineStr">
        <is>
          <t>2022-03-09</t>
        </is>
      </c>
      <c r="B3934" s="240">
        <f>IFERROR(1/P3934-1,B3933)</f>
        <v/>
      </c>
      <c r="C3934" s="240">
        <f>$C$3</f>
        <v/>
      </c>
      <c r="D3934" s="240">
        <f>$D$3</f>
        <v/>
      </c>
      <c r="E3934" s="240">
        <f>$E$3</f>
        <v/>
      </c>
      <c r="F3934" s="241" t="n">
        <v>14.87</v>
      </c>
      <c r="G3934" s="242" t="n">
        <v>38094527</v>
      </c>
      <c r="H3934" s="241" t="n">
        <v>0.75</v>
      </c>
      <c r="I3934" s="241" t="n">
        <v>-16.23</v>
      </c>
      <c r="J3934" s="241" t="n">
        <v>-30.58</v>
      </c>
      <c r="K3934" s="241" t="n">
        <v>7.13</v>
      </c>
      <c r="L3934" s="242" t="n">
        <v>4310649</v>
      </c>
      <c r="M3934" s="241" t="n">
        <v>2.92</v>
      </c>
      <c r="N3934" s="241" t="n">
        <v>-21.81</v>
      </c>
      <c r="O3934" s="241" t="n">
        <v>-32.77</v>
      </c>
      <c r="P3934" s="241" t="n">
        <v>2.09</v>
      </c>
    </row>
    <row r="3935">
      <c r="A3935" s="282" t="inlineStr">
        <is>
          <t>2022-03-10</t>
        </is>
      </c>
      <c r="B3935" s="240">
        <f>IFERROR(1/P3935-1,B3934)</f>
        <v/>
      </c>
      <c r="C3935" s="240">
        <f>$C$3</f>
        <v/>
      </c>
      <c r="D3935" s="240">
        <f>$D$3</f>
        <v/>
      </c>
      <c r="E3935" s="240">
        <f>$E$3</f>
        <v/>
      </c>
      <c r="F3935" s="241" t="n">
        <v>15.3</v>
      </c>
      <c r="G3935" s="242" t="n">
        <v>32204112</v>
      </c>
      <c r="H3935" s="241" t="n">
        <v>2.89</v>
      </c>
      <c r="I3935" s="241" t="n">
        <v>-14.72</v>
      </c>
      <c r="J3935" s="241" t="n">
        <v>-28.57</v>
      </c>
      <c r="K3935" s="241" t="n">
        <v>7.23</v>
      </c>
      <c r="L3935" s="242" t="n">
        <v>2286600</v>
      </c>
      <c r="M3935" s="241" t="n">
        <v>1.59</v>
      </c>
      <c r="N3935" s="241" t="n">
        <v>-20</v>
      </c>
      <c r="O3935" s="241" t="n">
        <v>-31.71</v>
      </c>
      <c r="P3935" s="241" t="n">
        <v>2.12</v>
      </c>
    </row>
    <row r="3936">
      <c r="A3936" s="282" t="inlineStr">
        <is>
          <t>2022-03-11</t>
        </is>
      </c>
      <c r="B3936" s="240">
        <f>IFERROR(1/P3936-1,B3935)</f>
        <v/>
      </c>
      <c r="C3936" s="240">
        <f>$C$3</f>
        <v/>
      </c>
      <c r="D3936" s="240">
        <f>$D$3</f>
        <v/>
      </c>
      <c r="E3936" s="240">
        <f>$E$3</f>
        <v/>
      </c>
      <c r="F3936" s="241" t="n">
        <v>15.13</v>
      </c>
      <c r="G3936" s="242" t="n">
        <v>30570730</v>
      </c>
      <c r="H3936" s="241" t="n">
        <v>-1.11</v>
      </c>
      <c r="I3936" s="241" t="n">
        <v>-13.34</v>
      </c>
      <c r="J3936" s="241" t="n">
        <v>-29.37</v>
      </c>
      <c r="K3936" s="241" t="n">
        <v>7.12</v>
      </c>
      <c r="L3936" s="242" t="n">
        <v>2811400</v>
      </c>
      <c r="M3936" s="241" t="n">
        <v>-1.79</v>
      </c>
      <c r="N3936" s="241" t="n">
        <v>-21.71</v>
      </c>
      <c r="O3936" s="241" t="n">
        <v>-32.93</v>
      </c>
      <c r="P3936" s="241" t="n">
        <v>2.12</v>
      </c>
    </row>
    <row r="3937">
      <c r="A3937" s="282" t="inlineStr">
        <is>
          <t>2022-03-14</t>
        </is>
      </c>
      <c r="B3937" s="240">
        <f>IFERROR(1/P3937-1,B3936)</f>
        <v/>
      </c>
      <c r="C3937" s="240">
        <f>$C$3</f>
        <v/>
      </c>
      <c r="D3937" s="240">
        <f>$D$3</f>
        <v/>
      </c>
      <c r="E3937" s="240">
        <f>$E$3</f>
        <v/>
      </c>
      <c r="F3937" s="241" t="n">
        <v>14.51</v>
      </c>
      <c r="G3937" s="242" t="n">
        <v>20200099</v>
      </c>
      <c r="H3937" s="241" t="n">
        <v>-4.1</v>
      </c>
      <c r="I3937" s="241" t="n">
        <v>-12.33</v>
      </c>
      <c r="J3937" s="241" t="n">
        <v>-32.26</v>
      </c>
      <c r="K3937" s="241" t="n">
        <v>6.52</v>
      </c>
      <c r="L3937" s="242" t="n">
        <v>4573800</v>
      </c>
      <c r="M3937" s="241" t="n">
        <v>-8.640000000000001</v>
      </c>
      <c r="N3937" s="241" t="n">
        <v>-27.57</v>
      </c>
      <c r="O3937" s="241" t="n">
        <v>-38.72</v>
      </c>
      <c r="P3937" s="241" t="n">
        <v>2.23</v>
      </c>
    </row>
    <row r="3938">
      <c r="A3938" s="282" t="inlineStr">
        <is>
          <t>2022-03-15</t>
        </is>
      </c>
      <c r="B3938" s="240">
        <f>IFERROR(1/P3938-1,B3937)</f>
        <v/>
      </c>
      <c r="C3938" s="240">
        <f>$C$3</f>
        <v/>
      </c>
      <c r="D3938" s="240">
        <f>$D$3</f>
        <v/>
      </c>
      <c r="E3938" s="240">
        <f>$E$3</f>
        <v/>
      </c>
      <c r="F3938" s="241" t="n">
        <v>13.44</v>
      </c>
      <c r="G3938" s="242" t="n">
        <v>48948674</v>
      </c>
      <c r="H3938" s="241" t="n">
        <v>-7.37</v>
      </c>
      <c r="I3938" s="241" t="n">
        <v>-15.95</v>
      </c>
      <c r="J3938" s="241" t="n">
        <v>-37.25</v>
      </c>
      <c r="K3938" s="241" t="n">
        <v>6.09</v>
      </c>
      <c r="L3938" s="242" t="n">
        <v>5687913</v>
      </c>
      <c r="M3938" s="241" t="n">
        <v>-6.97</v>
      </c>
      <c r="N3938" s="241" t="n">
        <v>-30.35</v>
      </c>
      <c r="O3938" s="241" t="n">
        <v>-42.99</v>
      </c>
      <c r="P3938" s="241" t="n">
        <v>2.21</v>
      </c>
    </row>
    <row r="3939">
      <c r="A3939" s="282" t="inlineStr">
        <is>
          <t>2022-03-16</t>
        </is>
      </c>
      <c r="B3939" s="240">
        <f>IFERROR(1/P3939-1,B3938)</f>
        <v/>
      </c>
      <c r="C3939" s="240">
        <f>$C$3</f>
        <v/>
      </c>
      <c r="D3939" s="240">
        <f>$D$3</f>
        <v/>
      </c>
      <c r="E3939" s="240">
        <f>$E$3</f>
        <v/>
      </c>
      <c r="F3939" s="241" t="n">
        <v>13.99</v>
      </c>
      <c r="G3939" s="242" t="n">
        <v>38106810</v>
      </c>
      <c r="H3939" s="241" t="n">
        <v>4.09</v>
      </c>
      <c r="I3939" s="241" t="n">
        <v>-13.96</v>
      </c>
      <c r="J3939" s="241" t="n">
        <v>-34.69</v>
      </c>
      <c r="K3939" s="241" t="n">
        <v>6.62</v>
      </c>
      <c r="L3939" s="242" t="n">
        <v>4641200</v>
      </c>
      <c r="M3939" s="241" t="n">
        <v>8.56</v>
      </c>
      <c r="N3939" s="241" t="n">
        <v>-22.07</v>
      </c>
      <c r="O3939" s="241" t="n">
        <v>-38.11</v>
      </c>
      <c r="P3939" s="241" t="n">
        <v>2.11</v>
      </c>
    </row>
    <row r="3940">
      <c r="A3940" s="282" t="inlineStr">
        <is>
          <t>2022-03-17</t>
        </is>
      </c>
      <c r="B3940" s="240">
        <f>IFERROR(1/P3940-1,B3939)</f>
        <v/>
      </c>
      <c r="C3940" s="240">
        <f>$C$3</f>
        <v/>
      </c>
      <c r="D3940" s="240">
        <f>$D$3</f>
        <v/>
      </c>
      <c r="E3940" s="240">
        <f>$E$3</f>
        <v/>
      </c>
      <c r="F3940" s="241" t="n">
        <v>14.15</v>
      </c>
      <c r="G3940" s="242" t="n">
        <v>40744479</v>
      </c>
      <c r="H3940" s="241" t="n">
        <v>1.14</v>
      </c>
      <c r="I3940" s="241" t="n">
        <v>-12.71</v>
      </c>
      <c r="J3940" s="241" t="n">
        <v>-33.94</v>
      </c>
      <c r="K3940" s="241" t="n">
        <v>7</v>
      </c>
      <c r="L3940" s="242" t="n">
        <v>2719800</v>
      </c>
      <c r="M3940" s="241" t="n">
        <v>6.28</v>
      </c>
      <c r="N3940" s="241" t="n">
        <v>-15.56</v>
      </c>
      <c r="O3940" s="241" t="n">
        <v>-34.22</v>
      </c>
      <c r="P3940" s="241" t="n">
        <v>2.02</v>
      </c>
    </row>
    <row r="3941">
      <c r="A3941" s="282" t="inlineStr">
        <is>
          <t>2022-03-18</t>
        </is>
      </c>
      <c r="B3941" s="240">
        <f>IFERROR(1/P3941-1,B3940)</f>
        <v/>
      </c>
      <c r="C3941" s="240">
        <f>$C$3</f>
        <v/>
      </c>
      <c r="D3941" s="240">
        <f>$D$3</f>
        <v/>
      </c>
      <c r="E3941" s="240">
        <f>$E$3</f>
        <v/>
      </c>
      <c r="F3941" s="241" t="n">
        <v>14.35</v>
      </c>
      <c r="G3941" s="242" t="n">
        <v>24420526</v>
      </c>
      <c r="H3941" s="241" t="n">
        <v>1.41</v>
      </c>
      <c r="I3941" s="241" t="n">
        <v>-11.26</v>
      </c>
      <c r="J3941" s="241" t="n">
        <v>-33.01</v>
      </c>
      <c r="K3941" s="241" t="n">
        <v>6.91</v>
      </c>
      <c r="L3941" s="242" t="n">
        <v>2131000</v>
      </c>
      <c r="M3941" s="241" t="n">
        <v>-1.27</v>
      </c>
      <c r="N3941" s="241" t="n">
        <v>-17.12</v>
      </c>
      <c r="O3941" s="241" t="n">
        <v>-35.06</v>
      </c>
      <c r="P3941" s="241" t="n">
        <v>2.08</v>
      </c>
    </row>
    <row r="3942">
      <c r="A3942" s="282" t="inlineStr">
        <is>
          <t>2022-03-21</t>
        </is>
      </c>
      <c r="B3942" s="240">
        <f>IFERROR(1/P3942-1,B3941)</f>
        <v/>
      </c>
      <c r="C3942" s="240">
        <f>$C$3</f>
        <v/>
      </c>
      <c r="D3942" s="240">
        <f>$D$3</f>
        <v/>
      </c>
      <c r="E3942" s="240">
        <f>$E$3</f>
        <v/>
      </c>
      <c r="F3942" s="241" t="n">
        <v>14.28</v>
      </c>
      <c r="G3942" s="242" t="n">
        <v>21527598</v>
      </c>
      <c r="H3942" s="241" t="n">
        <v>-0.49</v>
      </c>
      <c r="I3942" s="241" t="n">
        <v>-10.81</v>
      </c>
      <c r="J3942" s="241" t="n">
        <v>-33.33</v>
      </c>
      <c r="K3942" s="241" t="n">
        <v>6.92</v>
      </c>
      <c r="L3942" s="242" t="n">
        <v>2719900</v>
      </c>
      <c r="M3942" s="241" t="n">
        <v>-0.23</v>
      </c>
      <c r="N3942" s="241" t="n">
        <v>-13.71</v>
      </c>
      <c r="O3942" s="241" t="n">
        <v>-35.21</v>
      </c>
      <c r="P3942" s="241" t="n">
        <v>2.06</v>
      </c>
    </row>
    <row r="3943">
      <c r="A3943" s="282" t="inlineStr">
        <is>
          <t>2022-03-22</t>
        </is>
      </c>
      <c r="B3943" s="240">
        <f>IFERROR(1/P3943-1,B3942)</f>
        <v/>
      </c>
      <c r="C3943" s="240">
        <f>$C$3</f>
        <v/>
      </c>
      <c r="D3943" s="240">
        <f>$D$3</f>
        <v/>
      </c>
      <c r="E3943" s="240">
        <f>$E$3</f>
        <v/>
      </c>
      <c r="F3943" s="241" t="n">
        <v>14.23</v>
      </c>
      <c r="G3943" s="242" t="n">
        <v>18729107</v>
      </c>
      <c r="H3943" s="241" t="n">
        <v>-0.35</v>
      </c>
      <c r="I3943" s="241" t="n">
        <v>-11.12</v>
      </c>
      <c r="J3943" s="241" t="n">
        <v>-33.57</v>
      </c>
      <c r="K3943" s="241" t="n">
        <v>7.08</v>
      </c>
      <c r="L3943" s="242" t="n">
        <v>1716600</v>
      </c>
      <c r="M3943" s="241" t="n">
        <v>2.35</v>
      </c>
      <c r="N3943" s="241" t="n">
        <v>-9.94</v>
      </c>
      <c r="O3943" s="241" t="n">
        <v>-33.69</v>
      </c>
      <c r="P3943" s="241" t="n">
        <v>2.01</v>
      </c>
    </row>
    <row r="3944">
      <c r="A3944" s="282" t="inlineStr">
        <is>
          <t>2022-03-23</t>
        </is>
      </c>
      <c r="B3944" s="240">
        <f>IFERROR(1/P3944-1,B3943)</f>
        <v/>
      </c>
      <c r="C3944" s="240">
        <f>$C$3</f>
        <v/>
      </c>
      <c r="D3944" s="240">
        <f>$D$3</f>
        <v/>
      </c>
      <c r="E3944" s="240">
        <f>$E$3</f>
        <v/>
      </c>
      <c r="F3944" s="241" t="n">
        <v>14.73</v>
      </c>
      <c r="G3944" s="242" t="n">
        <v>72282276</v>
      </c>
      <c r="H3944" s="241" t="n">
        <v>3.51</v>
      </c>
      <c r="I3944" s="241" t="n">
        <v>-5.64</v>
      </c>
      <c r="J3944" s="241" t="n">
        <v>-31.23</v>
      </c>
      <c r="K3944" s="241" t="n">
        <v>7.25</v>
      </c>
      <c r="L3944" s="242" t="n">
        <v>6635640</v>
      </c>
      <c r="M3944" s="241" t="n">
        <v>2.64</v>
      </c>
      <c r="N3944" s="241" t="n">
        <v>-4.39</v>
      </c>
      <c r="O3944" s="241" t="n">
        <v>-31.94</v>
      </c>
      <c r="P3944" s="241" t="n">
        <v>2.03</v>
      </c>
    </row>
    <row r="3945">
      <c r="A3945" s="282" t="inlineStr">
        <is>
          <t>2022-03-24</t>
        </is>
      </c>
      <c r="B3945" s="240">
        <f>IFERROR(1/P3945-1,B3944)</f>
        <v/>
      </c>
      <c r="C3945" s="240">
        <f>$C$3</f>
        <v/>
      </c>
      <c r="D3945" s="240">
        <f>$D$3</f>
        <v/>
      </c>
      <c r="E3945" s="240">
        <f>$E$3</f>
        <v/>
      </c>
      <c r="F3945" s="241" t="n">
        <v>14.38</v>
      </c>
      <c r="G3945" s="242" t="n">
        <v>40766070</v>
      </c>
      <c r="H3945" s="241" t="n">
        <v>-2.38</v>
      </c>
      <c r="I3945" s="241" t="n">
        <v>-11.34</v>
      </c>
      <c r="J3945" s="241" t="n">
        <v>-32.87</v>
      </c>
      <c r="K3945" s="241" t="n">
        <v>7.2</v>
      </c>
      <c r="L3945" s="242" t="n">
        <v>2723200</v>
      </c>
      <c r="M3945" s="241" t="n">
        <v>-0.9</v>
      </c>
      <c r="N3945" s="241" t="n">
        <v>-10.79</v>
      </c>
      <c r="O3945" s="241" t="n">
        <v>-32.55</v>
      </c>
      <c r="P3945" s="241" t="n">
        <v>2</v>
      </c>
    </row>
    <row r="3946">
      <c r="A3946" s="282" t="inlineStr">
        <is>
          <t>2022-03-25</t>
        </is>
      </c>
      <c r="B3946" s="240">
        <f>IFERROR(1/P3946-1,B3945)</f>
        <v/>
      </c>
      <c r="C3946" s="240">
        <f>$C$3</f>
        <v/>
      </c>
      <c r="D3946" s="240">
        <f>$D$3</f>
        <v/>
      </c>
      <c r="E3946" s="240">
        <f>$E$3</f>
        <v/>
      </c>
      <c r="F3946" s="241" t="n">
        <v>13.99</v>
      </c>
      <c r="G3946" s="242" t="n">
        <v>26877947</v>
      </c>
      <c r="H3946" s="241" t="n">
        <v>-2.71</v>
      </c>
      <c r="I3946" s="241" t="n">
        <v>-12.67</v>
      </c>
      <c r="J3946" s="241" t="n">
        <v>-34.69</v>
      </c>
      <c r="K3946" s="241" t="n">
        <v>6.87</v>
      </c>
      <c r="L3946" s="242" t="n">
        <v>2612000</v>
      </c>
      <c r="M3946" s="241" t="n">
        <v>-4.75</v>
      </c>
      <c r="N3946" s="241" t="n">
        <v>-13.09</v>
      </c>
      <c r="O3946" s="241" t="n">
        <v>-35.75</v>
      </c>
      <c r="P3946" s="241" t="n">
        <v>2.04</v>
      </c>
    </row>
    <row r="3947">
      <c r="A3947" s="282" t="inlineStr">
        <is>
          <t>2022-03-28</t>
        </is>
      </c>
      <c r="B3947" s="240">
        <f>IFERROR(1/P3947-1,B3946)</f>
        <v/>
      </c>
      <c r="C3947" s="240">
        <f>$C$3</f>
        <v/>
      </c>
      <c r="D3947" s="240">
        <f>$D$3</f>
        <v/>
      </c>
      <c r="E3947" s="240">
        <f>$E$3</f>
        <v/>
      </c>
      <c r="F3947" s="241" t="n">
        <v>13.81</v>
      </c>
      <c r="G3947" s="242" t="n">
        <v>22739873</v>
      </c>
      <c r="H3947" s="241" t="n">
        <v>-1.29</v>
      </c>
      <c r="I3947" s="241" t="n">
        <v>-15.74</v>
      </c>
      <c r="J3947" s="241" t="n">
        <v>-35.53</v>
      </c>
      <c r="K3947" s="241" t="n">
        <v>6.84</v>
      </c>
      <c r="L3947" s="242" t="n">
        <v>1768200</v>
      </c>
      <c r="M3947" s="241" t="n">
        <v>-0.36</v>
      </c>
      <c r="N3947" s="241" t="n">
        <v>-15.58</v>
      </c>
      <c r="O3947" s="241" t="n">
        <v>-35.98</v>
      </c>
      <c r="P3947" s="241" t="n">
        <v>2.02</v>
      </c>
    </row>
    <row r="3948">
      <c r="A3948" s="282" t="inlineStr">
        <is>
          <t>2022-03-29</t>
        </is>
      </c>
      <c r="B3948" s="240">
        <f>IFERROR(1/P3948-1,B3947)</f>
        <v/>
      </c>
      <c r="C3948" s="240">
        <f>$C$3</f>
        <v/>
      </c>
      <c r="D3948" s="240">
        <f>$D$3</f>
        <v/>
      </c>
      <c r="E3948" s="240">
        <f>$E$3</f>
        <v/>
      </c>
      <c r="F3948" s="241" t="n">
        <v>13.58</v>
      </c>
      <c r="G3948" s="242" t="n">
        <v>24653615</v>
      </c>
      <c r="H3948" s="241" t="n">
        <v>-1.67</v>
      </c>
      <c r="I3948" s="241" t="n">
        <v>-17.14</v>
      </c>
      <c r="J3948" s="241" t="n">
        <v>-36.6</v>
      </c>
      <c r="K3948" s="241" t="n">
        <v>6.84</v>
      </c>
      <c r="L3948" s="242" t="n">
        <v>1065600</v>
      </c>
      <c r="M3948" s="241" t="n">
        <v>0.24</v>
      </c>
      <c r="N3948" s="241" t="n">
        <v>-15.38</v>
      </c>
      <c r="O3948" s="241" t="n">
        <v>-35.82</v>
      </c>
      <c r="P3948" s="241" t="n">
        <v>1.98</v>
      </c>
    </row>
    <row r="3949">
      <c r="A3949" s="282" t="inlineStr">
        <is>
          <t>2022-03-30</t>
        </is>
      </c>
      <c r="B3949" s="240">
        <f>IFERROR(1/P3949-1,B3948)</f>
        <v/>
      </c>
      <c r="C3949" s="240">
        <f>$C$3</f>
        <v/>
      </c>
      <c r="D3949" s="240">
        <f>$D$3</f>
        <v/>
      </c>
      <c r="E3949" s="240">
        <f>$E$3</f>
        <v/>
      </c>
      <c r="F3949" s="241" t="n">
        <v>14.13</v>
      </c>
      <c r="G3949" s="242" t="n">
        <v>31515908</v>
      </c>
      <c r="H3949" s="241" t="n">
        <v>4.05</v>
      </c>
      <c r="I3949" s="241" t="n">
        <v>-13.79</v>
      </c>
      <c r="J3949" s="241" t="n">
        <v>-34.03</v>
      </c>
      <c r="K3949" s="241" t="n">
        <v>7.09</v>
      </c>
      <c r="L3949" s="242" t="n">
        <v>1889800</v>
      </c>
      <c r="M3949" s="241" t="n">
        <v>3.68</v>
      </c>
      <c r="N3949" s="241" t="n">
        <v>-12.26</v>
      </c>
      <c r="O3949" s="241" t="n">
        <v>-33.46</v>
      </c>
      <c r="P3949" s="241" t="n">
        <v>1.99</v>
      </c>
    </row>
    <row r="3950">
      <c r="A3950" s="282" t="inlineStr">
        <is>
          <t>2022-03-31</t>
        </is>
      </c>
      <c r="B3950" s="240">
        <f>IFERROR(1/P3950-1,B3949)</f>
        <v/>
      </c>
      <c r="C3950" s="240">
        <f>$C$3</f>
        <v/>
      </c>
      <c r="D3950" s="240">
        <f>$D$3</f>
        <v/>
      </c>
      <c r="E3950" s="240">
        <f>$E$3</f>
        <v/>
      </c>
      <c r="F3950" s="241" t="n">
        <v>13.56</v>
      </c>
      <c r="G3950" s="242" t="n">
        <v>37903968</v>
      </c>
      <c r="H3950" s="241" t="n">
        <v>-4.03</v>
      </c>
      <c r="I3950" s="241" t="n">
        <v>-17.27</v>
      </c>
      <c r="J3950" s="241" t="n">
        <v>-36.69</v>
      </c>
      <c r="K3950" s="241" t="n">
        <v>7.11</v>
      </c>
      <c r="L3950" s="242" t="n">
        <v>1874600</v>
      </c>
      <c r="M3950" s="241" t="n">
        <v>0.46</v>
      </c>
      <c r="N3950" s="241" t="n">
        <v>-11.86</v>
      </c>
      <c r="O3950" s="241" t="n">
        <v>-33.16</v>
      </c>
      <c r="P3950" s="241" t="n">
        <v>1.91</v>
      </c>
    </row>
    <row r="3951">
      <c r="A3951" s="282" t="inlineStr">
        <is>
          <t>2022-04-01</t>
        </is>
      </c>
      <c r="B3951" s="240">
        <f>IFERROR(1/P3951-1,B3950)</f>
        <v/>
      </c>
      <c r="C3951" s="240">
        <f>$C$3</f>
        <v/>
      </c>
      <c r="D3951" s="240">
        <f>$D$3</f>
        <v/>
      </c>
      <c r="E3951" s="240">
        <f>$E$3</f>
        <v/>
      </c>
      <c r="F3951" s="241" t="n">
        <v>13.59</v>
      </c>
      <c r="G3951" s="242" t="n">
        <v>29262471</v>
      </c>
      <c r="H3951" s="241" t="n">
        <v>0.22</v>
      </c>
      <c r="I3951" s="241" t="n">
        <v>-16.42</v>
      </c>
      <c r="J3951" s="241" t="n">
        <v>-36.55</v>
      </c>
      <c r="K3951" s="241" t="n">
        <v>7.14</v>
      </c>
      <c r="L3951" s="242" t="n">
        <v>2632300</v>
      </c>
      <c r="M3951" s="241" t="n">
        <v>0.46</v>
      </c>
      <c r="N3951" s="241" t="n">
        <v>-10.01</v>
      </c>
      <c r="O3951" s="241" t="n">
        <v>-32.85</v>
      </c>
      <c r="P3951" s="241" t="n">
        <v>1.9</v>
      </c>
    </row>
    <row r="3952">
      <c r="A3952" s="282" t="inlineStr">
        <is>
          <t>2022-04-06</t>
        </is>
      </c>
      <c r="B3952" s="240">
        <f>IFERROR(1/P3952-1,B3951)</f>
        <v/>
      </c>
      <c r="C3952" s="240">
        <f>$C$3</f>
        <v/>
      </c>
      <c r="D3952" s="240">
        <f>$D$3</f>
        <v/>
      </c>
      <c r="E3952" s="240">
        <f>$E$3</f>
        <v/>
      </c>
      <c r="F3952" s="241" t="n">
        <v>13.18</v>
      </c>
      <c r="G3952" s="242" t="n">
        <v>37646355</v>
      </c>
      <c r="H3952" s="241" t="n">
        <v>-3.02</v>
      </c>
      <c r="I3952" s="241" t="n">
        <v>-16.95</v>
      </c>
      <c r="J3952" s="241" t="n">
        <v>-38.47</v>
      </c>
      <c r="K3952" s="241" t="n">
        <v>6.33</v>
      </c>
      <c r="L3952" s="242" t="n">
        <v>14280200</v>
      </c>
      <c r="M3952" s="241" t="n">
        <v>-9.109999999999999</v>
      </c>
      <c r="N3952" s="241" t="n">
        <v>-17.5</v>
      </c>
      <c r="O3952" s="241" t="n">
        <v>-40.7</v>
      </c>
      <c r="P3952" s="241" t="n">
        <v>2.08</v>
      </c>
    </row>
    <row r="3953">
      <c r="A3953" s="282" t="inlineStr">
        <is>
          <t>2022-04-07</t>
        </is>
      </c>
      <c r="B3953" s="240">
        <f>IFERROR(1/P3953-1,B3952)</f>
        <v/>
      </c>
      <c r="C3953" s="240">
        <f>$C$3</f>
        <v/>
      </c>
      <c r="D3953" s="240">
        <f>$D$3</f>
        <v/>
      </c>
      <c r="E3953" s="240">
        <f>$E$3</f>
        <v/>
      </c>
      <c r="F3953" s="241" t="n">
        <v>12.6</v>
      </c>
      <c r="G3953" s="242" t="n">
        <v>48499052</v>
      </c>
      <c r="H3953" s="241" t="n">
        <v>-4.4</v>
      </c>
      <c r="I3953" s="241" t="n">
        <v>-20.6</v>
      </c>
      <c r="J3953" s="241" t="n">
        <v>-41.18</v>
      </c>
      <c r="K3953" s="241" t="n">
        <v>6.04</v>
      </c>
      <c r="L3953" s="242" t="n">
        <v>10775200</v>
      </c>
      <c r="M3953" s="241" t="n">
        <v>-4.37</v>
      </c>
      <c r="N3953" s="241" t="n">
        <v>-21.1</v>
      </c>
      <c r="O3953" s="241" t="n">
        <v>-43.29</v>
      </c>
      <c r="P3953" s="241" t="n">
        <v>2.09</v>
      </c>
    </row>
    <row r="3954">
      <c r="A3954" s="282" t="inlineStr">
        <is>
          <t>2022-04-08</t>
        </is>
      </c>
      <c r="B3954" s="240">
        <f>IFERROR(1/P3954-1,B3953)</f>
        <v/>
      </c>
      <c r="C3954" s="240">
        <f>$C$3</f>
        <v/>
      </c>
      <c r="D3954" s="240">
        <f>$D$3</f>
        <v/>
      </c>
      <c r="E3954" s="240">
        <f>$E$3</f>
        <v/>
      </c>
      <c r="F3954" s="241" t="n">
        <v>12.77</v>
      </c>
      <c r="G3954" s="242" t="n">
        <v>27790887</v>
      </c>
      <c r="H3954" s="241" t="n">
        <v>1.35</v>
      </c>
      <c r="I3954" s="241" t="n">
        <v>-17.51</v>
      </c>
      <c r="J3954" s="241" t="n">
        <v>-40.38</v>
      </c>
      <c r="K3954" s="241" t="n">
        <v>6.25</v>
      </c>
      <c r="L3954" s="242" t="n">
        <v>6171600</v>
      </c>
      <c r="M3954" s="241" t="n">
        <v>3.36</v>
      </c>
      <c r="N3954" s="241" t="n">
        <v>-15.21</v>
      </c>
      <c r="O3954" s="241" t="n">
        <v>-41.39</v>
      </c>
      <c r="P3954" s="241" t="n">
        <v>2.04</v>
      </c>
    </row>
    <row r="3955">
      <c r="A3955" s="282" t="inlineStr">
        <is>
          <t>2022-04-11</t>
        </is>
      </c>
      <c r="B3955" s="240">
        <f>IFERROR(1/P3955-1,B3954)</f>
        <v/>
      </c>
      <c r="C3955" s="240">
        <f>$C$3</f>
        <v/>
      </c>
      <c r="D3955" s="240">
        <f>$D$3</f>
        <v/>
      </c>
      <c r="E3955" s="240">
        <f>$E$3</f>
        <v/>
      </c>
      <c r="F3955" s="241" t="n">
        <v>12.15</v>
      </c>
      <c r="G3955" s="242" t="n">
        <v>31378526</v>
      </c>
      <c r="H3955" s="241" t="n">
        <v>-4.86</v>
      </c>
      <c r="I3955" s="241" t="n">
        <v>-20.59</v>
      </c>
      <c r="J3955" s="241" t="n">
        <v>-43.28</v>
      </c>
      <c r="K3955" s="241" t="n">
        <v>5.93</v>
      </c>
      <c r="L3955" s="242" t="n">
        <v>4151600</v>
      </c>
      <c r="M3955" s="241" t="n">
        <v>-4.94</v>
      </c>
      <c r="N3955" s="241" t="n">
        <v>-18.42</v>
      </c>
      <c r="O3955" s="241" t="n">
        <v>-44.28</v>
      </c>
      <c r="P3955" s="241" t="n">
        <v>2.05</v>
      </c>
    </row>
    <row r="3956">
      <c r="A3956" s="282" t="inlineStr">
        <is>
          <t>2022-04-12</t>
        </is>
      </c>
      <c r="B3956" s="240">
        <f>IFERROR(1/P3956-1,B3955)</f>
        <v/>
      </c>
      <c r="C3956" s="240">
        <f>$C$3</f>
        <v/>
      </c>
      <c r="D3956" s="240">
        <f>$D$3</f>
        <v/>
      </c>
      <c r="E3956" s="240">
        <f>$E$3</f>
        <v/>
      </c>
      <c r="F3956" s="241" t="n">
        <v>12.8</v>
      </c>
      <c r="G3956" s="242" t="n">
        <v>47523828</v>
      </c>
      <c r="H3956" s="241" t="n">
        <v>5.35</v>
      </c>
      <c r="I3956" s="241" t="n">
        <v>-15.4</v>
      </c>
      <c r="J3956" s="241" t="n">
        <v>-40.24</v>
      </c>
      <c r="K3956" s="241" t="n">
        <v>6.31</v>
      </c>
      <c r="L3956" s="242" t="n">
        <v>11662800</v>
      </c>
      <c r="M3956" s="241" t="n">
        <v>6.02</v>
      </c>
      <c r="N3956" s="241" t="n">
        <v>-11.93</v>
      </c>
      <c r="O3956" s="241" t="n">
        <v>-40.93</v>
      </c>
      <c r="P3956" s="241" t="n">
        <v>2.03</v>
      </c>
    </row>
    <row r="3957">
      <c r="A3957" s="282" t="inlineStr">
        <is>
          <t>2022-04-13</t>
        </is>
      </c>
      <c r="B3957" s="240">
        <f>IFERROR(1/P3957-1,B3956)</f>
        <v/>
      </c>
      <c r="C3957" s="240">
        <f>$C$3</f>
        <v/>
      </c>
      <c r="D3957" s="240">
        <f>$D$3</f>
        <v/>
      </c>
      <c r="E3957" s="240">
        <f>$E$3</f>
        <v/>
      </c>
      <c r="F3957" s="241" t="n">
        <v>12.47</v>
      </c>
      <c r="G3957" s="242" t="n">
        <v>27237744</v>
      </c>
      <c r="H3957" s="241" t="n">
        <v>-2.58</v>
      </c>
      <c r="I3957" s="241" t="n">
        <v>-17.58</v>
      </c>
      <c r="J3957" s="241" t="n">
        <v>-41.78</v>
      </c>
      <c r="K3957" s="241" t="n">
        <v>6.38</v>
      </c>
      <c r="L3957" s="242" t="n">
        <v>3230200</v>
      </c>
      <c r="M3957" s="241" t="n">
        <v>1.16</v>
      </c>
      <c r="N3957" s="241" t="n">
        <v>-10.91</v>
      </c>
      <c r="O3957" s="241" t="n">
        <v>-40.24</v>
      </c>
      <c r="P3957" s="241" t="n">
        <v>1.96</v>
      </c>
    </row>
    <row r="3958">
      <c r="A3958" s="282" t="inlineStr">
        <is>
          <t>2022-04-14</t>
        </is>
      </c>
      <c r="B3958" s="240">
        <f>IFERROR(1/P3958-1,B3957)</f>
        <v/>
      </c>
      <c r="C3958" s="240">
        <f>$C$3</f>
        <v/>
      </c>
      <c r="D3958" s="240">
        <f>$D$3</f>
        <v/>
      </c>
      <c r="E3958" s="240">
        <f>$E$3</f>
        <v/>
      </c>
      <c r="F3958" s="241" t="n">
        <v>12.68</v>
      </c>
      <c r="G3958" s="242" t="n">
        <v>30731703</v>
      </c>
      <c r="H3958" s="241" t="n">
        <v>1.68</v>
      </c>
      <c r="I3958" s="241" t="n">
        <v>-16.19</v>
      </c>
      <c r="J3958" s="241" t="n">
        <v>-40.8</v>
      </c>
      <c r="K3958" s="241" t="n">
        <v>6.65</v>
      </c>
      <c r="L3958" s="242" t="n">
        <v>4782600</v>
      </c>
      <c r="M3958" s="241" t="n">
        <v>4.59</v>
      </c>
      <c r="N3958" s="241" t="n">
        <v>-6.82</v>
      </c>
      <c r="O3958" s="241" t="n">
        <v>-37.5</v>
      </c>
      <c r="P3958" s="241" t="n">
        <v>1.91</v>
      </c>
    </row>
    <row r="3959">
      <c r="A3959" s="282" t="inlineStr">
        <is>
          <t>2022-04-15</t>
        </is>
      </c>
      <c r="B3959" s="240">
        <f>IFERROR(1/P3959-1,B3958)</f>
        <v/>
      </c>
      <c r="C3959" s="240">
        <f>$C$3</f>
        <v/>
      </c>
      <c r="D3959" s="240">
        <f>$D$3</f>
        <v/>
      </c>
      <c r="E3959" s="240">
        <f>$E$3</f>
        <v/>
      </c>
      <c r="F3959" s="241" t="n">
        <v>12.57</v>
      </c>
      <c r="G3959" s="242" t="n">
        <v>20845896</v>
      </c>
      <c r="H3959" s="241" t="n">
        <v>-0.87</v>
      </c>
      <c r="I3959" s="241" t="n">
        <v>-13.37</v>
      </c>
      <c r="J3959" s="241" t="n">
        <v>-41.32</v>
      </c>
      <c r="K3959" s="239" t="inlineStr">
        <is>
          <t>--</t>
        </is>
      </c>
      <c r="L3959" s="239" t="inlineStr">
        <is>
          <t>--</t>
        </is>
      </c>
      <c r="M3959" s="239" t="inlineStr">
        <is>
          <t>--</t>
        </is>
      </c>
      <c r="N3959" s="239" t="inlineStr">
        <is>
          <t>--</t>
        </is>
      </c>
      <c r="O3959" s="239" t="inlineStr">
        <is>
          <t>--</t>
        </is>
      </c>
      <c r="P3959" s="239" t="inlineStr">
        <is>
          <t>--</t>
        </is>
      </c>
    </row>
    <row r="3960">
      <c r="A3960" s="282" t="inlineStr">
        <is>
          <t>2022-04-18</t>
        </is>
      </c>
      <c r="B3960" s="240">
        <f>IFERROR(1/P3960-1,B3959)</f>
        <v/>
      </c>
      <c r="C3960" s="240">
        <f>$C$3</f>
        <v/>
      </c>
      <c r="D3960" s="240">
        <f>$D$3</f>
        <v/>
      </c>
      <c r="E3960" s="240">
        <f>$E$3</f>
        <v/>
      </c>
      <c r="F3960" s="241" t="n">
        <v>12.73</v>
      </c>
      <c r="G3960" s="242" t="n">
        <v>22739410</v>
      </c>
      <c r="H3960" s="241" t="n">
        <v>1.27</v>
      </c>
      <c r="I3960" s="241" t="n">
        <v>-10.04</v>
      </c>
      <c r="J3960" s="241" t="n">
        <v>-40.57</v>
      </c>
      <c r="K3960" s="239" t="inlineStr">
        <is>
          <t>--</t>
        </is>
      </c>
      <c r="L3960" s="239" t="inlineStr">
        <is>
          <t>--</t>
        </is>
      </c>
      <c r="M3960" s="239" t="inlineStr">
        <is>
          <t>--</t>
        </is>
      </c>
      <c r="N3960" s="239" t="inlineStr">
        <is>
          <t>--</t>
        </is>
      </c>
      <c r="O3960" s="239" t="inlineStr">
        <is>
          <t>--</t>
        </is>
      </c>
      <c r="P3960" s="239" t="inlineStr">
        <is>
          <t>--</t>
        </is>
      </c>
    </row>
    <row r="3961">
      <c r="A3961" s="282" t="inlineStr">
        <is>
          <t>2022-04-19</t>
        </is>
      </c>
      <c r="B3961" s="240">
        <f>IFERROR(1/P3961-1,B3960)</f>
        <v/>
      </c>
      <c r="C3961" s="240">
        <f>$C$3</f>
        <v/>
      </c>
      <c r="D3961" s="240">
        <f>$D$3</f>
        <v/>
      </c>
      <c r="E3961" s="240">
        <f>$E$3</f>
        <v/>
      </c>
      <c r="F3961" s="241" t="n">
        <v>12.78</v>
      </c>
      <c r="G3961" s="242" t="n">
        <v>26147339</v>
      </c>
      <c r="H3961" s="241" t="n">
        <v>0.39</v>
      </c>
      <c r="I3961" s="241" t="n">
        <v>-10.94</v>
      </c>
      <c r="J3961" s="241" t="n">
        <v>-40.34</v>
      </c>
      <c r="K3961" s="241" t="n">
        <v>6.65</v>
      </c>
      <c r="L3961" s="242" t="n">
        <v>2835200</v>
      </c>
      <c r="M3961" s="241" t="n">
        <v>-0.12</v>
      </c>
      <c r="N3961" s="241" t="n">
        <v>-3.87</v>
      </c>
      <c r="O3961" s="241" t="n">
        <v>-37.58</v>
      </c>
      <c r="P3961" s="241" t="n">
        <v>1.92</v>
      </c>
    </row>
    <row r="3962">
      <c r="A3962" s="282" t="inlineStr">
        <is>
          <t>2022-04-20</t>
        </is>
      </c>
      <c r="B3962" s="240">
        <f>IFERROR(1/P3962-1,B3961)</f>
        <v/>
      </c>
      <c r="C3962" s="240">
        <f>$C$3</f>
        <v/>
      </c>
      <c r="D3962" s="240">
        <f>$D$3</f>
        <v/>
      </c>
      <c r="E3962" s="240">
        <f>$E$3</f>
        <v/>
      </c>
      <c r="F3962" s="241" t="n">
        <v>12.61</v>
      </c>
      <c r="G3962" s="242" t="n">
        <v>39713792</v>
      </c>
      <c r="H3962" s="241" t="n">
        <v>-1.33</v>
      </c>
      <c r="I3962" s="241" t="n">
        <v>-12.13</v>
      </c>
      <c r="J3962" s="241" t="n">
        <v>-41.13</v>
      </c>
      <c r="K3962" s="241" t="n">
        <v>6.55</v>
      </c>
      <c r="L3962" s="242" t="n">
        <v>1676585</v>
      </c>
      <c r="M3962" s="241" t="n">
        <v>-1.95</v>
      </c>
      <c r="N3962" s="241" t="n">
        <v>-5.75</v>
      </c>
      <c r="O3962" s="241" t="n">
        <v>-38.8</v>
      </c>
      <c r="P3962" s="241" t="n">
        <v>1.92</v>
      </c>
    </row>
    <row r="3963">
      <c r="A3963" s="282" t="inlineStr">
        <is>
          <t>2022-04-21</t>
        </is>
      </c>
      <c r="B3963" s="240">
        <f>IFERROR(1/P3963-1,B3962)</f>
        <v/>
      </c>
      <c r="C3963" s="240">
        <f>$C$3</f>
        <v/>
      </c>
      <c r="D3963" s="240">
        <f>$D$3</f>
        <v/>
      </c>
      <c r="E3963" s="240">
        <f>$E$3</f>
        <v/>
      </c>
      <c r="F3963" s="241" t="n">
        <v>12.03</v>
      </c>
      <c r="G3963" s="242" t="n">
        <v>55468783</v>
      </c>
      <c r="H3963" s="241" t="n">
        <v>-4.6</v>
      </c>
      <c r="I3963" s="241" t="n">
        <v>-16.17</v>
      </c>
      <c r="J3963" s="241" t="n">
        <v>-43.84</v>
      </c>
      <c r="K3963" s="241" t="n">
        <v>6.4</v>
      </c>
      <c r="L3963" s="242" t="n">
        <v>4639200</v>
      </c>
      <c r="M3963" s="241" t="n">
        <v>-2.49</v>
      </c>
      <c r="N3963" s="241" t="n">
        <v>-8.1</v>
      </c>
      <c r="O3963" s="241" t="n">
        <v>-40.32</v>
      </c>
      <c r="P3963" s="241" t="n">
        <v>1.88</v>
      </c>
    </row>
    <row r="3964">
      <c r="A3964" s="282" t="inlineStr">
        <is>
          <t>2022-04-22</t>
        </is>
      </c>
      <c r="B3964" s="240">
        <f>IFERROR(1/P3964-1,B3963)</f>
        <v/>
      </c>
      <c r="C3964" s="240">
        <f>$C$3</f>
        <v/>
      </c>
      <c r="D3964" s="240">
        <f>$D$3</f>
        <v/>
      </c>
      <c r="E3964" s="240">
        <f>$E$3</f>
        <v/>
      </c>
      <c r="F3964" s="241" t="n">
        <v>12.2</v>
      </c>
      <c r="G3964" s="242" t="n">
        <v>31963237</v>
      </c>
      <c r="H3964" s="241" t="n">
        <v>1.41</v>
      </c>
      <c r="I3964" s="241" t="n">
        <v>-14.57</v>
      </c>
      <c r="J3964" s="241" t="n">
        <v>-43.04</v>
      </c>
      <c r="K3964" s="241" t="n">
        <v>6.56</v>
      </c>
      <c r="L3964" s="242" t="n">
        <v>1996674</v>
      </c>
      <c r="M3964" s="241" t="n">
        <v>1.79</v>
      </c>
      <c r="N3964" s="241" t="n">
        <v>-6.24</v>
      </c>
      <c r="O3964" s="241" t="n">
        <v>-39.25</v>
      </c>
      <c r="P3964" s="241" t="n">
        <v>1.86</v>
      </c>
    </row>
    <row r="3965">
      <c r="A3965" s="282" t="inlineStr">
        <is>
          <t>2022-04-25</t>
        </is>
      </c>
      <c r="B3965" s="240">
        <f>IFERROR(1/P3965-1,B3964)</f>
        <v/>
      </c>
      <c r="C3965" s="240">
        <f>$C$3</f>
        <v/>
      </c>
      <c r="D3965" s="240">
        <f>$D$3</f>
        <v/>
      </c>
      <c r="E3965" s="240">
        <f>$E$3</f>
        <v/>
      </c>
      <c r="F3965" s="241" t="n">
        <v>11.19</v>
      </c>
      <c r="G3965" s="242" t="n">
        <v>46449793</v>
      </c>
      <c r="H3965" s="241" t="n">
        <v>-8.279999999999999</v>
      </c>
      <c r="I3965" s="241" t="n">
        <v>-22.18</v>
      </c>
      <c r="J3965" s="241" t="n">
        <v>-47.76</v>
      </c>
      <c r="K3965" s="241" t="n">
        <v>6.19</v>
      </c>
      <c r="L3965" s="242" t="n">
        <v>3966400</v>
      </c>
      <c r="M3965" s="241" t="n">
        <v>-6.15</v>
      </c>
      <c r="N3965" s="241" t="n">
        <v>-15.48</v>
      </c>
      <c r="O3965" s="241" t="n">
        <v>-42.99</v>
      </c>
      <c r="P3965" s="241" t="n">
        <v>1.81</v>
      </c>
    </row>
    <row r="3966">
      <c r="A3966" s="282" t="inlineStr">
        <is>
          <t>2022-04-26</t>
        </is>
      </c>
      <c r="B3966" s="240">
        <f>IFERROR(1/P3966-1,B3965)</f>
        <v/>
      </c>
      <c r="C3966" s="240">
        <f>$C$3</f>
        <v/>
      </c>
      <c r="D3966" s="240">
        <f>$D$3</f>
        <v/>
      </c>
      <c r="E3966" s="240">
        <f>$E$3</f>
        <v/>
      </c>
      <c r="F3966" s="241" t="n">
        <v>11.27</v>
      </c>
      <c r="G3966" s="242" t="n">
        <v>43666584</v>
      </c>
      <c r="H3966" s="241" t="n">
        <v>0.71</v>
      </c>
      <c r="I3966" s="241" t="n">
        <v>-19.44</v>
      </c>
      <c r="J3966" s="241" t="n">
        <v>-47.39</v>
      </c>
      <c r="K3966" s="241" t="n">
        <v>6.34</v>
      </c>
      <c r="L3966" s="242" t="n">
        <v>2065652</v>
      </c>
      <c r="M3966" s="241" t="n">
        <v>1.34</v>
      </c>
      <c r="N3966" s="241" t="n">
        <v>-10.08</v>
      </c>
      <c r="O3966" s="241" t="n">
        <v>-42.23</v>
      </c>
      <c r="P3966" s="241" t="n">
        <v>1.78</v>
      </c>
    </row>
    <row r="3967">
      <c r="A3967" s="282" t="inlineStr">
        <is>
          <t>2022-04-27</t>
        </is>
      </c>
      <c r="B3967" s="240">
        <f>IFERROR(1/P3967-1,B3966)</f>
        <v/>
      </c>
      <c r="C3967" s="240">
        <f>$C$3</f>
        <v/>
      </c>
      <c r="D3967" s="240">
        <f>$D$3</f>
        <v/>
      </c>
      <c r="E3967" s="240">
        <f>$E$3</f>
        <v/>
      </c>
      <c r="F3967" s="241" t="n">
        <v>11.95</v>
      </c>
      <c r="G3967" s="242" t="n">
        <v>46710366</v>
      </c>
      <c r="H3967" s="241" t="n">
        <v>6.03</v>
      </c>
      <c r="I3967" s="241" t="n">
        <v>-14.58</v>
      </c>
      <c r="J3967" s="241" t="n">
        <v>-44.21</v>
      </c>
      <c r="K3967" s="241" t="n">
        <v>6.73</v>
      </c>
      <c r="L3967" s="242" t="n">
        <v>4855600</v>
      </c>
      <c r="M3967" s="241" t="n">
        <v>6.2</v>
      </c>
      <c r="N3967" s="241" t="n">
        <v>-4.51</v>
      </c>
      <c r="O3967" s="241" t="n">
        <v>-38.64</v>
      </c>
      <c r="P3967" s="241" t="n">
        <v>1.78</v>
      </c>
    </row>
    <row r="3968">
      <c r="A3968" s="282" t="inlineStr">
        <is>
          <t>2022-04-28</t>
        </is>
      </c>
      <c r="B3968" s="240">
        <f>IFERROR(1/P3968-1,B3967)</f>
        <v/>
      </c>
      <c r="C3968" s="240">
        <f>$C$3</f>
        <v/>
      </c>
      <c r="D3968" s="240">
        <f>$D$3</f>
        <v/>
      </c>
      <c r="E3968" s="240">
        <f>$E$3</f>
        <v/>
      </c>
      <c r="F3968" s="241" t="n">
        <v>11.92</v>
      </c>
      <c r="G3968" s="242" t="n">
        <v>34871764</v>
      </c>
      <c r="H3968" s="241" t="n">
        <v>-0.25</v>
      </c>
      <c r="I3968" s="241" t="n">
        <v>-14.8</v>
      </c>
      <c r="J3968" s="241" t="n">
        <v>-44.35</v>
      </c>
      <c r="K3968" s="241" t="n">
        <v>6.87</v>
      </c>
      <c r="L3968" s="242" t="n">
        <v>1729700</v>
      </c>
      <c r="M3968" s="241" t="n">
        <v>1.99</v>
      </c>
      <c r="N3968" s="241" t="n">
        <v>-2.61</v>
      </c>
      <c r="O3968" s="241" t="n">
        <v>-37.42</v>
      </c>
      <c r="P3968" s="241" t="n">
        <v>1.74</v>
      </c>
    </row>
    <row r="3969">
      <c r="A3969" s="282" t="inlineStr">
        <is>
          <t>2022-04-29</t>
        </is>
      </c>
      <c r="B3969" s="240">
        <f>IFERROR(1/P3969-1,B3968)</f>
        <v/>
      </c>
      <c r="C3969" s="240">
        <f>$C$3</f>
        <v/>
      </c>
      <c r="D3969" s="240">
        <f>$D$3</f>
        <v/>
      </c>
      <c r="E3969" s="240">
        <f>$E$3</f>
        <v/>
      </c>
      <c r="F3969" s="241" t="n">
        <v>12.62</v>
      </c>
      <c r="G3969" s="242" t="n">
        <v>46443468</v>
      </c>
      <c r="H3969" s="241" t="n">
        <v>5.87</v>
      </c>
      <c r="I3969" s="241" t="n">
        <v>-8.619999999999999</v>
      </c>
      <c r="J3969" s="241" t="n">
        <v>-41.08</v>
      </c>
      <c r="K3969" s="241" t="n">
        <v>7.23</v>
      </c>
      <c r="L3969" s="242" t="n">
        <v>3097400</v>
      </c>
      <c r="M3969" s="241" t="n">
        <v>4.38</v>
      </c>
      <c r="N3969" s="241" t="n">
        <v>2.02</v>
      </c>
      <c r="O3969" s="241" t="n">
        <v>-34.68</v>
      </c>
      <c r="P3969" s="241" t="n">
        <v>1.75</v>
      </c>
    </row>
    <row r="3970">
      <c r="A3970" s="282" t="inlineStr">
        <is>
          <t>2022-05-05</t>
        </is>
      </c>
      <c r="B3970" s="240">
        <f>IFERROR(1/P3970-1,B3969)</f>
        <v/>
      </c>
      <c r="C3970" s="240">
        <f>$C$3</f>
        <v/>
      </c>
      <c r="D3970" s="240">
        <f>$D$3</f>
        <v/>
      </c>
      <c r="E3970" s="240">
        <f>$E$3</f>
        <v/>
      </c>
      <c r="F3970" s="241" t="n">
        <v>12.86</v>
      </c>
      <c r="G3970" s="242" t="n">
        <v>55914833</v>
      </c>
      <c r="H3970" s="241" t="n">
        <v>1.9</v>
      </c>
      <c r="I3970" s="241" t="n">
        <v>-5.37</v>
      </c>
      <c r="J3970" s="241" t="n">
        <v>-39.96</v>
      </c>
      <c r="K3970" s="241" t="n">
        <v>7.2</v>
      </c>
      <c r="L3970" s="242" t="n">
        <v>2888680</v>
      </c>
      <c r="M3970" s="241" t="n">
        <v>-3.91</v>
      </c>
      <c r="N3970" s="241" t="n">
        <v>0.58</v>
      </c>
      <c r="O3970" s="241" t="n">
        <v>-34.38</v>
      </c>
      <c r="P3970" s="241" t="n">
        <v>1.78</v>
      </c>
    </row>
    <row r="3971">
      <c r="A3971" s="282" t="inlineStr">
        <is>
          <t>2022-05-06</t>
        </is>
      </c>
      <c r="B3971" s="240">
        <f>IFERROR(1/P3971-1,B3970)</f>
        <v/>
      </c>
      <c r="C3971" s="240">
        <f>$C$3</f>
        <v/>
      </c>
      <c r="D3971" s="240">
        <f>$D$3</f>
        <v/>
      </c>
      <c r="E3971" s="240">
        <f>$E$3</f>
        <v/>
      </c>
      <c r="F3971" s="241" t="n">
        <v>12.37</v>
      </c>
      <c r="G3971" s="242" t="n">
        <v>36751811</v>
      </c>
      <c r="H3971" s="241" t="n">
        <v>-3.81</v>
      </c>
      <c r="I3971" s="241" t="n">
        <v>-8.98</v>
      </c>
      <c r="J3971" s="241" t="n">
        <v>-42.25</v>
      </c>
      <c r="K3971" s="241" t="n">
        <v>6.93</v>
      </c>
      <c r="L3971" s="242" t="n">
        <v>5144349</v>
      </c>
      <c r="M3971" s="241" t="n">
        <v>-4.76</v>
      </c>
      <c r="N3971" s="241" t="n">
        <v>-4.21</v>
      </c>
      <c r="O3971" s="241" t="n">
        <v>-37.5</v>
      </c>
      <c r="P3971" s="241" t="n">
        <v>1.79</v>
      </c>
    </row>
    <row r="3972">
      <c r="A3972" s="282" t="inlineStr">
        <is>
          <t>2022-05-09</t>
        </is>
      </c>
      <c r="B3972" s="240">
        <f>IFERROR(1/P3972-1,B3971)</f>
        <v/>
      </c>
      <c r="C3972" s="240">
        <f>$C$3</f>
        <v/>
      </c>
      <c r="D3972" s="240">
        <f>$D$3</f>
        <v/>
      </c>
      <c r="E3972" s="240">
        <f>$E$3</f>
        <v/>
      </c>
      <c r="F3972" s="241" t="n">
        <v>12.4</v>
      </c>
      <c r="G3972" s="242" t="n">
        <v>28207785</v>
      </c>
      <c r="H3972" s="241" t="n">
        <v>0.24</v>
      </c>
      <c r="I3972" s="241" t="n">
        <v>-2.9</v>
      </c>
      <c r="J3972" s="241" t="n">
        <v>-42.11</v>
      </c>
      <c r="K3972" s="239" t="inlineStr">
        <is>
          <t>--</t>
        </is>
      </c>
      <c r="L3972" s="239" t="inlineStr">
        <is>
          <t>--</t>
        </is>
      </c>
      <c r="M3972" s="239" t="inlineStr">
        <is>
          <t>--</t>
        </is>
      </c>
      <c r="N3972" s="239" t="inlineStr">
        <is>
          <t>--</t>
        </is>
      </c>
      <c r="O3972" s="239" t="inlineStr">
        <is>
          <t>--</t>
        </is>
      </c>
      <c r="P3972" s="239" t="inlineStr">
        <is>
          <t>--</t>
        </is>
      </c>
    </row>
    <row r="3973">
      <c r="A3973" s="282" t="inlineStr">
        <is>
          <t>2022-05-10</t>
        </is>
      </c>
      <c r="B3973" s="240">
        <f>IFERROR(1/P3973-1,B3972)</f>
        <v/>
      </c>
      <c r="C3973" s="240">
        <f>$C$3</f>
        <v/>
      </c>
      <c r="D3973" s="240">
        <f>$D$3</f>
        <v/>
      </c>
      <c r="E3973" s="240">
        <f>$E$3</f>
        <v/>
      </c>
      <c r="F3973" s="241" t="n">
        <v>12.88</v>
      </c>
      <c r="G3973" s="242" t="n">
        <v>48885996</v>
      </c>
      <c r="H3973" s="241" t="n">
        <v>3.87</v>
      </c>
      <c r="I3973" s="241" t="n">
        <v>0.86</v>
      </c>
      <c r="J3973" s="241" t="n">
        <v>-39.87</v>
      </c>
      <c r="K3973" s="241" t="n">
        <v>6.91</v>
      </c>
      <c r="L3973" s="242" t="n">
        <v>6199739</v>
      </c>
      <c r="M3973" s="241" t="n">
        <v>-1.46</v>
      </c>
      <c r="N3973" s="241" t="n">
        <v>5.07</v>
      </c>
      <c r="O3973" s="241" t="n">
        <v>-38.41</v>
      </c>
      <c r="P3973" s="241" t="n">
        <v>1.86</v>
      </c>
    </row>
    <row r="3974">
      <c r="A3974" s="282" t="inlineStr">
        <is>
          <t>2022-05-11</t>
        </is>
      </c>
      <c r="B3974" s="240">
        <f>IFERROR(1/P3974-1,B3973)</f>
        <v/>
      </c>
      <c r="C3974" s="240">
        <f>$C$3</f>
        <v/>
      </c>
      <c r="D3974" s="240">
        <f>$D$3</f>
        <v/>
      </c>
      <c r="E3974" s="240">
        <f>$E$3</f>
        <v/>
      </c>
      <c r="F3974" s="241" t="n">
        <v>12.77</v>
      </c>
      <c r="G3974" s="242" t="n">
        <v>58996466</v>
      </c>
      <c r="H3974" s="241" t="n">
        <v>-0.85</v>
      </c>
      <c r="I3974" s="241" t="n">
        <v>0</v>
      </c>
      <c r="J3974" s="241" t="n">
        <v>-40.38</v>
      </c>
      <c r="K3974" s="241" t="n">
        <v>7.02</v>
      </c>
      <c r="L3974" s="242" t="n">
        <v>3898600</v>
      </c>
      <c r="M3974" s="241" t="n">
        <v>1.36</v>
      </c>
      <c r="N3974" s="241" t="n">
        <v>6.5</v>
      </c>
      <c r="O3974" s="241" t="n">
        <v>-37.58</v>
      </c>
      <c r="P3974" s="241" t="n">
        <v>1.82</v>
      </c>
    </row>
    <row r="3975">
      <c r="A3975" s="282" t="inlineStr">
        <is>
          <t>2022-05-12</t>
        </is>
      </c>
      <c r="B3975" s="240">
        <f>IFERROR(1/P3975-1,B3974)</f>
        <v/>
      </c>
      <c r="C3975" s="240">
        <f>$C$3</f>
        <v/>
      </c>
      <c r="D3975" s="240">
        <f>$D$3</f>
        <v/>
      </c>
      <c r="E3975" s="240">
        <f>$E$3</f>
        <v/>
      </c>
      <c r="F3975" s="241" t="n">
        <v>12.9</v>
      </c>
      <c r="G3975" s="242" t="n">
        <v>35277615</v>
      </c>
      <c r="H3975" s="241" t="n">
        <v>1.02</v>
      </c>
      <c r="I3975" s="241" t="n">
        <v>6.17</v>
      </c>
      <c r="J3975" s="241" t="n">
        <v>-39.78</v>
      </c>
      <c r="K3975" s="241" t="n">
        <v>6.8</v>
      </c>
      <c r="L3975" s="242" t="n">
        <v>2917300</v>
      </c>
      <c r="M3975" s="241" t="n">
        <v>-3.17</v>
      </c>
      <c r="N3975" s="241" t="n">
        <v>8.48</v>
      </c>
      <c r="O3975" s="241" t="n">
        <v>-39.56</v>
      </c>
      <c r="P3975" s="241" t="n">
        <v>1.9</v>
      </c>
    </row>
    <row r="3976">
      <c r="A3976" s="282" t="inlineStr">
        <is>
          <t>2022-05-13</t>
        </is>
      </c>
      <c r="B3976" s="240">
        <f>IFERROR(1/P3976-1,B3975)</f>
        <v/>
      </c>
      <c r="C3976" s="240">
        <f>$C$3</f>
        <v/>
      </c>
      <c r="D3976" s="240">
        <f>$D$3</f>
        <v/>
      </c>
      <c r="E3976" s="240">
        <f>$E$3</f>
        <v/>
      </c>
      <c r="F3976" s="241" t="n">
        <v>13.13</v>
      </c>
      <c r="G3976" s="242" t="n">
        <v>36107739</v>
      </c>
      <c r="H3976" s="241" t="n">
        <v>1.78</v>
      </c>
      <c r="I3976" s="241" t="n">
        <v>2.58</v>
      </c>
      <c r="J3976" s="241" t="n">
        <v>-38.7</v>
      </c>
      <c r="K3976" s="241" t="n">
        <v>7.13</v>
      </c>
      <c r="L3976" s="242" t="n">
        <v>1489800</v>
      </c>
      <c r="M3976" s="241" t="n">
        <v>3.91</v>
      </c>
      <c r="N3976" s="241" t="n">
        <v>6.32</v>
      </c>
      <c r="O3976" s="241" t="n">
        <v>-37.2</v>
      </c>
      <c r="P3976" s="241" t="n">
        <v>1.84</v>
      </c>
    </row>
    <row r="3977">
      <c r="A3977" s="282" t="inlineStr">
        <is>
          <t>2022-05-16</t>
        </is>
      </c>
      <c r="B3977" s="240">
        <f>IFERROR(1/P3977-1,B3976)</f>
        <v/>
      </c>
      <c r="C3977" s="240">
        <f>$C$3</f>
        <v/>
      </c>
      <c r="D3977" s="240">
        <f>$D$3</f>
        <v/>
      </c>
      <c r="E3977" s="240">
        <f>$E$3</f>
        <v/>
      </c>
      <c r="F3977" s="241" t="n">
        <v>12.89</v>
      </c>
      <c r="G3977" s="242" t="n">
        <v>29675311</v>
      </c>
      <c r="H3977" s="241" t="n">
        <v>-1.83</v>
      </c>
      <c r="I3977" s="241" t="n">
        <v>2.55</v>
      </c>
      <c r="J3977" s="241" t="n">
        <v>-39.82</v>
      </c>
      <c r="K3977" s="241" t="n">
        <v>7.01</v>
      </c>
      <c r="L3977" s="242" t="n">
        <v>1133300</v>
      </c>
      <c r="M3977" s="241" t="n">
        <v>-1.58</v>
      </c>
      <c r="N3977" s="241" t="n">
        <v>-1.1</v>
      </c>
      <c r="O3977" s="241" t="n">
        <v>-38.19</v>
      </c>
      <c r="P3977" s="241" t="n">
        <v>1.84</v>
      </c>
    </row>
    <row r="3978">
      <c r="A3978" s="282" t="inlineStr">
        <is>
          <t>2022-05-17</t>
        </is>
      </c>
      <c r="B3978" s="240">
        <f>IFERROR(1/P3978-1,B3977)</f>
        <v/>
      </c>
      <c r="C3978" s="240">
        <f>$C$3</f>
        <v/>
      </c>
      <c r="D3978" s="240">
        <f>$D$3</f>
        <v/>
      </c>
      <c r="E3978" s="240">
        <f>$E$3</f>
        <v/>
      </c>
      <c r="F3978" s="241" t="n">
        <v>13.01</v>
      </c>
      <c r="G3978" s="242" t="n">
        <v>22665623</v>
      </c>
      <c r="H3978" s="241" t="n">
        <v>0.93</v>
      </c>
      <c r="I3978" s="241" t="n">
        <v>3.5</v>
      </c>
      <c r="J3978" s="241" t="n">
        <v>-39.26</v>
      </c>
      <c r="K3978" s="241" t="n">
        <v>7.33</v>
      </c>
      <c r="L3978" s="242" t="n">
        <v>3719200</v>
      </c>
      <c r="M3978" s="241" t="n">
        <v>4.56</v>
      </c>
      <c r="N3978" s="241" t="n">
        <v>3.41</v>
      </c>
      <c r="O3978" s="241" t="n">
        <v>-35.37</v>
      </c>
      <c r="P3978" s="241" t="n">
        <v>1.77</v>
      </c>
    </row>
    <row r="3979">
      <c r="A3979" s="282" t="inlineStr">
        <is>
          <t>2022-05-18</t>
        </is>
      </c>
      <c r="B3979" s="240">
        <f>IFERROR(1/P3979-1,B3978)</f>
        <v/>
      </c>
      <c r="C3979" s="240">
        <f>$C$3</f>
        <v/>
      </c>
      <c r="D3979" s="240">
        <f>$D$3</f>
        <v/>
      </c>
      <c r="E3979" s="240">
        <f>$E$3</f>
        <v/>
      </c>
      <c r="F3979" s="241" t="n">
        <v>12.85</v>
      </c>
      <c r="G3979" s="242" t="n">
        <v>21382976</v>
      </c>
      <c r="H3979" s="241" t="n">
        <v>-1.23</v>
      </c>
      <c r="I3979" s="241" t="n">
        <v>2.23</v>
      </c>
      <c r="J3979" s="241" t="n">
        <v>-40.01</v>
      </c>
      <c r="K3979" s="241" t="n">
        <v>7.18</v>
      </c>
      <c r="L3979" s="242" t="n">
        <v>1042000</v>
      </c>
      <c r="M3979" s="241" t="n">
        <v>-1.42</v>
      </c>
      <c r="N3979" s="241" t="n">
        <v>1.95</v>
      </c>
      <c r="O3979" s="241" t="n">
        <v>-36.28</v>
      </c>
      <c r="P3979" s="241" t="n">
        <v>1.79</v>
      </c>
    </row>
    <row r="3980">
      <c r="A3980" s="282" t="inlineStr">
        <is>
          <t>2022-05-19</t>
        </is>
      </c>
      <c r="B3980" s="240">
        <f>IFERROR(1/P3980-1,B3979)</f>
        <v/>
      </c>
      <c r="C3980" s="240">
        <f>$C$3</f>
        <v/>
      </c>
      <c r="D3980" s="240">
        <f>$D$3</f>
        <v/>
      </c>
      <c r="E3980" s="240">
        <f>$E$3</f>
        <v/>
      </c>
      <c r="F3980" s="241" t="n">
        <v>13.46</v>
      </c>
      <c r="G3980" s="242" t="n">
        <v>60386898</v>
      </c>
      <c r="H3980" s="241" t="n">
        <v>4.75</v>
      </c>
      <c r="I3980" s="241" t="n">
        <v>5.73</v>
      </c>
      <c r="J3980" s="241" t="n">
        <v>-37.16</v>
      </c>
      <c r="K3980" s="241" t="n">
        <v>7.42</v>
      </c>
      <c r="L3980" s="242" t="n">
        <v>3180400</v>
      </c>
      <c r="M3980" s="241" t="n">
        <v>3.11</v>
      </c>
      <c r="N3980" s="241" t="n">
        <v>5.12</v>
      </c>
      <c r="O3980" s="241" t="n">
        <v>-34.3</v>
      </c>
      <c r="P3980" s="241" t="n">
        <v>1.81</v>
      </c>
    </row>
    <row r="3981">
      <c r="A3981" s="282" t="inlineStr">
        <is>
          <t>2022-05-20</t>
        </is>
      </c>
      <c r="B3981" s="240">
        <f>IFERROR(1/P3981-1,B3980)</f>
        <v/>
      </c>
      <c r="C3981" s="240">
        <f>$C$3</f>
        <v/>
      </c>
      <c r="D3981" s="240">
        <f>$D$3</f>
        <v/>
      </c>
      <c r="E3981" s="240">
        <f>$E$3</f>
        <v/>
      </c>
      <c r="F3981" s="241" t="n">
        <v>13.76</v>
      </c>
      <c r="G3981" s="242" t="n">
        <v>52418895</v>
      </c>
      <c r="H3981" s="241" t="n">
        <v>2.23</v>
      </c>
      <c r="I3981" s="241" t="n">
        <v>7.67</v>
      </c>
      <c r="J3981" s="241" t="n">
        <v>-35.76</v>
      </c>
      <c r="K3981" s="241" t="n">
        <v>7.48</v>
      </c>
      <c r="L3981" s="242" t="n">
        <v>3042000</v>
      </c>
      <c r="M3981" s="241" t="n">
        <v>0.93</v>
      </c>
      <c r="N3981" s="241" t="n">
        <v>6.23</v>
      </c>
      <c r="O3981" s="241" t="n">
        <v>-33.69</v>
      </c>
      <c r="P3981" s="241" t="n">
        <v>1.84</v>
      </c>
    </row>
    <row r="3982">
      <c r="A3982" s="282" t="inlineStr">
        <is>
          <t>2022-05-23</t>
        </is>
      </c>
      <c r="B3982" s="240">
        <f>IFERROR(1/P3982-1,B3981)</f>
        <v/>
      </c>
      <c r="C3982" s="240">
        <f>$C$3</f>
        <v/>
      </c>
      <c r="D3982" s="240">
        <f>$D$3</f>
        <v/>
      </c>
      <c r="E3982" s="240">
        <f>$E$3</f>
        <v/>
      </c>
      <c r="F3982" s="241" t="n">
        <v>13.84</v>
      </c>
      <c r="G3982" s="242" t="n">
        <v>38539707</v>
      </c>
      <c r="H3982" s="241" t="n">
        <v>0.58</v>
      </c>
      <c r="I3982" s="241" t="n">
        <v>13.44</v>
      </c>
      <c r="J3982" s="241" t="n">
        <v>-35.39</v>
      </c>
      <c r="K3982" s="241" t="n">
        <v>7.41</v>
      </c>
      <c r="L3982" s="242" t="n">
        <v>1407900</v>
      </c>
      <c r="M3982" s="241" t="n">
        <v>0.11</v>
      </c>
      <c r="N3982" s="241" t="n">
        <v>9.279999999999999</v>
      </c>
      <c r="O3982" s="241" t="n">
        <v>-33.61</v>
      </c>
      <c r="P3982" s="241" t="n">
        <v>1.87</v>
      </c>
    </row>
    <row r="3983">
      <c r="A3983" s="282" t="inlineStr">
        <is>
          <t>2022-05-24</t>
        </is>
      </c>
      <c r="B3983" s="240">
        <f>IFERROR(1/P3983-1,B3982)</f>
        <v/>
      </c>
      <c r="C3983" s="240">
        <f>$C$3</f>
        <v/>
      </c>
      <c r="D3983" s="240">
        <f>$D$3</f>
        <v/>
      </c>
      <c r="E3983" s="240">
        <f>$E$3</f>
        <v/>
      </c>
      <c r="F3983" s="241" t="n">
        <v>13.06</v>
      </c>
      <c r="G3983" s="242" t="n">
        <v>51830578</v>
      </c>
      <c r="H3983" s="241" t="n">
        <v>-5.64</v>
      </c>
      <c r="I3983" s="241" t="n">
        <v>7.05</v>
      </c>
      <c r="J3983" s="241" t="n">
        <v>-39.03</v>
      </c>
      <c r="K3983" s="241" t="n">
        <v>7.07</v>
      </c>
      <c r="L3983" s="242" t="n">
        <v>1730200</v>
      </c>
      <c r="M3983" s="241" t="n">
        <v>-4.25</v>
      </c>
      <c r="N3983" s="241" t="n">
        <v>4.64</v>
      </c>
      <c r="O3983" s="241" t="n">
        <v>-36.43</v>
      </c>
      <c r="P3983" s="241" t="n">
        <v>1.85</v>
      </c>
    </row>
    <row r="3984">
      <c r="A3984" s="282" t="inlineStr">
        <is>
          <t>2022-05-25</t>
        </is>
      </c>
      <c r="B3984" s="240">
        <f>IFERROR(1/P3984-1,B3983)</f>
        <v/>
      </c>
      <c r="C3984" s="240">
        <f>$C$3</f>
        <v/>
      </c>
      <c r="D3984" s="240">
        <f>$D$3</f>
        <v/>
      </c>
      <c r="E3984" s="240">
        <f>$E$3</f>
        <v/>
      </c>
      <c r="F3984" s="241" t="n">
        <v>13.46</v>
      </c>
      <c r="G3984" s="242" t="n">
        <v>37035592</v>
      </c>
      <c r="H3984" s="241" t="n">
        <v>3.06</v>
      </c>
      <c r="I3984" s="241" t="n">
        <v>10.33</v>
      </c>
      <c r="J3984" s="241" t="n">
        <v>-37.16</v>
      </c>
      <c r="K3984" s="241" t="n">
        <v>6.97</v>
      </c>
      <c r="L3984" s="242" t="n">
        <v>5703600</v>
      </c>
      <c r="M3984" s="241" t="n">
        <v>-1.44</v>
      </c>
      <c r="N3984" s="241" t="n">
        <v>3.14</v>
      </c>
      <c r="O3984" s="241" t="n">
        <v>-37.35</v>
      </c>
      <c r="P3984" s="241" t="n">
        <v>1.93</v>
      </c>
    </row>
    <row r="3985">
      <c r="A3985" s="282" t="inlineStr">
        <is>
          <t>2022-05-26</t>
        </is>
      </c>
      <c r="B3985" s="240">
        <f>IFERROR(1/P3985-1,B3984)</f>
        <v/>
      </c>
      <c r="C3985" s="240">
        <f>$C$3</f>
        <v/>
      </c>
      <c r="D3985" s="240">
        <f>$D$3</f>
        <v/>
      </c>
      <c r="E3985" s="240">
        <f>$E$3</f>
        <v/>
      </c>
      <c r="F3985" s="241" t="n">
        <v>13.72</v>
      </c>
      <c r="G3985" s="242" t="n">
        <v>49210975</v>
      </c>
      <c r="H3985" s="241" t="n">
        <v>1.93</v>
      </c>
      <c r="I3985" s="241" t="n">
        <v>22.61</v>
      </c>
      <c r="J3985" s="241" t="n">
        <v>-35.95</v>
      </c>
      <c r="K3985" s="241" t="n">
        <v>7.25</v>
      </c>
      <c r="L3985" s="242" t="n">
        <v>3090800</v>
      </c>
      <c r="M3985" s="241" t="n">
        <v>3.65</v>
      </c>
      <c r="N3985" s="241" t="n">
        <v>13.9</v>
      </c>
      <c r="O3985" s="241" t="n">
        <v>-35.06</v>
      </c>
      <c r="P3985" s="241" t="n">
        <v>1.89</v>
      </c>
    </row>
    <row r="3986">
      <c r="A3986" s="282" t="inlineStr">
        <is>
          <t>2022-05-27</t>
        </is>
      </c>
      <c r="B3986" s="240">
        <f>IFERROR(1/P3986-1,B3985)</f>
        <v/>
      </c>
      <c r="C3986" s="240">
        <f>$C$3</f>
        <v/>
      </c>
      <c r="D3986" s="240">
        <f>$D$3</f>
        <v/>
      </c>
      <c r="E3986" s="240">
        <f>$E$3</f>
        <v/>
      </c>
      <c r="F3986" s="241" t="n">
        <v>13.66</v>
      </c>
      <c r="G3986" s="242" t="n">
        <v>37520799</v>
      </c>
      <c r="H3986" s="241" t="n">
        <v>-0.44</v>
      </c>
      <c r="I3986" s="241" t="n">
        <v>21.21</v>
      </c>
      <c r="J3986" s="241" t="n">
        <v>-36.23</v>
      </c>
      <c r="K3986" s="241" t="n">
        <v>7.32</v>
      </c>
      <c r="L3986" s="242" t="n">
        <v>1607600</v>
      </c>
      <c r="M3986" s="241" t="n">
        <v>0.12</v>
      </c>
      <c r="N3986" s="241" t="n">
        <v>12.53</v>
      </c>
      <c r="O3986" s="241" t="n">
        <v>-34.98</v>
      </c>
      <c r="P3986" s="241" t="n">
        <v>1.87</v>
      </c>
    </row>
    <row r="3987">
      <c r="A3987" s="282" t="inlineStr">
        <is>
          <t>2022-05-30</t>
        </is>
      </c>
      <c r="B3987" s="240">
        <f>IFERROR(1/P3987-1,B3986)</f>
        <v/>
      </c>
      <c r="C3987" s="240">
        <f>$C$3</f>
        <v/>
      </c>
      <c r="D3987" s="240">
        <f>$D$3</f>
        <v/>
      </c>
      <c r="E3987" s="240">
        <f>$E$3</f>
        <v/>
      </c>
      <c r="F3987" s="241" t="n">
        <v>13.72</v>
      </c>
      <c r="G3987" s="242" t="n">
        <v>27668729</v>
      </c>
      <c r="H3987" s="241" t="n">
        <v>0.44</v>
      </c>
      <c r="I3987" s="241" t="n">
        <v>8.720000000000001</v>
      </c>
      <c r="J3987" s="241" t="n">
        <v>-35.95</v>
      </c>
      <c r="K3987" s="241" t="n">
        <v>7.35</v>
      </c>
      <c r="L3987" s="242" t="n">
        <v>845200</v>
      </c>
      <c r="M3987" s="241" t="n">
        <v>0.9399999999999999</v>
      </c>
      <c r="N3987" s="241" t="n">
        <v>0.47</v>
      </c>
      <c r="O3987" s="241" t="n">
        <v>-34.38</v>
      </c>
      <c r="P3987" s="241" t="n">
        <v>1.87</v>
      </c>
    </row>
    <row r="3988">
      <c r="A3988" s="282" t="inlineStr">
        <is>
          <t>2022-05-31</t>
        </is>
      </c>
      <c r="B3988" s="240">
        <f>IFERROR(1/P3988-1,B3987)</f>
        <v/>
      </c>
      <c r="C3988" s="240">
        <f>$C$3</f>
        <v/>
      </c>
      <c r="D3988" s="240">
        <f>$D$3</f>
        <v/>
      </c>
      <c r="E3988" s="240">
        <f>$E$3</f>
        <v/>
      </c>
      <c r="F3988" s="241" t="n">
        <v>13.98</v>
      </c>
      <c r="G3988" s="242" t="n">
        <v>47461384</v>
      </c>
      <c r="H3988" s="241" t="n">
        <v>1.9</v>
      </c>
      <c r="I3988" s="241" t="n">
        <v>10.78</v>
      </c>
      <c r="J3988" s="241" t="n">
        <v>-34.73</v>
      </c>
      <c r="K3988" s="241" t="n">
        <v>7.64</v>
      </c>
      <c r="L3988" s="242" t="n">
        <v>5376000</v>
      </c>
      <c r="M3988" s="241" t="n">
        <v>4.53</v>
      </c>
      <c r="N3988" s="241" t="n">
        <v>5.02</v>
      </c>
      <c r="O3988" s="241" t="n">
        <v>-31.4</v>
      </c>
      <c r="P3988" s="241" t="n">
        <v>1.83</v>
      </c>
    </row>
    <row r="3989">
      <c r="A3989" s="282" t="inlineStr">
        <is>
          <t>2022-06-01</t>
        </is>
      </c>
      <c r="B3989" s="240">
        <f>IFERROR(1/P3989-1,B3988)</f>
        <v/>
      </c>
      <c r="C3989" s="240">
        <f>$C$3</f>
        <v/>
      </c>
      <c r="D3989" s="240">
        <f>$D$3</f>
        <v/>
      </c>
      <c r="E3989" s="240">
        <f>$E$3</f>
        <v/>
      </c>
      <c r="F3989" s="241" t="n">
        <v>13.87</v>
      </c>
      <c r="G3989" s="242" t="n">
        <v>30779051</v>
      </c>
      <c r="H3989" s="241" t="n">
        <v>-0.79</v>
      </c>
      <c r="I3989" s="241" t="n">
        <v>9.9</v>
      </c>
      <c r="J3989" s="241" t="n">
        <v>-35.25</v>
      </c>
      <c r="K3989" s="241" t="n">
        <v>7.53</v>
      </c>
      <c r="L3989" s="242" t="n">
        <v>1661200</v>
      </c>
      <c r="M3989" s="241" t="n">
        <v>-1.44</v>
      </c>
      <c r="N3989" s="241" t="n">
        <v>3.5</v>
      </c>
      <c r="O3989" s="241" t="n">
        <v>-32.39</v>
      </c>
      <c r="P3989" s="241" t="n">
        <v>1.84</v>
      </c>
    </row>
    <row r="3990">
      <c r="A3990" s="282" t="inlineStr">
        <is>
          <t>2022-06-02</t>
        </is>
      </c>
      <c r="B3990" s="240">
        <f>IFERROR(1/P3990-1,B3989)</f>
        <v/>
      </c>
      <c r="C3990" s="240">
        <f>$C$3</f>
        <v/>
      </c>
      <c r="D3990" s="240">
        <f>$D$3</f>
        <v/>
      </c>
      <c r="E3990" s="240">
        <f>$E$3</f>
        <v/>
      </c>
      <c r="F3990" s="241" t="n">
        <v>14.39</v>
      </c>
      <c r="G3990" s="242" t="n">
        <v>52227457</v>
      </c>
      <c r="H3990" s="241" t="n">
        <v>3.75</v>
      </c>
      <c r="I3990" s="241" t="n">
        <v>14.03</v>
      </c>
      <c r="J3990" s="241" t="n">
        <v>-32.82</v>
      </c>
      <c r="K3990" s="241" t="n">
        <v>7.74</v>
      </c>
      <c r="L3990" s="242" t="n">
        <v>3998600</v>
      </c>
      <c r="M3990" s="241" t="n">
        <v>2.03</v>
      </c>
      <c r="N3990" s="241" t="n">
        <v>5.6</v>
      </c>
      <c r="O3990" s="241" t="n">
        <v>-31.02</v>
      </c>
      <c r="P3990" s="241" t="n">
        <v>1.86</v>
      </c>
    </row>
    <row r="3991">
      <c r="A3991" s="282" t="inlineStr">
        <is>
          <t>2022-06-06</t>
        </is>
      </c>
      <c r="B3991" s="240">
        <f>IFERROR(1/P3991-1,B3990)</f>
        <v/>
      </c>
      <c r="C3991" s="240">
        <f>$C$3</f>
        <v/>
      </c>
      <c r="D3991" s="240">
        <f>$D$3</f>
        <v/>
      </c>
      <c r="E3991" s="240">
        <f>$E$3</f>
        <v/>
      </c>
      <c r="F3991" s="241" t="n">
        <v>15.15</v>
      </c>
      <c r="G3991" s="242" t="n">
        <v>82410322</v>
      </c>
      <c r="H3991" s="241" t="n">
        <v>5.28</v>
      </c>
      <c r="I3991" s="241" t="n">
        <v>17.81</v>
      </c>
      <c r="J3991" s="241" t="n">
        <v>-29.27</v>
      </c>
      <c r="K3991" s="241" t="n">
        <v>7.9</v>
      </c>
      <c r="L3991" s="242" t="n">
        <v>4368200</v>
      </c>
      <c r="M3991" s="241" t="n">
        <v>2.65</v>
      </c>
      <c r="N3991" s="241" t="n">
        <v>7.9</v>
      </c>
      <c r="O3991" s="241" t="n">
        <v>-29.19</v>
      </c>
      <c r="P3991" s="241" t="n">
        <v>1.92</v>
      </c>
    </row>
    <row r="3992">
      <c r="A3992" s="282" t="inlineStr">
        <is>
          <t>2022-06-07</t>
        </is>
      </c>
      <c r="B3992" s="240">
        <f>IFERROR(1/P3992-1,B3991)</f>
        <v/>
      </c>
      <c r="C3992" s="240">
        <f>$C$3</f>
        <v/>
      </c>
      <c r="D3992" s="240">
        <f>$D$3</f>
        <v/>
      </c>
      <c r="E3992" s="240">
        <f>$E$3</f>
        <v/>
      </c>
      <c r="F3992" s="241" t="n">
        <v>14.8</v>
      </c>
      <c r="G3992" s="242" t="n">
        <v>44457492</v>
      </c>
      <c r="H3992" s="241" t="n">
        <v>-2.31</v>
      </c>
      <c r="I3992" s="241" t="n">
        <v>19.64</v>
      </c>
      <c r="J3992" s="241" t="n">
        <v>-30.91</v>
      </c>
      <c r="K3992" s="241" t="n">
        <v>7.85</v>
      </c>
      <c r="L3992" s="242" t="n">
        <v>1580200</v>
      </c>
      <c r="M3992" s="241" t="n">
        <v>-0.54</v>
      </c>
      <c r="N3992" s="241" t="n">
        <v>12.68</v>
      </c>
      <c r="O3992" s="241" t="n">
        <v>-29.57</v>
      </c>
      <c r="P3992" s="241" t="n">
        <v>1.89</v>
      </c>
    </row>
    <row r="3993">
      <c r="A3993" s="282" t="inlineStr">
        <is>
          <t>2022-06-08</t>
        </is>
      </c>
      <c r="B3993" s="240">
        <f>IFERROR(1/P3993-1,B3992)</f>
        <v/>
      </c>
      <c r="C3993" s="240">
        <f>$C$3</f>
        <v/>
      </c>
      <c r="D3993" s="240">
        <f>$D$3</f>
        <v/>
      </c>
      <c r="E3993" s="240">
        <f>$E$3</f>
        <v/>
      </c>
      <c r="F3993" s="241" t="n">
        <v>15.22</v>
      </c>
      <c r="G3993" s="242" t="n">
        <v>60000497</v>
      </c>
      <c r="H3993" s="241" t="n">
        <v>2.84</v>
      </c>
      <c r="I3993" s="241" t="n">
        <v>23.04</v>
      </c>
      <c r="J3993" s="241" t="n">
        <v>-28.94</v>
      </c>
      <c r="K3993" s="241" t="n">
        <v>7.95</v>
      </c>
      <c r="L3993" s="242" t="n">
        <v>2730338</v>
      </c>
      <c r="M3993" s="241" t="n">
        <v>1.3</v>
      </c>
      <c r="N3993" s="241" t="n">
        <v>14.15</v>
      </c>
      <c r="O3993" s="241" t="n">
        <v>-28.66</v>
      </c>
      <c r="P3993" s="241" t="n">
        <v>1.91</v>
      </c>
    </row>
    <row r="3994">
      <c r="A3994" s="282" t="inlineStr">
        <is>
          <t>2022-06-09</t>
        </is>
      </c>
      <c r="B3994" s="240">
        <f>IFERROR(1/P3994-1,B3993)</f>
        <v/>
      </c>
      <c r="C3994" s="240">
        <f>$C$3</f>
        <v/>
      </c>
      <c r="D3994" s="240">
        <f>$D$3</f>
        <v/>
      </c>
      <c r="E3994" s="240">
        <f>$E$3</f>
        <v/>
      </c>
      <c r="F3994" s="241" t="n">
        <v>14.91</v>
      </c>
      <c r="G3994" s="242" t="n">
        <v>38787733</v>
      </c>
      <c r="H3994" s="241" t="n">
        <v>-2.04</v>
      </c>
      <c r="I3994" s="241" t="n">
        <v>20.53</v>
      </c>
      <c r="J3994" s="241" t="n">
        <v>-30.39</v>
      </c>
      <c r="K3994" s="241" t="n">
        <v>7.7</v>
      </c>
      <c r="L3994" s="242" t="n">
        <v>2714000</v>
      </c>
      <c r="M3994" s="241" t="n">
        <v>-3.42</v>
      </c>
      <c r="N3994" s="241" t="n">
        <v>10.24</v>
      </c>
      <c r="O3994" s="241" t="n">
        <v>-31.1</v>
      </c>
      <c r="P3994" s="241" t="n">
        <v>1.94</v>
      </c>
    </row>
    <row r="3995">
      <c r="A3995" s="282" t="inlineStr">
        <is>
          <t>2022-06-10</t>
        </is>
      </c>
      <c r="B3995" s="240">
        <f>IFERROR(1/P3995-1,B3994)</f>
        <v/>
      </c>
      <c r="C3995" s="240">
        <f>$C$3</f>
        <v/>
      </c>
      <c r="D3995" s="240">
        <f>$D$3</f>
        <v/>
      </c>
      <c r="E3995" s="240">
        <f>$E$3</f>
        <v/>
      </c>
      <c r="F3995" s="241" t="n">
        <v>15.06</v>
      </c>
      <c r="G3995" s="242" t="n">
        <v>36112421</v>
      </c>
      <c r="H3995" s="241" t="n">
        <v>1.01</v>
      </c>
      <c r="I3995" s="241" t="n">
        <v>21.45</v>
      </c>
      <c r="J3995" s="241" t="n">
        <v>-29.69</v>
      </c>
      <c r="K3995" s="241" t="n">
        <v>7.85</v>
      </c>
      <c r="L3995" s="242" t="n">
        <v>2169800</v>
      </c>
      <c r="M3995" s="241" t="n">
        <v>1.77</v>
      </c>
      <c r="N3995" s="241" t="n">
        <v>12.2</v>
      </c>
      <c r="O3995" s="241" t="n">
        <v>-29.88</v>
      </c>
      <c r="P3995" s="241" t="n">
        <v>1.92</v>
      </c>
    </row>
    <row r="3996">
      <c r="A3996" s="282" t="inlineStr">
        <is>
          <t>2022-06-13</t>
        </is>
      </c>
      <c r="B3996" s="240">
        <f>IFERROR(1/P3996-1,B3995)</f>
        <v/>
      </c>
      <c r="C3996" s="240">
        <f>$C$3</f>
        <v/>
      </c>
      <c r="D3996" s="240">
        <f>$D$3</f>
        <v/>
      </c>
      <c r="E3996" s="240">
        <f>$E$3</f>
        <v/>
      </c>
      <c r="F3996" s="241" t="n">
        <v>15.55</v>
      </c>
      <c r="G3996" s="242" t="n">
        <v>57774887</v>
      </c>
      <c r="H3996" s="241" t="n">
        <v>3.25</v>
      </c>
      <c r="I3996" s="241" t="n">
        <v>20.54</v>
      </c>
      <c r="J3996" s="241" t="n">
        <v>-27.4</v>
      </c>
      <c r="K3996" s="241" t="n">
        <v>7.93</v>
      </c>
      <c r="L3996" s="242" t="n">
        <v>3148300</v>
      </c>
      <c r="M3996" s="241" t="n">
        <v>0.65</v>
      </c>
      <c r="N3996" s="241" t="n">
        <v>16.77</v>
      </c>
      <c r="O3996" s="241" t="n">
        <v>-29.42</v>
      </c>
      <c r="P3996" s="241" t="n">
        <v>1.96</v>
      </c>
    </row>
    <row r="3997">
      <c r="A3997" s="282" t="inlineStr">
        <is>
          <t>2022-06-14</t>
        </is>
      </c>
      <c r="B3997" s="240">
        <f>IFERROR(1/P3997-1,B3996)</f>
        <v/>
      </c>
      <c r="C3997" s="240">
        <f>$C$3</f>
        <v/>
      </c>
      <c r="D3997" s="240">
        <f>$D$3</f>
        <v/>
      </c>
      <c r="E3997" s="240">
        <f>$E$3</f>
        <v/>
      </c>
      <c r="F3997" s="241" t="n">
        <v>16.16</v>
      </c>
      <c r="G3997" s="242" t="n">
        <v>61131303</v>
      </c>
      <c r="H3997" s="241" t="n">
        <v>3.92</v>
      </c>
      <c r="I3997" s="241" t="n">
        <v>23.08</v>
      </c>
      <c r="J3997" s="241" t="n">
        <v>-24.56</v>
      </c>
      <c r="K3997" s="241" t="n">
        <v>8.15</v>
      </c>
      <c r="L3997" s="242" t="n">
        <v>4635700</v>
      </c>
      <c r="M3997" s="241" t="n">
        <v>2.38</v>
      </c>
      <c r="N3997" s="241" t="n">
        <v>15.05</v>
      </c>
      <c r="O3997" s="241" t="n">
        <v>-27.74</v>
      </c>
      <c r="P3997" s="241" t="n">
        <v>1.98</v>
      </c>
    </row>
    <row r="3998">
      <c r="A3998" s="282" t="inlineStr">
        <is>
          <t>2022-06-15</t>
        </is>
      </c>
      <c r="B3998" s="240">
        <f>IFERROR(1/P3998-1,B3997)</f>
        <v/>
      </c>
      <c r="C3998" s="240">
        <f>$C$3</f>
        <v/>
      </c>
      <c r="D3998" s="240">
        <f>$D$3</f>
        <v/>
      </c>
      <c r="E3998" s="240">
        <f>$E$3</f>
        <v/>
      </c>
      <c r="F3998" s="241" t="n">
        <v>15.85</v>
      </c>
      <c r="G3998" s="242" t="n">
        <v>44327717</v>
      </c>
      <c r="H3998" s="241" t="n">
        <v>-1.92</v>
      </c>
      <c r="I3998" s="241" t="n">
        <v>20.72</v>
      </c>
      <c r="J3998" s="241" t="n">
        <v>-26</v>
      </c>
      <c r="K3998" s="241" t="n">
        <v>8.06</v>
      </c>
      <c r="L3998" s="242" t="n">
        <v>2395200</v>
      </c>
      <c r="M3998" s="241" t="n">
        <v>-1.16</v>
      </c>
      <c r="N3998" s="241" t="n">
        <v>13.71</v>
      </c>
      <c r="O3998" s="241" t="n">
        <v>-28.58</v>
      </c>
      <c r="P3998" s="241" t="n">
        <v>1.97</v>
      </c>
    </row>
    <row r="3999">
      <c r="A3999" s="282" t="inlineStr">
        <is>
          <t>2022-06-16</t>
        </is>
      </c>
      <c r="B3999" s="240">
        <f>IFERROR(1/P3999-1,B3998)</f>
        <v/>
      </c>
      <c r="C3999" s="240">
        <f>$C$3</f>
        <v/>
      </c>
      <c r="D3999" s="240">
        <f>$D$3</f>
        <v/>
      </c>
      <c r="E3999" s="240">
        <f>$E$3</f>
        <v/>
      </c>
      <c r="F3999" s="241" t="n">
        <v>15.95</v>
      </c>
      <c r="G3999" s="242" t="n">
        <v>34964098</v>
      </c>
      <c r="H3999" s="241" t="n">
        <v>0.63</v>
      </c>
      <c r="I3999" s="241" t="n">
        <v>21.48</v>
      </c>
      <c r="J3999" s="241" t="n">
        <v>-25.54</v>
      </c>
      <c r="K3999" s="241" t="n">
        <v>7.83</v>
      </c>
      <c r="L3999" s="242" t="n">
        <v>1412000</v>
      </c>
      <c r="M3999" s="241" t="n">
        <v>-2.24</v>
      </c>
      <c r="N3999" s="241" t="n">
        <v>11.16</v>
      </c>
      <c r="O3999" s="241" t="n">
        <v>-30.18</v>
      </c>
      <c r="P3999" s="241" t="n">
        <v>2.04</v>
      </c>
    </row>
    <row r="4000">
      <c r="A4000" s="282" t="inlineStr">
        <is>
          <t>2022-06-17</t>
        </is>
      </c>
      <c r="B4000" s="240">
        <f>IFERROR(1/P4000-1,B3999)</f>
        <v/>
      </c>
      <c r="C4000" s="240">
        <f>$C$3</f>
        <v/>
      </c>
      <c r="D4000" s="240">
        <f>$D$3</f>
        <v/>
      </c>
      <c r="E4000" s="240">
        <f>$E$3</f>
        <v/>
      </c>
      <c r="F4000" s="241" t="n">
        <v>16.29</v>
      </c>
      <c r="G4000" s="242" t="n">
        <v>41665275</v>
      </c>
      <c r="H4000" s="241" t="n">
        <v>2.13</v>
      </c>
      <c r="I4000" s="241" t="n">
        <v>26.38</v>
      </c>
      <c r="J4000" s="241" t="n">
        <v>-23.95</v>
      </c>
      <c r="K4000" s="241" t="n">
        <v>8.109999999999999</v>
      </c>
      <c r="L4000" s="242" t="n">
        <v>3456500</v>
      </c>
      <c r="M4000" s="241" t="n">
        <v>3.82</v>
      </c>
      <c r="N4000" s="241" t="n">
        <v>17.26</v>
      </c>
      <c r="O4000" s="241" t="n">
        <v>-27.52</v>
      </c>
      <c r="P4000" s="241" t="n">
        <v>2.01</v>
      </c>
    </row>
    <row r="4001">
      <c r="A4001" s="282" t="inlineStr">
        <is>
          <t>2022-06-20</t>
        </is>
      </c>
      <c r="B4001" s="240">
        <f>IFERROR(1/P4001-1,B4000)</f>
        <v/>
      </c>
      <c r="C4001" s="240">
        <f>$C$3</f>
        <v/>
      </c>
      <c r="D4001" s="240">
        <f>$D$3</f>
        <v/>
      </c>
      <c r="E4001" s="240">
        <f>$E$3</f>
        <v/>
      </c>
      <c r="F4001" s="241" t="n">
        <v>17.06</v>
      </c>
      <c r="G4001" s="242" t="n">
        <v>48651916</v>
      </c>
      <c r="H4001" s="241" t="n">
        <v>4.73</v>
      </c>
      <c r="I4001" s="241" t="n">
        <v>26.75</v>
      </c>
      <c r="J4001" s="241" t="n">
        <v>-20.35</v>
      </c>
      <c r="K4001" s="241" t="n">
        <v>8.279999999999999</v>
      </c>
      <c r="L4001" s="242" t="n">
        <v>3733159</v>
      </c>
      <c r="M4001" s="241" t="n">
        <v>1.79</v>
      </c>
      <c r="N4001" s="241" t="n">
        <v>12.3</v>
      </c>
      <c r="O4001" s="241" t="n">
        <v>-26.22</v>
      </c>
      <c r="P4001" s="241" t="n">
        <v>2.06</v>
      </c>
    </row>
    <row r="4002">
      <c r="A4002" s="282" t="inlineStr">
        <is>
          <t>2022-06-21</t>
        </is>
      </c>
      <c r="B4002" s="240">
        <f>IFERROR(1/P4002-1,B4001)</f>
        <v/>
      </c>
      <c r="C4002" s="240">
        <f>$C$3</f>
        <v/>
      </c>
      <c r="D4002" s="240">
        <f>$D$3</f>
        <v/>
      </c>
      <c r="E4002" s="240">
        <f>$E$3</f>
        <v/>
      </c>
      <c r="F4002" s="241" t="n">
        <v>17.05</v>
      </c>
      <c r="G4002" s="242" t="n">
        <v>37106145</v>
      </c>
      <c r="H4002" s="241" t="n">
        <v>-0.06</v>
      </c>
      <c r="I4002" s="241" t="n">
        <v>23.91</v>
      </c>
      <c r="J4002" s="241" t="n">
        <v>-20.4</v>
      </c>
      <c r="K4002" s="241" t="n">
        <v>8.19</v>
      </c>
      <c r="L4002" s="242" t="n">
        <v>2281400</v>
      </c>
      <c r="M4002" s="241" t="n">
        <v>-0.62</v>
      </c>
      <c r="N4002" s="241" t="n">
        <v>10.57</v>
      </c>
      <c r="O4002" s="241" t="n">
        <v>-26.68</v>
      </c>
      <c r="P4002" s="241" t="n">
        <v>2.08</v>
      </c>
    </row>
    <row r="4003">
      <c r="A4003" s="282" t="inlineStr">
        <is>
          <t>2022-06-22</t>
        </is>
      </c>
      <c r="B4003" s="240">
        <f>IFERROR(1/P4003-1,B4002)</f>
        <v/>
      </c>
      <c r="C4003" s="240">
        <f>$C$3</f>
        <v/>
      </c>
      <c r="D4003" s="240">
        <f>$D$3</f>
        <v/>
      </c>
      <c r="E4003" s="240">
        <f>$E$3</f>
        <v/>
      </c>
      <c r="F4003" s="241" t="n">
        <v>16.68</v>
      </c>
      <c r="G4003" s="242" t="n">
        <v>33290895</v>
      </c>
      <c r="H4003" s="241" t="n">
        <v>-2.17</v>
      </c>
      <c r="I4003" s="241" t="n">
        <v>21.22</v>
      </c>
      <c r="J4003" s="241" t="n">
        <v>-22.13</v>
      </c>
      <c r="K4003" s="241" t="n">
        <v>8.1</v>
      </c>
      <c r="L4003" s="242" t="n">
        <v>1699400</v>
      </c>
      <c r="M4003" s="241" t="n">
        <v>-1.56</v>
      </c>
      <c r="N4003" s="241" t="n">
        <v>8.85</v>
      </c>
      <c r="O4003" s="241" t="n">
        <v>-27.82</v>
      </c>
      <c r="P4003" s="241" t="n">
        <v>2.06</v>
      </c>
    </row>
    <row r="4004">
      <c r="A4004" s="282" t="inlineStr">
        <is>
          <t>2022-06-23</t>
        </is>
      </c>
      <c r="B4004" s="240">
        <f>IFERROR(1/P4004-1,B4003)</f>
        <v/>
      </c>
      <c r="C4004" s="240">
        <f>$C$3</f>
        <v/>
      </c>
      <c r="D4004" s="240">
        <f>$D$3</f>
        <v/>
      </c>
      <c r="E4004" s="240">
        <f>$E$3</f>
        <v/>
      </c>
      <c r="F4004" s="241" t="n">
        <v>16.71</v>
      </c>
      <c r="G4004" s="242" t="n">
        <v>46251530</v>
      </c>
      <c r="H4004" s="241" t="n">
        <v>0.18</v>
      </c>
      <c r="I4004" s="241" t="n">
        <v>21.44</v>
      </c>
      <c r="J4004" s="241" t="n">
        <v>-21.99</v>
      </c>
      <c r="K4004" s="241" t="n">
        <v>8.140000000000001</v>
      </c>
      <c r="L4004" s="242" t="n">
        <v>2825639</v>
      </c>
      <c r="M4004" s="241" t="n">
        <v>0.63</v>
      </c>
      <c r="N4004" s="241" t="n">
        <v>9.539999999999999</v>
      </c>
      <c r="O4004" s="241" t="n">
        <v>-27.36</v>
      </c>
      <c r="P4004" s="241" t="n">
        <v>2.05</v>
      </c>
    </row>
    <row r="4005">
      <c r="A4005" s="282" t="inlineStr">
        <is>
          <t>2022-06-24</t>
        </is>
      </c>
      <c r="B4005" s="240">
        <f>IFERROR(1/P4005-1,B4004)</f>
        <v/>
      </c>
      <c r="C4005" s="240">
        <f>$C$3</f>
        <v/>
      </c>
      <c r="D4005" s="240">
        <f>$D$3</f>
        <v/>
      </c>
      <c r="E4005" s="240">
        <f>$E$3</f>
        <v/>
      </c>
      <c r="F4005" s="241" t="n">
        <v>16.77</v>
      </c>
      <c r="G4005" s="242" t="n">
        <v>38758395</v>
      </c>
      <c r="H4005" s="241" t="n">
        <v>0.36</v>
      </c>
      <c r="I4005" s="241" t="n">
        <v>21.17</v>
      </c>
      <c r="J4005" s="241" t="n">
        <v>-21.71</v>
      </c>
      <c r="K4005" s="241" t="n">
        <v>8.130000000000001</v>
      </c>
      <c r="L4005" s="242" t="n">
        <v>2025200</v>
      </c>
      <c r="M4005" s="241" t="n">
        <v>0</v>
      </c>
      <c r="N4005" s="241" t="n">
        <v>9.41</v>
      </c>
      <c r="O4005" s="241" t="n">
        <v>-27.36</v>
      </c>
      <c r="P4005" s="241" t="n">
        <v>2.06</v>
      </c>
    </row>
    <row r="4006">
      <c r="A4006" s="282" t="inlineStr">
        <is>
          <t>2022-06-27</t>
        </is>
      </c>
      <c r="B4006" s="240">
        <f>IFERROR(1/P4006-1,B4005)</f>
        <v/>
      </c>
      <c r="C4006" s="240">
        <f>$C$3</f>
        <v/>
      </c>
      <c r="D4006" s="240">
        <f>$D$3</f>
        <v/>
      </c>
      <c r="E4006" s="240">
        <f>$E$3</f>
        <v/>
      </c>
      <c r="F4006" s="241" t="n">
        <v>16.46</v>
      </c>
      <c r="G4006" s="242" t="n">
        <v>45848062</v>
      </c>
      <c r="H4006" s="241" t="n">
        <v>-1.85</v>
      </c>
      <c r="I4006" s="241" t="n">
        <v>19.97</v>
      </c>
      <c r="J4006" s="241" t="n">
        <v>-23.16</v>
      </c>
      <c r="K4006" s="241" t="n">
        <v>8.199999999999999</v>
      </c>
      <c r="L4006" s="242" t="n">
        <v>4630400</v>
      </c>
      <c r="M4006" s="241" t="n">
        <v>1.05</v>
      </c>
      <c r="N4006" s="241" t="n">
        <v>13.03</v>
      </c>
      <c r="O4006" s="241" t="n">
        <v>-26.6</v>
      </c>
      <c r="P4006" s="241" t="n">
        <v>2.01</v>
      </c>
    </row>
    <row r="4007">
      <c r="A4007" s="282" t="inlineStr">
        <is>
          <t>2022-06-28</t>
        </is>
      </c>
      <c r="B4007" s="240">
        <f>IFERROR(1/P4007-1,B4006)</f>
        <v/>
      </c>
      <c r="C4007" s="240">
        <f>$C$3</f>
        <v/>
      </c>
      <c r="D4007" s="240">
        <f>$D$3</f>
        <v/>
      </c>
      <c r="E4007" s="240">
        <f>$E$3</f>
        <v/>
      </c>
      <c r="F4007" s="241" t="n">
        <v>16.78</v>
      </c>
      <c r="G4007" s="242" t="n">
        <v>37522450</v>
      </c>
      <c r="H4007" s="241" t="n">
        <v>1.94</v>
      </c>
      <c r="I4007" s="241" t="n">
        <v>22.84</v>
      </c>
      <c r="J4007" s="241" t="n">
        <v>-21.66</v>
      </c>
      <c r="K4007" s="241" t="n">
        <v>8.41</v>
      </c>
      <c r="L4007" s="242" t="n">
        <v>2676200</v>
      </c>
      <c r="M4007" s="241" t="n">
        <v>2.39</v>
      </c>
      <c r="N4007" s="241" t="n">
        <v>15.59</v>
      </c>
      <c r="O4007" s="241" t="n">
        <v>-24.85</v>
      </c>
      <c r="P4007" s="241" t="n">
        <v>2</v>
      </c>
    </row>
    <row r="4008">
      <c r="A4008" s="282" t="inlineStr">
        <is>
          <t>2022-06-29</t>
        </is>
      </c>
      <c r="B4008" s="240">
        <f>IFERROR(1/P4008-1,B4007)</f>
        <v/>
      </c>
      <c r="C4008" s="240">
        <f>$C$3</f>
        <v/>
      </c>
      <c r="D4008" s="240">
        <f>$D$3</f>
        <v/>
      </c>
      <c r="E4008" s="240">
        <f>$E$3</f>
        <v/>
      </c>
      <c r="F4008" s="241" t="n">
        <v>16.24</v>
      </c>
      <c r="G4008" s="242" t="n">
        <v>36359828</v>
      </c>
      <c r="H4008" s="241" t="n">
        <v>-3.22</v>
      </c>
      <c r="I4008" s="241" t="n">
        <v>18.89</v>
      </c>
      <c r="J4008" s="241" t="n">
        <v>-24.18</v>
      </c>
      <c r="K4008" s="241" t="n">
        <v>8.109999999999999</v>
      </c>
      <c r="L4008" s="242" t="n">
        <v>3944800</v>
      </c>
      <c r="M4008" s="241" t="n">
        <v>-3.75</v>
      </c>
      <c r="N4008" s="241" t="n">
        <v>11.25</v>
      </c>
      <c r="O4008" s="241" t="n">
        <v>-27.67</v>
      </c>
      <c r="P4008" s="241" t="n">
        <v>2</v>
      </c>
    </row>
    <row r="4009">
      <c r="A4009" s="282" t="inlineStr">
        <is>
          <t>2022-06-30</t>
        </is>
      </c>
      <c r="B4009" s="240">
        <f>IFERROR(1/P4009-1,B4008)</f>
        <v/>
      </c>
      <c r="C4009" s="240">
        <f>$C$3</f>
        <v/>
      </c>
      <c r="D4009" s="240">
        <f>$D$3</f>
        <v/>
      </c>
      <c r="E4009" s="240">
        <f>$E$3</f>
        <v/>
      </c>
      <c r="F4009" s="241" t="n">
        <v>16.45</v>
      </c>
      <c r="G4009" s="242" t="n">
        <v>41609444</v>
      </c>
      <c r="H4009" s="241" t="n">
        <v>1.29</v>
      </c>
      <c r="I4009" s="241" t="n">
        <v>20.42</v>
      </c>
      <c r="J4009" s="241" t="n">
        <v>-23.2</v>
      </c>
      <c r="K4009" s="241" t="n">
        <v>8.039999999999999</v>
      </c>
      <c r="L4009" s="242" t="n">
        <v>2464780</v>
      </c>
      <c r="M4009" s="241" t="n">
        <v>-0.95</v>
      </c>
      <c r="N4009" s="241" t="n">
        <v>10.2</v>
      </c>
      <c r="O4009" s="241" t="n">
        <v>-28.35</v>
      </c>
      <c r="P4009" s="241" t="n">
        <v>2.05</v>
      </c>
    </row>
    <row r="4010">
      <c r="A4010" s="282" t="inlineStr">
        <is>
          <t>2022-07-01</t>
        </is>
      </c>
      <c r="B4010" s="240">
        <f>IFERROR(1/P4010-1,B4009)</f>
        <v/>
      </c>
      <c r="C4010" s="240">
        <f>$C$3</f>
        <v/>
      </c>
      <c r="D4010" s="240">
        <f>$D$3</f>
        <v/>
      </c>
      <c r="E4010" s="240">
        <f>$E$3</f>
        <v/>
      </c>
      <c r="F4010" s="241" t="n">
        <v>16.19</v>
      </c>
      <c r="G4010" s="242" t="n">
        <v>23746189</v>
      </c>
      <c r="H4010" s="241" t="n">
        <v>-1.58</v>
      </c>
      <c r="I4010" s="241" t="n">
        <v>15.81</v>
      </c>
      <c r="J4010" s="241" t="n">
        <v>-24.42</v>
      </c>
      <c r="K4010" s="239" t="inlineStr">
        <is>
          <t>--</t>
        </is>
      </c>
      <c r="L4010" s="239" t="inlineStr">
        <is>
          <t>--</t>
        </is>
      </c>
      <c r="M4010" s="239" t="inlineStr">
        <is>
          <t>--</t>
        </is>
      </c>
      <c r="N4010" s="239" t="inlineStr">
        <is>
          <t>--</t>
        </is>
      </c>
      <c r="O4010" s="239" t="inlineStr">
        <is>
          <t>--</t>
        </is>
      </c>
      <c r="P4010" s="239" t="inlineStr">
        <is>
          <t>--</t>
        </is>
      </c>
    </row>
    <row r="4011">
      <c r="A4011" s="282" t="inlineStr">
        <is>
          <t>2022-07-04</t>
        </is>
      </c>
      <c r="B4011" s="240">
        <f>IFERROR(1/P4011-1,B4010)</f>
        <v/>
      </c>
      <c r="C4011" s="240">
        <f>$C$3</f>
        <v/>
      </c>
      <c r="D4011" s="240">
        <f>$D$3</f>
        <v/>
      </c>
      <c r="E4011" s="240">
        <f>$E$3</f>
        <v/>
      </c>
      <c r="F4011" s="241" t="n">
        <v>16.3</v>
      </c>
      <c r="G4011" s="242" t="n">
        <v>31513484</v>
      </c>
      <c r="H4011" s="241" t="n">
        <v>0.68</v>
      </c>
      <c r="I4011" s="241" t="n">
        <v>13.27</v>
      </c>
      <c r="J4011" s="241" t="n">
        <v>-23.9</v>
      </c>
      <c r="K4011" s="241" t="n">
        <v>7.97</v>
      </c>
      <c r="L4011" s="242" t="n">
        <v>3195600</v>
      </c>
      <c r="M4011" s="241" t="n">
        <v>-0.85</v>
      </c>
      <c r="N4011" s="241" t="n">
        <v>2.98</v>
      </c>
      <c r="O4011" s="241" t="n">
        <v>-28.96</v>
      </c>
      <c r="P4011" s="241" t="n">
        <v>2.05</v>
      </c>
    </row>
    <row r="4012">
      <c r="A4012" s="282" t="inlineStr">
        <is>
          <t>2022-07-05</t>
        </is>
      </c>
      <c r="B4012" s="240">
        <f>IFERROR(1/P4012-1,B4011)</f>
        <v/>
      </c>
      <c r="C4012" s="240">
        <f>$C$3</f>
        <v/>
      </c>
      <c r="D4012" s="240">
        <f>$D$3</f>
        <v/>
      </c>
      <c r="E4012" s="240">
        <f>$E$3</f>
        <v/>
      </c>
      <c r="F4012" s="241" t="n">
        <v>16.84</v>
      </c>
      <c r="G4012" s="242" t="n">
        <v>50949989</v>
      </c>
      <c r="H4012" s="241" t="n">
        <v>3.31</v>
      </c>
      <c r="I4012" s="241" t="n">
        <v>17.03</v>
      </c>
      <c r="J4012" s="241" t="n">
        <v>-21.38</v>
      </c>
      <c r="K4012" s="241" t="n">
        <v>8.279999999999999</v>
      </c>
      <c r="L4012" s="242" t="n">
        <v>5332600</v>
      </c>
      <c r="M4012" s="241" t="n">
        <v>4.08</v>
      </c>
      <c r="N4012" s="241" t="n">
        <v>7.18</v>
      </c>
      <c r="O4012" s="241" t="n">
        <v>-26.07</v>
      </c>
      <c r="P4012" s="241" t="n">
        <v>2.03</v>
      </c>
    </row>
    <row r="4013">
      <c r="A4013" s="282" t="inlineStr">
        <is>
          <t>2022-07-06</t>
        </is>
      </c>
      <c r="B4013" s="240">
        <f>IFERROR(1/P4013-1,B4012)</f>
        <v/>
      </c>
      <c r="C4013" s="240">
        <f>$C$3</f>
        <v/>
      </c>
      <c r="D4013" s="240">
        <f>$D$3</f>
        <v/>
      </c>
      <c r="E4013" s="240">
        <f>$E$3</f>
        <v/>
      </c>
      <c r="F4013" s="241" t="n">
        <v>16.56</v>
      </c>
      <c r="G4013" s="242" t="n">
        <v>36673398</v>
      </c>
      <c r="H4013" s="241" t="n">
        <v>-1.66</v>
      </c>
      <c r="I4013" s="241" t="n">
        <v>15.08</v>
      </c>
      <c r="J4013" s="241" t="n">
        <v>-22.69</v>
      </c>
      <c r="K4013" s="241" t="n">
        <v>8.119999999999999</v>
      </c>
      <c r="L4013" s="242" t="n">
        <v>3207922</v>
      </c>
      <c r="M4013" s="241" t="n">
        <v>-2.37</v>
      </c>
      <c r="N4013" s="241" t="n">
        <v>4.64</v>
      </c>
      <c r="O4013" s="241" t="n">
        <v>-27.82</v>
      </c>
      <c r="P4013" s="241" t="n">
        <v>2.04</v>
      </c>
    </row>
    <row r="4014">
      <c r="A4014" s="282" t="inlineStr">
        <is>
          <t>2022-07-07</t>
        </is>
      </c>
      <c r="B4014" s="240">
        <f>IFERROR(1/P4014-1,B4013)</f>
        <v/>
      </c>
      <c r="C4014" s="240">
        <f>$C$3</f>
        <v/>
      </c>
      <c r="D4014" s="240">
        <f>$D$3</f>
        <v/>
      </c>
      <c r="E4014" s="240">
        <f>$E$3</f>
        <v/>
      </c>
      <c r="F4014" s="241" t="n">
        <v>17.19</v>
      </c>
      <c r="G4014" s="242" t="n">
        <v>53587559</v>
      </c>
      <c r="H4014" s="241" t="n">
        <v>3.8</v>
      </c>
      <c r="I4014" s="241" t="n">
        <v>13.47</v>
      </c>
      <c r="J4014" s="241" t="n">
        <v>-19.75</v>
      </c>
      <c r="K4014" s="241" t="n">
        <v>8.470000000000001</v>
      </c>
      <c r="L4014" s="242" t="n">
        <v>3433400</v>
      </c>
      <c r="M4014" s="241" t="n">
        <v>4.54</v>
      </c>
      <c r="N4014" s="241" t="n">
        <v>6.57</v>
      </c>
      <c r="O4014" s="241" t="n">
        <v>-24.54</v>
      </c>
      <c r="P4014" s="241" t="n">
        <v>2.03</v>
      </c>
    </row>
    <row r="4015">
      <c r="A4015" s="282" t="inlineStr">
        <is>
          <t>2022-07-08</t>
        </is>
      </c>
      <c r="B4015" s="240">
        <f>IFERROR(1/P4015-1,B4014)</f>
        <v/>
      </c>
      <c r="C4015" s="240">
        <f>$C$3</f>
        <v/>
      </c>
      <c r="D4015" s="240">
        <f>$D$3</f>
        <v/>
      </c>
      <c r="E4015" s="240">
        <f>$E$3</f>
        <v/>
      </c>
      <c r="F4015" s="241" t="n">
        <v>16.55</v>
      </c>
      <c r="G4015" s="242" t="n">
        <v>40958601</v>
      </c>
      <c r="H4015" s="241" t="n">
        <v>-3.72</v>
      </c>
      <c r="I4015" s="241" t="n">
        <v>11.82</v>
      </c>
      <c r="J4015" s="241" t="n">
        <v>-22.74</v>
      </c>
      <c r="K4015" s="241" t="n">
        <v>8.4</v>
      </c>
      <c r="L4015" s="242" t="n">
        <v>3850200</v>
      </c>
      <c r="M4015" s="241" t="n">
        <v>-0.8100000000000001</v>
      </c>
      <c r="N4015" s="241" t="n">
        <v>6.28</v>
      </c>
      <c r="O4015" s="241" t="n">
        <v>-25.15</v>
      </c>
      <c r="P4015" s="241" t="n">
        <v>1.97</v>
      </c>
    </row>
    <row r="4016">
      <c r="A4016" s="282" t="inlineStr">
        <is>
          <t>2022-07-11</t>
        </is>
      </c>
      <c r="B4016" s="240">
        <f>IFERROR(1/P4016-1,B4015)</f>
        <v/>
      </c>
      <c r="C4016" s="240">
        <f>$C$3</f>
        <v/>
      </c>
      <c r="D4016" s="240">
        <f>$D$3</f>
        <v/>
      </c>
      <c r="E4016" s="240">
        <f>$E$3</f>
        <v/>
      </c>
      <c r="F4016" s="241" t="n">
        <v>16.06</v>
      </c>
      <c r="G4016" s="242" t="n">
        <v>30890382</v>
      </c>
      <c r="H4016" s="241" t="n">
        <v>-2.96</v>
      </c>
      <c r="I4016" s="241" t="n">
        <v>6.64</v>
      </c>
      <c r="J4016" s="241" t="n">
        <v>-25.02</v>
      </c>
      <c r="K4016" s="241" t="n">
        <v>8.06</v>
      </c>
      <c r="L4016" s="242" t="n">
        <v>3054200</v>
      </c>
      <c r="M4016" s="241" t="n">
        <v>-3.77</v>
      </c>
      <c r="N4016" s="241" t="n">
        <v>2.72</v>
      </c>
      <c r="O4016" s="241" t="n">
        <v>-27.97</v>
      </c>
      <c r="P4016" s="241" t="n">
        <v>1.99</v>
      </c>
    </row>
    <row r="4017">
      <c r="A4017" s="282" t="inlineStr">
        <is>
          <t>2022-07-12</t>
        </is>
      </c>
      <c r="B4017" s="240">
        <f>IFERROR(1/P4017-1,B4016)</f>
        <v/>
      </c>
      <c r="C4017" s="240">
        <f>$C$3</f>
        <v/>
      </c>
      <c r="D4017" s="240">
        <f>$D$3</f>
        <v/>
      </c>
      <c r="E4017" s="240">
        <f>$E$3</f>
        <v/>
      </c>
      <c r="F4017" s="241" t="n">
        <v>16.72</v>
      </c>
      <c r="G4017" s="242" t="n">
        <v>48720637</v>
      </c>
      <c r="H4017" s="241" t="n">
        <v>4.11</v>
      </c>
      <c r="I4017" s="241" t="n">
        <v>11.02</v>
      </c>
      <c r="J4017" s="241" t="n">
        <v>-21.94</v>
      </c>
      <c r="K4017" s="241" t="n">
        <v>8.18</v>
      </c>
      <c r="L4017" s="242" t="n">
        <v>3605592</v>
      </c>
      <c r="M4017" s="241" t="n">
        <v>0.95</v>
      </c>
      <c r="N4017" s="241" t="n">
        <v>3.7</v>
      </c>
      <c r="O4017" s="241" t="n">
        <v>-27.29</v>
      </c>
      <c r="P4017" s="241" t="n">
        <v>2.04</v>
      </c>
    </row>
    <row r="4018">
      <c r="A4018" s="282" t="inlineStr">
        <is>
          <t>2022-07-13</t>
        </is>
      </c>
      <c r="B4018" s="240">
        <f>IFERROR(1/P4018-1,B4017)</f>
        <v/>
      </c>
      <c r="C4018" s="240">
        <f>$C$3</f>
        <v/>
      </c>
      <c r="D4018" s="240">
        <f>$D$3</f>
        <v/>
      </c>
      <c r="E4018" s="240">
        <f>$E$3</f>
        <v/>
      </c>
      <c r="F4018" s="241" t="n">
        <v>17.75</v>
      </c>
      <c r="G4018" s="242" t="n">
        <v>75169345</v>
      </c>
      <c r="H4018" s="241" t="n">
        <v>6.16</v>
      </c>
      <c r="I4018" s="241" t="n">
        <v>17.86</v>
      </c>
      <c r="J4018" s="241" t="n">
        <v>-17.13</v>
      </c>
      <c r="K4018" s="241" t="n">
        <v>9.210000000000001</v>
      </c>
      <c r="L4018" s="242" t="n">
        <v>18341800</v>
      </c>
      <c r="M4018" s="241" t="n">
        <v>12.58</v>
      </c>
      <c r="N4018" s="241" t="n">
        <v>16.74</v>
      </c>
      <c r="O4018" s="241" t="n">
        <v>-18.14</v>
      </c>
      <c r="P4018" s="241" t="n">
        <v>1.93</v>
      </c>
    </row>
    <row r="4019">
      <c r="A4019" s="282" t="inlineStr">
        <is>
          <t>2022-07-14</t>
        </is>
      </c>
      <c r="B4019" s="240">
        <f>IFERROR(1/P4019-1,B4018)</f>
        <v/>
      </c>
      <c r="C4019" s="240">
        <f>$C$3</f>
        <v/>
      </c>
      <c r="D4019" s="240">
        <f>$D$3</f>
        <v/>
      </c>
      <c r="E4019" s="240">
        <f>$E$3</f>
        <v/>
      </c>
      <c r="F4019" s="241" t="n">
        <v>17.51</v>
      </c>
      <c r="G4019" s="242" t="n">
        <v>48109266</v>
      </c>
      <c r="H4019" s="241" t="n">
        <v>-1.35</v>
      </c>
      <c r="I4019" s="241" t="n">
        <v>12.6</v>
      </c>
      <c r="J4019" s="241" t="n">
        <v>-18.25</v>
      </c>
      <c r="K4019" s="241" t="n">
        <v>8.890000000000001</v>
      </c>
      <c r="L4019" s="242" t="n">
        <v>5739200</v>
      </c>
      <c r="M4019" s="241" t="n">
        <v>-0.87</v>
      </c>
      <c r="N4019" s="241" t="n">
        <v>14.97</v>
      </c>
      <c r="O4019" s="241" t="n">
        <v>-18.85</v>
      </c>
      <c r="P4019" s="241" t="n">
        <v>1.97</v>
      </c>
    </row>
    <row r="4020">
      <c r="A4020" s="282" t="inlineStr">
        <is>
          <t>2022-07-15</t>
        </is>
      </c>
      <c r="B4020" s="240">
        <f>IFERROR(1/P4020-1,B4019)</f>
        <v/>
      </c>
      <c r="C4020" s="240">
        <f>$C$3</f>
        <v/>
      </c>
      <c r="D4020" s="240">
        <f>$D$3</f>
        <v/>
      </c>
      <c r="E4020" s="240">
        <f>$E$3</f>
        <v/>
      </c>
      <c r="F4020" s="241" t="n">
        <v>17.85</v>
      </c>
      <c r="G4020" s="242" t="n">
        <v>63262646</v>
      </c>
      <c r="H4020" s="241" t="n">
        <v>1.94</v>
      </c>
      <c r="I4020" s="241" t="n">
        <v>10.46</v>
      </c>
      <c r="J4020" s="241" t="n">
        <v>-16.67</v>
      </c>
      <c r="K4020" s="241" t="n">
        <v>8.98</v>
      </c>
      <c r="L4020" s="242" t="n">
        <v>4741400</v>
      </c>
      <c r="M4020" s="241" t="n">
        <v>0.58</v>
      </c>
      <c r="N4020" s="241" t="n">
        <v>12.96</v>
      </c>
      <c r="O4020" s="241" t="n">
        <v>-18.38</v>
      </c>
      <c r="P4020" s="241" t="n">
        <v>1.99</v>
      </c>
    </row>
    <row r="4021">
      <c r="A4021" s="282" t="inlineStr">
        <is>
          <t>2022-07-18</t>
        </is>
      </c>
      <c r="B4021" s="240">
        <f>IFERROR(1/P4021-1,B4020)</f>
        <v/>
      </c>
      <c r="C4021" s="240">
        <f>$C$3</f>
        <v/>
      </c>
      <c r="D4021" s="240">
        <f>$D$3</f>
        <v/>
      </c>
      <c r="E4021" s="240">
        <f>$E$3</f>
        <v/>
      </c>
      <c r="F4021" s="241" t="n">
        <v>17.97</v>
      </c>
      <c r="G4021" s="242" t="n">
        <v>47401440</v>
      </c>
      <c r="H4021" s="241" t="n">
        <v>0.67</v>
      </c>
      <c r="I4021" s="241" t="n">
        <v>10.31</v>
      </c>
      <c r="J4021" s="241" t="n">
        <v>-16.11</v>
      </c>
      <c r="K4021" s="241" t="n">
        <v>9.279999999999999</v>
      </c>
      <c r="L4021" s="242" t="n">
        <v>7894000</v>
      </c>
      <c r="M4021" s="241" t="n">
        <v>3.45</v>
      </c>
      <c r="N4021" s="241" t="n">
        <v>16.48</v>
      </c>
      <c r="O4021" s="241" t="n">
        <v>-15.57</v>
      </c>
      <c r="P4021" s="241" t="n">
        <v>1.94</v>
      </c>
    </row>
    <row r="4022">
      <c r="A4022" s="282" t="inlineStr">
        <is>
          <t>2022-07-19</t>
        </is>
      </c>
      <c r="B4022" s="240">
        <f>IFERROR(1/P4022-1,B4021)</f>
        <v/>
      </c>
      <c r="C4022" s="240">
        <f>$C$3</f>
        <v/>
      </c>
      <c r="D4022" s="240">
        <f>$D$3</f>
        <v/>
      </c>
      <c r="E4022" s="240">
        <f>$E$3</f>
        <v/>
      </c>
      <c r="F4022" s="241" t="n">
        <v>17.51</v>
      </c>
      <c r="G4022" s="242" t="n">
        <v>29661110</v>
      </c>
      <c r="H4022" s="241" t="n">
        <v>-2.56</v>
      </c>
      <c r="I4022" s="241" t="n">
        <v>7.49</v>
      </c>
      <c r="J4022" s="241" t="n">
        <v>-18.25</v>
      </c>
      <c r="K4022" s="241" t="n">
        <v>8.75</v>
      </c>
      <c r="L4022" s="242" t="n">
        <v>3856159</v>
      </c>
      <c r="M4022" s="241" t="n">
        <v>-5.74</v>
      </c>
      <c r="N4022" s="241" t="n">
        <v>9.800000000000001</v>
      </c>
      <c r="O4022" s="241" t="n">
        <v>-20.42</v>
      </c>
      <c r="P4022" s="241" t="n">
        <v>2</v>
      </c>
    </row>
    <row r="4023">
      <c r="A4023" s="282" t="inlineStr">
        <is>
          <t>2022-07-20</t>
        </is>
      </c>
      <c r="B4023" s="240">
        <f>IFERROR(1/P4023-1,B4022)</f>
        <v/>
      </c>
      <c r="C4023" s="240">
        <f>$C$3</f>
        <v/>
      </c>
      <c r="D4023" s="240">
        <f>$D$3</f>
        <v/>
      </c>
      <c r="E4023" s="240">
        <f>$E$3</f>
        <v/>
      </c>
      <c r="F4023" s="241" t="n">
        <v>18.27</v>
      </c>
      <c r="G4023" s="242" t="n">
        <v>43002137</v>
      </c>
      <c r="H4023" s="241" t="n">
        <v>4.34</v>
      </c>
      <c r="I4023" s="241" t="n">
        <v>12.15</v>
      </c>
      <c r="J4023" s="241" t="n">
        <v>-14.71</v>
      </c>
      <c r="K4023" s="241" t="n">
        <v>9.02</v>
      </c>
      <c r="L4023" s="242" t="n">
        <v>3023276</v>
      </c>
      <c r="M4023" s="241" t="n">
        <v>3.14</v>
      </c>
      <c r="N4023" s="241" t="n">
        <v>13.25</v>
      </c>
      <c r="O4023" s="241" t="n">
        <v>-17.91</v>
      </c>
      <c r="P4023" s="241" t="n">
        <v>2.02</v>
      </c>
    </row>
    <row r="4024">
      <c r="A4024" s="282" t="inlineStr">
        <is>
          <t>2022-07-21</t>
        </is>
      </c>
      <c r="B4024" s="240">
        <f>IFERROR(1/P4024-1,B4023)</f>
        <v/>
      </c>
      <c r="C4024" s="240">
        <f>$C$3</f>
        <v/>
      </c>
      <c r="D4024" s="240">
        <f>$D$3</f>
        <v/>
      </c>
      <c r="E4024" s="240">
        <f>$E$3</f>
        <v/>
      </c>
      <c r="F4024" s="241" t="n">
        <v>17.85</v>
      </c>
      <c r="G4024" s="242" t="n">
        <v>25872527</v>
      </c>
      <c r="H4024" s="241" t="n">
        <v>-2.3</v>
      </c>
      <c r="I4024" s="241" t="n">
        <v>4.63</v>
      </c>
      <c r="J4024" s="241" t="n">
        <v>-16.67</v>
      </c>
      <c r="K4024" s="241" t="n">
        <v>8.68</v>
      </c>
      <c r="L4024" s="242" t="n">
        <v>2054400</v>
      </c>
      <c r="M4024" s="241" t="n">
        <v>-4</v>
      </c>
      <c r="N4024" s="241" t="n">
        <v>6.81</v>
      </c>
      <c r="O4024" s="241" t="n">
        <v>-21.2</v>
      </c>
      <c r="P4024" s="241" t="n">
        <v>2.06</v>
      </c>
    </row>
    <row r="4025">
      <c r="A4025" s="282" t="inlineStr">
        <is>
          <t>2022-07-22</t>
        </is>
      </c>
      <c r="B4025" s="240">
        <f>IFERROR(1/P4025-1,B4024)</f>
        <v/>
      </c>
      <c r="C4025" s="240">
        <f>$C$3</f>
        <v/>
      </c>
      <c r="D4025" s="240">
        <f>$D$3</f>
        <v/>
      </c>
      <c r="E4025" s="240">
        <f>$E$3</f>
        <v/>
      </c>
      <c r="F4025" s="241" t="n">
        <v>17.93</v>
      </c>
      <c r="G4025" s="242" t="n">
        <v>22139229</v>
      </c>
      <c r="H4025" s="241" t="n">
        <v>0.45</v>
      </c>
      <c r="I4025" s="241" t="n">
        <v>5.16</v>
      </c>
      <c r="J4025" s="241" t="n">
        <v>-16.29</v>
      </c>
      <c r="K4025" s="241" t="n">
        <v>8.640000000000001</v>
      </c>
      <c r="L4025" s="242" t="n">
        <v>1603800</v>
      </c>
      <c r="M4025" s="241" t="n">
        <v>-0.4</v>
      </c>
      <c r="N4025" s="241" t="n">
        <v>7.05</v>
      </c>
      <c r="O4025" s="241" t="n">
        <v>-21.51</v>
      </c>
      <c r="P4025" s="241" t="n">
        <v>2.08</v>
      </c>
    </row>
    <row r="4026">
      <c r="A4026" s="282" t="inlineStr">
        <is>
          <t>2022-07-25</t>
        </is>
      </c>
      <c r="B4026" s="240">
        <f>IFERROR(1/P4026-1,B4025)</f>
        <v/>
      </c>
      <c r="C4026" s="240">
        <f>$C$3</f>
        <v/>
      </c>
      <c r="D4026" s="240">
        <f>$D$3</f>
        <v/>
      </c>
      <c r="E4026" s="240">
        <f>$E$3</f>
        <v/>
      </c>
      <c r="F4026" s="241" t="n">
        <v>16.8</v>
      </c>
      <c r="G4026" s="242" t="n">
        <v>37457685</v>
      </c>
      <c r="H4026" s="241" t="n">
        <v>-6.3</v>
      </c>
      <c r="I4026" s="241" t="n">
        <v>0.18</v>
      </c>
      <c r="J4026" s="241" t="n">
        <v>-21.57</v>
      </c>
      <c r="K4026" s="241" t="n">
        <v>8.42</v>
      </c>
      <c r="L4026" s="242" t="n">
        <v>3401000</v>
      </c>
      <c r="M4026" s="241" t="n">
        <v>-2.49</v>
      </c>
      <c r="N4026" s="241" t="n">
        <v>5.37</v>
      </c>
      <c r="O4026" s="241" t="n">
        <v>-23.46</v>
      </c>
      <c r="P4026" s="241" t="n">
        <v>1.99</v>
      </c>
    </row>
    <row r="4027">
      <c r="A4027" s="282" t="inlineStr">
        <is>
          <t>2022-07-26</t>
        </is>
      </c>
      <c r="B4027" s="240">
        <f>IFERROR(1/P4027-1,B4026)</f>
        <v/>
      </c>
      <c r="C4027" s="240">
        <f>$C$3</f>
        <v/>
      </c>
      <c r="D4027" s="240">
        <f>$D$3</f>
        <v/>
      </c>
      <c r="E4027" s="240">
        <f>$E$3</f>
        <v/>
      </c>
      <c r="F4027" s="241" t="n">
        <v>16.84</v>
      </c>
      <c r="G4027" s="242" t="n">
        <v>15370655</v>
      </c>
      <c r="H4027" s="241" t="n">
        <v>0.24</v>
      </c>
      <c r="I4027" s="241" t="n">
        <v>0.42</v>
      </c>
      <c r="J4027" s="241" t="n">
        <v>-21.38</v>
      </c>
      <c r="K4027" s="241" t="n">
        <v>8.380000000000001</v>
      </c>
      <c r="L4027" s="242" t="n">
        <v>1913800</v>
      </c>
      <c r="M4027" s="241" t="n">
        <v>-0.41</v>
      </c>
      <c r="N4027" s="241" t="n">
        <v>4.94</v>
      </c>
      <c r="O4027" s="241" t="n">
        <v>-23.78</v>
      </c>
      <c r="P4027" s="241" t="n">
        <v>2.01</v>
      </c>
    </row>
    <row r="4028">
      <c r="A4028" s="282" t="inlineStr">
        <is>
          <t>2022-07-27</t>
        </is>
      </c>
      <c r="B4028" s="240">
        <f>IFERROR(1/P4028-1,B4027)</f>
        <v/>
      </c>
      <c r="C4028" s="240">
        <f>$C$3</f>
        <v/>
      </c>
      <c r="D4028" s="240">
        <f>$D$3</f>
        <v/>
      </c>
      <c r="E4028" s="240">
        <f>$E$3</f>
        <v/>
      </c>
      <c r="F4028" s="241" t="n">
        <v>17.31</v>
      </c>
      <c r="G4028" s="242" t="n">
        <v>20925672</v>
      </c>
      <c r="H4028" s="241" t="n">
        <v>2.79</v>
      </c>
      <c r="I4028" s="241" t="n">
        <v>3.22</v>
      </c>
      <c r="J4028" s="241" t="n">
        <v>-19.19</v>
      </c>
      <c r="K4028" s="241" t="n">
        <v>8.4</v>
      </c>
      <c r="L4028" s="242" t="n">
        <v>3003291</v>
      </c>
      <c r="M4028" s="241" t="n">
        <v>-0.1</v>
      </c>
      <c r="N4028" s="241" t="n">
        <v>4.83</v>
      </c>
      <c r="O4028" s="241" t="n">
        <v>-23.86</v>
      </c>
      <c r="P4028" s="241" t="n">
        <v>2.06</v>
      </c>
    </row>
    <row r="4029">
      <c r="A4029" s="282" t="inlineStr">
        <is>
          <t>2022-07-28</t>
        </is>
      </c>
      <c r="B4029" s="240">
        <f>IFERROR(1/P4029-1,B4028)</f>
        <v/>
      </c>
      <c r="C4029" s="240">
        <f>$C$3</f>
        <v/>
      </c>
      <c r="D4029" s="240">
        <f>$D$3</f>
        <v/>
      </c>
      <c r="E4029" s="240">
        <f>$E$3</f>
        <v/>
      </c>
      <c r="F4029" s="241" t="n">
        <v>16.97</v>
      </c>
      <c r="G4029" s="242" t="n">
        <v>16289669</v>
      </c>
      <c r="H4029" s="241" t="n">
        <v>-0.64</v>
      </c>
      <c r="I4029" s="241" t="n">
        <v>4.49</v>
      </c>
      <c r="J4029" s="241" t="n">
        <v>-19.71</v>
      </c>
      <c r="K4029" s="241" t="n">
        <v>8.41</v>
      </c>
      <c r="L4029" s="242" t="n">
        <v>2939400</v>
      </c>
      <c r="M4029" s="241" t="n">
        <v>0.51</v>
      </c>
      <c r="N4029" s="241" t="n">
        <v>4.27</v>
      </c>
      <c r="O4029" s="241" t="n">
        <v>-23.46</v>
      </c>
      <c r="P4029" s="241" t="n">
        <v>2.02</v>
      </c>
    </row>
    <row r="4030">
      <c r="A4030" s="282" t="inlineStr">
        <is>
          <t>2022-07-29</t>
        </is>
      </c>
      <c r="B4030" s="240">
        <f>IFERROR(1/P4030-1,B4029)</f>
        <v/>
      </c>
      <c r="C4030" s="240">
        <f>$C$3</f>
        <v/>
      </c>
      <c r="D4030" s="240">
        <f>$D$3</f>
        <v/>
      </c>
      <c r="E4030" s="240">
        <f>$E$3</f>
        <v/>
      </c>
      <c r="F4030" s="241" t="n">
        <v>17.31</v>
      </c>
      <c r="G4030" s="242" t="n">
        <v>30276693</v>
      </c>
      <c r="H4030" s="241" t="n">
        <v>2</v>
      </c>
      <c r="I4030" s="241" t="n">
        <v>4.55</v>
      </c>
      <c r="J4030" s="241" t="n">
        <v>-18.1</v>
      </c>
      <c r="K4030" s="241" t="n">
        <v>8.5</v>
      </c>
      <c r="L4030" s="242" t="n">
        <v>4116000</v>
      </c>
      <c r="M4030" s="241" t="n">
        <v>1.12</v>
      </c>
      <c r="N4030" s="241" t="n">
        <v>2.99</v>
      </c>
      <c r="O4030" s="241" t="n">
        <v>-22.6</v>
      </c>
      <c r="P4030" s="241" t="n">
        <v>2.04</v>
      </c>
    </row>
    <row r="4031">
      <c r="A4031" s="282" t="inlineStr">
        <is>
          <t>2022-08-01</t>
        </is>
      </c>
      <c r="B4031" s="240">
        <f>IFERROR(1/P4031-1,B4030)</f>
        <v/>
      </c>
      <c r="C4031" s="240">
        <f>$C$3</f>
        <v/>
      </c>
      <c r="D4031" s="240">
        <f>$D$3</f>
        <v/>
      </c>
      <c r="E4031" s="240">
        <f>$E$3</f>
        <v/>
      </c>
      <c r="F4031" s="241" t="n">
        <v>17.3</v>
      </c>
      <c r="G4031" s="242" t="n">
        <v>21756950</v>
      </c>
      <c r="H4031" s="241" t="n">
        <v>-0.06</v>
      </c>
      <c r="I4031" s="241" t="n">
        <v>6.58</v>
      </c>
      <c r="J4031" s="241" t="n">
        <v>-18.15</v>
      </c>
      <c r="K4031" s="241" t="n">
        <v>8.300000000000001</v>
      </c>
      <c r="L4031" s="242" t="n">
        <v>2026100</v>
      </c>
      <c r="M4031" s="241" t="n">
        <v>-2.42</v>
      </c>
      <c r="N4031" s="241" t="n">
        <v>5.41</v>
      </c>
      <c r="O4031" s="241" t="n">
        <v>-24.48</v>
      </c>
      <c r="P4031" s="241" t="n">
        <v>2.08</v>
      </c>
    </row>
    <row r="4032">
      <c r="A4032" s="282" t="inlineStr">
        <is>
          <t>2022-08-02</t>
        </is>
      </c>
      <c r="B4032" s="240">
        <f>IFERROR(1/P4032-1,B4031)</f>
        <v/>
      </c>
      <c r="C4032" s="240">
        <f>$C$3</f>
        <v/>
      </c>
      <c r="D4032" s="240">
        <f>$D$3</f>
        <v/>
      </c>
      <c r="E4032" s="240">
        <f>$E$3</f>
        <v/>
      </c>
      <c r="F4032" s="241" t="n">
        <v>16.31</v>
      </c>
      <c r="G4032" s="242" t="n">
        <v>37201891</v>
      </c>
      <c r="H4032" s="241" t="n">
        <v>-5.72</v>
      </c>
      <c r="I4032" s="241" t="n">
        <v>2.1</v>
      </c>
      <c r="J4032" s="241" t="n">
        <v>-22.83</v>
      </c>
      <c r="K4032" s="241" t="n">
        <v>8.08</v>
      </c>
      <c r="L4032" s="242" t="n">
        <v>4877800</v>
      </c>
      <c r="M4032" s="241" t="n">
        <v>-2.69</v>
      </c>
      <c r="N4032" s="241" t="n">
        <v>2.57</v>
      </c>
      <c r="O4032" s="241" t="n">
        <v>-26.51</v>
      </c>
      <c r="P4032" s="241" t="n">
        <v>2.02</v>
      </c>
    </row>
    <row r="4033">
      <c r="A4033" s="282" t="inlineStr">
        <is>
          <t>2022-08-03</t>
        </is>
      </c>
      <c r="B4033" s="240">
        <f>IFERROR(1/P4033-1,B4032)</f>
        <v/>
      </c>
      <c r="C4033" s="240">
        <f>$C$3</f>
        <v/>
      </c>
      <c r="D4033" s="240">
        <f>$D$3</f>
        <v/>
      </c>
      <c r="E4033" s="240">
        <f>$E$3</f>
        <v/>
      </c>
      <c r="F4033" s="241" t="n">
        <v>16.09</v>
      </c>
      <c r="G4033" s="242" t="n">
        <v>28469229</v>
      </c>
      <c r="H4033" s="241" t="n">
        <v>-1.35</v>
      </c>
      <c r="I4033" s="241" t="n">
        <v>0.72</v>
      </c>
      <c r="J4033" s="241" t="n">
        <v>-23.87</v>
      </c>
      <c r="K4033" s="241" t="n">
        <v>8.029999999999999</v>
      </c>
      <c r="L4033" s="242" t="n">
        <v>2032400</v>
      </c>
      <c r="M4033" s="241" t="n">
        <v>-1.17</v>
      </c>
      <c r="N4033" s="241" t="n">
        <v>1.37</v>
      </c>
      <c r="O4033" s="241" t="n">
        <v>-27.37</v>
      </c>
      <c r="P4033" s="241" t="n">
        <v>2</v>
      </c>
    </row>
    <row r="4034">
      <c r="A4034" s="282" t="inlineStr">
        <is>
          <t>2022-08-04</t>
        </is>
      </c>
      <c r="B4034" s="240">
        <f>IFERROR(1/P4034-1,B4033)</f>
        <v/>
      </c>
      <c r="C4034" s="240">
        <f>$C$3</f>
        <v/>
      </c>
      <c r="D4034" s="240">
        <f>$D$3</f>
        <v/>
      </c>
      <c r="E4034" s="240">
        <f>$E$3</f>
        <v/>
      </c>
      <c r="F4034" s="241" t="n">
        <v>16.35</v>
      </c>
      <c r="G4034" s="242" t="n">
        <v>19800159</v>
      </c>
      <c r="H4034" s="241" t="n">
        <v>1.62</v>
      </c>
      <c r="I4034" s="241" t="n">
        <v>2.35</v>
      </c>
      <c r="J4034" s="241" t="n">
        <v>-22.64</v>
      </c>
      <c r="K4034" s="241" t="n">
        <v>8.130000000000001</v>
      </c>
      <c r="L4034" s="242" t="n">
        <v>1932000</v>
      </c>
      <c r="M4034" s="241" t="n">
        <v>1.61</v>
      </c>
      <c r="N4034" s="241" t="n">
        <v>3.01</v>
      </c>
      <c r="O4034" s="241" t="n">
        <v>-26.2</v>
      </c>
      <c r="P4034" s="241" t="n">
        <v>2.01</v>
      </c>
    </row>
    <row r="4035">
      <c r="A4035" s="282" t="inlineStr">
        <is>
          <t>2022-08-05</t>
        </is>
      </c>
      <c r="B4035" s="240">
        <f>IFERROR(1/P4035-1,B4034)</f>
        <v/>
      </c>
      <c r="C4035" s="240">
        <f>$C$3</f>
        <v/>
      </c>
      <c r="D4035" s="240">
        <f>$D$3</f>
        <v/>
      </c>
      <c r="E4035" s="240">
        <f>$E$3</f>
        <v/>
      </c>
      <c r="F4035" s="241" t="n">
        <v>15.93</v>
      </c>
      <c r="G4035" s="242" t="n">
        <v>40776689</v>
      </c>
      <c r="H4035" s="241" t="n">
        <v>-2.57</v>
      </c>
      <c r="I4035" s="241" t="n">
        <v>-0.95</v>
      </c>
      <c r="J4035" s="241" t="n">
        <v>-24.63</v>
      </c>
      <c r="K4035" s="241" t="n">
        <v>7.92</v>
      </c>
      <c r="L4035" s="242" t="n">
        <v>3858600</v>
      </c>
      <c r="M4035" s="241" t="n">
        <v>-2.33</v>
      </c>
      <c r="N4035" s="241" t="n">
        <v>1.47</v>
      </c>
      <c r="O4035" s="241" t="n">
        <v>-27.92</v>
      </c>
      <c r="P4035" s="241" t="n">
        <v>2.01</v>
      </c>
    </row>
    <row r="4036">
      <c r="A4036" s="282" t="inlineStr">
        <is>
          <t>2022-08-08</t>
        </is>
      </c>
      <c r="B4036" s="240">
        <f>IFERROR(1/P4036-1,B4035)</f>
        <v/>
      </c>
      <c r="C4036" s="240">
        <f>$C$3</f>
        <v/>
      </c>
      <c r="D4036" s="240">
        <f>$D$3</f>
        <v/>
      </c>
      <c r="E4036" s="240">
        <f>$E$3</f>
        <v/>
      </c>
      <c r="F4036" s="241" t="n">
        <v>16.5</v>
      </c>
      <c r="G4036" s="242" t="n">
        <v>30875857</v>
      </c>
      <c r="H4036" s="241" t="n">
        <v>3.58</v>
      </c>
      <c r="I4036" s="241" t="n">
        <v>-2.72</v>
      </c>
      <c r="J4036" s="241" t="n">
        <v>-21.93</v>
      </c>
      <c r="K4036" s="241" t="n">
        <v>8.07</v>
      </c>
      <c r="L4036" s="242" t="n">
        <v>2121000</v>
      </c>
      <c r="M4036" s="241" t="n">
        <v>1.52</v>
      </c>
      <c r="N4036" s="241" t="n">
        <v>-3.03</v>
      </c>
      <c r="O4036" s="241" t="n">
        <v>-26.83</v>
      </c>
      <c r="P4036" s="241" t="n">
        <v>2.04</v>
      </c>
    </row>
    <row r="4037">
      <c r="A4037" s="282" t="inlineStr">
        <is>
          <t>2022-08-09</t>
        </is>
      </c>
      <c r="B4037" s="240">
        <f>IFERROR(1/P4037-1,B4036)</f>
        <v/>
      </c>
      <c r="C4037" s="240">
        <f>$C$3</f>
        <v/>
      </c>
      <c r="D4037" s="240">
        <f>$D$3</f>
        <v/>
      </c>
      <c r="E4037" s="240">
        <f>$E$3</f>
        <v/>
      </c>
      <c r="F4037" s="241" t="n">
        <v>16.53</v>
      </c>
      <c r="G4037" s="242" t="n">
        <v>17524874</v>
      </c>
      <c r="H4037" s="241" t="n">
        <v>0.18</v>
      </c>
      <c r="I4037" s="241" t="n">
        <v>1.22</v>
      </c>
      <c r="J4037" s="241" t="n">
        <v>-21.79</v>
      </c>
      <c r="K4037" s="241" t="n">
        <v>8.140000000000001</v>
      </c>
      <c r="L4037" s="242" t="n">
        <v>1846000</v>
      </c>
      <c r="M4037" s="241" t="n">
        <v>0.96</v>
      </c>
      <c r="N4037" s="241" t="n">
        <v>-1.3</v>
      </c>
      <c r="O4037" s="241" t="n">
        <v>-26.12</v>
      </c>
      <c r="P4037" s="241" t="n">
        <v>2.03</v>
      </c>
    </row>
    <row r="4038">
      <c r="A4038" s="282" t="inlineStr">
        <is>
          <t>2022-08-10</t>
        </is>
      </c>
      <c r="B4038" s="240">
        <f>IFERROR(1/P4038-1,B4037)</f>
        <v/>
      </c>
      <c r="C4038" s="240">
        <f>$C$3</f>
        <v/>
      </c>
      <c r="D4038" s="240">
        <f>$D$3</f>
        <v/>
      </c>
      <c r="E4038" s="240">
        <f>$E$3</f>
        <v/>
      </c>
      <c r="F4038" s="241" t="n">
        <v>16.81</v>
      </c>
      <c r="G4038" s="242" t="n">
        <v>25579876</v>
      </c>
      <c r="H4038" s="241" t="n">
        <v>1.69</v>
      </c>
      <c r="I4038" s="241" t="n">
        <v>2.94</v>
      </c>
      <c r="J4038" s="241" t="n">
        <v>-20.47</v>
      </c>
      <c r="K4038" s="241" t="n">
        <v>8.01</v>
      </c>
      <c r="L4038" s="242" t="n">
        <v>1363100</v>
      </c>
      <c r="M4038" s="241" t="n">
        <v>-1.59</v>
      </c>
      <c r="N4038" s="241" t="n">
        <v>-2.86</v>
      </c>
      <c r="O4038" s="241" t="n">
        <v>-27.29</v>
      </c>
      <c r="P4038" s="241" t="n">
        <v>2.1</v>
      </c>
    </row>
    <row r="4039">
      <c r="A4039" s="282" t="inlineStr">
        <is>
          <t>2022-08-11</t>
        </is>
      </c>
      <c r="B4039" s="240">
        <f>IFERROR(1/P4039-1,B4038)</f>
        <v/>
      </c>
      <c r="C4039" s="240">
        <f>$C$3</f>
        <v/>
      </c>
      <c r="D4039" s="240">
        <f>$D$3</f>
        <v/>
      </c>
      <c r="E4039" s="240">
        <f>$E$3</f>
        <v/>
      </c>
      <c r="F4039" s="241" t="n">
        <v>16.86</v>
      </c>
      <c r="G4039" s="242" t="n">
        <v>18012556</v>
      </c>
      <c r="H4039" s="241" t="n">
        <v>0.3</v>
      </c>
      <c r="I4039" s="241" t="n">
        <v>3.24</v>
      </c>
      <c r="J4039" s="241" t="n">
        <v>-20.23</v>
      </c>
      <c r="K4039" s="241" t="n">
        <v>8.02</v>
      </c>
      <c r="L4039" s="242" t="n">
        <v>1868000</v>
      </c>
      <c r="M4039" s="241" t="n">
        <v>0.54</v>
      </c>
      <c r="N4039" s="241" t="n">
        <v>-2.34</v>
      </c>
      <c r="O4039" s="241" t="n">
        <v>-26.9</v>
      </c>
      <c r="P4039" s="241" t="n">
        <v>2.1</v>
      </c>
    </row>
    <row r="4040">
      <c r="A4040" s="282" t="inlineStr">
        <is>
          <t>2022-08-12</t>
        </is>
      </c>
      <c r="B4040" s="240">
        <f>IFERROR(1/P4040-1,B4039)</f>
        <v/>
      </c>
      <c r="C4040" s="240">
        <f>$C$3</f>
        <v/>
      </c>
      <c r="D4040" s="240">
        <f>$D$3</f>
        <v/>
      </c>
      <c r="E4040" s="240">
        <f>$E$3</f>
        <v/>
      </c>
      <c r="F4040" s="241" t="n">
        <v>16.5</v>
      </c>
      <c r="G4040" s="242" t="n">
        <v>16871167</v>
      </c>
      <c r="H4040" s="241" t="n">
        <v>-2.14</v>
      </c>
      <c r="I4040" s="241" t="n">
        <v>4.12</v>
      </c>
      <c r="J4040" s="241" t="n">
        <v>-21.93</v>
      </c>
      <c r="K4040" s="241" t="n">
        <v>7.95</v>
      </c>
      <c r="L4040" s="242" t="n">
        <v>967150</v>
      </c>
      <c r="M4040" s="241" t="n">
        <v>-1.18</v>
      </c>
      <c r="N4040" s="241" t="n">
        <v>0.29</v>
      </c>
      <c r="O4040" s="241" t="n">
        <v>-27.76</v>
      </c>
      <c r="P4040" s="241" t="n">
        <v>2.08</v>
      </c>
    </row>
    <row r="4041">
      <c r="A4041" s="282" t="inlineStr">
        <is>
          <t>2022-08-15</t>
        </is>
      </c>
      <c r="B4041" s="240">
        <f>IFERROR(1/P4041-1,B4040)</f>
        <v/>
      </c>
      <c r="C4041" s="240">
        <f>$C$3</f>
        <v/>
      </c>
      <c r="D4041" s="240">
        <f>$D$3</f>
        <v/>
      </c>
      <c r="E4041" s="240">
        <f>$E$3</f>
        <v/>
      </c>
      <c r="F4041" s="241" t="n">
        <v>17.15</v>
      </c>
      <c r="G4041" s="242" t="n">
        <v>29547064</v>
      </c>
      <c r="H4041" s="241" t="n">
        <v>3.94</v>
      </c>
      <c r="I4041" s="241" t="n">
        <v>-0.74</v>
      </c>
      <c r="J4041" s="241" t="n">
        <v>-18.86</v>
      </c>
      <c r="K4041" s="241" t="n">
        <v>8.039999999999999</v>
      </c>
      <c r="L4041" s="242" t="n">
        <v>2968789</v>
      </c>
      <c r="M4041" s="241" t="n">
        <v>1.19</v>
      </c>
      <c r="N4041" s="241" t="n">
        <v>-9.92</v>
      </c>
      <c r="O4041" s="241" t="n">
        <v>-26.9</v>
      </c>
      <c r="P4041" s="241" t="n">
        <v>2.13</v>
      </c>
    </row>
    <row r="4042">
      <c r="A4042" s="282" t="inlineStr">
        <is>
          <t>2022-08-16</t>
        </is>
      </c>
      <c r="B4042" s="240">
        <f>IFERROR(1/P4042-1,B4041)</f>
        <v/>
      </c>
      <c r="C4042" s="240">
        <f>$C$3</f>
        <v/>
      </c>
      <c r="D4042" s="240">
        <f>$D$3</f>
        <v/>
      </c>
      <c r="E4042" s="240">
        <f>$E$3</f>
        <v/>
      </c>
      <c r="F4042" s="241" t="n">
        <v>17.09</v>
      </c>
      <c r="G4042" s="242" t="n">
        <v>23898217</v>
      </c>
      <c r="H4042" s="241" t="n">
        <v>-0.35</v>
      </c>
      <c r="I4042" s="241" t="n">
        <v>-2.97</v>
      </c>
      <c r="J4042" s="241" t="n">
        <v>-19.14</v>
      </c>
      <c r="K4042" s="241" t="n">
        <v>8.24</v>
      </c>
      <c r="L4042" s="242" t="n">
        <v>2689600</v>
      </c>
      <c r="M4042" s="241" t="n">
        <v>2.03</v>
      </c>
      <c r="N4042" s="241" t="n">
        <v>-8.619999999999999</v>
      </c>
      <c r="O4042" s="241" t="n">
        <v>-25.42</v>
      </c>
      <c r="P4042" s="241" t="n">
        <v>2.07</v>
      </c>
    </row>
    <row r="4043">
      <c r="A4043" s="282" t="inlineStr">
        <is>
          <t>2022-08-17</t>
        </is>
      </c>
      <c r="B4043" s="240">
        <f>IFERROR(1/P4043-1,B4042)</f>
        <v/>
      </c>
      <c r="C4043" s="240">
        <f>$C$3</f>
        <v/>
      </c>
      <c r="D4043" s="240">
        <f>$D$3</f>
        <v/>
      </c>
      <c r="E4043" s="240">
        <f>$E$3</f>
        <v/>
      </c>
      <c r="F4043" s="241" t="n">
        <v>17.29</v>
      </c>
      <c r="G4043" s="242" t="n">
        <v>19337367</v>
      </c>
      <c r="H4043" s="241" t="n">
        <v>1.17</v>
      </c>
      <c r="I4043" s="241" t="n">
        <v>-1.83</v>
      </c>
      <c r="J4043" s="241" t="n">
        <v>-18.19</v>
      </c>
      <c r="K4043" s="241" t="n">
        <v>8.550000000000001</v>
      </c>
      <c r="L4043" s="242" t="n">
        <v>3024600</v>
      </c>
      <c r="M4043" s="241" t="n">
        <v>3.56</v>
      </c>
      <c r="N4043" s="241" t="n">
        <v>-5.36</v>
      </c>
      <c r="O4043" s="241" t="n">
        <v>-22.76</v>
      </c>
      <c r="P4043" s="241" t="n">
        <v>2.02</v>
      </c>
    </row>
    <row r="4044">
      <c r="A4044" s="282" t="inlineStr">
        <is>
          <t>2022-08-18</t>
        </is>
      </c>
      <c r="B4044" s="240">
        <f>IFERROR(1/P4044-1,B4043)</f>
        <v/>
      </c>
      <c r="C4044" s="240">
        <f>$C$3</f>
        <v/>
      </c>
      <c r="D4044" s="240">
        <f>$D$3</f>
        <v/>
      </c>
      <c r="E4044" s="240">
        <f>$E$3</f>
        <v/>
      </c>
      <c r="F4044" s="241" t="n">
        <v>17.11</v>
      </c>
      <c r="G4044" s="242" t="n">
        <v>20804470</v>
      </c>
      <c r="H4044" s="241" t="n">
        <v>-1.04</v>
      </c>
      <c r="I4044" s="241" t="n">
        <v>-2.85</v>
      </c>
      <c r="J4044" s="241" t="n">
        <v>-19.05</v>
      </c>
      <c r="K4044" s="241" t="n">
        <v>8.56</v>
      </c>
      <c r="L4044" s="242" t="n">
        <v>2287207</v>
      </c>
      <c r="M4044" s="241" t="n">
        <v>0.2</v>
      </c>
      <c r="N4044" s="241" t="n">
        <v>-5.17</v>
      </c>
      <c r="O4044" s="241" t="n">
        <v>-22.6</v>
      </c>
      <c r="P4044" s="241" t="n">
        <v>2</v>
      </c>
    </row>
    <row r="4045">
      <c r="A4045" s="282" t="inlineStr">
        <is>
          <t>2022-08-19</t>
        </is>
      </c>
      <c r="B4045" s="240">
        <f>IFERROR(1/P4045-1,B4044)</f>
        <v/>
      </c>
      <c r="C4045" s="240">
        <f>$C$3</f>
        <v/>
      </c>
      <c r="D4045" s="240">
        <f>$D$3</f>
        <v/>
      </c>
      <c r="E4045" s="240">
        <f>$E$3</f>
        <v/>
      </c>
      <c r="F4045" s="241" t="n">
        <v>17.18</v>
      </c>
      <c r="G4045" s="242" t="n">
        <v>28608325</v>
      </c>
      <c r="H4045" s="241" t="n">
        <v>0.41</v>
      </c>
      <c r="I4045" s="241" t="n">
        <v>-3.11</v>
      </c>
      <c r="J4045" s="241" t="n">
        <v>-18.71</v>
      </c>
      <c r="K4045" s="241" t="n">
        <v>8.640000000000001</v>
      </c>
      <c r="L4045" s="242" t="n">
        <v>2516200</v>
      </c>
      <c r="M4045" s="241" t="n">
        <v>0.61</v>
      </c>
      <c r="N4045" s="241" t="n">
        <v>-7.78</v>
      </c>
      <c r="O4045" s="241" t="n">
        <v>-22.14</v>
      </c>
      <c r="P4045" s="241" t="n">
        <v>1.99</v>
      </c>
    </row>
    <row r="4046">
      <c r="A4046" s="282" t="inlineStr">
        <is>
          <t>2022-08-22</t>
        </is>
      </c>
      <c r="B4046" s="240">
        <f>IFERROR(1/P4046-1,B4045)</f>
        <v/>
      </c>
      <c r="C4046" s="240">
        <f>$C$3</f>
        <v/>
      </c>
      <c r="D4046" s="240">
        <f>$D$3</f>
        <v/>
      </c>
      <c r="E4046" s="240">
        <f>$E$3</f>
        <v/>
      </c>
      <c r="F4046" s="241" t="n">
        <v>17.9</v>
      </c>
      <c r="G4046" s="242" t="n">
        <v>43271637</v>
      </c>
      <c r="H4046" s="241" t="n">
        <v>4.19</v>
      </c>
      <c r="I4046" s="241" t="n">
        <v>1.63</v>
      </c>
      <c r="J4046" s="241" t="n">
        <v>-15.31</v>
      </c>
      <c r="K4046" s="241" t="n">
        <v>8.81</v>
      </c>
      <c r="L4046" s="242" t="n">
        <v>4947200</v>
      </c>
      <c r="M4046" s="241" t="n">
        <v>1.81</v>
      </c>
      <c r="N4046" s="241" t="n">
        <v>0.6</v>
      </c>
      <c r="O4046" s="241" t="n">
        <v>-20.73</v>
      </c>
      <c r="P4046" s="241" t="n">
        <v>2.03</v>
      </c>
    </row>
    <row r="4047">
      <c r="A4047" s="282" t="inlineStr">
        <is>
          <t>2022-08-23</t>
        </is>
      </c>
      <c r="B4047" s="240">
        <f>IFERROR(1/P4047-1,B4046)</f>
        <v/>
      </c>
      <c r="C4047" s="240">
        <f>$C$3</f>
        <v/>
      </c>
      <c r="D4047" s="240">
        <f>$D$3</f>
        <v/>
      </c>
      <c r="E4047" s="240">
        <f>$E$3</f>
        <v/>
      </c>
      <c r="F4047" s="241" t="n">
        <v>18.78</v>
      </c>
      <c r="G4047" s="242" t="n">
        <v>64575982</v>
      </c>
      <c r="H4047" s="241" t="n">
        <v>4.92</v>
      </c>
      <c r="I4047" s="241" t="n">
        <v>6.15</v>
      </c>
      <c r="J4047" s="241" t="n">
        <v>-11.14</v>
      </c>
      <c r="K4047" s="241" t="n">
        <v>8.99</v>
      </c>
      <c r="L4047" s="242" t="n">
        <v>4176400</v>
      </c>
      <c r="M4047" s="241" t="n">
        <v>1.58</v>
      </c>
      <c r="N4047" s="241" t="n">
        <v>2.59</v>
      </c>
      <c r="O4047" s="241" t="n">
        <v>-19.48</v>
      </c>
      <c r="P4047" s="241" t="n">
        <v>2.09</v>
      </c>
    </row>
    <row r="4048">
      <c r="A4048" s="282" t="inlineStr">
        <is>
          <t>2022-08-24</t>
        </is>
      </c>
      <c r="B4048" s="240">
        <f>IFERROR(1/P4048-1,B4047)</f>
        <v/>
      </c>
      <c r="C4048" s="240">
        <f>$C$3</f>
        <v/>
      </c>
      <c r="D4048" s="240">
        <f>$D$3</f>
        <v/>
      </c>
      <c r="E4048" s="240">
        <f>$E$3</f>
        <v/>
      </c>
      <c r="F4048" s="241" t="n">
        <v>18.22</v>
      </c>
      <c r="G4048" s="242" t="n">
        <v>44491103</v>
      </c>
      <c r="H4048" s="241" t="n">
        <v>-2.98</v>
      </c>
      <c r="I4048" s="241" t="n">
        <v>2.99</v>
      </c>
      <c r="J4048" s="241" t="n">
        <v>-13.79</v>
      </c>
      <c r="K4048" s="241" t="n">
        <v>8.630000000000001</v>
      </c>
      <c r="L4048" s="242" t="n">
        <v>4048400</v>
      </c>
      <c r="M4048" s="241" t="n">
        <v>-3.88</v>
      </c>
      <c r="N4048" s="241" t="n">
        <v>-1.39</v>
      </c>
      <c r="O4048" s="241" t="n">
        <v>-22.6</v>
      </c>
      <c r="P4048" s="241" t="n">
        <v>2.11</v>
      </c>
    </row>
    <row r="4049">
      <c r="A4049" s="282" t="inlineStr">
        <is>
          <t>2022-08-25</t>
        </is>
      </c>
      <c r="B4049" s="240">
        <f>IFERROR(1/P4049-1,B4048)</f>
        <v/>
      </c>
      <c r="C4049" s="240">
        <f>$C$3</f>
        <v/>
      </c>
      <c r="D4049" s="240">
        <f>$D$3</f>
        <v/>
      </c>
      <c r="E4049" s="240">
        <f>$E$3</f>
        <v/>
      </c>
      <c r="F4049" s="241" t="n">
        <v>19.36</v>
      </c>
      <c r="G4049" s="242" t="n">
        <v>73914107</v>
      </c>
      <c r="H4049" s="241" t="n">
        <v>6.26</v>
      </c>
      <c r="I4049" s="241" t="n">
        <v>9.43</v>
      </c>
      <c r="J4049" s="241" t="n">
        <v>-8.4</v>
      </c>
      <c r="K4049" s="241" t="n">
        <v>9.050000000000001</v>
      </c>
      <c r="L4049" s="242" t="n">
        <v>4552200</v>
      </c>
      <c r="M4049" s="241" t="n">
        <v>4.65</v>
      </c>
      <c r="N4049" s="241" t="n">
        <v>3.19</v>
      </c>
      <c r="O4049" s="241" t="n">
        <v>-19.01</v>
      </c>
      <c r="P4049" s="241" t="n">
        <v>2.14</v>
      </c>
    </row>
    <row r="4050">
      <c r="A4050" s="282" t="inlineStr">
        <is>
          <t>2022-08-26</t>
        </is>
      </c>
      <c r="B4050" s="240">
        <f>IFERROR(1/P4050-1,B4049)</f>
        <v/>
      </c>
      <c r="C4050" s="240">
        <f>$C$3</f>
        <v/>
      </c>
      <c r="D4050" s="240">
        <f>$D$3</f>
        <v/>
      </c>
      <c r="E4050" s="240">
        <f>$E$3</f>
        <v/>
      </c>
      <c r="F4050" s="241" t="n">
        <v>19.9</v>
      </c>
      <c r="G4050" s="242" t="n">
        <v>80039929</v>
      </c>
      <c r="H4050" s="241" t="n">
        <v>2.79</v>
      </c>
      <c r="I4050" s="241" t="n">
        <v>20.05</v>
      </c>
      <c r="J4050" s="241" t="n">
        <v>-5.85</v>
      </c>
      <c r="K4050" s="241" t="n">
        <v>9.550000000000001</v>
      </c>
      <c r="L4050" s="242" t="n">
        <v>11536200</v>
      </c>
      <c r="M4050" s="241" t="n">
        <v>5.6</v>
      </c>
      <c r="N4050" s="241" t="n">
        <v>11.75</v>
      </c>
      <c r="O4050" s="241" t="n">
        <v>-14.47</v>
      </c>
      <c r="P4050" s="241" t="n">
        <v>2.08</v>
      </c>
    </row>
    <row r="4051">
      <c r="A4051" s="282" t="inlineStr">
        <is>
          <t>2022-08-29</t>
        </is>
      </c>
      <c r="B4051" s="240">
        <f>IFERROR(1/P4051-1,B4050)</f>
        <v/>
      </c>
      <c r="C4051" s="240">
        <f>$C$3</f>
        <v/>
      </c>
      <c r="D4051" s="240">
        <f>$D$3</f>
        <v/>
      </c>
      <c r="E4051" s="240">
        <f>$E$3</f>
        <v/>
      </c>
      <c r="F4051" s="241" t="n">
        <v>20.05</v>
      </c>
      <c r="G4051" s="242" t="n">
        <v>57185429</v>
      </c>
      <c r="H4051" s="241" t="n">
        <v>0.75</v>
      </c>
      <c r="I4051" s="241" t="n">
        <v>18.15</v>
      </c>
      <c r="J4051" s="241" t="n">
        <v>-5.14</v>
      </c>
      <c r="K4051" s="241" t="n">
        <v>9.630000000000001</v>
      </c>
      <c r="L4051" s="242" t="n">
        <v>3207830</v>
      </c>
      <c r="M4051" s="241" t="n">
        <v>0.55</v>
      </c>
      <c r="N4051" s="241" t="n">
        <v>12.36</v>
      </c>
      <c r="O4051" s="241" t="n">
        <v>-14</v>
      </c>
      <c r="P4051" s="241" t="n">
        <v>2.08</v>
      </c>
    </row>
    <row r="4052">
      <c r="A4052" s="282" t="inlineStr">
        <is>
          <t>2022-08-30</t>
        </is>
      </c>
      <c r="B4052" s="240">
        <f>IFERROR(1/P4052-1,B4051)</f>
        <v/>
      </c>
      <c r="C4052" s="240">
        <f>$C$3</f>
        <v/>
      </c>
      <c r="D4052" s="240">
        <f>$D$3</f>
        <v/>
      </c>
      <c r="E4052" s="240">
        <f>$E$3</f>
        <v/>
      </c>
      <c r="F4052" s="241" t="n">
        <v>19.36</v>
      </c>
      <c r="G4052" s="242" t="n">
        <v>32843840</v>
      </c>
      <c r="H4052" s="241" t="n">
        <v>-3.44</v>
      </c>
      <c r="I4052" s="241" t="n">
        <v>11.84</v>
      </c>
      <c r="J4052" s="241" t="n">
        <v>-8.4</v>
      </c>
      <c r="K4052" s="241" t="n">
        <v>9.59</v>
      </c>
      <c r="L4052" s="242" t="n">
        <v>3243600</v>
      </c>
      <c r="M4052" s="241" t="n">
        <v>-0.55</v>
      </c>
      <c r="N4052" s="241" t="n">
        <v>10.51</v>
      </c>
      <c r="O4052" s="241" t="n">
        <v>-14.47</v>
      </c>
      <c r="P4052" s="241" t="n">
        <v>2.02</v>
      </c>
    </row>
    <row r="4053">
      <c r="A4053" s="282" t="inlineStr">
        <is>
          <t>2022-08-31</t>
        </is>
      </c>
      <c r="B4053" s="240">
        <f>IFERROR(1/P4053-1,B4052)</f>
        <v/>
      </c>
      <c r="C4053" s="240">
        <f>$C$3</f>
        <v/>
      </c>
      <c r="D4053" s="240">
        <f>$D$3</f>
        <v/>
      </c>
      <c r="E4053" s="240">
        <f>$E$3</f>
        <v/>
      </c>
      <c r="F4053" s="241" t="n">
        <v>19.7</v>
      </c>
      <c r="G4053" s="242" t="n">
        <v>80484488</v>
      </c>
      <c r="H4053" s="241" t="n">
        <v>1.76</v>
      </c>
      <c r="I4053" s="241" t="n">
        <v>13.81</v>
      </c>
      <c r="J4053" s="241" t="n">
        <v>-6.79</v>
      </c>
      <c r="K4053" s="241" t="n">
        <v>9.18</v>
      </c>
      <c r="L4053" s="242" t="n">
        <v>7658600</v>
      </c>
      <c r="M4053" s="241" t="n">
        <v>-4.39</v>
      </c>
      <c r="N4053" s="241" t="n">
        <v>5.66</v>
      </c>
      <c r="O4053" s="241" t="n">
        <v>-18.23</v>
      </c>
      <c r="P4053" s="241" t="n">
        <v>2.15</v>
      </c>
    </row>
    <row r="4054">
      <c r="A4054" s="282" t="inlineStr">
        <is>
          <t>2022-09-01</t>
        </is>
      </c>
      <c r="B4054" s="240">
        <f>IFERROR(1/P4054-1,B4053)</f>
        <v/>
      </c>
      <c r="C4054" s="240">
        <f>$C$3</f>
        <v/>
      </c>
      <c r="D4054" s="240">
        <f>$D$3</f>
        <v/>
      </c>
      <c r="E4054" s="240">
        <f>$E$3</f>
        <v/>
      </c>
      <c r="F4054" s="241" t="n">
        <v>19</v>
      </c>
      <c r="G4054" s="242" t="n">
        <v>31899598</v>
      </c>
      <c r="H4054" s="241" t="n">
        <v>-3.55</v>
      </c>
      <c r="I4054" s="241" t="n">
        <v>9.76</v>
      </c>
      <c r="J4054" s="241" t="n">
        <v>-10.1</v>
      </c>
      <c r="K4054" s="241" t="n">
        <v>9.58</v>
      </c>
      <c r="L4054" s="242" t="n">
        <v>6829400</v>
      </c>
      <c r="M4054" s="241" t="n">
        <v>4.4</v>
      </c>
      <c r="N4054" s="241" t="n">
        <v>10.3</v>
      </c>
      <c r="O4054" s="241" t="n">
        <v>-14.63</v>
      </c>
      <c r="P4054" s="241" t="n">
        <v>1.98</v>
      </c>
    </row>
    <row r="4055">
      <c r="A4055" s="282" t="inlineStr">
        <is>
          <t>2022-09-02</t>
        </is>
      </c>
      <c r="B4055" s="240">
        <f>IFERROR(1/P4055-1,B4054)</f>
        <v/>
      </c>
      <c r="C4055" s="240">
        <f>$C$3</f>
        <v/>
      </c>
      <c r="D4055" s="240">
        <f>$D$3</f>
        <v/>
      </c>
      <c r="E4055" s="240">
        <f>$E$3</f>
        <v/>
      </c>
      <c r="F4055" s="241" t="n">
        <v>20.16</v>
      </c>
      <c r="G4055" s="242" t="n">
        <v>51343277</v>
      </c>
      <c r="H4055" s="241" t="n">
        <v>6.11</v>
      </c>
      <c r="I4055" s="241" t="n">
        <v>16.53</v>
      </c>
      <c r="J4055" s="241" t="n">
        <v>-4.62</v>
      </c>
      <c r="K4055" s="241" t="n">
        <v>10.05</v>
      </c>
      <c r="L4055" s="242" t="n">
        <v>8057600</v>
      </c>
      <c r="M4055" s="241" t="n">
        <v>4.76</v>
      </c>
      <c r="N4055" s="241" t="n">
        <v>18.43</v>
      </c>
      <c r="O4055" s="241" t="n">
        <v>-10.56</v>
      </c>
      <c r="P4055" s="241" t="n">
        <v>2.01</v>
      </c>
    </row>
    <row r="4056">
      <c r="A4056" s="282" t="inlineStr">
        <is>
          <t>2022-09-05</t>
        </is>
      </c>
      <c r="B4056" s="240">
        <f>IFERROR(1/P4056-1,B4055)</f>
        <v/>
      </c>
      <c r="C4056" s="240">
        <f>$C$3</f>
        <v/>
      </c>
      <c r="D4056" s="240">
        <f>$D$3</f>
        <v/>
      </c>
      <c r="E4056" s="240">
        <f>$E$3</f>
        <v/>
      </c>
      <c r="F4056" s="241" t="n">
        <v>21.5</v>
      </c>
      <c r="G4056" s="242" t="n">
        <v>66678135</v>
      </c>
      <c r="H4056" s="241" t="n">
        <v>6.65</v>
      </c>
      <c r="I4056" s="241" t="n">
        <v>31.5</v>
      </c>
      <c r="J4056" s="241" t="n">
        <v>1.73</v>
      </c>
      <c r="K4056" s="241" t="n">
        <v>10.58</v>
      </c>
      <c r="L4056" s="242" t="n">
        <v>16032600</v>
      </c>
      <c r="M4056" s="241" t="n">
        <v>5.24</v>
      </c>
      <c r="N4056" s="241" t="n">
        <v>27.54</v>
      </c>
      <c r="O4056" s="241" t="n">
        <v>-5.87</v>
      </c>
      <c r="P4056" s="241" t="n">
        <v>2.03</v>
      </c>
    </row>
    <row r="4057">
      <c r="A4057" s="282" t="inlineStr">
        <is>
          <t>2022-09-06</t>
        </is>
      </c>
      <c r="B4057" s="240">
        <f>IFERROR(1/P4057-1,B4056)</f>
        <v/>
      </c>
      <c r="C4057" s="240">
        <f>$C$3</f>
        <v/>
      </c>
      <c r="D4057" s="240">
        <f>$D$3</f>
        <v/>
      </c>
      <c r="E4057" s="240">
        <f>$E$3</f>
        <v/>
      </c>
      <c r="F4057" s="241" t="n">
        <v>22.2</v>
      </c>
      <c r="G4057" s="242" t="n">
        <v>63824596</v>
      </c>
      <c r="H4057" s="241" t="n">
        <v>3.26</v>
      </c>
      <c r="I4057" s="241" t="n">
        <v>39.36</v>
      </c>
      <c r="J4057" s="241" t="n">
        <v>5.04</v>
      </c>
      <c r="K4057" s="241" t="n">
        <v>10.77</v>
      </c>
      <c r="L4057" s="242" t="n">
        <v>6544800</v>
      </c>
      <c r="M4057" s="241" t="n">
        <v>1.66</v>
      </c>
      <c r="N4057" s="241" t="n">
        <v>32.75</v>
      </c>
      <c r="O4057" s="241" t="n">
        <v>-4.31</v>
      </c>
      <c r="P4057" s="241" t="n">
        <v>2.06</v>
      </c>
    </row>
    <row r="4058">
      <c r="A4058" s="282" t="inlineStr">
        <is>
          <t>2022-09-07</t>
        </is>
      </c>
      <c r="B4058" s="240">
        <f>IFERROR(1/P4058-1,B4057)</f>
        <v/>
      </c>
      <c r="C4058" s="240">
        <f>$C$3</f>
        <v/>
      </c>
      <c r="D4058" s="240">
        <f>$D$3</f>
        <v/>
      </c>
      <c r="E4058" s="240">
        <f>$E$3</f>
        <v/>
      </c>
      <c r="F4058" s="241" t="n">
        <v>22.35</v>
      </c>
      <c r="G4058" s="242" t="n">
        <v>60939526</v>
      </c>
      <c r="H4058" s="241" t="n">
        <v>0.68</v>
      </c>
      <c r="I4058" s="241" t="n">
        <v>40.3</v>
      </c>
      <c r="J4058" s="241" t="n">
        <v>5.75</v>
      </c>
      <c r="K4058" s="241" t="n">
        <v>10.98</v>
      </c>
      <c r="L4058" s="242" t="n">
        <v>6653800</v>
      </c>
      <c r="M4058" s="241" t="n">
        <v>1.8</v>
      </c>
      <c r="N4058" s="241" t="n">
        <v>35.14</v>
      </c>
      <c r="O4058" s="241" t="n">
        <v>-2.59</v>
      </c>
      <c r="P4058" s="241" t="n">
        <v>2.04</v>
      </c>
    </row>
    <row r="4059">
      <c r="A4059" s="282" t="inlineStr">
        <is>
          <t>2022-09-08</t>
        </is>
      </c>
      <c r="B4059" s="240">
        <f>IFERROR(1/P4059-1,B4058)</f>
        <v/>
      </c>
      <c r="C4059" s="240">
        <f>$C$3</f>
        <v/>
      </c>
      <c r="D4059" s="240">
        <f>$D$3</f>
        <v/>
      </c>
      <c r="E4059" s="240">
        <f>$E$3</f>
        <v/>
      </c>
      <c r="F4059" s="241" t="n">
        <v>23.65</v>
      </c>
      <c r="G4059" s="242" t="n">
        <v>80885711</v>
      </c>
      <c r="H4059" s="241" t="n">
        <v>5.82</v>
      </c>
      <c r="I4059" s="241" t="n">
        <v>48.46</v>
      </c>
      <c r="J4059" s="241" t="n">
        <v>11.9</v>
      </c>
      <c r="K4059" s="241" t="n">
        <v>11.45</v>
      </c>
      <c r="L4059" s="242" t="n">
        <v>18853085</v>
      </c>
      <c r="M4059" s="241" t="n">
        <v>4.33</v>
      </c>
      <c r="N4059" s="241" t="n">
        <v>41</v>
      </c>
      <c r="O4059" s="241" t="n">
        <v>1.63</v>
      </c>
      <c r="P4059" s="241" t="n">
        <v>2.07</v>
      </c>
    </row>
    <row r="4060">
      <c r="A4060" s="282" t="inlineStr">
        <is>
          <t>2022-09-09</t>
        </is>
      </c>
      <c r="B4060" s="240">
        <f>IFERROR(1/P4060-1,B4059)</f>
        <v/>
      </c>
      <c r="C4060" s="240">
        <f>$C$3</f>
        <v/>
      </c>
      <c r="D4060" s="240">
        <f>$D$3</f>
        <v/>
      </c>
      <c r="E4060" s="240">
        <f>$E$3</f>
        <v/>
      </c>
      <c r="F4060" s="241" t="n">
        <v>23.92</v>
      </c>
      <c r="G4060" s="242" t="n">
        <v>70141975</v>
      </c>
      <c r="H4060" s="241" t="n">
        <v>1.14</v>
      </c>
      <c r="I4060" s="241" t="n">
        <v>44.97</v>
      </c>
      <c r="J4060" s="241" t="n">
        <v>13.18</v>
      </c>
      <c r="K4060" s="241" t="n">
        <v>11.92</v>
      </c>
      <c r="L4060" s="242" t="n">
        <v>15332623</v>
      </c>
      <c r="M4060" s="241" t="n">
        <v>4.15</v>
      </c>
      <c r="N4060" s="241" t="n">
        <v>44.66</v>
      </c>
      <c r="O4060" s="241" t="n">
        <v>5.85</v>
      </c>
      <c r="P4060" s="241" t="n">
        <v>2.01</v>
      </c>
    </row>
    <row r="4061">
      <c r="A4061" s="282" t="inlineStr">
        <is>
          <t>2022-09-13</t>
        </is>
      </c>
      <c r="B4061" s="240">
        <f>IFERROR(1/P4061-1,B4060)</f>
        <v/>
      </c>
      <c r="C4061" s="240">
        <f>$C$3</f>
        <v/>
      </c>
      <c r="D4061" s="240">
        <f>$D$3</f>
        <v/>
      </c>
      <c r="E4061" s="240">
        <f>$E$3</f>
        <v/>
      </c>
      <c r="F4061" s="241" t="n">
        <v>23.79</v>
      </c>
      <c r="G4061" s="242" t="n">
        <v>53161322</v>
      </c>
      <c r="H4061" s="241" t="n">
        <v>-0.54</v>
      </c>
      <c r="I4061" s="241" t="n">
        <v>44.18</v>
      </c>
      <c r="J4061" s="241" t="n">
        <v>12.56</v>
      </c>
      <c r="K4061" s="241" t="n">
        <v>11.68</v>
      </c>
      <c r="L4061" s="242" t="n">
        <v>6774681</v>
      </c>
      <c r="M4061" s="241" t="n">
        <v>-1.77</v>
      </c>
      <c r="N4061" s="241" t="n">
        <v>43.94</v>
      </c>
      <c r="O4061" s="241" t="n">
        <v>3.98</v>
      </c>
      <c r="P4061" s="241" t="n">
        <v>2.04</v>
      </c>
    </row>
    <row r="4062">
      <c r="A4062" s="282" t="inlineStr">
        <is>
          <t>2022-09-14</t>
        </is>
      </c>
      <c r="B4062" s="240">
        <f>IFERROR(1/P4062-1,B4061)</f>
        <v/>
      </c>
      <c r="C4062" s="240">
        <f>$C$3</f>
        <v/>
      </c>
      <c r="D4062" s="240">
        <f>$D$3</f>
        <v/>
      </c>
      <c r="E4062" s="240">
        <f>$E$3</f>
        <v/>
      </c>
      <c r="F4062" s="241" t="n">
        <v>23.53</v>
      </c>
      <c r="G4062" s="242" t="n">
        <v>52354468</v>
      </c>
      <c r="H4062" s="241" t="n">
        <v>-1.09</v>
      </c>
      <c r="I4062" s="241" t="n">
        <v>42.61</v>
      </c>
      <c r="J4062" s="241" t="n">
        <v>11.33</v>
      </c>
      <c r="K4062" s="241" t="n">
        <v>11.55</v>
      </c>
      <c r="L4062" s="242" t="n">
        <v>8244000</v>
      </c>
      <c r="M4062" s="241" t="n">
        <v>-1.35</v>
      </c>
      <c r="N4062" s="241" t="n">
        <v>41.99</v>
      </c>
      <c r="O4062" s="241" t="n">
        <v>2.57</v>
      </c>
      <c r="P4062" s="241" t="n">
        <v>2.04</v>
      </c>
    </row>
    <row r="4063">
      <c r="A4063" s="282" t="inlineStr">
        <is>
          <t>2022-09-15</t>
        </is>
      </c>
      <c r="B4063" s="240">
        <f>IFERROR(1/P4063-1,B4062)</f>
        <v/>
      </c>
      <c r="C4063" s="240">
        <f>$C$3</f>
        <v/>
      </c>
      <c r="D4063" s="240">
        <f>$D$3</f>
        <v/>
      </c>
      <c r="E4063" s="240">
        <f>$E$3</f>
        <v/>
      </c>
      <c r="F4063" s="241" t="n">
        <v>23</v>
      </c>
      <c r="G4063" s="242" t="n">
        <v>62730824</v>
      </c>
      <c r="H4063" s="241" t="n">
        <v>-2.25</v>
      </c>
      <c r="I4063" s="241" t="n">
        <v>39.39</v>
      </c>
      <c r="J4063" s="241" t="n">
        <v>8.82</v>
      </c>
      <c r="K4063" s="241" t="n">
        <v>10.97</v>
      </c>
      <c r="L4063" s="242" t="n">
        <v>12270000</v>
      </c>
      <c r="M4063" s="241" t="n">
        <v>-5.03</v>
      </c>
      <c r="N4063" s="241" t="n">
        <v>34.85</v>
      </c>
      <c r="O4063" s="241" t="n">
        <v>-2.59</v>
      </c>
      <c r="P4063" s="241" t="n">
        <v>2.1</v>
      </c>
    </row>
    <row r="4064">
      <c r="A4064" s="282" t="inlineStr">
        <is>
          <t>2022-09-16</t>
        </is>
      </c>
      <c r="B4064" s="240">
        <f>IFERROR(1/P4064-1,B4063)</f>
        <v/>
      </c>
      <c r="C4064" s="240">
        <f>$C$3</f>
        <v/>
      </c>
      <c r="D4064" s="240">
        <f>$D$3</f>
        <v/>
      </c>
      <c r="E4064" s="240">
        <f>$E$3</f>
        <v/>
      </c>
      <c r="F4064" s="241" t="n">
        <v>22.05</v>
      </c>
      <c r="G4064" s="242" t="n">
        <v>43918716</v>
      </c>
      <c r="H4064" s="241" t="n">
        <v>-4.13</v>
      </c>
      <c r="I4064" s="241" t="n">
        <v>28.57</v>
      </c>
      <c r="J4064" s="241" t="n">
        <v>4.33</v>
      </c>
      <c r="K4064" s="241" t="n">
        <v>10.86</v>
      </c>
      <c r="L4064" s="242" t="n">
        <v>5823500</v>
      </c>
      <c r="M4064" s="241" t="n">
        <v>-1.28</v>
      </c>
      <c r="N4064" s="241" t="n">
        <v>31.55</v>
      </c>
      <c r="O4064" s="241" t="n">
        <v>-3.84</v>
      </c>
      <c r="P4064" s="241" t="n">
        <v>2.03</v>
      </c>
    </row>
    <row r="4065">
      <c r="A4065" s="282" t="inlineStr">
        <is>
          <t>2022-09-19</t>
        </is>
      </c>
      <c r="B4065" s="240">
        <f>IFERROR(1/P4065-1,B4064)</f>
        <v/>
      </c>
      <c r="C4065" s="240">
        <f>$C$3</f>
        <v/>
      </c>
      <c r="D4065" s="240">
        <f>$D$3</f>
        <v/>
      </c>
      <c r="E4065" s="240">
        <f>$E$3</f>
        <v/>
      </c>
      <c r="F4065" s="241" t="n">
        <v>21.98</v>
      </c>
      <c r="G4065" s="242" t="n">
        <v>41784635</v>
      </c>
      <c r="H4065" s="241" t="n">
        <v>-0.32</v>
      </c>
      <c r="I4065" s="241" t="n">
        <v>28.46</v>
      </c>
      <c r="J4065" s="241" t="n">
        <v>4</v>
      </c>
      <c r="K4065" s="241" t="n">
        <v>10.87</v>
      </c>
      <c r="L4065" s="242" t="n">
        <v>5759600</v>
      </c>
      <c r="M4065" s="241" t="n">
        <v>0</v>
      </c>
      <c r="N4065" s="241" t="n">
        <v>24.24</v>
      </c>
      <c r="O4065" s="241" t="n">
        <v>-3.84</v>
      </c>
      <c r="P4065" s="241" t="n">
        <v>2.02</v>
      </c>
    </row>
    <row r="4066">
      <c r="A4066" s="282" t="inlineStr">
        <is>
          <t>2022-09-20</t>
        </is>
      </c>
      <c r="B4066" s="240">
        <f>IFERROR(1/P4066-1,B4065)</f>
        <v/>
      </c>
      <c r="C4066" s="240">
        <f>$C$3</f>
        <v/>
      </c>
      <c r="D4066" s="240">
        <f>$D$3</f>
        <v/>
      </c>
      <c r="E4066" s="240">
        <f>$E$3</f>
        <v/>
      </c>
      <c r="F4066" s="241" t="n">
        <v>22.06</v>
      </c>
      <c r="G4066" s="242" t="n">
        <v>28730255</v>
      </c>
      <c r="H4066" s="241" t="n">
        <v>0.36</v>
      </c>
      <c r="I4066" s="241" t="n">
        <v>28.41</v>
      </c>
      <c r="J4066" s="241" t="n">
        <v>4.37</v>
      </c>
      <c r="K4066" s="241" t="n">
        <v>10.87</v>
      </c>
      <c r="L4066" s="242" t="n">
        <v>2094200</v>
      </c>
      <c r="M4066" s="241" t="n">
        <v>-0.16</v>
      </c>
      <c r="N4066" s="241" t="n">
        <v>23.29</v>
      </c>
      <c r="O4066" s="241" t="n">
        <v>-4</v>
      </c>
      <c r="P4066" s="241" t="n">
        <v>2.03</v>
      </c>
    </row>
    <row r="4067">
      <c r="A4067" s="282" t="inlineStr">
        <is>
          <t>2022-09-21</t>
        </is>
      </c>
      <c r="B4067" s="240">
        <f>IFERROR(1/P4067-1,B4066)</f>
        <v/>
      </c>
      <c r="C4067" s="240">
        <f>$C$3</f>
        <v/>
      </c>
      <c r="D4067" s="240">
        <f>$D$3</f>
        <v/>
      </c>
      <c r="E4067" s="240">
        <f>$E$3</f>
        <v/>
      </c>
      <c r="F4067" s="241" t="n">
        <v>22.24</v>
      </c>
      <c r="G4067" s="242" t="n">
        <v>31842029</v>
      </c>
      <c r="H4067" s="241" t="n">
        <v>0.82</v>
      </c>
      <c r="I4067" s="241" t="n">
        <v>29.45</v>
      </c>
      <c r="J4067" s="241" t="n">
        <v>5.23</v>
      </c>
      <c r="K4067" s="241" t="n">
        <v>10.97</v>
      </c>
      <c r="L4067" s="242" t="n">
        <v>2245600</v>
      </c>
      <c r="M4067" s="241" t="n">
        <v>0.8100000000000001</v>
      </c>
      <c r="N4067" s="241" t="n">
        <v>24.3</v>
      </c>
      <c r="O4067" s="241" t="n">
        <v>-3.22</v>
      </c>
      <c r="P4067" s="241" t="n">
        <v>2.03</v>
      </c>
    </row>
    <row r="4068">
      <c r="A4068" s="282" t="inlineStr">
        <is>
          <t>2022-09-22</t>
        </is>
      </c>
      <c r="B4068" s="240">
        <f>IFERROR(1/P4068-1,B4067)</f>
        <v/>
      </c>
      <c r="C4068" s="240">
        <f>$C$3</f>
        <v/>
      </c>
      <c r="D4068" s="240">
        <f>$D$3</f>
        <v/>
      </c>
      <c r="E4068" s="240">
        <f>$E$3</f>
        <v/>
      </c>
      <c r="F4068" s="241" t="n">
        <v>22.66</v>
      </c>
      <c r="G4068" s="242" t="n">
        <v>38056447</v>
      </c>
      <c r="H4068" s="241" t="n">
        <v>1.89</v>
      </c>
      <c r="I4068" s="241" t="n">
        <v>31.9</v>
      </c>
      <c r="J4068" s="241" t="n">
        <v>7.21</v>
      </c>
      <c r="K4068" s="241" t="n">
        <v>10.99</v>
      </c>
      <c r="L4068" s="242" t="n">
        <v>3527600</v>
      </c>
      <c r="M4068" s="241" t="n">
        <v>-0.16</v>
      </c>
      <c r="N4068" s="241" t="n">
        <v>24.1</v>
      </c>
      <c r="O4068" s="241" t="n">
        <v>-3.37</v>
      </c>
      <c r="P4068" s="241" t="n">
        <v>2.06</v>
      </c>
    </row>
    <row r="4069">
      <c r="A4069" s="282" t="inlineStr">
        <is>
          <t>2022-09-23</t>
        </is>
      </c>
      <c r="B4069" s="240">
        <f>IFERROR(1/P4069-1,B4068)</f>
        <v/>
      </c>
      <c r="C4069" s="240">
        <f>$C$3</f>
        <v/>
      </c>
      <c r="D4069" s="240">
        <f>$D$3</f>
        <v/>
      </c>
      <c r="E4069" s="240">
        <f>$E$3</f>
        <v/>
      </c>
      <c r="F4069" s="241" t="n">
        <v>21.66</v>
      </c>
      <c r="G4069" s="242" t="n">
        <v>33095994</v>
      </c>
      <c r="H4069" s="241" t="n">
        <v>-4.41</v>
      </c>
      <c r="I4069" s="241" t="n">
        <v>21.01</v>
      </c>
      <c r="J4069" s="241" t="n">
        <v>2.48</v>
      </c>
      <c r="K4069" s="241" t="n">
        <v>10.4</v>
      </c>
      <c r="L4069" s="242" t="n">
        <v>4948600</v>
      </c>
      <c r="M4069" s="241" t="n">
        <v>-5.5</v>
      </c>
      <c r="N4069" s="241" t="n">
        <v>15.19</v>
      </c>
      <c r="O4069" s="241" t="n">
        <v>-8.69</v>
      </c>
      <c r="P4069" s="241" t="n">
        <v>2.08</v>
      </c>
    </row>
    <row r="4070">
      <c r="A4070" s="282" t="inlineStr">
        <is>
          <t>2022-09-26</t>
        </is>
      </c>
      <c r="B4070" s="240">
        <f>IFERROR(1/P4070-1,B4069)</f>
        <v/>
      </c>
      <c r="C4070" s="240">
        <f>$C$3</f>
        <v/>
      </c>
      <c r="D4070" s="240">
        <f>$D$3</f>
        <v/>
      </c>
      <c r="E4070" s="240">
        <f>$E$3</f>
        <v/>
      </c>
      <c r="F4070" s="241" t="n">
        <v>21.89</v>
      </c>
      <c r="G4070" s="242" t="n">
        <v>25854262</v>
      </c>
      <c r="H4070" s="241" t="n">
        <v>1.06</v>
      </c>
      <c r="I4070" s="241" t="n">
        <v>13.07</v>
      </c>
      <c r="J4070" s="241" t="n">
        <v>3.57</v>
      </c>
      <c r="K4070" s="241" t="n">
        <v>10.64</v>
      </c>
      <c r="L4070" s="242" t="n">
        <v>2212400</v>
      </c>
      <c r="M4070" s="241" t="n">
        <v>1.71</v>
      </c>
      <c r="N4070" s="241" t="n">
        <v>14.67</v>
      </c>
      <c r="O4070" s="241" t="n">
        <v>-7.13</v>
      </c>
      <c r="P4070" s="241" t="n">
        <v>2.06</v>
      </c>
    </row>
    <row r="4071">
      <c r="A4071" s="282" t="inlineStr">
        <is>
          <t>2022-09-27</t>
        </is>
      </c>
      <c r="B4071" s="240">
        <f>IFERROR(1/P4071-1,B4070)</f>
        <v/>
      </c>
      <c r="C4071" s="240">
        <f>$C$3</f>
        <v/>
      </c>
      <c r="D4071" s="240">
        <f>$D$3</f>
        <v/>
      </c>
      <c r="E4071" s="240">
        <f>$E$3</f>
        <v/>
      </c>
      <c r="F4071" s="241" t="n">
        <v>21.94</v>
      </c>
      <c r="G4071" s="242" t="n">
        <v>22688429</v>
      </c>
      <c r="H4071" s="241" t="n">
        <v>0.23</v>
      </c>
      <c r="I4071" s="241" t="n">
        <v>10.25</v>
      </c>
      <c r="J4071" s="241" t="n">
        <v>3.81</v>
      </c>
      <c r="K4071" s="241" t="n">
        <v>10.61</v>
      </c>
      <c r="L4071" s="242" t="n">
        <v>2612800</v>
      </c>
      <c r="M4071" s="241" t="n">
        <v>-0.84</v>
      </c>
      <c r="N4071" s="241" t="n">
        <v>7.68</v>
      </c>
      <c r="O4071" s="241" t="n">
        <v>-7.91</v>
      </c>
      <c r="P4071" s="241" t="n">
        <v>2.07</v>
      </c>
    </row>
    <row r="4072">
      <c r="A4072" s="282" t="inlineStr">
        <is>
          <t>2022-09-28</t>
        </is>
      </c>
      <c r="B4072" s="240">
        <f>IFERROR(1/P4072-1,B4071)</f>
        <v/>
      </c>
      <c r="C4072" s="240">
        <f>$C$3</f>
        <v/>
      </c>
      <c r="D4072" s="240">
        <f>$D$3</f>
        <v/>
      </c>
      <c r="E4072" s="240">
        <f>$E$3</f>
        <v/>
      </c>
      <c r="F4072" s="241" t="n">
        <v>21.31</v>
      </c>
      <c r="G4072" s="242" t="n">
        <v>28229676</v>
      </c>
      <c r="H4072" s="241" t="n">
        <v>-2.87</v>
      </c>
      <c r="I4072" s="241" t="n">
        <v>7.09</v>
      </c>
      <c r="J4072" s="241" t="n">
        <v>0.83</v>
      </c>
      <c r="K4072" s="241" t="n">
        <v>10.15</v>
      </c>
      <c r="L4072" s="242" t="n">
        <v>4659800</v>
      </c>
      <c r="M4072" s="241" t="n">
        <v>-4.92</v>
      </c>
      <c r="N4072" s="241" t="n">
        <v>2.38</v>
      </c>
      <c r="O4072" s="241" t="n">
        <v>-12.44</v>
      </c>
      <c r="P4072" s="241" t="n">
        <v>2.1</v>
      </c>
    </row>
    <row r="4073">
      <c r="A4073" s="282" t="inlineStr">
        <is>
          <t>2022-09-29</t>
        </is>
      </c>
      <c r="B4073" s="240">
        <f>IFERROR(1/P4073-1,B4072)</f>
        <v/>
      </c>
      <c r="C4073" s="240">
        <f>$C$3</f>
        <v/>
      </c>
      <c r="D4073" s="240">
        <f>$D$3</f>
        <v/>
      </c>
      <c r="E4073" s="240">
        <f>$E$3</f>
        <v/>
      </c>
      <c r="F4073" s="241" t="n">
        <v>21.32</v>
      </c>
      <c r="G4073" s="242" t="n">
        <v>17219181</v>
      </c>
      <c r="H4073" s="241" t="n">
        <v>0.05</v>
      </c>
      <c r="I4073" s="241" t="n">
        <v>7.14</v>
      </c>
      <c r="J4073" s="241" t="n">
        <v>0.87</v>
      </c>
      <c r="K4073" s="241" t="n">
        <v>9.949999999999999</v>
      </c>
      <c r="L4073" s="242" t="n">
        <v>3215000</v>
      </c>
      <c r="M4073" s="241" t="n">
        <v>-1.96</v>
      </c>
      <c r="N4073" s="241" t="n">
        <v>0.37</v>
      </c>
      <c r="O4073" s="241" t="n">
        <v>-14.16</v>
      </c>
      <c r="P4073" s="241" t="n">
        <v>2.14</v>
      </c>
    </row>
    <row r="4074">
      <c r="A4074" s="282" t="inlineStr">
        <is>
          <t>2022-09-30</t>
        </is>
      </c>
      <c r="B4074" s="240">
        <f>IFERROR(1/P4074-1,B4073)</f>
        <v/>
      </c>
      <c r="C4074" s="240">
        <f>$C$3</f>
        <v/>
      </c>
      <c r="D4074" s="240">
        <f>$D$3</f>
        <v/>
      </c>
      <c r="E4074" s="240">
        <f>$E$3</f>
        <v/>
      </c>
      <c r="F4074" s="241" t="n">
        <v>20.44</v>
      </c>
      <c r="G4074" s="242" t="n">
        <v>24146821</v>
      </c>
      <c r="H4074" s="241" t="n">
        <v>-4.13</v>
      </c>
      <c r="I4074" s="241" t="n">
        <v>1.95</v>
      </c>
      <c r="J4074" s="241" t="n">
        <v>-3.29</v>
      </c>
      <c r="K4074" s="241" t="n">
        <v>9.68</v>
      </c>
      <c r="L4074" s="242" t="n">
        <v>1959800</v>
      </c>
      <c r="M4074" s="241" t="n">
        <v>-2.55</v>
      </c>
      <c r="N4074" s="241" t="n">
        <v>-2.73</v>
      </c>
      <c r="O4074" s="241" t="n">
        <v>-16.35</v>
      </c>
      <c r="P4074" s="241" t="n">
        <v>2.11</v>
      </c>
    </row>
    <row r="4075">
      <c r="A4075" s="282" t="inlineStr">
        <is>
          <t>2022-10-10</t>
        </is>
      </c>
      <c r="B4075" s="240">
        <f>IFERROR(1/P4075-1,B4074)</f>
        <v/>
      </c>
      <c r="C4075" s="240">
        <f>$C$3</f>
        <v/>
      </c>
      <c r="D4075" s="240">
        <f>$D$3</f>
        <v/>
      </c>
      <c r="E4075" s="240">
        <f>$E$3</f>
        <v/>
      </c>
      <c r="F4075" s="241" t="n">
        <v>20.5</v>
      </c>
      <c r="G4075" s="242" t="n">
        <v>15212476</v>
      </c>
      <c r="H4075" s="241" t="n">
        <v>0.29</v>
      </c>
      <c r="I4075" s="241" t="n">
        <v>-14.3</v>
      </c>
      <c r="J4075" s="241" t="n">
        <v>-3.01</v>
      </c>
      <c r="K4075" s="241" t="n">
        <v>9.26</v>
      </c>
      <c r="L4075" s="242" t="n">
        <v>3397600</v>
      </c>
      <c r="M4075" s="241" t="n">
        <v>-4.83</v>
      </c>
      <c r="N4075" s="241" t="n">
        <v>-24.37</v>
      </c>
      <c r="O4075" s="241" t="n">
        <v>-19.95</v>
      </c>
      <c r="P4075" s="241" t="n">
        <v>2.21</v>
      </c>
    </row>
    <row r="4076">
      <c r="A4076" s="282" t="inlineStr">
        <is>
          <t>2022-10-11</t>
        </is>
      </c>
      <c r="B4076" s="240">
        <f>IFERROR(1/P4076-1,B4075)</f>
        <v/>
      </c>
      <c r="C4076" s="240">
        <f>$C$3</f>
        <v/>
      </c>
      <c r="D4076" s="240">
        <f>$D$3</f>
        <v/>
      </c>
      <c r="E4076" s="240">
        <f>$E$3</f>
        <v/>
      </c>
      <c r="F4076" s="241" t="n">
        <v>21.25</v>
      </c>
      <c r="G4076" s="242" t="n">
        <v>30138423</v>
      </c>
      <c r="H4076" s="241" t="n">
        <v>3.66</v>
      </c>
      <c r="I4076" s="241" t="n">
        <v>-11.16</v>
      </c>
      <c r="J4076" s="241" t="n">
        <v>0.54</v>
      </c>
      <c r="K4076" s="241" t="n">
        <v>9.51</v>
      </c>
      <c r="L4076" s="242" t="n">
        <v>3573200</v>
      </c>
      <c r="M4076" s="241" t="n">
        <v>2.54</v>
      </c>
      <c r="N4076" s="241" t="n">
        <v>-22.45</v>
      </c>
      <c r="O4076" s="241" t="n">
        <v>-17.91</v>
      </c>
      <c r="P4076" s="241" t="n">
        <v>2.24</v>
      </c>
    </row>
    <row r="4077">
      <c r="A4077" s="282" t="inlineStr">
        <is>
          <t>2022-10-12</t>
        </is>
      </c>
      <c r="B4077" s="240">
        <f>IFERROR(1/P4077-1,B4076)</f>
        <v/>
      </c>
      <c r="C4077" s="240">
        <f>$C$3</f>
        <v/>
      </c>
      <c r="D4077" s="240">
        <f>$D$3</f>
        <v/>
      </c>
      <c r="E4077" s="240">
        <f>$E$3</f>
        <v/>
      </c>
      <c r="F4077" s="241" t="n">
        <v>21.96</v>
      </c>
      <c r="G4077" s="242" t="n">
        <v>32540652</v>
      </c>
      <c r="H4077" s="241" t="n">
        <v>3.34</v>
      </c>
      <c r="I4077" s="241" t="n">
        <v>-8.19</v>
      </c>
      <c r="J4077" s="241" t="n">
        <v>3.9</v>
      </c>
      <c r="K4077" s="241" t="n">
        <v>9.779999999999999</v>
      </c>
      <c r="L4077" s="242" t="n">
        <v>3543000</v>
      </c>
      <c r="M4077" s="241" t="n">
        <v>2.86</v>
      </c>
      <c r="N4077" s="241" t="n">
        <v>-20.24</v>
      </c>
      <c r="O4077" s="241" t="n">
        <v>-15.57</v>
      </c>
      <c r="P4077" s="241" t="n">
        <v>2.24</v>
      </c>
    </row>
    <row r="4078">
      <c r="A4078" s="282" t="inlineStr">
        <is>
          <t>2022-10-13</t>
        </is>
      </c>
      <c r="B4078" s="240">
        <f>IFERROR(1/P4078-1,B4077)</f>
        <v/>
      </c>
      <c r="C4078" s="240">
        <f>$C$3</f>
        <v/>
      </c>
      <c r="D4078" s="240">
        <f>$D$3</f>
        <v/>
      </c>
      <c r="E4078" s="240">
        <f>$E$3</f>
        <v/>
      </c>
      <c r="F4078" s="241" t="n">
        <v>22</v>
      </c>
      <c r="G4078" s="242" t="n">
        <v>29569377</v>
      </c>
      <c r="H4078" s="241" t="n">
        <v>0.18</v>
      </c>
      <c r="I4078" s="241" t="n">
        <v>-8.029999999999999</v>
      </c>
      <c r="J4078" s="241" t="n">
        <v>4.09</v>
      </c>
      <c r="K4078" s="241" t="n">
        <v>9.890000000000001</v>
      </c>
      <c r="L4078" s="242" t="n">
        <v>4450000</v>
      </c>
      <c r="M4078" s="241" t="n">
        <v>1.11</v>
      </c>
      <c r="N4078" s="241" t="n">
        <v>-19.35</v>
      </c>
      <c r="O4078" s="241" t="n">
        <v>-14.63</v>
      </c>
      <c r="P4078" s="241" t="n">
        <v>2.22</v>
      </c>
    </row>
    <row r="4079">
      <c r="A4079" s="282" t="inlineStr">
        <is>
          <t>2022-10-14</t>
        </is>
      </c>
      <c r="B4079" s="240">
        <f>IFERROR(1/P4079-1,B4078)</f>
        <v/>
      </c>
      <c r="C4079" s="240">
        <f>$C$3</f>
        <v/>
      </c>
      <c r="D4079" s="240">
        <f>$D$3</f>
        <v/>
      </c>
      <c r="E4079" s="240">
        <f>$E$3</f>
        <v/>
      </c>
      <c r="F4079" s="241" t="n">
        <v>22.02</v>
      </c>
      <c r="G4079" s="242" t="n">
        <v>32317792</v>
      </c>
      <c r="H4079" s="241" t="n">
        <v>0.09</v>
      </c>
      <c r="I4079" s="241" t="n">
        <v>-7.44</v>
      </c>
      <c r="J4079" s="241" t="n">
        <v>4.19</v>
      </c>
      <c r="K4079" s="241" t="n">
        <v>10.09</v>
      </c>
      <c r="L4079" s="242" t="n">
        <v>3506200</v>
      </c>
      <c r="M4079" s="241" t="n">
        <v>2.01</v>
      </c>
      <c r="N4079" s="241" t="n">
        <v>-16.24</v>
      </c>
      <c r="O4079" s="241" t="n">
        <v>-12.91</v>
      </c>
      <c r="P4079" s="241" t="n">
        <v>2.18</v>
      </c>
    </row>
    <row r="4080">
      <c r="A4080" s="282" t="inlineStr">
        <is>
          <t>2022-10-17</t>
        </is>
      </c>
      <c r="B4080" s="240">
        <f>IFERROR(1/P4080-1,B4079)</f>
        <v/>
      </c>
      <c r="C4080" s="240">
        <f>$C$3</f>
        <v/>
      </c>
      <c r="D4080" s="240">
        <f>$D$3</f>
        <v/>
      </c>
      <c r="E4080" s="240">
        <f>$E$3</f>
        <v/>
      </c>
      <c r="F4080" s="241" t="n">
        <v>21.56</v>
      </c>
      <c r="G4080" s="242" t="n">
        <v>27781072</v>
      </c>
      <c r="H4080" s="241" t="n">
        <v>-2.09</v>
      </c>
      <c r="I4080" s="241" t="n">
        <v>-2.22</v>
      </c>
      <c r="J4080" s="241" t="n">
        <v>2.01</v>
      </c>
      <c r="K4080" s="241" t="n">
        <v>9.65</v>
      </c>
      <c r="L4080" s="242" t="n">
        <v>4987200</v>
      </c>
      <c r="M4080" s="241" t="n">
        <v>-4.31</v>
      </c>
      <c r="N4080" s="241" t="n">
        <v>-13.33</v>
      </c>
      <c r="O4080" s="241" t="n">
        <v>-16.66</v>
      </c>
      <c r="P4080" s="241" t="n">
        <v>2.23</v>
      </c>
    </row>
    <row r="4081">
      <c r="A4081" s="282" t="inlineStr">
        <is>
          <t>2022-10-18</t>
        </is>
      </c>
      <c r="B4081" s="240">
        <f>IFERROR(1/P4081-1,B4080)</f>
        <v/>
      </c>
      <c r="C4081" s="240">
        <f>$C$3</f>
        <v/>
      </c>
      <c r="D4081" s="240">
        <f>$D$3</f>
        <v/>
      </c>
      <c r="E4081" s="240">
        <f>$E$3</f>
        <v/>
      </c>
      <c r="F4081" s="241" t="n">
        <v>23.12</v>
      </c>
      <c r="G4081" s="242" t="n">
        <v>45287665</v>
      </c>
      <c r="H4081" s="241" t="n">
        <v>7.24</v>
      </c>
      <c r="I4081" s="241" t="n">
        <v>4.85</v>
      </c>
      <c r="J4081" s="241" t="n">
        <v>9.390000000000001</v>
      </c>
      <c r="K4081" s="241" t="n">
        <v>10.96</v>
      </c>
      <c r="L4081" s="242" t="n">
        <v>7369600</v>
      </c>
      <c r="M4081" s="241" t="n">
        <v>13.51</v>
      </c>
      <c r="N4081" s="241" t="n">
        <v>-1.63</v>
      </c>
      <c r="O4081" s="241" t="n">
        <v>-5.41</v>
      </c>
      <c r="P4081" s="241" t="n">
        <v>2.11</v>
      </c>
    </row>
    <row r="4082">
      <c r="A4082" s="282" t="inlineStr">
        <is>
          <t>2022-10-19</t>
        </is>
      </c>
      <c r="B4082" s="240">
        <f>IFERROR(1/P4082-1,B4081)</f>
        <v/>
      </c>
      <c r="C4082" s="240">
        <f>$C$3</f>
        <v/>
      </c>
      <c r="D4082" s="240">
        <f>$D$3</f>
        <v/>
      </c>
      <c r="E4082" s="240">
        <f>$E$3</f>
        <v/>
      </c>
      <c r="F4082" s="241" t="n">
        <v>23.01</v>
      </c>
      <c r="G4082" s="242" t="n">
        <v>27730277</v>
      </c>
      <c r="H4082" s="241" t="n">
        <v>-0.48</v>
      </c>
      <c r="I4082" s="241" t="n">
        <v>4.35</v>
      </c>
      <c r="J4082" s="241" t="n">
        <v>8.869999999999999</v>
      </c>
      <c r="K4082" s="241" t="n">
        <v>10.49</v>
      </c>
      <c r="L4082" s="242" t="n">
        <v>2600200</v>
      </c>
      <c r="M4082" s="241" t="n">
        <v>-4.3</v>
      </c>
      <c r="N4082" s="241" t="n">
        <v>-5.85</v>
      </c>
      <c r="O4082" s="241" t="n">
        <v>-9.470000000000001</v>
      </c>
      <c r="P4082" s="241" t="n">
        <v>2.19</v>
      </c>
    </row>
    <row r="4083">
      <c r="A4083" s="282" t="inlineStr">
        <is>
          <t>2022-10-20</t>
        </is>
      </c>
      <c r="B4083" s="240">
        <f>IFERROR(1/P4083-1,B4082)</f>
        <v/>
      </c>
      <c r="C4083" s="240">
        <f>$C$3</f>
        <v/>
      </c>
      <c r="D4083" s="240">
        <f>$D$3</f>
        <v/>
      </c>
      <c r="E4083" s="240">
        <f>$E$3</f>
        <v/>
      </c>
      <c r="F4083" s="241" t="n">
        <v>22.92</v>
      </c>
      <c r="G4083" s="242" t="n">
        <v>30826045</v>
      </c>
      <c r="H4083" s="241" t="n">
        <v>-0.39</v>
      </c>
      <c r="I4083" s="241" t="n">
        <v>4.28</v>
      </c>
      <c r="J4083" s="241" t="n">
        <v>8.44</v>
      </c>
      <c r="K4083" s="241" t="n">
        <v>10.63</v>
      </c>
      <c r="L4083" s="242" t="n">
        <v>4680400</v>
      </c>
      <c r="M4083" s="241" t="n">
        <v>1.21</v>
      </c>
      <c r="N4083" s="241" t="n">
        <v>-4.72</v>
      </c>
      <c r="O4083" s="241" t="n">
        <v>-8.380000000000001</v>
      </c>
      <c r="P4083" s="241" t="n">
        <v>2.16</v>
      </c>
    </row>
    <row r="4084">
      <c r="A4084" s="282" t="inlineStr">
        <is>
          <t>2022-10-21</t>
        </is>
      </c>
      <c r="B4084" s="240">
        <f>IFERROR(1/P4084-1,B4083)</f>
        <v/>
      </c>
      <c r="C4084" s="240">
        <f>$C$3</f>
        <v/>
      </c>
      <c r="D4084" s="240">
        <f>$D$3</f>
        <v/>
      </c>
      <c r="E4084" s="240">
        <f>$E$3</f>
        <v/>
      </c>
      <c r="F4084" s="241" t="n">
        <v>23.36</v>
      </c>
      <c r="G4084" s="242" t="n">
        <v>36719846</v>
      </c>
      <c r="H4084" s="241" t="n">
        <v>1.92</v>
      </c>
      <c r="I4084" s="241" t="n">
        <v>5.89</v>
      </c>
      <c r="J4084" s="241" t="n">
        <v>10.53</v>
      </c>
      <c r="K4084" s="241" t="n">
        <v>11.15</v>
      </c>
      <c r="L4084" s="242" t="n">
        <v>7825800</v>
      </c>
      <c r="M4084" s="241" t="n">
        <v>4.95</v>
      </c>
      <c r="N4084" s="241" t="n">
        <v>0.16</v>
      </c>
      <c r="O4084" s="241" t="n">
        <v>-3.84</v>
      </c>
      <c r="P4084" s="241" t="n">
        <v>2.09</v>
      </c>
    </row>
    <row r="4085">
      <c r="A4085" s="282" t="inlineStr">
        <is>
          <t>2022-10-24</t>
        </is>
      </c>
      <c r="B4085" s="240">
        <f>IFERROR(1/P4085-1,B4084)</f>
        <v/>
      </c>
      <c r="C4085" s="240">
        <f>$C$3</f>
        <v/>
      </c>
      <c r="D4085" s="240">
        <f>$D$3</f>
        <v/>
      </c>
      <c r="E4085" s="240">
        <f>$E$3</f>
        <v/>
      </c>
      <c r="F4085" s="241" t="n">
        <v>23.78</v>
      </c>
      <c r="G4085" s="242" t="n">
        <v>44143210</v>
      </c>
      <c r="H4085" s="241" t="n">
        <v>1.8</v>
      </c>
      <c r="I4085" s="241" t="n">
        <v>9.789999999999999</v>
      </c>
      <c r="J4085" s="241" t="n">
        <v>12.51</v>
      </c>
      <c r="K4085" s="241" t="n">
        <v>10.69</v>
      </c>
      <c r="L4085" s="242" t="n">
        <v>6625600</v>
      </c>
      <c r="M4085" s="241" t="n">
        <v>-4.23</v>
      </c>
      <c r="N4085" s="241" t="n">
        <v>0.86</v>
      </c>
      <c r="O4085" s="241" t="n">
        <v>-7.91</v>
      </c>
      <c r="P4085" s="241" t="n">
        <v>2.22</v>
      </c>
    </row>
    <row r="4086">
      <c r="A4086" s="282" t="inlineStr">
        <is>
          <t>2022-10-25</t>
        </is>
      </c>
      <c r="B4086" s="240">
        <f>IFERROR(1/P4086-1,B4085)</f>
        <v/>
      </c>
      <c r="C4086" s="240">
        <f>$C$3</f>
        <v/>
      </c>
      <c r="D4086" s="240">
        <f>$D$3</f>
        <v/>
      </c>
      <c r="E4086" s="240">
        <f>$E$3</f>
        <v/>
      </c>
      <c r="F4086" s="241" t="n">
        <v>24.06</v>
      </c>
      <c r="G4086" s="242" t="n">
        <v>38118624</v>
      </c>
      <c r="H4086" s="241" t="n">
        <v>1.18</v>
      </c>
      <c r="I4086" s="241" t="n">
        <v>11.08</v>
      </c>
      <c r="J4086" s="241" t="n">
        <v>13.84</v>
      </c>
      <c r="K4086" s="241" t="n">
        <v>10.92</v>
      </c>
      <c r="L4086" s="242" t="n">
        <v>5032600</v>
      </c>
      <c r="M4086" s="241" t="n">
        <v>1.53</v>
      </c>
      <c r="N4086" s="241" t="n">
        <v>2.4</v>
      </c>
      <c r="O4086" s="241" t="n">
        <v>-6.5</v>
      </c>
      <c r="P4086" s="241" t="n">
        <v>2.2</v>
      </c>
    </row>
    <row r="4087">
      <c r="A4087" s="282" t="inlineStr">
        <is>
          <t>2022-10-26</t>
        </is>
      </c>
      <c r="B4087" s="240">
        <f>IFERROR(1/P4087-1,B4086)</f>
        <v/>
      </c>
      <c r="C4087" s="240">
        <f>$C$3</f>
        <v/>
      </c>
      <c r="D4087" s="240">
        <f>$D$3</f>
        <v/>
      </c>
      <c r="E4087" s="240">
        <f>$E$3</f>
        <v/>
      </c>
      <c r="F4087" s="241" t="n">
        <v>24.29</v>
      </c>
      <c r="G4087" s="242" t="n">
        <v>35331901</v>
      </c>
      <c r="H4087" s="241" t="n">
        <v>0.96</v>
      </c>
      <c r="I4087" s="241" t="n">
        <v>12.14</v>
      </c>
      <c r="J4087" s="241" t="n">
        <v>14.93</v>
      </c>
      <c r="K4087" s="241" t="n">
        <v>11.33</v>
      </c>
      <c r="L4087" s="242" t="n">
        <v>5458000</v>
      </c>
      <c r="M4087" s="241" t="n">
        <v>3.85</v>
      </c>
      <c r="N4087" s="241" t="n">
        <v>6.34</v>
      </c>
      <c r="O4087" s="241" t="n">
        <v>-2.9</v>
      </c>
      <c r="P4087" s="241" t="n">
        <v>2.14</v>
      </c>
    </row>
    <row r="4088">
      <c r="A4088" s="282" t="inlineStr">
        <is>
          <t>2022-10-27</t>
        </is>
      </c>
      <c r="B4088" s="240">
        <f>IFERROR(1/P4088-1,B4087)</f>
        <v/>
      </c>
      <c r="C4088" s="240">
        <f>$C$3</f>
        <v/>
      </c>
      <c r="D4088" s="240">
        <f>$D$3</f>
        <v/>
      </c>
      <c r="E4088" s="240">
        <f>$E$3</f>
        <v/>
      </c>
      <c r="F4088" s="241" t="n">
        <v>22.81</v>
      </c>
      <c r="G4088" s="242" t="n">
        <v>45901528</v>
      </c>
      <c r="H4088" s="241" t="n">
        <v>-6.09</v>
      </c>
      <c r="I4088" s="241" t="n">
        <v>4.2</v>
      </c>
      <c r="J4088" s="241" t="n">
        <v>7.92</v>
      </c>
      <c r="K4088" s="241" t="n">
        <v>10.36</v>
      </c>
      <c r="L4088" s="242" t="n">
        <v>5323800</v>
      </c>
      <c r="M4088" s="241" t="n">
        <v>-8.529999999999999</v>
      </c>
      <c r="N4088" s="241" t="n">
        <v>-4.38</v>
      </c>
      <c r="O4088" s="241" t="n">
        <v>-11.19</v>
      </c>
      <c r="P4088" s="241" t="n">
        <v>2.2</v>
      </c>
    </row>
    <row r="4089">
      <c r="A4089" s="282" t="inlineStr">
        <is>
          <t>2022-10-28</t>
        </is>
      </c>
      <c r="B4089" s="240">
        <f>IFERROR(1/P4089-1,B4088)</f>
        <v/>
      </c>
      <c r="C4089" s="240">
        <f>$C$3</f>
        <v/>
      </c>
      <c r="D4089" s="240">
        <f>$D$3</f>
        <v/>
      </c>
      <c r="E4089" s="240">
        <f>$E$3</f>
        <v/>
      </c>
      <c r="F4089" s="241" t="n">
        <v>22.42</v>
      </c>
      <c r="G4089" s="242" t="n">
        <v>34499889</v>
      </c>
      <c r="H4089" s="241" t="n">
        <v>-1.71</v>
      </c>
      <c r="I4089" s="241" t="n">
        <v>2.19</v>
      </c>
      <c r="J4089" s="241" t="n">
        <v>6.08</v>
      </c>
      <c r="K4089" s="241" t="n">
        <v>9.880000000000001</v>
      </c>
      <c r="L4089" s="242" t="n">
        <v>5495400</v>
      </c>
      <c r="M4089" s="241" t="n">
        <v>-4.75</v>
      </c>
      <c r="N4089" s="241" t="n">
        <v>-8.15</v>
      </c>
      <c r="O4089" s="241" t="n">
        <v>-15.41</v>
      </c>
      <c r="P4089" s="241" t="n">
        <v>2.27</v>
      </c>
    </row>
    <row r="4090">
      <c r="A4090" s="282" t="inlineStr">
        <is>
          <t>2022-10-31</t>
        </is>
      </c>
      <c r="B4090" s="240">
        <f>IFERROR(1/P4090-1,B4089)</f>
        <v/>
      </c>
      <c r="C4090" s="240">
        <f>$C$3</f>
        <v/>
      </c>
      <c r="D4090" s="240">
        <f>$D$3</f>
        <v/>
      </c>
      <c r="E4090" s="240">
        <f>$E$3</f>
        <v/>
      </c>
      <c r="F4090" s="241" t="n">
        <v>23.21</v>
      </c>
      <c r="G4090" s="242" t="n">
        <v>26548018</v>
      </c>
      <c r="H4090" s="241" t="n">
        <v>3.52</v>
      </c>
      <c r="I4090" s="241" t="n">
        <v>8.859999999999999</v>
      </c>
      <c r="J4090" s="241" t="n">
        <v>9.82</v>
      </c>
      <c r="K4090" s="241" t="n">
        <v>10.83</v>
      </c>
      <c r="L4090" s="242" t="n">
        <v>7680800</v>
      </c>
      <c r="M4090" s="241" t="n">
        <v>9.43</v>
      </c>
      <c r="N4090" s="241" t="n">
        <v>7.83</v>
      </c>
      <c r="O4090" s="241" t="n">
        <v>-7.44</v>
      </c>
      <c r="P4090" s="241" t="n">
        <v>2.14</v>
      </c>
    </row>
    <row r="4091">
      <c r="A4091" s="282" t="inlineStr">
        <is>
          <t>2022-11-01</t>
        </is>
      </c>
      <c r="B4091" s="240">
        <f>IFERROR(1/P4091-1,B4090)</f>
        <v/>
      </c>
      <c r="C4091" s="240">
        <f>$C$3</f>
        <v/>
      </c>
      <c r="D4091" s="240">
        <f>$D$3</f>
        <v/>
      </c>
      <c r="E4091" s="240">
        <f>$E$3</f>
        <v/>
      </c>
      <c r="F4091" s="241" t="n">
        <v>23.22</v>
      </c>
      <c r="G4091" s="242" t="n">
        <v>25149133</v>
      </c>
      <c r="H4091" s="241" t="n">
        <v>0.04</v>
      </c>
      <c r="I4091" s="241" t="n">
        <v>13.6</v>
      </c>
      <c r="J4091" s="241" t="n">
        <v>9.859999999999999</v>
      </c>
      <c r="K4091" s="241" t="n">
        <v>11.15</v>
      </c>
      <c r="L4091" s="242" t="n">
        <v>6101300</v>
      </c>
      <c r="M4091" s="241" t="n">
        <v>2.53</v>
      </c>
      <c r="N4091" s="241" t="n">
        <v>13.46</v>
      </c>
      <c r="O4091" s="241" t="n">
        <v>-5.09</v>
      </c>
      <c r="P4091" s="241" t="n">
        <v>2.08</v>
      </c>
    </row>
    <row r="4092">
      <c r="A4092" s="282" t="inlineStr">
        <is>
          <t>2022-11-02</t>
        </is>
      </c>
      <c r="B4092" s="240">
        <f>IFERROR(1/P4092-1,B4091)</f>
        <v/>
      </c>
      <c r="C4092" s="240">
        <f>$C$3</f>
        <v/>
      </c>
      <c r="D4092" s="240">
        <f>$D$3</f>
        <v/>
      </c>
      <c r="E4092" s="240">
        <f>$E$3</f>
        <v/>
      </c>
      <c r="F4092" s="241" t="n">
        <v>23.26</v>
      </c>
      <c r="G4092" s="242" t="n">
        <v>35370507</v>
      </c>
      <c r="H4092" s="241" t="n">
        <v>0.17</v>
      </c>
      <c r="I4092" s="241" t="n">
        <v>13.8</v>
      </c>
      <c r="J4092" s="241" t="n">
        <v>10.05</v>
      </c>
      <c r="K4092" s="241" t="n">
        <v>10.98</v>
      </c>
      <c r="L4092" s="242" t="n">
        <v>3403000</v>
      </c>
      <c r="M4092" s="241" t="n">
        <v>-1.65</v>
      </c>
      <c r="N4092" s="241" t="n">
        <v>11.59</v>
      </c>
      <c r="O4092" s="241" t="n">
        <v>-6.66</v>
      </c>
      <c r="P4092" s="241" t="n">
        <v>2.12</v>
      </c>
    </row>
    <row r="4093">
      <c r="A4093" s="282" t="inlineStr">
        <is>
          <t>2022-11-03</t>
        </is>
      </c>
      <c r="B4093" s="240">
        <f>IFERROR(1/P4093-1,B4092)</f>
        <v/>
      </c>
      <c r="C4093" s="240">
        <f>$C$3</f>
        <v/>
      </c>
      <c r="D4093" s="240">
        <f>$D$3</f>
        <v/>
      </c>
      <c r="E4093" s="240">
        <f>$E$3</f>
        <v/>
      </c>
      <c r="F4093" s="241" t="n">
        <v>22.35</v>
      </c>
      <c r="G4093" s="242" t="n">
        <v>26185695</v>
      </c>
      <c r="H4093" s="241" t="n">
        <v>-3.91</v>
      </c>
      <c r="I4093" s="241" t="n">
        <v>9.34</v>
      </c>
      <c r="J4093" s="241" t="n">
        <v>5.75</v>
      </c>
      <c r="K4093" s="241" t="n">
        <v>10.99</v>
      </c>
      <c r="L4093" s="242" t="n">
        <v>4335521</v>
      </c>
      <c r="M4093" s="241" t="n">
        <v>-0.34</v>
      </c>
      <c r="N4093" s="241" t="n">
        <v>11.21</v>
      </c>
      <c r="O4093" s="241" t="n">
        <v>-6.97</v>
      </c>
      <c r="P4093" s="241" t="n">
        <v>2.03</v>
      </c>
    </row>
    <row r="4094">
      <c r="A4094" s="282" t="inlineStr">
        <is>
          <t>2022-11-04</t>
        </is>
      </c>
      <c r="B4094" s="240">
        <f>IFERROR(1/P4094-1,B4093)</f>
        <v/>
      </c>
      <c r="C4094" s="240">
        <f>$C$3</f>
        <v/>
      </c>
      <c r="D4094" s="240">
        <f>$D$3</f>
        <v/>
      </c>
      <c r="E4094" s="240">
        <f>$E$3</f>
        <v/>
      </c>
      <c r="F4094" s="241" t="n">
        <v>24.59</v>
      </c>
      <c r="G4094" s="242" t="n">
        <v>38598676</v>
      </c>
      <c r="H4094" s="241" t="n">
        <v>10.02</v>
      </c>
      <c r="I4094" s="241" t="n">
        <v>20.3</v>
      </c>
      <c r="J4094" s="241" t="n">
        <v>16.35</v>
      </c>
      <c r="K4094" s="241" t="n">
        <v>12.29</v>
      </c>
      <c r="L4094" s="242" t="n">
        <v>9400200</v>
      </c>
      <c r="M4094" s="241" t="n">
        <v>11.76</v>
      </c>
      <c r="N4094" s="241" t="n">
        <v>26.43</v>
      </c>
      <c r="O4094" s="241" t="n">
        <v>3.98</v>
      </c>
      <c r="P4094" s="241" t="n">
        <v>2</v>
      </c>
    </row>
    <row r="4095">
      <c r="A4095" s="282" t="inlineStr">
        <is>
          <t>2022-11-07</t>
        </is>
      </c>
      <c r="B4095" s="240">
        <f>IFERROR(1/P4095-1,B4094)</f>
        <v/>
      </c>
      <c r="C4095" s="240">
        <f>$C$3</f>
        <v/>
      </c>
      <c r="D4095" s="240">
        <f>$D$3</f>
        <v/>
      </c>
      <c r="E4095" s="240">
        <f>$E$3</f>
        <v/>
      </c>
      <c r="F4095" s="241" t="n">
        <v>25.56</v>
      </c>
      <c r="G4095" s="242" t="n">
        <v>66931818</v>
      </c>
      <c r="H4095" s="241" t="n">
        <v>3.94</v>
      </c>
      <c r="I4095" s="241" t="n">
        <v>25.05</v>
      </c>
      <c r="J4095" s="241" t="n">
        <v>20.93</v>
      </c>
      <c r="K4095" s="241" t="n">
        <v>12.51</v>
      </c>
      <c r="L4095" s="242" t="n">
        <v>5251300</v>
      </c>
      <c r="M4095" s="241" t="n">
        <v>2.11</v>
      </c>
      <c r="N4095" s="241" t="n">
        <v>23.45</v>
      </c>
      <c r="O4095" s="241" t="n">
        <v>6.17</v>
      </c>
      <c r="P4095" s="241" t="n">
        <v>2.04</v>
      </c>
    </row>
    <row r="4096">
      <c r="A4096" s="282" t="inlineStr">
        <is>
          <t>2022-11-08</t>
        </is>
      </c>
      <c r="B4096" s="240">
        <f>IFERROR(1/P4096-1,B4095)</f>
        <v/>
      </c>
      <c r="C4096" s="240">
        <f>$C$3</f>
        <v/>
      </c>
      <c r="D4096" s="240">
        <f>$D$3</f>
        <v/>
      </c>
      <c r="E4096" s="240">
        <f>$E$3</f>
        <v/>
      </c>
      <c r="F4096" s="241" t="n">
        <v>24.49</v>
      </c>
      <c r="G4096" s="242" t="n">
        <v>35986575</v>
      </c>
      <c r="H4096" s="241" t="n">
        <v>-4.19</v>
      </c>
      <c r="I4096" s="241" t="n">
        <v>19.81</v>
      </c>
      <c r="J4096" s="241" t="n">
        <v>15.87</v>
      </c>
      <c r="K4096" s="241" t="n">
        <v>11.76</v>
      </c>
      <c r="L4096" s="242" t="n">
        <v>5738200</v>
      </c>
      <c r="M4096" s="241" t="n">
        <v>-5.74</v>
      </c>
      <c r="N4096" s="241" t="n">
        <v>18.96</v>
      </c>
      <c r="O4096" s="241" t="n">
        <v>0.07000000000000001</v>
      </c>
      <c r="P4096" s="241" t="n">
        <v>2.08</v>
      </c>
    </row>
    <row r="4097">
      <c r="A4097" s="282" t="inlineStr">
        <is>
          <t>2022-11-09</t>
        </is>
      </c>
      <c r="B4097" s="240">
        <f>IFERROR(1/P4097-1,B4096)</f>
        <v/>
      </c>
      <c r="C4097" s="240">
        <f>$C$3</f>
        <v/>
      </c>
      <c r="D4097" s="240">
        <f>$D$3</f>
        <v/>
      </c>
      <c r="E4097" s="240">
        <f>$E$3</f>
        <v/>
      </c>
      <c r="F4097" s="241" t="n">
        <v>24.91</v>
      </c>
      <c r="G4097" s="242" t="n">
        <v>29219570</v>
      </c>
      <c r="H4097" s="241" t="n">
        <v>1.72</v>
      </c>
      <c r="I4097" s="241" t="n">
        <v>21.87</v>
      </c>
      <c r="J4097" s="241" t="n">
        <v>17.86</v>
      </c>
      <c r="K4097" s="241" t="n">
        <v>11.79</v>
      </c>
      <c r="L4097" s="242" t="n">
        <v>3228114</v>
      </c>
      <c r="M4097" s="241" t="n">
        <v>0.16</v>
      </c>
      <c r="N4097" s="241" t="n">
        <v>19.14</v>
      </c>
      <c r="O4097" s="241" t="n">
        <v>0.22</v>
      </c>
      <c r="P4097" s="241" t="n">
        <v>2.11</v>
      </c>
    </row>
    <row r="4098">
      <c r="A4098" s="282" t="inlineStr">
        <is>
          <t>2022-11-10</t>
        </is>
      </c>
      <c r="B4098" s="240">
        <f>IFERROR(1/P4098-1,B4097)</f>
        <v/>
      </c>
      <c r="C4098" s="240">
        <f>$C$3</f>
        <v/>
      </c>
      <c r="D4098" s="240">
        <f>$D$3</f>
        <v/>
      </c>
      <c r="E4098" s="240">
        <f>$E$3</f>
        <v/>
      </c>
      <c r="F4098" s="241" t="n">
        <v>24.92</v>
      </c>
      <c r="G4098" s="242" t="n">
        <v>26278905</v>
      </c>
      <c r="H4098" s="241" t="n">
        <v>0.04</v>
      </c>
      <c r="I4098" s="241" t="n">
        <v>21.92</v>
      </c>
      <c r="J4098" s="241" t="n">
        <v>17.91</v>
      </c>
      <c r="K4098" s="241" t="n">
        <v>11.99</v>
      </c>
      <c r="L4098" s="242" t="n">
        <v>3386700</v>
      </c>
      <c r="M4098" s="241" t="n">
        <v>1.4</v>
      </c>
      <c r="N4098" s="241" t="n">
        <v>20.82</v>
      </c>
      <c r="O4098" s="241" t="n">
        <v>1.63</v>
      </c>
      <c r="P4098" s="241" t="n">
        <v>2.08</v>
      </c>
    </row>
    <row r="4099">
      <c r="A4099" s="282" t="inlineStr">
        <is>
          <t>2022-11-11</t>
        </is>
      </c>
      <c r="B4099" s="240">
        <f>IFERROR(1/P4099-1,B4098)</f>
        <v/>
      </c>
      <c r="C4099" s="240">
        <f>$C$3</f>
        <v/>
      </c>
      <c r="D4099" s="240">
        <f>$D$3</f>
        <v/>
      </c>
      <c r="E4099" s="240">
        <f>$E$3</f>
        <v/>
      </c>
      <c r="F4099" s="241" t="n">
        <v>24.22</v>
      </c>
      <c r="G4099" s="242" t="n">
        <v>32959997</v>
      </c>
      <c r="H4099" s="241" t="n">
        <v>-2.81</v>
      </c>
      <c r="I4099" s="241" t="n">
        <v>18.15</v>
      </c>
      <c r="J4099" s="241" t="n">
        <v>14.59</v>
      </c>
      <c r="K4099" s="241" t="n">
        <v>11.68</v>
      </c>
      <c r="L4099" s="242" t="n">
        <v>6915600</v>
      </c>
      <c r="M4099" s="241" t="n">
        <v>-2</v>
      </c>
      <c r="N4099" s="241" t="n">
        <v>24.41</v>
      </c>
      <c r="O4099" s="241" t="n">
        <v>-0.4</v>
      </c>
      <c r="P4099" s="241" t="n">
        <v>2.07</v>
      </c>
    </row>
    <row r="4100">
      <c r="A4100" s="282" t="inlineStr">
        <is>
          <t>2022-11-14</t>
        </is>
      </c>
      <c r="B4100" s="240">
        <f>IFERROR(1/P4100-1,B4099)</f>
        <v/>
      </c>
      <c r="C4100" s="240">
        <f>$C$3</f>
        <v/>
      </c>
      <c r="D4100" s="240">
        <f>$D$3</f>
        <v/>
      </c>
      <c r="E4100" s="240">
        <f>$E$3</f>
        <v/>
      </c>
      <c r="F4100" s="241" t="n">
        <v>23.57</v>
      </c>
      <c r="G4100" s="242" t="n">
        <v>24893956</v>
      </c>
      <c r="H4100" s="241" t="n">
        <v>-2.68</v>
      </c>
      <c r="I4100" s="241" t="n">
        <v>7.14</v>
      </c>
      <c r="J4100" s="241" t="n">
        <v>11.52</v>
      </c>
      <c r="K4100" s="241" t="n">
        <v>11.38</v>
      </c>
      <c r="L4100" s="242" t="n">
        <v>2913100</v>
      </c>
      <c r="M4100" s="241" t="n">
        <v>-1.26</v>
      </c>
      <c r="N4100" s="241" t="n">
        <v>15.2</v>
      </c>
      <c r="O4100" s="241" t="n">
        <v>-1.65</v>
      </c>
      <c r="P4100" s="241" t="n">
        <v>2.07</v>
      </c>
    </row>
    <row r="4101">
      <c r="A4101" s="282" t="inlineStr">
        <is>
          <t>2022-11-15</t>
        </is>
      </c>
      <c r="B4101" s="240">
        <f>IFERROR(1/P4101-1,B4100)</f>
        <v/>
      </c>
      <c r="C4101" s="240">
        <f>$C$3</f>
        <v/>
      </c>
      <c r="D4101" s="240">
        <f>$D$3</f>
        <v/>
      </c>
      <c r="E4101" s="240">
        <f>$E$3</f>
        <v/>
      </c>
      <c r="F4101" s="241" t="n">
        <v>23.85</v>
      </c>
      <c r="G4101" s="242" t="n">
        <v>21252459</v>
      </c>
      <c r="H4101" s="241" t="n">
        <v>1.19</v>
      </c>
      <c r="I4101" s="241" t="n">
        <v>8.31</v>
      </c>
      <c r="J4101" s="241" t="n">
        <v>12.84</v>
      </c>
      <c r="K4101" s="241" t="n">
        <v>11.74</v>
      </c>
      <c r="L4101" s="242" t="n">
        <v>3498600</v>
      </c>
      <c r="M4101" s="241" t="n">
        <v>3.82</v>
      </c>
      <c r="N4101" s="241" t="n">
        <v>17.24</v>
      </c>
      <c r="O4101" s="241" t="n">
        <v>2.1</v>
      </c>
      <c r="P4101" s="241" t="n">
        <v>2.03</v>
      </c>
    </row>
    <row r="4102">
      <c r="A4102" s="282" t="inlineStr">
        <is>
          <t>2022-11-16</t>
        </is>
      </c>
      <c r="B4102" s="240">
        <f>IFERROR(1/P4102-1,B4101)</f>
        <v/>
      </c>
      <c r="C4102" s="240">
        <f>$C$3</f>
        <v/>
      </c>
      <c r="D4102" s="240">
        <f>$D$3</f>
        <v/>
      </c>
      <c r="E4102" s="240">
        <f>$E$3</f>
        <v/>
      </c>
      <c r="F4102" s="241" t="n">
        <v>23.89</v>
      </c>
      <c r="G4102" s="242" t="n">
        <v>19201828</v>
      </c>
      <c r="H4102" s="241" t="n">
        <v>0.17</v>
      </c>
      <c r="I4102" s="241" t="n">
        <v>8.49</v>
      </c>
      <c r="J4102" s="241" t="n">
        <v>13.03</v>
      </c>
      <c r="K4102" s="241" t="n">
        <v>11.87</v>
      </c>
      <c r="L4102" s="242" t="n">
        <v>3664600</v>
      </c>
      <c r="M4102" s="241" t="n">
        <v>1.07</v>
      </c>
      <c r="N4102" s="241" t="n">
        <v>18.49</v>
      </c>
      <c r="O4102" s="241" t="n">
        <v>3.19</v>
      </c>
      <c r="P4102" s="241" t="n">
        <v>2.01</v>
      </c>
    </row>
    <row r="4103">
      <c r="A4103" s="282" t="inlineStr">
        <is>
          <t>2022-11-17</t>
        </is>
      </c>
      <c r="B4103" s="240">
        <f>IFERROR(1/P4103-1,B4102)</f>
        <v/>
      </c>
      <c r="C4103" s="240">
        <f>$C$3</f>
        <v/>
      </c>
      <c r="D4103" s="240">
        <f>$D$3</f>
        <v/>
      </c>
      <c r="E4103" s="240">
        <f>$E$3</f>
        <v/>
      </c>
      <c r="F4103" s="241" t="n">
        <v>23.6</v>
      </c>
      <c r="G4103" s="242" t="n">
        <v>15053368</v>
      </c>
      <c r="H4103" s="241" t="n">
        <v>-1.21</v>
      </c>
      <c r="I4103" s="241" t="n">
        <v>7.18</v>
      </c>
      <c r="J4103" s="241" t="n">
        <v>11.66</v>
      </c>
      <c r="K4103" s="241" t="n">
        <v>11.89</v>
      </c>
      <c r="L4103" s="242" t="n">
        <v>1848600</v>
      </c>
      <c r="M4103" s="241" t="n">
        <v>-0.3</v>
      </c>
      <c r="N4103" s="241" t="n">
        <v>18.13</v>
      </c>
      <c r="O4103" s="241" t="n">
        <v>2.88</v>
      </c>
      <c r="P4103" s="241" t="n">
        <v>1.99</v>
      </c>
    </row>
    <row r="4104">
      <c r="A4104" s="282" t="inlineStr">
        <is>
          <t>2022-11-18</t>
        </is>
      </c>
      <c r="B4104" s="240">
        <f>IFERROR(1/P4104-1,B4103)</f>
        <v/>
      </c>
      <c r="C4104" s="240">
        <f>$C$3</f>
        <v/>
      </c>
      <c r="D4104" s="240">
        <f>$D$3</f>
        <v/>
      </c>
      <c r="E4104" s="240">
        <f>$E$3</f>
        <v/>
      </c>
      <c r="F4104" s="241" t="n">
        <v>24.52</v>
      </c>
      <c r="G4104" s="242" t="n">
        <v>29060802</v>
      </c>
      <c r="H4104" s="241" t="n">
        <v>3.9</v>
      </c>
      <c r="I4104" s="241" t="n">
        <v>13.73</v>
      </c>
      <c r="J4104" s="241" t="n">
        <v>16.01</v>
      </c>
      <c r="K4104" s="241" t="n">
        <v>12.19</v>
      </c>
      <c r="L4104" s="242" t="n">
        <v>3781711</v>
      </c>
      <c r="M4104" s="241" t="n">
        <v>1.98</v>
      </c>
      <c r="N4104" s="241" t="n">
        <v>25.89</v>
      </c>
      <c r="O4104" s="241" t="n">
        <v>4.91</v>
      </c>
      <c r="P4104" s="241" t="n">
        <v>2.01</v>
      </c>
    </row>
    <row r="4105">
      <c r="A4105" s="282" t="inlineStr">
        <is>
          <t>2022-11-21</t>
        </is>
      </c>
      <c r="B4105" s="240">
        <f>IFERROR(1/P4105-1,B4104)</f>
        <v/>
      </c>
      <c r="C4105" s="240">
        <f>$C$3</f>
        <v/>
      </c>
      <c r="D4105" s="240">
        <f>$D$3</f>
        <v/>
      </c>
      <c r="E4105" s="240">
        <f>$E$3</f>
        <v/>
      </c>
      <c r="F4105" s="241" t="n">
        <v>25.2</v>
      </c>
      <c r="G4105" s="242" t="n">
        <v>27335928</v>
      </c>
      <c r="H4105" s="241" t="n">
        <v>2.77</v>
      </c>
      <c r="I4105" s="241" t="n">
        <v>9.949999999999999</v>
      </c>
      <c r="J4105" s="241" t="n">
        <v>19.23</v>
      </c>
      <c r="K4105" s="241" t="n">
        <v>13.19</v>
      </c>
      <c r="L4105" s="242" t="n">
        <v>8280080</v>
      </c>
      <c r="M4105" s="241" t="n">
        <v>7.9</v>
      </c>
      <c r="N4105" s="241" t="n">
        <v>23.55</v>
      </c>
      <c r="O4105" s="241" t="n">
        <v>13.2</v>
      </c>
      <c r="P4105" s="241" t="n">
        <v>1.91</v>
      </c>
    </row>
    <row r="4106">
      <c r="A4106" s="282" t="inlineStr">
        <is>
          <t>2022-11-22</t>
        </is>
      </c>
      <c r="B4106" s="240">
        <f>IFERROR(1/P4106-1,B4105)</f>
        <v/>
      </c>
      <c r="C4106" s="240">
        <f>$C$3</f>
        <v/>
      </c>
      <c r="D4106" s="240">
        <f>$D$3</f>
        <v/>
      </c>
      <c r="E4106" s="240">
        <f>$E$3</f>
        <v/>
      </c>
      <c r="F4106" s="241" t="n">
        <v>24.83</v>
      </c>
      <c r="G4106" s="242" t="n">
        <v>20381576</v>
      </c>
      <c r="H4106" s="241" t="n">
        <v>-1.47</v>
      </c>
      <c r="I4106" s="241" t="n">
        <v>6.29</v>
      </c>
      <c r="J4106" s="241" t="n">
        <v>17.48</v>
      </c>
      <c r="K4106" s="241" t="n">
        <v>12.66</v>
      </c>
      <c r="L4106" s="242" t="n">
        <v>6523600</v>
      </c>
      <c r="M4106" s="241" t="n">
        <v>-4.83</v>
      </c>
      <c r="N4106" s="241" t="n">
        <v>12.03</v>
      </c>
      <c r="O4106" s="241" t="n">
        <v>7.73</v>
      </c>
      <c r="P4106" s="241" t="n">
        <v>1.96</v>
      </c>
    </row>
    <row r="4107">
      <c r="A4107" s="282" t="inlineStr">
        <is>
          <t>2022-11-23</t>
        </is>
      </c>
      <c r="B4107" s="240">
        <f>IFERROR(1/P4107-1,B4106)</f>
        <v/>
      </c>
      <c r="C4107" s="240">
        <f>$C$3</f>
        <v/>
      </c>
      <c r="D4107" s="240">
        <f>$D$3</f>
        <v/>
      </c>
      <c r="E4107" s="240">
        <f>$E$3</f>
        <v/>
      </c>
      <c r="F4107" s="241" t="n">
        <v>25.13</v>
      </c>
      <c r="G4107" s="242" t="n">
        <v>23790812</v>
      </c>
      <c r="H4107" s="241" t="n">
        <v>1.21</v>
      </c>
      <c r="I4107" s="241" t="n">
        <v>7.58</v>
      </c>
      <c r="J4107" s="241" t="n">
        <v>18.9</v>
      </c>
      <c r="K4107" s="241" t="n">
        <v>13.18</v>
      </c>
      <c r="L4107" s="242" t="n">
        <v>4876482</v>
      </c>
      <c r="M4107" s="241" t="n">
        <v>4.93</v>
      </c>
      <c r="N4107" s="241" t="n">
        <v>17.56</v>
      </c>
      <c r="O4107" s="241" t="n">
        <v>13.04</v>
      </c>
      <c r="P4107" s="241" t="n">
        <v>1.91</v>
      </c>
    </row>
    <row r="4108">
      <c r="A4108" s="282" t="inlineStr">
        <is>
          <t>2022-11-24</t>
        </is>
      </c>
      <c r="B4108" s="240">
        <f>IFERROR(1/P4108-1,B4107)</f>
        <v/>
      </c>
      <c r="C4108" s="240">
        <f>$C$3</f>
        <v/>
      </c>
      <c r="D4108" s="240">
        <f>$D$3</f>
        <v/>
      </c>
      <c r="E4108" s="240">
        <f>$E$3</f>
        <v/>
      </c>
      <c r="F4108" s="241" t="n">
        <v>25.14</v>
      </c>
      <c r="G4108" s="242" t="n">
        <v>22410910</v>
      </c>
      <c r="H4108" s="241" t="n">
        <v>0.04</v>
      </c>
      <c r="I4108" s="241" t="n">
        <v>7.62</v>
      </c>
      <c r="J4108" s="241" t="n">
        <v>18.95</v>
      </c>
      <c r="K4108" s="241" t="n">
        <v>13.3</v>
      </c>
      <c r="L4108" s="242" t="n">
        <v>4248200</v>
      </c>
      <c r="M4108" s="241" t="n">
        <v>0.97</v>
      </c>
      <c r="N4108" s="241" t="n">
        <v>18.7</v>
      </c>
      <c r="O4108" s="241" t="n">
        <v>14.14</v>
      </c>
      <c r="P4108" s="241" t="n">
        <v>1.89</v>
      </c>
    </row>
    <row r="4109">
      <c r="A4109" s="282" t="inlineStr">
        <is>
          <t>2022-11-25</t>
        </is>
      </c>
      <c r="B4109" s="240">
        <f>IFERROR(1/P4109-1,B4108)</f>
        <v/>
      </c>
      <c r="C4109" s="240">
        <f>$C$3</f>
        <v/>
      </c>
      <c r="D4109" s="240">
        <f>$D$3</f>
        <v/>
      </c>
      <c r="E4109" s="240">
        <f>$E$3</f>
        <v/>
      </c>
      <c r="F4109" s="241" t="n">
        <v>24.96</v>
      </c>
      <c r="G4109" s="242" t="n">
        <v>19034572</v>
      </c>
      <c r="H4109" s="241" t="n">
        <v>-0.72</v>
      </c>
      <c r="I4109" s="241" t="n">
        <v>4.96</v>
      </c>
      <c r="J4109" s="241" t="n">
        <v>18.1</v>
      </c>
      <c r="K4109" s="241" t="n">
        <v>13.06</v>
      </c>
      <c r="L4109" s="242" t="n">
        <v>2939799</v>
      </c>
      <c r="M4109" s="241" t="n">
        <v>-2.05</v>
      </c>
      <c r="N4109" s="241" t="n">
        <v>21.39</v>
      </c>
      <c r="O4109" s="241" t="n">
        <v>11.79</v>
      </c>
      <c r="P4109" s="241" t="n">
        <v>1.91</v>
      </c>
    </row>
    <row r="4110">
      <c r="A4110" s="282" t="inlineStr">
        <is>
          <t>2022-11-28</t>
        </is>
      </c>
      <c r="B4110" s="240">
        <f>IFERROR(1/P4110-1,B4109)</f>
        <v/>
      </c>
      <c r="C4110" s="240">
        <f>$C$3</f>
        <v/>
      </c>
      <c r="D4110" s="240">
        <f>$D$3</f>
        <v/>
      </c>
      <c r="E4110" s="240">
        <f>$E$3</f>
        <v/>
      </c>
      <c r="F4110" s="241" t="n">
        <v>24.64</v>
      </c>
      <c r="G4110" s="242" t="n">
        <v>17386047</v>
      </c>
      <c r="H4110" s="241" t="n">
        <v>-1.28</v>
      </c>
      <c r="I4110" s="241" t="n">
        <v>8.02</v>
      </c>
      <c r="J4110" s="241" t="n">
        <v>16.58</v>
      </c>
      <c r="K4110" s="241" t="n">
        <v>13.11</v>
      </c>
      <c r="L4110" s="242" t="n">
        <v>4638399</v>
      </c>
      <c r="M4110" s="241" t="n">
        <v>0</v>
      </c>
      <c r="N4110" s="241" t="n">
        <v>25.88</v>
      </c>
      <c r="O4110" s="241" t="n">
        <v>11.79</v>
      </c>
      <c r="P4110" s="241" t="n">
        <v>1.88</v>
      </c>
    </row>
    <row r="4111">
      <c r="A4111" s="282" t="inlineStr">
        <is>
          <t>2022-11-29</t>
        </is>
      </c>
      <c r="B4111" s="240">
        <f>IFERROR(1/P4111-1,B4110)</f>
        <v/>
      </c>
      <c r="C4111" s="240">
        <f>$C$3</f>
        <v/>
      </c>
      <c r="D4111" s="240">
        <f>$D$3</f>
        <v/>
      </c>
      <c r="E4111" s="240">
        <f>$E$3</f>
        <v/>
      </c>
      <c r="F4111" s="241" t="n">
        <v>24.22</v>
      </c>
      <c r="G4111" s="242" t="n">
        <v>26514216</v>
      </c>
      <c r="H4111" s="241" t="n">
        <v>-1.7</v>
      </c>
      <c r="I4111" s="241" t="n">
        <v>8.029999999999999</v>
      </c>
      <c r="J4111" s="241" t="n">
        <v>14.59</v>
      </c>
      <c r="K4111" s="241" t="n">
        <v>13.26</v>
      </c>
      <c r="L4111" s="242" t="n">
        <v>5788799</v>
      </c>
      <c r="M4111" s="241" t="n">
        <v>0.7</v>
      </c>
      <c r="N4111" s="241" t="n">
        <v>33.09</v>
      </c>
      <c r="O4111" s="241" t="n">
        <v>12.58</v>
      </c>
      <c r="P4111" s="241" t="n">
        <v>1.83</v>
      </c>
    </row>
    <row r="4112">
      <c r="A4112" s="282" t="inlineStr">
        <is>
          <t>2022-11-30</t>
        </is>
      </c>
      <c r="B4112" s="240">
        <f>IFERROR(1/P4112-1,B4111)</f>
        <v/>
      </c>
      <c r="C4112" s="240">
        <f>$C$3</f>
        <v/>
      </c>
      <c r="D4112" s="240">
        <f>$D$3</f>
        <v/>
      </c>
      <c r="E4112" s="240">
        <f>$E$3</f>
        <v/>
      </c>
      <c r="F4112" s="241" t="n">
        <v>24.16</v>
      </c>
      <c r="G4112" s="242" t="n">
        <v>30957039</v>
      </c>
      <c r="H4112" s="241" t="n">
        <v>-0.25</v>
      </c>
      <c r="I4112" s="241" t="n">
        <v>7.76</v>
      </c>
      <c r="J4112" s="241" t="n">
        <v>14.31</v>
      </c>
      <c r="K4112" s="241" t="n">
        <v>12.82</v>
      </c>
      <c r="L4112" s="242" t="n">
        <v>2908199</v>
      </c>
      <c r="M4112" s="241" t="n">
        <v>-3.06</v>
      </c>
      <c r="N4112" s="241" t="n">
        <v>29.02</v>
      </c>
      <c r="O4112" s="241" t="n">
        <v>9.140000000000001</v>
      </c>
      <c r="P4112" s="241" t="n">
        <v>1.88</v>
      </c>
    </row>
    <row r="4113">
      <c r="A4113" s="282" t="inlineStr">
        <is>
          <t>2022-12-01</t>
        </is>
      </c>
      <c r="B4113" s="240">
        <f>IFERROR(1/P4113-1,B4112)</f>
        <v/>
      </c>
      <c r="C4113" s="240">
        <f>$C$3</f>
        <v/>
      </c>
      <c r="D4113" s="240">
        <f>$D$3</f>
        <v/>
      </c>
      <c r="E4113" s="240">
        <f>$E$3</f>
        <v/>
      </c>
      <c r="F4113" s="241" t="n">
        <v>23.3</v>
      </c>
      <c r="G4113" s="242" t="n">
        <v>35892427</v>
      </c>
      <c r="H4113" s="241" t="n">
        <v>-3.56</v>
      </c>
      <c r="I4113" s="241" t="n">
        <v>0.39</v>
      </c>
      <c r="J4113" s="241" t="n">
        <v>10.24</v>
      </c>
      <c r="K4113" s="241" t="n">
        <v>12.29</v>
      </c>
      <c r="L4113" s="242" t="n">
        <v>5559899</v>
      </c>
      <c r="M4113" s="241" t="n">
        <v>-3.58</v>
      </c>
      <c r="N4113" s="241" t="n">
        <v>13.68</v>
      </c>
      <c r="O4113" s="241" t="n">
        <v>5.23</v>
      </c>
      <c r="P4113" s="241" t="n">
        <v>1.9</v>
      </c>
    </row>
    <row r="4114">
      <c r="A4114" s="282" t="inlineStr">
        <is>
          <t>2022-12-02</t>
        </is>
      </c>
      <c r="B4114" s="240">
        <f>IFERROR(1/P4114-1,B4113)</f>
        <v/>
      </c>
      <c r="C4114" s="240">
        <f>$C$3</f>
        <v/>
      </c>
      <c r="D4114" s="240">
        <f>$D$3</f>
        <v/>
      </c>
      <c r="E4114" s="240">
        <f>$E$3</f>
        <v/>
      </c>
      <c r="F4114" s="241" t="n">
        <v>22.23</v>
      </c>
      <c r="G4114" s="242" t="n">
        <v>68408932</v>
      </c>
      <c r="H4114" s="241" t="n">
        <v>-4.59</v>
      </c>
      <c r="I4114" s="241" t="n">
        <v>-4.26</v>
      </c>
      <c r="J4114" s="241" t="n">
        <v>5.18</v>
      </c>
      <c r="K4114" s="241" t="n">
        <v>11.86</v>
      </c>
      <c r="L4114" s="242" t="n">
        <v>6494007</v>
      </c>
      <c r="M4114" s="241" t="n">
        <v>-2.82</v>
      </c>
      <c r="N4114" s="241" t="n">
        <v>7.74</v>
      </c>
      <c r="O4114" s="241" t="n">
        <v>2.26</v>
      </c>
      <c r="P4114" s="241" t="n">
        <v>1.87</v>
      </c>
    </row>
    <row r="4115">
      <c r="A4115" s="282" t="inlineStr">
        <is>
          <t>2022-12-05</t>
        </is>
      </c>
      <c r="B4115" s="240">
        <f>IFERROR(1/P4115-1,B4114)</f>
        <v/>
      </c>
      <c r="C4115" s="240">
        <f>$C$3</f>
        <v/>
      </c>
      <c r="D4115" s="240">
        <f>$D$3</f>
        <v/>
      </c>
      <c r="E4115" s="240">
        <f>$E$3</f>
        <v/>
      </c>
      <c r="F4115" s="241" t="n">
        <v>21.87</v>
      </c>
      <c r="G4115" s="242" t="n">
        <v>37163404</v>
      </c>
      <c r="H4115" s="241" t="n">
        <v>-1.62</v>
      </c>
      <c r="I4115" s="241" t="n">
        <v>-11.06</v>
      </c>
      <c r="J4115" s="241" t="n">
        <v>3.48</v>
      </c>
      <c r="K4115" s="241" t="n">
        <v>11.65</v>
      </c>
      <c r="L4115" s="242" t="n">
        <v>5418608</v>
      </c>
      <c r="M4115" s="241" t="n">
        <v>-1.53</v>
      </c>
      <c r="N4115" s="241" t="n">
        <v>-3.16</v>
      </c>
      <c r="O4115" s="241" t="n">
        <v>0.6899999999999999</v>
      </c>
      <c r="P4115" s="241" t="n">
        <v>1.88</v>
      </c>
    </row>
    <row r="4116">
      <c r="A4116" s="282" t="inlineStr">
        <is>
          <t>2022-12-06</t>
        </is>
      </c>
      <c r="B4116" s="240">
        <f>IFERROR(1/P4116-1,B4115)</f>
        <v/>
      </c>
      <c r="C4116" s="240">
        <f>$C$3</f>
        <v/>
      </c>
      <c r="D4116" s="240">
        <f>$D$3</f>
        <v/>
      </c>
      <c r="E4116" s="240">
        <f>$E$3</f>
        <v/>
      </c>
      <c r="F4116" s="241" t="n">
        <v>21.5</v>
      </c>
      <c r="G4116" s="242" t="n">
        <v>49847196</v>
      </c>
      <c r="H4116" s="241" t="n">
        <v>-1.69</v>
      </c>
      <c r="I4116" s="241" t="n">
        <v>-12.57</v>
      </c>
      <c r="J4116" s="241" t="n">
        <v>1.73</v>
      </c>
      <c r="K4116" s="241" t="n">
        <v>11.76</v>
      </c>
      <c r="L4116" s="242" t="n">
        <v>4960600</v>
      </c>
      <c r="M4116" s="241" t="n">
        <v>1.71</v>
      </c>
      <c r="N4116" s="241" t="n">
        <v>-1.5</v>
      </c>
      <c r="O4116" s="241" t="n">
        <v>2.41</v>
      </c>
      <c r="P4116" s="241" t="n">
        <v>1.83</v>
      </c>
    </row>
    <row r="4117">
      <c r="A4117" s="282" t="inlineStr">
        <is>
          <t>2022-12-07</t>
        </is>
      </c>
      <c r="B4117" s="240">
        <f>IFERROR(1/P4117-1,B4116)</f>
        <v/>
      </c>
      <c r="C4117" s="240">
        <f>$C$3</f>
        <v/>
      </c>
      <c r="D4117" s="240">
        <f>$D$3</f>
        <v/>
      </c>
      <c r="E4117" s="240">
        <f>$E$3</f>
        <v/>
      </c>
      <c r="F4117" s="241" t="n">
        <v>21.62</v>
      </c>
      <c r="G4117" s="242" t="n">
        <v>27344271</v>
      </c>
      <c r="H4117" s="241" t="n">
        <v>0.5600000000000001</v>
      </c>
      <c r="I4117" s="241" t="n">
        <v>-12.08</v>
      </c>
      <c r="J4117" s="241" t="n">
        <v>2.29</v>
      </c>
      <c r="K4117" s="241" t="n">
        <v>11.53</v>
      </c>
      <c r="L4117" s="242" t="n">
        <v>4176000</v>
      </c>
      <c r="M4117" s="241" t="n">
        <v>-2.14</v>
      </c>
      <c r="N4117" s="241" t="n">
        <v>-3.61</v>
      </c>
      <c r="O4117" s="241" t="n">
        <v>0.22</v>
      </c>
      <c r="P4117" s="241" t="n">
        <v>1.88</v>
      </c>
    </row>
    <row r="4118">
      <c r="A4118" s="282" t="inlineStr">
        <is>
          <t>2022-12-08</t>
        </is>
      </c>
      <c r="B4118" s="240">
        <f>IFERROR(1/P4118-1,B4117)</f>
        <v/>
      </c>
      <c r="C4118" s="240">
        <f>$C$3</f>
        <v/>
      </c>
      <c r="D4118" s="240">
        <f>$D$3</f>
        <v/>
      </c>
      <c r="E4118" s="240">
        <f>$E$3</f>
        <v/>
      </c>
      <c r="F4118" s="241" t="n">
        <v>21.61</v>
      </c>
      <c r="G4118" s="242" t="n">
        <v>22926621</v>
      </c>
      <c r="H4118" s="241" t="n">
        <v>-0.05</v>
      </c>
      <c r="I4118" s="241" t="n">
        <v>-15.45</v>
      </c>
      <c r="J4118" s="241" t="n">
        <v>2.25</v>
      </c>
      <c r="K4118" s="241" t="n">
        <v>11.54</v>
      </c>
      <c r="L4118" s="242" t="n">
        <v>2863000</v>
      </c>
      <c r="M4118" s="241" t="n">
        <v>0.78</v>
      </c>
      <c r="N4118" s="241" t="n">
        <v>-4.86</v>
      </c>
      <c r="O4118" s="241" t="n">
        <v>1.01</v>
      </c>
      <c r="P4118" s="241" t="n">
        <v>1.87</v>
      </c>
    </row>
    <row r="4119">
      <c r="A4119" s="282" t="inlineStr">
        <is>
          <t>2022-12-09</t>
        </is>
      </c>
      <c r="B4119" s="240">
        <f>IFERROR(1/P4119-1,B4118)</f>
        <v/>
      </c>
      <c r="C4119" s="240">
        <f>$C$3</f>
        <v/>
      </c>
      <c r="D4119" s="240">
        <f>$D$3</f>
        <v/>
      </c>
      <c r="E4119" s="240">
        <f>$E$3</f>
        <v/>
      </c>
      <c r="F4119" s="241" t="n">
        <v>21.06</v>
      </c>
      <c r="G4119" s="242" t="n">
        <v>33735164</v>
      </c>
      <c r="H4119" s="241" t="n">
        <v>-2.55</v>
      </c>
      <c r="I4119" s="241" t="n">
        <v>-14.01</v>
      </c>
      <c r="J4119" s="241" t="n">
        <v>-0.36</v>
      </c>
      <c r="K4119" s="241" t="n">
        <v>11.69</v>
      </c>
      <c r="L4119" s="242" t="n">
        <v>2995000</v>
      </c>
      <c r="M4119" s="241" t="n">
        <v>1.24</v>
      </c>
      <c r="N4119" s="241" t="n">
        <v>2.19</v>
      </c>
      <c r="O4119" s="241" t="n">
        <v>2.26</v>
      </c>
      <c r="P4119" s="241" t="n">
        <v>1.8</v>
      </c>
    </row>
    <row r="4120">
      <c r="A4120" s="282" t="inlineStr">
        <is>
          <t>2022-12-12</t>
        </is>
      </c>
      <c r="B4120" s="240">
        <f>IFERROR(1/P4120-1,B4119)</f>
        <v/>
      </c>
      <c r="C4120" s="240">
        <f>$C$3</f>
        <v/>
      </c>
      <c r="D4120" s="240">
        <f>$D$3</f>
        <v/>
      </c>
      <c r="E4120" s="240">
        <f>$E$3</f>
        <v/>
      </c>
      <c r="F4120" s="241" t="n">
        <v>20.78</v>
      </c>
      <c r="G4120" s="242" t="n">
        <v>26730503</v>
      </c>
      <c r="H4120" s="241" t="n">
        <v>-1.33</v>
      </c>
      <c r="I4120" s="241" t="n">
        <v>-14.2</v>
      </c>
      <c r="J4120" s="241" t="n">
        <v>-1.68</v>
      </c>
      <c r="K4120" s="241" t="n">
        <v>11.22</v>
      </c>
      <c r="L4120" s="242" t="n">
        <v>4656040</v>
      </c>
      <c r="M4120" s="241" t="n">
        <v>-3.98</v>
      </c>
      <c r="N4120" s="241" t="n">
        <v>-1.41</v>
      </c>
      <c r="O4120" s="241" t="n">
        <v>-1.81</v>
      </c>
      <c r="P4120" s="241" t="n">
        <v>1.85</v>
      </c>
    </row>
    <row r="4121">
      <c r="A4121" s="282" t="inlineStr">
        <is>
          <t>2022-12-13</t>
        </is>
      </c>
      <c r="B4121" s="240">
        <f>IFERROR(1/P4121-1,B4120)</f>
        <v/>
      </c>
      <c r="C4121" s="240">
        <f>$C$3</f>
        <v/>
      </c>
      <c r="D4121" s="240">
        <f>$D$3</f>
        <v/>
      </c>
      <c r="E4121" s="240">
        <f>$E$3</f>
        <v/>
      </c>
      <c r="F4121" s="241" t="n">
        <v>20.67</v>
      </c>
      <c r="G4121" s="242" t="n">
        <v>22271122</v>
      </c>
      <c r="H4121" s="241" t="n">
        <v>-0.53</v>
      </c>
      <c r="I4121" s="241" t="n">
        <v>-14.66</v>
      </c>
      <c r="J4121" s="241" t="n">
        <v>-2.2</v>
      </c>
      <c r="K4121" s="241" t="n">
        <v>11.43</v>
      </c>
      <c r="L4121" s="242" t="n">
        <v>2258648</v>
      </c>
      <c r="M4121" s="241" t="n">
        <v>1.43</v>
      </c>
      <c r="N4121" s="241" t="n">
        <v>0</v>
      </c>
      <c r="O4121" s="241" t="n">
        <v>-0.4</v>
      </c>
      <c r="P4121" s="241" t="n">
        <v>1.81</v>
      </c>
    </row>
    <row r="4122">
      <c r="A4122" s="282" t="inlineStr">
        <is>
          <t>2022-12-14</t>
        </is>
      </c>
      <c r="B4122" s="240">
        <f>IFERROR(1/P4122-1,B4121)</f>
        <v/>
      </c>
      <c r="C4122" s="240">
        <f>$C$3</f>
        <v/>
      </c>
      <c r="D4122" s="240">
        <f>$D$3</f>
        <v/>
      </c>
      <c r="E4122" s="240">
        <f>$E$3</f>
        <v/>
      </c>
      <c r="F4122" s="241" t="n">
        <v>20.44</v>
      </c>
      <c r="G4122" s="242" t="n">
        <v>20709747</v>
      </c>
      <c r="H4122" s="241" t="n">
        <v>-1.11</v>
      </c>
      <c r="I4122" s="241" t="n">
        <v>-15.61</v>
      </c>
      <c r="J4122" s="241" t="n">
        <v>-3.29</v>
      </c>
      <c r="K4122" s="241" t="n">
        <v>11.48</v>
      </c>
      <c r="L4122" s="242" t="n">
        <v>2441400</v>
      </c>
      <c r="M4122" s="241" t="n">
        <v>0.78</v>
      </c>
      <c r="N4122" s="241" t="n">
        <v>0.78</v>
      </c>
      <c r="O4122" s="241" t="n">
        <v>0.38</v>
      </c>
      <c r="P4122" s="241" t="n">
        <v>1.78</v>
      </c>
    </row>
    <row r="4123">
      <c r="A4123" s="282" t="inlineStr">
        <is>
          <t>2022-12-15</t>
        </is>
      </c>
      <c r="B4123" s="240">
        <f>IFERROR(1/P4123-1,B4122)</f>
        <v/>
      </c>
      <c r="C4123" s="240">
        <f>$C$3</f>
        <v/>
      </c>
      <c r="D4123" s="240">
        <f>$D$3</f>
        <v/>
      </c>
      <c r="E4123" s="240">
        <f>$E$3</f>
        <v/>
      </c>
      <c r="F4123" s="241" t="n">
        <v>20.6</v>
      </c>
      <c r="G4123" s="242" t="n">
        <v>17361630</v>
      </c>
      <c r="H4123" s="241" t="n">
        <v>0.78</v>
      </c>
      <c r="I4123" s="241" t="n">
        <v>-12.6</v>
      </c>
      <c r="J4123" s="241" t="n">
        <v>-2.53</v>
      </c>
      <c r="K4123" s="241" t="n">
        <v>11.34</v>
      </c>
      <c r="L4123" s="242" t="n">
        <v>1813200</v>
      </c>
      <c r="M4123" s="241" t="n">
        <v>-0.93</v>
      </c>
      <c r="N4123" s="241" t="n">
        <v>1.11</v>
      </c>
      <c r="O4123" s="241" t="n">
        <v>-0.5600000000000001</v>
      </c>
      <c r="P4123" s="241" t="n">
        <v>1.82</v>
      </c>
    </row>
    <row r="4124">
      <c r="A4124" s="282" t="inlineStr">
        <is>
          <t>2022-12-16</t>
        </is>
      </c>
      <c r="B4124" s="240">
        <f>IFERROR(1/P4124-1,B4123)</f>
        <v/>
      </c>
      <c r="C4124" s="240">
        <f>$C$3</f>
        <v/>
      </c>
      <c r="D4124" s="240">
        <f>$D$3</f>
        <v/>
      </c>
      <c r="E4124" s="240">
        <f>$E$3</f>
        <v/>
      </c>
      <c r="F4124" s="241" t="n">
        <v>20.14</v>
      </c>
      <c r="G4124" s="242" t="n">
        <v>22481048</v>
      </c>
      <c r="H4124" s="241" t="n">
        <v>-2.23</v>
      </c>
      <c r="I4124" s="241" t="n">
        <v>-15.56</v>
      </c>
      <c r="J4124" s="241" t="n">
        <v>-4.71</v>
      </c>
      <c r="K4124" s="241" t="n">
        <v>11.29</v>
      </c>
      <c r="L4124" s="242" t="n">
        <v>2316000</v>
      </c>
      <c r="M4124" s="241" t="n">
        <v>-1.1</v>
      </c>
      <c r="N4124" s="241" t="n">
        <v>-3.68</v>
      </c>
      <c r="O4124" s="241" t="n">
        <v>-1.65</v>
      </c>
      <c r="P4124" s="241" t="n">
        <v>1.78</v>
      </c>
    </row>
    <row r="4125">
      <c r="A4125" s="282" t="inlineStr">
        <is>
          <t>2022-12-19</t>
        </is>
      </c>
      <c r="B4125" s="240">
        <f>IFERROR(1/P4125-1,B4124)</f>
        <v/>
      </c>
      <c r="C4125" s="240">
        <f>$C$3</f>
        <v/>
      </c>
      <c r="D4125" s="240">
        <f>$D$3</f>
        <v/>
      </c>
      <c r="E4125" s="240">
        <f>$E$3</f>
        <v/>
      </c>
      <c r="F4125" s="241" t="n">
        <v>19.91</v>
      </c>
      <c r="G4125" s="242" t="n">
        <v>16826160</v>
      </c>
      <c r="H4125" s="241" t="n">
        <v>-1.14</v>
      </c>
      <c r="I4125" s="241" t="n">
        <v>-18.8</v>
      </c>
      <c r="J4125" s="241" t="n">
        <v>-5.8</v>
      </c>
      <c r="K4125" s="241" t="n">
        <v>11.05</v>
      </c>
      <c r="L4125" s="242" t="n">
        <v>2185520</v>
      </c>
      <c r="M4125" s="241" t="n">
        <v>-1.91</v>
      </c>
      <c r="N4125" s="241" t="n">
        <v>-8.050000000000001</v>
      </c>
      <c r="O4125" s="241" t="n">
        <v>-3.53</v>
      </c>
      <c r="P4125" s="241" t="n">
        <v>1.8</v>
      </c>
    </row>
    <row r="4126">
      <c r="A4126" s="282" t="inlineStr">
        <is>
          <t>2022-12-20</t>
        </is>
      </c>
      <c r="B4126" s="240">
        <f>IFERROR(1/P4126-1,B4125)</f>
        <v/>
      </c>
      <c r="C4126" s="240">
        <f>$C$3</f>
        <v/>
      </c>
      <c r="D4126" s="240">
        <f>$D$3</f>
        <v/>
      </c>
      <c r="E4126" s="240">
        <f>$E$3</f>
        <v/>
      </c>
      <c r="F4126" s="241" t="n">
        <v>20.02</v>
      </c>
      <c r="G4126" s="242" t="n">
        <v>10955626</v>
      </c>
      <c r="H4126" s="241" t="n">
        <v>0.55</v>
      </c>
      <c r="I4126" s="241" t="n">
        <v>-18.35</v>
      </c>
      <c r="J4126" s="241" t="n">
        <v>-5.28</v>
      </c>
      <c r="K4126" s="241" t="n">
        <v>11.12</v>
      </c>
      <c r="L4126" s="242" t="n">
        <v>1278212</v>
      </c>
      <c r="M4126" s="241" t="n">
        <v>0.32</v>
      </c>
      <c r="N4126" s="241" t="n">
        <v>-7.75</v>
      </c>
      <c r="O4126" s="241" t="n">
        <v>-3.22</v>
      </c>
      <c r="P4126" s="241" t="n">
        <v>1.8</v>
      </c>
    </row>
    <row r="4127">
      <c r="A4127" s="282" t="inlineStr">
        <is>
          <t>2022-12-21</t>
        </is>
      </c>
      <c r="B4127" s="240">
        <f>IFERROR(1/P4127-1,B4126)</f>
        <v/>
      </c>
      <c r="C4127" s="240">
        <f>$C$3</f>
        <v/>
      </c>
      <c r="D4127" s="240">
        <f>$D$3</f>
        <v/>
      </c>
      <c r="E4127" s="240">
        <f>$E$3</f>
        <v/>
      </c>
      <c r="F4127" s="241" t="n">
        <v>19.59</v>
      </c>
      <c r="G4127" s="242" t="n">
        <v>15206344</v>
      </c>
      <c r="H4127" s="241" t="n">
        <v>-2.15</v>
      </c>
      <c r="I4127" s="241" t="n">
        <v>-20.11</v>
      </c>
      <c r="J4127" s="241" t="n">
        <v>-7.31</v>
      </c>
      <c r="K4127" s="241" t="n">
        <v>10.91</v>
      </c>
      <c r="L4127" s="242" t="n">
        <v>1818537</v>
      </c>
      <c r="M4127" s="241" t="n">
        <v>-1.45</v>
      </c>
      <c r="N4127" s="241" t="n">
        <v>-9.09</v>
      </c>
      <c r="O4127" s="241" t="n">
        <v>-4.62</v>
      </c>
      <c r="P4127" s="241" t="n">
        <v>1.8</v>
      </c>
    </row>
    <row r="4128">
      <c r="A4128" s="282" t="inlineStr">
        <is>
          <t>2022-12-22</t>
        </is>
      </c>
      <c r="B4128" s="240">
        <f>IFERROR(1/P4128-1,B4127)</f>
        <v/>
      </c>
      <c r="C4128" s="240">
        <f>$C$3</f>
        <v/>
      </c>
      <c r="D4128" s="240">
        <f>$D$3</f>
        <v/>
      </c>
      <c r="E4128" s="240">
        <f>$E$3</f>
        <v/>
      </c>
      <c r="F4128" s="241" t="n">
        <v>19.07</v>
      </c>
      <c r="G4128" s="242" t="n">
        <v>17512762</v>
      </c>
      <c r="H4128" s="241" t="n">
        <v>-2.65</v>
      </c>
      <c r="I4128" s="241" t="n">
        <v>-24.33</v>
      </c>
      <c r="J4128" s="241" t="n">
        <v>-9.77</v>
      </c>
      <c r="K4128" s="241" t="n">
        <v>10.76</v>
      </c>
      <c r="L4128" s="242" t="n">
        <v>2425100</v>
      </c>
      <c r="M4128" s="241" t="n">
        <v>-1.48</v>
      </c>
      <c r="N4128" s="241" t="n">
        <v>-16.99</v>
      </c>
      <c r="O4128" s="241" t="n">
        <v>-6.03</v>
      </c>
      <c r="P4128" s="241" t="n">
        <v>1.77</v>
      </c>
    </row>
    <row r="4129">
      <c r="A4129" s="282" t="inlineStr">
        <is>
          <t>2022-12-23</t>
        </is>
      </c>
      <c r="B4129" s="240">
        <f>IFERROR(1/P4129-1,B4128)</f>
        <v/>
      </c>
      <c r="C4129" s="240">
        <f>$C$3</f>
        <v/>
      </c>
      <c r="D4129" s="240">
        <f>$D$3</f>
        <v/>
      </c>
      <c r="E4129" s="240">
        <f>$E$3</f>
        <v/>
      </c>
      <c r="F4129" s="241" t="n">
        <v>18.7</v>
      </c>
      <c r="G4129" s="242" t="n">
        <v>16467798</v>
      </c>
      <c r="H4129" s="241" t="n">
        <v>-1.94</v>
      </c>
      <c r="I4129" s="241" t="n">
        <v>-24.69</v>
      </c>
      <c r="J4129" s="241" t="n">
        <v>-11.52</v>
      </c>
      <c r="K4129" s="241" t="n">
        <v>10.85</v>
      </c>
      <c r="L4129" s="242" t="n">
        <v>2266278</v>
      </c>
      <c r="M4129" s="241" t="n">
        <v>0.83</v>
      </c>
      <c r="N4129" s="241" t="n">
        <v>-12.05</v>
      </c>
      <c r="O4129" s="241" t="n">
        <v>-5.25</v>
      </c>
      <c r="P4129" s="241" t="n">
        <v>1.72</v>
      </c>
    </row>
    <row r="4130">
      <c r="A4130" s="282" t="inlineStr">
        <is>
          <t>2022-12-26</t>
        </is>
      </c>
      <c r="B4130" s="240">
        <f>IFERROR(1/P4130-1,B4129)</f>
        <v/>
      </c>
      <c r="C4130" s="240">
        <f>$C$3</f>
        <v/>
      </c>
      <c r="D4130" s="240">
        <f>$D$3</f>
        <v/>
      </c>
      <c r="E4130" s="240">
        <f>$E$3</f>
        <v/>
      </c>
      <c r="F4130" s="241" t="n">
        <v>19.97</v>
      </c>
      <c r="G4130" s="242" t="n">
        <v>27334583</v>
      </c>
      <c r="H4130" s="241" t="n">
        <v>6.79</v>
      </c>
      <c r="I4130" s="241" t="n">
        <v>-19.99</v>
      </c>
      <c r="J4130" s="241" t="n">
        <v>-5.51</v>
      </c>
      <c r="K4130" s="239" t="inlineStr">
        <is>
          <t>--</t>
        </is>
      </c>
      <c r="L4130" s="239" t="inlineStr">
        <is>
          <t>--</t>
        </is>
      </c>
      <c r="M4130" s="239" t="inlineStr">
        <is>
          <t>--</t>
        </is>
      </c>
      <c r="N4130" s="239" t="inlineStr">
        <is>
          <t>--</t>
        </is>
      </c>
      <c r="O4130" s="239" t="inlineStr">
        <is>
          <t>--</t>
        </is>
      </c>
      <c r="P4130" s="239" t="inlineStr">
        <is>
          <t>--</t>
        </is>
      </c>
    </row>
    <row r="4131">
      <c r="A4131" s="282" t="inlineStr">
        <is>
          <t>2022-12-27</t>
        </is>
      </c>
      <c r="B4131" s="240">
        <f>IFERROR(1/P4131-1,B4130)</f>
        <v/>
      </c>
      <c r="C4131" s="240">
        <f>$C$3</f>
        <v/>
      </c>
      <c r="D4131" s="240">
        <f>$D$3</f>
        <v/>
      </c>
      <c r="E4131" s="240">
        <f>$E$3</f>
        <v/>
      </c>
      <c r="F4131" s="241" t="n">
        <v>20.65</v>
      </c>
      <c r="G4131" s="242" t="n">
        <v>29306762</v>
      </c>
      <c r="H4131" s="241" t="n">
        <v>3.41</v>
      </c>
      <c r="I4131" s="241" t="n">
        <v>-17.27</v>
      </c>
      <c r="J4131" s="241" t="n">
        <v>-2.3</v>
      </c>
      <c r="K4131" s="239" t="inlineStr">
        <is>
          <t>--</t>
        </is>
      </c>
      <c r="L4131" s="239" t="inlineStr">
        <is>
          <t>--</t>
        </is>
      </c>
      <c r="M4131" s="239" t="inlineStr">
        <is>
          <t>--</t>
        </is>
      </c>
      <c r="N4131" s="239" t="inlineStr">
        <is>
          <t>--</t>
        </is>
      </c>
      <c r="O4131" s="239" t="inlineStr">
        <is>
          <t>--</t>
        </is>
      </c>
      <c r="P4131" s="239" t="inlineStr">
        <is>
          <t>--</t>
        </is>
      </c>
    </row>
    <row r="4132">
      <c r="A4132" s="282" t="inlineStr">
        <is>
          <t>2022-12-28</t>
        </is>
      </c>
      <c r="B4132" s="240">
        <f>IFERROR(1/P4132-1,B4131)</f>
        <v/>
      </c>
      <c r="C4132" s="240">
        <f>$C$3</f>
        <v/>
      </c>
      <c r="D4132" s="240">
        <f>$D$3</f>
        <v/>
      </c>
      <c r="E4132" s="240">
        <f>$E$3</f>
        <v/>
      </c>
      <c r="F4132" s="241" t="n">
        <v>21.48</v>
      </c>
      <c r="G4132" s="242" t="n">
        <v>35272651</v>
      </c>
      <c r="H4132" s="241" t="n">
        <v>4.02</v>
      </c>
      <c r="I4132" s="241" t="n">
        <v>-13.94</v>
      </c>
      <c r="J4132" s="241" t="n">
        <v>1.63</v>
      </c>
      <c r="K4132" s="241" t="n">
        <v>11.76</v>
      </c>
      <c r="L4132" s="242" t="n">
        <v>4287400</v>
      </c>
      <c r="M4132" s="241" t="n">
        <v>8.58</v>
      </c>
      <c r="N4132" s="241" t="n">
        <v>-7.97</v>
      </c>
      <c r="O4132" s="241" t="n">
        <v>2.88</v>
      </c>
      <c r="P4132" s="241" t="n">
        <v>1.83</v>
      </c>
    </row>
    <row r="4133">
      <c r="A4133" s="282" t="inlineStr">
        <is>
          <t>2022-12-29</t>
        </is>
      </c>
      <c r="B4133" s="240">
        <f>IFERROR(1/P4133-1,B4132)</f>
        <v/>
      </c>
      <c r="C4133" s="240">
        <f>$C$3</f>
        <v/>
      </c>
      <c r="D4133" s="240">
        <f>$D$3</f>
        <v/>
      </c>
      <c r="E4133" s="240">
        <f>$E$3</f>
        <v/>
      </c>
      <c r="F4133" s="241" t="n">
        <v>21.25</v>
      </c>
      <c r="G4133" s="242" t="n">
        <v>17285469</v>
      </c>
      <c r="H4133" s="241" t="n">
        <v>-1.07</v>
      </c>
      <c r="I4133" s="241" t="n">
        <v>-13.76</v>
      </c>
      <c r="J4133" s="241" t="n">
        <v>0.54</v>
      </c>
      <c r="K4133" s="241" t="n">
        <v>11.75</v>
      </c>
      <c r="L4133" s="242" t="n">
        <v>1983000</v>
      </c>
      <c r="M4133" s="241" t="n">
        <v>-0.3</v>
      </c>
      <c r="N4133" s="241" t="n">
        <v>-8.25</v>
      </c>
      <c r="O4133" s="241" t="n">
        <v>2.57</v>
      </c>
      <c r="P4133" s="241" t="n">
        <v>1.81</v>
      </c>
    </row>
    <row r="4134">
      <c r="A4134" s="282" t="inlineStr">
        <is>
          <t>2022-12-30</t>
        </is>
      </c>
      <c r="B4134" s="240">
        <f>IFERROR(1/P4134-1,B4133)</f>
        <v/>
      </c>
      <c r="C4134" s="240">
        <f>$C$3</f>
        <v/>
      </c>
      <c r="D4134" s="240">
        <f>$D$3</f>
        <v/>
      </c>
      <c r="E4134" s="240">
        <f>$E$3</f>
        <v/>
      </c>
      <c r="F4134" s="241" t="n">
        <v>21.02</v>
      </c>
      <c r="G4134" s="242" t="n">
        <v>16018877</v>
      </c>
      <c r="H4134" s="241" t="n">
        <v>-1.08</v>
      </c>
      <c r="I4134" s="241" t="n">
        <v>-13.21</v>
      </c>
      <c r="J4134" s="241" t="n">
        <v>-0.55</v>
      </c>
      <c r="K4134" s="241" t="n">
        <v>11.86</v>
      </c>
      <c r="L4134" s="242" t="n">
        <v>1680341</v>
      </c>
      <c r="M4134" s="241" t="n">
        <v>1.22</v>
      </c>
      <c r="N4134" s="241" t="n">
        <v>-7.78</v>
      </c>
      <c r="O4134" s="241" t="n">
        <v>3.82</v>
      </c>
      <c r="P4134" s="241" t="n">
        <v>1.77</v>
      </c>
    </row>
    <row r="4135">
      <c r="A4135" s="282" t="inlineStr">
        <is>
          <t>2023-01-03</t>
        </is>
      </c>
      <c r="B4135" s="240">
        <f>IFERROR(1/P4135-1,B4134)</f>
        <v/>
      </c>
      <c r="C4135" s="240">
        <f>$C$3</f>
        <v/>
      </c>
      <c r="D4135" s="240">
        <f>$D$3</f>
        <v/>
      </c>
      <c r="E4135" s="240">
        <f>$E$3</f>
        <v/>
      </c>
      <c r="F4135" s="241" t="n">
        <v>22.56</v>
      </c>
      <c r="G4135" s="242" t="n">
        <v>35050254</v>
      </c>
      <c r="H4135" s="241" t="n">
        <v>7.33</v>
      </c>
      <c r="I4135" s="241" t="n">
        <v>1.48</v>
      </c>
      <c r="J4135" s="241" t="n">
        <v>7.33</v>
      </c>
      <c r="K4135" s="241" t="n">
        <v>12.39</v>
      </c>
      <c r="L4135" s="242" t="n">
        <v>4584000</v>
      </c>
      <c r="M4135" s="241" t="n">
        <v>4.82</v>
      </c>
      <c r="N4135" s="241" t="n">
        <v>6.42</v>
      </c>
      <c r="O4135" s="241" t="n">
        <v>4.82</v>
      </c>
      <c r="P4135" s="241" t="n">
        <v>1.82</v>
      </c>
    </row>
    <row r="4136">
      <c r="A4136" s="282" t="inlineStr">
        <is>
          <t>2023-01-04</t>
        </is>
      </c>
      <c r="B4136" s="240">
        <f>IFERROR(1/P4136-1,B4135)</f>
        <v/>
      </c>
      <c r="C4136" s="240">
        <f>$C$3</f>
        <v/>
      </c>
      <c r="D4136" s="240">
        <f>$D$3</f>
        <v/>
      </c>
      <c r="E4136" s="240">
        <f>$E$3</f>
        <v/>
      </c>
      <c r="F4136" s="241" t="n">
        <v>22.56</v>
      </c>
      <c r="G4136" s="242" t="n">
        <v>22584274</v>
      </c>
      <c r="H4136" s="241" t="n">
        <v>0</v>
      </c>
      <c r="I4136" s="241" t="n">
        <v>1.48</v>
      </c>
      <c r="J4136" s="241" t="n">
        <v>7.33</v>
      </c>
      <c r="K4136" s="241" t="n">
        <v>12.31</v>
      </c>
      <c r="L4136" s="242" t="n">
        <v>1729693</v>
      </c>
      <c r="M4136" s="241" t="n">
        <v>0</v>
      </c>
      <c r="N4136" s="241" t="n">
        <v>6.42</v>
      </c>
      <c r="O4136" s="241" t="n">
        <v>4.82</v>
      </c>
      <c r="P4136" s="241" t="n">
        <v>1.83</v>
      </c>
    </row>
    <row r="4137">
      <c r="A4137" s="282" t="inlineStr">
        <is>
          <t>2023-01-05</t>
        </is>
      </c>
      <c r="B4137" s="240">
        <f>IFERROR(1/P4137-1,B4136)</f>
        <v/>
      </c>
      <c r="C4137" s="240">
        <f>$C$3</f>
        <v/>
      </c>
      <c r="D4137" s="240">
        <f>$D$3</f>
        <v/>
      </c>
      <c r="E4137" s="240">
        <f>$E$3</f>
        <v/>
      </c>
      <c r="F4137" s="241" t="n">
        <v>22.8</v>
      </c>
      <c r="G4137" s="242" t="n">
        <v>27776751</v>
      </c>
      <c r="H4137" s="241" t="n">
        <v>1.06</v>
      </c>
      <c r="I4137" s="241" t="n">
        <v>2.56</v>
      </c>
      <c r="J4137" s="241" t="n">
        <v>8.470000000000001</v>
      </c>
      <c r="K4137" s="241" t="n">
        <v>12.47</v>
      </c>
      <c r="L4137" s="242" t="n">
        <v>2737940</v>
      </c>
      <c r="M4137" s="241" t="n">
        <v>1.58</v>
      </c>
      <c r="N4137" s="241" t="n">
        <v>8.1</v>
      </c>
      <c r="O4137" s="241" t="n">
        <v>6.48</v>
      </c>
      <c r="P4137" s="241" t="n">
        <v>1.83</v>
      </c>
    </row>
    <row r="4138">
      <c r="A4138" s="282" t="inlineStr">
        <is>
          <t>2023-01-06</t>
        </is>
      </c>
      <c r="B4138" s="240">
        <f>IFERROR(1/P4138-1,B4137)</f>
        <v/>
      </c>
      <c r="C4138" s="240">
        <f>$C$3</f>
        <v/>
      </c>
      <c r="D4138" s="240">
        <f>$D$3</f>
        <v/>
      </c>
      <c r="E4138" s="240">
        <f>$E$3</f>
        <v/>
      </c>
      <c r="F4138" s="241" t="n">
        <v>22.46</v>
      </c>
      <c r="G4138" s="242" t="n">
        <v>27375690</v>
      </c>
      <c r="H4138" s="241" t="n">
        <v>-1.49</v>
      </c>
      <c r="I4138" s="241" t="n">
        <v>2.7</v>
      </c>
      <c r="J4138" s="241" t="n">
        <v>6.85</v>
      </c>
      <c r="K4138" s="241" t="n">
        <v>12.47</v>
      </c>
      <c r="L4138" s="242" t="n">
        <v>4487800</v>
      </c>
      <c r="M4138" s="241" t="n">
        <v>0</v>
      </c>
      <c r="N4138" s="241" t="n">
        <v>9.779999999999999</v>
      </c>
      <c r="O4138" s="241" t="n">
        <v>6.48</v>
      </c>
      <c r="P4138" s="241" t="n">
        <v>1.8</v>
      </c>
    </row>
    <row r="4139">
      <c r="A4139" s="282" t="inlineStr">
        <is>
          <t>2023-01-09</t>
        </is>
      </c>
      <c r="B4139" s="240">
        <f>IFERROR(1/P4139-1,B4138)</f>
        <v/>
      </c>
      <c r="C4139" s="240">
        <f>$C$3</f>
        <v/>
      </c>
      <c r="D4139" s="240">
        <f>$D$3</f>
        <v/>
      </c>
      <c r="E4139" s="240">
        <f>$E$3</f>
        <v/>
      </c>
      <c r="F4139" s="241" t="n">
        <v>22.21</v>
      </c>
      <c r="G4139" s="242" t="n">
        <v>30734238</v>
      </c>
      <c r="H4139" s="241" t="n">
        <v>-1.11</v>
      </c>
      <c r="I4139" s="241" t="n">
        <v>2.78</v>
      </c>
      <c r="J4139" s="241" t="n">
        <v>5.66</v>
      </c>
      <c r="K4139" s="241" t="n">
        <v>12.64</v>
      </c>
      <c r="L4139" s="242" t="n">
        <v>4084600</v>
      </c>
      <c r="M4139" s="241" t="n">
        <v>2.26</v>
      </c>
      <c r="N4139" s="241" t="n">
        <v>11.92</v>
      </c>
      <c r="O4139" s="241" t="n">
        <v>8.890000000000001</v>
      </c>
      <c r="P4139" s="241" t="n">
        <v>1.76</v>
      </c>
    </row>
    <row r="4140">
      <c r="A4140" s="282" t="inlineStr">
        <is>
          <t>2023-01-10</t>
        </is>
      </c>
      <c r="B4140" s="240">
        <f>IFERROR(1/P4140-1,B4139)</f>
        <v/>
      </c>
      <c r="C4140" s="240">
        <f>$C$3</f>
        <v/>
      </c>
      <c r="D4140" s="240">
        <f>$D$3</f>
        <v/>
      </c>
      <c r="E4140" s="240">
        <f>$E$3</f>
        <v/>
      </c>
      <c r="F4140" s="241" t="n">
        <v>21.88</v>
      </c>
      <c r="G4140" s="242" t="n">
        <v>20192471</v>
      </c>
      <c r="H4140" s="241" t="n">
        <v>-1.49</v>
      </c>
      <c r="I4140" s="241" t="n">
        <v>3.89</v>
      </c>
      <c r="J4140" s="241" t="n">
        <v>4.09</v>
      </c>
      <c r="K4140" s="241" t="n">
        <v>12.19</v>
      </c>
      <c r="L4140" s="242" t="n">
        <v>1705800</v>
      </c>
      <c r="M4140" s="241" t="n">
        <v>-2.63</v>
      </c>
      <c r="N4140" s="241" t="n">
        <v>7.65</v>
      </c>
      <c r="O4140" s="241" t="n">
        <v>6.02</v>
      </c>
      <c r="P4140" s="241" t="n">
        <v>1.79</v>
      </c>
    </row>
    <row r="4141">
      <c r="A4141" s="282" t="inlineStr">
        <is>
          <t>2023-01-11</t>
        </is>
      </c>
      <c r="B4141" s="240">
        <f>IFERROR(1/P4141-1,B4140)</f>
        <v/>
      </c>
      <c r="C4141" s="240">
        <f>$C$3</f>
        <v/>
      </c>
      <c r="D4141" s="240">
        <f>$D$3</f>
        <v/>
      </c>
      <c r="E4141" s="240">
        <f>$E$3</f>
        <v/>
      </c>
      <c r="F4141" s="241" t="n">
        <v>22.11</v>
      </c>
      <c r="G4141" s="242" t="n">
        <v>22624427</v>
      </c>
      <c r="H4141" s="241" t="n">
        <v>1.05</v>
      </c>
      <c r="I4141" s="241" t="n">
        <v>4.99</v>
      </c>
      <c r="J4141" s="241" t="n">
        <v>5.19</v>
      </c>
      <c r="K4141" s="241" t="n">
        <v>12.82</v>
      </c>
      <c r="L4141" s="242" t="n">
        <v>8753100</v>
      </c>
      <c r="M4141" s="241" t="n">
        <v>4.97</v>
      </c>
      <c r="N4141" s="241" t="n">
        <v>13</v>
      </c>
      <c r="O4141" s="241" t="n">
        <v>11.3</v>
      </c>
      <c r="P4141" s="241" t="n">
        <v>1.72</v>
      </c>
    </row>
    <row r="4142">
      <c r="A4142" s="282" t="inlineStr">
        <is>
          <t>2023-01-12</t>
        </is>
      </c>
      <c r="B4142" s="240">
        <f>IFERROR(1/P4142-1,B4141)</f>
        <v/>
      </c>
      <c r="C4142" s="240">
        <f>$C$3</f>
        <v/>
      </c>
      <c r="D4142" s="240">
        <f>$D$3</f>
        <v/>
      </c>
      <c r="E4142" s="240">
        <f>$E$3</f>
        <v/>
      </c>
      <c r="F4142" s="241" t="n">
        <v>22.45</v>
      </c>
      <c r="G4142" s="242" t="n">
        <v>20211033</v>
      </c>
      <c r="H4142" s="241" t="n">
        <v>1.54</v>
      </c>
      <c r="I4142" s="241" t="n">
        <v>6.6</v>
      </c>
      <c r="J4142" s="241" t="n">
        <v>6.8</v>
      </c>
      <c r="K4142" s="241" t="n">
        <v>13.26</v>
      </c>
      <c r="L4142" s="242" t="n">
        <v>5710458</v>
      </c>
      <c r="M4142" s="241" t="n">
        <v>3.52</v>
      </c>
      <c r="N4142" s="241" t="n">
        <v>16.97</v>
      </c>
      <c r="O4142" s="241" t="n">
        <v>15.21</v>
      </c>
      <c r="P4142" s="241" t="n">
        <v>1.69</v>
      </c>
    </row>
    <row r="4143">
      <c r="A4143" s="282" t="inlineStr">
        <is>
          <t>2023-01-13</t>
        </is>
      </c>
      <c r="B4143" s="240">
        <f>IFERROR(1/P4143-1,B4142)</f>
        <v/>
      </c>
      <c r="C4143" s="240">
        <f>$C$3</f>
        <v/>
      </c>
      <c r="D4143" s="240">
        <f>$D$3</f>
        <v/>
      </c>
      <c r="E4143" s="240">
        <f>$E$3</f>
        <v/>
      </c>
      <c r="F4143" s="241" t="n">
        <v>22.06</v>
      </c>
      <c r="G4143" s="242" t="n">
        <v>17673034</v>
      </c>
      <c r="H4143" s="241" t="n">
        <v>-1.74</v>
      </c>
      <c r="I4143" s="241" t="n">
        <v>6.16</v>
      </c>
      <c r="J4143" s="241" t="n">
        <v>4.95</v>
      </c>
      <c r="K4143" s="241" t="n">
        <v>13.03</v>
      </c>
      <c r="L4143" s="242" t="n">
        <v>3292300</v>
      </c>
      <c r="M4143" s="241" t="n">
        <v>-1.18</v>
      </c>
      <c r="N4143" s="241" t="n">
        <v>20.38</v>
      </c>
      <c r="O4143" s="241" t="n">
        <v>13.86</v>
      </c>
      <c r="P4143" s="241" t="n">
        <v>1.69</v>
      </c>
    </row>
    <row r="4144">
      <c r="A4144" s="282" t="inlineStr">
        <is>
          <t>2023-01-16</t>
        </is>
      </c>
      <c r="B4144" s="240">
        <f>IFERROR(1/P4144-1,B4143)</f>
        <v/>
      </c>
      <c r="C4144" s="240">
        <f>$C$3</f>
        <v/>
      </c>
      <c r="D4144" s="240">
        <f>$D$3</f>
        <v/>
      </c>
      <c r="E4144" s="240">
        <f>$E$3</f>
        <v/>
      </c>
      <c r="F4144" s="241" t="n">
        <v>21.63</v>
      </c>
      <c r="G4144" s="242" t="n">
        <v>31729490</v>
      </c>
      <c r="H4144" s="241" t="n">
        <v>-1.95</v>
      </c>
      <c r="I4144" s="241" t="n">
        <v>5</v>
      </c>
      <c r="J4144" s="241" t="n">
        <v>2.9</v>
      </c>
      <c r="K4144" s="241" t="n">
        <v>12.89</v>
      </c>
      <c r="L4144" s="242" t="n">
        <v>3268200</v>
      </c>
      <c r="M4144" s="241" t="n">
        <v>-0.79</v>
      </c>
      <c r="N4144" s="241" t="n">
        <v>17.92</v>
      </c>
      <c r="O4144" s="241" t="n">
        <v>12.95</v>
      </c>
      <c r="P4144" s="241" t="n">
        <v>1.68</v>
      </c>
    </row>
    <row r="4145">
      <c r="A4145" s="282" t="inlineStr">
        <is>
          <t>2023-01-17</t>
        </is>
      </c>
      <c r="B4145" s="240">
        <f>IFERROR(1/P4145-1,B4144)</f>
        <v/>
      </c>
      <c r="C4145" s="240">
        <f>$C$3</f>
        <v/>
      </c>
      <c r="D4145" s="240">
        <f>$D$3</f>
        <v/>
      </c>
      <c r="E4145" s="240">
        <f>$E$3</f>
        <v/>
      </c>
      <c r="F4145" s="241" t="n">
        <v>21.51</v>
      </c>
      <c r="G4145" s="242" t="n">
        <v>14852606</v>
      </c>
      <c r="H4145" s="241" t="n">
        <v>-0.55</v>
      </c>
      <c r="I4145" s="241" t="n">
        <v>6.8</v>
      </c>
      <c r="J4145" s="241" t="n">
        <v>2.33</v>
      </c>
      <c r="K4145" s="241" t="n">
        <v>12.24</v>
      </c>
      <c r="L4145" s="242" t="n">
        <v>4351799</v>
      </c>
      <c r="M4145" s="241" t="n">
        <v>-5.2</v>
      </c>
      <c r="N4145" s="241" t="n">
        <v>13.04</v>
      </c>
      <c r="O4145" s="241" t="n">
        <v>7.08</v>
      </c>
      <c r="P4145" s="241" t="n">
        <v>1.76</v>
      </c>
    </row>
    <row r="4146">
      <c r="A4146" s="282" t="inlineStr">
        <is>
          <t>2023-01-18</t>
        </is>
      </c>
      <c r="B4146" s="240">
        <f>IFERROR(1/P4146-1,B4145)</f>
        <v/>
      </c>
      <c r="C4146" s="240">
        <f>$C$3</f>
        <v/>
      </c>
      <c r="D4146" s="240">
        <f>$D$3</f>
        <v/>
      </c>
      <c r="E4146" s="240">
        <f>$E$3</f>
        <v/>
      </c>
      <c r="F4146" s="241" t="n">
        <v>21.33</v>
      </c>
      <c r="G4146" s="242" t="n">
        <v>10232824</v>
      </c>
      <c r="H4146" s="241" t="n">
        <v>-0.84</v>
      </c>
      <c r="I4146" s="241" t="n">
        <v>5.91</v>
      </c>
      <c r="J4146" s="241" t="n">
        <v>1.47</v>
      </c>
      <c r="K4146" s="241" t="n">
        <v>12.33</v>
      </c>
      <c r="L4146" s="242" t="n">
        <v>1934584</v>
      </c>
      <c r="M4146" s="241" t="n">
        <v>0.28</v>
      </c>
      <c r="N4146" s="241" t="n">
        <v>13.35</v>
      </c>
      <c r="O4146" s="241" t="n">
        <v>7.38</v>
      </c>
      <c r="P4146" s="241" t="n">
        <v>1.73</v>
      </c>
    </row>
    <row r="4147">
      <c r="A4147" s="282" t="inlineStr">
        <is>
          <t>2023-01-19</t>
        </is>
      </c>
      <c r="B4147" s="240">
        <f>IFERROR(1/P4147-1,B4146)</f>
        <v/>
      </c>
      <c r="C4147" s="240">
        <f>$C$3</f>
        <v/>
      </c>
      <c r="D4147" s="240">
        <f>$D$3</f>
        <v/>
      </c>
      <c r="E4147" s="240">
        <f>$E$3</f>
        <v/>
      </c>
      <c r="F4147" s="241" t="n">
        <v>21.39</v>
      </c>
      <c r="G4147" s="242" t="n">
        <v>11066081</v>
      </c>
      <c r="H4147" s="241" t="n">
        <v>0.28</v>
      </c>
      <c r="I4147" s="241" t="n">
        <v>6.21</v>
      </c>
      <c r="J4147" s="241" t="n">
        <v>1.76</v>
      </c>
      <c r="K4147" s="241" t="n">
        <v>12.18</v>
      </c>
      <c r="L4147" s="242" t="n">
        <v>1735253</v>
      </c>
      <c r="M4147" s="241" t="n">
        <v>-1.26</v>
      </c>
      <c r="N4147" s="241" t="n">
        <v>11.92</v>
      </c>
      <c r="O4147" s="241" t="n">
        <v>6.02</v>
      </c>
      <c r="P4147" s="241" t="n">
        <v>1.76</v>
      </c>
    </row>
    <row r="4148">
      <c r="A4148" s="282" t="inlineStr">
        <is>
          <t>2023-01-20</t>
        </is>
      </c>
      <c r="B4148" s="240">
        <f>IFERROR(1/P4148-1,B4147)</f>
        <v/>
      </c>
      <c r="C4148" s="240">
        <f>$C$3</f>
        <v/>
      </c>
      <c r="D4148" s="240">
        <f>$D$3</f>
        <v/>
      </c>
      <c r="E4148" s="240">
        <f>$E$3</f>
        <v/>
      </c>
      <c r="F4148" s="241" t="n">
        <v>21.42</v>
      </c>
      <c r="G4148" s="242" t="n">
        <v>18162088</v>
      </c>
      <c r="H4148" s="241" t="n">
        <v>0.14</v>
      </c>
      <c r="I4148" s="241" t="n">
        <v>7.58</v>
      </c>
      <c r="J4148" s="241" t="n">
        <v>1.9</v>
      </c>
      <c r="K4148" s="241" t="n">
        <v>12.55</v>
      </c>
      <c r="L4148" s="242" t="n">
        <v>1253600</v>
      </c>
      <c r="M4148" s="241" t="n">
        <v>3.13</v>
      </c>
      <c r="N4148" s="241" t="n">
        <v>17.67</v>
      </c>
      <c r="O4148" s="241" t="n">
        <v>9.34</v>
      </c>
      <c r="P4148" s="241" t="n">
        <v>1.71</v>
      </c>
    </row>
    <row r="4149">
      <c r="A4149" s="282" t="inlineStr">
        <is>
          <t>2023-01-30</t>
        </is>
      </c>
      <c r="B4149" s="240">
        <f>IFERROR(1/P4149-1,B4148)</f>
        <v/>
      </c>
      <c r="C4149" s="240">
        <f>$C$3</f>
        <v/>
      </c>
      <c r="D4149" s="240">
        <f>$D$3</f>
        <v/>
      </c>
      <c r="E4149" s="240">
        <f>$E$3</f>
        <v/>
      </c>
      <c r="F4149" s="241" t="n">
        <v>21.15</v>
      </c>
      <c r="G4149" s="242" t="n">
        <v>24847556</v>
      </c>
      <c r="H4149" s="241" t="n">
        <v>-1.26</v>
      </c>
      <c r="I4149" s="241" t="n">
        <v>-0.47</v>
      </c>
      <c r="J4149" s="241" t="n">
        <v>0.62</v>
      </c>
      <c r="K4149" s="241" t="n">
        <v>12.18</v>
      </c>
      <c r="L4149" s="242" t="n">
        <v>3254800</v>
      </c>
      <c r="M4149" s="241" t="n">
        <v>-6</v>
      </c>
      <c r="N4149" s="241" t="n">
        <v>7.47</v>
      </c>
      <c r="O4149" s="241" t="n">
        <v>6.17</v>
      </c>
      <c r="P4149" s="241" t="n">
        <v>1.74</v>
      </c>
    </row>
    <row r="4150">
      <c r="A4150" s="282" t="inlineStr">
        <is>
          <t>2023-01-31</t>
        </is>
      </c>
      <c r="B4150" s="240">
        <f>IFERROR(1/P4150-1,B4149)</f>
        <v/>
      </c>
      <c r="C4150" s="240">
        <f>$C$3</f>
        <v/>
      </c>
      <c r="D4150" s="240">
        <f>$D$3</f>
        <v/>
      </c>
      <c r="E4150" s="240">
        <f>$E$3</f>
        <v/>
      </c>
      <c r="F4150" s="241" t="n">
        <v>21.38</v>
      </c>
      <c r="G4150" s="242" t="n">
        <v>12369307</v>
      </c>
      <c r="H4150" s="241" t="n">
        <v>1.09</v>
      </c>
      <c r="I4150" s="241" t="n">
        <v>1.71</v>
      </c>
      <c r="J4150" s="241" t="n">
        <v>1.71</v>
      </c>
      <c r="K4150" s="241" t="n">
        <v>12.04</v>
      </c>
      <c r="L4150" s="242" t="n">
        <v>2708720</v>
      </c>
      <c r="M4150" s="241" t="n">
        <v>-0.99</v>
      </c>
      <c r="N4150" s="241" t="n">
        <v>5.12</v>
      </c>
      <c r="O4150" s="241" t="n">
        <v>5.12</v>
      </c>
      <c r="P4150" s="241" t="n">
        <v>1.78</v>
      </c>
    </row>
    <row r="4151">
      <c r="A4151" s="282" t="inlineStr">
        <is>
          <t>2023-02-01</t>
        </is>
      </c>
      <c r="B4151" s="240">
        <f>IFERROR(1/P4151-1,B4150)</f>
        <v/>
      </c>
      <c r="C4151" s="240">
        <f>$C$3</f>
        <v/>
      </c>
      <c r="D4151" s="240">
        <f>$D$3</f>
        <v/>
      </c>
      <c r="E4151" s="240">
        <f>$E$3</f>
        <v/>
      </c>
      <c r="F4151" s="241" t="n">
        <v>21.01</v>
      </c>
      <c r="G4151" s="242" t="n">
        <v>72575179</v>
      </c>
      <c r="H4151" s="241" t="n">
        <v>-1.73</v>
      </c>
      <c r="I4151" s="241" t="n">
        <v>-0.05</v>
      </c>
      <c r="J4151" s="241" t="n">
        <v>-0.05</v>
      </c>
      <c r="K4151" s="241" t="n">
        <v>11.62</v>
      </c>
      <c r="L4151" s="242" t="n">
        <v>5878586</v>
      </c>
      <c r="M4151" s="241" t="n">
        <v>-3.3</v>
      </c>
      <c r="N4151" s="241" t="n">
        <v>1.66</v>
      </c>
      <c r="O4151" s="241" t="n">
        <v>1.66</v>
      </c>
      <c r="P4151" s="241" t="n">
        <v>1.81</v>
      </c>
    </row>
    <row r="4152">
      <c r="A4152" s="282" t="inlineStr">
        <is>
          <t>2023-02-02</t>
        </is>
      </c>
      <c r="B4152" s="240">
        <f>IFERROR(1/P4152-1,B4151)</f>
        <v/>
      </c>
      <c r="C4152" s="240">
        <f>$C$3</f>
        <v/>
      </c>
      <c r="D4152" s="240">
        <f>$D$3</f>
        <v/>
      </c>
      <c r="E4152" s="240">
        <f>$E$3</f>
        <v/>
      </c>
      <c r="F4152" s="241" t="n">
        <v>21.01</v>
      </c>
      <c r="G4152" s="242" t="n">
        <v>31611264</v>
      </c>
      <c r="H4152" s="241" t="n">
        <v>0</v>
      </c>
      <c r="I4152" s="241" t="n">
        <v>-0.05</v>
      </c>
      <c r="J4152" s="241" t="n">
        <v>-0.05</v>
      </c>
      <c r="K4152" s="241" t="n">
        <v>11.71</v>
      </c>
      <c r="L4152" s="242" t="n">
        <v>4107800</v>
      </c>
      <c r="M4152" s="241" t="n">
        <v>1.33</v>
      </c>
      <c r="N4152" s="241" t="n">
        <v>3.01</v>
      </c>
      <c r="O4152" s="241" t="n">
        <v>3.01</v>
      </c>
      <c r="P4152" s="241" t="n">
        <v>1.79</v>
      </c>
    </row>
    <row r="4153">
      <c r="A4153" s="282" t="inlineStr">
        <is>
          <t>2023-02-03</t>
        </is>
      </c>
      <c r="B4153" s="240">
        <f>IFERROR(1/P4153-1,B4152)</f>
        <v/>
      </c>
      <c r="C4153" s="240">
        <f>$C$3</f>
        <v/>
      </c>
      <c r="D4153" s="240">
        <f>$D$3</f>
        <v/>
      </c>
      <c r="E4153" s="240">
        <f>$E$3</f>
        <v/>
      </c>
      <c r="F4153" s="241" t="n">
        <v>20.52</v>
      </c>
      <c r="G4153" s="242" t="n">
        <v>30709860</v>
      </c>
      <c r="H4153" s="241" t="n">
        <v>-2.33</v>
      </c>
      <c r="I4153" s="241" t="n">
        <v>-2.38</v>
      </c>
      <c r="J4153" s="241" t="n">
        <v>-2.38</v>
      </c>
      <c r="K4153" s="241" t="n">
        <v>11.63</v>
      </c>
      <c r="L4153" s="242" t="n">
        <v>2263860</v>
      </c>
      <c r="M4153" s="241" t="n">
        <v>-1.02</v>
      </c>
      <c r="N4153" s="241" t="n">
        <v>1.96</v>
      </c>
      <c r="O4153" s="241" t="n">
        <v>1.96</v>
      </c>
      <c r="P4153" s="241" t="n">
        <v>1.76</v>
      </c>
    </row>
    <row r="4154">
      <c r="A4154" s="282" t="inlineStr">
        <is>
          <t>2023-02-06</t>
        </is>
      </c>
      <c r="B4154" s="240">
        <f>IFERROR(1/P4154-1,B4153)</f>
        <v/>
      </c>
      <c r="C4154" s="240">
        <f>$C$3</f>
        <v/>
      </c>
      <c r="D4154" s="240">
        <f>$D$3</f>
        <v/>
      </c>
      <c r="E4154" s="240">
        <f>$E$3</f>
        <v/>
      </c>
      <c r="F4154" s="241" t="n">
        <v>20.18</v>
      </c>
      <c r="G4154" s="242" t="n">
        <v>24266029</v>
      </c>
      <c r="H4154" s="241" t="n">
        <v>-1.66</v>
      </c>
      <c r="I4154" s="241" t="n">
        <v>-11.49</v>
      </c>
      <c r="J4154" s="241" t="n">
        <v>-4</v>
      </c>
      <c r="K4154" s="241" t="n">
        <v>11.39</v>
      </c>
      <c r="L4154" s="242" t="n">
        <v>2798220</v>
      </c>
      <c r="M4154" s="241" t="n">
        <v>-2.51</v>
      </c>
      <c r="N4154" s="241" t="n">
        <v>-6.65</v>
      </c>
      <c r="O4154" s="241" t="n">
        <v>-0.6</v>
      </c>
      <c r="P4154" s="241" t="n">
        <v>1.77</v>
      </c>
    </row>
    <row r="4155">
      <c r="A4155" s="282" t="inlineStr">
        <is>
          <t>2023-02-07</t>
        </is>
      </c>
      <c r="B4155" s="240">
        <f>IFERROR(1/P4155-1,B4154)</f>
        <v/>
      </c>
      <c r="C4155" s="240">
        <f>$C$3</f>
        <v/>
      </c>
      <c r="D4155" s="240">
        <f>$D$3</f>
        <v/>
      </c>
      <c r="E4155" s="240">
        <f>$E$3</f>
        <v/>
      </c>
      <c r="F4155" s="241" t="n">
        <v>20.25</v>
      </c>
      <c r="G4155" s="242" t="n">
        <v>17032094</v>
      </c>
      <c r="H4155" s="241" t="n">
        <v>0.35</v>
      </c>
      <c r="I4155" s="241" t="n">
        <v>-9.84</v>
      </c>
      <c r="J4155" s="241" t="n">
        <v>-3.66</v>
      </c>
      <c r="K4155" s="241" t="n">
        <v>11.43</v>
      </c>
      <c r="L4155" s="242" t="n">
        <v>1732063</v>
      </c>
      <c r="M4155" s="241" t="n">
        <v>0</v>
      </c>
      <c r="N4155" s="241" t="n">
        <v>-6.65</v>
      </c>
      <c r="O4155" s="241" t="n">
        <v>-0.6</v>
      </c>
      <c r="P4155" s="241" t="n">
        <v>1.77</v>
      </c>
    </row>
    <row r="4156">
      <c r="A4156" s="282" t="inlineStr">
        <is>
          <t>2023-02-08</t>
        </is>
      </c>
      <c r="B4156" s="240">
        <f>IFERROR(1/P4156-1,B4155)</f>
        <v/>
      </c>
      <c r="C4156" s="240">
        <f>$C$3</f>
        <v/>
      </c>
      <c r="D4156" s="240">
        <f>$D$3</f>
        <v/>
      </c>
      <c r="E4156" s="240">
        <f>$E$3</f>
        <v/>
      </c>
      <c r="F4156" s="241" t="n">
        <v>20.22</v>
      </c>
      <c r="G4156" s="242" t="n">
        <v>15897574</v>
      </c>
      <c r="H4156" s="241" t="n">
        <v>-0.15</v>
      </c>
      <c r="I4156" s="241" t="n">
        <v>-9.970000000000001</v>
      </c>
      <c r="J4156" s="241" t="n">
        <v>-3.81</v>
      </c>
      <c r="K4156" s="241" t="n">
        <v>11.57</v>
      </c>
      <c r="L4156" s="242" t="n">
        <v>1655720</v>
      </c>
      <c r="M4156" s="241" t="n">
        <v>1.52</v>
      </c>
      <c r="N4156" s="241" t="n">
        <v>-5.23</v>
      </c>
      <c r="O4156" s="241" t="n">
        <v>0.9</v>
      </c>
      <c r="P4156" s="241" t="n">
        <v>1.75</v>
      </c>
    </row>
    <row r="4157">
      <c r="A4157" s="282" t="inlineStr">
        <is>
          <t>2023-02-09</t>
        </is>
      </c>
      <c r="B4157" s="240">
        <f>IFERROR(1/P4157-1,B4156)</f>
        <v/>
      </c>
      <c r="C4157" s="240">
        <f>$C$3</f>
        <v/>
      </c>
      <c r="D4157" s="240">
        <f>$D$3</f>
        <v/>
      </c>
      <c r="E4157" s="240">
        <f>$E$3</f>
        <v/>
      </c>
      <c r="F4157" s="241" t="n">
        <v>20.28</v>
      </c>
      <c r="G4157" s="242" t="n">
        <v>16509777</v>
      </c>
      <c r="H4157" s="241" t="n">
        <v>0.3</v>
      </c>
      <c r="I4157" s="241" t="n">
        <v>-9.710000000000001</v>
      </c>
      <c r="J4157" s="241" t="n">
        <v>-3.52</v>
      </c>
      <c r="K4157" s="241" t="n">
        <v>11.59</v>
      </c>
      <c r="L4157" s="242" t="n">
        <v>2848900</v>
      </c>
      <c r="M4157" s="241" t="n">
        <v>0</v>
      </c>
      <c r="N4157" s="241" t="n">
        <v>-5.23</v>
      </c>
      <c r="O4157" s="241" t="n">
        <v>0.9</v>
      </c>
      <c r="P4157" s="241" t="n">
        <v>1.75</v>
      </c>
    </row>
    <row r="4158">
      <c r="A4158" s="282" t="inlineStr">
        <is>
          <t>2023-02-10</t>
        </is>
      </c>
      <c r="B4158" s="240">
        <f>IFERROR(1/P4158-1,B4157)</f>
        <v/>
      </c>
      <c r="C4158" s="240">
        <f>$C$3</f>
        <v/>
      </c>
      <c r="D4158" s="240">
        <f>$D$3</f>
        <v/>
      </c>
      <c r="E4158" s="240">
        <f>$E$3</f>
        <v/>
      </c>
      <c r="F4158" s="241" t="n">
        <v>20.09</v>
      </c>
      <c r="G4158" s="242" t="n">
        <v>19159211</v>
      </c>
      <c r="H4158" s="241" t="n">
        <v>-0.9399999999999999</v>
      </c>
      <c r="I4158" s="241" t="n">
        <v>-9.550000000000001</v>
      </c>
      <c r="J4158" s="241" t="n">
        <v>-4.42</v>
      </c>
      <c r="K4158" s="241" t="n">
        <v>11.21</v>
      </c>
      <c r="L4158" s="242" t="n">
        <v>2842000</v>
      </c>
      <c r="M4158" s="241" t="n">
        <v>-3.28</v>
      </c>
      <c r="N4158" s="241" t="n">
        <v>-10.37</v>
      </c>
      <c r="O4158" s="241" t="n">
        <v>-2.41</v>
      </c>
      <c r="P4158" s="241" t="n">
        <v>1.79</v>
      </c>
    </row>
    <row r="4159">
      <c r="A4159" s="282" t="inlineStr">
        <is>
          <t>2023-02-13</t>
        </is>
      </c>
      <c r="B4159" s="240">
        <f>IFERROR(1/P4159-1,B4158)</f>
        <v/>
      </c>
      <c r="C4159" s="240">
        <f>$C$3</f>
        <v/>
      </c>
      <c r="D4159" s="240">
        <f>$D$3</f>
        <v/>
      </c>
      <c r="E4159" s="240">
        <f>$E$3</f>
        <v/>
      </c>
      <c r="F4159" s="241" t="n">
        <v>20.26</v>
      </c>
      <c r="G4159" s="242" t="n">
        <v>26826843</v>
      </c>
      <c r="H4159" s="241" t="n">
        <v>0.85</v>
      </c>
      <c r="I4159" s="241" t="n">
        <v>-9.76</v>
      </c>
      <c r="J4159" s="241" t="n">
        <v>-3.62</v>
      </c>
      <c r="K4159" s="241" t="n">
        <v>11.27</v>
      </c>
      <c r="L4159" s="242" t="n">
        <v>2150520</v>
      </c>
      <c r="M4159" s="241" t="n">
        <v>0.15</v>
      </c>
      <c r="N4159" s="241" t="n">
        <v>-15.16</v>
      </c>
      <c r="O4159" s="241" t="n">
        <v>-2.26</v>
      </c>
      <c r="P4159" s="241" t="n">
        <v>1.8</v>
      </c>
    </row>
    <row r="4160">
      <c r="A4160" s="282" t="inlineStr">
        <is>
          <t>2023-02-14</t>
        </is>
      </c>
      <c r="B4160" s="240">
        <f>IFERROR(1/P4160-1,B4159)</f>
        <v/>
      </c>
      <c r="C4160" s="240">
        <f>$C$3</f>
        <v/>
      </c>
      <c r="D4160" s="240">
        <f>$D$3</f>
        <v/>
      </c>
      <c r="E4160" s="240">
        <f>$E$3</f>
        <v/>
      </c>
      <c r="F4160" s="241" t="n">
        <v>20.93</v>
      </c>
      <c r="G4160" s="242" t="n">
        <v>45548013</v>
      </c>
      <c r="H4160" s="241" t="n">
        <v>3.31</v>
      </c>
      <c r="I4160" s="241" t="n">
        <v>-5.12</v>
      </c>
      <c r="J4160" s="241" t="n">
        <v>-0.43</v>
      </c>
      <c r="K4160" s="241" t="n">
        <v>11.53</v>
      </c>
      <c r="L4160" s="242" t="n">
        <v>4239206</v>
      </c>
      <c r="M4160" s="241" t="n">
        <v>2.31</v>
      </c>
      <c r="N4160" s="241" t="n">
        <v>-12.17</v>
      </c>
      <c r="O4160" s="241" t="n">
        <v>0</v>
      </c>
      <c r="P4160" s="241" t="n">
        <v>1.82</v>
      </c>
    </row>
    <row r="4161">
      <c r="A4161" s="282" t="inlineStr">
        <is>
          <t>2023-02-15</t>
        </is>
      </c>
      <c r="B4161" s="240">
        <f>IFERROR(1/P4161-1,B4160)</f>
        <v/>
      </c>
      <c r="C4161" s="240">
        <f>$C$3</f>
        <v/>
      </c>
      <c r="D4161" s="240">
        <f>$D$3</f>
        <v/>
      </c>
      <c r="E4161" s="240">
        <f>$E$3</f>
        <v/>
      </c>
      <c r="F4161" s="241" t="n">
        <v>20.16</v>
      </c>
      <c r="G4161" s="242" t="n">
        <v>45294186</v>
      </c>
      <c r="H4161" s="241" t="n">
        <v>-3.68</v>
      </c>
      <c r="I4161" s="241" t="n">
        <v>-8.609999999999999</v>
      </c>
      <c r="J4161" s="241" t="n">
        <v>-4.09</v>
      </c>
      <c r="K4161" s="241" t="n">
        <v>11.19</v>
      </c>
      <c r="L4161" s="242" t="n">
        <v>1598600</v>
      </c>
      <c r="M4161" s="241" t="n">
        <v>-3.01</v>
      </c>
      <c r="N4161" s="241" t="n">
        <v>-14.81</v>
      </c>
      <c r="O4161" s="241" t="n">
        <v>-3.01</v>
      </c>
      <c r="P4161" s="241" t="n">
        <v>1.8</v>
      </c>
    </row>
    <row r="4162">
      <c r="A4162" s="282" t="inlineStr">
        <is>
          <t>2023-02-16</t>
        </is>
      </c>
      <c r="B4162" s="240">
        <f>IFERROR(1/P4162-1,B4161)</f>
        <v/>
      </c>
      <c r="C4162" s="240">
        <f>$C$3</f>
        <v/>
      </c>
      <c r="D4162" s="240">
        <f>$D$3</f>
        <v/>
      </c>
      <c r="E4162" s="240">
        <f>$E$3</f>
        <v/>
      </c>
      <c r="F4162" s="241" t="n">
        <v>19.91</v>
      </c>
      <c r="G4162" s="242" t="n">
        <v>30393657</v>
      </c>
      <c r="H4162" s="241" t="n">
        <v>-1.24</v>
      </c>
      <c r="I4162" s="241" t="n">
        <v>-9.75</v>
      </c>
      <c r="J4162" s="241" t="n">
        <v>-5.28</v>
      </c>
      <c r="K4162" s="241" t="n">
        <v>11.33</v>
      </c>
      <c r="L4162" s="242" t="n">
        <v>1850400</v>
      </c>
      <c r="M4162" s="241" t="n">
        <v>0.78</v>
      </c>
      <c r="N4162" s="241" t="n">
        <v>-14.15</v>
      </c>
      <c r="O4162" s="241" t="n">
        <v>-2.26</v>
      </c>
      <c r="P4162" s="241" t="n">
        <v>1.76</v>
      </c>
    </row>
    <row r="4163">
      <c r="A4163" s="282" t="inlineStr">
        <is>
          <t>2023-02-17</t>
        </is>
      </c>
      <c r="B4163" s="240">
        <f>IFERROR(1/P4163-1,B4162)</f>
        <v/>
      </c>
      <c r="C4163" s="240">
        <f>$C$3</f>
        <v/>
      </c>
      <c r="D4163" s="240">
        <f>$D$3</f>
        <v/>
      </c>
      <c r="E4163" s="240">
        <f>$E$3</f>
        <v/>
      </c>
      <c r="F4163" s="241" t="n">
        <v>19.77</v>
      </c>
      <c r="G4163" s="242" t="n">
        <v>18960200</v>
      </c>
      <c r="H4163" s="241" t="n">
        <v>-0.7</v>
      </c>
      <c r="I4163" s="241" t="n">
        <v>-8.6</v>
      </c>
      <c r="J4163" s="241" t="n">
        <v>-5.95</v>
      </c>
      <c r="K4163" s="241" t="n">
        <v>11.41</v>
      </c>
      <c r="L4163" s="242" t="n">
        <v>2986800</v>
      </c>
      <c r="M4163" s="241" t="n">
        <v>0.46</v>
      </c>
      <c r="N4163" s="241" t="n">
        <v>-13.07</v>
      </c>
      <c r="O4163" s="241" t="n">
        <v>-1.81</v>
      </c>
      <c r="P4163" s="241" t="n">
        <v>1.73</v>
      </c>
    </row>
    <row r="4164">
      <c r="A4164" s="282" t="inlineStr">
        <is>
          <t>2023-02-20</t>
        </is>
      </c>
      <c r="B4164" s="240">
        <f>IFERROR(1/P4164-1,B4163)</f>
        <v/>
      </c>
      <c r="C4164" s="240">
        <f>$C$3</f>
        <v/>
      </c>
      <c r="D4164" s="240">
        <f>$D$3</f>
        <v/>
      </c>
      <c r="E4164" s="240">
        <f>$E$3</f>
        <v/>
      </c>
      <c r="F4164" s="241" t="n">
        <v>19.78</v>
      </c>
      <c r="G4164" s="242" t="n">
        <v>27436104</v>
      </c>
      <c r="H4164" s="241" t="n">
        <v>0.05</v>
      </c>
      <c r="I4164" s="241" t="n">
        <v>-7.53</v>
      </c>
      <c r="J4164" s="241" t="n">
        <v>-5.9</v>
      </c>
      <c r="K4164" s="241" t="n">
        <v>11.43</v>
      </c>
      <c r="L4164" s="242" t="n">
        <v>3649092</v>
      </c>
      <c r="M4164" s="241" t="n">
        <v>0.15</v>
      </c>
      <c r="N4164" s="241" t="n">
        <v>-7.24</v>
      </c>
      <c r="O4164" s="241" t="n">
        <v>-1.66</v>
      </c>
      <c r="P4164" s="241" t="n">
        <v>1.73</v>
      </c>
    </row>
    <row r="4165">
      <c r="A4165" s="282" t="inlineStr">
        <is>
          <t>2023-02-21</t>
        </is>
      </c>
      <c r="B4165" s="240">
        <f>IFERROR(1/P4165-1,B4164)</f>
        <v/>
      </c>
      <c r="C4165" s="240">
        <f>$C$3</f>
        <v/>
      </c>
      <c r="D4165" s="240">
        <f>$D$3</f>
        <v/>
      </c>
      <c r="E4165" s="240">
        <f>$E$3</f>
        <v/>
      </c>
      <c r="F4165" s="241" t="n">
        <v>19.91</v>
      </c>
      <c r="G4165" s="242" t="n">
        <v>15193663</v>
      </c>
      <c r="H4165" s="241" t="n">
        <v>0.66</v>
      </c>
      <c r="I4165" s="241" t="n">
        <v>-7.05</v>
      </c>
      <c r="J4165" s="241" t="n">
        <v>-5.28</v>
      </c>
      <c r="K4165" s="241" t="n">
        <v>11.4</v>
      </c>
      <c r="L4165" s="242" t="n">
        <v>2217800</v>
      </c>
      <c r="M4165" s="241" t="n">
        <v>-0.15</v>
      </c>
      <c r="N4165" s="241" t="n">
        <v>-10.19</v>
      </c>
      <c r="O4165" s="241" t="n">
        <v>-1.81</v>
      </c>
      <c r="P4165" s="241" t="n">
        <v>1.75</v>
      </c>
    </row>
    <row r="4166">
      <c r="A4166" s="282" t="inlineStr">
        <is>
          <t>2023-02-22</t>
        </is>
      </c>
      <c r="B4166" s="240">
        <f>IFERROR(1/P4166-1,B4165)</f>
        <v/>
      </c>
      <c r="C4166" s="240">
        <f>$C$3</f>
        <v/>
      </c>
      <c r="D4166" s="240">
        <f>$D$3</f>
        <v/>
      </c>
      <c r="E4166" s="240">
        <f>$E$3</f>
        <v/>
      </c>
      <c r="F4166" s="241" t="n">
        <v>20.1</v>
      </c>
      <c r="G4166" s="242" t="n">
        <v>16719770</v>
      </c>
      <c r="H4166" s="241" t="n">
        <v>0.95</v>
      </c>
      <c r="I4166" s="241" t="n">
        <v>-6.16</v>
      </c>
      <c r="J4166" s="241" t="n">
        <v>-4.38</v>
      </c>
      <c r="K4166" s="241" t="n">
        <v>11.57</v>
      </c>
      <c r="L4166" s="242" t="n">
        <v>2537200</v>
      </c>
      <c r="M4166" s="241" t="n">
        <v>1.23</v>
      </c>
      <c r="N4166" s="241" t="n">
        <v>-9.09</v>
      </c>
      <c r="O4166" s="241" t="n">
        <v>-0.6</v>
      </c>
      <c r="P4166" s="241" t="n">
        <v>1.74</v>
      </c>
    </row>
    <row r="4167">
      <c r="A4167" s="282" t="inlineStr">
        <is>
          <t>2023-02-23</t>
        </is>
      </c>
      <c r="B4167" s="240">
        <f>IFERROR(1/P4167-1,B4166)</f>
        <v/>
      </c>
      <c r="C4167" s="240">
        <f>$C$3</f>
        <v/>
      </c>
      <c r="D4167" s="240">
        <f>$D$3</f>
        <v/>
      </c>
      <c r="E4167" s="240">
        <f>$E$3</f>
        <v/>
      </c>
      <c r="F4167" s="241" t="n">
        <v>20.17</v>
      </c>
      <c r="G4167" s="242" t="n">
        <v>16909321</v>
      </c>
      <c r="H4167" s="241" t="n">
        <v>0.35</v>
      </c>
      <c r="I4167" s="241" t="n">
        <v>-5.84</v>
      </c>
      <c r="J4167" s="241" t="n">
        <v>-4.04</v>
      </c>
      <c r="K4167" s="241" t="n">
        <v>11.69</v>
      </c>
      <c r="L4167" s="242" t="n">
        <v>2593400</v>
      </c>
      <c r="M4167" s="241" t="n">
        <v>0.61</v>
      </c>
      <c r="N4167" s="241" t="n">
        <v>-8.539999999999999</v>
      </c>
      <c r="O4167" s="241" t="n">
        <v>0</v>
      </c>
      <c r="P4167" s="241" t="n">
        <v>1.73</v>
      </c>
    </row>
    <row r="4168">
      <c r="A4168" s="282" t="inlineStr">
        <is>
          <t>2023-02-24</t>
        </is>
      </c>
      <c r="B4168" s="240">
        <f>IFERROR(1/P4168-1,B4167)</f>
        <v/>
      </c>
      <c r="C4168" s="240">
        <f>$C$3</f>
        <v/>
      </c>
      <c r="D4168" s="240">
        <f>$D$3</f>
        <v/>
      </c>
      <c r="E4168" s="240">
        <f>$E$3</f>
        <v/>
      </c>
      <c r="F4168" s="241" t="n">
        <v>19.84</v>
      </c>
      <c r="G4168" s="242" t="n">
        <v>17841699</v>
      </c>
      <c r="H4168" s="241" t="n">
        <v>-1.64</v>
      </c>
      <c r="I4168" s="241" t="n">
        <v>-7.38</v>
      </c>
      <c r="J4168" s="241" t="n">
        <v>-5.61</v>
      </c>
      <c r="K4168" s="241" t="n">
        <v>11.58</v>
      </c>
      <c r="L4168" s="242" t="n">
        <v>2561200</v>
      </c>
      <c r="M4168" s="241" t="n">
        <v>-0.75</v>
      </c>
      <c r="N4168" s="241" t="n">
        <v>-9.23</v>
      </c>
      <c r="O4168" s="241" t="n">
        <v>-0.75</v>
      </c>
      <c r="P4168" s="241" t="n">
        <v>1.71</v>
      </c>
    </row>
    <row r="4169">
      <c r="A4169" s="282" t="inlineStr">
        <is>
          <t>2023-02-27</t>
        </is>
      </c>
      <c r="B4169" s="240">
        <f>IFERROR(1/P4169-1,B4168)</f>
        <v/>
      </c>
      <c r="C4169" s="240">
        <f>$C$3</f>
        <v/>
      </c>
      <c r="D4169" s="240">
        <f>$D$3</f>
        <v/>
      </c>
      <c r="E4169" s="240">
        <f>$E$3</f>
        <v/>
      </c>
      <c r="F4169" s="241" t="n">
        <v>19.75</v>
      </c>
      <c r="G4169" s="242" t="n">
        <v>11323391</v>
      </c>
      <c r="H4169" s="241" t="n">
        <v>-0.45</v>
      </c>
      <c r="I4169" s="241" t="n">
        <v>-7.8</v>
      </c>
      <c r="J4169" s="241" t="n">
        <v>-6.04</v>
      </c>
      <c r="K4169" s="241" t="n">
        <v>11.58</v>
      </c>
      <c r="L4169" s="242" t="n">
        <v>2957200</v>
      </c>
      <c r="M4169" s="241" t="n">
        <v>-0.91</v>
      </c>
      <c r="N4169" s="241" t="n">
        <v>-12.11</v>
      </c>
      <c r="O4169" s="241" t="n">
        <v>-1.66</v>
      </c>
      <c r="P4169" s="241" t="n">
        <v>1.71</v>
      </c>
    </row>
    <row r="4170">
      <c r="A4170" s="282" t="inlineStr">
        <is>
          <t>2023-02-28</t>
        </is>
      </c>
      <c r="B4170" s="240">
        <f>IFERROR(1/P4170-1,B4169)</f>
        <v/>
      </c>
      <c r="C4170" s="240">
        <f>$C$3</f>
        <v/>
      </c>
      <c r="D4170" s="240">
        <f>$D$3</f>
        <v/>
      </c>
      <c r="E4170" s="240">
        <f>$E$3</f>
        <v/>
      </c>
      <c r="F4170" s="241" t="n">
        <v>19.73</v>
      </c>
      <c r="G4170" s="242" t="n">
        <v>19963444</v>
      </c>
      <c r="H4170" s="241" t="n">
        <v>-0.1</v>
      </c>
      <c r="I4170" s="241" t="n">
        <v>-7.89</v>
      </c>
      <c r="J4170" s="241" t="n">
        <v>-6.14</v>
      </c>
      <c r="K4170" s="241" t="n">
        <v>11.13</v>
      </c>
      <c r="L4170" s="242" t="n">
        <v>2122600</v>
      </c>
      <c r="M4170" s="241" t="n">
        <v>-3.83</v>
      </c>
      <c r="N4170" s="241" t="n">
        <v>-16.27</v>
      </c>
      <c r="O4170" s="241" t="n">
        <v>-5.42</v>
      </c>
      <c r="P4170" s="241" t="n">
        <v>1.77</v>
      </c>
    </row>
    <row r="4171">
      <c r="A4171" s="282" t="inlineStr">
        <is>
          <t>2023-03-01</t>
        </is>
      </c>
      <c r="B4171" s="240">
        <f>IFERROR(1/P4171-1,B4170)</f>
        <v/>
      </c>
      <c r="C4171" s="240">
        <f>$C$3</f>
        <v/>
      </c>
      <c r="D4171" s="240">
        <f>$D$3</f>
        <v/>
      </c>
      <c r="E4171" s="240">
        <f>$E$3</f>
        <v/>
      </c>
      <c r="F4171" s="241" t="n">
        <v>19.58</v>
      </c>
      <c r="G4171" s="242" t="n">
        <v>22255709</v>
      </c>
      <c r="H4171" s="241" t="n">
        <v>-0.76</v>
      </c>
      <c r="I4171" s="241" t="n">
        <v>-8.42</v>
      </c>
      <c r="J4171" s="241" t="n">
        <v>-6.85</v>
      </c>
      <c r="K4171" s="241" t="n">
        <v>11.39</v>
      </c>
      <c r="L4171" s="242" t="n">
        <v>3127200</v>
      </c>
      <c r="M4171" s="241" t="n">
        <v>2.55</v>
      </c>
      <c r="N4171" s="241" t="n">
        <v>-7.74</v>
      </c>
      <c r="O4171" s="241" t="n">
        <v>-3.01</v>
      </c>
      <c r="P4171" s="241" t="n">
        <v>1.72</v>
      </c>
    </row>
    <row r="4172">
      <c r="A4172" s="282" t="inlineStr">
        <is>
          <t>2023-03-02</t>
        </is>
      </c>
      <c r="B4172" s="240">
        <f>IFERROR(1/P4172-1,B4171)</f>
        <v/>
      </c>
      <c r="C4172" s="240">
        <f>$C$3</f>
        <v/>
      </c>
      <c r="D4172" s="240">
        <f>$D$3</f>
        <v/>
      </c>
      <c r="E4172" s="240">
        <f>$E$3</f>
        <v/>
      </c>
      <c r="F4172" s="241" t="n">
        <v>20.46</v>
      </c>
      <c r="G4172" s="242" t="n">
        <v>52089567</v>
      </c>
      <c r="H4172" s="241" t="n">
        <v>4.49</v>
      </c>
      <c r="I4172" s="241" t="n">
        <v>-2.62</v>
      </c>
      <c r="J4172" s="241" t="n">
        <v>-2.66</v>
      </c>
      <c r="K4172" s="241" t="n">
        <v>11.96</v>
      </c>
      <c r="L4172" s="242" t="n">
        <v>3899200</v>
      </c>
      <c r="M4172" s="241" t="n">
        <v>5.9</v>
      </c>
      <c r="N4172" s="241" t="n">
        <v>1.04</v>
      </c>
      <c r="O4172" s="241" t="n">
        <v>2.71</v>
      </c>
      <c r="P4172" s="241" t="n">
        <v>1.71</v>
      </c>
    </row>
    <row r="4173">
      <c r="A4173" s="282" t="inlineStr">
        <is>
          <t>2023-03-03</t>
        </is>
      </c>
      <c r="B4173" s="240">
        <f>IFERROR(1/P4173-1,B4172)</f>
        <v/>
      </c>
      <c r="C4173" s="240">
        <f>$C$3</f>
        <v/>
      </c>
      <c r="D4173" s="240">
        <f>$D$3</f>
        <v/>
      </c>
      <c r="E4173" s="240">
        <f>$E$3</f>
        <v/>
      </c>
      <c r="F4173" s="241" t="n">
        <v>20.08</v>
      </c>
      <c r="G4173" s="242" t="n">
        <v>30638939</v>
      </c>
      <c r="H4173" s="241" t="n">
        <v>-1.86</v>
      </c>
      <c r="I4173" s="241" t="n">
        <v>-4.43</v>
      </c>
      <c r="J4173" s="241" t="n">
        <v>-4.47</v>
      </c>
      <c r="K4173" s="241" t="n">
        <v>11.76</v>
      </c>
      <c r="L4173" s="242" t="n">
        <v>3088800</v>
      </c>
      <c r="M4173" s="241" t="n">
        <v>-2.05</v>
      </c>
      <c r="N4173" s="241" t="n">
        <v>-2.34</v>
      </c>
      <c r="O4173" s="241" t="n">
        <v>0.6</v>
      </c>
      <c r="P4173" s="241" t="n">
        <v>1.71</v>
      </c>
    </row>
    <row r="4174">
      <c r="A4174" s="282" t="inlineStr">
        <is>
          <t>2023-03-06</t>
        </is>
      </c>
      <c r="B4174" s="240">
        <f>IFERROR(1/P4174-1,B4173)</f>
        <v/>
      </c>
      <c r="C4174" s="240">
        <f>$C$3</f>
        <v/>
      </c>
      <c r="D4174" s="240">
        <f>$D$3</f>
        <v/>
      </c>
      <c r="E4174" s="240">
        <f>$E$3</f>
        <v/>
      </c>
      <c r="F4174" s="241" t="n">
        <v>21.41</v>
      </c>
      <c r="G4174" s="242" t="n">
        <v>60040070</v>
      </c>
      <c r="H4174" s="241" t="n">
        <v>6.62</v>
      </c>
      <c r="I4174" s="241" t="n">
        <v>4.34</v>
      </c>
      <c r="J4174" s="241" t="n">
        <v>1.86</v>
      </c>
      <c r="K4174" s="241" t="n">
        <v>12.33</v>
      </c>
      <c r="L4174" s="242" t="n">
        <v>3844000</v>
      </c>
      <c r="M4174" s="241" t="n">
        <v>5.09</v>
      </c>
      <c r="N4174" s="241" t="n">
        <v>3.69</v>
      </c>
      <c r="O4174" s="241" t="n">
        <v>5.72</v>
      </c>
      <c r="P4174" s="241" t="n">
        <v>1.74</v>
      </c>
    </row>
    <row r="4175">
      <c r="A4175" s="282" t="inlineStr">
        <is>
          <t>2023-03-07</t>
        </is>
      </c>
      <c r="B4175" s="240">
        <f>IFERROR(1/P4175-1,B4174)</f>
        <v/>
      </c>
      <c r="C4175" s="240">
        <f>$C$3</f>
        <v/>
      </c>
      <c r="D4175" s="240">
        <f>$D$3</f>
        <v/>
      </c>
      <c r="E4175" s="240">
        <f>$E$3</f>
        <v/>
      </c>
      <c r="F4175" s="241" t="n">
        <v>21.28</v>
      </c>
      <c r="G4175" s="242" t="n">
        <v>38641947</v>
      </c>
      <c r="H4175" s="241" t="n">
        <v>-0.61</v>
      </c>
      <c r="I4175" s="241" t="n">
        <v>5.45</v>
      </c>
      <c r="J4175" s="241" t="n">
        <v>1.24</v>
      </c>
      <c r="K4175" s="241" t="n">
        <v>12.23</v>
      </c>
      <c r="L4175" s="242" t="n">
        <v>1902400</v>
      </c>
      <c r="M4175" s="241" t="n">
        <v>-1.14</v>
      </c>
      <c r="N4175" s="241" t="n">
        <v>5.15</v>
      </c>
      <c r="O4175" s="241" t="n">
        <v>4.52</v>
      </c>
      <c r="P4175" s="241" t="n">
        <v>1.74</v>
      </c>
    </row>
    <row r="4176">
      <c r="A4176" s="282" t="inlineStr">
        <is>
          <t>2023-03-08</t>
        </is>
      </c>
      <c r="B4176" s="240">
        <f>IFERROR(1/P4176-1,B4175)</f>
        <v/>
      </c>
      <c r="C4176" s="240">
        <f>$C$3</f>
        <v/>
      </c>
      <c r="D4176" s="240">
        <f>$D$3</f>
        <v/>
      </c>
      <c r="E4176" s="240">
        <f>$E$3</f>
        <v/>
      </c>
      <c r="F4176" s="241" t="n">
        <v>20.96</v>
      </c>
      <c r="G4176" s="242" t="n">
        <v>26984362</v>
      </c>
      <c r="H4176" s="241" t="n">
        <v>-1.5</v>
      </c>
      <c r="I4176" s="241" t="n">
        <v>3.51</v>
      </c>
      <c r="J4176" s="241" t="n">
        <v>-0.29</v>
      </c>
      <c r="K4176" s="241" t="n">
        <v>12.19</v>
      </c>
      <c r="L4176" s="242" t="n">
        <v>1896600</v>
      </c>
      <c r="M4176" s="241" t="n">
        <v>-0.86</v>
      </c>
      <c r="N4176" s="241" t="n">
        <v>4.24</v>
      </c>
      <c r="O4176" s="241" t="n">
        <v>3.61</v>
      </c>
      <c r="P4176" s="241" t="n">
        <v>1.72</v>
      </c>
    </row>
    <row r="4177">
      <c r="A4177" s="282" t="inlineStr">
        <is>
          <t>2023-03-09</t>
        </is>
      </c>
      <c r="B4177" s="240">
        <f>IFERROR(1/P4177-1,B4176)</f>
        <v/>
      </c>
      <c r="C4177" s="240">
        <f>$C$3</f>
        <v/>
      </c>
      <c r="D4177" s="240">
        <f>$D$3</f>
        <v/>
      </c>
      <c r="E4177" s="240">
        <f>$E$3</f>
        <v/>
      </c>
      <c r="F4177" s="241" t="n">
        <v>20.97</v>
      </c>
      <c r="G4177" s="242" t="n">
        <v>21929820</v>
      </c>
      <c r="H4177" s="241" t="n">
        <v>0.05</v>
      </c>
      <c r="I4177" s="241" t="n">
        <v>3.71</v>
      </c>
      <c r="J4177" s="241" t="n">
        <v>-0.24</v>
      </c>
      <c r="K4177" s="241" t="n">
        <v>12.05</v>
      </c>
      <c r="L4177" s="242" t="n">
        <v>1683000</v>
      </c>
      <c r="M4177" s="241" t="n">
        <v>-1.31</v>
      </c>
      <c r="N4177" s="241" t="n">
        <v>1.34</v>
      </c>
      <c r="O4177" s="241" t="n">
        <v>2.26</v>
      </c>
      <c r="P4177" s="241" t="n">
        <v>1.74</v>
      </c>
    </row>
    <row r="4178">
      <c r="A4178" s="282" t="inlineStr">
        <is>
          <t>2023-03-10</t>
        </is>
      </c>
      <c r="B4178" s="240">
        <f>IFERROR(1/P4178-1,B4177)</f>
        <v/>
      </c>
      <c r="C4178" s="240">
        <f>$C$3</f>
        <v/>
      </c>
      <c r="D4178" s="240">
        <f>$D$3</f>
        <v/>
      </c>
      <c r="E4178" s="240">
        <f>$E$3</f>
        <v/>
      </c>
      <c r="F4178" s="241" t="n">
        <v>20.87</v>
      </c>
      <c r="G4178" s="242" t="n">
        <v>16662508</v>
      </c>
      <c r="H4178" s="241" t="n">
        <v>-0.48</v>
      </c>
      <c r="I4178" s="241" t="n">
        <v>2.91</v>
      </c>
      <c r="J4178" s="241" t="n">
        <v>-0.71</v>
      </c>
      <c r="K4178" s="241" t="n">
        <v>11.7</v>
      </c>
      <c r="L4178" s="242" t="n">
        <v>1670320</v>
      </c>
      <c r="M4178" s="241" t="n">
        <v>-2.95</v>
      </c>
      <c r="N4178" s="241" t="n">
        <v>-1.64</v>
      </c>
      <c r="O4178" s="241" t="n">
        <v>-0.75</v>
      </c>
      <c r="P4178" s="241" t="n">
        <v>1.78</v>
      </c>
    </row>
    <row r="4179">
      <c r="A4179" s="282" t="inlineStr">
        <is>
          <t>2023-03-13</t>
        </is>
      </c>
      <c r="B4179" s="240">
        <f>IFERROR(1/P4179-1,B4178)</f>
        <v/>
      </c>
      <c r="C4179" s="240">
        <f>$C$3</f>
        <v/>
      </c>
      <c r="D4179" s="240">
        <f>$D$3</f>
        <v/>
      </c>
      <c r="E4179" s="240">
        <f>$E$3</f>
        <v/>
      </c>
      <c r="F4179" s="241" t="n">
        <v>20.84</v>
      </c>
      <c r="G4179" s="242" t="n">
        <v>23452249</v>
      </c>
      <c r="H4179" s="241" t="n">
        <v>-0.14</v>
      </c>
      <c r="I4179" s="241" t="n">
        <v>3.73</v>
      </c>
      <c r="J4179" s="241" t="n">
        <v>-0.86</v>
      </c>
      <c r="K4179" s="241" t="n">
        <v>11.93</v>
      </c>
      <c r="L4179" s="242" t="n">
        <v>1927000</v>
      </c>
      <c r="M4179" s="241" t="n">
        <v>2.43</v>
      </c>
      <c r="N4179" s="241" t="n">
        <v>4.17</v>
      </c>
      <c r="O4179" s="241" t="n">
        <v>1.66</v>
      </c>
      <c r="P4179" s="241" t="n">
        <v>1.75</v>
      </c>
    </row>
    <row r="4180">
      <c r="A4180" s="282" t="inlineStr">
        <is>
          <t>2023-03-14</t>
        </is>
      </c>
      <c r="B4180" s="240">
        <f>IFERROR(1/P4180-1,B4179)</f>
        <v/>
      </c>
      <c r="C4180" s="240">
        <f>$C$3</f>
        <v/>
      </c>
      <c r="D4180" s="240">
        <f>$D$3</f>
        <v/>
      </c>
      <c r="E4180" s="240">
        <f>$E$3</f>
        <v/>
      </c>
      <c r="F4180" s="241" t="n">
        <v>20.46</v>
      </c>
      <c r="G4180" s="242" t="n">
        <v>25215016</v>
      </c>
      <c r="H4180" s="241" t="n">
        <v>-1.82</v>
      </c>
      <c r="I4180" s="241" t="n">
        <v>0.99</v>
      </c>
      <c r="J4180" s="241" t="n">
        <v>-2.66</v>
      </c>
      <c r="K4180" s="241" t="n">
        <v>11.87</v>
      </c>
      <c r="L4180" s="242" t="n">
        <v>2232000</v>
      </c>
      <c r="M4180" s="241" t="n">
        <v>0</v>
      </c>
      <c r="N4180" s="241" t="n">
        <v>4.01</v>
      </c>
      <c r="O4180" s="241" t="n">
        <v>1.66</v>
      </c>
      <c r="P4180" s="241" t="n">
        <v>1.72</v>
      </c>
    </row>
    <row r="4181">
      <c r="A4181" s="282" t="inlineStr">
        <is>
          <t>2023-03-15</t>
        </is>
      </c>
      <c r="B4181" s="240">
        <f>IFERROR(1/P4181-1,B4180)</f>
        <v/>
      </c>
      <c r="C4181" s="240">
        <f>$C$3</f>
        <v/>
      </c>
      <c r="D4181" s="240">
        <f>$D$3</f>
        <v/>
      </c>
      <c r="E4181" s="240">
        <f>$E$3</f>
        <v/>
      </c>
      <c r="F4181" s="241" t="n">
        <v>20.85</v>
      </c>
      <c r="G4181" s="242" t="n">
        <v>21775492</v>
      </c>
      <c r="H4181" s="241" t="n">
        <v>1.91</v>
      </c>
      <c r="I4181" s="241" t="n">
        <v>-0.38</v>
      </c>
      <c r="J4181" s="241" t="n">
        <v>-0.8100000000000001</v>
      </c>
      <c r="K4181" s="241" t="n">
        <v>12.11</v>
      </c>
      <c r="L4181" s="242" t="n">
        <v>2738400</v>
      </c>
      <c r="M4181" s="241" t="n">
        <v>2.52</v>
      </c>
      <c r="N4181" s="241" t="n">
        <v>4.22</v>
      </c>
      <c r="O4181" s="241" t="n">
        <v>4.22</v>
      </c>
      <c r="P4181" s="241" t="n">
        <v>1.72</v>
      </c>
    </row>
    <row r="4182">
      <c r="A4182" s="282" t="inlineStr">
        <is>
          <t>2023-03-16</t>
        </is>
      </c>
      <c r="B4182" s="240">
        <f>IFERROR(1/P4182-1,B4181)</f>
        <v/>
      </c>
      <c r="C4182" s="240">
        <f>$C$3</f>
        <v/>
      </c>
      <c r="D4182" s="240">
        <f>$D$3</f>
        <v/>
      </c>
      <c r="E4182" s="240">
        <f>$E$3</f>
        <v/>
      </c>
      <c r="F4182" s="241" t="n">
        <v>19.78</v>
      </c>
      <c r="G4182" s="242" t="n">
        <v>33774507</v>
      </c>
      <c r="H4182" s="241" t="n">
        <v>-5.13</v>
      </c>
      <c r="I4182" s="241" t="n">
        <v>-1.88</v>
      </c>
      <c r="J4182" s="241" t="n">
        <v>-5.9</v>
      </c>
      <c r="K4182" s="241" t="n">
        <v>11.74</v>
      </c>
      <c r="L4182" s="242" t="n">
        <v>6773000</v>
      </c>
      <c r="M4182" s="241" t="n">
        <v>-3.76</v>
      </c>
      <c r="N4182" s="241" t="n">
        <v>3.42</v>
      </c>
      <c r="O4182" s="241" t="n">
        <v>0.3</v>
      </c>
      <c r="P4182" s="241" t="n">
        <v>1.69</v>
      </c>
    </row>
    <row r="4183">
      <c r="A4183" s="282" t="inlineStr">
        <is>
          <t>2023-03-17</t>
        </is>
      </c>
      <c r="B4183" s="240">
        <f>IFERROR(1/P4183-1,B4182)</f>
        <v/>
      </c>
      <c r="C4183" s="240">
        <f>$C$3</f>
        <v/>
      </c>
      <c r="D4183" s="240">
        <f>$D$3</f>
        <v/>
      </c>
      <c r="E4183" s="240">
        <f>$E$3</f>
        <v/>
      </c>
      <c r="F4183" s="241" t="n">
        <v>18.9</v>
      </c>
      <c r="G4183" s="242" t="n">
        <v>48423371</v>
      </c>
      <c r="H4183" s="241" t="n">
        <v>-4.45</v>
      </c>
      <c r="I4183" s="241" t="n">
        <v>-5.07</v>
      </c>
      <c r="J4183" s="241" t="n">
        <v>-10.09</v>
      </c>
      <c r="K4183" s="241" t="n">
        <v>11.44</v>
      </c>
      <c r="L4183" s="242" t="n">
        <v>4931426</v>
      </c>
      <c r="M4183" s="241" t="n">
        <v>-2.4</v>
      </c>
      <c r="N4183" s="241" t="n">
        <v>0.15</v>
      </c>
      <c r="O4183" s="241" t="n">
        <v>-2.11</v>
      </c>
      <c r="P4183" s="241" t="n">
        <v>1.65</v>
      </c>
    </row>
    <row r="4184">
      <c r="A4184" s="282" t="inlineStr">
        <is>
          <t>2023-03-20</t>
        </is>
      </c>
      <c r="B4184" s="240">
        <f>IFERROR(1/P4184-1,B4183)</f>
        <v/>
      </c>
      <c r="C4184" s="240">
        <f>$C$3</f>
        <v/>
      </c>
      <c r="D4184" s="240">
        <f>$D$3</f>
        <v/>
      </c>
      <c r="E4184" s="240">
        <f>$E$3</f>
        <v/>
      </c>
      <c r="F4184" s="241" t="n">
        <v>18.86</v>
      </c>
      <c r="G4184" s="242" t="n">
        <v>22104233</v>
      </c>
      <c r="H4184" s="241" t="n">
        <v>-0.21</v>
      </c>
      <c r="I4184" s="241" t="n">
        <v>-4.6</v>
      </c>
      <c r="J4184" s="241" t="n">
        <v>-10.28</v>
      </c>
      <c r="K4184" s="241" t="n">
        <v>11.29</v>
      </c>
      <c r="L4184" s="242" t="n">
        <v>3679366</v>
      </c>
      <c r="M4184" s="241" t="n">
        <v>-0.77</v>
      </c>
      <c r="N4184" s="241" t="n">
        <v>-1.07</v>
      </c>
      <c r="O4184" s="241" t="n">
        <v>-2.86</v>
      </c>
      <c r="P4184" s="241" t="n">
        <v>1.67</v>
      </c>
    </row>
    <row r="4185">
      <c r="A4185" s="282" t="inlineStr">
        <is>
          <t>2023-03-21</t>
        </is>
      </c>
      <c r="B4185" s="240">
        <f>IFERROR(1/P4185-1,B4184)</f>
        <v/>
      </c>
      <c r="C4185" s="240">
        <f>$C$3</f>
        <v/>
      </c>
      <c r="D4185" s="240">
        <f>$D$3</f>
        <v/>
      </c>
      <c r="E4185" s="240">
        <f>$E$3</f>
        <v/>
      </c>
      <c r="F4185" s="241" t="n">
        <v>18.88</v>
      </c>
      <c r="G4185" s="242" t="n">
        <v>20959798</v>
      </c>
      <c r="H4185" s="241" t="n">
        <v>0.11</v>
      </c>
      <c r="I4185" s="241" t="n">
        <v>-4.55</v>
      </c>
      <c r="J4185" s="241" t="n">
        <v>-10.18</v>
      </c>
      <c r="K4185" s="241" t="n">
        <v>11.49</v>
      </c>
      <c r="L4185" s="242" t="n">
        <v>1713600</v>
      </c>
      <c r="M4185" s="241" t="n">
        <v>1.55</v>
      </c>
      <c r="N4185" s="241" t="n">
        <v>0.31</v>
      </c>
      <c r="O4185" s="241" t="n">
        <v>-1.36</v>
      </c>
      <c r="P4185" s="241" t="n">
        <v>1.64</v>
      </c>
    </row>
    <row r="4186">
      <c r="A4186" s="282" t="inlineStr">
        <is>
          <t>2023-03-22</t>
        </is>
      </c>
      <c r="B4186" s="240">
        <f>IFERROR(1/P4186-1,B4185)</f>
        <v/>
      </c>
      <c r="C4186" s="240">
        <f>$C$3</f>
        <v/>
      </c>
      <c r="D4186" s="240">
        <f>$D$3</f>
        <v/>
      </c>
      <c r="E4186" s="240">
        <f>$E$3</f>
        <v/>
      </c>
      <c r="F4186" s="241" t="n">
        <v>18.61</v>
      </c>
      <c r="G4186" s="242" t="n">
        <v>31180865</v>
      </c>
      <c r="H4186" s="241" t="n">
        <v>-1.43</v>
      </c>
      <c r="I4186" s="241" t="n">
        <v>-6.53</v>
      </c>
      <c r="J4186" s="241" t="n">
        <v>-11.47</v>
      </c>
      <c r="K4186" s="241" t="n">
        <v>11.33</v>
      </c>
      <c r="L4186" s="242" t="n">
        <v>2194200</v>
      </c>
      <c r="M4186" s="241" t="n">
        <v>-1.22</v>
      </c>
      <c r="N4186" s="241" t="n">
        <v>-0.77</v>
      </c>
      <c r="O4186" s="241" t="n">
        <v>-2.56</v>
      </c>
      <c r="P4186" s="241" t="n">
        <v>1.64</v>
      </c>
    </row>
    <row r="4187">
      <c r="A4187" s="282" t="inlineStr">
        <is>
          <t>2023-03-23</t>
        </is>
      </c>
      <c r="B4187" s="240">
        <f>IFERROR(1/P4187-1,B4186)</f>
        <v/>
      </c>
      <c r="C4187" s="240">
        <f>$C$3</f>
        <v/>
      </c>
      <c r="D4187" s="240">
        <f>$D$3</f>
        <v/>
      </c>
      <c r="E4187" s="240">
        <f>$E$3</f>
        <v/>
      </c>
      <c r="F4187" s="241" t="n">
        <v>18.72</v>
      </c>
      <c r="G4187" s="242" t="n">
        <v>24749091</v>
      </c>
      <c r="H4187" s="241" t="n">
        <v>0.59</v>
      </c>
      <c r="I4187" s="241" t="n">
        <v>-6.87</v>
      </c>
      <c r="J4187" s="241" t="n">
        <v>-10.94</v>
      </c>
      <c r="K4187" s="241" t="n">
        <v>11.21</v>
      </c>
      <c r="L4187" s="242" t="n">
        <v>2820550</v>
      </c>
      <c r="M4187" s="241" t="n">
        <v>-1.08</v>
      </c>
      <c r="N4187" s="241" t="n">
        <v>-3.03</v>
      </c>
      <c r="O4187" s="241" t="n">
        <v>-3.61</v>
      </c>
      <c r="P4187" s="241" t="n">
        <v>1.67</v>
      </c>
    </row>
    <row r="4188">
      <c r="A4188" s="282" t="inlineStr">
        <is>
          <t>2023-03-24</t>
        </is>
      </c>
      <c r="B4188" s="240">
        <f>IFERROR(1/P4188-1,B4187)</f>
        <v/>
      </c>
      <c r="C4188" s="240">
        <f>$C$3</f>
        <v/>
      </c>
      <c r="D4188" s="240">
        <f>$D$3</f>
        <v/>
      </c>
      <c r="E4188" s="240">
        <f>$E$3</f>
        <v/>
      </c>
      <c r="F4188" s="241" t="n">
        <v>18.75</v>
      </c>
      <c r="G4188" s="242" t="n">
        <v>14993873</v>
      </c>
      <c r="H4188" s="241" t="n">
        <v>0.16</v>
      </c>
      <c r="I4188" s="241" t="n">
        <v>-7.04</v>
      </c>
      <c r="J4188" s="241" t="n">
        <v>-10.8</v>
      </c>
      <c r="K4188" s="241" t="n">
        <v>11.1</v>
      </c>
      <c r="L4188" s="242" t="n">
        <v>1061000</v>
      </c>
      <c r="M4188" s="241" t="n">
        <v>-0.47</v>
      </c>
      <c r="N4188" s="241" t="n">
        <v>-4.07</v>
      </c>
      <c r="O4188" s="241" t="n">
        <v>-4.07</v>
      </c>
      <c r="P4188" s="241" t="n">
        <v>1.69</v>
      </c>
    </row>
    <row r="4189">
      <c r="A4189" s="282" t="inlineStr">
        <is>
          <t>2023-03-27</t>
        </is>
      </c>
      <c r="B4189" s="240">
        <f>IFERROR(1/P4189-1,B4188)</f>
        <v/>
      </c>
      <c r="C4189" s="240">
        <f>$C$3</f>
        <v/>
      </c>
      <c r="D4189" s="240">
        <f>$D$3</f>
        <v/>
      </c>
      <c r="E4189" s="240">
        <f>$E$3</f>
        <v/>
      </c>
      <c r="F4189" s="241" t="n">
        <v>19.47</v>
      </c>
      <c r="G4189" s="242" t="n">
        <v>38162338</v>
      </c>
      <c r="H4189" s="241" t="n">
        <v>3.84</v>
      </c>
      <c r="I4189" s="241" t="n">
        <v>-1.86</v>
      </c>
      <c r="J4189" s="241" t="n">
        <v>-7.37</v>
      </c>
      <c r="K4189" s="241" t="n">
        <v>11.22</v>
      </c>
      <c r="L4189" s="242" t="n">
        <v>2848600</v>
      </c>
      <c r="M4189" s="241" t="n">
        <v>0.63</v>
      </c>
      <c r="N4189" s="241" t="n">
        <v>-2.73</v>
      </c>
      <c r="O4189" s="241" t="n">
        <v>-3.46</v>
      </c>
      <c r="P4189" s="241" t="n">
        <v>1.73</v>
      </c>
    </row>
    <row r="4190">
      <c r="A4190" s="282" t="inlineStr">
        <is>
          <t>2023-03-28</t>
        </is>
      </c>
      <c r="B4190" s="240">
        <f>IFERROR(1/P4190-1,B4189)</f>
        <v/>
      </c>
      <c r="C4190" s="240">
        <f>$C$3</f>
        <v/>
      </c>
      <c r="D4190" s="240">
        <f>$D$3</f>
        <v/>
      </c>
      <c r="E4190" s="240">
        <f>$E$3</f>
        <v/>
      </c>
      <c r="F4190" s="241" t="n">
        <v>19.23</v>
      </c>
      <c r="G4190" s="242" t="n">
        <v>17068993</v>
      </c>
      <c r="H4190" s="241" t="n">
        <v>-1.23</v>
      </c>
      <c r="I4190" s="241" t="n">
        <v>-2.63</v>
      </c>
      <c r="J4190" s="241" t="n">
        <v>-8.52</v>
      </c>
      <c r="K4190" s="241" t="n">
        <v>11.44</v>
      </c>
      <c r="L4190" s="242" t="n">
        <v>3624600</v>
      </c>
      <c r="M4190" s="241" t="n">
        <v>1.87</v>
      </c>
      <c r="N4190" s="241" t="n">
        <v>0</v>
      </c>
      <c r="O4190" s="241" t="n">
        <v>-1.66</v>
      </c>
      <c r="P4190" s="241" t="n">
        <v>1.68</v>
      </c>
    </row>
    <row r="4191">
      <c r="A4191" s="282" t="inlineStr">
        <is>
          <t>2023-03-29</t>
        </is>
      </c>
      <c r="B4191" s="240">
        <f>IFERROR(1/P4191-1,B4190)</f>
        <v/>
      </c>
      <c r="C4191" s="240">
        <f>$C$3</f>
        <v/>
      </c>
      <c r="D4191" s="240">
        <f>$D$3</f>
        <v/>
      </c>
      <c r="E4191" s="240">
        <f>$E$3</f>
        <v/>
      </c>
      <c r="F4191" s="241" t="n">
        <v>18.76</v>
      </c>
      <c r="G4191" s="242" t="n">
        <v>20629439</v>
      </c>
      <c r="H4191" s="241" t="n">
        <v>-2.44</v>
      </c>
      <c r="I4191" s="241" t="n">
        <v>-5.01</v>
      </c>
      <c r="J4191" s="241" t="n">
        <v>-10.75</v>
      </c>
      <c r="K4191" s="241" t="n">
        <v>11.18</v>
      </c>
      <c r="L4191" s="242" t="n">
        <v>2183200</v>
      </c>
      <c r="M4191" s="241" t="n">
        <v>-2.3</v>
      </c>
      <c r="N4191" s="241" t="n">
        <v>-2.3</v>
      </c>
      <c r="O4191" s="241" t="n">
        <v>-3.92</v>
      </c>
      <c r="P4191" s="241" t="n">
        <v>1.68</v>
      </c>
    </row>
    <row r="4192">
      <c r="A4192" s="282" t="inlineStr">
        <is>
          <t>2023-03-30</t>
        </is>
      </c>
      <c r="B4192" s="240">
        <f>IFERROR(1/P4192-1,B4191)</f>
        <v/>
      </c>
      <c r="C4192" s="240">
        <f>$C$3</f>
        <v/>
      </c>
      <c r="D4192" s="240">
        <f>$D$3</f>
        <v/>
      </c>
      <c r="E4192" s="240">
        <f>$E$3</f>
        <v/>
      </c>
      <c r="F4192" s="241" t="n">
        <v>18.95</v>
      </c>
      <c r="G4192" s="242" t="n">
        <v>16132802</v>
      </c>
      <c r="H4192" s="241" t="n">
        <v>1.01</v>
      </c>
      <c r="I4192" s="241" t="n">
        <v>-4.05</v>
      </c>
      <c r="J4192" s="241" t="n">
        <v>-9.85</v>
      </c>
      <c r="K4192" s="241" t="n">
        <v>11.25</v>
      </c>
      <c r="L4192" s="242" t="n">
        <v>1234200</v>
      </c>
      <c r="M4192" s="241" t="n">
        <v>0.47</v>
      </c>
      <c r="N4192" s="241" t="n">
        <v>-1.84</v>
      </c>
      <c r="O4192" s="241" t="n">
        <v>-3.46</v>
      </c>
      <c r="P4192" s="241" t="n">
        <v>1.68</v>
      </c>
    </row>
    <row r="4193">
      <c r="A4193" s="282" t="inlineStr">
        <is>
          <t>2023-03-31</t>
        </is>
      </c>
      <c r="B4193" s="240">
        <f>IFERROR(1/P4193-1,B4192)</f>
        <v/>
      </c>
      <c r="C4193" s="240">
        <f>$C$3</f>
        <v/>
      </c>
      <c r="D4193" s="240">
        <f>$D$3</f>
        <v/>
      </c>
      <c r="E4193" s="240">
        <f>$E$3</f>
        <v/>
      </c>
      <c r="F4193" s="241" t="n">
        <v>18.96</v>
      </c>
      <c r="G4193" s="242" t="n">
        <v>12251296</v>
      </c>
      <c r="H4193" s="241" t="n">
        <v>0.05</v>
      </c>
      <c r="I4193" s="241" t="n">
        <v>-4</v>
      </c>
      <c r="J4193" s="241" t="n">
        <v>-9.800000000000001</v>
      </c>
      <c r="K4193" s="241" t="n">
        <v>11.1</v>
      </c>
      <c r="L4193" s="242" t="n">
        <v>1951200</v>
      </c>
      <c r="M4193" s="241" t="n">
        <v>-1.09</v>
      </c>
      <c r="N4193" s="241" t="n">
        <v>-2.91</v>
      </c>
      <c r="O4193" s="241" t="n">
        <v>-4.52</v>
      </c>
      <c r="P4193" s="241" t="n">
        <v>1.71</v>
      </c>
    </row>
    <row r="4194">
      <c r="A4194" s="282" t="inlineStr">
        <is>
          <t>2023-04-03</t>
        </is>
      </c>
      <c r="B4194" s="240">
        <f>IFERROR(1/P4194-1,B4193)</f>
        <v/>
      </c>
      <c r="C4194" s="240">
        <f>$C$3</f>
        <v/>
      </c>
      <c r="D4194" s="240">
        <f>$D$3</f>
        <v/>
      </c>
      <c r="E4194" s="240">
        <f>$E$3</f>
        <v/>
      </c>
      <c r="F4194" s="241" t="n">
        <v>18.66</v>
      </c>
      <c r="G4194" s="242" t="n">
        <v>26992753</v>
      </c>
      <c r="H4194" s="241" t="n">
        <v>-1.58</v>
      </c>
      <c r="I4194" s="241" t="n">
        <v>-8.800000000000001</v>
      </c>
      <c r="J4194" s="241" t="n">
        <v>-11.23</v>
      </c>
      <c r="K4194" s="241" t="n">
        <v>10.96</v>
      </c>
      <c r="L4194" s="242" t="n">
        <v>1733200</v>
      </c>
      <c r="M4194" s="241" t="n">
        <v>-1.42</v>
      </c>
      <c r="N4194" s="241" t="n">
        <v>-8.359999999999999</v>
      </c>
      <c r="O4194" s="241" t="n">
        <v>-5.87</v>
      </c>
      <c r="P4194" s="241" t="n">
        <v>1.7</v>
      </c>
    </row>
    <row r="4195">
      <c r="A4195" s="282" t="inlineStr">
        <is>
          <t>2023-04-04</t>
        </is>
      </c>
      <c r="B4195" s="240">
        <f>IFERROR(1/P4195-1,B4194)</f>
        <v/>
      </c>
      <c r="C4195" s="240">
        <f>$C$3</f>
        <v/>
      </c>
      <c r="D4195" s="240">
        <f>$D$3</f>
        <v/>
      </c>
      <c r="E4195" s="240">
        <f>$E$3</f>
        <v/>
      </c>
      <c r="F4195" s="241" t="n">
        <v>18.34</v>
      </c>
      <c r="G4195" s="242" t="n">
        <v>29097714</v>
      </c>
      <c r="H4195" s="241" t="n">
        <v>-1.71</v>
      </c>
      <c r="I4195" s="241" t="n">
        <v>-8.67</v>
      </c>
      <c r="J4195" s="241" t="n">
        <v>-12.75</v>
      </c>
      <c r="K4195" s="241" t="n">
        <v>10.77</v>
      </c>
      <c r="L4195" s="242" t="n">
        <v>3288000</v>
      </c>
      <c r="M4195" s="241" t="n">
        <v>-1.6</v>
      </c>
      <c r="N4195" s="241" t="n">
        <v>-7.93</v>
      </c>
      <c r="O4195" s="241" t="n">
        <v>-7.38</v>
      </c>
      <c r="P4195" s="241" t="n">
        <v>1.7</v>
      </c>
    </row>
    <row r="4196">
      <c r="A4196" s="282" t="inlineStr">
        <is>
          <t>2023-04-06</t>
        </is>
      </c>
      <c r="B4196" s="240">
        <f>IFERROR(1/P4196-1,B4195)</f>
        <v/>
      </c>
      <c r="C4196" s="240">
        <f>$C$3</f>
        <v/>
      </c>
      <c r="D4196" s="240">
        <f>$D$3</f>
        <v/>
      </c>
      <c r="E4196" s="240">
        <f>$E$3</f>
        <v/>
      </c>
      <c r="F4196" s="241" t="n">
        <v>17.87</v>
      </c>
      <c r="G4196" s="242" t="n">
        <v>57285891</v>
      </c>
      <c r="H4196" s="241" t="n">
        <v>-2.56</v>
      </c>
      <c r="I4196" s="241" t="n">
        <v>-11.01</v>
      </c>
      <c r="J4196" s="241" t="n">
        <v>-14.99</v>
      </c>
      <c r="K4196" s="241" t="n">
        <v>10.25</v>
      </c>
      <c r="L4196" s="242" t="n">
        <v>7308200</v>
      </c>
      <c r="M4196" s="241" t="n">
        <v>-4.88</v>
      </c>
      <c r="N4196" s="241" t="n">
        <v>-12.43</v>
      </c>
      <c r="O4196" s="241" t="n">
        <v>-11.9</v>
      </c>
      <c r="P4196" s="241" t="n">
        <v>1.74</v>
      </c>
    </row>
    <row r="4197">
      <c r="A4197" s="282" t="inlineStr">
        <is>
          <t>2023-04-07</t>
        </is>
      </c>
      <c r="B4197" s="240">
        <f>IFERROR(1/P4197-1,B4196)</f>
        <v/>
      </c>
      <c r="C4197" s="240">
        <f>$C$3</f>
        <v/>
      </c>
      <c r="D4197" s="240">
        <f>$D$3</f>
        <v/>
      </c>
      <c r="E4197" s="240">
        <f>$E$3</f>
        <v/>
      </c>
      <c r="F4197" s="241" t="n">
        <v>18.16</v>
      </c>
      <c r="G4197" s="242" t="n">
        <v>26798207</v>
      </c>
      <c r="H4197" s="241" t="n">
        <v>1.62</v>
      </c>
      <c r="I4197" s="241" t="n">
        <v>-15.18</v>
      </c>
      <c r="J4197" s="241" t="n">
        <v>-13.61</v>
      </c>
      <c r="K4197" s="239" t="inlineStr">
        <is>
          <t>--</t>
        </is>
      </c>
      <c r="L4197" s="239" t="inlineStr">
        <is>
          <t>--</t>
        </is>
      </c>
      <c r="M4197" s="239" t="inlineStr">
        <is>
          <t>--</t>
        </is>
      </c>
      <c r="N4197" s="239" t="inlineStr">
        <is>
          <t>--</t>
        </is>
      </c>
      <c r="O4197" s="239" t="inlineStr">
        <is>
          <t>--</t>
        </is>
      </c>
      <c r="P4197" s="239" t="inlineStr">
        <is>
          <t>--</t>
        </is>
      </c>
    </row>
    <row r="4198">
      <c r="A4198" s="282" t="inlineStr">
        <is>
          <t>2023-04-10</t>
        </is>
      </c>
      <c r="B4198" s="240">
        <f>IFERROR(1/P4198-1,B4197)</f>
        <v/>
      </c>
      <c r="C4198" s="240">
        <f>$C$3</f>
        <v/>
      </c>
      <c r="D4198" s="240">
        <f>$D$3</f>
        <v/>
      </c>
      <c r="E4198" s="240">
        <f>$E$3</f>
        <v/>
      </c>
      <c r="F4198" s="241" t="n">
        <v>18</v>
      </c>
      <c r="G4198" s="242" t="n">
        <v>19808529</v>
      </c>
      <c r="H4198" s="241" t="n">
        <v>-0.88</v>
      </c>
      <c r="I4198" s="241" t="n">
        <v>-14.16</v>
      </c>
      <c r="J4198" s="241" t="n">
        <v>-14.37</v>
      </c>
      <c r="K4198" s="239" t="inlineStr">
        <is>
          <t>--</t>
        </is>
      </c>
      <c r="L4198" s="239" t="inlineStr">
        <is>
          <t>--</t>
        </is>
      </c>
      <c r="M4198" s="239" t="inlineStr">
        <is>
          <t>--</t>
        </is>
      </c>
      <c r="N4198" s="239" t="inlineStr">
        <is>
          <t>--</t>
        </is>
      </c>
      <c r="O4198" s="239" t="inlineStr">
        <is>
          <t>--</t>
        </is>
      </c>
      <c r="P4198" s="239" t="inlineStr">
        <is>
          <t>--</t>
        </is>
      </c>
    </row>
    <row r="4199">
      <c r="A4199" s="282" t="inlineStr">
        <is>
          <t>2023-04-11</t>
        </is>
      </c>
      <c r="B4199" s="240">
        <f>IFERROR(1/P4199-1,B4198)</f>
        <v/>
      </c>
      <c r="C4199" s="240">
        <f>$C$3</f>
        <v/>
      </c>
      <c r="D4199" s="240">
        <f>$D$3</f>
        <v/>
      </c>
      <c r="E4199" s="240">
        <f>$E$3</f>
        <v/>
      </c>
      <c r="F4199" s="241" t="n">
        <v>18.37</v>
      </c>
      <c r="G4199" s="242" t="n">
        <v>23189476</v>
      </c>
      <c r="H4199" s="241" t="n">
        <v>2.06</v>
      </c>
      <c r="I4199" s="241" t="n">
        <v>-11.98</v>
      </c>
      <c r="J4199" s="241" t="n">
        <v>-12.61</v>
      </c>
      <c r="K4199" s="241" t="n">
        <v>10.65</v>
      </c>
      <c r="L4199" s="242" t="n">
        <v>4561800</v>
      </c>
      <c r="M4199" s="241" t="n">
        <v>3.76</v>
      </c>
      <c r="N4199" s="241" t="n">
        <v>-7.89</v>
      </c>
      <c r="O4199" s="241" t="n">
        <v>-8.58</v>
      </c>
      <c r="P4199" s="241" t="n">
        <v>1.72</v>
      </c>
    </row>
    <row r="4200">
      <c r="A4200" s="282" t="inlineStr">
        <is>
          <t>2023-04-12</t>
        </is>
      </c>
      <c r="B4200" s="240">
        <f>IFERROR(1/P4200-1,B4199)</f>
        <v/>
      </c>
      <c r="C4200" s="240">
        <f>$C$3</f>
        <v/>
      </c>
      <c r="D4200" s="240">
        <f>$D$3</f>
        <v/>
      </c>
      <c r="E4200" s="240">
        <f>$E$3</f>
        <v/>
      </c>
      <c r="F4200" s="241" t="n">
        <v>18.21</v>
      </c>
      <c r="G4200" s="242" t="n">
        <v>13268274</v>
      </c>
      <c r="H4200" s="241" t="n">
        <v>-0.87</v>
      </c>
      <c r="I4200" s="241" t="n">
        <v>-12.75</v>
      </c>
      <c r="J4200" s="241" t="n">
        <v>-13.37</v>
      </c>
      <c r="K4200" s="241" t="n">
        <v>10.42</v>
      </c>
      <c r="L4200" s="242" t="n">
        <v>1800600</v>
      </c>
      <c r="M4200" s="241" t="n">
        <v>-2.14</v>
      </c>
      <c r="N4200" s="241" t="n">
        <v>-9.859999999999999</v>
      </c>
      <c r="O4200" s="241" t="n">
        <v>-10.54</v>
      </c>
      <c r="P4200" s="241" t="n">
        <v>1.75</v>
      </c>
    </row>
    <row r="4201">
      <c r="A4201" s="282" t="inlineStr">
        <is>
          <t>2023-04-13</t>
        </is>
      </c>
      <c r="B4201" s="240">
        <f>IFERROR(1/P4201-1,B4200)</f>
        <v/>
      </c>
      <c r="C4201" s="240">
        <f>$C$3</f>
        <v/>
      </c>
      <c r="D4201" s="240">
        <f>$D$3</f>
        <v/>
      </c>
      <c r="E4201" s="240">
        <f>$E$3</f>
        <v/>
      </c>
      <c r="F4201" s="241" t="n">
        <v>17.93</v>
      </c>
      <c r="G4201" s="242" t="n">
        <v>14769085</v>
      </c>
      <c r="H4201" s="241" t="n">
        <v>-1.54</v>
      </c>
      <c r="I4201" s="241" t="n">
        <v>-14.09</v>
      </c>
      <c r="J4201" s="241" t="n">
        <v>-14.7</v>
      </c>
      <c r="K4201" s="241" t="n">
        <v>10.11</v>
      </c>
      <c r="L4201" s="242" t="n">
        <v>5018455</v>
      </c>
      <c r="M4201" s="241" t="n">
        <v>-2.69</v>
      </c>
      <c r="N4201" s="241" t="n">
        <v>-12.29</v>
      </c>
      <c r="O4201" s="241" t="n">
        <v>-12.95</v>
      </c>
      <c r="P4201" s="241" t="n">
        <v>1.77</v>
      </c>
    </row>
    <row r="4202">
      <c r="A4202" s="282" t="inlineStr">
        <is>
          <t>2023-04-14</t>
        </is>
      </c>
      <c r="B4202" s="240">
        <f>IFERROR(1/P4202-1,B4201)</f>
        <v/>
      </c>
      <c r="C4202" s="240">
        <f>$C$3</f>
        <v/>
      </c>
      <c r="D4202" s="240">
        <f>$D$3</f>
        <v/>
      </c>
      <c r="E4202" s="240">
        <f>$E$3</f>
        <v/>
      </c>
      <c r="F4202" s="241" t="n">
        <v>18.22</v>
      </c>
      <c r="G4202" s="242" t="n">
        <v>15398606</v>
      </c>
      <c r="H4202" s="241" t="n">
        <v>1.62</v>
      </c>
      <c r="I4202" s="241" t="n">
        <v>-12.57</v>
      </c>
      <c r="J4202" s="241" t="n">
        <v>-13.32</v>
      </c>
      <c r="K4202" s="241" t="n">
        <v>10.31</v>
      </c>
      <c r="L4202" s="242" t="n">
        <v>2706400</v>
      </c>
      <c r="M4202" s="241" t="n">
        <v>2.08</v>
      </c>
      <c r="N4202" s="241" t="n">
        <v>-12.59</v>
      </c>
      <c r="O4202" s="241" t="n">
        <v>-11.14</v>
      </c>
      <c r="P4202" s="241" t="n">
        <v>1.77</v>
      </c>
    </row>
    <row r="4203">
      <c r="A4203" s="282" t="inlineStr">
        <is>
          <t>2023-04-17</t>
        </is>
      </c>
      <c r="B4203" s="240">
        <f>IFERROR(1/P4203-1,B4202)</f>
        <v/>
      </c>
      <c r="C4203" s="240">
        <f>$C$3</f>
        <v/>
      </c>
      <c r="D4203" s="240">
        <f>$D$3</f>
        <v/>
      </c>
      <c r="E4203" s="240">
        <f>$E$3</f>
        <v/>
      </c>
      <c r="F4203" s="241" t="n">
        <v>18.26</v>
      </c>
      <c r="G4203" s="242" t="n">
        <v>15691318</v>
      </c>
      <c r="H4203" s="241" t="n">
        <v>0.22</v>
      </c>
      <c r="I4203" s="241" t="n">
        <v>-7.68</v>
      </c>
      <c r="J4203" s="241" t="n">
        <v>-13.13</v>
      </c>
      <c r="K4203" s="241" t="n">
        <v>10.52</v>
      </c>
      <c r="L4203" s="242" t="n">
        <v>1649600</v>
      </c>
      <c r="M4203" s="241" t="n">
        <v>1.86</v>
      </c>
      <c r="N4203" s="241" t="n">
        <v>-9.76</v>
      </c>
      <c r="O4203" s="241" t="n">
        <v>-9.49</v>
      </c>
      <c r="P4203" s="241" t="n">
        <v>1.74</v>
      </c>
    </row>
    <row r="4204">
      <c r="A4204" s="282" t="inlineStr">
        <is>
          <t>2023-04-18</t>
        </is>
      </c>
      <c r="B4204" s="240">
        <f>IFERROR(1/P4204-1,B4203)</f>
        <v/>
      </c>
      <c r="C4204" s="240">
        <f>$C$3</f>
        <v/>
      </c>
      <c r="D4204" s="240">
        <f>$D$3</f>
        <v/>
      </c>
      <c r="E4204" s="240">
        <f>$E$3</f>
        <v/>
      </c>
      <c r="F4204" s="241" t="n">
        <v>18.39</v>
      </c>
      <c r="G4204" s="242" t="n">
        <v>17012164</v>
      </c>
      <c r="H4204" s="241" t="n">
        <v>0.71</v>
      </c>
      <c r="I4204" s="241" t="n">
        <v>-2.7</v>
      </c>
      <c r="J4204" s="241" t="n">
        <v>-12.51</v>
      </c>
      <c r="K4204" s="241" t="n">
        <v>10.48</v>
      </c>
      <c r="L4204" s="242" t="n">
        <v>1070600</v>
      </c>
      <c r="M4204" s="241" t="n">
        <v>-0.5</v>
      </c>
      <c r="N4204" s="241" t="n">
        <v>-8</v>
      </c>
      <c r="O4204" s="241" t="n">
        <v>-9.94</v>
      </c>
      <c r="P4204" s="241" t="n">
        <v>1.75</v>
      </c>
    </row>
    <row r="4205">
      <c r="A4205" s="282" t="inlineStr">
        <is>
          <t>2023-04-19</t>
        </is>
      </c>
      <c r="B4205" s="240">
        <f>IFERROR(1/P4205-1,B4204)</f>
        <v/>
      </c>
      <c r="C4205" s="240">
        <f>$C$3</f>
        <v/>
      </c>
      <c r="D4205" s="240">
        <f>$D$3</f>
        <v/>
      </c>
      <c r="E4205" s="240">
        <f>$E$3</f>
        <v/>
      </c>
      <c r="F4205" s="241" t="n">
        <v>18.03</v>
      </c>
      <c r="G4205" s="242" t="n">
        <v>15919441</v>
      </c>
      <c r="H4205" s="241" t="n">
        <v>-1.96</v>
      </c>
      <c r="I4205" s="241" t="n">
        <v>-4.6</v>
      </c>
      <c r="J4205" s="241" t="n">
        <v>-14.22</v>
      </c>
      <c r="K4205" s="241" t="n">
        <v>10.32</v>
      </c>
      <c r="L4205" s="242" t="n">
        <v>1481800</v>
      </c>
      <c r="M4205" s="241" t="n">
        <v>-1.5</v>
      </c>
      <c r="N4205" s="241" t="n">
        <v>-9.380000000000001</v>
      </c>
      <c r="O4205" s="241" t="n">
        <v>-11.3</v>
      </c>
      <c r="P4205" s="241" t="n">
        <v>1.75</v>
      </c>
    </row>
    <row r="4206">
      <c r="A4206" s="282" t="inlineStr">
        <is>
          <t>2023-04-20</t>
        </is>
      </c>
      <c r="B4206" s="240">
        <f>IFERROR(1/P4206-1,B4205)</f>
        <v/>
      </c>
      <c r="C4206" s="240">
        <f>$C$3</f>
        <v/>
      </c>
      <c r="D4206" s="240">
        <f>$D$3</f>
        <v/>
      </c>
      <c r="E4206" s="240">
        <f>$E$3</f>
        <v/>
      </c>
      <c r="F4206" s="241" t="n">
        <v>17.52</v>
      </c>
      <c r="G4206" s="242" t="n">
        <v>26298690</v>
      </c>
      <c r="H4206" s="241" t="n">
        <v>-2.83</v>
      </c>
      <c r="I4206" s="241" t="n">
        <v>-7.3</v>
      </c>
      <c r="J4206" s="241" t="n">
        <v>-16.65</v>
      </c>
      <c r="K4206" s="241" t="n">
        <v>10.25</v>
      </c>
      <c r="L4206" s="242" t="n">
        <v>1813000</v>
      </c>
      <c r="M4206" s="241" t="n">
        <v>-1.02</v>
      </c>
      <c r="N4206" s="241" t="n">
        <v>-10.31</v>
      </c>
      <c r="O4206" s="241" t="n">
        <v>-12.2</v>
      </c>
      <c r="P4206" s="241" t="n">
        <v>1.71</v>
      </c>
    </row>
    <row r="4207">
      <c r="A4207" s="282" t="inlineStr">
        <is>
          <t>2023-04-21</t>
        </is>
      </c>
      <c r="B4207" s="240">
        <f>IFERROR(1/P4207-1,B4206)</f>
        <v/>
      </c>
      <c r="C4207" s="240">
        <f>$C$3</f>
        <v/>
      </c>
      <c r="D4207" s="240">
        <f>$D$3</f>
        <v/>
      </c>
      <c r="E4207" s="240">
        <f>$E$3</f>
        <v/>
      </c>
      <c r="F4207" s="241" t="n">
        <v>17.21</v>
      </c>
      <c r="G4207" s="242" t="n">
        <v>16333445</v>
      </c>
      <c r="H4207" s="241" t="n">
        <v>-1.77</v>
      </c>
      <c r="I4207" s="241" t="n">
        <v>-8.75</v>
      </c>
      <c r="J4207" s="241" t="n">
        <v>-18.13</v>
      </c>
      <c r="K4207" s="241" t="n">
        <v>10.02</v>
      </c>
      <c r="L4207" s="242" t="n">
        <v>1614600</v>
      </c>
      <c r="M4207" s="241" t="n">
        <v>-1.89</v>
      </c>
      <c r="N4207" s="241" t="n">
        <v>-11.32</v>
      </c>
      <c r="O4207" s="241" t="n">
        <v>-13.86</v>
      </c>
      <c r="P4207" s="241" t="n">
        <v>1.72</v>
      </c>
    </row>
    <row r="4208">
      <c r="A4208" s="282" t="inlineStr">
        <is>
          <t>2023-04-24</t>
        </is>
      </c>
      <c r="B4208" s="240">
        <f>IFERROR(1/P4208-1,B4207)</f>
        <v/>
      </c>
      <c r="C4208" s="240">
        <f>$C$3</f>
        <v/>
      </c>
      <c r="D4208" s="240">
        <f>$D$3</f>
        <v/>
      </c>
      <c r="E4208" s="240">
        <f>$E$3</f>
        <v/>
      </c>
      <c r="F4208" s="241" t="n">
        <v>17.19</v>
      </c>
      <c r="G4208" s="242" t="n">
        <v>16475739</v>
      </c>
      <c r="H4208" s="241" t="n">
        <v>-0.12</v>
      </c>
      <c r="I4208" s="241" t="n">
        <v>-8.17</v>
      </c>
      <c r="J4208" s="241" t="n">
        <v>-18.22</v>
      </c>
      <c r="K4208" s="241" t="n">
        <v>10.02</v>
      </c>
      <c r="L4208" s="242" t="n">
        <v>1275800</v>
      </c>
      <c r="M4208" s="241" t="n">
        <v>-0.17</v>
      </c>
      <c r="N4208" s="241" t="n">
        <v>-10.78</v>
      </c>
      <c r="O4208" s="241" t="n">
        <v>-14.01</v>
      </c>
      <c r="P4208" s="241" t="n">
        <v>1.72</v>
      </c>
    </row>
    <row r="4209">
      <c r="A4209" s="282" t="inlineStr">
        <is>
          <t>2023-04-25</t>
        </is>
      </c>
      <c r="B4209" s="240">
        <f>IFERROR(1/P4209-1,B4208)</f>
        <v/>
      </c>
      <c r="C4209" s="240">
        <f>$C$3</f>
        <v/>
      </c>
      <c r="D4209" s="240">
        <f>$D$3</f>
        <v/>
      </c>
      <c r="E4209" s="240">
        <f>$E$3</f>
        <v/>
      </c>
      <c r="F4209" s="241" t="n">
        <v>16.83</v>
      </c>
      <c r="G4209" s="242" t="n">
        <v>20922121</v>
      </c>
      <c r="H4209" s="241" t="n">
        <v>-2.09</v>
      </c>
      <c r="I4209" s="241" t="n">
        <v>-10.24</v>
      </c>
      <c r="J4209" s="241" t="n">
        <v>-19.93</v>
      </c>
      <c r="K4209" s="241" t="n">
        <v>9.58</v>
      </c>
      <c r="L4209" s="242" t="n">
        <v>3939200</v>
      </c>
      <c r="M4209" s="241" t="n">
        <v>-4.38</v>
      </c>
      <c r="N4209" s="241" t="n">
        <v>-14.29</v>
      </c>
      <c r="O4209" s="241" t="n">
        <v>-17.77</v>
      </c>
      <c r="P4209" s="241" t="n">
        <v>1.76</v>
      </c>
    </row>
    <row r="4210">
      <c r="A4210" s="282" t="inlineStr">
        <is>
          <t>2023-04-26</t>
        </is>
      </c>
      <c r="B4210" s="240">
        <f>IFERROR(1/P4210-1,B4209)</f>
        <v/>
      </c>
      <c r="C4210" s="240">
        <f>$C$3</f>
        <v/>
      </c>
      <c r="D4210" s="240">
        <f>$D$3</f>
        <v/>
      </c>
      <c r="E4210" s="240">
        <f>$E$3</f>
        <v/>
      </c>
      <c r="F4210" s="241" t="n">
        <v>17.34</v>
      </c>
      <c r="G4210" s="242" t="n">
        <v>22667004</v>
      </c>
      <c r="H4210" s="241" t="n">
        <v>3.03</v>
      </c>
      <c r="I4210" s="241" t="n">
        <v>-7.52</v>
      </c>
      <c r="J4210" s="241" t="n">
        <v>-17.51</v>
      </c>
      <c r="K4210" s="241" t="n">
        <v>9.98</v>
      </c>
      <c r="L4210" s="242" t="n">
        <v>3541400</v>
      </c>
      <c r="M4210" s="241" t="n">
        <v>3.66</v>
      </c>
      <c r="N4210" s="241" t="n">
        <v>-11.15</v>
      </c>
      <c r="O4210" s="241" t="n">
        <v>-14.76</v>
      </c>
      <c r="P4210" s="241" t="n">
        <v>1.74</v>
      </c>
    </row>
    <row r="4211">
      <c r="A4211" s="282" t="inlineStr">
        <is>
          <t>2023-04-27</t>
        </is>
      </c>
      <c r="B4211" s="240">
        <f>IFERROR(1/P4211-1,B4210)</f>
        <v/>
      </c>
      <c r="C4211" s="240">
        <f>$C$3</f>
        <v/>
      </c>
      <c r="D4211" s="240">
        <f>$D$3</f>
        <v/>
      </c>
      <c r="E4211" s="240">
        <f>$E$3</f>
        <v/>
      </c>
      <c r="F4211" s="241" t="n">
        <v>17.4</v>
      </c>
      <c r="G4211" s="242" t="n">
        <v>12813938</v>
      </c>
      <c r="H4211" s="241" t="n">
        <v>0.35</v>
      </c>
      <c r="I4211" s="241" t="n">
        <v>-7.2</v>
      </c>
      <c r="J4211" s="241" t="n">
        <v>-17.22</v>
      </c>
      <c r="K4211" s="241" t="n">
        <v>9.960000000000001</v>
      </c>
      <c r="L4211" s="242" t="n">
        <v>1422600</v>
      </c>
      <c r="M4211" s="241" t="n">
        <v>-0.18</v>
      </c>
      <c r="N4211" s="241" t="n">
        <v>-11.3</v>
      </c>
      <c r="O4211" s="241" t="n">
        <v>-14.91</v>
      </c>
      <c r="P4211" s="241" t="n">
        <v>1.75</v>
      </c>
    </row>
    <row r="4212">
      <c r="A4212" s="282" t="inlineStr">
        <is>
          <t>2023-04-28</t>
        </is>
      </c>
      <c r="B4212" s="240">
        <f>IFERROR(1/P4212-1,B4211)</f>
        <v/>
      </c>
      <c r="C4212" s="240">
        <f>$C$3</f>
        <v/>
      </c>
      <c r="D4212" s="240">
        <f>$D$3</f>
        <v/>
      </c>
      <c r="E4212" s="240">
        <f>$E$3</f>
        <v/>
      </c>
      <c r="F4212" s="241" t="n">
        <v>17.42</v>
      </c>
      <c r="G4212" s="242" t="n">
        <v>13292077</v>
      </c>
      <c r="H4212" s="241" t="n">
        <v>0.11</v>
      </c>
      <c r="I4212" s="241" t="n">
        <v>-10.53</v>
      </c>
      <c r="J4212" s="241" t="n">
        <v>-17.13</v>
      </c>
      <c r="K4212" s="241" t="n">
        <v>9.77</v>
      </c>
      <c r="L4212" s="242" t="n">
        <v>1715400</v>
      </c>
      <c r="M4212" s="241" t="n">
        <v>-1.95</v>
      </c>
      <c r="N4212" s="241" t="n">
        <v>-13.57</v>
      </c>
      <c r="O4212" s="241" t="n">
        <v>-16.57</v>
      </c>
      <c r="P4212" s="241" t="n">
        <v>1.78</v>
      </c>
    </row>
    <row r="4213">
      <c r="A4213" s="282" t="inlineStr">
        <is>
          <t>2023-05-04</t>
        </is>
      </c>
      <c r="B4213" s="240">
        <f>IFERROR(1/P4213-1,B4212)</f>
        <v/>
      </c>
      <c r="C4213" s="240">
        <f>$C$3</f>
        <v/>
      </c>
      <c r="D4213" s="240">
        <f>$D$3</f>
        <v/>
      </c>
      <c r="E4213" s="240">
        <f>$E$3</f>
        <v/>
      </c>
      <c r="F4213" s="241" t="n">
        <v>17.87</v>
      </c>
      <c r="G4213" s="242" t="n">
        <v>25393279</v>
      </c>
      <c r="H4213" s="241" t="n">
        <v>2.58</v>
      </c>
      <c r="I4213" s="241" t="n">
        <v>-4.23</v>
      </c>
      <c r="J4213" s="241" t="n">
        <v>-14.99</v>
      </c>
      <c r="K4213" s="241" t="n">
        <v>10.1</v>
      </c>
      <c r="L4213" s="242" t="n">
        <v>3581200</v>
      </c>
      <c r="M4213" s="241" t="n">
        <v>5.13</v>
      </c>
      <c r="N4213" s="241" t="n">
        <v>-8.16</v>
      </c>
      <c r="O4213" s="241" t="n">
        <v>-13.55</v>
      </c>
      <c r="P4213" s="241" t="n">
        <v>1.77</v>
      </c>
    </row>
    <row r="4214">
      <c r="A4214" s="282" t="inlineStr">
        <is>
          <t>2023-05-05</t>
        </is>
      </c>
      <c r="B4214" s="240">
        <f>IFERROR(1/P4214-1,B4213)</f>
        <v/>
      </c>
      <c r="C4214" s="240">
        <f>$C$3</f>
        <v/>
      </c>
      <c r="D4214" s="240">
        <f>$D$3</f>
        <v/>
      </c>
      <c r="E4214" s="240">
        <f>$E$3</f>
        <v/>
      </c>
      <c r="F4214" s="241" t="n">
        <v>17.77</v>
      </c>
      <c r="G4214" s="242" t="n">
        <v>16283100</v>
      </c>
      <c r="H4214" s="241" t="n">
        <v>-0.5600000000000001</v>
      </c>
      <c r="I4214" s="241" t="n">
        <v>-3.11</v>
      </c>
      <c r="J4214" s="241" t="n">
        <v>-15.46</v>
      </c>
      <c r="K4214" s="241" t="n">
        <v>9.9</v>
      </c>
      <c r="L4214" s="242" t="n">
        <v>2211600</v>
      </c>
      <c r="M4214" s="241" t="n">
        <v>-2.09</v>
      </c>
      <c r="N4214" s="241" t="n">
        <v>-8.619999999999999</v>
      </c>
      <c r="O4214" s="241" t="n">
        <v>-15.36</v>
      </c>
      <c r="P4214" s="241" t="n">
        <v>1.8</v>
      </c>
    </row>
    <row r="4215">
      <c r="A4215" s="282" t="inlineStr">
        <is>
          <t>2023-05-08</t>
        </is>
      </c>
      <c r="B4215" s="240">
        <f>IFERROR(1/P4215-1,B4214)</f>
        <v/>
      </c>
      <c r="C4215" s="240">
        <f>$C$3</f>
        <v/>
      </c>
      <c r="D4215" s="240">
        <f>$D$3</f>
        <v/>
      </c>
      <c r="E4215" s="240">
        <f>$E$3</f>
        <v/>
      </c>
      <c r="F4215" s="241" t="n">
        <v>18.18</v>
      </c>
      <c r="G4215" s="242" t="n">
        <v>31074209</v>
      </c>
      <c r="H4215" s="241" t="n">
        <v>2.31</v>
      </c>
      <c r="I4215" s="241" t="n">
        <v>0.11</v>
      </c>
      <c r="J4215" s="241" t="n">
        <v>-13.51</v>
      </c>
      <c r="K4215" s="241" t="n">
        <v>10.08</v>
      </c>
      <c r="L4215" s="242" t="n">
        <v>2850200</v>
      </c>
      <c r="M4215" s="241" t="n">
        <v>1.78</v>
      </c>
      <c r="N4215" s="241" t="n">
        <v>-2.22</v>
      </c>
      <c r="O4215" s="241" t="n">
        <v>-13.86</v>
      </c>
      <c r="P4215" s="241" t="n">
        <v>1.8</v>
      </c>
    </row>
    <row r="4216">
      <c r="A4216" s="282" t="inlineStr">
        <is>
          <t>2023-05-09</t>
        </is>
      </c>
      <c r="B4216" s="240">
        <f>IFERROR(1/P4216-1,B4215)</f>
        <v/>
      </c>
      <c r="C4216" s="240">
        <f>$C$3</f>
        <v/>
      </c>
      <c r="D4216" s="240">
        <f>$D$3</f>
        <v/>
      </c>
      <c r="E4216" s="240">
        <f>$E$3</f>
        <v/>
      </c>
      <c r="F4216" s="241" t="n">
        <v>18.06</v>
      </c>
      <c r="G4216" s="242" t="n">
        <v>18958491</v>
      </c>
      <c r="H4216" s="241" t="n">
        <v>-0.66</v>
      </c>
      <c r="I4216" s="241" t="n">
        <v>-0.55</v>
      </c>
      <c r="J4216" s="241" t="n">
        <v>-14.08</v>
      </c>
      <c r="K4216" s="241" t="n">
        <v>9.9</v>
      </c>
      <c r="L4216" s="242" t="n">
        <v>1993400</v>
      </c>
      <c r="M4216" s="241" t="n">
        <v>-1.92</v>
      </c>
      <c r="N4216" s="241" t="n">
        <v>-4.1</v>
      </c>
      <c r="O4216" s="241" t="n">
        <v>-15.51</v>
      </c>
      <c r="P4216" s="241" t="n">
        <v>1.82</v>
      </c>
    </row>
    <row r="4217">
      <c r="A4217" s="282" t="inlineStr">
        <is>
          <t>2023-05-10</t>
        </is>
      </c>
      <c r="B4217" s="240">
        <f>IFERROR(1/P4217-1,B4216)</f>
        <v/>
      </c>
      <c r="C4217" s="240">
        <f>$C$3</f>
        <v/>
      </c>
      <c r="D4217" s="240">
        <f>$D$3</f>
        <v/>
      </c>
      <c r="E4217" s="240">
        <f>$E$3</f>
        <v/>
      </c>
      <c r="F4217" s="241" t="n">
        <v>18.25</v>
      </c>
      <c r="G4217" s="242" t="n">
        <v>16035554</v>
      </c>
      <c r="H4217" s="241" t="n">
        <v>1.05</v>
      </c>
      <c r="I4217" s="241" t="n">
        <v>0.5</v>
      </c>
      <c r="J4217" s="241" t="n">
        <v>-13.18</v>
      </c>
      <c r="K4217" s="241" t="n">
        <v>9.99</v>
      </c>
      <c r="L4217" s="242" t="n">
        <v>1542600</v>
      </c>
      <c r="M4217" s="241" t="n">
        <v>0.71</v>
      </c>
      <c r="N4217" s="241" t="n">
        <v>-3.42</v>
      </c>
      <c r="O4217" s="241" t="n">
        <v>-14.91</v>
      </c>
      <c r="P4217" s="241" t="n">
        <v>1.83</v>
      </c>
    </row>
    <row r="4218">
      <c r="A4218" s="282" t="inlineStr">
        <is>
          <t>2023-05-11</t>
        </is>
      </c>
      <c r="B4218" s="240">
        <f>IFERROR(1/P4218-1,B4217)</f>
        <v/>
      </c>
      <c r="C4218" s="240">
        <f>$C$3</f>
        <v/>
      </c>
      <c r="D4218" s="240">
        <f>$D$3</f>
        <v/>
      </c>
      <c r="E4218" s="240">
        <f>$E$3</f>
        <v/>
      </c>
      <c r="F4218" s="241" t="n">
        <v>18.19</v>
      </c>
      <c r="G4218" s="242" t="n">
        <v>11899207</v>
      </c>
      <c r="H4218" s="241" t="n">
        <v>-0.33</v>
      </c>
      <c r="I4218" s="241" t="n">
        <v>1.06</v>
      </c>
      <c r="J4218" s="241" t="n">
        <v>-13.46</v>
      </c>
      <c r="K4218" s="241" t="n">
        <v>9.84</v>
      </c>
      <c r="L4218" s="242" t="n">
        <v>1725600</v>
      </c>
      <c r="M4218" s="241" t="n">
        <v>-1.42</v>
      </c>
      <c r="N4218" s="241" t="n">
        <v>-4.79</v>
      </c>
      <c r="O4218" s="241" t="n">
        <v>-16.11</v>
      </c>
      <c r="P4218" s="241" t="n">
        <v>1.85</v>
      </c>
    </row>
    <row r="4219">
      <c r="A4219" s="282" t="inlineStr">
        <is>
          <t>2023-05-12</t>
        </is>
      </c>
      <c r="B4219" s="240">
        <f>IFERROR(1/P4219-1,B4218)</f>
        <v/>
      </c>
      <c r="C4219" s="240">
        <f>$C$3</f>
        <v/>
      </c>
      <c r="D4219" s="240">
        <f>$D$3</f>
        <v/>
      </c>
      <c r="E4219" s="240">
        <f>$E$3</f>
        <v/>
      </c>
      <c r="F4219" s="241" t="n">
        <v>17.96</v>
      </c>
      <c r="G4219" s="242" t="n">
        <v>10957473</v>
      </c>
      <c r="H4219" s="241" t="n">
        <v>-1.26</v>
      </c>
      <c r="I4219" s="241" t="n">
        <v>-2.23</v>
      </c>
      <c r="J4219" s="241" t="n">
        <v>-14.56</v>
      </c>
      <c r="K4219" s="241" t="n">
        <v>9.789999999999999</v>
      </c>
      <c r="L4219" s="242" t="n">
        <v>1413600</v>
      </c>
      <c r="M4219" s="241" t="n">
        <v>-0.9</v>
      </c>
      <c r="N4219" s="241" t="n">
        <v>-9.06</v>
      </c>
      <c r="O4219" s="241" t="n">
        <v>-16.87</v>
      </c>
      <c r="P4219" s="241" t="n">
        <v>1.84</v>
      </c>
    </row>
    <row r="4220">
      <c r="A4220" s="282" t="inlineStr">
        <is>
          <t>2023-05-15</t>
        </is>
      </c>
      <c r="B4220" s="240">
        <f>IFERROR(1/P4220-1,B4219)</f>
        <v/>
      </c>
      <c r="C4220" s="240">
        <f>$C$3</f>
        <v/>
      </c>
      <c r="D4220" s="240">
        <f>$D$3</f>
        <v/>
      </c>
      <c r="E4220" s="240">
        <f>$E$3</f>
        <v/>
      </c>
      <c r="F4220" s="241" t="n">
        <v>18.25</v>
      </c>
      <c r="G4220" s="242" t="n">
        <v>17508214</v>
      </c>
      <c r="H4220" s="241" t="n">
        <v>1.61</v>
      </c>
      <c r="I4220" s="241" t="n">
        <v>0.16</v>
      </c>
      <c r="J4220" s="241" t="n">
        <v>-13.18</v>
      </c>
      <c r="K4220" s="241" t="n">
        <v>9.630000000000001</v>
      </c>
      <c r="L4220" s="242" t="n">
        <v>11273800</v>
      </c>
      <c r="M4220" s="241" t="n">
        <v>-1.81</v>
      </c>
      <c r="N4220" s="241" t="n">
        <v>-8.140000000000001</v>
      </c>
      <c r="O4220" s="241" t="n">
        <v>-18.37</v>
      </c>
      <c r="P4220" s="241" t="n">
        <v>1.9</v>
      </c>
    </row>
    <row r="4221">
      <c r="A4221" s="282" t="inlineStr">
        <is>
          <t>2023-05-16</t>
        </is>
      </c>
      <c r="B4221" s="240">
        <f>IFERROR(1/P4221-1,B4220)</f>
        <v/>
      </c>
      <c r="C4221" s="240">
        <f>$C$3</f>
        <v/>
      </c>
      <c r="D4221" s="240">
        <f>$D$3</f>
        <v/>
      </c>
      <c r="E4221" s="240">
        <f>$E$3</f>
        <v/>
      </c>
      <c r="F4221" s="241" t="n">
        <v>18.84</v>
      </c>
      <c r="G4221" s="242" t="n">
        <v>35376165</v>
      </c>
      <c r="H4221" s="241" t="n">
        <v>3.23</v>
      </c>
      <c r="I4221" s="241" t="n">
        <v>3.4</v>
      </c>
      <c r="J4221" s="241" t="n">
        <v>-10.37</v>
      </c>
      <c r="K4221" s="241" t="n">
        <v>10.04</v>
      </c>
      <c r="L4221" s="242" t="n">
        <v>4414400</v>
      </c>
      <c r="M4221" s="241" t="n">
        <v>4.43</v>
      </c>
      <c r="N4221" s="241" t="n">
        <v>-4.07</v>
      </c>
      <c r="O4221" s="241" t="n">
        <v>-14.76</v>
      </c>
      <c r="P4221" s="241" t="n">
        <v>1.88</v>
      </c>
    </row>
    <row r="4222">
      <c r="A4222" s="282" t="inlineStr">
        <is>
          <t>2023-05-17</t>
        </is>
      </c>
      <c r="B4222" s="240">
        <f>IFERROR(1/P4222-1,B4221)</f>
        <v/>
      </c>
      <c r="C4222" s="240">
        <f>$C$3</f>
        <v/>
      </c>
      <c r="D4222" s="240">
        <f>$D$3</f>
        <v/>
      </c>
      <c r="E4222" s="240">
        <f>$E$3</f>
        <v/>
      </c>
      <c r="F4222" s="241" t="n">
        <v>19.08</v>
      </c>
      <c r="G4222" s="242" t="n">
        <v>24850559</v>
      </c>
      <c r="H4222" s="241" t="n">
        <v>1.27</v>
      </c>
      <c r="I4222" s="241" t="n">
        <v>4.72</v>
      </c>
      <c r="J4222" s="241" t="n">
        <v>-9.23</v>
      </c>
      <c r="K4222" s="241" t="n">
        <v>9.970000000000001</v>
      </c>
      <c r="L4222" s="242" t="n">
        <v>3001400</v>
      </c>
      <c r="M4222" s="241" t="n">
        <v>-1.06</v>
      </c>
      <c r="N4222" s="241" t="n">
        <v>-5.08</v>
      </c>
      <c r="O4222" s="241" t="n">
        <v>-15.66</v>
      </c>
      <c r="P4222" s="241" t="n">
        <v>1.91</v>
      </c>
    </row>
    <row r="4223">
      <c r="A4223" s="282" t="inlineStr">
        <is>
          <t>2023-05-18</t>
        </is>
      </c>
      <c r="B4223" s="240">
        <f>IFERROR(1/P4223-1,B4222)</f>
        <v/>
      </c>
      <c r="C4223" s="240">
        <f>$C$3</f>
        <v/>
      </c>
      <c r="D4223" s="240">
        <f>$D$3</f>
        <v/>
      </c>
      <c r="E4223" s="240">
        <f>$E$3</f>
        <v/>
      </c>
      <c r="F4223" s="241" t="n">
        <v>18.98</v>
      </c>
      <c r="G4223" s="242" t="n">
        <v>17588887</v>
      </c>
      <c r="H4223" s="241" t="n">
        <v>-0.52</v>
      </c>
      <c r="I4223" s="241" t="n">
        <v>3.94</v>
      </c>
      <c r="J4223" s="241" t="n">
        <v>-9.710000000000001</v>
      </c>
      <c r="K4223" s="241" t="n">
        <v>10.12</v>
      </c>
      <c r="L4223" s="242" t="n">
        <v>1527000</v>
      </c>
      <c r="M4223" s="241" t="n">
        <v>1.07</v>
      </c>
      <c r="N4223" s="241" t="n">
        <v>-5.82</v>
      </c>
      <c r="O4223" s="241" t="n">
        <v>-14.76</v>
      </c>
      <c r="P4223" s="241" t="n">
        <v>1.88</v>
      </c>
    </row>
    <row r="4224">
      <c r="A4224" s="282" t="inlineStr">
        <is>
          <t>2023-05-19</t>
        </is>
      </c>
      <c r="B4224" s="240">
        <f>IFERROR(1/P4224-1,B4223)</f>
        <v/>
      </c>
      <c r="C4224" s="240">
        <f>$C$3</f>
        <v/>
      </c>
      <c r="D4224" s="240">
        <f>$D$3</f>
        <v/>
      </c>
      <c r="E4224" s="240">
        <f>$E$3</f>
        <v/>
      </c>
      <c r="F4224" s="241" t="n">
        <v>18.78</v>
      </c>
      <c r="G4224" s="242" t="n">
        <v>22180507</v>
      </c>
      <c r="H4224" s="241" t="n">
        <v>-1.05</v>
      </c>
      <c r="I4224" s="241" t="n">
        <v>2.12</v>
      </c>
      <c r="J4224" s="241" t="n">
        <v>-10.66</v>
      </c>
      <c r="K4224" s="241" t="n">
        <v>9.99</v>
      </c>
      <c r="L4224" s="242" t="n">
        <v>1763000</v>
      </c>
      <c r="M4224" s="241" t="n">
        <v>-1.94</v>
      </c>
      <c r="N4224" s="241" t="n">
        <v>-7.19</v>
      </c>
      <c r="O4224" s="241" t="n">
        <v>-16.42</v>
      </c>
      <c r="P4224" s="241" t="n">
        <v>1.88</v>
      </c>
    </row>
    <row r="4225">
      <c r="A4225" s="282" t="inlineStr">
        <is>
          <t>2023-05-22</t>
        </is>
      </c>
      <c r="B4225" s="240">
        <f>IFERROR(1/P4225-1,B4224)</f>
        <v/>
      </c>
      <c r="C4225" s="240">
        <f>$C$3</f>
        <v/>
      </c>
      <c r="D4225" s="240">
        <f>$D$3</f>
        <v/>
      </c>
      <c r="E4225" s="240">
        <f>$E$3</f>
        <v/>
      </c>
      <c r="F4225" s="241" t="n">
        <v>19.04</v>
      </c>
      <c r="G4225" s="242" t="n">
        <v>20535661</v>
      </c>
      <c r="H4225" s="241" t="n">
        <v>1.38</v>
      </c>
      <c r="I4225" s="241" t="n">
        <v>10.63</v>
      </c>
      <c r="J4225" s="241" t="n">
        <v>-9.42</v>
      </c>
      <c r="K4225" s="241" t="n">
        <v>9.99</v>
      </c>
      <c r="L4225" s="242" t="n">
        <v>544400</v>
      </c>
      <c r="M4225" s="241" t="n">
        <v>0.36</v>
      </c>
      <c r="N4225" s="241" t="n">
        <v>-2.62</v>
      </c>
      <c r="O4225" s="241" t="n">
        <v>-16.11</v>
      </c>
      <c r="P4225" s="241" t="n">
        <v>1.91</v>
      </c>
    </row>
    <row r="4226">
      <c r="A4226" s="282" t="inlineStr">
        <is>
          <t>2023-05-23</t>
        </is>
      </c>
      <c r="B4226" s="240">
        <f>IFERROR(1/P4226-1,B4225)</f>
        <v/>
      </c>
      <c r="C4226" s="240">
        <f>$C$3</f>
        <v/>
      </c>
      <c r="D4226" s="240">
        <f>$D$3</f>
        <v/>
      </c>
      <c r="E4226" s="240">
        <f>$E$3</f>
        <v/>
      </c>
      <c r="F4226" s="241" t="n">
        <v>18.4</v>
      </c>
      <c r="G4226" s="242" t="n">
        <v>14919141</v>
      </c>
      <c r="H4226" s="241" t="n">
        <v>-3.36</v>
      </c>
      <c r="I4226" s="241" t="n">
        <v>6.91</v>
      </c>
      <c r="J4226" s="241" t="n">
        <v>-12.46</v>
      </c>
      <c r="K4226" s="241" t="n">
        <v>9.81</v>
      </c>
      <c r="L4226" s="242" t="n">
        <v>998800</v>
      </c>
      <c r="M4226" s="241" t="n">
        <v>-1.97</v>
      </c>
      <c r="N4226" s="241" t="n">
        <v>-4.55</v>
      </c>
      <c r="O4226" s="241" t="n">
        <v>-17.77</v>
      </c>
      <c r="P4226" s="241" t="n">
        <v>1.88</v>
      </c>
    </row>
    <row r="4227">
      <c r="A4227" s="282" t="inlineStr">
        <is>
          <t>2023-05-24</t>
        </is>
      </c>
      <c r="B4227" s="240">
        <f>IFERROR(1/P4227-1,B4226)</f>
        <v/>
      </c>
      <c r="C4227" s="240">
        <f>$C$3</f>
        <v/>
      </c>
      <c r="D4227" s="240">
        <f>$D$3</f>
        <v/>
      </c>
      <c r="E4227" s="240">
        <f>$E$3</f>
        <v/>
      </c>
      <c r="F4227" s="241" t="n">
        <v>18.31</v>
      </c>
      <c r="G4227" s="242" t="n">
        <v>10994591</v>
      </c>
      <c r="H4227" s="241" t="n">
        <v>-0.49</v>
      </c>
      <c r="I4227" s="241" t="n">
        <v>6.39</v>
      </c>
      <c r="J4227" s="241" t="n">
        <v>-12.89</v>
      </c>
      <c r="K4227" s="241" t="n">
        <v>9.69</v>
      </c>
      <c r="L4227" s="242" t="n">
        <v>1126100</v>
      </c>
      <c r="M4227" s="241" t="n">
        <v>-1.47</v>
      </c>
      <c r="N4227" s="241" t="n">
        <v>-5.94</v>
      </c>
      <c r="O4227" s="241" t="n">
        <v>-18.98</v>
      </c>
      <c r="P4227" s="241" t="n">
        <v>1.89</v>
      </c>
    </row>
    <row r="4228">
      <c r="A4228" s="282" t="inlineStr">
        <is>
          <t>2023-05-25</t>
        </is>
      </c>
      <c r="B4228" s="240">
        <f>IFERROR(1/P4228-1,B4227)</f>
        <v/>
      </c>
      <c r="C4228" s="240">
        <f>$C$3</f>
        <v/>
      </c>
      <c r="D4228" s="240">
        <f>$D$3</f>
        <v/>
      </c>
      <c r="E4228" s="240">
        <f>$E$3</f>
        <v/>
      </c>
      <c r="F4228" s="241" t="n">
        <v>18.42</v>
      </c>
      <c r="G4228" s="242" t="n">
        <v>9064146</v>
      </c>
      <c r="H4228" s="241" t="n">
        <v>0.6</v>
      </c>
      <c r="I4228" s="241" t="n">
        <v>7.16</v>
      </c>
      <c r="J4228" s="241" t="n">
        <v>-12.37</v>
      </c>
      <c r="K4228" s="241" t="n">
        <v>9.6</v>
      </c>
      <c r="L4228" s="242" t="n">
        <v>1079600</v>
      </c>
      <c r="M4228" s="241" t="n">
        <v>-0.93</v>
      </c>
      <c r="N4228" s="241" t="n">
        <v>-6.66</v>
      </c>
      <c r="O4228" s="241" t="n">
        <v>-19.73</v>
      </c>
      <c r="P4228" s="241" t="n">
        <v>1.92</v>
      </c>
    </row>
    <row r="4229">
      <c r="A4229" s="282" t="inlineStr">
        <is>
          <t>2023-05-26</t>
        </is>
      </c>
      <c r="B4229" s="240">
        <f>IFERROR(1/P4229-1,B4228)</f>
        <v/>
      </c>
      <c r="C4229" s="240">
        <f>$C$3</f>
        <v/>
      </c>
      <c r="D4229" s="240">
        <f>$D$3</f>
        <v/>
      </c>
      <c r="E4229" s="240">
        <f>$E$3</f>
        <v/>
      </c>
      <c r="F4229" s="241" t="n">
        <v>18.25</v>
      </c>
      <c r="G4229" s="242" t="n">
        <v>12311313</v>
      </c>
      <c r="H4229" s="241" t="n">
        <v>-0.92</v>
      </c>
      <c r="I4229" s="241" t="n">
        <v>8.44</v>
      </c>
      <c r="J4229" s="241" t="n">
        <v>-13.18</v>
      </c>
      <c r="K4229" s="239" t="inlineStr">
        <is>
          <t>--</t>
        </is>
      </c>
      <c r="L4229" s="239" t="inlineStr">
        <is>
          <t>--</t>
        </is>
      </c>
      <c r="M4229" s="239" t="inlineStr">
        <is>
          <t>--</t>
        </is>
      </c>
      <c r="N4229" s="239" t="inlineStr">
        <is>
          <t>--</t>
        </is>
      </c>
      <c r="O4229" s="239" t="inlineStr">
        <is>
          <t>--</t>
        </is>
      </c>
      <c r="P4229" s="239" t="inlineStr">
        <is>
          <t>--</t>
        </is>
      </c>
    </row>
    <row r="4230">
      <c r="A4230" s="282" t="inlineStr">
        <is>
          <t>2023-05-29</t>
        </is>
      </c>
      <c r="B4230" s="240">
        <f>IFERROR(1/P4230-1,B4229)</f>
        <v/>
      </c>
      <c r="C4230" s="240">
        <f>$C$3</f>
        <v/>
      </c>
      <c r="D4230" s="240">
        <f>$D$3</f>
        <v/>
      </c>
      <c r="E4230" s="240">
        <f>$E$3</f>
        <v/>
      </c>
      <c r="F4230" s="241" t="n">
        <v>18.21</v>
      </c>
      <c r="G4230" s="242" t="n">
        <v>13096478</v>
      </c>
      <c r="H4230" s="241" t="n">
        <v>-0.22</v>
      </c>
      <c r="I4230" s="241" t="n">
        <v>4.54</v>
      </c>
      <c r="J4230" s="241" t="n">
        <v>-13.37</v>
      </c>
      <c r="K4230" s="241" t="n">
        <v>9.44</v>
      </c>
      <c r="L4230" s="242" t="n">
        <v>1911600</v>
      </c>
      <c r="M4230" s="241" t="n">
        <v>-1.69</v>
      </c>
      <c r="N4230" s="241" t="n">
        <v>-5.42</v>
      </c>
      <c r="O4230" s="241" t="n">
        <v>-21.08</v>
      </c>
      <c r="P4230" s="241" t="n">
        <v>1.93</v>
      </c>
    </row>
    <row r="4231">
      <c r="A4231" s="282" t="inlineStr">
        <is>
          <t>2023-05-30</t>
        </is>
      </c>
      <c r="B4231" s="240">
        <f>IFERROR(1/P4231-1,B4230)</f>
        <v/>
      </c>
      <c r="C4231" s="240">
        <f>$C$3</f>
        <v/>
      </c>
      <c r="D4231" s="240">
        <f>$D$3</f>
        <v/>
      </c>
      <c r="E4231" s="240">
        <f>$E$3</f>
        <v/>
      </c>
      <c r="F4231" s="241" t="n">
        <v>18.18</v>
      </c>
      <c r="G4231" s="242" t="n">
        <v>11160258</v>
      </c>
      <c r="H4231" s="241" t="n">
        <v>-0.16</v>
      </c>
      <c r="I4231" s="241" t="n">
        <v>4.36</v>
      </c>
      <c r="J4231" s="241" t="n">
        <v>-13.51</v>
      </c>
      <c r="K4231" s="241" t="n">
        <v>9.449999999999999</v>
      </c>
      <c r="L4231" s="242" t="n">
        <v>1711000</v>
      </c>
      <c r="M4231" s="241" t="n">
        <v>-0.38</v>
      </c>
      <c r="N4231" s="241" t="n">
        <v>-5.78</v>
      </c>
      <c r="O4231" s="241" t="n">
        <v>-21.39</v>
      </c>
      <c r="P4231" s="241" t="n">
        <v>1.92</v>
      </c>
    </row>
    <row r="4232">
      <c r="A4232" s="282" t="inlineStr">
        <is>
          <t>2023-05-31</t>
        </is>
      </c>
      <c r="B4232" s="240">
        <f>IFERROR(1/P4232-1,B4231)</f>
        <v/>
      </c>
      <c r="C4232" s="240">
        <f>$C$3</f>
        <v/>
      </c>
      <c r="D4232" s="240">
        <f>$D$3</f>
        <v/>
      </c>
      <c r="E4232" s="240">
        <f>$E$3</f>
        <v/>
      </c>
      <c r="F4232" s="241" t="n">
        <v>18</v>
      </c>
      <c r="G4232" s="242" t="n">
        <v>9091633</v>
      </c>
      <c r="H4232" s="241" t="n">
        <v>-0.99</v>
      </c>
      <c r="I4232" s="241" t="n">
        <v>3.33</v>
      </c>
      <c r="J4232" s="241" t="n">
        <v>-14.37</v>
      </c>
      <c r="K4232" s="241" t="n">
        <v>9.33</v>
      </c>
      <c r="L4232" s="242" t="n">
        <v>1867000</v>
      </c>
      <c r="M4232" s="241" t="n">
        <v>-1.15</v>
      </c>
      <c r="N4232" s="241" t="n">
        <v>-6.86</v>
      </c>
      <c r="O4232" s="241" t="n">
        <v>-22.29</v>
      </c>
      <c r="P4232" s="241" t="n">
        <v>1.93</v>
      </c>
    </row>
    <row r="4233">
      <c r="A4233" s="282" t="inlineStr">
        <is>
          <t>2023-06-01</t>
        </is>
      </c>
      <c r="B4233" s="240">
        <f>IFERROR(1/P4233-1,B4232)</f>
        <v/>
      </c>
      <c r="C4233" s="240">
        <f>$C$3</f>
        <v/>
      </c>
      <c r="D4233" s="240">
        <f>$D$3</f>
        <v/>
      </c>
      <c r="E4233" s="240">
        <f>$E$3</f>
        <v/>
      </c>
      <c r="F4233" s="241" t="n">
        <v>17.86</v>
      </c>
      <c r="G4233" s="242" t="n">
        <v>11779716</v>
      </c>
      <c r="H4233" s="241" t="n">
        <v>-0.78</v>
      </c>
      <c r="I4233" s="241" t="n">
        <v>2.53</v>
      </c>
      <c r="J4233" s="241" t="n">
        <v>-15.03</v>
      </c>
      <c r="K4233" s="241" t="n">
        <v>9.369999999999999</v>
      </c>
      <c r="L4233" s="242" t="n">
        <v>1111700</v>
      </c>
      <c r="M4233" s="241" t="n">
        <v>0.19</v>
      </c>
      <c r="N4233" s="241" t="n">
        <v>-6.68</v>
      </c>
      <c r="O4233" s="241" t="n">
        <v>-22.14</v>
      </c>
      <c r="P4233" s="241" t="n">
        <v>1.91</v>
      </c>
    </row>
    <row r="4234">
      <c r="A4234" s="282" t="inlineStr">
        <is>
          <t>2023-06-02</t>
        </is>
      </c>
      <c r="B4234" s="240">
        <f>IFERROR(1/P4234-1,B4233)</f>
        <v/>
      </c>
      <c r="C4234" s="240">
        <f>$C$3</f>
        <v/>
      </c>
      <c r="D4234" s="240">
        <f>$D$3</f>
        <v/>
      </c>
      <c r="E4234" s="240">
        <f>$E$3</f>
        <v/>
      </c>
      <c r="F4234" s="241" t="n">
        <v>18.16</v>
      </c>
      <c r="G4234" s="242" t="n">
        <v>11674543</v>
      </c>
      <c r="H4234" s="241" t="n">
        <v>1.68</v>
      </c>
      <c r="I4234" s="241" t="n">
        <v>4.25</v>
      </c>
      <c r="J4234" s="241" t="n">
        <v>-13.61</v>
      </c>
      <c r="K4234" s="241" t="n">
        <v>9.58</v>
      </c>
      <c r="L4234" s="242" t="n">
        <v>1031600</v>
      </c>
      <c r="M4234" s="241" t="n">
        <v>2.32</v>
      </c>
      <c r="N4234" s="241" t="n">
        <v>-4.51</v>
      </c>
      <c r="O4234" s="241" t="n">
        <v>-20.33</v>
      </c>
      <c r="P4234" s="241" t="n">
        <v>1.89</v>
      </c>
    </row>
    <row r="4235">
      <c r="A4235" s="282" t="inlineStr">
        <is>
          <t>2023-06-05</t>
        </is>
      </c>
      <c r="B4235" s="240">
        <f>IFERROR(1/P4235-1,B4234)</f>
        <v/>
      </c>
      <c r="C4235" s="240">
        <f>$C$3</f>
        <v/>
      </c>
      <c r="D4235" s="240">
        <f>$D$3</f>
        <v/>
      </c>
      <c r="E4235" s="240">
        <f>$E$3</f>
        <v/>
      </c>
      <c r="F4235" s="241" t="n">
        <v>18.07</v>
      </c>
      <c r="G4235" s="242" t="n">
        <v>16750836</v>
      </c>
      <c r="H4235" s="241" t="n">
        <v>-0.5</v>
      </c>
      <c r="I4235" s="241" t="n">
        <v>1.12</v>
      </c>
      <c r="J4235" s="241" t="n">
        <v>-14.03</v>
      </c>
      <c r="K4235" s="241" t="n">
        <v>9.59</v>
      </c>
      <c r="L4235" s="242" t="n">
        <v>1692200</v>
      </c>
      <c r="M4235" s="241" t="n">
        <v>0.19</v>
      </c>
      <c r="N4235" s="241" t="n">
        <v>-7.67</v>
      </c>
      <c r="O4235" s="241" t="n">
        <v>-20.18</v>
      </c>
      <c r="P4235" s="241" t="n">
        <v>1.88</v>
      </c>
    </row>
    <row r="4236">
      <c r="A4236" s="282" t="inlineStr">
        <is>
          <t>2023-06-06</t>
        </is>
      </c>
      <c r="B4236" s="240">
        <f>IFERROR(1/P4236-1,B4235)</f>
        <v/>
      </c>
      <c r="C4236" s="240">
        <f>$C$3</f>
        <v/>
      </c>
      <c r="D4236" s="240">
        <f>$D$3</f>
        <v/>
      </c>
      <c r="E4236" s="240">
        <f>$E$3</f>
        <v/>
      </c>
      <c r="F4236" s="241" t="n">
        <v>17.72</v>
      </c>
      <c r="G4236" s="242" t="n">
        <v>15290715</v>
      </c>
      <c r="H4236" s="241" t="n">
        <v>-1.94</v>
      </c>
      <c r="I4236" s="241" t="n">
        <v>-0.28</v>
      </c>
      <c r="J4236" s="241" t="n">
        <v>-15.7</v>
      </c>
      <c r="K4236" s="241" t="n">
        <v>9.380000000000001</v>
      </c>
      <c r="L4236" s="242" t="n">
        <v>2087000</v>
      </c>
      <c r="M4236" s="241" t="n">
        <v>-2.45</v>
      </c>
      <c r="N4236" s="241" t="n">
        <v>-8.01</v>
      </c>
      <c r="O4236" s="241" t="n">
        <v>-22.14</v>
      </c>
      <c r="P4236" s="241" t="n">
        <v>1.89</v>
      </c>
    </row>
    <row r="4237">
      <c r="A4237" s="282" t="inlineStr">
        <is>
          <t>2023-06-07</t>
        </is>
      </c>
      <c r="B4237" s="240">
        <f>IFERROR(1/P4237-1,B4236)</f>
        <v/>
      </c>
      <c r="C4237" s="240">
        <f>$C$3</f>
        <v/>
      </c>
      <c r="D4237" s="240">
        <f>$D$3</f>
        <v/>
      </c>
      <c r="E4237" s="240">
        <f>$E$3</f>
        <v/>
      </c>
      <c r="F4237" s="241" t="n">
        <v>17.49</v>
      </c>
      <c r="G4237" s="242" t="n">
        <v>10170782</v>
      </c>
      <c r="H4237" s="241" t="n">
        <v>-1.3</v>
      </c>
      <c r="I4237" s="241" t="n">
        <v>-1.58</v>
      </c>
      <c r="J4237" s="241" t="n">
        <v>-16.79</v>
      </c>
      <c r="K4237" s="241" t="n">
        <v>9.369999999999999</v>
      </c>
      <c r="L4237" s="242" t="n">
        <v>427000</v>
      </c>
      <c r="M4237" s="241" t="n">
        <v>-0.19</v>
      </c>
      <c r="N4237" s="241" t="n">
        <v>-8.19</v>
      </c>
      <c r="O4237" s="241" t="n">
        <v>-22.29</v>
      </c>
      <c r="P4237" s="241" t="n">
        <v>1.87</v>
      </c>
    </row>
    <row r="4238">
      <c r="A4238" s="282" t="inlineStr">
        <is>
          <t>2023-06-08</t>
        </is>
      </c>
      <c r="B4238" s="240">
        <f>IFERROR(1/P4238-1,B4237)</f>
        <v/>
      </c>
      <c r="C4238" s="240">
        <f>$C$3</f>
        <v/>
      </c>
      <c r="D4238" s="240">
        <f>$D$3</f>
        <v/>
      </c>
      <c r="E4238" s="240">
        <f>$E$3</f>
        <v/>
      </c>
      <c r="F4238" s="241" t="n">
        <v>17.48</v>
      </c>
      <c r="G4238" s="242" t="n">
        <v>12066249</v>
      </c>
      <c r="H4238" s="241" t="n">
        <v>-0.06</v>
      </c>
      <c r="I4238" s="241" t="n">
        <v>-1.63</v>
      </c>
      <c r="J4238" s="241" t="n">
        <v>-16.84</v>
      </c>
      <c r="K4238" s="241" t="n">
        <v>9.44</v>
      </c>
      <c r="L4238" s="242" t="n">
        <v>575200</v>
      </c>
      <c r="M4238" s="241" t="n">
        <v>0.58</v>
      </c>
      <c r="N4238" s="241" t="n">
        <v>-7.65</v>
      </c>
      <c r="O4238" s="241" t="n">
        <v>-21.84</v>
      </c>
      <c r="P4238" s="241" t="n">
        <v>1.85</v>
      </c>
    </row>
    <row r="4239">
      <c r="A4239" s="282" t="inlineStr">
        <is>
          <t>2023-06-09</t>
        </is>
      </c>
      <c r="B4239" s="240">
        <f>IFERROR(1/P4239-1,B4238)</f>
        <v/>
      </c>
      <c r="C4239" s="240">
        <f>$C$3</f>
        <v/>
      </c>
      <c r="D4239" s="240">
        <f>$D$3</f>
        <v/>
      </c>
      <c r="E4239" s="240">
        <f>$E$3</f>
        <v/>
      </c>
      <c r="F4239" s="241" t="n">
        <v>18.27</v>
      </c>
      <c r="G4239" s="242" t="n">
        <v>33824614</v>
      </c>
      <c r="H4239" s="241" t="n">
        <v>4.52</v>
      </c>
      <c r="I4239" s="241" t="n">
        <v>0.49</v>
      </c>
      <c r="J4239" s="241" t="n">
        <v>-13.08</v>
      </c>
      <c r="K4239" s="241" t="n">
        <v>9.619999999999999</v>
      </c>
      <c r="L4239" s="242" t="n">
        <v>1618800</v>
      </c>
      <c r="M4239" s="241" t="n">
        <v>2.12</v>
      </c>
      <c r="N4239" s="241" t="n">
        <v>-7.34</v>
      </c>
      <c r="O4239" s="241" t="n">
        <v>-20.18</v>
      </c>
      <c r="P4239" s="241" t="n">
        <v>1.9</v>
      </c>
    </row>
    <row r="4240">
      <c r="A4240" s="282" t="inlineStr">
        <is>
          <t>2023-06-12</t>
        </is>
      </c>
      <c r="B4240" s="240">
        <f>IFERROR(1/P4240-1,B4239)</f>
        <v/>
      </c>
      <c r="C4240" s="240">
        <f>$C$3</f>
        <v/>
      </c>
      <c r="D4240" s="240">
        <f>$D$3</f>
        <v/>
      </c>
      <c r="E4240" s="240">
        <f>$E$3</f>
        <v/>
      </c>
      <c r="F4240" s="241" t="n">
        <v>17.48</v>
      </c>
      <c r="G4240" s="242" t="n">
        <v>30845794</v>
      </c>
      <c r="H4240" s="241" t="n">
        <v>-4.32</v>
      </c>
      <c r="I4240" s="241" t="n">
        <v>-3.9</v>
      </c>
      <c r="J4240" s="241" t="n">
        <v>-16.84</v>
      </c>
      <c r="K4240" s="241" t="n">
        <v>9.43</v>
      </c>
      <c r="L4240" s="242" t="n">
        <v>2334600</v>
      </c>
      <c r="M4240" s="241" t="n">
        <v>-2.08</v>
      </c>
      <c r="N4240" s="241" t="n">
        <v>-6.82</v>
      </c>
      <c r="O4240" s="241" t="n">
        <v>-21.84</v>
      </c>
      <c r="P4240" s="241" t="n">
        <v>1.85</v>
      </c>
    </row>
    <row r="4241">
      <c r="A4241" s="282" t="inlineStr">
        <is>
          <t>2023-06-13</t>
        </is>
      </c>
      <c r="B4241" s="240">
        <f>IFERROR(1/P4241-1,B4240)</f>
        <v/>
      </c>
      <c r="C4241" s="240">
        <f>$C$3</f>
        <v/>
      </c>
      <c r="D4241" s="240">
        <f>$D$3</f>
        <v/>
      </c>
      <c r="E4241" s="240">
        <f>$E$3</f>
        <v/>
      </c>
      <c r="F4241" s="241" t="n">
        <v>17.29</v>
      </c>
      <c r="G4241" s="242" t="n">
        <v>13863692</v>
      </c>
      <c r="H4241" s="241" t="n">
        <v>-1.09</v>
      </c>
      <c r="I4241" s="241" t="n">
        <v>-3.73</v>
      </c>
      <c r="J4241" s="241" t="n">
        <v>-17.75</v>
      </c>
      <c r="K4241" s="241" t="n">
        <v>9.49</v>
      </c>
      <c r="L4241" s="242" t="n">
        <v>698000</v>
      </c>
      <c r="M4241" s="241" t="n">
        <v>0.19</v>
      </c>
      <c r="N4241" s="241" t="n">
        <v>-5.8</v>
      </c>
      <c r="O4241" s="241" t="n">
        <v>-21.69</v>
      </c>
      <c r="P4241" s="241" t="n">
        <v>1.82</v>
      </c>
    </row>
    <row r="4242">
      <c r="A4242" s="282" t="inlineStr">
        <is>
          <t>2023-06-14</t>
        </is>
      </c>
      <c r="B4242" s="240">
        <f>IFERROR(1/P4242-1,B4241)</f>
        <v/>
      </c>
      <c r="C4242" s="240">
        <f>$C$3</f>
        <v/>
      </c>
      <c r="D4242" s="240">
        <f>$D$3</f>
        <v/>
      </c>
      <c r="E4242" s="240">
        <f>$E$3</f>
        <v/>
      </c>
      <c r="F4242" s="241" t="n">
        <v>17</v>
      </c>
      <c r="G4242" s="242" t="n">
        <v>17212815</v>
      </c>
      <c r="H4242" s="241" t="n">
        <v>-1.68</v>
      </c>
      <c r="I4242" s="241" t="n">
        <v>-5.35</v>
      </c>
      <c r="J4242" s="241" t="n">
        <v>-19.12</v>
      </c>
      <c r="K4242" s="241" t="n">
        <v>9.300000000000001</v>
      </c>
      <c r="L4242" s="242" t="n">
        <v>2075800</v>
      </c>
      <c r="M4242" s="241" t="n">
        <v>-2.12</v>
      </c>
      <c r="N4242" s="241" t="n">
        <v>-7.79</v>
      </c>
      <c r="O4242" s="241" t="n">
        <v>-23.34</v>
      </c>
      <c r="P4242" s="241" t="n">
        <v>1.83</v>
      </c>
    </row>
    <row r="4243">
      <c r="A4243" s="282" t="inlineStr">
        <is>
          <t>2023-06-15</t>
        </is>
      </c>
      <c r="B4243" s="240">
        <f>IFERROR(1/P4243-1,B4242)</f>
        <v/>
      </c>
      <c r="C4243" s="240">
        <f>$C$3</f>
        <v/>
      </c>
      <c r="D4243" s="240">
        <f>$D$3</f>
        <v/>
      </c>
      <c r="E4243" s="240">
        <f>$E$3</f>
        <v/>
      </c>
      <c r="F4243" s="241" t="n">
        <v>17.51</v>
      </c>
      <c r="G4243" s="242" t="n">
        <v>17644148</v>
      </c>
      <c r="H4243" s="241" t="n">
        <v>3</v>
      </c>
      <c r="I4243" s="241" t="n">
        <v>-2.51</v>
      </c>
      <c r="J4243" s="241" t="n">
        <v>-16.7</v>
      </c>
      <c r="K4243" s="241" t="n">
        <v>9.57</v>
      </c>
      <c r="L4243" s="242" t="n">
        <v>2869200</v>
      </c>
      <c r="M4243" s="241" t="n">
        <v>2.95</v>
      </c>
      <c r="N4243" s="241" t="n">
        <v>-5.07</v>
      </c>
      <c r="O4243" s="241" t="n">
        <v>-21.08</v>
      </c>
      <c r="P4243" s="241" t="n">
        <v>1.83</v>
      </c>
    </row>
    <row r="4244">
      <c r="A4244" s="282" t="inlineStr">
        <is>
          <t>2023-06-16</t>
        </is>
      </c>
      <c r="B4244" s="240">
        <f>IFERROR(1/P4244-1,B4243)</f>
        <v/>
      </c>
      <c r="C4244" s="240">
        <f>$C$3</f>
        <v/>
      </c>
      <c r="D4244" s="240">
        <f>$D$3</f>
        <v/>
      </c>
      <c r="E4244" s="240">
        <f>$E$3</f>
        <v/>
      </c>
      <c r="F4244" s="241" t="n">
        <v>18.31</v>
      </c>
      <c r="G4244" s="242" t="n">
        <v>37173586</v>
      </c>
      <c r="H4244" s="241" t="n">
        <v>4.57</v>
      </c>
      <c r="I4244" s="241" t="n">
        <v>0.33</v>
      </c>
      <c r="J4244" s="241" t="n">
        <v>-12.89</v>
      </c>
      <c r="K4244" s="241" t="n">
        <v>9.77</v>
      </c>
      <c r="L4244" s="242" t="n">
        <v>2422200</v>
      </c>
      <c r="M4244" s="241" t="n">
        <v>2.29</v>
      </c>
      <c r="N4244" s="241" t="n">
        <v>-1.11</v>
      </c>
      <c r="O4244" s="241" t="n">
        <v>-19.28</v>
      </c>
      <c r="P4244" s="241" t="n">
        <v>1.87</v>
      </c>
    </row>
    <row r="4245">
      <c r="A4245" s="282" t="inlineStr">
        <is>
          <t>2023-06-19</t>
        </is>
      </c>
      <c r="B4245" s="240">
        <f>IFERROR(1/P4245-1,B4244)</f>
        <v/>
      </c>
      <c r="C4245" s="240">
        <f>$C$3</f>
        <v/>
      </c>
      <c r="D4245" s="240">
        <f>$D$3</f>
        <v/>
      </c>
      <c r="E4245" s="240">
        <f>$E$3</f>
        <v/>
      </c>
      <c r="F4245" s="241" t="n">
        <v>18.44</v>
      </c>
      <c r="G4245" s="242" t="n">
        <v>23617574</v>
      </c>
      <c r="H4245" s="241" t="n">
        <v>0.71</v>
      </c>
      <c r="I4245" s="241" t="n">
        <v>-2.85</v>
      </c>
      <c r="J4245" s="241" t="n">
        <v>-12.27</v>
      </c>
      <c r="K4245" s="241" t="n">
        <v>9.789999999999999</v>
      </c>
      <c r="L4245" s="242" t="n">
        <v>1088400</v>
      </c>
      <c r="M4245" s="241" t="n">
        <v>0.37</v>
      </c>
      <c r="N4245" s="241" t="n">
        <v>-4.95</v>
      </c>
      <c r="O4245" s="241" t="n">
        <v>-18.98</v>
      </c>
      <c r="P4245" s="241" t="n">
        <v>1.88</v>
      </c>
    </row>
    <row r="4246">
      <c r="A4246" s="282" t="inlineStr">
        <is>
          <t>2023-06-20</t>
        </is>
      </c>
      <c r="B4246" s="240">
        <f>IFERROR(1/P4246-1,B4245)</f>
        <v/>
      </c>
      <c r="C4246" s="240">
        <f>$C$3</f>
        <v/>
      </c>
      <c r="D4246" s="240">
        <f>$D$3</f>
        <v/>
      </c>
      <c r="E4246" s="240">
        <f>$E$3</f>
        <v/>
      </c>
      <c r="F4246" s="241" t="n">
        <v>18.26</v>
      </c>
      <c r="G4246" s="242" t="n">
        <v>14169317</v>
      </c>
      <c r="H4246" s="241" t="n">
        <v>-0.98</v>
      </c>
      <c r="I4246" s="241" t="n">
        <v>-2.77</v>
      </c>
      <c r="J4246" s="241" t="n">
        <v>-13.13</v>
      </c>
      <c r="K4246" s="241" t="n">
        <v>9.67</v>
      </c>
      <c r="L4246" s="242" t="n">
        <v>1378400</v>
      </c>
      <c r="M4246" s="241" t="n">
        <v>-1.86</v>
      </c>
      <c r="N4246" s="241" t="n">
        <v>-4.86</v>
      </c>
      <c r="O4246" s="241" t="n">
        <v>-20.48</v>
      </c>
      <c r="P4246" s="241" t="n">
        <v>1.89</v>
      </c>
    </row>
    <row r="4247">
      <c r="A4247" s="282" t="inlineStr">
        <is>
          <t>2023-06-21</t>
        </is>
      </c>
      <c r="B4247" s="240">
        <f>IFERROR(1/P4247-1,B4246)</f>
        <v/>
      </c>
      <c r="C4247" s="240">
        <f>$C$3</f>
        <v/>
      </c>
      <c r="D4247" s="240">
        <f>$D$3</f>
        <v/>
      </c>
      <c r="E4247" s="240">
        <f>$E$3</f>
        <v/>
      </c>
      <c r="F4247" s="241" t="n">
        <v>18.04</v>
      </c>
      <c r="G4247" s="242" t="n">
        <v>9268527</v>
      </c>
      <c r="H4247" s="241" t="n">
        <v>-1.2</v>
      </c>
      <c r="I4247" s="241" t="n">
        <v>-3.94</v>
      </c>
      <c r="J4247" s="241" t="n">
        <v>-14.18</v>
      </c>
      <c r="K4247" s="241" t="n">
        <v>9.6</v>
      </c>
      <c r="L4247" s="242" t="n">
        <v>1331900</v>
      </c>
      <c r="M4247" s="241" t="n">
        <v>-0.95</v>
      </c>
      <c r="N4247" s="241" t="n">
        <v>-5.77</v>
      </c>
      <c r="O4247" s="241" t="n">
        <v>-21.23</v>
      </c>
      <c r="P4247" s="241" t="n">
        <v>1.88</v>
      </c>
    </row>
    <row r="4248">
      <c r="A4248" s="282" t="inlineStr">
        <is>
          <t>2023-06-26</t>
        </is>
      </c>
      <c r="B4248" s="240">
        <f>IFERROR(1/P4248-1,B4247)</f>
        <v/>
      </c>
      <c r="C4248" s="240">
        <f>$C$3</f>
        <v/>
      </c>
      <c r="D4248" s="240">
        <f>$D$3</f>
        <v/>
      </c>
      <c r="E4248" s="240">
        <f>$E$3</f>
        <v/>
      </c>
      <c r="F4248" s="241" t="n">
        <v>17.77</v>
      </c>
      <c r="G4248" s="242" t="n">
        <v>12747264</v>
      </c>
      <c r="H4248" s="241" t="n">
        <v>-1.5</v>
      </c>
      <c r="I4248" s="241" t="n">
        <v>-3.53</v>
      </c>
      <c r="J4248" s="241" t="n">
        <v>-15.46</v>
      </c>
      <c r="K4248" s="241" t="n">
        <v>9.119999999999999</v>
      </c>
      <c r="L4248" s="242" t="n">
        <v>2820634</v>
      </c>
      <c r="M4248" s="241" t="n">
        <v>-0.2</v>
      </c>
      <c r="N4248" s="241" t="n">
        <v>-7.04</v>
      </c>
      <c r="O4248" s="241" t="n">
        <v>-25.38</v>
      </c>
      <c r="P4248" s="241" t="n">
        <v>1.95</v>
      </c>
    </row>
    <row r="4249">
      <c r="A4249" s="282" t="inlineStr">
        <is>
          <t>2023-06-27</t>
        </is>
      </c>
      <c r="B4249" s="240">
        <f>IFERROR(1/P4249-1,B4248)</f>
        <v/>
      </c>
      <c r="C4249" s="240">
        <f>$C$3</f>
        <v/>
      </c>
      <c r="D4249" s="240">
        <f>$D$3</f>
        <v/>
      </c>
      <c r="E4249" s="240">
        <f>$E$3</f>
        <v/>
      </c>
      <c r="F4249" s="241" t="n">
        <v>18.13</v>
      </c>
      <c r="G4249" s="242" t="n">
        <v>11401162</v>
      </c>
      <c r="H4249" s="241" t="n">
        <v>2.03</v>
      </c>
      <c r="I4249" s="241" t="n">
        <v>-0.66</v>
      </c>
      <c r="J4249" s="241" t="n">
        <v>-13.75</v>
      </c>
      <c r="K4249" s="241" t="n">
        <v>9.390000000000001</v>
      </c>
      <c r="L4249" s="242" t="n">
        <v>1114600</v>
      </c>
      <c r="M4249" s="241" t="n">
        <v>2.93</v>
      </c>
      <c r="N4249" s="241" t="n">
        <v>-4.32</v>
      </c>
      <c r="O4249" s="241" t="n">
        <v>-23.19</v>
      </c>
      <c r="P4249" s="241" t="n">
        <v>1.93</v>
      </c>
    </row>
    <row r="4250">
      <c r="A4250" s="282" t="inlineStr">
        <is>
          <t>2023-06-28</t>
        </is>
      </c>
      <c r="B4250" s="240">
        <f>IFERROR(1/P4250-1,B4249)</f>
        <v/>
      </c>
      <c r="C4250" s="240">
        <f>$C$3</f>
        <v/>
      </c>
      <c r="D4250" s="240">
        <f>$D$3</f>
        <v/>
      </c>
      <c r="E4250" s="240">
        <f>$E$3</f>
        <v/>
      </c>
      <c r="F4250" s="241" t="n">
        <v>18.24</v>
      </c>
      <c r="G4250" s="242" t="n">
        <v>11862181</v>
      </c>
      <c r="H4250" s="241" t="n">
        <v>0.61</v>
      </c>
      <c r="I4250" s="241" t="n">
        <v>-0.05</v>
      </c>
      <c r="J4250" s="241" t="n">
        <v>-13.23</v>
      </c>
      <c r="K4250" s="241" t="n">
        <v>9.460000000000001</v>
      </c>
      <c r="L4250" s="242" t="n">
        <v>535200</v>
      </c>
      <c r="M4250" s="241" t="n">
        <v>0.78</v>
      </c>
      <c r="N4250" s="241" t="n">
        <v>-3.56</v>
      </c>
      <c r="O4250" s="241" t="n">
        <v>-22.59</v>
      </c>
      <c r="P4250" s="241" t="n">
        <v>1.93</v>
      </c>
    </row>
    <row r="4251">
      <c r="A4251" s="282" t="inlineStr">
        <is>
          <t>2023-06-29</t>
        </is>
      </c>
      <c r="B4251" s="240">
        <f>IFERROR(1/P4251-1,B4250)</f>
        <v/>
      </c>
      <c r="C4251" s="240">
        <f>$C$3</f>
        <v/>
      </c>
      <c r="D4251" s="240">
        <f>$D$3</f>
        <v/>
      </c>
      <c r="E4251" s="240">
        <f>$E$3</f>
        <v/>
      </c>
      <c r="F4251" s="241" t="n">
        <v>18.44</v>
      </c>
      <c r="G4251" s="242" t="n">
        <v>14827027</v>
      </c>
      <c r="H4251" s="241" t="n">
        <v>1.1</v>
      </c>
      <c r="I4251" s="241" t="n">
        <v>1.04</v>
      </c>
      <c r="J4251" s="241" t="n">
        <v>-12.27</v>
      </c>
      <c r="K4251" s="241" t="n">
        <v>9.44</v>
      </c>
      <c r="L4251" s="242" t="n">
        <v>1010400</v>
      </c>
      <c r="M4251" s="241" t="n">
        <v>-0.39</v>
      </c>
      <c r="N4251" s="241" t="n">
        <v>-3.94</v>
      </c>
      <c r="O4251" s="241" t="n">
        <v>-22.89</v>
      </c>
      <c r="P4251" s="241" t="n">
        <v>1.95</v>
      </c>
    </row>
    <row r="4252">
      <c r="A4252" s="282" t="inlineStr">
        <is>
          <t>2023-06-30</t>
        </is>
      </c>
      <c r="B4252" s="240">
        <f>IFERROR(1/P4252-1,B4251)</f>
        <v/>
      </c>
      <c r="C4252" s="240">
        <f>$C$3</f>
        <v/>
      </c>
      <c r="D4252" s="240">
        <f>$D$3</f>
        <v/>
      </c>
      <c r="E4252" s="240">
        <f>$E$3</f>
        <v/>
      </c>
      <c r="F4252" s="241" t="n">
        <v>18.65</v>
      </c>
      <c r="G4252" s="242" t="n">
        <v>17281031</v>
      </c>
      <c r="H4252" s="241" t="n">
        <v>1.14</v>
      </c>
      <c r="I4252" s="241" t="n">
        <v>2.42</v>
      </c>
      <c r="J4252" s="241" t="n">
        <v>-11.28</v>
      </c>
      <c r="K4252" s="241" t="n">
        <v>9.24</v>
      </c>
      <c r="L4252" s="242" t="n">
        <v>883000</v>
      </c>
      <c r="M4252" s="241" t="n">
        <v>1.48</v>
      </c>
      <c r="N4252" s="241" t="n">
        <v>-0.85</v>
      </c>
      <c r="O4252" s="241" t="n">
        <v>-21.75</v>
      </c>
      <c r="P4252" s="241" t="n">
        <v>2.02</v>
      </c>
    </row>
    <row r="4253">
      <c r="A4253" s="282" t="inlineStr">
        <is>
          <t>2023-07-03</t>
        </is>
      </c>
      <c r="B4253" s="240">
        <f>IFERROR(1/P4253-1,B4252)</f>
        <v/>
      </c>
      <c r="C4253" s="240">
        <f>$C$3</f>
        <v/>
      </c>
      <c r="D4253" s="240">
        <f>$D$3</f>
        <v/>
      </c>
      <c r="E4253" s="240">
        <f>$E$3</f>
        <v/>
      </c>
      <c r="F4253" s="241" t="n">
        <v>18.85</v>
      </c>
      <c r="G4253" s="242" t="n">
        <v>22176176</v>
      </c>
      <c r="H4253" s="241" t="n">
        <v>1.07</v>
      </c>
      <c r="I4253" s="241" t="n">
        <v>3.8</v>
      </c>
      <c r="J4253" s="241" t="n">
        <v>-10.32</v>
      </c>
      <c r="K4253" s="241" t="n">
        <v>9.5</v>
      </c>
      <c r="L4253" s="242" t="n">
        <v>1014800</v>
      </c>
      <c r="M4253" s="241" t="n">
        <v>2.99</v>
      </c>
      <c r="N4253" s="241" t="n">
        <v>1.16</v>
      </c>
      <c r="O4253" s="241" t="n">
        <v>-19.41</v>
      </c>
      <c r="P4253" s="241" t="n">
        <v>1.98</v>
      </c>
    </row>
    <row r="4254">
      <c r="A4254" s="282" t="inlineStr">
        <is>
          <t>2023-07-04</t>
        </is>
      </c>
      <c r="B4254" s="240">
        <f>IFERROR(1/P4254-1,B4253)</f>
        <v/>
      </c>
      <c r="C4254" s="240">
        <f>$C$3</f>
        <v/>
      </c>
      <c r="D4254" s="240">
        <f>$D$3</f>
        <v/>
      </c>
      <c r="E4254" s="240">
        <f>$E$3</f>
        <v/>
      </c>
      <c r="F4254" s="241" t="n">
        <v>19.08</v>
      </c>
      <c r="G4254" s="242" t="n">
        <v>16068370</v>
      </c>
      <c r="H4254" s="241" t="n">
        <v>1.22</v>
      </c>
      <c r="I4254" s="241" t="n">
        <v>5.07</v>
      </c>
      <c r="J4254" s="241" t="n">
        <v>-9.23</v>
      </c>
      <c r="K4254" s="241" t="n">
        <v>9.6</v>
      </c>
      <c r="L4254" s="242" t="n">
        <v>1511000</v>
      </c>
      <c r="M4254" s="241" t="n">
        <v>1.16</v>
      </c>
      <c r="N4254" s="241" t="n">
        <v>2.33</v>
      </c>
      <c r="O4254" s="241" t="n">
        <v>-18.47</v>
      </c>
      <c r="P4254" s="241" t="n">
        <v>1.99</v>
      </c>
    </row>
    <row r="4255">
      <c r="A4255" s="282" t="inlineStr">
        <is>
          <t>2023-07-05</t>
        </is>
      </c>
      <c r="B4255" s="240">
        <f>IFERROR(1/P4255-1,B4254)</f>
        <v/>
      </c>
      <c r="C4255" s="240">
        <f>$C$3</f>
        <v/>
      </c>
      <c r="D4255" s="240">
        <f>$D$3</f>
        <v/>
      </c>
      <c r="E4255" s="240">
        <f>$E$3</f>
        <v/>
      </c>
      <c r="F4255" s="241" t="n">
        <v>19.08</v>
      </c>
      <c r="G4255" s="242" t="n">
        <v>13090332</v>
      </c>
      <c r="H4255" s="241" t="n">
        <v>0</v>
      </c>
      <c r="I4255" s="241" t="n">
        <v>5.07</v>
      </c>
      <c r="J4255" s="241" t="n">
        <v>-9.23</v>
      </c>
      <c r="K4255" s="241" t="n">
        <v>9.83</v>
      </c>
      <c r="L4255" s="242" t="n">
        <v>1449200</v>
      </c>
      <c r="M4255" s="241" t="n">
        <v>2.49</v>
      </c>
      <c r="N4255" s="241" t="n">
        <v>4.88</v>
      </c>
      <c r="O4255" s="241" t="n">
        <v>-16.44</v>
      </c>
      <c r="P4255" s="241" t="n">
        <v>1.94</v>
      </c>
    </row>
    <row r="4256">
      <c r="A4256" s="282" t="inlineStr">
        <is>
          <t>2023-07-06</t>
        </is>
      </c>
      <c r="B4256" s="240">
        <f>IFERROR(1/P4256-1,B4255)</f>
        <v/>
      </c>
      <c r="C4256" s="240">
        <f>$C$3</f>
        <v/>
      </c>
      <c r="D4256" s="240">
        <f>$D$3</f>
        <v/>
      </c>
      <c r="E4256" s="240">
        <f>$E$3</f>
        <v/>
      </c>
      <c r="F4256" s="241" t="n">
        <v>18.99</v>
      </c>
      <c r="G4256" s="242" t="n">
        <v>10833093</v>
      </c>
      <c r="H4256" s="241" t="n">
        <v>-0.47</v>
      </c>
      <c r="I4256" s="241" t="n">
        <v>5.09</v>
      </c>
      <c r="J4256" s="241" t="n">
        <v>-9.66</v>
      </c>
      <c r="K4256" s="241" t="n">
        <v>9.77</v>
      </c>
      <c r="L4256" s="242" t="n">
        <v>1680200</v>
      </c>
      <c r="M4256" s="241" t="n">
        <v>-0.93</v>
      </c>
      <c r="N4256" s="241" t="n">
        <v>3.71</v>
      </c>
      <c r="O4256" s="241" t="n">
        <v>-17.22</v>
      </c>
      <c r="P4256" s="241" t="n">
        <v>1.94</v>
      </c>
    </row>
    <row r="4257">
      <c r="A4257" s="282" t="inlineStr">
        <is>
          <t>2023-07-07</t>
        </is>
      </c>
      <c r="B4257" s="240">
        <f>IFERROR(1/P4257-1,B4256)</f>
        <v/>
      </c>
      <c r="C4257" s="240">
        <f>$C$3</f>
        <v/>
      </c>
      <c r="D4257" s="240">
        <f>$D$3</f>
        <v/>
      </c>
      <c r="E4257" s="240">
        <f>$E$3</f>
        <v/>
      </c>
      <c r="F4257" s="241" t="n">
        <v>19.02</v>
      </c>
      <c r="G4257" s="242" t="n">
        <v>11611905</v>
      </c>
      <c r="H4257" s="241" t="n">
        <v>0.16</v>
      </c>
      <c r="I4257" s="241" t="n">
        <v>7.34</v>
      </c>
      <c r="J4257" s="241" t="n">
        <v>-9.51</v>
      </c>
      <c r="K4257" s="241" t="n">
        <v>9.65</v>
      </c>
      <c r="L4257" s="242" t="n">
        <v>914800</v>
      </c>
      <c r="M4257" s="241" t="n">
        <v>-1.13</v>
      </c>
      <c r="N4257" s="241" t="n">
        <v>5.11</v>
      </c>
      <c r="O4257" s="241" t="n">
        <v>-18.16</v>
      </c>
      <c r="P4257" s="241" t="n">
        <v>1.97</v>
      </c>
    </row>
    <row r="4258">
      <c r="A4258" s="282" t="inlineStr">
        <is>
          <t>2023-07-10</t>
        </is>
      </c>
      <c r="B4258" s="240">
        <f>IFERROR(1/P4258-1,B4257)</f>
        <v/>
      </c>
      <c r="C4258" s="240">
        <f>$C$3</f>
        <v/>
      </c>
      <c r="D4258" s="240">
        <f>$D$3</f>
        <v/>
      </c>
      <c r="E4258" s="240">
        <f>$E$3</f>
        <v/>
      </c>
      <c r="F4258" s="241" t="n">
        <v>18.93</v>
      </c>
      <c r="G4258" s="242" t="n">
        <v>9171256</v>
      </c>
      <c r="H4258" s="241" t="n">
        <v>-0.47</v>
      </c>
      <c r="I4258" s="241" t="n">
        <v>3.61</v>
      </c>
      <c r="J4258" s="241" t="n">
        <v>-9.94</v>
      </c>
      <c r="K4258" s="241" t="n">
        <v>9.550000000000001</v>
      </c>
      <c r="L4258" s="242" t="n">
        <v>679400</v>
      </c>
      <c r="M4258" s="241" t="n">
        <v>-0.76</v>
      </c>
      <c r="N4258" s="241" t="n">
        <v>1.75</v>
      </c>
      <c r="O4258" s="241" t="n">
        <v>-18.78</v>
      </c>
      <c r="P4258" s="241" t="n">
        <v>1.98</v>
      </c>
    </row>
    <row r="4259">
      <c r="A4259" s="282" t="inlineStr">
        <is>
          <t>2023-07-11</t>
        </is>
      </c>
      <c r="B4259" s="240">
        <f>IFERROR(1/P4259-1,B4258)</f>
        <v/>
      </c>
      <c r="C4259" s="240">
        <f>$C$3</f>
        <v/>
      </c>
      <c r="D4259" s="240">
        <f>$D$3</f>
        <v/>
      </c>
      <c r="E4259" s="240">
        <f>$E$3</f>
        <v/>
      </c>
      <c r="F4259" s="241" t="n">
        <v>19.34</v>
      </c>
      <c r="G4259" s="242" t="n">
        <v>16149498</v>
      </c>
      <c r="H4259" s="241" t="n">
        <v>2.17</v>
      </c>
      <c r="I4259" s="241" t="n">
        <v>5.86</v>
      </c>
      <c r="J4259" s="241" t="n">
        <v>-7.99</v>
      </c>
      <c r="K4259" s="241" t="n">
        <v>10.1</v>
      </c>
      <c r="L4259" s="242" t="n">
        <v>2136400</v>
      </c>
      <c r="M4259" s="241" t="n">
        <v>5.77</v>
      </c>
      <c r="N4259" s="241" t="n">
        <v>7.62</v>
      </c>
      <c r="O4259" s="241" t="n">
        <v>-14.1</v>
      </c>
      <c r="P4259" s="241" t="n">
        <v>1.92</v>
      </c>
    </row>
    <row r="4260">
      <c r="A4260" s="282" t="inlineStr">
        <is>
          <t>2023-07-12</t>
        </is>
      </c>
      <c r="B4260" s="240">
        <f>IFERROR(1/P4260-1,B4259)</f>
        <v/>
      </c>
      <c r="C4260" s="240">
        <f>$C$3</f>
        <v/>
      </c>
      <c r="D4260" s="240">
        <f>$D$3</f>
        <v/>
      </c>
      <c r="E4260" s="240">
        <f>$E$3</f>
        <v/>
      </c>
      <c r="F4260" s="241" t="n">
        <v>19.79</v>
      </c>
      <c r="G4260" s="242" t="n">
        <v>37498774</v>
      </c>
      <c r="H4260" s="241" t="n">
        <v>2.33</v>
      </c>
      <c r="I4260" s="241" t="n">
        <v>8.32</v>
      </c>
      <c r="J4260" s="241" t="n">
        <v>-5.85</v>
      </c>
      <c r="K4260" s="241" t="n">
        <v>10.39</v>
      </c>
      <c r="L4260" s="242" t="n">
        <v>4028800</v>
      </c>
      <c r="M4260" s="241" t="n">
        <v>3.09</v>
      </c>
      <c r="N4260" s="241" t="n">
        <v>10.95</v>
      </c>
      <c r="O4260" s="241" t="n">
        <v>-11.44</v>
      </c>
      <c r="P4260" s="241" t="n">
        <v>1.9</v>
      </c>
    </row>
    <row r="4261">
      <c r="A4261" s="282" t="inlineStr">
        <is>
          <t>2023-07-13</t>
        </is>
      </c>
      <c r="B4261" s="240">
        <f>IFERROR(1/P4261-1,B4260)</f>
        <v/>
      </c>
      <c r="C4261" s="240">
        <f>$C$3</f>
        <v/>
      </c>
      <c r="D4261" s="240">
        <f>$D$3</f>
        <v/>
      </c>
      <c r="E4261" s="240">
        <f>$E$3</f>
        <v/>
      </c>
      <c r="F4261" s="241" t="n">
        <v>19.91</v>
      </c>
      <c r="G4261" s="242" t="n">
        <v>19871863</v>
      </c>
      <c r="H4261" s="241" t="n">
        <v>0.61</v>
      </c>
      <c r="I4261" s="241" t="n">
        <v>13.9</v>
      </c>
      <c r="J4261" s="241" t="n">
        <v>-5.28</v>
      </c>
      <c r="K4261" s="241" t="n">
        <v>10.22</v>
      </c>
      <c r="L4261" s="242" t="n">
        <v>2071286</v>
      </c>
      <c r="M4261" s="241" t="n">
        <v>-1.41</v>
      </c>
      <c r="N4261" s="241" t="n">
        <v>11.7</v>
      </c>
      <c r="O4261" s="241" t="n">
        <v>-12.69</v>
      </c>
      <c r="P4261" s="241" t="n">
        <v>1.95</v>
      </c>
    </row>
    <row r="4262">
      <c r="A4262" s="282" t="inlineStr">
        <is>
          <t>2023-07-14</t>
        </is>
      </c>
      <c r="B4262" s="240">
        <f>IFERROR(1/P4262-1,B4261)</f>
        <v/>
      </c>
      <c r="C4262" s="240">
        <f>$C$3</f>
        <v/>
      </c>
      <c r="D4262" s="240">
        <f>$D$3</f>
        <v/>
      </c>
      <c r="E4262" s="240">
        <f>$E$3</f>
        <v/>
      </c>
      <c r="F4262" s="241" t="n">
        <v>19.55</v>
      </c>
      <c r="G4262" s="242" t="n">
        <v>10336638</v>
      </c>
      <c r="H4262" s="241" t="n">
        <v>-1.81</v>
      </c>
      <c r="I4262" s="241" t="n">
        <v>13.07</v>
      </c>
      <c r="J4262" s="241" t="n">
        <v>-6.99</v>
      </c>
      <c r="K4262" s="241" t="n">
        <v>10.16</v>
      </c>
      <c r="L4262" s="242" t="n">
        <v>887400</v>
      </c>
      <c r="M4262" s="241" t="n">
        <v>-0.36</v>
      </c>
      <c r="N4262" s="241" t="n">
        <v>11.09</v>
      </c>
      <c r="O4262" s="241" t="n">
        <v>-13.01</v>
      </c>
      <c r="P4262" s="241" t="n">
        <v>1.92</v>
      </c>
    </row>
    <row r="4263">
      <c r="A4263" s="282" t="inlineStr">
        <is>
          <t>2023-07-17</t>
        </is>
      </c>
      <c r="B4263" s="240">
        <f>IFERROR(1/P4263-1,B4262)</f>
        <v/>
      </c>
      <c r="C4263" s="240">
        <f>$C$3</f>
        <v/>
      </c>
      <c r="D4263" s="240">
        <f>$D$3</f>
        <v/>
      </c>
      <c r="E4263" s="240">
        <f>$E$3</f>
        <v/>
      </c>
      <c r="F4263" s="241" t="n">
        <v>19.6</v>
      </c>
      <c r="G4263" s="242" t="n">
        <v>9837875</v>
      </c>
      <c r="H4263" s="241" t="n">
        <v>0.26</v>
      </c>
      <c r="I4263" s="241" t="n">
        <v>7.05</v>
      </c>
      <c r="J4263" s="241" t="n">
        <v>-6.76</v>
      </c>
      <c r="K4263" s="239" t="inlineStr">
        <is>
          <t>--</t>
        </is>
      </c>
      <c r="L4263" s="239" t="inlineStr">
        <is>
          <t>--</t>
        </is>
      </c>
      <c r="M4263" s="239" t="inlineStr">
        <is>
          <t>--</t>
        </is>
      </c>
      <c r="N4263" s="239" t="inlineStr">
        <is>
          <t>--</t>
        </is>
      </c>
      <c r="O4263" s="239" t="inlineStr">
        <is>
          <t>--</t>
        </is>
      </c>
      <c r="P4263" s="239" t="inlineStr">
        <is>
          <t>--</t>
        </is>
      </c>
    </row>
    <row r="4264">
      <c r="A4264" s="282" t="inlineStr">
        <is>
          <t>2023-07-18</t>
        </is>
      </c>
      <c r="B4264" s="240">
        <f>IFERROR(1/P4264-1,B4263)</f>
        <v/>
      </c>
      <c r="C4264" s="240">
        <f>$C$3</f>
        <v/>
      </c>
      <c r="D4264" s="240">
        <f>$D$3</f>
        <v/>
      </c>
      <c r="E4264" s="240">
        <f>$E$3</f>
        <v/>
      </c>
      <c r="F4264" s="241" t="n">
        <v>19.41</v>
      </c>
      <c r="G4264" s="242" t="n">
        <v>12386400</v>
      </c>
      <c r="H4264" s="241" t="n">
        <v>-0.97</v>
      </c>
      <c r="I4264" s="241" t="n">
        <v>6.01</v>
      </c>
      <c r="J4264" s="241" t="n">
        <v>-7.66</v>
      </c>
      <c r="K4264" s="241" t="n">
        <v>10.02</v>
      </c>
      <c r="L4264" s="242" t="n">
        <v>1716800</v>
      </c>
      <c r="M4264" s="241" t="n">
        <v>-1.62</v>
      </c>
      <c r="N4264" s="241" t="n">
        <v>6.03</v>
      </c>
      <c r="O4264" s="241" t="n">
        <v>-14.41</v>
      </c>
      <c r="P4264" s="241" t="n">
        <v>1.94</v>
      </c>
    </row>
    <row r="4265">
      <c r="A4265" s="282" t="inlineStr">
        <is>
          <t>2023-07-19</t>
        </is>
      </c>
      <c r="B4265" s="240">
        <f>IFERROR(1/P4265-1,B4264)</f>
        <v/>
      </c>
      <c r="C4265" s="240">
        <f>$C$3</f>
        <v/>
      </c>
      <c r="D4265" s="240">
        <f>$D$3</f>
        <v/>
      </c>
      <c r="E4265" s="240">
        <f>$E$3</f>
        <v/>
      </c>
      <c r="F4265" s="241" t="n">
        <v>19.31</v>
      </c>
      <c r="G4265" s="242" t="n">
        <v>10324899</v>
      </c>
      <c r="H4265" s="241" t="n">
        <v>-0.52</v>
      </c>
      <c r="I4265" s="241" t="n">
        <v>5.46</v>
      </c>
      <c r="J4265" s="241" t="n">
        <v>-8.140000000000001</v>
      </c>
      <c r="K4265" s="241" t="n">
        <v>9.970000000000001</v>
      </c>
      <c r="L4265" s="242" t="n">
        <v>858200</v>
      </c>
      <c r="M4265" s="241" t="n">
        <v>-0.55</v>
      </c>
      <c r="N4265" s="241" t="n">
        <v>5.45</v>
      </c>
      <c r="O4265" s="241" t="n">
        <v>-14.88</v>
      </c>
      <c r="P4265" s="241" t="n">
        <v>1.94</v>
      </c>
    </row>
    <row r="4266">
      <c r="A4266" s="282" t="inlineStr">
        <is>
          <t>2023-07-20</t>
        </is>
      </c>
      <c r="B4266" s="240">
        <f>IFERROR(1/P4266-1,B4265)</f>
        <v/>
      </c>
      <c r="C4266" s="240">
        <f>$C$3</f>
        <v/>
      </c>
      <c r="D4266" s="240">
        <f>$D$3</f>
        <v/>
      </c>
      <c r="E4266" s="240">
        <f>$E$3</f>
        <v/>
      </c>
      <c r="F4266" s="241" t="n">
        <v>19.02</v>
      </c>
      <c r="G4266" s="242" t="n">
        <v>12232599</v>
      </c>
      <c r="H4266" s="241" t="n">
        <v>-1.5</v>
      </c>
      <c r="I4266" s="241" t="n">
        <v>3.15</v>
      </c>
      <c r="J4266" s="241" t="n">
        <v>-9.51</v>
      </c>
      <c r="K4266" s="241" t="n">
        <v>9.85</v>
      </c>
      <c r="L4266" s="242" t="n">
        <v>681800</v>
      </c>
      <c r="M4266" s="241" t="n">
        <v>-1.28</v>
      </c>
      <c r="N4266" s="241" t="n">
        <v>3.71</v>
      </c>
      <c r="O4266" s="241" t="n">
        <v>-15.97</v>
      </c>
      <c r="P4266" s="241" t="n">
        <v>1.93</v>
      </c>
    </row>
    <row r="4267">
      <c r="A4267" s="282" t="inlineStr">
        <is>
          <t>2023-07-21</t>
        </is>
      </c>
      <c r="B4267" s="240">
        <f>IFERROR(1/P4267-1,B4266)</f>
        <v/>
      </c>
      <c r="C4267" s="240">
        <f>$C$3</f>
        <v/>
      </c>
      <c r="D4267" s="240">
        <f>$D$3</f>
        <v/>
      </c>
      <c r="E4267" s="240">
        <f>$E$3</f>
        <v/>
      </c>
      <c r="F4267" s="241" t="n">
        <v>18.84</v>
      </c>
      <c r="G4267" s="242" t="n">
        <v>8095330</v>
      </c>
      <c r="H4267" s="241" t="n">
        <v>-0.95</v>
      </c>
      <c r="I4267" s="241" t="n">
        <v>3.18</v>
      </c>
      <c r="J4267" s="241" t="n">
        <v>-10.37</v>
      </c>
      <c r="K4267" s="241" t="n">
        <v>9.619999999999999</v>
      </c>
      <c r="L4267" s="242" t="n">
        <v>696000</v>
      </c>
      <c r="M4267" s="241" t="n">
        <v>-2.23</v>
      </c>
      <c r="N4267" s="241" t="n">
        <v>3.31</v>
      </c>
      <c r="O4267" s="241" t="n">
        <v>-17.85</v>
      </c>
      <c r="P4267" s="241" t="n">
        <v>1.96</v>
      </c>
    </row>
    <row r="4268">
      <c r="A4268" s="282" t="inlineStr">
        <is>
          <t>2023-07-24</t>
        </is>
      </c>
      <c r="B4268" s="240">
        <f>IFERROR(1/P4268-1,B4267)</f>
        <v/>
      </c>
      <c r="C4268" s="240">
        <f>$C$3</f>
        <v/>
      </c>
      <c r="D4268" s="240">
        <f>$D$3</f>
        <v/>
      </c>
      <c r="E4268" s="240">
        <f>$E$3</f>
        <v/>
      </c>
      <c r="F4268" s="241" t="n">
        <v>19.1</v>
      </c>
      <c r="G4268" s="242" t="n">
        <v>10539159</v>
      </c>
      <c r="H4268" s="241" t="n">
        <v>1.38</v>
      </c>
      <c r="I4268" s="241" t="n">
        <v>5.88</v>
      </c>
      <c r="J4268" s="241" t="n">
        <v>-9.130000000000001</v>
      </c>
      <c r="K4268" s="241" t="n">
        <v>9.619999999999999</v>
      </c>
      <c r="L4268" s="242" t="n">
        <v>710600</v>
      </c>
      <c r="M4268" s="241" t="n">
        <v>0</v>
      </c>
      <c r="N4268" s="241" t="n">
        <v>9.869999999999999</v>
      </c>
      <c r="O4268" s="241" t="n">
        <v>-17.85</v>
      </c>
      <c r="P4268" s="241" t="n">
        <v>1.99</v>
      </c>
    </row>
    <row r="4269">
      <c r="A4269" s="282" t="inlineStr">
        <is>
          <t>2023-07-25</t>
        </is>
      </c>
      <c r="B4269" s="240">
        <f>IFERROR(1/P4269-1,B4268)</f>
        <v/>
      </c>
      <c r="C4269" s="240">
        <f>$C$3</f>
        <v/>
      </c>
      <c r="D4269" s="240">
        <f>$D$3</f>
        <v/>
      </c>
      <c r="E4269" s="240">
        <f>$E$3</f>
        <v/>
      </c>
      <c r="F4269" s="241" t="n">
        <v>19.15</v>
      </c>
      <c r="G4269" s="242" t="n">
        <v>11905782</v>
      </c>
      <c r="H4269" s="241" t="n">
        <v>0.26</v>
      </c>
      <c r="I4269" s="241" t="n">
        <v>6.15</v>
      </c>
      <c r="J4269" s="241" t="n">
        <v>-8.9</v>
      </c>
      <c r="K4269" s="241" t="n">
        <v>9.65</v>
      </c>
      <c r="L4269" s="242" t="n">
        <v>2354400</v>
      </c>
      <c r="M4269" s="241" t="n">
        <v>0.38</v>
      </c>
      <c r="N4269" s="241" t="n">
        <v>10.29</v>
      </c>
      <c r="O4269" s="241" t="n">
        <v>-17.53</v>
      </c>
      <c r="P4269" s="241" t="n">
        <v>1.98</v>
      </c>
    </row>
    <row r="4270">
      <c r="A4270" s="282" t="inlineStr">
        <is>
          <t>2023-07-26</t>
        </is>
      </c>
      <c r="B4270" s="240">
        <f>IFERROR(1/P4270-1,B4269)</f>
        <v/>
      </c>
      <c r="C4270" s="240">
        <f>$C$3</f>
        <v/>
      </c>
      <c r="D4270" s="240">
        <f>$D$3</f>
        <v/>
      </c>
      <c r="E4270" s="240">
        <f>$E$3</f>
        <v/>
      </c>
      <c r="F4270" s="241" t="n">
        <v>19.14</v>
      </c>
      <c r="G4270" s="242" t="n">
        <v>7108515</v>
      </c>
      <c r="H4270" s="241" t="n">
        <v>-0.05</v>
      </c>
      <c r="I4270" s="241" t="n">
        <v>6.1</v>
      </c>
      <c r="J4270" s="241" t="n">
        <v>-8.94</v>
      </c>
      <c r="K4270" s="241" t="n">
        <v>9.59</v>
      </c>
      <c r="L4270" s="242" t="n">
        <v>409200</v>
      </c>
      <c r="M4270" s="241" t="n">
        <v>-0.57</v>
      </c>
      <c r="N4270" s="241" t="n">
        <v>9.66</v>
      </c>
      <c r="O4270" s="241" t="n">
        <v>-18</v>
      </c>
      <c r="P4270" s="241" t="n">
        <v>2</v>
      </c>
    </row>
    <row r="4271">
      <c r="A4271" s="282" t="inlineStr">
        <is>
          <t>2023-07-27</t>
        </is>
      </c>
      <c r="B4271" s="240">
        <f>IFERROR(1/P4271-1,B4270)</f>
        <v/>
      </c>
      <c r="C4271" s="240">
        <f>$C$3</f>
        <v/>
      </c>
      <c r="D4271" s="240">
        <f>$D$3</f>
        <v/>
      </c>
      <c r="E4271" s="240">
        <f>$E$3</f>
        <v/>
      </c>
      <c r="F4271" s="241" t="n">
        <v>19.19</v>
      </c>
      <c r="G4271" s="242" t="n">
        <v>10895177</v>
      </c>
      <c r="H4271" s="241" t="n">
        <v>0.26</v>
      </c>
      <c r="I4271" s="241" t="n">
        <v>7.99</v>
      </c>
      <c r="J4271" s="241" t="n">
        <v>-8.710000000000001</v>
      </c>
      <c r="K4271" s="241" t="n">
        <v>9.65</v>
      </c>
      <c r="L4271" s="242" t="n">
        <v>1029000</v>
      </c>
      <c r="M4271" s="241" t="n">
        <v>0.57</v>
      </c>
      <c r="N4271" s="241" t="n">
        <v>10.51</v>
      </c>
      <c r="O4271" s="241" t="n">
        <v>-17.53</v>
      </c>
      <c r="P4271" s="241" t="n">
        <v>1.99</v>
      </c>
    </row>
    <row r="4272">
      <c r="A4272" s="282" t="inlineStr">
        <is>
          <t>2023-07-28</t>
        </is>
      </c>
      <c r="B4272" s="240">
        <f>IFERROR(1/P4272-1,B4271)</f>
        <v/>
      </c>
      <c r="C4272" s="240">
        <f>$C$3</f>
        <v/>
      </c>
      <c r="D4272" s="240">
        <f>$D$3</f>
        <v/>
      </c>
      <c r="E4272" s="240">
        <f>$E$3</f>
        <v/>
      </c>
      <c r="F4272" s="241" t="n">
        <v>18.78</v>
      </c>
      <c r="G4272" s="242" t="n">
        <v>12556728</v>
      </c>
      <c r="H4272" s="241" t="n">
        <v>-0.42</v>
      </c>
      <c r="I4272" s="241" t="n">
        <v>5.4</v>
      </c>
      <c r="J4272" s="241" t="n">
        <v>-9.09</v>
      </c>
      <c r="K4272" s="241" t="n">
        <v>9.380000000000001</v>
      </c>
      <c r="L4272" s="242" t="n">
        <v>4129200</v>
      </c>
      <c r="M4272" s="241" t="n">
        <v>-2.84</v>
      </c>
      <c r="N4272" s="241" t="n">
        <v>4.32</v>
      </c>
      <c r="O4272" s="241" t="n">
        <v>-19.88</v>
      </c>
      <c r="P4272" s="241" t="n">
        <v>2</v>
      </c>
    </row>
    <row r="4273">
      <c r="A4273" s="282" t="inlineStr">
        <is>
          <t>2023-07-31</t>
        </is>
      </c>
      <c r="B4273" s="240">
        <f>IFERROR(1/P4273-1,B4272)</f>
        <v/>
      </c>
      <c r="C4273" s="240">
        <f>$C$3</f>
        <v/>
      </c>
      <c r="D4273" s="240">
        <f>$D$3</f>
        <v/>
      </c>
      <c r="E4273" s="240">
        <f>$E$3</f>
        <v/>
      </c>
      <c r="F4273" s="241" t="n">
        <v>19.24</v>
      </c>
      <c r="G4273" s="242" t="n">
        <v>14228245</v>
      </c>
      <c r="H4273" s="241" t="n">
        <v>2.45</v>
      </c>
      <c r="I4273" s="241" t="n">
        <v>6.16</v>
      </c>
      <c r="J4273" s="241" t="n">
        <v>-6.87</v>
      </c>
      <c r="K4273" s="241" t="n">
        <v>9.51</v>
      </c>
      <c r="L4273" s="242" t="n">
        <v>1837000</v>
      </c>
      <c r="M4273" s="241" t="n">
        <v>1.36</v>
      </c>
      <c r="N4273" s="241" t="n">
        <v>5.33</v>
      </c>
      <c r="O4273" s="241" t="n">
        <v>-18.78</v>
      </c>
      <c r="P4273" s="241" t="n">
        <v>2.02</v>
      </c>
    </row>
    <row r="4274">
      <c r="A4274" s="282" t="inlineStr">
        <is>
          <t>2023-08-01</t>
        </is>
      </c>
      <c r="B4274" s="240">
        <f>IFERROR(1/P4274-1,B4273)</f>
        <v/>
      </c>
      <c r="C4274" s="240">
        <f>$C$3</f>
        <v/>
      </c>
      <c r="D4274" s="240">
        <f>$D$3</f>
        <v/>
      </c>
      <c r="E4274" s="240">
        <f>$E$3</f>
        <v/>
      </c>
      <c r="F4274" s="241" t="n">
        <v>18.76</v>
      </c>
      <c r="G4274" s="242" t="n">
        <v>25867314</v>
      </c>
      <c r="H4274" s="241" t="n">
        <v>-2.49</v>
      </c>
      <c r="I4274" s="241" t="n">
        <v>2.35</v>
      </c>
      <c r="J4274" s="241" t="n">
        <v>-9.19</v>
      </c>
      <c r="K4274" s="241" t="n">
        <v>9.43</v>
      </c>
      <c r="L4274" s="242" t="n">
        <v>1066400</v>
      </c>
      <c r="M4274" s="241" t="n">
        <v>-0.77</v>
      </c>
      <c r="N4274" s="241" t="n">
        <v>2.99</v>
      </c>
      <c r="O4274" s="241" t="n">
        <v>-19.41</v>
      </c>
      <c r="P4274" s="241" t="n">
        <v>1.99</v>
      </c>
    </row>
    <row r="4275">
      <c r="A4275" s="282" t="inlineStr">
        <is>
          <t>2023-08-02</t>
        </is>
      </c>
      <c r="B4275" s="240">
        <f>IFERROR(1/P4275-1,B4274)</f>
        <v/>
      </c>
      <c r="C4275" s="240">
        <f>$C$3</f>
        <v/>
      </c>
      <c r="D4275" s="240">
        <f>$D$3</f>
        <v/>
      </c>
      <c r="E4275" s="240">
        <f>$E$3</f>
        <v/>
      </c>
      <c r="F4275" s="241" t="n">
        <v>18.78</v>
      </c>
      <c r="G4275" s="242" t="n">
        <v>12554122</v>
      </c>
      <c r="H4275" s="241" t="n">
        <v>0.11</v>
      </c>
      <c r="I4275" s="241" t="n">
        <v>2.46</v>
      </c>
      <c r="J4275" s="241" t="n">
        <v>-9.09</v>
      </c>
      <c r="K4275" s="241" t="n">
        <v>9.300000000000001</v>
      </c>
      <c r="L4275" s="242" t="n">
        <v>839200</v>
      </c>
      <c r="M4275" s="241" t="n">
        <v>-1.55</v>
      </c>
      <c r="N4275" s="241" t="n">
        <v>1.4</v>
      </c>
      <c r="O4275" s="241" t="n">
        <v>-20.66</v>
      </c>
      <c r="P4275" s="241" t="n">
        <v>2.02</v>
      </c>
    </row>
    <row r="4276">
      <c r="A4276" s="282" t="inlineStr">
        <is>
          <t>2023-08-03</t>
        </is>
      </c>
      <c r="B4276" s="240">
        <f>IFERROR(1/P4276-1,B4275)</f>
        <v/>
      </c>
      <c r="C4276" s="240">
        <f>$C$3</f>
        <v/>
      </c>
      <c r="D4276" s="240">
        <f>$D$3</f>
        <v/>
      </c>
      <c r="E4276" s="240">
        <f>$E$3</f>
        <v/>
      </c>
      <c r="F4276" s="241" t="n">
        <v>18.68</v>
      </c>
      <c r="G4276" s="242" t="n">
        <v>8460340</v>
      </c>
      <c r="H4276" s="241" t="n">
        <v>-0.53</v>
      </c>
      <c r="I4276" s="241" t="n">
        <v>1.91</v>
      </c>
      <c r="J4276" s="241" t="n">
        <v>-9.58</v>
      </c>
      <c r="K4276" s="241" t="n">
        <v>9.220000000000001</v>
      </c>
      <c r="L4276" s="242" t="n">
        <v>1110073</v>
      </c>
      <c r="M4276" s="241" t="n">
        <v>-0.98</v>
      </c>
      <c r="N4276" s="241" t="n">
        <v>0.4</v>
      </c>
      <c r="O4276" s="241" t="n">
        <v>-21.44</v>
      </c>
      <c r="P4276" s="241" t="n">
        <v>2.03</v>
      </c>
    </row>
    <row r="4277">
      <c r="A4277" s="282" t="inlineStr">
        <is>
          <t>2023-08-04</t>
        </is>
      </c>
      <c r="B4277" s="240">
        <f>IFERROR(1/P4277-1,B4276)</f>
        <v/>
      </c>
      <c r="C4277" s="240">
        <f>$C$3</f>
        <v/>
      </c>
      <c r="D4277" s="240">
        <f>$D$3</f>
        <v/>
      </c>
      <c r="E4277" s="240">
        <f>$E$3</f>
        <v/>
      </c>
      <c r="F4277" s="241" t="n">
        <v>18.68</v>
      </c>
      <c r="G4277" s="242" t="n">
        <v>10152427</v>
      </c>
      <c r="H4277" s="241" t="n">
        <v>0</v>
      </c>
      <c r="I4277" s="241" t="n">
        <v>0.83</v>
      </c>
      <c r="J4277" s="241" t="n">
        <v>-9.58</v>
      </c>
      <c r="K4277" s="241" t="n">
        <v>9.17</v>
      </c>
      <c r="L4277" s="242" t="n">
        <v>1172600</v>
      </c>
      <c r="M4277" s="241" t="n">
        <v>-0.4</v>
      </c>
      <c r="N4277" s="241" t="n">
        <v>-2.91</v>
      </c>
      <c r="O4277" s="241" t="n">
        <v>-21.75</v>
      </c>
      <c r="P4277" s="241" t="n">
        <v>2.04</v>
      </c>
    </row>
    <row r="4278">
      <c r="A4278" s="282" t="inlineStr">
        <is>
          <t>2023-08-07</t>
        </is>
      </c>
      <c r="B4278" s="240">
        <f>IFERROR(1/P4278-1,B4277)</f>
        <v/>
      </c>
      <c r="C4278" s="240">
        <f>$C$3</f>
        <v/>
      </c>
      <c r="D4278" s="240">
        <f>$D$3</f>
        <v/>
      </c>
      <c r="E4278" s="240">
        <f>$E$3</f>
        <v/>
      </c>
      <c r="F4278" s="241" t="n">
        <v>18.29</v>
      </c>
      <c r="G4278" s="242" t="n">
        <v>14159865</v>
      </c>
      <c r="H4278" s="241" t="n">
        <v>-2.09</v>
      </c>
      <c r="I4278" s="241" t="n">
        <v>-2</v>
      </c>
      <c r="J4278" s="241" t="n">
        <v>-11.47</v>
      </c>
      <c r="K4278" s="241" t="n">
        <v>9.1</v>
      </c>
      <c r="L4278" s="242" t="n">
        <v>1143030</v>
      </c>
      <c r="M4278" s="241" t="n">
        <v>-0.6</v>
      </c>
      <c r="N4278" s="241" t="n">
        <v>-6.04</v>
      </c>
      <c r="O4278" s="241" t="n">
        <v>-22.22</v>
      </c>
      <c r="P4278" s="241" t="n">
        <v>2.01</v>
      </c>
    </row>
    <row r="4279">
      <c r="A4279" s="282" t="inlineStr">
        <is>
          <t>2023-08-08</t>
        </is>
      </c>
      <c r="B4279" s="240">
        <f>IFERROR(1/P4279-1,B4278)</f>
        <v/>
      </c>
      <c r="C4279" s="240">
        <f>$C$3</f>
        <v/>
      </c>
      <c r="D4279" s="240">
        <f>$D$3</f>
        <v/>
      </c>
      <c r="E4279" s="240">
        <f>$E$3</f>
        <v/>
      </c>
      <c r="F4279" s="241" t="n">
        <v>18.13</v>
      </c>
      <c r="G4279" s="242" t="n">
        <v>11815785</v>
      </c>
      <c r="H4279" s="241" t="n">
        <v>-0.87</v>
      </c>
      <c r="I4279" s="241" t="n">
        <v>-3.01</v>
      </c>
      <c r="J4279" s="241" t="n">
        <v>-12.24</v>
      </c>
      <c r="K4279" s="241" t="n">
        <v>9</v>
      </c>
      <c r="L4279" s="242" t="n">
        <v>1228965</v>
      </c>
      <c r="M4279" s="241" t="n">
        <v>-1.41</v>
      </c>
      <c r="N4279" s="241" t="n">
        <v>-6.3</v>
      </c>
      <c r="O4279" s="241" t="n">
        <v>-23.31</v>
      </c>
      <c r="P4279" s="241" t="n">
        <v>2.01</v>
      </c>
    </row>
    <row r="4280">
      <c r="A4280" s="282" t="inlineStr">
        <is>
          <t>2023-08-09</t>
        </is>
      </c>
      <c r="B4280" s="240">
        <f>IFERROR(1/P4280-1,B4279)</f>
        <v/>
      </c>
      <c r="C4280" s="240">
        <f>$C$3</f>
        <v/>
      </c>
      <c r="D4280" s="240">
        <f>$D$3</f>
        <v/>
      </c>
      <c r="E4280" s="240">
        <f>$E$3</f>
        <v/>
      </c>
      <c r="F4280" s="241" t="n">
        <v>18.09</v>
      </c>
      <c r="G4280" s="242" t="n">
        <v>10597164</v>
      </c>
      <c r="H4280" s="241" t="n">
        <v>-0.22</v>
      </c>
      <c r="I4280" s="241" t="n">
        <v>-3.23</v>
      </c>
      <c r="J4280" s="241" t="n">
        <v>-12.43</v>
      </c>
      <c r="K4280" s="241" t="n">
        <v>8.9</v>
      </c>
      <c r="L4280" s="242" t="n">
        <v>1094600</v>
      </c>
      <c r="M4280" s="241" t="n">
        <v>-1.12</v>
      </c>
      <c r="N4280" s="241" t="n">
        <v>-7.35</v>
      </c>
      <c r="O4280" s="241" t="n">
        <v>-24.17</v>
      </c>
      <c r="P4280" s="241" t="n">
        <v>2.03</v>
      </c>
    </row>
    <row r="4281">
      <c r="A4281" s="282" t="inlineStr">
        <is>
          <t>2023-08-10</t>
        </is>
      </c>
      <c r="B4281" s="240">
        <f>IFERROR(1/P4281-1,B4280)</f>
        <v/>
      </c>
      <c r="C4281" s="240">
        <f>$C$3</f>
        <v/>
      </c>
      <c r="D4281" s="240">
        <f>$D$3</f>
        <v/>
      </c>
      <c r="E4281" s="240">
        <f>$E$3</f>
        <v/>
      </c>
      <c r="F4281" s="241" t="n">
        <v>18.19</v>
      </c>
      <c r="G4281" s="242" t="n">
        <v>7216063</v>
      </c>
      <c r="H4281" s="241" t="n">
        <v>0.55</v>
      </c>
      <c r="I4281" s="241" t="n">
        <v>-2.69</v>
      </c>
      <c r="J4281" s="241" t="n">
        <v>-11.95</v>
      </c>
      <c r="K4281" s="241" t="n">
        <v>9.039999999999999</v>
      </c>
      <c r="L4281" s="242" t="n">
        <v>758200</v>
      </c>
      <c r="M4281" s="241" t="n">
        <v>1.75</v>
      </c>
      <c r="N4281" s="241" t="n">
        <v>-5.73</v>
      </c>
      <c r="O4281" s="241" t="n">
        <v>-22.84</v>
      </c>
      <c r="P4281" s="241" t="n">
        <v>2.01</v>
      </c>
    </row>
    <row r="4282">
      <c r="A4282" s="282" t="inlineStr">
        <is>
          <t>2023-08-11</t>
        </is>
      </c>
      <c r="B4282" s="240">
        <f>IFERROR(1/P4282-1,B4281)</f>
        <v/>
      </c>
      <c r="C4282" s="240">
        <f>$C$3</f>
        <v/>
      </c>
      <c r="D4282" s="240">
        <f>$D$3</f>
        <v/>
      </c>
      <c r="E4282" s="240">
        <f>$E$3</f>
        <v/>
      </c>
      <c r="F4282" s="241" t="n">
        <v>17.82</v>
      </c>
      <c r="G4282" s="242" t="n">
        <v>8458438</v>
      </c>
      <c r="H4282" s="241" t="n">
        <v>-2.03</v>
      </c>
      <c r="I4282" s="241" t="n">
        <v>-4.22</v>
      </c>
      <c r="J4282" s="241" t="n">
        <v>-13.74</v>
      </c>
      <c r="K4282" s="241" t="n">
        <v>8.890000000000001</v>
      </c>
      <c r="L4282" s="242" t="n">
        <v>1436200</v>
      </c>
      <c r="M4282" s="241" t="n">
        <v>-1.72</v>
      </c>
      <c r="N4282" s="241" t="n">
        <v>-6.63</v>
      </c>
      <c r="O4282" s="241" t="n">
        <v>-24.17</v>
      </c>
      <c r="P4282" s="241" t="n">
        <v>2</v>
      </c>
    </row>
    <row r="4283">
      <c r="A4283" s="282" t="inlineStr">
        <is>
          <t>2023-08-14</t>
        </is>
      </c>
      <c r="B4283" s="240">
        <f>IFERROR(1/P4283-1,B4282)</f>
        <v/>
      </c>
      <c r="C4283" s="240">
        <f>$C$3</f>
        <v/>
      </c>
      <c r="D4283" s="240">
        <f>$D$3</f>
        <v/>
      </c>
      <c r="E4283" s="240">
        <f>$E$3</f>
        <v/>
      </c>
      <c r="F4283" s="241" t="n">
        <v>17.93</v>
      </c>
      <c r="G4283" s="242" t="n">
        <v>9308795</v>
      </c>
      <c r="H4283" s="241" t="n">
        <v>0.62</v>
      </c>
      <c r="I4283" s="241" t="n">
        <v>-8.369999999999999</v>
      </c>
      <c r="J4283" s="241" t="n">
        <v>-13.21</v>
      </c>
      <c r="K4283" s="241" t="n">
        <v>8.76</v>
      </c>
      <c r="L4283" s="242" t="n">
        <v>1503400</v>
      </c>
      <c r="M4283" s="241" t="n">
        <v>-1.65</v>
      </c>
      <c r="N4283" s="241" t="n">
        <v>-14.58</v>
      </c>
      <c r="O4283" s="241" t="n">
        <v>-25.42</v>
      </c>
      <c r="P4283" s="241" t="n">
        <v>2.05</v>
      </c>
    </row>
    <row r="4284">
      <c r="A4284" s="282" t="inlineStr">
        <is>
          <t>2023-08-15</t>
        </is>
      </c>
      <c r="B4284" s="240">
        <f>IFERROR(1/P4284-1,B4283)</f>
        <v/>
      </c>
      <c r="C4284" s="240">
        <f>$C$3</f>
        <v/>
      </c>
      <c r="D4284" s="240">
        <f>$D$3</f>
        <v/>
      </c>
      <c r="E4284" s="240">
        <f>$E$3</f>
        <v/>
      </c>
      <c r="F4284" s="241" t="n">
        <v>17.78</v>
      </c>
      <c r="G4284" s="242" t="n">
        <v>7330220</v>
      </c>
      <c r="H4284" s="241" t="n">
        <v>-0.84</v>
      </c>
      <c r="I4284" s="241" t="n">
        <v>-7.46</v>
      </c>
      <c r="J4284" s="241" t="n">
        <v>-13.93</v>
      </c>
      <c r="K4284" s="241" t="n">
        <v>8.75</v>
      </c>
      <c r="L4284" s="242" t="n">
        <v>481400</v>
      </c>
      <c r="M4284" s="241" t="n">
        <v>-0.21</v>
      </c>
      <c r="N4284" s="241" t="n">
        <v>-14.45</v>
      </c>
      <c r="O4284" s="241" t="n">
        <v>-25.58</v>
      </c>
      <c r="P4284" s="241" t="n">
        <v>2.03</v>
      </c>
    </row>
    <row r="4285">
      <c r="A4285" s="282" t="inlineStr">
        <is>
          <t>2023-08-16</t>
        </is>
      </c>
      <c r="B4285" s="240">
        <f>IFERROR(1/P4285-1,B4284)</f>
        <v/>
      </c>
      <c r="C4285" s="240">
        <f>$C$3</f>
        <v/>
      </c>
      <c r="D4285" s="240">
        <f>$D$3</f>
        <v/>
      </c>
      <c r="E4285" s="240">
        <f>$E$3</f>
        <v/>
      </c>
      <c r="F4285" s="241" t="n">
        <v>17.6</v>
      </c>
      <c r="G4285" s="242" t="n">
        <v>7363889</v>
      </c>
      <c r="H4285" s="241" t="n">
        <v>-1.01</v>
      </c>
      <c r="I4285" s="241" t="n">
        <v>-8.4</v>
      </c>
      <c r="J4285" s="241" t="n">
        <v>-14.81</v>
      </c>
      <c r="K4285" s="241" t="n">
        <v>8.59</v>
      </c>
      <c r="L4285" s="242" t="n">
        <v>876200</v>
      </c>
      <c r="M4285" s="241" t="n">
        <v>-1.99</v>
      </c>
      <c r="N4285" s="241" t="n">
        <v>-16.16</v>
      </c>
      <c r="O4285" s="241" t="n">
        <v>-27.06</v>
      </c>
      <c r="P4285" s="241" t="n">
        <v>2.05</v>
      </c>
    </row>
    <row r="4286">
      <c r="A4286" s="282" t="inlineStr">
        <is>
          <t>2023-08-17</t>
        </is>
      </c>
      <c r="B4286" s="240">
        <f>IFERROR(1/P4286-1,B4285)</f>
        <v/>
      </c>
      <c r="C4286" s="240">
        <f>$C$3</f>
        <v/>
      </c>
      <c r="D4286" s="240">
        <f>$D$3</f>
        <v/>
      </c>
      <c r="E4286" s="240">
        <f>$E$3</f>
        <v/>
      </c>
      <c r="F4286" s="241" t="n">
        <v>17.92</v>
      </c>
      <c r="G4286" s="242" t="n">
        <v>6917070</v>
      </c>
      <c r="H4286" s="241" t="n">
        <v>1.82</v>
      </c>
      <c r="I4286" s="241" t="n">
        <v>-6.73</v>
      </c>
      <c r="J4286" s="241" t="n">
        <v>-13.26</v>
      </c>
      <c r="K4286" s="241" t="n">
        <v>8.720000000000001</v>
      </c>
      <c r="L4286" s="242" t="n">
        <v>565200</v>
      </c>
      <c r="M4286" s="241" t="n">
        <v>1.5</v>
      </c>
      <c r="N4286" s="241" t="n">
        <v>-14.9</v>
      </c>
      <c r="O4286" s="241" t="n">
        <v>-25.97</v>
      </c>
      <c r="P4286" s="241" t="n">
        <v>2.05</v>
      </c>
    </row>
    <row r="4287">
      <c r="A4287" s="282" t="inlineStr">
        <is>
          <t>2023-08-18</t>
        </is>
      </c>
      <c r="B4287" s="240">
        <f>IFERROR(1/P4287-1,B4286)</f>
        <v/>
      </c>
      <c r="C4287" s="240">
        <f>$C$3</f>
        <v/>
      </c>
      <c r="D4287" s="240">
        <f>$D$3</f>
        <v/>
      </c>
      <c r="E4287" s="240">
        <f>$E$3</f>
        <v/>
      </c>
      <c r="F4287" s="241" t="n">
        <v>17.74</v>
      </c>
      <c r="G4287" s="242" t="n">
        <v>6396789</v>
      </c>
      <c r="H4287" s="241" t="n">
        <v>-1</v>
      </c>
      <c r="I4287" s="241" t="n">
        <v>-7.91</v>
      </c>
      <c r="J4287" s="241" t="n">
        <v>-14.13</v>
      </c>
      <c r="K4287" s="241" t="n">
        <v>8.56</v>
      </c>
      <c r="L4287" s="242" t="n">
        <v>763600</v>
      </c>
      <c r="M4287" s="241" t="n">
        <v>-1.79</v>
      </c>
      <c r="N4287" s="241" t="n">
        <v>-16.43</v>
      </c>
      <c r="O4287" s="241" t="n">
        <v>-27.3</v>
      </c>
      <c r="P4287" s="241" t="n">
        <v>2.07</v>
      </c>
    </row>
    <row r="4288">
      <c r="A4288" s="282" t="inlineStr">
        <is>
          <t>2023-08-21</t>
        </is>
      </c>
      <c r="B4288" s="240">
        <f>IFERROR(1/P4288-1,B4287)</f>
        <v/>
      </c>
      <c r="C4288" s="240">
        <f>$C$3</f>
        <v/>
      </c>
      <c r="D4288" s="240">
        <f>$D$3</f>
        <v/>
      </c>
      <c r="E4288" s="240">
        <f>$E$3</f>
        <v/>
      </c>
      <c r="F4288" s="241" t="n">
        <v>17.3</v>
      </c>
      <c r="G4288" s="242" t="n">
        <v>9762424</v>
      </c>
      <c r="H4288" s="241" t="n">
        <v>-2.48</v>
      </c>
      <c r="I4288" s="241" t="n">
        <v>-7.45</v>
      </c>
      <c r="J4288" s="241" t="n">
        <v>-16.26</v>
      </c>
      <c r="K4288" s="241" t="n">
        <v>8.390000000000001</v>
      </c>
      <c r="L4288" s="242" t="n">
        <v>1697600</v>
      </c>
      <c r="M4288" s="241" t="n">
        <v>-1.93</v>
      </c>
      <c r="N4288" s="241" t="n">
        <v>-15.15</v>
      </c>
      <c r="O4288" s="241" t="n">
        <v>-28.7</v>
      </c>
      <c r="P4288" s="241" t="n">
        <v>2.06</v>
      </c>
    </row>
    <row r="4289">
      <c r="A4289" s="282" t="inlineStr">
        <is>
          <t>2023-08-22</t>
        </is>
      </c>
      <c r="B4289" s="240">
        <f>IFERROR(1/P4289-1,B4288)</f>
        <v/>
      </c>
      <c r="C4289" s="240">
        <f>$C$3</f>
        <v/>
      </c>
      <c r="D4289" s="240">
        <f>$D$3</f>
        <v/>
      </c>
      <c r="E4289" s="240">
        <f>$E$3</f>
        <v/>
      </c>
      <c r="F4289" s="241" t="n">
        <v>17.54</v>
      </c>
      <c r="G4289" s="242" t="n">
        <v>9074342</v>
      </c>
      <c r="H4289" s="241" t="n">
        <v>1.39</v>
      </c>
      <c r="I4289" s="241" t="n">
        <v>-5.27</v>
      </c>
      <c r="J4289" s="241" t="n">
        <v>-15.1</v>
      </c>
      <c r="K4289" s="241" t="n">
        <v>8.5</v>
      </c>
      <c r="L4289" s="242" t="n">
        <v>1394400</v>
      </c>
      <c r="M4289" s="241" t="n">
        <v>1.42</v>
      </c>
      <c r="N4289" s="241" t="n">
        <v>-11.98</v>
      </c>
      <c r="O4289" s="241" t="n">
        <v>-27.69</v>
      </c>
      <c r="P4289" s="241" t="n">
        <v>2.06</v>
      </c>
    </row>
    <row r="4290">
      <c r="A4290" s="282" t="inlineStr">
        <is>
          <t>2023-08-23</t>
        </is>
      </c>
      <c r="B4290" s="240">
        <f>IFERROR(1/P4290-1,B4289)</f>
        <v/>
      </c>
      <c r="C4290" s="240">
        <f>$C$3</f>
        <v/>
      </c>
      <c r="D4290" s="240">
        <f>$D$3</f>
        <v/>
      </c>
      <c r="E4290" s="240">
        <f>$E$3</f>
        <v/>
      </c>
      <c r="F4290" s="241" t="n">
        <v>17.34</v>
      </c>
      <c r="G4290" s="242" t="n">
        <v>5222348</v>
      </c>
      <c r="H4290" s="241" t="n">
        <v>-1.14</v>
      </c>
      <c r="I4290" s="241" t="n">
        <v>-6.35</v>
      </c>
      <c r="J4290" s="241" t="n">
        <v>-16.06</v>
      </c>
      <c r="K4290" s="241" t="n">
        <v>8.5</v>
      </c>
      <c r="L4290" s="242" t="n">
        <v>846600</v>
      </c>
      <c r="M4290" s="241" t="n">
        <v>0</v>
      </c>
      <c r="N4290" s="241" t="n">
        <v>-11.98</v>
      </c>
      <c r="O4290" s="241" t="n">
        <v>-27.69</v>
      </c>
      <c r="P4290" s="241" t="n">
        <v>2.04</v>
      </c>
    </row>
    <row r="4291">
      <c r="A4291" s="282" t="inlineStr">
        <is>
          <t>2023-08-24</t>
        </is>
      </c>
      <c r="B4291" s="240">
        <f>IFERROR(1/P4291-1,B4290)</f>
        <v/>
      </c>
      <c r="C4291" s="240">
        <f>$C$3</f>
        <v/>
      </c>
      <c r="D4291" s="240">
        <f>$D$3</f>
        <v/>
      </c>
      <c r="E4291" s="240">
        <f>$E$3</f>
        <v/>
      </c>
      <c r="F4291" s="241" t="n">
        <v>17.19</v>
      </c>
      <c r="G4291" s="242" t="n">
        <v>10313101</v>
      </c>
      <c r="H4291" s="241" t="n">
        <v>-0.87</v>
      </c>
      <c r="I4291" s="241" t="n">
        <v>-7.16</v>
      </c>
      <c r="J4291" s="241" t="n">
        <v>-16.79</v>
      </c>
      <c r="K4291" s="241" t="n">
        <v>8.800000000000001</v>
      </c>
      <c r="L4291" s="242" t="n">
        <v>1480200</v>
      </c>
      <c r="M4291" s="241" t="n">
        <v>3.67</v>
      </c>
      <c r="N4291" s="241" t="n">
        <v>-8.75</v>
      </c>
      <c r="O4291" s="241" t="n">
        <v>-25.03</v>
      </c>
      <c r="P4291" s="241" t="n">
        <v>1.95</v>
      </c>
    </row>
    <row r="4292">
      <c r="A4292" s="282" t="inlineStr">
        <is>
          <t>2023-08-25</t>
        </is>
      </c>
      <c r="B4292" s="240">
        <f>IFERROR(1/P4292-1,B4291)</f>
        <v/>
      </c>
      <c r="C4292" s="240">
        <f>$C$3</f>
        <v/>
      </c>
      <c r="D4292" s="240">
        <f>$D$3</f>
        <v/>
      </c>
      <c r="E4292" s="240">
        <f>$E$3</f>
        <v/>
      </c>
      <c r="F4292" s="241" t="n">
        <v>17.24</v>
      </c>
      <c r="G4292" s="242" t="n">
        <v>10291000</v>
      </c>
      <c r="H4292" s="241" t="n">
        <v>0.29</v>
      </c>
      <c r="I4292" s="241" t="n">
        <v>-8.16</v>
      </c>
      <c r="J4292" s="241" t="n">
        <v>-16.55</v>
      </c>
      <c r="K4292" s="241" t="n">
        <v>8.85</v>
      </c>
      <c r="L4292" s="242" t="n">
        <v>476200</v>
      </c>
      <c r="M4292" s="241" t="n">
        <v>0.63</v>
      </c>
      <c r="N4292" s="241" t="n">
        <v>-8.17</v>
      </c>
      <c r="O4292" s="241" t="n">
        <v>-24.56</v>
      </c>
      <c r="P4292" s="241" t="n">
        <v>1.95</v>
      </c>
    </row>
    <row r="4293">
      <c r="A4293" s="282" t="inlineStr">
        <is>
          <t>2023-08-28</t>
        </is>
      </c>
      <c r="B4293" s="240">
        <f>IFERROR(1/P4293-1,B4292)</f>
        <v/>
      </c>
      <c r="C4293" s="240">
        <f>$C$3</f>
        <v/>
      </c>
      <c r="D4293" s="240">
        <f>$D$3</f>
        <v/>
      </c>
      <c r="E4293" s="240">
        <f>$E$3</f>
        <v/>
      </c>
      <c r="F4293" s="241" t="n">
        <v>17.43</v>
      </c>
      <c r="G4293" s="242" t="n">
        <v>13832444</v>
      </c>
      <c r="H4293" s="241" t="n">
        <v>1.1</v>
      </c>
      <c r="I4293" s="241" t="n">
        <v>-7.58</v>
      </c>
      <c r="J4293" s="241" t="n">
        <v>-15.63</v>
      </c>
      <c r="K4293" s="241" t="n">
        <v>8.779999999999999</v>
      </c>
      <c r="L4293" s="242" t="n">
        <v>938800</v>
      </c>
      <c r="M4293" s="241" t="n">
        <v>-0.83</v>
      </c>
      <c r="N4293" s="241" t="n">
        <v>-9.279999999999999</v>
      </c>
      <c r="O4293" s="241" t="n">
        <v>-25.19</v>
      </c>
      <c r="P4293" s="241" t="n">
        <v>1.99</v>
      </c>
    </row>
    <row r="4294">
      <c r="A4294" s="282" t="inlineStr">
        <is>
          <t>2023-08-29</t>
        </is>
      </c>
      <c r="B4294" s="240">
        <f>IFERROR(1/P4294-1,B4293)</f>
        <v/>
      </c>
      <c r="C4294" s="240">
        <f>$C$3</f>
        <v/>
      </c>
      <c r="D4294" s="240">
        <f>$D$3</f>
        <v/>
      </c>
      <c r="E4294" s="240">
        <f>$E$3</f>
        <v/>
      </c>
      <c r="F4294" s="241" t="n">
        <v>17.6</v>
      </c>
      <c r="G4294" s="242" t="n">
        <v>10929288</v>
      </c>
      <c r="H4294" s="241" t="n">
        <v>0.98</v>
      </c>
      <c r="I4294" s="241" t="n">
        <v>-6.28</v>
      </c>
      <c r="J4294" s="241" t="n">
        <v>-14.81</v>
      </c>
      <c r="K4294" s="241" t="n">
        <v>8.880000000000001</v>
      </c>
      <c r="L4294" s="242" t="n">
        <v>486918</v>
      </c>
      <c r="M4294" s="241" t="n">
        <v>1.25</v>
      </c>
      <c r="N4294" s="241" t="n">
        <v>-5.46</v>
      </c>
      <c r="O4294" s="241" t="n">
        <v>-24.25</v>
      </c>
      <c r="P4294" s="241" t="n">
        <v>1.98</v>
      </c>
    </row>
    <row r="4295">
      <c r="A4295" s="282" t="inlineStr">
        <is>
          <t>2023-08-30</t>
        </is>
      </c>
      <c r="B4295" s="240">
        <f>IFERROR(1/P4295-1,B4294)</f>
        <v/>
      </c>
      <c r="C4295" s="240">
        <f>$C$3</f>
        <v/>
      </c>
      <c r="D4295" s="240">
        <f>$D$3</f>
        <v/>
      </c>
      <c r="E4295" s="240">
        <f>$E$3</f>
        <v/>
      </c>
      <c r="F4295" s="241" t="n">
        <v>17.62</v>
      </c>
      <c r="G4295" s="242" t="n">
        <v>9812901</v>
      </c>
      <c r="H4295" s="241" t="n">
        <v>0.11</v>
      </c>
      <c r="I4295" s="241" t="n">
        <v>-6.18</v>
      </c>
      <c r="J4295" s="241" t="n">
        <v>-14.71</v>
      </c>
      <c r="K4295" s="241" t="n">
        <v>8.68</v>
      </c>
      <c r="L4295" s="242" t="n">
        <v>581600</v>
      </c>
      <c r="M4295" s="241" t="n">
        <v>-2.27</v>
      </c>
      <c r="N4295" s="241" t="n">
        <v>-7.6</v>
      </c>
      <c r="O4295" s="241" t="n">
        <v>-25.97</v>
      </c>
      <c r="P4295" s="241" t="n">
        <v>2.03</v>
      </c>
    </row>
    <row r="4296">
      <c r="A4296" s="282" t="inlineStr">
        <is>
          <t>2023-08-31</t>
        </is>
      </c>
      <c r="B4296" s="240">
        <f>IFERROR(1/P4296-1,B4295)</f>
        <v/>
      </c>
      <c r="C4296" s="240">
        <f>$C$3</f>
        <v/>
      </c>
      <c r="D4296" s="240">
        <f>$D$3</f>
        <v/>
      </c>
      <c r="E4296" s="240">
        <f>$E$3</f>
        <v/>
      </c>
      <c r="F4296" s="241" t="n">
        <v>16.78</v>
      </c>
      <c r="G4296" s="242" t="n">
        <v>31546901</v>
      </c>
      <c r="H4296" s="241" t="n">
        <v>-4.77</v>
      </c>
      <c r="I4296" s="241" t="n">
        <v>-10.65</v>
      </c>
      <c r="J4296" s="241" t="n">
        <v>-18.77</v>
      </c>
      <c r="K4296" s="241" t="n">
        <v>8.279999999999999</v>
      </c>
      <c r="L4296" s="242" t="n">
        <v>3070800</v>
      </c>
      <c r="M4296" s="241" t="n">
        <v>-4.54</v>
      </c>
      <c r="N4296" s="241" t="n">
        <v>-11.79</v>
      </c>
      <c r="O4296" s="241" t="n">
        <v>-29.33</v>
      </c>
      <c r="P4296" s="241" t="n">
        <v>2.03</v>
      </c>
    </row>
    <row r="4297">
      <c r="A4297" s="282" t="inlineStr">
        <is>
          <t>2023-09-01</t>
        </is>
      </c>
      <c r="B4297" s="240">
        <f>IFERROR(1/P4297-1,B4296)</f>
        <v/>
      </c>
      <c r="C4297" s="240">
        <f>$C$3</f>
        <v/>
      </c>
      <c r="D4297" s="240">
        <f>$D$3</f>
        <v/>
      </c>
      <c r="E4297" s="240">
        <f>$E$3</f>
        <v/>
      </c>
      <c r="F4297" s="241" t="n">
        <v>16.65</v>
      </c>
      <c r="G4297" s="242" t="n">
        <v>12540215</v>
      </c>
      <c r="H4297" s="241" t="n">
        <v>-0.77</v>
      </c>
      <c r="I4297" s="241" t="n">
        <v>-13.46</v>
      </c>
      <c r="J4297" s="241" t="n">
        <v>-19.4</v>
      </c>
      <c r="K4297" s="239" t="inlineStr">
        <is>
          <t>--</t>
        </is>
      </c>
      <c r="L4297" s="239" t="inlineStr">
        <is>
          <t>--</t>
        </is>
      </c>
      <c r="M4297" s="239" t="inlineStr">
        <is>
          <t>--</t>
        </is>
      </c>
      <c r="N4297" s="239" t="inlineStr">
        <is>
          <t>--</t>
        </is>
      </c>
      <c r="O4297" s="239" t="inlineStr">
        <is>
          <t>--</t>
        </is>
      </c>
      <c r="P4297" s="239" t="inlineStr">
        <is>
          <t>--</t>
        </is>
      </c>
    </row>
    <row r="4298">
      <c r="A4298" s="282" t="inlineStr">
        <is>
          <t>2023-09-04</t>
        </is>
      </c>
      <c r="B4298" s="240">
        <f>IFERROR(1/P4298-1,B4297)</f>
        <v/>
      </c>
      <c r="C4298" s="240">
        <f>$C$3</f>
        <v/>
      </c>
      <c r="D4298" s="240">
        <f>$D$3</f>
        <v/>
      </c>
      <c r="E4298" s="240">
        <f>$E$3</f>
        <v/>
      </c>
      <c r="F4298" s="241" t="n">
        <v>16.3</v>
      </c>
      <c r="G4298" s="242" t="n">
        <v>36867859</v>
      </c>
      <c r="H4298" s="241" t="n">
        <v>-2.1</v>
      </c>
      <c r="I4298" s="241" t="n">
        <v>-12.74</v>
      </c>
      <c r="J4298" s="241" t="n">
        <v>-21.1</v>
      </c>
      <c r="K4298" s="241" t="n">
        <v>8.4</v>
      </c>
      <c r="L4298" s="242" t="n">
        <v>1534200</v>
      </c>
      <c r="M4298" s="241" t="n">
        <v>1.44</v>
      </c>
      <c r="N4298" s="241" t="n">
        <v>-8.75</v>
      </c>
      <c r="O4298" s="241" t="n">
        <v>-28.31</v>
      </c>
      <c r="P4298" s="241" t="n">
        <v>1.94</v>
      </c>
    </row>
    <row r="4299">
      <c r="A4299" s="282" t="inlineStr">
        <is>
          <t>2023-09-05</t>
        </is>
      </c>
      <c r="B4299" s="240">
        <f>IFERROR(1/P4299-1,B4298)</f>
        <v/>
      </c>
      <c r="C4299" s="240">
        <f>$C$3</f>
        <v/>
      </c>
      <c r="D4299" s="240">
        <f>$D$3</f>
        <v/>
      </c>
      <c r="E4299" s="240">
        <f>$E$3</f>
        <v/>
      </c>
      <c r="F4299" s="241" t="n">
        <v>16.45</v>
      </c>
      <c r="G4299" s="242" t="n">
        <v>21154177</v>
      </c>
      <c r="H4299" s="241" t="n">
        <v>0.92</v>
      </c>
      <c r="I4299" s="241" t="n">
        <v>-11.94</v>
      </c>
      <c r="J4299" s="241" t="n">
        <v>-20.37</v>
      </c>
      <c r="K4299" s="241" t="n">
        <v>8.34</v>
      </c>
      <c r="L4299" s="242" t="n">
        <v>984400</v>
      </c>
      <c r="M4299" s="241" t="n">
        <v>-0.87</v>
      </c>
      <c r="N4299" s="241" t="n">
        <v>-9.18</v>
      </c>
      <c r="O4299" s="241" t="n">
        <v>-28.94</v>
      </c>
      <c r="P4299" s="241" t="n">
        <v>1.97</v>
      </c>
    </row>
    <row r="4300">
      <c r="A4300" s="282" t="inlineStr">
        <is>
          <t>2023-09-06</t>
        </is>
      </c>
      <c r="B4300" s="240">
        <f>IFERROR(1/P4300-1,B4299)</f>
        <v/>
      </c>
      <c r="C4300" s="240">
        <f>$C$3</f>
        <v/>
      </c>
      <c r="D4300" s="240">
        <f>$D$3</f>
        <v/>
      </c>
      <c r="E4300" s="240">
        <f>$E$3</f>
        <v/>
      </c>
      <c r="F4300" s="241" t="n">
        <v>16.21</v>
      </c>
      <c r="G4300" s="242" t="n">
        <v>19562582</v>
      </c>
      <c r="H4300" s="241" t="n">
        <v>-1.46</v>
      </c>
      <c r="I4300" s="241" t="n">
        <v>-13.22</v>
      </c>
      <c r="J4300" s="241" t="n">
        <v>-21.53</v>
      </c>
      <c r="K4300" s="241" t="n">
        <v>8.31</v>
      </c>
      <c r="L4300" s="242" t="n">
        <v>798600</v>
      </c>
      <c r="M4300" s="241" t="n">
        <v>-0.44</v>
      </c>
      <c r="N4300" s="241" t="n">
        <v>-9.58</v>
      </c>
      <c r="O4300" s="241" t="n">
        <v>-29.25</v>
      </c>
      <c r="P4300" s="241" t="n">
        <v>1.95</v>
      </c>
    </row>
    <row r="4301">
      <c r="A4301" s="282" t="inlineStr">
        <is>
          <t>2023-09-07</t>
        </is>
      </c>
      <c r="B4301" s="240">
        <f>IFERROR(1/P4301-1,B4300)</f>
        <v/>
      </c>
      <c r="C4301" s="240">
        <f>$C$3</f>
        <v/>
      </c>
      <c r="D4301" s="240">
        <f>$D$3</f>
        <v/>
      </c>
      <c r="E4301" s="240">
        <f>$E$3</f>
        <v/>
      </c>
      <c r="F4301" s="241" t="n">
        <v>16</v>
      </c>
      <c r="G4301" s="242" t="n">
        <v>14982094</v>
      </c>
      <c r="H4301" s="241" t="n">
        <v>-1.3</v>
      </c>
      <c r="I4301" s="241" t="n">
        <v>-14.35</v>
      </c>
      <c r="J4301" s="241" t="n">
        <v>-22.55</v>
      </c>
      <c r="K4301" s="241" t="n">
        <v>8.08</v>
      </c>
      <c r="L4301" s="242" t="n">
        <v>1936900</v>
      </c>
      <c r="M4301" s="241" t="n">
        <v>-2.87</v>
      </c>
      <c r="N4301" s="241" t="n">
        <v>-12.18</v>
      </c>
      <c r="O4301" s="241" t="n">
        <v>-31.28</v>
      </c>
      <c r="P4301" s="241" t="n">
        <v>1.98</v>
      </c>
    </row>
    <row r="4302">
      <c r="A4302" s="282" t="inlineStr">
        <is>
          <t>2023-09-08</t>
        </is>
      </c>
      <c r="B4302" s="240">
        <f>IFERROR(1/P4302-1,B4301)</f>
        <v/>
      </c>
      <c r="C4302" s="240">
        <f>$C$3</f>
        <v/>
      </c>
      <c r="D4302" s="240">
        <f>$D$3</f>
        <v/>
      </c>
      <c r="E4302" s="240">
        <f>$E$3</f>
        <v/>
      </c>
      <c r="F4302" s="241" t="n">
        <v>16.11</v>
      </c>
      <c r="G4302" s="242" t="n">
        <v>8965500</v>
      </c>
      <c r="H4302" s="241" t="n">
        <v>0.6899999999999999</v>
      </c>
      <c r="I4302" s="241" t="n">
        <v>-11.92</v>
      </c>
      <c r="J4302" s="241" t="n">
        <v>-22.02</v>
      </c>
      <c r="K4302" s="239" t="inlineStr">
        <is>
          <t>--</t>
        </is>
      </c>
      <c r="L4302" s="239" t="inlineStr">
        <is>
          <t>--</t>
        </is>
      </c>
      <c r="M4302" s="239" t="inlineStr">
        <is>
          <t>--</t>
        </is>
      </c>
      <c r="N4302" s="239" t="inlineStr">
        <is>
          <t>--</t>
        </is>
      </c>
      <c r="O4302" s="239" t="inlineStr">
        <is>
          <t>--</t>
        </is>
      </c>
      <c r="P4302" s="239" t="inlineStr">
        <is>
          <t>--</t>
        </is>
      </c>
    </row>
    <row r="4303">
      <c r="A4303" s="282" t="inlineStr">
        <is>
          <t>2023-09-11</t>
        </is>
      </c>
      <c r="B4303" s="240">
        <f>IFERROR(1/P4303-1,B4302)</f>
        <v/>
      </c>
      <c r="C4303" s="240">
        <f>$C$3</f>
        <v/>
      </c>
      <c r="D4303" s="240">
        <f>$D$3</f>
        <v/>
      </c>
      <c r="E4303" s="240">
        <f>$E$3</f>
        <v/>
      </c>
      <c r="F4303" s="241" t="n">
        <v>16.63</v>
      </c>
      <c r="G4303" s="242" t="n">
        <v>28869435</v>
      </c>
      <c r="H4303" s="241" t="n">
        <v>3.23</v>
      </c>
      <c r="I4303" s="241" t="n">
        <v>-8.58</v>
      </c>
      <c r="J4303" s="241" t="n">
        <v>-19.5</v>
      </c>
      <c r="K4303" s="241" t="n">
        <v>8.369999999999999</v>
      </c>
      <c r="L4303" s="242" t="n">
        <v>1431000</v>
      </c>
      <c r="M4303" s="241" t="n">
        <v>3.41</v>
      </c>
      <c r="N4303" s="241" t="n">
        <v>-7.89</v>
      </c>
      <c r="O4303" s="241" t="n">
        <v>-28.94</v>
      </c>
      <c r="P4303" s="241" t="n">
        <v>1.99</v>
      </c>
    </row>
    <row r="4304">
      <c r="A4304" s="282" t="inlineStr">
        <is>
          <t>2023-09-12</t>
        </is>
      </c>
      <c r="B4304" s="240">
        <f>IFERROR(1/P4304-1,B4303)</f>
        <v/>
      </c>
      <c r="C4304" s="240">
        <f>$C$3</f>
        <v/>
      </c>
      <c r="D4304" s="240">
        <f>$D$3</f>
        <v/>
      </c>
      <c r="E4304" s="240">
        <f>$E$3</f>
        <v/>
      </c>
      <c r="F4304" s="241" t="n">
        <v>16.76</v>
      </c>
      <c r="G4304" s="242" t="n">
        <v>22073984</v>
      </c>
      <c r="H4304" s="241" t="n">
        <v>0.78</v>
      </c>
      <c r="I4304" s="241" t="n">
        <v>-5.95</v>
      </c>
      <c r="J4304" s="241" t="n">
        <v>-18.87</v>
      </c>
      <c r="K4304" s="241" t="n">
        <v>8.5</v>
      </c>
      <c r="L4304" s="242" t="n">
        <v>1178271</v>
      </c>
      <c r="M4304" s="241" t="n">
        <v>1.65</v>
      </c>
      <c r="N4304" s="241" t="n">
        <v>-4.74</v>
      </c>
      <c r="O4304" s="241" t="n">
        <v>-27.76</v>
      </c>
      <c r="P4304" s="241" t="n">
        <v>1.97</v>
      </c>
    </row>
    <row r="4305">
      <c r="A4305" s="282" t="inlineStr">
        <is>
          <t>2023-09-13</t>
        </is>
      </c>
      <c r="B4305" s="240">
        <f>IFERROR(1/P4305-1,B4304)</f>
        <v/>
      </c>
      <c r="C4305" s="240">
        <f>$C$3</f>
        <v/>
      </c>
      <c r="D4305" s="240">
        <f>$D$3</f>
        <v/>
      </c>
      <c r="E4305" s="240">
        <f>$E$3</f>
        <v/>
      </c>
      <c r="F4305" s="241" t="n">
        <v>16.71</v>
      </c>
      <c r="G4305" s="242" t="n">
        <v>9405739</v>
      </c>
      <c r="H4305" s="241" t="n">
        <v>-0.3</v>
      </c>
      <c r="I4305" s="241" t="n">
        <v>-6.23</v>
      </c>
      <c r="J4305" s="241" t="n">
        <v>-19.11</v>
      </c>
      <c r="K4305" s="241" t="n">
        <v>8.27</v>
      </c>
      <c r="L4305" s="242" t="n">
        <v>1733600</v>
      </c>
      <c r="M4305" s="241" t="n">
        <v>-2.7</v>
      </c>
      <c r="N4305" s="241" t="n">
        <v>-7.31</v>
      </c>
      <c r="O4305" s="241" t="n">
        <v>-29.72</v>
      </c>
      <c r="P4305" s="241" t="n">
        <v>2.02</v>
      </c>
    </row>
    <row r="4306">
      <c r="A4306" s="282" t="inlineStr">
        <is>
          <t>2023-09-14</t>
        </is>
      </c>
      <c r="B4306" s="240">
        <f>IFERROR(1/P4306-1,B4305)</f>
        <v/>
      </c>
      <c r="C4306" s="240">
        <f>$C$3</f>
        <v/>
      </c>
      <c r="D4306" s="240">
        <f>$D$3</f>
        <v/>
      </c>
      <c r="E4306" s="240">
        <f>$E$3</f>
        <v/>
      </c>
      <c r="F4306" s="241" t="n">
        <v>16.75</v>
      </c>
      <c r="G4306" s="242" t="n">
        <v>10950750</v>
      </c>
      <c r="H4306" s="241" t="n">
        <v>0.24</v>
      </c>
      <c r="I4306" s="241" t="n">
        <v>-6</v>
      </c>
      <c r="J4306" s="241" t="n">
        <v>-18.92</v>
      </c>
      <c r="K4306" s="241" t="n">
        <v>8.48</v>
      </c>
      <c r="L4306" s="242" t="n">
        <v>1142800</v>
      </c>
      <c r="M4306" s="241" t="n">
        <v>2.67</v>
      </c>
      <c r="N4306" s="241" t="n">
        <v>-4.84</v>
      </c>
      <c r="O4306" s="241" t="n">
        <v>-27.84</v>
      </c>
      <c r="P4306" s="241" t="n">
        <v>1.97</v>
      </c>
    </row>
    <row r="4307">
      <c r="A4307" s="282" t="inlineStr">
        <is>
          <t>2023-09-15</t>
        </is>
      </c>
      <c r="B4307" s="240">
        <f>IFERROR(1/P4307-1,B4306)</f>
        <v/>
      </c>
      <c r="C4307" s="240">
        <f>$C$3</f>
        <v/>
      </c>
      <c r="D4307" s="240">
        <f>$D$3</f>
        <v/>
      </c>
      <c r="E4307" s="240">
        <f>$E$3</f>
        <v/>
      </c>
      <c r="F4307" s="241" t="n">
        <v>16.5</v>
      </c>
      <c r="G4307" s="242" t="n">
        <v>11399095</v>
      </c>
      <c r="H4307" s="241" t="n">
        <v>-1.49</v>
      </c>
      <c r="I4307" s="241" t="n">
        <v>-7.98</v>
      </c>
      <c r="J4307" s="241" t="n">
        <v>-20.13</v>
      </c>
      <c r="K4307" s="241" t="n">
        <v>8.56</v>
      </c>
      <c r="L4307" s="242" t="n">
        <v>1055400</v>
      </c>
      <c r="M4307" s="241" t="n">
        <v>0.97</v>
      </c>
      <c r="N4307" s="241" t="n">
        <v>-2.3</v>
      </c>
      <c r="O4307" s="241" t="n">
        <v>-27.14</v>
      </c>
      <c r="P4307" s="241" t="n">
        <v>1.93</v>
      </c>
    </row>
    <row r="4308">
      <c r="A4308" s="282" t="inlineStr">
        <is>
          <t>2023-09-18</t>
        </is>
      </c>
      <c r="B4308" s="240">
        <f>IFERROR(1/P4308-1,B4307)</f>
        <v/>
      </c>
      <c r="C4308" s="240">
        <f>$C$3</f>
        <v/>
      </c>
      <c r="D4308" s="240">
        <f>$D$3</f>
        <v/>
      </c>
      <c r="E4308" s="240">
        <f>$E$3</f>
        <v/>
      </c>
      <c r="F4308" s="241" t="n">
        <v>16.31</v>
      </c>
      <c r="G4308" s="242" t="n">
        <v>10934955</v>
      </c>
      <c r="H4308" s="241" t="n">
        <v>-1.15</v>
      </c>
      <c r="I4308" s="241" t="n">
        <v>-8.98</v>
      </c>
      <c r="J4308" s="241" t="n">
        <v>-21.05</v>
      </c>
      <c r="K4308" s="241" t="n">
        <v>8.220000000000001</v>
      </c>
      <c r="L4308" s="242" t="n">
        <v>1215800</v>
      </c>
      <c r="M4308" s="241" t="n">
        <v>-3.86</v>
      </c>
      <c r="N4308" s="241" t="n">
        <v>-5.38</v>
      </c>
      <c r="O4308" s="241" t="n">
        <v>-29.95</v>
      </c>
      <c r="P4308" s="241" t="n">
        <v>1.98</v>
      </c>
    </row>
    <row r="4309">
      <c r="A4309" s="282" t="inlineStr">
        <is>
          <t>2023-09-19</t>
        </is>
      </c>
      <c r="B4309" s="240">
        <f>IFERROR(1/P4309-1,B4308)</f>
        <v/>
      </c>
      <c r="C4309" s="240">
        <f>$C$3</f>
        <v/>
      </c>
      <c r="D4309" s="240">
        <f>$D$3</f>
        <v/>
      </c>
      <c r="E4309" s="240">
        <f>$E$3</f>
        <v/>
      </c>
      <c r="F4309" s="241" t="n">
        <v>16.15</v>
      </c>
      <c r="G4309" s="242" t="n">
        <v>9443405</v>
      </c>
      <c r="H4309" s="241" t="n">
        <v>-0.98</v>
      </c>
      <c r="I4309" s="241" t="n">
        <v>-8.960000000000001</v>
      </c>
      <c r="J4309" s="241" t="n">
        <v>-21.82</v>
      </c>
      <c r="K4309" s="241" t="n">
        <v>8.289999999999999</v>
      </c>
      <c r="L4309" s="242" t="n">
        <v>656600</v>
      </c>
      <c r="M4309" s="241" t="n">
        <v>0.67</v>
      </c>
      <c r="N4309" s="241" t="n">
        <v>-3.01</v>
      </c>
      <c r="O4309" s="241" t="n">
        <v>-29.48</v>
      </c>
      <c r="P4309" s="241" t="n">
        <v>1.95</v>
      </c>
    </row>
    <row r="4310">
      <c r="A4310" s="282" t="inlineStr">
        <is>
          <t>2023-09-20</t>
        </is>
      </c>
      <c r="B4310" s="240">
        <f>IFERROR(1/P4310-1,B4309)</f>
        <v/>
      </c>
      <c r="C4310" s="240">
        <f>$C$3</f>
        <v/>
      </c>
      <c r="D4310" s="240">
        <f>$D$3</f>
        <v/>
      </c>
      <c r="E4310" s="240">
        <f>$E$3</f>
        <v/>
      </c>
      <c r="F4310" s="241" t="n">
        <v>16.03</v>
      </c>
      <c r="G4310" s="242" t="n">
        <v>6557148</v>
      </c>
      <c r="H4310" s="241" t="n">
        <v>-0.74</v>
      </c>
      <c r="I4310" s="241" t="n">
        <v>-9.640000000000001</v>
      </c>
      <c r="J4310" s="241" t="n">
        <v>-22.4</v>
      </c>
      <c r="K4310" s="241" t="n">
        <v>8.18</v>
      </c>
      <c r="L4310" s="242" t="n">
        <v>539200</v>
      </c>
      <c r="M4310" s="241" t="n">
        <v>-1.22</v>
      </c>
      <c r="N4310" s="241" t="n">
        <v>-4.19</v>
      </c>
      <c r="O4310" s="241" t="n">
        <v>-30.34</v>
      </c>
      <c r="P4310" s="241" t="n">
        <v>1.96</v>
      </c>
    </row>
    <row r="4311">
      <c r="A4311" s="282" t="inlineStr">
        <is>
          <t>2023-09-21</t>
        </is>
      </c>
      <c r="B4311" s="240">
        <f>IFERROR(1/P4311-1,B4310)</f>
        <v/>
      </c>
      <c r="C4311" s="240">
        <f>$C$3</f>
        <v/>
      </c>
      <c r="D4311" s="240">
        <f>$D$3</f>
        <v/>
      </c>
      <c r="E4311" s="240">
        <f>$E$3</f>
        <v/>
      </c>
      <c r="F4311" s="241" t="n">
        <v>15.7</v>
      </c>
      <c r="G4311" s="242" t="n">
        <v>19357671</v>
      </c>
      <c r="H4311" s="241" t="n">
        <v>-2.06</v>
      </c>
      <c r="I4311" s="241" t="n">
        <v>-11.5</v>
      </c>
      <c r="J4311" s="241" t="n">
        <v>-24</v>
      </c>
      <c r="K4311" s="241" t="n">
        <v>8.140000000000001</v>
      </c>
      <c r="L4311" s="242" t="n">
        <v>625000</v>
      </c>
      <c r="M4311" s="241" t="n">
        <v>-0.45</v>
      </c>
      <c r="N4311" s="241" t="n">
        <v>-4.62</v>
      </c>
      <c r="O4311" s="241" t="n">
        <v>-30.65</v>
      </c>
      <c r="P4311" s="241" t="n">
        <v>1.93</v>
      </c>
    </row>
    <row r="4312">
      <c r="A4312" s="282" t="inlineStr">
        <is>
          <t>2023-09-22</t>
        </is>
      </c>
      <c r="B4312" s="240">
        <f>IFERROR(1/P4312-1,B4311)</f>
        <v/>
      </c>
      <c r="C4312" s="240">
        <f>$C$3</f>
        <v/>
      </c>
      <c r="D4312" s="240">
        <f>$D$3</f>
        <v/>
      </c>
      <c r="E4312" s="240">
        <f>$E$3</f>
        <v/>
      </c>
      <c r="F4312" s="241" t="n">
        <v>15.82</v>
      </c>
      <c r="G4312" s="242" t="n">
        <v>12052896</v>
      </c>
      <c r="H4312" s="241" t="n">
        <v>0.76</v>
      </c>
      <c r="I4312" s="241" t="n">
        <v>-8.550000000000001</v>
      </c>
      <c r="J4312" s="241" t="n">
        <v>-23.42</v>
      </c>
      <c r="K4312" s="241" t="n">
        <v>8.17</v>
      </c>
      <c r="L4312" s="242" t="n">
        <v>2342200</v>
      </c>
      <c r="M4312" s="241" t="n">
        <v>0.23</v>
      </c>
      <c r="N4312" s="241" t="n">
        <v>-2.52</v>
      </c>
      <c r="O4312" s="241" t="n">
        <v>-30.5</v>
      </c>
      <c r="P4312" s="241" t="n">
        <v>1.94</v>
      </c>
    </row>
    <row r="4313">
      <c r="A4313" s="282" t="inlineStr">
        <is>
          <t>2023-09-25</t>
        </is>
      </c>
      <c r="B4313" s="240">
        <f>IFERROR(1/P4313-1,B4312)</f>
        <v/>
      </c>
      <c r="C4313" s="240">
        <f>$C$3</f>
        <v/>
      </c>
      <c r="D4313" s="240">
        <f>$D$3</f>
        <v/>
      </c>
      <c r="E4313" s="240">
        <f>$E$3</f>
        <v/>
      </c>
      <c r="F4313" s="241" t="n">
        <v>15.51</v>
      </c>
      <c r="G4313" s="242" t="n">
        <v>15660855</v>
      </c>
      <c r="H4313" s="241" t="n">
        <v>-1.96</v>
      </c>
      <c r="I4313" s="241" t="n">
        <v>-9.77</v>
      </c>
      <c r="J4313" s="241" t="n">
        <v>-24.92</v>
      </c>
      <c r="K4313" s="241" t="n">
        <v>7.84</v>
      </c>
      <c r="L4313" s="242" t="n">
        <v>1465600</v>
      </c>
      <c r="M4313" s="241" t="n">
        <v>-4.04</v>
      </c>
      <c r="N4313" s="241" t="n">
        <v>-11.04</v>
      </c>
      <c r="O4313" s="241" t="n">
        <v>-33.31</v>
      </c>
      <c r="P4313" s="241" t="n">
        <v>1.98</v>
      </c>
    </row>
    <row r="4314">
      <c r="A4314" s="282" t="inlineStr">
        <is>
          <t>2023-09-26</t>
        </is>
      </c>
      <c r="B4314" s="240">
        <f>IFERROR(1/P4314-1,B4313)</f>
        <v/>
      </c>
      <c r="C4314" s="240">
        <f>$C$3</f>
        <v/>
      </c>
      <c r="D4314" s="240">
        <f>$D$3</f>
        <v/>
      </c>
      <c r="E4314" s="240">
        <f>$E$3</f>
        <v/>
      </c>
      <c r="F4314" s="241" t="n">
        <v>15.45</v>
      </c>
      <c r="G4314" s="242" t="n">
        <v>8490700</v>
      </c>
      <c r="H4314" s="241" t="n">
        <v>-0.39</v>
      </c>
      <c r="I4314" s="241" t="n">
        <v>-10.38</v>
      </c>
      <c r="J4314" s="241" t="n">
        <v>-25.21</v>
      </c>
      <c r="K4314" s="241" t="n">
        <v>7.73</v>
      </c>
      <c r="L4314" s="242" t="n">
        <v>696400</v>
      </c>
      <c r="M4314" s="241" t="n">
        <v>-1.41</v>
      </c>
      <c r="N4314" s="241" t="n">
        <v>-12.84</v>
      </c>
      <c r="O4314" s="241" t="n">
        <v>-34.25</v>
      </c>
      <c r="P4314" s="241" t="n">
        <v>2</v>
      </c>
    </row>
    <row r="4315">
      <c r="A4315" s="282" t="inlineStr">
        <is>
          <t>2023-09-27</t>
        </is>
      </c>
      <c r="B4315" s="240">
        <f>IFERROR(1/P4315-1,B4314)</f>
        <v/>
      </c>
      <c r="C4315" s="240">
        <f>$C$3</f>
        <v/>
      </c>
      <c r="D4315" s="240">
        <f>$D$3</f>
        <v/>
      </c>
      <c r="E4315" s="240">
        <f>$E$3</f>
        <v/>
      </c>
      <c r="F4315" s="241" t="n">
        <v>15.55</v>
      </c>
      <c r="G4315" s="242" t="n">
        <v>14792076</v>
      </c>
      <c r="H4315" s="241" t="n">
        <v>0.65</v>
      </c>
      <c r="I4315" s="241" t="n">
        <v>-9.800000000000001</v>
      </c>
      <c r="J4315" s="241" t="n">
        <v>-24.73</v>
      </c>
      <c r="K4315" s="241" t="n">
        <v>7.7</v>
      </c>
      <c r="L4315" s="242" t="n">
        <v>1907000</v>
      </c>
      <c r="M4315" s="241" t="n">
        <v>-0.24</v>
      </c>
      <c r="N4315" s="241" t="n">
        <v>-13.04</v>
      </c>
      <c r="O4315" s="241" t="n">
        <v>-34.4</v>
      </c>
      <c r="P4315" s="241" t="n">
        <v>2.02</v>
      </c>
    </row>
    <row r="4316">
      <c r="A4316" s="282" t="inlineStr">
        <is>
          <t>2023-09-28</t>
        </is>
      </c>
      <c r="B4316" s="240">
        <f>IFERROR(1/P4316-1,B4315)</f>
        <v/>
      </c>
      <c r="C4316" s="240">
        <f>$C$3</f>
        <v/>
      </c>
      <c r="D4316" s="240">
        <f>$D$3</f>
        <v/>
      </c>
      <c r="E4316" s="240">
        <f>$E$3</f>
        <v/>
      </c>
      <c r="F4316" s="241" t="n">
        <v>15.64</v>
      </c>
      <c r="G4316" s="242" t="n">
        <v>12631782</v>
      </c>
      <c r="H4316" s="241" t="n">
        <v>0.58</v>
      </c>
      <c r="I4316" s="241" t="n">
        <v>-9.279999999999999</v>
      </c>
      <c r="J4316" s="241" t="n">
        <v>-24.29</v>
      </c>
      <c r="K4316" s="241" t="n">
        <v>7.67</v>
      </c>
      <c r="L4316" s="242" t="n">
        <v>1094800</v>
      </c>
      <c r="M4316" s="241" t="n">
        <v>-0.48</v>
      </c>
      <c r="N4316" s="241" t="n">
        <v>-13.46</v>
      </c>
      <c r="O4316" s="241" t="n">
        <v>-34.71</v>
      </c>
      <c r="P4316" s="241" t="n">
        <v>2.04</v>
      </c>
    </row>
    <row r="4317">
      <c r="A4317" s="282" t="inlineStr">
        <is>
          <t>2023-10-09</t>
        </is>
      </c>
      <c r="B4317" s="240">
        <f>IFERROR(1/P4317-1,B4316)</f>
        <v/>
      </c>
      <c r="C4317" s="240">
        <f>$C$3</f>
        <v/>
      </c>
      <c r="D4317" s="240">
        <f>$D$3</f>
        <v/>
      </c>
      <c r="E4317" s="240">
        <f>$E$3</f>
        <v/>
      </c>
      <c r="F4317" s="241" t="n">
        <v>15.72</v>
      </c>
      <c r="G4317" s="242" t="n">
        <v>10782215</v>
      </c>
      <c r="H4317" s="241" t="n">
        <v>0.51</v>
      </c>
      <c r="I4317" s="241" t="n">
        <v>-2.42</v>
      </c>
      <c r="J4317" s="241" t="n">
        <v>-23.91</v>
      </c>
      <c r="K4317" s="241" t="n">
        <v>7.24</v>
      </c>
      <c r="L4317" s="242" t="n">
        <v>833600</v>
      </c>
      <c r="M4317" s="241" t="n">
        <v>-1.5</v>
      </c>
      <c r="N4317" s="241" t="n">
        <v>-10.23</v>
      </c>
      <c r="O4317" s="241" t="n">
        <v>-38.31</v>
      </c>
      <c r="P4317" s="241" t="n">
        <v>2.17</v>
      </c>
    </row>
    <row r="4318">
      <c r="A4318" s="282" t="inlineStr">
        <is>
          <t>2023-10-10</t>
        </is>
      </c>
      <c r="B4318" s="240">
        <f>IFERROR(1/P4318-1,B4317)</f>
        <v/>
      </c>
      <c r="C4318" s="240">
        <f>$C$3</f>
        <v/>
      </c>
      <c r="D4318" s="240">
        <f>$D$3</f>
        <v/>
      </c>
      <c r="E4318" s="240">
        <f>$E$3</f>
        <v/>
      </c>
      <c r="F4318" s="241" t="n">
        <v>15.58</v>
      </c>
      <c r="G4318" s="242" t="n">
        <v>8718770</v>
      </c>
      <c r="H4318" s="241" t="n">
        <v>-0.89</v>
      </c>
      <c r="I4318" s="241" t="n">
        <v>-3.29</v>
      </c>
      <c r="J4318" s="241" t="n">
        <v>-24.58</v>
      </c>
      <c r="K4318" s="241" t="n">
        <v>7.41</v>
      </c>
      <c r="L4318" s="242" t="n">
        <v>983800</v>
      </c>
      <c r="M4318" s="241" t="n">
        <v>2.28</v>
      </c>
      <c r="N4318" s="241" t="n">
        <v>-8.18</v>
      </c>
      <c r="O4318" s="241" t="n">
        <v>-36.9</v>
      </c>
      <c r="P4318" s="241" t="n">
        <v>2.1</v>
      </c>
    </row>
    <row r="4319">
      <c r="A4319" s="282" t="inlineStr">
        <is>
          <t>2023-10-11</t>
        </is>
      </c>
      <c r="B4319" s="240">
        <f>IFERROR(1/P4319-1,B4318)</f>
        <v/>
      </c>
      <c r="C4319" s="240">
        <f>$C$3</f>
        <v/>
      </c>
      <c r="D4319" s="240">
        <f>$D$3</f>
        <v/>
      </c>
      <c r="E4319" s="240">
        <f>$E$3</f>
        <v/>
      </c>
      <c r="F4319" s="241" t="n">
        <v>15.4</v>
      </c>
      <c r="G4319" s="242" t="n">
        <v>12104482</v>
      </c>
      <c r="H4319" s="241" t="n">
        <v>-1.16</v>
      </c>
      <c r="I4319" s="241" t="n">
        <v>-4.41</v>
      </c>
      <c r="J4319" s="241" t="n">
        <v>-25.45</v>
      </c>
      <c r="K4319" s="241" t="n">
        <v>7.45</v>
      </c>
      <c r="L4319" s="242" t="n">
        <v>1017000</v>
      </c>
      <c r="M4319" s="241" t="n">
        <v>0.49</v>
      </c>
      <c r="N4319" s="241" t="n">
        <v>-7.73</v>
      </c>
      <c r="O4319" s="241" t="n">
        <v>-36.59</v>
      </c>
      <c r="P4319" s="241" t="n">
        <v>2.07</v>
      </c>
    </row>
    <row r="4320">
      <c r="A4320" s="282" t="inlineStr">
        <is>
          <t>2023-10-12</t>
        </is>
      </c>
      <c r="B4320" s="240">
        <f>IFERROR(1/P4320-1,B4319)</f>
        <v/>
      </c>
      <c r="C4320" s="240">
        <f>$C$3</f>
        <v/>
      </c>
      <c r="D4320" s="240">
        <f>$D$3</f>
        <v/>
      </c>
      <c r="E4320" s="240">
        <f>$E$3</f>
        <v/>
      </c>
      <c r="F4320" s="241" t="n">
        <v>15.82</v>
      </c>
      <c r="G4320" s="242" t="n">
        <v>17475319</v>
      </c>
      <c r="H4320" s="241" t="n">
        <v>2.73</v>
      </c>
      <c r="I4320" s="241" t="n">
        <v>-4.87</v>
      </c>
      <c r="J4320" s="241" t="n">
        <v>-23.42</v>
      </c>
      <c r="K4320" s="241" t="n">
        <v>7.59</v>
      </c>
      <c r="L4320" s="242" t="n">
        <v>6106400</v>
      </c>
      <c r="M4320" s="241" t="n">
        <v>1.85</v>
      </c>
      <c r="N4320" s="241" t="n">
        <v>-9.119999999999999</v>
      </c>
      <c r="O4320" s="241" t="n">
        <v>-35.42</v>
      </c>
      <c r="P4320" s="241" t="n">
        <v>2.08</v>
      </c>
    </row>
    <row r="4321">
      <c r="A4321" s="282" t="inlineStr">
        <is>
          <t>2023-10-13</t>
        </is>
      </c>
      <c r="B4321" s="240">
        <f>IFERROR(1/P4321-1,B4320)</f>
        <v/>
      </c>
      <c r="C4321" s="240">
        <f>$C$3</f>
        <v/>
      </c>
      <c r="D4321" s="240">
        <f>$D$3</f>
        <v/>
      </c>
      <c r="E4321" s="240">
        <f>$E$3</f>
        <v/>
      </c>
      <c r="F4321" s="241" t="n">
        <v>15.51</v>
      </c>
      <c r="G4321" s="242" t="n">
        <v>13497406</v>
      </c>
      <c r="H4321" s="241" t="n">
        <v>-1.96</v>
      </c>
      <c r="I4321" s="241" t="n">
        <v>-7.46</v>
      </c>
      <c r="J4321" s="241" t="n">
        <v>-24.92</v>
      </c>
      <c r="K4321" s="241" t="n">
        <v>7.29</v>
      </c>
      <c r="L4321" s="242" t="n">
        <v>1940200</v>
      </c>
      <c r="M4321" s="241" t="n">
        <v>-3.87</v>
      </c>
      <c r="N4321" s="241" t="n">
        <v>-14.05</v>
      </c>
      <c r="O4321" s="241" t="n">
        <v>-37.92</v>
      </c>
      <c r="P4321" s="241" t="n">
        <v>2.13</v>
      </c>
    </row>
    <row r="4322">
      <c r="A4322" s="282" t="inlineStr">
        <is>
          <t>2023-10-16</t>
        </is>
      </c>
      <c r="B4322" s="240">
        <f>IFERROR(1/P4322-1,B4321)</f>
        <v/>
      </c>
      <c r="C4322" s="240">
        <f>$C$3</f>
        <v/>
      </c>
      <c r="D4322" s="240">
        <f>$D$3</f>
        <v/>
      </c>
      <c r="E4322" s="240">
        <f>$E$3</f>
        <v/>
      </c>
      <c r="F4322" s="241" t="n">
        <v>15.28</v>
      </c>
      <c r="G4322" s="242" t="n">
        <v>8740916</v>
      </c>
      <c r="H4322" s="241" t="n">
        <v>-1.48</v>
      </c>
      <c r="I4322" s="241" t="n">
        <v>-7.39</v>
      </c>
      <c r="J4322" s="241" t="n">
        <v>-26.04</v>
      </c>
      <c r="K4322" s="241" t="n">
        <v>7.15</v>
      </c>
      <c r="L4322" s="242" t="n">
        <v>1074400</v>
      </c>
      <c r="M4322" s="241" t="n">
        <v>-2.01</v>
      </c>
      <c r="N4322" s="241" t="n">
        <v>-16.51</v>
      </c>
      <c r="O4322" s="241" t="n">
        <v>-39.17</v>
      </c>
      <c r="P4322" s="241" t="n">
        <v>2.14</v>
      </c>
    </row>
    <row r="4323">
      <c r="A4323" s="282" t="inlineStr">
        <is>
          <t>2023-10-17</t>
        </is>
      </c>
      <c r="B4323" s="240">
        <f>IFERROR(1/P4323-1,B4322)</f>
        <v/>
      </c>
      <c r="C4323" s="240">
        <f>$C$3</f>
        <v/>
      </c>
      <c r="D4323" s="240">
        <f>$D$3</f>
        <v/>
      </c>
      <c r="E4323" s="240">
        <f>$E$3</f>
        <v/>
      </c>
      <c r="F4323" s="241" t="n">
        <v>15.3</v>
      </c>
      <c r="G4323" s="242" t="n">
        <v>5818762</v>
      </c>
      <c r="H4323" s="241" t="n">
        <v>0.13</v>
      </c>
      <c r="I4323" s="241" t="n">
        <v>-7.27</v>
      </c>
      <c r="J4323" s="241" t="n">
        <v>-25.94</v>
      </c>
      <c r="K4323" s="241" t="n">
        <v>7.17</v>
      </c>
      <c r="L4323" s="242" t="n">
        <v>737800</v>
      </c>
      <c r="M4323" s="241" t="n">
        <v>0.26</v>
      </c>
      <c r="N4323" s="241" t="n">
        <v>-16.29</v>
      </c>
      <c r="O4323" s="241" t="n">
        <v>-39.01</v>
      </c>
      <c r="P4323" s="241" t="n">
        <v>2.13</v>
      </c>
    </row>
    <row r="4324">
      <c r="A4324" s="282" t="inlineStr">
        <is>
          <t>2023-10-18</t>
        </is>
      </c>
      <c r="B4324" s="240">
        <f>IFERROR(1/P4324-1,B4323)</f>
        <v/>
      </c>
      <c r="C4324" s="240">
        <f>$C$3</f>
        <v/>
      </c>
      <c r="D4324" s="240">
        <f>$D$3</f>
        <v/>
      </c>
      <c r="E4324" s="240">
        <f>$E$3</f>
        <v/>
      </c>
      <c r="F4324" s="241" t="n">
        <v>14.99</v>
      </c>
      <c r="G4324" s="242" t="n">
        <v>9407744</v>
      </c>
      <c r="H4324" s="241" t="n">
        <v>-2.03</v>
      </c>
      <c r="I4324" s="241" t="n">
        <v>-9.15</v>
      </c>
      <c r="J4324" s="241" t="n">
        <v>-27.44</v>
      </c>
      <c r="K4324" s="241" t="n">
        <v>6.96</v>
      </c>
      <c r="L4324" s="242" t="n">
        <v>1272000</v>
      </c>
      <c r="M4324" s="241" t="n">
        <v>-2.94</v>
      </c>
      <c r="N4324" s="241" t="n">
        <v>-18.76</v>
      </c>
      <c r="O4324" s="241" t="n">
        <v>-40.81</v>
      </c>
      <c r="P4324" s="241" t="n">
        <v>2.16</v>
      </c>
    </row>
    <row r="4325">
      <c r="A4325" s="282" t="inlineStr">
        <is>
          <t>2023-10-19</t>
        </is>
      </c>
      <c r="B4325" s="240">
        <f>IFERROR(1/P4325-1,B4324)</f>
        <v/>
      </c>
      <c r="C4325" s="240">
        <f>$C$3</f>
        <v/>
      </c>
      <c r="D4325" s="240">
        <f>$D$3</f>
        <v/>
      </c>
      <c r="E4325" s="240">
        <f>$E$3</f>
        <v/>
      </c>
      <c r="F4325" s="241" t="n">
        <v>14.75</v>
      </c>
      <c r="G4325" s="242" t="n">
        <v>10709242</v>
      </c>
      <c r="H4325" s="241" t="n">
        <v>-1.6</v>
      </c>
      <c r="I4325" s="241" t="n">
        <v>-9.56</v>
      </c>
      <c r="J4325" s="241" t="n">
        <v>-28.6</v>
      </c>
      <c r="K4325" s="241" t="n">
        <v>6.86</v>
      </c>
      <c r="L4325" s="242" t="n">
        <v>1107000</v>
      </c>
      <c r="M4325" s="241" t="n">
        <v>-1.32</v>
      </c>
      <c r="N4325" s="241" t="n">
        <v>-16.61</v>
      </c>
      <c r="O4325" s="241" t="n">
        <v>-41.59</v>
      </c>
      <c r="P4325" s="241" t="n">
        <v>2.15</v>
      </c>
    </row>
    <row r="4326">
      <c r="A4326" s="282" t="inlineStr">
        <is>
          <t>2023-10-20</t>
        </is>
      </c>
      <c r="B4326" s="240">
        <f>IFERROR(1/P4326-1,B4325)</f>
        <v/>
      </c>
      <c r="C4326" s="240">
        <f>$C$3</f>
        <v/>
      </c>
      <c r="D4326" s="240">
        <f>$D$3</f>
        <v/>
      </c>
      <c r="E4326" s="240">
        <f>$E$3</f>
        <v/>
      </c>
      <c r="F4326" s="241" t="n">
        <v>14.85</v>
      </c>
      <c r="G4326" s="242" t="n">
        <v>14052502</v>
      </c>
      <c r="H4326" s="241" t="n">
        <v>0.68</v>
      </c>
      <c r="I4326" s="241" t="n">
        <v>-8.050000000000001</v>
      </c>
      <c r="J4326" s="241" t="n">
        <v>-28.12</v>
      </c>
      <c r="K4326" s="241" t="n">
        <v>6.73</v>
      </c>
      <c r="L4326" s="242" t="n">
        <v>1382600</v>
      </c>
      <c r="M4326" s="241" t="n">
        <v>-2.01</v>
      </c>
      <c r="N4326" s="241" t="n">
        <v>-18.83</v>
      </c>
      <c r="O4326" s="241" t="n">
        <v>-42.76</v>
      </c>
      <c r="P4326" s="241" t="n">
        <v>2.21</v>
      </c>
    </row>
    <row r="4327">
      <c r="A4327" s="282" t="inlineStr">
        <is>
          <t>2023-10-23</t>
        </is>
      </c>
      <c r="B4327" s="240">
        <f>IFERROR(1/P4327-1,B4326)</f>
        <v/>
      </c>
      <c r="C4327" s="240">
        <f>$C$3</f>
        <v/>
      </c>
      <c r="D4327" s="240">
        <f>$D$3</f>
        <v/>
      </c>
      <c r="E4327" s="240">
        <f>$E$3</f>
        <v/>
      </c>
      <c r="F4327" s="241" t="n">
        <v>14.42</v>
      </c>
      <c r="G4327" s="242" t="n">
        <v>12185445</v>
      </c>
      <c r="H4327" s="241" t="n">
        <v>-2.9</v>
      </c>
      <c r="I4327" s="241" t="n">
        <v>-8.85</v>
      </c>
      <c r="J4327" s="241" t="n">
        <v>-30.2</v>
      </c>
      <c r="K4327" s="239" t="inlineStr">
        <is>
          <t>--</t>
        </is>
      </c>
      <c r="L4327" s="239" t="inlineStr">
        <is>
          <t>--</t>
        </is>
      </c>
      <c r="M4327" s="239" t="inlineStr">
        <is>
          <t>--</t>
        </is>
      </c>
      <c r="N4327" s="239" t="inlineStr">
        <is>
          <t>--</t>
        </is>
      </c>
      <c r="O4327" s="239" t="inlineStr">
        <is>
          <t>--</t>
        </is>
      </c>
      <c r="P4327" s="239" t="inlineStr">
        <is>
          <t>--</t>
        </is>
      </c>
    </row>
    <row r="4328">
      <c r="A4328" s="282" t="inlineStr">
        <is>
          <t>2023-10-24</t>
        </is>
      </c>
      <c r="B4328" s="240">
        <f>IFERROR(1/P4328-1,B4327)</f>
        <v/>
      </c>
      <c r="C4328" s="240">
        <f>$C$3</f>
        <v/>
      </c>
      <c r="D4328" s="240">
        <f>$D$3</f>
        <v/>
      </c>
      <c r="E4328" s="240">
        <f>$E$3</f>
        <v/>
      </c>
      <c r="F4328" s="241" t="n">
        <v>14.57</v>
      </c>
      <c r="G4328" s="242" t="n">
        <v>8418158</v>
      </c>
      <c r="H4328" s="241" t="n">
        <v>1.04</v>
      </c>
      <c r="I4328" s="241" t="n">
        <v>-7.9</v>
      </c>
      <c r="J4328" s="241" t="n">
        <v>-29.47</v>
      </c>
      <c r="K4328" s="241" t="n">
        <v>6.77</v>
      </c>
      <c r="L4328" s="242" t="n">
        <v>1144600</v>
      </c>
      <c r="M4328" s="241" t="n">
        <v>0.68</v>
      </c>
      <c r="N4328" s="241" t="n">
        <v>-17.08</v>
      </c>
      <c r="O4328" s="241" t="n">
        <v>-42.37</v>
      </c>
      <c r="P4328" s="241" t="n">
        <v>2.15</v>
      </c>
    </row>
    <row r="4329">
      <c r="A4329" s="282" t="inlineStr">
        <is>
          <t>2023-10-25</t>
        </is>
      </c>
      <c r="B4329" s="240">
        <f>IFERROR(1/P4329-1,B4328)</f>
        <v/>
      </c>
      <c r="C4329" s="240">
        <f>$C$3</f>
        <v/>
      </c>
      <c r="D4329" s="240">
        <f>$D$3</f>
        <v/>
      </c>
      <c r="E4329" s="240">
        <f>$E$3</f>
        <v/>
      </c>
      <c r="F4329" s="241" t="n">
        <v>14.73</v>
      </c>
      <c r="G4329" s="242" t="n">
        <v>7227624</v>
      </c>
      <c r="H4329" s="241" t="n">
        <v>1.1</v>
      </c>
      <c r="I4329" s="241" t="n">
        <v>-6.89</v>
      </c>
      <c r="J4329" s="241" t="n">
        <v>-28.7</v>
      </c>
      <c r="K4329" s="241" t="n">
        <v>6.87</v>
      </c>
      <c r="L4329" s="242" t="n">
        <v>1325000</v>
      </c>
      <c r="M4329" s="241" t="n">
        <v>1.49</v>
      </c>
      <c r="N4329" s="241" t="n">
        <v>-15.84</v>
      </c>
      <c r="O4329" s="241" t="n">
        <v>-41.51</v>
      </c>
      <c r="P4329" s="241" t="n">
        <v>2.14</v>
      </c>
    </row>
    <row r="4330">
      <c r="A4330" s="282" t="inlineStr">
        <is>
          <t>2023-10-26</t>
        </is>
      </c>
      <c r="B4330" s="240">
        <f>IFERROR(1/P4330-1,B4329)</f>
        <v/>
      </c>
      <c r="C4330" s="240">
        <f>$C$3</f>
        <v/>
      </c>
      <c r="D4330" s="240">
        <f>$D$3</f>
        <v/>
      </c>
      <c r="E4330" s="240">
        <f>$E$3</f>
        <v/>
      </c>
      <c r="F4330" s="241" t="n">
        <v>14.83</v>
      </c>
      <c r="G4330" s="242" t="n">
        <v>8933417</v>
      </c>
      <c r="H4330" s="241" t="n">
        <v>0.68</v>
      </c>
      <c r="I4330" s="241" t="n">
        <v>-4.38</v>
      </c>
      <c r="J4330" s="241" t="n">
        <v>-28.21</v>
      </c>
      <c r="K4330" s="241" t="n">
        <v>6.85</v>
      </c>
      <c r="L4330" s="242" t="n">
        <v>915200</v>
      </c>
      <c r="M4330" s="241" t="n">
        <v>-0.4</v>
      </c>
      <c r="N4330" s="241" t="n">
        <v>-12.65</v>
      </c>
      <c r="O4330" s="241" t="n">
        <v>-41.74</v>
      </c>
      <c r="P4330" s="241" t="n">
        <v>2.17</v>
      </c>
    </row>
    <row r="4331">
      <c r="A4331" s="282" t="inlineStr">
        <is>
          <t>2023-10-27</t>
        </is>
      </c>
      <c r="B4331" s="240">
        <f>IFERROR(1/P4331-1,B4330)</f>
        <v/>
      </c>
      <c r="C4331" s="240">
        <f>$C$3</f>
        <v/>
      </c>
      <c r="D4331" s="240">
        <f>$D$3</f>
        <v/>
      </c>
      <c r="E4331" s="240">
        <f>$E$3</f>
        <v/>
      </c>
      <c r="F4331" s="241" t="n">
        <v>15.13</v>
      </c>
      <c r="G4331" s="242" t="n">
        <v>12329482</v>
      </c>
      <c r="H4331" s="241" t="n">
        <v>2.02</v>
      </c>
      <c r="I4331" s="241" t="n">
        <v>-2.07</v>
      </c>
      <c r="J4331" s="241" t="n">
        <v>-26.76</v>
      </c>
      <c r="K4331" s="241" t="n">
        <v>7.01</v>
      </c>
      <c r="L4331" s="242" t="n">
        <v>1913000</v>
      </c>
      <c r="M4331" s="241" t="n">
        <v>2.41</v>
      </c>
      <c r="N4331" s="241" t="n">
        <v>-9.26</v>
      </c>
      <c r="O4331" s="241" t="n">
        <v>-40.34</v>
      </c>
      <c r="P4331" s="241" t="n">
        <v>2.16</v>
      </c>
    </row>
    <row r="4332">
      <c r="A4332" s="282" t="inlineStr">
        <is>
          <t>2023-10-30</t>
        </is>
      </c>
      <c r="B4332" s="240">
        <f>IFERROR(1/P4332-1,B4331)</f>
        <v/>
      </c>
      <c r="C4332" s="240">
        <f>$C$3</f>
        <v/>
      </c>
      <c r="D4332" s="240">
        <f>$D$3</f>
        <v/>
      </c>
      <c r="E4332" s="240">
        <f>$E$3</f>
        <v/>
      </c>
      <c r="F4332" s="241" t="n">
        <v>15.11</v>
      </c>
      <c r="G4332" s="242" t="n">
        <v>10679592</v>
      </c>
      <c r="H4332" s="241" t="n">
        <v>-0.13</v>
      </c>
      <c r="I4332" s="241" t="n">
        <v>-3.39</v>
      </c>
      <c r="J4332" s="241" t="n">
        <v>-26.86</v>
      </c>
      <c r="K4332" s="241" t="n">
        <v>6.96</v>
      </c>
      <c r="L4332" s="242" t="n">
        <v>921600</v>
      </c>
      <c r="M4332" s="241" t="n">
        <v>-0.79</v>
      </c>
      <c r="N4332" s="241" t="n">
        <v>-12.87</v>
      </c>
      <c r="O4332" s="241" t="n">
        <v>-40.81</v>
      </c>
      <c r="P4332" s="241" t="n">
        <v>2.17</v>
      </c>
    </row>
    <row r="4333">
      <c r="A4333" s="282" t="inlineStr">
        <is>
          <t>2023-10-31</t>
        </is>
      </c>
      <c r="B4333" s="240">
        <f>IFERROR(1/P4333-1,B4332)</f>
        <v/>
      </c>
      <c r="C4333" s="240">
        <f>$C$3</f>
        <v/>
      </c>
      <c r="D4333" s="240">
        <f>$D$3</f>
        <v/>
      </c>
      <c r="E4333" s="240">
        <f>$E$3</f>
        <v/>
      </c>
      <c r="F4333" s="241" t="n">
        <v>14.9</v>
      </c>
      <c r="G4333" s="242" t="n">
        <v>23042091</v>
      </c>
      <c r="H4333" s="241" t="n">
        <v>-1.39</v>
      </c>
      <c r="I4333" s="241" t="n">
        <v>-4.73</v>
      </c>
      <c r="J4333" s="241" t="n">
        <v>-27.87</v>
      </c>
      <c r="K4333" s="241" t="n">
        <v>6.88</v>
      </c>
      <c r="L4333" s="242" t="n">
        <v>1161200</v>
      </c>
      <c r="M4333" s="241" t="n">
        <v>-1.06</v>
      </c>
      <c r="N4333" s="241" t="n">
        <v>-13.79</v>
      </c>
      <c r="O4333" s="241" t="n">
        <v>-41.43</v>
      </c>
      <c r="P4333" s="241" t="n">
        <v>2.16</v>
      </c>
    </row>
    <row r="4334">
      <c r="A4334" s="282" t="inlineStr">
        <is>
          <t>2023-11-01</t>
        </is>
      </c>
      <c r="B4334" s="240">
        <f>IFERROR(1/P4334-1,B4333)</f>
        <v/>
      </c>
      <c r="C4334" s="240">
        <f>$C$3</f>
        <v/>
      </c>
      <c r="D4334" s="240">
        <f>$D$3</f>
        <v/>
      </c>
      <c r="E4334" s="240">
        <f>$E$3</f>
        <v/>
      </c>
      <c r="F4334" s="241" t="n">
        <v>15.2</v>
      </c>
      <c r="G4334" s="242" t="n">
        <v>21665508</v>
      </c>
      <c r="H4334" s="241" t="n">
        <v>2.01</v>
      </c>
      <c r="I4334" s="241" t="n">
        <v>-2.81</v>
      </c>
      <c r="J4334" s="241" t="n">
        <v>-26.42</v>
      </c>
      <c r="K4334" s="241" t="n">
        <v>6.92</v>
      </c>
      <c r="L4334" s="242" t="n">
        <v>1251800</v>
      </c>
      <c r="M4334" s="241" t="n">
        <v>0.53</v>
      </c>
      <c r="N4334" s="241" t="n">
        <v>-13.33</v>
      </c>
      <c r="O4334" s="241" t="n">
        <v>-41.12</v>
      </c>
      <c r="P4334" s="241" t="n">
        <v>2.2</v>
      </c>
    </row>
    <row r="4335">
      <c r="A4335" s="282" t="inlineStr">
        <is>
          <t>2023-11-02</t>
        </is>
      </c>
      <c r="B4335" s="240">
        <f>IFERROR(1/P4335-1,B4334)</f>
        <v/>
      </c>
      <c r="C4335" s="240">
        <f>$C$3</f>
        <v/>
      </c>
      <c r="D4335" s="240">
        <f>$D$3</f>
        <v/>
      </c>
      <c r="E4335" s="240">
        <f>$E$3</f>
        <v/>
      </c>
      <c r="F4335" s="241" t="n">
        <v>14.92</v>
      </c>
      <c r="G4335" s="242" t="n">
        <v>11710869</v>
      </c>
      <c r="H4335" s="241" t="n">
        <v>-1.84</v>
      </c>
      <c r="I4335" s="241" t="n">
        <v>-4.6</v>
      </c>
      <c r="J4335" s="241" t="n">
        <v>-27.78</v>
      </c>
      <c r="K4335" s="241" t="n">
        <v>6.76</v>
      </c>
      <c r="L4335" s="242" t="n">
        <v>1205600</v>
      </c>
      <c r="M4335" s="241" t="n">
        <v>-2.25</v>
      </c>
      <c r="N4335" s="241" t="n">
        <v>-15.29</v>
      </c>
      <c r="O4335" s="241" t="n">
        <v>-42.45</v>
      </c>
      <c r="P4335" s="241" t="n">
        <v>2.21</v>
      </c>
    </row>
    <row r="4336">
      <c r="A4336" s="282" t="inlineStr">
        <is>
          <t>2023-11-03</t>
        </is>
      </c>
      <c r="B4336" s="240">
        <f>IFERROR(1/P4336-1,B4335)</f>
        <v/>
      </c>
      <c r="C4336" s="240">
        <f>$C$3</f>
        <v/>
      </c>
      <c r="D4336" s="240">
        <f>$D$3</f>
        <v/>
      </c>
      <c r="E4336" s="240">
        <f>$E$3</f>
        <v/>
      </c>
      <c r="F4336" s="241" t="n">
        <v>15.25</v>
      </c>
      <c r="G4336" s="242" t="n">
        <v>13192971</v>
      </c>
      <c r="H4336" s="241" t="n">
        <v>2.21</v>
      </c>
      <c r="I4336" s="241" t="n">
        <v>-2.49</v>
      </c>
      <c r="J4336" s="241" t="n">
        <v>-26.18</v>
      </c>
      <c r="K4336" s="241" t="n">
        <v>7.11</v>
      </c>
      <c r="L4336" s="242" t="n">
        <v>1699600</v>
      </c>
      <c r="M4336" s="241" t="n">
        <v>5.16</v>
      </c>
      <c r="N4336" s="241" t="n">
        <v>-10.92</v>
      </c>
      <c r="O4336" s="241" t="n">
        <v>-39.48</v>
      </c>
      <c r="P4336" s="241" t="n">
        <v>2.14</v>
      </c>
    </row>
    <row r="4337">
      <c r="A4337" s="282" t="inlineStr">
        <is>
          <t>2023-11-06</t>
        </is>
      </c>
      <c r="B4337" s="240">
        <f>IFERROR(1/P4337-1,B4336)</f>
        <v/>
      </c>
      <c r="C4337" s="240">
        <f>$C$3</f>
        <v/>
      </c>
      <c r="D4337" s="240">
        <f>$D$3</f>
        <v/>
      </c>
      <c r="E4337" s="240">
        <f>$E$3</f>
        <v/>
      </c>
      <c r="F4337" s="241" t="n">
        <v>15.37</v>
      </c>
      <c r="G4337" s="242" t="n">
        <v>14602959</v>
      </c>
      <c r="H4337" s="241" t="n">
        <v>0.79</v>
      </c>
      <c r="I4337" s="241" t="n">
        <v>-1.73</v>
      </c>
      <c r="J4337" s="241" t="n">
        <v>-25.6</v>
      </c>
      <c r="K4337" s="241" t="n">
        <v>7.26</v>
      </c>
      <c r="L4337" s="242" t="n">
        <v>1850400</v>
      </c>
      <c r="M4337" s="241" t="n">
        <v>2.06</v>
      </c>
      <c r="N4337" s="241" t="n">
        <v>-2.35</v>
      </c>
      <c r="O4337" s="241" t="n">
        <v>-38.23</v>
      </c>
      <c r="P4337" s="241" t="n">
        <v>2.12</v>
      </c>
    </row>
    <row r="4338">
      <c r="A4338" s="282" t="inlineStr">
        <is>
          <t>2023-11-07</t>
        </is>
      </c>
      <c r="B4338" s="240">
        <f>IFERROR(1/P4338-1,B4337)</f>
        <v/>
      </c>
      <c r="C4338" s="240">
        <f>$C$3</f>
        <v/>
      </c>
      <c r="D4338" s="240">
        <f>$D$3</f>
        <v/>
      </c>
      <c r="E4338" s="240">
        <f>$E$3</f>
        <v/>
      </c>
      <c r="F4338" s="241" t="n">
        <v>15.28</v>
      </c>
      <c r="G4338" s="242" t="n">
        <v>9646910</v>
      </c>
      <c r="H4338" s="241" t="n">
        <v>-0.59</v>
      </c>
      <c r="I4338" s="241" t="n">
        <v>-2.3</v>
      </c>
      <c r="J4338" s="241" t="n">
        <v>-26.04</v>
      </c>
      <c r="K4338" s="241" t="n">
        <v>7.18</v>
      </c>
      <c r="L4338" s="242" t="n">
        <v>853691</v>
      </c>
      <c r="M4338" s="241" t="n">
        <v>-1.14</v>
      </c>
      <c r="N4338" s="241" t="n">
        <v>-2.49</v>
      </c>
      <c r="O4338" s="241" t="n">
        <v>-38.93</v>
      </c>
      <c r="P4338" s="241" t="n">
        <v>2.13</v>
      </c>
    </row>
    <row r="4339">
      <c r="A4339" s="282" t="inlineStr">
        <is>
          <t>2023-11-08</t>
        </is>
      </c>
      <c r="B4339" s="240">
        <f>IFERROR(1/P4339-1,B4338)</f>
        <v/>
      </c>
      <c r="C4339" s="240">
        <f>$C$3</f>
        <v/>
      </c>
      <c r="D4339" s="240">
        <f>$D$3</f>
        <v/>
      </c>
      <c r="E4339" s="240">
        <f>$E$3</f>
        <v/>
      </c>
      <c r="F4339" s="241" t="n">
        <v>15.14</v>
      </c>
      <c r="G4339" s="242" t="n">
        <v>11012596</v>
      </c>
      <c r="H4339" s="241" t="n">
        <v>-0.92</v>
      </c>
      <c r="I4339" s="241" t="n">
        <v>-3.2</v>
      </c>
      <c r="J4339" s="241" t="n">
        <v>-26.71</v>
      </c>
      <c r="K4339" s="241" t="n">
        <v>7.04</v>
      </c>
      <c r="L4339" s="242" t="n">
        <v>1360000</v>
      </c>
      <c r="M4339" s="241" t="n">
        <v>-1.92</v>
      </c>
      <c r="N4339" s="241" t="n">
        <v>-4.36</v>
      </c>
      <c r="O4339" s="241" t="n">
        <v>-40.1</v>
      </c>
      <c r="P4339" s="241" t="n">
        <v>2.15</v>
      </c>
    </row>
    <row r="4340">
      <c r="A4340" s="282" t="inlineStr">
        <is>
          <t>2023-11-09</t>
        </is>
      </c>
      <c r="B4340" s="240">
        <f>IFERROR(1/P4340-1,B4339)</f>
        <v/>
      </c>
      <c r="C4340" s="240">
        <f>$C$3</f>
        <v/>
      </c>
      <c r="D4340" s="240">
        <f>$D$3</f>
        <v/>
      </c>
      <c r="E4340" s="240">
        <f>$E$3</f>
        <v/>
      </c>
      <c r="F4340" s="241" t="n">
        <v>15.34</v>
      </c>
      <c r="G4340" s="242" t="n">
        <v>15257241</v>
      </c>
      <c r="H4340" s="241" t="n">
        <v>1.32</v>
      </c>
      <c r="I4340" s="241" t="n">
        <v>-1.92</v>
      </c>
      <c r="J4340" s="241" t="n">
        <v>-25.75</v>
      </c>
      <c r="K4340" s="241" t="n">
        <v>7.02</v>
      </c>
      <c r="L4340" s="242" t="n">
        <v>659400</v>
      </c>
      <c r="M4340" s="241" t="n">
        <v>-0.39</v>
      </c>
      <c r="N4340" s="241" t="n">
        <v>-4.74</v>
      </c>
      <c r="O4340" s="241" t="n">
        <v>-40.34</v>
      </c>
      <c r="P4340" s="241" t="n">
        <v>2.19</v>
      </c>
    </row>
    <row r="4341">
      <c r="A4341" s="282" t="inlineStr">
        <is>
          <t>2023-11-10</t>
        </is>
      </c>
      <c r="B4341" s="240">
        <f>IFERROR(1/P4341-1,B4340)</f>
        <v/>
      </c>
      <c r="C4341" s="240">
        <f>$C$3</f>
        <v/>
      </c>
      <c r="D4341" s="240">
        <f>$D$3</f>
        <v/>
      </c>
      <c r="E4341" s="240">
        <f>$E$3</f>
        <v/>
      </c>
      <c r="F4341" s="241" t="n">
        <v>15.16</v>
      </c>
      <c r="G4341" s="242" t="n">
        <v>11220733</v>
      </c>
      <c r="H4341" s="241" t="n">
        <v>-1.17</v>
      </c>
      <c r="I4341" s="241" t="n">
        <v>-3.56</v>
      </c>
      <c r="J4341" s="241" t="n">
        <v>-26.62</v>
      </c>
      <c r="K4341" s="241" t="n">
        <v>6.89</v>
      </c>
      <c r="L4341" s="242" t="n">
        <v>891000</v>
      </c>
      <c r="M4341" s="241" t="n">
        <v>-1.96</v>
      </c>
      <c r="N4341" s="241" t="n">
        <v>-5.19</v>
      </c>
      <c r="O4341" s="241" t="n">
        <v>-41.51</v>
      </c>
      <c r="P4341" s="241" t="n">
        <v>2.2</v>
      </c>
    </row>
    <row r="4342">
      <c r="A4342" s="282" t="inlineStr">
        <is>
          <t>2023-11-13</t>
        </is>
      </c>
      <c r="B4342" s="240">
        <f>IFERROR(1/P4342-1,B4341)</f>
        <v/>
      </c>
      <c r="C4342" s="240">
        <f>$C$3</f>
        <v/>
      </c>
      <c r="D4342" s="240">
        <f>$D$3</f>
        <v/>
      </c>
      <c r="E4342" s="240">
        <f>$E$3</f>
        <v/>
      </c>
      <c r="F4342" s="241" t="n">
        <v>15.24</v>
      </c>
      <c r="G4342" s="242" t="n">
        <v>12388619</v>
      </c>
      <c r="H4342" s="241" t="n">
        <v>0.53</v>
      </c>
      <c r="I4342" s="241" t="n">
        <v>-3.67</v>
      </c>
      <c r="J4342" s="241" t="n">
        <v>-26.23</v>
      </c>
      <c r="K4342" s="241" t="n">
        <v>6.96</v>
      </c>
      <c r="L4342" s="242" t="n">
        <v>775500</v>
      </c>
      <c r="M4342" s="241" t="n">
        <v>1.2</v>
      </c>
      <c r="N4342" s="241" t="n">
        <v>-8.34</v>
      </c>
      <c r="O4342" s="241" t="n">
        <v>-40.81</v>
      </c>
      <c r="P4342" s="241" t="n">
        <v>2.19</v>
      </c>
    </row>
    <row r="4343">
      <c r="A4343" s="282" t="inlineStr">
        <is>
          <t>2023-11-14</t>
        </is>
      </c>
      <c r="B4343" s="240">
        <f>IFERROR(1/P4343-1,B4342)</f>
        <v/>
      </c>
      <c r="C4343" s="240">
        <f>$C$3</f>
        <v/>
      </c>
      <c r="D4343" s="240">
        <f>$D$3</f>
        <v/>
      </c>
      <c r="E4343" s="240">
        <f>$E$3</f>
        <v/>
      </c>
      <c r="F4343" s="241" t="n">
        <v>15.17</v>
      </c>
      <c r="G4343" s="242" t="n">
        <v>10428290</v>
      </c>
      <c r="H4343" s="241" t="n">
        <v>-0.46</v>
      </c>
      <c r="I4343" s="241" t="n">
        <v>-2.19</v>
      </c>
      <c r="J4343" s="241" t="n">
        <v>-26.57</v>
      </c>
      <c r="K4343" s="241" t="n">
        <v>7.07</v>
      </c>
      <c r="L4343" s="242" t="n">
        <v>656600</v>
      </c>
      <c r="M4343" s="241" t="n">
        <v>1.45</v>
      </c>
      <c r="N4343" s="241" t="n">
        <v>-3.27</v>
      </c>
      <c r="O4343" s="241" t="n">
        <v>-39.95</v>
      </c>
      <c r="P4343" s="241" t="n">
        <v>2.15</v>
      </c>
    </row>
    <row r="4344">
      <c r="A4344" s="282" t="inlineStr">
        <is>
          <t>2023-11-15</t>
        </is>
      </c>
      <c r="B4344" s="240">
        <f>IFERROR(1/P4344-1,B4343)</f>
        <v/>
      </c>
      <c r="C4344" s="240">
        <f>$C$3</f>
        <v/>
      </c>
      <c r="D4344" s="240">
        <f>$D$3</f>
        <v/>
      </c>
      <c r="E4344" s="240">
        <f>$E$3</f>
        <v/>
      </c>
      <c r="F4344" s="241" t="n">
        <v>15.37</v>
      </c>
      <c r="G4344" s="242" t="n">
        <v>15231709</v>
      </c>
      <c r="H4344" s="241" t="n">
        <v>1.32</v>
      </c>
      <c r="I4344" s="241" t="n">
        <v>-0.9</v>
      </c>
      <c r="J4344" s="241" t="n">
        <v>-25.6</v>
      </c>
      <c r="K4344" s="241" t="n">
        <v>7.26</v>
      </c>
      <c r="L4344" s="242" t="n">
        <v>1328800</v>
      </c>
      <c r="M4344" s="241" t="n">
        <v>2.73</v>
      </c>
      <c r="N4344" s="241" t="n">
        <v>-0.63</v>
      </c>
      <c r="O4344" s="241" t="n">
        <v>-38.31</v>
      </c>
      <c r="P4344" s="241" t="n">
        <v>2.12</v>
      </c>
    </row>
    <row r="4345">
      <c r="A4345" s="282" t="inlineStr">
        <is>
          <t>2023-11-16</t>
        </is>
      </c>
      <c r="B4345" s="240">
        <f>IFERROR(1/P4345-1,B4344)</f>
        <v/>
      </c>
      <c r="C4345" s="240">
        <f>$C$3</f>
        <v/>
      </c>
      <c r="D4345" s="240">
        <f>$D$3</f>
        <v/>
      </c>
      <c r="E4345" s="240">
        <f>$E$3</f>
        <v/>
      </c>
      <c r="F4345" s="241" t="n">
        <v>15.09</v>
      </c>
      <c r="G4345" s="242" t="n">
        <v>14963400</v>
      </c>
      <c r="H4345" s="241" t="n">
        <v>-1.82</v>
      </c>
      <c r="I4345" s="241" t="n">
        <v>-2.71</v>
      </c>
      <c r="J4345" s="241" t="n">
        <v>-26.96</v>
      </c>
      <c r="K4345" s="241" t="n">
        <v>7.19</v>
      </c>
      <c r="L4345" s="242" t="n">
        <v>959600</v>
      </c>
      <c r="M4345" s="241" t="n">
        <v>-0.89</v>
      </c>
      <c r="N4345" s="241" t="n">
        <v>-1.51</v>
      </c>
      <c r="O4345" s="241" t="n">
        <v>-38.85</v>
      </c>
      <c r="P4345" s="241" t="n">
        <v>2.1</v>
      </c>
    </row>
    <row r="4346">
      <c r="A4346" s="282" t="inlineStr">
        <is>
          <t>2023-11-17</t>
        </is>
      </c>
      <c r="B4346" s="240">
        <f>IFERROR(1/P4346-1,B4345)</f>
        <v/>
      </c>
      <c r="C4346" s="240">
        <f>$C$3</f>
        <v/>
      </c>
      <c r="D4346" s="240">
        <f>$D$3</f>
        <v/>
      </c>
      <c r="E4346" s="240">
        <f>$E$3</f>
        <v/>
      </c>
      <c r="F4346" s="241" t="n">
        <v>15.15</v>
      </c>
      <c r="G4346" s="242" t="n">
        <v>7517244</v>
      </c>
      <c r="H4346" s="241" t="n">
        <v>0.4</v>
      </c>
      <c r="I4346" s="241" t="n">
        <v>-0.85</v>
      </c>
      <c r="J4346" s="241" t="n">
        <v>-26.66</v>
      </c>
      <c r="K4346" s="241" t="n">
        <v>7.1</v>
      </c>
      <c r="L4346" s="242" t="n">
        <v>1304000</v>
      </c>
      <c r="M4346" s="241" t="n">
        <v>-1.4</v>
      </c>
      <c r="N4346" s="241" t="n">
        <v>-0.9</v>
      </c>
      <c r="O4346" s="241" t="n">
        <v>-39.71</v>
      </c>
      <c r="P4346" s="241" t="n">
        <v>2.13</v>
      </c>
    </row>
    <row r="4347">
      <c r="A4347" s="282" t="inlineStr">
        <is>
          <t>2023-11-20</t>
        </is>
      </c>
      <c r="B4347" s="240">
        <f>IFERROR(1/P4347-1,B4346)</f>
        <v/>
      </c>
      <c r="C4347" s="240">
        <f>$C$3</f>
        <v/>
      </c>
      <c r="D4347" s="240">
        <f>$D$3</f>
        <v/>
      </c>
      <c r="E4347" s="240">
        <f>$E$3</f>
        <v/>
      </c>
      <c r="F4347" s="241" t="n">
        <v>15.2</v>
      </c>
      <c r="G4347" s="242" t="n">
        <v>10169203</v>
      </c>
      <c r="H4347" s="241" t="n">
        <v>0.33</v>
      </c>
      <c r="I4347" s="241" t="n">
        <v>3.05</v>
      </c>
      <c r="J4347" s="241" t="n">
        <v>-26.42</v>
      </c>
      <c r="K4347" s="241" t="n">
        <v>7.16</v>
      </c>
      <c r="L4347" s="242" t="n">
        <v>1040900</v>
      </c>
      <c r="M4347" s="241" t="n">
        <v>0.91</v>
      </c>
      <c r="N4347" s="241" t="n">
        <v>4.14</v>
      </c>
      <c r="O4347" s="241" t="n">
        <v>-39.17</v>
      </c>
      <c r="P4347" s="241" t="n">
        <v>2.12</v>
      </c>
    </row>
    <row r="4348">
      <c r="A4348" s="282" t="inlineStr">
        <is>
          <t>2023-11-21</t>
        </is>
      </c>
      <c r="B4348" s="240">
        <f>IFERROR(1/P4348-1,B4347)</f>
        <v/>
      </c>
      <c r="C4348" s="240">
        <f>$C$3</f>
        <v/>
      </c>
      <c r="D4348" s="240">
        <f>$D$3</f>
        <v/>
      </c>
      <c r="E4348" s="240">
        <f>$E$3</f>
        <v/>
      </c>
      <c r="F4348" s="241" t="n">
        <v>15.13</v>
      </c>
      <c r="G4348" s="242" t="n">
        <v>9339312</v>
      </c>
      <c r="H4348" s="241" t="n">
        <v>-0.46</v>
      </c>
      <c r="I4348" s="241" t="n">
        <v>1.89</v>
      </c>
      <c r="J4348" s="241" t="n">
        <v>-26.76</v>
      </c>
      <c r="K4348" s="241" t="n">
        <v>7.17</v>
      </c>
      <c r="L4348" s="242" t="n">
        <v>835600</v>
      </c>
      <c r="M4348" s="241" t="n">
        <v>0.39</v>
      </c>
      <c r="N4348" s="241" t="n">
        <v>6.68</v>
      </c>
      <c r="O4348" s="241" t="n">
        <v>-38.93</v>
      </c>
      <c r="P4348" s="241" t="n">
        <v>2.11</v>
      </c>
    </row>
    <row r="4349">
      <c r="A4349" s="282" t="inlineStr">
        <is>
          <t>2023-11-22</t>
        </is>
      </c>
      <c r="B4349" s="240">
        <f>IFERROR(1/P4349-1,B4348)</f>
        <v/>
      </c>
      <c r="C4349" s="240">
        <f>$C$3</f>
        <v/>
      </c>
      <c r="D4349" s="240">
        <f>$D$3</f>
        <v/>
      </c>
      <c r="E4349" s="240">
        <f>$E$3</f>
        <v/>
      </c>
      <c r="F4349" s="241" t="n">
        <v>14.74</v>
      </c>
      <c r="G4349" s="242" t="n">
        <v>12945769</v>
      </c>
      <c r="H4349" s="241" t="n">
        <v>-2.58</v>
      </c>
      <c r="I4349" s="241" t="n">
        <v>-0.74</v>
      </c>
      <c r="J4349" s="241" t="n">
        <v>-28.65</v>
      </c>
      <c r="K4349" s="241" t="n">
        <v>7.02</v>
      </c>
      <c r="L4349" s="242" t="n">
        <v>693800</v>
      </c>
      <c r="M4349" s="241" t="n">
        <v>-1.79</v>
      </c>
      <c r="N4349" s="241" t="n">
        <v>4.77</v>
      </c>
      <c r="O4349" s="241" t="n">
        <v>-40.02</v>
      </c>
      <c r="P4349" s="241" t="n">
        <v>2.1</v>
      </c>
    </row>
    <row r="4350">
      <c r="A4350" s="282" t="inlineStr">
        <is>
          <t>2023-11-23</t>
        </is>
      </c>
      <c r="B4350" s="240">
        <f>IFERROR(1/P4350-1,B4349)</f>
        <v/>
      </c>
      <c r="C4350" s="240">
        <f>$C$3</f>
        <v/>
      </c>
      <c r="D4350" s="240">
        <f>$D$3</f>
        <v/>
      </c>
      <c r="E4350" s="240">
        <f>$E$3</f>
        <v/>
      </c>
      <c r="F4350" s="241" t="n">
        <v>14.92</v>
      </c>
      <c r="G4350" s="242" t="n">
        <v>8671871</v>
      </c>
      <c r="H4350" s="241" t="n">
        <v>1.22</v>
      </c>
      <c r="I4350" s="241" t="n">
        <v>0.47</v>
      </c>
      <c r="J4350" s="241" t="n">
        <v>-27.78</v>
      </c>
      <c r="K4350" s="241" t="n">
        <v>7.06</v>
      </c>
      <c r="L4350" s="242" t="n">
        <v>467200</v>
      </c>
      <c r="M4350" s="241" t="n">
        <v>0.65</v>
      </c>
      <c r="N4350" s="241" t="n">
        <v>5.46</v>
      </c>
      <c r="O4350" s="241" t="n">
        <v>-39.63</v>
      </c>
      <c r="P4350" s="241" t="n">
        <v>2.11</v>
      </c>
    </row>
    <row r="4351">
      <c r="A4351" s="282" t="inlineStr">
        <is>
          <t>2023-11-24</t>
        </is>
      </c>
      <c r="B4351" s="240">
        <f>IFERROR(1/P4351-1,B4350)</f>
        <v/>
      </c>
      <c r="C4351" s="240">
        <f>$C$3</f>
        <v/>
      </c>
      <c r="D4351" s="240">
        <f>$D$3</f>
        <v/>
      </c>
      <c r="E4351" s="240">
        <f>$E$3</f>
        <v/>
      </c>
      <c r="F4351" s="241" t="n">
        <v>14.73</v>
      </c>
      <c r="G4351" s="242" t="n">
        <v>6332500</v>
      </c>
      <c r="H4351" s="241" t="n">
        <v>-1.27</v>
      </c>
      <c r="I4351" s="241" t="n">
        <v>2.15</v>
      </c>
      <c r="J4351" s="241" t="n">
        <v>-28.7</v>
      </c>
      <c r="K4351" s="241" t="n">
        <v>6.9</v>
      </c>
      <c r="L4351" s="242" t="n">
        <v>529800</v>
      </c>
      <c r="M4351" s="241" t="n">
        <v>-2.2</v>
      </c>
      <c r="N4351" s="241" t="n">
        <v>3.14</v>
      </c>
      <c r="O4351" s="241" t="n">
        <v>-40.96</v>
      </c>
      <c r="P4351" s="241" t="n">
        <v>2.14</v>
      </c>
    </row>
    <row r="4352">
      <c r="A4352" s="282" t="inlineStr">
        <is>
          <t>2023-11-27</t>
        </is>
      </c>
      <c r="B4352" s="240">
        <f>IFERROR(1/P4352-1,B4351)</f>
        <v/>
      </c>
      <c r="C4352" s="240">
        <f>$C$3</f>
        <v/>
      </c>
      <c r="D4352" s="240">
        <f>$D$3</f>
        <v/>
      </c>
      <c r="E4352" s="240">
        <f>$E$3</f>
        <v/>
      </c>
      <c r="F4352" s="241" t="n">
        <v>14.69</v>
      </c>
      <c r="G4352" s="242" t="n">
        <v>8442812</v>
      </c>
      <c r="H4352" s="241" t="n">
        <v>-0.27</v>
      </c>
      <c r="I4352" s="241" t="n">
        <v>-0.9399999999999999</v>
      </c>
      <c r="J4352" s="241" t="n">
        <v>-28.89</v>
      </c>
      <c r="K4352" s="241" t="n">
        <v>6.73</v>
      </c>
      <c r="L4352" s="242" t="n">
        <v>854200</v>
      </c>
      <c r="M4352" s="241" t="n">
        <v>-2.51</v>
      </c>
      <c r="N4352" s="241" t="n">
        <v>-1.21</v>
      </c>
      <c r="O4352" s="241" t="n">
        <v>-42.45</v>
      </c>
      <c r="P4352" s="241" t="n">
        <v>2.18</v>
      </c>
    </row>
    <row r="4353">
      <c r="A4353" s="282" t="inlineStr">
        <is>
          <t>2023-11-28</t>
        </is>
      </c>
      <c r="B4353" s="240">
        <f>IFERROR(1/P4353-1,B4352)</f>
        <v/>
      </c>
      <c r="C4353" s="240">
        <f>$C$3</f>
        <v/>
      </c>
      <c r="D4353" s="240">
        <f>$D$3</f>
        <v/>
      </c>
      <c r="E4353" s="240">
        <f>$E$3</f>
        <v/>
      </c>
      <c r="F4353" s="241" t="n">
        <v>14.78</v>
      </c>
      <c r="G4353" s="242" t="n">
        <v>7132600</v>
      </c>
      <c r="H4353" s="241" t="n">
        <v>0.61</v>
      </c>
      <c r="I4353" s="241" t="n">
        <v>-2.31</v>
      </c>
      <c r="J4353" s="241" t="n">
        <v>-28.46</v>
      </c>
      <c r="K4353" s="241" t="n">
        <v>6.65</v>
      </c>
      <c r="L4353" s="242" t="n">
        <v>1043200</v>
      </c>
      <c r="M4353" s="241" t="n">
        <v>-1.22</v>
      </c>
      <c r="N4353" s="241" t="n">
        <v>-4.71</v>
      </c>
      <c r="O4353" s="241" t="n">
        <v>-43.15</v>
      </c>
      <c r="P4353" s="241" t="n">
        <v>2.22</v>
      </c>
    </row>
    <row r="4354">
      <c r="A4354" s="282" t="inlineStr">
        <is>
          <t>2023-11-29</t>
        </is>
      </c>
      <c r="B4354" s="240">
        <f>IFERROR(1/P4354-1,B4353)</f>
        <v/>
      </c>
      <c r="C4354" s="240">
        <f>$C$3</f>
        <v/>
      </c>
      <c r="D4354" s="240">
        <f>$D$3</f>
        <v/>
      </c>
      <c r="E4354" s="240">
        <f>$E$3</f>
        <v/>
      </c>
      <c r="F4354" s="241" t="n">
        <v>14.52</v>
      </c>
      <c r="G4354" s="242" t="n">
        <v>8010198</v>
      </c>
      <c r="H4354" s="241" t="n">
        <v>-1.76</v>
      </c>
      <c r="I4354" s="241" t="n">
        <v>-4.03</v>
      </c>
      <c r="J4354" s="241" t="n">
        <v>-29.71</v>
      </c>
      <c r="K4354" s="241" t="n">
        <v>6.42</v>
      </c>
      <c r="L4354" s="242" t="n">
        <v>2485200</v>
      </c>
      <c r="M4354" s="241" t="n">
        <v>-3.16</v>
      </c>
      <c r="N4354" s="241" t="n">
        <v>-7.72</v>
      </c>
      <c r="O4354" s="241" t="n">
        <v>-44.94</v>
      </c>
      <c r="P4354" s="241" t="n">
        <v>2.26</v>
      </c>
    </row>
    <row r="4355">
      <c r="A4355" s="282" t="inlineStr">
        <is>
          <t>2023-11-30</t>
        </is>
      </c>
      <c r="B4355" s="240">
        <f>IFERROR(1/P4355-1,B4354)</f>
        <v/>
      </c>
      <c r="C4355" s="240">
        <f>$C$3</f>
        <v/>
      </c>
      <c r="D4355" s="240">
        <f>$D$3</f>
        <v/>
      </c>
      <c r="E4355" s="240">
        <f>$E$3</f>
        <v/>
      </c>
      <c r="F4355" s="241" t="n">
        <v>14.57</v>
      </c>
      <c r="G4355" s="242" t="n">
        <v>6987129</v>
      </c>
      <c r="H4355" s="241" t="n">
        <v>0.34</v>
      </c>
      <c r="I4355" s="241" t="n">
        <v>-3.7</v>
      </c>
      <c r="J4355" s="241" t="n">
        <v>-29.47</v>
      </c>
      <c r="K4355" s="241" t="n">
        <v>6.37</v>
      </c>
      <c r="L4355" s="242" t="n">
        <v>1942428</v>
      </c>
      <c r="M4355" s="241" t="n">
        <v>-0.71</v>
      </c>
      <c r="N4355" s="241" t="n">
        <v>-8.380000000000001</v>
      </c>
      <c r="O4355" s="241" t="n">
        <v>-45.34</v>
      </c>
      <c r="P4355" s="241" t="n">
        <v>2.29</v>
      </c>
    </row>
    <row r="4356">
      <c r="A4356" s="282" t="inlineStr">
        <is>
          <t>2023-12-01</t>
        </is>
      </c>
      <c r="B4356" s="240">
        <f>IFERROR(1/P4356-1,B4355)</f>
        <v/>
      </c>
      <c r="C4356" s="240">
        <f>$C$3</f>
        <v/>
      </c>
      <c r="D4356" s="240">
        <f>$D$3</f>
        <v/>
      </c>
      <c r="E4356" s="240">
        <f>$E$3</f>
        <v/>
      </c>
      <c r="F4356" s="241" t="n">
        <v>14.37</v>
      </c>
      <c r="G4356" s="242" t="n">
        <v>11908305</v>
      </c>
      <c r="H4356" s="241" t="n">
        <v>-1.37</v>
      </c>
      <c r="I4356" s="241" t="n">
        <v>-3.56</v>
      </c>
      <c r="J4356" s="241" t="n">
        <v>-30.44</v>
      </c>
      <c r="K4356" s="241" t="n">
        <v>6.27</v>
      </c>
      <c r="L4356" s="242" t="n">
        <v>2084000</v>
      </c>
      <c r="M4356" s="241" t="n">
        <v>-1.57</v>
      </c>
      <c r="N4356" s="241" t="n">
        <v>-8.130000000000001</v>
      </c>
      <c r="O4356" s="241" t="n">
        <v>-46.19</v>
      </c>
      <c r="P4356" s="241" t="n">
        <v>2.29</v>
      </c>
    </row>
    <row r="4357">
      <c r="A4357" s="282" t="inlineStr">
        <is>
          <t>2023-12-04</t>
        </is>
      </c>
      <c r="B4357" s="240">
        <f>IFERROR(1/P4357-1,B4356)</f>
        <v/>
      </c>
      <c r="C4357" s="240">
        <f>$C$3</f>
        <v/>
      </c>
      <c r="D4357" s="240">
        <f>$D$3</f>
        <v/>
      </c>
      <c r="E4357" s="240">
        <f>$E$3</f>
        <v/>
      </c>
      <c r="F4357" s="241" t="n">
        <v>14.36</v>
      </c>
      <c r="G4357" s="242" t="n">
        <v>8872800</v>
      </c>
      <c r="H4357" s="241" t="n">
        <v>-0.07000000000000001</v>
      </c>
      <c r="I4357" s="241" t="n">
        <v>-5.84</v>
      </c>
      <c r="J4357" s="241" t="n">
        <v>-30.49</v>
      </c>
      <c r="K4357" s="241" t="n">
        <v>6.26</v>
      </c>
      <c r="L4357" s="242" t="n">
        <v>1091800</v>
      </c>
      <c r="M4357" s="241" t="n">
        <v>0</v>
      </c>
      <c r="N4357" s="241" t="n">
        <v>-11.1</v>
      </c>
      <c r="O4357" s="241" t="n">
        <v>-46.19</v>
      </c>
      <c r="P4357" s="241" t="n">
        <v>2.29</v>
      </c>
    </row>
    <row r="4358">
      <c r="A4358" s="282" t="inlineStr">
        <is>
          <t>2023-12-05</t>
        </is>
      </c>
      <c r="B4358" s="240">
        <f>IFERROR(1/P4358-1,B4357)</f>
        <v/>
      </c>
      <c r="C4358" s="240">
        <f>$C$3</f>
        <v/>
      </c>
      <c r="D4358" s="240">
        <f>$D$3</f>
        <v/>
      </c>
      <c r="E4358" s="240">
        <f>$E$3</f>
        <v/>
      </c>
      <c r="F4358" s="241" t="n">
        <v>14.15</v>
      </c>
      <c r="G4358" s="242" t="n">
        <v>7756100</v>
      </c>
      <c r="H4358" s="241" t="n">
        <v>-1.46</v>
      </c>
      <c r="I4358" s="241" t="n">
        <v>-7.21</v>
      </c>
      <c r="J4358" s="241" t="n">
        <v>-31.51</v>
      </c>
      <c r="K4358" s="241" t="n">
        <v>6.14</v>
      </c>
      <c r="L4358" s="242" t="n">
        <v>2151000</v>
      </c>
      <c r="M4358" s="241" t="n">
        <v>-2.03</v>
      </c>
      <c r="N4358" s="241" t="n">
        <v>-12.9</v>
      </c>
      <c r="O4358" s="241" t="n">
        <v>-47.29</v>
      </c>
      <c r="P4358" s="241" t="n">
        <v>2.3</v>
      </c>
    </row>
    <row r="4359">
      <c r="A4359" s="282" t="inlineStr">
        <is>
          <t>2023-12-06</t>
        </is>
      </c>
      <c r="B4359" s="240">
        <f>IFERROR(1/P4359-1,B4358)</f>
        <v/>
      </c>
      <c r="C4359" s="240">
        <f>$C$3</f>
        <v/>
      </c>
      <c r="D4359" s="240">
        <f>$D$3</f>
        <v/>
      </c>
      <c r="E4359" s="240">
        <f>$E$3</f>
        <v/>
      </c>
      <c r="F4359" s="241" t="n">
        <v>14.12</v>
      </c>
      <c r="G4359" s="242" t="n">
        <v>6749088</v>
      </c>
      <c r="H4359" s="241" t="n">
        <v>-0.21</v>
      </c>
      <c r="I4359" s="241" t="n">
        <v>-7.41</v>
      </c>
      <c r="J4359" s="241" t="n">
        <v>-31.65</v>
      </c>
      <c r="K4359" s="241" t="n">
        <v>6.24</v>
      </c>
      <c r="L4359" s="242" t="n">
        <v>1169800</v>
      </c>
      <c r="M4359" s="241" t="n">
        <v>1.63</v>
      </c>
      <c r="N4359" s="241" t="n">
        <v>-11.48</v>
      </c>
      <c r="O4359" s="241" t="n">
        <v>-46.43</v>
      </c>
      <c r="P4359" s="241" t="n">
        <v>2.26</v>
      </c>
    </row>
    <row r="4360">
      <c r="A4360" s="282" t="inlineStr">
        <is>
          <t>2023-12-07</t>
        </is>
      </c>
      <c r="B4360" s="240">
        <f>IFERROR(1/P4360-1,B4359)</f>
        <v/>
      </c>
      <c r="C4360" s="240">
        <f>$C$3</f>
        <v/>
      </c>
      <c r="D4360" s="240">
        <f>$D$3</f>
        <v/>
      </c>
      <c r="E4360" s="240">
        <f>$E$3</f>
        <v/>
      </c>
      <c r="F4360" s="241" t="n">
        <v>13.98</v>
      </c>
      <c r="G4360" s="242" t="n">
        <v>9261196</v>
      </c>
      <c r="H4360" s="241" t="n">
        <v>-0.99</v>
      </c>
      <c r="I4360" s="241" t="n">
        <v>-9.039999999999999</v>
      </c>
      <c r="J4360" s="241" t="n">
        <v>-32.33</v>
      </c>
      <c r="K4360" s="241" t="n">
        <v>6.2</v>
      </c>
      <c r="L4360" s="242" t="n">
        <v>1526000</v>
      </c>
      <c r="M4360" s="241" t="n">
        <v>-0.87</v>
      </c>
      <c r="N4360" s="241" t="n">
        <v>-14.03</v>
      </c>
      <c r="O4360" s="241" t="n">
        <v>-46.9</v>
      </c>
      <c r="P4360" s="241" t="n">
        <v>2.26</v>
      </c>
    </row>
    <row r="4361">
      <c r="A4361" s="282" t="inlineStr">
        <is>
          <t>2023-12-08</t>
        </is>
      </c>
      <c r="B4361" s="240">
        <f>IFERROR(1/P4361-1,B4360)</f>
        <v/>
      </c>
      <c r="C4361" s="240">
        <f>$C$3</f>
        <v/>
      </c>
      <c r="D4361" s="240">
        <f>$D$3</f>
        <v/>
      </c>
      <c r="E4361" s="240">
        <f>$E$3</f>
        <v/>
      </c>
      <c r="F4361" s="241" t="n">
        <v>14.09</v>
      </c>
      <c r="G4361" s="242" t="n">
        <v>16068200</v>
      </c>
      <c r="H4361" s="241" t="n">
        <v>0.79</v>
      </c>
      <c r="I4361" s="241" t="n">
        <v>-7.79</v>
      </c>
      <c r="J4361" s="241" t="n">
        <v>-31.8</v>
      </c>
      <c r="K4361" s="241" t="n">
        <v>6.1</v>
      </c>
      <c r="L4361" s="242" t="n">
        <v>793400</v>
      </c>
      <c r="M4361" s="241" t="n">
        <v>-1.47</v>
      </c>
      <c r="N4361" s="241" t="n">
        <v>-14.32</v>
      </c>
      <c r="O4361" s="241" t="n">
        <v>-47.68</v>
      </c>
      <c r="P4361" s="241" t="n">
        <v>2.31</v>
      </c>
    </row>
    <row r="4362">
      <c r="A4362" s="282" t="inlineStr">
        <is>
          <t>2023-12-11</t>
        </is>
      </c>
      <c r="B4362" s="240">
        <f>IFERROR(1/P4362-1,B4361)</f>
        <v/>
      </c>
      <c r="C4362" s="240">
        <f>$C$3</f>
        <v/>
      </c>
      <c r="D4362" s="240">
        <f>$D$3</f>
        <v/>
      </c>
      <c r="E4362" s="240">
        <f>$E$3</f>
        <v/>
      </c>
      <c r="F4362" s="241" t="n">
        <v>14.08</v>
      </c>
      <c r="G4362" s="242" t="n">
        <v>13815436</v>
      </c>
      <c r="H4362" s="241" t="n">
        <v>-0.07000000000000001</v>
      </c>
      <c r="I4362" s="241" t="n">
        <v>-7.12</v>
      </c>
      <c r="J4362" s="241" t="n">
        <v>-31.84</v>
      </c>
      <c r="K4362" s="241" t="n">
        <v>5.94</v>
      </c>
      <c r="L4362" s="242" t="n">
        <v>6139400</v>
      </c>
      <c r="M4362" s="241" t="n">
        <v>-2.69</v>
      </c>
      <c r="N4362" s="241" t="n">
        <v>-12.95</v>
      </c>
      <c r="O4362" s="241" t="n">
        <v>-49.08</v>
      </c>
      <c r="P4362" s="241" t="n">
        <v>2.37</v>
      </c>
    </row>
    <row r="4363">
      <c r="A4363" s="282" t="inlineStr">
        <is>
          <t>2023-12-12</t>
        </is>
      </c>
      <c r="B4363" s="240">
        <f>IFERROR(1/P4363-1,B4362)</f>
        <v/>
      </c>
      <c r="C4363" s="240">
        <f>$C$3</f>
        <v/>
      </c>
      <c r="D4363" s="240">
        <f>$D$3</f>
        <v/>
      </c>
      <c r="E4363" s="240">
        <f>$E$3</f>
        <v/>
      </c>
      <c r="F4363" s="241" t="n">
        <v>14.1</v>
      </c>
      <c r="G4363" s="242" t="n">
        <v>9543413</v>
      </c>
      <c r="H4363" s="241" t="n">
        <v>0.14</v>
      </c>
      <c r="I4363" s="241" t="n">
        <v>-6.99</v>
      </c>
      <c r="J4363" s="241" t="n">
        <v>-31.75</v>
      </c>
      <c r="K4363" s="241" t="n">
        <v>6.03</v>
      </c>
      <c r="L4363" s="242" t="n">
        <v>2237800</v>
      </c>
      <c r="M4363" s="241" t="n">
        <v>1.38</v>
      </c>
      <c r="N4363" s="241" t="n">
        <v>-11.75</v>
      </c>
      <c r="O4363" s="241" t="n">
        <v>-48.38</v>
      </c>
      <c r="P4363" s="241" t="n">
        <v>2.34</v>
      </c>
    </row>
    <row r="4364">
      <c r="A4364" s="282" t="inlineStr">
        <is>
          <t>2023-12-13</t>
        </is>
      </c>
      <c r="B4364" s="240">
        <f>IFERROR(1/P4364-1,B4363)</f>
        <v/>
      </c>
      <c r="C4364" s="240">
        <f>$C$3</f>
        <v/>
      </c>
      <c r="D4364" s="240">
        <f>$D$3</f>
        <v/>
      </c>
      <c r="E4364" s="240">
        <f>$E$3</f>
        <v/>
      </c>
      <c r="F4364" s="241" t="n">
        <v>13.84</v>
      </c>
      <c r="G4364" s="242" t="n">
        <v>9782156</v>
      </c>
      <c r="H4364" s="241" t="n">
        <v>-1.84</v>
      </c>
      <c r="I4364" s="241" t="n">
        <v>-8.710000000000001</v>
      </c>
      <c r="J4364" s="241" t="n">
        <v>-33.01</v>
      </c>
      <c r="K4364" s="241" t="n">
        <v>5.93</v>
      </c>
      <c r="L4364" s="242" t="n">
        <v>937400</v>
      </c>
      <c r="M4364" s="241" t="n">
        <v>-1.51</v>
      </c>
      <c r="N4364" s="241" t="n">
        <v>-13.08</v>
      </c>
      <c r="O4364" s="241" t="n">
        <v>-49.16</v>
      </c>
      <c r="P4364" s="241" t="n">
        <v>2.33</v>
      </c>
    </row>
    <row r="4365">
      <c r="A4365" s="282" t="inlineStr">
        <is>
          <t>2023-12-14</t>
        </is>
      </c>
      <c r="B4365" s="240">
        <f>IFERROR(1/P4365-1,B4364)</f>
        <v/>
      </c>
      <c r="C4365" s="240">
        <f>$C$3</f>
        <v/>
      </c>
      <c r="D4365" s="240">
        <f>$D$3</f>
        <v/>
      </c>
      <c r="E4365" s="240">
        <f>$E$3</f>
        <v/>
      </c>
      <c r="F4365" s="241" t="n">
        <v>13.71</v>
      </c>
      <c r="G4365" s="242" t="n">
        <v>8736716</v>
      </c>
      <c r="H4365" s="241" t="n">
        <v>-0.9399999999999999</v>
      </c>
      <c r="I4365" s="241" t="n">
        <v>-10.04</v>
      </c>
      <c r="J4365" s="241" t="n">
        <v>-33.64</v>
      </c>
      <c r="K4365" s="241" t="n">
        <v>5.93</v>
      </c>
      <c r="L4365" s="242" t="n">
        <v>1198000</v>
      </c>
      <c r="M4365" s="241" t="n">
        <v>0</v>
      </c>
      <c r="N4365" s="241" t="n">
        <v>-14.12</v>
      </c>
      <c r="O4365" s="241" t="n">
        <v>-49.16</v>
      </c>
      <c r="P4365" s="241" t="n">
        <v>2.31</v>
      </c>
    </row>
    <row r="4366">
      <c r="A4366" s="282" t="inlineStr">
        <is>
          <t>2023-12-15</t>
        </is>
      </c>
      <c r="B4366" s="240">
        <f>IFERROR(1/P4366-1,B4365)</f>
        <v/>
      </c>
      <c r="C4366" s="240">
        <f>$C$3</f>
        <v/>
      </c>
      <c r="D4366" s="240">
        <f>$D$3</f>
        <v/>
      </c>
      <c r="E4366" s="240">
        <f>$E$3</f>
        <v/>
      </c>
      <c r="F4366" s="241" t="n">
        <v>13.64</v>
      </c>
      <c r="G4366" s="242" t="n">
        <v>7353170</v>
      </c>
      <c r="H4366" s="241" t="n">
        <v>-0.51</v>
      </c>
      <c r="I4366" s="241" t="n">
        <v>-10.09</v>
      </c>
      <c r="J4366" s="241" t="n">
        <v>-33.97</v>
      </c>
      <c r="K4366" s="241" t="n">
        <v>5.98</v>
      </c>
      <c r="L4366" s="242" t="n">
        <v>1125600</v>
      </c>
      <c r="M4366" s="241" t="n">
        <v>1.08</v>
      </c>
      <c r="N4366" s="241" t="n">
        <v>-14.43</v>
      </c>
      <c r="O4366" s="241" t="n">
        <v>-48.62</v>
      </c>
      <c r="P4366" s="241" t="n">
        <v>2.28</v>
      </c>
    </row>
    <row r="4367">
      <c r="A4367" s="282" t="inlineStr">
        <is>
          <t>2023-12-18</t>
        </is>
      </c>
      <c r="B4367" s="240">
        <f>IFERROR(1/P4367-1,B4366)</f>
        <v/>
      </c>
      <c r="C4367" s="240">
        <f>$C$3</f>
        <v/>
      </c>
      <c r="D4367" s="240">
        <f>$D$3</f>
        <v/>
      </c>
      <c r="E4367" s="240">
        <f>$E$3</f>
        <v/>
      </c>
      <c r="F4367" s="241" t="n">
        <v>13.42</v>
      </c>
      <c r="G4367" s="242" t="n">
        <v>8363941</v>
      </c>
      <c r="H4367" s="241" t="n">
        <v>-1.61</v>
      </c>
      <c r="I4367" s="241" t="n">
        <v>-11.42</v>
      </c>
      <c r="J4367" s="241" t="n">
        <v>-35.04</v>
      </c>
      <c r="K4367" s="241" t="n">
        <v>5.91</v>
      </c>
      <c r="L4367" s="242" t="n">
        <v>899800</v>
      </c>
      <c r="M4367" s="241" t="n">
        <v>-1.22</v>
      </c>
      <c r="N4367" s="241" t="n">
        <v>-15.8</v>
      </c>
      <c r="O4367" s="241" t="n">
        <v>-49.24</v>
      </c>
      <c r="P4367" s="241" t="n">
        <v>2.27</v>
      </c>
    </row>
    <row r="4368">
      <c r="A4368" s="282" t="inlineStr">
        <is>
          <t>2023-12-19</t>
        </is>
      </c>
      <c r="B4368" s="240">
        <f>IFERROR(1/P4368-1,B4367)</f>
        <v/>
      </c>
      <c r="C4368" s="240">
        <f>$C$3</f>
        <v/>
      </c>
      <c r="D4368" s="240">
        <f>$D$3</f>
        <v/>
      </c>
      <c r="E4368" s="240">
        <f>$E$3</f>
        <v/>
      </c>
      <c r="F4368" s="241" t="n">
        <v>13.41</v>
      </c>
      <c r="G4368" s="242" t="n">
        <v>7415146</v>
      </c>
      <c r="H4368" s="241" t="n">
        <v>-0.07000000000000001</v>
      </c>
      <c r="I4368" s="241" t="n">
        <v>-11.49</v>
      </c>
      <c r="J4368" s="241" t="n">
        <v>-35.09</v>
      </c>
      <c r="K4368" s="241" t="n">
        <v>5.84</v>
      </c>
      <c r="L4368" s="242" t="n">
        <v>1793600</v>
      </c>
      <c r="M4368" s="241" t="n">
        <v>-1.38</v>
      </c>
      <c r="N4368" s="241" t="n">
        <v>-16.97</v>
      </c>
      <c r="O4368" s="241" t="n">
        <v>-49.94</v>
      </c>
      <c r="P4368" s="241" t="n">
        <v>2.3</v>
      </c>
    </row>
    <row r="4369">
      <c r="A4369" s="282" t="inlineStr">
        <is>
          <t>2023-12-20</t>
        </is>
      </c>
      <c r="B4369" s="240">
        <f>IFERROR(1/P4369-1,B4368)</f>
        <v/>
      </c>
      <c r="C4369" s="240">
        <f>$C$3</f>
        <v/>
      </c>
      <c r="D4369" s="240">
        <f>$D$3</f>
        <v/>
      </c>
      <c r="E4369" s="240">
        <f>$E$3</f>
        <v/>
      </c>
      <c r="F4369" s="241" t="n">
        <v>13.26</v>
      </c>
      <c r="G4369" s="242" t="n">
        <v>9152467</v>
      </c>
      <c r="H4369" s="241" t="n">
        <v>-1.12</v>
      </c>
      <c r="I4369" s="241" t="n">
        <v>-12.48</v>
      </c>
      <c r="J4369" s="241" t="n">
        <v>-35.81</v>
      </c>
      <c r="K4369" s="241" t="n">
        <v>5.87</v>
      </c>
      <c r="L4369" s="242" t="n">
        <v>2204200</v>
      </c>
      <c r="M4369" s="241" t="n">
        <v>0.62</v>
      </c>
      <c r="N4369" s="241" t="n">
        <v>-16.45</v>
      </c>
      <c r="O4369" s="241" t="n">
        <v>-49.63</v>
      </c>
      <c r="P4369" s="241" t="n">
        <v>2.26</v>
      </c>
    </row>
    <row r="4370">
      <c r="A4370" s="282" t="inlineStr">
        <is>
          <t>2023-12-21</t>
        </is>
      </c>
      <c r="B4370" s="240">
        <f>IFERROR(1/P4370-1,B4369)</f>
        <v/>
      </c>
      <c r="C4370" s="240">
        <f>$C$3</f>
        <v/>
      </c>
      <c r="D4370" s="240">
        <f>$D$3</f>
        <v/>
      </c>
      <c r="E4370" s="240">
        <f>$E$3</f>
        <v/>
      </c>
      <c r="F4370" s="241" t="n">
        <v>13.56</v>
      </c>
      <c r="G4370" s="242" t="n">
        <v>11424988</v>
      </c>
      <c r="H4370" s="241" t="n">
        <v>2.26</v>
      </c>
      <c r="I4370" s="241" t="n">
        <v>-10.79</v>
      </c>
      <c r="J4370" s="241" t="n">
        <v>-34.36</v>
      </c>
      <c r="K4370" s="241" t="n">
        <v>6.04</v>
      </c>
      <c r="L4370" s="242" t="n">
        <v>1484200</v>
      </c>
      <c r="M4370" s="241" t="n">
        <v>2.95</v>
      </c>
      <c r="N4370" s="241" t="n">
        <v>-14.76</v>
      </c>
      <c r="O4370" s="241" t="n">
        <v>-48.15</v>
      </c>
      <c r="P4370" s="241" t="n">
        <v>2.24</v>
      </c>
    </row>
    <row r="4371">
      <c r="A4371" s="282" t="inlineStr">
        <is>
          <t>2023-12-22</t>
        </is>
      </c>
      <c r="B4371" s="240">
        <f>IFERROR(1/P4371-1,B4370)</f>
        <v/>
      </c>
      <c r="C4371" s="240">
        <f>$C$3</f>
        <v/>
      </c>
      <c r="D4371" s="240">
        <f>$D$3</f>
        <v/>
      </c>
      <c r="E4371" s="240">
        <f>$E$3</f>
        <v/>
      </c>
      <c r="F4371" s="241" t="n">
        <v>13.85</v>
      </c>
      <c r="G4371" s="242" t="n">
        <v>14357797</v>
      </c>
      <c r="H4371" s="241" t="n">
        <v>2.14</v>
      </c>
      <c r="I4371" s="241" t="n">
        <v>-8.460000000000001</v>
      </c>
      <c r="J4371" s="241" t="n">
        <v>-32.96</v>
      </c>
      <c r="K4371" s="241" t="n">
        <v>6.09</v>
      </c>
      <c r="L4371" s="242" t="n">
        <v>1774600</v>
      </c>
      <c r="M4371" s="241" t="n">
        <v>0.9</v>
      </c>
      <c r="N4371" s="241" t="n">
        <v>-14.32</v>
      </c>
      <c r="O4371" s="241" t="n">
        <v>-47.68</v>
      </c>
      <c r="P4371" s="241" t="n">
        <v>2.28</v>
      </c>
    </row>
    <row r="4372">
      <c r="A4372" s="282" t="inlineStr">
        <is>
          <t>2023-12-25</t>
        </is>
      </c>
      <c r="B4372" s="240">
        <f>IFERROR(1/P4372-1,B4371)</f>
        <v/>
      </c>
      <c r="C4372" s="240">
        <f>$C$3</f>
        <v/>
      </c>
      <c r="D4372" s="240">
        <f>$D$3</f>
        <v/>
      </c>
      <c r="E4372" s="240">
        <f>$E$3</f>
        <v/>
      </c>
      <c r="F4372" s="241" t="n">
        <v>13.99</v>
      </c>
      <c r="G4372" s="242" t="n">
        <v>10990690</v>
      </c>
      <c r="H4372" s="241" t="n">
        <v>1.01</v>
      </c>
      <c r="I4372" s="241" t="n">
        <v>-5.02</v>
      </c>
      <c r="J4372" s="241" t="n">
        <v>-32.28</v>
      </c>
      <c r="K4372" s="239" t="inlineStr">
        <is>
          <t>--</t>
        </is>
      </c>
      <c r="L4372" s="239" t="inlineStr">
        <is>
          <t>--</t>
        </is>
      </c>
      <c r="M4372" s="239" t="inlineStr">
        <is>
          <t>--</t>
        </is>
      </c>
      <c r="N4372" s="239" t="inlineStr">
        <is>
          <t>--</t>
        </is>
      </c>
      <c r="O4372" s="239" t="inlineStr">
        <is>
          <t>--</t>
        </is>
      </c>
      <c r="P4372" s="239" t="inlineStr">
        <is>
          <t>--</t>
        </is>
      </c>
    </row>
    <row r="4373">
      <c r="A4373" s="282" t="inlineStr">
        <is>
          <t>2023-12-26</t>
        </is>
      </c>
      <c r="B4373" s="240">
        <f>IFERROR(1/P4373-1,B4372)</f>
        <v/>
      </c>
      <c r="C4373" s="240">
        <f>$C$3</f>
        <v/>
      </c>
      <c r="D4373" s="240">
        <f>$D$3</f>
        <v/>
      </c>
      <c r="E4373" s="240">
        <f>$E$3</f>
        <v/>
      </c>
      <c r="F4373" s="241" t="n">
        <v>13.98</v>
      </c>
      <c r="G4373" s="242" t="n">
        <v>8819949</v>
      </c>
      <c r="H4373" s="241" t="n">
        <v>-0.07000000000000001</v>
      </c>
      <c r="I4373" s="241" t="n">
        <v>-5.09</v>
      </c>
      <c r="J4373" s="241" t="n">
        <v>-32.33</v>
      </c>
      <c r="K4373" s="239" t="inlineStr">
        <is>
          <t>--</t>
        </is>
      </c>
      <c r="L4373" s="239" t="inlineStr">
        <is>
          <t>--</t>
        </is>
      </c>
      <c r="M4373" s="239" t="inlineStr">
        <is>
          <t>--</t>
        </is>
      </c>
      <c r="N4373" s="239" t="inlineStr">
        <is>
          <t>--</t>
        </is>
      </c>
      <c r="O4373" s="239" t="inlineStr">
        <is>
          <t>--</t>
        </is>
      </c>
      <c r="P4373" s="239" t="inlineStr">
        <is>
          <t>--</t>
        </is>
      </c>
    </row>
    <row r="4374">
      <c r="A4374" s="282" t="inlineStr">
        <is>
          <t>2023-12-27</t>
        </is>
      </c>
      <c r="B4374" s="240">
        <f>IFERROR(1/P4374-1,B4373)</f>
        <v/>
      </c>
      <c r="C4374" s="240">
        <f>$C$3</f>
        <v/>
      </c>
      <c r="D4374" s="240">
        <f>$D$3</f>
        <v/>
      </c>
      <c r="E4374" s="240">
        <f>$E$3</f>
        <v/>
      </c>
      <c r="F4374" s="241" t="n">
        <v>13.98</v>
      </c>
      <c r="G4374" s="242" t="n">
        <v>7133132</v>
      </c>
      <c r="H4374" s="241" t="n">
        <v>0</v>
      </c>
      <c r="I4374" s="241" t="n">
        <v>-5.09</v>
      </c>
      <c r="J4374" s="241" t="n">
        <v>-32.33</v>
      </c>
      <c r="K4374" s="241" t="n">
        <v>6.23</v>
      </c>
      <c r="L4374" s="242" t="n">
        <v>1825000</v>
      </c>
      <c r="M4374" s="241" t="n">
        <v>2.24</v>
      </c>
      <c r="N4374" s="241" t="n">
        <v>-9.390000000000001</v>
      </c>
      <c r="O4374" s="241" t="n">
        <v>-46.51</v>
      </c>
      <c r="P4374" s="241" t="n">
        <v>2.25</v>
      </c>
    </row>
    <row r="4375">
      <c r="A4375" s="282" t="inlineStr">
        <is>
          <t>2023-12-28</t>
        </is>
      </c>
      <c r="B4375" s="240">
        <f>IFERROR(1/P4375-1,B4374)</f>
        <v/>
      </c>
      <c r="C4375" s="240">
        <f>$C$3</f>
        <v/>
      </c>
      <c r="D4375" s="240">
        <f>$D$3</f>
        <v/>
      </c>
      <c r="E4375" s="240">
        <f>$E$3</f>
        <v/>
      </c>
      <c r="F4375" s="241" t="n">
        <v>14.42</v>
      </c>
      <c r="G4375" s="242" t="n">
        <v>19855493</v>
      </c>
      <c r="H4375" s="241" t="n">
        <v>3.15</v>
      </c>
      <c r="I4375" s="241" t="n">
        <v>-1.84</v>
      </c>
      <c r="J4375" s="241" t="n">
        <v>-30.2</v>
      </c>
      <c r="K4375" s="241" t="n">
        <v>6.45</v>
      </c>
      <c r="L4375" s="242" t="n">
        <v>1912000</v>
      </c>
      <c r="M4375" s="241" t="n">
        <v>3.65</v>
      </c>
      <c r="N4375" s="241" t="n">
        <v>-3.66</v>
      </c>
      <c r="O4375" s="241" t="n">
        <v>-44.55</v>
      </c>
      <c r="P4375" s="241" t="n">
        <v>2.24</v>
      </c>
    </row>
    <row r="4376">
      <c r="A4376" s="282" t="inlineStr">
        <is>
          <t>2023-12-29</t>
        </is>
      </c>
      <c r="B4376" s="240">
        <f>IFERROR(1/P4376-1,B4375)</f>
        <v/>
      </c>
      <c r="C4376" s="240">
        <f>$C$3</f>
        <v/>
      </c>
      <c r="D4376" s="240">
        <f>$D$3</f>
        <v/>
      </c>
      <c r="E4376" s="240">
        <f>$E$3</f>
        <v/>
      </c>
      <c r="F4376" s="241" t="n">
        <v>14.62</v>
      </c>
      <c r="G4376" s="242" t="n">
        <v>13895033</v>
      </c>
      <c r="H4376" s="241" t="n">
        <v>1.39</v>
      </c>
      <c r="I4376" s="241" t="n">
        <v>-1.08</v>
      </c>
      <c r="J4376" s="241" t="n">
        <v>-29.23</v>
      </c>
      <c r="K4376" s="241" t="n">
        <v>6.47</v>
      </c>
      <c r="L4376" s="242" t="n">
        <v>1520400</v>
      </c>
      <c r="M4376" s="241" t="n">
        <v>0.5600000000000001</v>
      </c>
      <c r="N4376" s="241" t="n">
        <v>-1.92</v>
      </c>
      <c r="O4376" s="241" t="n">
        <v>-44.24</v>
      </c>
      <c r="P4376" s="241" t="n">
        <v>2.26</v>
      </c>
    </row>
    <row r="4377">
      <c r="A4377" s="282" t="inlineStr">
        <is>
          <t>2024-01-02</t>
        </is>
      </c>
      <c r="B4377" s="240">
        <f>IFERROR(1/P4377-1,B4376)</f>
        <v/>
      </c>
      <c r="C4377" s="240">
        <f>$C$3</f>
        <v/>
      </c>
      <c r="D4377" s="240">
        <f>$D$3</f>
        <v/>
      </c>
      <c r="E4377" s="240">
        <f>$E$3</f>
        <v/>
      </c>
      <c r="F4377" s="241" t="n">
        <v>14.72</v>
      </c>
      <c r="G4377" s="242" t="n">
        <v>15315643</v>
      </c>
      <c r="H4377" s="241" t="n">
        <v>0.68</v>
      </c>
      <c r="I4377" s="241" t="n">
        <v>2.44</v>
      </c>
      <c r="J4377" s="241" t="n">
        <v>0.68</v>
      </c>
      <c r="K4377" s="241" t="n">
        <v>6.51</v>
      </c>
      <c r="L4377" s="242" t="n">
        <v>812704</v>
      </c>
      <c r="M4377" s="241" t="n">
        <v>0.7</v>
      </c>
      <c r="N4377" s="241" t="n">
        <v>4.35</v>
      </c>
      <c r="O4377" s="241" t="n">
        <v>0.7</v>
      </c>
      <c r="P4377" s="241" t="n">
        <v>2.26</v>
      </c>
    </row>
    <row r="4378">
      <c r="A4378" s="282" t="inlineStr">
        <is>
          <t>2024-01-03</t>
        </is>
      </c>
      <c r="B4378" s="240">
        <f>IFERROR(1/P4378-1,B4377)</f>
        <v/>
      </c>
      <c r="C4378" s="240">
        <f>$C$3</f>
        <v/>
      </c>
      <c r="D4378" s="240">
        <f>$D$3</f>
        <v/>
      </c>
      <c r="E4378" s="240">
        <f>$E$3</f>
        <v/>
      </c>
      <c r="F4378" s="241" t="n">
        <v>14.77</v>
      </c>
      <c r="G4378" s="242" t="n">
        <v>14722927</v>
      </c>
      <c r="H4378" s="241" t="n">
        <v>0.34</v>
      </c>
      <c r="I4378" s="241" t="n">
        <v>2.78</v>
      </c>
      <c r="J4378" s="241" t="n">
        <v>1.03</v>
      </c>
      <c r="K4378" s="241" t="n">
        <v>6.53</v>
      </c>
      <c r="L4378" s="242" t="n">
        <v>999200</v>
      </c>
      <c r="M4378" s="241" t="n">
        <v>0</v>
      </c>
      <c r="N4378" s="241" t="n">
        <v>4.35</v>
      </c>
      <c r="O4378" s="241" t="n">
        <v>0.7</v>
      </c>
      <c r="P4378" s="241" t="n">
        <v>2.26</v>
      </c>
    </row>
    <row r="4379">
      <c r="A4379" s="282" t="inlineStr">
        <is>
          <t>2024-01-04</t>
        </is>
      </c>
      <c r="B4379" s="240">
        <f>IFERROR(1/P4379-1,B4378)</f>
        <v/>
      </c>
      <c r="C4379" s="240">
        <f>$C$3</f>
        <v/>
      </c>
      <c r="D4379" s="240">
        <f>$D$3</f>
        <v/>
      </c>
      <c r="E4379" s="240">
        <f>$E$3</f>
        <v/>
      </c>
      <c r="F4379" s="241" t="n">
        <v>14.77</v>
      </c>
      <c r="G4379" s="242" t="n">
        <v>10934825</v>
      </c>
      <c r="H4379" s="241" t="n">
        <v>0</v>
      </c>
      <c r="I4379" s="241" t="n">
        <v>2.78</v>
      </c>
      <c r="J4379" s="241" t="n">
        <v>1.03</v>
      </c>
      <c r="K4379" s="241" t="n">
        <v>6.48</v>
      </c>
      <c r="L4379" s="242" t="n">
        <v>802200</v>
      </c>
      <c r="M4379" s="241" t="n">
        <v>-0.83</v>
      </c>
      <c r="N4379" s="241" t="n">
        <v>3.48</v>
      </c>
      <c r="O4379" s="241" t="n">
        <v>-0.14</v>
      </c>
      <c r="P4379" s="241" t="n">
        <v>2.28</v>
      </c>
    </row>
    <row r="4380">
      <c r="A4380" s="282" t="inlineStr">
        <is>
          <t>2024-01-05</t>
        </is>
      </c>
      <c r="B4380" s="240">
        <f>IFERROR(1/P4380-1,B4379)</f>
        <v/>
      </c>
      <c r="C4380" s="240">
        <f>$C$3</f>
        <v/>
      </c>
      <c r="D4380" s="240">
        <f>$D$3</f>
        <v/>
      </c>
      <c r="E4380" s="240">
        <f>$E$3</f>
        <v/>
      </c>
      <c r="F4380" s="241" t="n">
        <v>14.36</v>
      </c>
      <c r="G4380" s="242" t="n">
        <v>14898152</v>
      </c>
      <c r="H4380" s="241" t="n">
        <v>-2.78</v>
      </c>
      <c r="I4380" s="241" t="n">
        <v>0</v>
      </c>
      <c r="J4380" s="241" t="n">
        <v>-1.78</v>
      </c>
      <c r="K4380" s="241" t="n">
        <v>6.37</v>
      </c>
      <c r="L4380" s="242" t="n">
        <v>2433800</v>
      </c>
      <c r="M4380" s="241" t="n">
        <v>-1.68</v>
      </c>
      <c r="N4380" s="241" t="n">
        <v>1.74</v>
      </c>
      <c r="O4380" s="241" t="n">
        <v>-1.82</v>
      </c>
      <c r="P4380" s="241" t="n">
        <v>2.25</v>
      </c>
    </row>
    <row r="4381">
      <c r="A4381" s="282" t="inlineStr">
        <is>
          <t>2024-01-08</t>
        </is>
      </c>
      <c r="B4381" s="240">
        <f>IFERROR(1/P4381-1,B4380)</f>
        <v/>
      </c>
      <c r="C4381" s="240">
        <f>$C$3</f>
        <v/>
      </c>
      <c r="D4381" s="240">
        <f>$D$3</f>
        <v/>
      </c>
      <c r="E4381" s="240">
        <f>$E$3</f>
        <v/>
      </c>
      <c r="F4381" s="241" t="n">
        <v>14.24</v>
      </c>
      <c r="G4381" s="242" t="n">
        <v>10848956</v>
      </c>
      <c r="H4381" s="241" t="n">
        <v>-0.84</v>
      </c>
      <c r="I4381" s="241" t="n">
        <v>1.86</v>
      </c>
      <c r="J4381" s="241" t="n">
        <v>-2.6</v>
      </c>
      <c r="K4381" s="241" t="n">
        <v>6.15</v>
      </c>
      <c r="L4381" s="242" t="n">
        <v>1469000</v>
      </c>
      <c r="M4381" s="241" t="n">
        <v>-3.57</v>
      </c>
      <c r="N4381" s="241" t="n">
        <v>-0.59</v>
      </c>
      <c r="O4381" s="241" t="n">
        <v>-5.32</v>
      </c>
      <c r="P4381" s="241" t="n">
        <v>2.32</v>
      </c>
    </row>
    <row r="4382">
      <c r="A4382" s="282" t="inlineStr">
        <is>
          <t>2024-01-09</t>
        </is>
      </c>
      <c r="B4382" s="240">
        <f>IFERROR(1/P4382-1,B4381)</f>
        <v/>
      </c>
      <c r="C4382" s="240">
        <f>$C$3</f>
        <v/>
      </c>
      <c r="D4382" s="240">
        <f>$D$3</f>
        <v/>
      </c>
      <c r="E4382" s="240">
        <f>$E$3</f>
        <v/>
      </c>
      <c r="F4382" s="241" t="n">
        <v>14.18</v>
      </c>
      <c r="G4382" s="242" t="n">
        <v>12146847</v>
      </c>
      <c r="H4382" s="241" t="n">
        <v>-0.42</v>
      </c>
      <c r="I4382" s="241" t="n">
        <v>0.64</v>
      </c>
      <c r="J4382" s="241" t="n">
        <v>-3.01</v>
      </c>
      <c r="K4382" s="241" t="n">
        <v>6.22</v>
      </c>
      <c r="L4382" s="242" t="n">
        <v>1556800</v>
      </c>
      <c r="M4382" s="241" t="n">
        <v>1.18</v>
      </c>
      <c r="N4382" s="241" t="n">
        <v>2.09</v>
      </c>
      <c r="O4382" s="241" t="n">
        <v>-4.2</v>
      </c>
      <c r="P4382" s="241" t="n">
        <v>2.28</v>
      </c>
    </row>
    <row r="4383">
      <c r="A4383" s="282" t="inlineStr">
        <is>
          <t>2024-01-10</t>
        </is>
      </c>
      <c r="B4383" s="240">
        <f>IFERROR(1/P4383-1,B4382)</f>
        <v/>
      </c>
      <c r="C4383" s="240">
        <f>$C$3</f>
        <v/>
      </c>
      <c r="D4383" s="240">
        <f>$D$3</f>
        <v/>
      </c>
      <c r="E4383" s="240">
        <f>$E$3</f>
        <v/>
      </c>
      <c r="F4383" s="241" t="n">
        <v>14.26</v>
      </c>
      <c r="G4383" s="242" t="n">
        <v>9941385</v>
      </c>
      <c r="H4383" s="241" t="n">
        <v>0.5600000000000001</v>
      </c>
      <c r="I4383" s="241" t="n">
        <v>1.21</v>
      </c>
      <c r="J4383" s="241" t="n">
        <v>-2.46</v>
      </c>
      <c r="K4383" s="241" t="n">
        <v>6.16</v>
      </c>
      <c r="L4383" s="242" t="n">
        <v>1115800</v>
      </c>
      <c r="M4383" s="241" t="n">
        <v>-0.88</v>
      </c>
      <c r="N4383" s="241" t="n">
        <v>1.19</v>
      </c>
      <c r="O4383" s="241" t="n">
        <v>-5.04</v>
      </c>
      <c r="P4383" s="241" t="n">
        <v>2.31</v>
      </c>
    </row>
    <row r="4384">
      <c r="A4384" s="282" t="inlineStr">
        <is>
          <t>2024-01-11</t>
        </is>
      </c>
      <c r="B4384" s="240">
        <f>IFERROR(1/P4384-1,B4383)</f>
        <v/>
      </c>
      <c r="C4384" s="240">
        <f>$C$3</f>
        <v/>
      </c>
      <c r="D4384" s="240">
        <f>$D$3</f>
        <v/>
      </c>
      <c r="E4384" s="240">
        <f>$E$3</f>
        <v/>
      </c>
      <c r="F4384" s="241" t="n">
        <v>14.28</v>
      </c>
      <c r="G4384" s="242" t="n">
        <v>13035102</v>
      </c>
      <c r="H4384" s="241" t="n">
        <v>0.14</v>
      </c>
      <c r="I4384" s="241" t="n">
        <v>1.35</v>
      </c>
      <c r="J4384" s="241" t="n">
        <v>-2.33</v>
      </c>
      <c r="K4384" s="241" t="n">
        <v>6.19</v>
      </c>
      <c r="L4384" s="242" t="n">
        <v>1512000</v>
      </c>
      <c r="M4384" s="241" t="n">
        <v>0.44</v>
      </c>
      <c r="N4384" s="241" t="n">
        <v>1.64</v>
      </c>
      <c r="O4384" s="241" t="n">
        <v>-4.62</v>
      </c>
      <c r="P4384" s="241" t="n">
        <v>2.31</v>
      </c>
    </row>
    <row r="4385">
      <c r="A4385" s="282" t="inlineStr">
        <is>
          <t>2024-01-12</t>
        </is>
      </c>
      <c r="B4385" s="240">
        <f>IFERROR(1/P4385-1,B4384)</f>
        <v/>
      </c>
      <c r="C4385" s="240">
        <f>$C$3</f>
        <v/>
      </c>
      <c r="D4385" s="240">
        <f>$D$3</f>
        <v/>
      </c>
      <c r="E4385" s="240">
        <f>$E$3</f>
        <v/>
      </c>
      <c r="F4385" s="241" t="n">
        <v>14.42</v>
      </c>
      <c r="G4385" s="242" t="n">
        <v>14348332</v>
      </c>
      <c r="H4385" s="241" t="n">
        <v>0.98</v>
      </c>
      <c r="I4385" s="241" t="n">
        <v>2.41</v>
      </c>
      <c r="J4385" s="241" t="n">
        <v>-1.37</v>
      </c>
      <c r="K4385" s="241" t="n">
        <v>6.33</v>
      </c>
      <c r="L4385" s="242" t="n">
        <v>968800</v>
      </c>
      <c r="M4385" s="241" t="n">
        <v>2.2</v>
      </c>
      <c r="N4385" s="241" t="n">
        <v>6.75</v>
      </c>
      <c r="O4385" s="241" t="n">
        <v>-2.52</v>
      </c>
      <c r="P4385" s="241" t="n">
        <v>2.28</v>
      </c>
    </row>
    <row r="4386">
      <c r="A4386" s="282" t="inlineStr">
        <is>
          <t>2024-01-15</t>
        </is>
      </c>
      <c r="B4386" s="240">
        <f>IFERROR(1/P4386-1,B4385)</f>
        <v/>
      </c>
      <c r="C4386" s="240">
        <f>$C$3</f>
        <v/>
      </c>
      <c r="D4386" s="240">
        <f>$D$3</f>
        <v/>
      </c>
      <c r="E4386" s="240">
        <f>$E$3</f>
        <v/>
      </c>
      <c r="F4386" s="241" t="n">
        <v>14.36</v>
      </c>
      <c r="G4386" s="242" t="n">
        <v>10015864</v>
      </c>
      <c r="H4386" s="241" t="n">
        <v>-0.42</v>
      </c>
      <c r="I4386" s="241" t="n">
        <v>4.74</v>
      </c>
      <c r="J4386" s="241" t="n">
        <v>-1.78</v>
      </c>
      <c r="K4386" s="241" t="n">
        <v>6.31</v>
      </c>
      <c r="L4386" s="242" t="n">
        <v>643400</v>
      </c>
      <c r="M4386" s="241" t="n">
        <v>-0.29</v>
      </c>
      <c r="N4386" s="241" t="n">
        <v>6.61</v>
      </c>
      <c r="O4386" s="241" t="n">
        <v>-2.8</v>
      </c>
      <c r="P4386" s="241" t="n">
        <v>2.28</v>
      </c>
    </row>
    <row r="4387">
      <c r="A4387" s="282" t="inlineStr">
        <is>
          <t>2024-01-16</t>
        </is>
      </c>
      <c r="B4387" s="240">
        <f>IFERROR(1/P4387-1,B4386)</f>
        <v/>
      </c>
      <c r="C4387" s="240">
        <f>$C$3</f>
        <v/>
      </c>
      <c r="D4387" s="240">
        <f>$D$3</f>
        <v/>
      </c>
      <c r="E4387" s="240">
        <f>$E$3</f>
        <v/>
      </c>
      <c r="F4387" s="241" t="n">
        <v>14.4</v>
      </c>
      <c r="G4387" s="242" t="n">
        <v>13606852</v>
      </c>
      <c r="H4387" s="241" t="n">
        <v>0.28</v>
      </c>
      <c r="I4387" s="241" t="n">
        <v>5.57</v>
      </c>
      <c r="J4387" s="241" t="n">
        <v>-1.5</v>
      </c>
      <c r="K4387" s="241" t="n">
        <v>6.07</v>
      </c>
      <c r="L4387" s="242" t="n">
        <v>3188400</v>
      </c>
      <c r="M4387" s="241" t="n">
        <v>-3.75</v>
      </c>
      <c r="N4387" s="241" t="n">
        <v>1.52</v>
      </c>
      <c r="O4387" s="241" t="n">
        <v>-6.44</v>
      </c>
      <c r="P4387" s="241" t="n">
        <v>2.37</v>
      </c>
    </row>
    <row r="4388">
      <c r="A4388" s="282" t="inlineStr">
        <is>
          <t>2024-01-17</t>
        </is>
      </c>
      <c r="B4388" s="240">
        <f>IFERROR(1/P4388-1,B4387)</f>
        <v/>
      </c>
      <c r="C4388" s="240">
        <f>$C$3</f>
        <v/>
      </c>
      <c r="D4388" s="240">
        <f>$D$3</f>
        <v/>
      </c>
      <c r="E4388" s="240">
        <f>$E$3</f>
        <v/>
      </c>
      <c r="F4388" s="241" t="n">
        <v>14.08</v>
      </c>
      <c r="G4388" s="242" t="n">
        <v>10388672</v>
      </c>
      <c r="H4388" s="241" t="n">
        <v>-2.22</v>
      </c>
      <c r="I4388" s="241" t="n">
        <v>3.23</v>
      </c>
      <c r="J4388" s="241" t="n">
        <v>-3.69</v>
      </c>
      <c r="K4388" s="241" t="n">
        <v>5.96</v>
      </c>
      <c r="L4388" s="242" t="n">
        <v>2188408</v>
      </c>
      <c r="M4388" s="241" t="n">
        <v>-1.95</v>
      </c>
      <c r="N4388" s="241" t="n">
        <v>-0.46</v>
      </c>
      <c r="O4388" s="241" t="n">
        <v>-8.26</v>
      </c>
      <c r="P4388" s="241" t="n">
        <v>2.36</v>
      </c>
    </row>
    <row r="4389">
      <c r="A4389" s="282" t="inlineStr">
        <is>
          <t>2024-01-18</t>
        </is>
      </c>
      <c r="B4389" s="240">
        <f>IFERROR(1/P4389-1,B4388)</f>
        <v/>
      </c>
      <c r="C4389" s="240">
        <f>$C$3</f>
        <v/>
      </c>
      <c r="D4389" s="240">
        <f>$D$3</f>
        <v/>
      </c>
      <c r="E4389" s="240">
        <f>$E$3</f>
        <v/>
      </c>
      <c r="F4389" s="241" t="n">
        <v>14.25</v>
      </c>
      <c r="G4389" s="242" t="n">
        <v>16579488</v>
      </c>
      <c r="H4389" s="241" t="n">
        <v>1.21</v>
      </c>
      <c r="I4389" s="241" t="n">
        <v>4.47</v>
      </c>
      <c r="J4389" s="241" t="n">
        <v>-2.53</v>
      </c>
      <c r="K4389" s="241" t="n">
        <v>5.98</v>
      </c>
      <c r="L4389" s="242" t="n">
        <v>827600</v>
      </c>
      <c r="M4389" s="241" t="n">
        <v>0.31</v>
      </c>
      <c r="N4389" s="241" t="n">
        <v>-0.15</v>
      </c>
      <c r="O4389" s="241" t="n">
        <v>-7.98</v>
      </c>
      <c r="P4389" s="241" t="n">
        <v>2.38</v>
      </c>
    </row>
    <row r="4390">
      <c r="A4390" s="282" t="inlineStr">
        <is>
          <t>2024-01-19</t>
        </is>
      </c>
      <c r="B4390" s="240">
        <f>IFERROR(1/P4390-1,B4389)</f>
        <v/>
      </c>
      <c r="C4390" s="240">
        <f>$C$3</f>
        <v/>
      </c>
      <c r="D4390" s="240">
        <f>$D$3</f>
        <v/>
      </c>
      <c r="E4390" s="240">
        <f>$E$3</f>
        <v/>
      </c>
      <c r="F4390" s="241" t="n">
        <v>14.19</v>
      </c>
      <c r="G4390" s="242" t="n">
        <v>11624053</v>
      </c>
      <c r="H4390" s="241" t="n">
        <v>-0.42</v>
      </c>
      <c r="I4390" s="241" t="n">
        <v>5.74</v>
      </c>
      <c r="J4390" s="241" t="n">
        <v>-2.94</v>
      </c>
      <c r="K4390" s="241" t="n">
        <v>5.65</v>
      </c>
      <c r="L4390" s="242" t="n">
        <v>5888400</v>
      </c>
      <c r="M4390" s="241" t="n">
        <v>-5.48</v>
      </c>
      <c r="N4390" s="241" t="n">
        <v>-4.46</v>
      </c>
      <c r="O4390" s="241" t="n">
        <v>-13.03</v>
      </c>
      <c r="P4390" s="241" t="n">
        <v>2.51</v>
      </c>
    </row>
    <row r="4391">
      <c r="A4391" s="282" t="inlineStr">
        <is>
          <t>2024-01-22</t>
        </is>
      </c>
      <c r="B4391" s="240">
        <f>IFERROR(1/P4391-1,B4390)</f>
        <v/>
      </c>
      <c r="C4391" s="240">
        <f>$C$3</f>
        <v/>
      </c>
      <c r="D4391" s="240">
        <f>$D$3</f>
        <v/>
      </c>
      <c r="E4391" s="240">
        <f>$E$3</f>
        <v/>
      </c>
      <c r="F4391" s="241" t="n">
        <v>13.5</v>
      </c>
      <c r="G4391" s="242" t="n">
        <v>20750429</v>
      </c>
      <c r="H4391" s="241" t="n">
        <v>-4.86</v>
      </c>
      <c r="I4391" s="241" t="n">
        <v>-0.44</v>
      </c>
      <c r="J4391" s="241" t="n">
        <v>-7.66</v>
      </c>
      <c r="K4391" s="241" t="n">
        <v>5.54</v>
      </c>
      <c r="L4391" s="242" t="n">
        <v>4984200</v>
      </c>
      <c r="M4391" s="241" t="n">
        <v>-1.93</v>
      </c>
      <c r="N4391" s="241" t="n">
        <v>-8.279999999999999</v>
      </c>
      <c r="O4391" s="241" t="n">
        <v>-14.71</v>
      </c>
      <c r="P4391" s="241" t="n">
        <v>2.44</v>
      </c>
    </row>
    <row r="4392">
      <c r="A4392" s="282" t="inlineStr">
        <is>
          <t>2024-01-23</t>
        </is>
      </c>
      <c r="B4392" s="240">
        <f>IFERROR(1/P4392-1,B4391)</f>
        <v/>
      </c>
      <c r="C4392" s="240">
        <f>$C$3</f>
        <v/>
      </c>
      <c r="D4392" s="240">
        <f>$D$3</f>
        <v/>
      </c>
      <c r="E4392" s="240">
        <f>$E$3</f>
        <v/>
      </c>
      <c r="F4392" s="241" t="n">
        <v>13.73</v>
      </c>
      <c r="G4392" s="242" t="n">
        <v>11582687</v>
      </c>
      <c r="H4392" s="241" t="n">
        <v>1.7</v>
      </c>
      <c r="I4392" s="241" t="n">
        <v>-0.87</v>
      </c>
      <c r="J4392" s="241" t="n">
        <v>-6.09</v>
      </c>
      <c r="K4392" s="241" t="n">
        <v>5.58</v>
      </c>
      <c r="L4392" s="242" t="n">
        <v>2749600</v>
      </c>
      <c r="M4392" s="241" t="n">
        <v>0.66</v>
      </c>
      <c r="N4392" s="241" t="n">
        <v>-8.51</v>
      </c>
      <c r="O4392" s="241" t="n">
        <v>-14.15</v>
      </c>
      <c r="P4392" s="241" t="n">
        <v>2.46</v>
      </c>
    </row>
    <row r="4393">
      <c r="A4393" s="282" t="inlineStr">
        <is>
          <t>2024-01-24</t>
        </is>
      </c>
      <c r="B4393" s="240">
        <f>IFERROR(1/P4393-1,B4392)</f>
        <v/>
      </c>
      <c r="C4393" s="240">
        <f>$C$3</f>
        <v/>
      </c>
      <c r="D4393" s="240">
        <f>$D$3</f>
        <v/>
      </c>
      <c r="E4393" s="240">
        <f>$E$3</f>
        <v/>
      </c>
      <c r="F4393" s="241" t="n">
        <v>14.05</v>
      </c>
      <c r="G4393" s="242" t="n">
        <v>15300541</v>
      </c>
      <c r="H4393" s="241" t="n">
        <v>2.33</v>
      </c>
      <c r="I4393" s="241" t="n">
        <v>1.44</v>
      </c>
      <c r="J4393" s="241" t="n">
        <v>-3.9</v>
      </c>
      <c r="K4393" s="241" t="n">
        <v>5.8</v>
      </c>
      <c r="L4393" s="242" t="n">
        <v>2356770</v>
      </c>
      <c r="M4393" s="241" t="n">
        <v>4.24</v>
      </c>
      <c r="N4393" s="241" t="n">
        <v>-4.63</v>
      </c>
      <c r="O4393" s="241" t="n">
        <v>-10.5</v>
      </c>
      <c r="P4393" s="241" t="n">
        <v>2.42</v>
      </c>
    </row>
    <row r="4394">
      <c r="A4394" s="282" t="inlineStr">
        <is>
          <t>2024-01-25</t>
        </is>
      </c>
      <c r="B4394" s="240">
        <f>IFERROR(1/P4394-1,B4393)</f>
        <v/>
      </c>
      <c r="C4394" s="240">
        <f>$C$3</f>
        <v/>
      </c>
      <c r="D4394" s="240">
        <f>$D$3</f>
        <v/>
      </c>
      <c r="E4394" s="240">
        <f>$E$3</f>
        <v/>
      </c>
      <c r="F4394" s="241" t="n">
        <v>14.76</v>
      </c>
      <c r="G4394" s="242" t="n">
        <v>24099740</v>
      </c>
      <c r="H4394" s="241" t="n">
        <v>5.05</v>
      </c>
      <c r="I4394" s="241" t="n">
        <v>6.57</v>
      </c>
      <c r="J4394" s="241" t="n">
        <v>0.96</v>
      </c>
      <c r="K4394" s="241" t="n">
        <v>6.12</v>
      </c>
      <c r="L4394" s="242" t="n">
        <v>5788200</v>
      </c>
      <c r="M4394" s="241" t="n">
        <v>5.48</v>
      </c>
      <c r="N4394" s="241" t="n">
        <v>0.6</v>
      </c>
      <c r="O4394" s="241" t="n">
        <v>-5.6</v>
      </c>
      <c r="P4394" s="241" t="n">
        <v>2.41</v>
      </c>
    </row>
    <row r="4395">
      <c r="A4395" s="282" t="inlineStr">
        <is>
          <t>2024-01-26</t>
        </is>
      </c>
      <c r="B4395" s="240">
        <f>IFERROR(1/P4395-1,B4394)</f>
        <v/>
      </c>
      <c r="C4395" s="240">
        <f>$C$3</f>
        <v/>
      </c>
      <c r="D4395" s="240">
        <f>$D$3</f>
        <v/>
      </c>
      <c r="E4395" s="240">
        <f>$E$3</f>
        <v/>
      </c>
      <c r="F4395" s="241" t="n">
        <v>14.76</v>
      </c>
      <c r="G4395" s="242" t="n">
        <v>18817955</v>
      </c>
      <c r="H4395" s="241" t="n">
        <v>0</v>
      </c>
      <c r="I4395" s="241" t="n">
        <v>5.5</v>
      </c>
      <c r="J4395" s="241" t="n">
        <v>0.96</v>
      </c>
      <c r="K4395" s="241" t="n">
        <v>6.2</v>
      </c>
      <c r="L4395" s="242" t="n">
        <v>3485400</v>
      </c>
      <c r="M4395" s="241" t="n">
        <v>1.19</v>
      </c>
      <c r="N4395" s="241" t="n">
        <v>1.79</v>
      </c>
      <c r="O4395" s="241" t="n">
        <v>-4.48</v>
      </c>
      <c r="P4395" s="241" t="n">
        <v>2.38</v>
      </c>
    </row>
    <row r="4396">
      <c r="A4396" s="282" t="inlineStr">
        <is>
          <t>2024-01-29</t>
        </is>
      </c>
      <c r="B4396" s="240">
        <f>IFERROR(1/P4396-1,B4395)</f>
        <v/>
      </c>
      <c r="C4396" s="240">
        <f>$C$3</f>
        <v/>
      </c>
      <c r="D4396" s="240">
        <f>$D$3</f>
        <v/>
      </c>
      <c r="E4396" s="240">
        <f>$E$3</f>
        <v/>
      </c>
      <c r="F4396" s="241" t="n">
        <v>14.83</v>
      </c>
      <c r="G4396" s="242" t="n">
        <v>21376752</v>
      </c>
      <c r="H4396" s="241" t="n">
        <v>0.47</v>
      </c>
      <c r="I4396" s="241" t="n">
        <v>2.84</v>
      </c>
      <c r="J4396" s="241" t="n">
        <v>1.44</v>
      </c>
      <c r="K4396" s="241" t="n">
        <v>6.39</v>
      </c>
      <c r="L4396" s="242" t="n">
        <v>2967600</v>
      </c>
      <c r="M4396" s="241" t="n">
        <v>2.93</v>
      </c>
      <c r="N4396" s="241" t="n">
        <v>-1.13</v>
      </c>
      <c r="O4396" s="241" t="n">
        <v>-1.68</v>
      </c>
      <c r="P4396" s="241" t="n">
        <v>2.32</v>
      </c>
    </row>
    <row r="4397">
      <c r="A4397" s="282" t="inlineStr">
        <is>
          <t>2024-01-30</t>
        </is>
      </c>
      <c r="B4397" s="240">
        <f>IFERROR(1/P4397-1,B4396)</f>
        <v/>
      </c>
      <c r="C4397" s="240">
        <f>$C$3</f>
        <v/>
      </c>
      <c r="D4397" s="240">
        <f>$D$3</f>
        <v/>
      </c>
      <c r="E4397" s="240">
        <f>$E$3</f>
        <v/>
      </c>
      <c r="F4397" s="241" t="n">
        <v>14.62</v>
      </c>
      <c r="G4397" s="242" t="n">
        <v>19103363</v>
      </c>
      <c r="H4397" s="241" t="n">
        <v>-1.42</v>
      </c>
      <c r="I4397" s="241" t="n">
        <v>0</v>
      </c>
      <c r="J4397" s="241" t="n">
        <v>0</v>
      </c>
      <c r="K4397" s="241" t="n">
        <v>6.34</v>
      </c>
      <c r="L4397" s="242" t="n">
        <v>3435000</v>
      </c>
      <c r="M4397" s="241" t="n">
        <v>-0.71</v>
      </c>
      <c r="N4397" s="241" t="n">
        <v>-2.38</v>
      </c>
      <c r="O4397" s="241" t="n">
        <v>-2.38</v>
      </c>
      <c r="P4397" s="241" t="n">
        <v>2.31</v>
      </c>
    </row>
    <row r="4398">
      <c r="A4398" s="282" t="inlineStr">
        <is>
          <t>2024-01-31</t>
        </is>
      </c>
      <c r="B4398" s="240">
        <f>IFERROR(1/P4398-1,B4397)</f>
        <v/>
      </c>
      <c r="C4398" s="240">
        <f>$C$3</f>
        <v/>
      </c>
      <c r="D4398" s="240">
        <f>$D$3</f>
        <v/>
      </c>
      <c r="E4398" s="240">
        <f>$E$3</f>
        <v/>
      </c>
      <c r="F4398" s="241" t="n">
        <v>14.35</v>
      </c>
      <c r="G4398" s="242" t="n">
        <v>19649862</v>
      </c>
      <c r="H4398" s="241" t="n">
        <v>-1.85</v>
      </c>
      <c r="I4398" s="241" t="n">
        <v>-1.85</v>
      </c>
      <c r="J4398" s="241" t="n">
        <v>-1.85</v>
      </c>
      <c r="K4398" s="241" t="n">
        <v>6.09</v>
      </c>
      <c r="L4398" s="242" t="n">
        <v>3783600</v>
      </c>
      <c r="M4398" s="241" t="n">
        <v>-3.87</v>
      </c>
      <c r="N4398" s="241" t="n">
        <v>-6.16</v>
      </c>
      <c r="O4398" s="241" t="n">
        <v>-6.16</v>
      </c>
      <c r="P4398" s="241" t="n">
        <v>2.36</v>
      </c>
    </row>
    <row r="4399">
      <c r="A4399" s="282" t="inlineStr">
        <is>
          <t>2024-02-01</t>
        </is>
      </c>
      <c r="B4399" s="240">
        <f>IFERROR(1/P4399-1,B4398)</f>
        <v/>
      </c>
      <c r="C4399" s="240">
        <f>$C$3</f>
        <v/>
      </c>
      <c r="D4399" s="240">
        <f>$D$3</f>
        <v/>
      </c>
      <c r="E4399" s="240">
        <f>$E$3</f>
        <v/>
      </c>
      <c r="F4399" s="241" t="n">
        <v>14.11</v>
      </c>
      <c r="G4399" s="242" t="n">
        <v>19157982</v>
      </c>
      <c r="H4399" s="241" t="n">
        <v>-1.67</v>
      </c>
      <c r="I4399" s="241" t="n">
        <v>-3.49</v>
      </c>
      <c r="J4399" s="241" t="n">
        <v>-3.49</v>
      </c>
      <c r="K4399" s="241" t="n">
        <v>6.42</v>
      </c>
      <c r="L4399" s="242" t="n">
        <v>4715200</v>
      </c>
      <c r="M4399" s="241" t="n">
        <v>5.37</v>
      </c>
      <c r="N4399" s="241" t="n">
        <v>-1.12</v>
      </c>
      <c r="O4399" s="241" t="n">
        <v>-1.12</v>
      </c>
      <c r="P4399" s="241" t="n">
        <v>2.2</v>
      </c>
    </row>
    <row r="4400">
      <c r="A4400" s="282" t="inlineStr">
        <is>
          <t>2024-02-02</t>
        </is>
      </c>
      <c r="B4400" s="240">
        <f>IFERROR(1/P4400-1,B4399)</f>
        <v/>
      </c>
      <c r="C4400" s="240">
        <f>$C$3</f>
        <v/>
      </c>
      <c r="D4400" s="240">
        <f>$D$3</f>
        <v/>
      </c>
      <c r="E4400" s="240">
        <f>$E$3</f>
        <v/>
      </c>
      <c r="F4400" s="241" t="n">
        <v>13.89</v>
      </c>
      <c r="G4400" s="242" t="n">
        <v>17639359</v>
      </c>
      <c r="H4400" s="241" t="n">
        <v>-1.56</v>
      </c>
      <c r="I4400" s="241" t="n">
        <v>-4.99</v>
      </c>
      <c r="J4400" s="241" t="n">
        <v>-4.99</v>
      </c>
      <c r="K4400" s="241" t="n">
        <v>6.38</v>
      </c>
      <c r="L4400" s="242" t="n">
        <v>1849200</v>
      </c>
      <c r="M4400" s="241" t="n">
        <v>-0.42</v>
      </c>
      <c r="N4400" s="241" t="n">
        <v>-1.54</v>
      </c>
      <c r="O4400" s="241" t="n">
        <v>-1.54</v>
      </c>
      <c r="P4400" s="241" t="n">
        <v>2.18</v>
      </c>
    </row>
    <row r="4401">
      <c r="A4401" s="282" t="inlineStr">
        <is>
          <t>2024-02-05</t>
        </is>
      </c>
      <c r="B4401" s="240">
        <f>IFERROR(1/P4401-1,B4400)</f>
        <v/>
      </c>
      <c r="C4401" s="240">
        <f>$C$3</f>
        <v/>
      </c>
      <c r="D4401" s="240">
        <f>$D$3</f>
        <v/>
      </c>
      <c r="E4401" s="240">
        <f>$E$3</f>
        <v/>
      </c>
      <c r="F4401" s="241" t="n">
        <v>13.54</v>
      </c>
      <c r="G4401" s="242" t="n">
        <v>20206715</v>
      </c>
      <c r="H4401" s="241" t="n">
        <v>-2.52</v>
      </c>
      <c r="I4401" s="241" t="n">
        <v>-8.33</v>
      </c>
      <c r="J4401" s="241" t="n">
        <v>-7.39</v>
      </c>
      <c r="K4401" s="241" t="n">
        <v>6.19</v>
      </c>
      <c r="L4401" s="242" t="n">
        <v>3333700</v>
      </c>
      <c r="M4401" s="241" t="n">
        <v>-3.13</v>
      </c>
      <c r="N4401" s="241" t="n">
        <v>-4.49</v>
      </c>
      <c r="O4401" s="241" t="n">
        <v>-4.62</v>
      </c>
      <c r="P4401" s="241" t="n">
        <v>2.19</v>
      </c>
    </row>
    <row r="4402">
      <c r="A4402" s="282" t="inlineStr">
        <is>
          <t>2024-02-06</t>
        </is>
      </c>
      <c r="B4402" s="240">
        <f>IFERROR(1/P4402-1,B4401)</f>
        <v/>
      </c>
      <c r="C4402" s="240">
        <f>$C$3</f>
        <v/>
      </c>
      <c r="D4402" s="240">
        <f>$D$3</f>
        <v/>
      </c>
      <c r="E4402" s="240">
        <f>$E$3</f>
        <v/>
      </c>
      <c r="F4402" s="241" t="n">
        <v>14.27</v>
      </c>
      <c r="G4402" s="242" t="n">
        <v>22274018</v>
      </c>
      <c r="H4402" s="241" t="n">
        <v>5.39</v>
      </c>
      <c r="I4402" s="241" t="n">
        <v>-0.63</v>
      </c>
      <c r="J4402" s="241" t="n">
        <v>-2.39</v>
      </c>
      <c r="K4402" s="241" t="n">
        <v>6.45</v>
      </c>
      <c r="L4402" s="242" t="n">
        <v>3119000</v>
      </c>
      <c r="M4402" s="241" t="n">
        <v>4.26</v>
      </c>
      <c r="N4402" s="241" t="n">
        <v>1.28</v>
      </c>
      <c r="O4402" s="241" t="n">
        <v>-0.5600000000000001</v>
      </c>
      <c r="P4402" s="241" t="n">
        <v>2.21</v>
      </c>
    </row>
    <row r="4403">
      <c r="A4403" s="282" t="inlineStr">
        <is>
          <t>2024-02-07</t>
        </is>
      </c>
      <c r="B4403" s="240">
        <f>IFERROR(1/P4403-1,B4402)</f>
        <v/>
      </c>
      <c r="C4403" s="240">
        <f>$C$3</f>
        <v/>
      </c>
      <c r="D4403" s="240">
        <f>$D$3</f>
        <v/>
      </c>
      <c r="E4403" s="240">
        <f>$E$3</f>
        <v/>
      </c>
      <c r="F4403" s="241" t="n">
        <v>14.73</v>
      </c>
      <c r="G4403" s="242" t="n">
        <v>21587348</v>
      </c>
      <c r="H4403" s="241" t="n">
        <v>3.22</v>
      </c>
      <c r="I4403" s="241" t="n">
        <v>2.58</v>
      </c>
      <c r="J4403" s="241" t="n">
        <v>0.75</v>
      </c>
      <c r="K4403" s="241" t="n">
        <v>6.54</v>
      </c>
      <c r="L4403" s="242" t="n">
        <v>3635400</v>
      </c>
      <c r="M4403" s="241" t="n">
        <v>1.41</v>
      </c>
      <c r="N4403" s="241" t="n">
        <v>2.71</v>
      </c>
      <c r="O4403" s="241" t="n">
        <v>0.84</v>
      </c>
      <c r="P4403" s="241" t="n">
        <v>2.25</v>
      </c>
    </row>
    <row r="4404">
      <c r="A4404" s="282" t="inlineStr">
        <is>
          <t>2024-02-08</t>
        </is>
      </c>
      <c r="B4404" s="240">
        <f>IFERROR(1/P4404-1,B4403)</f>
        <v/>
      </c>
      <c r="C4404" s="240">
        <f>$C$3</f>
        <v/>
      </c>
      <c r="D4404" s="240">
        <f>$D$3</f>
        <v/>
      </c>
      <c r="E4404" s="240">
        <f>$E$3</f>
        <v/>
      </c>
      <c r="F4404" s="241" t="n">
        <v>14.67</v>
      </c>
      <c r="G4404" s="242" t="n">
        <v>28382325</v>
      </c>
      <c r="H4404" s="241" t="n">
        <v>-0.41</v>
      </c>
      <c r="I4404" s="241" t="n">
        <v>2.16</v>
      </c>
      <c r="J4404" s="241" t="n">
        <v>0.34</v>
      </c>
      <c r="K4404" s="241" t="n">
        <v>6.56</v>
      </c>
      <c r="L4404" s="242" t="n">
        <v>2153800</v>
      </c>
      <c r="M4404" s="241" t="n">
        <v>0.28</v>
      </c>
      <c r="N4404" s="241" t="n">
        <v>3</v>
      </c>
      <c r="O4404" s="241" t="n">
        <v>1.12</v>
      </c>
      <c r="P4404" s="241" t="n">
        <v>2.24</v>
      </c>
    </row>
    <row r="4405">
      <c r="A4405" s="282" t="inlineStr">
        <is>
          <t>2024-02-19</t>
        </is>
      </c>
      <c r="B4405" s="240">
        <f>IFERROR(1/P4405-1,B4404)</f>
        <v/>
      </c>
      <c r="C4405" s="240">
        <f>$C$3</f>
        <v/>
      </c>
      <c r="D4405" s="240">
        <f>$D$3</f>
        <v/>
      </c>
      <c r="E4405" s="240">
        <f>$E$3</f>
        <v/>
      </c>
      <c r="F4405" s="241" t="n">
        <v>15.1</v>
      </c>
      <c r="G4405" s="242" t="n">
        <v>25830037</v>
      </c>
      <c r="H4405" s="241" t="n">
        <v>2.93</v>
      </c>
      <c r="I4405" s="241" t="n">
        <v>5.96</v>
      </c>
      <c r="J4405" s="241" t="n">
        <v>3.28</v>
      </c>
      <c r="K4405" s="241" t="n">
        <v>6.75</v>
      </c>
      <c r="L4405" s="242" t="n">
        <v>4413200</v>
      </c>
      <c r="M4405" s="241" t="n">
        <v>3.19</v>
      </c>
      <c r="N4405" s="241" t="n">
        <v>13.09</v>
      </c>
      <c r="O4405" s="241" t="n">
        <v>4.06</v>
      </c>
      <c r="P4405" s="241" t="n">
        <v>2.24</v>
      </c>
    </row>
    <row r="4406">
      <c r="A4406" s="282" t="inlineStr">
        <is>
          <t>2024-02-20</t>
        </is>
      </c>
      <c r="B4406" s="240">
        <f>IFERROR(1/P4406-1,B4405)</f>
        <v/>
      </c>
      <c r="C4406" s="240">
        <f>$C$3</f>
        <v/>
      </c>
      <c r="D4406" s="240">
        <f>$D$3</f>
        <v/>
      </c>
      <c r="E4406" s="240">
        <f>$E$3</f>
        <v/>
      </c>
      <c r="F4406" s="241" t="n">
        <v>15.06</v>
      </c>
      <c r="G4406" s="242" t="n">
        <v>18943093</v>
      </c>
      <c r="H4406" s="241" t="n">
        <v>-0.26</v>
      </c>
      <c r="I4406" s="241" t="n">
        <v>6.13</v>
      </c>
      <c r="J4406" s="241" t="n">
        <v>3.01</v>
      </c>
      <c r="K4406" s="241" t="n">
        <v>6.96</v>
      </c>
      <c r="L4406" s="242" t="n">
        <v>5212200</v>
      </c>
      <c r="M4406" s="241" t="n">
        <v>3.1</v>
      </c>
      <c r="N4406" s="241" t="n">
        <v>23.35</v>
      </c>
      <c r="O4406" s="241" t="n">
        <v>7.28</v>
      </c>
      <c r="P4406" s="241" t="n">
        <v>2.16</v>
      </c>
    </row>
    <row r="4407">
      <c r="A4407" s="282" t="inlineStr">
        <is>
          <t>2024-02-21</t>
        </is>
      </c>
      <c r="B4407" s="240">
        <f>IFERROR(1/P4407-1,B4406)</f>
        <v/>
      </c>
      <c r="C4407" s="240">
        <f>$C$3</f>
        <v/>
      </c>
      <c r="D4407" s="240">
        <f>$D$3</f>
        <v/>
      </c>
      <c r="E4407" s="240">
        <f>$E$3</f>
        <v/>
      </c>
      <c r="F4407" s="241" t="n">
        <v>15.28</v>
      </c>
      <c r="G4407" s="242" t="n">
        <v>27357548</v>
      </c>
      <c r="H4407" s="241" t="n">
        <v>1.46</v>
      </c>
      <c r="I4407" s="241" t="n">
        <v>7.68</v>
      </c>
      <c r="J4407" s="241" t="n">
        <v>4.51</v>
      </c>
      <c r="K4407" s="241" t="n">
        <v>7.08</v>
      </c>
      <c r="L4407" s="242" t="n">
        <v>6436000</v>
      </c>
      <c r="M4407" s="241" t="n">
        <v>1.83</v>
      </c>
      <c r="N4407" s="241" t="n">
        <v>25.6</v>
      </c>
      <c r="O4407" s="241" t="n">
        <v>9.24</v>
      </c>
      <c r="P4407" s="241" t="n">
        <v>2.16</v>
      </c>
    </row>
    <row r="4408">
      <c r="A4408" s="282" t="inlineStr">
        <is>
          <t>2024-02-22</t>
        </is>
      </c>
      <c r="B4408" s="240">
        <f>IFERROR(1/P4408-1,B4407)</f>
        <v/>
      </c>
      <c r="C4408" s="240">
        <f>$C$3</f>
        <v/>
      </c>
      <c r="D4408" s="240">
        <f>$D$3</f>
        <v/>
      </c>
      <c r="E4408" s="240">
        <f>$E$3</f>
        <v/>
      </c>
      <c r="F4408" s="241" t="n">
        <v>15.44</v>
      </c>
      <c r="G4408" s="242" t="n">
        <v>19737868</v>
      </c>
      <c r="H4408" s="241" t="n">
        <v>1.05</v>
      </c>
      <c r="I4408" s="241" t="n">
        <v>8.81</v>
      </c>
      <c r="J4408" s="241" t="n">
        <v>5.61</v>
      </c>
      <c r="K4408" s="241" t="n">
        <v>7.54</v>
      </c>
      <c r="L4408" s="242" t="n">
        <v>5137200</v>
      </c>
      <c r="M4408" s="241" t="n">
        <v>6.41</v>
      </c>
      <c r="N4408" s="241" t="n">
        <v>33.66</v>
      </c>
      <c r="O4408" s="241" t="n">
        <v>16.25</v>
      </c>
      <c r="P4408" s="241" t="n">
        <v>2.05</v>
      </c>
    </row>
    <row r="4409">
      <c r="A4409" s="282" t="inlineStr">
        <is>
          <t>2024-02-23</t>
        </is>
      </c>
      <c r="B4409" s="240">
        <f>IFERROR(1/P4409-1,B4408)</f>
        <v/>
      </c>
      <c r="C4409" s="240">
        <f>$C$3</f>
        <v/>
      </c>
      <c r="D4409" s="240">
        <f>$D$3</f>
        <v/>
      </c>
      <c r="E4409" s="240">
        <f>$E$3</f>
        <v/>
      </c>
      <c r="F4409" s="241" t="n">
        <v>15.59</v>
      </c>
      <c r="G4409" s="242" t="n">
        <v>20614587</v>
      </c>
      <c r="H4409" s="241" t="n">
        <v>0.97</v>
      </c>
      <c r="I4409" s="241" t="n">
        <v>15.48</v>
      </c>
      <c r="J4409" s="241" t="n">
        <v>6.63</v>
      </c>
      <c r="K4409" s="241" t="n">
        <v>7.33</v>
      </c>
      <c r="L4409" s="242" t="n">
        <v>3989600</v>
      </c>
      <c r="M4409" s="241" t="n">
        <v>-2.77</v>
      </c>
      <c r="N4409" s="241" t="n">
        <v>32.51</v>
      </c>
      <c r="O4409" s="241" t="n">
        <v>13.03</v>
      </c>
      <c r="P4409" s="241" t="n">
        <v>2.13</v>
      </c>
    </row>
    <row r="4410">
      <c r="A4410" s="282" t="inlineStr">
        <is>
          <t>2024-02-26</t>
        </is>
      </c>
      <c r="B4410" s="240">
        <f>IFERROR(1/P4410-1,B4409)</f>
        <v/>
      </c>
      <c r="C4410" s="240">
        <f>$C$3</f>
        <v/>
      </c>
      <c r="D4410" s="240">
        <f>$D$3</f>
        <v/>
      </c>
      <c r="E4410" s="240">
        <f>$E$3</f>
        <v/>
      </c>
      <c r="F4410" s="241" t="n">
        <v>15.58</v>
      </c>
      <c r="G4410" s="242" t="n">
        <v>18839519</v>
      </c>
      <c r="H4410" s="241" t="n">
        <v>-0.06</v>
      </c>
      <c r="I4410" s="241" t="n">
        <v>5.56</v>
      </c>
      <c r="J4410" s="241" t="n">
        <v>6.57</v>
      </c>
      <c r="K4410" s="241" t="n">
        <v>7.67</v>
      </c>
      <c r="L4410" s="242" t="n">
        <v>6773000</v>
      </c>
      <c r="M4410" s="241" t="n">
        <v>4.58</v>
      </c>
      <c r="N4410" s="241" t="n">
        <v>25.22</v>
      </c>
      <c r="O4410" s="241" t="n">
        <v>18.21</v>
      </c>
      <c r="P4410" s="241" t="n">
        <v>2.03</v>
      </c>
    </row>
    <row r="4411">
      <c r="A4411" s="282" t="inlineStr">
        <is>
          <t>2024-02-27</t>
        </is>
      </c>
      <c r="B4411" s="240">
        <f>IFERROR(1/P4411-1,B4410)</f>
        <v/>
      </c>
      <c r="C4411" s="240">
        <f>$C$3</f>
        <v/>
      </c>
      <c r="D4411" s="240">
        <f>$D$3</f>
        <v/>
      </c>
      <c r="E4411" s="240">
        <f>$E$3</f>
        <v/>
      </c>
      <c r="F4411" s="241" t="n">
        <v>15.71</v>
      </c>
      <c r="G4411" s="242" t="n">
        <v>15483314</v>
      </c>
      <c r="H4411" s="241" t="n">
        <v>0.83</v>
      </c>
      <c r="I4411" s="241" t="n">
        <v>6.44</v>
      </c>
      <c r="J4411" s="241" t="n">
        <v>7.46</v>
      </c>
      <c r="K4411" s="241" t="n">
        <v>7.71</v>
      </c>
      <c r="L4411" s="242" t="n">
        <v>3181000</v>
      </c>
      <c r="M4411" s="241" t="n">
        <v>0.59</v>
      </c>
      <c r="N4411" s="241" t="n">
        <v>24.49</v>
      </c>
      <c r="O4411" s="241" t="n">
        <v>18.91</v>
      </c>
      <c r="P4411" s="241" t="n">
        <v>2.04</v>
      </c>
    </row>
    <row r="4412">
      <c r="A4412" s="282" t="inlineStr">
        <is>
          <t>2024-02-28</t>
        </is>
      </c>
      <c r="B4412" s="240">
        <f>IFERROR(1/P4412-1,B4411)</f>
        <v/>
      </c>
      <c r="C4412" s="240">
        <f>$C$3</f>
        <v/>
      </c>
      <c r="D4412" s="240">
        <f>$D$3</f>
        <v/>
      </c>
      <c r="E4412" s="240">
        <f>$E$3</f>
        <v/>
      </c>
      <c r="F4412" s="241" t="n">
        <v>15.58</v>
      </c>
      <c r="G4412" s="242" t="n">
        <v>27227191</v>
      </c>
      <c r="H4412" s="241" t="n">
        <v>-0.83</v>
      </c>
      <c r="I4412" s="241" t="n">
        <v>5.56</v>
      </c>
      <c r="J4412" s="241" t="n">
        <v>6.57</v>
      </c>
      <c r="K4412" s="241" t="n">
        <v>7.47</v>
      </c>
      <c r="L4412" s="242" t="n">
        <v>4327400</v>
      </c>
      <c r="M4412" s="241" t="n">
        <v>-3.18</v>
      </c>
      <c r="N4412" s="241" t="n">
        <v>20.53</v>
      </c>
      <c r="O4412" s="241" t="n">
        <v>15.13</v>
      </c>
      <c r="P4412" s="241" t="n">
        <v>2.09</v>
      </c>
    </row>
    <row r="4413">
      <c r="A4413" s="282" t="inlineStr">
        <is>
          <t>2024-02-29</t>
        </is>
      </c>
      <c r="B4413" s="240">
        <f>IFERROR(1/P4413-1,B4412)</f>
        <v/>
      </c>
      <c r="C4413" s="240">
        <f>$C$3</f>
        <v/>
      </c>
      <c r="D4413" s="240">
        <f>$D$3</f>
        <v/>
      </c>
      <c r="E4413" s="240">
        <f>$E$3</f>
        <v/>
      </c>
      <c r="F4413" s="241" t="n">
        <v>16.35</v>
      </c>
      <c r="G4413" s="242" t="n">
        <v>30793956</v>
      </c>
      <c r="H4413" s="241" t="n">
        <v>4.94</v>
      </c>
      <c r="I4413" s="241" t="n">
        <v>10.77</v>
      </c>
      <c r="J4413" s="241" t="n">
        <v>11.83</v>
      </c>
      <c r="K4413" s="241" t="n">
        <v>7.86</v>
      </c>
      <c r="L4413" s="242" t="n">
        <v>4169600</v>
      </c>
      <c r="M4413" s="241" t="n">
        <v>5.35</v>
      </c>
      <c r="N4413" s="241" t="n">
        <v>26.98</v>
      </c>
      <c r="O4413" s="241" t="n">
        <v>21.29</v>
      </c>
      <c r="P4413" s="241" t="n">
        <v>2.08</v>
      </c>
    </row>
    <row r="4414">
      <c r="A4414" s="282" t="inlineStr">
        <is>
          <t>2024-03-01</t>
        </is>
      </c>
      <c r="B4414" s="240">
        <f>IFERROR(1/P4414-1,B4413)</f>
        <v/>
      </c>
      <c r="C4414" s="240">
        <f>$C$3</f>
        <v/>
      </c>
      <c r="D4414" s="240">
        <f>$D$3</f>
        <v/>
      </c>
      <c r="E4414" s="240">
        <f>$E$3</f>
        <v/>
      </c>
      <c r="F4414" s="241" t="n">
        <v>16.39</v>
      </c>
      <c r="G4414" s="242" t="n">
        <v>25473033</v>
      </c>
      <c r="H4414" s="241" t="n">
        <v>0.24</v>
      </c>
      <c r="I4414" s="241" t="n">
        <v>14.22</v>
      </c>
      <c r="J4414" s="241" t="n">
        <v>12.11</v>
      </c>
      <c r="K4414" s="241" t="n">
        <v>7.86</v>
      </c>
      <c r="L4414" s="242" t="n">
        <v>3399200</v>
      </c>
      <c r="M4414" s="241" t="n">
        <v>0</v>
      </c>
      <c r="N4414" s="241" t="n">
        <v>29.25</v>
      </c>
      <c r="O4414" s="241" t="n">
        <v>21.29</v>
      </c>
      <c r="P4414" s="241" t="n">
        <v>2.08</v>
      </c>
    </row>
    <row r="4415">
      <c r="A4415" s="282" t="inlineStr">
        <is>
          <t>2024-03-04</t>
        </is>
      </c>
      <c r="B4415" s="240">
        <f>IFERROR(1/P4415-1,B4414)</f>
        <v/>
      </c>
      <c r="C4415" s="240">
        <f>$C$3</f>
        <v/>
      </c>
      <c r="D4415" s="240">
        <f>$D$3</f>
        <v/>
      </c>
      <c r="E4415" s="240">
        <f>$E$3</f>
        <v/>
      </c>
      <c r="F4415" s="241" t="n">
        <v>16.29</v>
      </c>
      <c r="G4415" s="242" t="n">
        <v>19587007</v>
      </c>
      <c r="H4415" s="241" t="n">
        <v>-0.61</v>
      </c>
      <c r="I4415" s="241" t="n">
        <v>17.28</v>
      </c>
      <c r="J4415" s="241" t="n">
        <v>11.42</v>
      </c>
      <c r="K4415" s="241" t="n">
        <v>7.96</v>
      </c>
      <c r="L4415" s="242" t="n">
        <v>4312400</v>
      </c>
      <c r="M4415" s="241" t="n">
        <v>1.27</v>
      </c>
      <c r="N4415" s="241" t="n">
        <v>24.75</v>
      </c>
      <c r="O4415" s="241" t="n">
        <v>22.83</v>
      </c>
      <c r="P4415" s="241" t="n">
        <v>2.05</v>
      </c>
    </row>
    <row r="4416">
      <c r="A4416" s="282" t="inlineStr">
        <is>
          <t>2024-03-05</t>
        </is>
      </c>
      <c r="B4416" s="240">
        <f>IFERROR(1/P4416-1,B4415)</f>
        <v/>
      </c>
      <c r="C4416" s="240">
        <f>$C$3</f>
        <v/>
      </c>
      <c r="D4416" s="240">
        <f>$D$3</f>
        <v/>
      </c>
      <c r="E4416" s="240">
        <f>$E$3</f>
        <v/>
      </c>
      <c r="F4416" s="241" t="n">
        <v>16.15</v>
      </c>
      <c r="G4416" s="242" t="n">
        <v>19920205</v>
      </c>
      <c r="H4416" s="241" t="n">
        <v>-0.86</v>
      </c>
      <c r="I4416" s="241" t="n">
        <v>16.27</v>
      </c>
      <c r="J4416" s="241" t="n">
        <v>10.47</v>
      </c>
      <c r="K4416" s="241" t="n">
        <v>7.62</v>
      </c>
      <c r="L4416" s="242" t="n">
        <v>5253200</v>
      </c>
      <c r="M4416" s="241" t="n">
        <v>-4.22</v>
      </c>
      <c r="N4416" s="241" t="n">
        <v>19.49</v>
      </c>
      <c r="O4416" s="241" t="n">
        <v>17.65</v>
      </c>
      <c r="P4416" s="241" t="n">
        <v>2.12</v>
      </c>
    </row>
    <row r="4417">
      <c r="A4417" s="282" t="inlineStr">
        <is>
          <t>2024-03-06</t>
        </is>
      </c>
      <c r="B4417" s="240">
        <f>IFERROR(1/P4417-1,B4416)</f>
        <v/>
      </c>
      <c r="C4417" s="240">
        <f>$C$3</f>
        <v/>
      </c>
      <c r="D4417" s="240">
        <f>$D$3</f>
        <v/>
      </c>
      <c r="E4417" s="240">
        <f>$E$3</f>
        <v/>
      </c>
      <c r="F4417" s="241" t="n">
        <v>16.41</v>
      </c>
      <c r="G4417" s="242" t="n">
        <v>25713401</v>
      </c>
      <c r="H4417" s="241" t="n">
        <v>1.61</v>
      </c>
      <c r="I4417" s="241" t="n">
        <v>21.2</v>
      </c>
      <c r="J4417" s="241" t="n">
        <v>12.24</v>
      </c>
      <c r="K4417" s="241" t="n">
        <v>7.62</v>
      </c>
      <c r="L4417" s="242" t="n">
        <v>3795400</v>
      </c>
      <c r="M4417" s="241" t="n">
        <v>-0.12</v>
      </c>
      <c r="N4417" s="241" t="n">
        <v>23.2</v>
      </c>
      <c r="O4417" s="241" t="n">
        <v>17.51</v>
      </c>
      <c r="P4417" s="241" t="n">
        <v>2.15</v>
      </c>
    </row>
    <row r="4418">
      <c r="A4418" s="282" t="inlineStr">
        <is>
          <t>2024-03-07</t>
        </is>
      </c>
      <c r="B4418" s="240">
        <f>IFERROR(1/P4418-1,B4417)</f>
        <v/>
      </c>
      <c r="C4418" s="240">
        <f>$C$3</f>
        <v/>
      </c>
      <c r="D4418" s="240">
        <f>$D$3</f>
        <v/>
      </c>
      <c r="E4418" s="240">
        <f>$E$3</f>
        <v/>
      </c>
      <c r="F4418" s="241" t="n">
        <v>16.22</v>
      </c>
      <c r="G4418" s="242" t="n">
        <v>17273882</v>
      </c>
      <c r="H4418" s="241" t="n">
        <v>-1.16</v>
      </c>
      <c r="I4418" s="241" t="n">
        <v>13.66</v>
      </c>
      <c r="J4418" s="241" t="n">
        <v>10.94</v>
      </c>
      <c r="K4418" s="241" t="n">
        <v>7.73</v>
      </c>
      <c r="L4418" s="242" t="n">
        <v>3391400</v>
      </c>
      <c r="M4418" s="241" t="n">
        <v>1.55</v>
      </c>
      <c r="N4418" s="241" t="n">
        <v>20</v>
      </c>
      <c r="O4418" s="241" t="n">
        <v>19.33</v>
      </c>
      <c r="P4418" s="241" t="n">
        <v>2.1</v>
      </c>
    </row>
    <row r="4419">
      <c r="A4419" s="282" t="inlineStr">
        <is>
          <t>2024-03-08</t>
        </is>
      </c>
      <c r="B4419" s="240">
        <f>IFERROR(1/P4419-1,B4418)</f>
        <v/>
      </c>
      <c r="C4419" s="240">
        <f>$C$3</f>
        <v/>
      </c>
      <c r="D4419" s="240">
        <f>$D$3</f>
        <v/>
      </c>
      <c r="E4419" s="240">
        <f>$E$3</f>
        <v/>
      </c>
      <c r="F4419" s="241" t="n">
        <v>16.39</v>
      </c>
      <c r="G4419" s="242" t="n">
        <v>12509185</v>
      </c>
      <c r="H4419" s="241" t="n">
        <v>1.05</v>
      </c>
      <c r="I4419" s="241" t="n">
        <v>11.27</v>
      </c>
      <c r="J4419" s="241" t="n">
        <v>12.11</v>
      </c>
      <c r="K4419" s="241" t="n">
        <v>7.81</v>
      </c>
      <c r="L4419" s="242" t="n">
        <v>1828710</v>
      </c>
      <c r="M4419" s="241" t="n">
        <v>0.9399999999999999</v>
      </c>
      <c r="N4419" s="241" t="n">
        <v>19.44</v>
      </c>
      <c r="O4419" s="241" t="n">
        <v>20.45</v>
      </c>
      <c r="P4419" s="241" t="n">
        <v>2.1</v>
      </c>
    </row>
    <row r="4420">
      <c r="A4420" s="282" t="inlineStr">
        <is>
          <t>2024-03-11</t>
        </is>
      </c>
      <c r="B4420" s="240">
        <f>IFERROR(1/P4420-1,B4419)</f>
        <v/>
      </c>
      <c r="C4420" s="240">
        <f>$C$3</f>
        <v/>
      </c>
      <c r="D4420" s="240">
        <f>$D$3</f>
        <v/>
      </c>
      <c r="E4420" s="240">
        <f>$E$3</f>
        <v/>
      </c>
      <c r="F4420" s="241" t="n">
        <v>16.46</v>
      </c>
      <c r="G4420" s="242" t="n">
        <v>18872426</v>
      </c>
      <c r="H4420" s="241" t="n">
        <v>0.43</v>
      </c>
      <c r="I4420" s="241" t="n">
        <v>12.2</v>
      </c>
      <c r="J4420" s="241" t="n">
        <v>12.59</v>
      </c>
      <c r="K4420" s="241" t="n">
        <v>8.06</v>
      </c>
      <c r="L4420" s="242" t="n">
        <v>4451000</v>
      </c>
      <c r="M4420" s="241" t="n">
        <v>3.26</v>
      </c>
      <c r="N4420" s="241" t="n">
        <v>25.25</v>
      </c>
      <c r="O4420" s="241" t="n">
        <v>24.37</v>
      </c>
      <c r="P4420" s="241" t="n">
        <v>2.04</v>
      </c>
    </row>
    <row r="4421">
      <c r="A4421" s="282" t="inlineStr">
        <is>
          <t>2024-03-12</t>
        </is>
      </c>
      <c r="B4421" s="240">
        <f>IFERROR(1/P4421-1,B4420)</f>
        <v/>
      </c>
      <c r="C4421" s="240">
        <f>$C$3</f>
        <v/>
      </c>
      <c r="D4421" s="240">
        <f>$D$3</f>
        <v/>
      </c>
      <c r="E4421" s="240">
        <f>$E$3</f>
        <v/>
      </c>
      <c r="F4421" s="241" t="n">
        <v>16.25</v>
      </c>
      <c r="G4421" s="242" t="n">
        <v>17492383</v>
      </c>
      <c r="H4421" s="241" t="n">
        <v>-1.28</v>
      </c>
      <c r="I4421" s="241" t="n">
        <v>10.77</v>
      </c>
      <c r="J4421" s="241" t="n">
        <v>11.15</v>
      </c>
      <c r="K4421" s="241" t="n">
        <v>8.050000000000001</v>
      </c>
      <c r="L4421" s="242" t="n">
        <v>2396600</v>
      </c>
      <c r="M4421" s="241" t="n">
        <v>-0.11</v>
      </c>
      <c r="N4421" s="241" t="n">
        <v>25.11</v>
      </c>
      <c r="O4421" s="241" t="n">
        <v>24.23</v>
      </c>
      <c r="P4421" s="241" t="n">
        <v>2.02</v>
      </c>
    </row>
    <row r="4422">
      <c r="A4422" s="282" t="inlineStr">
        <is>
          <t>2024-03-13</t>
        </is>
      </c>
      <c r="B4422" s="240">
        <f>IFERROR(1/P4422-1,B4421)</f>
        <v/>
      </c>
      <c r="C4422" s="240">
        <f>$C$3</f>
        <v/>
      </c>
      <c r="D4422" s="240">
        <f>$D$3</f>
        <v/>
      </c>
      <c r="E4422" s="240">
        <f>$E$3</f>
        <v/>
      </c>
      <c r="F4422" s="241" t="n">
        <v>15.97</v>
      </c>
      <c r="G4422" s="242" t="n">
        <v>22255937</v>
      </c>
      <c r="H4422" s="241" t="n">
        <v>-1.72</v>
      </c>
      <c r="I4422" s="241" t="n">
        <v>8.859999999999999</v>
      </c>
      <c r="J4422" s="241" t="n">
        <v>9.23</v>
      </c>
      <c r="K4422" s="241" t="n">
        <v>7.92</v>
      </c>
      <c r="L4422" s="242" t="n">
        <v>3593900</v>
      </c>
      <c r="M4422" s="241" t="n">
        <v>-1.47</v>
      </c>
      <c r="N4422" s="241" t="n">
        <v>23.27</v>
      </c>
      <c r="O4422" s="241" t="n">
        <v>22.41</v>
      </c>
      <c r="P4422" s="241" t="n">
        <v>2.02</v>
      </c>
    </row>
    <row r="4423">
      <c r="A4423" s="282" t="inlineStr">
        <is>
          <t>2024-03-14</t>
        </is>
      </c>
      <c r="B4423" s="240">
        <f>IFERROR(1/P4423-1,B4422)</f>
        <v/>
      </c>
      <c r="C4423" s="240">
        <f>$C$3</f>
        <v/>
      </c>
      <c r="D4423" s="240">
        <f>$D$3</f>
        <v/>
      </c>
      <c r="E4423" s="240">
        <f>$E$3</f>
        <v/>
      </c>
      <c r="F4423" s="241" t="n">
        <v>15.9</v>
      </c>
      <c r="G4423" s="242" t="n">
        <v>13920066</v>
      </c>
      <c r="H4423" s="241" t="n">
        <v>-0.44</v>
      </c>
      <c r="I4423" s="241" t="n">
        <v>8.380000000000001</v>
      </c>
      <c r="J4423" s="241" t="n">
        <v>8.76</v>
      </c>
      <c r="K4423" s="241" t="n">
        <v>7.8</v>
      </c>
      <c r="L4423" s="242" t="n">
        <v>3238200</v>
      </c>
      <c r="M4423" s="241" t="n">
        <v>-1.6</v>
      </c>
      <c r="N4423" s="241" t="n">
        <v>21.3</v>
      </c>
      <c r="O4423" s="241" t="n">
        <v>20.45</v>
      </c>
      <c r="P4423" s="241" t="n">
        <v>2.04</v>
      </c>
    </row>
    <row r="4424">
      <c r="A4424" s="282" t="inlineStr">
        <is>
          <t>2024-03-15</t>
        </is>
      </c>
      <c r="B4424" s="240">
        <f>IFERROR(1/P4424-1,B4423)</f>
        <v/>
      </c>
      <c r="C4424" s="240">
        <f>$C$3</f>
        <v/>
      </c>
      <c r="D4424" s="240">
        <f>$D$3</f>
        <v/>
      </c>
      <c r="E4424" s="240">
        <f>$E$3</f>
        <v/>
      </c>
      <c r="F4424" s="241" t="n">
        <v>15.9</v>
      </c>
      <c r="G4424" s="242" t="n">
        <v>15503038</v>
      </c>
      <c r="H4424" s="241" t="n">
        <v>0</v>
      </c>
      <c r="I4424" s="241" t="n">
        <v>8.380000000000001</v>
      </c>
      <c r="J4424" s="241" t="n">
        <v>8.76</v>
      </c>
      <c r="K4424" s="241" t="n">
        <v>7.72</v>
      </c>
      <c r="L4424" s="242" t="n">
        <v>3454600</v>
      </c>
      <c r="M4424" s="241" t="n">
        <v>-1.05</v>
      </c>
      <c r="N4424" s="241" t="n">
        <v>23.15</v>
      </c>
      <c r="O4424" s="241" t="n">
        <v>19.19</v>
      </c>
      <c r="P4424" s="241" t="n">
        <v>2.06</v>
      </c>
    </row>
    <row r="4425">
      <c r="A4425" s="282" t="inlineStr">
        <is>
          <t>2024-03-18</t>
        </is>
      </c>
      <c r="B4425" s="240">
        <f>IFERROR(1/P4425-1,B4424)</f>
        <v/>
      </c>
      <c r="C4425" s="240">
        <f>$C$3</f>
        <v/>
      </c>
      <c r="D4425" s="240">
        <f>$D$3</f>
        <v/>
      </c>
      <c r="E4425" s="240">
        <f>$E$3</f>
        <v/>
      </c>
      <c r="F4425" s="241" t="n">
        <v>15.97</v>
      </c>
      <c r="G4425" s="242" t="n">
        <v>18012663</v>
      </c>
      <c r="H4425" s="241" t="n">
        <v>0.44</v>
      </c>
      <c r="I4425" s="241" t="n">
        <v>8.859999999999999</v>
      </c>
      <c r="J4425" s="241" t="n">
        <v>9.23</v>
      </c>
      <c r="K4425" s="241" t="n">
        <v>7.9</v>
      </c>
      <c r="L4425" s="242" t="n">
        <v>2324800</v>
      </c>
      <c r="M4425" s="241" t="n">
        <v>2.35</v>
      </c>
      <c r="N4425" s="241" t="n">
        <v>20.97</v>
      </c>
      <c r="O4425" s="241" t="n">
        <v>21.99</v>
      </c>
      <c r="P4425" s="241" t="n">
        <v>2.02</v>
      </c>
    </row>
    <row r="4426">
      <c r="A4426" s="282" t="inlineStr">
        <is>
          <t>2024-03-19</t>
        </is>
      </c>
      <c r="B4426" s="240">
        <f>IFERROR(1/P4426-1,B4425)</f>
        <v/>
      </c>
      <c r="C4426" s="240">
        <f>$C$3</f>
        <v/>
      </c>
      <c r="D4426" s="240">
        <f>$D$3</f>
        <v/>
      </c>
      <c r="E4426" s="240">
        <f>$E$3</f>
        <v/>
      </c>
      <c r="F4426" s="241" t="n">
        <v>15.76</v>
      </c>
      <c r="G4426" s="242" t="n">
        <v>13750126</v>
      </c>
      <c r="H4426" s="241" t="n">
        <v>-1.31</v>
      </c>
      <c r="I4426" s="241" t="n">
        <v>7.43</v>
      </c>
      <c r="J4426" s="241" t="n">
        <v>7.8</v>
      </c>
      <c r="K4426" s="241" t="n">
        <v>7.7</v>
      </c>
      <c r="L4426" s="242" t="n">
        <v>2880400</v>
      </c>
      <c r="M4426" s="241" t="n">
        <v>-2.64</v>
      </c>
      <c r="N4426" s="241" t="n">
        <v>17.78</v>
      </c>
      <c r="O4426" s="241" t="n">
        <v>18.77</v>
      </c>
      <c r="P4426" s="241" t="n">
        <v>2.05</v>
      </c>
    </row>
    <row r="4427">
      <c r="A4427" s="282" t="inlineStr">
        <is>
          <t>2024-03-20</t>
        </is>
      </c>
      <c r="B4427" s="240">
        <f>IFERROR(1/P4427-1,B4426)</f>
        <v/>
      </c>
      <c r="C4427" s="240">
        <f>$C$3</f>
        <v/>
      </c>
      <c r="D4427" s="240">
        <f>$D$3</f>
        <v/>
      </c>
      <c r="E4427" s="240">
        <f>$E$3</f>
        <v/>
      </c>
      <c r="F4427" s="241" t="n">
        <v>15.76</v>
      </c>
      <c r="G4427" s="242" t="n">
        <v>17840648</v>
      </c>
      <c r="H4427" s="241" t="n">
        <v>0</v>
      </c>
      <c r="I4427" s="241" t="n">
        <v>4.37</v>
      </c>
      <c r="J4427" s="241" t="n">
        <v>7.8</v>
      </c>
      <c r="K4427" s="241" t="n">
        <v>7.63</v>
      </c>
      <c r="L4427" s="242" t="n">
        <v>1990000</v>
      </c>
      <c r="M4427" s="241" t="n">
        <v>-0.83</v>
      </c>
      <c r="N4427" s="241" t="n">
        <v>13.19</v>
      </c>
      <c r="O4427" s="241" t="n">
        <v>17.79</v>
      </c>
      <c r="P4427" s="241" t="n">
        <v>2.07</v>
      </c>
    </row>
    <row r="4428">
      <c r="A4428" s="282" t="inlineStr">
        <is>
          <t>2024-03-21</t>
        </is>
      </c>
      <c r="B4428" s="240">
        <f>IFERROR(1/P4428-1,B4427)</f>
        <v/>
      </c>
      <c r="C4428" s="240">
        <f>$C$3</f>
        <v/>
      </c>
      <c r="D4428" s="240">
        <f>$D$3</f>
        <v/>
      </c>
      <c r="E4428" s="240">
        <f>$E$3</f>
        <v/>
      </c>
      <c r="F4428" s="241" t="n">
        <v>15.9</v>
      </c>
      <c r="G4428" s="242" t="n">
        <v>20729840</v>
      </c>
      <c r="H4428" s="241" t="n">
        <v>0.89</v>
      </c>
      <c r="I4428" s="241" t="n">
        <v>5.58</v>
      </c>
      <c r="J4428" s="241" t="n">
        <v>8.76</v>
      </c>
      <c r="K4428" s="241" t="n">
        <v>7.85</v>
      </c>
      <c r="L4428" s="242" t="n">
        <v>3248000</v>
      </c>
      <c r="M4428" s="241" t="n">
        <v>2.85</v>
      </c>
      <c r="N4428" s="241" t="n">
        <v>12.92</v>
      </c>
      <c r="O4428" s="241" t="n">
        <v>21.15</v>
      </c>
      <c r="P4428" s="241" t="n">
        <v>2.03</v>
      </c>
    </row>
    <row r="4429">
      <c r="A4429" s="282" t="inlineStr">
        <is>
          <t>2024-03-22</t>
        </is>
      </c>
      <c r="B4429" s="240">
        <f>IFERROR(1/P4429-1,B4428)</f>
        <v/>
      </c>
      <c r="C4429" s="240">
        <f>$C$3</f>
        <v/>
      </c>
      <c r="D4429" s="240">
        <f>$D$3</f>
        <v/>
      </c>
      <c r="E4429" s="240">
        <f>$E$3</f>
        <v/>
      </c>
      <c r="F4429" s="241" t="n">
        <v>15.77</v>
      </c>
      <c r="G4429" s="242" t="n">
        <v>18657588</v>
      </c>
      <c r="H4429" s="241" t="n">
        <v>-0.82</v>
      </c>
      <c r="I4429" s="241" t="n">
        <v>3.21</v>
      </c>
      <c r="J4429" s="241" t="n">
        <v>7.87</v>
      </c>
      <c r="K4429" s="241" t="n">
        <v>7.91</v>
      </c>
      <c r="L4429" s="242" t="n">
        <v>4147200</v>
      </c>
      <c r="M4429" s="241" t="n">
        <v>0.6899999999999999</v>
      </c>
      <c r="N4429" s="241" t="n">
        <v>11.67</v>
      </c>
      <c r="O4429" s="241" t="n">
        <v>21.99</v>
      </c>
      <c r="P4429" s="241" t="n">
        <v>1.99</v>
      </c>
    </row>
    <row r="4430">
      <c r="A4430" s="282" t="inlineStr">
        <is>
          <t>2024-03-25</t>
        </is>
      </c>
      <c r="B4430" s="240">
        <f>IFERROR(1/P4430-1,B4429)</f>
        <v/>
      </c>
      <c r="C4430" s="240">
        <f>$C$3</f>
        <v/>
      </c>
      <c r="D4430" s="240">
        <f>$D$3</f>
        <v/>
      </c>
      <c r="E4430" s="240">
        <f>$E$3</f>
        <v/>
      </c>
      <c r="F4430" s="241" t="n">
        <v>15.5</v>
      </c>
      <c r="G4430" s="242" t="n">
        <v>15367056</v>
      </c>
      <c r="H4430" s="241" t="n">
        <v>-1.71</v>
      </c>
      <c r="I4430" s="241" t="n">
        <v>-0.58</v>
      </c>
      <c r="J4430" s="241" t="n">
        <v>6.02</v>
      </c>
      <c r="K4430" s="241" t="n">
        <v>7.96</v>
      </c>
      <c r="L4430" s="242" t="n">
        <v>1974600</v>
      </c>
      <c r="M4430" s="241" t="n">
        <v>0.6899999999999999</v>
      </c>
      <c r="N4430" s="241" t="n">
        <v>8.67</v>
      </c>
      <c r="O4430" s="241" t="n">
        <v>22.83</v>
      </c>
      <c r="P4430" s="241" t="n">
        <v>1.95</v>
      </c>
    </row>
    <row r="4431">
      <c r="A4431" s="282" t="inlineStr">
        <is>
          <t>2024-03-26</t>
        </is>
      </c>
      <c r="B4431" s="240">
        <f>IFERROR(1/P4431-1,B4430)</f>
        <v/>
      </c>
      <c r="C4431" s="240">
        <f>$C$3</f>
        <v/>
      </c>
      <c r="D4431" s="240">
        <f>$D$3</f>
        <v/>
      </c>
      <c r="E4431" s="240">
        <f>$E$3</f>
        <v/>
      </c>
      <c r="F4431" s="241" t="n">
        <v>15.62</v>
      </c>
      <c r="G4431" s="242" t="n">
        <v>14874586</v>
      </c>
      <c r="H4431" s="241" t="n">
        <v>0.77</v>
      </c>
      <c r="I4431" s="241" t="n">
        <v>0.19</v>
      </c>
      <c r="J4431" s="241" t="n">
        <v>6.84</v>
      </c>
      <c r="K4431" s="241" t="n">
        <v>7.74</v>
      </c>
      <c r="L4431" s="242" t="n">
        <v>3339800</v>
      </c>
      <c r="M4431" s="241" t="n">
        <v>-2.74</v>
      </c>
      <c r="N4431" s="241" t="n">
        <v>5.7</v>
      </c>
      <c r="O4431" s="241" t="n">
        <v>19.47</v>
      </c>
      <c r="P4431" s="241" t="n">
        <v>2.02</v>
      </c>
    </row>
    <row r="4432">
      <c r="A4432" s="282" t="inlineStr">
        <is>
          <t>2024-03-27</t>
        </is>
      </c>
      <c r="B4432" s="240">
        <f>IFERROR(1/P4432-1,B4431)</f>
        <v/>
      </c>
      <c r="C4432" s="240">
        <f>$C$3</f>
        <v/>
      </c>
      <c r="D4432" s="240">
        <f>$D$3</f>
        <v/>
      </c>
      <c r="E4432" s="240">
        <f>$E$3</f>
        <v/>
      </c>
      <c r="F4432" s="241" t="n">
        <v>15.16</v>
      </c>
      <c r="G4432" s="242" t="n">
        <v>16088031</v>
      </c>
      <c r="H4432" s="241" t="n">
        <v>-2.94</v>
      </c>
      <c r="I4432" s="241" t="n">
        <v>-2.7</v>
      </c>
      <c r="J4432" s="241" t="n">
        <v>3.69</v>
      </c>
      <c r="K4432" s="241" t="n">
        <v>7.32</v>
      </c>
      <c r="L4432" s="242" t="n">
        <v>5083400</v>
      </c>
      <c r="M4432" s="241" t="n">
        <v>-5.39</v>
      </c>
      <c r="N4432" s="241" t="n">
        <v>-4.38</v>
      </c>
      <c r="O4432" s="241" t="n">
        <v>13.03</v>
      </c>
      <c r="P4432" s="241" t="n">
        <v>2.07</v>
      </c>
    </row>
    <row r="4433">
      <c r="A4433" s="282" t="inlineStr">
        <is>
          <t>2024-03-28</t>
        </is>
      </c>
      <c r="B4433" s="240">
        <f>IFERROR(1/P4433-1,B4432)</f>
        <v/>
      </c>
      <c r="C4433" s="240">
        <f>$C$3</f>
        <v/>
      </c>
      <c r="D4433" s="240">
        <f>$D$3</f>
        <v/>
      </c>
      <c r="E4433" s="240">
        <f>$E$3</f>
        <v/>
      </c>
      <c r="F4433" s="241" t="n">
        <v>15.45</v>
      </c>
      <c r="G4433" s="242" t="n">
        <v>18719924</v>
      </c>
      <c r="H4433" s="241" t="n">
        <v>1.91</v>
      </c>
      <c r="I4433" s="241" t="n">
        <v>-1.66</v>
      </c>
      <c r="J4433" s="241" t="n">
        <v>5.68</v>
      </c>
      <c r="K4433" s="241" t="n">
        <v>7.42</v>
      </c>
      <c r="L4433" s="242" t="n">
        <v>2107800</v>
      </c>
      <c r="M4433" s="241" t="n">
        <v>1.36</v>
      </c>
      <c r="N4433" s="241" t="n">
        <v>-3.65</v>
      </c>
      <c r="O4433" s="241" t="n">
        <v>14.57</v>
      </c>
      <c r="P4433" s="241" t="n">
        <v>2.08</v>
      </c>
    </row>
    <row r="4434">
      <c r="A4434" s="282" t="inlineStr">
        <is>
          <t>2024-03-29</t>
        </is>
      </c>
      <c r="B4434" s="240">
        <f>IFERROR(1/P4434-1,B4433)</f>
        <v/>
      </c>
      <c r="C4434" s="240">
        <f>$C$3</f>
        <v/>
      </c>
      <c r="D4434" s="240">
        <f>$D$3</f>
        <v/>
      </c>
      <c r="E4434" s="240">
        <f>$E$3</f>
        <v/>
      </c>
      <c r="F4434" s="241" t="n">
        <v>15.75</v>
      </c>
      <c r="G4434" s="242" t="n">
        <v>23498483</v>
      </c>
      <c r="H4434" s="241" t="n">
        <v>1.94</v>
      </c>
      <c r="I4434" s="241" t="n">
        <v>1.09</v>
      </c>
      <c r="J4434" s="241" t="n">
        <v>7.73</v>
      </c>
      <c r="K4434" s="239" t="inlineStr">
        <is>
          <t>--</t>
        </is>
      </c>
      <c r="L4434" s="239" t="inlineStr">
        <is>
          <t>--</t>
        </is>
      </c>
      <c r="M4434" s="239" t="inlineStr">
        <is>
          <t>--</t>
        </is>
      </c>
      <c r="N4434" s="239" t="inlineStr">
        <is>
          <t>--</t>
        </is>
      </c>
      <c r="O4434" s="239" t="inlineStr">
        <is>
          <t>--</t>
        </is>
      </c>
      <c r="P4434" s="239" t="inlineStr">
        <is>
          <t>--</t>
        </is>
      </c>
    </row>
    <row r="4435">
      <c r="A4435" s="282" t="inlineStr">
        <is>
          <t>2024-04-01</t>
        </is>
      </c>
      <c r="B4435" s="240">
        <f>IFERROR(1/P4435-1,B4434)</f>
        <v/>
      </c>
      <c r="C4435" s="240">
        <f>$C$3</f>
        <v/>
      </c>
      <c r="D4435" s="240">
        <f>$D$3</f>
        <v/>
      </c>
      <c r="E4435" s="240">
        <f>$E$3</f>
        <v/>
      </c>
      <c r="F4435" s="241" t="n">
        <v>15.83</v>
      </c>
      <c r="G4435" s="242" t="n">
        <v>29580372</v>
      </c>
      <c r="H4435" s="241" t="n">
        <v>0.51</v>
      </c>
      <c r="I4435" s="241" t="n">
        <v>-3.18</v>
      </c>
      <c r="J4435" s="241" t="n">
        <v>8.279999999999999</v>
      </c>
      <c r="K4435" s="239" t="inlineStr">
        <is>
          <t>--</t>
        </is>
      </c>
      <c r="L4435" s="239" t="inlineStr">
        <is>
          <t>--</t>
        </is>
      </c>
      <c r="M4435" s="239" t="inlineStr">
        <is>
          <t>--</t>
        </is>
      </c>
      <c r="N4435" s="239" t="inlineStr">
        <is>
          <t>--</t>
        </is>
      </c>
      <c r="O4435" s="239" t="inlineStr">
        <is>
          <t>--</t>
        </is>
      </c>
      <c r="P4435" s="239" t="inlineStr">
        <is>
          <t>--</t>
        </is>
      </c>
    </row>
    <row r="4436">
      <c r="A4436" s="282" t="inlineStr">
        <is>
          <t>2024-04-02</t>
        </is>
      </c>
      <c r="B4436" s="240">
        <f>IFERROR(1/P4436-1,B4435)</f>
        <v/>
      </c>
      <c r="C4436" s="240">
        <f>$C$3</f>
        <v/>
      </c>
      <c r="D4436" s="240">
        <f>$D$3</f>
        <v/>
      </c>
      <c r="E4436" s="240">
        <f>$E$3</f>
        <v/>
      </c>
      <c r="F4436" s="241" t="n">
        <v>15.48</v>
      </c>
      <c r="G4436" s="242" t="n">
        <v>29355776</v>
      </c>
      <c r="H4436" s="241" t="n">
        <v>-2.21</v>
      </c>
      <c r="I4436" s="241" t="n">
        <v>-5.55</v>
      </c>
      <c r="J4436" s="241" t="n">
        <v>5.88</v>
      </c>
      <c r="K4436" s="241" t="n">
        <v>7.63</v>
      </c>
      <c r="L4436" s="242" t="n">
        <v>4709400</v>
      </c>
      <c r="M4436" s="241" t="n">
        <v>2.81</v>
      </c>
      <c r="N4436" s="241" t="n">
        <v>-2.89</v>
      </c>
      <c r="O4436" s="241" t="n">
        <v>17.79</v>
      </c>
      <c r="P4436" s="241" t="n">
        <v>2.03</v>
      </c>
    </row>
    <row r="4437">
      <c r="A4437" s="282" t="inlineStr">
        <is>
          <t>2024-04-03</t>
        </is>
      </c>
      <c r="B4437" s="240">
        <f>IFERROR(1/P4437-1,B4436)</f>
        <v/>
      </c>
      <c r="C4437" s="240">
        <f>$C$3</f>
        <v/>
      </c>
      <c r="D4437" s="240">
        <f>$D$3</f>
        <v/>
      </c>
      <c r="E4437" s="240">
        <f>$E$3</f>
        <v/>
      </c>
      <c r="F4437" s="241" t="n">
        <v>15.31</v>
      </c>
      <c r="G4437" s="242" t="n">
        <v>18535423</v>
      </c>
      <c r="H4437" s="241" t="n">
        <v>-1.1</v>
      </c>
      <c r="I4437" s="241" t="n">
        <v>-6.59</v>
      </c>
      <c r="J4437" s="241" t="n">
        <v>4.72</v>
      </c>
      <c r="K4437" s="241" t="n">
        <v>7.7</v>
      </c>
      <c r="L4437" s="242" t="n">
        <v>3414400</v>
      </c>
      <c r="M4437" s="241" t="n">
        <v>1.07</v>
      </c>
      <c r="N4437" s="241" t="n">
        <v>-1.85</v>
      </c>
      <c r="O4437" s="241" t="n">
        <v>19.05</v>
      </c>
      <c r="P4437" s="241" t="n">
        <v>1.99</v>
      </c>
    </row>
    <row r="4438">
      <c r="A4438" s="282" t="inlineStr">
        <is>
          <t>2024-04-08</t>
        </is>
      </c>
      <c r="B4438" s="240">
        <f>IFERROR(1/P4438-1,B4437)</f>
        <v/>
      </c>
      <c r="C4438" s="240">
        <f>$C$3</f>
        <v/>
      </c>
      <c r="D4438" s="240">
        <f>$D$3</f>
        <v/>
      </c>
      <c r="E4438" s="240">
        <f>$E$3</f>
        <v/>
      </c>
      <c r="F4438" s="241" t="n">
        <v>15.32</v>
      </c>
      <c r="G4438" s="242" t="n">
        <v>20182356</v>
      </c>
      <c r="H4438" s="241" t="n">
        <v>0.07000000000000001</v>
      </c>
      <c r="I4438" s="241" t="n">
        <v>-5.55</v>
      </c>
      <c r="J4438" s="241" t="n">
        <v>4.79</v>
      </c>
      <c r="K4438" s="241" t="n">
        <v>7.63</v>
      </c>
      <c r="L4438" s="242" t="n">
        <v>2989000</v>
      </c>
      <c r="M4438" s="241" t="n">
        <v>2.68</v>
      </c>
      <c r="N4438" s="241" t="n">
        <v>-1.17</v>
      </c>
      <c r="O4438" s="241" t="n">
        <v>17.93</v>
      </c>
      <c r="P4438" s="241" t="n">
        <v>2.01</v>
      </c>
    </row>
    <row r="4439">
      <c r="A4439" s="282" t="inlineStr">
        <is>
          <t>2024-04-09</t>
        </is>
      </c>
      <c r="B4439" s="240">
        <f>IFERROR(1/P4439-1,B4438)</f>
        <v/>
      </c>
      <c r="C4439" s="240">
        <f>$C$3</f>
        <v/>
      </c>
      <c r="D4439" s="240">
        <f>$D$3</f>
        <v/>
      </c>
      <c r="E4439" s="240">
        <f>$E$3</f>
        <v/>
      </c>
      <c r="F4439" s="241" t="n">
        <v>15.66</v>
      </c>
      <c r="G4439" s="242" t="n">
        <v>26673978</v>
      </c>
      <c r="H4439" s="241" t="n">
        <v>2.22</v>
      </c>
      <c r="I4439" s="241" t="n">
        <v>-4.45</v>
      </c>
      <c r="J4439" s="241" t="n">
        <v>7.11</v>
      </c>
      <c r="K4439" s="241" t="n">
        <v>7.81</v>
      </c>
      <c r="L4439" s="242" t="n">
        <v>1267200</v>
      </c>
      <c r="M4439" s="241" t="n">
        <v>2.38</v>
      </c>
      <c r="N4439" s="241" t="n">
        <v>0.23</v>
      </c>
      <c r="O4439" s="241" t="n">
        <v>20.73</v>
      </c>
      <c r="P4439" s="241" t="n">
        <v>2.01</v>
      </c>
    </row>
    <row r="4440">
      <c r="A4440" s="282" t="inlineStr">
        <is>
          <t>2024-04-10</t>
        </is>
      </c>
      <c r="B4440" s="240">
        <f>IFERROR(1/P4440-1,B4439)</f>
        <v/>
      </c>
      <c r="C4440" s="240">
        <f>$C$3</f>
        <v/>
      </c>
      <c r="D4440" s="240">
        <f>$D$3</f>
        <v/>
      </c>
      <c r="E4440" s="240">
        <f>$E$3</f>
        <v/>
      </c>
      <c r="F4440" s="241" t="n">
        <v>15.57</v>
      </c>
      <c r="G4440" s="242" t="n">
        <v>17262809</v>
      </c>
      <c r="H4440" s="241" t="n">
        <v>-0.57</v>
      </c>
      <c r="I4440" s="241" t="n">
        <v>-5</v>
      </c>
      <c r="J4440" s="241" t="n">
        <v>6.5</v>
      </c>
      <c r="K4440" s="241" t="n">
        <v>8.06</v>
      </c>
      <c r="L4440" s="242" t="n">
        <v>3486400</v>
      </c>
      <c r="M4440" s="241" t="n">
        <v>3.25</v>
      </c>
      <c r="N4440" s="241" t="n">
        <v>3.49</v>
      </c>
      <c r="O4440" s="241" t="n">
        <v>24.65</v>
      </c>
      <c r="P4440" s="241" t="n">
        <v>1.93</v>
      </c>
    </row>
    <row r="4441">
      <c r="A4441" s="282" t="inlineStr">
        <is>
          <t>2024-04-11</t>
        </is>
      </c>
      <c r="B4441" s="240">
        <f>IFERROR(1/P4441-1,B4440)</f>
        <v/>
      </c>
      <c r="C4441" s="240">
        <f>$C$3</f>
        <v/>
      </c>
      <c r="D4441" s="240">
        <f>$D$3</f>
        <v/>
      </c>
      <c r="E4441" s="240">
        <f>$E$3</f>
        <v/>
      </c>
      <c r="F4441" s="241" t="n">
        <v>16.47</v>
      </c>
      <c r="G4441" s="242" t="n">
        <v>51872386</v>
      </c>
      <c r="H4441" s="241" t="n">
        <v>5.78</v>
      </c>
      <c r="I4441" s="241" t="n">
        <v>0.49</v>
      </c>
      <c r="J4441" s="241" t="n">
        <v>12.65</v>
      </c>
      <c r="K4441" s="241" t="n">
        <v>8.789999999999999</v>
      </c>
      <c r="L4441" s="242" t="n">
        <v>10963800</v>
      </c>
      <c r="M4441" s="241" t="n">
        <v>8.99</v>
      </c>
      <c r="N4441" s="241" t="n">
        <v>12.79</v>
      </c>
      <c r="O4441" s="241" t="n">
        <v>35.85</v>
      </c>
      <c r="P4441" s="241" t="n">
        <v>1.87</v>
      </c>
    </row>
    <row r="4442">
      <c r="A4442" s="282" t="inlineStr">
        <is>
          <t>2024-04-12</t>
        </is>
      </c>
      <c r="B4442" s="240">
        <f>IFERROR(1/P4442-1,B4441)</f>
        <v/>
      </c>
      <c r="C4442" s="240">
        <f>$C$3</f>
        <v/>
      </c>
      <c r="D4442" s="240">
        <f>$D$3</f>
        <v/>
      </c>
      <c r="E4442" s="240">
        <f>$E$3</f>
        <v/>
      </c>
      <c r="F4442" s="241" t="n">
        <v>16.62</v>
      </c>
      <c r="G4442" s="242" t="n">
        <v>36234597</v>
      </c>
      <c r="H4442" s="241" t="n">
        <v>0.91</v>
      </c>
      <c r="I4442" s="241" t="n">
        <v>0.97</v>
      </c>
      <c r="J4442" s="241" t="n">
        <v>13.68</v>
      </c>
      <c r="K4442" s="241" t="n">
        <v>8.9</v>
      </c>
      <c r="L4442" s="242" t="n">
        <v>6032000</v>
      </c>
      <c r="M4442" s="241" t="n">
        <v>1.34</v>
      </c>
      <c r="N4442" s="241" t="n">
        <v>10.7</v>
      </c>
      <c r="O4442" s="241" t="n">
        <v>37.68</v>
      </c>
      <c r="P4442" s="241" t="n">
        <v>1.87</v>
      </c>
    </row>
    <row r="4443">
      <c r="A4443" s="282" t="inlineStr">
        <is>
          <t>2024-04-15</t>
        </is>
      </c>
      <c r="B4443" s="240">
        <f>IFERROR(1/P4443-1,B4442)</f>
        <v/>
      </c>
      <c r="C4443" s="240">
        <f>$C$3</f>
        <v/>
      </c>
      <c r="D4443" s="240">
        <f>$D$3</f>
        <v/>
      </c>
      <c r="E4443" s="240">
        <f>$E$3</f>
        <v/>
      </c>
      <c r="F4443" s="241" t="n">
        <v>17.27</v>
      </c>
      <c r="G4443" s="242" t="n">
        <v>48291916</v>
      </c>
      <c r="H4443" s="241" t="n">
        <v>3.91</v>
      </c>
      <c r="I4443" s="241" t="n">
        <v>8.619999999999999</v>
      </c>
      <c r="J4443" s="241" t="n">
        <v>18.13</v>
      </c>
      <c r="K4443" s="241" t="n">
        <v>8.949999999999999</v>
      </c>
      <c r="L4443" s="242" t="n">
        <v>6021000</v>
      </c>
      <c r="M4443" s="241" t="n">
        <v>0.51</v>
      </c>
      <c r="N4443" s="241" t="n">
        <v>14.88</v>
      </c>
      <c r="O4443" s="241" t="n">
        <v>38.38</v>
      </c>
      <c r="P4443" s="241" t="n">
        <v>1.93</v>
      </c>
    </row>
    <row r="4444">
      <c r="A4444" s="282" t="inlineStr">
        <is>
          <t>2024-04-16</t>
        </is>
      </c>
      <c r="B4444" s="240">
        <f>IFERROR(1/P4444-1,B4443)</f>
        <v/>
      </c>
      <c r="C4444" s="240">
        <f>$C$3</f>
        <v/>
      </c>
      <c r="D4444" s="240">
        <f>$D$3</f>
        <v/>
      </c>
      <c r="E4444" s="240">
        <f>$E$3</f>
        <v/>
      </c>
      <c r="F4444" s="241" t="n">
        <v>17.16</v>
      </c>
      <c r="G4444" s="242" t="n">
        <v>42543099</v>
      </c>
      <c r="H4444" s="241" t="n">
        <v>-0.64</v>
      </c>
      <c r="I4444" s="241" t="n">
        <v>7.92</v>
      </c>
      <c r="J4444" s="241" t="n">
        <v>17.37</v>
      </c>
      <c r="K4444" s="241" t="n">
        <v>8.960000000000001</v>
      </c>
      <c r="L4444" s="242" t="n">
        <v>3324800</v>
      </c>
      <c r="M4444" s="241" t="n">
        <v>0</v>
      </c>
      <c r="N4444" s="241" t="n">
        <v>16.1</v>
      </c>
      <c r="O4444" s="241" t="n">
        <v>38.38</v>
      </c>
      <c r="P4444" s="241" t="n">
        <v>1.91</v>
      </c>
    </row>
    <row r="4445">
      <c r="A4445" s="282" t="inlineStr">
        <is>
          <t>2024-04-17</t>
        </is>
      </c>
      <c r="B4445" s="240">
        <f>IFERROR(1/P4445-1,B4444)</f>
        <v/>
      </c>
      <c r="C4445" s="240">
        <f>$C$3</f>
        <v/>
      </c>
      <c r="D4445" s="240">
        <f>$D$3</f>
        <v/>
      </c>
      <c r="E4445" s="240">
        <f>$E$3</f>
        <v/>
      </c>
      <c r="F4445" s="241" t="n">
        <v>18.05</v>
      </c>
      <c r="G4445" s="242" t="n">
        <v>48847593</v>
      </c>
      <c r="H4445" s="241" t="n">
        <v>5.19</v>
      </c>
      <c r="I4445" s="241" t="n">
        <v>13.52</v>
      </c>
      <c r="J4445" s="241" t="n">
        <v>23.46</v>
      </c>
      <c r="K4445" s="241" t="n">
        <v>9.699999999999999</v>
      </c>
      <c r="L4445" s="242" t="n">
        <v>11717100</v>
      </c>
      <c r="M4445" s="241" t="n">
        <v>8.300000000000001</v>
      </c>
      <c r="N4445" s="241" t="n">
        <v>25.73</v>
      </c>
      <c r="O4445" s="241" t="n">
        <v>49.86</v>
      </c>
      <c r="P4445" s="241" t="n">
        <v>1.86</v>
      </c>
    </row>
    <row r="4446">
      <c r="A4446" s="282" t="inlineStr">
        <is>
          <t>2024-04-18</t>
        </is>
      </c>
      <c r="B4446" s="240">
        <f>IFERROR(1/P4446-1,B4445)</f>
        <v/>
      </c>
      <c r="C4446" s="240">
        <f>$C$3</f>
        <v/>
      </c>
      <c r="D4446" s="240">
        <f>$D$3</f>
        <v/>
      </c>
      <c r="E4446" s="240">
        <f>$E$3</f>
        <v/>
      </c>
      <c r="F4446" s="241" t="n">
        <v>18.01</v>
      </c>
      <c r="G4446" s="242" t="n">
        <v>47983242</v>
      </c>
      <c r="H4446" s="241" t="n">
        <v>-0.22</v>
      </c>
      <c r="I4446" s="241" t="n">
        <v>13.27</v>
      </c>
      <c r="J4446" s="241" t="n">
        <v>23.19</v>
      </c>
      <c r="K4446" s="241" t="n">
        <v>9.92</v>
      </c>
      <c r="L4446" s="242" t="n">
        <v>8923800</v>
      </c>
      <c r="M4446" s="241" t="n">
        <v>2.24</v>
      </c>
      <c r="N4446" s="241" t="n">
        <v>28.55</v>
      </c>
      <c r="O4446" s="241" t="n">
        <v>53.22</v>
      </c>
      <c r="P4446" s="241" t="n">
        <v>1.81</v>
      </c>
    </row>
    <row r="4447">
      <c r="A4447" s="282" t="inlineStr">
        <is>
          <t>2024-04-19</t>
        </is>
      </c>
      <c r="B4447" s="240">
        <f>IFERROR(1/P4447-1,B4446)</f>
        <v/>
      </c>
      <c r="C4447" s="240">
        <f>$C$3</f>
        <v/>
      </c>
      <c r="D4447" s="240">
        <f>$D$3</f>
        <v/>
      </c>
      <c r="E4447" s="240">
        <f>$E$3</f>
        <v/>
      </c>
      <c r="F4447" s="241" t="n">
        <v>18.25</v>
      </c>
      <c r="G4447" s="242" t="n">
        <v>32479105</v>
      </c>
      <c r="H4447" s="241" t="n">
        <v>1.33</v>
      </c>
      <c r="I4447" s="241" t="n">
        <v>14.28</v>
      </c>
      <c r="J4447" s="241" t="n">
        <v>24.83</v>
      </c>
      <c r="K4447" s="241" t="n">
        <v>9.869999999999999</v>
      </c>
      <c r="L4447" s="242" t="n">
        <v>7250298</v>
      </c>
      <c r="M4447" s="241" t="n">
        <v>-0.55</v>
      </c>
      <c r="N4447" s="241" t="n">
        <v>24.91</v>
      </c>
      <c r="O4447" s="241" t="n">
        <v>52.38</v>
      </c>
      <c r="P4447" s="241" t="n">
        <v>1.85</v>
      </c>
    </row>
    <row r="4448">
      <c r="A4448" s="282" t="inlineStr">
        <is>
          <t>2024-04-22</t>
        </is>
      </c>
      <c r="B4448" s="240">
        <f>IFERROR(1/P4448-1,B4447)</f>
        <v/>
      </c>
      <c r="C4448" s="240">
        <f>$C$3</f>
        <v/>
      </c>
      <c r="D4448" s="240">
        <f>$D$3</f>
        <v/>
      </c>
      <c r="E4448" s="240">
        <f>$E$3</f>
        <v/>
      </c>
      <c r="F4448" s="241" t="n">
        <v>17.84</v>
      </c>
      <c r="G4448" s="242" t="n">
        <v>42443044</v>
      </c>
      <c r="H4448" s="241" t="n">
        <v>-2.25</v>
      </c>
      <c r="I4448" s="241" t="n">
        <v>12.2</v>
      </c>
      <c r="J4448" s="241" t="n">
        <v>22.02</v>
      </c>
      <c r="K4448" s="241" t="n">
        <v>9.74</v>
      </c>
      <c r="L4448" s="242" t="n">
        <v>3733172</v>
      </c>
      <c r="M4448" s="241" t="n">
        <v>-1.29</v>
      </c>
      <c r="N4448" s="241" t="n">
        <v>24.16</v>
      </c>
      <c r="O4448" s="241" t="n">
        <v>50.42</v>
      </c>
      <c r="P4448" s="241" t="n">
        <v>1.83</v>
      </c>
    </row>
    <row r="4449">
      <c r="A4449" s="282" t="inlineStr">
        <is>
          <t>2024-04-23</t>
        </is>
      </c>
      <c r="B4449" s="240">
        <f>IFERROR(1/P4449-1,B4448)</f>
        <v/>
      </c>
      <c r="C4449" s="240">
        <f>$C$3</f>
        <v/>
      </c>
      <c r="D4449" s="240">
        <f>$D$3</f>
        <v/>
      </c>
      <c r="E4449" s="240">
        <f>$E$3</f>
        <v/>
      </c>
      <c r="F4449" s="241" t="n">
        <v>17.71</v>
      </c>
      <c r="G4449" s="242" t="n">
        <v>25923974</v>
      </c>
      <c r="H4449" s="241" t="n">
        <v>-0.73</v>
      </c>
      <c r="I4449" s="241" t="n">
        <v>12.3</v>
      </c>
      <c r="J4449" s="241" t="n">
        <v>21.14</v>
      </c>
      <c r="K4449" s="241" t="n">
        <v>9.779999999999999</v>
      </c>
      <c r="L4449" s="242" t="n">
        <v>4764008</v>
      </c>
      <c r="M4449" s="241" t="n">
        <v>0.37</v>
      </c>
      <c r="N4449" s="241" t="n">
        <v>23.77</v>
      </c>
      <c r="O4449" s="241" t="n">
        <v>50.98</v>
      </c>
      <c r="P4449" s="241" t="n">
        <v>1.81</v>
      </c>
    </row>
    <row r="4450">
      <c r="A4450" s="282" t="inlineStr">
        <is>
          <t>2024-04-24</t>
        </is>
      </c>
      <c r="B4450" s="240">
        <f>IFERROR(1/P4450-1,B4449)</f>
        <v/>
      </c>
      <c r="C4450" s="240">
        <f>$C$3</f>
        <v/>
      </c>
      <c r="D4450" s="240">
        <f>$D$3</f>
        <v/>
      </c>
      <c r="E4450" s="240">
        <f>$E$3</f>
        <v/>
      </c>
      <c r="F4450" s="241" t="n">
        <v>17.71</v>
      </c>
      <c r="G4450" s="242" t="n">
        <v>23283722</v>
      </c>
      <c r="H4450" s="241" t="n">
        <v>0</v>
      </c>
      <c r="I4450" s="241" t="n">
        <v>12.3</v>
      </c>
      <c r="J4450" s="241" t="n">
        <v>21.14</v>
      </c>
      <c r="K4450" s="241" t="n">
        <v>9.789999999999999</v>
      </c>
      <c r="L4450" s="242" t="n">
        <v>7575600</v>
      </c>
      <c r="M4450" s="241" t="n">
        <v>0.19</v>
      </c>
      <c r="N4450" s="241" t="n">
        <v>24</v>
      </c>
      <c r="O4450" s="241" t="n">
        <v>51.26</v>
      </c>
      <c r="P4450" s="241" t="n">
        <v>1.81</v>
      </c>
    </row>
    <row r="4451">
      <c r="A4451" s="282" t="inlineStr">
        <is>
          <t>2024-04-25</t>
        </is>
      </c>
      <c r="B4451" s="240">
        <f>IFERROR(1/P4451-1,B4450)</f>
        <v/>
      </c>
      <c r="C4451" s="240">
        <f>$C$3</f>
        <v/>
      </c>
      <c r="D4451" s="240">
        <f>$D$3</f>
        <v/>
      </c>
      <c r="E4451" s="240">
        <f>$E$3</f>
        <v/>
      </c>
      <c r="F4451" s="241" t="n">
        <v>17.59</v>
      </c>
      <c r="G4451" s="242" t="n">
        <v>16625430</v>
      </c>
      <c r="H4451" s="241" t="n">
        <v>-0.68</v>
      </c>
      <c r="I4451" s="241" t="n">
        <v>11.54</v>
      </c>
      <c r="J4451" s="241" t="n">
        <v>20.31</v>
      </c>
      <c r="K4451" s="241" t="n">
        <v>9.800000000000001</v>
      </c>
      <c r="L4451" s="242" t="n">
        <v>3633600</v>
      </c>
      <c r="M4451" s="241" t="n">
        <v>0</v>
      </c>
      <c r="N4451" s="241" t="n">
        <v>24</v>
      </c>
      <c r="O4451" s="241" t="n">
        <v>51.26</v>
      </c>
      <c r="P4451" s="241" t="n">
        <v>1.79</v>
      </c>
    </row>
    <row r="4452">
      <c r="A4452" s="282" t="inlineStr">
        <is>
          <t>2024-04-26</t>
        </is>
      </c>
      <c r="B4452" s="240">
        <f>IFERROR(1/P4452-1,B4451)</f>
        <v/>
      </c>
      <c r="C4452" s="240">
        <f>$C$3</f>
        <v/>
      </c>
      <c r="D4452" s="240">
        <f>$D$3</f>
        <v/>
      </c>
      <c r="E4452" s="240">
        <f>$E$3</f>
        <v/>
      </c>
      <c r="F4452" s="241" t="n">
        <v>17.1</v>
      </c>
      <c r="G4452" s="242" t="n">
        <v>38866019</v>
      </c>
      <c r="H4452" s="241" t="n">
        <v>-2.79</v>
      </c>
      <c r="I4452" s="241" t="n">
        <v>10.32</v>
      </c>
      <c r="J4452" s="241" t="n">
        <v>16.96</v>
      </c>
      <c r="K4452" s="241" t="n">
        <v>9.77</v>
      </c>
      <c r="L4452" s="242" t="n">
        <v>4813200</v>
      </c>
      <c r="M4452" s="241" t="n">
        <v>-0.37</v>
      </c>
      <c r="N4452" s="241" t="n">
        <v>22.69</v>
      </c>
      <c r="O4452" s="241" t="n">
        <v>50.7</v>
      </c>
      <c r="P4452" s="241" t="n">
        <v>1.75</v>
      </c>
    </row>
    <row r="4453">
      <c r="A4453" s="282" t="inlineStr">
        <is>
          <t>2024-04-29</t>
        </is>
      </c>
      <c r="B4453" s="240">
        <f>IFERROR(1/P4453-1,B4452)</f>
        <v/>
      </c>
      <c r="C4453" s="240">
        <f>$C$3</f>
        <v/>
      </c>
      <c r="D4453" s="240">
        <f>$D$3</f>
        <v/>
      </c>
      <c r="E4453" s="240">
        <f>$E$3</f>
        <v/>
      </c>
      <c r="F4453" s="241" t="n">
        <v>17.22</v>
      </c>
      <c r="G4453" s="242" t="n">
        <v>30569164</v>
      </c>
      <c r="H4453" s="241" t="n">
        <v>0.7</v>
      </c>
      <c r="I4453" s="241" t="n">
        <v>11.46</v>
      </c>
      <c r="J4453" s="241" t="n">
        <v>17.78</v>
      </c>
      <c r="K4453" s="241" t="n">
        <v>9.6</v>
      </c>
      <c r="L4453" s="242" t="n">
        <v>4154600</v>
      </c>
      <c r="M4453" s="241" t="n">
        <v>-1.67</v>
      </c>
      <c r="N4453" s="241" t="n">
        <v>29.34</v>
      </c>
      <c r="O4453" s="241" t="n">
        <v>48.18</v>
      </c>
      <c r="P4453" s="241" t="n">
        <v>1.79</v>
      </c>
    </row>
    <row r="4454">
      <c r="A4454" s="282" t="inlineStr">
        <is>
          <t>2024-04-30</t>
        </is>
      </c>
      <c r="B4454" s="240">
        <f>IFERROR(1/P4454-1,B4453)</f>
        <v/>
      </c>
      <c r="C4454" s="240">
        <f>$C$3</f>
        <v/>
      </c>
      <c r="D4454" s="240">
        <f>$D$3</f>
        <v/>
      </c>
      <c r="E4454" s="240">
        <f>$E$3</f>
        <v/>
      </c>
      <c r="F4454" s="241" t="n">
        <v>16.86</v>
      </c>
      <c r="G4454" s="242" t="n">
        <v>37504476</v>
      </c>
      <c r="H4454" s="241" t="n">
        <v>-2.09</v>
      </c>
      <c r="I4454" s="241" t="n">
        <v>7.05</v>
      </c>
      <c r="J4454" s="241" t="n">
        <v>15.32</v>
      </c>
      <c r="K4454" s="241" t="n">
        <v>9.699999999999999</v>
      </c>
      <c r="L4454" s="242" t="n">
        <v>14987700</v>
      </c>
      <c r="M4454" s="241" t="n">
        <v>0.95</v>
      </c>
      <c r="N4454" s="241" t="n">
        <v>30.56</v>
      </c>
      <c r="O4454" s="241" t="n">
        <v>49.58</v>
      </c>
      <c r="P4454" s="241" t="n">
        <v>1.74</v>
      </c>
    </row>
    <row r="4455">
      <c r="A4455" s="282" t="inlineStr">
        <is>
          <t>2024-05-06</t>
        </is>
      </c>
      <c r="B4455" s="240">
        <f>IFERROR(1/P4455-1,B4454)</f>
        <v/>
      </c>
      <c r="C4455" s="240">
        <f>$C$3</f>
        <v/>
      </c>
      <c r="D4455" s="240">
        <f>$D$3</f>
        <v/>
      </c>
      <c r="E4455" s="240">
        <f>$E$3</f>
        <v/>
      </c>
      <c r="F4455" s="241" t="n">
        <v>17.37</v>
      </c>
      <c r="G4455" s="242" t="n">
        <v>32995034</v>
      </c>
      <c r="H4455" s="241" t="n">
        <v>3.02</v>
      </c>
      <c r="I4455" s="241" t="n">
        <v>13.46</v>
      </c>
      <c r="J4455" s="241" t="n">
        <v>18.81</v>
      </c>
      <c r="K4455" s="241" t="n">
        <v>10.02</v>
      </c>
      <c r="L4455" s="242" t="n">
        <v>3891400</v>
      </c>
      <c r="M4455" s="241" t="n">
        <v>4.36</v>
      </c>
      <c r="N4455" s="241" t="n">
        <v>34.39</v>
      </c>
      <c r="O4455" s="241" t="n">
        <v>54.34</v>
      </c>
      <c r="P4455" s="241" t="n">
        <v>1.73</v>
      </c>
    </row>
    <row r="4456">
      <c r="A4456" s="282" t="inlineStr">
        <is>
          <t>2024-05-07</t>
        </is>
      </c>
      <c r="B4456" s="240">
        <f>IFERROR(1/P4456-1,B4455)</f>
        <v/>
      </c>
      <c r="C4456" s="240">
        <f>$C$3</f>
        <v/>
      </c>
      <c r="D4456" s="240">
        <f>$D$3</f>
        <v/>
      </c>
      <c r="E4456" s="240">
        <f>$E$3</f>
        <v/>
      </c>
      <c r="F4456" s="241" t="n">
        <v>17.22</v>
      </c>
      <c r="G4456" s="242" t="n">
        <v>22436442</v>
      </c>
      <c r="H4456" s="241" t="n">
        <v>-0.86</v>
      </c>
      <c r="I4456" s="241" t="n">
        <v>12.48</v>
      </c>
      <c r="J4456" s="241" t="n">
        <v>17.78</v>
      </c>
      <c r="K4456" s="241" t="n">
        <v>9.859999999999999</v>
      </c>
      <c r="L4456" s="242" t="n">
        <v>2109200</v>
      </c>
      <c r="M4456" s="241" t="n">
        <v>-1.45</v>
      </c>
      <c r="N4456" s="241" t="n">
        <v>32.44</v>
      </c>
      <c r="O4456" s="241" t="n">
        <v>52.1</v>
      </c>
      <c r="P4456" s="241" t="n">
        <v>1.75</v>
      </c>
    </row>
    <row r="4457">
      <c r="A4457" s="282" t="inlineStr">
        <is>
          <t>2024-05-08</t>
        </is>
      </c>
      <c r="B4457" s="240">
        <f>IFERROR(1/P4457-1,B4456)</f>
        <v/>
      </c>
      <c r="C4457" s="240">
        <f>$C$3</f>
        <v/>
      </c>
      <c r="D4457" s="240">
        <f>$D$3</f>
        <v/>
      </c>
      <c r="E4457" s="240">
        <f>$E$3</f>
        <v/>
      </c>
      <c r="F4457" s="241" t="n">
        <v>17.14</v>
      </c>
      <c r="G4457" s="242" t="n">
        <v>18108677</v>
      </c>
      <c r="H4457" s="241" t="n">
        <v>-0.46</v>
      </c>
      <c r="I4457" s="241" t="n">
        <v>11.95</v>
      </c>
      <c r="J4457" s="241" t="n">
        <v>17.24</v>
      </c>
      <c r="K4457" s="241" t="n">
        <v>9.949999999999999</v>
      </c>
      <c r="L4457" s="242" t="n">
        <v>2561744</v>
      </c>
      <c r="M4457" s="241" t="n">
        <v>0.92</v>
      </c>
      <c r="N4457" s="241" t="n">
        <v>33.66</v>
      </c>
      <c r="O4457" s="241" t="n">
        <v>53.5</v>
      </c>
      <c r="P4457" s="241" t="n">
        <v>1.72</v>
      </c>
    </row>
    <row r="4458">
      <c r="A4458" s="282" t="inlineStr">
        <is>
          <t>2024-05-09</t>
        </is>
      </c>
      <c r="B4458" s="240">
        <f>IFERROR(1/P4458-1,B4457)</f>
        <v/>
      </c>
      <c r="C4458" s="240">
        <f>$C$3</f>
        <v/>
      </c>
      <c r="D4458" s="240">
        <f>$D$3</f>
        <v/>
      </c>
      <c r="E4458" s="240">
        <f>$E$3</f>
        <v/>
      </c>
      <c r="F4458" s="241" t="n">
        <v>17.82</v>
      </c>
      <c r="G4458" s="242" t="n">
        <v>33962653</v>
      </c>
      <c r="H4458" s="241" t="n">
        <v>3.97</v>
      </c>
      <c r="I4458" s="241" t="n">
        <v>16.32</v>
      </c>
      <c r="J4458" s="241" t="n">
        <v>21.89</v>
      </c>
      <c r="K4458" s="241" t="n">
        <v>10.67</v>
      </c>
      <c r="L4458" s="242" t="n">
        <v>10162600</v>
      </c>
      <c r="M4458" s="241" t="n">
        <v>7.12</v>
      </c>
      <c r="N4458" s="241" t="n">
        <v>39.43</v>
      </c>
      <c r="O4458" s="241" t="n">
        <v>64.43000000000001</v>
      </c>
      <c r="P4458" s="241" t="n">
        <v>1.67</v>
      </c>
    </row>
    <row r="4459">
      <c r="A4459" s="282" t="inlineStr">
        <is>
          <t>2024-05-10</t>
        </is>
      </c>
      <c r="B4459" s="240">
        <f>IFERROR(1/P4459-1,B4458)</f>
        <v/>
      </c>
      <c r="C4459" s="240">
        <f>$C$3</f>
        <v/>
      </c>
      <c r="D4459" s="240">
        <f>$D$3</f>
        <v/>
      </c>
      <c r="E4459" s="240">
        <f>$E$3</f>
        <v/>
      </c>
      <c r="F4459" s="241" t="n">
        <v>18.07</v>
      </c>
      <c r="G4459" s="242" t="n">
        <v>26821250</v>
      </c>
      <c r="H4459" s="241" t="n">
        <v>1.4</v>
      </c>
      <c r="I4459" s="241" t="n">
        <v>15.39</v>
      </c>
      <c r="J4459" s="241" t="n">
        <v>23.6</v>
      </c>
      <c r="K4459" s="241" t="n">
        <v>10.98</v>
      </c>
      <c r="L4459" s="242" t="n">
        <v>9737600</v>
      </c>
      <c r="M4459" s="241" t="n">
        <v>2.9</v>
      </c>
      <c r="N4459" s="241" t="n">
        <v>40.14</v>
      </c>
      <c r="O4459" s="241" t="n">
        <v>69.19</v>
      </c>
      <c r="P4459" s="241" t="n">
        <v>1.65</v>
      </c>
    </row>
    <row r="4460">
      <c r="A4460" s="282" t="inlineStr">
        <is>
          <t>2024-05-13</t>
        </is>
      </c>
      <c r="B4460" s="240">
        <f>IFERROR(1/P4460-1,B4459)</f>
        <v/>
      </c>
      <c r="C4460" s="240">
        <f>$C$3</f>
        <v/>
      </c>
      <c r="D4460" s="240">
        <f>$D$3</f>
        <v/>
      </c>
      <c r="E4460" s="240">
        <f>$E$3</f>
        <v/>
      </c>
      <c r="F4460" s="241" t="n">
        <v>18.19</v>
      </c>
      <c r="G4460" s="242" t="n">
        <v>25357870</v>
      </c>
      <c r="H4460" s="241" t="n">
        <v>0.66</v>
      </c>
      <c r="I4460" s="241" t="n">
        <v>9.449999999999999</v>
      </c>
      <c r="J4460" s="241" t="n">
        <v>24.42</v>
      </c>
      <c r="K4460" s="241" t="n">
        <v>11.23</v>
      </c>
      <c r="L4460" s="242" t="n">
        <v>7388000</v>
      </c>
      <c r="M4460" s="241" t="n">
        <v>2.32</v>
      </c>
      <c r="N4460" s="241" t="n">
        <v>25.74</v>
      </c>
      <c r="O4460" s="241" t="n">
        <v>73.11</v>
      </c>
      <c r="P4460" s="241" t="n">
        <v>1.62</v>
      </c>
    </row>
    <row r="4461">
      <c r="A4461" s="282" t="inlineStr">
        <is>
          <t>2024-05-14</t>
        </is>
      </c>
      <c r="B4461" s="240">
        <f>IFERROR(1/P4461-1,B4460)</f>
        <v/>
      </c>
      <c r="C4461" s="240">
        <f>$C$3</f>
        <v/>
      </c>
      <c r="D4461" s="240">
        <f>$D$3</f>
        <v/>
      </c>
      <c r="E4461" s="240">
        <f>$E$3</f>
        <v/>
      </c>
      <c r="F4461" s="241" t="n">
        <v>17.85</v>
      </c>
      <c r="G4461" s="242" t="n">
        <v>25665366</v>
      </c>
      <c r="H4461" s="241" t="n">
        <v>-1.87</v>
      </c>
      <c r="I4461" s="241" t="n">
        <v>7.4</v>
      </c>
      <c r="J4461" s="241" t="n">
        <v>22.09</v>
      </c>
      <c r="K4461" s="241" t="n">
        <v>11.01</v>
      </c>
      <c r="L4461" s="242" t="n">
        <v>4270200</v>
      </c>
      <c r="M4461" s="241" t="n">
        <v>-2.1</v>
      </c>
      <c r="N4461" s="241" t="n">
        <v>23.09</v>
      </c>
      <c r="O4461" s="241" t="n">
        <v>69.47</v>
      </c>
      <c r="P4461" s="241" t="n">
        <v>1.62</v>
      </c>
    </row>
    <row r="4462">
      <c r="A4462" s="282" t="inlineStr">
        <is>
          <t>2024-05-15</t>
        </is>
      </c>
      <c r="B4462" s="240">
        <f>IFERROR(1/P4462-1,B4461)</f>
        <v/>
      </c>
      <c r="C4462" s="240">
        <f>$C$3</f>
        <v/>
      </c>
      <c r="D4462" s="240">
        <f>$D$3</f>
        <v/>
      </c>
      <c r="E4462" s="240">
        <f>$E$3</f>
        <v/>
      </c>
      <c r="F4462" s="241" t="n">
        <v>17.39</v>
      </c>
      <c r="G4462" s="242" t="n">
        <v>18125180</v>
      </c>
      <c r="H4462" s="241" t="n">
        <v>-2.58</v>
      </c>
      <c r="I4462" s="241" t="n">
        <v>4.63</v>
      </c>
      <c r="J4462" s="241" t="n">
        <v>18.95</v>
      </c>
      <c r="K4462" s="239" t="inlineStr">
        <is>
          <t>--</t>
        </is>
      </c>
      <c r="L4462" s="239" t="inlineStr">
        <is>
          <t>--</t>
        </is>
      </c>
      <c r="M4462" s="239" t="inlineStr">
        <is>
          <t>--</t>
        </is>
      </c>
      <c r="N4462" s="239" t="inlineStr">
        <is>
          <t>--</t>
        </is>
      </c>
      <c r="O4462" s="239" t="inlineStr">
        <is>
          <t>--</t>
        </is>
      </c>
      <c r="P4462" s="239" t="inlineStr">
        <is>
          <t>--</t>
        </is>
      </c>
    </row>
    <row r="4463">
      <c r="A4463" s="282" t="inlineStr">
        <is>
          <t>2024-05-16</t>
        </is>
      </c>
      <c r="B4463" s="240">
        <f>IFERROR(1/P4463-1,B4462)</f>
        <v/>
      </c>
      <c r="C4463" s="240">
        <f>$C$3</f>
        <v/>
      </c>
      <c r="D4463" s="240">
        <f>$D$3</f>
        <v/>
      </c>
      <c r="E4463" s="240">
        <f>$E$3</f>
        <v/>
      </c>
      <c r="F4463" s="241" t="n">
        <v>17.53</v>
      </c>
      <c r="G4463" s="242" t="n">
        <v>23555952</v>
      </c>
      <c r="H4463" s="241" t="n">
        <v>0.8100000000000001</v>
      </c>
      <c r="I4463" s="241" t="n">
        <v>1.51</v>
      </c>
      <c r="J4463" s="241" t="n">
        <v>19.9</v>
      </c>
      <c r="K4463" s="241" t="n">
        <v>10.81</v>
      </c>
      <c r="L4463" s="242" t="n">
        <v>3445500</v>
      </c>
      <c r="M4463" s="241" t="n">
        <v>-1.82</v>
      </c>
      <c r="N4463" s="241" t="n">
        <v>20.24</v>
      </c>
      <c r="O4463" s="241" t="n">
        <v>66.39</v>
      </c>
      <c r="P4463" s="241" t="n">
        <v>1.62</v>
      </c>
    </row>
    <row r="4464">
      <c r="A4464" s="282" t="inlineStr">
        <is>
          <t>2024-05-17</t>
        </is>
      </c>
      <c r="B4464" s="240">
        <f>IFERROR(1/P4464-1,B4463)</f>
        <v/>
      </c>
      <c r="C4464" s="240">
        <f>$C$3</f>
        <v/>
      </c>
      <c r="D4464" s="240">
        <f>$D$3</f>
        <v/>
      </c>
      <c r="E4464" s="240">
        <f>$E$3</f>
        <v/>
      </c>
      <c r="F4464" s="241" t="n">
        <v>17.68</v>
      </c>
      <c r="G4464" s="242" t="n">
        <v>17578329</v>
      </c>
      <c r="H4464" s="241" t="n">
        <v>0.86</v>
      </c>
      <c r="I4464" s="241" t="n">
        <v>3.03</v>
      </c>
      <c r="J4464" s="241" t="n">
        <v>20.93</v>
      </c>
      <c r="K4464" s="241" t="n">
        <v>11.09</v>
      </c>
      <c r="L4464" s="242" t="n">
        <v>4080341</v>
      </c>
      <c r="M4464" s="241" t="n">
        <v>2.53</v>
      </c>
      <c r="N4464" s="241" t="n">
        <v>23.28</v>
      </c>
      <c r="O4464" s="241" t="n">
        <v>70.59</v>
      </c>
      <c r="P4464" s="241" t="n">
        <v>1.59</v>
      </c>
    </row>
    <row r="4465">
      <c r="A4465" s="282" t="inlineStr">
        <is>
          <t>2024-05-20</t>
        </is>
      </c>
      <c r="B4465" s="240">
        <f>IFERROR(1/P4465-1,B4464)</f>
        <v/>
      </c>
      <c r="C4465" s="240">
        <f>$C$3</f>
        <v/>
      </c>
      <c r="D4465" s="240">
        <f>$D$3</f>
        <v/>
      </c>
      <c r="E4465" s="240">
        <f>$E$3</f>
        <v/>
      </c>
      <c r="F4465" s="241" t="n">
        <v>18.07</v>
      </c>
      <c r="G4465" s="242" t="n">
        <v>27421279</v>
      </c>
      <c r="H4465" s="241" t="n">
        <v>2.21</v>
      </c>
      <c r="I4465" s="241" t="n">
        <v>-0.99</v>
      </c>
      <c r="J4465" s="241" t="n">
        <v>23.6</v>
      </c>
      <c r="K4465" s="241" t="n">
        <v>11.29</v>
      </c>
      <c r="L4465" s="242" t="n">
        <v>2605200</v>
      </c>
      <c r="M4465" s="241" t="n">
        <v>1.81</v>
      </c>
      <c r="N4465" s="241" t="n">
        <v>13.97</v>
      </c>
      <c r="O4465" s="241" t="n">
        <v>73.67</v>
      </c>
      <c r="P4465" s="241" t="n">
        <v>1.6</v>
      </c>
    </row>
    <row r="4466">
      <c r="A4466" s="282" t="inlineStr">
        <is>
          <t>2024-05-21</t>
        </is>
      </c>
      <c r="B4466" s="240">
        <f>IFERROR(1/P4466-1,B4465)</f>
        <v/>
      </c>
      <c r="C4466" s="240">
        <f>$C$3</f>
        <v/>
      </c>
      <c r="D4466" s="240">
        <f>$D$3</f>
        <v/>
      </c>
      <c r="E4466" s="240">
        <f>$E$3</f>
        <v/>
      </c>
      <c r="F4466" s="241" t="n">
        <v>17.6</v>
      </c>
      <c r="G4466" s="242" t="n">
        <v>19249089</v>
      </c>
      <c r="H4466" s="241" t="n">
        <v>-2.6</v>
      </c>
      <c r="I4466" s="241" t="n">
        <v>-3.56</v>
      </c>
      <c r="J4466" s="241" t="n">
        <v>20.38</v>
      </c>
      <c r="K4466" s="241" t="n">
        <v>10.85</v>
      </c>
      <c r="L4466" s="242" t="n">
        <v>4212600</v>
      </c>
      <c r="M4466" s="241" t="n">
        <v>-4.03</v>
      </c>
      <c r="N4466" s="241" t="n">
        <v>9.380000000000001</v>
      </c>
      <c r="O4466" s="241" t="n">
        <v>66.67</v>
      </c>
      <c r="P4466" s="241" t="n">
        <v>1.62</v>
      </c>
    </row>
    <row r="4467">
      <c r="A4467" s="282" t="inlineStr">
        <is>
          <t>2024-05-22</t>
        </is>
      </c>
      <c r="B4467" s="240">
        <f>IFERROR(1/P4467-1,B4466)</f>
        <v/>
      </c>
      <c r="C4467" s="240">
        <f>$C$3</f>
        <v/>
      </c>
      <c r="D4467" s="240">
        <f>$D$3</f>
        <v/>
      </c>
      <c r="E4467" s="240">
        <f>$E$3</f>
        <v/>
      </c>
      <c r="F4467" s="241" t="n">
        <v>17.5</v>
      </c>
      <c r="G4467" s="242" t="n">
        <v>13707375</v>
      </c>
      <c r="H4467" s="241" t="n">
        <v>-0.57</v>
      </c>
      <c r="I4467" s="241" t="n">
        <v>-4.11</v>
      </c>
      <c r="J4467" s="241" t="n">
        <v>19.7</v>
      </c>
      <c r="K4467" s="241" t="n">
        <v>10.62</v>
      </c>
      <c r="L4467" s="242" t="n">
        <v>2039600</v>
      </c>
      <c r="M4467" s="241" t="n">
        <v>-2.02</v>
      </c>
      <c r="N4467" s="241" t="n">
        <v>7.17</v>
      </c>
      <c r="O4467" s="241" t="n">
        <v>63.31</v>
      </c>
      <c r="P4467" s="241" t="n">
        <v>1.65</v>
      </c>
    </row>
    <row r="4468">
      <c r="A4468" s="282" t="inlineStr">
        <is>
          <t>2024-05-23</t>
        </is>
      </c>
      <c r="B4468" s="240">
        <f>IFERROR(1/P4468-1,B4467)</f>
        <v/>
      </c>
      <c r="C4468" s="240">
        <f>$C$3</f>
        <v/>
      </c>
      <c r="D4468" s="240">
        <f>$D$3</f>
        <v/>
      </c>
      <c r="E4468" s="240">
        <f>$E$3</f>
        <v/>
      </c>
      <c r="F4468" s="241" t="n">
        <v>17.37</v>
      </c>
      <c r="G4468" s="242" t="n">
        <v>12574984</v>
      </c>
      <c r="H4468" s="241" t="n">
        <v>-0.74</v>
      </c>
      <c r="I4468" s="241" t="n">
        <v>-2.63</v>
      </c>
      <c r="J4468" s="241" t="n">
        <v>18.81</v>
      </c>
      <c r="K4468" s="241" t="n">
        <v>10.4</v>
      </c>
      <c r="L4468" s="242" t="n">
        <v>4279600</v>
      </c>
      <c r="M4468" s="241" t="n">
        <v>-2.06</v>
      </c>
      <c r="N4468" s="241" t="n">
        <v>6.33</v>
      </c>
      <c r="O4468" s="241" t="n">
        <v>59.94</v>
      </c>
      <c r="P4468" s="241" t="n">
        <v>1.67</v>
      </c>
    </row>
    <row r="4469">
      <c r="A4469" s="282" t="inlineStr">
        <is>
          <t>2024-05-24</t>
        </is>
      </c>
      <c r="B4469" s="240">
        <f>IFERROR(1/P4469-1,B4468)</f>
        <v/>
      </c>
      <c r="C4469" s="240">
        <f>$C$3</f>
        <v/>
      </c>
      <c r="D4469" s="240">
        <f>$D$3</f>
        <v/>
      </c>
      <c r="E4469" s="240">
        <f>$E$3</f>
        <v/>
      </c>
      <c r="F4469" s="241" t="n">
        <v>17.66</v>
      </c>
      <c r="G4469" s="242" t="n">
        <v>21036640</v>
      </c>
      <c r="H4469" s="241" t="n">
        <v>1.67</v>
      </c>
      <c r="I4469" s="241" t="n">
        <v>-0.28</v>
      </c>
      <c r="J4469" s="241" t="n">
        <v>20.79</v>
      </c>
      <c r="K4469" s="241" t="n">
        <v>10.85</v>
      </c>
      <c r="L4469" s="242" t="n">
        <v>5220500</v>
      </c>
      <c r="M4469" s="241" t="n">
        <v>4.38</v>
      </c>
      <c r="N4469" s="241" t="n">
        <v>10.58</v>
      </c>
      <c r="O4469" s="241" t="n">
        <v>66.95</v>
      </c>
      <c r="P4469" s="241" t="n">
        <v>1.63</v>
      </c>
    </row>
    <row r="4470">
      <c r="A4470" s="282" t="inlineStr">
        <is>
          <t>2024-05-27</t>
        </is>
      </c>
      <c r="B4470" s="240">
        <f>IFERROR(1/P4470-1,B4469)</f>
        <v/>
      </c>
      <c r="C4470" s="240">
        <f>$C$3</f>
        <v/>
      </c>
      <c r="D4470" s="240">
        <f>$D$3</f>
        <v/>
      </c>
      <c r="E4470" s="240">
        <f>$E$3</f>
        <v/>
      </c>
      <c r="F4470" s="241" t="n">
        <v>18.55</v>
      </c>
      <c r="G4470" s="242" t="n">
        <v>53308789</v>
      </c>
      <c r="H4470" s="241" t="n">
        <v>5.04</v>
      </c>
      <c r="I4470" s="241" t="n">
        <v>8.48</v>
      </c>
      <c r="J4470" s="241" t="n">
        <v>26.88</v>
      </c>
      <c r="K4470" s="241" t="n">
        <v>11.79</v>
      </c>
      <c r="L4470" s="242" t="n">
        <v>8766200</v>
      </c>
      <c r="M4470" s="241" t="n">
        <v>8.720000000000001</v>
      </c>
      <c r="N4470" s="241" t="n">
        <v>20.45</v>
      </c>
      <c r="O4470" s="241" t="n">
        <v>81.51000000000001</v>
      </c>
      <c r="P4470" s="241" t="n">
        <v>1.57</v>
      </c>
    </row>
    <row r="4471">
      <c r="A4471" s="282" t="inlineStr">
        <is>
          <t>2024-05-28</t>
        </is>
      </c>
      <c r="B4471" s="240">
        <f>IFERROR(1/P4471-1,B4470)</f>
        <v/>
      </c>
      <c r="C4471" s="240">
        <f>$C$3</f>
        <v/>
      </c>
      <c r="D4471" s="240">
        <f>$D$3</f>
        <v/>
      </c>
      <c r="E4471" s="240">
        <f>$E$3</f>
        <v/>
      </c>
      <c r="F4471" s="241" t="n">
        <v>18.58</v>
      </c>
      <c r="G4471" s="242" t="n">
        <v>38039229</v>
      </c>
      <c r="H4471" s="241" t="n">
        <v>0.16</v>
      </c>
      <c r="I4471" s="241" t="n">
        <v>8.65</v>
      </c>
      <c r="J4471" s="241" t="n">
        <v>27.09</v>
      </c>
      <c r="K4471" s="241" t="n">
        <v>12.1</v>
      </c>
      <c r="L4471" s="242" t="n">
        <v>8854300</v>
      </c>
      <c r="M4471" s="241" t="n">
        <v>2.47</v>
      </c>
      <c r="N4471" s="241" t="n">
        <v>23.42</v>
      </c>
      <c r="O4471" s="241" t="n">
        <v>85.98999999999999</v>
      </c>
      <c r="P4471" s="241" t="n">
        <v>1.54</v>
      </c>
    </row>
    <row r="4472">
      <c r="A4472" s="282" t="inlineStr">
        <is>
          <t>2024-05-29</t>
        </is>
      </c>
      <c r="B4472" s="240">
        <f>IFERROR(1/P4472-1,B4471)</f>
        <v/>
      </c>
      <c r="C4472" s="240">
        <f>$C$3</f>
        <v/>
      </c>
      <c r="D4472" s="240">
        <f>$D$3</f>
        <v/>
      </c>
      <c r="E4472" s="240">
        <f>$E$3</f>
        <v/>
      </c>
      <c r="F4472" s="241" t="n">
        <v>18.55</v>
      </c>
      <c r="G4472" s="242" t="n">
        <v>16532643</v>
      </c>
      <c r="H4472" s="241" t="n">
        <v>-0.16</v>
      </c>
      <c r="I4472" s="241" t="n">
        <v>8.48</v>
      </c>
      <c r="J4472" s="241" t="n">
        <v>26.88</v>
      </c>
      <c r="K4472" s="241" t="n">
        <v>11.72</v>
      </c>
      <c r="L4472" s="242" t="n">
        <v>4633601</v>
      </c>
      <c r="M4472" s="241" t="n">
        <v>-3.01</v>
      </c>
      <c r="N4472" s="241" t="n">
        <v>19.7</v>
      </c>
      <c r="O4472" s="241" t="n">
        <v>80.39</v>
      </c>
      <c r="P4472" s="241" t="n">
        <v>1.58</v>
      </c>
    </row>
    <row r="4473">
      <c r="A4473" s="282" t="inlineStr">
        <is>
          <t>2024-05-30</t>
        </is>
      </c>
      <c r="B4473" s="240">
        <f>IFERROR(1/P4473-1,B4472)</f>
        <v/>
      </c>
      <c r="C4473" s="240">
        <f>$C$3</f>
        <v/>
      </c>
      <c r="D4473" s="240">
        <f>$D$3</f>
        <v/>
      </c>
      <c r="E4473" s="240">
        <f>$E$3</f>
        <v/>
      </c>
      <c r="F4473" s="241" t="n">
        <v>18.58</v>
      </c>
      <c r="G4473" s="242" t="n">
        <v>30120461</v>
      </c>
      <c r="H4473" s="241" t="n">
        <v>0.16</v>
      </c>
      <c r="I4473" s="241" t="n">
        <v>7.9</v>
      </c>
      <c r="J4473" s="241" t="n">
        <v>27.09</v>
      </c>
      <c r="K4473" s="241" t="n">
        <v>11.72</v>
      </c>
      <c r="L4473" s="242" t="n">
        <v>4522200</v>
      </c>
      <c r="M4473" s="241" t="n">
        <v>0</v>
      </c>
      <c r="N4473" s="241" t="n">
        <v>21.74</v>
      </c>
      <c r="O4473" s="241" t="n">
        <v>80.39</v>
      </c>
      <c r="P4473" s="241" t="n">
        <v>1.58</v>
      </c>
    </row>
    <row r="4474">
      <c r="A4474" s="282" t="inlineStr">
        <is>
          <t>2024-05-31</t>
        </is>
      </c>
      <c r="B4474" s="240">
        <f>IFERROR(1/P4474-1,B4473)</f>
        <v/>
      </c>
      <c r="C4474" s="240">
        <f>$C$3</f>
        <v/>
      </c>
      <c r="D4474" s="240">
        <f>$D$3</f>
        <v/>
      </c>
      <c r="E4474" s="240">
        <f>$E$3</f>
        <v/>
      </c>
      <c r="F4474" s="241" t="n">
        <v>18.38</v>
      </c>
      <c r="G4474" s="242" t="n">
        <v>15834400</v>
      </c>
      <c r="H4474" s="241" t="n">
        <v>-1.08</v>
      </c>
      <c r="I4474" s="241" t="n">
        <v>6.74</v>
      </c>
      <c r="J4474" s="241" t="n">
        <v>25.72</v>
      </c>
      <c r="K4474" s="241" t="n">
        <v>11.46</v>
      </c>
      <c r="L4474" s="242" t="n">
        <v>3363000</v>
      </c>
      <c r="M4474" s="241" t="n">
        <v>-2.17</v>
      </c>
      <c r="N4474" s="241" t="n">
        <v>19.09</v>
      </c>
      <c r="O4474" s="241" t="n">
        <v>76.47</v>
      </c>
      <c r="P4474" s="241" t="n">
        <v>1.6</v>
      </c>
    </row>
    <row r="4475">
      <c r="A4475" s="282" t="inlineStr">
        <is>
          <t>2024-06-03</t>
        </is>
      </c>
      <c r="B4475" s="240">
        <f>IFERROR(1/P4475-1,B4474)</f>
        <v/>
      </c>
      <c r="C4475" s="240">
        <f>$C$3</f>
        <v/>
      </c>
      <c r="D4475" s="240">
        <f>$D$3</f>
        <v/>
      </c>
      <c r="E4475" s="240">
        <f>$E$3</f>
        <v/>
      </c>
      <c r="F4475" s="241" t="n">
        <v>18.36</v>
      </c>
      <c r="G4475" s="242" t="n">
        <v>21404096</v>
      </c>
      <c r="H4475" s="241" t="n">
        <v>-0.11</v>
      </c>
      <c r="I4475" s="241" t="n">
        <v>8.9</v>
      </c>
      <c r="J4475" s="241" t="n">
        <v>25.58</v>
      </c>
      <c r="K4475" s="241" t="n">
        <v>11.71</v>
      </c>
      <c r="L4475" s="242" t="n">
        <v>2047310</v>
      </c>
      <c r="M4475" s="241" t="n">
        <v>2.22</v>
      </c>
      <c r="N4475" s="241" t="n">
        <v>21.74</v>
      </c>
      <c r="O4475" s="241" t="n">
        <v>80.39</v>
      </c>
      <c r="P4475" s="241" t="n">
        <v>1.57</v>
      </c>
    </row>
    <row r="4476">
      <c r="A4476" s="282" t="inlineStr">
        <is>
          <t>2024-06-04</t>
        </is>
      </c>
      <c r="B4476" s="240">
        <f>IFERROR(1/P4476-1,B4475)</f>
        <v/>
      </c>
      <c r="C4476" s="240">
        <f>$C$3</f>
        <v/>
      </c>
      <c r="D4476" s="240">
        <f>$D$3</f>
        <v/>
      </c>
      <c r="E4476" s="240">
        <f>$E$3</f>
        <v/>
      </c>
      <c r="F4476" s="241" t="n">
        <v>19.05</v>
      </c>
      <c r="G4476" s="242" t="n">
        <v>34912916</v>
      </c>
      <c r="H4476" s="241" t="n">
        <v>3.76</v>
      </c>
      <c r="I4476" s="241" t="n">
        <v>12.99</v>
      </c>
      <c r="J4476" s="241" t="n">
        <v>30.3</v>
      </c>
      <c r="K4476" s="241" t="n">
        <v>12.16</v>
      </c>
      <c r="L4476" s="242" t="n">
        <v>3687200</v>
      </c>
      <c r="M4476" s="241" t="n">
        <v>3.88</v>
      </c>
      <c r="N4476" s="241" t="n">
        <v>26.7</v>
      </c>
      <c r="O4476" s="241" t="n">
        <v>87.39</v>
      </c>
      <c r="P4476" s="241" t="n">
        <v>1.57</v>
      </c>
    </row>
    <row r="4477">
      <c r="A4477" s="282" t="inlineStr">
        <is>
          <t>2024-06-05</t>
        </is>
      </c>
      <c r="B4477" s="240">
        <f>IFERROR(1/P4477-1,B4476)</f>
        <v/>
      </c>
      <c r="C4477" s="240">
        <f>$C$3</f>
        <v/>
      </c>
      <c r="D4477" s="240">
        <f>$D$3</f>
        <v/>
      </c>
      <c r="E4477" s="240">
        <f>$E$3</f>
        <v/>
      </c>
      <c r="F4477" s="241" t="n">
        <v>18.58</v>
      </c>
      <c r="G4477" s="242" t="n">
        <v>20909487</v>
      </c>
      <c r="H4477" s="241" t="n">
        <v>-2.47</v>
      </c>
      <c r="I4477" s="241" t="n">
        <v>10.2</v>
      </c>
      <c r="J4477" s="241" t="n">
        <v>27.09</v>
      </c>
      <c r="K4477" s="241" t="n">
        <v>11.52</v>
      </c>
      <c r="L4477" s="242" t="n">
        <v>4834694</v>
      </c>
      <c r="M4477" s="241" t="n">
        <v>-5.38</v>
      </c>
      <c r="N4477" s="241" t="n">
        <v>19.89</v>
      </c>
      <c r="O4477" s="241" t="n">
        <v>77.31</v>
      </c>
      <c r="P4477" s="241" t="n">
        <v>1.61</v>
      </c>
    </row>
    <row r="4478">
      <c r="A4478" s="282" t="inlineStr">
        <is>
          <t>2024-06-06</t>
        </is>
      </c>
      <c r="B4478" s="240">
        <f>IFERROR(1/P4478-1,B4477)</f>
        <v/>
      </c>
      <c r="C4478" s="240">
        <f>$C$3</f>
        <v/>
      </c>
      <c r="D4478" s="240">
        <f>$D$3</f>
        <v/>
      </c>
      <c r="E4478" s="240">
        <f>$E$3</f>
        <v/>
      </c>
      <c r="F4478" s="241" t="n">
        <v>18.75</v>
      </c>
      <c r="G4478" s="242" t="n">
        <v>23665201</v>
      </c>
      <c r="H4478" s="241" t="n">
        <v>0.92</v>
      </c>
      <c r="I4478" s="241" t="n">
        <v>11.21</v>
      </c>
      <c r="J4478" s="241" t="n">
        <v>28.25</v>
      </c>
      <c r="K4478" s="241" t="n">
        <v>11.71</v>
      </c>
      <c r="L4478" s="242" t="n">
        <v>3925468</v>
      </c>
      <c r="M4478" s="241" t="n">
        <v>1.58</v>
      </c>
      <c r="N4478" s="241" t="n">
        <v>21.78</v>
      </c>
      <c r="O4478" s="241" t="n">
        <v>80.11</v>
      </c>
      <c r="P4478" s="241" t="n">
        <v>1.6</v>
      </c>
    </row>
    <row r="4479">
      <c r="A4479" s="282" t="inlineStr">
        <is>
          <t>2024-06-07</t>
        </is>
      </c>
      <c r="B4479" s="240">
        <f>IFERROR(1/P4479-1,B4478)</f>
        <v/>
      </c>
      <c r="C4479" s="240">
        <f>$C$3</f>
        <v/>
      </c>
      <c r="D4479" s="240">
        <f>$D$3</f>
        <v/>
      </c>
      <c r="E4479" s="240">
        <f>$E$3</f>
        <v/>
      </c>
      <c r="F4479" s="241" t="n">
        <v>18.52</v>
      </c>
      <c r="G4479" s="242" t="n">
        <v>21900040</v>
      </c>
      <c r="H4479" s="241" t="n">
        <v>-1.23</v>
      </c>
      <c r="I4479" s="241" t="n">
        <v>6.62</v>
      </c>
      <c r="J4479" s="241" t="n">
        <v>26.68</v>
      </c>
      <c r="K4479" s="241" t="n">
        <v>11.89</v>
      </c>
      <c r="L4479" s="242" t="n">
        <v>3726800</v>
      </c>
      <c r="M4479" s="241" t="n">
        <v>1.56</v>
      </c>
      <c r="N4479" s="241" t="n">
        <v>18.51</v>
      </c>
      <c r="O4479" s="241" t="n">
        <v>82.91</v>
      </c>
      <c r="P4479" s="241" t="n">
        <v>1.56</v>
      </c>
    </row>
    <row r="4480">
      <c r="A4480" s="282" t="inlineStr">
        <is>
          <t>2024-06-11</t>
        </is>
      </c>
      <c r="B4480" s="240">
        <f>IFERROR(1/P4480-1,B4479)</f>
        <v/>
      </c>
      <c r="C4480" s="240">
        <f>$C$3</f>
        <v/>
      </c>
      <c r="D4480" s="240">
        <f>$D$3</f>
        <v/>
      </c>
      <c r="E4480" s="240">
        <f>$E$3</f>
        <v/>
      </c>
      <c r="F4480" s="241" t="n">
        <v>18.28</v>
      </c>
      <c r="G4480" s="242" t="n">
        <v>21386311</v>
      </c>
      <c r="H4480" s="241" t="n">
        <v>-1.3</v>
      </c>
      <c r="I4480" s="241" t="n">
        <v>1.16</v>
      </c>
      <c r="J4480" s="241" t="n">
        <v>25.03</v>
      </c>
      <c r="K4480" s="241" t="n">
        <v>11.31</v>
      </c>
      <c r="L4480" s="242" t="n">
        <v>5212600</v>
      </c>
      <c r="M4480" s="241" t="n">
        <v>-4.9</v>
      </c>
      <c r="N4480" s="241" t="n">
        <v>2.81</v>
      </c>
      <c r="O4480" s="241" t="n">
        <v>73.95</v>
      </c>
      <c r="P4480" s="241" t="n">
        <v>1.62</v>
      </c>
    </row>
    <row r="4481">
      <c r="A4481" s="282" t="inlineStr">
        <is>
          <t>2024-06-12</t>
        </is>
      </c>
      <c r="B4481" s="240">
        <f>IFERROR(1/P4481-1,B4480)</f>
        <v/>
      </c>
      <c r="C4481" s="240">
        <f>$C$3</f>
        <v/>
      </c>
      <c r="D4481" s="240">
        <f>$D$3</f>
        <v/>
      </c>
      <c r="E4481" s="240">
        <f>$E$3</f>
        <v/>
      </c>
      <c r="F4481" s="241" t="n">
        <v>18.39</v>
      </c>
      <c r="G4481" s="242" t="n">
        <v>13524929</v>
      </c>
      <c r="H4481" s="241" t="n">
        <v>0.6</v>
      </c>
      <c r="I4481" s="241" t="n">
        <v>1.77</v>
      </c>
      <c r="J4481" s="241" t="n">
        <v>25.79</v>
      </c>
      <c r="K4481" s="241" t="n">
        <v>11.49</v>
      </c>
      <c r="L4481" s="242" t="n">
        <v>2705900</v>
      </c>
      <c r="M4481" s="241" t="n">
        <v>1.61</v>
      </c>
      <c r="N4481" s="241" t="n">
        <v>4.47</v>
      </c>
      <c r="O4481" s="241" t="n">
        <v>76.75</v>
      </c>
      <c r="P4481" s="241" t="n">
        <v>1.6</v>
      </c>
    </row>
    <row r="4482">
      <c r="A4482" s="282" t="inlineStr">
        <is>
          <t>2024-06-13</t>
        </is>
      </c>
      <c r="B4482" s="240">
        <f>IFERROR(1/P4482-1,B4481)</f>
        <v/>
      </c>
      <c r="C4482" s="240">
        <f>$C$3</f>
        <v/>
      </c>
      <c r="D4482" s="240">
        <f>$D$3</f>
        <v/>
      </c>
      <c r="E4482" s="240">
        <f>$E$3</f>
        <v/>
      </c>
      <c r="F4482" s="241" t="n">
        <v>18.18</v>
      </c>
      <c r="G4482" s="242" t="n">
        <v>19287347</v>
      </c>
      <c r="H4482" s="241" t="n">
        <v>-1.14</v>
      </c>
      <c r="I4482" s="241" t="n">
        <v>0.61</v>
      </c>
      <c r="J4482" s="241" t="n">
        <v>24.35</v>
      </c>
      <c r="K4482" s="241" t="n">
        <v>11.59</v>
      </c>
      <c r="L4482" s="242" t="n">
        <v>2346200</v>
      </c>
      <c r="M4482" s="241" t="n">
        <v>0.79</v>
      </c>
      <c r="N4482" s="241" t="n">
        <v>5.3</v>
      </c>
      <c r="O4482" s="241" t="n">
        <v>78.15000000000001</v>
      </c>
      <c r="P4482" s="241" t="n">
        <v>1.57</v>
      </c>
    </row>
    <row r="4483">
      <c r="A4483" s="282" t="inlineStr">
        <is>
          <t>2024-06-14</t>
        </is>
      </c>
      <c r="B4483" s="240">
        <f>IFERROR(1/P4483-1,B4482)</f>
        <v/>
      </c>
      <c r="C4483" s="240">
        <f>$C$3</f>
        <v/>
      </c>
      <c r="D4483" s="240">
        <f>$D$3</f>
        <v/>
      </c>
      <c r="E4483" s="240">
        <f>$E$3</f>
        <v/>
      </c>
      <c r="F4483" s="241" t="n">
        <v>18.04</v>
      </c>
      <c r="G4483" s="242" t="n">
        <v>19995544</v>
      </c>
      <c r="H4483" s="241" t="n">
        <v>-0.77</v>
      </c>
      <c r="I4483" s="241" t="n">
        <v>-0.82</v>
      </c>
      <c r="J4483" s="241" t="n">
        <v>23.39</v>
      </c>
      <c r="K4483" s="241" t="n">
        <v>11.66</v>
      </c>
      <c r="L4483" s="242" t="n">
        <v>2861200</v>
      </c>
      <c r="M4483" s="241" t="n">
        <v>0.63</v>
      </c>
      <c r="N4483" s="241" t="n">
        <v>3.56</v>
      </c>
      <c r="O4483" s="241" t="n">
        <v>79.27</v>
      </c>
      <c r="P4483" s="241" t="n">
        <v>1.55</v>
      </c>
    </row>
    <row r="4484">
      <c r="A4484" s="282" t="inlineStr">
        <is>
          <t>2024-06-17</t>
        </is>
      </c>
      <c r="B4484" s="240">
        <f>IFERROR(1/P4484-1,B4483)</f>
        <v/>
      </c>
      <c r="C4484" s="240">
        <f>$C$3</f>
        <v/>
      </c>
      <c r="D4484" s="240">
        <f>$D$3</f>
        <v/>
      </c>
      <c r="E4484" s="240">
        <f>$E$3</f>
        <v/>
      </c>
      <c r="F4484" s="241" t="n">
        <v>18.36</v>
      </c>
      <c r="G4484" s="242" t="n">
        <v>24780136</v>
      </c>
      <c r="H4484" s="241" t="n">
        <v>1.77</v>
      </c>
      <c r="I4484" s="241" t="n">
        <v>4.73</v>
      </c>
      <c r="J4484" s="241" t="n">
        <v>25.58</v>
      </c>
      <c r="K4484" s="241" t="n">
        <v>11.62</v>
      </c>
      <c r="L4484" s="242" t="n">
        <v>3232200</v>
      </c>
      <c r="M4484" s="241" t="n">
        <v>-0.31</v>
      </c>
      <c r="N4484" s="241" t="n">
        <v>7.41</v>
      </c>
      <c r="O4484" s="241" t="n">
        <v>78.70999999999999</v>
      </c>
      <c r="P4484" s="241" t="n">
        <v>1.58</v>
      </c>
    </row>
    <row r="4485">
      <c r="A4485" s="282" t="inlineStr">
        <is>
          <t>2024-06-18</t>
        </is>
      </c>
      <c r="B4485" s="240">
        <f>IFERROR(1/P4485-1,B4484)</f>
        <v/>
      </c>
      <c r="C4485" s="240">
        <f>$C$3</f>
        <v/>
      </c>
      <c r="D4485" s="240">
        <f>$D$3</f>
        <v/>
      </c>
      <c r="E4485" s="240">
        <f>$E$3</f>
        <v/>
      </c>
      <c r="F4485" s="241" t="n">
        <v>18.63</v>
      </c>
      <c r="G4485" s="242" t="n">
        <v>14114099</v>
      </c>
      <c r="H4485" s="241" t="n">
        <v>1.47</v>
      </c>
      <c r="I4485" s="241" t="n">
        <v>5.37</v>
      </c>
      <c r="J4485" s="241" t="n">
        <v>27.43</v>
      </c>
      <c r="K4485" s="241" t="n">
        <v>11.93</v>
      </c>
      <c r="L4485" s="242" t="n">
        <v>2460000</v>
      </c>
      <c r="M4485" s="241" t="n">
        <v>2.66</v>
      </c>
      <c r="N4485" s="241" t="n">
        <v>7.55</v>
      </c>
      <c r="O4485" s="241" t="n">
        <v>83.47</v>
      </c>
      <c r="P4485" s="241" t="n">
        <v>1.56</v>
      </c>
    </row>
    <row r="4486">
      <c r="A4486" s="282" t="inlineStr">
        <is>
          <t>2024-06-19</t>
        </is>
      </c>
      <c r="B4486" s="240">
        <f>IFERROR(1/P4486-1,B4485)</f>
        <v/>
      </c>
      <c r="C4486" s="240">
        <f>$C$3</f>
        <v/>
      </c>
      <c r="D4486" s="240">
        <f>$D$3</f>
        <v/>
      </c>
      <c r="E4486" s="240">
        <f>$E$3</f>
        <v/>
      </c>
      <c r="F4486" s="241" t="n">
        <v>18.19</v>
      </c>
      <c r="G4486" s="242" t="n">
        <v>15395140</v>
      </c>
      <c r="H4486" s="241" t="n">
        <v>-2.36</v>
      </c>
      <c r="I4486" s="241" t="n">
        <v>2.88</v>
      </c>
      <c r="J4486" s="241" t="n">
        <v>24.42</v>
      </c>
      <c r="K4486" s="241" t="n">
        <v>11.92</v>
      </c>
      <c r="L4486" s="242" t="n">
        <v>1871402</v>
      </c>
      <c r="M4486" s="241" t="n">
        <v>-0.15</v>
      </c>
      <c r="N4486" s="241" t="n">
        <v>7.39</v>
      </c>
      <c r="O4486" s="241" t="n">
        <v>83.19</v>
      </c>
      <c r="P4486" s="241" t="n">
        <v>1.53</v>
      </c>
    </row>
    <row r="4487">
      <c r="A4487" s="282" t="inlineStr">
        <is>
          <t>2024-06-20</t>
        </is>
      </c>
      <c r="B4487" s="240">
        <f>IFERROR(1/P4487-1,B4486)</f>
        <v/>
      </c>
      <c r="C4487" s="240">
        <f>$C$3</f>
        <v/>
      </c>
      <c r="D4487" s="240">
        <f>$D$3</f>
        <v/>
      </c>
      <c r="E4487" s="240">
        <f>$E$3</f>
        <v/>
      </c>
      <c r="F4487" s="241" t="n">
        <v>18.21</v>
      </c>
      <c r="G4487" s="242" t="n">
        <v>11703109</v>
      </c>
      <c r="H4487" s="241" t="n">
        <v>0.11</v>
      </c>
      <c r="I4487" s="241" t="n">
        <v>3</v>
      </c>
      <c r="J4487" s="241" t="n">
        <v>24.56</v>
      </c>
      <c r="K4487" s="241" t="n">
        <v>11.82</v>
      </c>
      <c r="L4487" s="242" t="n">
        <v>1593600</v>
      </c>
      <c r="M4487" s="241" t="n">
        <v>-0.92</v>
      </c>
      <c r="N4487" s="241" t="n">
        <v>6.4</v>
      </c>
      <c r="O4487" s="241" t="n">
        <v>81.51000000000001</v>
      </c>
      <c r="P4487" s="241" t="n">
        <v>1.54</v>
      </c>
    </row>
    <row r="4488">
      <c r="A4488" s="282" t="inlineStr">
        <is>
          <t>2024-06-21</t>
        </is>
      </c>
      <c r="B4488" s="240">
        <f>IFERROR(1/P4488-1,B4487)</f>
        <v/>
      </c>
      <c r="C4488" s="240">
        <f>$C$3</f>
        <v/>
      </c>
      <c r="D4488" s="240">
        <f>$D$3</f>
        <v/>
      </c>
      <c r="E4488" s="240">
        <f>$E$3</f>
        <v/>
      </c>
      <c r="F4488" s="241" t="n">
        <v>18.28</v>
      </c>
      <c r="G4488" s="242" t="n">
        <v>13729230</v>
      </c>
      <c r="H4488" s="241" t="n">
        <v>0.38</v>
      </c>
      <c r="I4488" s="241" t="n">
        <v>1.16</v>
      </c>
      <c r="J4488" s="241" t="n">
        <v>25.03</v>
      </c>
      <c r="K4488" s="241" t="n">
        <v>11.86</v>
      </c>
      <c r="L4488" s="242" t="n">
        <v>5033200</v>
      </c>
      <c r="M4488" s="241" t="n">
        <v>0.31</v>
      </c>
      <c r="N4488" s="241" t="n">
        <v>4.84</v>
      </c>
      <c r="O4488" s="241" t="n">
        <v>82.06999999999999</v>
      </c>
      <c r="P4488" s="241" t="n">
        <v>1.54</v>
      </c>
    </row>
    <row r="4489">
      <c r="A4489" s="282" t="inlineStr">
        <is>
          <t>2024-06-24</t>
        </is>
      </c>
      <c r="B4489" s="240">
        <f>IFERROR(1/P4489-1,B4488)</f>
        <v/>
      </c>
      <c r="C4489" s="240">
        <f>$C$3</f>
        <v/>
      </c>
      <c r="D4489" s="240">
        <f>$D$3</f>
        <v/>
      </c>
      <c r="E4489" s="240">
        <f>$E$3</f>
        <v/>
      </c>
      <c r="F4489" s="241" t="n">
        <v>17.96</v>
      </c>
      <c r="G4489" s="242" t="n">
        <v>19037302</v>
      </c>
      <c r="H4489" s="241" t="n">
        <v>-1.75</v>
      </c>
      <c r="I4489" s="241" t="n">
        <v>3.4</v>
      </c>
      <c r="J4489" s="241" t="n">
        <v>22.85</v>
      </c>
      <c r="K4489" s="241" t="n">
        <v>11.64</v>
      </c>
      <c r="L4489" s="242" t="n">
        <v>3709796</v>
      </c>
      <c r="M4489" s="241" t="n">
        <v>-1.85</v>
      </c>
      <c r="N4489" s="241" t="n">
        <v>11.73</v>
      </c>
      <c r="O4489" s="241" t="n">
        <v>78.70999999999999</v>
      </c>
      <c r="P4489" s="241" t="n">
        <v>1.54</v>
      </c>
    </row>
    <row r="4490">
      <c r="A4490" s="282" t="inlineStr">
        <is>
          <t>2024-06-25</t>
        </is>
      </c>
      <c r="B4490" s="240">
        <f>IFERROR(1/P4490-1,B4489)</f>
        <v/>
      </c>
      <c r="C4490" s="240">
        <f>$C$3</f>
        <v/>
      </c>
      <c r="D4490" s="240">
        <f>$D$3</f>
        <v/>
      </c>
      <c r="E4490" s="240">
        <f>$E$3</f>
        <v/>
      </c>
      <c r="F4490" s="241" t="n">
        <v>18.09</v>
      </c>
      <c r="G4490" s="242" t="n">
        <v>14327074</v>
      </c>
      <c r="H4490" s="241" t="n">
        <v>0.72</v>
      </c>
      <c r="I4490" s="241" t="n">
        <v>2.43</v>
      </c>
      <c r="J4490" s="241" t="n">
        <v>23.73</v>
      </c>
      <c r="K4490" s="241" t="n">
        <v>11.59</v>
      </c>
      <c r="L4490" s="242" t="n">
        <v>3420022</v>
      </c>
      <c r="M4490" s="241" t="n">
        <v>-0.47</v>
      </c>
      <c r="N4490" s="241" t="n">
        <v>6.54</v>
      </c>
      <c r="O4490" s="241" t="n">
        <v>77.87</v>
      </c>
      <c r="P4490" s="241" t="n">
        <v>1.56</v>
      </c>
    </row>
    <row r="4491">
      <c r="A4491" s="282" t="inlineStr">
        <is>
          <t>2024-06-26</t>
        </is>
      </c>
      <c r="B4491" s="240">
        <f>IFERROR(1/P4491-1,B4490)</f>
        <v/>
      </c>
      <c r="C4491" s="240">
        <f>$C$3</f>
        <v/>
      </c>
      <c r="D4491" s="240">
        <f>$D$3</f>
        <v/>
      </c>
      <c r="E4491" s="240">
        <f>$E$3</f>
        <v/>
      </c>
      <c r="F4491" s="241" t="n">
        <v>17.83</v>
      </c>
      <c r="G4491" s="242" t="n">
        <v>17820935</v>
      </c>
      <c r="H4491" s="241" t="n">
        <v>-1.44</v>
      </c>
      <c r="I4491" s="241" t="n">
        <v>0.96</v>
      </c>
      <c r="J4491" s="241" t="n">
        <v>21.96</v>
      </c>
      <c r="K4491" s="241" t="n">
        <v>11.09</v>
      </c>
      <c r="L4491" s="242" t="n">
        <v>3939042</v>
      </c>
      <c r="M4491" s="241" t="n">
        <v>-4.25</v>
      </c>
      <c r="N4491" s="241" t="n">
        <v>2.01</v>
      </c>
      <c r="O4491" s="241" t="n">
        <v>70.31</v>
      </c>
      <c r="P4491" s="241" t="n">
        <v>1.61</v>
      </c>
    </row>
    <row r="4492">
      <c r="A4492" s="282" t="inlineStr">
        <is>
          <t>2024-06-27</t>
        </is>
      </c>
      <c r="B4492" s="240">
        <f>IFERROR(1/P4492-1,B4491)</f>
        <v/>
      </c>
      <c r="C4492" s="240">
        <f>$C$3</f>
        <v/>
      </c>
      <c r="D4492" s="240">
        <f>$D$3</f>
        <v/>
      </c>
      <c r="E4492" s="240">
        <f>$E$3</f>
        <v/>
      </c>
      <c r="F4492" s="241" t="n">
        <v>17.63</v>
      </c>
      <c r="G4492" s="242" t="n">
        <v>12121351</v>
      </c>
      <c r="H4492" s="241" t="n">
        <v>-1.12</v>
      </c>
      <c r="I4492" s="241" t="n">
        <v>-0.17</v>
      </c>
      <c r="J4492" s="241" t="n">
        <v>20.59</v>
      </c>
      <c r="K4492" s="241" t="n">
        <v>10.82</v>
      </c>
      <c r="L4492" s="242" t="n">
        <v>2373400</v>
      </c>
      <c r="M4492" s="241" t="n">
        <v>-2.47</v>
      </c>
      <c r="N4492" s="241" t="n">
        <v>-0.5</v>
      </c>
      <c r="O4492" s="241" t="n">
        <v>66.11</v>
      </c>
      <c r="P4492" s="241" t="n">
        <v>1.63</v>
      </c>
    </row>
    <row r="4493">
      <c r="A4493" s="282" t="inlineStr">
        <is>
          <t>2024-06-28</t>
        </is>
      </c>
      <c r="B4493" s="240">
        <f>IFERROR(1/P4493-1,B4492)</f>
        <v/>
      </c>
      <c r="C4493" s="240">
        <f>$C$3</f>
        <v/>
      </c>
      <c r="D4493" s="240">
        <f>$D$3</f>
        <v/>
      </c>
      <c r="E4493" s="240">
        <f>$E$3</f>
        <v/>
      </c>
      <c r="F4493" s="241" t="n">
        <v>18.45</v>
      </c>
      <c r="G4493" s="242" t="n">
        <v>21015974</v>
      </c>
      <c r="H4493" s="241" t="n">
        <v>4.65</v>
      </c>
      <c r="I4493" s="241" t="n">
        <v>-0.54</v>
      </c>
      <c r="J4493" s="241" t="n">
        <v>26.2</v>
      </c>
      <c r="K4493" s="241" t="n">
        <v>11.35</v>
      </c>
      <c r="L4493" s="242" t="n">
        <v>3362600</v>
      </c>
      <c r="M4493" s="241" t="n">
        <v>4.89</v>
      </c>
      <c r="N4493" s="241" t="n">
        <v>-4.01</v>
      </c>
      <c r="O4493" s="241" t="n">
        <v>74.23</v>
      </c>
      <c r="P4493" s="241" t="n">
        <v>1.63</v>
      </c>
    </row>
    <row r="4494">
      <c r="A4494" s="282" t="inlineStr">
        <is>
          <t>2024-07-01</t>
        </is>
      </c>
      <c r="B4494" s="240">
        <f>IFERROR(1/P4494-1,B4493)</f>
        <v/>
      </c>
      <c r="C4494" s="240">
        <f>$C$3</f>
        <v/>
      </c>
      <c r="D4494" s="240">
        <f>$D$3</f>
        <v/>
      </c>
      <c r="E4494" s="240">
        <f>$E$3</f>
        <v/>
      </c>
      <c r="F4494" s="241" t="n">
        <v>18.01</v>
      </c>
      <c r="G4494" s="242" t="n">
        <v>19713311</v>
      </c>
      <c r="H4494" s="241" t="n">
        <v>-2.38</v>
      </c>
      <c r="I4494" s="241" t="n">
        <v>-2.01</v>
      </c>
      <c r="J4494" s="241" t="n">
        <v>23.19</v>
      </c>
      <c r="K4494" s="239" t="inlineStr">
        <is>
          <t>--</t>
        </is>
      </c>
      <c r="L4494" s="239" t="inlineStr">
        <is>
          <t>--</t>
        </is>
      </c>
      <c r="M4494" s="239" t="inlineStr">
        <is>
          <t>--</t>
        </is>
      </c>
      <c r="N4494" s="239" t="inlineStr">
        <is>
          <t>--</t>
        </is>
      </c>
      <c r="O4494" s="239" t="inlineStr">
        <is>
          <t>--</t>
        </is>
      </c>
      <c r="P4494" s="239" t="inlineStr">
        <is>
          <t>--</t>
        </is>
      </c>
    </row>
    <row r="4495">
      <c r="A4495" s="282" t="inlineStr">
        <is>
          <t>2024-07-02</t>
        </is>
      </c>
      <c r="B4495" s="240">
        <f>IFERROR(1/P4495-1,B4494)</f>
        <v/>
      </c>
      <c r="C4495" s="240">
        <f>$C$3</f>
        <v/>
      </c>
      <c r="D4495" s="240">
        <f>$D$3</f>
        <v/>
      </c>
      <c r="E4495" s="240">
        <f>$E$3</f>
        <v/>
      </c>
      <c r="F4495" s="241" t="n">
        <v>17.53</v>
      </c>
      <c r="G4495" s="242" t="n">
        <v>26570588</v>
      </c>
      <c r="H4495" s="241" t="n">
        <v>-2.67</v>
      </c>
      <c r="I4495" s="241" t="n">
        <v>-4.62</v>
      </c>
      <c r="J4495" s="241" t="n">
        <v>19.9</v>
      </c>
      <c r="K4495" s="241" t="n">
        <v>10.79</v>
      </c>
      <c r="L4495" s="242" t="n">
        <v>4431400</v>
      </c>
      <c r="M4495" s="241" t="n">
        <v>-4.98</v>
      </c>
      <c r="N4495" s="241" t="n">
        <v>-6.19</v>
      </c>
      <c r="O4495" s="241" t="n">
        <v>65.55</v>
      </c>
      <c r="P4495" s="241" t="n">
        <v>1.63</v>
      </c>
    </row>
    <row r="4496">
      <c r="A4496" s="282" t="inlineStr">
        <is>
          <t>2024-07-03</t>
        </is>
      </c>
      <c r="B4496" s="240">
        <f>IFERROR(1/P4496-1,B4495)</f>
        <v/>
      </c>
      <c r="C4496" s="240">
        <f>$C$3</f>
        <v/>
      </c>
      <c r="D4496" s="240">
        <f>$D$3</f>
        <v/>
      </c>
      <c r="E4496" s="240">
        <f>$E$3</f>
        <v/>
      </c>
      <c r="F4496" s="241" t="n">
        <v>17.12</v>
      </c>
      <c r="G4496" s="242" t="n">
        <v>16809721</v>
      </c>
      <c r="H4496" s="241" t="n">
        <v>-2.34</v>
      </c>
      <c r="I4496" s="241" t="n">
        <v>-6.86</v>
      </c>
      <c r="J4496" s="241" t="n">
        <v>17.1</v>
      </c>
      <c r="K4496" s="241" t="n">
        <v>10.19</v>
      </c>
      <c r="L4496" s="242" t="n">
        <v>4504500</v>
      </c>
      <c r="M4496" s="241" t="n">
        <v>-1.23</v>
      </c>
      <c r="N4496" s="241" t="n">
        <v>-7.34</v>
      </c>
      <c r="O4496" s="241" t="n">
        <v>63.51</v>
      </c>
      <c r="P4496" s="241" t="n">
        <v>1.68</v>
      </c>
    </row>
    <row r="4497">
      <c r="A4497" s="282" t="inlineStr">
        <is>
          <t>2024-07-04</t>
        </is>
      </c>
      <c r="B4497" s="240">
        <f>IFERROR(1/P4497-1,B4496)</f>
        <v/>
      </c>
      <c r="C4497" s="240">
        <f>$C$3</f>
        <v/>
      </c>
      <c r="D4497" s="240">
        <f>$D$3</f>
        <v/>
      </c>
      <c r="E4497" s="240">
        <f>$E$3</f>
        <v/>
      </c>
      <c r="F4497" s="241" t="n">
        <v>17.13</v>
      </c>
      <c r="G4497" s="242" t="n">
        <v>13500723</v>
      </c>
      <c r="H4497" s="241" t="n">
        <v>0.06</v>
      </c>
      <c r="I4497" s="241" t="n">
        <v>-6.7</v>
      </c>
      <c r="J4497" s="241" t="n">
        <v>17.17</v>
      </c>
      <c r="K4497" s="241" t="n">
        <v>10.39</v>
      </c>
      <c r="L4497" s="242" t="n">
        <v>1898600</v>
      </c>
      <c r="M4497" s="241" t="n">
        <v>1.97</v>
      </c>
      <c r="N4497" s="241" t="n">
        <v>-7.57</v>
      </c>
      <c r="O4497" s="241" t="n">
        <v>66.73</v>
      </c>
      <c r="P4497" s="241" t="n">
        <v>1.65</v>
      </c>
    </row>
    <row r="4498">
      <c r="A4498" s="282" t="inlineStr">
        <is>
          <t>2024-07-05</t>
        </is>
      </c>
      <c r="B4498" s="240">
        <f>IFERROR(1/P4498-1,B4497)</f>
        <v/>
      </c>
      <c r="C4498" s="240">
        <f>$C$3</f>
        <v/>
      </c>
      <c r="D4498" s="240">
        <f>$D$3</f>
        <v/>
      </c>
      <c r="E4498" s="240">
        <f>$E$3</f>
        <v/>
      </c>
      <c r="F4498" s="241" t="n">
        <v>17.05</v>
      </c>
      <c r="G4498" s="242" t="n">
        <v>16588795</v>
      </c>
      <c r="H4498" s="241" t="n">
        <v>-0.47</v>
      </c>
      <c r="I4498" s="241" t="n">
        <v>-10.5</v>
      </c>
      <c r="J4498" s="241" t="n">
        <v>16.62</v>
      </c>
      <c r="K4498" s="241" t="n">
        <v>10.28</v>
      </c>
      <c r="L4498" s="242" t="n">
        <v>1613200</v>
      </c>
      <c r="M4498" s="241" t="n">
        <v>-1.05</v>
      </c>
      <c r="N4498" s="241" t="n">
        <v>-11.96</v>
      </c>
      <c r="O4498" s="241" t="n">
        <v>64.97</v>
      </c>
      <c r="P4498" s="241" t="n">
        <v>1.66</v>
      </c>
    </row>
    <row r="4499">
      <c r="A4499" s="282" t="inlineStr">
        <is>
          <t>2024-07-08</t>
        </is>
      </c>
      <c r="B4499" s="240">
        <f>IFERROR(1/P4499-1,B4498)</f>
        <v/>
      </c>
      <c r="C4499" s="240">
        <f>$C$3</f>
        <v/>
      </c>
      <c r="D4499" s="240">
        <f>$D$3</f>
        <v/>
      </c>
      <c r="E4499" s="240">
        <f>$E$3</f>
        <v/>
      </c>
      <c r="F4499" s="241" t="n">
        <v>17.11</v>
      </c>
      <c r="G4499" s="242" t="n">
        <v>14600101</v>
      </c>
      <c r="H4499" s="241" t="n">
        <v>0.35</v>
      </c>
      <c r="I4499" s="241" t="n">
        <v>-7.61</v>
      </c>
      <c r="J4499" s="241" t="n">
        <v>17.03</v>
      </c>
      <c r="K4499" s="241" t="n">
        <v>10.24</v>
      </c>
      <c r="L4499" s="242" t="n">
        <v>1633800</v>
      </c>
      <c r="M4499" s="241" t="n">
        <v>-0.36</v>
      </c>
      <c r="N4499" s="241" t="n">
        <v>-10.13</v>
      </c>
      <c r="O4499" s="241" t="n">
        <v>64.39</v>
      </c>
      <c r="P4499" s="241" t="n">
        <v>1.67</v>
      </c>
    </row>
    <row r="4500">
      <c r="A4500" s="282" t="inlineStr">
        <is>
          <t>2024-07-09</t>
        </is>
      </c>
      <c r="B4500" s="240">
        <f>IFERROR(1/P4500-1,B4499)</f>
        <v/>
      </c>
      <c r="C4500" s="240">
        <f>$C$3</f>
        <v/>
      </c>
      <c r="D4500" s="240">
        <f>$D$3</f>
        <v/>
      </c>
      <c r="E4500" s="240">
        <f>$E$3</f>
        <v/>
      </c>
      <c r="F4500" s="241" t="n">
        <v>17.24</v>
      </c>
      <c r="G4500" s="242" t="n">
        <v>16766904</v>
      </c>
      <c r="H4500" s="241" t="n">
        <v>0.76</v>
      </c>
      <c r="I4500" s="241" t="n">
        <v>-6.91</v>
      </c>
      <c r="J4500" s="241" t="n">
        <v>17.92</v>
      </c>
      <c r="K4500" s="241" t="n">
        <v>10.45</v>
      </c>
      <c r="L4500" s="242" t="n">
        <v>3176400</v>
      </c>
      <c r="M4500" s="241" t="n">
        <v>1.96</v>
      </c>
      <c r="N4500" s="241" t="n">
        <v>-8.369999999999999</v>
      </c>
      <c r="O4500" s="241" t="n">
        <v>67.61</v>
      </c>
      <c r="P4500" s="241" t="n">
        <v>1.65</v>
      </c>
    </row>
    <row r="4501">
      <c r="A4501" s="282" t="inlineStr">
        <is>
          <t>2024-07-10</t>
        </is>
      </c>
      <c r="B4501" s="240">
        <f>IFERROR(1/P4501-1,B4500)</f>
        <v/>
      </c>
      <c r="C4501" s="240">
        <f>$C$3</f>
        <v/>
      </c>
      <c r="D4501" s="240">
        <f>$D$3</f>
        <v/>
      </c>
      <c r="E4501" s="240">
        <f>$E$3</f>
        <v/>
      </c>
      <c r="F4501" s="241" t="n">
        <v>16.25</v>
      </c>
      <c r="G4501" s="242" t="n">
        <v>40139930</v>
      </c>
      <c r="H4501" s="241" t="n">
        <v>-5.74</v>
      </c>
      <c r="I4501" s="241" t="n">
        <v>-12.26</v>
      </c>
      <c r="J4501" s="241" t="n">
        <v>11.15</v>
      </c>
      <c r="K4501" s="241" t="n">
        <v>9.66</v>
      </c>
      <c r="L4501" s="242" t="n">
        <v>8133800</v>
      </c>
      <c r="M4501" s="241" t="n">
        <v>-7.52</v>
      </c>
      <c r="N4501" s="241" t="n">
        <v>-15.25</v>
      </c>
      <c r="O4501" s="241" t="n">
        <v>55.01</v>
      </c>
      <c r="P4501" s="241" t="n">
        <v>1.68</v>
      </c>
    </row>
    <row r="4502">
      <c r="A4502" s="282" t="inlineStr">
        <is>
          <t>2024-07-11</t>
        </is>
      </c>
      <c r="B4502" s="240">
        <f>IFERROR(1/P4502-1,B4501)</f>
        <v/>
      </c>
      <c r="C4502" s="240">
        <f>$C$3</f>
        <v/>
      </c>
      <c r="D4502" s="240">
        <f>$D$3</f>
        <v/>
      </c>
      <c r="E4502" s="240">
        <f>$E$3</f>
        <v/>
      </c>
      <c r="F4502" s="241" t="n">
        <v>16.71</v>
      </c>
      <c r="G4502" s="242" t="n">
        <v>26858849</v>
      </c>
      <c r="H4502" s="241" t="n">
        <v>2.83</v>
      </c>
      <c r="I4502" s="241" t="n">
        <v>-9.77</v>
      </c>
      <c r="J4502" s="241" t="n">
        <v>14.3</v>
      </c>
      <c r="K4502" s="241" t="n">
        <v>10.07</v>
      </c>
      <c r="L4502" s="242" t="n">
        <v>4154800</v>
      </c>
      <c r="M4502" s="241" t="n">
        <v>4.16</v>
      </c>
      <c r="N4502" s="241" t="n">
        <v>-11.73</v>
      </c>
      <c r="O4502" s="241" t="n">
        <v>61.46</v>
      </c>
      <c r="P4502" s="241" t="n">
        <v>1.66</v>
      </c>
    </row>
    <row r="4503">
      <c r="A4503" s="282" t="inlineStr">
        <is>
          <t>2024-07-12</t>
        </is>
      </c>
      <c r="B4503" s="240">
        <f>IFERROR(1/P4503-1,B4502)</f>
        <v/>
      </c>
      <c r="C4503" s="240">
        <f>$C$3</f>
        <v/>
      </c>
      <c r="D4503" s="240">
        <f>$D$3</f>
        <v/>
      </c>
      <c r="E4503" s="240">
        <f>$E$3</f>
        <v/>
      </c>
      <c r="F4503" s="241" t="n">
        <v>16.65</v>
      </c>
      <c r="G4503" s="242" t="n">
        <v>16497742</v>
      </c>
      <c r="H4503" s="241" t="n">
        <v>-0.36</v>
      </c>
      <c r="I4503" s="241" t="n">
        <v>-8.92</v>
      </c>
      <c r="J4503" s="241" t="n">
        <v>13.89</v>
      </c>
      <c r="K4503" s="241" t="n">
        <v>9.92</v>
      </c>
      <c r="L4503" s="242" t="n">
        <v>3269562</v>
      </c>
      <c r="M4503" s="241" t="n">
        <v>-1.45</v>
      </c>
      <c r="N4503" s="241" t="n">
        <v>-8.529999999999999</v>
      </c>
      <c r="O4503" s="241" t="n">
        <v>59.11</v>
      </c>
      <c r="P4503" s="241" t="n">
        <v>1.68</v>
      </c>
    </row>
    <row r="4504">
      <c r="A4504" s="282" t="inlineStr">
        <is>
          <t>2024-07-15</t>
        </is>
      </c>
      <c r="B4504" s="240">
        <f>IFERROR(1/P4504-1,B4503)</f>
        <v/>
      </c>
      <c r="C4504" s="240">
        <f>$C$3</f>
        <v/>
      </c>
      <c r="D4504" s="240">
        <f>$D$3</f>
        <v/>
      </c>
      <c r="E4504" s="240">
        <f>$E$3</f>
        <v/>
      </c>
      <c r="F4504" s="241" t="n">
        <v>16.56</v>
      </c>
      <c r="G4504" s="242" t="n">
        <v>13767079</v>
      </c>
      <c r="H4504" s="241" t="n">
        <v>-0.54</v>
      </c>
      <c r="I4504" s="241" t="n">
        <v>-8.199999999999999</v>
      </c>
      <c r="J4504" s="241" t="n">
        <v>13.27</v>
      </c>
      <c r="K4504" s="241" t="n">
        <v>9.960000000000001</v>
      </c>
      <c r="L4504" s="242" t="n">
        <v>1565800</v>
      </c>
      <c r="M4504" s="241" t="n">
        <v>0.37</v>
      </c>
      <c r="N4504" s="241" t="n">
        <v>-10.92</v>
      </c>
      <c r="O4504" s="241" t="n">
        <v>59.7</v>
      </c>
      <c r="P4504" s="241" t="n">
        <v>1.66</v>
      </c>
    </row>
    <row r="4505">
      <c r="A4505" s="282" t="inlineStr">
        <is>
          <t>2024-07-16</t>
        </is>
      </c>
      <c r="B4505" s="240">
        <f>IFERROR(1/P4505-1,B4504)</f>
        <v/>
      </c>
      <c r="C4505" s="240">
        <f>$C$3</f>
        <v/>
      </c>
      <c r="D4505" s="240">
        <f>$D$3</f>
        <v/>
      </c>
      <c r="E4505" s="240">
        <f>$E$3</f>
        <v/>
      </c>
      <c r="F4505" s="241" t="n">
        <v>16.95</v>
      </c>
      <c r="G4505" s="242" t="n">
        <v>16677186</v>
      </c>
      <c r="H4505" s="241" t="n">
        <v>2.36</v>
      </c>
      <c r="I4505" s="241" t="n">
        <v>-6.04</v>
      </c>
      <c r="J4505" s="241" t="n">
        <v>15.94</v>
      </c>
      <c r="K4505" s="241" t="n">
        <v>10.07</v>
      </c>
      <c r="L4505" s="242" t="n">
        <v>2149800</v>
      </c>
      <c r="M4505" s="241" t="n">
        <v>1.1</v>
      </c>
      <c r="N4505" s="241" t="n">
        <v>-9.94</v>
      </c>
      <c r="O4505" s="241" t="n">
        <v>61.46</v>
      </c>
      <c r="P4505" s="241" t="n">
        <v>1.68</v>
      </c>
    </row>
    <row r="4506">
      <c r="A4506" s="282" t="inlineStr">
        <is>
          <t>2024-07-17</t>
        </is>
      </c>
      <c r="B4506" s="240">
        <f>IFERROR(1/P4506-1,B4505)</f>
        <v/>
      </c>
      <c r="C4506" s="240">
        <f>$C$3</f>
        <v/>
      </c>
      <c r="D4506" s="240">
        <f>$D$3</f>
        <v/>
      </c>
      <c r="E4506" s="240">
        <f>$E$3</f>
        <v/>
      </c>
      <c r="F4506" s="241" t="n">
        <v>16.52</v>
      </c>
      <c r="G4506" s="242" t="n">
        <v>14815733</v>
      </c>
      <c r="H4506" s="241" t="n">
        <v>-2.54</v>
      </c>
      <c r="I4506" s="241" t="n">
        <v>-8.43</v>
      </c>
      <c r="J4506" s="241" t="n">
        <v>13</v>
      </c>
      <c r="K4506" s="241" t="n">
        <v>9.59</v>
      </c>
      <c r="L4506" s="242" t="n">
        <v>4036600</v>
      </c>
      <c r="M4506" s="241" t="n">
        <v>-4.72</v>
      </c>
      <c r="N4506" s="241" t="n">
        <v>-14.19</v>
      </c>
      <c r="O4506" s="241" t="n">
        <v>53.84</v>
      </c>
      <c r="P4506" s="241" t="n">
        <v>1.72</v>
      </c>
    </row>
    <row r="4507">
      <c r="A4507" s="282" t="inlineStr">
        <is>
          <t>2024-07-18</t>
        </is>
      </c>
      <c r="B4507" s="240">
        <f>IFERROR(1/P4507-1,B4506)</f>
        <v/>
      </c>
      <c r="C4507" s="240">
        <f>$C$3</f>
        <v/>
      </c>
      <c r="D4507" s="240">
        <f>$D$3</f>
        <v/>
      </c>
      <c r="E4507" s="240">
        <f>$E$3</f>
        <v/>
      </c>
      <c r="F4507" s="241" t="n">
        <v>16.73</v>
      </c>
      <c r="G4507" s="242" t="n">
        <v>12091366</v>
      </c>
      <c r="H4507" s="241" t="n">
        <v>1.27</v>
      </c>
      <c r="I4507" s="241" t="n">
        <v>-8.880000000000001</v>
      </c>
      <c r="J4507" s="241" t="n">
        <v>14.43</v>
      </c>
      <c r="K4507" s="241" t="n">
        <v>9.699999999999999</v>
      </c>
      <c r="L4507" s="242" t="n">
        <v>915800</v>
      </c>
      <c r="M4507" s="241" t="n">
        <v>1.14</v>
      </c>
      <c r="N4507" s="241" t="n">
        <v>-12.93</v>
      </c>
      <c r="O4507" s="241" t="n">
        <v>55.6</v>
      </c>
      <c r="P4507" s="241" t="n">
        <v>1.73</v>
      </c>
    </row>
    <row r="4508">
      <c r="A4508" s="282" t="inlineStr">
        <is>
          <t>2024-07-19</t>
        </is>
      </c>
      <c r="B4508" s="240">
        <f>IFERROR(1/P4508-1,B4507)</f>
        <v/>
      </c>
      <c r="C4508" s="240">
        <f>$C$3</f>
        <v/>
      </c>
      <c r="D4508" s="240">
        <f>$D$3</f>
        <v/>
      </c>
      <c r="E4508" s="240">
        <f>$E$3</f>
        <v/>
      </c>
      <c r="F4508" s="241" t="n">
        <v>16.75</v>
      </c>
      <c r="G4508" s="242" t="n">
        <v>13908426</v>
      </c>
      <c r="H4508" s="241" t="n">
        <v>0.12</v>
      </c>
      <c r="I4508" s="241" t="n">
        <v>-10.09</v>
      </c>
      <c r="J4508" s="241" t="n">
        <v>14.57</v>
      </c>
      <c r="K4508" s="241" t="n">
        <v>9.609999999999999</v>
      </c>
      <c r="L4508" s="242" t="n">
        <v>1092000</v>
      </c>
      <c r="M4508" s="241" t="n">
        <v>-0.9399999999999999</v>
      </c>
      <c r="N4508" s="241" t="n">
        <v>-15.99</v>
      </c>
      <c r="O4508" s="241" t="n">
        <v>54.13</v>
      </c>
      <c r="P4508" s="241" t="n">
        <v>1.74</v>
      </c>
    </row>
    <row r="4509">
      <c r="A4509" s="282" t="inlineStr">
        <is>
          <t>2024-07-22</t>
        </is>
      </c>
      <c r="B4509" s="240">
        <f>IFERROR(1/P4509-1,B4508)</f>
        <v/>
      </c>
      <c r="C4509" s="240">
        <f>$C$3</f>
        <v/>
      </c>
      <c r="D4509" s="240">
        <f>$D$3</f>
        <v/>
      </c>
      <c r="E4509" s="240">
        <f>$E$3</f>
        <v/>
      </c>
      <c r="F4509" s="241" t="n">
        <v>16.73</v>
      </c>
      <c r="G4509" s="242" t="n">
        <v>15859743</v>
      </c>
      <c r="H4509" s="241" t="n">
        <v>-0.12</v>
      </c>
      <c r="I4509" s="241" t="n">
        <v>-8.48</v>
      </c>
      <c r="J4509" s="241" t="n">
        <v>14.43</v>
      </c>
      <c r="K4509" s="241" t="n">
        <v>9.59</v>
      </c>
      <c r="L4509" s="242" t="n">
        <v>1171600</v>
      </c>
      <c r="M4509" s="241" t="n">
        <v>-0.19</v>
      </c>
      <c r="N4509" s="241" t="n">
        <v>-15.51</v>
      </c>
      <c r="O4509" s="241" t="n">
        <v>53.84</v>
      </c>
      <c r="P4509" s="241" t="n">
        <v>1.74</v>
      </c>
    </row>
    <row r="4510">
      <c r="A4510" s="282" t="inlineStr">
        <is>
          <t>2024-07-23</t>
        </is>
      </c>
      <c r="B4510" s="240">
        <f>IFERROR(1/P4510-1,B4509)</f>
        <v/>
      </c>
      <c r="C4510" s="240">
        <f>$C$3</f>
        <v/>
      </c>
      <c r="D4510" s="240">
        <f>$D$3</f>
        <v/>
      </c>
      <c r="E4510" s="240">
        <f>$E$3</f>
        <v/>
      </c>
      <c r="F4510" s="241" t="n">
        <v>16.11</v>
      </c>
      <c r="G4510" s="242" t="n">
        <v>17312073</v>
      </c>
      <c r="H4510" s="241" t="n">
        <v>-3.71</v>
      </c>
      <c r="I4510" s="241" t="n">
        <v>-11.87</v>
      </c>
      <c r="J4510" s="241" t="n">
        <v>10.19</v>
      </c>
      <c r="K4510" s="241" t="n">
        <v>9.19</v>
      </c>
      <c r="L4510" s="242" t="n">
        <v>3392600</v>
      </c>
      <c r="M4510" s="241" t="n">
        <v>-4.19</v>
      </c>
      <c r="N4510" s="241" t="n">
        <v>-19.05</v>
      </c>
      <c r="O4510" s="241" t="n">
        <v>47.39</v>
      </c>
      <c r="P4510" s="241" t="n">
        <v>1.75</v>
      </c>
    </row>
    <row r="4511">
      <c r="A4511" s="282" t="inlineStr">
        <is>
          <t>2024-07-24</t>
        </is>
      </c>
      <c r="B4511" s="240">
        <f>IFERROR(1/P4511-1,B4510)</f>
        <v/>
      </c>
      <c r="C4511" s="240">
        <f>$C$3</f>
        <v/>
      </c>
      <c r="D4511" s="240">
        <f>$D$3</f>
        <v/>
      </c>
      <c r="E4511" s="240">
        <f>$E$3</f>
        <v/>
      </c>
      <c r="F4511" s="241" t="n">
        <v>16.23</v>
      </c>
      <c r="G4511" s="242" t="n">
        <v>13460644</v>
      </c>
      <c r="H4511" s="241" t="n">
        <v>0.74</v>
      </c>
      <c r="I4511" s="241" t="n">
        <v>-11.21</v>
      </c>
      <c r="J4511" s="241" t="n">
        <v>11.01</v>
      </c>
      <c r="K4511" s="241" t="n">
        <v>9.380000000000001</v>
      </c>
      <c r="L4511" s="242" t="n">
        <v>2006400</v>
      </c>
      <c r="M4511" s="241" t="n">
        <v>1.99</v>
      </c>
      <c r="N4511" s="241" t="n">
        <v>-17.44</v>
      </c>
      <c r="O4511" s="241" t="n">
        <v>50.32</v>
      </c>
      <c r="P4511" s="241" t="n">
        <v>1.73</v>
      </c>
    </row>
    <row r="4512">
      <c r="A4512" s="282" t="inlineStr">
        <is>
          <t>2024-07-25</t>
        </is>
      </c>
      <c r="B4512" s="240">
        <f>IFERROR(1/P4512-1,B4511)</f>
        <v/>
      </c>
      <c r="C4512" s="240">
        <f>$C$3</f>
        <v/>
      </c>
      <c r="D4512" s="240">
        <f>$D$3</f>
        <v/>
      </c>
      <c r="E4512" s="240">
        <f>$E$3</f>
        <v/>
      </c>
      <c r="F4512" s="241" t="n">
        <v>16.16</v>
      </c>
      <c r="G4512" s="242" t="n">
        <v>10873495</v>
      </c>
      <c r="H4512" s="241" t="n">
        <v>-0.43</v>
      </c>
      <c r="I4512" s="241" t="n">
        <v>-10.02</v>
      </c>
      <c r="J4512" s="241" t="n">
        <v>10.53</v>
      </c>
      <c r="K4512" s="241" t="n">
        <v>9.130000000000001</v>
      </c>
      <c r="L4512" s="242" t="n">
        <v>2174000</v>
      </c>
      <c r="M4512" s="241" t="n">
        <v>-2.53</v>
      </c>
      <c r="N4512" s="241" t="n">
        <v>-18.02</v>
      </c>
      <c r="O4512" s="241" t="n">
        <v>46.51</v>
      </c>
      <c r="P4512" s="241" t="n">
        <v>1.77</v>
      </c>
    </row>
    <row r="4513">
      <c r="A4513" s="282" t="inlineStr">
        <is>
          <t>2024-07-26</t>
        </is>
      </c>
      <c r="B4513" s="240">
        <f>IFERROR(1/P4513-1,B4512)</f>
        <v/>
      </c>
      <c r="C4513" s="240">
        <f>$C$3</f>
        <v/>
      </c>
      <c r="D4513" s="240">
        <f>$D$3</f>
        <v/>
      </c>
      <c r="E4513" s="240">
        <f>$E$3</f>
        <v/>
      </c>
      <c r="F4513" s="241" t="n">
        <v>16.27</v>
      </c>
      <c r="G4513" s="242" t="n">
        <v>17984915</v>
      </c>
      <c r="H4513" s="241" t="n">
        <v>3.7</v>
      </c>
      <c r="I4513" s="241" t="n">
        <v>-7.37</v>
      </c>
      <c r="J4513" s="241" t="n">
        <v>14.62</v>
      </c>
      <c r="K4513" s="241" t="n">
        <v>9.59</v>
      </c>
      <c r="L4513" s="242" t="n">
        <v>3089564</v>
      </c>
      <c r="M4513" s="241" t="n">
        <v>5</v>
      </c>
      <c r="N4513" s="241" t="n">
        <v>-13.51</v>
      </c>
      <c r="O4513" s="241" t="n">
        <v>53.84</v>
      </c>
      <c r="P4513" s="241" t="n">
        <v>1.7</v>
      </c>
    </row>
    <row r="4514">
      <c r="A4514" s="282" t="inlineStr">
        <is>
          <t>2024-07-29</t>
        </is>
      </c>
      <c r="B4514" s="240">
        <f>IFERROR(1/P4514-1,B4513)</f>
        <v/>
      </c>
      <c r="C4514" s="240">
        <f>$C$3</f>
        <v/>
      </c>
      <c r="D4514" s="240">
        <f>$D$3</f>
        <v/>
      </c>
      <c r="E4514" s="240">
        <f>$E$3</f>
        <v/>
      </c>
      <c r="F4514" s="241" t="n">
        <v>16.06</v>
      </c>
      <c r="G4514" s="242" t="n">
        <v>15026999</v>
      </c>
      <c r="H4514" s="241" t="n">
        <v>-1.29</v>
      </c>
      <c r="I4514" s="241" t="n">
        <v>-10.35</v>
      </c>
      <c r="J4514" s="241" t="n">
        <v>13.14</v>
      </c>
      <c r="K4514" s="241" t="n">
        <v>9.57</v>
      </c>
      <c r="L4514" s="242" t="n">
        <v>922600</v>
      </c>
      <c r="M4514" s="241" t="n">
        <v>-0.19</v>
      </c>
      <c r="N4514" s="241" t="n">
        <v>-11.87</v>
      </c>
      <c r="O4514" s="241" t="n">
        <v>53.55</v>
      </c>
      <c r="P4514" s="241" t="n">
        <v>1.68</v>
      </c>
    </row>
    <row r="4515">
      <c r="A4515" s="282" t="inlineStr">
        <is>
          <t>2024-07-30</t>
        </is>
      </c>
      <c r="B4515" s="240">
        <f>IFERROR(1/P4515-1,B4514)</f>
        <v/>
      </c>
      <c r="C4515" s="240">
        <f>$C$3</f>
        <v/>
      </c>
      <c r="D4515" s="240">
        <f>$D$3</f>
        <v/>
      </c>
      <c r="E4515" s="240">
        <f>$E$3</f>
        <v/>
      </c>
      <c r="F4515" s="241" t="n">
        <v>16.05</v>
      </c>
      <c r="G4515" s="242" t="n">
        <v>12026771</v>
      </c>
      <c r="H4515" s="241" t="n">
        <v>-0.06</v>
      </c>
      <c r="I4515" s="241" t="n">
        <v>-10.4</v>
      </c>
      <c r="J4515" s="241" t="n">
        <v>13.07</v>
      </c>
      <c r="K4515" s="241" t="n">
        <v>9.35</v>
      </c>
      <c r="L4515" s="242" t="n">
        <v>1454400</v>
      </c>
      <c r="M4515" s="241" t="n">
        <v>-2.29</v>
      </c>
      <c r="N4515" s="241" t="n">
        <v>-13.89</v>
      </c>
      <c r="O4515" s="241" t="n">
        <v>50.03</v>
      </c>
      <c r="P4515" s="241" t="n">
        <v>1.72</v>
      </c>
    </row>
    <row r="4516">
      <c r="A4516" s="282" t="inlineStr">
        <is>
          <t>2024-07-31</t>
        </is>
      </c>
      <c r="B4516" s="240">
        <f>IFERROR(1/P4516-1,B4515)</f>
        <v/>
      </c>
      <c r="C4516" s="240">
        <f>$C$3</f>
        <v/>
      </c>
      <c r="D4516" s="240">
        <f>$D$3</f>
        <v/>
      </c>
      <c r="E4516" s="240">
        <f>$E$3</f>
        <v/>
      </c>
      <c r="F4516" s="241" t="n">
        <v>16.34</v>
      </c>
      <c r="G4516" s="242" t="n">
        <v>19194148</v>
      </c>
      <c r="H4516" s="241" t="n">
        <v>1.81</v>
      </c>
      <c r="I4516" s="241" t="n">
        <v>-8.779999999999999</v>
      </c>
      <c r="J4516" s="241" t="n">
        <v>15.11</v>
      </c>
      <c r="K4516" s="241" t="n">
        <v>9.57</v>
      </c>
      <c r="L4516" s="242" t="n">
        <v>926000</v>
      </c>
      <c r="M4516" s="241" t="n">
        <v>2.34</v>
      </c>
      <c r="N4516" s="241" t="n">
        <v>-11.87</v>
      </c>
      <c r="O4516" s="241" t="n">
        <v>53.55</v>
      </c>
      <c r="P4516" s="241" t="n">
        <v>1.71</v>
      </c>
    </row>
    <row r="4517">
      <c r="A4517" s="282" t="inlineStr">
        <is>
          <t>2024-08-01</t>
        </is>
      </c>
      <c r="B4517" s="240">
        <f>IFERROR(1/P4517-1,B4516)</f>
        <v/>
      </c>
      <c r="C4517" s="240">
        <f>$C$3</f>
        <v/>
      </c>
      <c r="D4517" s="240">
        <f>$D$3</f>
        <v/>
      </c>
      <c r="E4517" s="240">
        <f>$E$3</f>
        <v/>
      </c>
      <c r="F4517" s="241" t="n">
        <v>16.17</v>
      </c>
      <c r="G4517" s="242" t="n">
        <v>16796462</v>
      </c>
      <c r="H4517" s="241" t="n">
        <v>-1.04</v>
      </c>
      <c r="I4517" s="241" t="n">
        <v>-9.73</v>
      </c>
      <c r="J4517" s="241" t="n">
        <v>13.92</v>
      </c>
      <c r="K4517" s="241" t="n">
        <v>9.35</v>
      </c>
      <c r="L4517" s="242" t="n">
        <v>800440</v>
      </c>
      <c r="M4517" s="241" t="n">
        <v>-2.29</v>
      </c>
      <c r="N4517" s="241" t="n">
        <v>-13.89</v>
      </c>
      <c r="O4517" s="241" t="n">
        <v>50.03</v>
      </c>
      <c r="P4517" s="241" t="n">
        <v>1.73</v>
      </c>
    </row>
    <row r="4518">
      <c r="A4518" s="282" t="inlineStr">
        <is>
          <t>2024-08-02</t>
        </is>
      </c>
      <c r="B4518" s="240">
        <f>IFERROR(1/P4518-1,B4517)</f>
        <v/>
      </c>
      <c r="C4518" s="240">
        <f>$C$3</f>
        <v/>
      </c>
      <c r="D4518" s="240">
        <f>$D$3</f>
        <v/>
      </c>
      <c r="E4518" s="240">
        <f>$E$3</f>
        <v/>
      </c>
      <c r="F4518" s="241" t="n">
        <v>15.77</v>
      </c>
      <c r="G4518" s="242" t="n">
        <v>15409283</v>
      </c>
      <c r="H4518" s="241" t="n">
        <v>-2.47</v>
      </c>
      <c r="I4518" s="241" t="n">
        <v>-9.81</v>
      </c>
      <c r="J4518" s="241" t="n">
        <v>11.1</v>
      </c>
      <c r="K4518" s="241" t="n">
        <v>9.34</v>
      </c>
      <c r="L4518" s="242" t="n">
        <v>1125800</v>
      </c>
      <c r="M4518" s="241" t="n">
        <v>-0.2</v>
      </c>
      <c r="N4518" s="241" t="n">
        <v>-14.06</v>
      </c>
      <c r="O4518" s="241" t="n">
        <v>49.74</v>
      </c>
      <c r="P4518" s="241" t="n">
        <v>1.69</v>
      </c>
    </row>
    <row r="4519">
      <c r="A4519" s="282" t="inlineStr">
        <is>
          <t>2024-08-05</t>
        </is>
      </c>
      <c r="B4519" s="240">
        <f>IFERROR(1/P4519-1,B4518)</f>
        <v/>
      </c>
      <c r="C4519" s="240">
        <f>$C$3</f>
        <v/>
      </c>
      <c r="D4519" s="240">
        <f>$D$3</f>
        <v/>
      </c>
      <c r="E4519" s="240">
        <f>$E$3</f>
        <v/>
      </c>
      <c r="F4519" s="241" t="n">
        <v>15.46</v>
      </c>
      <c r="G4519" s="242" t="n">
        <v>15904800</v>
      </c>
      <c r="H4519" s="241" t="n">
        <v>-1.97</v>
      </c>
      <c r="I4519" s="241" t="n">
        <v>-7.05</v>
      </c>
      <c r="J4519" s="241" t="n">
        <v>8.91</v>
      </c>
      <c r="K4519" s="241" t="n">
        <v>9.19</v>
      </c>
      <c r="L4519" s="242" t="n">
        <v>1670600</v>
      </c>
      <c r="M4519" s="241" t="n">
        <v>-1.96</v>
      </c>
      <c r="N4519" s="241" t="n">
        <v>-11.95</v>
      </c>
      <c r="O4519" s="241" t="n">
        <v>46.81</v>
      </c>
      <c r="P4519" s="241" t="n">
        <v>1.68</v>
      </c>
    </row>
    <row r="4520">
      <c r="A4520" s="282" t="inlineStr">
        <is>
          <t>2024-08-06</t>
        </is>
      </c>
      <c r="B4520" s="240">
        <f>IFERROR(1/P4520-1,B4519)</f>
        <v/>
      </c>
      <c r="C4520" s="240">
        <f>$C$3</f>
        <v/>
      </c>
      <c r="D4520" s="240">
        <f>$D$3</f>
        <v/>
      </c>
      <c r="E4520" s="240">
        <f>$E$3</f>
        <v/>
      </c>
      <c r="F4520" s="241" t="n">
        <v>15.58</v>
      </c>
      <c r="G4520" s="242" t="n">
        <v>9616887</v>
      </c>
      <c r="H4520" s="241" t="n">
        <v>0.78</v>
      </c>
      <c r="I4520" s="241" t="n">
        <v>-5.88</v>
      </c>
      <c r="J4520" s="241" t="n">
        <v>9.76</v>
      </c>
      <c r="K4520" s="241" t="n">
        <v>9.119999999999999</v>
      </c>
      <c r="L4520" s="242" t="n">
        <v>787200</v>
      </c>
      <c r="M4520" s="241" t="n">
        <v>-0.6</v>
      </c>
      <c r="N4520" s="241" t="n">
        <v>-11.55</v>
      </c>
      <c r="O4520" s="241" t="n">
        <v>45.93</v>
      </c>
      <c r="P4520" s="241" t="n">
        <v>1.71</v>
      </c>
    </row>
    <row r="4521">
      <c r="A4521" s="282" t="inlineStr">
        <is>
          <t>2024-08-07</t>
        </is>
      </c>
      <c r="B4521" s="240">
        <f>IFERROR(1/P4521-1,B4520)</f>
        <v/>
      </c>
      <c r="C4521" s="240">
        <f>$C$3</f>
        <v/>
      </c>
      <c r="D4521" s="240">
        <f>$D$3</f>
        <v/>
      </c>
      <c r="E4521" s="240">
        <f>$E$3</f>
        <v/>
      </c>
      <c r="F4521" s="241" t="n">
        <v>15.84</v>
      </c>
      <c r="G4521" s="242" t="n">
        <v>14650503</v>
      </c>
      <c r="H4521" s="241" t="n">
        <v>1.67</v>
      </c>
      <c r="I4521" s="241" t="n">
        <v>-4.31</v>
      </c>
      <c r="J4521" s="241" t="n">
        <v>11.59</v>
      </c>
      <c r="K4521" s="241" t="n">
        <v>9.41</v>
      </c>
      <c r="L4521" s="242" t="n">
        <v>1871201</v>
      </c>
      <c r="M4521" s="241" t="n">
        <v>3.21</v>
      </c>
      <c r="N4521" s="241" t="n">
        <v>-8.699999999999999</v>
      </c>
      <c r="O4521" s="241" t="n">
        <v>50.62</v>
      </c>
      <c r="P4521" s="241" t="n">
        <v>1.68</v>
      </c>
    </row>
    <row r="4522">
      <c r="A4522" s="282" t="inlineStr">
        <is>
          <t>2024-08-08</t>
        </is>
      </c>
      <c r="B4522" s="240">
        <f>IFERROR(1/P4522-1,B4521)</f>
        <v/>
      </c>
      <c r="C4522" s="240">
        <f>$C$3</f>
        <v/>
      </c>
      <c r="D4522" s="240">
        <f>$D$3</f>
        <v/>
      </c>
      <c r="E4522" s="240">
        <f>$E$3</f>
        <v/>
      </c>
      <c r="F4522" s="241" t="n">
        <v>15.58</v>
      </c>
      <c r="G4522" s="242" t="n">
        <v>12044928</v>
      </c>
      <c r="H4522" s="241" t="n">
        <v>-1.64</v>
      </c>
      <c r="I4522" s="241" t="n">
        <v>-5.88</v>
      </c>
      <c r="J4522" s="241" t="n">
        <v>9.76</v>
      </c>
      <c r="K4522" s="241" t="n">
        <v>9.32</v>
      </c>
      <c r="L4522" s="242" t="n">
        <v>802400</v>
      </c>
      <c r="M4522" s="241" t="n">
        <v>-1.17</v>
      </c>
      <c r="N4522" s="241" t="n">
        <v>-9.77</v>
      </c>
      <c r="O4522" s="241" t="n">
        <v>48.86</v>
      </c>
      <c r="P4522" s="241" t="n">
        <v>1.67</v>
      </c>
    </row>
    <row r="4523">
      <c r="A4523" s="282" t="inlineStr">
        <is>
          <t>2024-08-09</t>
        </is>
      </c>
      <c r="B4523" s="240">
        <f>IFERROR(1/P4523-1,B4522)</f>
        <v/>
      </c>
      <c r="C4523" s="240">
        <f>$C$3</f>
        <v/>
      </c>
      <c r="D4523" s="240">
        <f>$D$3</f>
        <v/>
      </c>
      <c r="E4523" s="240">
        <f>$E$3</f>
        <v/>
      </c>
      <c r="F4523" s="241" t="n">
        <v>15.55</v>
      </c>
      <c r="G4523" s="242" t="n">
        <v>8986677</v>
      </c>
      <c r="H4523" s="241" t="n">
        <v>-0.19</v>
      </c>
      <c r="I4523" s="241" t="n">
        <v>-6.39</v>
      </c>
      <c r="J4523" s="241" t="n">
        <v>9.550000000000001</v>
      </c>
      <c r="K4523" s="241" t="n">
        <v>9.220000000000001</v>
      </c>
      <c r="L4523" s="242" t="n">
        <v>790070</v>
      </c>
      <c r="M4523" s="241" t="n">
        <v>-0.98</v>
      </c>
      <c r="N4523" s="241" t="n">
        <v>-10.34</v>
      </c>
      <c r="O4523" s="241" t="n">
        <v>47.39</v>
      </c>
      <c r="P4523" s="241" t="n">
        <v>1.69</v>
      </c>
    </row>
    <row r="4524">
      <c r="A4524" s="282" t="inlineStr">
        <is>
          <t>2024-08-12</t>
        </is>
      </c>
      <c r="B4524" s="240">
        <f>IFERROR(1/P4524-1,B4523)</f>
        <v/>
      </c>
      <c r="C4524" s="240">
        <f>$C$3</f>
        <v/>
      </c>
      <c r="D4524" s="240">
        <f>$D$3</f>
        <v/>
      </c>
      <c r="E4524" s="240">
        <f>$E$3</f>
        <v/>
      </c>
      <c r="F4524" s="241" t="n">
        <v>15.94</v>
      </c>
      <c r="G4524" s="242" t="n">
        <v>18556977</v>
      </c>
      <c r="H4524" s="241" t="n">
        <v>2.51</v>
      </c>
      <c r="I4524" s="241" t="n">
        <v>-1.75</v>
      </c>
      <c r="J4524" s="241" t="n">
        <v>12.29</v>
      </c>
      <c r="K4524" s="241" t="n">
        <v>9.6</v>
      </c>
      <c r="L4524" s="242" t="n">
        <v>1715000</v>
      </c>
      <c r="M4524" s="241" t="n">
        <v>4.17</v>
      </c>
      <c r="N4524" s="241" t="n">
        <v>-4.9</v>
      </c>
      <c r="O4524" s="241" t="n">
        <v>53.55</v>
      </c>
      <c r="P4524" s="241" t="n">
        <v>1.66</v>
      </c>
    </row>
    <row r="4525">
      <c r="A4525" s="282" t="inlineStr">
        <is>
          <t>2024-08-13</t>
        </is>
      </c>
      <c r="B4525" s="240">
        <f>IFERROR(1/P4525-1,B4524)</f>
        <v/>
      </c>
      <c r="C4525" s="240">
        <f>$C$3</f>
        <v/>
      </c>
      <c r="D4525" s="240">
        <f>$D$3</f>
        <v/>
      </c>
      <c r="E4525" s="240">
        <f>$E$3</f>
        <v/>
      </c>
      <c r="F4525" s="241" t="n">
        <v>15.93</v>
      </c>
      <c r="G4525" s="242" t="n">
        <v>12704410</v>
      </c>
      <c r="H4525" s="241" t="n">
        <v>-0.06</v>
      </c>
      <c r="I4525" s="241" t="n">
        <v>-1.46</v>
      </c>
      <c r="J4525" s="241" t="n">
        <v>12.22</v>
      </c>
      <c r="K4525" s="241" t="n">
        <v>9.43</v>
      </c>
      <c r="L4525" s="242" t="n">
        <v>1793400</v>
      </c>
      <c r="M4525" s="241" t="n">
        <v>-1.91</v>
      </c>
      <c r="N4525" s="241" t="n">
        <v>-5.34</v>
      </c>
      <c r="O4525" s="241" t="n">
        <v>50.62</v>
      </c>
      <c r="P4525" s="241" t="n">
        <v>1.69</v>
      </c>
    </row>
    <row r="4526">
      <c r="A4526" s="282" t="inlineStr">
        <is>
          <t>2024-08-14</t>
        </is>
      </c>
      <c r="B4526" s="240">
        <f>IFERROR(1/P4526-1,B4525)</f>
        <v/>
      </c>
      <c r="C4526" s="240">
        <f>$C$3</f>
        <v/>
      </c>
      <c r="D4526" s="240">
        <f>$D$3</f>
        <v/>
      </c>
      <c r="E4526" s="240">
        <f>$E$3</f>
        <v/>
      </c>
      <c r="F4526" s="241" t="n">
        <v>14.36</v>
      </c>
      <c r="G4526" s="242" t="n">
        <v>71751561</v>
      </c>
      <c r="H4526" s="241" t="n">
        <v>-9.859999999999999</v>
      </c>
      <c r="I4526" s="241" t="n">
        <v>-11.17</v>
      </c>
      <c r="J4526" s="241" t="n">
        <v>1.16</v>
      </c>
      <c r="K4526" s="241" t="n">
        <v>8.15</v>
      </c>
      <c r="L4526" s="242" t="n">
        <v>11580449</v>
      </c>
      <c r="M4526" s="241" t="n">
        <v>-13.52</v>
      </c>
      <c r="N4526" s="241" t="n">
        <v>-18.14</v>
      </c>
      <c r="O4526" s="241" t="n">
        <v>30.25</v>
      </c>
      <c r="P4526" s="241" t="n">
        <v>1.76</v>
      </c>
    </row>
    <row r="4527">
      <c r="A4527" s="282" t="inlineStr">
        <is>
          <t>2024-08-15</t>
        </is>
      </c>
      <c r="B4527" s="240">
        <f>IFERROR(1/P4527-1,B4526)</f>
        <v/>
      </c>
      <c r="C4527" s="240">
        <f>$C$3</f>
        <v/>
      </c>
      <c r="D4527" s="240">
        <f>$D$3</f>
        <v/>
      </c>
      <c r="E4527" s="240">
        <f>$E$3</f>
        <v/>
      </c>
      <c r="F4527" s="241" t="n">
        <v>14.41</v>
      </c>
      <c r="G4527" s="242" t="n">
        <v>35642939</v>
      </c>
      <c r="H4527" s="241" t="n">
        <v>0.35</v>
      </c>
      <c r="I4527" s="241" t="n">
        <v>-10.86</v>
      </c>
      <c r="J4527" s="241" t="n">
        <v>1.52</v>
      </c>
      <c r="K4527" s="241" t="n">
        <v>8.470000000000001</v>
      </c>
      <c r="L4527" s="242" t="n">
        <v>5599318</v>
      </c>
      <c r="M4527" s="241" t="n">
        <v>3.94</v>
      </c>
      <c r="N4527" s="241" t="n">
        <v>-14.92</v>
      </c>
      <c r="O4527" s="241" t="n">
        <v>35.38</v>
      </c>
      <c r="P4527" s="241" t="n">
        <v>1.7</v>
      </c>
    </row>
    <row r="4528">
      <c r="A4528" s="282" t="inlineStr">
        <is>
          <t>2024-08-16</t>
        </is>
      </c>
      <c r="B4528" s="240">
        <f>IFERROR(1/P4528-1,B4527)</f>
        <v/>
      </c>
      <c r="C4528" s="240">
        <f>$C$3</f>
        <v/>
      </c>
      <c r="D4528" s="240">
        <f>$D$3</f>
        <v/>
      </c>
      <c r="E4528" s="240">
        <f>$E$3</f>
        <v/>
      </c>
      <c r="F4528" s="241" t="n">
        <v>14.23</v>
      </c>
      <c r="G4528" s="242" t="n">
        <v>20627351</v>
      </c>
      <c r="H4528" s="241" t="n">
        <v>-1.25</v>
      </c>
      <c r="I4528" s="241" t="n">
        <v>-11.5</v>
      </c>
      <c r="J4528" s="241" t="n">
        <v>0.25</v>
      </c>
      <c r="K4528" s="241" t="n">
        <v>8.449999999999999</v>
      </c>
      <c r="L4528" s="242" t="n">
        <v>1924400</v>
      </c>
      <c r="M4528" s="241" t="n">
        <v>-0.22</v>
      </c>
      <c r="N4528" s="241" t="n">
        <v>-15.41</v>
      </c>
      <c r="O4528" s="241" t="n">
        <v>35.09</v>
      </c>
      <c r="P4528" s="241" t="n">
        <v>1.68</v>
      </c>
    </row>
    <row r="4529">
      <c r="A4529" s="282" t="inlineStr">
        <is>
          <t>2024-08-19</t>
        </is>
      </c>
      <c r="B4529" s="240">
        <f>IFERROR(1/P4529-1,B4528)</f>
        <v/>
      </c>
      <c r="C4529" s="240">
        <f>$C$3</f>
        <v/>
      </c>
      <c r="D4529" s="240">
        <f>$D$3</f>
        <v/>
      </c>
      <c r="E4529" s="240">
        <f>$E$3</f>
        <v/>
      </c>
      <c r="F4529" s="241" t="n">
        <v>14.24</v>
      </c>
      <c r="G4529" s="242" t="n">
        <v>19472821</v>
      </c>
      <c r="H4529" s="241" t="n">
        <v>0.07000000000000001</v>
      </c>
      <c r="I4529" s="241" t="n">
        <v>-12.33</v>
      </c>
      <c r="J4529" s="241" t="n">
        <v>0.32</v>
      </c>
      <c r="K4529" s="241" t="n">
        <v>8.58</v>
      </c>
      <c r="L4529" s="242" t="n">
        <v>2928800</v>
      </c>
      <c r="M4529" s="241" t="n">
        <v>1.52</v>
      </c>
      <c r="N4529" s="241" t="n">
        <v>-11.86</v>
      </c>
      <c r="O4529" s="241" t="n">
        <v>37.14</v>
      </c>
      <c r="P4529" s="241" t="n">
        <v>1.66</v>
      </c>
    </row>
    <row r="4530">
      <c r="A4530" s="282" t="inlineStr">
        <is>
          <t>2024-08-20</t>
        </is>
      </c>
      <c r="B4530" s="240">
        <f>IFERROR(1/P4530-1,B4529)</f>
        <v/>
      </c>
      <c r="C4530" s="240">
        <f>$C$3</f>
        <v/>
      </c>
      <c r="D4530" s="240">
        <f>$D$3</f>
        <v/>
      </c>
      <c r="E4530" s="240">
        <f>$E$3</f>
        <v/>
      </c>
      <c r="F4530" s="241" t="n">
        <v>14.08</v>
      </c>
      <c r="G4530" s="242" t="n">
        <v>18733587</v>
      </c>
      <c r="H4530" s="241" t="n">
        <v>-1.12</v>
      </c>
      <c r="I4530" s="241" t="n">
        <v>-13.42</v>
      </c>
      <c r="J4530" s="241" t="n">
        <v>-0.8100000000000001</v>
      </c>
      <c r="K4530" s="241" t="n">
        <v>8.43</v>
      </c>
      <c r="L4530" s="242" t="n">
        <v>2303800</v>
      </c>
      <c r="M4530" s="241" t="n">
        <v>-1.71</v>
      </c>
      <c r="N4530" s="241" t="n">
        <v>-12.55</v>
      </c>
      <c r="O4530" s="241" t="n">
        <v>34.79</v>
      </c>
      <c r="P4530" s="241" t="n">
        <v>1.67</v>
      </c>
    </row>
    <row r="4531">
      <c r="A4531" s="282" t="inlineStr">
        <is>
          <t>2024-08-21</t>
        </is>
      </c>
      <c r="B4531" s="240">
        <f>IFERROR(1/P4531-1,B4530)</f>
        <v/>
      </c>
      <c r="C4531" s="240">
        <f>$C$3</f>
        <v/>
      </c>
      <c r="D4531" s="240">
        <f>$D$3</f>
        <v/>
      </c>
      <c r="E4531" s="240">
        <f>$E$3</f>
        <v/>
      </c>
      <c r="F4531" s="241" t="n">
        <v>13.86</v>
      </c>
      <c r="G4531" s="242" t="n">
        <v>20785196</v>
      </c>
      <c r="H4531" s="241" t="n">
        <v>-1.56</v>
      </c>
      <c r="I4531" s="241" t="n">
        <v>-14.78</v>
      </c>
      <c r="J4531" s="241" t="n">
        <v>-2.36</v>
      </c>
      <c r="K4531" s="241" t="n">
        <v>8.24</v>
      </c>
      <c r="L4531" s="242" t="n">
        <v>1797000</v>
      </c>
      <c r="M4531" s="241" t="n">
        <v>-2.17</v>
      </c>
      <c r="N4531" s="241" t="n">
        <v>-14.45</v>
      </c>
      <c r="O4531" s="241" t="n">
        <v>31.86</v>
      </c>
      <c r="P4531" s="241" t="n">
        <v>1.68</v>
      </c>
    </row>
    <row r="4532">
      <c r="A4532" s="282" t="inlineStr">
        <is>
          <t>2024-08-22</t>
        </is>
      </c>
      <c r="B4532" s="240">
        <f>IFERROR(1/P4532-1,B4531)</f>
        <v/>
      </c>
      <c r="C4532" s="240">
        <f>$C$3</f>
        <v/>
      </c>
      <c r="D4532" s="240">
        <f>$D$3</f>
        <v/>
      </c>
      <c r="E4532" s="240">
        <f>$E$3</f>
        <v/>
      </c>
      <c r="F4532" s="241" t="n">
        <v>13.87</v>
      </c>
      <c r="G4532" s="242" t="n">
        <v>16392612</v>
      </c>
      <c r="H4532" s="241" t="n">
        <v>0.07000000000000001</v>
      </c>
      <c r="I4532" s="241" t="n">
        <v>-14.71</v>
      </c>
      <c r="J4532" s="241" t="n">
        <v>-2.29</v>
      </c>
      <c r="K4532" s="241" t="n">
        <v>8.300000000000001</v>
      </c>
      <c r="L4532" s="242" t="n">
        <v>804000</v>
      </c>
      <c r="M4532" s="241" t="n">
        <v>0.89</v>
      </c>
      <c r="N4532" s="241" t="n">
        <v>-13.69</v>
      </c>
      <c r="O4532" s="241" t="n">
        <v>33.03</v>
      </c>
      <c r="P4532" s="241" t="n">
        <v>1.67</v>
      </c>
    </row>
    <row r="4533">
      <c r="A4533" s="282" t="inlineStr">
        <is>
          <t>2024-08-23</t>
        </is>
      </c>
      <c r="B4533" s="240">
        <f>IFERROR(1/P4533-1,B4532)</f>
        <v/>
      </c>
      <c r="C4533" s="240">
        <f>$C$3</f>
        <v/>
      </c>
      <c r="D4533" s="240">
        <f>$D$3</f>
        <v/>
      </c>
      <c r="E4533" s="240">
        <f>$E$3</f>
        <v/>
      </c>
      <c r="F4533" s="241" t="n">
        <v>13.76</v>
      </c>
      <c r="G4533" s="242" t="n">
        <v>11665748</v>
      </c>
      <c r="H4533" s="241" t="n">
        <v>-0.79</v>
      </c>
      <c r="I4533" s="241" t="n">
        <v>-15.29</v>
      </c>
      <c r="J4533" s="241" t="n">
        <v>-3.06</v>
      </c>
      <c r="K4533" s="241" t="n">
        <v>8.19</v>
      </c>
      <c r="L4533" s="242" t="n">
        <v>2132800</v>
      </c>
      <c r="M4533" s="241" t="n">
        <v>-1.43</v>
      </c>
      <c r="N4533" s="241" t="n">
        <v>-14.76</v>
      </c>
      <c r="O4533" s="241" t="n">
        <v>31.13</v>
      </c>
      <c r="P4533" s="241" t="n">
        <v>1.68</v>
      </c>
    </row>
    <row r="4534">
      <c r="A4534" s="282" t="inlineStr">
        <is>
          <t>2024-08-26</t>
        </is>
      </c>
      <c r="B4534" s="240">
        <f>IFERROR(1/P4534-1,B4533)</f>
        <v/>
      </c>
      <c r="C4534" s="240">
        <f>$C$3</f>
        <v/>
      </c>
      <c r="D4534" s="240">
        <f>$D$3</f>
        <v/>
      </c>
      <c r="E4534" s="240">
        <f>$E$3</f>
        <v/>
      </c>
      <c r="F4534" s="241" t="n">
        <v>13.83</v>
      </c>
      <c r="G4534" s="242" t="n">
        <v>11774283</v>
      </c>
      <c r="H4534" s="241" t="n">
        <v>0.51</v>
      </c>
      <c r="I4534" s="241" t="n">
        <v>-11.85</v>
      </c>
      <c r="J4534" s="241" t="n">
        <v>-2.57</v>
      </c>
      <c r="K4534" s="241" t="n">
        <v>8.23</v>
      </c>
      <c r="L4534" s="242" t="n">
        <v>1041400</v>
      </c>
      <c r="M4534" s="241" t="n">
        <v>0.78</v>
      </c>
      <c r="N4534" s="241" t="n">
        <v>-9.800000000000001</v>
      </c>
      <c r="O4534" s="241" t="n">
        <v>32.16</v>
      </c>
      <c r="P4534" s="241" t="n">
        <v>1.68</v>
      </c>
    </row>
    <row r="4535">
      <c r="A4535" s="282" t="inlineStr">
        <is>
          <t>2024-08-27</t>
        </is>
      </c>
      <c r="B4535" s="240">
        <f>IFERROR(1/P4535-1,B4534)</f>
        <v/>
      </c>
      <c r="C4535" s="240">
        <f>$C$3</f>
        <v/>
      </c>
      <c r="D4535" s="240">
        <f>$D$3</f>
        <v/>
      </c>
      <c r="E4535" s="240">
        <f>$E$3</f>
        <v/>
      </c>
      <c r="F4535" s="241" t="n">
        <v>13.46</v>
      </c>
      <c r="G4535" s="242" t="n">
        <v>17700585</v>
      </c>
      <c r="H4535" s="241" t="n">
        <v>-2.68</v>
      </c>
      <c r="I4535" s="241" t="n">
        <v>-17.27</v>
      </c>
      <c r="J4535" s="241" t="n">
        <v>-5.18</v>
      </c>
      <c r="K4535" s="241" t="n">
        <v>8.199999999999999</v>
      </c>
      <c r="L4535" s="242" t="n">
        <v>1067600</v>
      </c>
      <c r="M4535" s="241" t="n">
        <v>-0.44</v>
      </c>
      <c r="N4535" s="241" t="n">
        <v>-14.48</v>
      </c>
      <c r="O4535" s="241" t="n">
        <v>31.57</v>
      </c>
      <c r="P4535" s="241" t="n">
        <v>1.64</v>
      </c>
    </row>
    <row r="4536">
      <c r="A4536" s="282" t="inlineStr">
        <is>
          <t>2024-08-28</t>
        </is>
      </c>
      <c r="B4536" s="240">
        <f>IFERROR(1/P4536-1,B4535)</f>
        <v/>
      </c>
      <c r="C4536" s="240">
        <f>$C$3</f>
        <v/>
      </c>
      <c r="D4536" s="240">
        <f>$D$3</f>
        <v/>
      </c>
      <c r="E4536" s="240">
        <f>$E$3</f>
        <v/>
      </c>
      <c r="F4536" s="241" t="n">
        <v>13.57</v>
      </c>
      <c r="G4536" s="242" t="n">
        <v>13435500</v>
      </c>
      <c r="H4536" s="241" t="n">
        <v>0.82</v>
      </c>
      <c r="I4536" s="241" t="n">
        <v>-16.59</v>
      </c>
      <c r="J4536" s="241" t="n">
        <v>-4.4</v>
      </c>
      <c r="K4536" s="241" t="n">
        <v>8.09</v>
      </c>
      <c r="L4536" s="242" t="n">
        <v>930000</v>
      </c>
      <c r="M4536" s="241" t="n">
        <v>-1.34</v>
      </c>
      <c r="N4536" s="241" t="n">
        <v>-15.62</v>
      </c>
      <c r="O4536" s="241" t="n">
        <v>29.81</v>
      </c>
      <c r="P4536" s="241" t="n">
        <v>1.68</v>
      </c>
    </row>
    <row r="4537">
      <c r="A4537" s="282" t="inlineStr">
        <is>
          <t>2024-08-29</t>
        </is>
      </c>
      <c r="B4537" s="240">
        <f>IFERROR(1/P4537-1,B4536)</f>
        <v/>
      </c>
      <c r="C4537" s="240">
        <f>$C$3</f>
        <v/>
      </c>
      <c r="D4537" s="240">
        <f>$D$3</f>
        <v/>
      </c>
      <c r="E4537" s="240">
        <f>$E$3</f>
        <v/>
      </c>
      <c r="F4537" s="241" t="n">
        <v>13.56</v>
      </c>
      <c r="G4537" s="242" t="n">
        <v>15303755</v>
      </c>
      <c r="H4537" s="241" t="n">
        <v>-0.07000000000000001</v>
      </c>
      <c r="I4537" s="241" t="n">
        <v>-16.66</v>
      </c>
      <c r="J4537" s="241" t="n">
        <v>-4.47</v>
      </c>
      <c r="K4537" s="241" t="n">
        <v>8.140000000000001</v>
      </c>
      <c r="L4537" s="242" t="n">
        <v>1225800</v>
      </c>
      <c r="M4537" s="241" t="n">
        <v>0.45</v>
      </c>
      <c r="N4537" s="241" t="n">
        <v>-15.24</v>
      </c>
      <c r="O4537" s="241" t="n">
        <v>30.4</v>
      </c>
      <c r="P4537" s="241" t="n">
        <v>1.67</v>
      </c>
    </row>
    <row r="4538">
      <c r="A4538" s="282" t="inlineStr">
        <is>
          <t>2024-08-30</t>
        </is>
      </c>
      <c r="B4538" s="240">
        <f>IFERROR(1/P4538-1,B4537)</f>
        <v/>
      </c>
      <c r="C4538" s="240">
        <f>$C$3</f>
        <v/>
      </c>
      <c r="D4538" s="240">
        <f>$D$3</f>
        <v/>
      </c>
      <c r="E4538" s="240">
        <f>$E$3</f>
        <v/>
      </c>
      <c r="F4538" s="241" t="n">
        <v>13.66</v>
      </c>
      <c r="G4538" s="242" t="n">
        <v>31949525</v>
      </c>
      <c r="H4538" s="241" t="n">
        <v>0.74</v>
      </c>
      <c r="I4538" s="241" t="n">
        <v>-14.94</v>
      </c>
      <c r="J4538" s="241" t="n">
        <v>-3.77</v>
      </c>
      <c r="K4538" s="241" t="n">
        <v>8.24</v>
      </c>
      <c r="L4538" s="242" t="n">
        <v>7061731</v>
      </c>
      <c r="M4538" s="241" t="n">
        <v>1.46</v>
      </c>
      <c r="N4538" s="241" t="n">
        <v>-13.84</v>
      </c>
      <c r="O4538" s="241" t="n">
        <v>32.3</v>
      </c>
      <c r="P4538" s="241" t="n">
        <v>1.66</v>
      </c>
    </row>
    <row r="4539">
      <c r="A4539" s="282" t="inlineStr">
        <is>
          <t>2024-09-02</t>
        </is>
      </c>
      <c r="B4539" s="240">
        <f>IFERROR(1/P4539-1,B4538)</f>
        <v/>
      </c>
      <c r="C4539" s="240">
        <f>$C$3</f>
        <v/>
      </c>
      <c r="D4539" s="240">
        <f>$D$3</f>
        <v/>
      </c>
      <c r="E4539" s="240">
        <f>$E$3</f>
        <v/>
      </c>
      <c r="F4539" s="241" t="n">
        <v>13.41</v>
      </c>
      <c r="G4539" s="242" t="n">
        <v>17508710</v>
      </c>
      <c r="H4539" s="241" t="n">
        <v>-1.83</v>
      </c>
      <c r="I4539" s="241" t="n">
        <v>-17.07</v>
      </c>
      <c r="J4539" s="241" t="n">
        <v>-5.53</v>
      </c>
      <c r="K4539" s="241" t="n">
        <v>7.84</v>
      </c>
      <c r="L4539" s="242" t="n">
        <v>2192400</v>
      </c>
      <c r="M4539" s="241" t="n">
        <v>-4.65</v>
      </c>
      <c r="N4539" s="241" t="n">
        <v>-15.92</v>
      </c>
      <c r="O4539" s="241" t="n">
        <v>26.15</v>
      </c>
      <c r="P4539" s="241" t="n">
        <v>1.71</v>
      </c>
    </row>
    <row r="4540">
      <c r="A4540" s="282" t="inlineStr">
        <is>
          <t>2024-09-03</t>
        </is>
      </c>
      <c r="B4540" s="240">
        <f>IFERROR(1/P4540-1,B4539)</f>
        <v/>
      </c>
      <c r="C4540" s="240">
        <f>$C$3</f>
        <v/>
      </c>
      <c r="D4540" s="240">
        <f>$D$3</f>
        <v/>
      </c>
      <c r="E4540" s="240">
        <f>$E$3</f>
        <v/>
      </c>
      <c r="F4540" s="241" t="n">
        <v>13.37</v>
      </c>
      <c r="G4540" s="242" t="n">
        <v>13155071</v>
      </c>
      <c r="H4540" s="241" t="n">
        <v>-0.3</v>
      </c>
      <c r="I4540" s="241" t="n">
        <v>-15.22</v>
      </c>
      <c r="J4540" s="241" t="n">
        <v>-5.81</v>
      </c>
      <c r="K4540" s="241" t="n">
        <v>7.83</v>
      </c>
      <c r="L4540" s="242" t="n">
        <v>2375600</v>
      </c>
      <c r="M4540" s="241" t="n">
        <v>-0.23</v>
      </c>
      <c r="N4540" s="241" t="n">
        <v>-15.95</v>
      </c>
      <c r="O4540" s="241" t="n">
        <v>25.86</v>
      </c>
      <c r="P4540" s="241" t="n">
        <v>1.71</v>
      </c>
    </row>
    <row r="4541">
      <c r="A4541" s="282" t="inlineStr">
        <is>
          <t>2024-09-04</t>
        </is>
      </c>
      <c r="B4541" s="240">
        <f>IFERROR(1/P4541-1,B4540)</f>
        <v/>
      </c>
      <c r="C4541" s="240">
        <f>$C$3</f>
        <v/>
      </c>
      <c r="D4541" s="240">
        <f>$D$3</f>
        <v/>
      </c>
      <c r="E4541" s="240">
        <f>$E$3</f>
        <v/>
      </c>
      <c r="F4541" s="241" t="n">
        <v>13.22</v>
      </c>
      <c r="G4541" s="242" t="n">
        <v>13412501</v>
      </c>
      <c r="H4541" s="241" t="n">
        <v>-1.12</v>
      </c>
      <c r="I4541" s="241" t="n">
        <v>-16.17</v>
      </c>
      <c r="J4541" s="241" t="n">
        <v>-6.87</v>
      </c>
      <c r="K4541" s="241" t="n">
        <v>7.58</v>
      </c>
      <c r="L4541" s="242" t="n">
        <v>2172600</v>
      </c>
      <c r="M4541" s="241" t="n">
        <v>-3.26</v>
      </c>
      <c r="N4541" s="241" t="n">
        <v>-18.69</v>
      </c>
      <c r="O4541" s="241" t="n">
        <v>21.75</v>
      </c>
      <c r="P4541" s="241" t="n">
        <v>1.74</v>
      </c>
    </row>
    <row r="4542">
      <c r="A4542" s="282" t="inlineStr">
        <is>
          <t>2024-09-05</t>
        </is>
      </c>
      <c r="B4542" s="240">
        <f>IFERROR(1/P4542-1,B4541)</f>
        <v/>
      </c>
      <c r="C4542" s="240">
        <f>$C$3</f>
        <v/>
      </c>
      <c r="D4542" s="240">
        <f>$D$3</f>
        <v/>
      </c>
      <c r="E4542" s="240">
        <f>$E$3</f>
        <v/>
      </c>
      <c r="F4542" s="241" t="n">
        <v>13.18</v>
      </c>
      <c r="G4542" s="242" t="n">
        <v>14259411</v>
      </c>
      <c r="H4542" s="241" t="n">
        <v>-0.3</v>
      </c>
      <c r="I4542" s="241" t="n">
        <v>-16.42</v>
      </c>
      <c r="J4542" s="241" t="n">
        <v>-7.15</v>
      </c>
      <c r="K4542" s="241" t="n">
        <v>7.52</v>
      </c>
      <c r="L4542" s="242" t="n">
        <v>1206400</v>
      </c>
      <c r="M4542" s="241" t="n">
        <v>-0.6</v>
      </c>
      <c r="N4542" s="241" t="n">
        <v>-19.18</v>
      </c>
      <c r="O4542" s="241" t="n">
        <v>21.02</v>
      </c>
      <c r="P4542" s="241" t="n">
        <v>1.75</v>
      </c>
    </row>
    <row r="4543">
      <c r="A4543" s="282" t="inlineStr">
        <is>
          <t>2024-09-06</t>
        </is>
      </c>
      <c r="B4543" s="240">
        <f>IFERROR(1/P4543-1,B4542)</f>
        <v/>
      </c>
      <c r="C4543" s="240">
        <f>$C$3</f>
        <v/>
      </c>
      <c r="D4543" s="240">
        <f>$D$3</f>
        <v/>
      </c>
      <c r="E4543" s="240">
        <f>$E$3</f>
        <v/>
      </c>
      <c r="F4543" s="241" t="n">
        <v>12.94</v>
      </c>
      <c r="G4543" s="242" t="n">
        <v>13531257</v>
      </c>
      <c r="H4543" s="241" t="n">
        <v>-1.82</v>
      </c>
      <c r="I4543" s="241" t="n">
        <v>-16.3</v>
      </c>
      <c r="J4543" s="241" t="n">
        <v>-8.84</v>
      </c>
      <c r="K4543" s="239" t="inlineStr">
        <is>
          <t>--</t>
        </is>
      </c>
      <c r="L4543" s="239" t="inlineStr">
        <is>
          <t>--</t>
        </is>
      </c>
      <c r="M4543" s="239" t="inlineStr">
        <is>
          <t>--</t>
        </is>
      </c>
      <c r="N4543" s="239" t="inlineStr">
        <is>
          <t>--</t>
        </is>
      </c>
      <c r="O4543" s="239" t="inlineStr">
        <is>
          <t>--</t>
        </is>
      </c>
      <c r="P4543" s="239" t="inlineStr">
        <is>
          <t>--</t>
        </is>
      </c>
    </row>
    <row r="4544">
      <c r="A4544" s="282" t="inlineStr">
        <is>
          <t>2024-09-09</t>
        </is>
      </c>
      <c r="B4544" s="240">
        <f>IFERROR(1/P4544-1,B4543)</f>
        <v/>
      </c>
      <c r="C4544" s="240">
        <f>$C$3</f>
        <v/>
      </c>
      <c r="D4544" s="240">
        <f>$D$3</f>
        <v/>
      </c>
      <c r="E4544" s="240">
        <f>$E$3</f>
        <v/>
      </c>
      <c r="F4544" s="241" t="n">
        <v>12.71</v>
      </c>
      <c r="G4544" s="242" t="n">
        <v>15737408</v>
      </c>
      <c r="H4544" s="241" t="n">
        <v>-1.78</v>
      </c>
      <c r="I4544" s="241" t="n">
        <v>-18.42</v>
      </c>
      <c r="J4544" s="241" t="n">
        <v>-10.46</v>
      </c>
      <c r="K4544" s="241" t="n">
        <v>7.28</v>
      </c>
      <c r="L4544" s="242" t="n">
        <v>3014000</v>
      </c>
      <c r="M4544" s="241" t="n">
        <v>-3.27</v>
      </c>
      <c r="N4544" s="241" t="n">
        <v>-21.36</v>
      </c>
      <c r="O4544" s="241" t="n">
        <v>17.06</v>
      </c>
      <c r="P4544" s="241" t="n">
        <v>1.75</v>
      </c>
    </row>
    <row r="4545">
      <c r="A4545" s="282" t="inlineStr">
        <is>
          <t>2024-09-10</t>
        </is>
      </c>
      <c r="B4545" s="240">
        <f>IFERROR(1/P4545-1,B4544)</f>
        <v/>
      </c>
      <c r="C4545" s="240">
        <f>$C$3</f>
        <v/>
      </c>
      <c r="D4545" s="240">
        <f>$D$3</f>
        <v/>
      </c>
      <c r="E4545" s="240">
        <f>$E$3</f>
        <v/>
      </c>
      <c r="F4545" s="241" t="n">
        <v>12.62</v>
      </c>
      <c r="G4545" s="242" t="n">
        <v>20612100</v>
      </c>
      <c r="H4545" s="241" t="n">
        <v>-0.71</v>
      </c>
      <c r="I4545" s="241" t="n">
        <v>-18.84</v>
      </c>
      <c r="J4545" s="241" t="n">
        <v>-11.09</v>
      </c>
      <c r="K4545" s="241" t="n">
        <v>7.13</v>
      </c>
      <c r="L4545" s="242" t="n">
        <v>2713400</v>
      </c>
      <c r="M4545" s="241" t="n">
        <v>-2.13</v>
      </c>
      <c r="N4545" s="241" t="n">
        <v>-22.27</v>
      </c>
      <c r="O4545" s="241" t="n">
        <v>14.57</v>
      </c>
      <c r="P4545" s="241" t="n">
        <v>1.77</v>
      </c>
    </row>
    <row r="4546">
      <c r="A4546" s="282" t="inlineStr">
        <is>
          <t>2024-09-11</t>
        </is>
      </c>
      <c r="B4546" s="240">
        <f>IFERROR(1/P4546-1,B4545)</f>
        <v/>
      </c>
      <c r="C4546" s="240">
        <f>$C$3</f>
        <v/>
      </c>
      <c r="D4546" s="240">
        <f>$D$3</f>
        <v/>
      </c>
      <c r="E4546" s="240">
        <f>$E$3</f>
        <v/>
      </c>
      <c r="F4546" s="241" t="n">
        <v>12.55</v>
      </c>
      <c r="G4546" s="242" t="n">
        <v>14312106</v>
      </c>
      <c r="H4546" s="241" t="n">
        <v>-0.55</v>
      </c>
      <c r="I4546" s="241" t="n">
        <v>-19.29</v>
      </c>
      <c r="J4546" s="241" t="n">
        <v>-11.59</v>
      </c>
      <c r="K4546" s="241" t="n">
        <v>7</v>
      </c>
      <c r="L4546" s="242" t="n">
        <v>2281200</v>
      </c>
      <c r="M4546" s="241" t="n">
        <v>-1.92</v>
      </c>
      <c r="N4546" s="241" t="n">
        <v>-23.76</v>
      </c>
      <c r="O4546" s="241" t="n">
        <v>12.38</v>
      </c>
      <c r="P4546" s="241" t="n">
        <v>1.79</v>
      </c>
    </row>
    <row r="4547">
      <c r="A4547" s="282" t="inlineStr">
        <is>
          <t>2024-09-12</t>
        </is>
      </c>
      <c r="B4547" s="240">
        <f>IFERROR(1/P4547-1,B4546)</f>
        <v/>
      </c>
      <c r="C4547" s="240">
        <f>$C$3</f>
        <v/>
      </c>
      <c r="D4547" s="240">
        <f>$D$3</f>
        <v/>
      </c>
      <c r="E4547" s="240">
        <f>$E$3</f>
        <v/>
      </c>
      <c r="F4547" s="241" t="n">
        <v>12.71</v>
      </c>
      <c r="G4547" s="242" t="n">
        <v>16132355</v>
      </c>
      <c r="H4547" s="241" t="n">
        <v>1.27</v>
      </c>
      <c r="I4547" s="241" t="n">
        <v>-18.26</v>
      </c>
      <c r="J4547" s="241" t="n">
        <v>-10.46</v>
      </c>
      <c r="K4547" s="241" t="n">
        <v>7.12</v>
      </c>
      <c r="L4547" s="242" t="n">
        <v>2075000</v>
      </c>
      <c r="M4547" s="241" t="n">
        <v>1.69</v>
      </c>
      <c r="N4547" s="241" t="n">
        <v>-22.47</v>
      </c>
      <c r="O4547" s="241" t="n">
        <v>14.28</v>
      </c>
      <c r="P4547" s="241" t="n">
        <v>1.78</v>
      </c>
    </row>
    <row r="4548">
      <c r="A4548" s="282" t="inlineStr">
        <is>
          <t>2024-09-13</t>
        </is>
      </c>
      <c r="B4548" s="240">
        <f>IFERROR(1/P4548-1,B4547)</f>
        <v/>
      </c>
      <c r="C4548" s="240">
        <f>$C$3</f>
        <v/>
      </c>
      <c r="D4548" s="240">
        <f>$D$3</f>
        <v/>
      </c>
      <c r="E4548" s="240">
        <f>$E$3</f>
        <v/>
      </c>
      <c r="F4548" s="241" t="n">
        <v>12.34</v>
      </c>
      <c r="G4548" s="242" t="n">
        <v>16741957</v>
      </c>
      <c r="H4548" s="241" t="n">
        <v>-2.91</v>
      </c>
      <c r="I4548" s="241" t="n">
        <v>-22.58</v>
      </c>
      <c r="J4548" s="241" t="n">
        <v>-13.07</v>
      </c>
      <c r="K4548" s="241" t="n">
        <v>7.09</v>
      </c>
      <c r="L4548" s="242" t="n">
        <v>1475800</v>
      </c>
      <c r="M4548" s="241" t="n">
        <v>-0.13</v>
      </c>
      <c r="N4548" s="241" t="n">
        <v>-25.67</v>
      </c>
      <c r="O4548" s="241" t="n">
        <v>14.13</v>
      </c>
      <c r="P4548" s="241" t="n">
        <v>1.74</v>
      </c>
    </row>
    <row r="4549">
      <c r="A4549" s="282" t="inlineStr">
        <is>
          <t>2024-09-18</t>
        </is>
      </c>
      <c r="B4549" s="240">
        <f>IFERROR(1/P4549-1,B4548)</f>
        <v/>
      </c>
      <c r="C4549" s="240">
        <f>$C$3</f>
        <v/>
      </c>
      <c r="D4549" s="240">
        <f>$D$3</f>
        <v/>
      </c>
      <c r="E4549" s="240">
        <f>$E$3</f>
        <v/>
      </c>
      <c r="F4549" s="241" t="n">
        <v>12.43</v>
      </c>
      <c r="G4549" s="242" t="n">
        <v>12702588</v>
      </c>
      <c r="H4549" s="241" t="n">
        <v>0.73</v>
      </c>
      <c r="I4549" s="241" t="n">
        <v>-12.65</v>
      </c>
      <c r="J4549" s="241" t="n">
        <v>-12.43</v>
      </c>
      <c r="K4549" s="239" t="inlineStr">
        <is>
          <t>--</t>
        </is>
      </c>
      <c r="L4549" s="239" t="inlineStr">
        <is>
          <t>--</t>
        </is>
      </c>
      <c r="M4549" s="239" t="inlineStr">
        <is>
          <t>--</t>
        </is>
      </c>
      <c r="N4549" s="239" t="inlineStr">
        <is>
          <t>--</t>
        </is>
      </c>
      <c r="O4549" s="239" t="inlineStr">
        <is>
          <t>--</t>
        </is>
      </c>
      <c r="P4549" s="239" t="inlineStr">
        <is>
          <t>--</t>
        </is>
      </c>
    </row>
    <row r="4550">
      <c r="A4550" s="282" t="inlineStr">
        <is>
          <t>2024-09-19</t>
        </is>
      </c>
      <c r="B4550" s="240">
        <f>IFERROR(1/P4550-1,B4549)</f>
        <v/>
      </c>
      <c r="C4550" s="240">
        <f>$C$3</f>
        <v/>
      </c>
      <c r="D4550" s="240">
        <f>$D$3</f>
        <v/>
      </c>
      <c r="E4550" s="240">
        <f>$E$3</f>
        <v/>
      </c>
      <c r="F4550" s="241" t="n">
        <v>12.63</v>
      </c>
      <c r="G4550" s="242" t="n">
        <v>16248710</v>
      </c>
      <c r="H4550" s="241" t="n">
        <v>1.61</v>
      </c>
      <c r="I4550" s="241" t="n">
        <v>-11.24</v>
      </c>
      <c r="J4550" s="241" t="n">
        <v>-11.02</v>
      </c>
      <c r="K4550" s="241" t="n">
        <v>7.24</v>
      </c>
      <c r="L4550" s="242" t="n">
        <v>4026800</v>
      </c>
      <c r="M4550" s="241" t="n">
        <v>3.92</v>
      </c>
      <c r="N4550" s="241" t="n">
        <v>-13.77</v>
      </c>
      <c r="O4550" s="241" t="n">
        <v>16.48</v>
      </c>
      <c r="P4550" s="241" t="n">
        <v>1.74</v>
      </c>
    </row>
    <row r="4551">
      <c r="A4551" s="282" t="inlineStr">
        <is>
          <t>2024-09-20</t>
        </is>
      </c>
      <c r="B4551" s="240">
        <f>IFERROR(1/P4551-1,B4550)</f>
        <v/>
      </c>
      <c r="C4551" s="240">
        <f>$C$3</f>
        <v/>
      </c>
      <c r="D4551" s="240">
        <f>$D$3</f>
        <v/>
      </c>
      <c r="E4551" s="240">
        <f>$E$3</f>
        <v/>
      </c>
      <c r="F4551" s="241" t="n">
        <v>12.47</v>
      </c>
      <c r="G4551" s="242" t="n">
        <v>16469396</v>
      </c>
      <c r="H4551" s="241" t="n">
        <v>-1.27</v>
      </c>
      <c r="I4551" s="241" t="n">
        <v>-12.43</v>
      </c>
      <c r="J4551" s="241" t="n">
        <v>-12.15</v>
      </c>
      <c r="K4551" s="241" t="n">
        <v>7.25</v>
      </c>
      <c r="L4551" s="242" t="n">
        <v>1842200</v>
      </c>
      <c r="M4551" s="241" t="n">
        <v>0.63</v>
      </c>
      <c r="N4551" s="241" t="n">
        <v>-14.53</v>
      </c>
      <c r="O4551" s="241" t="n">
        <v>17.21</v>
      </c>
      <c r="P4551" s="241" t="n">
        <v>1.72</v>
      </c>
    </row>
    <row r="4552">
      <c r="A4552" s="282" t="inlineStr">
        <is>
          <t>2024-09-23</t>
        </is>
      </c>
      <c r="B4552" s="240">
        <f>IFERROR(1/P4552-1,B4551)</f>
        <v/>
      </c>
      <c r="C4552" s="240">
        <f>$C$3</f>
        <v/>
      </c>
      <c r="D4552" s="240">
        <f>$D$3</f>
        <v/>
      </c>
      <c r="E4552" s="240">
        <f>$E$3</f>
        <v/>
      </c>
      <c r="F4552" s="241" t="n">
        <v>12.66</v>
      </c>
      <c r="G4552" s="242" t="n">
        <v>14184441</v>
      </c>
      <c r="H4552" s="241" t="n">
        <v>1.52</v>
      </c>
      <c r="I4552" s="241" t="n">
        <v>-8.720000000000001</v>
      </c>
      <c r="J4552" s="241" t="n">
        <v>-10.81</v>
      </c>
      <c r="K4552" s="241" t="n">
        <v>7.51</v>
      </c>
      <c r="L4552" s="242" t="n">
        <v>1857641</v>
      </c>
      <c r="M4552" s="241" t="n">
        <v>3.75</v>
      </c>
      <c r="N4552" s="241" t="n">
        <v>-8.59</v>
      </c>
      <c r="O4552" s="241" t="n">
        <v>21.61</v>
      </c>
      <c r="P4552" s="241" t="n">
        <v>1.68</v>
      </c>
    </row>
    <row r="4553">
      <c r="A4553" s="282" t="inlineStr">
        <is>
          <t>2024-09-24</t>
        </is>
      </c>
      <c r="B4553" s="240">
        <f>IFERROR(1/P4553-1,B4552)</f>
        <v/>
      </c>
      <c r="C4553" s="240">
        <f>$C$3</f>
        <v/>
      </c>
      <c r="D4553" s="240">
        <f>$D$3</f>
        <v/>
      </c>
      <c r="E4553" s="240">
        <f>$E$3</f>
        <v/>
      </c>
      <c r="F4553" s="241" t="n">
        <v>13.17</v>
      </c>
      <c r="G4553" s="242" t="n">
        <v>33194682</v>
      </c>
      <c r="H4553" s="241" t="n">
        <v>4.03</v>
      </c>
      <c r="I4553" s="241" t="n">
        <v>-4.29</v>
      </c>
      <c r="J4553" s="241" t="n">
        <v>-7.22</v>
      </c>
      <c r="K4553" s="241" t="n">
        <v>8.07</v>
      </c>
      <c r="L4553" s="242" t="n">
        <v>4962800</v>
      </c>
      <c r="M4553" s="241" t="n">
        <v>7.35</v>
      </c>
      <c r="N4553" s="241" t="n">
        <v>-0.45</v>
      </c>
      <c r="O4553" s="241" t="n">
        <v>30.54</v>
      </c>
      <c r="P4553" s="241" t="n">
        <v>1.63</v>
      </c>
    </row>
    <row r="4554">
      <c r="A4554" s="282" t="inlineStr">
        <is>
          <t>2024-09-25</t>
        </is>
      </c>
      <c r="B4554" s="240">
        <f>IFERROR(1/P4554-1,B4553)</f>
        <v/>
      </c>
      <c r="C4554" s="240">
        <f>$C$3</f>
        <v/>
      </c>
      <c r="D4554" s="240">
        <f>$D$3</f>
        <v/>
      </c>
      <c r="E4554" s="240">
        <f>$E$3</f>
        <v/>
      </c>
      <c r="F4554" s="241" t="n">
        <v>13.52</v>
      </c>
      <c r="G4554" s="242" t="n">
        <v>34975349</v>
      </c>
      <c r="H4554" s="241" t="n">
        <v>2.66</v>
      </c>
      <c r="I4554" s="241" t="n">
        <v>-1.74</v>
      </c>
      <c r="J4554" s="241" t="n">
        <v>-4.75</v>
      </c>
      <c r="K4554" s="241" t="n">
        <v>8.210000000000001</v>
      </c>
      <c r="L4554" s="242" t="n">
        <v>5842678</v>
      </c>
      <c r="M4554" s="241" t="n">
        <v>2.13</v>
      </c>
      <c r="N4554" s="241" t="n">
        <v>1.68</v>
      </c>
      <c r="O4554" s="241" t="n">
        <v>33.33</v>
      </c>
      <c r="P4554" s="241" t="n">
        <v>1.65</v>
      </c>
    </row>
    <row r="4555">
      <c r="A4555" s="282" t="inlineStr">
        <is>
          <t>2024-09-26</t>
        </is>
      </c>
      <c r="B4555" s="240">
        <f>IFERROR(1/P4555-1,B4554)</f>
        <v/>
      </c>
      <c r="C4555" s="240">
        <f>$C$3</f>
        <v/>
      </c>
      <c r="D4555" s="240">
        <f>$D$3</f>
        <v/>
      </c>
      <c r="E4555" s="240">
        <f>$E$3</f>
        <v/>
      </c>
      <c r="F4555" s="241" t="n">
        <v>13.85</v>
      </c>
      <c r="G4555" s="242" t="n">
        <v>27346912</v>
      </c>
      <c r="H4555" s="241" t="n">
        <v>2.44</v>
      </c>
      <c r="I4555" s="241" t="n">
        <v>0.65</v>
      </c>
      <c r="J4555" s="241" t="n">
        <v>-2.43</v>
      </c>
      <c r="K4555" s="241" t="n">
        <v>8.65</v>
      </c>
      <c r="L4555" s="242" t="n">
        <v>2881900</v>
      </c>
      <c r="M4555" s="241" t="n">
        <v>5.16</v>
      </c>
      <c r="N4555" s="241" t="n">
        <v>6.93</v>
      </c>
      <c r="O4555" s="241" t="n">
        <v>40.21</v>
      </c>
      <c r="P4555" s="241" t="n">
        <v>1.6</v>
      </c>
    </row>
    <row r="4556">
      <c r="A4556" s="282" t="inlineStr">
        <is>
          <t>2024-09-27</t>
        </is>
      </c>
      <c r="B4556" s="240">
        <f>IFERROR(1/P4556-1,B4555)</f>
        <v/>
      </c>
      <c r="C4556" s="240">
        <f>$C$3</f>
        <v/>
      </c>
      <c r="D4556" s="240">
        <f>$D$3</f>
        <v/>
      </c>
      <c r="E4556" s="240">
        <f>$E$3</f>
        <v/>
      </c>
      <c r="F4556" s="241" t="n">
        <v>14.56</v>
      </c>
      <c r="G4556" s="242" t="n">
        <v>27428192</v>
      </c>
      <c r="H4556" s="241" t="n">
        <v>5.13</v>
      </c>
      <c r="I4556" s="241" t="n">
        <v>5.28</v>
      </c>
      <c r="J4556" s="241" t="n">
        <v>2.57</v>
      </c>
      <c r="K4556" s="241" t="n">
        <v>8.85</v>
      </c>
      <c r="L4556" s="242" t="n">
        <v>6159800</v>
      </c>
      <c r="M4556" s="241" t="n">
        <v>2.61</v>
      </c>
      <c r="N4556" s="241" t="n">
        <v>8.869999999999999</v>
      </c>
      <c r="O4556" s="241" t="n">
        <v>43.88</v>
      </c>
      <c r="P4556" s="241" t="n">
        <v>1.65</v>
      </c>
    </row>
    <row r="4557">
      <c r="A4557" s="282" t="inlineStr">
        <is>
          <t>2024-09-30</t>
        </is>
      </c>
      <c r="B4557" s="240">
        <f>IFERROR(1/P4557-1,B4556)</f>
        <v/>
      </c>
      <c r="C4557" s="240">
        <f>$C$3</f>
        <v/>
      </c>
      <c r="D4557" s="240">
        <f>$D$3</f>
        <v/>
      </c>
      <c r="E4557" s="240">
        <f>$E$3</f>
        <v/>
      </c>
      <c r="F4557" s="241" t="n">
        <v>15.8</v>
      </c>
      <c r="G4557" s="242" t="n">
        <v>68898368</v>
      </c>
      <c r="H4557" s="241" t="n">
        <v>8.52</v>
      </c>
      <c r="I4557" s="241" t="n">
        <v>16.52</v>
      </c>
      <c r="J4557" s="241" t="n">
        <v>11.31</v>
      </c>
      <c r="K4557" s="241" t="n">
        <v>9.58</v>
      </c>
      <c r="L4557" s="242" t="n">
        <v>9874753</v>
      </c>
      <c r="M4557" s="241" t="n">
        <v>8.15</v>
      </c>
      <c r="N4557" s="241" t="n">
        <v>19.33</v>
      </c>
      <c r="O4557" s="241" t="n">
        <v>55.6</v>
      </c>
      <c r="P4557" s="241" t="n">
        <v>1.65</v>
      </c>
    </row>
    <row r="4558">
      <c r="A4558" s="282" t="inlineStr">
        <is>
          <t>2024-10-08</t>
        </is>
      </c>
      <c r="B4558" s="240">
        <f>IFERROR(1/P4558-1,B4557)</f>
        <v/>
      </c>
      <c r="C4558" s="240">
        <f>$C$3</f>
        <v/>
      </c>
      <c r="D4558" s="240">
        <f>$D$3</f>
        <v/>
      </c>
      <c r="E4558" s="240">
        <f>$E$3</f>
        <v/>
      </c>
      <c r="F4558" s="241" t="n">
        <v>16.27</v>
      </c>
      <c r="G4558" s="242" t="n">
        <v>82688730</v>
      </c>
      <c r="H4558" s="241" t="n">
        <v>2.97</v>
      </c>
      <c r="I4558" s="241" t="n">
        <v>25.73</v>
      </c>
      <c r="J4558" s="241" t="n">
        <v>14.62</v>
      </c>
      <c r="K4558" s="241" t="n">
        <v>9.56</v>
      </c>
      <c r="L4558" s="242" t="n">
        <v>12611400</v>
      </c>
      <c r="M4558" s="241" t="n">
        <v>-14.5</v>
      </c>
      <c r="N4558" s="241" t="n">
        <v>27.12</v>
      </c>
      <c r="O4558" s="241" t="n">
        <v>53.84</v>
      </c>
      <c r="P4558" s="241" t="n">
        <v>1.7</v>
      </c>
    </row>
    <row r="4559">
      <c r="A4559" s="282" t="inlineStr">
        <is>
          <t>2024-10-09</t>
        </is>
      </c>
      <c r="B4559" s="240">
        <f>IFERROR(1/P4559-1,B4558)</f>
        <v/>
      </c>
      <c r="C4559" s="240">
        <f>$C$3</f>
        <v/>
      </c>
      <c r="D4559" s="240">
        <f>$D$3</f>
        <v/>
      </c>
      <c r="E4559" s="240">
        <f>$E$3</f>
        <v/>
      </c>
      <c r="F4559" s="241" t="n">
        <v>14.85</v>
      </c>
      <c r="G4559" s="242" t="n">
        <v>61652187</v>
      </c>
      <c r="H4559" s="241" t="n">
        <v>-8.73</v>
      </c>
      <c r="I4559" s="241" t="n">
        <v>14.76</v>
      </c>
      <c r="J4559" s="241" t="n">
        <v>4.62</v>
      </c>
      <c r="K4559" s="241" t="n">
        <v>8.91</v>
      </c>
      <c r="L4559" s="242" t="n">
        <v>8533400</v>
      </c>
      <c r="M4559" s="241" t="n">
        <v>-6.48</v>
      </c>
      <c r="N4559" s="241" t="n">
        <v>18.89</v>
      </c>
      <c r="O4559" s="241" t="n">
        <v>43.88</v>
      </c>
      <c r="P4559" s="241" t="n">
        <v>1.67</v>
      </c>
    </row>
    <row r="4560">
      <c r="A4560" s="282" t="inlineStr">
        <is>
          <t>2024-10-10</t>
        </is>
      </c>
      <c r="B4560" s="240">
        <f>IFERROR(1/P4560-1,B4559)</f>
        <v/>
      </c>
      <c r="C4560" s="240">
        <f>$C$3</f>
        <v/>
      </c>
      <c r="D4560" s="240">
        <f>$D$3</f>
        <v/>
      </c>
      <c r="E4560" s="240">
        <f>$E$3</f>
        <v/>
      </c>
      <c r="F4560" s="241" t="n">
        <v>15.15</v>
      </c>
      <c r="G4560" s="242" t="n">
        <v>40099762</v>
      </c>
      <c r="H4560" s="241" t="n">
        <v>2.02</v>
      </c>
      <c r="I4560" s="241" t="n">
        <v>19.2</v>
      </c>
      <c r="J4560" s="241" t="n">
        <v>6.73</v>
      </c>
      <c r="K4560" s="241" t="n">
        <v>9.08</v>
      </c>
      <c r="L4560" s="242" t="n">
        <v>4814200</v>
      </c>
      <c r="M4560" s="241" t="n">
        <v>1.63</v>
      </c>
      <c r="N4560" s="241" t="n">
        <v>24.91</v>
      </c>
      <c r="O4560" s="241" t="n">
        <v>46.22</v>
      </c>
      <c r="P4560" s="241" t="n">
        <v>1.67</v>
      </c>
    </row>
    <row r="4561">
      <c r="A4561" s="282" t="inlineStr">
        <is>
          <t>2024-10-11</t>
        </is>
      </c>
      <c r="B4561" s="240">
        <f>IFERROR(1/P4561-1,B4560)</f>
        <v/>
      </c>
      <c r="C4561" s="240">
        <f>$C$3</f>
        <v/>
      </c>
      <c r="D4561" s="240">
        <f>$D$3</f>
        <v/>
      </c>
      <c r="E4561" s="240">
        <f>$E$3</f>
        <v/>
      </c>
      <c r="F4561" s="241" t="n">
        <v>14.65</v>
      </c>
      <c r="G4561" s="242" t="n">
        <v>26186229</v>
      </c>
      <c r="H4561" s="241" t="n">
        <v>-3.3</v>
      </c>
      <c r="I4561" s="241" t="n">
        <v>16.09</v>
      </c>
      <c r="J4561" s="241" t="n">
        <v>3.21</v>
      </c>
      <c r="K4561" s="239" t="inlineStr">
        <is>
          <t>--</t>
        </is>
      </c>
      <c r="L4561" s="239" t="inlineStr">
        <is>
          <t>--</t>
        </is>
      </c>
      <c r="M4561" s="239" t="inlineStr">
        <is>
          <t>--</t>
        </is>
      </c>
      <c r="N4561" s="239" t="inlineStr">
        <is>
          <t>--</t>
        </is>
      </c>
      <c r="O4561" s="239" t="inlineStr">
        <is>
          <t>--</t>
        </is>
      </c>
      <c r="P4561" s="239" t="inlineStr">
        <is>
          <t>--</t>
        </is>
      </c>
    </row>
    <row r="4562">
      <c r="A4562" s="282" t="inlineStr">
        <is>
          <t>2024-10-14</t>
        </is>
      </c>
      <c r="B4562" s="240">
        <f>IFERROR(1/P4562-1,B4561)</f>
        <v/>
      </c>
      <c r="C4562" s="240">
        <f>$C$3</f>
        <v/>
      </c>
      <c r="D4562" s="240">
        <f>$D$3</f>
        <v/>
      </c>
      <c r="E4562" s="240">
        <f>$E$3</f>
        <v/>
      </c>
      <c r="F4562" s="241" t="n">
        <v>14.9</v>
      </c>
      <c r="G4562" s="242" t="n">
        <v>29183768</v>
      </c>
      <c r="H4562" s="241" t="n">
        <v>1.71</v>
      </c>
      <c r="I4562" s="241" t="n">
        <v>20.75</v>
      </c>
      <c r="J4562" s="241" t="n">
        <v>4.97</v>
      </c>
      <c r="K4562" s="241" t="n">
        <v>9.07</v>
      </c>
      <c r="L4562" s="242" t="n">
        <v>4699400</v>
      </c>
      <c r="M4562" s="241" t="n">
        <v>-0.1</v>
      </c>
      <c r="N4562" s="241" t="n">
        <v>27.98</v>
      </c>
      <c r="O4562" s="241" t="n">
        <v>46.07</v>
      </c>
      <c r="P4562" s="241" t="n">
        <v>1.64</v>
      </c>
    </row>
    <row r="4563">
      <c r="A4563" s="282" t="inlineStr">
        <is>
          <t>2024-10-15</t>
        </is>
      </c>
      <c r="B4563" s="240">
        <f>IFERROR(1/P4563-1,B4562)</f>
        <v/>
      </c>
      <c r="C4563" s="240">
        <f>$C$3</f>
        <v/>
      </c>
      <c r="D4563" s="240">
        <f>$D$3</f>
        <v/>
      </c>
      <c r="E4563" s="240">
        <f>$E$3</f>
        <v/>
      </c>
      <c r="F4563" s="241" t="n">
        <v>14.46</v>
      </c>
      <c r="G4563" s="242" t="n">
        <v>30823609</v>
      </c>
      <c r="H4563" s="241" t="n">
        <v>-2.95</v>
      </c>
      <c r="I4563" s="241" t="n">
        <v>17.18</v>
      </c>
      <c r="J4563" s="241" t="n">
        <v>1.87</v>
      </c>
      <c r="K4563" s="241" t="n">
        <v>8.880000000000001</v>
      </c>
      <c r="L4563" s="242" t="n">
        <v>3145200</v>
      </c>
      <c r="M4563" s="241" t="n">
        <v>-2.41</v>
      </c>
      <c r="N4563" s="241" t="n">
        <v>24.9</v>
      </c>
      <c r="O4563" s="241" t="n">
        <v>42.56</v>
      </c>
      <c r="P4563" s="241" t="n">
        <v>1.63</v>
      </c>
    </row>
    <row r="4564">
      <c r="A4564" s="282" t="inlineStr">
        <is>
          <t>2024-10-16</t>
        </is>
      </c>
      <c r="B4564" s="240">
        <f>IFERROR(1/P4564-1,B4563)</f>
        <v/>
      </c>
      <c r="C4564" s="240">
        <f>$C$3</f>
        <v/>
      </c>
      <c r="D4564" s="240">
        <f>$D$3</f>
        <v/>
      </c>
      <c r="E4564" s="240">
        <f>$E$3</f>
        <v/>
      </c>
      <c r="F4564" s="241" t="n">
        <v>14.75</v>
      </c>
      <c r="G4564" s="242" t="n">
        <v>41588592</v>
      </c>
      <c r="H4564" s="241" t="n">
        <v>2.01</v>
      </c>
      <c r="I4564" s="241" t="n">
        <v>19.53</v>
      </c>
      <c r="J4564" s="241" t="n">
        <v>3.91</v>
      </c>
      <c r="K4564" s="241" t="n">
        <v>8.949999999999999</v>
      </c>
      <c r="L4564" s="242" t="n">
        <v>3652600</v>
      </c>
      <c r="M4564" s="241" t="n">
        <v>0.41</v>
      </c>
      <c r="N4564" s="241" t="n">
        <v>25.42</v>
      </c>
      <c r="O4564" s="241" t="n">
        <v>43.14</v>
      </c>
      <c r="P4564" s="241" t="n">
        <v>1.65</v>
      </c>
    </row>
    <row r="4565">
      <c r="A4565" s="282" t="inlineStr">
        <is>
          <t>2024-10-17</t>
        </is>
      </c>
      <c r="B4565" s="240">
        <f>IFERROR(1/P4565-1,B4564)</f>
        <v/>
      </c>
      <c r="C4565" s="240">
        <f>$C$3</f>
        <v/>
      </c>
      <c r="D4565" s="240">
        <f>$D$3</f>
        <v/>
      </c>
      <c r="E4565" s="240">
        <f>$E$3</f>
        <v/>
      </c>
      <c r="F4565" s="241" t="n">
        <v>14.37</v>
      </c>
      <c r="G4565" s="242" t="n">
        <v>35646518</v>
      </c>
      <c r="H4565" s="241" t="n">
        <v>-2.58</v>
      </c>
      <c r="I4565" s="241" t="n">
        <v>16.45</v>
      </c>
      <c r="J4565" s="241" t="n">
        <v>1.23</v>
      </c>
      <c r="K4565" s="241" t="n">
        <v>8.82</v>
      </c>
      <c r="L4565" s="242" t="n">
        <v>3589000</v>
      </c>
      <c r="M4565" s="241" t="n">
        <v>-1.43</v>
      </c>
      <c r="N4565" s="241" t="n">
        <v>24.74</v>
      </c>
      <c r="O4565" s="241" t="n">
        <v>41.09</v>
      </c>
      <c r="P4565" s="241" t="n">
        <v>1.63</v>
      </c>
    </row>
    <row r="4566">
      <c r="A4566" s="282" t="inlineStr">
        <is>
          <t>2024-10-18</t>
        </is>
      </c>
      <c r="B4566" s="240">
        <f>IFERROR(1/P4566-1,B4565)</f>
        <v/>
      </c>
      <c r="C4566" s="240">
        <f>$C$3</f>
        <v/>
      </c>
      <c r="D4566" s="240">
        <f>$D$3</f>
        <v/>
      </c>
      <c r="E4566" s="240">
        <f>$E$3</f>
        <v/>
      </c>
      <c r="F4566" s="241" t="n">
        <v>14.79</v>
      </c>
      <c r="G4566" s="242" t="n">
        <v>40025321</v>
      </c>
      <c r="H4566" s="241" t="n">
        <v>2.92</v>
      </c>
      <c r="I4566" s="241" t="n">
        <v>19.85</v>
      </c>
      <c r="J4566" s="241" t="n">
        <v>4.19</v>
      </c>
      <c r="K4566" s="241" t="n">
        <v>9.33</v>
      </c>
      <c r="L4566" s="242" t="n">
        <v>3844400</v>
      </c>
      <c r="M4566" s="241" t="n">
        <v>5.71</v>
      </c>
      <c r="N4566" s="241" t="n">
        <v>33.07</v>
      </c>
      <c r="O4566" s="241" t="n">
        <v>49.15</v>
      </c>
      <c r="P4566" s="241" t="n">
        <v>1.58</v>
      </c>
    </row>
    <row r="4567">
      <c r="A4567" s="282" t="inlineStr">
        <is>
          <t>2024-10-21</t>
        </is>
      </c>
      <c r="B4567" s="240">
        <f>IFERROR(1/P4567-1,B4566)</f>
        <v/>
      </c>
      <c r="C4567" s="240">
        <f>$C$3</f>
        <v/>
      </c>
      <c r="D4567" s="240">
        <f>$D$3</f>
        <v/>
      </c>
      <c r="E4567" s="240">
        <f>$E$3</f>
        <v/>
      </c>
      <c r="F4567" s="241" t="n">
        <v>14.8</v>
      </c>
      <c r="G4567" s="242" t="n">
        <v>32907734</v>
      </c>
      <c r="H4567" s="241" t="n">
        <v>0.07000000000000001</v>
      </c>
      <c r="I4567" s="241" t="n">
        <v>18.68</v>
      </c>
      <c r="J4567" s="241" t="n">
        <v>4.26</v>
      </c>
      <c r="K4567" s="241" t="n">
        <v>9.26</v>
      </c>
      <c r="L4567" s="242" t="n">
        <v>4998400</v>
      </c>
      <c r="M4567" s="241" t="n">
        <v>-0.39</v>
      </c>
      <c r="N4567" s="241" t="n">
        <v>26.75</v>
      </c>
      <c r="O4567" s="241" t="n">
        <v>48.57</v>
      </c>
      <c r="P4567" s="241" t="n">
        <v>1.6</v>
      </c>
    </row>
    <row r="4568">
      <c r="A4568" s="282" t="inlineStr">
        <is>
          <t>2024-10-22</t>
        </is>
      </c>
      <c r="B4568" s="240">
        <f>IFERROR(1/P4568-1,B4567)</f>
        <v/>
      </c>
      <c r="C4568" s="240">
        <f>$C$3</f>
        <v/>
      </c>
      <c r="D4568" s="240">
        <f>$D$3</f>
        <v/>
      </c>
      <c r="E4568" s="240">
        <f>$E$3</f>
        <v/>
      </c>
      <c r="F4568" s="241" t="n">
        <v>15.3</v>
      </c>
      <c r="G4568" s="242" t="n">
        <v>39656415</v>
      </c>
      <c r="H4568" s="241" t="n">
        <v>3.38</v>
      </c>
      <c r="I4568" s="241" t="n">
        <v>22.69</v>
      </c>
      <c r="J4568" s="241" t="n">
        <v>7.79</v>
      </c>
      <c r="K4568" s="241" t="n">
        <v>9.49</v>
      </c>
      <c r="L4568" s="242" t="n">
        <v>2880000</v>
      </c>
      <c r="M4568" s="241" t="n">
        <v>2.17</v>
      </c>
      <c r="N4568" s="241" t="n">
        <v>29.5</v>
      </c>
      <c r="O4568" s="241" t="n">
        <v>51.79</v>
      </c>
      <c r="P4568" s="241" t="n">
        <v>1.61</v>
      </c>
    </row>
    <row r="4569">
      <c r="A4569" s="282" t="inlineStr">
        <is>
          <t>2024-10-23</t>
        </is>
      </c>
      <c r="B4569" s="240">
        <f>IFERROR(1/P4569-1,B4568)</f>
        <v/>
      </c>
      <c r="C4569" s="240">
        <f>$C$3</f>
        <v/>
      </c>
      <c r="D4569" s="240">
        <f>$D$3</f>
        <v/>
      </c>
      <c r="E4569" s="240">
        <f>$E$3</f>
        <v/>
      </c>
      <c r="F4569" s="241" t="n">
        <v>15.35</v>
      </c>
      <c r="G4569" s="242" t="n">
        <v>38926580</v>
      </c>
      <c r="H4569" s="241" t="n">
        <v>0.33</v>
      </c>
      <c r="I4569" s="241" t="n">
        <v>23.1</v>
      </c>
      <c r="J4569" s="241" t="n">
        <v>8.140000000000001</v>
      </c>
      <c r="K4569" s="241" t="n">
        <v>9.460000000000001</v>
      </c>
      <c r="L4569" s="242" t="n">
        <v>1936550</v>
      </c>
      <c r="M4569" s="241" t="n">
        <v>-0.39</v>
      </c>
      <c r="N4569" s="241" t="n">
        <v>29</v>
      </c>
      <c r="O4569" s="241" t="n">
        <v>51.2</v>
      </c>
      <c r="P4569" s="241" t="n">
        <v>1.62</v>
      </c>
    </row>
    <row r="4570">
      <c r="A4570" s="282" t="inlineStr">
        <is>
          <t>2024-10-24</t>
        </is>
      </c>
      <c r="B4570" s="240">
        <f>IFERROR(1/P4570-1,B4569)</f>
        <v/>
      </c>
      <c r="C4570" s="240">
        <f>$C$3</f>
        <v/>
      </c>
      <c r="D4570" s="240">
        <f>$D$3</f>
        <v/>
      </c>
      <c r="E4570" s="240">
        <f>$E$3</f>
        <v/>
      </c>
      <c r="F4570" s="241" t="n">
        <v>15.05</v>
      </c>
      <c r="G4570" s="242" t="n">
        <v>23788666</v>
      </c>
      <c r="H4570" s="241" t="n">
        <v>-1.95</v>
      </c>
      <c r="I4570" s="241" t="n">
        <v>18.88</v>
      </c>
      <c r="J4570" s="241" t="n">
        <v>6.02</v>
      </c>
      <c r="K4570" s="241" t="n">
        <v>9.32</v>
      </c>
      <c r="L4570" s="242" t="n">
        <v>947800</v>
      </c>
      <c r="M4570" s="241" t="n">
        <v>-1.55</v>
      </c>
      <c r="N4570" s="241" t="n">
        <v>22.41</v>
      </c>
      <c r="O4570" s="241" t="n">
        <v>48.86</v>
      </c>
      <c r="P4570" s="241" t="n">
        <v>1.61</v>
      </c>
    </row>
    <row r="4571">
      <c r="A4571" s="282" t="inlineStr">
        <is>
          <t>2024-10-25</t>
        </is>
      </c>
      <c r="B4571" s="240">
        <f>IFERROR(1/P4571-1,B4570)</f>
        <v/>
      </c>
      <c r="C4571" s="240">
        <f>$C$3</f>
        <v/>
      </c>
      <c r="D4571" s="240">
        <f>$D$3</f>
        <v/>
      </c>
      <c r="E4571" s="240">
        <f>$E$3</f>
        <v/>
      </c>
      <c r="F4571" s="241" t="n">
        <v>15.57</v>
      </c>
      <c r="G4571" s="242" t="n">
        <v>42835192</v>
      </c>
      <c r="H4571" s="241" t="n">
        <v>3.46</v>
      </c>
      <c r="I4571" s="241" t="n">
        <v>18.22</v>
      </c>
      <c r="J4571" s="241" t="n">
        <v>9.69</v>
      </c>
      <c r="K4571" s="241" t="n">
        <v>9.44</v>
      </c>
      <c r="L4571" s="242" t="n">
        <v>1470000</v>
      </c>
      <c r="M4571" s="241" t="n">
        <v>1.57</v>
      </c>
      <c r="N4571" s="241" t="n">
        <v>15.82</v>
      </c>
      <c r="O4571" s="241" t="n">
        <v>51.2</v>
      </c>
      <c r="P4571" s="241" t="n">
        <v>1.65</v>
      </c>
    </row>
    <row r="4572">
      <c r="A4572" s="282" t="inlineStr">
        <is>
          <t>2024-10-28</t>
        </is>
      </c>
      <c r="B4572" s="240">
        <f>IFERROR(1/P4572-1,B4571)</f>
        <v/>
      </c>
      <c r="C4572" s="240">
        <f>$C$3</f>
        <v/>
      </c>
      <c r="D4572" s="240">
        <f>$D$3</f>
        <v/>
      </c>
      <c r="E4572" s="240">
        <f>$E$3</f>
        <v/>
      </c>
      <c r="F4572" s="241" t="n">
        <v>15.45</v>
      </c>
      <c r="G4572" s="242" t="n">
        <v>31700690</v>
      </c>
      <c r="H4572" s="241" t="n">
        <v>-0.77</v>
      </c>
      <c r="I4572" s="241" t="n">
        <v>6.11</v>
      </c>
      <c r="J4572" s="241" t="n">
        <v>8.84</v>
      </c>
      <c r="K4572" s="241" t="n">
        <v>9.470000000000001</v>
      </c>
      <c r="L4572" s="242" t="n">
        <v>1272601</v>
      </c>
      <c r="M4572" s="241" t="n">
        <v>0</v>
      </c>
      <c r="N4572" s="241" t="n">
        <v>5.09</v>
      </c>
      <c r="O4572" s="241" t="n">
        <v>51.2</v>
      </c>
      <c r="P4572" s="241" t="n">
        <v>1.63</v>
      </c>
    </row>
    <row r="4573">
      <c r="A4573" s="282" t="inlineStr">
        <is>
          <t>2024-10-29</t>
        </is>
      </c>
      <c r="B4573" s="240">
        <f>IFERROR(1/P4573-1,B4572)</f>
        <v/>
      </c>
      <c r="C4573" s="240">
        <f>$C$3</f>
        <v/>
      </c>
      <c r="D4573" s="240">
        <f>$D$3</f>
        <v/>
      </c>
      <c r="E4573" s="240">
        <f>$E$3</f>
        <v/>
      </c>
      <c r="F4573" s="241" t="n">
        <v>15.24</v>
      </c>
      <c r="G4573" s="242" t="n">
        <v>26424852</v>
      </c>
      <c r="H4573" s="241" t="n">
        <v>-1.36</v>
      </c>
      <c r="I4573" s="241" t="n">
        <v>4.67</v>
      </c>
      <c r="J4573" s="241" t="n">
        <v>7.36</v>
      </c>
      <c r="K4573" s="241" t="n">
        <v>9.41</v>
      </c>
      <c r="L4573" s="242" t="n">
        <v>1928800</v>
      </c>
      <c r="M4573" s="241" t="n">
        <v>-0.58</v>
      </c>
      <c r="N4573" s="241" t="n">
        <v>4.48</v>
      </c>
      <c r="O4573" s="241" t="n">
        <v>50.32</v>
      </c>
      <c r="P4573" s="241" t="n">
        <v>1.62</v>
      </c>
    </row>
    <row r="4574">
      <c r="A4574" s="282" t="inlineStr">
        <is>
          <t>2024-10-30</t>
        </is>
      </c>
      <c r="B4574" s="240">
        <f>IFERROR(1/P4574-1,B4573)</f>
        <v/>
      </c>
      <c r="C4574" s="240">
        <f>$C$3</f>
        <v/>
      </c>
      <c r="D4574" s="240">
        <f>$D$3</f>
        <v/>
      </c>
      <c r="E4574" s="240">
        <f>$E$3</f>
        <v/>
      </c>
      <c r="F4574" s="241" t="n">
        <v>15.05</v>
      </c>
      <c r="G4574" s="242" t="n">
        <v>23967404</v>
      </c>
      <c r="H4574" s="241" t="n">
        <v>-1.25</v>
      </c>
      <c r="I4574" s="241" t="n">
        <v>3.37</v>
      </c>
      <c r="J4574" s="241" t="n">
        <v>6.02</v>
      </c>
      <c r="K4574" s="241" t="n">
        <v>9.19</v>
      </c>
      <c r="L4574" s="242" t="n">
        <v>1558400</v>
      </c>
      <c r="M4574" s="241" t="n">
        <v>-2.53</v>
      </c>
      <c r="N4574" s="241" t="n">
        <v>1.83</v>
      </c>
      <c r="O4574" s="241" t="n">
        <v>46.51</v>
      </c>
      <c r="P4574" s="241" t="n">
        <v>1.64</v>
      </c>
    </row>
    <row r="4575">
      <c r="A4575" s="282" t="inlineStr">
        <is>
          <t>2024-10-31</t>
        </is>
      </c>
      <c r="B4575" s="240">
        <f>IFERROR(1/P4575-1,B4574)</f>
        <v/>
      </c>
      <c r="C4575" s="240">
        <f>$C$3</f>
        <v/>
      </c>
      <c r="D4575" s="240">
        <f>$D$3</f>
        <v/>
      </c>
      <c r="E4575" s="240">
        <f>$E$3</f>
        <v/>
      </c>
      <c r="F4575" s="241" t="n">
        <v>15.77</v>
      </c>
      <c r="G4575" s="242" t="n">
        <v>57300529</v>
      </c>
      <c r="H4575" s="241" t="n">
        <v>4.78</v>
      </c>
      <c r="I4575" s="241" t="n">
        <v>8.31</v>
      </c>
      <c r="J4575" s="241" t="n">
        <v>11.1</v>
      </c>
      <c r="K4575" s="241" t="n">
        <v>9.369999999999999</v>
      </c>
      <c r="L4575" s="242" t="n">
        <v>2904800</v>
      </c>
      <c r="M4575" s="241" t="n">
        <v>2.2</v>
      </c>
      <c r="N4575" s="241" t="n">
        <v>4.07</v>
      </c>
      <c r="O4575" s="241" t="n">
        <v>49.74</v>
      </c>
      <c r="P4575" s="241" t="n">
        <v>1.68</v>
      </c>
    </row>
    <row r="4576">
      <c r="A4576" s="282" t="inlineStr">
        <is>
          <t>2024-11-01</t>
        </is>
      </c>
      <c r="B4576" s="240">
        <f>IFERROR(1/P4576-1,B4575)</f>
        <v/>
      </c>
      <c r="C4576" s="240">
        <f>$C$3</f>
        <v/>
      </c>
      <c r="D4576" s="240">
        <f>$D$3</f>
        <v/>
      </c>
      <c r="E4576" s="240">
        <f>$E$3</f>
        <v/>
      </c>
      <c r="F4576" s="241" t="n">
        <v>15.35</v>
      </c>
      <c r="G4576" s="242" t="n">
        <v>35321418</v>
      </c>
      <c r="H4576" s="241" t="n">
        <v>-2.66</v>
      </c>
      <c r="I4576" s="241" t="n">
        <v>-2.85</v>
      </c>
      <c r="J4576" s="241" t="n">
        <v>8.140000000000001</v>
      </c>
      <c r="K4576" s="241" t="n">
        <v>9.35</v>
      </c>
      <c r="L4576" s="242" t="n">
        <v>1605600</v>
      </c>
      <c r="M4576" s="241" t="n">
        <v>0</v>
      </c>
      <c r="N4576" s="241" t="n">
        <v>-3.77</v>
      </c>
      <c r="O4576" s="241" t="n">
        <v>49.74</v>
      </c>
      <c r="P4576" s="241" t="n">
        <v>1.64</v>
      </c>
    </row>
    <row r="4577">
      <c r="A4577" s="282" t="inlineStr">
        <is>
          <t>2024-11-04</t>
        </is>
      </c>
      <c r="B4577" s="240">
        <f>IFERROR(1/P4577-1,B4576)</f>
        <v/>
      </c>
      <c r="C4577" s="240">
        <f>$C$3</f>
        <v/>
      </c>
      <c r="D4577" s="240">
        <f>$D$3</f>
        <v/>
      </c>
      <c r="E4577" s="240">
        <f>$E$3</f>
        <v/>
      </c>
      <c r="F4577" s="241" t="n">
        <v>15.69</v>
      </c>
      <c r="G4577" s="242" t="n">
        <v>35453544</v>
      </c>
      <c r="H4577" s="241" t="n">
        <v>2.21</v>
      </c>
      <c r="I4577" s="241" t="n">
        <v>-0.7</v>
      </c>
      <c r="J4577" s="241" t="n">
        <v>10.53</v>
      </c>
      <c r="K4577" s="241" t="n">
        <v>9.58</v>
      </c>
      <c r="L4577" s="242" t="n">
        <v>2799800</v>
      </c>
      <c r="M4577" s="241" t="n">
        <v>2.35</v>
      </c>
      <c r="N4577" s="241" t="n">
        <v>-2.24</v>
      </c>
      <c r="O4577" s="241" t="n">
        <v>53.25</v>
      </c>
      <c r="P4577" s="241" t="n">
        <v>1.64</v>
      </c>
    </row>
    <row r="4578">
      <c r="A4578" s="282" t="inlineStr">
        <is>
          <t>2024-11-05</t>
        </is>
      </c>
      <c r="B4578" s="240">
        <f>IFERROR(1/P4578-1,B4577)</f>
        <v/>
      </c>
      <c r="C4578" s="240">
        <f>$C$3</f>
        <v/>
      </c>
      <c r="D4578" s="240">
        <f>$D$3</f>
        <v/>
      </c>
      <c r="E4578" s="240">
        <f>$E$3</f>
        <v/>
      </c>
      <c r="F4578" s="241" t="n">
        <v>16.05</v>
      </c>
      <c r="G4578" s="242" t="n">
        <v>40922204</v>
      </c>
      <c r="H4578" s="241" t="n">
        <v>2.29</v>
      </c>
      <c r="I4578" s="241" t="n">
        <v>1.58</v>
      </c>
      <c r="J4578" s="241" t="n">
        <v>13.07</v>
      </c>
      <c r="K4578" s="241" t="n">
        <v>9.869999999999999</v>
      </c>
      <c r="L4578" s="242" t="n">
        <v>3129200</v>
      </c>
      <c r="M4578" s="241" t="n">
        <v>3.25</v>
      </c>
      <c r="N4578" s="241" t="n">
        <v>-1.82</v>
      </c>
      <c r="O4578" s="241" t="n">
        <v>58.24</v>
      </c>
      <c r="P4578" s="241" t="n">
        <v>1.63</v>
      </c>
    </row>
    <row r="4579">
      <c r="A4579" s="282" t="inlineStr">
        <is>
          <t>2024-11-06</t>
        </is>
      </c>
      <c r="B4579" s="240">
        <f>IFERROR(1/P4579-1,B4578)</f>
        <v/>
      </c>
      <c r="C4579" s="240">
        <f>$C$3</f>
        <v/>
      </c>
      <c r="D4579" s="240">
        <f>$D$3</f>
        <v/>
      </c>
      <c r="E4579" s="240">
        <f>$E$3</f>
        <v/>
      </c>
      <c r="F4579" s="241" t="n">
        <v>15.98</v>
      </c>
      <c r="G4579" s="242" t="n">
        <v>41288582</v>
      </c>
      <c r="H4579" s="241" t="n">
        <v>-0.44</v>
      </c>
      <c r="I4579" s="241" t="n">
        <v>1.14</v>
      </c>
      <c r="J4579" s="241" t="n">
        <v>12.58</v>
      </c>
      <c r="K4579" s="241" t="n">
        <v>9.640000000000001</v>
      </c>
      <c r="L4579" s="242" t="n">
        <v>3038200</v>
      </c>
      <c r="M4579" s="241" t="n">
        <v>-2.22</v>
      </c>
      <c r="N4579" s="241" t="n">
        <v>-4</v>
      </c>
      <c r="O4579" s="241" t="n">
        <v>54.72</v>
      </c>
      <c r="P4579" s="241" t="n">
        <v>1.66</v>
      </c>
    </row>
    <row r="4580">
      <c r="A4580" s="282" t="inlineStr">
        <is>
          <t>2024-11-07</t>
        </is>
      </c>
      <c r="B4580" s="240">
        <f>IFERROR(1/P4580-1,B4579)</f>
        <v/>
      </c>
      <c r="C4580" s="240">
        <f>$C$3</f>
        <v/>
      </c>
      <c r="D4580" s="240">
        <f>$D$3</f>
        <v/>
      </c>
      <c r="E4580" s="240">
        <f>$E$3</f>
        <v/>
      </c>
      <c r="F4580" s="241" t="n">
        <v>16.29</v>
      </c>
      <c r="G4580" s="242" t="n">
        <v>38126024</v>
      </c>
      <c r="H4580" s="241" t="n">
        <v>1.94</v>
      </c>
      <c r="I4580" s="241" t="n">
        <v>3.1</v>
      </c>
      <c r="J4580" s="241" t="n">
        <v>14.76</v>
      </c>
      <c r="K4580" s="241" t="n">
        <v>9.83</v>
      </c>
      <c r="L4580" s="242" t="n">
        <v>2023602</v>
      </c>
      <c r="M4580" s="241" t="n">
        <v>0.95</v>
      </c>
      <c r="N4580" s="241" t="n">
        <v>-3.09</v>
      </c>
      <c r="O4580" s="241" t="n">
        <v>56.18</v>
      </c>
      <c r="P4580" s="241" t="n">
        <v>1.66</v>
      </c>
    </row>
    <row r="4581">
      <c r="A4581" s="282" t="inlineStr">
        <is>
          <t>2024-11-08</t>
        </is>
      </c>
      <c r="B4581" s="240">
        <f>IFERROR(1/P4581-1,B4580)</f>
        <v/>
      </c>
      <c r="C4581" s="240">
        <f>$C$3</f>
        <v/>
      </c>
      <c r="D4581" s="240">
        <f>$D$3</f>
        <v/>
      </c>
      <c r="E4581" s="240">
        <f>$E$3</f>
        <v/>
      </c>
      <c r="F4581" s="241" t="n">
        <v>16.22</v>
      </c>
      <c r="G4581" s="242" t="n">
        <v>34670550</v>
      </c>
      <c r="H4581" s="241" t="n">
        <v>-0.43</v>
      </c>
      <c r="I4581" s="241" t="n">
        <v>2.66</v>
      </c>
      <c r="J4581" s="241" t="n">
        <v>14.27</v>
      </c>
      <c r="K4581" s="241" t="n">
        <v>9.779999999999999</v>
      </c>
      <c r="L4581" s="242" t="n">
        <v>1433400</v>
      </c>
      <c r="M4581" s="241" t="n">
        <v>-0.19</v>
      </c>
      <c r="N4581" s="241" t="n">
        <v>-13.36</v>
      </c>
      <c r="O4581" s="241" t="n">
        <v>55.89</v>
      </c>
      <c r="P4581" s="241" t="n">
        <v>1.66</v>
      </c>
    </row>
    <row r="4582">
      <c r="A4582" s="282" t="inlineStr">
        <is>
          <t>2024-11-11</t>
        </is>
      </c>
      <c r="B4582" s="240">
        <f>IFERROR(1/P4582-1,B4581)</f>
        <v/>
      </c>
      <c r="C4582" s="240">
        <f>$C$3</f>
        <v/>
      </c>
      <c r="D4582" s="240">
        <f>$D$3</f>
        <v/>
      </c>
      <c r="E4582" s="240">
        <f>$E$3</f>
        <v/>
      </c>
      <c r="F4582" s="241" t="n">
        <v>16.32</v>
      </c>
      <c r="G4582" s="242" t="n">
        <v>26443499</v>
      </c>
      <c r="H4582" s="241" t="n">
        <v>0.62</v>
      </c>
      <c r="I4582" s="241" t="n">
        <v>7.72</v>
      </c>
      <c r="J4582" s="241" t="n">
        <v>14.97</v>
      </c>
      <c r="K4582" s="241" t="n">
        <v>9.66</v>
      </c>
      <c r="L4582" s="242" t="n">
        <v>1901800</v>
      </c>
      <c r="M4582" s="241" t="n">
        <v>-1.69</v>
      </c>
      <c r="N4582" s="241" t="n">
        <v>4.81</v>
      </c>
      <c r="O4582" s="241" t="n">
        <v>53.25</v>
      </c>
      <c r="P4582" s="241" t="n">
        <v>1.69</v>
      </c>
    </row>
    <row r="4583">
      <c r="A4583" s="282" t="inlineStr">
        <is>
          <t>2024-11-12</t>
        </is>
      </c>
      <c r="B4583" s="240">
        <f>IFERROR(1/P4583-1,B4582)</f>
        <v/>
      </c>
      <c r="C4583" s="240">
        <f>$C$3</f>
        <v/>
      </c>
      <c r="D4583" s="240">
        <f>$D$3</f>
        <v/>
      </c>
      <c r="E4583" s="240">
        <f>$E$3</f>
        <v/>
      </c>
      <c r="F4583" s="241" t="n">
        <v>16.32</v>
      </c>
      <c r="G4583" s="242" t="n">
        <v>48548577</v>
      </c>
      <c r="H4583" s="241" t="n">
        <v>0</v>
      </c>
      <c r="I4583" s="241" t="n">
        <v>11.4</v>
      </c>
      <c r="J4583" s="241" t="n">
        <v>14.97</v>
      </c>
      <c r="K4583" s="241" t="n">
        <v>9.24</v>
      </c>
      <c r="L4583" s="242" t="n">
        <v>4538400</v>
      </c>
      <c r="M4583" s="241" t="n">
        <v>-4.49</v>
      </c>
      <c r="N4583" s="241" t="n">
        <v>0.1</v>
      </c>
      <c r="O4583" s="241" t="n">
        <v>46.37</v>
      </c>
      <c r="P4583" s="241" t="n">
        <v>1.77</v>
      </c>
    </row>
    <row r="4584">
      <c r="A4584" s="282" t="inlineStr">
        <is>
          <t>2024-11-13</t>
        </is>
      </c>
      <c r="B4584" s="240">
        <f>IFERROR(1/P4584-1,B4583)</f>
        <v/>
      </c>
      <c r="C4584" s="240">
        <f>$C$3</f>
        <v/>
      </c>
      <c r="D4584" s="240">
        <f>$D$3</f>
        <v/>
      </c>
      <c r="E4584" s="240">
        <f>$E$3</f>
        <v/>
      </c>
      <c r="F4584" s="241" t="n">
        <v>16.32</v>
      </c>
      <c r="G4584" s="242" t="n">
        <v>23034664</v>
      </c>
      <c r="H4584" s="241" t="n">
        <v>0</v>
      </c>
      <c r="I4584" s="241" t="n">
        <v>11.4</v>
      </c>
      <c r="J4584" s="241" t="n">
        <v>14.97</v>
      </c>
      <c r="K4584" s="241" t="n">
        <v>9.289999999999999</v>
      </c>
      <c r="L4584" s="242" t="n">
        <v>1481800</v>
      </c>
      <c r="M4584" s="241" t="n">
        <v>0.5</v>
      </c>
      <c r="N4584" s="241" t="n">
        <v>0.6</v>
      </c>
      <c r="O4584" s="241" t="n">
        <v>47.1</v>
      </c>
      <c r="P4584" s="241" t="n">
        <v>1.76</v>
      </c>
    </row>
    <row r="4585">
      <c r="A4585" s="282" t="inlineStr">
        <is>
          <t>2024-11-14</t>
        </is>
      </c>
      <c r="B4585" s="240">
        <f>IFERROR(1/P4585-1,B4584)</f>
        <v/>
      </c>
      <c r="C4585" s="240">
        <f>$C$3</f>
        <v/>
      </c>
      <c r="D4585" s="240">
        <f>$D$3</f>
        <v/>
      </c>
      <c r="E4585" s="240">
        <f>$E$3</f>
        <v/>
      </c>
      <c r="F4585" s="241" t="n">
        <v>15.87</v>
      </c>
      <c r="G4585" s="242" t="n">
        <v>24952599</v>
      </c>
      <c r="H4585" s="241" t="n">
        <v>-2.76</v>
      </c>
      <c r="I4585" s="241" t="n">
        <v>8.33</v>
      </c>
      <c r="J4585" s="241" t="n">
        <v>11.8</v>
      </c>
      <c r="K4585" s="241" t="n">
        <v>9.029999999999999</v>
      </c>
      <c r="L4585" s="242" t="n">
        <v>2017790</v>
      </c>
      <c r="M4585" s="241" t="n">
        <v>-2.79</v>
      </c>
      <c r="N4585" s="241" t="n">
        <v>-2.2</v>
      </c>
      <c r="O4585" s="241" t="n">
        <v>43</v>
      </c>
      <c r="P4585" s="241" t="n">
        <v>1.76</v>
      </c>
    </row>
    <row r="4586">
      <c r="A4586" s="282" t="inlineStr">
        <is>
          <t>2024-11-15</t>
        </is>
      </c>
      <c r="B4586" s="240">
        <f>IFERROR(1/P4586-1,B4585)</f>
        <v/>
      </c>
      <c r="C4586" s="240">
        <f>$C$3</f>
        <v/>
      </c>
      <c r="D4586" s="240">
        <f>$D$3</f>
        <v/>
      </c>
      <c r="E4586" s="240">
        <f>$E$3</f>
        <v/>
      </c>
      <c r="F4586" s="241" t="n">
        <v>15.68</v>
      </c>
      <c r="G4586" s="242" t="n">
        <v>22195227</v>
      </c>
      <c r="H4586" s="241" t="n">
        <v>-1.2</v>
      </c>
      <c r="I4586" s="241" t="n">
        <v>5.23</v>
      </c>
      <c r="J4586" s="241" t="n">
        <v>10.46</v>
      </c>
      <c r="K4586" s="241" t="n">
        <v>8.970000000000001</v>
      </c>
      <c r="L4586" s="242" t="n">
        <v>1069400</v>
      </c>
      <c r="M4586" s="241" t="n">
        <v>-0.61</v>
      </c>
      <c r="N4586" s="241" t="n">
        <v>-2.71</v>
      </c>
      <c r="O4586" s="241" t="n">
        <v>42.12</v>
      </c>
      <c r="P4586" s="241" t="n">
        <v>1.75</v>
      </c>
    </row>
    <row r="4587">
      <c r="A4587" s="282" t="inlineStr">
        <is>
          <t>2024-11-18</t>
        </is>
      </c>
      <c r="B4587" s="240">
        <f>IFERROR(1/P4587-1,B4586)</f>
        <v/>
      </c>
      <c r="C4587" s="240">
        <f>$C$3</f>
        <v/>
      </c>
      <c r="D4587" s="240">
        <f>$D$3</f>
        <v/>
      </c>
      <c r="E4587" s="240">
        <f>$E$3</f>
        <v/>
      </c>
      <c r="F4587" s="241" t="n">
        <v>15.72</v>
      </c>
      <c r="G4587" s="242" t="n">
        <v>21801046</v>
      </c>
      <c r="H4587" s="241" t="n">
        <v>0.26</v>
      </c>
      <c r="I4587" s="241" t="n">
        <v>9.390000000000001</v>
      </c>
      <c r="J4587" s="241" t="n">
        <v>10.74</v>
      </c>
      <c r="K4587" s="241" t="n">
        <v>8.93</v>
      </c>
      <c r="L4587" s="242" t="n">
        <v>974070</v>
      </c>
      <c r="M4587" s="241" t="n">
        <v>-0.31</v>
      </c>
      <c r="N4587" s="241" t="n">
        <v>0.42</v>
      </c>
      <c r="O4587" s="241" t="n">
        <v>41.68</v>
      </c>
      <c r="P4587" s="241" t="n">
        <v>1.76</v>
      </c>
    </row>
    <row r="4588">
      <c r="A4588" s="282" t="inlineStr">
        <is>
          <t>2024-11-19</t>
        </is>
      </c>
      <c r="B4588" s="240">
        <f>IFERROR(1/P4588-1,B4587)</f>
        <v/>
      </c>
      <c r="C4588" s="240">
        <f>$C$3</f>
        <v/>
      </c>
      <c r="D4588" s="240">
        <f>$D$3</f>
        <v/>
      </c>
      <c r="E4588" s="240">
        <f>$E$3</f>
        <v/>
      </c>
      <c r="F4588" s="241" t="n">
        <v>15.9</v>
      </c>
      <c r="G4588" s="242" t="n">
        <v>17990438</v>
      </c>
      <c r="H4588" s="241" t="n">
        <v>1.15</v>
      </c>
      <c r="I4588" s="241" t="n">
        <v>7.51</v>
      </c>
      <c r="J4588" s="241" t="n">
        <v>12.01</v>
      </c>
      <c r="K4588" s="241" t="n">
        <v>9.02</v>
      </c>
      <c r="L4588" s="242" t="n">
        <v>760590</v>
      </c>
      <c r="M4588" s="241" t="n">
        <v>0.93</v>
      </c>
      <c r="N4588" s="241" t="n">
        <v>-4.13</v>
      </c>
      <c r="O4588" s="241" t="n">
        <v>43</v>
      </c>
      <c r="P4588" s="241" t="n">
        <v>1.76</v>
      </c>
    </row>
    <row r="4589">
      <c r="A4589" s="282" t="inlineStr">
        <is>
          <t>2024-11-20</t>
        </is>
      </c>
      <c r="B4589" s="240">
        <f>IFERROR(1/P4589-1,B4588)</f>
        <v/>
      </c>
      <c r="C4589" s="240">
        <f>$C$3</f>
        <v/>
      </c>
      <c r="D4589" s="240">
        <f>$D$3</f>
        <v/>
      </c>
      <c r="E4589" s="240">
        <f>$E$3</f>
        <v/>
      </c>
      <c r="F4589" s="241" t="n">
        <v>15.88</v>
      </c>
      <c r="G4589" s="242" t="n">
        <v>19258601</v>
      </c>
      <c r="H4589" s="241" t="n">
        <v>-0.13</v>
      </c>
      <c r="I4589" s="241" t="n">
        <v>7.37</v>
      </c>
      <c r="J4589" s="241" t="n">
        <v>11.87</v>
      </c>
      <c r="K4589" s="241" t="n">
        <v>9.17</v>
      </c>
      <c r="L4589" s="242" t="n">
        <v>980800</v>
      </c>
      <c r="M4589" s="241" t="n">
        <v>1.64</v>
      </c>
      <c r="N4589" s="241" t="n">
        <v>-2.55</v>
      </c>
      <c r="O4589" s="241" t="n">
        <v>45.34</v>
      </c>
      <c r="P4589" s="241" t="n">
        <v>1.73</v>
      </c>
    </row>
    <row r="4590">
      <c r="A4590" s="282" t="inlineStr">
        <is>
          <t>2024-11-21</t>
        </is>
      </c>
      <c r="B4590" s="240">
        <f>IFERROR(1/P4590-1,B4589)</f>
        <v/>
      </c>
      <c r="C4590" s="240">
        <f>$C$3</f>
        <v/>
      </c>
      <c r="D4590" s="240">
        <f>$D$3</f>
        <v/>
      </c>
      <c r="E4590" s="240">
        <f>$E$3</f>
        <v/>
      </c>
      <c r="F4590" s="241" t="n">
        <v>16.3</v>
      </c>
      <c r="G4590" s="242" t="n">
        <v>50941204</v>
      </c>
      <c r="H4590" s="241" t="n">
        <v>2.64</v>
      </c>
      <c r="I4590" s="241" t="n">
        <v>10.21</v>
      </c>
      <c r="J4590" s="241" t="n">
        <v>14.83</v>
      </c>
      <c r="K4590" s="241" t="n">
        <v>9.09</v>
      </c>
      <c r="L4590" s="242" t="n">
        <v>2606200</v>
      </c>
      <c r="M4590" s="241" t="n">
        <v>-0.91</v>
      </c>
      <c r="N4590" s="241" t="n">
        <v>-3.44</v>
      </c>
      <c r="O4590" s="241" t="n">
        <v>44.02</v>
      </c>
      <c r="P4590" s="241" t="n">
        <v>1.79</v>
      </c>
    </row>
    <row r="4591">
      <c r="A4591" s="282" t="inlineStr">
        <is>
          <t>2024-11-22</t>
        </is>
      </c>
      <c r="B4591" s="240">
        <f>IFERROR(1/P4591-1,B4590)</f>
        <v/>
      </c>
      <c r="C4591" s="240">
        <f>$C$3</f>
        <v/>
      </c>
      <c r="D4591" s="240">
        <f>$D$3</f>
        <v/>
      </c>
      <c r="E4591" s="240">
        <f>$E$3</f>
        <v/>
      </c>
      <c r="F4591" s="241" t="n">
        <v>15.45</v>
      </c>
      <c r="G4591" s="242" t="n">
        <v>52423084</v>
      </c>
      <c r="H4591" s="241" t="n">
        <v>-5.21</v>
      </c>
      <c r="I4591" s="241" t="n">
        <v>4.39</v>
      </c>
      <c r="J4591" s="241" t="n">
        <v>8.84</v>
      </c>
      <c r="K4591" s="241" t="n">
        <v>8.529999999999999</v>
      </c>
      <c r="L4591" s="242" t="n">
        <v>3164600</v>
      </c>
      <c r="M4591" s="241" t="n">
        <v>-6.1</v>
      </c>
      <c r="N4591" s="241" t="n">
        <v>-8.970000000000001</v>
      </c>
      <c r="O4591" s="241" t="n">
        <v>35.23</v>
      </c>
      <c r="P4591" s="241" t="n">
        <v>1.81</v>
      </c>
    </row>
    <row r="4592">
      <c r="A4592" s="282" t="inlineStr">
        <is>
          <t>2024-11-25</t>
        </is>
      </c>
      <c r="B4592" s="240">
        <f>IFERROR(1/P4592-1,B4591)</f>
        <v/>
      </c>
      <c r="C4592" s="240">
        <f>$C$3</f>
        <v/>
      </c>
      <c r="D4592" s="240">
        <f>$D$3</f>
        <v/>
      </c>
      <c r="E4592" s="240">
        <f>$E$3</f>
        <v/>
      </c>
      <c r="F4592" s="241" t="n">
        <v>15.13</v>
      </c>
      <c r="G4592" s="242" t="n">
        <v>32783698</v>
      </c>
      <c r="H4592" s="241" t="n">
        <v>-2.07</v>
      </c>
      <c r="I4592" s="241" t="n">
        <v>0.53</v>
      </c>
      <c r="J4592" s="241" t="n">
        <v>6.59</v>
      </c>
      <c r="K4592" s="241" t="n">
        <v>8.44</v>
      </c>
      <c r="L4592" s="242" t="n">
        <v>2882800</v>
      </c>
      <c r="M4592" s="241" t="n">
        <v>-1.08</v>
      </c>
      <c r="N4592" s="241" t="n">
        <v>-10.14</v>
      </c>
      <c r="O4592" s="241" t="n">
        <v>33.77</v>
      </c>
      <c r="P4592" s="241" t="n">
        <v>1.79</v>
      </c>
    </row>
    <row r="4593">
      <c r="A4593" s="282" t="inlineStr">
        <is>
          <t>2024-11-26</t>
        </is>
      </c>
      <c r="B4593" s="240">
        <f>IFERROR(1/P4593-1,B4592)</f>
        <v/>
      </c>
      <c r="C4593" s="240">
        <f>$C$3</f>
        <v/>
      </c>
      <c r="D4593" s="240">
        <f>$D$3</f>
        <v/>
      </c>
      <c r="E4593" s="240">
        <f>$E$3</f>
        <v/>
      </c>
      <c r="F4593" s="241" t="n">
        <v>14.9</v>
      </c>
      <c r="G4593" s="242" t="n">
        <v>19433529</v>
      </c>
      <c r="H4593" s="241" t="n">
        <v>-1.52</v>
      </c>
      <c r="I4593" s="241" t="n">
        <v>-4.3</v>
      </c>
      <c r="J4593" s="241" t="n">
        <v>4.97</v>
      </c>
      <c r="K4593" s="241" t="n">
        <v>8.41</v>
      </c>
      <c r="L4593" s="242" t="n">
        <v>1127133</v>
      </c>
      <c r="M4593" s="241" t="n">
        <v>-0.33</v>
      </c>
      <c r="N4593" s="241" t="n">
        <v>-11.82</v>
      </c>
      <c r="O4593" s="241" t="n">
        <v>33.33</v>
      </c>
      <c r="P4593" s="241" t="n">
        <v>1.77</v>
      </c>
    </row>
    <row r="4594">
      <c r="A4594" s="282" t="inlineStr">
        <is>
          <t>2024-11-27</t>
        </is>
      </c>
      <c r="B4594" s="240">
        <f>IFERROR(1/P4594-1,B4593)</f>
        <v/>
      </c>
      <c r="C4594" s="240">
        <f>$C$3</f>
        <v/>
      </c>
      <c r="D4594" s="240">
        <f>$D$3</f>
        <v/>
      </c>
      <c r="E4594" s="240">
        <f>$E$3</f>
        <v/>
      </c>
      <c r="F4594" s="241" t="n">
        <v>15.37</v>
      </c>
      <c r="G4594" s="242" t="n">
        <v>25021142</v>
      </c>
      <c r="H4594" s="241" t="n">
        <v>3.15</v>
      </c>
      <c r="I4594" s="241" t="n">
        <v>-1.28</v>
      </c>
      <c r="J4594" s="241" t="n">
        <v>8.279999999999999</v>
      </c>
      <c r="K4594" s="241" t="n">
        <v>8.699999999999999</v>
      </c>
      <c r="L4594" s="242" t="n">
        <v>1200800</v>
      </c>
      <c r="M4594" s="241" t="n">
        <v>3.41</v>
      </c>
      <c r="N4594" s="241" t="n">
        <v>-8.82</v>
      </c>
      <c r="O4594" s="241" t="n">
        <v>37.87</v>
      </c>
      <c r="P4594" s="241" t="n">
        <v>1.77</v>
      </c>
    </row>
    <row r="4595">
      <c r="A4595" s="282" t="inlineStr">
        <is>
          <t>2024-11-28</t>
        </is>
      </c>
      <c r="B4595" s="240">
        <f>IFERROR(1/P4595-1,B4594)</f>
        <v/>
      </c>
      <c r="C4595" s="240">
        <f>$C$3</f>
        <v/>
      </c>
      <c r="D4595" s="240">
        <f>$D$3</f>
        <v/>
      </c>
      <c r="E4595" s="240">
        <f>$E$3</f>
        <v/>
      </c>
      <c r="F4595" s="241" t="n">
        <v>15.07</v>
      </c>
      <c r="G4595" s="242" t="n">
        <v>21538907</v>
      </c>
      <c r="H4595" s="241" t="n">
        <v>-1.95</v>
      </c>
      <c r="I4595" s="241" t="n">
        <v>-3.21</v>
      </c>
      <c r="J4595" s="241" t="n">
        <v>6.17</v>
      </c>
      <c r="K4595" s="241" t="n">
        <v>8.51</v>
      </c>
      <c r="L4595" s="242" t="n">
        <v>473200</v>
      </c>
      <c r="M4595" s="241" t="n">
        <v>-2.13</v>
      </c>
      <c r="N4595" s="241" t="n">
        <v>-10.76</v>
      </c>
      <c r="O4595" s="241" t="n">
        <v>34.94</v>
      </c>
      <c r="P4595" s="241" t="n">
        <v>1.77</v>
      </c>
    </row>
    <row r="4596">
      <c r="A4596" s="282" t="inlineStr">
        <is>
          <t>2024-11-29</t>
        </is>
      </c>
      <c r="B4596" s="240">
        <f>IFERROR(1/P4596-1,B4595)</f>
        <v/>
      </c>
      <c r="C4596" s="240">
        <f>$C$3</f>
        <v/>
      </c>
      <c r="D4596" s="240">
        <f>$D$3</f>
        <v/>
      </c>
      <c r="E4596" s="240">
        <f>$E$3</f>
        <v/>
      </c>
      <c r="F4596" s="241" t="n">
        <v>15.18</v>
      </c>
      <c r="G4596" s="242" t="n">
        <v>17404074</v>
      </c>
      <c r="H4596" s="241" t="n">
        <v>0.73</v>
      </c>
      <c r="I4596" s="241" t="n">
        <v>-1.75</v>
      </c>
      <c r="J4596" s="241" t="n">
        <v>6.94</v>
      </c>
      <c r="K4596" s="241" t="n">
        <v>8.640000000000001</v>
      </c>
      <c r="L4596" s="242" t="n">
        <v>1031400</v>
      </c>
      <c r="M4596" s="241" t="n">
        <v>1.52</v>
      </c>
      <c r="N4596" s="241" t="n">
        <v>-9.4</v>
      </c>
      <c r="O4596" s="241" t="n">
        <v>36.99</v>
      </c>
      <c r="P4596" s="241" t="n">
        <v>1.76</v>
      </c>
    </row>
    <row r="4597">
      <c r="A4597" s="282" t="inlineStr">
        <is>
          <t>2024-12-02</t>
        </is>
      </c>
      <c r="B4597" s="240">
        <f>IFERROR(1/P4597-1,B4596)</f>
        <v/>
      </c>
      <c r="C4597" s="240">
        <f>$C$3</f>
        <v/>
      </c>
      <c r="D4597" s="240">
        <f>$D$3</f>
        <v/>
      </c>
      <c r="E4597" s="240">
        <f>$E$3</f>
        <v/>
      </c>
      <c r="F4597" s="241" t="n">
        <v>15.39</v>
      </c>
      <c r="G4597" s="242" t="n">
        <v>20300355</v>
      </c>
      <c r="H4597" s="241" t="n">
        <v>1.38</v>
      </c>
      <c r="I4597" s="241" t="n">
        <v>0.26</v>
      </c>
      <c r="J4597" s="241" t="n">
        <v>8.42</v>
      </c>
      <c r="K4597" s="241" t="n">
        <v>8.59</v>
      </c>
      <c r="L4597" s="242" t="n">
        <v>1592200</v>
      </c>
      <c r="M4597" s="241" t="n">
        <v>-0.53</v>
      </c>
      <c r="N4597" s="241" t="n">
        <v>-9</v>
      </c>
      <c r="O4597" s="241" t="n">
        <v>36.26</v>
      </c>
      <c r="P4597" s="241" t="n">
        <v>1.79</v>
      </c>
    </row>
    <row r="4598">
      <c r="A4598" s="282" t="inlineStr">
        <is>
          <t>2024-12-03</t>
        </is>
      </c>
      <c r="B4598" s="240">
        <f>IFERROR(1/P4598-1,B4597)</f>
        <v/>
      </c>
      <c r="C4598" s="240">
        <f>$C$3</f>
        <v/>
      </c>
      <c r="D4598" s="240">
        <f>$D$3</f>
        <v/>
      </c>
      <c r="E4598" s="240">
        <f>$E$3</f>
        <v/>
      </c>
      <c r="F4598" s="241" t="n">
        <v>15.33</v>
      </c>
      <c r="G4598" s="242" t="n">
        <v>18903929</v>
      </c>
      <c r="H4598" s="241" t="n">
        <v>-0.39</v>
      </c>
      <c r="I4598" s="241" t="n">
        <v>-0.13</v>
      </c>
      <c r="J4598" s="241" t="n">
        <v>8</v>
      </c>
      <c r="K4598" s="241" t="n">
        <v>8.699999999999999</v>
      </c>
      <c r="L4598" s="242" t="n">
        <v>1092800</v>
      </c>
      <c r="M4598" s="241" t="n">
        <v>1.08</v>
      </c>
      <c r="N4598" s="241" t="n">
        <v>-8.02</v>
      </c>
      <c r="O4598" s="241" t="n">
        <v>37.72</v>
      </c>
      <c r="P4598" s="241" t="n">
        <v>1.76</v>
      </c>
    </row>
    <row r="4599">
      <c r="A4599" s="282" t="inlineStr">
        <is>
          <t>2024-12-04</t>
        </is>
      </c>
      <c r="B4599" s="240">
        <f>IFERROR(1/P4599-1,B4598)</f>
        <v/>
      </c>
      <c r="C4599" s="240">
        <f>$C$3</f>
        <v/>
      </c>
      <c r="D4599" s="240">
        <f>$D$3</f>
        <v/>
      </c>
      <c r="E4599" s="240">
        <f>$E$3</f>
        <v/>
      </c>
      <c r="F4599" s="241" t="n">
        <v>15.12</v>
      </c>
      <c r="G4599" s="242" t="n">
        <v>16585310</v>
      </c>
      <c r="H4599" s="241" t="n">
        <v>-1.37</v>
      </c>
      <c r="I4599" s="241" t="n">
        <v>-1.5</v>
      </c>
      <c r="J4599" s="241" t="n">
        <v>6.52</v>
      </c>
      <c r="K4599" s="241" t="n">
        <v>8.56</v>
      </c>
      <c r="L4599" s="242" t="n">
        <v>1487600</v>
      </c>
      <c r="M4599" s="241" t="n">
        <v>-1.49</v>
      </c>
      <c r="N4599" s="241" t="n">
        <v>-9.390000000000001</v>
      </c>
      <c r="O4599" s="241" t="n">
        <v>35.67</v>
      </c>
      <c r="P4599" s="241" t="n">
        <v>1.77</v>
      </c>
    </row>
    <row r="4600">
      <c r="A4600" s="282" t="inlineStr">
        <is>
          <t>2024-12-05</t>
        </is>
      </c>
      <c r="B4600" s="240">
        <f>IFERROR(1/P4600-1,B4599)</f>
        <v/>
      </c>
      <c r="C4600" s="240">
        <f>$C$3</f>
        <v/>
      </c>
      <c r="D4600" s="240">
        <f>$D$3</f>
        <v/>
      </c>
      <c r="E4600" s="240">
        <f>$E$3</f>
        <v/>
      </c>
      <c r="F4600" s="241" t="n">
        <v>15.1</v>
      </c>
      <c r="G4600" s="242" t="n">
        <v>12817490</v>
      </c>
      <c r="H4600" s="241" t="n">
        <v>-0.13</v>
      </c>
      <c r="I4600" s="241" t="n">
        <v>-3.76</v>
      </c>
      <c r="J4600" s="241" t="n">
        <v>6.38</v>
      </c>
      <c r="K4600" s="241" t="n">
        <v>8.56</v>
      </c>
      <c r="L4600" s="242" t="n">
        <v>490700</v>
      </c>
      <c r="M4600" s="241" t="n">
        <v>0.11</v>
      </c>
      <c r="N4600" s="241" t="n">
        <v>-11.38</v>
      </c>
      <c r="O4600" s="241" t="n">
        <v>35.82</v>
      </c>
      <c r="P4600" s="241" t="n">
        <v>1.76</v>
      </c>
    </row>
    <row r="4601">
      <c r="A4601" s="282" t="inlineStr">
        <is>
          <t>2024-12-06</t>
        </is>
      </c>
      <c r="B4601" s="240">
        <f>IFERROR(1/P4601-1,B4600)</f>
        <v/>
      </c>
      <c r="C4601" s="240">
        <f>$C$3</f>
        <v/>
      </c>
      <c r="D4601" s="240">
        <f>$D$3</f>
        <v/>
      </c>
      <c r="E4601" s="240">
        <f>$E$3</f>
        <v/>
      </c>
      <c r="F4601" s="241" t="n">
        <v>15.26</v>
      </c>
      <c r="G4601" s="242" t="n">
        <v>16472236</v>
      </c>
      <c r="H4601" s="241" t="n">
        <v>1.06</v>
      </c>
      <c r="I4601" s="241" t="n">
        <v>-4.92</v>
      </c>
      <c r="J4601" s="241" t="n">
        <v>7.5</v>
      </c>
      <c r="K4601" s="241" t="n">
        <v>8.69</v>
      </c>
      <c r="L4601" s="242" t="n">
        <v>1432192</v>
      </c>
      <c r="M4601" s="241" t="n">
        <v>1.51</v>
      </c>
      <c r="N4601" s="241" t="n">
        <v>-12.87</v>
      </c>
      <c r="O4601" s="241" t="n">
        <v>37.87</v>
      </c>
      <c r="P4601" s="241" t="n">
        <v>1.76</v>
      </c>
    </row>
    <row r="4602">
      <c r="A4602" s="282" t="inlineStr">
        <is>
          <t>2024-12-09</t>
        </is>
      </c>
      <c r="B4602" s="240">
        <f>IFERROR(1/P4602-1,B4601)</f>
        <v/>
      </c>
      <c r="C4602" s="240">
        <f>$C$3</f>
        <v/>
      </c>
      <c r="D4602" s="240">
        <f>$D$3</f>
        <v/>
      </c>
      <c r="E4602" s="240">
        <f>$E$3</f>
        <v/>
      </c>
      <c r="F4602" s="241" t="n">
        <v>15.39</v>
      </c>
      <c r="G4602" s="242" t="n">
        <v>20712005</v>
      </c>
      <c r="H4602" s="241" t="n">
        <v>0.85</v>
      </c>
      <c r="I4602" s="241" t="n">
        <v>-5.12</v>
      </c>
      <c r="J4602" s="241" t="n">
        <v>8.42</v>
      </c>
      <c r="K4602" s="241" t="n">
        <v>9.07</v>
      </c>
      <c r="L4602" s="242" t="n">
        <v>1461829</v>
      </c>
      <c r="M4602" s="241" t="n">
        <v>4.36</v>
      </c>
      <c r="N4602" s="241" t="n">
        <v>-7.71</v>
      </c>
      <c r="O4602" s="241" t="n">
        <v>43.88</v>
      </c>
      <c r="P4602" s="241" t="n">
        <v>1.7</v>
      </c>
    </row>
    <row r="4603">
      <c r="A4603" s="282" t="inlineStr">
        <is>
          <t>2024-12-10</t>
        </is>
      </c>
      <c r="B4603" s="240">
        <f>IFERROR(1/P4603-1,B4602)</f>
        <v/>
      </c>
      <c r="C4603" s="240">
        <f>$C$3</f>
        <v/>
      </c>
      <c r="D4603" s="240">
        <f>$D$3</f>
        <v/>
      </c>
      <c r="E4603" s="240">
        <f>$E$3</f>
        <v/>
      </c>
      <c r="F4603" s="241" t="n">
        <v>15.38</v>
      </c>
      <c r="G4603" s="242" t="n">
        <v>22214599</v>
      </c>
      <c r="H4603" s="241" t="n">
        <v>-0.07000000000000001</v>
      </c>
      <c r="I4603" s="241" t="n">
        <v>-5.18</v>
      </c>
      <c r="J4603" s="241" t="n">
        <v>8.35</v>
      </c>
      <c r="K4603" s="241" t="n">
        <v>8.82</v>
      </c>
      <c r="L4603" s="242" t="n">
        <v>2243600</v>
      </c>
      <c r="M4603" s="241" t="n">
        <v>-2.95</v>
      </c>
      <c r="N4603" s="241" t="n">
        <v>-10.43</v>
      </c>
      <c r="O4603" s="241" t="n">
        <v>39.63</v>
      </c>
      <c r="P4603" s="241" t="n">
        <v>1.74</v>
      </c>
    </row>
    <row r="4604">
      <c r="A4604" s="282" t="inlineStr">
        <is>
          <t>2024-12-11</t>
        </is>
      </c>
      <c r="B4604" s="240">
        <f>IFERROR(1/P4604-1,B4603)</f>
        <v/>
      </c>
      <c r="C4604" s="240">
        <f>$C$3</f>
        <v/>
      </c>
      <c r="D4604" s="240">
        <f>$D$3</f>
        <v/>
      </c>
      <c r="E4604" s="240">
        <f>$E$3</f>
        <v/>
      </c>
      <c r="F4604" s="241" t="n">
        <v>15.37</v>
      </c>
      <c r="G4604" s="242" t="n">
        <v>13048330</v>
      </c>
      <c r="H4604" s="241" t="n">
        <v>-0.07000000000000001</v>
      </c>
      <c r="I4604" s="241" t="n">
        <v>-5.24</v>
      </c>
      <c r="J4604" s="241" t="n">
        <v>8.279999999999999</v>
      </c>
      <c r="K4604" s="241" t="n">
        <v>8.81</v>
      </c>
      <c r="L4604" s="242" t="n">
        <v>945800</v>
      </c>
      <c r="M4604" s="241" t="n">
        <v>0.1</v>
      </c>
      <c r="N4604" s="241" t="n">
        <v>-10.34</v>
      </c>
      <c r="O4604" s="241" t="n">
        <v>39.77</v>
      </c>
      <c r="P4604" s="241" t="n">
        <v>1.74</v>
      </c>
    </row>
    <row r="4605">
      <c r="A4605" s="282" t="inlineStr">
        <is>
          <t>2024-12-12</t>
        </is>
      </c>
      <c r="B4605" s="240">
        <f>IFERROR(1/P4605-1,B4604)</f>
        <v/>
      </c>
      <c r="C4605" s="240">
        <f>$C$3</f>
        <v/>
      </c>
      <c r="D4605" s="240">
        <f>$D$3</f>
        <v/>
      </c>
      <c r="E4605" s="240">
        <f>$E$3</f>
        <v/>
      </c>
      <c r="F4605" s="241" t="n">
        <v>15.47</v>
      </c>
      <c r="G4605" s="242" t="n">
        <v>16142432</v>
      </c>
      <c r="H4605" s="241" t="n">
        <v>0.65</v>
      </c>
      <c r="I4605" s="241" t="n">
        <v>-5.21</v>
      </c>
      <c r="J4605" s="241" t="n">
        <v>8.98</v>
      </c>
      <c r="K4605" s="241" t="n">
        <v>8.9</v>
      </c>
      <c r="L4605" s="242" t="n">
        <v>1075000</v>
      </c>
      <c r="M4605" s="241" t="n">
        <v>0.9399999999999999</v>
      </c>
      <c r="N4605" s="241" t="n">
        <v>-7.93</v>
      </c>
      <c r="O4605" s="241" t="n">
        <v>41.09</v>
      </c>
      <c r="P4605" s="241" t="n">
        <v>1.74</v>
      </c>
    </row>
    <row r="4606">
      <c r="A4606" s="282" t="inlineStr">
        <is>
          <t>2024-12-13</t>
        </is>
      </c>
      <c r="B4606" s="240">
        <f>IFERROR(1/P4606-1,B4605)</f>
        <v/>
      </c>
      <c r="C4606" s="240">
        <f>$C$3</f>
        <v/>
      </c>
      <c r="D4606" s="240">
        <f>$D$3</f>
        <v/>
      </c>
      <c r="E4606" s="240">
        <f>$E$3</f>
        <v/>
      </c>
      <c r="F4606" s="241" t="n">
        <v>15.2</v>
      </c>
      <c r="G4606" s="242" t="n">
        <v>17873017</v>
      </c>
      <c r="H4606" s="241" t="n">
        <v>-1.75</v>
      </c>
      <c r="I4606" s="241" t="n">
        <v>-6.86</v>
      </c>
      <c r="J4606" s="241" t="n">
        <v>7.08</v>
      </c>
      <c r="K4606" s="241" t="n">
        <v>8.59</v>
      </c>
      <c r="L4606" s="242" t="n">
        <v>1498800</v>
      </c>
      <c r="M4606" s="241" t="n">
        <v>-3.53</v>
      </c>
      <c r="N4606" s="241" t="n">
        <v>-7.01</v>
      </c>
      <c r="O4606" s="241" t="n">
        <v>36.11</v>
      </c>
      <c r="P4606" s="241" t="n">
        <v>1.77</v>
      </c>
    </row>
    <row r="4607">
      <c r="A4607" s="282" t="inlineStr">
        <is>
          <t>2024-12-16</t>
        </is>
      </c>
      <c r="B4607" s="240">
        <f>IFERROR(1/P4607-1,B4606)</f>
        <v/>
      </c>
      <c r="C4607" s="240">
        <f>$C$3</f>
        <v/>
      </c>
      <c r="D4607" s="240">
        <f>$D$3</f>
        <v/>
      </c>
      <c r="E4607" s="240">
        <f>$E$3</f>
        <v/>
      </c>
      <c r="F4607" s="241" t="n">
        <v>15.08</v>
      </c>
      <c r="G4607" s="242" t="n">
        <v>12884196</v>
      </c>
      <c r="H4607" s="241" t="n">
        <v>-0.79</v>
      </c>
      <c r="I4607" s="241" t="n">
        <v>-3.83</v>
      </c>
      <c r="J4607" s="241" t="n">
        <v>6.24</v>
      </c>
      <c r="K4607" s="241" t="n">
        <v>8.619999999999999</v>
      </c>
      <c r="L4607" s="242" t="n">
        <v>1647600</v>
      </c>
      <c r="M4607" s="241" t="n">
        <v>0.32</v>
      </c>
      <c r="N4607" s="241" t="n">
        <v>-3.92</v>
      </c>
      <c r="O4607" s="241" t="n">
        <v>36.55</v>
      </c>
      <c r="P4607" s="241" t="n">
        <v>1.75</v>
      </c>
    </row>
    <row r="4608">
      <c r="A4608" s="282" t="inlineStr">
        <is>
          <t>2024-12-17</t>
        </is>
      </c>
      <c r="B4608" s="240">
        <f>IFERROR(1/P4608-1,B4607)</f>
        <v/>
      </c>
      <c r="C4608" s="240">
        <f>$C$3</f>
        <v/>
      </c>
      <c r="D4608" s="240">
        <f>$D$3</f>
        <v/>
      </c>
      <c r="E4608" s="240">
        <f>$E$3</f>
        <v/>
      </c>
      <c r="F4608" s="241" t="n">
        <v>15.15</v>
      </c>
      <c r="G4608" s="242" t="n">
        <v>14199419</v>
      </c>
      <c r="H4608" s="241" t="n">
        <v>0.46</v>
      </c>
      <c r="I4608" s="241" t="n">
        <v>-3.38</v>
      </c>
      <c r="J4608" s="241" t="n">
        <v>6.73</v>
      </c>
      <c r="K4608" s="241" t="n">
        <v>8.59</v>
      </c>
      <c r="L4608" s="242" t="n">
        <v>706266</v>
      </c>
      <c r="M4608" s="241" t="n">
        <v>-0.32</v>
      </c>
      <c r="N4608" s="241" t="n">
        <v>-4.23</v>
      </c>
      <c r="O4608" s="241" t="n">
        <v>36.11</v>
      </c>
      <c r="P4608" s="241" t="n">
        <v>1.76</v>
      </c>
    </row>
    <row r="4609">
      <c r="A4609" s="282" t="inlineStr">
        <is>
          <t>2024-12-18</t>
        </is>
      </c>
      <c r="B4609" s="240">
        <f>IFERROR(1/P4609-1,B4608)</f>
        <v/>
      </c>
      <c r="C4609" s="240">
        <f>$C$3</f>
        <v/>
      </c>
      <c r="D4609" s="240">
        <f>$D$3</f>
        <v/>
      </c>
      <c r="E4609" s="240">
        <f>$E$3</f>
        <v/>
      </c>
      <c r="F4609" s="241" t="n">
        <v>15.31</v>
      </c>
      <c r="G4609" s="242" t="n">
        <v>19288845</v>
      </c>
      <c r="H4609" s="241" t="n">
        <v>1.06</v>
      </c>
      <c r="I4609" s="241" t="n">
        <v>-2.36</v>
      </c>
      <c r="J4609" s="241" t="n">
        <v>7.86</v>
      </c>
      <c r="K4609" s="241" t="n">
        <v>8.699999999999999</v>
      </c>
      <c r="L4609" s="242" t="n">
        <v>754200</v>
      </c>
      <c r="M4609" s="241" t="n">
        <v>1.18</v>
      </c>
      <c r="N4609" s="241" t="n">
        <v>-3.09</v>
      </c>
      <c r="O4609" s="241" t="n">
        <v>37.72</v>
      </c>
      <c r="P4609" s="241" t="n">
        <v>1.76</v>
      </c>
    </row>
    <row r="4610">
      <c r="A4610" s="282" t="inlineStr">
        <is>
          <t>2024-12-19</t>
        </is>
      </c>
      <c r="B4610" s="240">
        <f>IFERROR(1/P4610-1,B4609)</f>
        <v/>
      </c>
      <c r="C4610" s="240">
        <f>$C$3</f>
        <v/>
      </c>
      <c r="D4610" s="240">
        <f>$D$3</f>
        <v/>
      </c>
      <c r="E4610" s="240">
        <f>$E$3</f>
        <v/>
      </c>
      <c r="F4610" s="241" t="n">
        <v>15.19</v>
      </c>
      <c r="G4610" s="242" t="n">
        <v>16214031</v>
      </c>
      <c r="H4610" s="241" t="n">
        <v>-0.78</v>
      </c>
      <c r="I4610" s="241" t="n">
        <v>-3.37</v>
      </c>
      <c r="J4610" s="241" t="n">
        <v>7.01</v>
      </c>
      <c r="K4610" s="241" t="n">
        <v>8.720000000000001</v>
      </c>
      <c r="L4610" s="242" t="n">
        <v>689400</v>
      </c>
      <c r="M4610" s="241" t="n">
        <v>0.21</v>
      </c>
      <c r="N4610" s="241" t="n">
        <v>-2.59</v>
      </c>
      <c r="O4610" s="241" t="n">
        <v>38.02</v>
      </c>
      <c r="P4610" s="241" t="n">
        <v>1.74</v>
      </c>
    </row>
    <row r="4611">
      <c r="A4611" s="282" t="inlineStr">
        <is>
          <t>2024-12-20</t>
        </is>
      </c>
      <c r="B4611" s="240">
        <f>IFERROR(1/P4611-1,B4610)</f>
        <v/>
      </c>
      <c r="C4611" s="240">
        <f>$C$3</f>
        <v/>
      </c>
      <c r="D4611" s="240">
        <f>$D$3</f>
        <v/>
      </c>
      <c r="E4611" s="240">
        <f>$E$3</f>
        <v/>
      </c>
      <c r="F4611" s="241" t="n">
        <v>14.98</v>
      </c>
      <c r="G4611" s="242" t="n">
        <v>17803548</v>
      </c>
      <c r="H4611" s="241" t="n">
        <v>-1.38</v>
      </c>
      <c r="I4611" s="241" t="n">
        <v>-5.79</v>
      </c>
      <c r="J4611" s="241" t="n">
        <v>5.53</v>
      </c>
      <c r="K4611" s="241" t="n">
        <v>8.609999999999999</v>
      </c>
      <c r="L4611" s="242" t="n">
        <v>1117600</v>
      </c>
      <c r="M4611" s="241" t="n">
        <v>-1.27</v>
      </c>
      <c r="N4611" s="241" t="n">
        <v>-4.71</v>
      </c>
      <c r="O4611" s="241" t="n">
        <v>36.26</v>
      </c>
      <c r="P4611" s="241" t="n">
        <v>1.74</v>
      </c>
    </row>
    <row r="4612">
      <c r="A4612" s="282" t="inlineStr">
        <is>
          <t>2024-12-23</t>
        </is>
      </c>
      <c r="B4612" s="240">
        <f>IFERROR(1/P4612-1,B4611)</f>
        <v/>
      </c>
      <c r="C4612" s="240">
        <f>$C$3</f>
        <v/>
      </c>
      <c r="D4612" s="240">
        <f>$D$3</f>
        <v/>
      </c>
      <c r="E4612" s="240">
        <f>$E$3</f>
        <v/>
      </c>
      <c r="F4612" s="241" t="n">
        <v>15.09</v>
      </c>
      <c r="G4612" s="242" t="n">
        <v>17357381</v>
      </c>
      <c r="H4612" s="241" t="n">
        <v>0.73</v>
      </c>
      <c r="I4612" s="241" t="n">
        <v>-2.33</v>
      </c>
      <c r="J4612" s="241" t="n">
        <v>6.31</v>
      </c>
      <c r="K4612" s="241" t="n">
        <v>8.75</v>
      </c>
      <c r="L4612" s="242" t="n">
        <v>1714000</v>
      </c>
      <c r="M4612" s="241" t="n">
        <v>1.72</v>
      </c>
      <c r="N4612" s="241" t="n">
        <v>2.49</v>
      </c>
      <c r="O4612" s="241" t="n">
        <v>38.6</v>
      </c>
      <c r="P4612" s="241" t="n">
        <v>1.73</v>
      </c>
    </row>
    <row r="4613">
      <c r="A4613" s="282" t="inlineStr">
        <is>
          <t>2024-12-24</t>
        </is>
      </c>
      <c r="B4613" s="240">
        <f>IFERROR(1/P4613-1,B4612)</f>
        <v/>
      </c>
      <c r="C4613" s="240">
        <f>$C$3</f>
        <v/>
      </c>
      <c r="D4613" s="240">
        <f>$D$3</f>
        <v/>
      </c>
      <c r="E4613" s="240">
        <f>$E$3</f>
        <v/>
      </c>
      <c r="F4613" s="241" t="n">
        <v>15.36</v>
      </c>
      <c r="G4613" s="242" t="n">
        <v>18564939</v>
      </c>
      <c r="H4613" s="241" t="n">
        <v>1.79</v>
      </c>
      <c r="I4613" s="241" t="n">
        <v>-0.58</v>
      </c>
      <c r="J4613" s="241" t="n">
        <v>8.210000000000001</v>
      </c>
      <c r="K4613" s="241" t="n">
        <v>8.880000000000001</v>
      </c>
      <c r="L4613" s="242" t="n">
        <v>466800</v>
      </c>
      <c r="M4613" s="241" t="n">
        <v>1.48</v>
      </c>
      <c r="N4613" s="241" t="n">
        <v>4.01</v>
      </c>
      <c r="O4613" s="241" t="n">
        <v>40.65</v>
      </c>
      <c r="P4613" s="241" t="n">
        <v>1.73</v>
      </c>
    </row>
    <row r="4614">
      <c r="A4614" s="282" t="inlineStr">
        <is>
          <t>2024-12-25</t>
        </is>
      </c>
      <c r="B4614" s="240">
        <f>IFERROR(1/P4614-1,B4613)</f>
        <v/>
      </c>
      <c r="C4614" s="240">
        <f>$C$3</f>
        <v/>
      </c>
      <c r="D4614" s="240">
        <f>$D$3</f>
        <v/>
      </c>
      <c r="E4614" s="240">
        <f>$E$3</f>
        <v/>
      </c>
      <c r="F4614" s="241" t="n">
        <v>15.88</v>
      </c>
      <c r="G4614" s="242" t="n">
        <v>40638014</v>
      </c>
      <c r="H4614" s="241" t="n">
        <v>3.39</v>
      </c>
      <c r="I4614" s="241" t="n">
        <v>2.78</v>
      </c>
      <c r="J4614" s="241" t="n">
        <v>11.87</v>
      </c>
      <c r="K4614" s="239" t="inlineStr">
        <is>
          <t>--</t>
        </is>
      </c>
      <c r="L4614" s="239" t="inlineStr">
        <is>
          <t>--</t>
        </is>
      </c>
      <c r="M4614" s="239" t="inlineStr">
        <is>
          <t>--</t>
        </is>
      </c>
      <c r="N4614" s="239" t="inlineStr">
        <is>
          <t>--</t>
        </is>
      </c>
      <c r="O4614" s="239" t="inlineStr">
        <is>
          <t>--</t>
        </is>
      </c>
      <c r="P4614" s="239" t="inlineStr">
        <is>
          <t>--</t>
        </is>
      </c>
    </row>
    <row r="4615">
      <c r="A4615" s="282" t="inlineStr">
        <is>
          <t>2024-12-26</t>
        </is>
      </c>
      <c r="B4615" s="240">
        <f>IFERROR(1/P4615-1,B4614)</f>
        <v/>
      </c>
      <c r="C4615" s="240">
        <f>$C$3</f>
        <v/>
      </c>
      <c r="D4615" s="240">
        <f>$D$3</f>
        <v/>
      </c>
      <c r="E4615" s="240">
        <f>$E$3</f>
        <v/>
      </c>
      <c r="F4615" s="241" t="n">
        <v>15.97</v>
      </c>
      <c r="G4615" s="242" t="n">
        <v>28037377</v>
      </c>
      <c r="H4615" s="241" t="n">
        <v>0.57</v>
      </c>
      <c r="I4615" s="241" t="n">
        <v>5.55</v>
      </c>
      <c r="J4615" s="241" t="n">
        <v>12.51</v>
      </c>
      <c r="K4615" s="239" t="inlineStr">
        <is>
          <t>--</t>
        </is>
      </c>
      <c r="L4615" s="239" t="inlineStr">
        <is>
          <t>--</t>
        </is>
      </c>
      <c r="M4615" s="239" t="inlineStr">
        <is>
          <t>--</t>
        </is>
      </c>
      <c r="N4615" s="239" t="inlineStr">
        <is>
          <t>--</t>
        </is>
      </c>
      <c r="O4615" s="239" t="inlineStr">
        <is>
          <t>--</t>
        </is>
      </c>
      <c r="P4615" s="239" t="inlineStr">
        <is>
          <t>--</t>
        </is>
      </c>
    </row>
    <row r="4616">
      <c r="A4616" s="282" t="inlineStr">
        <is>
          <t>2024-12-27</t>
        </is>
      </c>
      <c r="B4616" s="240">
        <f>IFERROR(1/P4616-1,B4615)</f>
        <v/>
      </c>
      <c r="C4616" s="240">
        <f>$C$3</f>
        <v/>
      </c>
      <c r="D4616" s="240">
        <f>$D$3</f>
        <v/>
      </c>
      <c r="E4616" s="240">
        <f>$E$3</f>
        <v/>
      </c>
      <c r="F4616" s="241" t="n">
        <v>16.05</v>
      </c>
      <c r="G4616" s="242" t="n">
        <v>20206046</v>
      </c>
      <c r="H4616" s="241" t="n">
        <v>0.5</v>
      </c>
      <c r="I4616" s="241" t="n">
        <v>7.72</v>
      </c>
      <c r="J4616" s="241" t="n">
        <v>13.07</v>
      </c>
      <c r="K4616" s="241" t="n">
        <v>8.970000000000001</v>
      </c>
      <c r="L4616" s="242" t="n">
        <v>1810000</v>
      </c>
      <c r="M4616" s="241" t="n">
        <v>0.9399999999999999</v>
      </c>
      <c r="N4616" s="241" t="n">
        <v>6.48</v>
      </c>
      <c r="O4616" s="241" t="n">
        <v>41.97</v>
      </c>
      <c r="P4616" s="241" t="n">
        <v>1.79</v>
      </c>
    </row>
    <row r="4617">
      <c r="A4617" s="282" t="inlineStr">
        <is>
          <t>2024-12-30</t>
        </is>
      </c>
      <c r="B4617" s="240">
        <f>IFERROR(1/P4617-1,B4616)</f>
        <v/>
      </c>
      <c r="C4617" s="240">
        <f>$C$3</f>
        <v/>
      </c>
      <c r="D4617" s="240">
        <f>$D$3</f>
        <v/>
      </c>
      <c r="E4617" s="240">
        <f>$E$3</f>
        <v/>
      </c>
      <c r="F4617" s="241" t="n">
        <v>16.04</v>
      </c>
      <c r="G4617" s="242" t="n">
        <v>22779903</v>
      </c>
      <c r="H4617" s="241" t="n">
        <v>-0.06</v>
      </c>
      <c r="I4617" s="241" t="n">
        <v>5.67</v>
      </c>
      <c r="J4617" s="241" t="n">
        <v>13</v>
      </c>
      <c r="K4617" s="241" t="n">
        <v>9.029999999999999</v>
      </c>
      <c r="L4617" s="242" t="n">
        <v>2229000</v>
      </c>
      <c r="M4617" s="241" t="n">
        <v>0.62</v>
      </c>
      <c r="N4617" s="241" t="n">
        <v>4.28</v>
      </c>
      <c r="O4617" s="241" t="n">
        <v>42.85</v>
      </c>
      <c r="P4617" s="241" t="n">
        <v>1.78</v>
      </c>
    </row>
    <row r="4618">
      <c r="A4618" s="282" t="inlineStr">
        <is>
          <t>2024-12-31</t>
        </is>
      </c>
      <c r="B4618" s="240">
        <f>IFERROR(1/P4618-1,B4617)</f>
        <v/>
      </c>
      <c r="C4618" s="240">
        <f>$C$3</f>
        <v/>
      </c>
      <c r="D4618" s="240">
        <f>$D$3</f>
        <v/>
      </c>
      <c r="E4618" s="240">
        <f>$E$3</f>
        <v/>
      </c>
      <c r="F4618" s="241" t="n">
        <v>15.89</v>
      </c>
      <c r="G4618" s="242" t="n">
        <v>21911170</v>
      </c>
      <c r="H4618" s="241" t="n">
        <v>-0.9399999999999999</v>
      </c>
      <c r="I4618" s="241" t="n">
        <v>4.68</v>
      </c>
      <c r="J4618" s="241" t="n">
        <v>11.94</v>
      </c>
      <c r="K4618" s="241" t="n">
        <v>8.98</v>
      </c>
      <c r="L4618" s="242" t="n">
        <v>3095400</v>
      </c>
      <c r="M4618" s="241" t="n">
        <v>-0.51</v>
      </c>
      <c r="N4618" s="241" t="n">
        <v>3.74</v>
      </c>
      <c r="O4618" s="241" t="n">
        <v>42.12</v>
      </c>
      <c r="P4618" s="241" t="n">
        <v>1.77</v>
      </c>
    </row>
    <row r="4619">
      <c r="A4619" s="282" t="inlineStr">
        <is>
          <t>2025-01-02</t>
        </is>
      </c>
      <c r="B4619" s="240">
        <f>IFERROR(1/P4619-1,B4618)</f>
        <v/>
      </c>
      <c r="C4619" s="240">
        <f>$C$3</f>
        <v/>
      </c>
      <c r="D4619" s="240">
        <f>$D$3</f>
        <v/>
      </c>
      <c r="E4619" s="240">
        <f>$E$3</f>
        <v/>
      </c>
      <c r="F4619" s="241" t="n">
        <v>15</v>
      </c>
      <c r="G4619" s="242" t="n">
        <v>29696523</v>
      </c>
      <c r="H4619" s="241" t="n">
        <v>-5.6</v>
      </c>
      <c r="I4619" s="241" t="n">
        <v>-1.19</v>
      </c>
      <c r="J4619" s="241" t="n">
        <v>-5.6</v>
      </c>
      <c r="K4619" s="241" t="n">
        <v>8.609999999999999</v>
      </c>
      <c r="L4619" s="242" t="n">
        <v>1556400</v>
      </c>
      <c r="M4619" s="241" t="n">
        <v>-4.02</v>
      </c>
      <c r="N4619" s="241" t="n">
        <v>-0.43</v>
      </c>
      <c r="O4619" s="241" t="n">
        <v>-4.02</v>
      </c>
      <c r="P4619" s="241" t="n">
        <v>1.74</v>
      </c>
    </row>
    <row r="4620">
      <c r="A4620" s="282" t="inlineStr">
        <is>
          <t>2025-01-03</t>
        </is>
      </c>
      <c r="B4620" s="240">
        <f>IFERROR(1/P4620-1,B4619)</f>
        <v/>
      </c>
      <c r="C4620" s="240">
        <f>$C$3</f>
        <v/>
      </c>
      <c r="D4620" s="240">
        <f>$D$3</f>
        <v/>
      </c>
      <c r="E4620" s="240">
        <f>$E$3</f>
        <v/>
      </c>
      <c r="F4620" s="241" t="n">
        <v>14.65</v>
      </c>
      <c r="G4620" s="242" t="n">
        <v>24202900</v>
      </c>
      <c r="H4620" s="241" t="n">
        <v>-2.33</v>
      </c>
      <c r="I4620" s="241" t="n">
        <v>-4.81</v>
      </c>
      <c r="J4620" s="241" t="n">
        <v>-7.8</v>
      </c>
      <c r="K4620" s="241" t="n">
        <v>8.56</v>
      </c>
      <c r="L4620" s="242" t="n">
        <v>1696800</v>
      </c>
      <c r="M4620" s="241" t="n">
        <v>-0.54</v>
      </c>
      <c r="N4620" s="241" t="n">
        <v>-0.43</v>
      </c>
      <c r="O4620" s="241" t="n">
        <v>-4.54</v>
      </c>
      <c r="P4620" s="241" t="n">
        <v>1.71</v>
      </c>
    </row>
    <row r="4621">
      <c r="A4621" s="282" t="inlineStr">
        <is>
          <t>2025-01-06</t>
        </is>
      </c>
      <c r="B4621" s="240">
        <f>IFERROR(1/P4621-1,B4620)</f>
        <v/>
      </c>
      <c r="C4621" s="240">
        <f>$C$3</f>
        <v/>
      </c>
      <c r="D4621" s="240">
        <f>$D$3</f>
        <v/>
      </c>
      <c r="E4621" s="240">
        <f>$E$3</f>
        <v/>
      </c>
      <c r="F4621" s="241" t="n">
        <v>14.71</v>
      </c>
      <c r="G4621" s="242" t="n">
        <v>16135105</v>
      </c>
      <c r="H4621" s="241" t="n">
        <v>0.41</v>
      </c>
      <c r="I4621" s="241" t="n">
        <v>-2.58</v>
      </c>
      <c r="J4621" s="241" t="n">
        <v>-7.43</v>
      </c>
      <c r="K4621" s="241" t="n">
        <v>8.58</v>
      </c>
      <c r="L4621" s="242" t="n">
        <v>1016800</v>
      </c>
      <c r="M4621" s="241" t="n">
        <v>0.32</v>
      </c>
      <c r="N4621" s="241" t="n">
        <v>0.22</v>
      </c>
      <c r="O4621" s="241" t="n">
        <v>-4.23</v>
      </c>
      <c r="P4621" s="241" t="n">
        <v>1.71</v>
      </c>
    </row>
    <row r="4622">
      <c r="A4622" s="282" t="inlineStr">
        <is>
          <t>2025-01-07</t>
        </is>
      </c>
      <c r="B4622" s="240">
        <f>IFERROR(1/P4622-1,B4621)</f>
        <v/>
      </c>
      <c r="C4622" s="240">
        <f>$C$3</f>
        <v/>
      </c>
      <c r="D4622" s="240">
        <f>$D$3</f>
        <v/>
      </c>
      <c r="E4622" s="240">
        <f>$E$3</f>
        <v/>
      </c>
      <c r="F4622" s="241" t="n">
        <v>14.85</v>
      </c>
      <c r="G4622" s="242" t="n">
        <v>15776379</v>
      </c>
      <c r="H4622" s="241" t="n">
        <v>0.95</v>
      </c>
      <c r="I4622" s="241" t="n">
        <v>-2.69</v>
      </c>
      <c r="J4622" s="241" t="n">
        <v>-6.54</v>
      </c>
      <c r="K4622" s="241" t="n">
        <v>8.68</v>
      </c>
      <c r="L4622" s="242" t="n">
        <v>1002400</v>
      </c>
      <c r="M4622" s="241" t="n">
        <v>1.08</v>
      </c>
      <c r="N4622" s="241" t="n">
        <v>-0.21</v>
      </c>
      <c r="O4622" s="241" t="n">
        <v>-3.2</v>
      </c>
      <c r="P4622" s="241" t="n">
        <v>1.71</v>
      </c>
    </row>
    <row r="4623">
      <c r="A4623" s="282" t="inlineStr">
        <is>
          <t>2025-01-08</t>
        </is>
      </c>
      <c r="B4623" s="240">
        <f>IFERROR(1/P4623-1,B4622)</f>
        <v/>
      </c>
      <c r="C4623" s="240">
        <f>$C$3</f>
        <v/>
      </c>
      <c r="D4623" s="240">
        <f>$D$3</f>
        <v/>
      </c>
      <c r="E4623" s="240">
        <f>$E$3</f>
        <v/>
      </c>
      <c r="F4623" s="241" t="n">
        <v>14.7</v>
      </c>
      <c r="G4623" s="242" t="n">
        <v>21756814</v>
      </c>
      <c r="H4623" s="241" t="n">
        <v>-1.01</v>
      </c>
      <c r="I4623" s="241" t="n">
        <v>-3.67</v>
      </c>
      <c r="J4623" s="241" t="n">
        <v>-7.49</v>
      </c>
      <c r="K4623" s="241" t="n">
        <v>8.69</v>
      </c>
      <c r="L4623" s="242" t="n">
        <v>1315733</v>
      </c>
      <c r="M4623" s="241" t="n">
        <v>0.11</v>
      </c>
      <c r="N4623" s="241" t="n">
        <v>-0.11</v>
      </c>
      <c r="O4623" s="241" t="n">
        <v>-3.09</v>
      </c>
      <c r="P4623" s="241" t="n">
        <v>1.69</v>
      </c>
    </row>
    <row r="4624">
      <c r="A4624" s="282" t="inlineStr">
        <is>
          <t>2025-01-09</t>
        </is>
      </c>
      <c r="B4624" s="240">
        <f>IFERROR(1/P4624-1,B4623)</f>
        <v/>
      </c>
      <c r="C4624" s="240">
        <f>$C$3</f>
        <v/>
      </c>
      <c r="D4624" s="240">
        <f>$D$3</f>
        <v/>
      </c>
      <c r="E4624" s="240">
        <f>$E$3</f>
        <v/>
      </c>
      <c r="F4624" s="241" t="n">
        <v>14.62</v>
      </c>
      <c r="G4624" s="242" t="n">
        <v>12568200</v>
      </c>
      <c r="H4624" s="241" t="n">
        <v>-0.54</v>
      </c>
      <c r="I4624" s="241" t="n">
        <v>-4.19</v>
      </c>
      <c r="J4624" s="241" t="n">
        <v>-7.99</v>
      </c>
      <c r="K4624" s="241" t="n">
        <v>8.619999999999999</v>
      </c>
      <c r="L4624" s="242" t="n">
        <v>357800</v>
      </c>
      <c r="M4624" s="241" t="n">
        <v>-0.74</v>
      </c>
      <c r="N4624" s="241" t="n">
        <v>-0.85</v>
      </c>
      <c r="O4624" s="241" t="n">
        <v>-3.81</v>
      </c>
      <c r="P4624" s="241" t="n">
        <v>1.7</v>
      </c>
    </row>
    <row r="4625">
      <c r="A4625" s="282" t="inlineStr">
        <is>
          <t>2025-01-10</t>
        </is>
      </c>
      <c r="B4625" s="240">
        <f>IFERROR(1/P4625-1,B4624)</f>
        <v/>
      </c>
      <c r="C4625" s="240">
        <f>$C$3</f>
        <v/>
      </c>
      <c r="D4625" s="240">
        <f>$D$3</f>
        <v/>
      </c>
      <c r="E4625" s="240">
        <f>$E$3</f>
        <v/>
      </c>
      <c r="F4625" s="241" t="n">
        <v>14.39</v>
      </c>
      <c r="G4625" s="242" t="n">
        <v>10701728</v>
      </c>
      <c r="H4625" s="241" t="n">
        <v>-1.57</v>
      </c>
      <c r="I4625" s="241" t="n">
        <v>-6.5</v>
      </c>
      <c r="J4625" s="241" t="n">
        <v>-9.44</v>
      </c>
      <c r="K4625" s="241" t="n">
        <v>8.470000000000001</v>
      </c>
      <c r="L4625" s="242" t="n">
        <v>939000</v>
      </c>
      <c r="M4625" s="241" t="n">
        <v>-1.71</v>
      </c>
      <c r="N4625" s="241" t="n">
        <v>-6.62</v>
      </c>
      <c r="O4625" s="241" t="n">
        <v>-5.46</v>
      </c>
      <c r="P4625" s="241" t="n">
        <v>1.7</v>
      </c>
    </row>
    <row r="4626">
      <c r="A4626" s="282" t="inlineStr">
        <is>
          <t>2025-01-13</t>
        </is>
      </c>
      <c r="B4626" s="240">
        <f>IFERROR(1/P4626-1,B4625)</f>
        <v/>
      </c>
      <c r="C4626" s="240">
        <f>$C$3</f>
        <v/>
      </c>
      <c r="D4626" s="240">
        <f>$D$3</f>
        <v/>
      </c>
      <c r="E4626" s="240">
        <f>$E$3</f>
        <v/>
      </c>
      <c r="F4626" s="241" t="n">
        <v>14.12</v>
      </c>
      <c r="G4626" s="242" t="n">
        <v>16146892</v>
      </c>
      <c r="H4626" s="241" t="n">
        <v>-1.88</v>
      </c>
      <c r="I4626" s="241" t="n">
        <v>-8.73</v>
      </c>
      <c r="J4626" s="241" t="n">
        <v>-11.14</v>
      </c>
      <c r="K4626" s="241" t="n">
        <v>8.220000000000001</v>
      </c>
      <c r="L4626" s="242" t="n">
        <v>1496605</v>
      </c>
      <c r="M4626" s="241" t="n">
        <v>-2.94</v>
      </c>
      <c r="N4626" s="241" t="n">
        <v>-7.58</v>
      </c>
      <c r="O4626" s="241" t="n">
        <v>-8.25</v>
      </c>
      <c r="P4626" s="241" t="n">
        <v>1.72</v>
      </c>
    </row>
    <row r="4627">
      <c r="A4627" s="282" t="inlineStr">
        <is>
          <t>2025-01-14</t>
        </is>
      </c>
      <c r="B4627" s="240">
        <f>IFERROR(1/P4627-1,B4626)</f>
        <v/>
      </c>
      <c r="C4627" s="240">
        <f>$C$3</f>
        <v/>
      </c>
      <c r="D4627" s="240">
        <f>$D$3</f>
        <v/>
      </c>
      <c r="E4627" s="240">
        <f>$E$3</f>
        <v/>
      </c>
      <c r="F4627" s="241" t="n">
        <v>14.69</v>
      </c>
      <c r="G4627" s="242" t="n">
        <v>18369196</v>
      </c>
      <c r="H4627" s="241" t="n">
        <v>4.04</v>
      </c>
      <c r="I4627" s="241" t="n">
        <v>-3.36</v>
      </c>
      <c r="J4627" s="241" t="n">
        <v>-7.55</v>
      </c>
      <c r="K4627" s="241" t="n">
        <v>8.41</v>
      </c>
      <c r="L4627" s="242" t="n">
        <v>1341047</v>
      </c>
      <c r="M4627" s="241" t="n">
        <v>2.36</v>
      </c>
      <c r="N4627" s="241" t="n">
        <v>-1.94</v>
      </c>
      <c r="O4627" s="241" t="n">
        <v>-6.08</v>
      </c>
      <c r="P4627" s="241" t="n">
        <v>1.75</v>
      </c>
    </row>
    <row r="4628">
      <c r="A4628" s="282" t="inlineStr">
        <is>
          <t>2025-01-15</t>
        </is>
      </c>
      <c r="B4628" s="240">
        <f>IFERROR(1/P4628-1,B4627)</f>
        <v/>
      </c>
      <c r="C4628" s="240">
        <f>$C$3</f>
        <v/>
      </c>
      <c r="D4628" s="240">
        <f>$D$3</f>
        <v/>
      </c>
      <c r="E4628" s="240">
        <f>$E$3</f>
        <v/>
      </c>
      <c r="F4628" s="241" t="n">
        <v>14.53</v>
      </c>
      <c r="G4628" s="242" t="n">
        <v>10423369</v>
      </c>
      <c r="H4628" s="241" t="n">
        <v>-1.09</v>
      </c>
      <c r="I4628" s="241" t="n">
        <v>-4.41</v>
      </c>
      <c r="J4628" s="241" t="n">
        <v>-8.56</v>
      </c>
      <c r="K4628" s="241" t="n">
        <v>8.44</v>
      </c>
      <c r="L4628" s="242" t="n">
        <v>682000</v>
      </c>
      <c r="M4628" s="241" t="n">
        <v>0.33</v>
      </c>
      <c r="N4628" s="241" t="n">
        <v>-1.61</v>
      </c>
      <c r="O4628" s="241" t="n">
        <v>-5.77</v>
      </c>
      <c r="P4628" s="241" t="n">
        <v>1.72</v>
      </c>
    </row>
    <row r="4629">
      <c r="A4629" s="282" t="inlineStr">
        <is>
          <t>2025-01-16</t>
        </is>
      </c>
      <c r="B4629" s="240">
        <f>IFERROR(1/P4629-1,B4628)</f>
        <v/>
      </c>
      <c r="C4629" s="240">
        <f>$C$3</f>
        <v/>
      </c>
      <c r="D4629" s="240">
        <f>$D$3</f>
        <v/>
      </c>
      <c r="E4629" s="240">
        <f>$E$3</f>
        <v/>
      </c>
      <c r="F4629" s="241" t="n">
        <v>14.52</v>
      </c>
      <c r="G4629" s="242" t="n">
        <v>11519006</v>
      </c>
      <c r="H4629" s="241" t="n">
        <v>-0.07000000000000001</v>
      </c>
      <c r="I4629" s="241" t="n">
        <v>-4.47</v>
      </c>
      <c r="J4629" s="241" t="n">
        <v>-8.619999999999999</v>
      </c>
      <c r="K4629" s="241" t="n">
        <v>8.69</v>
      </c>
      <c r="L4629" s="242" t="n">
        <v>1600200</v>
      </c>
      <c r="M4629" s="241" t="n">
        <v>2.95</v>
      </c>
      <c r="N4629" s="241" t="n">
        <v>1.29</v>
      </c>
      <c r="O4629" s="241" t="n">
        <v>-2.99</v>
      </c>
      <c r="P4629" s="241" t="n">
        <v>1.67</v>
      </c>
    </row>
    <row r="4630">
      <c r="A4630" s="282" t="inlineStr">
        <is>
          <t>2025-01-17</t>
        </is>
      </c>
      <c r="B4630" s="240">
        <f>IFERROR(1/P4630-1,B4629)</f>
        <v/>
      </c>
      <c r="C4630" s="240">
        <f>$C$3</f>
        <v/>
      </c>
      <c r="D4630" s="240">
        <f>$D$3</f>
        <v/>
      </c>
      <c r="E4630" s="240">
        <f>$E$3</f>
        <v/>
      </c>
      <c r="F4630" s="241" t="n">
        <v>14.66</v>
      </c>
      <c r="G4630" s="242" t="n">
        <v>11425100</v>
      </c>
      <c r="H4630" s="241" t="n">
        <v>0.96</v>
      </c>
      <c r="I4630" s="241" t="n">
        <v>-2.79</v>
      </c>
      <c r="J4630" s="241" t="n">
        <v>-7.74</v>
      </c>
      <c r="K4630" s="241" t="n">
        <v>8.69</v>
      </c>
      <c r="L4630" s="242" t="n">
        <v>465600</v>
      </c>
      <c r="M4630" s="241" t="n">
        <v>0</v>
      </c>
      <c r="N4630" s="241" t="n">
        <v>0.97</v>
      </c>
      <c r="O4630" s="241" t="n">
        <v>-2.99</v>
      </c>
      <c r="P4630" s="241" t="n">
        <v>1.69</v>
      </c>
    </row>
    <row r="4631">
      <c r="A4631" s="282" t="inlineStr">
        <is>
          <t>2025-01-20</t>
        </is>
      </c>
      <c r="B4631" s="240">
        <f>IFERROR(1/P4631-1,B4630)</f>
        <v/>
      </c>
      <c r="C4631" s="240">
        <f>$C$3</f>
        <v/>
      </c>
      <c r="D4631" s="240">
        <f>$D$3</f>
        <v/>
      </c>
      <c r="E4631" s="240">
        <f>$E$3</f>
        <v/>
      </c>
      <c r="F4631" s="241" t="n">
        <v>14.67</v>
      </c>
      <c r="G4631" s="242" t="n">
        <v>14191257</v>
      </c>
      <c r="H4631" s="241" t="n">
        <v>0.07000000000000001</v>
      </c>
      <c r="I4631" s="241" t="n">
        <v>-3.42</v>
      </c>
      <c r="J4631" s="241" t="n">
        <v>-7.68</v>
      </c>
      <c r="K4631" s="241" t="n">
        <v>8.51</v>
      </c>
      <c r="L4631" s="242" t="n">
        <v>1063600</v>
      </c>
      <c r="M4631" s="241" t="n">
        <v>-2.02</v>
      </c>
      <c r="N4631" s="241" t="n">
        <v>-2.12</v>
      </c>
      <c r="O4631" s="241" t="n">
        <v>-4.95</v>
      </c>
      <c r="P4631" s="241" t="n">
        <v>1.72</v>
      </c>
    </row>
    <row r="4632">
      <c r="A4632" s="282" t="inlineStr">
        <is>
          <t>2025-01-21</t>
        </is>
      </c>
      <c r="B4632" s="240">
        <f>IFERROR(1/P4632-1,B4631)</f>
        <v/>
      </c>
      <c r="C4632" s="240">
        <f>$C$3</f>
        <v/>
      </c>
      <c r="D4632" s="240">
        <f>$D$3</f>
        <v/>
      </c>
      <c r="E4632" s="240">
        <f>$E$3</f>
        <v/>
      </c>
      <c r="F4632" s="241" t="n">
        <v>14.45</v>
      </c>
      <c r="G4632" s="242" t="n">
        <v>14021833</v>
      </c>
      <c r="H4632" s="241" t="n">
        <v>-1.5</v>
      </c>
      <c r="I4632" s="241" t="n">
        <v>-3.54</v>
      </c>
      <c r="J4632" s="241" t="n">
        <v>-9.06</v>
      </c>
      <c r="K4632" s="241" t="n">
        <v>8.51</v>
      </c>
      <c r="L4632" s="242" t="n">
        <v>858400</v>
      </c>
      <c r="M4632" s="241" t="n">
        <v>0.22</v>
      </c>
      <c r="N4632" s="241" t="n">
        <v>-0.65</v>
      </c>
      <c r="O4632" s="241" t="n">
        <v>-4.74</v>
      </c>
      <c r="P4632" s="241" t="n">
        <v>1.7</v>
      </c>
    </row>
    <row r="4633">
      <c r="A4633" s="282" t="inlineStr">
        <is>
          <t>2025-01-22</t>
        </is>
      </c>
      <c r="B4633" s="240">
        <f>IFERROR(1/P4633-1,B4632)</f>
        <v/>
      </c>
      <c r="C4633" s="240">
        <f>$C$3</f>
        <v/>
      </c>
      <c r="D4633" s="240">
        <f>$D$3</f>
        <v/>
      </c>
      <c r="E4633" s="240">
        <f>$E$3</f>
        <v/>
      </c>
      <c r="F4633" s="241" t="n">
        <v>14.47</v>
      </c>
      <c r="G4633" s="242" t="n">
        <v>13187686</v>
      </c>
      <c r="H4633" s="241" t="n">
        <v>0.14</v>
      </c>
      <c r="I4633" s="241" t="n">
        <v>-3.4</v>
      </c>
      <c r="J4633" s="241" t="n">
        <v>-8.94</v>
      </c>
      <c r="K4633" s="241" t="n">
        <v>8.449999999999999</v>
      </c>
      <c r="L4633" s="242" t="n">
        <v>811000</v>
      </c>
      <c r="M4633" s="241" t="n">
        <v>-0.65</v>
      </c>
      <c r="N4633" s="241" t="n">
        <v>-1.29</v>
      </c>
      <c r="O4633" s="241" t="n">
        <v>-5.36</v>
      </c>
      <c r="P4633" s="241" t="n">
        <v>1.71</v>
      </c>
    </row>
    <row r="4634">
      <c r="A4634" s="282" t="inlineStr">
        <is>
          <t>2025-01-23</t>
        </is>
      </c>
      <c r="B4634" s="240">
        <f>IFERROR(1/P4634-1,B4633)</f>
        <v/>
      </c>
      <c r="C4634" s="240">
        <f>$C$3</f>
        <v/>
      </c>
      <c r="D4634" s="240">
        <f>$D$3</f>
        <v/>
      </c>
      <c r="E4634" s="240">
        <f>$E$3</f>
        <v/>
      </c>
      <c r="F4634" s="241" t="n">
        <v>14.71</v>
      </c>
      <c r="G4634" s="242" t="n">
        <v>20642872</v>
      </c>
      <c r="H4634" s="241" t="n">
        <v>1.66</v>
      </c>
      <c r="I4634" s="241" t="n">
        <v>-1.8</v>
      </c>
      <c r="J4634" s="241" t="n">
        <v>-7.43</v>
      </c>
      <c r="K4634" s="241" t="n">
        <v>8.56</v>
      </c>
      <c r="L4634" s="242" t="n">
        <v>3771800</v>
      </c>
      <c r="M4634" s="241" t="n">
        <v>1.2</v>
      </c>
      <c r="N4634" s="241" t="n">
        <v>-0.11</v>
      </c>
      <c r="O4634" s="241" t="n">
        <v>-4.23</v>
      </c>
      <c r="P4634" s="241" t="n">
        <v>1.72</v>
      </c>
    </row>
    <row r="4635">
      <c r="A4635" s="282" t="inlineStr">
        <is>
          <t>2025-01-24</t>
        </is>
      </c>
      <c r="B4635" s="240">
        <f>IFERROR(1/P4635-1,B4634)</f>
        <v/>
      </c>
      <c r="C4635" s="240">
        <f>$C$3</f>
        <v/>
      </c>
      <c r="D4635" s="240">
        <f>$D$3</f>
        <v/>
      </c>
      <c r="E4635" s="240">
        <f>$E$3</f>
        <v/>
      </c>
      <c r="F4635" s="241" t="n">
        <v>15.07</v>
      </c>
      <c r="G4635" s="242" t="n">
        <v>18110451</v>
      </c>
      <c r="H4635" s="241" t="n">
        <v>2.45</v>
      </c>
      <c r="I4635" s="241" t="n">
        <v>-0.13</v>
      </c>
      <c r="J4635" s="241" t="n">
        <v>-5.16</v>
      </c>
      <c r="K4635" s="241" t="n">
        <v>8.74</v>
      </c>
      <c r="L4635" s="242" t="n">
        <v>3954800</v>
      </c>
      <c r="M4635" s="241" t="n">
        <v>2.26</v>
      </c>
      <c r="N4635" s="241" t="n">
        <v>0.42</v>
      </c>
      <c r="O4635" s="241" t="n">
        <v>-2.06</v>
      </c>
      <c r="P4635" s="241" t="n">
        <v>1.72</v>
      </c>
    </row>
    <row r="4636">
      <c r="A4636" s="282" t="inlineStr">
        <is>
          <t>2025-01-27</t>
        </is>
      </c>
      <c r="B4636" s="240">
        <f>IFERROR(1/P4636-1,B4635)</f>
        <v/>
      </c>
      <c r="C4636" s="240">
        <f>$C$3</f>
        <v/>
      </c>
      <c r="D4636" s="240">
        <f>$D$3</f>
        <v/>
      </c>
      <c r="E4636" s="240">
        <f>$E$3</f>
        <v/>
      </c>
      <c r="F4636" s="241" t="n">
        <v>14.92</v>
      </c>
      <c r="G4636" s="242" t="n">
        <v>10112828</v>
      </c>
      <c r="H4636" s="241" t="n">
        <v>-1</v>
      </c>
      <c r="I4636" s="241" t="n">
        <v>-6.57</v>
      </c>
      <c r="J4636" s="241" t="n">
        <v>-6.1</v>
      </c>
      <c r="K4636" s="241" t="n">
        <v>8.83</v>
      </c>
      <c r="L4636" s="242" t="n">
        <v>1936800</v>
      </c>
      <c r="M4636" s="241" t="n">
        <v>0.95</v>
      </c>
      <c r="N4636" s="241" t="n">
        <v>-0.1</v>
      </c>
      <c r="O4636" s="241" t="n">
        <v>-1.13</v>
      </c>
      <c r="P4636" s="241" t="n">
        <v>1.69</v>
      </c>
    </row>
    <row r="4637">
      <c r="A4637" s="282" t="inlineStr">
        <is>
          <t>2025-02-05</t>
        </is>
      </c>
      <c r="B4637" s="240">
        <f>IFERROR(1/P4637-1,B4636)</f>
        <v/>
      </c>
      <c r="C4637" s="240">
        <f>$C$3</f>
        <v/>
      </c>
      <c r="D4637" s="240">
        <f>$D$3</f>
        <v/>
      </c>
      <c r="E4637" s="240">
        <f>$E$3</f>
        <v/>
      </c>
      <c r="F4637" s="241" t="n">
        <v>14.72</v>
      </c>
      <c r="G4637" s="242" t="n">
        <v>17571467</v>
      </c>
      <c r="H4637" s="241" t="n">
        <v>-1.34</v>
      </c>
      <c r="I4637" s="241" t="n">
        <v>0.48</v>
      </c>
      <c r="J4637" s="241" t="n">
        <v>-7.36</v>
      </c>
      <c r="K4637" s="241" t="n">
        <v>8.359999999999999</v>
      </c>
      <c r="L4637" s="242" t="n">
        <v>1440000</v>
      </c>
      <c r="M4637" s="241" t="n">
        <v>0.67</v>
      </c>
      <c r="N4637" s="241" t="n">
        <v>-1.94</v>
      </c>
      <c r="O4637" s="241" t="n">
        <v>-6.39</v>
      </c>
      <c r="P4637" s="241" t="n">
        <v>1.76</v>
      </c>
    </row>
    <row r="4638">
      <c r="A4638" s="282" t="inlineStr">
        <is>
          <t>2025-02-06</t>
        </is>
      </c>
      <c r="B4638" s="240">
        <f>IFERROR(1/P4638-1,B4637)</f>
        <v/>
      </c>
      <c r="C4638" s="240">
        <f>$C$3</f>
        <v/>
      </c>
      <c r="D4638" s="240">
        <f>$D$3</f>
        <v/>
      </c>
      <c r="E4638" s="240">
        <f>$E$3</f>
        <v/>
      </c>
      <c r="F4638" s="241" t="n">
        <v>14.86</v>
      </c>
      <c r="G4638" s="242" t="n">
        <v>13120280</v>
      </c>
      <c r="H4638" s="241" t="n">
        <v>0.95</v>
      </c>
      <c r="I4638" s="241" t="n">
        <v>1.43</v>
      </c>
      <c r="J4638" s="241" t="n">
        <v>-6.48</v>
      </c>
      <c r="K4638" s="241" t="n">
        <v>8.539999999999999</v>
      </c>
      <c r="L4638" s="242" t="n">
        <v>1123800</v>
      </c>
      <c r="M4638" s="241" t="n">
        <v>2.2</v>
      </c>
      <c r="N4638" s="241" t="n">
        <v>0.22</v>
      </c>
      <c r="O4638" s="241" t="n">
        <v>-4.33</v>
      </c>
      <c r="P4638" s="241" t="n">
        <v>1.74</v>
      </c>
    </row>
    <row r="4639">
      <c r="A4639" s="282" t="inlineStr">
        <is>
          <t>2025-02-07</t>
        </is>
      </c>
      <c r="B4639" s="240">
        <f>IFERROR(1/P4639-1,B4638)</f>
        <v/>
      </c>
      <c r="C4639" s="240">
        <f>$C$3</f>
        <v/>
      </c>
      <c r="D4639" s="240">
        <f>$D$3</f>
        <v/>
      </c>
      <c r="E4639" s="240">
        <f>$E$3</f>
        <v/>
      </c>
      <c r="F4639" s="241" t="n">
        <v>14.95</v>
      </c>
      <c r="G4639" s="242" t="n">
        <v>17996029</v>
      </c>
      <c r="H4639" s="241" t="n">
        <v>0.61</v>
      </c>
      <c r="I4639" s="241" t="n">
        <v>1.63</v>
      </c>
      <c r="J4639" s="241" t="n">
        <v>-5.92</v>
      </c>
      <c r="K4639" s="241" t="n">
        <v>8.58</v>
      </c>
      <c r="L4639" s="242" t="n">
        <v>2058000</v>
      </c>
      <c r="M4639" s="241" t="n">
        <v>0.43</v>
      </c>
      <c r="N4639" s="241" t="n">
        <v>0.32</v>
      </c>
      <c r="O4639" s="241" t="n">
        <v>-3.92</v>
      </c>
      <c r="P4639" s="241" t="n">
        <v>1.74</v>
      </c>
    </row>
    <row r="4640">
      <c r="A4640" s="282" t="inlineStr">
        <is>
          <t>2025-02-10</t>
        </is>
      </c>
      <c r="B4640" s="240">
        <f>IFERROR(1/P4640-1,B4639)</f>
        <v/>
      </c>
      <c r="C4640" s="240">
        <f>$C$3</f>
        <v/>
      </c>
      <c r="D4640" s="240">
        <f>$D$3</f>
        <v/>
      </c>
      <c r="E4640" s="240">
        <f>$E$3</f>
        <v/>
      </c>
      <c r="F4640" s="241" t="n">
        <v>15.01</v>
      </c>
      <c r="G4640" s="242" t="n">
        <v>16609542</v>
      </c>
      <c r="H4640" s="241" t="n">
        <v>0.4</v>
      </c>
      <c r="I4640" s="241" t="n">
        <v>2.67</v>
      </c>
      <c r="J4640" s="241" t="n">
        <v>-5.54</v>
      </c>
      <c r="K4640" s="241" t="n">
        <v>8.59</v>
      </c>
      <c r="L4640" s="242" t="n">
        <v>3033400</v>
      </c>
      <c r="M4640" s="241" t="n">
        <v>0.11</v>
      </c>
      <c r="N4640" s="241" t="n">
        <v>0</v>
      </c>
      <c r="O4640" s="241" t="n">
        <v>-3.81</v>
      </c>
      <c r="P4640" s="241" t="n">
        <v>1.75</v>
      </c>
    </row>
    <row r="4641">
      <c r="A4641" s="282" t="inlineStr">
        <is>
          <t>2025-02-11</t>
        </is>
      </c>
      <c r="B4641" s="240">
        <f>IFERROR(1/P4641-1,B4640)</f>
        <v/>
      </c>
      <c r="C4641" s="240">
        <f>$C$3</f>
        <v/>
      </c>
      <c r="D4641" s="240">
        <f>$D$3</f>
        <v/>
      </c>
      <c r="E4641" s="240">
        <f>$E$3</f>
        <v/>
      </c>
      <c r="F4641" s="241" t="n">
        <v>14.91</v>
      </c>
      <c r="G4641" s="242" t="n">
        <v>12864384</v>
      </c>
      <c r="H4641" s="241" t="n">
        <v>-0.67</v>
      </c>
      <c r="I4641" s="241" t="n">
        <v>3.61</v>
      </c>
      <c r="J4641" s="241" t="n">
        <v>-6.17</v>
      </c>
      <c r="K4641" s="241" t="n">
        <v>8.779999999999999</v>
      </c>
      <c r="L4641" s="242" t="n">
        <v>2364800</v>
      </c>
      <c r="M4641" s="241" t="n">
        <v>2.25</v>
      </c>
      <c r="N4641" s="241" t="n">
        <v>4.03</v>
      </c>
      <c r="O4641" s="241" t="n">
        <v>-1.65</v>
      </c>
      <c r="P4641" s="241" t="n">
        <v>1.7</v>
      </c>
    </row>
    <row r="4642">
      <c r="A4642" s="282" t="inlineStr">
        <is>
          <t>2025-02-12</t>
        </is>
      </c>
      <c r="B4642" s="240">
        <f>IFERROR(1/P4642-1,B4641)</f>
        <v/>
      </c>
      <c r="C4642" s="240">
        <f>$C$3</f>
        <v/>
      </c>
      <c r="D4642" s="240">
        <f>$D$3</f>
        <v/>
      </c>
      <c r="E4642" s="240">
        <f>$E$3</f>
        <v/>
      </c>
      <c r="F4642" s="241" t="n">
        <v>15.68</v>
      </c>
      <c r="G4642" s="242" t="n">
        <v>36389574</v>
      </c>
      <c r="H4642" s="241" t="n">
        <v>5.16</v>
      </c>
      <c r="I4642" s="241" t="n">
        <v>8.960000000000001</v>
      </c>
      <c r="J4642" s="241" t="n">
        <v>-1.32</v>
      </c>
      <c r="K4642" s="241" t="n">
        <v>9.35</v>
      </c>
      <c r="L4642" s="242" t="n">
        <v>7504400</v>
      </c>
      <c r="M4642" s="241" t="n">
        <v>6.5</v>
      </c>
      <c r="N4642" s="241" t="n">
        <v>10.8</v>
      </c>
      <c r="O4642" s="241" t="n">
        <v>4.74</v>
      </c>
      <c r="P4642" s="241" t="n">
        <v>1.68</v>
      </c>
    </row>
    <row r="4643">
      <c r="A4643" s="282" t="inlineStr">
        <is>
          <t>2025-02-13</t>
        </is>
      </c>
      <c r="B4643" s="240">
        <f>IFERROR(1/P4643-1,B4642)</f>
        <v/>
      </c>
      <c r="C4643" s="240">
        <f>$C$3</f>
        <v/>
      </c>
      <c r="D4643" s="240">
        <f>$D$3</f>
        <v/>
      </c>
      <c r="E4643" s="240">
        <f>$E$3</f>
        <v/>
      </c>
      <c r="F4643" s="241" t="n">
        <v>15.27</v>
      </c>
      <c r="G4643" s="242" t="n">
        <v>21555909</v>
      </c>
      <c r="H4643" s="241" t="n">
        <v>-2.61</v>
      </c>
      <c r="I4643" s="241" t="n">
        <v>6.12</v>
      </c>
      <c r="J4643" s="241" t="n">
        <v>-3.9</v>
      </c>
      <c r="K4643" s="241" t="n">
        <v>8.91</v>
      </c>
      <c r="L4643" s="242" t="n">
        <v>5110400</v>
      </c>
      <c r="M4643" s="241" t="n">
        <v>-4.72</v>
      </c>
      <c r="N4643" s="241" t="n">
        <v>5.56</v>
      </c>
      <c r="O4643" s="241" t="n">
        <v>-0.21</v>
      </c>
      <c r="P4643" s="241" t="n">
        <v>1.71</v>
      </c>
    </row>
    <row r="4644">
      <c r="A4644" s="282" t="inlineStr">
        <is>
          <t>2025-02-14</t>
        </is>
      </c>
      <c r="B4644" s="240">
        <f>IFERROR(1/P4644-1,B4643)</f>
        <v/>
      </c>
      <c r="C4644" s="240">
        <f>$C$3</f>
        <v/>
      </c>
      <c r="D4644" s="240">
        <f>$D$3</f>
        <v/>
      </c>
      <c r="E4644" s="240">
        <f>$E$3</f>
        <v/>
      </c>
      <c r="F4644" s="241" t="n">
        <v>15.32</v>
      </c>
      <c r="G4644" s="242" t="n">
        <v>15126062</v>
      </c>
      <c r="H4644" s="241" t="n">
        <v>0.33</v>
      </c>
      <c r="I4644" s="241" t="n">
        <v>8.5</v>
      </c>
      <c r="J4644" s="241" t="n">
        <v>-3.59</v>
      </c>
      <c r="K4644" s="241" t="n">
        <v>9.18</v>
      </c>
      <c r="L4644" s="242" t="n">
        <v>3681400</v>
      </c>
      <c r="M4644" s="241" t="n">
        <v>3</v>
      </c>
      <c r="N4644" s="241" t="n">
        <v>12.02</v>
      </c>
      <c r="O4644" s="241" t="n">
        <v>2.78</v>
      </c>
      <c r="P4644" s="241" t="n">
        <v>1.67</v>
      </c>
    </row>
    <row r="4645">
      <c r="A4645" s="282" t="inlineStr">
        <is>
          <t>2025-02-17</t>
        </is>
      </c>
      <c r="B4645" s="240">
        <f>IFERROR(1/P4645-1,B4644)</f>
        <v/>
      </c>
      <c r="C4645" s="240">
        <f>$C$3</f>
        <v/>
      </c>
      <c r="D4645" s="240">
        <f>$D$3</f>
        <v/>
      </c>
      <c r="E4645" s="240">
        <f>$E$3</f>
        <v/>
      </c>
      <c r="F4645" s="241" t="n">
        <v>14.99</v>
      </c>
      <c r="G4645" s="242" t="n">
        <v>38080047</v>
      </c>
      <c r="H4645" s="241" t="n">
        <v>-2.15</v>
      </c>
      <c r="I4645" s="241" t="n">
        <v>3.24</v>
      </c>
      <c r="J4645" s="241" t="n">
        <v>-5.66</v>
      </c>
      <c r="K4645" s="241" t="n">
        <v>9.039999999999999</v>
      </c>
      <c r="L4645" s="242" t="n">
        <v>1525600</v>
      </c>
      <c r="M4645" s="241" t="n">
        <v>-1.6</v>
      </c>
      <c r="N4645" s="241" t="n">
        <v>4.25</v>
      </c>
      <c r="O4645" s="241" t="n">
        <v>1.13</v>
      </c>
      <c r="P4645" s="241" t="n">
        <v>1.66</v>
      </c>
    </row>
    <row r="4646">
      <c r="A4646" s="282" t="inlineStr">
        <is>
          <t>2025-02-18</t>
        </is>
      </c>
      <c r="B4646" s="240">
        <f>IFERROR(1/P4646-1,B4645)</f>
        <v/>
      </c>
      <c r="C4646" s="240">
        <f>$C$3</f>
        <v/>
      </c>
      <c r="D4646" s="240">
        <f>$D$3</f>
        <v/>
      </c>
      <c r="E4646" s="240">
        <f>$E$3</f>
        <v/>
      </c>
      <c r="F4646" s="241" t="n">
        <v>14.81</v>
      </c>
      <c r="G4646" s="242" t="n">
        <v>18516837</v>
      </c>
      <c r="H4646" s="241" t="n">
        <v>-1.2</v>
      </c>
      <c r="I4646" s="241" t="n">
        <v>1.02</v>
      </c>
      <c r="J4646" s="241" t="n">
        <v>-6.8</v>
      </c>
      <c r="K4646" s="241" t="n">
        <v>9.050000000000001</v>
      </c>
      <c r="L4646" s="242" t="n">
        <v>1801200</v>
      </c>
      <c r="M4646" s="241" t="n">
        <v>0.1</v>
      </c>
      <c r="N4646" s="241" t="n">
        <v>4.36</v>
      </c>
      <c r="O4646" s="241" t="n">
        <v>1.24</v>
      </c>
      <c r="P4646" s="241" t="n">
        <v>1.64</v>
      </c>
    </row>
    <row r="4647">
      <c r="A4647" s="282" t="inlineStr">
        <is>
          <t>2025-02-19</t>
        </is>
      </c>
      <c r="B4647" s="240">
        <f>IFERROR(1/P4647-1,B4646)</f>
        <v/>
      </c>
      <c r="C4647" s="240">
        <f>$C$3</f>
        <v/>
      </c>
      <c r="D4647" s="240">
        <f>$D$3</f>
        <v/>
      </c>
      <c r="E4647" s="240">
        <f>$E$3</f>
        <v/>
      </c>
      <c r="F4647" s="241" t="n">
        <v>14.93</v>
      </c>
      <c r="G4647" s="242" t="n">
        <v>13219769</v>
      </c>
      <c r="H4647" s="241" t="n">
        <v>0.8100000000000001</v>
      </c>
      <c r="I4647" s="241" t="n">
        <v>1.84</v>
      </c>
      <c r="J4647" s="241" t="n">
        <v>-6.04</v>
      </c>
      <c r="K4647" s="241" t="n">
        <v>9.279999999999999</v>
      </c>
      <c r="L4647" s="242" t="n">
        <v>2921400</v>
      </c>
      <c r="M4647" s="241" t="n">
        <v>2.44</v>
      </c>
      <c r="N4647" s="241" t="n">
        <v>6.91</v>
      </c>
      <c r="O4647" s="241" t="n">
        <v>3.71</v>
      </c>
      <c r="P4647" s="241" t="n">
        <v>1.61</v>
      </c>
    </row>
    <row r="4648">
      <c r="A4648" s="282" t="inlineStr">
        <is>
          <t>2025-02-20</t>
        </is>
      </c>
      <c r="B4648" s="240">
        <f>IFERROR(1/P4648-1,B4647)</f>
        <v/>
      </c>
      <c r="C4648" s="240">
        <f>$C$3</f>
        <v/>
      </c>
      <c r="D4648" s="240">
        <f>$D$3</f>
        <v/>
      </c>
      <c r="E4648" s="240">
        <f>$E$3</f>
        <v/>
      </c>
      <c r="F4648" s="241" t="n">
        <v>14.75</v>
      </c>
      <c r="G4648" s="242" t="n">
        <v>20087834</v>
      </c>
      <c r="H4648" s="241" t="n">
        <v>-1.21</v>
      </c>
      <c r="I4648" s="241" t="n">
        <v>0.61</v>
      </c>
      <c r="J4648" s="241" t="n">
        <v>-7.17</v>
      </c>
      <c r="K4648" s="241" t="n">
        <v>9.26</v>
      </c>
      <c r="L4648" s="242" t="n">
        <v>1721200</v>
      </c>
      <c r="M4648" s="241" t="n">
        <v>-0.2</v>
      </c>
      <c r="N4648" s="241" t="n">
        <v>6.7</v>
      </c>
      <c r="O4648" s="241" t="n">
        <v>3.51</v>
      </c>
      <c r="P4648" s="241" t="n">
        <v>1.59</v>
      </c>
    </row>
    <row r="4649">
      <c r="A4649" s="282" t="inlineStr">
        <is>
          <t>2025-02-21</t>
        </is>
      </c>
      <c r="B4649" s="240">
        <f>IFERROR(1/P4649-1,B4648)</f>
        <v/>
      </c>
      <c r="C4649" s="240">
        <f>$C$3</f>
        <v/>
      </c>
      <c r="D4649" s="240">
        <f>$D$3</f>
        <v/>
      </c>
      <c r="E4649" s="240">
        <f>$E$3</f>
        <v/>
      </c>
      <c r="F4649" s="241" t="n">
        <v>14.99</v>
      </c>
      <c r="G4649" s="242" t="n">
        <v>23245583</v>
      </c>
      <c r="H4649" s="241" t="n">
        <v>1.63</v>
      </c>
      <c r="I4649" s="241" t="n">
        <v>2.18</v>
      </c>
      <c r="J4649" s="241" t="n">
        <v>-5.66</v>
      </c>
      <c r="K4649" s="241" t="n">
        <v>9.369999999999999</v>
      </c>
      <c r="L4649" s="242" t="n">
        <v>2325000</v>
      </c>
      <c r="M4649" s="241" t="n">
        <v>1.2</v>
      </c>
      <c r="N4649" s="241" t="n">
        <v>10.2</v>
      </c>
      <c r="O4649" s="241" t="n">
        <v>4.74</v>
      </c>
      <c r="P4649" s="241" t="n">
        <v>1.6</v>
      </c>
    </row>
    <row r="4650">
      <c r="A4650" s="282" t="inlineStr">
        <is>
          <t>2025-02-24</t>
        </is>
      </c>
      <c r="B4650" s="240">
        <f>IFERROR(1/P4650-1,B4649)</f>
        <v/>
      </c>
      <c r="C4650" s="240">
        <f>$C$3</f>
        <v/>
      </c>
      <c r="D4650" s="240">
        <f>$D$3</f>
        <v/>
      </c>
      <c r="E4650" s="240">
        <f>$E$3</f>
        <v/>
      </c>
      <c r="F4650" s="241" t="n">
        <v>14.9</v>
      </c>
      <c r="G4650" s="242" t="n">
        <v>17041525</v>
      </c>
      <c r="H4650" s="241" t="n">
        <v>-0.6</v>
      </c>
      <c r="I4650" s="241" t="n">
        <v>1.29</v>
      </c>
      <c r="J4650" s="241" t="n">
        <v>-6.23</v>
      </c>
      <c r="K4650" s="241" t="n">
        <v>9.34</v>
      </c>
      <c r="L4650" s="242" t="n">
        <v>1518600</v>
      </c>
      <c r="M4650" s="241" t="n">
        <v>-0.39</v>
      </c>
      <c r="N4650" s="241" t="n">
        <v>8.93</v>
      </c>
      <c r="O4650" s="241" t="n">
        <v>4.33</v>
      </c>
      <c r="P4650" s="241" t="n">
        <v>1.6</v>
      </c>
    </row>
    <row r="4651">
      <c r="A4651" s="282" t="inlineStr">
        <is>
          <t>2025-02-25</t>
        </is>
      </c>
      <c r="B4651" s="240">
        <f>IFERROR(1/P4651-1,B4650)</f>
        <v/>
      </c>
      <c r="C4651" s="240">
        <f>$C$3</f>
        <v/>
      </c>
      <c r="D4651" s="240">
        <f>$D$3</f>
        <v/>
      </c>
      <c r="E4651" s="240">
        <f>$E$3</f>
        <v/>
      </c>
      <c r="F4651" s="241" t="n">
        <v>14.73</v>
      </c>
      <c r="G4651" s="242" t="n">
        <v>16480770</v>
      </c>
      <c r="H4651" s="241" t="n">
        <v>-1.14</v>
      </c>
      <c r="I4651" s="241" t="n">
        <v>-2.26</v>
      </c>
      <c r="J4651" s="241" t="n">
        <v>-7.3</v>
      </c>
      <c r="K4651" s="241" t="n">
        <v>9.01</v>
      </c>
      <c r="L4651" s="242" t="n">
        <v>2974200</v>
      </c>
      <c r="M4651" s="241" t="n">
        <v>-3.46</v>
      </c>
      <c r="N4651" s="241" t="n">
        <v>2.84</v>
      </c>
      <c r="O4651" s="241" t="n">
        <v>0.72</v>
      </c>
      <c r="P4651" s="241" t="n">
        <v>1.63</v>
      </c>
    </row>
    <row r="4652">
      <c r="A4652" s="282" t="inlineStr">
        <is>
          <t>2025-02-26</t>
        </is>
      </c>
      <c r="B4652" s="240">
        <f>IFERROR(1/P4652-1,B4651)</f>
        <v/>
      </c>
      <c r="C4652" s="240">
        <f>$C$3</f>
        <v/>
      </c>
      <c r="D4652" s="240">
        <f>$D$3</f>
        <v/>
      </c>
      <c r="E4652" s="240">
        <f>$E$3</f>
        <v/>
      </c>
      <c r="F4652" s="241" t="n">
        <v>14.9</v>
      </c>
      <c r="G4652" s="242" t="n">
        <v>16519563</v>
      </c>
      <c r="H4652" s="241" t="n">
        <v>1.15</v>
      </c>
      <c r="I4652" s="241" t="n">
        <v>-1.13</v>
      </c>
      <c r="J4652" s="241" t="n">
        <v>-6.23</v>
      </c>
      <c r="K4652" s="241" t="n">
        <v>9.15</v>
      </c>
      <c r="L4652" s="242" t="n">
        <v>2069210</v>
      </c>
      <c r="M4652" s="241" t="n">
        <v>1.43</v>
      </c>
      <c r="N4652" s="241" t="n">
        <v>4.32</v>
      </c>
      <c r="O4652" s="241" t="n">
        <v>2.16</v>
      </c>
      <c r="P4652" s="241" t="n">
        <v>1.63</v>
      </c>
    </row>
    <row r="4653">
      <c r="A4653" s="282" t="inlineStr">
        <is>
          <t>2025-02-27</t>
        </is>
      </c>
      <c r="B4653" s="240">
        <f>IFERROR(1/P4653-1,B4652)</f>
        <v/>
      </c>
      <c r="C4653" s="240">
        <f>$C$3</f>
        <v/>
      </c>
      <c r="D4653" s="240">
        <f>$D$3</f>
        <v/>
      </c>
      <c r="E4653" s="240">
        <f>$E$3</f>
        <v/>
      </c>
      <c r="F4653" s="241" t="n">
        <v>14.91</v>
      </c>
      <c r="G4653" s="242" t="n">
        <v>16099353</v>
      </c>
      <c r="H4653" s="241" t="n">
        <v>0.07000000000000001</v>
      </c>
      <c r="I4653" s="241" t="n">
        <v>-1.06</v>
      </c>
      <c r="J4653" s="241" t="n">
        <v>-6.17</v>
      </c>
      <c r="K4653" s="241" t="n">
        <v>9.289999999999999</v>
      </c>
      <c r="L4653" s="242" t="n">
        <v>1572000</v>
      </c>
      <c r="M4653" s="241" t="n">
        <v>1.51</v>
      </c>
      <c r="N4653" s="241" t="n">
        <v>5.89</v>
      </c>
      <c r="O4653" s="241" t="n">
        <v>3.71</v>
      </c>
      <c r="P4653" s="241" t="n">
        <v>1.61</v>
      </c>
    </row>
    <row r="4654">
      <c r="A4654" s="282" t="inlineStr">
        <is>
          <t>2025-02-28</t>
        </is>
      </c>
      <c r="B4654" s="240">
        <f>IFERROR(1/P4654-1,B4653)</f>
        <v/>
      </c>
      <c r="C4654" s="240">
        <f>$C$3</f>
        <v/>
      </c>
      <c r="D4654" s="240">
        <f>$D$3</f>
        <v/>
      </c>
      <c r="E4654" s="240">
        <f>$E$3</f>
        <v/>
      </c>
      <c r="F4654" s="241" t="n">
        <v>14.61</v>
      </c>
      <c r="G4654" s="242" t="n">
        <v>18922620</v>
      </c>
      <c r="H4654" s="241" t="n">
        <v>-2.01</v>
      </c>
      <c r="I4654" s="241" t="n">
        <v>-2.08</v>
      </c>
      <c r="J4654" s="241" t="n">
        <v>-8.06</v>
      </c>
      <c r="K4654" s="241" t="n">
        <v>8.859999999999999</v>
      </c>
      <c r="L4654" s="242" t="n">
        <v>1922314</v>
      </c>
      <c r="M4654" s="241" t="n">
        <v>-4.57</v>
      </c>
      <c r="N4654" s="241" t="n">
        <v>0.1</v>
      </c>
      <c r="O4654" s="241" t="n">
        <v>-1.03</v>
      </c>
      <c r="P4654" s="241" t="n">
        <v>1.65</v>
      </c>
    </row>
    <row r="4655">
      <c r="A4655" s="282" t="inlineStr">
        <is>
          <t>2025-03-03</t>
        </is>
      </c>
      <c r="B4655" s="240">
        <f>IFERROR(1/P4655-1,B4654)</f>
        <v/>
      </c>
      <c r="C4655" s="240">
        <f>$C$3</f>
        <v/>
      </c>
      <c r="D4655" s="240">
        <f>$D$3</f>
        <v/>
      </c>
      <c r="E4655" s="240">
        <f>$E$3</f>
        <v/>
      </c>
      <c r="F4655" s="241" t="n">
        <v>14.87</v>
      </c>
      <c r="G4655" s="242" t="n">
        <v>26951263</v>
      </c>
      <c r="H4655" s="241" t="n">
        <v>1.78</v>
      </c>
      <c r="I4655" s="241" t="n">
        <v>-0.34</v>
      </c>
      <c r="J4655" s="241" t="n">
        <v>-6.42</v>
      </c>
      <c r="K4655" s="241" t="n">
        <v>9.06</v>
      </c>
      <c r="L4655" s="242" t="n">
        <v>2065800</v>
      </c>
      <c r="M4655" s="241" t="n">
        <v>2.29</v>
      </c>
      <c r="N4655" s="241" t="n">
        <v>8.869999999999999</v>
      </c>
      <c r="O4655" s="241" t="n">
        <v>1.24</v>
      </c>
      <c r="P4655" s="241" t="n">
        <v>1.64</v>
      </c>
    </row>
    <row r="4656">
      <c r="A4656" s="282" t="inlineStr">
        <is>
          <t>2025-03-04</t>
        </is>
      </c>
      <c r="B4656" s="240">
        <f>IFERROR(1/P4656-1,B4655)</f>
        <v/>
      </c>
      <c r="C4656" s="240">
        <f>$C$3</f>
        <v/>
      </c>
      <c r="D4656" s="240">
        <f>$D$3</f>
        <v/>
      </c>
      <c r="E4656" s="240">
        <f>$E$3</f>
        <v/>
      </c>
      <c r="F4656" s="241" t="n">
        <v>14.97</v>
      </c>
      <c r="G4656" s="242" t="n">
        <v>13828734</v>
      </c>
      <c r="H4656" s="241" t="n">
        <v>0.67</v>
      </c>
      <c r="I4656" s="241" t="n">
        <v>0.34</v>
      </c>
      <c r="J4656" s="241" t="n">
        <v>-5.79</v>
      </c>
      <c r="K4656" s="241" t="n">
        <v>9.24</v>
      </c>
      <c r="L4656" s="242" t="n">
        <v>1475400</v>
      </c>
      <c r="M4656" s="241" t="n">
        <v>2.04</v>
      </c>
      <c r="N4656" s="241" t="n">
        <v>16.24</v>
      </c>
      <c r="O4656" s="241" t="n">
        <v>3.3</v>
      </c>
      <c r="P4656" s="241" t="n">
        <v>1.62</v>
      </c>
    </row>
    <row r="4657">
      <c r="A4657" s="282" t="inlineStr">
        <is>
          <t>2025-03-05</t>
        </is>
      </c>
      <c r="B4657" s="240">
        <f>IFERROR(1/P4657-1,B4656)</f>
        <v/>
      </c>
      <c r="C4657" s="240">
        <f>$C$3</f>
        <v/>
      </c>
      <c r="D4657" s="240">
        <f>$D$3</f>
        <v/>
      </c>
      <c r="E4657" s="240">
        <f>$E$3</f>
        <v/>
      </c>
      <c r="F4657" s="241" t="n">
        <v>14.97</v>
      </c>
      <c r="G4657" s="242" t="n">
        <v>11362047</v>
      </c>
      <c r="H4657" s="241" t="n">
        <v>0</v>
      </c>
      <c r="I4657" s="241" t="n">
        <v>0.34</v>
      </c>
      <c r="J4657" s="241" t="n">
        <v>-5.79</v>
      </c>
      <c r="K4657" s="241" t="n">
        <v>9.24</v>
      </c>
      <c r="L4657" s="242" t="n">
        <v>1982000</v>
      </c>
      <c r="M4657" s="241" t="n">
        <v>0</v>
      </c>
      <c r="N4657" s="241" t="n">
        <v>11.09</v>
      </c>
      <c r="O4657" s="241" t="n">
        <v>3.3</v>
      </c>
      <c r="P4657" s="241" t="n">
        <v>1.62</v>
      </c>
    </row>
    <row r="4658">
      <c r="A4658" s="282" t="inlineStr">
        <is>
          <t>2025-03-06</t>
        </is>
      </c>
      <c r="B4658" s="240">
        <f>IFERROR(1/P4658-1,B4657)</f>
        <v/>
      </c>
      <c r="C4658" s="240">
        <f>$C$3</f>
        <v/>
      </c>
      <c r="D4658" s="240">
        <f>$D$3</f>
        <v/>
      </c>
      <c r="E4658" s="240">
        <f>$E$3</f>
        <v/>
      </c>
      <c r="F4658" s="241" t="n">
        <v>15.16</v>
      </c>
      <c r="G4658" s="242" t="n">
        <v>24047979</v>
      </c>
      <c r="H4658" s="241" t="n">
        <v>1.27</v>
      </c>
      <c r="I4658" s="241" t="n">
        <v>2.99</v>
      </c>
      <c r="J4658" s="241" t="n">
        <v>-4.59</v>
      </c>
      <c r="K4658" s="241" t="n">
        <v>9.34</v>
      </c>
      <c r="L4658" s="242" t="n">
        <v>2803000</v>
      </c>
      <c r="M4658" s="241" t="n">
        <v>1</v>
      </c>
      <c r="N4658" s="241" t="n">
        <v>11.45</v>
      </c>
      <c r="O4658" s="241" t="n">
        <v>4.33</v>
      </c>
      <c r="P4658" s="241" t="n">
        <v>1.62</v>
      </c>
    </row>
    <row r="4659">
      <c r="A4659" s="282" t="inlineStr">
        <is>
          <t>2025-03-07</t>
        </is>
      </c>
      <c r="B4659" s="240">
        <f>IFERROR(1/P4659-1,B4658)</f>
        <v/>
      </c>
      <c r="C4659" s="240">
        <f>$C$3</f>
        <v/>
      </c>
      <c r="D4659" s="240">
        <f>$D$3</f>
        <v/>
      </c>
      <c r="E4659" s="240">
        <f>$E$3</f>
        <v/>
      </c>
      <c r="F4659" s="241" t="n">
        <v>14.96</v>
      </c>
      <c r="G4659" s="242" t="n">
        <v>15824013</v>
      </c>
      <c r="H4659" s="241" t="n">
        <v>-1.32</v>
      </c>
      <c r="I4659" s="241" t="n">
        <v>0.67</v>
      </c>
      <c r="J4659" s="241" t="n">
        <v>-5.85</v>
      </c>
      <c r="K4659" s="241" t="n">
        <v>9.16</v>
      </c>
      <c r="L4659" s="242" t="n">
        <v>1369200</v>
      </c>
      <c r="M4659" s="241" t="n">
        <v>-1.88</v>
      </c>
      <c r="N4659" s="241" t="n">
        <v>7</v>
      </c>
      <c r="O4659" s="241" t="n">
        <v>2.37</v>
      </c>
      <c r="P4659" s="241" t="n">
        <v>1.63</v>
      </c>
    </row>
    <row r="4660">
      <c r="A4660" s="282" t="inlineStr">
        <is>
          <t>2025-03-10</t>
        </is>
      </c>
      <c r="B4660" s="240">
        <f>IFERROR(1/P4660-1,B4659)</f>
        <v/>
      </c>
      <c r="C4660" s="240">
        <f>$C$3</f>
        <v/>
      </c>
      <c r="D4660" s="240">
        <f>$D$3</f>
        <v/>
      </c>
      <c r="E4660" s="240">
        <f>$E$3</f>
        <v/>
      </c>
      <c r="F4660" s="241" t="n">
        <v>14.94</v>
      </c>
      <c r="G4660" s="242" t="n">
        <v>13947219</v>
      </c>
      <c r="H4660" s="241" t="n">
        <v>-0.13</v>
      </c>
      <c r="I4660" s="241" t="n">
        <v>-0.07000000000000001</v>
      </c>
      <c r="J4660" s="241" t="n">
        <v>-5.98</v>
      </c>
      <c r="K4660" s="241" t="n">
        <v>9.17</v>
      </c>
      <c r="L4660" s="242" t="n">
        <v>2068200</v>
      </c>
      <c r="M4660" s="241" t="n">
        <v>0</v>
      </c>
      <c r="N4660" s="241" t="n">
        <v>6.55</v>
      </c>
      <c r="O4660" s="241" t="n">
        <v>2.37</v>
      </c>
      <c r="P4660" s="241" t="n">
        <v>1.63</v>
      </c>
    </row>
    <row r="4661">
      <c r="A4661" s="282" t="inlineStr">
        <is>
          <t>2025-03-11</t>
        </is>
      </c>
      <c r="B4661" s="240">
        <f>IFERROR(1/P4661-1,B4660)</f>
        <v/>
      </c>
      <c r="C4661" s="240">
        <f>$C$3</f>
        <v/>
      </c>
      <c r="D4661" s="240">
        <f>$D$3</f>
        <v/>
      </c>
      <c r="E4661" s="240">
        <f>$E$3</f>
        <v/>
      </c>
      <c r="F4661" s="241" t="n">
        <v>14.88</v>
      </c>
      <c r="G4661" s="242" t="n">
        <v>13171389</v>
      </c>
      <c r="H4661" s="241" t="n">
        <v>-0.4</v>
      </c>
      <c r="I4661" s="241" t="n">
        <v>-0.87</v>
      </c>
      <c r="J4661" s="241" t="n">
        <v>-6.36</v>
      </c>
      <c r="K4661" s="241" t="n">
        <v>9.17</v>
      </c>
      <c r="L4661" s="242" t="n">
        <v>1320600</v>
      </c>
      <c r="M4661" s="241" t="n">
        <v>0</v>
      </c>
      <c r="N4661" s="241" t="n">
        <v>6.43</v>
      </c>
      <c r="O4661" s="241" t="n">
        <v>2.37</v>
      </c>
      <c r="P4661" s="241" t="n">
        <v>1.62</v>
      </c>
    </row>
    <row r="4662">
      <c r="A4662" s="282" t="inlineStr">
        <is>
          <t>2025-03-12</t>
        </is>
      </c>
      <c r="B4662" s="240">
        <f>IFERROR(1/P4662-1,B4661)</f>
        <v/>
      </c>
      <c r="C4662" s="240">
        <f>$C$3</f>
        <v/>
      </c>
      <c r="D4662" s="240">
        <f>$D$3</f>
        <v/>
      </c>
      <c r="E4662" s="240">
        <f>$E$3</f>
        <v/>
      </c>
      <c r="F4662" s="241" t="n">
        <v>15.1</v>
      </c>
      <c r="G4662" s="242" t="n">
        <v>21070318</v>
      </c>
      <c r="H4662" s="241" t="n">
        <v>1.48</v>
      </c>
      <c r="I4662" s="241" t="n">
        <v>1.27</v>
      </c>
      <c r="J4662" s="241" t="n">
        <v>-4.97</v>
      </c>
      <c r="K4662" s="241" t="n">
        <v>9.17</v>
      </c>
      <c r="L4662" s="242" t="n">
        <v>1629226</v>
      </c>
      <c r="M4662" s="241" t="n">
        <v>0.1</v>
      </c>
      <c r="N4662" s="241" t="n">
        <v>4.19</v>
      </c>
      <c r="O4662" s="241" t="n">
        <v>2.47</v>
      </c>
      <c r="P4662" s="241" t="n">
        <v>1.65</v>
      </c>
    </row>
    <row r="4663">
      <c r="A4663" s="282" t="inlineStr">
        <is>
          <t>2025-03-13</t>
        </is>
      </c>
      <c r="B4663" s="240">
        <f>IFERROR(1/P4663-1,B4662)</f>
        <v/>
      </c>
      <c r="C4663" s="240">
        <f>$C$3</f>
        <v/>
      </c>
      <c r="D4663" s="240">
        <f>$D$3</f>
        <v/>
      </c>
      <c r="E4663" s="240">
        <f>$E$3</f>
        <v/>
      </c>
      <c r="F4663" s="241" t="n">
        <v>15.15</v>
      </c>
      <c r="G4663" s="242" t="n">
        <v>19069402</v>
      </c>
      <c r="H4663" s="241" t="n">
        <v>0.33</v>
      </c>
      <c r="I4663" s="241" t="n">
        <v>-3.38</v>
      </c>
      <c r="J4663" s="241" t="n">
        <v>-4.66</v>
      </c>
      <c r="K4663" s="241" t="n">
        <v>9.619999999999999</v>
      </c>
      <c r="L4663" s="242" t="n">
        <v>5267972</v>
      </c>
      <c r="M4663" s="241" t="n">
        <v>4.83</v>
      </c>
      <c r="N4663" s="241" t="n">
        <v>2.56</v>
      </c>
      <c r="O4663" s="241" t="n">
        <v>7.42</v>
      </c>
      <c r="P4663" s="241" t="n">
        <v>1.57</v>
      </c>
    </row>
    <row r="4664">
      <c r="A4664" s="282" t="inlineStr">
        <is>
          <t>2025-03-14</t>
        </is>
      </c>
      <c r="B4664" s="240">
        <f>IFERROR(1/P4664-1,B4663)</f>
        <v/>
      </c>
      <c r="C4664" s="240">
        <f>$C$3</f>
        <v/>
      </c>
      <c r="D4664" s="240">
        <f>$D$3</f>
        <v/>
      </c>
      <c r="E4664" s="240">
        <f>$E$3</f>
        <v/>
      </c>
      <c r="F4664" s="241" t="n">
        <v>15.3</v>
      </c>
      <c r="G4664" s="242" t="n">
        <v>24902654</v>
      </c>
      <c r="H4664" s="241" t="n">
        <v>0.99</v>
      </c>
      <c r="I4664" s="241" t="n">
        <v>0.2</v>
      </c>
      <c r="J4664" s="241" t="n">
        <v>-3.71</v>
      </c>
      <c r="K4664" s="241" t="n">
        <v>9.449999999999999</v>
      </c>
      <c r="L4664" s="242" t="n">
        <v>5359600</v>
      </c>
      <c r="M4664" s="241" t="n">
        <v>-1.73</v>
      </c>
      <c r="N4664" s="241" t="n">
        <v>5.79</v>
      </c>
      <c r="O4664" s="241" t="n">
        <v>5.57</v>
      </c>
      <c r="P4664" s="241" t="n">
        <v>1.62</v>
      </c>
    </row>
    <row r="4665">
      <c r="A4665" s="282" t="inlineStr">
        <is>
          <t>2025-03-17</t>
        </is>
      </c>
      <c r="B4665" s="240">
        <f>IFERROR(1/P4665-1,B4664)</f>
        <v/>
      </c>
      <c r="C4665" s="240">
        <f>$C$3</f>
        <v/>
      </c>
      <c r="D4665" s="240">
        <f>$D$3</f>
        <v/>
      </c>
      <c r="E4665" s="240">
        <f>$E$3</f>
        <v/>
      </c>
      <c r="F4665" s="241" t="n">
        <v>15.26</v>
      </c>
      <c r="G4665" s="242" t="n">
        <v>13852000</v>
      </c>
      <c r="H4665" s="241" t="n">
        <v>-0.26</v>
      </c>
      <c r="I4665" s="241" t="n">
        <v>-0.39</v>
      </c>
      <c r="J4665" s="241" t="n">
        <v>-3.96</v>
      </c>
      <c r="K4665" s="241" t="n">
        <v>9.449999999999999</v>
      </c>
      <c r="L4665" s="242" t="n">
        <v>3325800</v>
      </c>
      <c r="M4665" s="241" t="n">
        <v>0</v>
      </c>
      <c r="N4665" s="241" t="n">
        <v>2.71</v>
      </c>
      <c r="O4665" s="241" t="n">
        <v>5.57</v>
      </c>
      <c r="P4665" s="241" t="n">
        <v>1.62</v>
      </c>
    </row>
    <row r="4666">
      <c r="A4666" s="282" t="inlineStr">
        <is>
          <t>2025-03-18</t>
        </is>
      </c>
      <c r="B4666" s="240">
        <f>IFERROR(1/P4666-1,B4665)</f>
        <v/>
      </c>
      <c r="C4666" s="240">
        <f>$C$3</f>
        <v/>
      </c>
      <c r="D4666" s="240">
        <f>$D$3</f>
        <v/>
      </c>
      <c r="E4666" s="240">
        <f>$E$3</f>
        <v/>
      </c>
      <c r="F4666" s="241" t="n">
        <v>15.25</v>
      </c>
      <c r="G4666" s="242" t="n">
        <v>10806576</v>
      </c>
      <c r="H4666" s="241" t="n">
        <v>-0.07000000000000001</v>
      </c>
      <c r="I4666" s="241" t="n">
        <v>1.73</v>
      </c>
      <c r="J4666" s="241" t="n">
        <v>-4.03</v>
      </c>
      <c r="K4666" s="241" t="n">
        <v>9.4</v>
      </c>
      <c r="L4666" s="242" t="n">
        <v>3441800</v>
      </c>
      <c r="M4666" s="241" t="n">
        <v>-0.59</v>
      </c>
      <c r="N4666" s="241" t="n">
        <v>3.77</v>
      </c>
      <c r="O4666" s="241" t="n">
        <v>4.95</v>
      </c>
      <c r="P4666" s="241" t="n">
        <v>1.62</v>
      </c>
    </row>
    <row r="4667">
      <c r="A4667" s="282" t="inlineStr">
        <is>
          <t>2025-03-19</t>
        </is>
      </c>
      <c r="B4667" s="240">
        <f>IFERROR(1/P4667-1,B4666)</f>
        <v/>
      </c>
      <c r="C4667" s="240">
        <f>$C$3</f>
        <v/>
      </c>
      <c r="D4667" s="240">
        <f>$D$3</f>
        <v/>
      </c>
      <c r="E4667" s="240">
        <f>$E$3</f>
        <v/>
      </c>
      <c r="F4667" s="241" t="n">
        <v>15.33</v>
      </c>
      <c r="G4667" s="242" t="n">
        <v>13276837</v>
      </c>
      <c r="H4667" s="241" t="n">
        <v>0.52</v>
      </c>
      <c r="I4667" s="241" t="n">
        <v>3.51</v>
      </c>
      <c r="J4667" s="241" t="n">
        <v>-3.52</v>
      </c>
      <c r="K4667" s="241" t="n">
        <v>9.41</v>
      </c>
      <c r="L4667" s="242" t="n">
        <v>2727600</v>
      </c>
      <c r="M4667" s="241" t="n">
        <v>0.2</v>
      </c>
      <c r="N4667" s="241" t="n">
        <v>3.87</v>
      </c>
      <c r="O4667" s="241" t="n">
        <v>5.15</v>
      </c>
      <c r="P4667" s="241" t="n">
        <v>1.63</v>
      </c>
    </row>
    <row r="4668">
      <c r="A4668" s="282" t="inlineStr">
        <is>
          <t>2025-03-20</t>
        </is>
      </c>
      <c r="B4668" s="240">
        <f>IFERROR(1/P4668-1,B4667)</f>
        <v/>
      </c>
      <c r="C4668" s="240">
        <f>$C$3</f>
        <v/>
      </c>
      <c r="D4668" s="240">
        <f>$D$3</f>
        <v/>
      </c>
      <c r="E4668" s="240">
        <f>$E$3</f>
        <v/>
      </c>
      <c r="F4668" s="241" t="n">
        <v>15.19</v>
      </c>
      <c r="G4668" s="242" t="n">
        <v>10558877</v>
      </c>
      <c r="H4668" s="241" t="n">
        <v>-0.91</v>
      </c>
      <c r="I4668" s="241" t="n">
        <v>1.74</v>
      </c>
      <c r="J4668" s="241" t="n">
        <v>-4.41</v>
      </c>
      <c r="K4668" s="241" t="n">
        <v>9.42</v>
      </c>
      <c r="L4668" s="242" t="n">
        <v>2254200</v>
      </c>
      <c r="M4668" s="241" t="n">
        <v>0</v>
      </c>
      <c r="N4668" s="241" t="n">
        <v>1.39</v>
      </c>
      <c r="O4668" s="241" t="n">
        <v>5.15</v>
      </c>
      <c r="P4668" s="241" t="n">
        <v>1.61</v>
      </c>
    </row>
    <row r="4669">
      <c r="A4669" s="282" t="inlineStr">
        <is>
          <t>2025-03-21</t>
        </is>
      </c>
      <c r="B4669" s="240">
        <f>IFERROR(1/P4669-1,B4668)</f>
        <v/>
      </c>
      <c r="C4669" s="240">
        <f>$C$3</f>
        <v/>
      </c>
      <c r="D4669" s="240">
        <f>$D$3</f>
        <v/>
      </c>
      <c r="E4669" s="240">
        <f>$E$3</f>
        <v/>
      </c>
      <c r="F4669" s="241" t="n">
        <v>15.15</v>
      </c>
      <c r="G4669" s="242" t="n">
        <v>20753940</v>
      </c>
      <c r="H4669" s="241" t="n">
        <v>-0.26</v>
      </c>
      <c r="I4669" s="241" t="n">
        <v>2.71</v>
      </c>
      <c r="J4669" s="241" t="n">
        <v>-4.66</v>
      </c>
      <c r="K4669" s="241" t="n">
        <v>9.210000000000001</v>
      </c>
      <c r="L4669" s="242" t="n">
        <v>3753440</v>
      </c>
      <c r="M4669" s="241" t="n">
        <v>-2.16</v>
      </c>
      <c r="N4669" s="241" t="n">
        <v>-0.6</v>
      </c>
      <c r="O4669" s="241" t="n">
        <v>2.89</v>
      </c>
      <c r="P4669" s="241" t="n">
        <v>1.64</v>
      </c>
    </row>
    <row r="4670">
      <c r="A4670" s="282" t="inlineStr">
        <is>
          <t>2025-03-24</t>
        </is>
      </c>
      <c r="B4670" s="240">
        <f>IFERROR(1/P4670-1,B4669)</f>
        <v/>
      </c>
      <c r="C4670" s="240">
        <f>$C$3</f>
        <v/>
      </c>
      <c r="D4670" s="240">
        <f>$D$3</f>
        <v/>
      </c>
      <c r="E4670" s="240">
        <f>$E$3</f>
        <v/>
      </c>
      <c r="F4670" s="241" t="n">
        <v>15.29</v>
      </c>
      <c r="G4670" s="242" t="n">
        <v>19358997</v>
      </c>
      <c r="H4670" s="241" t="n">
        <v>0.92</v>
      </c>
      <c r="I4670" s="241" t="n">
        <v>2</v>
      </c>
      <c r="J4670" s="241" t="n">
        <v>-3.78</v>
      </c>
      <c r="K4670" s="241" t="n">
        <v>9.4</v>
      </c>
      <c r="L4670" s="242" t="n">
        <v>2223400</v>
      </c>
      <c r="M4670" s="241" t="n">
        <v>2</v>
      </c>
      <c r="N4670" s="241" t="n">
        <v>0.2</v>
      </c>
      <c r="O4670" s="241" t="n">
        <v>4.95</v>
      </c>
      <c r="P4670" s="241" t="n">
        <v>1.63</v>
      </c>
    </row>
    <row r="4671">
      <c r="A4671" s="282" t="inlineStr">
        <is>
          <t>2025-03-25</t>
        </is>
      </c>
      <c r="B4671" s="240">
        <f>IFERROR(1/P4671-1,B4670)</f>
        <v/>
      </c>
      <c r="C4671" s="240">
        <f>$C$3</f>
        <v/>
      </c>
      <c r="D4671" s="240">
        <f>$D$3</f>
        <v/>
      </c>
      <c r="E4671" s="240">
        <f>$E$3</f>
        <v/>
      </c>
      <c r="F4671" s="241" t="n">
        <v>15.81</v>
      </c>
      <c r="G4671" s="242" t="n">
        <v>54993182</v>
      </c>
      <c r="H4671" s="241" t="n">
        <v>3.4</v>
      </c>
      <c r="I4671" s="241" t="n">
        <v>6.11</v>
      </c>
      <c r="J4671" s="241" t="n">
        <v>-0.5</v>
      </c>
      <c r="K4671" s="241" t="n">
        <v>9.949999999999999</v>
      </c>
      <c r="L4671" s="242" t="n">
        <v>17107000</v>
      </c>
      <c r="M4671" s="241" t="n">
        <v>5.89</v>
      </c>
      <c r="N4671" s="241" t="n">
        <v>6.52</v>
      </c>
      <c r="O4671" s="241" t="n">
        <v>11.13</v>
      </c>
      <c r="P4671" s="241" t="n">
        <v>1.59</v>
      </c>
    </row>
    <row r="4672">
      <c r="A4672" s="282" t="inlineStr">
        <is>
          <t>2025-03-26</t>
        </is>
      </c>
      <c r="B4672" s="240">
        <f>IFERROR(1/P4672-1,B4671)</f>
        <v/>
      </c>
      <c r="C4672" s="240">
        <f>$C$3</f>
        <v/>
      </c>
      <c r="D4672" s="240">
        <f>$D$3</f>
        <v/>
      </c>
      <c r="E4672" s="240">
        <f>$E$3</f>
        <v/>
      </c>
      <c r="F4672" s="241" t="n">
        <v>15.59</v>
      </c>
      <c r="G4672" s="242" t="n">
        <v>30651798</v>
      </c>
      <c r="H4672" s="241" t="n">
        <v>-1.39</v>
      </c>
      <c r="I4672" s="241" t="n">
        <v>5.84</v>
      </c>
      <c r="J4672" s="241" t="n">
        <v>-1.89</v>
      </c>
      <c r="K4672" s="241" t="n">
        <v>9.76</v>
      </c>
      <c r="L4672" s="242" t="n">
        <v>7992806</v>
      </c>
      <c r="M4672" s="241" t="n">
        <v>-1.86</v>
      </c>
      <c r="N4672" s="241" t="n">
        <v>8.289999999999999</v>
      </c>
      <c r="O4672" s="241" t="n">
        <v>9.07</v>
      </c>
      <c r="P4672" s="241" t="n">
        <v>1.6</v>
      </c>
    </row>
    <row r="4673">
      <c r="A4673" s="282" t="inlineStr">
        <is>
          <t>2025-03-27</t>
        </is>
      </c>
      <c r="B4673" s="240">
        <f>IFERROR(1/P4673-1,B4672)</f>
        <v/>
      </c>
      <c r="C4673" s="240">
        <f>$C$3</f>
        <v/>
      </c>
      <c r="D4673" s="240">
        <f>$D$3</f>
        <v/>
      </c>
      <c r="E4673" s="240">
        <f>$E$3</f>
        <v/>
      </c>
      <c r="F4673" s="241" t="n">
        <v>15.27</v>
      </c>
      <c r="G4673" s="242" t="n">
        <v>26375248</v>
      </c>
      <c r="H4673" s="241" t="n">
        <v>-2.05</v>
      </c>
      <c r="I4673" s="241" t="n">
        <v>2.48</v>
      </c>
      <c r="J4673" s="241" t="n">
        <v>-3.9</v>
      </c>
      <c r="K4673" s="241" t="n">
        <v>9.23</v>
      </c>
      <c r="L4673" s="242" t="n">
        <v>7409800</v>
      </c>
      <c r="M4673" s="241" t="n">
        <v>-5.48</v>
      </c>
      <c r="N4673" s="241" t="n">
        <v>0.91</v>
      </c>
      <c r="O4673" s="241" t="n">
        <v>3.09</v>
      </c>
      <c r="P4673" s="241" t="n">
        <v>1.65</v>
      </c>
    </row>
    <row r="4674">
      <c r="A4674" s="282" t="inlineStr">
        <is>
          <t>2025-03-28</t>
        </is>
      </c>
      <c r="B4674" s="240">
        <f>IFERROR(1/P4674-1,B4673)</f>
        <v/>
      </c>
      <c r="C4674" s="240">
        <f>$C$3</f>
        <v/>
      </c>
      <c r="D4674" s="240">
        <f>$D$3</f>
        <v/>
      </c>
      <c r="E4674" s="240">
        <f>$E$3</f>
        <v/>
      </c>
      <c r="F4674" s="241" t="n">
        <v>15.11</v>
      </c>
      <c r="G4674" s="242" t="n">
        <v>19324771</v>
      </c>
      <c r="H4674" s="241" t="n">
        <v>-1.05</v>
      </c>
      <c r="I4674" s="241" t="n">
        <v>1.34</v>
      </c>
      <c r="J4674" s="241" t="n">
        <v>-4.91</v>
      </c>
      <c r="K4674" s="241" t="n">
        <v>9.130000000000001</v>
      </c>
      <c r="L4674" s="242" t="n">
        <v>5959800</v>
      </c>
      <c r="M4674" s="241" t="n">
        <v>-1</v>
      </c>
      <c r="N4674" s="241" t="n">
        <v>-1.59</v>
      </c>
      <c r="O4674" s="241" t="n">
        <v>2.06</v>
      </c>
      <c r="P4674" s="241" t="n">
        <v>1.65</v>
      </c>
    </row>
    <row r="4675">
      <c r="A4675" s="282" t="inlineStr">
        <is>
          <t>2025-03-31</t>
        </is>
      </c>
      <c r="B4675" s="240">
        <f>IFERROR(1/P4675-1,B4674)</f>
        <v/>
      </c>
      <c r="C4675" s="240">
        <f>$C$3</f>
        <v/>
      </c>
      <c r="D4675" s="240">
        <f>$D$3</f>
        <v/>
      </c>
      <c r="E4675" s="240">
        <f>$E$3</f>
        <v/>
      </c>
      <c r="F4675" s="241" t="n">
        <v>14.97</v>
      </c>
      <c r="G4675" s="242" t="n">
        <v>20945974</v>
      </c>
      <c r="H4675" s="241" t="n">
        <v>-0.93</v>
      </c>
      <c r="I4675" s="241" t="n">
        <v>0.4</v>
      </c>
      <c r="J4675" s="241" t="n">
        <v>-5.79</v>
      </c>
      <c r="K4675" s="241" t="n">
        <v>9.029999999999999</v>
      </c>
      <c r="L4675" s="242" t="n">
        <v>4062400</v>
      </c>
      <c r="M4675" s="241" t="n">
        <v>-1.21</v>
      </c>
      <c r="N4675" s="241" t="n">
        <v>-2.78</v>
      </c>
      <c r="O4675" s="241" t="n">
        <v>0.82</v>
      </c>
      <c r="P4675" s="241" t="n">
        <v>1.66</v>
      </c>
    </row>
    <row r="4676">
      <c r="A4676" s="282" t="inlineStr">
        <is>
          <t>2025-04-01</t>
        </is>
      </c>
      <c r="B4676" s="240">
        <f>IFERROR(1/P4676-1,B4675)</f>
        <v/>
      </c>
      <c r="C4676" s="240">
        <f>$C$3</f>
        <v/>
      </c>
      <c r="D4676" s="240">
        <f>$D$3</f>
        <v/>
      </c>
      <c r="E4676" s="240">
        <f>$E$3</f>
        <v/>
      </c>
      <c r="F4676" s="241" t="n">
        <v>15.87</v>
      </c>
      <c r="G4676" s="242" t="n">
        <v>82449045</v>
      </c>
      <c r="H4676" s="241" t="n">
        <v>6.01</v>
      </c>
      <c r="I4676" s="241" t="n">
        <v>8.619999999999999</v>
      </c>
      <c r="J4676" s="241" t="n">
        <v>-0.13</v>
      </c>
      <c r="K4676" s="241" t="n">
        <v>9.710000000000001</v>
      </c>
      <c r="L4676" s="242" t="n">
        <v>17692800</v>
      </c>
      <c r="M4676" s="241" t="n">
        <v>7.57</v>
      </c>
      <c r="N4676" s="241" t="n">
        <v>9.58</v>
      </c>
      <c r="O4676" s="241" t="n">
        <v>8.449999999999999</v>
      </c>
      <c r="P4676" s="241" t="n">
        <v>1.64</v>
      </c>
    </row>
    <row r="4677">
      <c r="A4677" s="282" t="inlineStr">
        <is>
          <t>2025-04-02</t>
        </is>
      </c>
      <c r="B4677" s="240">
        <f>IFERROR(1/P4677-1,B4676)</f>
        <v/>
      </c>
      <c r="C4677" s="240">
        <f>$C$3</f>
        <v/>
      </c>
      <c r="D4677" s="240">
        <f>$D$3</f>
        <v/>
      </c>
      <c r="E4677" s="240">
        <f>$E$3</f>
        <v/>
      </c>
      <c r="F4677" s="241" t="n">
        <v>15.6</v>
      </c>
      <c r="G4677" s="242" t="n">
        <v>33863923</v>
      </c>
      <c r="H4677" s="241" t="n">
        <v>-1.7</v>
      </c>
      <c r="I4677" s="241" t="n">
        <v>6.78</v>
      </c>
      <c r="J4677" s="241" t="n">
        <v>-1.82</v>
      </c>
      <c r="K4677" s="241" t="n">
        <v>9.630000000000001</v>
      </c>
      <c r="L4677" s="242" t="n">
        <v>5060500</v>
      </c>
      <c r="M4677" s="241" t="n">
        <v>-0.76</v>
      </c>
      <c r="N4677" s="241" t="n">
        <v>8.75</v>
      </c>
      <c r="O4677" s="241" t="n">
        <v>7.63</v>
      </c>
      <c r="P4677" s="241" t="n">
        <v>1.62</v>
      </c>
    </row>
    <row r="4678">
      <c r="A4678" s="282" t="inlineStr">
        <is>
          <t>2025-04-03</t>
        </is>
      </c>
      <c r="B4678" s="240">
        <f>IFERROR(1/P4678-1,B4677)</f>
        <v/>
      </c>
      <c r="C4678" s="240">
        <f>$C$3</f>
        <v/>
      </c>
      <c r="D4678" s="240">
        <f>$D$3</f>
        <v/>
      </c>
      <c r="E4678" s="240">
        <f>$E$3</f>
        <v/>
      </c>
      <c r="F4678" s="241" t="n">
        <v>15.6</v>
      </c>
      <c r="G4678" s="242" t="n">
        <v>28834382</v>
      </c>
      <c r="H4678" s="241" t="n">
        <v>0</v>
      </c>
      <c r="I4678" s="241" t="n">
        <v>6.78</v>
      </c>
      <c r="J4678" s="241" t="n">
        <v>-1.82</v>
      </c>
      <c r="K4678" s="241" t="n">
        <v>9.77</v>
      </c>
      <c r="L4678" s="242" t="n">
        <v>5330100</v>
      </c>
      <c r="M4678" s="241" t="n">
        <v>1.34</v>
      </c>
      <c r="N4678" s="241" t="n">
        <v>10.21</v>
      </c>
      <c r="O4678" s="241" t="n">
        <v>9.07</v>
      </c>
      <c r="P4678" s="241" t="n">
        <v>1.6</v>
      </c>
    </row>
    <row r="4679">
      <c r="A4679" s="282" t="inlineStr">
        <is>
          <t>2025-04-07</t>
        </is>
      </c>
      <c r="B4679" s="240">
        <f>IFERROR(1/P4679-1,B4678)</f>
        <v/>
      </c>
      <c r="C4679" s="240">
        <f>$C$3</f>
        <v/>
      </c>
      <c r="D4679" s="240">
        <f>$D$3</f>
        <v/>
      </c>
      <c r="E4679" s="240">
        <f>$E$3</f>
        <v/>
      </c>
      <c r="F4679" s="241" t="n">
        <v>14.08</v>
      </c>
      <c r="G4679" s="242" t="n">
        <v>50718411</v>
      </c>
      <c r="H4679" s="241" t="n">
        <v>-9.74</v>
      </c>
      <c r="I4679" s="241" t="n">
        <v>-7.12</v>
      </c>
      <c r="J4679" s="241" t="n">
        <v>-11.39</v>
      </c>
      <c r="K4679" s="241" t="n">
        <v>8.300000000000001</v>
      </c>
      <c r="L4679" s="242" t="n">
        <v>8391200</v>
      </c>
      <c r="M4679" s="241" t="n">
        <v>-15.31</v>
      </c>
      <c r="N4679" s="241" t="n">
        <v>-11.46</v>
      </c>
      <c r="O4679" s="241" t="n">
        <v>-7.63</v>
      </c>
      <c r="P4679" s="241" t="n">
        <v>1.7</v>
      </c>
    </row>
    <row r="4680">
      <c r="A4680" s="282" t="inlineStr">
        <is>
          <t>2025-04-08</t>
        </is>
      </c>
      <c r="B4680" s="240">
        <f>IFERROR(1/P4680-1,B4679)</f>
        <v/>
      </c>
      <c r="C4680" s="240">
        <f>$C$3</f>
        <v/>
      </c>
      <c r="D4680" s="240">
        <f>$D$3</f>
        <v/>
      </c>
      <c r="E4680" s="240">
        <f>$E$3</f>
        <v/>
      </c>
      <c r="F4680" s="241" t="n">
        <v>14.56</v>
      </c>
      <c r="G4680" s="242" t="n">
        <v>43202353</v>
      </c>
      <c r="H4680" s="241" t="n">
        <v>3.41</v>
      </c>
      <c r="I4680" s="241" t="n">
        <v>-2.67</v>
      </c>
      <c r="J4680" s="241" t="n">
        <v>-8.369999999999999</v>
      </c>
      <c r="K4680" s="241" t="n">
        <v>8.65</v>
      </c>
      <c r="L4680" s="242" t="n">
        <v>8300600</v>
      </c>
      <c r="M4680" s="241" t="n">
        <v>4.13</v>
      </c>
      <c r="N4680" s="241" t="n">
        <v>-6.04</v>
      </c>
      <c r="O4680" s="241" t="n">
        <v>-3.81</v>
      </c>
      <c r="P4680" s="241" t="n">
        <v>1.68</v>
      </c>
    </row>
    <row r="4681">
      <c r="A4681" s="282" t="inlineStr">
        <is>
          <t>2025-04-09</t>
        </is>
      </c>
      <c r="B4681" s="240">
        <f>IFERROR(1/P4681-1,B4680)</f>
        <v/>
      </c>
      <c r="C4681" s="240">
        <f>$C$3</f>
        <v/>
      </c>
      <c r="D4681" s="240">
        <f>$D$3</f>
        <v/>
      </c>
      <c r="E4681" s="240">
        <f>$E$3</f>
        <v/>
      </c>
      <c r="F4681" s="241" t="n">
        <v>14.75</v>
      </c>
      <c r="G4681" s="242" t="n">
        <v>36887869</v>
      </c>
      <c r="H4681" s="241" t="n">
        <v>1.3</v>
      </c>
      <c r="I4681" s="241" t="n">
        <v>-1.4</v>
      </c>
      <c r="J4681" s="241" t="n">
        <v>-7.17</v>
      </c>
      <c r="K4681" s="241" t="n">
        <v>8.68</v>
      </c>
      <c r="L4681" s="242" t="n">
        <v>5356400</v>
      </c>
      <c r="M4681" s="241" t="n">
        <v>0.21</v>
      </c>
      <c r="N4681" s="241" t="n">
        <v>-5.84</v>
      </c>
      <c r="O4681" s="241" t="n">
        <v>-3.61</v>
      </c>
      <c r="P4681" s="241" t="n">
        <v>1.7</v>
      </c>
    </row>
    <row r="4682">
      <c r="A4682" s="282" t="inlineStr">
        <is>
          <t>2025-04-10</t>
        </is>
      </c>
      <c r="B4682" s="240">
        <f>IFERROR(1/P4682-1,B4681)</f>
        <v/>
      </c>
      <c r="C4682" s="240">
        <f>$C$3</f>
        <v/>
      </c>
      <c r="D4682" s="240">
        <f>$D$3</f>
        <v/>
      </c>
      <c r="E4682" s="240">
        <f>$E$3</f>
        <v/>
      </c>
      <c r="F4682" s="241" t="n">
        <v>14.83</v>
      </c>
      <c r="G4682" s="242" t="n">
        <v>30257471</v>
      </c>
      <c r="H4682" s="241" t="n">
        <v>0.54</v>
      </c>
      <c r="I4682" s="241" t="n">
        <v>-0.87</v>
      </c>
      <c r="J4682" s="241" t="n">
        <v>-6.67</v>
      </c>
      <c r="K4682" s="241" t="n">
        <v>8.81</v>
      </c>
      <c r="L4682" s="242" t="n">
        <v>3335400</v>
      </c>
      <c r="M4682" s="241" t="n">
        <v>1.39</v>
      </c>
      <c r="N4682" s="241" t="n">
        <v>-4.53</v>
      </c>
      <c r="O4682" s="241" t="n">
        <v>-2.27</v>
      </c>
      <c r="P4682" s="241" t="n">
        <v>1.68</v>
      </c>
    </row>
    <row r="4683">
      <c r="A4683" s="282" t="inlineStr">
        <is>
          <t>2025-04-11</t>
        </is>
      </c>
      <c r="B4683" s="240">
        <f>IFERROR(1/P4683-1,B4682)</f>
        <v/>
      </c>
      <c r="C4683" s="240">
        <f>$C$3</f>
        <v/>
      </c>
      <c r="D4683" s="240">
        <f>$D$3</f>
        <v/>
      </c>
      <c r="E4683" s="240">
        <f>$E$3</f>
        <v/>
      </c>
      <c r="F4683" s="241" t="n">
        <v>14.66</v>
      </c>
      <c r="G4683" s="242" t="n">
        <v>18977800</v>
      </c>
      <c r="H4683" s="241" t="n">
        <v>-1.15</v>
      </c>
      <c r="I4683" s="241" t="n">
        <v>-1.87</v>
      </c>
      <c r="J4683" s="241" t="n">
        <v>-7.74</v>
      </c>
      <c r="K4683" s="241" t="n">
        <v>8.9</v>
      </c>
      <c r="L4683" s="242" t="n">
        <v>3116400</v>
      </c>
      <c r="M4683" s="241" t="n">
        <v>1.05</v>
      </c>
      <c r="N4683" s="241" t="n">
        <v>-3.52</v>
      </c>
      <c r="O4683" s="241" t="n">
        <v>-1.24</v>
      </c>
      <c r="P4683" s="241" t="n">
        <v>1.65</v>
      </c>
    </row>
    <row r="4684">
      <c r="A4684" s="282" t="inlineStr">
        <is>
          <t>2025-04-14</t>
        </is>
      </c>
      <c r="B4684" s="240">
        <f>IFERROR(1/P4684-1,B4683)</f>
        <v/>
      </c>
      <c r="C4684" s="240">
        <f>$C$3</f>
        <v/>
      </c>
      <c r="D4684" s="240">
        <f>$D$3</f>
        <v/>
      </c>
      <c r="E4684" s="240">
        <f>$E$3</f>
        <v/>
      </c>
      <c r="F4684" s="241" t="n">
        <v>15.28</v>
      </c>
      <c r="G4684" s="242" t="n">
        <v>37674806</v>
      </c>
      <c r="H4684" s="241" t="n">
        <v>4.23</v>
      </c>
      <c r="I4684" s="241" t="n">
        <v>0.86</v>
      </c>
      <c r="J4684" s="241" t="n">
        <v>-3.84</v>
      </c>
      <c r="K4684" s="241" t="n">
        <v>9.44</v>
      </c>
      <c r="L4684" s="242" t="n">
        <v>6697200</v>
      </c>
      <c r="M4684" s="241" t="n">
        <v>6.05</v>
      </c>
      <c r="N4684" s="241" t="n">
        <v>-2.5</v>
      </c>
      <c r="O4684" s="241" t="n">
        <v>4.74</v>
      </c>
      <c r="P4684" s="241" t="n">
        <v>1.62</v>
      </c>
    </row>
    <row r="4685">
      <c r="A4685" s="282" t="inlineStr">
        <is>
          <t>2025-04-15</t>
        </is>
      </c>
      <c r="B4685" s="240">
        <f>IFERROR(1/P4685-1,B4684)</f>
        <v/>
      </c>
      <c r="C4685" s="240">
        <f>$C$3</f>
        <v/>
      </c>
      <c r="D4685" s="240">
        <f>$D$3</f>
        <v/>
      </c>
      <c r="E4685" s="240">
        <f>$E$3</f>
        <v/>
      </c>
      <c r="F4685" s="241" t="n">
        <v>15.19</v>
      </c>
      <c r="G4685" s="242" t="n">
        <v>19064904</v>
      </c>
      <c r="H4685" s="241" t="n">
        <v>-0.59</v>
      </c>
      <c r="I4685" s="241" t="n">
        <v>-0.72</v>
      </c>
      <c r="J4685" s="241" t="n">
        <v>-4.41</v>
      </c>
      <c r="K4685" s="241" t="n">
        <v>9.69</v>
      </c>
      <c r="L4685" s="242" t="n">
        <v>4451200</v>
      </c>
      <c r="M4685" s="241" t="n">
        <v>2.56</v>
      </c>
      <c r="N4685" s="241" t="n">
        <v>1.76</v>
      </c>
      <c r="O4685" s="241" t="n">
        <v>7.42</v>
      </c>
      <c r="P4685" s="241" t="n">
        <v>1.57</v>
      </c>
    </row>
    <row r="4686">
      <c r="A4686" s="282" t="inlineStr">
        <is>
          <t>2025-04-16</t>
        </is>
      </c>
      <c r="B4686" s="240">
        <f>IFERROR(1/P4686-1,B4685)</f>
        <v/>
      </c>
      <c r="C4686" s="240">
        <f>$C$3</f>
        <v/>
      </c>
      <c r="D4686" s="240">
        <f>$D$3</f>
        <v/>
      </c>
      <c r="E4686" s="240">
        <f>$E$3</f>
        <v/>
      </c>
      <c r="F4686" s="241" t="n">
        <v>15.24</v>
      </c>
      <c r="G4686" s="242" t="n">
        <v>22585500</v>
      </c>
      <c r="H4686" s="241" t="n">
        <v>0.33</v>
      </c>
      <c r="I4686" s="241" t="n">
        <v>-0.39</v>
      </c>
      <c r="J4686" s="241" t="n">
        <v>-4.09</v>
      </c>
      <c r="K4686" s="241" t="n">
        <v>9.41</v>
      </c>
      <c r="L4686" s="242" t="n">
        <v>3966400</v>
      </c>
      <c r="M4686" s="241" t="n">
        <v>-2.88</v>
      </c>
      <c r="N4686" s="241" t="n">
        <v>-1.17</v>
      </c>
      <c r="O4686" s="241" t="n">
        <v>4.33</v>
      </c>
      <c r="P4686" s="241" t="n">
        <v>1.62</v>
      </c>
    </row>
    <row r="4687">
      <c r="A4687" s="282" t="inlineStr">
        <is>
          <t>2025-04-17</t>
        </is>
      </c>
      <c r="B4687" s="240">
        <f>IFERROR(1/P4687-1,B4686)</f>
        <v/>
      </c>
      <c r="C4687" s="240">
        <f>$C$3</f>
        <v/>
      </c>
      <c r="D4687" s="240">
        <f>$D$3</f>
        <v/>
      </c>
      <c r="E4687" s="240">
        <f>$E$3</f>
        <v/>
      </c>
      <c r="F4687" s="241" t="n">
        <v>15.44</v>
      </c>
      <c r="G4687" s="242" t="n">
        <v>20278791</v>
      </c>
      <c r="H4687" s="241" t="n">
        <v>1.31</v>
      </c>
      <c r="I4687" s="241" t="n">
        <v>0.92</v>
      </c>
      <c r="J4687" s="241" t="n">
        <v>-2.83</v>
      </c>
      <c r="K4687" s="241" t="n">
        <v>9.83</v>
      </c>
      <c r="L4687" s="242" t="n">
        <v>3146000</v>
      </c>
      <c r="M4687" s="241" t="n">
        <v>4.55</v>
      </c>
      <c r="N4687" s="241" t="n">
        <v>3.32</v>
      </c>
      <c r="O4687" s="241" t="n">
        <v>9.07</v>
      </c>
      <c r="P4687" s="241" t="n">
        <v>1.57</v>
      </c>
    </row>
    <row r="4688">
      <c r="A4688" s="282" t="inlineStr">
        <is>
          <t>2025-04-18</t>
        </is>
      </c>
      <c r="B4688" s="240">
        <f>IFERROR(1/P4688-1,B4687)</f>
        <v/>
      </c>
      <c r="C4688" s="240">
        <f>$C$3</f>
        <v/>
      </c>
      <c r="D4688" s="240">
        <f>$D$3</f>
        <v/>
      </c>
      <c r="E4688" s="240">
        <f>$E$3</f>
        <v/>
      </c>
      <c r="F4688" s="241" t="n">
        <v>15.29</v>
      </c>
      <c r="G4688" s="242" t="n">
        <v>12104700</v>
      </c>
      <c r="H4688" s="241" t="n">
        <v>-0.97</v>
      </c>
      <c r="I4688" s="241" t="n">
        <v>0.2</v>
      </c>
      <c r="J4688" s="241" t="n">
        <v>-3.78</v>
      </c>
      <c r="K4688" s="239" t="inlineStr">
        <is>
          <t>--</t>
        </is>
      </c>
      <c r="L4688" s="239" t="inlineStr">
        <is>
          <t>--</t>
        </is>
      </c>
      <c r="M4688" s="239" t="inlineStr">
        <is>
          <t>--</t>
        </is>
      </c>
      <c r="N4688" s="239" t="inlineStr">
        <is>
          <t>--</t>
        </is>
      </c>
      <c r="O4688" s="239" t="inlineStr">
        <is>
          <t>--</t>
        </is>
      </c>
      <c r="P4688" s="239" t="inlineStr">
        <is>
          <t>--</t>
        </is>
      </c>
    </row>
    <row r="4689">
      <c r="A4689" s="282" t="inlineStr">
        <is>
          <t>2025-04-21</t>
        </is>
      </c>
      <c r="B4689" s="240">
        <f>IFERROR(1/P4689-1,B4688)</f>
        <v/>
      </c>
      <c r="C4689" s="240">
        <f>$C$3</f>
        <v/>
      </c>
      <c r="D4689" s="240">
        <f>$D$3</f>
        <v/>
      </c>
      <c r="E4689" s="240">
        <f>$E$3</f>
        <v/>
      </c>
      <c r="F4689" s="241" t="n">
        <v>15.39</v>
      </c>
      <c r="G4689" s="242" t="n">
        <v>12439465</v>
      </c>
      <c r="H4689" s="241" t="n">
        <v>0.65</v>
      </c>
      <c r="I4689" s="241" t="n">
        <v>1.32</v>
      </c>
      <c r="J4689" s="241" t="n">
        <v>-3.15</v>
      </c>
      <c r="K4689" s="239" t="inlineStr">
        <is>
          <t>--</t>
        </is>
      </c>
      <c r="L4689" s="239" t="inlineStr">
        <is>
          <t>--</t>
        </is>
      </c>
      <c r="M4689" s="239" t="inlineStr">
        <is>
          <t>--</t>
        </is>
      </c>
      <c r="N4689" s="239" t="inlineStr">
        <is>
          <t>--</t>
        </is>
      </c>
      <c r="O4689" s="239" t="inlineStr">
        <is>
          <t>--</t>
        </is>
      </c>
      <c r="P4689" s="239" t="inlineStr">
        <is>
          <t>--</t>
        </is>
      </c>
    </row>
    <row r="4690">
      <c r="A4690" s="282" t="inlineStr">
        <is>
          <t>2025-04-22</t>
        </is>
      </c>
      <c r="B4690" s="240">
        <f>IFERROR(1/P4690-1,B4689)</f>
        <v/>
      </c>
      <c r="C4690" s="240">
        <f>$C$3</f>
        <v/>
      </c>
      <c r="D4690" s="240">
        <f>$D$3</f>
        <v/>
      </c>
      <c r="E4690" s="240">
        <f>$E$3</f>
        <v/>
      </c>
      <c r="F4690" s="241" t="n">
        <v>15.38</v>
      </c>
      <c r="G4690" s="242" t="n">
        <v>13484810</v>
      </c>
      <c r="H4690" s="241" t="n">
        <v>-0.07000000000000001</v>
      </c>
      <c r="I4690" s="241" t="n">
        <v>1.52</v>
      </c>
      <c r="J4690" s="241" t="n">
        <v>-3.21</v>
      </c>
      <c r="K4690" s="241" t="n">
        <v>9.789999999999999</v>
      </c>
      <c r="L4690" s="242" t="n">
        <v>2578810</v>
      </c>
      <c r="M4690" s="241" t="n">
        <v>-0.38</v>
      </c>
      <c r="N4690" s="241" t="n">
        <v>5.61</v>
      </c>
      <c r="O4690" s="241" t="n">
        <v>8.66</v>
      </c>
      <c r="P4690" s="241" t="n">
        <v>1.57</v>
      </c>
    </row>
    <row r="4691">
      <c r="A4691" s="282" t="inlineStr">
        <is>
          <t>2025-04-23</t>
        </is>
      </c>
      <c r="B4691" s="240">
        <f>IFERROR(1/P4691-1,B4690)</f>
        <v/>
      </c>
      <c r="C4691" s="240">
        <f>$C$3</f>
        <v/>
      </c>
      <c r="D4691" s="240">
        <f>$D$3</f>
        <v/>
      </c>
      <c r="E4691" s="240">
        <f>$E$3</f>
        <v/>
      </c>
      <c r="F4691" s="241" t="n">
        <v>15.31</v>
      </c>
      <c r="G4691" s="242" t="n">
        <v>11924187</v>
      </c>
      <c r="H4691" s="241" t="n">
        <v>-0.46</v>
      </c>
      <c r="I4691" s="241" t="n">
        <v>1.06</v>
      </c>
      <c r="J4691" s="241" t="n">
        <v>-3.65</v>
      </c>
      <c r="K4691" s="241" t="n">
        <v>9.779999999999999</v>
      </c>
      <c r="L4691" s="242" t="n">
        <v>2186282</v>
      </c>
      <c r="M4691" s="241" t="n">
        <v>-0.19</v>
      </c>
      <c r="N4691" s="241" t="n">
        <v>5.41</v>
      </c>
      <c r="O4691" s="241" t="n">
        <v>8.449999999999999</v>
      </c>
      <c r="P4691" s="241" t="n">
        <v>1.57</v>
      </c>
    </row>
    <row r="4692">
      <c r="A4692" s="282" t="inlineStr">
        <is>
          <t>2025-04-24</t>
        </is>
      </c>
      <c r="B4692" s="240">
        <f>IFERROR(1/P4692-1,B4691)</f>
        <v/>
      </c>
      <c r="C4692" s="240">
        <f>$C$3</f>
        <v/>
      </c>
      <c r="D4692" s="240">
        <f>$D$3</f>
        <v/>
      </c>
      <c r="E4692" s="240">
        <f>$E$3</f>
        <v/>
      </c>
      <c r="F4692" s="241" t="n">
        <v>15.32</v>
      </c>
      <c r="G4692" s="242" t="n">
        <v>14154109</v>
      </c>
      <c r="H4692" s="241" t="n">
        <v>0.07000000000000001</v>
      </c>
      <c r="I4692" s="241" t="n">
        <v>1.12</v>
      </c>
      <c r="J4692" s="241" t="n">
        <v>-3.59</v>
      </c>
      <c r="K4692" s="241" t="n">
        <v>9.699999999999999</v>
      </c>
      <c r="L4692" s="242" t="n">
        <v>2000400</v>
      </c>
      <c r="M4692" s="241" t="n">
        <v>-0.76</v>
      </c>
      <c r="N4692" s="241" t="n">
        <v>4.61</v>
      </c>
      <c r="O4692" s="241" t="n">
        <v>7.63</v>
      </c>
      <c r="P4692" s="241" t="n">
        <v>1.58</v>
      </c>
    </row>
    <row r="4693">
      <c r="A4693" s="282" t="inlineStr">
        <is>
          <t>2025-04-25</t>
        </is>
      </c>
      <c r="B4693" s="240">
        <f>IFERROR(1/P4693-1,B4692)</f>
        <v/>
      </c>
      <c r="C4693" s="240">
        <f>$C$3</f>
        <v/>
      </c>
      <c r="D4693" s="240">
        <f>$D$3</f>
        <v/>
      </c>
      <c r="E4693" s="240">
        <f>$E$3</f>
        <v/>
      </c>
      <c r="F4693" s="241" t="n">
        <v>15.24</v>
      </c>
      <c r="G4693" s="242" t="n">
        <v>14746398</v>
      </c>
      <c r="H4693" s="241" t="n">
        <v>-0.52</v>
      </c>
      <c r="I4693" s="241" t="n">
        <v>-0.33</v>
      </c>
      <c r="J4693" s="241" t="n">
        <v>-4.09</v>
      </c>
      <c r="K4693" s="241" t="n">
        <v>9.59</v>
      </c>
      <c r="L4693" s="242" t="n">
        <v>2826200</v>
      </c>
      <c r="M4693" s="241" t="n">
        <v>-1.15</v>
      </c>
      <c r="N4693" s="241" t="n">
        <v>1.38</v>
      </c>
      <c r="O4693" s="241" t="n">
        <v>6.39</v>
      </c>
      <c r="P4693" s="241" t="n">
        <v>1.59</v>
      </c>
    </row>
    <row r="4694">
      <c r="A4694" s="282" t="inlineStr">
        <is>
          <t>2025-04-28</t>
        </is>
      </c>
      <c r="B4694" s="240">
        <f>IFERROR(1/P4694-1,B4693)</f>
        <v/>
      </c>
      <c r="C4694" s="240">
        <f>$C$3</f>
        <v/>
      </c>
      <c r="D4694" s="240">
        <f>$D$3</f>
        <v/>
      </c>
      <c r="E4694" s="240">
        <f>$E$3</f>
        <v/>
      </c>
      <c r="F4694" s="241" t="n">
        <v>15.21</v>
      </c>
      <c r="G4694" s="242" t="n">
        <v>25946633</v>
      </c>
      <c r="H4694" s="241" t="n">
        <v>-0.2</v>
      </c>
      <c r="I4694" s="241" t="n">
        <v>-0.39</v>
      </c>
      <c r="J4694" s="241" t="n">
        <v>-4.28</v>
      </c>
      <c r="K4694" s="241" t="n">
        <v>9.81</v>
      </c>
      <c r="L4694" s="242" t="n">
        <v>5524600</v>
      </c>
      <c r="M4694" s="241" t="n">
        <v>2.33</v>
      </c>
      <c r="N4694" s="241" t="n">
        <v>5.6</v>
      </c>
      <c r="O4694" s="241" t="n">
        <v>8.869999999999999</v>
      </c>
      <c r="P4694" s="241" t="n">
        <v>1.55</v>
      </c>
    </row>
    <row r="4695">
      <c r="A4695" s="282" t="inlineStr">
        <is>
          <t>2025-04-29</t>
        </is>
      </c>
      <c r="B4695" s="240">
        <f>IFERROR(1/P4695-1,B4694)</f>
        <v/>
      </c>
      <c r="C4695" s="240">
        <f>$C$3</f>
        <v/>
      </c>
      <c r="D4695" s="240">
        <f>$D$3</f>
        <v/>
      </c>
      <c r="E4695" s="240">
        <f>$E$3</f>
        <v/>
      </c>
      <c r="F4695" s="241" t="n">
        <v>15.17</v>
      </c>
      <c r="G4695" s="242" t="n">
        <v>13976164</v>
      </c>
      <c r="H4695" s="241" t="n">
        <v>-0.26</v>
      </c>
      <c r="I4695" s="241" t="n">
        <v>0.4</v>
      </c>
      <c r="J4695" s="241" t="n">
        <v>-4.53</v>
      </c>
      <c r="K4695" s="241" t="n">
        <v>9.970000000000001</v>
      </c>
      <c r="L4695" s="242" t="n">
        <v>2882400</v>
      </c>
      <c r="M4695" s="241" t="n">
        <v>1.7</v>
      </c>
      <c r="N4695" s="241" t="n">
        <v>8.48</v>
      </c>
      <c r="O4695" s="241" t="n">
        <v>10.72</v>
      </c>
      <c r="P4695" s="241" t="n">
        <v>1.52</v>
      </c>
    </row>
    <row r="4696">
      <c r="A4696" s="282" t="inlineStr">
        <is>
          <t>2025-04-30</t>
        </is>
      </c>
      <c r="B4696" s="240">
        <f>IFERROR(1/P4696-1,B4695)</f>
        <v/>
      </c>
      <c r="C4696" s="240">
        <f>$C$3</f>
        <v/>
      </c>
      <c r="D4696" s="240">
        <f>$D$3</f>
        <v/>
      </c>
      <c r="E4696" s="240">
        <f>$E$3</f>
        <v/>
      </c>
      <c r="F4696" s="241" t="n">
        <v>15.21</v>
      </c>
      <c r="G4696" s="242" t="n">
        <v>11981755</v>
      </c>
      <c r="H4696" s="241" t="n">
        <v>0.26</v>
      </c>
      <c r="I4696" s="241" t="n">
        <v>0.66</v>
      </c>
      <c r="J4696" s="241" t="n">
        <v>-4.28</v>
      </c>
      <c r="K4696" s="241" t="n">
        <v>9.84</v>
      </c>
      <c r="L4696" s="242" t="n">
        <v>3574800</v>
      </c>
      <c r="M4696" s="241" t="n">
        <v>-1.3</v>
      </c>
      <c r="N4696" s="241" t="n">
        <v>7.07</v>
      </c>
      <c r="O4696" s="241" t="n">
        <v>9.279999999999999</v>
      </c>
      <c r="P4696" s="241" t="n">
        <v>1.55</v>
      </c>
    </row>
    <row r="4697">
      <c r="A4697" s="282" t="inlineStr">
        <is>
          <t>2025-05-06</t>
        </is>
      </c>
      <c r="B4697" s="240">
        <f>IFERROR(1/P4697-1,B4696)</f>
        <v/>
      </c>
      <c r="C4697" s="240">
        <f>$C$3</f>
        <v/>
      </c>
      <c r="D4697" s="240">
        <f>$D$3</f>
        <v/>
      </c>
      <c r="E4697" s="240">
        <f>$E$3</f>
        <v/>
      </c>
      <c r="F4697" s="241" t="n">
        <v>16.16</v>
      </c>
      <c r="G4697" s="242" t="n">
        <v>58867186</v>
      </c>
      <c r="H4697" s="241" t="n">
        <v>6.25</v>
      </c>
      <c r="I4697" s="241" t="n">
        <v>3.59</v>
      </c>
      <c r="J4697" s="241" t="n">
        <v>1.7</v>
      </c>
      <c r="K4697" s="241" t="n">
        <v>10.89</v>
      </c>
      <c r="L4697" s="242" t="n">
        <v>12599400</v>
      </c>
      <c r="M4697" s="241" t="n">
        <v>9.119999999999999</v>
      </c>
      <c r="N4697" s="241" t="n">
        <v>10.78</v>
      </c>
      <c r="O4697" s="241" t="n">
        <v>20.82</v>
      </c>
      <c r="P4697" s="241" t="n">
        <v>1.48</v>
      </c>
    </row>
    <row r="4698">
      <c r="A4698" s="282" t="inlineStr">
        <is>
          <t>2025-05-07</t>
        </is>
      </c>
      <c r="B4698" s="240">
        <f>IFERROR(1/P4698-1,B4697)</f>
        <v/>
      </c>
      <c r="C4698" s="240">
        <f>$C$3</f>
        <v/>
      </c>
      <c r="D4698" s="240">
        <f>$D$3</f>
        <v/>
      </c>
      <c r="E4698" s="240">
        <f>$E$3</f>
        <v/>
      </c>
      <c r="F4698" s="241" t="n">
        <v>16.32</v>
      </c>
      <c r="G4698" s="242" t="n">
        <v>34458726</v>
      </c>
      <c r="H4698" s="241" t="n">
        <v>0.99</v>
      </c>
      <c r="I4698" s="241" t="n">
        <v>4.62</v>
      </c>
      <c r="J4698" s="241" t="n">
        <v>2.71</v>
      </c>
      <c r="K4698" s="241" t="n">
        <v>10.87</v>
      </c>
      <c r="L4698" s="242" t="n">
        <v>3916900</v>
      </c>
      <c r="M4698" s="241" t="n">
        <v>-0.17</v>
      </c>
      <c r="N4698" s="241" t="n">
        <v>10.59</v>
      </c>
      <c r="O4698" s="241" t="n">
        <v>20.62</v>
      </c>
      <c r="P4698" s="241" t="n">
        <v>1.5</v>
      </c>
    </row>
    <row r="4699">
      <c r="A4699" s="282" t="inlineStr">
        <is>
          <t>2025-05-08</t>
        </is>
      </c>
      <c r="B4699" s="240">
        <f>IFERROR(1/P4699-1,B4698)</f>
        <v/>
      </c>
      <c r="C4699" s="240">
        <f>$C$3</f>
        <v/>
      </c>
      <c r="D4699" s="240">
        <f>$D$3</f>
        <v/>
      </c>
      <c r="E4699" s="240">
        <f>$E$3</f>
        <v/>
      </c>
      <c r="F4699" s="241" t="n">
        <v>16.3</v>
      </c>
      <c r="G4699" s="242" t="n">
        <v>20906901</v>
      </c>
      <c r="H4699" s="241" t="n">
        <v>-0.12</v>
      </c>
      <c r="I4699" s="241" t="n">
        <v>15.77</v>
      </c>
      <c r="J4699" s="241" t="n">
        <v>2.58</v>
      </c>
      <c r="K4699" s="241" t="n">
        <v>11.13</v>
      </c>
      <c r="L4699" s="242" t="n">
        <v>4803400</v>
      </c>
      <c r="M4699" s="241" t="n">
        <v>2.39</v>
      </c>
      <c r="N4699" s="241" t="n">
        <v>33.71</v>
      </c>
      <c r="O4699" s="241" t="n">
        <v>23.51</v>
      </c>
      <c r="P4699" s="241" t="n">
        <v>1.47</v>
      </c>
    </row>
    <row r="4700">
      <c r="A4700" s="282" t="inlineStr">
        <is>
          <t>2025-05-09</t>
        </is>
      </c>
      <c r="B4700" s="240">
        <f>IFERROR(1/P4700-1,B4699)</f>
        <v/>
      </c>
      <c r="C4700" s="240">
        <f>$C$3</f>
        <v/>
      </c>
      <c r="D4700" s="240">
        <f>$D$3</f>
        <v/>
      </c>
      <c r="E4700" s="240">
        <f>$E$3</f>
        <v/>
      </c>
      <c r="F4700" s="241" t="n">
        <v>16.34</v>
      </c>
      <c r="G4700" s="242" t="n">
        <v>25607240</v>
      </c>
      <c r="H4700" s="241" t="n">
        <v>0.25</v>
      </c>
      <c r="I4700" s="241" t="n">
        <v>12.23</v>
      </c>
      <c r="J4700" s="241" t="n">
        <v>2.83</v>
      </c>
      <c r="K4700" s="241" t="n">
        <v>11.15</v>
      </c>
      <c r="L4700" s="242" t="n">
        <v>4089159</v>
      </c>
      <c r="M4700" s="241" t="n">
        <v>0.33</v>
      </c>
      <c r="N4700" s="241" t="n">
        <v>28.83</v>
      </c>
      <c r="O4700" s="241" t="n">
        <v>23.92</v>
      </c>
      <c r="P4700" s="241" t="n">
        <v>1.47</v>
      </c>
    </row>
    <row r="4701">
      <c r="A4701" s="282" t="inlineStr">
        <is>
          <t>2025-05-12</t>
        </is>
      </c>
      <c r="B4701" s="240">
        <f>IFERROR(1/P4701-1,B4700)</f>
        <v/>
      </c>
      <c r="C4701" s="240">
        <f>$C$3</f>
        <v/>
      </c>
      <c r="D4701" s="240">
        <f>$D$3</f>
        <v/>
      </c>
      <c r="E4701" s="240">
        <f>$E$3</f>
        <v/>
      </c>
      <c r="F4701" s="241" t="n">
        <v>16.26</v>
      </c>
      <c r="G4701" s="242" t="n">
        <v>24174629</v>
      </c>
      <c r="H4701" s="241" t="n">
        <v>-0.49</v>
      </c>
      <c r="I4701" s="241" t="n">
        <v>10.91</v>
      </c>
      <c r="J4701" s="241" t="n">
        <v>2.33</v>
      </c>
      <c r="K4701" s="241" t="n">
        <v>11.21</v>
      </c>
      <c r="L4701" s="242" t="n">
        <v>3599259</v>
      </c>
      <c r="M4701" s="241" t="n">
        <v>0.67</v>
      </c>
      <c r="N4701" s="241" t="n">
        <v>26.3</v>
      </c>
      <c r="O4701" s="241" t="n">
        <v>24.74</v>
      </c>
      <c r="P4701" s="241" t="n">
        <v>1.45</v>
      </c>
    </row>
    <row r="4702">
      <c r="A4702" s="282" t="inlineStr">
        <is>
          <t>2025-05-13</t>
        </is>
      </c>
      <c r="B4702" s="240">
        <f>IFERROR(1/P4702-1,B4701)</f>
        <v/>
      </c>
      <c r="C4702" s="240">
        <f>$C$3</f>
        <v/>
      </c>
      <c r="D4702" s="240">
        <f>$D$3</f>
        <v/>
      </c>
      <c r="E4702" s="240">
        <f>$E$3</f>
        <v/>
      </c>
      <c r="F4702" s="241" t="n">
        <v>16.28</v>
      </c>
      <c r="G4702" s="242" t="n">
        <v>15444000</v>
      </c>
      <c r="H4702" s="241" t="n">
        <v>0.12</v>
      </c>
      <c r="I4702" s="241" t="n">
        <v>11.05</v>
      </c>
      <c r="J4702" s="241" t="n">
        <v>2.45</v>
      </c>
      <c r="K4702" s="241" t="n">
        <v>11.08</v>
      </c>
      <c r="L4702" s="242" t="n">
        <v>3189600</v>
      </c>
      <c r="M4702" s="241" t="n">
        <v>-0.83</v>
      </c>
      <c r="N4702" s="241" t="n">
        <v>25.26</v>
      </c>
      <c r="O4702" s="241" t="n">
        <v>23.71</v>
      </c>
      <c r="P4702" s="241" t="n">
        <v>1.47</v>
      </c>
    </row>
    <row r="4703">
      <c r="A4703" s="282" t="inlineStr">
        <is>
          <t>2025-05-14</t>
        </is>
      </c>
      <c r="B4703" s="240">
        <f>IFERROR(1/P4703-1,B4702)</f>
        <v/>
      </c>
      <c r="C4703" s="240">
        <f>$C$3</f>
        <v/>
      </c>
      <c r="D4703" s="240">
        <f>$D$3</f>
        <v/>
      </c>
      <c r="E4703" s="240">
        <f>$E$3</f>
        <v/>
      </c>
      <c r="F4703" s="241" t="n">
        <v>16.25</v>
      </c>
      <c r="G4703" s="242" t="n">
        <v>16448267</v>
      </c>
      <c r="H4703" s="241" t="n">
        <v>-0.18</v>
      </c>
      <c r="I4703" s="241" t="n">
        <v>10.85</v>
      </c>
      <c r="J4703" s="241" t="n">
        <v>2.27</v>
      </c>
      <c r="K4703" s="241" t="n">
        <v>11.07</v>
      </c>
      <c r="L4703" s="242" t="n">
        <v>1896705</v>
      </c>
      <c r="M4703" s="241" t="n">
        <v>0</v>
      </c>
      <c r="N4703" s="241" t="n">
        <v>25.26</v>
      </c>
      <c r="O4703" s="241" t="n">
        <v>23.71</v>
      </c>
      <c r="P4703" s="241" t="n">
        <v>1.47</v>
      </c>
    </row>
    <row r="4704">
      <c r="A4704" s="282" t="inlineStr">
        <is>
          <t>2025-05-15</t>
        </is>
      </c>
      <c r="B4704" s="240">
        <f>IFERROR(1/P4704-1,B4703)</f>
        <v/>
      </c>
      <c r="C4704" s="240">
        <f>$C$3</f>
        <v/>
      </c>
      <c r="D4704" s="240">
        <f>$D$3</f>
        <v/>
      </c>
      <c r="E4704" s="240">
        <f>$E$3</f>
        <v/>
      </c>
      <c r="F4704" s="241" t="n">
        <v>16.3</v>
      </c>
      <c r="G4704" s="242" t="n">
        <v>21701075</v>
      </c>
      <c r="H4704" s="241" t="n">
        <v>0.31</v>
      </c>
      <c r="I4704" s="241" t="n">
        <v>6.68</v>
      </c>
      <c r="J4704" s="241" t="n">
        <v>2.58</v>
      </c>
      <c r="K4704" s="241" t="n">
        <v>11.4</v>
      </c>
      <c r="L4704" s="242" t="n">
        <v>6759600</v>
      </c>
      <c r="M4704" s="241" t="n">
        <v>3</v>
      </c>
      <c r="N4704" s="241" t="n">
        <v>21.65</v>
      </c>
      <c r="O4704" s="241" t="n">
        <v>27.42</v>
      </c>
      <c r="P4704" s="241" t="n">
        <v>1.43</v>
      </c>
    </row>
    <row r="4705">
      <c r="A4705" s="282" t="inlineStr">
        <is>
          <t>2025-05-16</t>
        </is>
      </c>
      <c r="B4705" s="240">
        <f>IFERROR(1/P4705-1,B4704)</f>
        <v/>
      </c>
      <c r="C4705" s="240">
        <f>$C$3</f>
        <v/>
      </c>
      <c r="D4705" s="240">
        <f>$D$3</f>
        <v/>
      </c>
      <c r="E4705" s="240">
        <f>$E$3</f>
        <v/>
      </c>
      <c r="F4705" s="241" t="n">
        <v>16.37</v>
      </c>
      <c r="G4705" s="242" t="n">
        <v>16054138</v>
      </c>
      <c r="H4705" s="241" t="n">
        <v>0.43</v>
      </c>
      <c r="I4705" s="241" t="n">
        <v>7.77</v>
      </c>
      <c r="J4705" s="241" t="n">
        <v>3.02</v>
      </c>
      <c r="K4705" s="241" t="n">
        <v>11.37</v>
      </c>
      <c r="L4705" s="242" t="n">
        <v>3692000</v>
      </c>
      <c r="M4705" s="241" t="n">
        <v>-0.16</v>
      </c>
      <c r="N4705" s="241" t="n">
        <v>18.43</v>
      </c>
      <c r="O4705" s="241" t="n">
        <v>27.22</v>
      </c>
      <c r="P4705" s="241" t="n">
        <v>1.44</v>
      </c>
    </row>
    <row r="4706">
      <c r="A4706" s="282" t="inlineStr">
        <is>
          <t>2025-05-19</t>
        </is>
      </c>
      <c r="B4706" s="240">
        <f>IFERROR(1/P4706-1,B4705)</f>
        <v/>
      </c>
      <c r="C4706" s="240">
        <f>$C$3</f>
        <v/>
      </c>
      <c r="D4706" s="240">
        <f>$D$3</f>
        <v/>
      </c>
      <c r="E4706" s="240">
        <f>$E$3</f>
        <v/>
      </c>
      <c r="F4706" s="241" t="n">
        <v>16.2</v>
      </c>
      <c r="G4706" s="242" t="n">
        <v>14815356</v>
      </c>
      <c r="H4706" s="241" t="n">
        <v>-1.04</v>
      </c>
      <c r="I4706" s="241" t="n">
        <v>5.95</v>
      </c>
      <c r="J4706" s="241" t="n">
        <v>1.95</v>
      </c>
      <c r="K4706" s="241" t="n">
        <v>10.93</v>
      </c>
      <c r="L4706" s="242" t="n">
        <v>2641800</v>
      </c>
      <c r="M4706" s="241" t="n">
        <v>-3.73</v>
      </c>
      <c r="N4706" s="241" t="n">
        <v>12.29</v>
      </c>
      <c r="O4706" s="241" t="n">
        <v>22.47</v>
      </c>
      <c r="P4706" s="241" t="n">
        <v>1.48</v>
      </c>
    </row>
    <row r="4707">
      <c r="A4707" s="282" t="inlineStr">
        <is>
          <t>2025-05-20</t>
        </is>
      </c>
      <c r="B4707" s="240">
        <f>IFERROR(1/P4707-1,B4706)</f>
        <v/>
      </c>
      <c r="C4707" s="240">
        <f>$C$3</f>
        <v/>
      </c>
      <c r="D4707" s="240">
        <f>$D$3</f>
        <v/>
      </c>
      <c r="E4707" s="240">
        <f>$E$3</f>
        <v/>
      </c>
      <c r="F4707" s="241" t="n">
        <v>16.14</v>
      </c>
      <c r="G4707" s="242" t="n">
        <v>15326900</v>
      </c>
      <c r="H4707" s="241" t="n">
        <v>-0.37</v>
      </c>
      <c r="I4707" s="241" t="n">
        <v>5.56</v>
      </c>
      <c r="J4707" s="241" t="n">
        <v>1.57</v>
      </c>
      <c r="K4707" s="241" t="n">
        <v>11.09</v>
      </c>
      <c r="L4707" s="242" t="n">
        <v>3795600</v>
      </c>
      <c r="M4707" s="241" t="n">
        <v>1.52</v>
      </c>
      <c r="N4707" s="241" t="n">
        <v>13.99</v>
      </c>
      <c r="O4707" s="241" t="n">
        <v>24.33</v>
      </c>
      <c r="P4707" s="241" t="n">
        <v>1.46</v>
      </c>
    </row>
    <row r="4708">
      <c r="A4708" s="282" t="inlineStr">
        <is>
          <t>2025-05-21</t>
        </is>
      </c>
      <c r="B4708" s="240">
        <f>IFERROR(1/P4708-1,B4707)</f>
        <v/>
      </c>
      <c r="C4708" s="240">
        <f>$C$3</f>
        <v/>
      </c>
      <c r="D4708" s="240">
        <f>$D$3</f>
        <v/>
      </c>
      <c r="E4708" s="240">
        <f>$E$3</f>
        <v/>
      </c>
      <c r="F4708" s="241" t="n">
        <v>16.1</v>
      </c>
      <c r="G4708" s="242" t="n">
        <v>12702931</v>
      </c>
      <c r="H4708" s="241" t="n">
        <v>-0.25</v>
      </c>
      <c r="I4708" s="241" t="n">
        <v>5.3</v>
      </c>
      <c r="J4708" s="241" t="n">
        <v>1.32</v>
      </c>
      <c r="K4708" s="241" t="n">
        <v>11.03</v>
      </c>
      <c r="L4708" s="242" t="n">
        <v>2717600</v>
      </c>
      <c r="M4708" s="241" t="n">
        <v>-0.5</v>
      </c>
      <c r="N4708" s="241" t="n">
        <v>13.42</v>
      </c>
      <c r="O4708" s="241" t="n">
        <v>23.71</v>
      </c>
      <c r="P4708" s="241" t="n">
        <v>1.46</v>
      </c>
    </row>
    <row r="4709">
      <c r="A4709" s="282" t="inlineStr">
        <is>
          <t>2025-05-22</t>
        </is>
      </c>
      <c r="B4709" s="240">
        <f>IFERROR(1/P4709-1,B4708)</f>
        <v/>
      </c>
      <c r="C4709" s="240">
        <f>$C$3</f>
        <v/>
      </c>
      <c r="D4709" s="240">
        <f>$D$3</f>
        <v/>
      </c>
      <c r="E4709" s="240">
        <f>$E$3</f>
        <v/>
      </c>
      <c r="F4709" s="241" t="n">
        <v>16.03</v>
      </c>
      <c r="G4709" s="242" t="n">
        <v>10157900</v>
      </c>
      <c r="H4709" s="241" t="n">
        <v>-0.43</v>
      </c>
      <c r="I4709" s="241" t="n">
        <v>4.16</v>
      </c>
      <c r="J4709" s="241" t="n">
        <v>0.88</v>
      </c>
      <c r="K4709" s="241" t="n">
        <v>11</v>
      </c>
      <c r="L4709" s="242" t="n">
        <v>2077800</v>
      </c>
      <c r="M4709" s="241" t="n">
        <v>-0.17</v>
      </c>
      <c r="N4709" s="241" t="n">
        <v>13.23</v>
      </c>
      <c r="O4709" s="241" t="n">
        <v>23.51</v>
      </c>
      <c r="P4709" s="241" t="n">
        <v>1.46</v>
      </c>
    </row>
    <row r="4710">
      <c r="A4710" s="282" t="inlineStr">
        <is>
          <t>2025-05-23</t>
        </is>
      </c>
      <c r="B4710" s="240">
        <f>IFERROR(1/P4710-1,B4709)</f>
        <v/>
      </c>
      <c r="C4710" s="240">
        <f>$C$3</f>
        <v/>
      </c>
      <c r="D4710" s="240">
        <f>$D$3</f>
        <v/>
      </c>
      <c r="E4710" s="240">
        <f>$E$3</f>
        <v/>
      </c>
      <c r="F4710" s="241" t="n">
        <v>15.88</v>
      </c>
      <c r="G4710" s="242" t="n">
        <v>17696308</v>
      </c>
      <c r="H4710" s="241" t="n">
        <v>-0.9399999999999999</v>
      </c>
      <c r="I4710" s="241" t="n">
        <v>3.25</v>
      </c>
      <c r="J4710" s="241" t="n">
        <v>-0.06</v>
      </c>
      <c r="K4710" s="241" t="n">
        <v>11.04</v>
      </c>
      <c r="L4710" s="242" t="n">
        <v>2343800</v>
      </c>
      <c r="M4710" s="241" t="n">
        <v>0.33</v>
      </c>
      <c r="N4710" s="241" t="n">
        <v>14.04</v>
      </c>
      <c r="O4710" s="241" t="n">
        <v>23.92</v>
      </c>
      <c r="P4710" s="241" t="n">
        <v>1.44</v>
      </c>
    </row>
    <row r="4711">
      <c r="A4711" s="282" t="inlineStr">
        <is>
          <t>2025-05-26</t>
        </is>
      </c>
      <c r="B4711" s="240">
        <f>IFERROR(1/P4711-1,B4710)</f>
        <v/>
      </c>
      <c r="C4711" s="240">
        <f>$C$3</f>
        <v/>
      </c>
      <c r="D4711" s="240">
        <f>$D$3</f>
        <v/>
      </c>
      <c r="E4711" s="240">
        <f>$E$3</f>
        <v/>
      </c>
      <c r="F4711" s="241" t="n">
        <v>16.11</v>
      </c>
      <c r="G4711" s="242" t="n">
        <v>29965054</v>
      </c>
      <c r="H4711" s="241" t="n">
        <v>1.45</v>
      </c>
      <c r="I4711" s="241" t="n">
        <v>5.71</v>
      </c>
      <c r="J4711" s="241" t="n">
        <v>1.38</v>
      </c>
      <c r="K4711" s="241" t="n">
        <v>11.15</v>
      </c>
      <c r="L4711" s="242" t="n">
        <v>2285400</v>
      </c>
      <c r="M4711" s="241" t="n">
        <v>1.16</v>
      </c>
      <c r="N4711" s="241" t="n">
        <v>17.83</v>
      </c>
      <c r="O4711" s="241" t="n">
        <v>25.36</v>
      </c>
      <c r="P4711" s="241" t="n">
        <v>1.44</v>
      </c>
    </row>
    <row r="4712">
      <c r="A4712" s="282" t="inlineStr">
        <is>
          <t>2025-05-27</t>
        </is>
      </c>
      <c r="B4712" s="240">
        <f>IFERROR(1/P4712-1,B4711)</f>
        <v/>
      </c>
      <c r="C4712" s="240">
        <f>$C$3</f>
        <v/>
      </c>
      <c r="D4712" s="240">
        <f>$D$3</f>
        <v/>
      </c>
      <c r="E4712" s="240">
        <f>$E$3</f>
        <v/>
      </c>
      <c r="F4712" s="241" t="n">
        <v>15.9</v>
      </c>
      <c r="G4712" s="242" t="n">
        <v>19417832</v>
      </c>
      <c r="H4712" s="241" t="n">
        <v>-1.3</v>
      </c>
      <c r="I4712" s="241" t="n">
        <v>4.33</v>
      </c>
      <c r="J4712" s="241" t="n">
        <v>0.06</v>
      </c>
      <c r="K4712" s="241" t="n">
        <v>11.1</v>
      </c>
      <c r="L4712" s="242" t="n">
        <v>1347600</v>
      </c>
      <c r="M4712" s="241" t="n">
        <v>-0.49</v>
      </c>
      <c r="N4712" s="241" t="n">
        <v>17.25</v>
      </c>
      <c r="O4712" s="241" t="n">
        <v>24.74</v>
      </c>
      <c r="P4712" s="241" t="n">
        <v>1.43</v>
      </c>
    </row>
    <row r="4713">
      <c r="A4713" s="282" t="inlineStr">
        <is>
          <t>2025-05-28</t>
        </is>
      </c>
      <c r="B4713" s="240">
        <f>IFERROR(1/P4713-1,B4712)</f>
        <v/>
      </c>
      <c r="C4713" s="240">
        <f>$C$3</f>
        <v/>
      </c>
      <c r="D4713" s="240">
        <f>$D$3</f>
        <v/>
      </c>
      <c r="E4713" s="240">
        <f>$E$3</f>
        <v/>
      </c>
      <c r="F4713" s="241" t="n">
        <v>16.05</v>
      </c>
      <c r="G4713" s="242" t="n">
        <v>23212763</v>
      </c>
      <c r="H4713" s="241" t="n">
        <v>0.9399999999999999</v>
      </c>
      <c r="I4713" s="241" t="n">
        <v>5.32</v>
      </c>
      <c r="J4713" s="241" t="n">
        <v>1.01</v>
      </c>
      <c r="K4713" s="241" t="n">
        <v>11.32</v>
      </c>
      <c r="L4713" s="242" t="n">
        <v>2121200</v>
      </c>
      <c r="M4713" s="241" t="n">
        <v>1.98</v>
      </c>
      <c r="N4713" s="241" t="n">
        <v>19.57</v>
      </c>
      <c r="O4713" s="241" t="n">
        <v>27.22</v>
      </c>
      <c r="P4713" s="241" t="n">
        <v>1.42</v>
      </c>
    </row>
    <row r="4714">
      <c r="A4714" s="282" t="inlineStr">
        <is>
          <t>2025-05-29</t>
        </is>
      </c>
      <c r="B4714" s="240">
        <f>IFERROR(1/P4714-1,B4713)</f>
        <v/>
      </c>
      <c r="C4714" s="240">
        <f>$C$3</f>
        <v/>
      </c>
      <c r="D4714" s="240">
        <f>$D$3</f>
        <v/>
      </c>
      <c r="E4714" s="240">
        <f>$E$3</f>
        <v/>
      </c>
      <c r="F4714" s="241" t="n">
        <v>16.12</v>
      </c>
      <c r="G4714" s="242" t="n">
        <v>20919200</v>
      </c>
      <c r="H4714" s="241" t="n">
        <v>0.44</v>
      </c>
      <c r="I4714" s="241" t="n">
        <v>5.98</v>
      </c>
      <c r="J4714" s="241" t="n">
        <v>1.45</v>
      </c>
      <c r="K4714" s="241" t="n">
        <v>11.23</v>
      </c>
      <c r="L4714" s="242" t="n">
        <v>1719600</v>
      </c>
      <c r="M4714" s="241" t="n">
        <v>-0.8100000000000001</v>
      </c>
      <c r="N4714" s="241" t="n">
        <v>15.91</v>
      </c>
      <c r="O4714" s="241" t="n">
        <v>26.19</v>
      </c>
      <c r="P4714" s="241" t="n">
        <v>1.44</v>
      </c>
    </row>
    <row r="4715">
      <c r="A4715" s="282" t="inlineStr">
        <is>
          <t>2025-05-30</t>
        </is>
      </c>
      <c r="B4715" s="240">
        <f>IFERROR(1/P4715-1,B4714)</f>
        <v/>
      </c>
      <c r="C4715" s="240">
        <f>$C$3</f>
        <v/>
      </c>
      <c r="D4715" s="240">
        <f>$D$3</f>
        <v/>
      </c>
      <c r="E4715" s="240">
        <f>$E$3</f>
        <v/>
      </c>
      <c r="F4715" s="241" t="n">
        <v>15.96</v>
      </c>
      <c r="G4715" s="242" t="n">
        <v>17746505</v>
      </c>
      <c r="H4715" s="241" t="n">
        <v>-0.99</v>
      </c>
      <c r="I4715" s="241" t="n">
        <v>5.21</v>
      </c>
      <c r="J4715" s="241" t="n">
        <v>0.44</v>
      </c>
      <c r="K4715" s="241" t="n">
        <v>11</v>
      </c>
      <c r="L4715" s="242" t="n">
        <v>1879200</v>
      </c>
      <c r="M4715" s="241" t="n">
        <v>-1.96</v>
      </c>
      <c r="N4715" s="241" t="n">
        <v>11.73</v>
      </c>
      <c r="O4715" s="241" t="n">
        <v>23.71</v>
      </c>
      <c r="P4715" s="241" t="n">
        <v>1.45</v>
      </c>
    </row>
    <row r="4716">
      <c r="A4716" s="282" t="inlineStr">
        <is>
          <t>2025-06-03</t>
        </is>
      </c>
      <c r="B4716" s="240">
        <f>IFERROR(1/P4716-1,B4715)</f>
        <v/>
      </c>
      <c r="C4716" s="240">
        <f>$C$3</f>
        <v/>
      </c>
      <c r="D4716" s="240">
        <f>$D$3</f>
        <v/>
      </c>
      <c r="E4716" s="240">
        <f>$E$3</f>
        <v/>
      </c>
      <c r="F4716" s="241" t="n">
        <v>15.89</v>
      </c>
      <c r="G4716" s="242" t="n">
        <v>16559304</v>
      </c>
      <c r="H4716" s="241" t="n">
        <v>-0.44</v>
      </c>
      <c r="I4716" s="241" t="n">
        <v>4.47</v>
      </c>
      <c r="J4716" s="241" t="n">
        <v>0</v>
      </c>
      <c r="K4716" s="241" t="n">
        <v>11.09</v>
      </c>
      <c r="L4716" s="242" t="n">
        <v>3724800</v>
      </c>
      <c r="M4716" s="241" t="n">
        <v>2.2</v>
      </c>
      <c r="N4716" s="241" t="n">
        <v>12.66</v>
      </c>
      <c r="O4716" s="241" t="n">
        <v>24.74</v>
      </c>
      <c r="P4716" s="241" t="n">
        <v>1.43</v>
      </c>
    </row>
    <row r="4717">
      <c r="A4717" s="282" t="inlineStr">
        <is>
          <t>2025-06-04</t>
        </is>
      </c>
      <c r="B4717" s="240">
        <f>IFERROR(1/P4717-1,B4716)</f>
        <v/>
      </c>
      <c r="C4717" s="240">
        <f>$C$3</f>
        <v/>
      </c>
      <c r="D4717" s="240">
        <f>$D$3</f>
        <v/>
      </c>
      <c r="E4717" s="240">
        <f>$E$3</f>
        <v/>
      </c>
      <c r="F4717" s="241" t="n">
        <v>15.96</v>
      </c>
      <c r="G4717" s="242" t="n">
        <v>17210103</v>
      </c>
      <c r="H4717" s="241" t="n">
        <v>0.44</v>
      </c>
      <c r="I4717" s="241" t="n">
        <v>4.93</v>
      </c>
      <c r="J4717" s="241" t="n">
        <v>0.44</v>
      </c>
      <c r="K4717" s="241" t="n">
        <v>11.14</v>
      </c>
      <c r="L4717" s="242" t="n">
        <v>1763400</v>
      </c>
      <c r="M4717" s="241" t="n">
        <v>0.5</v>
      </c>
      <c r="N4717" s="241" t="n">
        <v>13.22</v>
      </c>
      <c r="O4717" s="241" t="n">
        <v>25.36</v>
      </c>
      <c r="P4717" s="241" t="n">
        <v>1.43</v>
      </c>
    </row>
    <row r="4718">
      <c r="A4718" s="282" t="inlineStr">
        <is>
          <t>2025-06-05</t>
        </is>
      </c>
      <c r="B4718" s="240">
        <f>IFERROR(1/P4718-1,B4717)</f>
        <v/>
      </c>
      <c r="C4718" s="240">
        <f>$C$3</f>
        <v/>
      </c>
      <c r="D4718" s="240">
        <f>$D$3</f>
        <v/>
      </c>
      <c r="E4718" s="240">
        <f>$E$3</f>
        <v/>
      </c>
      <c r="F4718" s="241" t="n">
        <v>16</v>
      </c>
      <c r="G4718" s="242" t="n">
        <v>11770264</v>
      </c>
      <c r="H4718" s="241" t="n">
        <v>0.25</v>
      </c>
      <c r="I4718" s="241" t="n">
        <v>5.19</v>
      </c>
      <c r="J4718" s="241" t="n">
        <v>0.6899999999999999</v>
      </c>
      <c r="K4718" s="241" t="n">
        <v>11.08</v>
      </c>
      <c r="L4718" s="242" t="n">
        <v>1158600</v>
      </c>
      <c r="M4718" s="241" t="n">
        <v>-0.49</v>
      </c>
      <c r="N4718" s="241" t="n">
        <v>12.66</v>
      </c>
      <c r="O4718" s="241" t="n">
        <v>24.74</v>
      </c>
      <c r="P4718" s="241" t="n">
        <v>1.44</v>
      </c>
    </row>
    <row r="4719">
      <c r="A4719" s="282" t="inlineStr">
        <is>
          <t>2025-06-06</t>
        </is>
      </c>
      <c r="B4719" s="240">
        <f>IFERROR(1/P4719-1,B4718)</f>
        <v/>
      </c>
      <c r="C4719" s="240">
        <f>$C$3</f>
        <v/>
      </c>
      <c r="D4719" s="240">
        <f>$D$3</f>
        <v/>
      </c>
      <c r="E4719" s="240">
        <f>$E$3</f>
        <v/>
      </c>
      <c r="F4719" s="241" t="n">
        <v>16.18</v>
      </c>
      <c r="G4719" s="242" t="n">
        <v>18873416</v>
      </c>
      <c r="H4719" s="241" t="n">
        <v>1.13</v>
      </c>
      <c r="I4719" s="241" t="n">
        <v>6.38</v>
      </c>
      <c r="J4719" s="241" t="n">
        <v>1.82</v>
      </c>
      <c r="K4719" s="241" t="n">
        <v>11.48</v>
      </c>
      <c r="L4719" s="242" t="n">
        <v>2836800</v>
      </c>
      <c r="M4719" s="241" t="n">
        <v>3.64</v>
      </c>
      <c r="N4719" s="241" t="n">
        <v>16.76</v>
      </c>
      <c r="O4719" s="241" t="n">
        <v>29.28</v>
      </c>
      <c r="P4719" s="241" t="n">
        <v>1.41</v>
      </c>
    </row>
    <row r="4720">
      <c r="A4720" s="282" t="inlineStr">
        <is>
          <t>2025-06-09</t>
        </is>
      </c>
      <c r="B4720" s="240">
        <f>IFERROR(1/P4720-1,B4719)</f>
        <v/>
      </c>
      <c r="C4720" s="240">
        <f>$C$3</f>
        <v/>
      </c>
      <c r="D4720" s="240">
        <f>$D$3</f>
        <v/>
      </c>
      <c r="E4720" s="240">
        <f>$E$3</f>
        <v/>
      </c>
      <c r="F4720" s="241" t="n">
        <v>16.71</v>
      </c>
      <c r="G4720" s="242" t="n">
        <v>41988675</v>
      </c>
      <c r="H4720" s="241" t="n">
        <v>3.28</v>
      </c>
      <c r="I4720" s="241" t="n">
        <v>2.52</v>
      </c>
      <c r="J4720" s="241" t="n">
        <v>5.16</v>
      </c>
      <c r="K4720" s="241" t="n">
        <v>12.03</v>
      </c>
      <c r="L4720" s="242" t="n">
        <v>4637600</v>
      </c>
      <c r="M4720" s="241" t="n">
        <v>4.78</v>
      </c>
      <c r="N4720" s="241" t="n">
        <v>9.68</v>
      </c>
      <c r="O4720" s="241" t="n">
        <v>35.46</v>
      </c>
      <c r="P4720" s="241" t="n">
        <v>1.39</v>
      </c>
    </row>
    <row r="4721">
      <c r="A4721" s="282" t="inlineStr">
        <is>
          <t>2025-06-10</t>
        </is>
      </c>
      <c r="B4721" s="240">
        <f>IFERROR(1/P4721-1,B4720)</f>
        <v/>
      </c>
      <c r="C4721" s="240">
        <f>$C$3</f>
        <v/>
      </c>
      <c r="D4721" s="240">
        <f>$D$3</f>
        <v/>
      </c>
      <c r="E4721" s="240">
        <f>$E$3</f>
        <v/>
      </c>
      <c r="F4721" s="241" t="n">
        <v>16.58</v>
      </c>
      <c r="G4721" s="242" t="n">
        <v>25767942</v>
      </c>
      <c r="H4721" s="241" t="n">
        <v>-0.78</v>
      </c>
      <c r="I4721" s="241" t="n">
        <v>1.47</v>
      </c>
      <c r="J4721" s="241" t="n">
        <v>4.34</v>
      </c>
      <c r="K4721" s="241" t="n">
        <v>11.88</v>
      </c>
      <c r="L4721" s="242" t="n">
        <v>3872600</v>
      </c>
      <c r="M4721" s="241" t="n">
        <v>-1.22</v>
      </c>
      <c r="N4721" s="241" t="n">
        <v>7.99</v>
      </c>
      <c r="O4721" s="241" t="n">
        <v>33.81</v>
      </c>
      <c r="P4721" s="241" t="n">
        <v>1.4</v>
      </c>
    </row>
    <row r="4722">
      <c r="A4722" s="282" t="inlineStr">
        <is>
          <t>2025-06-11</t>
        </is>
      </c>
      <c r="B4722" s="240">
        <f>IFERROR(1/P4722-1,B4721)</f>
        <v/>
      </c>
      <c r="C4722" s="240">
        <f>$C$3</f>
        <v/>
      </c>
      <c r="D4722" s="240">
        <f>$D$3</f>
        <v/>
      </c>
      <c r="E4722" s="240">
        <f>$E$3</f>
        <v/>
      </c>
      <c r="F4722" s="241" t="n">
        <v>16.49</v>
      </c>
      <c r="G4722" s="242" t="n">
        <v>14316855</v>
      </c>
      <c r="H4722" s="241" t="n">
        <v>-0.54</v>
      </c>
      <c r="I4722" s="241" t="n">
        <v>0.92</v>
      </c>
      <c r="J4722" s="241" t="n">
        <v>3.78</v>
      </c>
      <c r="K4722" s="241" t="n">
        <v>12.06</v>
      </c>
      <c r="L4722" s="242" t="n">
        <v>1459400</v>
      </c>
      <c r="M4722" s="241" t="n">
        <v>1.54</v>
      </c>
      <c r="N4722" s="241" t="n">
        <v>9.65</v>
      </c>
      <c r="O4722" s="241" t="n">
        <v>35.88</v>
      </c>
      <c r="P4722" s="241" t="n">
        <v>1.37</v>
      </c>
    </row>
    <row r="4723">
      <c r="A4723" s="282" t="inlineStr">
        <is>
          <t>2025-06-12</t>
        </is>
      </c>
      <c r="B4723" s="240">
        <f>IFERROR(1/P4723-1,B4722)</f>
        <v/>
      </c>
      <c r="C4723" s="240">
        <f>$C$3</f>
        <v/>
      </c>
      <c r="D4723" s="240">
        <f>$D$3</f>
        <v/>
      </c>
      <c r="E4723" s="240">
        <f>$E$3</f>
        <v/>
      </c>
      <c r="F4723" s="241" t="n">
        <v>16.42</v>
      </c>
      <c r="G4723" s="242" t="n">
        <v>15624077</v>
      </c>
      <c r="H4723" s="241" t="n">
        <v>-0.42</v>
      </c>
      <c r="I4723" s="241" t="n">
        <v>0.49</v>
      </c>
      <c r="J4723" s="241" t="n">
        <v>3.34</v>
      </c>
      <c r="K4723" s="241" t="n">
        <v>12.06</v>
      </c>
      <c r="L4723" s="242" t="n">
        <v>2185400</v>
      </c>
      <c r="M4723" s="241" t="n">
        <v>0</v>
      </c>
      <c r="N4723" s="241" t="n">
        <v>9.65</v>
      </c>
      <c r="O4723" s="241" t="n">
        <v>35.88</v>
      </c>
      <c r="P4723" s="241" t="n">
        <v>1.36</v>
      </c>
    </row>
    <row r="4724">
      <c r="A4724" s="282" t="inlineStr">
        <is>
          <t>2025-06-13</t>
        </is>
      </c>
      <c r="B4724" s="240">
        <f>IFERROR(1/P4724-1,B4723)</f>
        <v/>
      </c>
      <c r="C4724" s="240">
        <f>$C$3</f>
        <v/>
      </c>
      <c r="D4724" s="240">
        <f>$D$3</f>
        <v/>
      </c>
      <c r="E4724" s="240">
        <f>$E$3</f>
        <v/>
      </c>
      <c r="F4724" s="241" t="n">
        <v>16.7</v>
      </c>
      <c r="G4724" s="242" t="n">
        <v>32830342</v>
      </c>
      <c r="H4724" s="241" t="n">
        <v>1.71</v>
      </c>
      <c r="I4724" s="241" t="n">
        <v>2.71</v>
      </c>
      <c r="J4724" s="241" t="n">
        <v>5.1</v>
      </c>
      <c r="K4724" s="241" t="n">
        <v>12.71</v>
      </c>
      <c r="L4724" s="242" t="n">
        <v>7480400</v>
      </c>
      <c r="M4724" s="241" t="n">
        <v>5.46</v>
      </c>
      <c r="N4724" s="241" t="n">
        <v>14.88</v>
      </c>
      <c r="O4724" s="241" t="n">
        <v>43.3</v>
      </c>
      <c r="P4724" s="241" t="n">
        <v>1.31</v>
      </c>
    </row>
    <row r="4725">
      <c r="A4725" s="282" t="inlineStr">
        <is>
          <t>2025-06-16</t>
        </is>
      </c>
      <c r="B4725" s="240">
        <f>IFERROR(1/P4725-1,B4724)</f>
        <v/>
      </c>
      <c r="C4725" s="240">
        <f>$C$3</f>
        <v/>
      </c>
      <c r="D4725" s="240">
        <f>$D$3</f>
        <v/>
      </c>
      <c r="E4725" s="240">
        <f>$E$3</f>
        <v/>
      </c>
      <c r="F4725" s="241" t="n">
        <v>16.59</v>
      </c>
      <c r="G4725" s="242" t="n">
        <v>19106042</v>
      </c>
      <c r="H4725" s="241" t="n">
        <v>-0.66</v>
      </c>
      <c r="I4725" s="241" t="n">
        <v>1.78</v>
      </c>
      <c r="J4725" s="241" t="n">
        <v>4.41</v>
      </c>
      <c r="K4725" s="241" t="n">
        <v>12.82</v>
      </c>
      <c r="L4725" s="242" t="n">
        <v>4710010</v>
      </c>
      <c r="M4725" s="241" t="n">
        <v>0.86</v>
      </c>
      <c r="N4725" s="241" t="n">
        <v>13.43</v>
      </c>
      <c r="O4725" s="241" t="n">
        <v>44.54</v>
      </c>
      <c r="P4725" s="241" t="n">
        <v>1.29</v>
      </c>
    </row>
    <row r="4726">
      <c r="A4726" s="282" t="inlineStr">
        <is>
          <t>2025-06-17</t>
        </is>
      </c>
      <c r="B4726" s="240">
        <f>IFERROR(1/P4726-1,B4725)</f>
        <v/>
      </c>
      <c r="C4726" s="240">
        <f>$C$3</f>
        <v/>
      </c>
      <c r="D4726" s="240">
        <f>$D$3</f>
        <v/>
      </c>
      <c r="E4726" s="240">
        <f>$E$3</f>
        <v/>
      </c>
      <c r="F4726" s="241" t="n">
        <v>16.85</v>
      </c>
      <c r="G4726" s="242" t="n">
        <v>22923143</v>
      </c>
      <c r="H4726" s="241" t="n">
        <v>1.57</v>
      </c>
      <c r="I4726" s="241" t="n">
        <v>2.93</v>
      </c>
      <c r="J4726" s="241" t="n">
        <v>6.04</v>
      </c>
      <c r="K4726" s="241" t="n">
        <v>13.18</v>
      </c>
      <c r="L4726" s="242" t="n">
        <v>4615400</v>
      </c>
      <c r="M4726" s="241" t="n">
        <v>2.85</v>
      </c>
      <c r="N4726" s="241" t="n">
        <v>16.86</v>
      </c>
      <c r="O4726" s="241" t="n">
        <v>48.66</v>
      </c>
      <c r="P4726" s="241" t="n">
        <v>1.28</v>
      </c>
    </row>
    <row r="4727">
      <c r="A4727" s="282" t="inlineStr">
        <is>
          <t>2025-06-18</t>
        </is>
      </c>
      <c r="B4727" s="240">
        <f>IFERROR(1/P4727-1,B4726)</f>
        <v/>
      </c>
      <c r="C4727" s="240">
        <f>$C$3</f>
        <v/>
      </c>
      <c r="D4727" s="240">
        <f>$D$3</f>
        <v/>
      </c>
      <c r="E4727" s="240">
        <f>$E$3</f>
        <v/>
      </c>
      <c r="F4727" s="241" t="n">
        <v>16.85</v>
      </c>
      <c r="G4727" s="242" t="n">
        <v>17455624</v>
      </c>
      <c r="H4727" s="241" t="n">
        <v>0</v>
      </c>
      <c r="I4727" s="241" t="n">
        <v>2.93</v>
      </c>
      <c r="J4727" s="241" t="n">
        <v>6.04</v>
      </c>
      <c r="K4727" s="241" t="n">
        <v>13.33</v>
      </c>
      <c r="L4727" s="242" t="n">
        <v>3949497</v>
      </c>
      <c r="M4727" s="241" t="n">
        <v>1.11</v>
      </c>
      <c r="N4727" s="241" t="n">
        <v>18.15</v>
      </c>
      <c r="O4727" s="241" t="n">
        <v>50.31</v>
      </c>
      <c r="P4727" s="241" t="n">
        <v>1.26</v>
      </c>
    </row>
    <row r="4728">
      <c r="A4728" s="282" t="inlineStr">
        <is>
          <t>2025-06-19</t>
        </is>
      </c>
      <c r="B4728" s="240">
        <f>IFERROR(1/P4728-1,B4727)</f>
        <v/>
      </c>
      <c r="C4728" s="240">
        <f>$C$3</f>
        <v/>
      </c>
      <c r="D4728" s="240">
        <f>$D$3</f>
        <v/>
      </c>
      <c r="E4728" s="240">
        <f>$E$3</f>
        <v/>
      </c>
      <c r="F4728" s="241" t="n">
        <v>16.46</v>
      </c>
      <c r="G4728" s="242" t="n">
        <v>24139412</v>
      </c>
      <c r="H4728" s="241" t="n">
        <v>-2.31</v>
      </c>
      <c r="I4728" s="241" t="n">
        <v>0.55</v>
      </c>
      <c r="J4728" s="241" t="n">
        <v>3.59</v>
      </c>
      <c r="K4728" s="241" t="n">
        <v>12.61</v>
      </c>
      <c r="L4728" s="242" t="n">
        <v>6763400</v>
      </c>
      <c r="M4728" s="241" t="n">
        <v>-5.35</v>
      </c>
      <c r="N4728" s="241" t="n">
        <v>11.83</v>
      </c>
      <c r="O4728" s="241" t="n">
        <v>42.27</v>
      </c>
      <c r="P4728" s="241" t="n">
        <v>1.31</v>
      </c>
    </row>
    <row r="4729">
      <c r="A4729" s="282" t="inlineStr">
        <is>
          <t>2025-06-20</t>
        </is>
      </c>
      <c r="B4729" s="240">
        <f>IFERROR(1/P4729-1,B4728)</f>
        <v/>
      </c>
      <c r="C4729" s="240">
        <f>$C$3</f>
        <v/>
      </c>
      <c r="D4729" s="240">
        <f>$D$3</f>
        <v/>
      </c>
      <c r="E4729" s="240">
        <f>$E$3</f>
        <v/>
      </c>
      <c r="F4729" s="241" t="n">
        <v>16.26</v>
      </c>
      <c r="G4729" s="242" t="n">
        <v>17292258</v>
      </c>
      <c r="H4729" s="241" t="n">
        <v>-1.22</v>
      </c>
      <c r="I4729" s="241" t="n">
        <v>0.37</v>
      </c>
      <c r="J4729" s="241" t="n">
        <v>2.33</v>
      </c>
      <c r="K4729" s="241" t="n">
        <v>12.06</v>
      </c>
      <c r="L4729" s="242" t="n">
        <v>6507280</v>
      </c>
      <c r="M4729" s="241" t="n">
        <v>-4.35</v>
      </c>
      <c r="N4729" s="241" t="n">
        <v>11.11</v>
      </c>
      <c r="O4729" s="241" t="n">
        <v>36.08</v>
      </c>
      <c r="P4729" s="241" t="n">
        <v>1.35</v>
      </c>
    </row>
    <row r="4730">
      <c r="A4730" s="282" t="inlineStr">
        <is>
          <t>2025-06-23</t>
        </is>
      </c>
      <c r="B4730" s="240">
        <f>IFERROR(1/P4730-1,B4729)</f>
        <v/>
      </c>
      <c r="C4730" s="240">
        <f>$C$3</f>
        <v/>
      </c>
      <c r="D4730" s="240">
        <f>$D$3</f>
        <v/>
      </c>
      <c r="E4730" s="240">
        <f>$E$3</f>
        <v/>
      </c>
      <c r="F4730" s="241" t="n">
        <v>16.33</v>
      </c>
      <c r="G4730" s="242" t="n">
        <v>16188625</v>
      </c>
      <c r="H4730" s="241" t="n">
        <v>0.43</v>
      </c>
      <c r="I4730" s="241" t="n">
        <v>1.87</v>
      </c>
      <c r="J4730" s="241" t="n">
        <v>2.77</v>
      </c>
      <c r="K4730" s="241" t="n">
        <v>12.46</v>
      </c>
      <c r="L4730" s="242" t="n">
        <v>1964200</v>
      </c>
      <c r="M4730" s="241" t="n">
        <v>3.33</v>
      </c>
      <c r="N4730" s="241" t="n">
        <v>13.86</v>
      </c>
      <c r="O4730" s="241" t="n">
        <v>40.62</v>
      </c>
      <c r="P4730" s="241" t="n">
        <v>1.31</v>
      </c>
    </row>
    <row r="4731">
      <c r="A4731" s="282" t="inlineStr">
        <is>
          <t>2025-06-24</t>
        </is>
      </c>
      <c r="B4731" s="240">
        <f>IFERROR(1/P4731-1,B4730)</f>
        <v/>
      </c>
      <c r="C4731" s="240">
        <f>$C$3</f>
        <v/>
      </c>
      <c r="D4731" s="240">
        <f>$D$3</f>
        <v/>
      </c>
      <c r="E4731" s="240">
        <f>$E$3</f>
        <v/>
      </c>
      <c r="F4731" s="241" t="n">
        <v>16.57</v>
      </c>
      <c r="G4731" s="242" t="n">
        <v>19030741</v>
      </c>
      <c r="H4731" s="241" t="n">
        <v>1.47</v>
      </c>
      <c r="I4731" s="241" t="n">
        <v>4.35</v>
      </c>
      <c r="J4731" s="241" t="n">
        <v>4.28</v>
      </c>
      <c r="K4731" s="241" t="n">
        <v>12.2</v>
      </c>
      <c r="L4731" s="242" t="n">
        <v>2426000</v>
      </c>
      <c r="M4731" s="241" t="n">
        <v>-2.05</v>
      </c>
      <c r="N4731" s="241" t="n">
        <v>11.15</v>
      </c>
      <c r="O4731" s="241" t="n">
        <v>37.73</v>
      </c>
      <c r="P4731" s="241" t="n">
        <v>1.36</v>
      </c>
    </row>
    <row r="4732">
      <c r="A4732" s="282" t="inlineStr">
        <is>
          <t>2025-06-25</t>
        </is>
      </c>
      <c r="B4732" s="240">
        <f>IFERROR(1/P4732-1,B4731)</f>
        <v/>
      </c>
      <c r="C4732" s="240">
        <f>$C$3</f>
        <v/>
      </c>
      <c r="D4732" s="240">
        <f>$D$3</f>
        <v/>
      </c>
      <c r="E4732" s="240">
        <f>$E$3</f>
        <v/>
      </c>
      <c r="F4732" s="241" t="n">
        <v>16.55</v>
      </c>
      <c r="G4732" s="242" t="n">
        <v>19745169</v>
      </c>
      <c r="H4732" s="241" t="n">
        <v>-0.12</v>
      </c>
      <c r="I4732" s="241" t="n">
        <v>4.22</v>
      </c>
      <c r="J4732" s="241" t="n">
        <v>4.15</v>
      </c>
      <c r="K4732" s="241" t="n">
        <v>12.29</v>
      </c>
      <c r="L4732" s="242" t="n">
        <v>2836800</v>
      </c>
      <c r="M4732" s="241" t="n">
        <v>0.75</v>
      </c>
      <c r="N4732" s="241" t="n">
        <v>11.98</v>
      </c>
      <c r="O4732" s="241" t="n">
        <v>38.76</v>
      </c>
      <c r="P4732" s="241" t="n">
        <v>1.35</v>
      </c>
    </row>
    <row r="4733">
      <c r="A4733" s="282" t="inlineStr">
        <is>
          <t>2025-06-26</t>
        </is>
      </c>
      <c r="B4733" s="240">
        <f>IFERROR(1/P4733-1,B4732)</f>
        <v/>
      </c>
      <c r="C4733" s="240">
        <f>$C$3</f>
        <v/>
      </c>
      <c r="D4733" s="240">
        <f>$D$3</f>
        <v/>
      </c>
      <c r="E4733" s="240">
        <f>$E$3</f>
        <v/>
      </c>
      <c r="F4733" s="241" t="n">
        <v>16.52</v>
      </c>
      <c r="G4733" s="242" t="n">
        <v>13181087</v>
      </c>
      <c r="H4733" s="241" t="n">
        <v>-0.18</v>
      </c>
      <c r="I4733" s="241" t="n">
        <v>4.03</v>
      </c>
      <c r="J4733" s="241" t="n">
        <v>3.96</v>
      </c>
      <c r="K4733" s="241" t="n">
        <v>12.48</v>
      </c>
      <c r="L4733" s="242" t="n">
        <v>2931327</v>
      </c>
      <c r="M4733" s="241" t="n">
        <v>1.63</v>
      </c>
      <c r="N4733" s="241" t="n">
        <v>13.81</v>
      </c>
      <c r="O4733" s="241" t="n">
        <v>41.03</v>
      </c>
      <c r="P4733" s="241" t="n">
        <v>1.32</v>
      </c>
    </row>
    <row r="4734">
      <c r="A4734" s="282" t="inlineStr">
        <is>
          <t>2025-06-27</t>
        </is>
      </c>
      <c r="B4734" s="240">
        <f>IFERROR(1/P4734-1,B4733)</f>
        <v/>
      </c>
      <c r="C4734" s="240">
        <f>$C$3</f>
        <v/>
      </c>
      <c r="D4734" s="240">
        <f>$D$3</f>
        <v/>
      </c>
      <c r="E4734" s="240">
        <f>$E$3</f>
        <v/>
      </c>
      <c r="F4734" s="241" t="n">
        <v>16.7</v>
      </c>
      <c r="G4734" s="242" t="n">
        <v>19512504</v>
      </c>
      <c r="H4734" s="241" t="n">
        <v>1.09</v>
      </c>
      <c r="I4734" s="241" t="n">
        <v>3.66</v>
      </c>
      <c r="J4734" s="241" t="n">
        <v>5.1</v>
      </c>
      <c r="K4734" s="241" t="n">
        <v>12.45</v>
      </c>
      <c r="L4734" s="242" t="n">
        <v>2192534</v>
      </c>
      <c r="M4734" s="241" t="n">
        <v>-0.29</v>
      </c>
      <c r="N4734" s="241" t="n">
        <v>12.17</v>
      </c>
      <c r="O4734" s="241" t="n">
        <v>40.62</v>
      </c>
      <c r="P4734" s="241" t="n">
        <v>1.34</v>
      </c>
    </row>
    <row r="4735">
      <c r="A4735" s="282" t="inlineStr">
        <is>
          <t>2025-06-30</t>
        </is>
      </c>
      <c r="B4735" s="240">
        <f>IFERROR(1/P4735-1,B4734)</f>
        <v/>
      </c>
      <c r="C4735" s="240">
        <f>$C$3</f>
        <v/>
      </c>
      <c r="D4735" s="240">
        <f>$D$3</f>
        <v/>
      </c>
      <c r="E4735" s="240">
        <f>$E$3</f>
        <v/>
      </c>
      <c r="F4735" s="241" t="n">
        <v>16.74</v>
      </c>
      <c r="G4735" s="242" t="n">
        <v>12729935</v>
      </c>
      <c r="H4735" s="241" t="n">
        <v>0.24</v>
      </c>
      <c r="I4735" s="241" t="n">
        <v>3.85</v>
      </c>
      <c r="J4735" s="241" t="n">
        <v>5.35</v>
      </c>
      <c r="K4735" s="241" t="n">
        <v>12.22</v>
      </c>
      <c r="L4735" s="242" t="n">
        <v>1940066</v>
      </c>
      <c r="M4735" s="241" t="n">
        <v>-1.76</v>
      </c>
      <c r="N4735" s="241" t="n">
        <v>9.48</v>
      </c>
      <c r="O4735" s="241" t="n">
        <v>38.14</v>
      </c>
      <c r="P4735" s="241" t="n">
        <v>1.37</v>
      </c>
    </row>
    <row r="4736">
      <c r="A4736" s="282" t="inlineStr">
        <is>
          <t>2025-07-01</t>
        </is>
      </c>
      <c r="B4736" s="240">
        <f>IFERROR(1/P4736-1,B4735)</f>
        <v/>
      </c>
      <c r="C4736" s="240">
        <f>$C$3</f>
        <v/>
      </c>
      <c r="D4736" s="240">
        <f>$D$3</f>
        <v/>
      </c>
      <c r="E4736" s="240">
        <f>$E$3</f>
        <v/>
      </c>
      <c r="F4736" s="241" t="n">
        <v>16.68</v>
      </c>
      <c r="G4736" s="242" t="n">
        <v>13384652</v>
      </c>
      <c r="H4736" s="241" t="n">
        <v>-0.36</v>
      </c>
      <c r="I4736" s="241" t="n">
        <v>4.51</v>
      </c>
      <c r="J4736" s="241" t="n">
        <v>4.97</v>
      </c>
      <c r="K4736" s="239" t="inlineStr">
        <is>
          <t>--</t>
        </is>
      </c>
      <c r="L4736" s="239" t="inlineStr">
        <is>
          <t>--</t>
        </is>
      </c>
      <c r="M4736" s="239" t="inlineStr">
        <is>
          <t>--</t>
        </is>
      </c>
      <c r="N4736" s="239" t="inlineStr">
        <is>
          <t>--</t>
        </is>
      </c>
      <c r="O4736" s="239" t="inlineStr">
        <is>
          <t>--</t>
        </is>
      </c>
      <c r="P4736" s="239" t="inlineStr">
        <is>
          <t>--</t>
        </is>
      </c>
    </row>
    <row r="4737">
      <c r="A4737" s="282" t="inlineStr">
        <is>
          <t>2025-07-02</t>
        </is>
      </c>
      <c r="B4737" s="240">
        <f>IFERROR(1/P4737-1,B4736)</f>
        <v/>
      </c>
      <c r="C4737" s="240">
        <f>$C$3</f>
        <v/>
      </c>
      <c r="D4737" s="240">
        <f>$D$3</f>
        <v/>
      </c>
      <c r="E4737" s="240">
        <f>$E$3</f>
        <v/>
      </c>
      <c r="F4737" s="241" t="n">
        <v>16.84</v>
      </c>
      <c r="G4737" s="242" t="n">
        <v>19867056</v>
      </c>
      <c r="H4737" s="241" t="n">
        <v>0.96</v>
      </c>
      <c r="I4737" s="241" t="n">
        <v>5.51</v>
      </c>
      <c r="J4737" s="241" t="n">
        <v>5.98</v>
      </c>
      <c r="K4737" s="241" t="n">
        <v>12.51</v>
      </c>
      <c r="L4737" s="242" t="n">
        <v>2320400</v>
      </c>
      <c r="M4737" s="241" t="n">
        <v>2.39</v>
      </c>
      <c r="N4737" s="241" t="n">
        <v>14.33</v>
      </c>
      <c r="O4737" s="241" t="n">
        <v>41.44</v>
      </c>
      <c r="P4737" s="241" t="n">
        <v>1.35</v>
      </c>
    </row>
    <row r="4738">
      <c r="A4738" s="282" t="inlineStr">
        <is>
          <t>2025-07-03</t>
        </is>
      </c>
      <c r="B4738" s="240">
        <f>IFERROR(1/P4738-1,B4737)</f>
        <v/>
      </c>
      <c r="C4738" s="240">
        <f>$C$3</f>
        <v/>
      </c>
      <c r="D4738" s="240">
        <f>$D$3</f>
        <v/>
      </c>
      <c r="E4738" s="240">
        <f>$E$3</f>
        <v/>
      </c>
      <c r="F4738" s="241" t="n">
        <v>16.59</v>
      </c>
      <c r="G4738" s="242" t="n">
        <v>18896125</v>
      </c>
      <c r="H4738" s="241" t="n">
        <v>-1.48</v>
      </c>
      <c r="I4738" s="241" t="n">
        <v>3.95</v>
      </c>
      <c r="J4738" s="241" t="n">
        <v>4.41</v>
      </c>
      <c r="K4738" s="241" t="n">
        <v>12.17</v>
      </c>
      <c r="L4738" s="242" t="n">
        <v>2878200</v>
      </c>
      <c r="M4738" s="241" t="n">
        <v>-2.62</v>
      </c>
      <c r="N4738" s="241" t="n">
        <v>12.84</v>
      </c>
      <c r="O4738" s="241" t="n">
        <v>37.73</v>
      </c>
      <c r="P4738" s="241" t="n">
        <v>1.36</v>
      </c>
    </row>
    <row r="4739">
      <c r="A4739" s="282" t="inlineStr">
        <is>
          <t>2025-07-04</t>
        </is>
      </c>
      <c r="B4739" s="240">
        <f>IFERROR(1/P4739-1,B4738)</f>
        <v/>
      </c>
      <c r="C4739" s="240">
        <f>$C$3</f>
        <v/>
      </c>
      <c r="D4739" s="240">
        <f>$D$3</f>
        <v/>
      </c>
      <c r="E4739" s="240">
        <f>$E$3</f>
        <v/>
      </c>
      <c r="F4739" s="241" t="n">
        <v>16.65</v>
      </c>
      <c r="G4739" s="242" t="n">
        <v>14225964</v>
      </c>
      <c r="H4739" s="241" t="n">
        <v>0.36</v>
      </c>
      <c r="I4739" s="241" t="n">
        <v>4.78</v>
      </c>
      <c r="J4739" s="241" t="n">
        <v>4.78</v>
      </c>
      <c r="K4739" s="241" t="n">
        <v>12.2</v>
      </c>
      <c r="L4739" s="242" t="n">
        <v>2520075</v>
      </c>
      <c r="M4739" s="241" t="n">
        <v>0.15</v>
      </c>
      <c r="N4739" s="241" t="n">
        <v>10.58</v>
      </c>
      <c r="O4739" s="241" t="n">
        <v>37.94</v>
      </c>
      <c r="P4739" s="241" t="n">
        <v>1.37</v>
      </c>
    </row>
    <row r="4740">
      <c r="A4740" s="282" t="inlineStr">
        <is>
          <t>2025-07-07</t>
        </is>
      </c>
      <c r="B4740" s="240">
        <f>IFERROR(1/P4740-1,B4739)</f>
        <v/>
      </c>
      <c r="C4740" s="240">
        <f>$C$3</f>
        <v/>
      </c>
      <c r="D4740" s="240">
        <f>$D$3</f>
        <v/>
      </c>
      <c r="E4740" s="240">
        <f>$E$3</f>
        <v/>
      </c>
      <c r="F4740" s="241" t="n">
        <v>17.03</v>
      </c>
      <c r="G4740" s="242" t="n">
        <v>26129608</v>
      </c>
      <c r="H4740" s="241" t="n">
        <v>2.28</v>
      </c>
      <c r="I4740" s="241" t="n">
        <v>5.25</v>
      </c>
      <c r="J4740" s="241" t="n">
        <v>7.17</v>
      </c>
      <c r="K4740" s="241" t="n">
        <v>12.63</v>
      </c>
      <c r="L4740" s="242" t="n">
        <v>3239800</v>
      </c>
      <c r="M4740" s="241" t="n">
        <v>3.59</v>
      </c>
      <c r="N4740" s="241" t="n">
        <v>10.53</v>
      </c>
      <c r="O4740" s="241" t="n">
        <v>42.89</v>
      </c>
      <c r="P4740" s="241" t="n">
        <v>1.35</v>
      </c>
    </row>
    <row r="4741">
      <c r="A4741" s="281" t="inlineStr">
        <is>
          <t>2025-07-08</t>
        </is>
      </c>
      <c r="B4741" s="240">
        <f>IFERROR(1/P4741-1,B4740)</f>
        <v/>
      </c>
      <c r="C4741" s="240">
        <f>$C$3</f>
        <v/>
      </c>
      <c r="D4741" s="240">
        <f>$D$3</f>
        <v/>
      </c>
      <c r="E4741" s="240">
        <f>$E$3</f>
        <v/>
      </c>
      <c r="F4741" s="279" t="n">
        <v>17.19</v>
      </c>
      <c r="G4741" s="280" t="n">
        <v>22700959</v>
      </c>
      <c r="H4741" s="279" t="n">
        <v>0.9399999999999999</v>
      </c>
      <c r="I4741" s="279" t="n">
        <v>6.24</v>
      </c>
      <c r="J4741" s="279" t="n">
        <v>8.18</v>
      </c>
      <c r="K4741" s="279" t="n">
        <v>12.38</v>
      </c>
      <c r="L4741" s="280" t="n">
        <v>1748400</v>
      </c>
      <c r="M4741" s="279" t="n">
        <v>1.5</v>
      </c>
      <c r="N4741" s="279" t="n">
        <v>12.18</v>
      </c>
      <c r="O4741" s="279" t="n">
        <v>45.03</v>
      </c>
      <c r="P4741" s="279" t="n">
        <v>1.39</v>
      </c>
    </row>
    <row r="4742">
      <c r="A4742" s="281" t="inlineStr">
        <is>
          <t>2025-07-09</t>
        </is>
      </c>
      <c r="B4742" s="240">
        <f>IFERROR(1/P4742-1,B4741)</f>
        <v/>
      </c>
      <c r="C4742" s="240">
        <f>$C$3</f>
        <v/>
      </c>
      <c r="D4742" s="240">
        <f>$D$3</f>
        <v/>
      </c>
      <c r="E4742" s="240">
        <f>$E$3</f>
        <v/>
      </c>
      <c r="F4742" s="279" t="n">
        <v>17.2</v>
      </c>
      <c r="G4742" s="280" t="n">
        <v>23283182</v>
      </c>
      <c r="H4742" s="279" t="n">
        <v>0.06</v>
      </c>
      <c r="I4742" s="279" t="n">
        <v>6.3</v>
      </c>
      <c r="J4742" s="279" t="n">
        <v>8.24</v>
      </c>
      <c r="K4742" s="279" t="n">
        <v>12.38</v>
      </c>
      <c r="L4742" s="280" t="n">
        <v>3104200</v>
      </c>
      <c r="M4742" s="279" t="n">
        <v>0</v>
      </c>
      <c r="N4742" s="279" t="n">
        <v>12.18</v>
      </c>
      <c r="O4742" s="279" t="n">
        <v>45.03</v>
      </c>
      <c r="P4742" s="279" t="n">
        <v>1.39</v>
      </c>
    </row>
    <row r="4743">
      <c r="A4743" s="281" t="inlineStr">
        <is>
          <t>2025-07-10</t>
        </is>
      </c>
      <c r="B4743" s="240">
        <f>IFERROR(1/P4743-1,B4742)</f>
        <v/>
      </c>
      <c r="C4743" s="240">
        <f>$C$3</f>
        <v/>
      </c>
      <c r="D4743" s="240">
        <f>$D$3</f>
        <v/>
      </c>
      <c r="E4743" s="240">
        <f>$E$3</f>
        <v/>
      </c>
      <c r="F4743" s="279" t="n">
        <v>17.17</v>
      </c>
      <c r="G4743" s="280" t="n">
        <v>16430000</v>
      </c>
      <c r="H4743" s="279" t="n">
        <v>-0.17</v>
      </c>
      <c r="I4743" s="279" t="n">
        <v>2.75</v>
      </c>
      <c r="J4743" s="279" t="n">
        <v>8.06</v>
      </c>
      <c r="K4743" s="279" t="n">
        <v>12.36</v>
      </c>
      <c r="L4743" s="280" t="n">
        <v>1120200</v>
      </c>
      <c r="M4743" s="279" t="n">
        <v>-0.15</v>
      </c>
      <c r="N4743" s="279" t="n">
        <v>6.9</v>
      </c>
      <c r="O4743" s="279" t="n">
        <v>44.81</v>
      </c>
      <c r="P4743" s="279" t="n">
        <v>1.39</v>
      </c>
    </row>
    <row r="4744">
      <c r="A4744" s="281" t="inlineStr">
        <is>
          <t>2025-07-11</t>
        </is>
      </c>
      <c r="B4744" s="240">
        <f>IFERROR(1/P4744-1,B4743)</f>
        <v/>
      </c>
      <c r="C4744" s="240">
        <f>$C$3</f>
        <v/>
      </c>
      <c r="D4744" s="240">
        <f>$D$3</f>
        <v/>
      </c>
      <c r="E4744" s="240">
        <f>$E$3</f>
        <v/>
      </c>
      <c r="F4744" s="279" t="n">
        <v>17.23</v>
      </c>
      <c r="G4744" s="280" t="n">
        <v>26089678</v>
      </c>
      <c r="H4744" s="279" t="n">
        <v>0.35</v>
      </c>
      <c r="I4744" s="279" t="n">
        <v>3.92</v>
      </c>
      <c r="J4744" s="279" t="n">
        <v>8.43</v>
      </c>
      <c r="K4744" s="279" t="n">
        <v>12.38</v>
      </c>
      <c r="L4744" s="280" t="n">
        <v>4712800</v>
      </c>
      <c r="M4744" s="279" t="n">
        <v>0.15</v>
      </c>
      <c r="N4744" s="279" t="n">
        <v>8.380000000000001</v>
      </c>
      <c r="O4744" s="279" t="n">
        <v>45.03</v>
      </c>
      <c r="P4744" s="279" t="n">
        <v>1.39</v>
      </c>
    </row>
    <row r="4745">
      <c r="A4745" s="281" t="inlineStr">
        <is>
          <t>2025-07-14</t>
        </is>
      </c>
      <c r="B4745" s="240">
        <f>IFERROR(1/P4745-1,B4744)</f>
        <v/>
      </c>
      <c r="C4745" s="240">
        <f>$C$3</f>
        <v/>
      </c>
      <c r="D4745" s="240">
        <f>$D$3</f>
        <v/>
      </c>
      <c r="E4745" s="240">
        <f>$E$3</f>
        <v/>
      </c>
      <c r="F4745" s="279" t="n">
        <v>17.29</v>
      </c>
      <c r="G4745" s="280" t="n">
        <v>20841153</v>
      </c>
      <c r="H4745" s="279" t="n">
        <v>0.35</v>
      </c>
      <c r="I4745" s="279" t="n">
        <v>3.53</v>
      </c>
      <c r="J4745" s="279" t="n">
        <v>8.81</v>
      </c>
      <c r="K4745" s="279" t="n">
        <v>12.45</v>
      </c>
      <c r="L4745" s="280" t="n">
        <v>1375600</v>
      </c>
      <c r="M4745" s="279" t="n">
        <v>0.59</v>
      </c>
      <c r="N4745" s="279" t="n">
        <v>1.8</v>
      </c>
      <c r="O4745" s="279" t="n">
        <v>45.88</v>
      </c>
      <c r="P4745" s="279" t="n">
        <v>1.39</v>
      </c>
    </row>
    <row r="4746">
      <c r="A4746" s="281" t="inlineStr">
        <is>
          <t>2025-07-15</t>
        </is>
      </c>
      <c r="B4746" s="240">
        <f>IFERROR(1/P4746-1,B4745)</f>
        <v/>
      </c>
      <c r="C4746" s="240">
        <f>$C$3</f>
        <v/>
      </c>
      <c r="D4746" s="240">
        <f>$D$3</f>
        <v/>
      </c>
      <c r="E4746" s="240">
        <f>$E$3</f>
        <v/>
      </c>
      <c r="F4746" s="279" t="n">
        <v>17.18</v>
      </c>
      <c r="G4746" s="280" t="n">
        <v>18860828</v>
      </c>
      <c r="H4746" s="279" t="n">
        <v>-0.64</v>
      </c>
      <c r="I4746" s="279" t="n">
        <v>2.87</v>
      </c>
      <c r="J4746" s="279" t="n">
        <v>8.119999999999999</v>
      </c>
      <c r="K4746" s="279" t="n">
        <v>12.29</v>
      </c>
      <c r="L4746" s="280" t="n">
        <v>1429000</v>
      </c>
      <c r="M4746" s="279" t="n">
        <v>-1.31</v>
      </c>
      <c r="N4746" s="279" t="n">
        <v>0.46</v>
      </c>
      <c r="O4746" s="279" t="n">
        <v>43.96</v>
      </c>
      <c r="P4746" s="279" t="n">
        <v>1.4</v>
      </c>
    </row>
    <row r="4747">
      <c r="A4747" s="281" t="inlineStr">
        <is>
          <t>2025-07-16</t>
        </is>
      </c>
      <c r="B4747" s="240">
        <f>IFERROR(1/P4747-1,B4746)</f>
        <v/>
      </c>
      <c r="C4747" s="240">
        <f>$C$3</f>
        <v/>
      </c>
      <c r="D4747" s="240">
        <f>$D$3</f>
        <v/>
      </c>
      <c r="E4747" s="240">
        <f>$E$3</f>
        <v/>
      </c>
      <c r="F4747" s="279" t="n">
        <v>17.07</v>
      </c>
      <c r="G4747" s="280" t="n">
        <v>12287209</v>
      </c>
      <c r="H4747" s="279" t="n">
        <v>-0.64</v>
      </c>
      <c r="I4747" s="279" t="n">
        <v>2.22</v>
      </c>
      <c r="J4747" s="279" t="n">
        <v>7.43</v>
      </c>
      <c r="K4747" s="279" t="n">
        <v>12.29</v>
      </c>
      <c r="L4747" s="280" t="n">
        <v>972600</v>
      </c>
      <c r="M4747" s="279" t="n">
        <v>0</v>
      </c>
      <c r="N4747" s="279" t="n">
        <v>0.46</v>
      </c>
      <c r="O4747" s="279" t="n">
        <v>43.96</v>
      </c>
      <c r="P4747" s="279" t="n">
        <v>1.39</v>
      </c>
    </row>
    <row r="4748">
      <c r="A4748" s="281" t="inlineStr">
        <is>
          <t>2025-07-17</t>
        </is>
      </c>
      <c r="B4748" s="240">
        <f>IFERROR(1/P4748-1,B4747)</f>
        <v/>
      </c>
      <c r="C4748" s="240">
        <f>$C$3</f>
        <v/>
      </c>
      <c r="D4748" s="240">
        <f>$D$3</f>
        <v/>
      </c>
      <c r="E4748" s="240">
        <f>$E$3</f>
        <v/>
      </c>
      <c r="F4748" s="279" t="n">
        <v>17.31</v>
      </c>
      <c r="G4748" s="280" t="n">
        <v>12874609</v>
      </c>
      <c r="H4748" s="279" t="n">
        <v>1.41</v>
      </c>
      <c r="I4748" s="279" t="n">
        <v>4.34</v>
      </c>
      <c r="J4748" s="279" t="n">
        <v>8.94</v>
      </c>
      <c r="K4748" s="279" t="n">
        <v>12.47</v>
      </c>
      <c r="L4748" s="280" t="n">
        <v>1791400</v>
      </c>
      <c r="M4748" s="279" t="n">
        <v>1.48</v>
      </c>
      <c r="N4748" s="279" t="n">
        <v>1.08</v>
      </c>
      <c r="O4748" s="279" t="n">
        <v>46.09</v>
      </c>
      <c r="P4748" s="279" t="n">
        <v>1.39</v>
      </c>
    </row>
    <row r="4749">
      <c r="A4749" s="281" t="inlineStr">
        <is>
          <t>2025-07-18</t>
        </is>
      </c>
      <c r="B4749" s="240">
        <f>IFERROR(1/P4749-1,B4748)</f>
        <v/>
      </c>
      <c r="C4749" s="240">
        <f>$C$3</f>
        <v/>
      </c>
      <c r="D4749" s="240">
        <f>$D$3</f>
        <v/>
      </c>
      <c r="E4749" s="240">
        <f>$E$3</f>
        <v/>
      </c>
      <c r="F4749" s="279" t="n">
        <v>17.84</v>
      </c>
      <c r="G4749" s="280" t="n">
        <v>37706998</v>
      </c>
      <c r="H4749" s="279" t="n">
        <v>3.06</v>
      </c>
      <c r="I4749" s="279" t="n">
        <v>5.88</v>
      </c>
      <c r="J4749" s="279" t="n">
        <v>12.27</v>
      </c>
      <c r="K4749" s="279" t="n">
        <v>13.56</v>
      </c>
      <c r="L4749" s="280" t="n">
        <v>13073512</v>
      </c>
      <c r="M4749" s="279" t="n">
        <v>8.75</v>
      </c>
      <c r="N4749" s="279" t="n">
        <v>6.87</v>
      </c>
      <c r="O4749" s="279" t="n">
        <v>58.87</v>
      </c>
      <c r="P4749" s="279" t="n">
        <v>1.32</v>
      </c>
    </row>
    <row r="4750">
      <c r="A4750" s="281" t="inlineStr">
        <is>
          <t>2025-07-21</t>
        </is>
      </c>
      <c r="B4750" s="240">
        <f>IFERROR(1/P4750-1,B4749)</f>
        <v/>
      </c>
      <c r="C4750" s="240">
        <f>$C$3</f>
        <v/>
      </c>
      <c r="D4750" s="240">
        <f>$D$3</f>
        <v/>
      </c>
      <c r="E4750" s="240">
        <f>$E$3</f>
        <v/>
      </c>
      <c r="F4750" s="279" t="n">
        <v>19.62</v>
      </c>
      <c r="G4750" s="280" t="n">
        <v>13771980</v>
      </c>
      <c r="H4750" s="279" t="n">
        <v>9.98</v>
      </c>
      <c r="I4750" s="279" t="n">
        <v>20.66</v>
      </c>
      <c r="J4750" s="279" t="n">
        <v>23.47</v>
      </c>
      <c r="K4750" s="279" t="n">
        <v>22.41</v>
      </c>
      <c r="L4750" s="280" t="n">
        <v>389369454</v>
      </c>
      <c r="M4750" s="279" t="n">
        <v>65.20999999999999</v>
      </c>
      <c r="N4750" s="279" t="n">
        <v>92.88</v>
      </c>
      <c r="O4750" s="279" t="n">
        <v>162.48</v>
      </c>
      <c r="P4750" s="279" t="n">
        <v>0.88</v>
      </c>
    </row>
    <row r="4751">
      <c r="A4751" s="281" t="inlineStr">
        <is>
          <t>2025-07-22</t>
        </is>
      </c>
      <c r="B4751" s="240">
        <f>IFERROR(1/P4751-1,B4750)</f>
        <v/>
      </c>
      <c r="C4751" s="240">
        <f>$C$3</f>
        <v/>
      </c>
      <c r="D4751" s="240">
        <f>$D$3</f>
        <v/>
      </c>
      <c r="E4751" s="240">
        <f>$E$3</f>
        <v/>
      </c>
      <c r="F4751" s="279" t="n">
        <v>21.58</v>
      </c>
      <c r="G4751" s="280" t="n">
        <v>6467192</v>
      </c>
      <c r="H4751" s="279" t="n">
        <v>9.99</v>
      </c>
      <c r="I4751" s="279" t="n">
        <v>32.72</v>
      </c>
      <c r="J4751" s="279" t="n">
        <v>35.81</v>
      </c>
      <c r="K4751" s="279" t="n">
        <v>21.77</v>
      </c>
      <c r="L4751" s="280" t="n">
        <v>180156359</v>
      </c>
      <c r="M4751" s="279" t="n">
        <v>-2.84</v>
      </c>
      <c r="N4751" s="279" t="n">
        <v>87.40000000000001</v>
      </c>
      <c r="O4751" s="279" t="n">
        <v>155.02</v>
      </c>
      <c r="P4751" s="279" t="n">
        <v>0.99</v>
      </c>
    </row>
    <row r="4752">
      <c r="A4752" s="281" t="inlineStr">
        <is>
          <t>2025-07-23</t>
        </is>
      </c>
      <c r="B4752" s="240">
        <f>IFERROR(1/P4752-1,B4751)</f>
        <v/>
      </c>
      <c r="C4752" s="240">
        <f>$C$3</f>
        <v/>
      </c>
      <c r="D4752" s="240">
        <f>$D$3</f>
        <v/>
      </c>
      <c r="E4752" s="240">
        <f>$E$3</f>
        <v/>
      </c>
      <c r="F4752" s="279" t="n">
        <v>23.74</v>
      </c>
      <c r="G4752" s="280" t="n">
        <v>212768062</v>
      </c>
      <c r="H4752" s="279" t="n">
        <v>10.01</v>
      </c>
      <c r="I4752" s="279" t="n">
        <v>46</v>
      </c>
      <c r="J4752" s="279" t="n">
        <v>49.4</v>
      </c>
      <c r="K4752" s="279" t="n">
        <v>19.5</v>
      </c>
      <c r="L4752" s="280" t="n">
        <v>133313083</v>
      </c>
      <c r="M4752" s="279" t="n">
        <v>-10.44</v>
      </c>
      <c r="N4752" s="279" t="n">
        <v>67.84</v>
      </c>
      <c r="O4752" s="279" t="n">
        <v>128.4</v>
      </c>
      <c r="P4752" s="279" t="n">
        <v>1.22</v>
      </c>
    </row>
    <row r="4753">
      <c r="A4753" s="281" t="inlineStr">
        <is>
          <t>2025-07-24</t>
        </is>
      </c>
      <c r="B4753" s="240">
        <f>IFERROR(1/P4753-1,B4752)</f>
        <v/>
      </c>
      <c r="C4753" s="240">
        <f>$C$3</f>
        <v/>
      </c>
      <c r="D4753" s="240">
        <f>$D$3</f>
        <v/>
      </c>
      <c r="E4753" s="240">
        <f>$E$3</f>
        <v/>
      </c>
      <c r="F4753" s="279" t="n">
        <v>23.19</v>
      </c>
      <c r="G4753" s="280" t="n">
        <v>282558062</v>
      </c>
      <c r="H4753" s="279" t="n">
        <v>-2.32</v>
      </c>
      <c r="I4753" s="279" t="n">
        <v>42.01</v>
      </c>
      <c r="J4753" s="279" t="n">
        <v>45.94</v>
      </c>
      <c r="K4753" s="279" t="n">
        <v>19.04</v>
      </c>
      <c r="L4753" s="280" t="n">
        <v>85806790</v>
      </c>
      <c r="M4753" s="279" t="n">
        <v>-2.33</v>
      </c>
      <c r="N4753" s="279" t="n">
        <v>58.64</v>
      </c>
      <c r="O4753" s="279" t="n">
        <v>123.08</v>
      </c>
      <c r="P4753" s="279" t="n">
        <v>1.22</v>
      </c>
    </row>
    <row r="4754">
      <c r="A4754" s="281" t="inlineStr">
        <is>
          <t>2025-07-25</t>
        </is>
      </c>
      <c r="B4754" s="240">
        <f>IFERROR(1/P4754-1,B4753)</f>
        <v/>
      </c>
      <c r="C4754" s="240">
        <f>$C$3</f>
        <v/>
      </c>
      <c r="D4754" s="240">
        <f>$D$3</f>
        <v/>
      </c>
      <c r="E4754" s="240">
        <f>$E$3</f>
        <v/>
      </c>
      <c r="F4754" s="279" t="n">
        <v>20.93</v>
      </c>
      <c r="G4754" s="280" t="n">
        <v>220914624</v>
      </c>
      <c r="H4754" s="279" t="n">
        <v>-9.75</v>
      </c>
      <c r="I4754" s="279" t="n">
        <v>26.31</v>
      </c>
      <c r="J4754" s="279" t="n">
        <v>31.72</v>
      </c>
      <c r="K4754" s="279" t="n">
        <v>17.74</v>
      </c>
      <c r="L4754" s="280" t="n">
        <v>50472811</v>
      </c>
      <c r="M4754" s="279" t="n">
        <v>-6.83</v>
      </c>
      <c r="N4754" s="279" t="n">
        <v>50.91</v>
      </c>
      <c r="O4754" s="279" t="n">
        <v>107.85</v>
      </c>
      <c r="P4754" s="279" t="n">
        <v>1.18</v>
      </c>
    </row>
    <row r="4755">
      <c r="A4755" s="281" t="inlineStr">
        <is>
          <t>2025-07-28</t>
        </is>
      </c>
      <c r="B4755" s="240">
        <f>IFERROR(1/P4755-1,B4754)</f>
        <v/>
      </c>
      <c r="C4755" s="240">
        <f>$C$3</f>
        <v/>
      </c>
      <c r="D4755" s="240">
        <f>$D$3</f>
        <v/>
      </c>
      <c r="E4755" s="240">
        <f>$E$3</f>
        <v/>
      </c>
      <c r="F4755" s="279" t="n">
        <v>20.91</v>
      </c>
      <c r="G4755" s="280" t="n">
        <v>101578248</v>
      </c>
      <c r="H4755" s="279" t="n">
        <v>-0.1</v>
      </c>
      <c r="I4755" s="279" t="n">
        <v>25.21</v>
      </c>
      <c r="J4755" s="279" t="n">
        <v>31.59</v>
      </c>
      <c r="K4755" s="279" t="n">
        <v>18.14</v>
      </c>
      <c r="L4755" s="280" t="n">
        <v>36209630</v>
      </c>
      <c r="M4755" s="279" t="n">
        <v>2.25</v>
      </c>
      <c r="N4755" s="279" t="n">
        <v>51.14</v>
      </c>
      <c r="O4755" s="279" t="n">
        <v>112.54</v>
      </c>
      <c r="P4755" s="279" t="n">
        <v>1.15</v>
      </c>
    </row>
    <row r="4756">
      <c r="A4756" s="281" t="inlineStr">
        <is>
          <t>2025-07-29</t>
        </is>
      </c>
      <c r="B4756" s="240">
        <f>IFERROR(1/P4756-1,B4755)</f>
        <v/>
      </c>
      <c r="C4756" s="240">
        <f>$C$3</f>
        <v/>
      </c>
      <c r="D4756" s="240">
        <f>$D$3</f>
        <v/>
      </c>
      <c r="E4756" s="240">
        <f>$E$3</f>
        <v/>
      </c>
      <c r="F4756" s="279" t="n">
        <v>21.06</v>
      </c>
      <c r="G4756" s="280" t="n">
        <v>142957061</v>
      </c>
      <c r="H4756" s="279" t="n">
        <v>0.72</v>
      </c>
      <c r="I4756" s="279" t="n">
        <v>26.11</v>
      </c>
      <c r="J4756" s="279" t="n">
        <v>32.54</v>
      </c>
      <c r="K4756" s="279" t="n">
        <v>17.82</v>
      </c>
      <c r="L4756" s="280" t="n">
        <v>62664800</v>
      </c>
      <c r="M4756" s="279" t="n">
        <v>-1.8</v>
      </c>
      <c r="N4756" s="279" t="n">
        <v>48.42</v>
      </c>
      <c r="O4756" s="279" t="n">
        <v>108.7</v>
      </c>
      <c r="P4756" s="279" t="n">
        <v>1.18</v>
      </c>
    </row>
    <row r="4757">
      <c r="A4757" s="281" t="inlineStr">
        <is>
          <t>2025-07-30</t>
        </is>
      </c>
      <c r="B4757" s="240">
        <f>IFERROR(1/P4757-1,B4756)</f>
        <v/>
      </c>
      <c r="C4757" s="240">
        <f>$C$3</f>
        <v/>
      </c>
      <c r="D4757" s="240">
        <f>$D$3</f>
        <v/>
      </c>
      <c r="E4757" s="240">
        <f>$E$3</f>
        <v/>
      </c>
      <c r="F4757" s="279" t="n">
        <v>20.35</v>
      </c>
      <c r="G4757" s="280" t="n">
        <v>92838293</v>
      </c>
      <c r="H4757" s="279" t="n">
        <v>-3.37</v>
      </c>
      <c r="I4757" s="279" t="n">
        <v>21.86</v>
      </c>
      <c r="J4757" s="279" t="n">
        <v>28.07</v>
      </c>
      <c r="K4757" s="279" t="n">
        <v>17.2</v>
      </c>
      <c r="L4757" s="280" t="n">
        <v>24382800</v>
      </c>
      <c r="M4757" s="279" t="n">
        <v>-3.47</v>
      </c>
      <c r="N4757" s="279" t="n">
        <v>43.27</v>
      </c>
      <c r="O4757" s="279" t="n">
        <v>101.46</v>
      </c>
      <c r="P4757" s="279" t="n">
        <v>1.18</v>
      </c>
    </row>
    <row r="4758">
      <c r="A4758" s="281" t="inlineStr">
        <is>
          <t>2025-07-31</t>
        </is>
      </c>
      <c r="B4758" s="240">
        <f>IFERROR(1/P4758-1,B4757)</f>
        <v/>
      </c>
      <c r="C4758" s="240">
        <f>$C$3</f>
        <v/>
      </c>
      <c r="D4758" s="240">
        <f>$D$3</f>
        <v/>
      </c>
      <c r="E4758" s="240">
        <f>$E$3</f>
        <v/>
      </c>
      <c r="F4758" s="279" t="n">
        <v>20.2</v>
      </c>
      <c r="G4758" s="280" t="n">
        <v>60714217</v>
      </c>
      <c r="H4758" s="279" t="n">
        <v>-0.74</v>
      </c>
      <c r="I4758" s="279" t="n">
        <v>20.96</v>
      </c>
      <c r="J4758" s="279" t="n">
        <v>27.12</v>
      </c>
      <c r="K4758" s="279" t="n">
        <v>16.85</v>
      </c>
      <c r="L4758" s="280" t="n">
        <v>21235000</v>
      </c>
      <c r="M4758" s="279" t="n">
        <v>-2.01</v>
      </c>
      <c r="N4758" s="279" t="n">
        <v>40.39</v>
      </c>
      <c r="O4758" s="279" t="n">
        <v>97.42</v>
      </c>
      <c r="P4758" s="279" t="n">
        <v>1.2</v>
      </c>
    </row>
    <row r="4759">
      <c r="A4759" s="281" t="inlineStr">
        <is>
          <t>2025-08-01</t>
        </is>
      </c>
      <c r="B4759" s="240">
        <f>IFERROR(1/P4759-1,B4758)</f>
        <v/>
      </c>
      <c r="C4759" s="240">
        <f>$C$3</f>
        <v/>
      </c>
      <c r="D4759" s="240">
        <f>$D$3</f>
        <v/>
      </c>
      <c r="E4759" s="240">
        <f>$E$3</f>
        <v/>
      </c>
      <c r="F4759" s="279" t="n">
        <v>19.84</v>
      </c>
      <c r="G4759" s="280" t="n">
        <v>49454935</v>
      </c>
      <c r="H4759" s="279" t="n">
        <v>-1.78</v>
      </c>
      <c r="I4759" s="279" t="n">
        <v>18.52</v>
      </c>
      <c r="J4759" s="279" t="n">
        <v>24.86</v>
      </c>
      <c r="K4759" s="279" t="n">
        <v>16.42</v>
      </c>
      <c r="L4759" s="280" t="n">
        <v>15400200</v>
      </c>
      <c r="M4759" s="279" t="n">
        <v>-2.59</v>
      </c>
      <c r="N4759" s="279" t="n">
        <v>39.21</v>
      </c>
      <c r="O4759" s="279" t="n">
        <v>92.3</v>
      </c>
      <c r="P4759" s="279" t="n">
        <v>1.21</v>
      </c>
    </row>
    <row r="4760">
      <c r="A4760" s="281" t="inlineStr">
        <is>
          <t>2025-08-04</t>
        </is>
      </c>
      <c r="B4760" s="240">
        <f>IFERROR(1/P4760-1,B4759)</f>
        <v/>
      </c>
      <c r="C4760" s="240">
        <f>$C$3</f>
        <v/>
      </c>
      <c r="D4760" s="240">
        <f>$D$3</f>
        <v/>
      </c>
      <c r="E4760" s="240">
        <f>$E$3</f>
        <v/>
      </c>
      <c r="F4760" s="279" t="n">
        <v>20</v>
      </c>
      <c r="G4760" s="280" t="n">
        <v>35076131</v>
      </c>
      <c r="H4760" s="279" t="n">
        <v>0.8100000000000001</v>
      </c>
      <c r="I4760" s="279" t="n">
        <v>20.55</v>
      </c>
      <c r="J4760" s="279" t="n">
        <v>25.87</v>
      </c>
      <c r="K4760" s="279" t="n">
        <v>16.7</v>
      </c>
      <c r="L4760" s="280" t="n">
        <v>18370412</v>
      </c>
      <c r="M4760" s="279" t="n">
        <v>1.72</v>
      </c>
      <c r="N4760" s="279" t="n">
        <v>42.02</v>
      </c>
      <c r="O4760" s="279" t="n">
        <v>95.61</v>
      </c>
      <c r="P4760" s="279" t="n">
        <v>1.2</v>
      </c>
    </row>
    <row r="4761">
      <c r="A4761" s="281" t="inlineStr">
        <is>
          <t>2025-08-05</t>
        </is>
      </c>
      <c r="B4761" s="240">
        <f>IFERROR(1/P4761-1,B4760)</f>
        <v/>
      </c>
      <c r="C4761" s="240">
        <f>$C$3</f>
        <v/>
      </c>
      <c r="D4761" s="240">
        <f>$D$3</f>
        <v/>
      </c>
      <c r="E4761" s="240">
        <f>$E$3</f>
        <v/>
      </c>
      <c r="F4761" s="279" t="n">
        <v>19.98</v>
      </c>
      <c r="G4761" s="280" t="n">
        <v>42233513</v>
      </c>
      <c r="H4761" s="279" t="n">
        <v>-0.1</v>
      </c>
      <c r="I4761" s="279" t="n">
        <v>20</v>
      </c>
      <c r="J4761" s="279" t="n">
        <v>25.74</v>
      </c>
      <c r="K4761" s="279" t="n">
        <v>16.93</v>
      </c>
      <c r="L4761" s="280" t="n">
        <v>15917000</v>
      </c>
      <c r="M4761" s="279" t="n">
        <v>1.42</v>
      </c>
      <c r="N4761" s="279" t="n">
        <v>43.81</v>
      </c>
      <c r="O4761" s="279" t="n">
        <v>98.37</v>
      </c>
      <c r="P4761" s="279" t="n">
        <v>1.18</v>
      </c>
    </row>
    <row r="4762">
      <c r="A4762" s="281" t="inlineStr">
        <is>
          <t>2025-08-06</t>
        </is>
      </c>
      <c r="B4762" s="240">
        <f>IFERROR(1/P4762-1,B4761)</f>
        <v/>
      </c>
      <c r="C4762" s="240">
        <f>$C$3</f>
        <v/>
      </c>
      <c r="D4762" s="240">
        <f>$D$3</f>
        <v/>
      </c>
      <c r="E4762" s="240">
        <f>$E$3</f>
        <v/>
      </c>
      <c r="F4762" s="279" t="n">
        <v>19.98</v>
      </c>
      <c r="G4762" s="280" t="n">
        <v>43858745</v>
      </c>
      <c r="H4762" s="279" t="n">
        <v>0</v>
      </c>
      <c r="I4762" s="279" t="n">
        <v>20</v>
      </c>
      <c r="J4762" s="279" t="n">
        <v>25.74</v>
      </c>
      <c r="K4762" s="279" t="n">
        <v>16.73</v>
      </c>
      <c r="L4762" s="280" t="n">
        <v>12512904</v>
      </c>
      <c r="M4762" s="279" t="n">
        <v>-1.23</v>
      </c>
      <c r="N4762" s="279" t="n">
        <v>42.04</v>
      </c>
      <c r="O4762" s="279" t="n">
        <v>95.92</v>
      </c>
      <c r="P4762" s="279" t="n">
        <v>1.19</v>
      </c>
    </row>
    <row r="4763">
      <c r="A4763" s="281" t="inlineStr">
        <is>
          <t>2025-08-07</t>
        </is>
      </c>
      <c r="B4763" s="240">
        <f>IFERROR(1/P4763-1,B4762)</f>
        <v/>
      </c>
      <c r="C4763" s="240">
        <f>$C$3</f>
        <v/>
      </c>
      <c r="D4763" s="240">
        <f>$D$3</f>
        <v/>
      </c>
      <c r="E4763" s="240">
        <f>$E$3</f>
        <v/>
      </c>
      <c r="F4763" s="279" t="n">
        <v>19.89</v>
      </c>
      <c r="G4763" s="280" t="n">
        <v>37702413</v>
      </c>
      <c r="H4763" s="279" t="n">
        <v>-0.45</v>
      </c>
      <c r="I4763" s="279" t="n">
        <v>19.46</v>
      </c>
      <c r="J4763" s="279" t="n">
        <v>25.17</v>
      </c>
      <c r="K4763" s="279" t="n">
        <v>16.75</v>
      </c>
      <c r="L4763" s="280" t="n">
        <v>11729600</v>
      </c>
      <c r="M4763" s="279" t="n">
        <v>0.16</v>
      </c>
      <c r="N4763" s="279" t="n">
        <v>42.27</v>
      </c>
      <c r="O4763" s="279" t="n">
        <v>96.23999999999999</v>
      </c>
      <c r="P4763" s="279" t="n">
        <v>1.19</v>
      </c>
    </row>
    <row r="4764">
      <c r="A4764" s="281" t="inlineStr">
        <is>
          <t>2025-08-08</t>
        </is>
      </c>
      <c r="B4764" s="240">
        <f>IFERROR(1/P4764-1,B4763)</f>
        <v/>
      </c>
      <c r="C4764" s="240">
        <f>$C$3</f>
        <v/>
      </c>
      <c r="D4764" s="240">
        <f>$D$3</f>
        <v/>
      </c>
      <c r="E4764" s="240">
        <f>$E$3</f>
        <v/>
      </c>
      <c r="F4764" s="279" t="n">
        <v>20.29</v>
      </c>
      <c r="G4764" s="280" t="n">
        <v>71363473</v>
      </c>
      <c r="H4764" s="279" t="n">
        <v>2.01</v>
      </c>
      <c r="I4764" s="279" t="n">
        <v>19.14</v>
      </c>
      <c r="J4764" s="279" t="n">
        <v>27.69</v>
      </c>
      <c r="K4764" s="279" t="n">
        <v>17</v>
      </c>
      <c r="L4764" s="280" t="n">
        <v>26180232</v>
      </c>
      <c r="M4764" s="279" t="n">
        <v>1.47</v>
      </c>
      <c r="N4764" s="279" t="n">
        <v>39.35</v>
      </c>
      <c r="O4764" s="279" t="n">
        <v>99.12</v>
      </c>
      <c r="P4764" s="279" t="n">
        <v>1.19</v>
      </c>
    </row>
    <row r="4765">
      <c r="A4765" s="281" t="inlineStr">
        <is>
          <t>2025-08-11</t>
        </is>
      </c>
      <c r="B4765" s="240">
        <f>IFERROR(1/P4765-1,B4764)</f>
        <v/>
      </c>
      <c r="C4765" s="240">
        <f>$C$3</f>
        <v/>
      </c>
      <c r="D4765" s="240">
        <f>$D$3</f>
        <v/>
      </c>
      <c r="E4765" s="240">
        <f>$E$3</f>
        <v/>
      </c>
      <c r="F4765" s="279" t="n">
        <v>20.11</v>
      </c>
      <c r="G4765" s="280" t="n">
        <v>44786910</v>
      </c>
      <c r="H4765" s="279" t="n">
        <v>-0.89</v>
      </c>
      <c r="I4765" s="279" t="n">
        <v>17.12</v>
      </c>
      <c r="J4765" s="279" t="n">
        <v>26.56</v>
      </c>
      <c r="K4765" s="279" t="n">
        <v>16.89</v>
      </c>
      <c r="L4765" s="280" t="n">
        <v>9940660</v>
      </c>
      <c r="M4765" s="279" t="n">
        <v>-0.64</v>
      </c>
      <c r="N4765" s="279" t="n">
        <v>36.62</v>
      </c>
      <c r="O4765" s="279" t="n">
        <v>97.84</v>
      </c>
      <c r="P4765" s="279" t="n">
        <v>1.19</v>
      </c>
    </row>
    <row r="4766">
      <c r="A4766" s="281" t="inlineStr">
        <is>
          <t>2025-08-12</t>
        </is>
      </c>
      <c r="B4766" s="240">
        <f>IFERROR(1/P4766-1,B4765)</f>
        <v/>
      </c>
      <c r="C4766" s="240">
        <f>$C$3</f>
        <v/>
      </c>
      <c r="D4766" s="240">
        <f>$D$3</f>
        <v/>
      </c>
      <c r="E4766" s="240">
        <f>$E$3</f>
        <v/>
      </c>
      <c r="F4766" s="279" t="n">
        <v>19.84</v>
      </c>
      <c r="G4766" s="280" t="n">
        <v>40047482</v>
      </c>
      <c r="H4766" s="279" t="n">
        <v>-1.34</v>
      </c>
      <c r="I4766" s="279" t="n">
        <v>15.15</v>
      </c>
      <c r="J4766" s="279" t="n">
        <v>24.86</v>
      </c>
      <c r="K4766" s="279" t="n">
        <v>16.87</v>
      </c>
      <c r="L4766" s="280" t="n">
        <v>10051000</v>
      </c>
      <c r="M4766" s="279" t="n">
        <v>-0.11</v>
      </c>
      <c r="N4766" s="279" t="n">
        <v>36.27</v>
      </c>
      <c r="O4766" s="279" t="n">
        <v>97.63</v>
      </c>
      <c r="P4766" s="279" t="n">
        <v>1.18</v>
      </c>
    </row>
    <row r="4771">
      <c r="B4771" s="240" t="n"/>
      <c r="C4771" s="240" t="n"/>
      <c r="D4771" s="240" t="n"/>
      <c r="E4771" s="240" t="n"/>
    </row>
    <row r="4772">
      <c r="B4772" s="240" t="n"/>
      <c r="C4772" s="240" t="n"/>
      <c r="D4772" s="240" t="n"/>
      <c r="E4772" s="240" t="n"/>
    </row>
  </sheetData>
  <mergeCells count="3">
    <mergeCell ref="F1:J1"/>
    <mergeCell ref="K1:O1"/>
    <mergeCell ref="P1:P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Yanamandram, Rajashree</dc:creator>
  <dcterms:created xsi:type="dcterms:W3CDTF">2025-04-01T10:13:41Z</dcterms:created>
  <dcterms:modified xsi:type="dcterms:W3CDTF">2026-08-24T16:02:22Z</dcterms:modified>
  <cp:lastModifiedBy>Ling, Nico</cp:lastModifiedBy>
  <cp:lastPrinted>2025-08-26T08:47:36Z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9c8d7f2-ca33-4e66-89fa-dd8f3c1a21f6_Enabled" fmtid="{D5CDD505-2E9C-101B-9397-08002B2CF9AE}" pid="2">
    <vt:lpwstr>true</vt:lpwstr>
  </property>
  <property name="MSIP_Label_79c8d7f2-ca33-4e66-89fa-dd8f3c1a21f6_SetDate" fmtid="{D5CDD505-2E9C-101B-9397-08002B2CF9AE}" pid="3">
    <vt:lpwstr>2025-04-01T10:15:08Z</vt:lpwstr>
  </property>
  <property name="MSIP_Label_79c8d7f2-ca33-4e66-89fa-dd8f3c1a21f6_Method" fmtid="{D5CDD505-2E9C-101B-9397-08002B2CF9AE}" pid="4">
    <vt:lpwstr>Privileged</vt:lpwstr>
  </property>
  <property name="MSIP_Label_79c8d7f2-ca33-4e66-89fa-dd8f3c1a21f6_Name" fmtid="{D5CDD505-2E9C-101B-9397-08002B2CF9AE}" pid="5">
    <vt:lpwstr>Internal-MayLeave</vt:lpwstr>
  </property>
  <property name="MSIP_Label_79c8d7f2-ca33-4e66-89fa-dd8f3c1a21f6_SiteId" fmtid="{D5CDD505-2E9C-101B-9397-08002B2CF9AE}" pid="6">
    <vt:lpwstr>fb6ea403-7cf1-4905-810a-fe5547e98204</vt:lpwstr>
  </property>
  <property name="MSIP_Label_79c8d7f2-ca33-4e66-89fa-dd8f3c1a21f6_ActionId" fmtid="{D5CDD505-2E9C-101B-9397-08002B2CF9AE}" pid="7">
    <vt:lpwstr>5a25be17-c8ae-482a-a968-fabb33c27bcb</vt:lpwstr>
  </property>
  <property name="MSIP_Label_79c8d7f2-ca33-4e66-89fa-dd8f3c1a21f6_ContentBits" fmtid="{D5CDD505-2E9C-101B-9397-08002B2CF9AE}" pid="8">
    <vt:lpwstr>0</vt:lpwstr>
  </property>
</Properties>
</file>